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  <sheet name="Wykres 1 Chart 1" sheetId="16" r:id="rId6"/>
  </sheets>
  <calcPr calcId="152511"/>
</workbook>
</file>

<file path=xl/calcChain.xml><?xml version="1.0" encoding="utf-8"?>
<calcChain xmlns="http://schemas.openxmlformats.org/spreadsheetml/2006/main">
  <c r="B13" i="16" l="1"/>
  <c r="C13" i="16"/>
  <c r="B14" i="16"/>
  <c r="C14" i="16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C12" i="16"/>
  <c r="B12" i="16"/>
  <c r="AE109" i="16"/>
  <c r="AD109" i="16"/>
  <c r="AG10" i="16" l="1"/>
  <c r="AE10" i="16" s="1"/>
  <c r="AF10" i="16"/>
  <c r="AD10" i="16" s="1"/>
  <c r="AF108" i="16"/>
  <c r="AD108" i="16" s="1"/>
  <c r="AF107" i="16"/>
  <c r="AF106" i="16"/>
  <c r="AD106" i="16" s="1"/>
  <c r="AG109" i="16"/>
  <c r="AF109" i="16"/>
  <c r="AF105" i="16"/>
  <c r="AG108" i="16"/>
  <c r="AE108" i="16" s="1"/>
  <c r="AF104" i="16"/>
  <c r="AD104" i="16" s="1"/>
  <c r="AG106" i="16"/>
  <c r="AE106" i="16" s="1"/>
  <c r="AG104" i="16"/>
  <c r="AF100" i="16"/>
  <c r="AD100" i="16" s="1"/>
  <c r="AG103" i="16"/>
  <c r="AF98" i="16"/>
  <c r="AD98" i="16" s="1"/>
  <c r="AG101" i="16"/>
  <c r="AF101" i="16"/>
  <c r="AF97" i="16"/>
  <c r="AG100" i="16"/>
  <c r="AE100" i="16" s="1"/>
  <c r="AG96" i="16"/>
  <c r="AE96" i="16" s="1"/>
  <c r="AF99" i="16"/>
  <c r="AG98" i="16"/>
  <c r="AE98" i="16" s="1"/>
  <c r="AF93" i="16"/>
  <c r="AF92" i="16"/>
  <c r="AD92" i="16" s="1"/>
  <c r="AG95" i="16"/>
  <c r="AF91" i="16"/>
  <c r="AF90" i="16"/>
  <c r="AD90" i="16" s="1"/>
  <c r="AG93" i="16"/>
  <c r="AF89" i="16"/>
  <c r="AG92" i="16"/>
  <c r="AG90" i="16"/>
  <c r="AF85" i="16"/>
  <c r="AG88" i="16"/>
  <c r="AE88" i="16" s="1"/>
  <c r="AF84" i="16"/>
  <c r="AD84" i="16" s="1"/>
  <c r="AG87" i="16"/>
  <c r="AF83" i="16"/>
  <c r="AF82" i="16"/>
  <c r="AD82" i="16" s="1"/>
  <c r="AG85" i="16"/>
  <c r="AG84" i="16"/>
  <c r="AG80" i="16"/>
  <c r="AG82" i="16"/>
  <c r="AF77" i="16"/>
  <c r="AF76" i="16"/>
  <c r="AD76" i="16" s="1"/>
  <c r="AG79" i="16"/>
  <c r="AF75" i="16"/>
  <c r="AF74" i="16"/>
  <c r="AD74" i="16" s="1"/>
  <c r="AG77" i="16"/>
  <c r="AG76" i="16"/>
  <c r="AG74" i="16"/>
  <c r="AF69" i="16"/>
  <c r="AG72" i="16"/>
  <c r="AF68" i="16"/>
  <c r="AD68" i="16" s="1"/>
  <c r="AG71" i="16"/>
  <c r="AF67" i="16"/>
  <c r="AF66" i="16"/>
  <c r="AD66" i="16" s="1"/>
  <c r="AG69" i="16"/>
  <c r="AF65" i="16"/>
  <c r="AG68" i="16"/>
  <c r="AG66" i="16"/>
  <c r="AF61" i="16"/>
  <c r="AG64" i="16"/>
  <c r="AF60" i="16"/>
  <c r="AD60" i="16" s="1"/>
  <c r="AG63" i="16"/>
  <c r="AG59" i="16"/>
  <c r="AF58" i="16"/>
  <c r="AD58" i="16" s="1"/>
  <c r="AG61" i="16"/>
  <c r="AG60" i="16"/>
  <c r="AF59" i="16"/>
  <c r="AG55" i="16"/>
  <c r="AF54" i="16"/>
  <c r="AD54" i="16" s="1"/>
  <c r="AF57" i="16"/>
  <c r="AG53" i="16"/>
  <c r="AF53" i="16"/>
  <c r="AG54" i="16"/>
  <c r="AG50" i="16"/>
  <c r="AE50" i="16" s="1"/>
  <c r="AF49" i="16"/>
  <c r="AF48" i="16"/>
  <c r="AD48" i="16" s="1"/>
  <c r="AG51" i="16"/>
  <c r="AF51" i="16"/>
  <c r="AG47" i="16"/>
  <c r="AG46" i="16"/>
  <c r="AE46" i="16" s="1"/>
  <c r="AG45" i="16"/>
  <c r="AF44" i="16"/>
  <c r="AD44" i="16" s="1"/>
  <c r="AG43" i="16"/>
  <c r="AF42" i="16"/>
  <c r="AD42" i="16" s="1"/>
  <c r="AF43" i="16"/>
  <c r="AF41" i="16"/>
  <c r="AG37" i="16"/>
  <c r="AG40" i="16"/>
  <c r="AE40" i="16" s="1"/>
  <c r="AF40" i="16"/>
  <c r="AD40" i="16" s="1"/>
  <c r="AG36" i="16"/>
  <c r="AE36" i="16" s="1"/>
  <c r="AF36" i="16"/>
  <c r="AD36" i="16" s="1"/>
  <c r="AG38" i="16"/>
  <c r="AE38" i="16" s="1"/>
  <c r="AF38" i="16"/>
  <c r="AD38" i="16" s="1"/>
  <c r="AG34" i="16"/>
  <c r="AE34" i="16" s="1"/>
  <c r="AF34" i="16"/>
  <c r="AD34" i="16" s="1"/>
  <c r="AF37" i="16"/>
  <c r="AG33" i="16"/>
  <c r="AF33" i="16"/>
  <c r="AG29" i="16"/>
  <c r="AG32" i="16"/>
  <c r="AE32" i="16" s="1"/>
  <c r="AF32" i="16"/>
  <c r="AD32" i="16" s="1"/>
  <c r="AG28" i="16"/>
  <c r="AE28" i="16" s="1"/>
  <c r="AF28" i="16"/>
  <c r="AD28" i="16" s="1"/>
  <c r="AG30" i="16"/>
  <c r="AE30" i="16" s="1"/>
  <c r="AF30" i="16"/>
  <c r="AD30" i="16" s="1"/>
  <c r="AG26" i="16"/>
  <c r="AE26" i="16" s="1"/>
  <c r="AF26" i="16"/>
  <c r="AD26" i="16" s="1"/>
  <c r="AF29" i="16"/>
  <c r="AG25" i="16"/>
  <c r="AF25" i="16"/>
  <c r="AG21" i="16"/>
  <c r="AG24" i="16"/>
  <c r="AE24" i="16" s="1"/>
  <c r="AF24" i="16"/>
  <c r="AD24" i="16" s="1"/>
  <c r="AG20" i="16"/>
  <c r="AE20" i="16" s="1"/>
  <c r="AF20" i="16"/>
  <c r="AD20" i="16" s="1"/>
  <c r="AG22" i="16"/>
  <c r="AE22" i="16" s="1"/>
  <c r="AF22" i="16"/>
  <c r="AD22" i="16" s="1"/>
  <c r="AG18" i="16"/>
  <c r="AE18" i="16" s="1"/>
  <c r="AF21" i="16"/>
  <c r="AG19" i="16"/>
  <c r="AG13" i="16"/>
  <c r="AG16" i="16"/>
  <c r="AE16" i="16" s="1"/>
  <c r="AF16" i="16"/>
  <c r="AD16" i="16" s="1"/>
  <c r="AG15" i="16"/>
  <c r="AG11" i="16"/>
  <c r="AG14" i="16"/>
  <c r="AE14" i="16" s="1"/>
  <c r="AF14" i="16"/>
  <c r="AD14" i="16" s="1"/>
  <c r="AG12" i="16"/>
  <c r="AE12" i="16" s="1"/>
  <c r="AF12" i="16"/>
  <c r="AD12" i="16" s="1"/>
  <c r="AG8" i="16"/>
  <c r="AF8" i="16"/>
  <c r="AD8" i="16" s="1"/>
  <c r="AG9" i="16"/>
  <c r="AF18" i="16" l="1"/>
  <c r="AD18" i="16" s="1"/>
  <c r="AG17" i="16"/>
  <c r="AE17" i="16" s="1"/>
  <c r="AG42" i="16"/>
  <c r="AE42" i="16" s="1"/>
  <c r="AF45" i="16"/>
  <c r="AD45" i="16" s="1"/>
  <c r="AF50" i="16"/>
  <c r="AD50" i="16" s="1"/>
  <c r="AF52" i="16"/>
  <c r="AD52" i="16" s="1"/>
  <c r="AF56" i="16"/>
  <c r="AD56" i="16" s="1"/>
  <c r="AG62" i="16"/>
  <c r="AE62" i="16" s="1"/>
  <c r="AF62" i="16"/>
  <c r="AD62" i="16" s="1"/>
  <c r="AF64" i="16"/>
  <c r="AD64" i="16" s="1"/>
  <c r="AG70" i="16"/>
  <c r="AE70" i="16" s="1"/>
  <c r="AF70" i="16"/>
  <c r="AD70" i="16" s="1"/>
  <c r="AF72" i="16"/>
  <c r="AD72" i="16" s="1"/>
  <c r="AG73" i="16"/>
  <c r="AE73" i="16" s="1"/>
  <c r="AG78" i="16"/>
  <c r="AE78" i="16" s="1"/>
  <c r="AF78" i="16"/>
  <c r="AD78" i="16" s="1"/>
  <c r="AF80" i="16"/>
  <c r="AD80" i="16" s="1"/>
  <c r="AG81" i="16"/>
  <c r="AE81" i="16" s="1"/>
  <c r="AG86" i="16"/>
  <c r="AE86" i="16" s="1"/>
  <c r="AF86" i="16"/>
  <c r="AD86" i="16" s="1"/>
  <c r="AF88" i="16"/>
  <c r="AD88" i="16" s="1"/>
  <c r="AG89" i="16"/>
  <c r="AE89" i="16" s="1"/>
  <c r="AG94" i="16"/>
  <c r="AE94" i="16" s="1"/>
  <c r="AF94" i="16"/>
  <c r="AD94" i="16" s="1"/>
  <c r="AF96" i="16"/>
  <c r="AD96" i="16" s="1"/>
  <c r="AG102" i="16"/>
  <c r="AE102" i="16" s="1"/>
  <c r="AF102" i="16"/>
  <c r="AD102" i="16" s="1"/>
  <c r="AG44" i="16"/>
  <c r="AE44" i="16" s="1"/>
  <c r="AG48" i="16"/>
  <c r="AE48" i="16" s="1"/>
  <c r="AE8" i="16"/>
  <c r="AG41" i="16"/>
  <c r="AE41" i="16" s="1"/>
  <c r="AF46" i="16"/>
  <c r="AD46" i="16" s="1"/>
  <c r="AG52" i="16"/>
  <c r="AE52" i="16" s="1"/>
  <c r="AE54" i="16"/>
  <c r="AG56" i="16"/>
  <c r="AE56" i="16" s="1"/>
  <c r="AG58" i="16"/>
  <c r="AE58" i="16" s="1"/>
  <c r="AE60" i="16"/>
  <c r="AE64" i="16"/>
  <c r="AE66" i="16"/>
  <c r="AE68" i="16"/>
  <c r="AE72" i="16"/>
  <c r="AF73" i="16"/>
  <c r="AD73" i="16" s="1"/>
  <c r="AE74" i="16"/>
  <c r="AE76" i="16"/>
  <c r="AE80" i="16"/>
  <c r="AF81" i="16"/>
  <c r="AD81" i="16" s="1"/>
  <c r="AE82" i="16"/>
  <c r="AE84" i="16"/>
  <c r="AE90" i="16"/>
  <c r="AE92" i="16"/>
  <c r="AE104" i="16"/>
  <c r="AE9" i="16"/>
  <c r="AF13" i="16"/>
  <c r="AD13" i="16" s="1"/>
  <c r="AF17" i="16"/>
  <c r="AD17" i="16" s="1"/>
  <c r="AD49" i="16"/>
  <c r="AD57" i="16"/>
  <c r="AD65" i="16"/>
  <c r="AE71" i="16"/>
  <c r="AE87" i="16"/>
  <c r="AD97" i="16"/>
  <c r="AE103" i="16"/>
  <c r="AD105" i="16"/>
  <c r="AE11" i="16"/>
  <c r="AE15" i="16"/>
  <c r="AE19" i="16"/>
  <c r="AD43" i="16"/>
  <c r="AG49" i="16"/>
  <c r="AE49" i="16" s="1"/>
  <c r="AD51" i="16"/>
  <c r="AG57" i="16"/>
  <c r="AE57" i="16" s="1"/>
  <c r="AD59" i="16"/>
  <c r="AG65" i="16"/>
  <c r="AE65" i="16" s="1"/>
  <c r="AD67" i="16"/>
  <c r="AD75" i="16"/>
  <c r="AD83" i="16"/>
  <c r="AD91" i="16"/>
  <c r="AG97" i="16"/>
  <c r="AE97" i="16" s="1"/>
  <c r="AD99" i="16"/>
  <c r="AG105" i="16"/>
  <c r="AE105" i="16" s="1"/>
  <c r="AE13" i="16"/>
  <c r="AD41" i="16"/>
  <c r="AE47" i="16"/>
  <c r="AE55" i="16"/>
  <c r="AE63" i="16"/>
  <c r="AE79" i="16"/>
  <c r="AD89" i="16"/>
  <c r="AE95" i="16"/>
  <c r="AD107" i="16"/>
  <c r="AF9" i="16"/>
  <c r="AD9" i="16" s="1"/>
  <c r="AF11" i="16"/>
  <c r="AD11" i="16" s="1"/>
  <c r="AF15" i="16"/>
  <c r="AD15" i="16" s="1"/>
  <c r="AF19" i="16"/>
  <c r="AD19" i="16" s="1"/>
  <c r="AF23" i="16"/>
  <c r="AD23" i="16" s="1"/>
  <c r="AD21" i="16"/>
  <c r="AF27" i="16"/>
  <c r="AD27" i="16" s="1"/>
  <c r="AD25" i="16"/>
  <c r="AF31" i="16"/>
  <c r="AD31" i="16" s="1"/>
  <c r="AD29" i="16"/>
  <c r="AF35" i="16"/>
  <c r="AD35" i="16" s="1"/>
  <c r="AD33" i="16"/>
  <c r="AF39" i="16"/>
  <c r="AD39" i="16" s="1"/>
  <c r="AD37" i="16"/>
  <c r="AE43" i="16"/>
  <c r="AE51" i="16"/>
  <c r="AD53" i="16"/>
  <c r="AE59" i="16"/>
  <c r="AD61" i="16"/>
  <c r="AG67" i="16"/>
  <c r="AE67" i="16" s="1"/>
  <c r="AD69" i="16"/>
  <c r="AG75" i="16"/>
  <c r="AE75" i="16" s="1"/>
  <c r="AD77" i="16"/>
  <c r="AG83" i="16"/>
  <c r="AE83" i="16" s="1"/>
  <c r="AD85" i="16"/>
  <c r="AG91" i="16"/>
  <c r="AE91" i="16" s="1"/>
  <c r="AD93" i="16"/>
  <c r="AG99" i="16"/>
  <c r="AE99" i="16" s="1"/>
  <c r="AD101" i="16"/>
  <c r="AG107" i="16"/>
  <c r="AE107" i="16" s="1"/>
  <c r="AG23" i="16"/>
  <c r="AE23" i="16" s="1"/>
  <c r="AE21" i="16"/>
  <c r="AG27" i="16"/>
  <c r="AE27" i="16" s="1"/>
  <c r="AE25" i="16"/>
  <c r="AG31" i="16"/>
  <c r="AE31" i="16" s="1"/>
  <c r="AE29" i="16"/>
  <c r="AG35" i="16"/>
  <c r="AE35" i="16" s="1"/>
  <c r="AE33" i="16"/>
  <c r="AG39" i="16"/>
  <c r="AE39" i="16" s="1"/>
  <c r="AE37" i="16"/>
  <c r="AF47" i="16"/>
  <c r="AD47" i="16" s="1"/>
  <c r="AE45" i="16"/>
  <c r="AF55" i="16"/>
  <c r="AD55" i="16" s="1"/>
  <c r="AE53" i="16"/>
  <c r="AF63" i="16"/>
  <c r="AD63" i="16" s="1"/>
  <c r="AE61" i="16"/>
  <c r="AF71" i="16"/>
  <c r="AD71" i="16" s="1"/>
  <c r="AE69" i="16"/>
  <c r="AF79" i="16"/>
  <c r="AD79" i="16" s="1"/>
  <c r="AE77" i="16"/>
  <c r="AF87" i="16"/>
  <c r="AD87" i="16" s="1"/>
  <c r="AE85" i="16"/>
  <c r="AF95" i="16"/>
  <c r="AD95" i="16" s="1"/>
  <c r="AE93" i="16"/>
  <c r="AF103" i="16"/>
  <c r="AD103" i="16" s="1"/>
  <c r="AE101" i="16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<sst xmlns="http://schemas.openxmlformats.org/spreadsheetml/2006/main" count="223" uniqueCount="106">
  <si>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</si>
  <si>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</si>
  <si>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</si>
  <si>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</si>
  <si>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</si>
  <si>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</si>
  <si>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</si>
  <si>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</si>
  <si>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</si>
  <si>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</si>
  <si>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</si>
  <si>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</si>
  <si>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</si>
  <si>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</si>
  <si>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</si>
  <si>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</si>
  <si>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</si>
  <si>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</si>
  <si>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</si>
  <si>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</si>
  <si>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</si>
  <si>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</si>
  <si>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</si>
  <si>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</si>
  <si>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</si>
  <si>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</si>
  <si>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</si>
  <si>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</si>
  <si>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</si>
  <si>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</si>
  <si>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</si>
  <si>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</si>
  <si>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</si>
  <si>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</si>
  <si>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</si>
  <si>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</si>
  <si>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</si>
  <si>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</si>
  <si>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</si>
  <si>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</si>
  <si>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</si>
  <si>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</si>
  <si>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</si>
  <si>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</si>
  <si>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</si>
  <si>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</si>
  <si>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</si>
  <si>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</si>
  <si>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</si>
  <si>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</si>
  <si>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</si>
  <si>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</si>
  <si>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</si>
  <si>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</si>
  <si>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</si>
  <si>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</si>
  <si>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</si>
  <si>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</si>
  <si>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</si>
  <si>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</si>
  <si>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</si>
  <si>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</si>
  <si>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</si>
  <si>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</si>
  <si>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</si>
  <si>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</si>
  <si>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</si>
  <si>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</si>
  <si>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</si>
  <si>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</si>
  <si>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</si>
  <si>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</si>
  <si>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</si>
  <si>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</si>
  <si>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</si>
  <si>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</si>
  <si>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</si>
  <si>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</si>
  <si>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</si>
  <si>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</si>
  <si>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</si>
  <si>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</si>
  <si>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</si>
  <si>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</si>
  <si>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</si>
  <si>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</si>
  <si>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</si>
  <si>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</si>
  <si>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t>WYKRES 1. PIRAMIDA LUDNOŚCI</t>
  </si>
  <si>
    <t>CHART 1. POPULATION PYRAMID</t>
  </si>
  <si>
    <t>M</t>
  </si>
  <si>
    <t>K</t>
  </si>
  <si>
    <t>WYKRES 1.</t>
  </si>
  <si>
    <t>PIRAMIDA LUDNOŚCI</t>
  </si>
  <si>
    <t>POPULATION PYRAMID</t>
  </si>
  <si>
    <t>CHART 1.</t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</si>
  <si>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</si>
  <si>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</si>
  <si>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</si>
  <si>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</si>
  <si>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</si>
  <si>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</si>
  <si>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</si>
  <si>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</si>
  <si>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</si>
  <si>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łódzkie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</si>
</sst>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u/>
      <sz val="11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b/>
      <sz val="16"/>
      <name val="Arial"/>
      <family val="2"/>
      <charset val="238"/>
    </font>
    <font>
      <sz val="11"/>
      <color theme="0"/>
      <name val="Calibri"/>
      <family val="2"/>
      <scheme val="minor"/>
    </font>
    <font>
      <i/>
      <sz val="10"/>
      <color theme="0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7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23" fillId="4" borderId="35" xfId="26" applyFont="1" applyFill="1" applyBorder="1" applyAlignment="1">
      <alignment horizontal="left" vertical="top"/>
    </xf>
    <xf numFmtId="0" fontId="8" fillId="3" borderId="0" xfId="0" applyFont="1" applyFill="1" applyBorder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31" fillId="4" borderId="0" xfId="0" applyFont="1" applyFill="1"/>
    <xf numFmtId="0" fontId="32" fillId="4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16" fillId="4" borderId="0" xfId="24" applyFont="1" applyFill="1" applyBorder="1" applyAlignment="1" applyProtection="1">
      <alignment vertical="top" wrapText="1"/>
      <protection locked="0"/>
    </xf>
    <xf numFmtId="0" fontId="2" fillId="4" borderId="0" xfId="25" applyFill="1"/>
    <xf numFmtId="0" fontId="2" fillId="4" borderId="0" xfId="25" applyFill="1" applyProtection="1"/>
    <xf numFmtId="0" fontId="2" fillId="4" borderId="0" xfId="25" applyFill="1" applyProtection="1">
      <protection hidden="1"/>
    </xf>
    <xf numFmtId="0" fontId="0" fillId="4" borderId="0" xfId="0" applyFill="1"/>
    <xf numFmtId="0" fontId="2" fillId="4" borderId="0" xfId="25" applyFill="1" applyBorder="1"/>
    <xf numFmtId="0" fontId="2" fillId="4" borderId="0" xfId="25" applyFont="1" applyFill="1" applyProtection="1"/>
    <xf numFmtId="0" fontId="2" fillId="4" borderId="0" xfId="25" applyFont="1" applyFill="1"/>
    <xf numFmtId="0" fontId="2" fillId="4" borderId="36" xfId="25" applyFill="1" applyBorder="1"/>
    <xf numFmtId="0" fontId="2" fillId="4" borderId="37" xfId="25" applyFill="1" applyBorder="1"/>
    <xf numFmtId="0" fontId="2" fillId="4" borderId="18" xfId="25" applyFont="1" applyFill="1" applyBorder="1" applyProtection="1">
      <protection locked="0"/>
    </xf>
    <xf numFmtId="0" fontId="2" fillId="4" borderId="0" xfId="25" applyFill="1" applyProtection="1">
      <protection locked="0" hidden="1"/>
    </xf>
    <xf numFmtId="0" fontId="33" fillId="4" borderId="0" xfId="25" applyFont="1" applyFill="1" applyProtection="1">
      <protection hidden="1"/>
    </xf>
    <xf numFmtId="0" fontId="2" fillId="4" borderId="18" xfId="25" applyFill="1" applyBorder="1" applyProtection="1">
      <protection locked="0" hidden="1"/>
    </xf>
    <xf numFmtId="0" fontId="2" fillId="4" borderId="0" xfId="25" applyFill="1" applyBorder="1" applyProtection="1">
      <protection locked="0" hidden="1"/>
    </xf>
    <xf numFmtId="3" fontId="2" fillId="4" borderId="0" xfId="25" applyNumberFormat="1" applyFont="1" applyFill="1" applyProtection="1">
      <protection locked="0" hidden="1"/>
    </xf>
    <xf numFmtId="1" fontId="33" fillId="4" borderId="0" xfId="25" applyNumberFormat="1" applyFont="1" applyFill="1" applyProtection="1">
      <protection hidden="1"/>
    </xf>
    <xf numFmtId="165" fontId="33" fillId="4" borderId="0" xfId="25" applyNumberFormat="1" applyFont="1" applyFill="1" applyProtection="1">
      <protection hidden="1"/>
    </xf>
    <xf numFmtId="165" fontId="2" fillId="4" borderId="13" xfId="25" applyNumberFormat="1" applyFill="1" applyBorder="1" applyAlignment="1" applyProtection="1">
      <alignment vertical="center"/>
      <protection locked="0" hidden="1"/>
    </xf>
    <xf numFmtId="49" fontId="24" fillId="4" borderId="13" xfId="53" applyNumberFormat="1" applyFont="1" applyFill="1" applyBorder="1" applyAlignment="1" applyProtection="1">
      <alignment horizontal="right" vertical="center"/>
      <protection locked="0"/>
    </xf>
    <xf numFmtId="49" fontId="24" fillId="4" borderId="14" xfId="53" applyNumberFormat="1" applyFont="1" applyFill="1" applyBorder="1" applyAlignment="1" applyProtection="1">
      <alignment horizontal="right" vertical="center"/>
      <protection locked="0"/>
    </xf>
    <xf numFmtId="165" fontId="2" fillId="4" borderId="14" xfId="25" applyNumberFormat="1" applyFill="1" applyBorder="1" applyAlignment="1" applyProtection="1">
      <alignment vertical="center"/>
      <protection locked="0" hidden="1"/>
    </xf>
    <xf numFmtId="0" fontId="8" fillId="4" borderId="38" xfId="0" applyFont="1" applyFill="1" applyBorder="1"/>
    <xf numFmtId="0" fontId="16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>
      <alignment vertical="center" wrapText="1"/>
    </xf>
    <xf numFmtId="0" fontId="30" fillId="4" borderId="0" xfId="0" applyFont="1" applyFill="1" applyBorder="1" applyAlignment="1" applyProtection="1">
      <alignment horizontal="left"/>
      <protection locked="0"/>
    </xf>
    <xf numFmtId="0" fontId="31" fillId="4" borderId="0" xfId="0" applyFont="1" applyFill="1" applyBorder="1" applyAlignment="1" applyProtection="1">
      <alignment horizontal="left"/>
      <protection locked="0"/>
    </xf>
    <xf numFmtId="0" fontId="2" fillId="4" borderId="4" xfId="25" applyFill="1" applyBorder="1"/>
    <xf numFmtId="0" fontId="34" fillId="4" borderId="4" xfId="24" applyNumberFormat="1" applyFont="1" applyFill="1" applyBorder="1" applyAlignment="1" applyProtection="1">
      <alignment vertical="center" wrapText="1"/>
      <protection locked="0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1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0" xfId="25" applyNumberFormat="1" applyFill="1" applyBorder="1" applyAlignment="1" applyProtection="1">
      <alignment vertical="center"/>
      <protection locked="0" hidden="1"/>
    </xf>
    <xf numFmtId="0" fontId="33" fillId="4" borderId="0" xfId="25" applyFont="1" applyFill="1" applyProtection="1"/>
    <xf numFmtId="0" fontId="33" fillId="4" borderId="0" xfId="25" applyFont="1" applyFill="1"/>
    <xf numFmtId="0" fontId="35" fillId="4" borderId="0" xfId="0" applyFont="1" applyFill="1"/>
    <xf numFmtId="0" fontId="37" fillId="5" borderId="42" xfId="24" applyNumberFormat="1" applyFont="1" applyFill="1" applyBorder="1" applyAlignment="1" applyProtection="1">
      <alignment horizontal="center" vertical="center" wrapText="1"/>
      <protection locked="0"/>
    </xf>
    <xf numFmtId="0" fontId="37" fillId="4" borderId="0" xfId="25" applyFont="1" applyFill="1" applyBorder="1" applyAlignment="1" applyProtection="1">
      <alignment horizontal="center"/>
      <protection locked="0" hidden="1"/>
    </xf>
    <xf numFmtId="0" fontId="11" fillId="0" borderId="0" xfId="0" applyFont="1" applyAlignment="1">
      <alignment vertical="center"/>
    </xf>
    <xf numFmtId="0" fontId="3" fillId="3" borderId="0" xfId="24" applyFont="1" applyFill="1" applyBorder="1" applyAlignment="1" applyProtection="1">
      <alignment vertical="center" wrapText="1"/>
      <protection locked="0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4" borderId="0" xfId="0" applyFont="1" applyFill="1" applyAlignment="1">
      <alignment horizontal="left"/>
    </xf>
    <xf numFmtId="0" fontId="31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  <xf numFmtId="0" fontId="11" fillId="4" borderId="1" xfId="0" applyFont="1" applyFill="1" applyBorder="1" applyAlignment="1" applyProtection="1">
      <alignment horizontal="left" vertical="center"/>
      <protection locked="0"/>
    </xf>
    <xf numFmtId="0" fontId="11" fillId="4" borderId="15" xfId="0" applyFont="1" applyFill="1" applyBorder="1" applyAlignment="1" applyProtection="1">
      <alignment horizontal="left" vertical="center"/>
      <protection locked="0"/>
    </xf>
    <xf numFmtId="0" fontId="11" fillId="4" borderId="17" xfId="0" applyFont="1" applyFill="1" applyBorder="1" applyAlignment="1" applyProtection="1">
      <alignment horizontal="left" vertical="center"/>
      <protection locked="0"/>
    </xf>
    <xf numFmtId="0" fontId="13" fillId="3" borderId="0" xfId="24" applyFont="1" applyFill="1" applyBorder="1" applyAlignment="1" applyProtection="1">
      <alignment horizontal="left" vertical="center" wrapText="1"/>
      <protection locked="0"/>
    </xf>
    <xf numFmtId="0" fontId="13" fillId="3" borderId="4" xfId="24" applyFont="1" applyFill="1" applyBorder="1" applyAlignment="1" applyProtection="1">
      <alignment horizontal="left" vertical="center" wrapText="1"/>
      <protection locked="0"/>
    </xf>
    <xf numFmtId="0" fontId="16" fillId="4" borderId="0" xfId="24" applyFont="1" applyFill="1" applyBorder="1" applyAlignment="1" applyProtection="1">
      <alignment horizontal="left" vertical="center" wrapText="1"/>
      <protection locked="0"/>
    </xf>
    <xf numFmtId="0" fontId="16" fillId="4" borderId="4" xfId="24" applyFont="1" applyFill="1" applyBorder="1" applyAlignment="1" applyProtection="1">
      <alignment horizontal="left" vertical="center" wrapText="1"/>
      <protection locked="0"/>
    </xf>
    <xf numFmtId="0" fontId="16" fillId="4" borderId="39" xfId="24" applyFont="1" applyFill="1" applyBorder="1" applyAlignment="1" applyProtection="1">
      <alignment horizontal="left" vertical="center" wrapText="1"/>
      <protection locked="0"/>
    </xf>
    <xf numFmtId="0" fontId="16" fillId="4" borderId="16" xfId="24" applyFont="1" applyFill="1" applyBorder="1" applyAlignment="1" applyProtection="1">
      <alignment horizontal="left" vertical="center" wrapText="1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BB8091"/>
      <color rgb="FF001D77"/>
      <color rgb="FF99A4C8"/>
      <color rgb="FFCCD1E3"/>
      <color rgb="FFD1AAB5"/>
      <color rgb="FF001D6E"/>
      <color rgb="FF6677AD"/>
      <color rgb="FFFFCDCC"/>
      <color rgb="FF334A92"/>
      <color rgb="FF66C2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</c:v>
                </c:pt>
                <c:pt idx="1">
                  <c:v>-9999999</c:v>
                </c:pt>
                <c:pt idx="2">
                  <c:v>-9999999</c:v>
                </c:pt>
                <c:pt idx="3">
                  <c:v>-9999999</c:v>
                </c:pt>
                <c:pt idx="4">
                  <c:v>-9999999</c:v>
                </c:pt>
                <c:pt idx="5">
                  <c:v>-9999999</c:v>
                </c:pt>
                <c:pt idx="6">
                  <c:v>-9999999</c:v>
                </c:pt>
                <c:pt idx="7">
                  <c:v>-9999999</c:v>
                </c:pt>
                <c:pt idx="8">
                  <c:v>-9999999</c:v>
                </c:pt>
                <c:pt idx="9">
                  <c:v>-9999999</c:v>
                </c:pt>
                <c:pt idx="10">
                  <c:v>-9999999</c:v>
                </c:pt>
                <c:pt idx="11">
                  <c:v>-9999999</c:v>
                </c:pt>
                <c:pt idx="12">
                  <c:v>-9999999</c:v>
                </c:pt>
                <c:pt idx="13">
                  <c:v>-9999999</c:v>
                </c:pt>
                <c:pt idx="14">
                  <c:v>-9999999</c:v>
                </c:pt>
                <c:pt idx="15">
                  <c:v>-9999999</c:v>
                </c:pt>
                <c:pt idx="16">
                  <c:v>-9999999</c:v>
                </c:pt>
                <c:pt idx="17">
                  <c:v>-9999999</c:v>
                </c:pt>
                <c:pt idx="18">
                  <c:v>-9999999</c:v>
                </c:pt>
                <c:pt idx="19">
                  <c:v>-9999999</c:v>
                </c:pt>
                <c:pt idx="20">
                  <c:v>-9999999</c:v>
                </c:pt>
                <c:pt idx="21">
                  <c:v>-9999999</c:v>
                </c:pt>
                <c:pt idx="22">
                  <c:v>-9999999</c:v>
                </c:pt>
                <c:pt idx="23">
                  <c:v>-9999999</c:v>
                </c:pt>
                <c:pt idx="24">
                  <c:v>-9999999</c:v>
                </c:pt>
                <c:pt idx="25">
                  <c:v>-9999999</c:v>
                </c:pt>
                <c:pt idx="26">
                  <c:v>-9999999</c:v>
                </c:pt>
                <c:pt idx="27">
                  <c:v>-9999999</c:v>
                </c:pt>
                <c:pt idx="28">
                  <c:v>-9999999</c:v>
                </c:pt>
                <c:pt idx="29">
                  <c:v>-9999999</c:v>
                </c:pt>
                <c:pt idx="30">
                  <c:v>-9999999</c:v>
                </c:pt>
                <c:pt idx="31">
                  <c:v>-9999999</c:v>
                </c:pt>
                <c:pt idx="32">
                  <c:v>-9999999</c:v>
                </c:pt>
                <c:pt idx="33">
                  <c:v>-9999999</c:v>
                </c:pt>
                <c:pt idx="34">
                  <c:v>-9999999</c:v>
                </c:pt>
                <c:pt idx="35">
                  <c:v>-9999999</c:v>
                </c:pt>
                <c:pt idx="36">
                  <c:v>-9999999</c:v>
                </c:pt>
                <c:pt idx="37">
                  <c:v>-9999999</c:v>
                </c:pt>
                <c:pt idx="38">
                  <c:v>-9999999</c:v>
                </c:pt>
                <c:pt idx="39">
                  <c:v>-9999999</c:v>
                </c:pt>
                <c:pt idx="40">
                  <c:v>-9999999</c:v>
                </c:pt>
                <c:pt idx="41">
                  <c:v>-9999999</c:v>
                </c:pt>
                <c:pt idx="42">
                  <c:v>-9999999</c:v>
                </c:pt>
                <c:pt idx="43">
                  <c:v>-9999999</c:v>
                </c:pt>
                <c:pt idx="44">
                  <c:v>-9999999</c:v>
                </c:pt>
                <c:pt idx="45">
                  <c:v>-9999999</c:v>
                </c:pt>
                <c:pt idx="46">
                  <c:v>-9999999</c:v>
                </c:pt>
                <c:pt idx="47">
                  <c:v>-9999999</c:v>
                </c:pt>
                <c:pt idx="48">
                  <c:v>-9999999</c:v>
                </c:pt>
                <c:pt idx="49">
                  <c:v>-9999999</c:v>
                </c:pt>
                <c:pt idx="50">
                  <c:v>-9999999</c:v>
                </c:pt>
                <c:pt idx="51">
                  <c:v>-9999999</c:v>
                </c:pt>
                <c:pt idx="52">
                  <c:v>-9999999</c:v>
                </c:pt>
                <c:pt idx="53">
                  <c:v>-9999999</c:v>
                </c:pt>
                <c:pt idx="54">
                  <c:v>-9999999</c:v>
                </c:pt>
                <c:pt idx="55">
                  <c:v>-9999999</c:v>
                </c:pt>
                <c:pt idx="56">
                  <c:v>-9999999</c:v>
                </c:pt>
                <c:pt idx="57">
                  <c:v>-9999999</c:v>
                </c:pt>
                <c:pt idx="58">
                  <c:v>-9999999</c:v>
                </c:pt>
                <c:pt idx="59">
                  <c:v>-9999999</c:v>
                </c:pt>
                <c:pt idx="60">
                  <c:v>-9999999</c:v>
                </c:pt>
                <c:pt idx="61">
                  <c:v>-9999999</c:v>
                </c:pt>
                <c:pt idx="62">
                  <c:v>-9999999</c:v>
                </c:pt>
                <c:pt idx="63">
                  <c:v>-9999999</c:v>
                </c:pt>
                <c:pt idx="64">
                  <c:v>-9999999</c:v>
                </c:pt>
                <c:pt idx="65">
                  <c:v>-9999999</c:v>
                </c:pt>
                <c:pt idx="66">
                  <c:v>-9999999</c:v>
                </c:pt>
                <c:pt idx="67">
                  <c:v>-9999999</c:v>
                </c:pt>
                <c:pt idx="68">
                  <c:v>-9999999</c:v>
                </c:pt>
                <c:pt idx="69">
                  <c:v>-9999999</c:v>
                </c:pt>
                <c:pt idx="70">
                  <c:v>-9999999</c:v>
                </c:pt>
                <c:pt idx="71">
                  <c:v>-9999999</c:v>
                </c:pt>
                <c:pt idx="72">
                  <c:v>-9999999</c:v>
                </c:pt>
                <c:pt idx="73">
                  <c:v>-9999999</c:v>
                </c:pt>
                <c:pt idx="74">
                  <c:v>-9999999</c:v>
                </c:pt>
                <c:pt idx="75">
                  <c:v>-9999999</c:v>
                </c:pt>
                <c:pt idx="76">
                  <c:v>-9999999</c:v>
                </c:pt>
                <c:pt idx="77">
                  <c:v>-9999999</c:v>
                </c:pt>
                <c:pt idx="78">
                  <c:v>-9999999</c:v>
                </c:pt>
                <c:pt idx="79">
                  <c:v>-9999999</c:v>
                </c:pt>
                <c:pt idx="80">
                  <c:v>-9999999</c:v>
                </c:pt>
                <c:pt idx="81">
                  <c:v>-9999999</c:v>
                </c:pt>
                <c:pt idx="82">
                  <c:v>-9999999</c:v>
                </c:pt>
                <c:pt idx="83">
                  <c:v>-9999999</c:v>
                </c:pt>
                <c:pt idx="84">
                  <c:v>-9999999</c:v>
                </c:pt>
                <c:pt idx="85">
                  <c:v>-9999999</c:v>
                </c:pt>
                <c:pt idx="86">
                  <c:v>-9999999</c:v>
                </c:pt>
                <c:pt idx="87">
                  <c:v>-9999999</c:v>
                </c:pt>
                <c:pt idx="88">
                  <c:v>-9999999</c:v>
                </c:pt>
                <c:pt idx="89">
                  <c:v>-9999999</c:v>
                </c:pt>
                <c:pt idx="90">
                  <c:v>-9999999</c:v>
                </c:pt>
                <c:pt idx="91">
                  <c:v>-9999999</c:v>
                </c:pt>
                <c:pt idx="92">
                  <c:v>-9999999</c:v>
                </c:pt>
                <c:pt idx="93">
                  <c:v>-9999999</c:v>
                </c:pt>
                <c:pt idx="94">
                  <c:v>-9999999</c:v>
                </c:pt>
                <c:pt idx="95">
                  <c:v>-9999999</c:v>
                </c:pt>
                <c:pt idx="96">
                  <c:v>-9999999</c:v>
                </c:pt>
                <c:pt idx="97">
                  <c:v>-9999999</c:v>
                </c:pt>
                <c:pt idx="98">
                  <c:v>-9999999</c:v>
                </c:pt>
                <c:pt idx="99">
                  <c:v>-9999999</c:v>
                </c:pt>
                <c:pt idx="100">
                  <c:v>-9999999</c:v>
                </c:pt>
                <c:pt idx="101">
                  <c:v>-9999999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</c:v>
                </c:pt>
                <c:pt idx="1">
                  <c:v>9999999</c:v>
                </c:pt>
                <c:pt idx="2">
                  <c:v>9999999</c:v>
                </c:pt>
                <c:pt idx="3">
                  <c:v>9999999</c:v>
                </c:pt>
                <c:pt idx="4">
                  <c:v>9999999</c:v>
                </c:pt>
                <c:pt idx="5">
                  <c:v>9999999</c:v>
                </c:pt>
                <c:pt idx="6">
                  <c:v>9999999</c:v>
                </c:pt>
                <c:pt idx="7">
                  <c:v>9999999</c:v>
                </c:pt>
                <c:pt idx="8">
                  <c:v>9999999</c:v>
                </c:pt>
                <c:pt idx="9">
                  <c:v>9999999</c:v>
                </c:pt>
                <c:pt idx="10">
                  <c:v>9999999</c:v>
                </c:pt>
                <c:pt idx="11">
                  <c:v>9999999</c:v>
                </c:pt>
                <c:pt idx="12">
                  <c:v>9999999</c:v>
                </c:pt>
                <c:pt idx="13">
                  <c:v>9999999</c:v>
                </c:pt>
                <c:pt idx="14">
                  <c:v>9999999</c:v>
                </c:pt>
                <c:pt idx="15">
                  <c:v>9999999</c:v>
                </c:pt>
                <c:pt idx="16">
                  <c:v>9999999</c:v>
                </c:pt>
                <c:pt idx="17">
                  <c:v>9999999</c:v>
                </c:pt>
                <c:pt idx="18">
                  <c:v>9999999</c:v>
                </c:pt>
                <c:pt idx="19">
                  <c:v>9999999</c:v>
                </c:pt>
                <c:pt idx="20">
                  <c:v>9999999</c:v>
                </c:pt>
                <c:pt idx="21">
                  <c:v>9999999</c:v>
                </c:pt>
                <c:pt idx="22">
                  <c:v>9999999</c:v>
                </c:pt>
                <c:pt idx="23">
                  <c:v>9999999</c:v>
                </c:pt>
                <c:pt idx="24">
                  <c:v>9999999</c:v>
                </c:pt>
                <c:pt idx="25">
                  <c:v>9999999</c:v>
                </c:pt>
                <c:pt idx="26">
                  <c:v>9999999</c:v>
                </c:pt>
                <c:pt idx="27">
                  <c:v>9999999</c:v>
                </c:pt>
                <c:pt idx="28">
                  <c:v>9999999</c:v>
                </c:pt>
                <c:pt idx="29">
                  <c:v>9999999</c:v>
                </c:pt>
                <c:pt idx="30">
                  <c:v>9999999</c:v>
                </c:pt>
                <c:pt idx="31">
                  <c:v>9999999</c:v>
                </c:pt>
                <c:pt idx="32">
                  <c:v>9999999</c:v>
                </c:pt>
                <c:pt idx="33">
                  <c:v>9999999</c:v>
                </c:pt>
                <c:pt idx="34">
                  <c:v>9999999</c:v>
                </c:pt>
                <c:pt idx="35">
                  <c:v>9999999</c:v>
                </c:pt>
                <c:pt idx="36">
                  <c:v>9999999</c:v>
                </c:pt>
                <c:pt idx="37">
                  <c:v>9999999</c:v>
                </c:pt>
                <c:pt idx="38">
                  <c:v>9999999</c:v>
                </c:pt>
                <c:pt idx="39">
                  <c:v>9999999</c:v>
                </c:pt>
                <c:pt idx="40">
                  <c:v>9999999</c:v>
                </c:pt>
                <c:pt idx="41">
                  <c:v>9999999</c:v>
                </c:pt>
                <c:pt idx="42">
                  <c:v>9999999</c:v>
                </c:pt>
                <c:pt idx="43">
                  <c:v>9999999</c:v>
                </c:pt>
                <c:pt idx="44">
                  <c:v>9999999</c:v>
                </c:pt>
                <c:pt idx="45">
                  <c:v>9999999</c:v>
                </c:pt>
                <c:pt idx="46">
                  <c:v>9999999</c:v>
                </c:pt>
                <c:pt idx="47">
                  <c:v>9999999</c:v>
                </c:pt>
                <c:pt idx="48">
                  <c:v>9999999</c:v>
                </c:pt>
                <c:pt idx="49">
                  <c:v>9999999</c:v>
                </c:pt>
                <c:pt idx="50">
                  <c:v>9999999</c:v>
                </c:pt>
                <c:pt idx="51">
                  <c:v>9999999</c:v>
                </c:pt>
                <c:pt idx="52">
                  <c:v>9999999</c:v>
                </c:pt>
                <c:pt idx="53">
                  <c:v>9999999</c:v>
                </c:pt>
                <c:pt idx="54">
                  <c:v>9999999</c:v>
                </c:pt>
                <c:pt idx="55">
                  <c:v>9999999</c:v>
                </c:pt>
                <c:pt idx="56">
                  <c:v>9999999</c:v>
                </c:pt>
                <c:pt idx="57">
                  <c:v>9999999</c:v>
                </c:pt>
                <c:pt idx="58">
                  <c:v>9999999</c:v>
                </c:pt>
                <c:pt idx="59">
                  <c:v>9999999</c:v>
                </c:pt>
                <c:pt idx="60">
                  <c:v>9999999</c:v>
                </c:pt>
                <c:pt idx="61">
                  <c:v>9999999</c:v>
                </c:pt>
                <c:pt idx="62">
                  <c:v>9999999</c:v>
                </c:pt>
                <c:pt idx="63">
                  <c:v>9999999</c:v>
                </c:pt>
                <c:pt idx="64">
                  <c:v>9999999</c:v>
                </c:pt>
                <c:pt idx="65">
                  <c:v>9999999</c:v>
                </c:pt>
                <c:pt idx="66">
                  <c:v>9999999</c:v>
                </c:pt>
                <c:pt idx="67">
                  <c:v>9999999</c:v>
                </c:pt>
                <c:pt idx="68">
                  <c:v>9999999</c:v>
                </c:pt>
                <c:pt idx="69">
                  <c:v>9999999</c:v>
                </c:pt>
                <c:pt idx="70">
                  <c:v>9999999</c:v>
                </c:pt>
                <c:pt idx="71">
                  <c:v>9999999</c:v>
                </c:pt>
                <c:pt idx="72">
                  <c:v>9999999</c:v>
                </c:pt>
                <c:pt idx="73">
                  <c:v>9999999</c:v>
                </c:pt>
                <c:pt idx="74">
                  <c:v>9999999</c:v>
                </c:pt>
                <c:pt idx="75">
                  <c:v>9999999</c:v>
                </c:pt>
                <c:pt idx="76">
                  <c:v>9999999</c:v>
                </c:pt>
                <c:pt idx="77">
                  <c:v>9999999</c:v>
                </c:pt>
                <c:pt idx="78">
                  <c:v>9999999</c:v>
                </c:pt>
                <c:pt idx="79">
                  <c:v>9999999</c:v>
                </c:pt>
                <c:pt idx="80">
                  <c:v>9999999</c:v>
                </c:pt>
                <c:pt idx="81">
                  <c:v>9999999</c:v>
                </c:pt>
                <c:pt idx="82">
                  <c:v>9999999</c:v>
                </c:pt>
                <c:pt idx="83">
                  <c:v>9999999</c:v>
                </c:pt>
                <c:pt idx="84">
                  <c:v>9999999</c:v>
                </c:pt>
                <c:pt idx="85">
                  <c:v>9999999</c:v>
                </c:pt>
                <c:pt idx="86">
                  <c:v>9999999</c:v>
                </c:pt>
                <c:pt idx="87">
                  <c:v>9999999</c:v>
                </c:pt>
                <c:pt idx="88">
                  <c:v>9999999</c:v>
                </c:pt>
                <c:pt idx="89">
                  <c:v>9999999</c:v>
                </c:pt>
                <c:pt idx="90">
                  <c:v>9999999</c:v>
                </c:pt>
                <c:pt idx="91">
                  <c:v>9999999</c:v>
                </c:pt>
                <c:pt idx="92">
                  <c:v>9999999</c:v>
                </c:pt>
                <c:pt idx="93">
                  <c:v>9999999</c:v>
                </c:pt>
                <c:pt idx="94">
                  <c:v>9999999</c:v>
                </c:pt>
                <c:pt idx="95">
                  <c:v>9999999</c:v>
                </c:pt>
                <c:pt idx="96">
                  <c:v>9999999</c:v>
                </c:pt>
                <c:pt idx="97">
                  <c:v>9999999</c:v>
                </c:pt>
                <c:pt idx="98">
                  <c:v>9999999</c:v>
                </c:pt>
                <c:pt idx="99">
                  <c:v>9999999</c:v>
                </c:pt>
                <c:pt idx="100">
                  <c:v>9999999</c:v>
                </c:pt>
                <c:pt idx="101">
                  <c:v>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1536"/>
        <c:axId val="1500396976"/>
      </c:barChart>
      <c:catAx>
        <c:axId val="1500391536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697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0.78006</cdr:x>
      <cdr:y>0.13336</cdr:y>
    </cdr:from>
    <cdr:to>
      <cdr:x>0.97386</cdr:x>
      <cdr:y>0.22256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15616" y="66004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0.23551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6925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FFCDCC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3.9" customHeight="1" x14ac:dyDescent="0.2">
      <c r="A1" s="7" t="s">
        <v>38</v>
      </c>
    </row>
    <row r="2" spans="1:18" ht="18" customHeight="1" x14ac:dyDescent="0.25">
      <c r="B2" s="67" t="s">
        <v>69</v>
      </c>
    </row>
    <row r="3" spans="1:18" ht="13.9" customHeight="1" x14ac:dyDescent="0.2">
      <c r="B3" s="72" t="s">
        <v>70</v>
      </c>
    </row>
    <row r="4" spans="1:18" ht="13.9" customHeight="1" x14ac:dyDescent="0.2">
      <c r="B4" s="72"/>
    </row>
    <row r="5" spans="1:18" ht="13.9" customHeight="1" x14ac:dyDescent="0.2">
      <c r="B5" s="7" t="s">
        <v>84</v>
      </c>
    </row>
    <row r="6" spans="1:18" ht="13.9" customHeight="1" x14ac:dyDescent="0.2">
      <c r="B6" s="73" t="s">
        <v>85</v>
      </c>
    </row>
    <row r="7" spans="1:18" ht="13.9" customHeight="1" x14ac:dyDescent="0.3">
      <c r="B7" s="68"/>
    </row>
    <row r="8" spans="1:18" ht="13.9" customHeight="1" x14ac:dyDescent="0.25">
      <c r="B8" s="71" t="s">
        <v>71</v>
      </c>
    </row>
    <row r="9" spans="1:18" ht="13.9" customHeight="1" x14ac:dyDescent="0.2">
      <c r="B9" s="73" t="s">
        <v>72</v>
      </c>
    </row>
    <row r="10" spans="1:18" ht="13.9" customHeight="1" thickBot="1" x14ac:dyDescent="0.25">
      <c r="B10" s="69"/>
    </row>
    <row r="11" spans="1:18" ht="13.9" customHeight="1" thickTop="1" x14ac:dyDescent="0.2"/>
    <row r="12" spans="1:18" ht="13.9" customHeight="1" x14ac:dyDescent="0.25">
      <c r="B12" s="7" t="s">
        <v>73</v>
      </c>
      <c r="C12" s="70"/>
      <c r="D12" s="126" t="s">
        <v>42</v>
      </c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1:18" ht="13.9" customHeight="1" x14ac:dyDescent="0.2">
      <c r="C13" s="70"/>
      <c r="D13" s="127" t="s">
        <v>43</v>
      </c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</row>
    <row r="14" spans="1:18" ht="13.9" customHeight="1" x14ac:dyDescent="0.2">
      <c r="C14" s="70"/>
    </row>
    <row r="15" spans="1:18" ht="13.9" customHeight="1" x14ac:dyDescent="0.25">
      <c r="B15" s="7" t="s">
        <v>74</v>
      </c>
      <c r="C15" s="70"/>
      <c r="D15" s="126" t="s">
        <v>87</v>
      </c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</row>
    <row r="16" spans="1:18" ht="13.9" customHeight="1" x14ac:dyDescent="0.2">
      <c r="C16" s="70"/>
      <c r="D16" s="127" t="s">
        <v>68</v>
      </c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</row>
    <row r="17" spans="2:18" ht="13.9" customHeight="1" x14ac:dyDescent="0.2">
      <c r="C17" s="70"/>
    </row>
    <row r="18" spans="2:18" ht="13.9" customHeight="1" x14ac:dyDescent="0.25">
      <c r="B18" s="7" t="s">
        <v>75</v>
      </c>
      <c r="C18" s="70"/>
      <c r="D18" s="126" t="s">
        <v>77</v>
      </c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</row>
    <row r="19" spans="2:18" ht="13.9" customHeight="1" x14ac:dyDescent="0.2">
      <c r="C19" s="70"/>
      <c r="D19" s="127" t="s">
        <v>67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</row>
    <row r="20" spans="2:18" ht="13.9" customHeight="1" x14ac:dyDescent="0.2">
      <c r="C20" s="70"/>
    </row>
    <row r="21" spans="2:18" ht="13.9" customHeight="1" x14ac:dyDescent="0.25">
      <c r="B21" s="7" t="s">
        <v>76</v>
      </c>
      <c r="C21" s="70"/>
      <c r="D21" s="126" t="s">
        <v>54</v>
      </c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</row>
    <row r="22" spans="2:18" ht="13.9" customHeight="1" x14ac:dyDescent="0.2">
      <c r="C22" s="70"/>
      <c r="D22" s="127" t="s">
        <v>56</v>
      </c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</row>
    <row r="23" spans="2:18" ht="13.9" customHeight="1" x14ac:dyDescent="0.2">
      <c r="B23" s="106"/>
      <c r="K23" s="7" t="s">
        <v>38</v>
      </c>
    </row>
    <row r="24" spans="2:18" ht="13.9" customHeight="1" x14ac:dyDescent="0.25">
      <c r="B24" s="7" t="s">
        <v>92</v>
      </c>
      <c r="C24" s="70"/>
      <c r="D24" s="126" t="s">
        <v>93</v>
      </c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</row>
    <row r="25" spans="2:18" ht="13.9" customHeight="1" x14ac:dyDescent="0.2">
      <c r="B25" s="73" t="s">
        <v>95</v>
      </c>
      <c r="C25" s="70"/>
      <c r="D25" s="127" t="s">
        <v>94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B25" location="' Wykres 1 Chart 1'!A1" display="CHART 1"/>
    <hyperlink ref="D25:R25" location="' Wykres 1 Chart 1'!A1" display="POPULATION PYRAMID"/>
    <hyperlink ref="D24:R24" location="' Wykres 1 Chart 1'!A1" display="PIRAMIDA LUDNOŚCI"/>
    <hyperlink ref="B24" location="' Wykres 1 Chart 1'!A1" display="WYKRES 1."/>
    <hyperlink ref="B24:B25" location="'Wykres 1'!A1" display="WYKRES 1."/>
    <hyperlink ref="D24:R25" location="'Wykres 1'!A1" display="PIRAMIDA LUDNOŚCI"/>
    <hyperlink ref="B21" location="'Tabl. 4'!A1" display="TABL. 4."/>
    <hyperlink ref="D22" location="'Tabl. 4'!A1" display="VITAL STATISTICS"/>
    <hyperlink ref="D21" location="'Tabl. 4'!A1" display="RUCH NATURALNY I MIGRACYJNY LUDNOŚCI"/>
    <hyperlink ref="B18" location="'Tabl. 3'!A1" display="TABL. 3."/>
    <hyperlink ref="D19" location="'Tabl. 3'!A1" display="POPULATION BY SEX AND SELECTED GROUPS OF AGE"/>
    <hyperlink ref="D18" location="'Tabl. 3'!A1" display="LUDNOŚĆ WEDŁUG PŁCI I WYBRANYCH GRUP WIEKU"/>
    <hyperlink ref="B15" location="'Tabl. 2'!A1" display="TABL. 2."/>
    <hyperlink ref="D16" location="'Tabl. 2'!A1" display="POPULATION BY SEX AND 5-YEAR AGE GROUPS"/>
    <hyperlink ref="D15" location="'Tabl. 2'!A1" display="LUDNOŚĆ WEDŁUG PŁCI I PIECIOLETNICH GRUP WIEKU"/>
    <hyperlink ref="B12" location="'Tabl. 1'!A1" display="TABL. 1."/>
    <hyperlink ref="D13" location="'Tabl. 1'!A1" display="POPULATION BY SEX AND SINGLE YEAR OF AGE"/>
    <hyperlink ref="D12" location="'Tabl. 1'!A1" display="LUDNOŚĆ WEDŁUG PŁCI I POJEDYNCZYCH ROCZNIKÓW WIEKU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FF6966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9" customFormat="1" ht="22.9" customHeight="1" x14ac:dyDescent="0.2">
      <c r="A1" s="75"/>
      <c r="B1" s="75"/>
      <c r="C1" s="76" t="s">
        <v>44</v>
      </c>
      <c r="D1" s="77"/>
      <c r="E1" s="77"/>
      <c r="F1" s="77"/>
      <c r="G1" s="77"/>
      <c r="H1" s="77"/>
      <c r="I1" s="77"/>
      <c r="J1" s="77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80"/>
    </row>
    <row r="2" spans="1:41" ht="12" customHeight="1" x14ac:dyDescent="0.2">
      <c r="A2" s="130" t="s">
        <v>82</v>
      </c>
      <c r="B2" s="130"/>
      <c r="D2" s="33" t="s">
        <v>40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131" t="s">
        <v>83</v>
      </c>
      <c r="B3" s="131"/>
      <c r="D3" s="29" t="s">
        <v>43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41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 t="s">
        <v>38</v>
      </c>
      <c r="D5" s="33" t="s">
        <v>49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105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0" t="s">
        <v>46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8" t="s">
        <v>47</v>
      </c>
      <c r="B8" s="14" t="s">
        <v>48</v>
      </c>
      <c r="C8" s="15" t="n">
        <v>2378483.0</v>
      </c>
      <c r="D8" s="15" t="n">
        <v>2363356.0</v>
      </c>
      <c r="E8" s="15" t="n">
        <v>2347438.0</v>
      </c>
      <c r="F8" s="15" t="n">
        <v>2330898.0</v>
      </c>
      <c r="G8" s="15" t="n">
        <v>2313795.0</v>
      </c>
      <c r="H8" s="15" t="n">
        <v>2298615.0</v>
      </c>
      <c r="I8" s="15" t="n">
        <v>2283741.0</v>
      </c>
      <c r="J8" s="15" t="n">
        <v>2266478.0</v>
      </c>
      <c r="K8" s="15" t="n">
        <v>2247746.0</v>
      </c>
      <c r="L8" s="15" t="n">
        <v>2228128.0</v>
      </c>
      <c r="M8" s="15" t="n">
        <v>2207756.0</v>
      </c>
      <c r="N8" s="15" t="n">
        <v>2186700.0</v>
      </c>
      <c r="O8" s="15" t="n">
        <v>2165236.0</v>
      </c>
      <c r="P8" s="15" t="n">
        <v>2143187.0</v>
      </c>
      <c r="Q8" s="15" t="n">
        <v>2120911.0</v>
      </c>
      <c r="R8" s="15" t="n">
        <v>2098155.0</v>
      </c>
      <c r="S8" s="15" t="n">
        <v>2075160.0</v>
      </c>
      <c r="T8" s="15" t="n">
        <v>2051816.0</v>
      </c>
      <c r="U8" s="15" t="n">
        <v>2028441.0</v>
      </c>
      <c r="V8" s="15" t="n">
        <v>2004913.0</v>
      </c>
      <c r="W8" s="15" t="n">
        <v>1981309.0</v>
      </c>
      <c r="X8" s="15" t="n">
        <v>1957641.0</v>
      </c>
      <c r="Y8" s="15" t="n">
        <v>1933968.0</v>
      </c>
      <c r="Z8" s="15" t="n">
        <v>1910143.0</v>
      </c>
      <c r="AA8" s="15" t="n">
        <v>1886355.0</v>
      </c>
      <c r="AB8" s="15" t="n">
        <v>1862667.0</v>
      </c>
      <c r="AC8" s="15" t="n">
        <v>1839021.0</v>
      </c>
      <c r="AD8" s="15" t="n">
        <v>1815314.0</v>
      </c>
      <c r="AE8" s="15" t="n">
        <v>1791832.0</v>
      </c>
      <c r="AF8" s="15" t="n">
        <v>1768241.0</v>
      </c>
      <c r="AG8" s="15" t="n">
        <v>1744634.0</v>
      </c>
      <c r="AH8" s="15" t="n">
        <v>1721045.0</v>
      </c>
      <c r="AI8" s="15" t="n">
        <v>1697338.0</v>
      </c>
      <c r="AJ8" s="15" t="n">
        <v>1673550.0</v>
      </c>
      <c r="AK8" s="15" t="n">
        <v>1649710.0</v>
      </c>
      <c r="AL8" s="15" t="n">
        <v>1625641.0</v>
      </c>
      <c r="AM8" s="15" t="n">
        <v>1601455.0</v>
      </c>
      <c r="AN8" s="15" t="n">
        <v>1577015.0</v>
      </c>
      <c r="AO8" s="15" t="n">
        <v>1552569.0</v>
      </c>
    </row>
    <row r="9" spans="1:41" x14ac:dyDescent="0.2">
      <c r="A9" s="128"/>
      <c r="B9" s="9">
        <v>0</v>
      </c>
      <c r="C9" s="3" t="n">
        <v>17762.0</v>
      </c>
      <c r="D9" s="3" t="n">
        <v>16402.0</v>
      </c>
      <c r="E9" s="3" t="n">
        <v>15797.0</v>
      </c>
      <c r="F9" s="3" t="n">
        <v>15262.0</v>
      </c>
      <c r="G9" s="3" t="n">
        <v>14793.0</v>
      </c>
      <c r="H9" s="3" t="n">
        <v>14387.0</v>
      </c>
      <c r="I9" s="3" t="n">
        <v>14052.0</v>
      </c>
      <c r="J9" s="3" t="n">
        <v>13738.0</v>
      </c>
      <c r="K9" s="3" t="n">
        <v>13449.0</v>
      </c>
      <c r="L9" s="3" t="n">
        <v>13193.0</v>
      </c>
      <c r="M9" s="3" t="n">
        <v>12967.0</v>
      </c>
      <c r="N9" s="3" t="n">
        <v>12785.0</v>
      </c>
      <c r="O9" s="3" t="n">
        <v>12659.0</v>
      </c>
      <c r="P9" s="3" t="n">
        <v>12528.0</v>
      </c>
      <c r="Q9" s="3" t="n">
        <v>12454.0</v>
      </c>
      <c r="R9" s="3" t="n">
        <v>12409.0</v>
      </c>
      <c r="S9" s="3" t="n">
        <v>12397.0</v>
      </c>
      <c r="T9" s="3" t="n">
        <v>12389.0</v>
      </c>
      <c r="U9" s="3" t="n">
        <v>12389.0</v>
      </c>
      <c r="V9" s="3" t="n">
        <v>12378.0</v>
      </c>
      <c r="W9" s="3" t="n">
        <v>12339.0</v>
      </c>
      <c r="X9" s="3" t="n">
        <v>12260.0</v>
      </c>
      <c r="Y9" s="3" t="n">
        <v>12177.0</v>
      </c>
      <c r="Z9" s="3" t="n">
        <v>12072.0</v>
      </c>
      <c r="AA9" s="3" t="n">
        <v>11914.0</v>
      </c>
      <c r="AB9" s="3" t="n">
        <v>11733.0</v>
      </c>
      <c r="AC9" s="3" t="n">
        <v>11530.0</v>
      </c>
      <c r="AD9" s="3" t="n">
        <v>11270.0</v>
      </c>
      <c r="AE9" s="3" t="n">
        <v>11004.0</v>
      </c>
      <c r="AF9" s="3" t="n">
        <v>10706.0</v>
      </c>
      <c r="AG9" s="3" t="n">
        <v>10382.0</v>
      </c>
      <c r="AH9" s="3" t="n">
        <v>10074.0</v>
      </c>
      <c r="AI9" s="3" t="n">
        <v>9734.0</v>
      </c>
      <c r="AJ9" s="3" t="n">
        <v>9381.0</v>
      </c>
      <c r="AK9" s="3" t="n">
        <v>9061.0</v>
      </c>
      <c r="AL9" s="3" t="n">
        <v>8741.0</v>
      </c>
      <c r="AM9" s="3" t="n">
        <v>8435.0</v>
      </c>
      <c r="AN9" s="3" t="n">
        <v>8160.0</v>
      </c>
      <c r="AO9" s="3" t="n">
        <v>7906.0</v>
      </c>
    </row>
    <row r="10" spans="1:41" x14ac:dyDescent="0.2">
      <c r="A10" s="128"/>
      <c r="B10" s="9">
        <v>1</v>
      </c>
      <c r="C10" s="3" t="n">
        <v>19629.0</v>
      </c>
      <c r="D10" s="3" t="n">
        <v>17742.0</v>
      </c>
      <c r="E10" s="3" t="n">
        <v>16396.0</v>
      </c>
      <c r="F10" s="3" t="n">
        <v>15803.0</v>
      </c>
      <c r="G10" s="3" t="n">
        <v>15264.0</v>
      </c>
      <c r="H10" s="3" t="n">
        <v>14835.0</v>
      </c>
      <c r="I10" s="3" t="n">
        <v>14436.0</v>
      </c>
      <c r="J10" s="3" t="n">
        <v>14076.0</v>
      </c>
      <c r="K10" s="3" t="n">
        <v>13749.0</v>
      </c>
      <c r="L10" s="3" t="n">
        <v>13453.0</v>
      </c>
      <c r="M10" s="3" t="n">
        <v>13200.0</v>
      </c>
      <c r="N10" s="3" t="n">
        <v>12971.0</v>
      </c>
      <c r="O10" s="3" t="n">
        <v>12788.0</v>
      </c>
      <c r="P10" s="3" t="n">
        <v>12660.0</v>
      </c>
      <c r="Q10" s="3" t="n">
        <v>12531.0</v>
      </c>
      <c r="R10" s="3" t="n">
        <v>12453.0</v>
      </c>
      <c r="S10" s="3" t="n">
        <v>12408.0</v>
      </c>
      <c r="T10" s="3" t="n">
        <v>12395.0</v>
      </c>
      <c r="U10" s="3" t="n">
        <v>12385.0</v>
      </c>
      <c r="V10" s="3" t="n">
        <v>12384.0</v>
      </c>
      <c r="W10" s="3" t="n">
        <v>12372.0</v>
      </c>
      <c r="X10" s="3" t="n">
        <v>12334.0</v>
      </c>
      <c r="Y10" s="3" t="n">
        <v>12259.0</v>
      </c>
      <c r="Z10" s="3" t="n">
        <v>12175.0</v>
      </c>
      <c r="AA10" s="3" t="n">
        <v>12070.0</v>
      </c>
      <c r="AB10" s="3" t="n">
        <v>11912.0</v>
      </c>
      <c r="AC10" s="3" t="n">
        <v>11733.0</v>
      </c>
      <c r="AD10" s="3" t="n">
        <v>11536.0</v>
      </c>
      <c r="AE10" s="3" t="n">
        <v>11282.0</v>
      </c>
      <c r="AF10" s="3" t="n">
        <v>11021.0</v>
      </c>
      <c r="AG10" s="3" t="n">
        <v>10719.0</v>
      </c>
      <c r="AH10" s="3" t="n">
        <v>10395.0</v>
      </c>
      <c r="AI10" s="3" t="n">
        <v>10089.0</v>
      </c>
      <c r="AJ10" s="3" t="n">
        <v>9750.0</v>
      </c>
      <c r="AK10" s="3" t="n">
        <v>9401.0</v>
      </c>
      <c r="AL10" s="3" t="n">
        <v>9083.0</v>
      </c>
      <c r="AM10" s="3" t="n">
        <v>8759.0</v>
      </c>
      <c r="AN10" s="3" t="n">
        <v>8455.0</v>
      </c>
      <c r="AO10" s="3" t="n">
        <v>8180.0</v>
      </c>
    </row>
    <row r="11" spans="1:41" x14ac:dyDescent="0.2">
      <c r="A11" s="128"/>
      <c r="B11" s="9">
        <v>2</v>
      </c>
      <c r="C11" s="3" t="n">
        <v>20448.0</v>
      </c>
      <c r="D11" s="3" t="n">
        <v>19621.0</v>
      </c>
      <c r="E11" s="3" t="n">
        <v>17738.0</v>
      </c>
      <c r="F11" s="3" t="n">
        <v>16404.0</v>
      </c>
      <c r="G11" s="3" t="n">
        <v>15816.0</v>
      </c>
      <c r="H11" s="3" t="n">
        <v>15327.0</v>
      </c>
      <c r="I11" s="3" t="n">
        <v>14921.0</v>
      </c>
      <c r="J11" s="3" t="n">
        <v>14484.0</v>
      </c>
      <c r="K11" s="3" t="n">
        <v>14112.0</v>
      </c>
      <c r="L11" s="3" t="n">
        <v>13767.0</v>
      </c>
      <c r="M11" s="3" t="n">
        <v>13469.0</v>
      </c>
      <c r="N11" s="3" t="n">
        <v>13217.0</v>
      </c>
      <c r="O11" s="3" t="n">
        <v>12982.0</v>
      </c>
      <c r="P11" s="3" t="n">
        <v>12799.0</v>
      </c>
      <c r="Q11" s="3" t="n">
        <v>12668.0</v>
      </c>
      <c r="R11" s="3" t="n">
        <v>12540.0</v>
      </c>
      <c r="S11" s="3" t="n">
        <v>12464.0</v>
      </c>
      <c r="T11" s="3" t="n">
        <v>12420.0</v>
      </c>
      <c r="U11" s="3" t="n">
        <v>12406.0</v>
      </c>
      <c r="V11" s="3" t="n">
        <v>12396.0</v>
      </c>
      <c r="W11" s="3" t="n">
        <v>12395.0</v>
      </c>
      <c r="X11" s="3" t="n">
        <v>12383.0</v>
      </c>
      <c r="Y11" s="3" t="n">
        <v>12345.0</v>
      </c>
      <c r="Z11" s="3" t="n">
        <v>12270.0</v>
      </c>
      <c r="AA11" s="3" t="n">
        <v>12187.0</v>
      </c>
      <c r="AB11" s="3" t="n">
        <v>12082.0</v>
      </c>
      <c r="AC11" s="3" t="n">
        <v>11927.0</v>
      </c>
      <c r="AD11" s="3" t="n">
        <v>11749.0</v>
      </c>
      <c r="AE11" s="3" t="n">
        <v>11553.0</v>
      </c>
      <c r="AF11" s="3" t="n">
        <v>11300.0</v>
      </c>
      <c r="AG11" s="3" t="n">
        <v>11037.0</v>
      </c>
      <c r="AH11" s="3" t="n">
        <v>10737.0</v>
      </c>
      <c r="AI11" s="3" t="n">
        <v>10415.0</v>
      </c>
      <c r="AJ11" s="3" t="n">
        <v>10119.0</v>
      </c>
      <c r="AK11" s="3" t="n">
        <v>9776.0</v>
      </c>
      <c r="AL11" s="3" t="n">
        <v>9423.0</v>
      </c>
      <c r="AM11" s="3" t="n">
        <v>9102.0</v>
      </c>
      <c r="AN11" s="3" t="n">
        <v>8777.0</v>
      </c>
      <c r="AO11" s="3" t="n">
        <v>8475.0</v>
      </c>
    </row>
    <row r="12" spans="1:41" x14ac:dyDescent="0.2">
      <c r="A12" s="128"/>
      <c r="B12" s="9">
        <v>3</v>
      </c>
      <c r="C12" s="3" t="n">
        <v>21378.0</v>
      </c>
      <c r="D12" s="3" t="n">
        <v>20448.0</v>
      </c>
      <c r="E12" s="3" t="n">
        <v>19617.0</v>
      </c>
      <c r="F12" s="3" t="n">
        <v>17753.0</v>
      </c>
      <c r="G12" s="3" t="n">
        <v>16423.0</v>
      </c>
      <c r="H12" s="3" t="n">
        <v>15894.0</v>
      </c>
      <c r="I12" s="3" t="n">
        <v>15427.0</v>
      </c>
      <c r="J12" s="3" t="n">
        <v>14977.0</v>
      </c>
      <c r="K12" s="3" t="n">
        <v>14516.0</v>
      </c>
      <c r="L12" s="3" t="n">
        <v>14134.0</v>
      </c>
      <c r="M12" s="3" t="n">
        <v>13786.0</v>
      </c>
      <c r="N12" s="3" t="n">
        <v>13486.0</v>
      </c>
      <c r="O12" s="3" t="n">
        <v>13232.0</v>
      </c>
      <c r="P12" s="3" t="n">
        <v>12998.0</v>
      </c>
      <c r="Q12" s="3" t="n">
        <v>12817.0</v>
      </c>
      <c r="R12" s="3" t="n">
        <v>12687.0</v>
      </c>
      <c r="S12" s="3" t="n">
        <v>12559.0</v>
      </c>
      <c r="T12" s="3" t="n">
        <v>12483.0</v>
      </c>
      <c r="U12" s="3" t="n">
        <v>12438.0</v>
      </c>
      <c r="V12" s="3" t="n">
        <v>12424.0</v>
      </c>
      <c r="W12" s="3" t="n">
        <v>12414.0</v>
      </c>
      <c r="X12" s="3" t="n">
        <v>12414.0</v>
      </c>
      <c r="Y12" s="3" t="n">
        <v>12401.0</v>
      </c>
      <c r="Z12" s="3" t="n">
        <v>12364.0</v>
      </c>
      <c r="AA12" s="3" t="n">
        <v>12289.0</v>
      </c>
      <c r="AB12" s="3" t="n">
        <v>12206.0</v>
      </c>
      <c r="AC12" s="3" t="n">
        <v>12101.0</v>
      </c>
      <c r="AD12" s="3" t="n">
        <v>11944.0</v>
      </c>
      <c r="AE12" s="3" t="n">
        <v>11765.0</v>
      </c>
      <c r="AF12" s="3" t="n">
        <v>11571.0</v>
      </c>
      <c r="AG12" s="3" t="n">
        <v>11324.0</v>
      </c>
      <c r="AH12" s="3" t="n">
        <v>11064.0</v>
      </c>
      <c r="AI12" s="3" t="n">
        <v>10767.0</v>
      </c>
      <c r="AJ12" s="3" t="n">
        <v>10449.0</v>
      </c>
      <c r="AK12" s="3" t="n">
        <v>10147.0</v>
      </c>
      <c r="AL12" s="3" t="n">
        <v>9796.0</v>
      </c>
      <c r="AM12" s="3" t="n">
        <v>9446.0</v>
      </c>
      <c r="AN12" s="3" t="n">
        <v>9130.0</v>
      </c>
      <c r="AO12" s="3" t="n">
        <v>8805.0</v>
      </c>
    </row>
    <row r="13" spans="1:41" x14ac:dyDescent="0.2">
      <c r="A13" s="128"/>
      <c r="B13" s="9">
        <v>4</v>
      </c>
      <c r="C13" s="3" t="n">
        <v>23020.0</v>
      </c>
      <c r="D13" s="3" t="n">
        <v>21377.0</v>
      </c>
      <c r="E13" s="3" t="n">
        <v>20451.0</v>
      </c>
      <c r="F13" s="3" t="n">
        <v>19619.0</v>
      </c>
      <c r="G13" s="3" t="n">
        <v>17760.0</v>
      </c>
      <c r="H13" s="3" t="n">
        <v>16494.0</v>
      </c>
      <c r="I13" s="3" t="n">
        <v>15993.0</v>
      </c>
      <c r="J13" s="3" t="n">
        <v>15485.0</v>
      </c>
      <c r="K13" s="3" t="n">
        <v>15022.0</v>
      </c>
      <c r="L13" s="3" t="n">
        <v>14541.0</v>
      </c>
      <c r="M13" s="3" t="n">
        <v>14162.0</v>
      </c>
      <c r="N13" s="3" t="n">
        <v>13814.0</v>
      </c>
      <c r="O13" s="3" t="n">
        <v>13515.0</v>
      </c>
      <c r="P13" s="3" t="n">
        <v>13252.0</v>
      </c>
      <c r="Q13" s="3" t="n">
        <v>13018.0</v>
      </c>
      <c r="R13" s="3" t="n">
        <v>12835.0</v>
      </c>
      <c r="S13" s="3" t="n">
        <v>12699.0</v>
      </c>
      <c r="T13" s="3" t="n">
        <v>12573.0</v>
      </c>
      <c r="U13" s="3" t="n">
        <v>12497.0</v>
      </c>
      <c r="V13" s="3" t="n">
        <v>12451.0</v>
      </c>
      <c r="W13" s="3" t="n">
        <v>12438.0</v>
      </c>
      <c r="X13" s="3" t="n">
        <v>12428.0</v>
      </c>
      <c r="Y13" s="3" t="n">
        <v>12427.0</v>
      </c>
      <c r="Z13" s="3" t="n">
        <v>12415.0</v>
      </c>
      <c r="AA13" s="3" t="n">
        <v>12377.0</v>
      </c>
      <c r="AB13" s="3" t="n">
        <v>12303.0</v>
      </c>
      <c r="AC13" s="3" t="n">
        <v>12220.0</v>
      </c>
      <c r="AD13" s="3" t="n">
        <v>12114.0</v>
      </c>
      <c r="AE13" s="3" t="n">
        <v>11957.0</v>
      </c>
      <c r="AF13" s="3" t="n">
        <v>11779.0</v>
      </c>
      <c r="AG13" s="3" t="n">
        <v>11584.0</v>
      </c>
      <c r="AH13" s="3" t="n">
        <v>11340.0</v>
      </c>
      <c r="AI13" s="3" t="n">
        <v>11076.0</v>
      </c>
      <c r="AJ13" s="3" t="n">
        <v>10775.0</v>
      </c>
      <c r="AK13" s="3" t="n">
        <v>10458.0</v>
      </c>
      <c r="AL13" s="3" t="n">
        <v>10158.0</v>
      </c>
      <c r="AM13" s="3" t="n">
        <v>9811.0</v>
      </c>
      <c r="AN13" s="3" t="n">
        <v>9462.0</v>
      </c>
      <c r="AO13" s="3" t="n">
        <v>9150.0</v>
      </c>
    </row>
    <row r="14" spans="1:41" x14ac:dyDescent="0.2">
      <c r="A14" s="128"/>
      <c r="B14" s="9">
        <v>5</v>
      </c>
      <c r="C14" s="3" t="n">
        <v>23855.0</v>
      </c>
      <c r="D14" s="3" t="n">
        <v>23014.0</v>
      </c>
      <c r="E14" s="3" t="n">
        <v>21371.0</v>
      </c>
      <c r="F14" s="3" t="n">
        <v>20444.0</v>
      </c>
      <c r="G14" s="3" t="n">
        <v>19610.0</v>
      </c>
      <c r="H14" s="3" t="n">
        <v>17824.0</v>
      </c>
      <c r="I14" s="3" t="n">
        <v>16583.0</v>
      </c>
      <c r="J14" s="3" t="n">
        <v>16045.0</v>
      </c>
      <c r="K14" s="3" t="n">
        <v>15508.0</v>
      </c>
      <c r="L14" s="3" t="n">
        <v>15040.0</v>
      </c>
      <c r="M14" s="3" t="n">
        <v>14557.0</v>
      </c>
      <c r="N14" s="3" t="n">
        <v>14181.0</v>
      </c>
      <c r="O14" s="3" t="n">
        <v>13828.0</v>
      </c>
      <c r="P14" s="3" t="n">
        <v>13529.0</v>
      </c>
      <c r="Q14" s="3" t="n">
        <v>13263.0</v>
      </c>
      <c r="R14" s="3" t="n">
        <v>13031.0</v>
      </c>
      <c r="S14" s="3" t="n">
        <v>12844.0</v>
      </c>
      <c r="T14" s="3" t="n">
        <v>12708.0</v>
      </c>
      <c r="U14" s="3" t="n">
        <v>12580.0</v>
      </c>
      <c r="V14" s="3" t="n">
        <v>12503.0</v>
      </c>
      <c r="W14" s="3" t="n">
        <v>12458.0</v>
      </c>
      <c r="X14" s="3" t="n">
        <v>12445.0</v>
      </c>
      <c r="Y14" s="3" t="n">
        <v>12436.0</v>
      </c>
      <c r="Z14" s="3" t="n">
        <v>12435.0</v>
      </c>
      <c r="AA14" s="3" t="n">
        <v>12423.0</v>
      </c>
      <c r="AB14" s="3" t="n">
        <v>12388.0</v>
      </c>
      <c r="AC14" s="3" t="n">
        <v>12316.0</v>
      </c>
      <c r="AD14" s="3" t="n">
        <v>12230.0</v>
      </c>
      <c r="AE14" s="3" t="n">
        <v>12124.0</v>
      </c>
      <c r="AF14" s="3" t="n">
        <v>11969.0</v>
      </c>
      <c r="AG14" s="3" t="n">
        <v>11792.0</v>
      </c>
      <c r="AH14" s="3" t="n">
        <v>11596.0</v>
      </c>
      <c r="AI14" s="3" t="n">
        <v>11354.0</v>
      </c>
      <c r="AJ14" s="3" t="n">
        <v>11088.0</v>
      </c>
      <c r="AK14" s="3" t="n">
        <v>10789.0</v>
      </c>
      <c r="AL14" s="3" t="n">
        <v>10469.0</v>
      </c>
      <c r="AM14" s="3" t="n">
        <v>10176.0</v>
      </c>
      <c r="AN14" s="3" t="n">
        <v>9831.0</v>
      </c>
      <c r="AO14" s="3" t="n">
        <v>9485.0</v>
      </c>
    </row>
    <row r="15" spans="1:41" x14ac:dyDescent="0.2">
      <c r="A15" s="128"/>
      <c r="B15" s="9">
        <v>6</v>
      </c>
      <c r="C15" s="3" t="n">
        <v>23061.0</v>
      </c>
      <c r="D15" s="3" t="n">
        <v>23860.0</v>
      </c>
      <c r="E15" s="3" t="n">
        <v>23016.0</v>
      </c>
      <c r="F15" s="3" t="n">
        <v>21378.0</v>
      </c>
      <c r="G15" s="3" t="n">
        <v>20450.0</v>
      </c>
      <c r="H15" s="3" t="n">
        <v>19673.0</v>
      </c>
      <c r="I15" s="3" t="n">
        <v>17914.0</v>
      </c>
      <c r="J15" s="3" t="n">
        <v>16638.0</v>
      </c>
      <c r="K15" s="3" t="n">
        <v>16084.0</v>
      </c>
      <c r="L15" s="3" t="n">
        <v>15531.0</v>
      </c>
      <c r="M15" s="3" t="n">
        <v>15060.0</v>
      </c>
      <c r="N15" s="3" t="n">
        <v>14577.0</v>
      </c>
      <c r="O15" s="3" t="n">
        <v>14200.0</v>
      </c>
      <c r="P15" s="3" t="n">
        <v>13842.0</v>
      </c>
      <c r="Q15" s="3" t="n">
        <v>13543.0</v>
      </c>
      <c r="R15" s="3" t="n">
        <v>13278.0</v>
      </c>
      <c r="S15" s="3" t="n">
        <v>13046.0</v>
      </c>
      <c r="T15" s="3" t="n">
        <v>12859.0</v>
      </c>
      <c r="U15" s="3" t="n">
        <v>12722.0</v>
      </c>
      <c r="V15" s="3" t="n">
        <v>12593.0</v>
      </c>
      <c r="W15" s="3" t="n">
        <v>12515.0</v>
      </c>
      <c r="X15" s="3" t="n">
        <v>12469.0</v>
      </c>
      <c r="Y15" s="3" t="n">
        <v>12458.0</v>
      </c>
      <c r="Z15" s="3" t="n">
        <v>12448.0</v>
      </c>
      <c r="AA15" s="3" t="n">
        <v>12446.0</v>
      </c>
      <c r="AB15" s="3" t="n">
        <v>12433.0</v>
      </c>
      <c r="AC15" s="3" t="n">
        <v>12399.0</v>
      </c>
      <c r="AD15" s="3" t="n">
        <v>12327.0</v>
      </c>
      <c r="AE15" s="3" t="n">
        <v>12240.0</v>
      </c>
      <c r="AF15" s="3" t="n">
        <v>12137.0</v>
      </c>
      <c r="AG15" s="3" t="n">
        <v>11979.0</v>
      </c>
      <c r="AH15" s="3" t="n">
        <v>11802.0</v>
      </c>
      <c r="AI15" s="3" t="n">
        <v>11608.0</v>
      </c>
      <c r="AJ15" s="3" t="n">
        <v>11362.0</v>
      </c>
      <c r="AK15" s="3" t="n">
        <v>11095.0</v>
      </c>
      <c r="AL15" s="3" t="n">
        <v>10797.0</v>
      </c>
      <c r="AM15" s="3" t="n">
        <v>10481.0</v>
      </c>
      <c r="AN15" s="3" t="n">
        <v>10188.0</v>
      </c>
      <c r="AO15" s="3" t="n">
        <v>9847.0</v>
      </c>
    </row>
    <row r="16" spans="1:41" x14ac:dyDescent="0.2">
      <c r="A16" s="128"/>
      <c r="B16" s="9">
        <v>7</v>
      </c>
      <c r="C16" s="3" t="n">
        <v>22428.0</v>
      </c>
      <c r="D16" s="3" t="n">
        <v>23070.0</v>
      </c>
      <c r="E16" s="3" t="n">
        <v>23866.0</v>
      </c>
      <c r="F16" s="3" t="n">
        <v>23026.0</v>
      </c>
      <c r="G16" s="3" t="n">
        <v>21387.0</v>
      </c>
      <c r="H16" s="3" t="n">
        <v>20520.0</v>
      </c>
      <c r="I16" s="3" t="n">
        <v>19765.0</v>
      </c>
      <c r="J16" s="3" t="n">
        <v>17960.0</v>
      </c>
      <c r="K16" s="3" t="n">
        <v>16659.0</v>
      </c>
      <c r="L16" s="3" t="n">
        <v>16100.0</v>
      </c>
      <c r="M16" s="3" t="n">
        <v>15538.0</v>
      </c>
      <c r="N16" s="3" t="n">
        <v>15066.0</v>
      </c>
      <c r="O16" s="3" t="n">
        <v>14580.0</v>
      </c>
      <c r="P16" s="3" t="n">
        <v>14203.0</v>
      </c>
      <c r="Q16" s="3" t="n">
        <v>13844.0</v>
      </c>
      <c r="R16" s="3" t="n">
        <v>13547.0</v>
      </c>
      <c r="S16" s="3" t="n">
        <v>13284.0</v>
      </c>
      <c r="T16" s="3" t="n">
        <v>13051.0</v>
      </c>
      <c r="U16" s="3" t="n">
        <v>12865.0</v>
      </c>
      <c r="V16" s="3" t="n">
        <v>12732.0</v>
      </c>
      <c r="W16" s="3" t="n">
        <v>12603.0</v>
      </c>
      <c r="X16" s="3" t="n">
        <v>12522.0</v>
      </c>
      <c r="Y16" s="3" t="n">
        <v>12477.0</v>
      </c>
      <c r="Z16" s="3" t="n">
        <v>12466.0</v>
      </c>
      <c r="AA16" s="3" t="n">
        <v>12454.0</v>
      </c>
      <c r="AB16" s="3" t="n">
        <v>12453.0</v>
      </c>
      <c r="AC16" s="3" t="n">
        <v>12440.0</v>
      </c>
      <c r="AD16" s="3" t="n">
        <v>12408.0</v>
      </c>
      <c r="AE16" s="3" t="n">
        <v>12334.0</v>
      </c>
      <c r="AF16" s="3" t="n">
        <v>12249.0</v>
      </c>
      <c r="AG16" s="3" t="n">
        <v>12148.0</v>
      </c>
      <c r="AH16" s="3" t="n">
        <v>11992.0</v>
      </c>
      <c r="AI16" s="3" t="n">
        <v>11816.0</v>
      </c>
      <c r="AJ16" s="3" t="n">
        <v>11620.0</v>
      </c>
      <c r="AK16" s="3" t="n">
        <v>11372.0</v>
      </c>
      <c r="AL16" s="3" t="n">
        <v>11111.0</v>
      </c>
      <c r="AM16" s="3" t="n">
        <v>10809.0</v>
      </c>
      <c r="AN16" s="3" t="n">
        <v>10491.0</v>
      </c>
      <c r="AO16" s="3" t="n">
        <v>10203.0</v>
      </c>
    </row>
    <row r="17" spans="1:41" x14ac:dyDescent="0.2">
      <c r="A17" s="128"/>
      <c r="B17" s="9">
        <v>8</v>
      </c>
      <c r="C17" s="3" t="n">
        <v>22918.0</v>
      </c>
      <c r="D17" s="3" t="n">
        <v>22432.0</v>
      </c>
      <c r="E17" s="3" t="n">
        <v>23072.0</v>
      </c>
      <c r="F17" s="3" t="n">
        <v>23870.0</v>
      </c>
      <c r="G17" s="3" t="n">
        <v>23030.0</v>
      </c>
      <c r="H17" s="3" t="n">
        <v>21468.0</v>
      </c>
      <c r="I17" s="3" t="n">
        <v>20614.0</v>
      </c>
      <c r="J17" s="3" t="n">
        <v>19807.0</v>
      </c>
      <c r="K17" s="3" t="n">
        <v>17981.0</v>
      </c>
      <c r="L17" s="3" t="n">
        <v>16667.0</v>
      </c>
      <c r="M17" s="3" t="n">
        <v>16111.0</v>
      </c>
      <c r="N17" s="3" t="n">
        <v>15545.0</v>
      </c>
      <c r="O17" s="3" t="n">
        <v>15079.0</v>
      </c>
      <c r="P17" s="3" t="n">
        <v>14587.0</v>
      </c>
      <c r="Q17" s="3" t="n">
        <v>14217.0</v>
      </c>
      <c r="R17" s="3" t="n">
        <v>13858.0</v>
      </c>
      <c r="S17" s="3" t="n">
        <v>13560.0</v>
      </c>
      <c r="T17" s="3" t="n">
        <v>13297.0</v>
      </c>
      <c r="U17" s="3" t="n">
        <v>13058.0</v>
      </c>
      <c r="V17" s="3" t="n">
        <v>12869.0</v>
      </c>
      <c r="W17" s="3" t="n">
        <v>12736.0</v>
      </c>
      <c r="X17" s="3" t="n">
        <v>12606.0</v>
      </c>
      <c r="Y17" s="3" t="n">
        <v>12525.0</v>
      </c>
      <c r="Z17" s="3" t="n">
        <v>12482.0</v>
      </c>
      <c r="AA17" s="3" t="n">
        <v>12470.0</v>
      </c>
      <c r="AB17" s="3" t="n">
        <v>12457.0</v>
      </c>
      <c r="AC17" s="3" t="n">
        <v>12455.0</v>
      </c>
      <c r="AD17" s="3" t="n">
        <v>12441.0</v>
      </c>
      <c r="AE17" s="3" t="n">
        <v>12410.0</v>
      </c>
      <c r="AF17" s="3" t="n">
        <v>12336.0</v>
      </c>
      <c r="AG17" s="3" t="n">
        <v>12249.0</v>
      </c>
      <c r="AH17" s="3" t="n">
        <v>12147.0</v>
      </c>
      <c r="AI17" s="3" t="n">
        <v>11991.0</v>
      </c>
      <c r="AJ17" s="3" t="n">
        <v>11819.0</v>
      </c>
      <c r="AK17" s="3" t="n">
        <v>11626.0</v>
      </c>
      <c r="AL17" s="3" t="n">
        <v>11380.0</v>
      </c>
      <c r="AM17" s="3" t="n">
        <v>11120.0</v>
      </c>
      <c r="AN17" s="3" t="n">
        <v>10820.0</v>
      </c>
      <c r="AO17" s="3" t="n">
        <v>10497.0</v>
      </c>
    </row>
    <row r="18" spans="1:41" x14ac:dyDescent="0.2">
      <c r="A18" s="128"/>
      <c r="B18" s="9">
        <v>9</v>
      </c>
      <c r="C18" s="3" t="n">
        <v>22547.0</v>
      </c>
      <c r="D18" s="3" t="n">
        <v>22909.0</v>
      </c>
      <c r="E18" s="3" t="n">
        <v>22422.0</v>
      </c>
      <c r="F18" s="3" t="n">
        <v>23067.0</v>
      </c>
      <c r="G18" s="3" t="n">
        <v>23868.0</v>
      </c>
      <c r="H18" s="3" t="n">
        <v>23097.0</v>
      </c>
      <c r="I18" s="3" t="n">
        <v>21567.0</v>
      </c>
      <c r="J18" s="3" t="n">
        <v>20663.0</v>
      </c>
      <c r="K18" s="3" t="n">
        <v>19815.0</v>
      </c>
      <c r="L18" s="3" t="n">
        <v>17986.0</v>
      </c>
      <c r="M18" s="3" t="n">
        <v>16674.0</v>
      </c>
      <c r="N18" s="3" t="n">
        <v>16118.0</v>
      </c>
      <c r="O18" s="3" t="n">
        <v>15542.0</v>
      </c>
      <c r="P18" s="3" t="n">
        <v>15076.0</v>
      </c>
      <c r="Q18" s="3" t="n">
        <v>14583.0</v>
      </c>
      <c r="R18" s="3" t="n">
        <v>14216.0</v>
      </c>
      <c r="S18" s="3" t="n">
        <v>13858.0</v>
      </c>
      <c r="T18" s="3" t="n">
        <v>13562.0</v>
      </c>
      <c r="U18" s="3" t="n">
        <v>13299.0</v>
      </c>
      <c r="V18" s="3" t="n">
        <v>13059.0</v>
      </c>
      <c r="W18" s="3" t="n">
        <v>12872.0</v>
      </c>
      <c r="X18" s="3" t="n">
        <v>12741.0</v>
      </c>
      <c r="Y18" s="3" t="n">
        <v>12612.0</v>
      </c>
      <c r="Z18" s="3" t="n">
        <v>12531.0</v>
      </c>
      <c r="AA18" s="3" t="n">
        <v>12488.0</v>
      </c>
      <c r="AB18" s="3" t="n">
        <v>12475.0</v>
      </c>
      <c r="AC18" s="3" t="n">
        <v>12464.0</v>
      </c>
      <c r="AD18" s="3" t="n">
        <v>12459.0</v>
      </c>
      <c r="AE18" s="3" t="n">
        <v>12446.0</v>
      </c>
      <c r="AF18" s="3" t="n">
        <v>12416.0</v>
      </c>
      <c r="AG18" s="3" t="n">
        <v>12342.0</v>
      </c>
      <c r="AH18" s="3" t="n">
        <v>12254.0</v>
      </c>
      <c r="AI18" s="3" t="n">
        <v>12154.0</v>
      </c>
      <c r="AJ18" s="3" t="n">
        <v>11995.0</v>
      </c>
      <c r="AK18" s="3" t="n">
        <v>11823.0</v>
      </c>
      <c r="AL18" s="3" t="n">
        <v>11626.0</v>
      </c>
      <c r="AM18" s="3" t="n">
        <v>11381.0</v>
      </c>
      <c r="AN18" s="3" t="n">
        <v>11123.0</v>
      </c>
      <c r="AO18" s="3" t="n">
        <v>10822.0</v>
      </c>
    </row>
    <row r="19" spans="1:41" x14ac:dyDescent="0.2">
      <c r="A19" s="128"/>
      <c r="B19" s="9">
        <v>10</v>
      </c>
      <c r="C19" s="3" t="n">
        <v>24166.0</v>
      </c>
      <c r="D19" s="3" t="n">
        <v>22545.0</v>
      </c>
      <c r="E19" s="3" t="n">
        <v>22906.0</v>
      </c>
      <c r="F19" s="3" t="n">
        <v>22424.0</v>
      </c>
      <c r="G19" s="3" t="n">
        <v>23072.0</v>
      </c>
      <c r="H19" s="3" t="n">
        <v>23946.0</v>
      </c>
      <c r="I19" s="3" t="n">
        <v>23200.0</v>
      </c>
      <c r="J19" s="3" t="n">
        <v>21617.0</v>
      </c>
      <c r="K19" s="3" t="n">
        <v>20690.0</v>
      </c>
      <c r="L19" s="3" t="n">
        <v>19817.0</v>
      </c>
      <c r="M19" s="3" t="n">
        <v>17990.0</v>
      </c>
      <c r="N19" s="3" t="n">
        <v>16679.0</v>
      </c>
      <c r="O19" s="3" t="n">
        <v>16125.0</v>
      </c>
      <c r="P19" s="3" t="n">
        <v>15548.0</v>
      </c>
      <c r="Q19" s="3" t="n">
        <v>15082.0</v>
      </c>
      <c r="R19" s="3" t="n">
        <v>14594.0</v>
      </c>
      <c r="S19" s="3" t="n">
        <v>14226.0</v>
      </c>
      <c r="T19" s="3" t="n">
        <v>13865.0</v>
      </c>
      <c r="U19" s="3" t="n">
        <v>13569.0</v>
      </c>
      <c r="V19" s="3" t="n">
        <v>13306.0</v>
      </c>
      <c r="W19" s="3" t="n">
        <v>13065.0</v>
      </c>
      <c r="X19" s="3" t="n">
        <v>12878.0</v>
      </c>
      <c r="Y19" s="3" t="n">
        <v>12747.0</v>
      </c>
      <c r="Z19" s="3" t="n">
        <v>12617.0</v>
      </c>
      <c r="AA19" s="3" t="n">
        <v>12536.0</v>
      </c>
      <c r="AB19" s="3" t="n">
        <v>12493.0</v>
      </c>
      <c r="AC19" s="3" t="n">
        <v>12480.0</v>
      </c>
      <c r="AD19" s="3" t="n">
        <v>12468.0</v>
      </c>
      <c r="AE19" s="3" t="n">
        <v>12462.0</v>
      </c>
      <c r="AF19" s="3" t="n">
        <v>12450.0</v>
      </c>
      <c r="AG19" s="3" t="n">
        <v>12420.0</v>
      </c>
      <c r="AH19" s="3" t="n">
        <v>12347.0</v>
      </c>
      <c r="AI19" s="3" t="n">
        <v>12257.0</v>
      </c>
      <c r="AJ19" s="3" t="n">
        <v>12157.0</v>
      </c>
      <c r="AK19" s="3" t="n">
        <v>12000.0</v>
      </c>
      <c r="AL19" s="3" t="n">
        <v>11827.0</v>
      </c>
      <c r="AM19" s="3" t="n">
        <v>11634.0</v>
      </c>
      <c r="AN19" s="3" t="n">
        <v>11388.0</v>
      </c>
      <c r="AO19" s="3" t="n">
        <v>11127.0</v>
      </c>
    </row>
    <row r="20" spans="1:41" x14ac:dyDescent="0.2">
      <c r="A20" s="128"/>
      <c r="B20" s="9">
        <v>11</v>
      </c>
      <c r="C20" s="3" t="n">
        <v>24182.0</v>
      </c>
      <c r="D20" s="3" t="n">
        <v>24160.0</v>
      </c>
      <c r="E20" s="3" t="n">
        <v>22545.0</v>
      </c>
      <c r="F20" s="3" t="n">
        <v>22908.0</v>
      </c>
      <c r="G20" s="3" t="n">
        <v>22427.0</v>
      </c>
      <c r="H20" s="3" t="n">
        <v>23142.0</v>
      </c>
      <c r="I20" s="3" t="n">
        <v>24051.0</v>
      </c>
      <c r="J20" s="3" t="n">
        <v>23253.0</v>
      </c>
      <c r="K20" s="3" t="n">
        <v>21632.0</v>
      </c>
      <c r="L20" s="3" t="n">
        <v>20705.0</v>
      </c>
      <c r="M20" s="3" t="n">
        <v>19814.0</v>
      </c>
      <c r="N20" s="3" t="n">
        <v>17987.0</v>
      </c>
      <c r="O20" s="3" t="n">
        <v>16681.0</v>
      </c>
      <c r="P20" s="3" t="n">
        <v>16135.0</v>
      </c>
      <c r="Q20" s="3" t="n">
        <v>15553.0</v>
      </c>
      <c r="R20" s="3" t="n">
        <v>15087.0</v>
      </c>
      <c r="S20" s="3" t="n">
        <v>14602.0</v>
      </c>
      <c r="T20" s="3" t="n">
        <v>14231.0</v>
      </c>
      <c r="U20" s="3" t="n">
        <v>13872.0</v>
      </c>
      <c r="V20" s="3" t="n">
        <v>13576.0</v>
      </c>
      <c r="W20" s="3" t="n">
        <v>13313.0</v>
      </c>
      <c r="X20" s="3" t="n">
        <v>13071.0</v>
      </c>
      <c r="Y20" s="3" t="n">
        <v>12882.0</v>
      </c>
      <c r="Z20" s="3" t="n">
        <v>12754.0</v>
      </c>
      <c r="AA20" s="3" t="n">
        <v>12625.0</v>
      </c>
      <c r="AB20" s="3" t="n">
        <v>12543.0</v>
      </c>
      <c r="AC20" s="3" t="n">
        <v>12500.0</v>
      </c>
      <c r="AD20" s="3" t="n">
        <v>12488.0</v>
      </c>
      <c r="AE20" s="3" t="n">
        <v>12476.0</v>
      </c>
      <c r="AF20" s="3" t="n">
        <v>12469.0</v>
      </c>
      <c r="AG20" s="3" t="n">
        <v>12458.0</v>
      </c>
      <c r="AH20" s="3" t="n">
        <v>12426.0</v>
      </c>
      <c r="AI20" s="3" t="n">
        <v>12352.0</v>
      </c>
      <c r="AJ20" s="3" t="n">
        <v>12261.0</v>
      </c>
      <c r="AK20" s="3" t="n">
        <v>12159.0</v>
      </c>
      <c r="AL20" s="3" t="n">
        <v>11999.0</v>
      </c>
      <c r="AM20" s="3" t="n">
        <v>11829.0</v>
      </c>
      <c r="AN20" s="3" t="n">
        <v>11636.0</v>
      </c>
      <c r="AO20" s="3" t="n">
        <v>11392.0</v>
      </c>
    </row>
    <row r="21" spans="1:41" x14ac:dyDescent="0.2">
      <c r="A21" s="128"/>
      <c r="B21" s="9">
        <v>12</v>
      </c>
      <c r="C21" s="3" t="n">
        <v>25483.0</v>
      </c>
      <c r="D21" s="3" t="n">
        <v>24166.0</v>
      </c>
      <c r="E21" s="3" t="n">
        <v>24149.0</v>
      </c>
      <c r="F21" s="3" t="n">
        <v>22542.0</v>
      </c>
      <c r="G21" s="3" t="n">
        <v>22904.0</v>
      </c>
      <c r="H21" s="3" t="n">
        <v>22493.0</v>
      </c>
      <c r="I21" s="3" t="n">
        <v>23234.0</v>
      </c>
      <c r="J21" s="3" t="n">
        <v>24087.0</v>
      </c>
      <c r="K21" s="3" t="n">
        <v>23267.0</v>
      </c>
      <c r="L21" s="3" t="n">
        <v>21640.0</v>
      </c>
      <c r="M21" s="3" t="n">
        <v>20701.0</v>
      </c>
      <c r="N21" s="3" t="n">
        <v>19816.0</v>
      </c>
      <c r="O21" s="3" t="n">
        <v>17985.0</v>
      </c>
      <c r="P21" s="3" t="n">
        <v>16684.0</v>
      </c>
      <c r="Q21" s="3" t="n">
        <v>16144.0</v>
      </c>
      <c r="R21" s="3" t="n">
        <v>15561.0</v>
      </c>
      <c r="S21" s="3" t="n">
        <v>15093.0</v>
      </c>
      <c r="T21" s="3" t="n">
        <v>14611.0</v>
      </c>
      <c r="U21" s="3" t="n">
        <v>14236.0</v>
      </c>
      <c r="V21" s="3" t="n">
        <v>13872.0</v>
      </c>
      <c r="W21" s="3" t="n">
        <v>13576.0</v>
      </c>
      <c r="X21" s="3" t="n">
        <v>13315.0</v>
      </c>
      <c r="Y21" s="3" t="n">
        <v>13071.0</v>
      </c>
      <c r="Z21" s="3" t="n">
        <v>12880.0</v>
      </c>
      <c r="AA21" s="3" t="n">
        <v>12751.0</v>
      </c>
      <c r="AB21" s="3" t="n">
        <v>12622.0</v>
      </c>
      <c r="AC21" s="3" t="n">
        <v>12543.0</v>
      </c>
      <c r="AD21" s="3" t="n">
        <v>12500.0</v>
      </c>
      <c r="AE21" s="3" t="n">
        <v>12488.0</v>
      </c>
      <c r="AF21" s="3" t="n">
        <v>12477.0</v>
      </c>
      <c r="AG21" s="3" t="n">
        <v>12469.0</v>
      </c>
      <c r="AH21" s="3" t="n">
        <v>12458.0</v>
      </c>
      <c r="AI21" s="3" t="n">
        <v>12426.0</v>
      </c>
      <c r="AJ21" s="3" t="n">
        <v>12353.0</v>
      </c>
      <c r="AK21" s="3" t="n">
        <v>12262.0</v>
      </c>
      <c r="AL21" s="3" t="n">
        <v>12159.0</v>
      </c>
      <c r="AM21" s="3" t="n">
        <v>11997.0</v>
      </c>
      <c r="AN21" s="3" t="n">
        <v>11826.0</v>
      </c>
      <c r="AO21" s="3" t="n">
        <v>11633.0</v>
      </c>
    </row>
    <row r="22" spans="1:41" x14ac:dyDescent="0.2">
      <c r="A22" s="128"/>
      <c r="B22" s="9">
        <v>13</v>
      </c>
      <c r="C22" s="3" t="n">
        <v>26130.0</v>
      </c>
      <c r="D22" s="3" t="n">
        <v>25471.0</v>
      </c>
      <c r="E22" s="3" t="n">
        <v>24152.0</v>
      </c>
      <c r="F22" s="3" t="n">
        <v>24133.0</v>
      </c>
      <c r="G22" s="3" t="n">
        <v>22534.0</v>
      </c>
      <c r="H22" s="3" t="n">
        <v>22965.0</v>
      </c>
      <c r="I22" s="3" t="n">
        <v>22584.0</v>
      </c>
      <c r="J22" s="3" t="n">
        <v>23277.0</v>
      </c>
      <c r="K22" s="3" t="n">
        <v>24099.0</v>
      </c>
      <c r="L22" s="3" t="n">
        <v>23271.0</v>
      </c>
      <c r="M22" s="3" t="n">
        <v>21639.0</v>
      </c>
      <c r="N22" s="3" t="n">
        <v>20689.0</v>
      </c>
      <c r="O22" s="3" t="n">
        <v>19802.0</v>
      </c>
      <c r="P22" s="3" t="n">
        <v>17976.0</v>
      </c>
      <c r="Q22" s="3" t="n">
        <v>16680.0</v>
      </c>
      <c r="R22" s="3" t="n">
        <v>16143.0</v>
      </c>
      <c r="S22" s="3" t="n">
        <v>15562.0</v>
      </c>
      <c r="T22" s="3" t="n">
        <v>15096.0</v>
      </c>
      <c r="U22" s="3" t="n">
        <v>14614.0</v>
      </c>
      <c r="V22" s="3" t="n">
        <v>14237.0</v>
      </c>
      <c r="W22" s="3" t="n">
        <v>13872.0</v>
      </c>
      <c r="X22" s="3" t="n">
        <v>13575.0</v>
      </c>
      <c r="Y22" s="3" t="n">
        <v>13315.0</v>
      </c>
      <c r="Z22" s="3" t="n">
        <v>13069.0</v>
      </c>
      <c r="AA22" s="3" t="n">
        <v>12878.0</v>
      </c>
      <c r="AB22" s="3" t="n">
        <v>12750.0</v>
      </c>
      <c r="AC22" s="3" t="n">
        <v>12620.0</v>
      </c>
      <c r="AD22" s="3" t="n">
        <v>12541.0</v>
      </c>
      <c r="AE22" s="3" t="n">
        <v>12498.0</v>
      </c>
      <c r="AF22" s="3" t="n">
        <v>12486.0</v>
      </c>
      <c r="AG22" s="3" t="n">
        <v>12475.0</v>
      </c>
      <c r="AH22" s="3" t="n">
        <v>12466.0</v>
      </c>
      <c r="AI22" s="3" t="n">
        <v>12454.0</v>
      </c>
      <c r="AJ22" s="3" t="n">
        <v>12422.0</v>
      </c>
      <c r="AK22" s="3" t="n">
        <v>12351.0</v>
      </c>
      <c r="AL22" s="3" t="n">
        <v>12260.0</v>
      </c>
      <c r="AM22" s="3" t="n">
        <v>12158.0</v>
      </c>
      <c r="AN22" s="3" t="n">
        <v>11997.0</v>
      </c>
      <c r="AO22" s="3" t="n">
        <v>11823.0</v>
      </c>
    </row>
    <row r="23" spans="1:41" x14ac:dyDescent="0.2">
      <c r="A23" s="128"/>
      <c r="B23" s="9">
        <v>14</v>
      </c>
      <c r="C23" s="3" t="n">
        <v>25496.0</v>
      </c>
      <c r="D23" s="3" t="n">
        <v>26123.0</v>
      </c>
      <c r="E23" s="3" t="n">
        <v>25461.0</v>
      </c>
      <c r="F23" s="3" t="n">
        <v>24145.0</v>
      </c>
      <c r="G23" s="3" t="n">
        <v>24129.0</v>
      </c>
      <c r="H23" s="3" t="n">
        <v>22599.0</v>
      </c>
      <c r="I23" s="3" t="n">
        <v>23054.0</v>
      </c>
      <c r="J23" s="3" t="n">
        <v>22621.0</v>
      </c>
      <c r="K23" s="3" t="n">
        <v>23292.0</v>
      </c>
      <c r="L23" s="3" t="n">
        <v>24102.0</v>
      </c>
      <c r="M23" s="3" t="n">
        <v>23269.0</v>
      </c>
      <c r="N23" s="3" t="n">
        <v>21635.0</v>
      </c>
      <c r="O23" s="3" t="n">
        <v>20684.0</v>
      </c>
      <c r="P23" s="3" t="n">
        <v>19790.0</v>
      </c>
      <c r="Q23" s="3" t="n">
        <v>17965.0</v>
      </c>
      <c r="R23" s="3" t="n">
        <v>16676.0</v>
      </c>
      <c r="S23" s="3" t="n">
        <v>16137.0</v>
      </c>
      <c r="T23" s="3" t="n">
        <v>15556.0</v>
      </c>
      <c r="U23" s="3" t="n">
        <v>15088.0</v>
      </c>
      <c r="V23" s="3" t="n">
        <v>14610.0</v>
      </c>
      <c r="W23" s="3" t="n">
        <v>14237.0</v>
      </c>
      <c r="X23" s="3" t="n">
        <v>13871.0</v>
      </c>
      <c r="Y23" s="3" t="n">
        <v>13576.0</v>
      </c>
      <c r="Z23" s="3" t="n">
        <v>13315.0</v>
      </c>
      <c r="AA23" s="3" t="n">
        <v>13069.0</v>
      </c>
      <c r="AB23" s="3" t="n">
        <v>12879.0</v>
      </c>
      <c r="AC23" s="3" t="n">
        <v>12752.0</v>
      </c>
      <c r="AD23" s="3" t="n">
        <v>12622.0</v>
      </c>
      <c r="AE23" s="3" t="n">
        <v>12542.0</v>
      </c>
      <c r="AF23" s="3" t="n">
        <v>12498.0</v>
      </c>
      <c r="AG23" s="3" t="n">
        <v>12488.0</v>
      </c>
      <c r="AH23" s="3" t="n">
        <v>12475.0</v>
      </c>
      <c r="AI23" s="3" t="n">
        <v>12466.0</v>
      </c>
      <c r="AJ23" s="3" t="n">
        <v>12454.0</v>
      </c>
      <c r="AK23" s="3" t="n">
        <v>12422.0</v>
      </c>
      <c r="AL23" s="3" t="n">
        <v>12350.0</v>
      </c>
      <c r="AM23" s="3" t="n">
        <v>12259.0</v>
      </c>
      <c r="AN23" s="3" t="n">
        <v>12157.0</v>
      </c>
      <c r="AO23" s="3" t="n">
        <v>11996.0</v>
      </c>
    </row>
    <row r="24" spans="1:41" x14ac:dyDescent="0.2">
      <c r="A24" s="128"/>
      <c r="B24" s="9">
        <v>15</v>
      </c>
      <c r="C24" s="3" t="n">
        <v>23640.0</v>
      </c>
      <c r="D24" s="3" t="n">
        <v>25481.0</v>
      </c>
      <c r="E24" s="3" t="n">
        <v>26104.0</v>
      </c>
      <c r="F24" s="3" t="n">
        <v>25442.0</v>
      </c>
      <c r="G24" s="3" t="n">
        <v>24131.0</v>
      </c>
      <c r="H24" s="3" t="n">
        <v>24179.0</v>
      </c>
      <c r="I24" s="3" t="n">
        <v>22677.0</v>
      </c>
      <c r="J24" s="3" t="n">
        <v>23079.0</v>
      </c>
      <c r="K24" s="3" t="n">
        <v>22620.0</v>
      </c>
      <c r="L24" s="3" t="n">
        <v>23287.0</v>
      </c>
      <c r="M24" s="3" t="n">
        <v>24090.0</v>
      </c>
      <c r="N24" s="3" t="n">
        <v>23259.0</v>
      </c>
      <c r="O24" s="3" t="n">
        <v>21632.0</v>
      </c>
      <c r="P24" s="3" t="n">
        <v>20677.0</v>
      </c>
      <c r="Q24" s="3" t="n">
        <v>19784.0</v>
      </c>
      <c r="R24" s="3" t="n">
        <v>17962.0</v>
      </c>
      <c r="S24" s="3" t="n">
        <v>16676.0</v>
      </c>
      <c r="T24" s="3" t="n">
        <v>16140.0</v>
      </c>
      <c r="U24" s="3" t="n">
        <v>15555.0</v>
      </c>
      <c r="V24" s="3" t="n">
        <v>15088.0</v>
      </c>
      <c r="W24" s="3" t="n">
        <v>14611.0</v>
      </c>
      <c r="X24" s="3" t="n">
        <v>14235.0</v>
      </c>
      <c r="Y24" s="3" t="n">
        <v>13873.0</v>
      </c>
      <c r="Z24" s="3" t="n">
        <v>13580.0</v>
      </c>
      <c r="AA24" s="3" t="n">
        <v>13316.0</v>
      </c>
      <c r="AB24" s="3" t="n">
        <v>13068.0</v>
      </c>
      <c r="AC24" s="3" t="n">
        <v>12875.0</v>
      </c>
      <c r="AD24" s="3" t="n">
        <v>12743.0</v>
      </c>
      <c r="AE24" s="3" t="n">
        <v>12613.0</v>
      </c>
      <c r="AF24" s="3" t="n">
        <v>12533.0</v>
      </c>
      <c r="AG24" s="3" t="n">
        <v>12488.0</v>
      </c>
      <c r="AH24" s="3" t="n">
        <v>12479.0</v>
      </c>
      <c r="AI24" s="3" t="n">
        <v>12465.0</v>
      </c>
      <c r="AJ24" s="3" t="n">
        <v>12457.0</v>
      </c>
      <c r="AK24" s="3" t="n">
        <v>12446.0</v>
      </c>
      <c r="AL24" s="3" t="n">
        <v>12413.0</v>
      </c>
      <c r="AM24" s="3" t="n">
        <v>12340.0</v>
      </c>
      <c r="AN24" s="3" t="n">
        <v>12248.0</v>
      </c>
      <c r="AO24" s="3" t="n">
        <v>12144.0</v>
      </c>
    </row>
    <row r="25" spans="1:41" x14ac:dyDescent="0.2">
      <c r="A25" s="128"/>
      <c r="B25" s="9">
        <v>16</v>
      </c>
      <c r="C25" s="3" t="n">
        <v>22861.0</v>
      </c>
      <c r="D25" s="3" t="n">
        <v>23631.0</v>
      </c>
      <c r="E25" s="3" t="n">
        <v>25472.0</v>
      </c>
      <c r="F25" s="3" t="n">
        <v>26091.0</v>
      </c>
      <c r="G25" s="3" t="n">
        <v>25431.0</v>
      </c>
      <c r="H25" s="3" t="n">
        <v>24179.0</v>
      </c>
      <c r="I25" s="3" t="n">
        <v>24252.0</v>
      </c>
      <c r="J25" s="3" t="n">
        <v>22697.0</v>
      </c>
      <c r="K25" s="3" t="n">
        <v>23087.0</v>
      </c>
      <c r="L25" s="3" t="n">
        <v>22622.0</v>
      </c>
      <c r="M25" s="3" t="n">
        <v>23281.0</v>
      </c>
      <c r="N25" s="3" t="n">
        <v>24084.0</v>
      </c>
      <c r="O25" s="3" t="n">
        <v>23251.0</v>
      </c>
      <c r="P25" s="3" t="n">
        <v>21626.0</v>
      </c>
      <c r="Q25" s="3" t="n">
        <v>20671.0</v>
      </c>
      <c r="R25" s="3" t="n">
        <v>19775.0</v>
      </c>
      <c r="S25" s="3" t="n">
        <v>17958.0</v>
      </c>
      <c r="T25" s="3" t="n">
        <v>16672.0</v>
      </c>
      <c r="U25" s="3" t="n">
        <v>16136.0</v>
      </c>
      <c r="V25" s="3" t="n">
        <v>15553.0</v>
      </c>
      <c r="W25" s="3" t="n">
        <v>15087.0</v>
      </c>
      <c r="X25" s="3" t="n">
        <v>14610.0</v>
      </c>
      <c r="Y25" s="3" t="n">
        <v>14235.0</v>
      </c>
      <c r="Z25" s="3" t="n">
        <v>13871.0</v>
      </c>
      <c r="AA25" s="3" t="n">
        <v>13575.0</v>
      </c>
      <c r="AB25" s="3" t="n">
        <v>13313.0</v>
      </c>
      <c r="AC25" s="3" t="n">
        <v>13065.0</v>
      </c>
      <c r="AD25" s="3" t="n">
        <v>12874.0</v>
      </c>
      <c r="AE25" s="3" t="n">
        <v>12743.0</v>
      </c>
      <c r="AF25" s="3" t="n">
        <v>12613.0</v>
      </c>
      <c r="AG25" s="3" t="n">
        <v>12532.0</v>
      </c>
      <c r="AH25" s="3" t="n">
        <v>12486.0</v>
      </c>
      <c r="AI25" s="3" t="n">
        <v>12476.0</v>
      </c>
      <c r="AJ25" s="3" t="n">
        <v>12462.0</v>
      </c>
      <c r="AK25" s="3" t="n">
        <v>12454.0</v>
      </c>
      <c r="AL25" s="3" t="n">
        <v>12444.0</v>
      </c>
      <c r="AM25" s="3" t="n">
        <v>12410.0</v>
      </c>
      <c r="AN25" s="3" t="n">
        <v>12338.0</v>
      </c>
      <c r="AO25" s="3" t="n">
        <v>12247.0</v>
      </c>
    </row>
    <row r="26" spans="1:41" x14ac:dyDescent="0.2">
      <c r="A26" s="128"/>
      <c r="B26" s="9">
        <v>17</v>
      </c>
      <c r="C26" s="3" t="n">
        <v>21780.0</v>
      </c>
      <c r="D26" s="3" t="n">
        <v>22847.0</v>
      </c>
      <c r="E26" s="3" t="n">
        <v>23613.0</v>
      </c>
      <c r="F26" s="3" t="n">
        <v>25458.0</v>
      </c>
      <c r="G26" s="3" t="n">
        <v>26074.0</v>
      </c>
      <c r="H26" s="3" t="n">
        <v>25471.0</v>
      </c>
      <c r="I26" s="3" t="n">
        <v>24240.0</v>
      </c>
      <c r="J26" s="3" t="n">
        <v>24267.0</v>
      </c>
      <c r="K26" s="3" t="n">
        <v>22688.0</v>
      </c>
      <c r="L26" s="3" t="n">
        <v>23074.0</v>
      </c>
      <c r="M26" s="3" t="n">
        <v>22608.0</v>
      </c>
      <c r="N26" s="3" t="n">
        <v>23268.0</v>
      </c>
      <c r="O26" s="3" t="n">
        <v>24069.0</v>
      </c>
      <c r="P26" s="3" t="n">
        <v>23240.0</v>
      </c>
      <c r="Q26" s="3" t="n">
        <v>21617.0</v>
      </c>
      <c r="R26" s="3" t="n">
        <v>20659.0</v>
      </c>
      <c r="S26" s="3" t="n">
        <v>19764.0</v>
      </c>
      <c r="T26" s="3" t="n">
        <v>17948.0</v>
      </c>
      <c r="U26" s="3" t="n">
        <v>16675.0</v>
      </c>
      <c r="V26" s="3" t="n">
        <v>16138.0</v>
      </c>
      <c r="W26" s="3" t="n">
        <v>15553.0</v>
      </c>
      <c r="X26" s="3" t="n">
        <v>15086.0</v>
      </c>
      <c r="Y26" s="3" t="n">
        <v>14612.0</v>
      </c>
      <c r="Z26" s="3" t="n">
        <v>14236.0</v>
      </c>
      <c r="AA26" s="3" t="n">
        <v>13871.0</v>
      </c>
      <c r="AB26" s="3" t="n">
        <v>13574.0</v>
      </c>
      <c r="AC26" s="3" t="n">
        <v>13313.0</v>
      </c>
      <c r="AD26" s="3" t="n">
        <v>13069.0</v>
      </c>
      <c r="AE26" s="3" t="n">
        <v>12877.0</v>
      </c>
      <c r="AF26" s="3" t="n">
        <v>12744.0</v>
      </c>
      <c r="AG26" s="3" t="n">
        <v>12611.0</v>
      </c>
      <c r="AH26" s="3" t="n">
        <v>12531.0</v>
      </c>
      <c r="AI26" s="3" t="n">
        <v>12483.0</v>
      </c>
      <c r="AJ26" s="3" t="n">
        <v>12473.0</v>
      </c>
      <c r="AK26" s="3" t="n">
        <v>12459.0</v>
      </c>
      <c r="AL26" s="3" t="n">
        <v>12450.0</v>
      </c>
      <c r="AM26" s="3" t="n">
        <v>12440.0</v>
      </c>
      <c r="AN26" s="3" t="n">
        <v>12406.0</v>
      </c>
      <c r="AO26" s="3" t="n">
        <v>12335.0</v>
      </c>
    </row>
    <row r="27" spans="1:41" x14ac:dyDescent="0.2">
      <c r="A27" s="128"/>
      <c r="B27" s="9">
        <v>18</v>
      </c>
      <c r="C27" s="3" t="n">
        <v>21546.0</v>
      </c>
      <c r="D27" s="3" t="n">
        <v>21776.0</v>
      </c>
      <c r="E27" s="3" t="n">
        <v>22836.0</v>
      </c>
      <c r="F27" s="3" t="n">
        <v>23604.0</v>
      </c>
      <c r="G27" s="3" t="n">
        <v>25449.0</v>
      </c>
      <c r="H27" s="3" t="n">
        <v>26125.0</v>
      </c>
      <c r="I27" s="3" t="n">
        <v>25548.0</v>
      </c>
      <c r="J27" s="3" t="n">
        <v>24263.0</v>
      </c>
      <c r="K27" s="3" t="n">
        <v>24269.0</v>
      </c>
      <c r="L27" s="3" t="n">
        <v>22688.0</v>
      </c>
      <c r="M27" s="3" t="n">
        <v>23070.0</v>
      </c>
      <c r="N27" s="3" t="n">
        <v>22595.0</v>
      </c>
      <c r="O27" s="3" t="n">
        <v>23248.0</v>
      </c>
      <c r="P27" s="3" t="n">
        <v>24048.0</v>
      </c>
      <c r="Q27" s="3" t="n">
        <v>23222.0</v>
      </c>
      <c r="R27" s="3" t="n">
        <v>21605.0</v>
      </c>
      <c r="S27" s="3" t="n">
        <v>20638.0</v>
      </c>
      <c r="T27" s="3" t="n">
        <v>19743.0</v>
      </c>
      <c r="U27" s="3" t="n">
        <v>17924.0</v>
      </c>
      <c r="V27" s="3" t="n">
        <v>16655.0</v>
      </c>
      <c r="W27" s="3" t="n">
        <v>16122.0</v>
      </c>
      <c r="X27" s="3" t="n">
        <v>15534.0</v>
      </c>
      <c r="Y27" s="3" t="n">
        <v>15066.0</v>
      </c>
      <c r="Z27" s="3" t="n">
        <v>14591.0</v>
      </c>
      <c r="AA27" s="3" t="n">
        <v>14219.0</v>
      </c>
      <c r="AB27" s="3" t="n">
        <v>13857.0</v>
      </c>
      <c r="AC27" s="3" t="n">
        <v>13559.0</v>
      </c>
      <c r="AD27" s="3" t="n">
        <v>13302.0</v>
      </c>
      <c r="AE27" s="3" t="n">
        <v>13057.0</v>
      </c>
      <c r="AF27" s="3" t="n">
        <v>12865.0</v>
      </c>
      <c r="AG27" s="3" t="n">
        <v>12733.0</v>
      </c>
      <c r="AH27" s="3" t="n">
        <v>12603.0</v>
      </c>
      <c r="AI27" s="3" t="n">
        <v>12523.0</v>
      </c>
      <c r="AJ27" s="3" t="n">
        <v>12473.0</v>
      </c>
      <c r="AK27" s="3" t="n">
        <v>12464.0</v>
      </c>
      <c r="AL27" s="3" t="n">
        <v>12450.0</v>
      </c>
      <c r="AM27" s="3" t="n">
        <v>12439.0</v>
      </c>
      <c r="AN27" s="3" t="n">
        <v>12429.0</v>
      </c>
      <c r="AO27" s="3" t="n">
        <v>12395.0</v>
      </c>
    </row>
    <row r="28" spans="1:41" x14ac:dyDescent="0.2">
      <c r="A28" s="128"/>
      <c r="B28" s="9">
        <v>19</v>
      </c>
      <c r="C28" s="3" t="n">
        <v>20792.0</v>
      </c>
      <c r="D28" s="3" t="n">
        <v>21519.0</v>
      </c>
      <c r="E28" s="3" t="n">
        <v>21750.0</v>
      </c>
      <c r="F28" s="3" t="n">
        <v>22809.0</v>
      </c>
      <c r="G28" s="3" t="n">
        <v>23577.0</v>
      </c>
      <c r="H28" s="3" t="n">
        <v>25476.0</v>
      </c>
      <c r="I28" s="3" t="n">
        <v>26169.0</v>
      </c>
      <c r="J28" s="3" t="n">
        <v>25542.0</v>
      </c>
      <c r="K28" s="3" t="n">
        <v>24242.0</v>
      </c>
      <c r="L28" s="3" t="n">
        <v>24241.0</v>
      </c>
      <c r="M28" s="3" t="n">
        <v>22665.0</v>
      </c>
      <c r="N28" s="3" t="n">
        <v>23040.0</v>
      </c>
      <c r="O28" s="3" t="n">
        <v>22565.0</v>
      </c>
      <c r="P28" s="3" t="n">
        <v>23217.0</v>
      </c>
      <c r="Q28" s="3" t="n">
        <v>24018.0</v>
      </c>
      <c r="R28" s="3" t="n">
        <v>23192.0</v>
      </c>
      <c r="S28" s="3" t="n">
        <v>21576.0</v>
      </c>
      <c r="T28" s="3" t="n">
        <v>20605.0</v>
      </c>
      <c r="U28" s="3" t="n">
        <v>19713.0</v>
      </c>
      <c r="V28" s="3" t="n">
        <v>17889.0</v>
      </c>
      <c r="W28" s="3" t="n">
        <v>16627.0</v>
      </c>
      <c r="X28" s="3" t="n">
        <v>16092.0</v>
      </c>
      <c r="Y28" s="3" t="n">
        <v>15504.0</v>
      </c>
      <c r="Z28" s="3" t="n">
        <v>15040.0</v>
      </c>
      <c r="AA28" s="3" t="n">
        <v>14564.0</v>
      </c>
      <c r="AB28" s="3" t="n">
        <v>14197.0</v>
      </c>
      <c r="AC28" s="3" t="n">
        <v>13837.0</v>
      </c>
      <c r="AD28" s="3" t="n">
        <v>13537.0</v>
      </c>
      <c r="AE28" s="3" t="n">
        <v>13279.0</v>
      </c>
      <c r="AF28" s="3" t="n">
        <v>13032.0</v>
      </c>
      <c r="AG28" s="3" t="n">
        <v>12845.0</v>
      </c>
      <c r="AH28" s="3" t="n">
        <v>12712.0</v>
      </c>
      <c r="AI28" s="3" t="n">
        <v>12583.0</v>
      </c>
      <c r="AJ28" s="3" t="n">
        <v>12503.0</v>
      </c>
      <c r="AK28" s="3" t="n">
        <v>12453.0</v>
      </c>
      <c r="AL28" s="3" t="n">
        <v>12444.0</v>
      </c>
      <c r="AM28" s="3" t="n">
        <v>12429.0</v>
      </c>
      <c r="AN28" s="3" t="n">
        <v>12418.0</v>
      </c>
      <c r="AO28" s="3" t="n">
        <v>12407.0</v>
      </c>
    </row>
    <row r="29" spans="1:41" x14ac:dyDescent="0.2">
      <c r="A29" s="128"/>
      <c r="B29" s="9">
        <v>20</v>
      </c>
      <c r="C29" s="3" t="n">
        <v>21122.0</v>
      </c>
      <c r="D29" s="3" t="n">
        <v>20748.0</v>
      </c>
      <c r="E29" s="3" t="n">
        <v>21480.0</v>
      </c>
      <c r="F29" s="3" t="n">
        <v>21707.0</v>
      </c>
      <c r="G29" s="3" t="n">
        <v>22770.0</v>
      </c>
      <c r="H29" s="3" t="n">
        <v>23573.0</v>
      </c>
      <c r="I29" s="3" t="n">
        <v>25491.0</v>
      </c>
      <c r="J29" s="3" t="n">
        <v>26149.0</v>
      </c>
      <c r="K29" s="3" t="n">
        <v>25504.0</v>
      </c>
      <c r="L29" s="3" t="n">
        <v>24202.0</v>
      </c>
      <c r="M29" s="3" t="n">
        <v>24200.0</v>
      </c>
      <c r="N29" s="3" t="n">
        <v>22627.0</v>
      </c>
      <c r="O29" s="3" t="n">
        <v>23002.0</v>
      </c>
      <c r="P29" s="3" t="n">
        <v>22529.0</v>
      </c>
      <c r="Q29" s="3" t="n">
        <v>23178.0</v>
      </c>
      <c r="R29" s="3" t="n">
        <v>23974.0</v>
      </c>
      <c r="S29" s="3" t="n">
        <v>23151.0</v>
      </c>
      <c r="T29" s="3" t="n">
        <v>21538.0</v>
      </c>
      <c r="U29" s="3" t="n">
        <v>20567.0</v>
      </c>
      <c r="V29" s="3" t="n">
        <v>19675.0</v>
      </c>
      <c r="W29" s="3" t="n">
        <v>17855.0</v>
      </c>
      <c r="X29" s="3" t="n">
        <v>16598.0</v>
      </c>
      <c r="Y29" s="3" t="n">
        <v>16062.0</v>
      </c>
      <c r="Z29" s="3" t="n">
        <v>15476.0</v>
      </c>
      <c r="AA29" s="3" t="n">
        <v>15014.0</v>
      </c>
      <c r="AB29" s="3" t="n">
        <v>14541.0</v>
      </c>
      <c r="AC29" s="3" t="n">
        <v>14177.0</v>
      </c>
      <c r="AD29" s="3" t="n">
        <v>13817.0</v>
      </c>
      <c r="AE29" s="3" t="n">
        <v>13518.0</v>
      </c>
      <c r="AF29" s="3" t="n">
        <v>13259.0</v>
      </c>
      <c r="AG29" s="3" t="n">
        <v>13013.0</v>
      </c>
      <c r="AH29" s="3" t="n">
        <v>12826.0</v>
      </c>
      <c r="AI29" s="3" t="n">
        <v>12693.0</v>
      </c>
      <c r="AJ29" s="3" t="n">
        <v>12564.0</v>
      </c>
      <c r="AK29" s="3" t="n">
        <v>12486.0</v>
      </c>
      <c r="AL29" s="3" t="n">
        <v>12437.0</v>
      </c>
      <c r="AM29" s="3" t="n">
        <v>12429.0</v>
      </c>
      <c r="AN29" s="3" t="n">
        <v>12413.0</v>
      </c>
      <c r="AO29" s="3" t="n">
        <v>12401.0</v>
      </c>
    </row>
    <row r="30" spans="1:41" x14ac:dyDescent="0.2">
      <c r="A30" s="128"/>
      <c r="B30" s="9">
        <v>21</v>
      </c>
      <c r="C30" s="3" t="n">
        <v>21578.0</v>
      </c>
      <c r="D30" s="3" t="n">
        <v>21107.0</v>
      </c>
      <c r="E30" s="3" t="n">
        <v>20733.0</v>
      </c>
      <c r="F30" s="3" t="n">
        <v>21464.0</v>
      </c>
      <c r="G30" s="3" t="n">
        <v>21690.0</v>
      </c>
      <c r="H30" s="3" t="n">
        <v>22785.0</v>
      </c>
      <c r="I30" s="3" t="n">
        <v>23599.0</v>
      </c>
      <c r="J30" s="3" t="n">
        <v>25485.0</v>
      </c>
      <c r="K30" s="3" t="n">
        <v>26130.0</v>
      </c>
      <c r="L30" s="3" t="n">
        <v>25481.0</v>
      </c>
      <c r="M30" s="3" t="n">
        <v>24174.0</v>
      </c>
      <c r="N30" s="3" t="n">
        <v>24174.0</v>
      </c>
      <c r="O30" s="3" t="n">
        <v>22600.0</v>
      </c>
      <c r="P30" s="3" t="n">
        <v>22979.0</v>
      </c>
      <c r="Q30" s="3" t="n">
        <v>22507.0</v>
      </c>
      <c r="R30" s="3" t="n">
        <v>23153.0</v>
      </c>
      <c r="S30" s="3" t="n">
        <v>23947.0</v>
      </c>
      <c r="T30" s="3" t="n">
        <v>23127.0</v>
      </c>
      <c r="U30" s="3" t="n">
        <v>21522.0</v>
      </c>
      <c r="V30" s="3" t="n">
        <v>20554.0</v>
      </c>
      <c r="W30" s="3" t="n">
        <v>19664.0</v>
      </c>
      <c r="X30" s="3" t="n">
        <v>17842.0</v>
      </c>
      <c r="Y30" s="3" t="n">
        <v>16589.0</v>
      </c>
      <c r="Z30" s="3" t="n">
        <v>16061.0</v>
      </c>
      <c r="AA30" s="3" t="n">
        <v>15472.0</v>
      </c>
      <c r="AB30" s="3" t="n">
        <v>15011.0</v>
      </c>
      <c r="AC30" s="3" t="n">
        <v>14532.0</v>
      </c>
      <c r="AD30" s="3" t="n">
        <v>14170.0</v>
      </c>
      <c r="AE30" s="3" t="n">
        <v>13811.0</v>
      </c>
      <c r="AF30" s="3" t="n">
        <v>13509.0</v>
      </c>
      <c r="AG30" s="3" t="n">
        <v>13252.0</v>
      </c>
      <c r="AH30" s="3" t="n">
        <v>13005.0</v>
      </c>
      <c r="AI30" s="3" t="n">
        <v>12818.0</v>
      </c>
      <c r="AJ30" s="3" t="n">
        <v>12682.0</v>
      </c>
      <c r="AK30" s="3" t="n">
        <v>12554.0</v>
      </c>
      <c r="AL30" s="3" t="n">
        <v>12475.0</v>
      </c>
      <c r="AM30" s="3" t="n">
        <v>12428.0</v>
      </c>
      <c r="AN30" s="3" t="n">
        <v>12420.0</v>
      </c>
      <c r="AO30" s="3" t="n">
        <v>12404.0</v>
      </c>
    </row>
    <row r="31" spans="1:41" x14ac:dyDescent="0.2">
      <c r="A31" s="128"/>
      <c r="B31" s="9">
        <v>22</v>
      </c>
      <c r="C31" s="3" t="n">
        <v>22320.0</v>
      </c>
      <c r="D31" s="3" t="n">
        <v>21554.0</v>
      </c>
      <c r="E31" s="3" t="n">
        <v>21089.0</v>
      </c>
      <c r="F31" s="3" t="n">
        <v>20713.0</v>
      </c>
      <c r="G31" s="3" t="n">
        <v>21438.0</v>
      </c>
      <c r="H31" s="3" t="n">
        <v>21703.0</v>
      </c>
      <c r="I31" s="3" t="n">
        <v>22808.0</v>
      </c>
      <c r="J31" s="3" t="n">
        <v>23599.0</v>
      </c>
      <c r="K31" s="3" t="n">
        <v>25469.0</v>
      </c>
      <c r="L31" s="3" t="n">
        <v>26115.0</v>
      </c>
      <c r="M31" s="3" t="n">
        <v>25467.0</v>
      </c>
      <c r="N31" s="3" t="n">
        <v>24153.0</v>
      </c>
      <c r="O31" s="3" t="n">
        <v>24150.0</v>
      </c>
      <c r="P31" s="3" t="n">
        <v>22578.0</v>
      </c>
      <c r="Q31" s="3" t="n">
        <v>22960.0</v>
      </c>
      <c r="R31" s="3" t="n">
        <v>22489.0</v>
      </c>
      <c r="S31" s="3" t="n">
        <v>23134.0</v>
      </c>
      <c r="T31" s="3" t="n">
        <v>23927.0</v>
      </c>
      <c r="U31" s="3" t="n">
        <v>23100.0</v>
      </c>
      <c r="V31" s="3" t="n">
        <v>21500.0</v>
      </c>
      <c r="W31" s="3" t="n">
        <v>20533.0</v>
      </c>
      <c r="X31" s="3" t="n">
        <v>19648.0</v>
      </c>
      <c r="Y31" s="3" t="n">
        <v>17824.0</v>
      </c>
      <c r="Z31" s="3" t="n">
        <v>16575.0</v>
      </c>
      <c r="AA31" s="3" t="n">
        <v>16048.0</v>
      </c>
      <c r="AB31" s="3" t="n">
        <v>15461.0</v>
      </c>
      <c r="AC31" s="3" t="n">
        <v>14999.0</v>
      </c>
      <c r="AD31" s="3" t="n">
        <v>14523.0</v>
      </c>
      <c r="AE31" s="3" t="n">
        <v>14158.0</v>
      </c>
      <c r="AF31" s="3" t="n">
        <v>13796.0</v>
      </c>
      <c r="AG31" s="3" t="n">
        <v>13494.0</v>
      </c>
      <c r="AH31" s="3" t="n">
        <v>13238.0</v>
      </c>
      <c r="AI31" s="3" t="n">
        <v>12992.0</v>
      </c>
      <c r="AJ31" s="3" t="n">
        <v>12806.0</v>
      </c>
      <c r="AK31" s="3" t="n">
        <v>12671.0</v>
      </c>
      <c r="AL31" s="3" t="n">
        <v>12543.0</v>
      </c>
      <c r="AM31" s="3" t="n">
        <v>12461.0</v>
      </c>
      <c r="AN31" s="3" t="n">
        <v>12414.0</v>
      </c>
      <c r="AO31" s="3" t="n">
        <v>12405.0</v>
      </c>
    </row>
    <row r="32" spans="1:41" x14ac:dyDescent="0.2">
      <c r="A32" s="128"/>
      <c r="B32" s="9">
        <v>23</v>
      </c>
      <c r="C32" s="3" t="n">
        <v>22441.0</v>
      </c>
      <c r="D32" s="3" t="n">
        <v>22292.0</v>
      </c>
      <c r="E32" s="3" t="n">
        <v>21524.0</v>
      </c>
      <c r="F32" s="3" t="n">
        <v>21058.0</v>
      </c>
      <c r="G32" s="3" t="n">
        <v>20685.0</v>
      </c>
      <c r="H32" s="3" t="n">
        <v>21441.0</v>
      </c>
      <c r="I32" s="3" t="n">
        <v>21722.0</v>
      </c>
      <c r="J32" s="3" t="n">
        <v>22800.0</v>
      </c>
      <c r="K32" s="3" t="n">
        <v>23572.0</v>
      </c>
      <c r="L32" s="3" t="n">
        <v>25433.0</v>
      </c>
      <c r="M32" s="3" t="n">
        <v>26077.0</v>
      </c>
      <c r="N32" s="3" t="n">
        <v>25434.0</v>
      </c>
      <c r="O32" s="3" t="n">
        <v>24122.0</v>
      </c>
      <c r="P32" s="3" t="n">
        <v>24118.0</v>
      </c>
      <c r="Q32" s="3" t="n">
        <v>22546.0</v>
      </c>
      <c r="R32" s="3" t="n">
        <v>22935.0</v>
      </c>
      <c r="S32" s="3" t="n">
        <v>22469.0</v>
      </c>
      <c r="T32" s="3" t="n">
        <v>23107.0</v>
      </c>
      <c r="U32" s="3" t="n">
        <v>23901.0</v>
      </c>
      <c r="V32" s="3" t="n">
        <v>23075.0</v>
      </c>
      <c r="W32" s="3" t="n">
        <v>21470.0</v>
      </c>
      <c r="X32" s="3" t="n">
        <v>20504.0</v>
      </c>
      <c r="Y32" s="3" t="n">
        <v>19621.0</v>
      </c>
      <c r="Z32" s="3" t="n">
        <v>17798.0</v>
      </c>
      <c r="AA32" s="3" t="n">
        <v>16552.0</v>
      </c>
      <c r="AB32" s="3" t="n">
        <v>16031.0</v>
      </c>
      <c r="AC32" s="3" t="n">
        <v>15447.0</v>
      </c>
      <c r="AD32" s="3" t="n">
        <v>14987.0</v>
      </c>
      <c r="AE32" s="3" t="n">
        <v>14514.0</v>
      </c>
      <c r="AF32" s="3" t="n">
        <v>14144.0</v>
      </c>
      <c r="AG32" s="3" t="n">
        <v>13783.0</v>
      </c>
      <c r="AH32" s="3" t="n">
        <v>13477.0</v>
      </c>
      <c r="AI32" s="3" t="n">
        <v>13221.0</v>
      </c>
      <c r="AJ32" s="3" t="n">
        <v>12972.0</v>
      </c>
      <c r="AK32" s="3" t="n">
        <v>12787.0</v>
      </c>
      <c r="AL32" s="3" t="n">
        <v>12653.0</v>
      </c>
      <c r="AM32" s="3" t="n">
        <v>12527.0</v>
      </c>
      <c r="AN32" s="3" t="n">
        <v>12446.0</v>
      </c>
      <c r="AO32" s="3" t="n">
        <v>12397.0</v>
      </c>
    </row>
    <row r="33" spans="1:41" x14ac:dyDescent="0.2">
      <c r="A33" s="128"/>
      <c r="B33" s="9">
        <v>24</v>
      </c>
      <c r="C33" s="3" t="n">
        <v>22818.0</v>
      </c>
      <c r="D33" s="3" t="n">
        <v>22404.0</v>
      </c>
      <c r="E33" s="3" t="n">
        <v>22253.0</v>
      </c>
      <c r="F33" s="3" t="n">
        <v>21496.0</v>
      </c>
      <c r="G33" s="3" t="n">
        <v>21028.0</v>
      </c>
      <c r="H33" s="3" t="n">
        <v>20685.0</v>
      </c>
      <c r="I33" s="3" t="n">
        <v>21458.0</v>
      </c>
      <c r="J33" s="3" t="n">
        <v>21715.0</v>
      </c>
      <c r="K33" s="3" t="n">
        <v>22771.0</v>
      </c>
      <c r="L33" s="3" t="n">
        <v>23536.0</v>
      </c>
      <c r="M33" s="3" t="n">
        <v>25389.0</v>
      </c>
      <c r="N33" s="3" t="n">
        <v>26033.0</v>
      </c>
      <c r="O33" s="3" t="n">
        <v>25392.0</v>
      </c>
      <c r="P33" s="3" t="n">
        <v>24081.0</v>
      </c>
      <c r="Q33" s="3" t="n">
        <v>24077.0</v>
      </c>
      <c r="R33" s="3" t="n">
        <v>22501.0</v>
      </c>
      <c r="S33" s="3" t="n">
        <v>22894.0</v>
      </c>
      <c r="T33" s="3" t="n">
        <v>22433.0</v>
      </c>
      <c r="U33" s="3" t="n">
        <v>23072.0</v>
      </c>
      <c r="V33" s="3" t="n">
        <v>23864.0</v>
      </c>
      <c r="W33" s="3" t="n">
        <v>23040.0</v>
      </c>
      <c r="X33" s="3" t="n">
        <v>21433.0</v>
      </c>
      <c r="Y33" s="3" t="n">
        <v>20471.0</v>
      </c>
      <c r="Z33" s="3" t="n">
        <v>19586.0</v>
      </c>
      <c r="AA33" s="3" t="n">
        <v>17765.0</v>
      </c>
      <c r="AB33" s="3" t="n">
        <v>16522.0</v>
      </c>
      <c r="AC33" s="3" t="n">
        <v>16008.0</v>
      </c>
      <c r="AD33" s="3" t="n">
        <v>15426.0</v>
      </c>
      <c r="AE33" s="3" t="n">
        <v>14968.0</v>
      </c>
      <c r="AF33" s="3" t="n">
        <v>14496.0</v>
      </c>
      <c r="AG33" s="3" t="n">
        <v>14124.0</v>
      </c>
      <c r="AH33" s="3" t="n">
        <v>13761.0</v>
      </c>
      <c r="AI33" s="3" t="n">
        <v>13458.0</v>
      </c>
      <c r="AJ33" s="3" t="n">
        <v>13203.0</v>
      </c>
      <c r="AK33" s="3" t="n">
        <v>12954.0</v>
      </c>
      <c r="AL33" s="3" t="n">
        <v>12771.0</v>
      </c>
      <c r="AM33" s="3" t="n">
        <v>12637.0</v>
      </c>
      <c r="AN33" s="3" t="n">
        <v>12510.0</v>
      </c>
      <c r="AO33" s="3" t="n">
        <v>12429.0</v>
      </c>
    </row>
    <row r="34" spans="1:41" x14ac:dyDescent="0.2">
      <c r="A34" s="128"/>
      <c r="B34" s="9">
        <v>25</v>
      </c>
      <c r="C34" s="3" t="n">
        <v>23971.0</v>
      </c>
      <c r="D34" s="3" t="n">
        <v>22775.0</v>
      </c>
      <c r="E34" s="3" t="n">
        <v>22359.0</v>
      </c>
      <c r="F34" s="3" t="n">
        <v>22209.0</v>
      </c>
      <c r="G34" s="3" t="n">
        <v>21456.0</v>
      </c>
      <c r="H34" s="3" t="n">
        <v>21029.0</v>
      </c>
      <c r="I34" s="3" t="n">
        <v>20682.0</v>
      </c>
      <c r="J34" s="3" t="n">
        <v>21426.0</v>
      </c>
      <c r="K34" s="3" t="n">
        <v>21681.0</v>
      </c>
      <c r="L34" s="3" t="n">
        <v>22729.0</v>
      </c>
      <c r="M34" s="3" t="n">
        <v>23495.0</v>
      </c>
      <c r="N34" s="3" t="n">
        <v>25341.0</v>
      </c>
      <c r="O34" s="3" t="n">
        <v>25986.0</v>
      </c>
      <c r="P34" s="3" t="n">
        <v>25341.0</v>
      </c>
      <c r="Q34" s="3" t="n">
        <v>24035.0</v>
      </c>
      <c r="R34" s="3" t="n">
        <v>24032.0</v>
      </c>
      <c r="S34" s="3" t="n">
        <v>22461.0</v>
      </c>
      <c r="T34" s="3" t="n">
        <v>22855.0</v>
      </c>
      <c r="U34" s="3" t="n">
        <v>22394.0</v>
      </c>
      <c r="V34" s="3" t="n">
        <v>23031.0</v>
      </c>
      <c r="W34" s="3" t="n">
        <v>23819.0</v>
      </c>
      <c r="X34" s="3" t="n">
        <v>23000.0</v>
      </c>
      <c r="Y34" s="3" t="n">
        <v>21392.0</v>
      </c>
      <c r="Z34" s="3" t="n">
        <v>20432.0</v>
      </c>
      <c r="AA34" s="3" t="n">
        <v>19549.0</v>
      </c>
      <c r="AB34" s="3" t="n">
        <v>17729.0</v>
      </c>
      <c r="AC34" s="3" t="n">
        <v>16495.0</v>
      </c>
      <c r="AD34" s="3" t="n">
        <v>15990.0</v>
      </c>
      <c r="AE34" s="3" t="n">
        <v>15408.0</v>
      </c>
      <c r="AF34" s="3" t="n">
        <v>14947.0</v>
      </c>
      <c r="AG34" s="3" t="n">
        <v>14477.0</v>
      </c>
      <c r="AH34" s="3" t="n">
        <v>14107.0</v>
      </c>
      <c r="AI34" s="3" t="n">
        <v>13742.0</v>
      </c>
      <c r="AJ34" s="3" t="n">
        <v>13438.0</v>
      </c>
      <c r="AK34" s="3" t="n">
        <v>13181.0</v>
      </c>
      <c r="AL34" s="3" t="n">
        <v>12933.0</v>
      </c>
      <c r="AM34" s="3" t="n">
        <v>12749.0</v>
      </c>
      <c r="AN34" s="3" t="n">
        <v>12614.0</v>
      </c>
      <c r="AO34" s="3" t="n">
        <v>12487.0</v>
      </c>
    </row>
    <row r="35" spans="1:41" x14ac:dyDescent="0.2">
      <c r="A35" s="128"/>
      <c r="B35" s="9">
        <v>26</v>
      </c>
      <c r="C35" s="3" t="n">
        <v>25099.0</v>
      </c>
      <c r="D35" s="3" t="n">
        <v>23894.0</v>
      </c>
      <c r="E35" s="3" t="n">
        <v>22705.0</v>
      </c>
      <c r="F35" s="3" t="n">
        <v>22292.0</v>
      </c>
      <c r="G35" s="3" t="n">
        <v>22142.0</v>
      </c>
      <c r="H35" s="3" t="n">
        <v>21418.0</v>
      </c>
      <c r="I35" s="3" t="n">
        <v>21003.0</v>
      </c>
      <c r="J35" s="3" t="n">
        <v>20625.0</v>
      </c>
      <c r="K35" s="3" t="n">
        <v>21358.0</v>
      </c>
      <c r="L35" s="3" t="n">
        <v>21613.0</v>
      </c>
      <c r="M35" s="3" t="n">
        <v>22650.0</v>
      </c>
      <c r="N35" s="3" t="n">
        <v>23409.0</v>
      </c>
      <c r="O35" s="3" t="n">
        <v>25251.0</v>
      </c>
      <c r="P35" s="3" t="n">
        <v>25899.0</v>
      </c>
      <c r="Q35" s="3" t="n">
        <v>25252.0</v>
      </c>
      <c r="R35" s="3" t="n">
        <v>23951.0</v>
      </c>
      <c r="S35" s="3" t="n">
        <v>23947.0</v>
      </c>
      <c r="T35" s="3" t="n">
        <v>22383.0</v>
      </c>
      <c r="U35" s="3" t="n">
        <v>22782.0</v>
      </c>
      <c r="V35" s="3" t="n">
        <v>22326.0</v>
      </c>
      <c r="W35" s="3" t="n">
        <v>22958.0</v>
      </c>
      <c r="X35" s="3" t="n">
        <v>23741.0</v>
      </c>
      <c r="Y35" s="3" t="n">
        <v>22925.0</v>
      </c>
      <c r="Z35" s="3" t="n">
        <v>21321.0</v>
      </c>
      <c r="AA35" s="3" t="n">
        <v>20361.0</v>
      </c>
      <c r="AB35" s="3" t="n">
        <v>19475.0</v>
      </c>
      <c r="AC35" s="3" t="n">
        <v>17668.0</v>
      </c>
      <c r="AD35" s="3" t="n">
        <v>16437.0</v>
      </c>
      <c r="AE35" s="3" t="n">
        <v>15931.0</v>
      </c>
      <c r="AF35" s="3" t="n">
        <v>15351.0</v>
      </c>
      <c r="AG35" s="3" t="n">
        <v>14892.0</v>
      </c>
      <c r="AH35" s="3" t="n">
        <v>14421.0</v>
      </c>
      <c r="AI35" s="3" t="n">
        <v>14058.0</v>
      </c>
      <c r="AJ35" s="3" t="n">
        <v>13694.0</v>
      </c>
      <c r="AK35" s="3" t="n">
        <v>13387.0</v>
      </c>
      <c r="AL35" s="3" t="n">
        <v>13129.0</v>
      </c>
      <c r="AM35" s="3" t="n">
        <v>12883.0</v>
      </c>
      <c r="AN35" s="3" t="n">
        <v>12696.0</v>
      </c>
      <c r="AO35" s="3" t="n">
        <v>12566.0</v>
      </c>
    </row>
    <row r="36" spans="1:41" x14ac:dyDescent="0.2">
      <c r="A36" s="128"/>
      <c r="B36" s="9">
        <v>27</v>
      </c>
      <c r="C36" s="3" t="n">
        <v>25656.0</v>
      </c>
      <c r="D36" s="3" t="n">
        <v>24998.0</v>
      </c>
      <c r="E36" s="3" t="n">
        <v>23796.0</v>
      </c>
      <c r="F36" s="3" t="n">
        <v>22605.0</v>
      </c>
      <c r="G36" s="3" t="n">
        <v>22194.0</v>
      </c>
      <c r="H36" s="3" t="n">
        <v>22067.0</v>
      </c>
      <c r="I36" s="3" t="n">
        <v>21361.0</v>
      </c>
      <c r="J36" s="3" t="n">
        <v>20928.0</v>
      </c>
      <c r="K36" s="3" t="n">
        <v>20539.0</v>
      </c>
      <c r="L36" s="3" t="n">
        <v>21263.0</v>
      </c>
      <c r="M36" s="3" t="n">
        <v>21511.0</v>
      </c>
      <c r="N36" s="3" t="n">
        <v>22542.0</v>
      </c>
      <c r="O36" s="3" t="n">
        <v>23300.0</v>
      </c>
      <c r="P36" s="3" t="n">
        <v>25120.0</v>
      </c>
      <c r="Q36" s="3" t="n">
        <v>25775.0</v>
      </c>
      <c r="R36" s="3" t="n">
        <v>25135.0</v>
      </c>
      <c r="S36" s="3" t="n">
        <v>23841.0</v>
      </c>
      <c r="T36" s="3" t="n">
        <v>23830.0</v>
      </c>
      <c r="U36" s="3" t="n">
        <v>22278.0</v>
      </c>
      <c r="V36" s="3" t="n">
        <v>22681.0</v>
      </c>
      <c r="W36" s="3" t="n">
        <v>22226.0</v>
      </c>
      <c r="X36" s="3" t="n">
        <v>22855.0</v>
      </c>
      <c r="Y36" s="3" t="n">
        <v>23639.0</v>
      </c>
      <c r="Z36" s="3" t="n">
        <v>22824.0</v>
      </c>
      <c r="AA36" s="3" t="n">
        <v>21226.0</v>
      </c>
      <c r="AB36" s="3" t="n">
        <v>20266.0</v>
      </c>
      <c r="AC36" s="3" t="n">
        <v>19373.0</v>
      </c>
      <c r="AD36" s="3" t="n">
        <v>17589.0</v>
      </c>
      <c r="AE36" s="3" t="n">
        <v>16376.0</v>
      </c>
      <c r="AF36" s="3" t="n">
        <v>15870.0</v>
      </c>
      <c r="AG36" s="3" t="n">
        <v>15287.0</v>
      </c>
      <c r="AH36" s="3" t="n">
        <v>14828.0</v>
      </c>
      <c r="AI36" s="3" t="n">
        <v>14364.0</v>
      </c>
      <c r="AJ36" s="3" t="n">
        <v>14002.0</v>
      </c>
      <c r="AK36" s="3" t="n">
        <v>13639.0</v>
      </c>
      <c r="AL36" s="3" t="n">
        <v>13331.0</v>
      </c>
      <c r="AM36" s="3" t="n">
        <v>13072.0</v>
      </c>
      <c r="AN36" s="3" t="n">
        <v>12823.0</v>
      </c>
      <c r="AO36" s="3" t="n">
        <v>12638.0</v>
      </c>
    </row>
    <row r="37" spans="1:41" x14ac:dyDescent="0.2">
      <c r="A37" s="128"/>
      <c r="B37" s="9">
        <v>28</v>
      </c>
      <c r="C37" s="3" t="n">
        <v>26924.0</v>
      </c>
      <c r="D37" s="3" t="n">
        <v>25541.0</v>
      </c>
      <c r="E37" s="3" t="n">
        <v>24879.0</v>
      </c>
      <c r="F37" s="3" t="n">
        <v>23682.0</v>
      </c>
      <c r="G37" s="3" t="n">
        <v>22499.0</v>
      </c>
      <c r="H37" s="3" t="n">
        <v>22119.0</v>
      </c>
      <c r="I37" s="3" t="n">
        <v>22007.0</v>
      </c>
      <c r="J37" s="3" t="n">
        <v>21273.0</v>
      </c>
      <c r="K37" s="3" t="n">
        <v>20826.0</v>
      </c>
      <c r="L37" s="3" t="n">
        <v>20436.0</v>
      </c>
      <c r="M37" s="3" t="n">
        <v>21154.0</v>
      </c>
      <c r="N37" s="3" t="n">
        <v>21394.0</v>
      </c>
      <c r="O37" s="3" t="n">
        <v>22421.0</v>
      </c>
      <c r="P37" s="3" t="n">
        <v>23181.0</v>
      </c>
      <c r="Q37" s="3" t="n">
        <v>24991.0</v>
      </c>
      <c r="R37" s="3" t="n">
        <v>25639.0</v>
      </c>
      <c r="S37" s="3" t="n">
        <v>25008.0</v>
      </c>
      <c r="T37" s="3" t="n">
        <v>23715.0</v>
      </c>
      <c r="U37" s="3" t="n">
        <v>23707.0</v>
      </c>
      <c r="V37" s="3" t="n">
        <v>22161.0</v>
      </c>
      <c r="W37" s="3" t="n">
        <v>22573.0</v>
      </c>
      <c r="X37" s="3" t="n">
        <v>22120.0</v>
      </c>
      <c r="Y37" s="3" t="n">
        <v>22750.0</v>
      </c>
      <c r="Z37" s="3" t="n">
        <v>23521.0</v>
      </c>
      <c r="AA37" s="3" t="n">
        <v>22703.0</v>
      </c>
      <c r="AB37" s="3" t="n">
        <v>21123.0</v>
      </c>
      <c r="AC37" s="3" t="n">
        <v>20165.0</v>
      </c>
      <c r="AD37" s="3" t="n">
        <v>19272.0</v>
      </c>
      <c r="AE37" s="3" t="n">
        <v>17500.0</v>
      </c>
      <c r="AF37" s="3" t="n">
        <v>16292.0</v>
      </c>
      <c r="AG37" s="3" t="n">
        <v>15800.0</v>
      </c>
      <c r="AH37" s="3" t="n">
        <v>15220.0</v>
      </c>
      <c r="AI37" s="3" t="n">
        <v>14760.0</v>
      </c>
      <c r="AJ37" s="3" t="n">
        <v>14299.0</v>
      </c>
      <c r="AK37" s="3" t="n">
        <v>13938.0</v>
      </c>
      <c r="AL37" s="3" t="n">
        <v>13575.0</v>
      </c>
      <c r="AM37" s="3" t="n">
        <v>13268.0</v>
      </c>
      <c r="AN37" s="3" t="n">
        <v>13010.0</v>
      </c>
      <c r="AO37" s="3" t="n">
        <v>12756.0</v>
      </c>
    </row>
    <row r="38" spans="1:41" x14ac:dyDescent="0.2">
      <c r="A38" s="128"/>
      <c r="B38" s="9">
        <v>29</v>
      </c>
      <c r="C38" s="3" t="n">
        <v>28269.0</v>
      </c>
      <c r="D38" s="3" t="n">
        <v>26795.0</v>
      </c>
      <c r="E38" s="3" t="n">
        <v>25416.0</v>
      </c>
      <c r="F38" s="3" t="n">
        <v>24750.0</v>
      </c>
      <c r="G38" s="3" t="n">
        <v>23568.0</v>
      </c>
      <c r="H38" s="3" t="n">
        <v>22418.0</v>
      </c>
      <c r="I38" s="3" t="n">
        <v>22047.0</v>
      </c>
      <c r="J38" s="3" t="n">
        <v>21922.0</v>
      </c>
      <c r="K38" s="3" t="n">
        <v>21180.0</v>
      </c>
      <c r="L38" s="3" t="n">
        <v>20721.0</v>
      </c>
      <c r="M38" s="3" t="n">
        <v>20325.0</v>
      </c>
      <c r="N38" s="3" t="n">
        <v>21040.0</v>
      </c>
      <c r="O38" s="3" t="n">
        <v>21281.0</v>
      </c>
      <c r="P38" s="3" t="n">
        <v>22303.0</v>
      </c>
      <c r="Q38" s="3" t="n">
        <v>23059.0</v>
      </c>
      <c r="R38" s="3" t="n">
        <v>24859.0</v>
      </c>
      <c r="S38" s="3" t="n">
        <v>25500.0</v>
      </c>
      <c r="T38" s="3" t="n">
        <v>24871.0</v>
      </c>
      <c r="U38" s="3" t="n">
        <v>23584.0</v>
      </c>
      <c r="V38" s="3" t="n">
        <v>23579.0</v>
      </c>
      <c r="W38" s="3" t="n">
        <v>22039.0</v>
      </c>
      <c r="X38" s="3" t="n">
        <v>22462.0</v>
      </c>
      <c r="Y38" s="3" t="n">
        <v>22006.0</v>
      </c>
      <c r="Z38" s="3" t="n">
        <v>22631.0</v>
      </c>
      <c r="AA38" s="3" t="n">
        <v>23400.0</v>
      </c>
      <c r="AB38" s="3" t="n">
        <v>22578.0</v>
      </c>
      <c r="AC38" s="3" t="n">
        <v>21011.0</v>
      </c>
      <c r="AD38" s="3" t="n">
        <v>20054.0</v>
      </c>
      <c r="AE38" s="3" t="n">
        <v>19171.0</v>
      </c>
      <c r="AF38" s="3" t="n">
        <v>17406.0</v>
      </c>
      <c r="AG38" s="3" t="n">
        <v>16211.0</v>
      </c>
      <c r="AH38" s="3" t="n">
        <v>15724.0</v>
      </c>
      <c r="AI38" s="3" t="n">
        <v>15147.0</v>
      </c>
      <c r="AJ38" s="3" t="n">
        <v>14695.0</v>
      </c>
      <c r="AK38" s="3" t="n">
        <v>14234.0</v>
      </c>
      <c r="AL38" s="3" t="n">
        <v>13870.0</v>
      </c>
      <c r="AM38" s="3" t="n">
        <v>13505.0</v>
      </c>
      <c r="AN38" s="3" t="n">
        <v>13200.0</v>
      </c>
      <c r="AO38" s="3" t="n">
        <v>12948.0</v>
      </c>
    </row>
    <row r="39" spans="1:41" x14ac:dyDescent="0.2">
      <c r="A39" s="128"/>
      <c r="B39" s="9">
        <v>30</v>
      </c>
      <c r="C39" s="3" t="n">
        <v>28928.0</v>
      </c>
      <c r="D39" s="3" t="n">
        <v>28125.0</v>
      </c>
      <c r="E39" s="3" t="n">
        <v>26653.0</v>
      </c>
      <c r="F39" s="3" t="n">
        <v>25284.0</v>
      </c>
      <c r="G39" s="3" t="n">
        <v>24624.0</v>
      </c>
      <c r="H39" s="3" t="n">
        <v>23482.0</v>
      </c>
      <c r="I39" s="3" t="n">
        <v>22340.0</v>
      </c>
      <c r="J39" s="3" t="n">
        <v>21947.0</v>
      </c>
      <c r="K39" s="3" t="n">
        <v>21809.0</v>
      </c>
      <c r="L39" s="3" t="n">
        <v>21065.0</v>
      </c>
      <c r="M39" s="3" t="n">
        <v>20610.0</v>
      </c>
      <c r="N39" s="3" t="n">
        <v>20212.0</v>
      </c>
      <c r="O39" s="3" t="n">
        <v>20923.0</v>
      </c>
      <c r="P39" s="3" t="n">
        <v>21163.0</v>
      </c>
      <c r="Q39" s="3" t="n">
        <v>22180.0</v>
      </c>
      <c r="R39" s="3" t="n">
        <v>22924.0</v>
      </c>
      <c r="S39" s="3" t="n">
        <v>24721.0</v>
      </c>
      <c r="T39" s="3" t="n">
        <v>25352.0</v>
      </c>
      <c r="U39" s="3" t="n">
        <v>24728.0</v>
      </c>
      <c r="V39" s="3" t="n">
        <v>23454.0</v>
      </c>
      <c r="W39" s="3" t="n">
        <v>23453.0</v>
      </c>
      <c r="X39" s="3" t="n">
        <v>21918.0</v>
      </c>
      <c r="Y39" s="3" t="n">
        <v>22341.0</v>
      </c>
      <c r="Z39" s="3" t="n">
        <v>21885.0</v>
      </c>
      <c r="AA39" s="3" t="n">
        <v>22505.0</v>
      </c>
      <c r="AB39" s="3" t="n">
        <v>23276.0</v>
      </c>
      <c r="AC39" s="3" t="n">
        <v>22451.0</v>
      </c>
      <c r="AD39" s="3" t="n">
        <v>20895.0</v>
      </c>
      <c r="AE39" s="3" t="n">
        <v>19942.0</v>
      </c>
      <c r="AF39" s="3" t="n">
        <v>19071.0</v>
      </c>
      <c r="AG39" s="3" t="n">
        <v>17310.0</v>
      </c>
      <c r="AH39" s="3" t="n">
        <v>16129.0</v>
      </c>
      <c r="AI39" s="3" t="n">
        <v>15650.0</v>
      </c>
      <c r="AJ39" s="3" t="n">
        <v>15068.0</v>
      </c>
      <c r="AK39" s="3" t="n">
        <v>14624.0</v>
      </c>
      <c r="AL39" s="3" t="n">
        <v>14171.0</v>
      </c>
      <c r="AM39" s="3" t="n">
        <v>13801.0</v>
      </c>
      <c r="AN39" s="3" t="n">
        <v>13437.0</v>
      </c>
      <c r="AO39" s="3" t="n">
        <v>13136.0</v>
      </c>
    </row>
    <row r="40" spans="1:41" x14ac:dyDescent="0.2">
      <c r="A40" s="128"/>
      <c r="B40" s="9">
        <v>31</v>
      </c>
      <c r="C40" s="3" t="n">
        <v>30664.0</v>
      </c>
      <c r="D40" s="3" t="n">
        <v>28789.0</v>
      </c>
      <c r="E40" s="3" t="n">
        <v>27986.0</v>
      </c>
      <c r="F40" s="3" t="n">
        <v>26520.0</v>
      </c>
      <c r="G40" s="3" t="n">
        <v>25159.0</v>
      </c>
      <c r="H40" s="3" t="n">
        <v>24540.0</v>
      </c>
      <c r="I40" s="3" t="n">
        <v>23419.0</v>
      </c>
      <c r="J40" s="3" t="n">
        <v>22253.0</v>
      </c>
      <c r="K40" s="3" t="n">
        <v>21837.0</v>
      </c>
      <c r="L40" s="3" t="n">
        <v>21698.0</v>
      </c>
      <c r="M40" s="3" t="n">
        <v>20964.0</v>
      </c>
      <c r="N40" s="3" t="n">
        <v>20496.0</v>
      </c>
      <c r="O40" s="3" t="n">
        <v>20095.0</v>
      </c>
      <c r="P40" s="3" t="n">
        <v>20811.0</v>
      </c>
      <c r="Q40" s="3" t="n">
        <v>21040.0</v>
      </c>
      <c r="R40" s="3" t="n">
        <v>22058.0</v>
      </c>
      <c r="S40" s="3" t="n">
        <v>22800.0</v>
      </c>
      <c r="T40" s="3" t="n">
        <v>24582.0</v>
      </c>
      <c r="U40" s="3" t="n">
        <v>25212.0</v>
      </c>
      <c r="V40" s="3" t="n">
        <v>24596.0</v>
      </c>
      <c r="W40" s="3" t="n">
        <v>23324.0</v>
      </c>
      <c r="X40" s="3" t="n">
        <v>23334.0</v>
      </c>
      <c r="Y40" s="3" t="n">
        <v>21799.0</v>
      </c>
      <c r="Z40" s="3" t="n">
        <v>22229.0</v>
      </c>
      <c r="AA40" s="3" t="n">
        <v>21774.0</v>
      </c>
      <c r="AB40" s="3" t="n">
        <v>22390.0</v>
      </c>
      <c r="AC40" s="3" t="n">
        <v>23160.0</v>
      </c>
      <c r="AD40" s="3" t="n">
        <v>22337.0</v>
      </c>
      <c r="AE40" s="3" t="n">
        <v>20783.0</v>
      </c>
      <c r="AF40" s="3" t="n">
        <v>19827.0</v>
      </c>
      <c r="AG40" s="3" t="n">
        <v>18970.0</v>
      </c>
      <c r="AH40" s="3" t="n">
        <v>17220.0</v>
      </c>
      <c r="AI40" s="3" t="n">
        <v>16047.0</v>
      </c>
      <c r="AJ40" s="3" t="n">
        <v>15572.0</v>
      </c>
      <c r="AK40" s="3" t="n">
        <v>14997.0</v>
      </c>
      <c r="AL40" s="3" t="n">
        <v>14552.0</v>
      </c>
      <c r="AM40" s="3" t="n">
        <v>14100.0</v>
      </c>
      <c r="AN40" s="3" t="n">
        <v>13731.0</v>
      </c>
      <c r="AO40" s="3" t="n">
        <v>13366.0</v>
      </c>
    </row>
    <row r="41" spans="1:41" x14ac:dyDescent="0.2">
      <c r="A41" s="128"/>
      <c r="B41" s="9">
        <v>32</v>
      </c>
      <c r="C41" s="3" t="n">
        <v>31188.0</v>
      </c>
      <c r="D41" s="3" t="n">
        <v>30524.0</v>
      </c>
      <c r="E41" s="3" t="n">
        <v>28652.0</v>
      </c>
      <c r="F41" s="3" t="n">
        <v>27857.0</v>
      </c>
      <c r="G41" s="3" t="n">
        <v>26398.0</v>
      </c>
      <c r="H41" s="3" t="n">
        <v>25074.0</v>
      </c>
      <c r="I41" s="3" t="n">
        <v>24475.0</v>
      </c>
      <c r="J41" s="3" t="n">
        <v>23336.0</v>
      </c>
      <c r="K41" s="3" t="n">
        <v>22160.0</v>
      </c>
      <c r="L41" s="3" t="n">
        <v>21734.0</v>
      </c>
      <c r="M41" s="3" t="n">
        <v>21599.0</v>
      </c>
      <c r="N41" s="3" t="n">
        <v>20857.0</v>
      </c>
      <c r="O41" s="3" t="n">
        <v>20389.0</v>
      </c>
      <c r="P41" s="3" t="n">
        <v>19987.0</v>
      </c>
      <c r="Q41" s="3" t="n">
        <v>20701.0</v>
      </c>
      <c r="R41" s="3" t="n">
        <v>20928.0</v>
      </c>
      <c r="S41" s="3" t="n">
        <v>21945.0</v>
      </c>
      <c r="T41" s="3" t="n">
        <v>22680.0</v>
      </c>
      <c r="U41" s="3" t="n">
        <v>24452.0</v>
      </c>
      <c r="V41" s="3" t="n">
        <v>25078.0</v>
      </c>
      <c r="W41" s="3" t="n">
        <v>24466.0</v>
      </c>
      <c r="X41" s="3" t="n">
        <v>23198.0</v>
      </c>
      <c r="Y41" s="3" t="n">
        <v>23215.0</v>
      </c>
      <c r="Z41" s="3" t="n">
        <v>21688.0</v>
      </c>
      <c r="AA41" s="3" t="n">
        <v>22118.0</v>
      </c>
      <c r="AB41" s="3" t="n">
        <v>21672.0</v>
      </c>
      <c r="AC41" s="3" t="n">
        <v>22277.0</v>
      </c>
      <c r="AD41" s="3" t="n">
        <v>23042.0</v>
      </c>
      <c r="AE41" s="3" t="n">
        <v>22222.0</v>
      </c>
      <c r="AF41" s="3" t="n">
        <v>20681.0</v>
      </c>
      <c r="AG41" s="3" t="n">
        <v>19721.0</v>
      </c>
      <c r="AH41" s="3" t="n">
        <v>18879.0</v>
      </c>
      <c r="AI41" s="3" t="n">
        <v>17139.0</v>
      </c>
      <c r="AJ41" s="3" t="n">
        <v>15972.0</v>
      </c>
      <c r="AK41" s="3" t="n">
        <v>15501.0</v>
      </c>
      <c r="AL41" s="3" t="n">
        <v>14933.0</v>
      </c>
      <c r="AM41" s="3" t="n">
        <v>14484.0</v>
      </c>
      <c r="AN41" s="3" t="n">
        <v>14035.0</v>
      </c>
      <c r="AO41" s="3" t="n">
        <v>13666.0</v>
      </c>
    </row>
    <row r="42" spans="1:41" x14ac:dyDescent="0.2">
      <c r="A42" s="128"/>
      <c r="B42" s="9">
        <v>33</v>
      </c>
      <c r="C42" s="3" t="n">
        <v>31178.0</v>
      </c>
      <c r="D42" s="3" t="n">
        <v>31051.0</v>
      </c>
      <c r="E42" s="3" t="n">
        <v>30381.0</v>
      </c>
      <c r="F42" s="3" t="n">
        <v>28521.0</v>
      </c>
      <c r="G42" s="3" t="n">
        <v>27727.0</v>
      </c>
      <c r="H42" s="3" t="n">
        <v>26304.0</v>
      </c>
      <c r="I42" s="3" t="n">
        <v>25007.0</v>
      </c>
      <c r="J42" s="3" t="n">
        <v>24384.0</v>
      </c>
      <c r="K42" s="3" t="n">
        <v>23231.0</v>
      </c>
      <c r="L42" s="3" t="n">
        <v>22056.0</v>
      </c>
      <c r="M42" s="3" t="n">
        <v>21621.0</v>
      </c>
      <c r="N42" s="3" t="n">
        <v>21484.0</v>
      </c>
      <c r="O42" s="3" t="n">
        <v>20743.0</v>
      </c>
      <c r="P42" s="3" t="n">
        <v>20281.0</v>
      </c>
      <c r="Q42" s="3" t="n">
        <v>19882.0</v>
      </c>
      <c r="R42" s="3" t="n">
        <v>20594.0</v>
      </c>
      <c r="S42" s="3" t="n">
        <v>20813.0</v>
      </c>
      <c r="T42" s="3" t="n">
        <v>21825.0</v>
      </c>
      <c r="U42" s="3" t="n">
        <v>22561.0</v>
      </c>
      <c r="V42" s="3" t="n">
        <v>24322.0</v>
      </c>
      <c r="W42" s="3" t="n">
        <v>24942.0</v>
      </c>
      <c r="X42" s="3" t="n">
        <v>24339.0</v>
      </c>
      <c r="Y42" s="3" t="n">
        <v>23071.0</v>
      </c>
      <c r="Z42" s="3" t="n">
        <v>23083.0</v>
      </c>
      <c r="AA42" s="3" t="n">
        <v>21573.0</v>
      </c>
      <c r="AB42" s="3" t="n">
        <v>22005.0</v>
      </c>
      <c r="AC42" s="3" t="n">
        <v>21556.0</v>
      </c>
      <c r="AD42" s="3" t="n">
        <v>22158.0</v>
      </c>
      <c r="AE42" s="3" t="n">
        <v>22922.0</v>
      </c>
      <c r="AF42" s="3" t="n">
        <v>22100.0</v>
      </c>
      <c r="AG42" s="3" t="n">
        <v>20571.0</v>
      </c>
      <c r="AH42" s="3" t="n">
        <v>19616.0</v>
      </c>
      <c r="AI42" s="3" t="n">
        <v>18778.0</v>
      </c>
      <c r="AJ42" s="3" t="n">
        <v>17050.0</v>
      </c>
      <c r="AK42" s="3" t="n">
        <v>15894.0</v>
      </c>
      <c r="AL42" s="3" t="n">
        <v>15431.0</v>
      </c>
      <c r="AM42" s="3" t="n">
        <v>14861.0</v>
      </c>
      <c r="AN42" s="3" t="n">
        <v>14417.0</v>
      </c>
      <c r="AO42" s="3" t="n">
        <v>13969.0</v>
      </c>
    </row>
    <row r="43" spans="1:41" x14ac:dyDescent="0.2">
      <c r="A43" s="128"/>
      <c r="B43" s="9">
        <v>34</v>
      </c>
      <c r="C43" s="3" t="n">
        <v>32060.0</v>
      </c>
      <c r="D43" s="3" t="n">
        <v>31052.0</v>
      </c>
      <c r="E43" s="3" t="n">
        <v>30929.0</v>
      </c>
      <c r="F43" s="3" t="n">
        <v>30254.0</v>
      </c>
      <c r="G43" s="3" t="n">
        <v>28405.0</v>
      </c>
      <c r="H43" s="3" t="n">
        <v>27648.0</v>
      </c>
      <c r="I43" s="3" t="n">
        <v>26236.0</v>
      </c>
      <c r="J43" s="3" t="n">
        <v>24913.0</v>
      </c>
      <c r="K43" s="3" t="n">
        <v>24273.0</v>
      </c>
      <c r="L43" s="3" t="n">
        <v>23126.0</v>
      </c>
      <c r="M43" s="3" t="n">
        <v>21956.0</v>
      </c>
      <c r="N43" s="3" t="n">
        <v>21523.0</v>
      </c>
      <c r="O43" s="3" t="n">
        <v>21380.0</v>
      </c>
      <c r="P43" s="3" t="n">
        <v>20644.0</v>
      </c>
      <c r="Q43" s="3" t="n">
        <v>20180.0</v>
      </c>
      <c r="R43" s="3" t="n">
        <v>19782.0</v>
      </c>
      <c r="S43" s="3" t="n">
        <v>20492.0</v>
      </c>
      <c r="T43" s="3" t="n">
        <v>20703.0</v>
      </c>
      <c r="U43" s="3" t="n">
        <v>21721.0</v>
      </c>
      <c r="V43" s="3" t="n">
        <v>22442.0</v>
      </c>
      <c r="W43" s="3" t="n">
        <v>24197.0</v>
      </c>
      <c r="X43" s="3" t="n">
        <v>24813.0</v>
      </c>
      <c r="Y43" s="3" t="n">
        <v>24214.0</v>
      </c>
      <c r="Z43" s="3" t="n">
        <v>22954.0</v>
      </c>
      <c r="AA43" s="3" t="n">
        <v>22972.0</v>
      </c>
      <c r="AB43" s="3" t="n">
        <v>21468.0</v>
      </c>
      <c r="AC43" s="3" t="n">
        <v>21900.0</v>
      </c>
      <c r="AD43" s="3" t="n">
        <v>21457.0</v>
      </c>
      <c r="AE43" s="3" t="n">
        <v>22049.0</v>
      </c>
      <c r="AF43" s="3" t="n">
        <v>22811.0</v>
      </c>
      <c r="AG43" s="3" t="n">
        <v>21988.0</v>
      </c>
      <c r="AH43" s="3" t="n">
        <v>20466.0</v>
      </c>
      <c r="AI43" s="3" t="n">
        <v>19514.0</v>
      </c>
      <c r="AJ43" s="3" t="n">
        <v>18681.0</v>
      </c>
      <c r="AK43" s="3" t="n">
        <v>16966.0</v>
      </c>
      <c r="AL43" s="3" t="n">
        <v>15819.0</v>
      </c>
      <c r="AM43" s="3" t="n">
        <v>15356.0</v>
      </c>
      <c r="AN43" s="3" t="n">
        <v>14784.0</v>
      </c>
      <c r="AO43" s="3" t="n">
        <v>14343.0</v>
      </c>
    </row>
    <row r="44" spans="1:41" x14ac:dyDescent="0.2">
      <c r="A44" s="128"/>
      <c r="B44" s="9">
        <v>35</v>
      </c>
      <c r="C44" s="3" t="n">
        <v>32779.0</v>
      </c>
      <c r="D44" s="3" t="n">
        <v>31949.0</v>
      </c>
      <c r="E44" s="3" t="n">
        <v>30946.0</v>
      </c>
      <c r="F44" s="3" t="n">
        <v>30817.0</v>
      </c>
      <c r="G44" s="3" t="n">
        <v>30153.0</v>
      </c>
      <c r="H44" s="3" t="n">
        <v>28347.0</v>
      </c>
      <c r="I44" s="3" t="n">
        <v>27605.0</v>
      </c>
      <c r="J44" s="3" t="n">
        <v>26173.0</v>
      </c>
      <c r="K44" s="3" t="n">
        <v>24845.0</v>
      </c>
      <c r="L44" s="3" t="n">
        <v>24201.0</v>
      </c>
      <c r="M44" s="3" t="n">
        <v>23058.0</v>
      </c>
      <c r="N44" s="3" t="n">
        <v>21880.0</v>
      </c>
      <c r="O44" s="3" t="n">
        <v>21447.0</v>
      </c>
      <c r="P44" s="3" t="n">
        <v>21305.0</v>
      </c>
      <c r="Q44" s="3" t="n">
        <v>20572.0</v>
      </c>
      <c r="R44" s="3" t="n">
        <v>20102.0</v>
      </c>
      <c r="S44" s="3" t="n">
        <v>19694.0</v>
      </c>
      <c r="T44" s="3" t="n">
        <v>20412.0</v>
      </c>
      <c r="U44" s="3" t="n">
        <v>20620.0</v>
      </c>
      <c r="V44" s="3" t="n">
        <v>21644.0</v>
      </c>
      <c r="W44" s="3" t="n">
        <v>22363.0</v>
      </c>
      <c r="X44" s="3" t="n">
        <v>24106.0</v>
      </c>
      <c r="Y44" s="3" t="n">
        <v>24722.0</v>
      </c>
      <c r="Z44" s="3" t="n">
        <v>24124.0</v>
      </c>
      <c r="AA44" s="3" t="n">
        <v>22867.0</v>
      </c>
      <c r="AB44" s="3" t="n">
        <v>22888.0</v>
      </c>
      <c r="AC44" s="3" t="n">
        <v>21391.0</v>
      </c>
      <c r="AD44" s="3" t="n">
        <v>21825.0</v>
      </c>
      <c r="AE44" s="3" t="n">
        <v>21379.0</v>
      </c>
      <c r="AF44" s="3" t="n">
        <v>21963.0</v>
      </c>
      <c r="AG44" s="3" t="n">
        <v>22725.0</v>
      </c>
      <c r="AH44" s="3" t="n">
        <v>21904.0</v>
      </c>
      <c r="AI44" s="3" t="n">
        <v>20389.0</v>
      </c>
      <c r="AJ44" s="3" t="n">
        <v>19439.0</v>
      </c>
      <c r="AK44" s="3" t="n">
        <v>18607.0</v>
      </c>
      <c r="AL44" s="3" t="n">
        <v>16903.0</v>
      </c>
      <c r="AM44" s="3" t="n">
        <v>15766.0</v>
      </c>
      <c r="AN44" s="3" t="n">
        <v>15308.0</v>
      </c>
      <c r="AO44" s="3" t="n">
        <v>14734.0</v>
      </c>
    </row>
    <row r="45" spans="1:41" x14ac:dyDescent="0.2">
      <c r="A45" s="128"/>
      <c r="B45" s="9">
        <v>36</v>
      </c>
      <c r="C45" s="3" t="n">
        <v>34487.0</v>
      </c>
      <c r="D45" s="3" t="n">
        <v>32677.0</v>
      </c>
      <c r="E45" s="3" t="n">
        <v>31847.0</v>
      </c>
      <c r="F45" s="3" t="n">
        <v>30847.0</v>
      </c>
      <c r="G45" s="3" t="n">
        <v>30722.0</v>
      </c>
      <c r="H45" s="3" t="n">
        <v>30100.0</v>
      </c>
      <c r="I45" s="3" t="n">
        <v>28312.0</v>
      </c>
      <c r="J45" s="3" t="n">
        <v>27536.0</v>
      </c>
      <c r="K45" s="3" t="n">
        <v>26094.0</v>
      </c>
      <c r="L45" s="3" t="n">
        <v>24758.0</v>
      </c>
      <c r="M45" s="3" t="n">
        <v>24108.0</v>
      </c>
      <c r="N45" s="3" t="n">
        <v>22974.0</v>
      </c>
      <c r="O45" s="3" t="n">
        <v>21795.0</v>
      </c>
      <c r="P45" s="3" t="n">
        <v>21364.0</v>
      </c>
      <c r="Q45" s="3" t="n">
        <v>21224.0</v>
      </c>
      <c r="R45" s="3" t="n">
        <v>20489.0</v>
      </c>
      <c r="S45" s="3" t="n">
        <v>20020.0</v>
      </c>
      <c r="T45" s="3" t="n">
        <v>19620.0</v>
      </c>
      <c r="U45" s="3" t="n">
        <v>20329.0</v>
      </c>
      <c r="V45" s="3" t="n">
        <v>20535.0</v>
      </c>
      <c r="W45" s="3" t="n">
        <v>21552.0</v>
      </c>
      <c r="X45" s="3" t="n">
        <v>22268.0</v>
      </c>
      <c r="Y45" s="3" t="n">
        <v>24005.0</v>
      </c>
      <c r="Z45" s="3" t="n">
        <v>24620.0</v>
      </c>
      <c r="AA45" s="3" t="n">
        <v>24024.0</v>
      </c>
      <c r="AB45" s="3" t="n">
        <v>22769.0</v>
      </c>
      <c r="AC45" s="3" t="n">
        <v>22792.0</v>
      </c>
      <c r="AD45" s="3" t="n">
        <v>21297.0</v>
      </c>
      <c r="AE45" s="3" t="n">
        <v>21737.0</v>
      </c>
      <c r="AF45" s="3" t="n">
        <v>21297.0</v>
      </c>
      <c r="AG45" s="3" t="n">
        <v>21877.0</v>
      </c>
      <c r="AH45" s="3" t="n">
        <v>22639.0</v>
      </c>
      <c r="AI45" s="3" t="n">
        <v>21811.0</v>
      </c>
      <c r="AJ45" s="3" t="n">
        <v>20305.0</v>
      </c>
      <c r="AK45" s="3" t="n">
        <v>19365.0</v>
      </c>
      <c r="AL45" s="3" t="n">
        <v>18536.0</v>
      </c>
      <c r="AM45" s="3" t="n">
        <v>16833.0</v>
      </c>
      <c r="AN45" s="3" t="n">
        <v>15703.0</v>
      </c>
      <c r="AO45" s="3" t="n">
        <v>15251.0</v>
      </c>
    </row>
    <row r="46" spans="1:41" x14ac:dyDescent="0.2">
      <c r="A46" s="128"/>
      <c r="B46" s="9">
        <v>37</v>
      </c>
      <c r="C46" s="3" t="n">
        <v>37103.0</v>
      </c>
      <c r="D46" s="3" t="n">
        <v>34390.0</v>
      </c>
      <c r="E46" s="3" t="n">
        <v>32593.0</v>
      </c>
      <c r="F46" s="3" t="n">
        <v>31758.0</v>
      </c>
      <c r="G46" s="3" t="n">
        <v>30759.0</v>
      </c>
      <c r="H46" s="3" t="n">
        <v>30683.0</v>
      </c>
      <c r="I46" s="3" t="n">
        <v>30070.0</v>
      </c>
      <c r="J46" s="3" t="n">
        <v>28262.0</v>
      </c>
      <c r="K46" s="3" t="n">
        <v>27478.0</v>
      </c>
      <c r="L46" s="3" t="n">
        <v>26028.0</v>
      </c>
      <c r="M46" s="3" t="n">
        <v>24685.0</v>
      </c>
      <c r="N46" s="3" t="n">
        <v>24034.0</v>
      </c>
      <c r="O46" s="3" t="n">
        <v>22897.0</v>
      </c>
      <c r="P46" s="3" t="n">
        <v>21719.0</v>
      </c>
      <c r="Q46" s="3" t="n">
        <v>21284.0</v>
      </c>
      <c r="R46" s="3" t="n">
        <v>21143.0</v>
      </c>
      <c r="S46" s="3" t="n">
        <v>20411.0</v>
      </c>
      <c r="T46" s="3" t="n">
        <v>19949.0</v>
      </c>
      <c r="U46" s="3" t="n">
        <v>19544.0</v>
      </c>
      <c r="V46" s="3" t="n">
        <v>20254.0</v>
      </c>
      <c r="W46" s="3" t="n">
        <v>20458.0</v>
      </c>
      <c r="X46" s="3" t="n">
        <v>21468.0</v>
      </c>
      <c r="Y46" s="3" t="n">
        <v>22193.0</v>
      </c>
      <c r="Z46" s="3" t="n">
        <v>23912.0</v>
      </c>
      <c r="AA46" s="3" t="n">
        <v>24532.0</v>
      </c>
      <c r="AB46" s="3" t="n">
        <v>23939.0</v>
      </c>
      <c r="AC46" s="3" t="n">
        <v>22680.0</v>
      </c>
      <c r="AD46" s="3" t="n">
        <v>22707.0</v>
      </c>
      <c r="AE46" s="3" t="n">
        <v>21215.0</v>
      </c>
      <c r="AF46" s="3" t="n">
        <v>21660.0</v>
      </c>
      <c r="AG46" s="3" t="n">
        <v>21221.0</v>
      </c>
      <c r="AH46" s="3" t="n">
        <v>21795.0</v>
      </c>
      <c r="AI46" s="3" t="n">
        <v>22557.0</v>
      </c>
      <c r="AJ46" s="3" t="n">
        <v>21732.0</v>
      </c>
      <c r="AK46" s="3" t="n">
        <v>20229.0</v>
      </c>
      <c r="AL46" s="3" t="n">
        <v>19290.0</v>
      </c>
      <c r="AM46" s="3" t="n">
        <v>18469.0</v>
      </c>
      <c r="AN46" s="3" t="n">
        <v>16766.0</v>
      </c>
      <c r="AO46" s="3" t="n">
        <v>15640.0</v>
      </c>
    </row>
    <row r="47" spans="1:41" x14ac:dyDescent="0.2">
      <c r="A47" s="128"/>
      <c r="B47" s="9">
        <v>38</v>
      </c>
      <c r="C47" s="3" t="n">
        <v>38355.0</v>
      </c>
      <c r="D47" s="3" t="n">
        <v>37015.0</v>
      </c>
      <c r="E47" s="3" t="n">
        <v>34302.0</v>
      </c>
      <c r="F47" s="3" t="n">
        <v>32519.0</v>
      </c>
      <c r="G47" s="3" t="n">
        <v>31694.0</v>
      </c>
      <c r="H47" s="3" t="n">
        <v>30741.0</v>
      </c>
      <c r="I47" s="3" t="n">
        <v>30688.0</v>
      </c>
      <c r="J47" s="3" t="n">
        <v>30037.0</v>
      </c>
      <c r="K47" s="3" t="n">
        <v>28204.0</v>
      </c>
      <c r="L47" s="3" t="n">
        <v>27413.0</v>
      </c>
      <c r="M47" s="3" t="n">
        <v>25966.0</v>
      </c>
      <c r="N47" s="3" t="n">
        <v>24620.0</v>
      </c>
      <c r="O47" s="3" t="n">
        <v>23966.0</v>
      </c>
      <c r="P47" s="3" t="n">
        <v>22832.0</v>
      </c>
      <c r="Q47" s="3" t="n">
        <v>21661.0</v>
      </c>
      <c r="R47" s="3" t="n">
        <v>21228.0</v>
      </c>
      <c r="S47" s="3" t="n">
        <v>21089.0</v>
      </c>
      <c r="T47" s="3" t="n">
        <v>20353.0</v>
      </c>
      <c r="U47" s="3" t="n">
        <v>19888.0</v>
      </c>
      <c r="V47" s="3" t="n">
        <v>19484.0</v>
      </c>
      <c r="W47" s="3" t="n">
        <v>20195.0</v>
      </c>
      <c r="X47" s="3" t="n">
        <v>20400.0</v>
      </c>
      <c r="Y47" s="3" t="n">
        <v>21407.0</v>
      </c>
      <c r="Z47" s="3" t="n">
        <v>22133.0</v>
      </c>
      <c r="AA47" s="3" t="n">
        <v>23841.0</v>
      </c>
      <c r="AB47" s="3" t="n">
        <v>24461.0</v>
      </c>
      <c r="AC47" s="3" t="n">
        <v>23870.0</v>
      </c>
      <c r="AD47" s="3" t="n">
        <v>22607.0</v>
      </c>
      <c r="AE47" s="3" t="n">
        <v>22643.0</v>
      </c>
      <c r="AF47" s="3" t="n">
        <v>21157.0</v>
      </c>
      <c r="AG47" s="3" t="n">
        <v>21604.0</v>
      </c>
      <c r="AH47" s="3" t="n">
        <v>21162.0</v>
      </c>
      <c r="AI47" s="3" t="n">
        <v>21734.0</v>
      </c>
      <c r="AJ47" s="3" t="n">
        <v>22491.0</v>
      </c>
      <c r="AK47" s="3" t="n">
        <v>21666.0</v>
      </c>
      <c r="AL47" s="3" t="n">
        <v>20173.0</v>
      </c>
      <c r="AM47" s="3" t="n">
        <v>19231.0</v>
      </c>
      <c r="AN47" s="3" t="n">
        <v>18412.0</v>
      </c>
      <c r="AO47" s="3" t="n">
        <v>16712.0</v>
      </c>
    </row>
    <row r="48" spans="1:41" x14ac:dyDescent="0.2">
      <c r="A48" s="128"/>
      <c r="B48" s="9">
        <v>39</v>
      </c>
      <c r="C48" s="3" t="n">
        <v>40426.0</v>
      </c>
      <c r="D48" s="3" t="n">
        <v>38275.0</v>
      </c>
      <c r="E48" s="3" t="n">
        <v>36933.0</v>
      </c>
      <c r="F48" s="3" t="n">
        <v>34230.0</v>
      </c>
      <c r="G48" s="3" t="n">
        <v>32454.0</v>
      </c>
      <c r="H48" s="3" t="n">
        <v>31668.0</v>
      </c>
      <c r="I48" s="3" t="n">
        <v>30731.0</v>
      </c>
      <c r="J48" s="3" t="n">
        <v>30655.0</v>
      </c>
      <c r="K48" s="3" t="n">
        <v>29993.0</v>
      </c>
      <c r="L48" s="3" t="n">
        <v>28142.0</v>
      </c>
      <c r="M48" s="3" t="n">
        <v>27353.0</v>
      </c>
      <c r="N48" s="3" t="n">
        <v>25908.0</v>
      </c>
      <c r="O48" s="3" t="n">
        <v>24564.0</v>
      </c>
      <c r="P48" s="3" t="n">
        <v>23907.0</v>
      </c>
      <c r="Q48" s="3" t="n">
        <v>22774.0</v>
      </c>
      <c r="R48" s="3" t="n">
        <v>21610.0</v>
      </c>
      <c r="S48" s="3" t="n">
        <v>21177.0</v>
      </c>
      <c r="T48" s="3" t="n">
        <v>21038.0</v>
      </c>
      <c r="U48" s="3" t="n">
        <v>20308.0</v>
      </c>
      <c r="V48" s="3" t="n">
        <v>19838.0</v>
      </c>
      <c r="W48" s="3" t="n">
        <v>19434.0</v>
      </c>
      <c r="X48" s="3" t="n">
        <v>20140.0</v>
      </c>
      <c r="Y48" s="3" t="n">
        <v>20342.0</v>
      </c>
      <c r="Z48" s="3" t="n">
        <v>21354.0</v>
      </c>
      <c r="AA48" s="3" t="n">
        <v>22085.0</v>
      </c>
      <c r="AB48" s="3" t="n">
        <v>23782.0</v>
      </c>
      <c r="AC48" s="3" t="n">
        <v>24396.0</v>
      </c>
      <c r="AD48" s="3" t="n">
        <v>23809.0</v>
      </c>
      <c r="AE48" s="3" t="n">
        <v>22542.0</v>
      </c>
      <c r="AF48" s="3" t="n">
        <v>22582.0</v>
      </c>
      <c r="AG48" s="3" t="n">
        <v>21100.0</v>
      </c>
      <c r="AH48" s="3" t="n">
        <v>21549.0</v>
      </c>
      <c r="AI48" s="3" t="n">
        <v>21106.0</v>
      </c>
      <c r="AJ48" s="3" t="n">
        <v>21679.0</v>
      </c>
      <c r="AK48" s="3" t="n">
        <v>22433.0</v>
      </c>
      <c r="AL48" s="3" t="n">
        <v>21612.0</v>
      </c>
      <c r="AM48" s="3" t="n">
        <v>20119.0</v>
      </c>
      <c r="AN48" s="3" t="n">
        <v>19181.0</v>
      </c>
      <c r="AO48" s="3" t="n">
        <v>18365.0</v>
      </c>
    </row>
    <row r="49" spans="1:41" x14ac:dyDescent="0.2">
      <c r="A49" s="128"/>
      <c r="B49" s="9">
        <v>40</v>
      </c>
      <c r="C49" s="3" t="n">
        <v>39541.0</v>
      </c>
      <c r="D49" s="3" t="n">
        <v>40333.0</v>
      </c>
      <c r="E49" s="3" t="n">
        <v>38187.0</v>
      </c>
      <c r="F49" s="3" t="n">
        <v>36856.0</v>
      </c>
      <c r="G49" s="3" t="n">
        <v>34162.0</v>
      </c>
      <c r="H49" s="3" t="n">
        <v>32422.0</v>
      </c>
      <c r="I49" s="3" t="n">
        <v>31669.0</v>
      </c>
      <c r="J49" s="3" t="n">
        <v>30700.0</v>
      </c>
      <c r="K49" s="3" t="n">
        <v>30615.0</v>
      </c>
      <c r="L49" s="3" t="n">
        <v>29954.0</v>
      </c>
      <c r="M49" s="3" t="n">
        <v>28100.0</v>
      </c>
      <c r="N49" s="3" t="n">
        <v>27314.0</v>
      </c>
      <c r="O49" s="3" t="n">
        <v>25864.0</v>
      </c>
      <c r="P49" s="3" t="n">
        <v>24527.0</v>
      </c>
      <c r="Q49" s="3" t="n">
        <v>23876.0</v>
      </c>
      <c r="R49" s="3" t="n">
        <v>22749.0</v>
      </c>
      <c r="S49" s="3" t="n">
        <v>21577.0</v>
      </c>
      <c r="T49" s="3" t="n">
        <v>21143.0</v>
      </c>
      <c r="U49" s="3" t="n">
        <v>21005.0</v>
      </c>
      <c r="V49" s="3" t="n">
        <v>20277.0</v>
      </c>
      <c r="W49" s="3" t="n">
        <v>19806.0</v>
      </c>
      <c r="X49" s="3" t="n">
        <v>19406.0</v>
      </c>
      <c r="Y49" s="3" t="n">
        <v>20107.0</v>
      </c>
      <c r="Z49" s="3" t="n">
        <v>20309.0</v>
      </c>
      <c r="AA49" s="3" t="n">
        <v>21317.0</v>
      </c>
      <c r="AB49" s="3" t="n">
        <v>22050.0</v>
      </c>
      <c r="AC49" s="3" t="n">
        <v>23752.0</v>
      </c>
      <c r="AD49" s="3" t="n">
        <v>24357.0</v>
      </c>
      <c r="AE49" s="3" t="n">
        <v>23773.0</v>
      </c>
      <c r="AF49" s="3" t="n">
        <v>22511.0</v>
      </c>
      <c r="AG49" s="3" t="n">
        <v>22555.0</v>
      </c>
      <c r="AH49" s="3" t="n">
        <v>21071.0</v>
      </c>
      <c r="AI49" s="3" t="n">
        <v>21516.0</v>
      </c>
      <c r="AJ49" s="3" t="n">
        <v>21077.0</v>
      </c>
      <c r="AK49" s="3" t="n">
        <v>21655.0</v>
      </c>
      <c r="AL49" s="3" t="n">
        <v>22410.0</v>
      </c>
      <c r="AM49" s="3" t="n">
        <v>21586.0</v>
      </c>
      <c r="AN49" s="3" t="n">
        <v>20089.0</v>
      </c>
      <c r="AO49" s="3" t="n">
        <v>19147.0</v>
      </c>
    </row>
    <row r="50" spans="1:41" x14ac:dyDescent="0.2">
      <c r="A50" s="128"/>
      <c r="B50" s="9">
        <v>41</v>
      </c>
      <c r="C50" s="3" t="n">
        <v>37600.0</v>
      </c>
      <c r="D50" s="3" t="n">
        <v>39442.0</v>
      </c>
      <c r="E50" s="3" t="n">
        <v>40235.0</v>
      </c>
      <c r="F50" s="3" t="n">
        <v>38102.0</v>
      </c>
      <c r="G50" s="3" t="n">
        <v>36778.0</v>
      </c>
      <c r="H50" s="3" t="n">
        <v>34129.0</v>
      </c>
      <c r="I50" s="3" t="n">
        <v>32414.0</v>
      </c>
      <c r="J50" s="3" t="n">
        <v>31633.0</v>
      </c>
      <c r="K50" s="3" t="n">
        <v>30653.0</v>
      </c>
      <c r="L50" s="3" t="n">
        <v>30563.0</v>
      </c>
      <c r="M50" s="3" t="n">
        <v>29899.0</v>
      </c>
      <c r="N50" s="3" t="n">
        <v>28047.0</v>
      </c>
      <c r="O50" s="3" t="n">
        <v>27259.0</v>
      </c>
      <c r="P50" s="3" t="n">
        <v>25812.0</v>
      </c>
      <c r="Q50" s="3" t="n">
        <v>24475.0</v>
      </c>
      <c r="R50" s="3" t="n">
        <v>23825.0</v>
      </c>
      <c r="S50" s="3" t="n">
        <v>22702.0</v>
      </c>
      <c r="T50" s="3" t="n">
        <v>21543.0</v>
      </c>
      <c r="U50" s="3" t="n">
        <v>21099.0</v>
      </c>
      <c r="V50" s="3" t="n">
        <v>20963.0</v>
      </c>
      <c r="W50" s="3" t="n">
        <v>20238.0</v>
      </c>
      <c r="X50" s="3" t="n">
        <v>19769.0</v>
      </c>
      <c r="Y50" s="3" t="n">
        <v>19367.0</v>
      </c>
      <c r="Z50" s="3" t="n">
        <v>20063.0</v>
      </c>
      <c r="AA50" s="3" t="n">
        <v>20264.0</v>
      </c>
      <c r="AB50" s="3" t="n">
        <v>21274.0</v>
      </c>
      <c r="AC50" s="3" t="n">
        <v>21997.0</v>
      </c>
      <c r="AD50" s="3" t="n">
        <v>23699.0</v>
      </c>
      <c r="AE50" s="3" t="n">
        <v>24297.0</v>
      </c>
      <c r="AF50" s="3" t="n">
        <v>23712.0</v>
      </c>
      <c r="AG50" s="3" t="n">
        <v>22455.0</v>
      </c>
      <c r="AH50" s="3" t="n">
        <v>22502.0</v>
      </c>
      <c r="AI50" s="3" t="n">
        <v>21026.0</v>
      </c>
      <c r="AJ50" s="3" t="n">
        <v>21471.0</v>
      </c>
      <c r="AK50" s="3" t="n">
        <v>21031.0</v>
      </c>
      <c r="AL50" s="3" t="n">
        <v>21607.0</v>
      </c>
      <c r="AM50" s="3" t="n">
        <v>22359.0</v>
      </c>
      <c r="AN50" s="3" t="n">
        <v>21536.0</v>
      </c>
      <c r="AO50" s="3" t="n">
        <v>20045.0</v>
      </c>
    </row>
    <row r="51" spans="1:41" x14ac:dyDescent="0.2">
      <c r="A51" s="128"/>
      <c r="B51" s="9">
        <v>42</v>
      </c>
      <c r="C51" s="3" t="n">
        <v>38777.0</v>
      </c>
      <c r="D51" s="3" t="n">
        <v>37490.0</v>
      </c>
      <c r="E51" s="3" t="n">
        <v>39333.0</v>
      </c>
      <c r="F51" s="3" t="n">
        <v>40130.0</v>
      </c>
      <c r="G51" s="3" t="n">
        <v>38007.0</v>
      </c>
      <c r="H51" s="3" t="n">
        <v>36721.0</v>
      </c>
      <c r="I51" s="3" t="n">
        <v>34097.0</v>
      </c>
      <c r="J51" s="3" t="n">
        <v>32369.0</v>
      </c>
      <c r="K51" s="3" t="n">
        <v>31579.0</v>
      </c>
      <c r="L51" s="3" t="n">
        <v>30592.0</v>
      </c>
      <c r="M51" s="3" t="n">
        <v>30497.0</v>
      </c>
      <c r="N51" s="3" t="n">
        <v>29835.0</v>
      </c>
      <c r="O51" s="3" t="n">
        <v>27982.0</v>
      </c>
      <c r="P51" s="3" t="n">
        <v>27197.0</v>
      </c>
      <c r="Q51" s="3" t="n">
        <v>25752.0</v>
      </c>
      <c r="R51" s="3" t="n">
        <v>24417.0</v>
      </c>
      <c r="S51" s="3" t="n">
        <v>23770.0</v>
      </c>
      <c r="T51" s="3" t="n">
        <v>22641.0</v>
      </c>
      <c r="U51" s="3" t="n">
        <v>21486.0</v>
      </c>
      <c r="V51" s="3" t="n">
        <v>21046.0</v>
      </c>
      <c r="W51" s="3" t="n">
        <v>20910.0</v>
      </c>
      <c r="X51" s="3" t="n">
        <v>20191.0</v>
      </c>
      <c r="Y51" s="3" t="n">
        <v>19717.0</v>
      </c>
      <c r="Z51" s="3" t="n">
        <v>19316.0</v>
      </c>
      <c r="AA51" s="3" t="n">
        <v>20014.0</v>
      </c>
      <c r="AB51" s="3" t="n">
        <v>20212.0</v>
      </c>
      <c r="AC51" s="3" t="n">
        <v>21218.0</v>
      </c>
      <c r="AD51" s="3" t="n">
        <v>21943.0</v>
      </c>
      <c r="AE51" s="3" t="n">
        <v>23638.0</v>
      </c>
      <c r="AF51" s="3" t="n">
        <v>24233.0</v>
      </c>
      <c r="AG51" s="3" t="n">
        <v>23650.0</v>
      </c>
      <c r="AH51" s="3" t="n">
        <v>22392.0</v>
      </c>
      <c r="AI51" s="3" t="n">
        <v>22437.0</v>
      </c>
      <c r="AJ51" s="3" t="n">
        <v>20967.0</v>
      </c>
      <c r="AK51" s="3" t="n">
        <v>21411.0</v>
      </c>
      <c r="AL51" s="3" t="n">
        <v>20971.0</v>
      </c>
      <c r="AM51" s="3" t="n">
        <v>21548.0</v>
      </c>
      <c r="AN51" s="3" t="n">
        <v>22296.0</v>
      </c>
      <c r="AO51" s="3" t="n">
        <v>21477.0</v>
      </c>
    </row>
    <row r="52" spans="1:41" x14ac:dyDescent="0.2">
      <c r="A52" s="128"/>
      <c r="B52" s="9">
        <v>43</v>
      </c>
      <c r="C52" s="3" t="n">
        <v>38387.0</v>
      </c>
      <c r="D52" s="3" t="n">
        <v>38650.0</v>
      </c>
      <c r="E52" s="3" t="n">
        <v>37371.0</v>
      </c>
      <c r="F52" s="3" t="n">
        <v>39209.0</v>
      </c>
      <c r="G52" s="3" t="n">
        <v>40012.0</v>
      </c>
      <c r="H52" s="3" t="n">
        <v>37928.0</v>
      </c>
      <c r="I52" s="3" t="n">
        <v>36661.0</v>
      </c>
      <c r="J52" s="3" t="n">
        <v>34013.0</v>
      </c>
      <c r="K52" s="3" t="n">
        <v>32290.0</v>
      </c>
      <c r="L52" s="3" t="n">
        <v>31495.0</v>
      </c>
      <c r="M52" s="3" t="n">
        <v>30514.0</v>
      </c>
      <c r="N52" s="3" t="n">
        <v>30411.0</v>
      </c>
      <c r="O52" s="3" t="n">
        <v>29750.0</v>
      </c>
      <c r="P52" s="3" t="n">
        <v>27906.0</v>
      </c>
      <c r="Q52" s="3" t="n">
        <v>27125.0</v>
      </c>
      <c r="R52" s="3" t="n">
        <v>25678.0</v>
      </c>
      <c r="S52" s="3" t="n">
        <v>24345.0</v>
      </c>
      <c r="T52" s="3" t="n">
        <v>23700.0</v>
      </c>
      <c r="U52" s="3" t="n">
        <v>22575.0</v>
      </c>
      <c r="V52" s="3" t="n">
        <v>21421.0</v>
      </c>
      <c r="W52" s="3" t="n">
        <v>20981.0</v>
      </c>
      <c r="X52" s="3" t="n">
        <v>20843.0</v>
      </c>
      <c r="Y52" s="3" t="n">
        <v>20128.0</v>
      </c>
      <c r="Z52" s="3" t="n">
        <v>19655.0</v>
      </c>
      <c r="AA52" s="3" t="n">
        <v>19253.0</v>
      </c>
      <c r="AB52" s="3" t="n">
        <v>19950.0</v>
      </c>
      <c r="AC52" s="3" t="n">
        <v>20145.0</v>
      </c>
      <c r="AD52" s="3" t="n">
        <v>21153.0</v>
      </c>
      <c r="AE52" s="3" t="n">
        <v>21879.0</v>
      </c>
      <c r="AF52" s="3" t="n">
        <v>23564.0</v>
      </c>
      <c r="AG52" s="3" t="n">
        <v>24157.0</v>
      </c>
      <c r="AH52" s="3" t="n">
        <v>23579.0</v>
      </c>
      <c r="AI52" s="3" t="n">
        <v>22323.0</v>
      </c>
      <c r="AJ52" s="3" t="n">
        <v>22365.0</v>
      </c>
      <c r="AK52" s="3" t="n">
        <v>20902.0</v>
      </c>
      <c r="AL52" s="3" t="n">
        <v>21347.0</v>
      </c>
      <c r="AM52" s="3" t="n">
        <v>20909.0</v>
      </c>
      <c r="AN52" s="3" t="n">
        <v>21484.0</v>
      </c>
      <c r="AO52" s="3" t="n">
        <v>22231.0</v>
      </c>
    </row>
    <row r="53" spans="1:41" x14ac:dyDescent="0.2">
      <c r="A53" s="128"/>
      <c r="B53" s="9">
        <v>44</v>
      </c>
      <c r="C53" s="3" t="n">
        <v>38077.0</v>
      </c>
      <c r="D53" s="3" t="n">
        <v>38277.0</v>
      </c>
      <c r="E53" s="3" t="n">
        <v>38540.0</v>
      </c>
      <c r="F53" s="3" t="n">
        <v>37268.0</v>
      </c>
      <c r="G53" s="3" t="n">
        <v>39101.0</v>
      </c>
      <c r="H53" s="3" t="n">
        <v>39936.0</v>
      </c>
      <c r="I53" s="3" t="n">
        <v>37874.0</v>
      </c>
      <c r="J53" s="3" t="n">
        <v>36591.0</v>
      </c>
      <c r="K53" s="3" t="n">
        <v>33940.0</v>
      </c>
      <c r="L53" s="3" t="n">
        <v>32211.0</v>
      </c>
      <c r="M53" s="3" t="n">
        <v>31415.0</v>
      </c>
      <c r="N53" s="3" t="n">
        <v>30439.0</v>
      </c>
      <c r="O53" s="3" t="n">
        <v>30330.0</v>
      </c>
      <c r="P53" s="3" t="n">
        <v>29678.0</v>
      </c>
      <c r="Q53" s="3" t="n">
        <v>27833.0</v>
      </c>
      <c r="R53" s="3" t="n">
        <v>27048.0</v>
      </c>
      <c r="S53" s="3" t="n">
        <v>25614.0</v>
      </c>
      <c r="T53" s="3" t="n">
        <v>24287.0</v>
      </c>
      <c r="U53" s="3" t="n">
        <v>23643.0</v>
      </c>
      <c r="V53" s="3" t="n">
        <v>22522.0</v>
      </c>
      <c r="W53" s="3" t="n">
        <v>21373.0</v>
      </c>
      <c r="X53" s="3" t="n">
        <v>20931.0</v>
      </c>
      <c r="Y53" s="3" t="n">
        <v>20793.0</v>
      </c>
      <c r="Z53" s="3" t="n">
        <v>20078.0</v>
      </c>
      <c r="AA53" s="3" t="n">
        <v>19606.0</v>
      </c>
      <c r="AB53" s="3" t="n">
        <v>19201.0</v>
      </c>
      <c r="AC53" s="3" t="n">
        <v>19902.0</v>
      </c>
      <c r="AD53" s="3" t="n">
        <v>20096.0</v>
      </c>
      <c r="AE53" s="3" t="n">
        <v>21096.0</v>
      </c>
      <c r="AF53" s="3" t="n">
        <v>21824.0</v>
      </c>
      <c r="AG53" s="3" t="n">
        <v>23503.0</v>
      </c>
      <c r="AH53" s="3" t="n">
        <v>24092.0</v>
      </c>
      <c r="AI53" s="3" t="n">
        <v>23519.0</v>
      </c>
      <c r="AJ53" s="3" t="n">
        <v>22271.0</v>
      </c>
      <c r="AK53" s="3" t="n">
        <v>22308.0</v>
      </c>
      <c r="AL53" s="3" t="n">
        <v>20849.0</v>
      </c>
      <c r="AM53" s="3" t="n">
        <v>21290.0</v>
      </c>
      <c r="AN53" s="3" t="n">
        <v>20857.0</v>
      </c>
      <c r="AO53" s="3" t="n">
        <v>21434.0</v>
      </c>
    </row>
    <row r="54" spans="1:41" x14ac:dyDescent="0.2">
      <c r="A54" s="128"/>
      <c r="B54" s="9">
        <v>45</v>
      </c>
      <c r="C54" s="3" t="n">
        <v>38064.0</v>
      </c>
      <c r="D54" s="3" t="n">
        <v>37965.0</v>
      </c>
      <c r="E54" s="3" t="n">
        <v>38164.0</v>
      </c>
      <c r="F54" s="3" t="n">
        <v>38426.0</v>
      </c>
      <c r="G54" s="3" t="n">
        <v>37165.0</v>
      </c>
      <c r="H54" s="3" t="n">
        <v>39017.0</v>
      </c>
      <c r="I54" s="3" t="n">
        <v>39866.0</v>
      </c>
      <c r="J54" s="3" t="n">
        <v>37791.0</v>
      </c>
      <c r="K54" s="3" t="n">
        <v>36500.0</v>
      </c>
      <c r="L54" s="3" t="n">
        <v>33860.0</v>
      </c>
      <c r="M54" s="3" t="n">
        <v>32134.0</v>
      </c>
      <c r="N54" s="3" t="n">
        <v>31332.0</v>
      </c>
      <c r="O54" s="3" t="n">
        <v>30360.0</v>
      </c>
      <c r="P54" s="3" t="n">
        <v>30254.0</v>
      </c>
      <c r="Q54" s="3" t="n">
        <v>29606.0</v>
      </c>
      <c r="R54" s="3" t="n">
        <v>27770.0</v>
      </c>
      <c r="S54" s="3" t="n">
        <v>26984.0</v>
      </c>
      <c r="T54" s="3" t="n">
        <v>25553.0</v>
      </c>
      <c r="U54" s="3" t="n">
        <v>24224.0</v>
      </c>
      <c r="V54" s="3" t="n">
        <v>23574.0</v>
      </c>
      <c r="W54" s="3" t="n">
        <v>22460.0</v>
      </c>
      <c r="X54" s="3" t="n">
        <v>21318.0</v>
      </c>
      <c r="Y54" s="3" t="n">
        <v>20880.0</v>
      </c>
      <c r="Z54" s="3" t="n">
        <v>20738.0</v>
      </c>
      <c r="AA54" s="3" t="n">
        <v>20029.0</v>
      </c>
      <c r="AB54" s="3" t="n">
        <v>19558.0</v>
      </c>
      <c r="AC54" s="3" t="n">
        <v>19155.0</v>
      </c>
      <c r="AD54" s="3" t="n">
        <v>19852.0</v>
      </c>
      <c r="AE54" s="3" t="n">
        <v>20045.0</v>
      </c>
      <c r="AF54" s="3" t="n">
        <v>21037.0</v>
      </c>
      <c r="AG54" s="3" t="n">
        <v>21767.0</v>
      </c>
      <c r="AH54" s="3" t="n">
        <v>23441.0</v>
      </c>
      <c r="AI54" s="3" t="n">
        <v>24028.0</v>
      </c>
      <c r="AJ54" s="3" t="n">
        <v>23457.0</v>
      </c>
      <c r="AK54" s="3" t="n">
        <v>22210.0</v>
      </c>
      <c r="AL54" s="3" t="n">
        <v>22250.0</v>
      </c>
      <c r="AM54" s="3" t="n">
        <v>20797.0</v>
      </c>
      <c r="AN54" s="3" t="n">
        <v>21237.0</v>
      </c>
      <c r="AO54" s="3" t="n">
        <v>20804.0</v>
      </c>
    </row>
    <row r="55" spans="1:41" x14ac:dyDescent="0.2">
      <c r="A55" s="128"/>
      <c r="B55" s="9">
        <v>46</v>
      </c>
      <c r="C55" s="3" t="n">
        <v>37952.0</v>
      </c>
      <c r="D55" s="3" t="n">
        <v>37924.0</v>
      </c>
      <c r="E55" s="3" t="n">
        <v>37829.0</v>
      </c>
      <c r="F55" s="3" t="n">
        <v>38036.0</v>
      </c>
      <c r="G55" s="3" t="n">
        <v>38296.0</v>
      </c>
      <c r="H55" s="3" t="n">
        <v>37067.0</v>
      </c>
      <c r="I55" s="3" t="n">
        <v>38930.0</v>
      </c>
      <c r="J55" s="3" t="n">
        <v>39752.0</v>
      </c>
      <c r="K55" s="3" t="n">
        <v>37683.0</v>
      </c>
      <c r="L55" s="3" t="n">
        <v>36391.0</v>
      </c>
      <c r="M55" s="3" t="n">
        <v>33770.0</v>
      </c>
      <c r="N55" s="3" t="n">
        <v>32050.0</v>
      </c>
      <c r="O55" s="3" t="n">
        <v>31249.0</v>
      </c>
      <c r="P55" s="3" t="n">
        <v>30275.0</v>
      </c>
      <c r="Q55" s="3" t="n">
        <v>30180.0</v>
      </c>
      <c r="R55" s="3" t="n">
        <v>29531.0</v>
      </c>
      <c r="S55" s="3" t="n">
        <v>27701.0</v>
      </c>
      <c r="T55" s="3" t="n">
        <v>26916.0</v>
      </c>
      <c r="U55" s="3" t="n">
        <v>25490.0</v>
      </c>
      <c r="V55" s="3" t="n">
        <v>24168.0</v>
      </c>
      <c r="W55" s="3" t="n">
        <v>23515.0</v>
      </c>
      <c r="X55" s="3" t="n">
        <v>22405.0</v>
      </c>
      <c r="Y55" s="3" t="n">
        <v>21260.0</v>
      </c>
      <c r="Z55" s="3" t="n">
        <v>20827.0</v>
      </c>
      <c r="AA55" s="3" t="n">
        <v>20685.0</v>
      </c>
      <c r="AB55" s="3" t="n">
        <v>19975.0</v>
      </c>
      <c r="AC55" s="3" t="n">
        <v>19506.0</v>
      </c>
      <c r="AD55" s="3" t="n">
        <v>19103.0</v>
      </c>
      <c r="AE55" s="3" t="n">
        <v>19797.0</v>
      </c>
      <c r="AF55" s="3" t="n">
        <v>19993.0</v>
      </c>
      <c r="AG55" s="3" t="n">
        <v>20986.0</v>
      </c>
      <c r="AH55" s="3" t="n">
        <v>21707.0</v>
      </c>
      <c r="AI55" s="3" t="n">
        <v>23380.0</v>
      </c>
      <c r="AJ55" s="3" t="n">
        <v>23962.0</v>
      </c>
      <c r="AK55" s="3" t="n">
        <v>23389.0</v>
      </c>
      <c r="AL55" s="3" t="n">
        <v>22144.0</v>
      </c>
      <c r="AM55" s="3" t="n">
        <v>22185.0</v>
      </c>
      <c r="AN55" s="3" t="n">
        <v>20738.0</v>
      </c>
      <c r="AO55" s="3" t="n">
        <v>21175.0</v>
      </c>
    </row>
    <row r="56" spans="1:41" x14ac:dyDescent="0.2">
      <c r="A56" s="128"/>
      <c r="B56" s="9">
        <v>47</v>
      </c>
      <c r="C56" s="3" t="n">
        <v>36668.0</v>
      </c>
      <c r="D56" s="3" t="n">
        <v>37823.0</v>
      </c>
      <c r="E56" s="3" t="n">
        <v>37794.0</v>
      </c>
      <c r="F56" s="3" t="n">
        <v>37701.0</v>
      </c>
      <c r="G56" s="3" t="n">
        <v>37912.0</v>
      </c>
      <c r="H56" s="3" t="n">
        <v>38200.0</v>
      </c>
      <c r="I56" s="3" t="n">
        <v>36979.0</v>
      </c>
      <c r="J56" s="3" t="n">
        <v>38826.0</v>
      </c>
      <c r="K56" s="3" t="n">
        <v>39637.0</v>
      </c>
      <c r="L56" s="3" t="n">
        <v>37574.0</v>
      </c>
      <c r="M56" s="3" t="n">
        <v>36280.0</v>
      </c>
      <c r="N56" s="3" t="n">
        <v>33673.0</v>
      </c>
      <c r="O56" s="3" t="n">
        <v>31964.0</v>
      </c>
      <c r="P56" s="3" t="n">
        <v>31160.0</v>
      </c>
      <c r="Q56" s="3" t="n">
        <v>30191.0</v>
      </c>
      <c r="R56" s="3" t="n">
        <v>30091.0</v>
      </c>
      <c r="S56" s="3" t="n">
        <v>29440.0</v>
      </c>
      <c r="T56" s="3" t="n">
        <v>27621.0</v>
      </c>
      <c r="U56" s="3" t="n">
        <v>26834.0</v>
      </c>
      <c r="V56" s="3" t="n">
        <v>25417.0</v>
      </c>
      <c r="W56" s="3" t="n">
        <v>24103.0</v>
      </c>
      <c r="X56" s="3" t="n">
        <v>23447.0</v>
      </c>
      <c r="Y56" s="3" t="n">
        <v>22343.0</v>
      </c>
      <c r="Z56" s="3" t="n">
        <v>21201.0</v>
      </c>
      <c r="AA56" s="3" t="n">
        <v>20769.0</v>
      </c>
      <c r="AB56" s="3" t="n">
        <v>20623.0</v>
      </c>
      <c r="AC56" s="3" t="n">
        <v>19916.0</v>
      </c>
      <c r="AD56" s="3" t="n">
        <v>19451.0</v>
      </c>
      <c r="AE56" s="3" t="n">
        <v>19047.0</v>
      </c>
      <c r="AF56" s="3" t="n">
        <v>19738.0</v>
      </c>
      <c r="AG56" s="3" t="n">
        <v>19933.0</v>
      </c>
      <c r="AH56" s="3" t="n">
        <v>20929.0</v>
      </c>
      <c r="AI56" s="3" t="n">
        <v>21644.0</v>
      </c>
      <c r="AJ56" s="3" t="n">
        <v>23309.0</v>
      </c>
      <c r="AK56" s="3" t="n">
        <v>23889.0</v>
      </c>
      <c r="AL56" s="3" t="n">
        <v>23318.0</v>
      </c>
      <c r="AM56" s="3" t="n">
        <v>22078.0</v>
      </c>
      <c r="AN56" s="3" t="n">
        <v>22115.0</v>
      </c>
      <c r="AO56" s="3" t="n">
        <v>20674.0</v>
      </c>
    </row>
    <row r="57" spans="1:41" x14ac:dyDescent="0.2">
      <c r="A57" s="128"/>
      <c r="B57" s="9">
        <v>48</v>
      </c>
      <c r="C57" s="3" t="n">
        <v>35168.0</v>
      </c>
      <c r="D57" s="3" t="n">
        <v>36530.0</v>
      </c>
      <c r="E57" s="3" t="n">
        <v>37684.0</v>
      </c>
      <c r="F57" s="3" t="n">
        <v>37655.0</v>
      </c>
      <c r="G57" s="3" t="n">
        <v>37569.0</v>
      </c>
      <c r="H57" s="3" t="n">
        <v>37801.0</v>
      </c>
      <c r="I57" s="3" t="n">
        <v>38102.0</v>
      </c>
      <c r="J57" s="3" t="n">
        <v>36865.0</v>
      </c>
      <c r="K57" s="3" t="n">
        <v>38698.0</v>
      </c>
      <c r="L57" s="3" t="n">
        <v>39513.0</v>
      </c>
      <c r="M57" s="3" t="n">
        <v>37453.0</v>
      </c>
      <c r="N57" s="3" t="n">
        <v>36163.0</v>
      </c>
      <c r="O57" s="3" t="n">
        <v>33568.0</v>
      </c>
      <c r="P57" s="3" t="n">
        <v>31858.0</v>
      </c>
      <c r="Q57" s="3" t="n">
        <v>31063.0</v>
      </c>
      <c r="R57" s="3" t="n">
        <v>30097.0</v>
      </c>
      <c r="S57" s="3" t="n">
        <v>29999.0</v>
      </c>
      <c r="T57" s="3" t="n">
        <v>29347.0</v>
      </c>
      <c r="U57" s="3" t="n">
        <v>27536.0</v>
      </c>
      <c r="V57" s="3" t="n">
        <v>26754.0</v>
      </c>
      <c r="W57" s="3" t="n">
        <v>25348.0</v>
      </c>
      <c r="X57" s="3" t="n">
        <v>24036.0</v>
      </c>
      <c r="Y57" s="3" t="n">
        <v>23384.0</v>
      </c>
      <c r="Z57" s="3" t="n">
        <v>22279.0</v>
      </c>
      <c r="AA57" s="3" t="n">
        <v>21141.0</v>
      </c>
      <c r="AB57" s="3" t="n">
        <v>20708.0</v>
      </c>
      <c r="AC57" s="3" t="n">
        <v>20559.0</v>
      </c>
      <c r="AD57" s="3" t="n">
        <v>19855.0</v>
      </c>
      <c r="AE57" s="3" t="n">
        <v>19395.0</v>
      </c>
      <c r="AF57" s="3" t="n">
        <v>18995.0</v>
      </c>
      <c r="AG57" s="3" t="n">
        <v>19678.0</v>
      </c>
      <c r="AH57" s="3" t="n">
        <v>19870.0</v>
      </c>
      <c r="AI57" s="3" t="n">
        <v>20867.0</v>
      </c>
      <c r="AJ57" s="3" t="n">
        <v>21587.0</v>
      </c>
      <c r="AK57" s="3" t="n">
        <v>23246.0</v>
      </c>
      <c r="AL57" s="3" t="n">
        <v>23817.0</v>
      </c>
      <c r="AM57" s="3" t="n">
        <v>23245.0</v>
      </c>
      <c r="AN57" s="3" t="n">
        <v>22011.0</v>
      </c>
      <c r="AO57" s="3" t="n">
        <v>22048.0</v>
      </c>
    </row>
    <row r="58" spans="1:41" x14ac:dyDescent="0.2">
      <c r="A58" s="128"/>
      <c r="B58" s="9">
        <v>49</v>
      </c>
      <c r="C58" s="3" t="n">
        <v>33824.0</v>
      </c>
      <c r="D58" s="3" t="n">
        <v>35023.0</v>
      </c>
      <c r="E58" s="3" t="n">
        <v>36384.0</v>
      </c>
      <c r="F58" s="3" t="n">
        <v>37531.0</v>
      </c>
      <c r="G58" s="3" t="n">
        <v>37499.0</v>
      </c>
      <c r="H58" s="3" t="n">
        <v>37438.0</v>
      </c>
      <c r="I58" s="3" t="n">
        <v>37682.0</v>
      </c>
      <c r="J58" s="3" t="n">
        <v>37969.0</v>
      </c>
      <c r="K58" s="3" t="n">
        <v>36729.0</v>
      </c>
      <c r="L58" s="3" t="n">
        <v>38551.0</v>
      </c>
      <c r="M58" s="3" t="n">
        <v>39368.0</v>
      </c>
      <c r="N58" s="3" t="n">
        <v>37319.0</v>
      </c>
      <c r="O58" s="3" t="n">
        <v>36038.0</v>
      </c>
      <c r="P58" s="3" t="n">
        <v>33455.0</v>
      </c>
      <c r="Q58" s="3" t="n">
        <v>31750.0</v>
      </c>
      <c r="R58" s="3" t="n">
        <v>30958.0</v>
      </c>
      <c r="S58" s="3" t="n">
        <v>29996.0</v>
      </c>
      <c r="T58" s="3" t="n">
        <v>29893.0</v>
      </c>
      <c r="U58" s="3" t="n">
        <v>29247.0</v>
      </c>
      <c r="V58" s="3" t="n">
        <v>27447.0</v>
      </c>
      <c r="W58" s="3" t="n">
        <v>26671.0</v>
      </c>
      <c r="X58" s="3" t="n">
        <v>25267.0</v>
      </c>
      <c r="Y58" s="3" t="n">
        <v>23957.0</v>
      </c>
      <c r="Z58" s="3" t="n">
        <v>23301.0</v>
      </c>
      <c r="AA58" s="3" t="n">
        <v>22203.0</v>
      </c>
      <c r="AB58" s="3" t="n">
        <v>21066.0</v>
      </c>
      <c r="AC58" s="3" t="n">
        <v>20636.0</v>
      </c>
      <c r="AD58" s="3" t="n">
        <v>20491.0</v>
      </c>
      <c r="AE58" s="3" t="n">
        <v>19786.0</v>
      </c>
      <c r="AF58" s="3" t="n">
        <v>19331.0</v>
      </c>
      <c r="AG58" s="3" t="n">
        <v>18927.0</v>
      </c>
      <c r="AH58" s="3" t="n">
        <v>19607.0</v>
      </c>
      <c r="AI58" s="3" t="n">
        <v>19802.0</v>
      </c>
      <c r="AJ58" s="3" t="n">
        <v>20800.0</v>
      </c>
      <c r="AK58" s="3" t="n">
        <v>21521.0</v>
      </c>
      <c r="AL58" s="3" t="n">
        <v>23171.0</v>
      </c>
      <c r="AM58" s="3" t="n">
        <v>23737.0</v>
      </c>
      <c r="AN58" s="3" t="n">
        <v>23166.0</v>
      </c>
      <c r="AO58" s="3" t="n">
        <v>21937.0</v>
      </c>
    </row>
    <row r="59" spans="1:41" x14ac:dyDescent="0.2">
      <c r="A59" s="128"/>
      <c r="B59" s="9">
        <v>50</v>
      </c>
      <c r="C59" s="3" t="n">
        <v>32775.0</v>
      </c>
      <c r="D59" s="3" t="n">
        <v>33679.0</v>
      </c>
      <c r="E59" s="3" t="n">
        <v>34869.0</v>
      </c>
      <c r="F59" s="3" t="n">
        <v>36226.0</v>
      </c>
      <c r="G59" s="3" t="n">
        <v>37371.0</v>
      </c>
      <c r="H59" s="3" t="n">
        <v>37357.0</v>
      </c>
      <c r="I59" s="3" t="n">
        <v>37315.0</v>
      </c>
      <c r="J59" s="3" t="n">
        <v>37542.0</v>
      </c>
      <c r="K59" s="3" t="n">
        <v>37824.0</v>
      </c>
      <c r="L59" s="3" t="n">
        <v>36590.0</v>
      </c>
      <c r="M59" s="3" t="n">
        <v>38399.0</v>
      </c>
      <c r="N59" s="3" t="n">
        <v>39218.0</v>
      </c>
      <c r="O59" s="3" t="n">
        <v>37187.0</v>
      </c>
      <c r="P59" s="3" t="n">
        <v>35908.0</v>
      </c>
      <c r="Q59" s="3" t="n">
        <v>33345.0</v>
      </c>
      <c r="R59" s="3" t="n">
        <v>31647.0</v>
      </c>
      <c r="S59" s="3" t="n">
        <v>30858.0</v>
      </c>
      <c r="T59" s="3" t="n">
        <v>29902.0</v>
      </c>
      <c r="U59" s="3" t="n">
        <v>29798.0</v>
      </c>
      <c r="V59" s="3" t="n">
        <v>29150.0</v>
      </c>
      <c r="W59" s="3" t="n">
        <v>27355.0</v>
      </c>
      <c r="X59" s="3" t="n">
        <v>26585.0</v>
      </c>
      <c r="Y59" s="3" t="n">
        <v>25187.0</v>
      </c>
      <c r="Z59" s="3" t="n">
        <v>23879.0</v>
      </c>
      <c r="AA59" s="3" t="n">
        <v>23230.0</v>
      </c>
      <c r="AB59" s="3" t="n">
        <v>22134.0</v>
      </c>
      <c r="AC59" s="3" t="n">
        <v>21004.0</v>
      </c>
      <c r="AD59" s="3" t="n">
        <v>20569.0</v>
      </c>
      <c r="AE59" s="3" t="n">
        <v>20424.0</v>
      </c>
      <c r="AF59" s="3" t="n">
        <v>19721.0</v>
      </c>
      <c r="AG59" s="3" t="n">
        <v>19262.0</v>
      </c>
      <c r="AH59" s="3" t="n">
        <v>18858.0</v>
      </c>
      <c r="AI59" s="3" t="n">
        <v>19536.0</v>
      </c>
      <c r="AJ59" s="3" t="n">
        <v>19735.0</v>
      </c>
      <c r="AK59" s="3" t="n">
        <v>20727.0</v>
      </c>
      <c r="AL59" s="3" t="n">
        <v>21453.0</v>
      </c>
      <c r="AM59" s="3" t="n">
        <v>23097.0</v>
      </c>
      <c r="AN59" s="3" t="n">
        <v>23660.0</v>
      </c>
      <c r="AO59" s="3" t="n">
        <v>23092.0</v>
      </c>
    </row>
    <row r="60" spans="1:41" x14ac:dyDescent="0.2">
      <c r="A60" s="128"/>
      <c r="B60" s="9">
        <v>51</v>
      </c>
      <c r="C60" s="3" t="n">
        <v>31824.0</v>
      </c>
      <c r="D60" s="3" t="n">
        <v>32597.0</v>
      </c>
      <c r="E60" s="3" t="n">
        <v>33502.0</v>
      </c>
      <c r="F60" s="3" t="n">
        <v>34686.0</v>
      </c>
      <c r="G60" s="3" t="n">
        <v>36042.0</v>
      </c>
      <c r="H60" s="3" t="n">
        <v>37215.0</v>
      </c>
      <c r="I60" s="3" t="n">
        <v>37202.0</v>
      </c>
      <c r="J60" s="3" t="n">
        <v>37148.0</v>
      </c>
      <c r="K60" s="3" t="n">
        <v>37372.0</v>
      </c>
      <c r="L60" s="3" t="n">
        <v>37651.0</v>
      </c>
      <c r="M60" s="3" t="n">
        <v>36415.0</v>
      </c>
      <c r="N60" s="3" t="n">
        <v>38217.0</v>
      </c>
      <c r="O60" s="3" t="n">
        <v>39034.0</v>
      </c>
      <c r="P60" s="3" t="n">
        <v>37015.0</v>
      </c>
      <c r="Q60" s="3" t="n">
        <v>35744.0</v>
      </c>
      <c r="R60" s="3" t="n">
        <v>33190.0</v>
      </c>
      <c r="S60" s="3" t="n">
        <v>31504.0</v>
      </c>
      <c r="T60" s="3" t="n">
        <v>30721.0</v>
      </c>
      <c r="U60" s="3" t="n">
        <v>29772.0</v>
      </c>
      <c r="V60" s="3" t="n">
        <v>29667.0</v>
      </c>
      <c r="W60" s="3" t="n">
        <v>29027.0</v>
      </c>
      <c r="X60" s="3" t="n">
        <v>27242.0</v>
      </c>
      <c r="Y60" s="3" t="n">
        <v>26474.0</v>
      </c>
      <c r="Z60" s="3" t="n">
        <v>25078.0</v>
      </c>
      <c r="AA60" s="3" t="n">
        <v>23775.0</v>
      </c>
      <c r="AB60" s="3" t="n">
        <v>23127.0</v>
      </c>
      <c r="AC60" s="3" t="n">
        <v>22039.0</v>
      </c>
      <c r="AD60" s="3" t="n">
        <v>20907.0</v>
      </c>
      <c r="AE60" s="3" t="n">
        <v>20480.0</v>
      </c>
      <c r="AF60" s="3" t="n">
        <v>20333.0</v>
      </c>
      <c r="AG60" s="3" t="n">
        <v>19633.0</v>
      </c>
      <c r="AH60" s="3" t="n">
        <v>19173.0</v>
      </c>
      <c r="AI60" s="3" t="n">
        <v>18771.0</v>
      </c>
      <c r="AJ60" s="3" t="n">
        <v>19445.0</v>
      </c>
      <c r="AK60" s="3" t="n">
        <v>19646.0</v>
      </c>
      <c r="AL60" s="3" t="n">
        <v>20635.0</v>
      </c>
      <c r="AM60" s="3" t="n">
        <v>21361.0</v>
      </c>
      <c r="AN60" s="3" t="n">
        <v>22999.0</v>
      </c>
      <c r="AO60" s="3" t="n">
        <v>23561.0</v>
      </c>
    </row>
    <row r="61" spans="1:41" x14ac:dyDescent="0.2">
      <c r="A61" s="128"/>
      <c r="B61" s="9">
        <v>52</v>
      </c>
      <c r="C61" s="3" t="n">
        <v>30342.0</v>
      </c>
      <c r="D61" s="3" t="n">
        <v>31655.0</v>
      </c>
      <c r="E61" s="3" t="n">
        <v>32425.0</v>
      </c>
      <c r="F61" s="3" t="n">
        <v>33331.0</v>
      </c>
      <c r="G61" s="3" t="n">
        <v>34509.0</v>
      </c>
      <c r="H61" s="3" t="n">
        <v>35876.0</v>
      </c>
      <c r="I61" s="3" t="n">
        <v>37048.0</v>
      </c>
      <c r="J61" s="3" t="n">
        <v>37030.0</v>
      </c>
      <c r="K61" s="3" t="n">
        <v>36969.0</v>
      </c>
      <c r="L61" s="3" t="n">
        <v>37193.0</v>
      </c>
      <c r="M61" s="3" t="n">
        <v>37474.0</v>
      </c>
      <c r="N61" s="3" t="n">
        <v>36239.0</v>
      </c>
      <c r="O61" s="3" t="n">
        <v>38032.0</v>
      </c>
      <c r="P61" s="3" t="n">
        <v>38851.0</v>
      </c>
      <c r="Q61" s="3" t="n">
        <v>36851.0</v>
      </c>
      <c r="R61" s="3" t="n">
        <v>35581.0</v>
      </c>
      <c r="S61" s="3" t="n">
        <v>33041.0</v>
      </c>
      <c r="T61" s="3" t="n">
        <v>31368.0</v>
      </c>
      <c r="U61" s="3" t="n">
        <v>30588.0</v>
      </c>
      <c r="V61" s="3" t="n">
        <v>29644.0</v>
      </c>
      <c r="W61" s="3" t="n">
        <v>29537.0</v>
      </c>
      <c r="X61" s="3" t="n">
        <v>28900.0</v>
      </c>
      <c r="Y61" s="3" t="n">
        <v>27118.0</v>
      </c>
      <c r="Z61" s="3" t="n">
        <v>26353.0</v>
      </c>
      <c r="AA61" s="3" t="n">
        <v>24961.0</v>
      </c>
      <c r="AB61" s="3" t="n">
        <v>23663.0</v>
      </c>
      <c r="AC61" s="3" t="n">
        <v>23019.0</v>
      </c>
      <c r="AD61" s="3" t="n">
        <v>21942.0</v>
      </c>
      <c r="AE61" s="3" t="n">
        <v>20813.0</v>
      </c>
      <c r="AF61" s="3" t="n">
        <v>20385.0</v>
      </c>
      <c r="AG61" s="3" t="n">
        <v>20238.0</v>
      </c>
      <c r="AH61" s="3" t="n">
        <v>19540.0</v>
      </c>
      <c r="AI61" s="3" t="n">
        <v>19083.0</v>
      </c>
      <c r="AJ61" s="3" t="n">
        <v>18676.0</v>
      </c>
      <c r="AK61" s="3" t="n">
        <v>19349.0</v>
      </c>
      <c r="AL61" s="3" t="n">
        <v>19550.0</v>
      </c>
      <c r="AM61" s="3" t="n">
        <v>20532.0</v>
      </c>
      <c r="AN61" s="3" t="n">
        <v>21261.0</v>
      </c>
      <c r="AO61" s="3" t="n">
        <v>22892.0</v>
      </c>
    </row>
    <row r="62" spans="1:41" x14ac:dyDescent="0.2">
      <c r="A62" s="128"/>
      <c r="B62" s="9">
        <v>53</v>
      </c>
      <c r="C62" s="3" t="n">
        <v>29681.0</v>
      </c>
      <c r="D62" s="3" t="n">
        <v>30170.0</v>
      </c>
      <c r="E62" s="3" t="n">
        <v>31480.0</v>
      </c>
      <c r="F62" s="3" t="n">
        <v>32256.0</v>
      </c>
      <c r="G62" s="3" t="n">
        <v>33152.0</v>
      </c>
      <c r="H62" s="3" t="n">
        <v>34340.0</v>
      </c>
      <c r="I62" s="3" t="n">
        <v>35714.0</v>
      </c>
      <c r="J62" s="3" t="n">
        <v>36869.0</v>
      </c>
      <c r="K62" s="3" t="n">
        <v>36846.0</v>
      </c>
      <c r="L62" s="3" t="n">
        <v>36781.0</v>
      </c>
      <c r="M62" s="3" t="n">
        <v>37011.0</v>
      </c>
      <c r="N62" s="3" t="n">
        <v>37289.0</v>
      </c>
      <c r="O62" s="3" t="n">
        <v>36063.0</v>
      </c>
      <c r="P62" s="3" t="n">
        <v>37851.0</v>
      </c>
      <c r="Q62" s="3" t="n">
        <v>38667.0</v>
      </c>
      <c r="R62" s="3" t="n">
        <v>36680.0</v>
      </c>
      <c r="S62" s="3" t="n">
        <v>35423.0</v>
      </c>
      <c r="T62" s="3" t="n">
        <v>32894.0</v>
      </c>
      <c r="U62" s="3" t="n">
        <v>31226.0</v>
      </c>
      <c r="V62" s="3" t="n">
        <v>30453.0</v>
      </c>
      <c r="W62" s="3" t="n">
        <v>29513.0</v>
      </c>
      <c r="X62" s="3" t="n">
        <v>29408.0</v>
      </c>
      <c r="Y62" s="3" t="n">
        <v>28771.0</v>
      </c>
      <c r="Z62" s="3" t="n">
        <v>27000.0</v>
      </c>
      <c r="AA62" s="3" t="n">
        <v>26238.0</v>
      </c>
      <c r="AB62" s="3" t="n">
        <v>24850.0</v>
      </c>
      <c r="AC62" s="3" t="n">
        <v>23556.0</v>
      </c>
      <c r="AD62" s="3" t="n">
        <v>22909.0</v>
      </c>
      <c r="AE62" s="3" t="n">
        <v>21837.0</v>
      </c>
      <c r="AF62" s="3" t="n">
        <v>20712.0</v>
      </c>
      <c r="AG62" s="3" t="n">
        <v>20291.0</v>
      </c>
      <c r="AH62" s="3" t="n">
        <v>20145.0</v>
      </c>
      <c r="AI62" s="3" t="n">
        <v>19452.0</v>
      </c>
      <c r="AJ62" s="3" t="n">
        <v>19000.0</v>
      </c>
      <c r="AK62" s="3" t="n">
        <v>18590.0</v>
      </c>
      <c r="AL62" s="3" t="n">
        <v>19261.0</v>
      </c>
      <c r="AM62" s="3" t="n">
        <v>19463.0</v>
      </c>
      <c r="AN62" s="3" t="n">
        <v>20437.0</v>
      </c>
      <c r="AO62" s="3" t="n">
        <v>21165.0</v>
      </c>
    </row>
    <row r="63" spans="1:41" x14ac:dyDescent="0.2">
      <c r="A63" s="128"/>
      <c r="B63" s="9">
        <v>54</v>
      </c>
      <c r="C63" s="3" t="n">
        <v>28836.0</v>
      </c>
      <c r="D63" s="3" t="n">
        <v>29502.0</v>
      </c>
      <c r="E63" s="3" t="n">
        <v>29992.0</v>
      </c>
      <c r="F63" s="3" t="n">
        <v>31295.0</v>
      </c>
      <c r="G63" s="3" t="n">
        <v>32072.0</v>
      </c>
      <c r="H63" s="3" t="n">
        <v>32989.0</v>
      </c>
      <c r="I63" s="3" t="n">
        <v>34184.0</v>
      </c>
      <c r="J63" s="3" t="n">
        <v>35528.0</v>
      </c>
      <c r="K63" s="3" t="n">
        <v>36669.0</v>
      </c>
      <c r="L63" s="3" t="n">
        <v>36646.0</v>
      </c>
      <c r="M63" s="3" t="n">
        <v>36583.0</v>
      </c>
      <c r="N63" s="3" t="n">
        <v>36812.0</v>
      </c>
      <c r="O63" s="3" t="n">
        <v>37093.0</v>
      </c>
      <c r="P63" s="3" t="n">
        <v>35874.0</v>
      </c>
      <c r="Q63" s="3" t="n">
        <v>37653.0</v>
      </c>
      <c r="R63" s="3" t="n">
        <v>38464.0</v>
      </c>
      <c r="S63" s="3" t="n">
        <v>36489.0</v>
      </c>
      <c r="T63" s="3" t="n">
        <v>35251.0</v>
      </c>
      <c r="U63" s="3" t="n">
        <v>32739.0</v>
      </c>
      <c r="V63" s="3" t="n">
        <v>31082.0</v>
      </c>
      <c r="W63" s="3" t="n">
        <v>30313.0</v>
      </c>
      <c r="X63" s="3" t="n">
        <v>29378.0</v>
      </c>
      <c r="Y63" s="3" t="n">
        <v>29266.0</v>
      </c>
      <c r="Z63" s="3" t="n">
        <v>28638.0</v>
      </c>
      <c r="AA63" s="3" t="n">
        <v>26870.0</v>
      </c>
      <c r="AB63" s="3" t="n">
        <v>26111.0</v>
      </c>
      <c r="AC63" s="3" t="n">
        <v>24728.0</v>
      </c>
      <c r="AD63" s="3" t="n">
        <v>23446.0</v>
      </c>
      <c r="AE63" s="3" t="n">
        <v>22800.0</v>
      </c>
      <c r="AF63" s="3" t="n">
        <v>21737.0</v>
      </c>
      <c r="AG63" s="3" t="n">
        <v>20615.0</v>
      </c>
      <c r="AH63" s="3" t="n">
        <v>20198.0</v>
      </c>
      <c r="AI63" s="3" t="n">
        <v>20057.0</v>
      </c>
      <c r="AJ63" s="3" t="n">
        <v>19363.0</v>
      </c>
      <c r="AK63" s="3" t="n">
        <v>18906.0</v>
      </c>
      <c r="AL63" s="3" t="n">
        <v>18500.0</v>
      </c>
      <c r="AM63" s="3" t="n">
        <v>19174.0</v>
      </c>
      <c r="AN63" s="3" t="n">
        <v>19374.0</v>
      </c>
      <c r="AO63" s="3" t="n">
        <v>20342.0</v>
      </c>
    </row>
    <row r="64" spans="1:41" x14ac:dyDescent="0.2">
      <c r="A64" s="128"/>
      <c r="B64" s="9">
        <v>55</v>
      </c>
      <c r="C64" s="3" t="n">
        <v>28103.0</v>
      </c>
      <c r="D64" s="3" t="n">
        <v>28653.0</v>
      </c>
      <c r="E64" s="3" t="n">
        <v>29318.0</v>
      </c>
      <c r="F64" s="3" t="n">
        <v>29803.0</v>
      </c>
      <c r="G64" s="3" t="n">
        <v>31106.0</v>
      </c>
      <c r="H64" s="3" t="n">
        <v>31893.0</v>
      </c>
      <c r="I64" s="3" t="n">
        <v>32809.0</v>
      </c>
      <c r="J64" s="3" t="n">
        <v>33990.0</v>
      </c>
      <c r="K64" s="3" t="n">
        <v>35312.0</v>
      </c>
      <c r="L64" s="3" t="n">
        <v>36449.0</v>
      </c>
      <c r="M64" s="3" t="n">
        <v>36430.0</v>
      </c>
      <c r="N64" s="3" t="n">
        <v>36370.0</v>
      </c>
      <c r="O64" s="3" t="n">
        <v>36600.0</v>
      </c>
      <c r="P64" s="3" t="n">
        <v>36882.0</v>
      </c>
      <c r="Q64" s="3" t="n">
        <v>35675.0</v>
      </c>
      <c r="R64" s="3" t="n">
        <v>37441.0</v>
      </c>
      <c r="S64" s="3" t="n">
        <v>38246.0</v>
      </c>
      <c r="T64" s="3" t="n">
        <v>36290.0</v>
      </c>
      <c r="U64" s="3" t="n">
        <v>35065.0</v>
      </c>
      <c r="V64" s="3" t="n">
        <v>32574.0</v>
      </c>
      <c r="W64" s="3" t="n">
        <v>30918.0</v>
      </c>
      <c r="X64" s="3" t="n">
        <v>30147.0</v>
      </c>
      <c r="Y64" s="3" t="n">
        <v>29221.0</v>
      </c>
      <c r="Z64" s="3" t="n">
        <v>29108.0</v>
      </c>
      <c r="AA64" s="3" t="n">
        <v>28488.0</v>
      </c>
      <c r="AB64" s="3" t="n">
        <v>26734.0</v>
      </c>
      <c r="AC64" s="3" t="n">
        <v>25982.0</v>
      </c>
      <c r="AD64" s="3" t="n">
        <v>24602.0</v>
      </c>
      <c r="AE64" s="3" t="n">
        <v>23334.0</v>
      </c>
      <c r="AF64" s="3" t="n">
        <v>22694.0</v>
      </c>
      <c r="AG64" s="3" t="n">
        <v>21636.0</v>
      </c>
      <c r="AH64" s="3" t="n">
        <v>20519.0</v>
      </c>
      <c r="AI64" s="3" t="n">
        <v>20105.0</v>
      </c>
      <c r="AJ64" s="3" t="n">
        <v>19963.0</v>
      </c>
      <c r="AK64" s="3" t="n">
        <v>19276.0</v>
      </c>
      <c r="AL64" s="3" t="n">
        <v>18820.0</v>
      </c>
      <c r="AM64" s="3" t="n">
        <v>18416.0</v>
      </c>
      <c r="AN64" s="3" t="n">
        <v>19088.0</v>
      </c>
      <c r="AO64" s="3" t="n">
        <v>19285.0</v>
      </c>
    </row>
    <row r="65" spans="1:41" x14ac:dyDescent="0.2">
      <c r="A65" s="128"/>
      <c r="B65" s="9">
        <v>56</v>
      </c>
      <c r="C65" s="3" t="n">
        <v>28058.0</v>
      </c>
      <c r="D65" s="3" t="n">
        <v>27897.0</v>
      </c>
      <c r="E65" s="3" t="n">
        <v>28445.0</v>
      </c>
      <c r="F65" s="3" t="n">
        <v>29110.0</v>
      </c>
      <c r="G65" s="3" t="n">
        <v>29588.0</v>
      </c>
      <c r="H65" s="3" t="n">
        <v>30894.0</v>
      </c>
      <c r="I65" s="3" t="n">
        <v>31688.0</v>
      </c>
      <c r="J65" s="3" t="n">
        <v>32596.0</v>
      </c>
      <c r="K65" s="3" t="n">
        <v>33769.0</v>
      </c>
      <c r="L65" s="3" t="n">
        <v>35079.0</v>
      </c>
      <c r="M65" s="3" t="n">
        <v>36211.0</v>
      </c>
      <c r="N65" s="3" t="n">
        <v>36192.0</v>
      </c>
      <c r="O65" s="3" t="n">
        <v>36131.0</v>
      </c>
      <c r="P65" s="3" t="n">
        <v>36361.0</v>
      </c>
      <c r="Q65" s="3" t="n">
        <v>36646.0</v>
      </c>
      <c r="R65" s="3" t="n">
        <v>35446.0</v>
      </c>
      <c r="S65" s="3" t="n">
        <v>37205.0</v>
      </c>
      <c r="T65" s="3" t="n">
        <v>38008.0</v>
      </c>
      <c r="U65" s="3" t="n">
        <v>36070.0</v>
      </c>
      <c r="V65" s="3" t="n">
        <v>34850.0</v>
      </c>
      <c r="W65" s="3" t="n">
        <v>32384.0</v>
      </c>
      <c r="X65" s="3" t="n">
        <v>30741.0</v>
      </c>
      <c r="Y65" s="3" t="n">
        <v>29981.0</v>
      </c>
      <c r="Z65" s="3" t="n">
        <v>29062.0</v>
      </c>
      <c r="AA65" s="3" t="n">
        <v>28939.0</v>
      </c>
      <c r="AB65" s="3" t="n">
        <v>28327.0</v>
      </c>
      <c r="AC65" s="3" t="n">
        <v>26577.0</v>
      </c>
      <c r="AD65" s="3" t="n">
        <v>25837.0</v>
      </c>
      <c r="AE65" s="3" t="n">
        <v>24463.0</v>
      </c>
      <c r="AF65" s="3" t="n">
        <v>23198.0</v>
      </c>
      <c r="AG65" s="3" t="n">
        <v>22567.0</v>
      </c>
      <c r="AH65" s="3" t="n">
        <v>21516.0</v>
      </c>
      <c r="AI65" s="3" t="n">
        <v>20402.0</v>
      </c>
      <c r="AJ65" s="3" t="n">
        <v>19991.0</v>
      </c>
      <c r="AK65" s="3" t="n">
        <v>19852.0</v>
      </c>
      <c r="AL65" s="3" t="n">
        <v>19168.0</v>
      </c>
      <c r="AM65" s="3" t="n">
        <v>18720.0</v>
      </c>
      <c r="AN65" s="3" t="n">
        <v>18314.0</v>
      </c>
      <c r="AO65" s="3" t="n">
        <v>18985.0</v>
      </c>
    </row>
    <row r="66" spans="1:41" x14ac:dyDescent="0.2">
      <c r="A66" s="128"/>
      <c r="B66" s="9">
        <v>57</v>
      </c>
      <c r="C66" s="3" t="n">
        <v>27881.0</v>
      </c>
      <c r="D66" s="3" t="n">
        <v>27816.0</v>
      </c>
      <c r="E66" s="3" t="n">
        <v>27665.0</v>
      </c>
      <c r="F66" s="3" t="n">
        <v>28208.0</v>
      </c>
      <c r="G66" s="3" t="n">
        <v>28870.0</v>
      </c>
      <c r="H66" s="3" t="n">
        <v>29360.0</v>
      </c>
      <c r="I66" s="3" t="n">
        <v>30661.0</v>
      </c>
      <c r="J66" s="3" t="n">
        <v>31442.0</v>
      </c>
      <c r="K66" s="3" t="n">
        <v>32345.0</v>
      </c>
      <c r="L66" s="3" t="n">
        <v>33512.0</v>
      </c>
      <c r="M66" s="3" t="n">
        <v>34819.0</v>
      </c>
      <c r="N66" s="3" t="n">
        <v>35941.0</v>
      </c>
      <c r="O66" s="3" t="n">
        <v>35927.0</v>
      </c>
      <c r="P66" s="3" t="n">
        <v>35863.0</v>
      </c>
      <c r="Q66" s="3" t="n">
        <v>36095.0</v>
      </c>
      <c r="R66" s="3" t="n">
        <v>36376.0</v>
      </c>
      <c r="S66" s="3" t="n">
        <v>35188.0</v>
      </c>
      <c r="T66" s="3" t="n">
        <v>36931.0</v>
      </c>
      <c r="U66" s="3" t="n">
        <v>37737.0</v>
      </c>
      <c r="V66" s="3" t="n">
        <v>35809.0</v>
      </c>
      <c r="W66" s="3" t="n">
        <v>34604.0</v>
      </c>
      <c r="X66" s="3" t="n">
        <v>32157.0</v>
      </c>
      <c r="Y66" s="3" t="n">
        <v>30526.0</v>
      </c>
      <c r="Z66" s="3" t="n">
        <v>29769.0</v>
      </c>
      <c r="AA66" s="3" t="n">
        <v>28862.0</v>
      </c>
      <c r="AB66" s="3" t="n">
        <v>28738.0</v>
      </c>
      <c r="AC66" s="3" t="n">
        <v>28126.0</v>
      </c>
      <c r="AD66" s="3" t="n">
        <v>26387.0</v>
      </c>
      <c r="AE66" s="3" t="n">
        <v>25656.0</v>
      </c>
      <c r="AF66" s="3" t="n">
        <v>24295.0</v>
      </c>
      <c r="AG66" s="3" t="n">
        <v>23038.0</v>
      </c>
      <c r="AH66" s="3" t="n">
        <v>22415.0</v>
      </c>
      <c r="AI66" s="3" t="n">
        <v>21372.0</v>
      </c>
      <c r="AJ66" s="3" t="n">
        <v>20268.0</v>
      </c>
      <c r="AK66" s="3" t="n">
        <v>19860.0</v>
      </c>
      <c r="AL66" s="3" t="n">
        <v>19723.0</v>
      </c>
      <c r="AM66" s="3" t="n">
        <v>19045.0</v>
      </c>
      <c r="AN66" s="3" t="n">
        <v>18598.0</v>
      </c>
      <c r="AO66" s="3" t="n">
        <v>18196.0</v>
      </c>
    </row>
    <row r="67" spans="1:41" x14ac:dyDescent="0.2">
      <c r="A67" s="128"/>
      <c r="B67" s="9">
        <v>58</v>
      </c>
      <c r="C67" s="3" t="n">
        <v>28438.0</v>
      </c>
      <c r="D67" s="3" t="n">
        <v>27631.0</v>
      </c>
      <c r="E67" s="3" t="n">
        <v>27567.0</v>
      </c>
      <c r="F67" s="3" t="n">
        <v>27423.0</v>
      </c>
      <c r="G67" s="3" t="n">
        <v>27960.0</v>
      </c>
      <c r="H67" s="3" t="n">
        <v>28629.0</v>
      </c>
      <c r="I67" s="3" t="n">
        <v>29124.0</v>
      </c>
      <c r="J67" s="3" t="n">
        <v>30410.0</v>
      </c>
      <c r="K67" s="3" t="n">
        <v>31178.0</v>
      </c>
      <c r="L67" s="3" t="n">
        <v>32070.0</v>
      </c>
      <c r="M67" s="3" t="n">
        <v>33225.0</v>
      </c>
      <c r="N67" s="3" t="n">
        <v>34521.0</v>
      </c>
      <c r="O67" s="3" t="n">
        <v>35637.0</v>
      </c>
      <c r="P67" s="3" t="n">
        <v>35622.0</v>
      </c>
      <c r="Q67" s="3" t="n">
        <v>35559.0</v>
      </c>
      <c r="R67" s="3" t="n">
        <v>35791.0</v>
      </c>
      <c r="S67" s="3" t="n">
        <v>36073.0</v>
      </c>
      <c r="T67" s="3" t="n">
        <v>34899.0</v>
      </c>
      <c r="U67" s="3" t="n">
        <v>36630.0</v>
      </c>
      <c r="V67" s="3" t="n">
        <v>37438.0</v>
      </c>
      <c r="W67" s="3" t="n">
        <v>35518.0</v>
      </c>
      <c r="X67" s="3" t="n">
        <v>34325.0</v>
      </c>
      <c r="Y67" s="3" t="n">
        <v>31900.0</v>
      </c>
      <c r="Z67" s="3" t="n">
        <v>30285.0</v>
      </c>
      <c r="AA67" s="3" t="n">
        <v>29534.0</v>
      </c>
      <c r="AB67" s="3" t="n">
        <v>28642.0</v>
      </c>
      <c r="AC67" s="3" t="n">
        <v>28519.0</v>
      </c>
      <c r="AD67" s="3" t="n">
        <v>27913.0</v>
      </c>
      <c r="AE67" s="3" t="n">
        <v>26194.0</v>
      </c>
      <c r="AF67" s="3" t="n">
        <v>25466.0</v>
      </c>
      <c r="AG67" s="3" t="n">
        <v>24119.0</v>
      </c>
      <c r="AH67" s="3" t="n">
        <v>22875.0</v>
      </c>
      <c r="AI67" s="3" t="n">
        <v>22256.0</v>
      </c>
      <c r="AJ67" s="3" t="n">
        <v>21224.0</v>
      </c>
      <c r="AK67" s="3" t="n">
        <v>20123.0</v>
      </c>
      <c r="AL67" s="3" t="n">
        <v>19717.0</v>
      </c>
      <c r="AM67" s="3" t="n">
        <v>19579.0</v>
      </c>
      <c r="AN67" s="3" t="n">
        <v>18906.0</v>
      </c>
      <c r="AO67" s="3" t="n">
        <v>18465.0</v>
      </c>
    </row>
    <row r="68" spans="1:41" x14ac:dyDescent="0.2">
      <c r="A68" s="128"/>
      <c r="B68" s="9">
        <v>59</v>
      </c>
      <c r="C68" s="3" t="n">
        <v>28860.0</v>
      </c>
      <c r="D68" s="3" t="n">
        <v>28157.0</v>
      </c>
      <c r="E68" s="3" t="n">
        <v>27368.0</v>
      </c>
      <c r="F68" s="3" t="n">
        <v>27306.0</v>
      </c>
      <c r="G68" s="3" t="n">
        <v>27163.0</v>
      </c>
      <c r="H68" s="3" t="n">
        <v>27709.0</v>
      </c>
      <c r="I68" s="3" t="n">
        <v>28382.0</v>
      </c>
      <c r="J68" s="3" t="n">
        <v>28854.0</v>
      </c>
      <c r="K68" s="3" t="n">
        <v>30136.0</v>
      </c>
      <c r="L68" s="3" t="n">
        <v>30894.0</v>
      </c>
      <c r="M68" s="3" t="n">
        <v>31783.0</v>
      </c>
      <c r="N68" s="3" t="n">
        <v>32928.0</v>
      </c>
      <c r="O68" s="3" t="n">
        <v>34214.0</v>
      </c>
      <c r="P68" s="3" t="n">
        <v>35317.0</v>
      </c>
      <c r="Q68" s="3" t="n">
        <v>35305.0</v>
      </c>
      <c r="R68" s="3" t="n">
        <v>35244.0</v>
      </c>
      <c r="S68" s="3" t="n">
        <v>35478.0</v>
      </c>
      <c r="T68" s="3" t="n">
        <v>35757.0</v>
      </c>
      <c r="U68" s="3" t="n">
        <v>34596.0</v>
      </c>
      <c r="V68" s="3" t="n">
        <v>36309.0</v>
      </c>
      <c r="W68" s="3" t="n">
        <v>37111.0</v>
      </c>
      <c r="X68" s="3" t="n">
        <v>35217.0</v>
      </c>
      <c r="Y68" s="3" t="n">
        <v>34038.0</v>
      </c>
      <c r="Z68" s="3" t="n">
        <v>31637.0</v>
      </c>
      <c r="AA68" s="3" t="n">
        <v>30041.0</v>
      </c>
      <c r="AB68" s="3" t="n">
        <v>29302.0</v>
      </c>
      <c r="AC68" s="3" t="n">
        <v>28416.0</v>
      </c>
      <c r="AD68" s="3" t="n">
        <v>28288.0</v>
      </c>
      <c r="AE68" s="3" t="n">
        <v>27686.0</v>
      </c>
      <c r="AF68" s="3" t="n">
        <v>25982.0</v>
      </c>
      <c r="AG68" s="3" t="n">
        <v>25256.0</v>
      </c>
      <c r="AH68" s="3" t="n">
        <v>23926.0</v>
      </c>
      <c r="AI68" s="3" t="n">
        <v>22693.0</v>
      </c>
      <c r="AJ68" s="3" t="n">
        <v>22082.0</v>
      </c>
      <c r="AK68" s="3" t="n">
        <v>21061.0</v>
      </c>
      <c r="AL68" s="3" t="n">
        <v>19964.0</v>
      </c>
      <c r="AM68" s="3" t="n">
        <v>19563.0</v>
      </c>
      <c r="AN68" s="3" t="n">
        <v>19424.0</v>
      </c>
      <c r="AO68" s="3" t="n">
        <v>18760.0</v>
      </c>
    </row>
    <row r="69" spans="1:41" x14ac:dyDescent="0.2">
      <c r="A69" s="128"/>
      <c r="B69" s="9">
        <v>60</v>
      </c>
      <c r="C69" s="3" t="n">
        <v>29214.0</v>
      </c>
      <c r="D69" s="3" t="n">
        <v>28550.0</v>
      </c>
      <c r="E69" s="3" t="n">
        <v>27861.0</v>
      </c>
      <c r="F69" s="3" t="n">
        <v>27080.0</v>
      </c>
      <c r="G69" s="3" t="n">
        <v>27015.0</v>
      </c>
      <c r="H69" s="3" t="n">
        <v>26887.0</v>
      </c>
      <c r="I69" s="3" t="n">
        <v>27436.0</v>
      </c>
      <c r="J69" s="3" t="n">
        <v>28089.0</v>
      </c>
      <c r="K69" s="3" t="n">
        <v>28560.0</v>
      </c>
      <c r="L69" s="3" t="n">
        <v>29825.0</v>
      </c>
      <c r="M69" s="3" t="n">
        <v>30578.0</v>
      </c>
      <c r="N69" s="3" t="n">
        <v>31462.0</v>
      </c>
      <c r="O69" s="3" t="n">
        <v>32600.0</v>
      </c>
      <c r="P69" s="3" t="n">
        <v>33874.0</v>
      </c>
      <c r="Q69" s="3" t="n">
        <v>34963.0</v>
      </c>
      <c r="R69" s="3" t="n">
        <v>34953.0</v>
      </c>
      <c r="S69" s="3" t="n">
        <v>34896.0</v>
      </c>
      <c r="T69" s="3" t="n">
        <v>35135.0</v>
      </c>
      <c r="U69" s="3" t="n">
        <v>35412.0</v>
      </c>
      <c r="V69" s="3" t="n">
        <v>34262.0</v>
      </c>
      <c r="W69" s="3" t="n">
        <v>35961.0</v>
      </c>
      <c r="X69" s="3" t="n">
        <v>36760.0</v>
      </c>
      <c r="Y69" s="3" t="n">
        <v>34885.0</v>
      </c>
      <c r="Z69" s="3" t="n">
        <v>33718.0</v>
      </c>
      <c r="AA69" s="3" t="n">
        <v>31343.0</v>
      </c>
      <c r="AB69" s="3" t="n">
        <v>29759.0</v>
      </c>
      <c r="AC69" s="3" t="n">
        <v>29032.0</v>
      </c>
      <c r="AD69" s="3" t="n">
        <v>28161.0</v>
      </c>
      <c r="AE69" s="3" t="n">
        <v>28035.0</v>
      </c>
      <c r="AF69" s="3" t="n">
        <v>27444.0</v>
      </c>
      <c r="AG69" s="3" t="n">
        <v>25748.0</v>
      </c>
      <c r="AH69" s="3" t="n">
        <v>25031.0</v>
      </c>
      <c r="AI69" s="3" t="n">
        <v>23713.0</v>
      </c>
      <c r="AJ69" s="3" t="n">
        <v>22488.0</v>
      </c>
      <c r="AK69" s="3" t="n">
        <v>21881.0</v>
      </c>
      <c r="AL69" s="3" t="n">
        <v>20871.0</v>
      </c>
      <c r="AM69" s="3" t="n">
        <v>19784.0</v>
      </c>
      <c r="AN69" s="3" t="n">
        <v>19389.0</v>
      </c>
      <c r="AO69" s="3" t="n">
        <v>19250.0</v>
      </c>
    </row>
    <row r="70" spans="1:41" x14ac:dyDescent="0.2">
      <c r="A70" s="128"/>
      <c r="B70" s="9">
        <v>61</v>
      </c>
      <c r="C70" s="3" t="n">
        <v>30440.0</v>
      </c>
      <c r="D70" s="3" t="n">
        <v>28863.0</v>
      </c>
      <c r="E70" s="3" t="n">
        <v>28211.0</v>
      </c>
      <c r="F70" s="3" t="n">
        <v>27534.0</v>
      </c>
      <c r="G70" s="3" t="n">
        <v>26761.0</v>
      </c>
      <c r="H70" s="3" t="n">
        <v>26713.0</v>
      </c>
      <c r="I70" s="3" t="n">
        <v>26599.0</v>
      </c>
      <c r="J70" s="3" t="n">
        <v>27128.0</v>
      </c>
      <c r="K70" s="3" t="n">
        <v>27769.0</v>
      </c>
      <c r="L70" s="3" t="n">
        <v>28230.0</v>
      </c>
      <c r="M70" s="3" t="n">
        <v>29481.0</v>
      </c>
      <c r="N70" s="3" t="n">
        <v>30231.0</v>
      </c>
      <c r="O70" s="3" t="n">
        <v>31112.0</v>
      </c>
      <c r="P70" s="3" t="n">
        <v>32235.0</v>
      </c>
      <c r="Q70" s="3" t="n">
        <v>33491.0</v>
      </c>
      <c r="R70" s="3" t="n">
        <v>34573.0</v>
      </c>
      <c r="S70" s="3" t="n">
        <v>34570.0</v>
      </c>
      <c r="T70" s="3" t="n">
        <v>34514.0</v>
      </c>
      <c r="U70" s="3" t="n">
        <v>34754.0</v>
      </c>
      <c r="V70" s="3" t="n">
        <v>35028.0</v>
      </c>
      <c r="W70" s="3" t="n">
        <v>33897.0</v>
      </c>
      <c r="X70" s="3" t="n">
        <v>35582.0</v>
      </c>
      <c r="Y70" s="3" t="n">
        <v>36378.0</v>
      </c>
      <c r="Z70" s="3" t="n">
        <v>34521.0</v>
      </c>
      <c r="AA70" s="3" t="n">
        <v>33370.0</v>
      </c>
      <c r="AB70" s="3" t="n">
        <v>31024.0</v>
      </c>
      <c r="AC70" s="3" t="n">
        <v>29457.0</v>
      </c>
      <c r="AD70" s="3" t="n">
        <v>28734.0</v>
      </c>
      <c r="AE70" s="3" t="n">
        <v>27880.0</v>
      </c>
      <c r="AF70" s="3" t="n">
        <v>27756.0</v>
      </c>
      <c r="AG70" s="3" t="n">
        <v>27169.0</v>
      </c>
      <c r="AH70" s="3" t="n">
        <v>25486.0</v>
      </c>
      <c r="AI70" s="3" t="n">
        <v>24781.0</v>
      </c>
      <c r="AJ70" s="3" t="n">
        <v>23472.0</v>
      </c>
      <c r="AK70" s="3" t="n">
        <v>22268.0</v>
      </c>
      <c r="AL70" s="3" t="n">
        <v>21659.0</v>
      </c>
      <c r="AM70" s="3" t="n">
        <v>20665.0</v>
      </c>
      <c r="AN70" s="3" t="n">
        <v>19586.0</v>
      </c>
      <c r="AO70" s="3" t="n">
        <v>19200.0</v>
      </c>
    </row>
    <row r="71" spans="1:41" x14ac:dyDescent="0.2">
      <c r="A71" s="128"/>
      <c r="B71" s="9">
        <v>62</v>
      </c>
      <c r="C71" s="3" t="n">
        <v>31867.0</v>
      </c>
      <c r="D71" s="3" t="n">
        <v>30041.0</v>
      </c>
      <c r="E71" s="3" t="n">
        <v>28484.0</v>
      </c>
      <c r="F71" s="3" t="n">
        <v>27845.0</v>
      </c>
      <c r="G71" s="3" t="n">
        <v>27179.0</v>
      </c>
      <c r="H71" s="3" t="n">
        <v>26436.0</v>
      </c>
      <c r="I71" s="3" t="n">
        <v>26400.0</v>
      </c>
      <c r="J71" s="3" t="n">
        <v>26275.0</v>
      </c>
      <c r="K71" s="3" t="n">
        <v>26788.0</v>
      </c>
      <c r="L71" s="3" t="n">
        <v>27424.0</v>
      </c>
      <c r="M71" s="3" t="n">
        <v>27883.0</v>
      </c>
      <c r="N71" s="3" t="n">
        <v>29117.0</v>
      </c>
      <c r="O71" s="3" t="n">
        <v>29865.0</v>
      </c>
      <c r="P71" s="3" t="n">
        <v>30737.0</v>
      </c>
      <c r="Q71" s="3" t="n">
        <v>31849.0</v>
      </c>
      <c r="R71" s="3" t="n">
        <v>33094.0</v>
      </c>
      <c r="S71" s="3" t="n">
        <v>34165.0</v>
      </c>
      <c r="T71" s="3" t="n">
        <v>34162.0</v>
      </c>
      <c r="U71" s="3" t="n">
        <v>34108.0</v>
      </c>
      <c r="V71" s="3" t="n">
        <v>34348.0</v>
      </c>
      <c r="W71" s="3" t="n">
        <v>34623.0</v>
      </c>
      <c r="X71" s="3" t="n">
        <v>33505.0</v>
      </c>
      <c r="Y71" s="3" t="n">
        <v>35174.0</v>
      </c>
      <c r="Z71" s="3" t="n">
        <v>35961.0</v>
      </c>
      <c r="AA71" s="3" t="n">
        <v>34126.0</v>
      </c>
      <c r="AB71" s="3" t="n">
        <v>32998.0</v>
      </c>
      <c r="AC71" s="3" t="n">
        <v>30686.0</v>
      </c>
      <c r="AD71" s="3" t="n">
        <v>29134.0</v>
      </c>
      <c r="AE71" s="3" t="n">
        <v>28413.0</v>
      </c>
      <c r="AF71" s="3" t="n">
        <v>27571.0</v>
      </c>
      <c r="AG71" s="3" t="n">
        <v>27450.0</v>
      </c>
      <c r="AH71" s="3" t="n">
        <v>26867.0</v>
      </c>
      <c r="AI71" s="3" t="n">
        <v>25202.0</v>
      </c>
      <c r="AJ71" s="3" t="n">
        <v>24512.0</v>
      </c>
      <c r="AK71" s="3" t="n">
        <v>23215.0</v>
      </c>
      <c r="AL71" s="3" t="n">
        <v>22018.0</v>
      </c>
      <c r="AM71" s="3" t="n">
        <v>21417.0</v>
      </c>
      <c r="AN71" s="3" t="n">
        <v>20436.0</v>
      </c>
      <c r="AO71" s="3" t="n">
        <v>19365.0</v>
      </c>
    </row>
    <row r="72" spans="1:41" x14ac:dyDescent="0.2">
      <c r="A72" s="128"/>
      <c r="B72" s="9">
        <v>63</v>
      </c>
      <c r="C72" s="3" t="n">
        <v>34307.0</v>
      </c>
      <c r="D72" s="3" t="n">
        <v>31422.0</v>
      </c>
      <c r="E72" s="3" t="n">
        <v>29627.0</v>
      </c>
      <c r="F72" s="3" t="n">
        <v>28093.0</v>
      </c>
      <c r="G72" s="3" t="n">
        <v>27471.0</v>
      </c>
      <c r="H72" s="3" t="n">
        <v>26831.0</v>
      </c>
      <c r="I72" s="3" t="n">
        <v>26100.0</v>
      </c>
      <c r="J72" s="3" t="n">
        <v>26064.0</v>
      </c>
      <c r="K72" s="3" t="n">
        <v>25933.0</v>
      </c>
      <c r="L72" s="3" t="n">
        <v>26436.0</v>
      </c>
      <c r="M72" s="3" t="n">
        <v>27068.0</v>
      </c>
      <c r="N72" s="3" t="n">
        <v>27519.0</v>
      </c>
      <c r="O72" s="3" t="n">
        <v>28742.0</v>
      </c>
      <c r="P72" s="3" t="n">
        <v>29480.0</v>
      </c>
      <c r="Q72" s="3" t="n">
        <v>30347.0</v>
      </c>
      <c r="R72" s="3" t="n">
        <v>31449.0</v>
      </c>
      <c r="S72" s="3" t="n">
        <v>32678.0</v>
      </c>
      <c r="T72" s="3" t="n">
        <v>33729.0</v>
      </c>
      <c r="U72" s="3" t="n">
        <v>33724.0</v>
      </c>
      <c r="V72" s="3" t="n">
        <v>33677.0</v>
      </c>
      <c r="W72" s="3" t="n">
        <v>33919.0</v>
      </c>
      <c r="X72" s="3" t="n">
        <v>34195.0</v>
      </c>
      <c r="Y72" s="3" t="n">
        <v>33085.0</v>
      </c>
      <c r="Z72" s="3" t="n">
        <v>34733.0</v>
      </c>
      <c r="AA72" s="3" t="n">
        <v>35518.0</v>
      </c>
      <c r="AB72" s="3" t="n">
        <v>33706.0</v>
      </c>
      <c r="AC72" s="3" t="n">
        <v>32598.0</v>
      </c>
      <c r="AD72" s="3" t="n">
        <v>30319.0</v>
      </c>
      <c r="AE72" s="3" t="n">
        <v>28790.0</v>
      </c>
      <c r="AF72" s="3" t="n">
        <v>28075.0</v>
      </c>
      <c r="AG72" s="3" t="n">
        <v>27251.0</v>
      </c>
      <c r="AH72" s="3" t="n">
        <v>27130.0</v>
      </c>
      <c r="AI72" s="3" t="n">
        <v>26557.0</v>
      </c>
      <c r="AJ72" s="3" t="n">
        <v>24909.0</v>
      </c>
      <c r="AK72" s="3" t="n">
        <v>24232.0</v>
      </c>
      <c r="AL72" s="3" t="n">
        <v>22957.0</v>
      </c>
      <c r="AM72" s="3" t="n">
        <v>21764.0</v>
      </c>
      <c r="AN72" s="3" t="n">
        <v>21166.0</v>
      </c>
      <c r="AO72" s="3" t="n">
        <v>20195.0</v>
      </c>
    </row>
    <row r="73" spans="1:41" x14ac:dyDescent="0.2">
      <c r="A73" s="128"/>
      <c r="B73" s="9">
        <v>64</v>
      </c>
      <c r="C73" s="3" t="n">
        <v>35338.0</v>
      </c>
      <c r="D73" s="3" t="n">
        <v>33780.0</v>
      </c>
      <c r="E73" s="3" t="n">
        <v>30947.0</v>
      </c>
      <c r="F73" s="3" t="n">
        <v>29176.0</v>
      </c>
      <c r="G73" s="3" t="n">
        <v>27671.0</v>
      </c>
      <c r="H73" s="3" t="n">
        <v>27073.0</v>
      </c>
      <c r="I73" s="3" t="n">
        <v>26453.0</v>
      </c>
      <c r="J73" s="3" t="n">
        <v>25728.0</v>
      </c>
      <c r="K73" s="3" t="n">
        <v>25684.0</v>
      </c>
      <c r="L73" s="3" t="n">
        <v>25558.0</v>
      </c>
      <c r="M73" s="3" t="n">
        <v>26055.0</v>
      </c>
      <c r="N73" s="3" t="n">
        <v>26682.0</v>
      </c>
      <c r="O73" s="3" t="n">
        <v>27131.0</v>
      </c>
      <c r="P73" s="3" t="n">
        <v>28336.0</v>
      </c>
      <c r="Q73" s="3" t="n">
        <v>29068.0</v>
      </c>
      <c r="R73" s="3" t="n">
        <v>29923.0</v>
      </c>
      <c r="S73" s="3" t="n">
        <v>31006.0</v>
      </c>
      <c r="T73" s="3" t="n">
        <v>32219.0</v>
      </c>
      <c r="U73" s="3" t="n">
        <v>33260.0</v>
      </c>
      <c r="V73" s="3" t="n">
        <v>33255.0</v>
      </c>
      <c r="W73" s="3" t="n">
        <v>33217.0</v>
      </c>
      <c r="X73" s="3" t="n">
        <v>33458.0</v>
      </c>
      <c r="Y73" s="3" t="n">
        <v>33734.0</v>
      </c>
      <c r="Z73" s="3" t="n">
        <v>32641.0</v>
      </c>
      <c r="AA73" s="3" t="n">
        <v>34264.0</v>
      </c>
      <c r="AB73" s="3" t="n">
        <v>35043.0</v>
      </c>
      <c r="AC73" s="3" t="n">
        <v>33262.0</v>
      </c>
      <c r="AD73" s="3" t="n">
        <v>32168.0</v>
      </c>
      <c r="AE73" s="3" t="n">
        <v>29924.0</v>
      </c>
      <c r="AF73" s="3" t="n">
        <v>28411.0</v>
      </c>
      <c r="AG73" s="3" t="n">
        <v>27705.0</v>
      </c>
      <c r="AH73" s="3" t="n">
        <v>26892.0</v>
      </c>
      <c r="AI73" s="3" t="n">
        <v>26769.0</v>
      </c>
      <c r="AJ73" s="3" t="n">
        <v>26209.0</v>
      </c>
      <c r="AK73" s="3" t="n">
        <v>24581.0</v>
      </c>
      <c r="AL73" s="3" t="n">
        <v>23924.0</v>
      </c>
      <c r="AM73" s="3" t="n">
        <v>22673.0</v>
      </c>
      <c r="AN73" s="3" t="n">
        <v>21500.0</v>
      </c>
      <c r="AO73" s="3" t="n">
        <v>20903.0</v>
      </c>
    </row>
    <row r="74" spans="1:41" x14ac:dyDescent="0.2">
      <c r="A74" s="128"/>
      <c r="B74" s="9">
        <v>65</v>
      </c>
      <c r="C74" s="3" t="n">
        <v>35929.0</v>
      </c>
      <c r="D74" s="3" t="n">
        <v>34763.0</v>
      </c>
      <c r="E74" s="3" t="n">
        <v>33237.0</v>
      </c>
      <c r="F74" s="3" t="n">
        <v>30457.0</v>
      </c>
      <c r="G74" s="3" t="n">
        <v>28713.0</v>
      </c>
      <c r="H74" s="3" t="n">
        <v>27237.0</v>
      </c>
      <c r="I74" s="3" t="n">
        <v>26652.0</v>
      </c>
      <c r="J74" s="3" t="n">
        <v>26039.0</v>
      </c>
      <c r="K74" s="3" t="n">
        <v>25329.0</v>
      </c>
      <c r="L74" s="3" t="n">
        <v>25289.0</v>
      </c>
      <c r="M74" s="3" t="n">
        <v>25157.0</v>
      </c>
      <c r="N74" s="3" t="n">
        <v>25652.0</v>
      </c>
      <c r="O74" s="3" t="n">
        <v>26275.0</v>
      </c>
      <c r="P74" s="3" t="n">
        <v>26721.0</v>
      </c>
      <c r="Q74" s="3" t="n">
        <v>27905.0</v>
      </c>
      <c r="R74" s="3" t="n">
        <v>28626.0</v>
      </c>
      <c r="S74" s="3" t="n">
        <v>29474.0</v>
      </c>
      <c r="T74" s="3" t="n">
        <v>30541.0</v>
      </c>
      <c r="U74" s="3" t="n">
        <v>31740.0</v>
      </c>
      <c r="V74" s="3" t="n">
        <v>32768.0</v>
      </c>
      <c r="W74" s="3" t="n">
        <v>32765.0</v>
      </c>
      <c r="X74" s="3" t="n">
        <v>32728.0</v>
      </c>
      <c r="Y74" s="3" t="n">
        <v>32971.0</v>
      </c>
      <c r="Z74" s="3" t="n">
        <v>33247.0</v>
      </c>
      <c r="AA74" s="3" t="n">
        <v>32170.0</v>
      </c>
      <c r="AB74" s="3" t="n">
        <v>33771.0</v>
      </c>
      <c r="AC74" s="3" t="n">
        <v>34536.0</v>
      </c>
      <c r="AD74" s="3" t="n">
        <v>32782.0</v>
      </c>
      <c r="AE74" s="3" t="n">
        <v>31714.0</v>
      </c>
      <c r="AF74" s="3" t="n">
        <v>29506.0</v>
      </c>
      <c r="AG74" s="3" t="n">
        <v>28011.0</v>
      </c>
      <c r="AH74" s="3" t="n">
        <v>27325.0</v>
      </c>
      <c r="AI74" s="3" t="n">
        <v>26522.0</v>
      </c>
      <c r="AJ74" s="3" t="n">
        <v>26402.0</v>
      </c>
      <c r="AK74" s="3" t="n">
        <v>25847.0</v>
      </c>
      <c r="AL74" s="3" t="n">
        <v>24241.0</v>
      </c>
      <c r="AM74" s="3" t="n">
        <v>23594.0</v>
      </c>
      <c r="AN74" s="3" t="n">
        <v>22359.0</v>
      </c>
      <c r="AO74" s="3" t="n">
        <v>21214.0</v>
      </c>
    </row>
    <row r="75" spans="1:41" x14ac:dyDescent="0.2">
      <c r="A75" s="128"/>
      <c r="B75" s="9">
        <v>66</v>
      </c>
      <c r="C75" s="3" t="n">
        <v>35453.0</v>
      </c>
      <c r="D75" s="3" t="n">
        <v>35288.0</v>
      </c>
      <c r="E75" s="3" t="n">
        <v>34144.0</v>
      </c>
      <c r="F75" s="3" t="n">
        <v>32651.0</v>
      </c>
      <c r="G75" s="3" t="n">
        <v>29930.0</v>
      </c>
      <c r="H75" s="3" t="n">
        <v>28231.0</v>
      </c>
      <c r="I75" s="3" t="n">
        <v>26780.0</v>
      </c>
      <c r="J75" s="3" t="n">
        <v>26209.0</v>
      </c>
      <c r="K75" s="3" t="n">
        <v>25604.0</v>
      </c>
      <c r="L75" s="3" t="n">
        <v>24907.0</v>
      </c>
      <c r="M75" s="3" t="n">
        <v>24873.0</v>
      </c>
      <c r="N75" s="3" t="n">
        <v>24742.0</v>
      </c>
      <c r="O75" s="3" t="n">
        <v>25233.0</v>
      </c>
      <c r="P75" s="3" t="n">
        <v>25851.0</v>
      </c>
      <c r="Q75" s="3" t="n">
        <v>26289.0</v>
      </c>
      <c r="R75" s="3" t="n">
        <v>27454.0</v>
      </c>
      <c r="S75" s="3" t="n">
        <v>28163.0</v>
      </c>
      <c r="T75" s="3" t="n">
        <v>28997.0</v>
      </c>
      <c r="U75" s="3" t="n">
        <v>30047.0</v>
      </c>
      <c r="V75" s="3" t="n">
        <v>31229.0</v>
      </c>
      <c r="W75" s="3" t="n">
        <v>32242.0</v>
      </c>
      <c r="X75" s="3" t="n">
        <v>32249.0</v>
      </c>
      <c r="Y75" s="3" t="n">
        <v>32209.0</v>
      </c>
      <c r="Z75" s="3" t="n">
        <v>32455.0</v>
      </c>
      <c r="AA75" s="3" t="n">
        <v>32724.0</v>
      </c>
      <c r="AB75" s="3" t="n">
        <v>31669.0</v>
      </c>
      <c r="AC75" s="3" t="n">
        <v>33249.0</v>
      </c>
      <c r="AD75" s="3" t="n">
        <v>33996.0</v>
      </c>
      <c r="AE75" s="3" t="n">
        <v>32281.0</v>
      </c>
      <c r="AF75" s="3" t="n">
        <v>31230.0</v>
      </c>
      <c r="AG75" s="3" t="n">
        <v>29066.0</v>
      </c>
      <c r="AH75" s="3" t="n">
        <v>27593.0</v>
      </c>
      <c r="AI75" s="3" t="n">
        <v>26916.0</v>
      </c>
      <c r="AJ75" s="3" t="n">
        <v>26128.0</v>
      </c>
      <c r="AK75" s="3" t="n">
        <v>26006.0</v>
      </c>
      <c r="AL75" s="3" t="n">
        <v>25460.0</v>
      </c>
      <c r="AM75" s="3" t="n">
        <v>23877.0</v>
      </c>
      <c r="AN75" s="3" t="n">
        <v>23244.0</v>
      </c>
      <c r="AO75" s="3" t="n">
        <v>22030.0</v>
      </c>
    </row>
    <row r="76" spans="1:41" x14ac:dyDescent="0.2">
      <c r="A76" s="128"/>
      <c r="B76" s="9">
        <v>67</v>
      </c>
      <c r="C76" s="3" t="n">
        <v>35663.0</v>
      </c>
      <c r="D76" s="3" t="n">
        <v>34765.0</v>
      </c>
      <c r="E76" s="3" t="n">
        <v>34612.0</v>
      </c>
      <c r="F76" s="3" t="n">
        <v>33499.0</v>
      </c>
      <c r="G76" s="3" t="n">
        <v>32041.0</v>
      </c>
      <c r="H76" s="3" t="n">
        <v>29382.0</v>
      </c>
      <c r="I76" s="3" t="n">
        <v>27716.0</v>
      </c>
      <c r="J76" s="3" t="n">
        <v>26286.0</v>
      </c>
      <c r="K76" s="3" t="n">
        <v>25729.0</v>
      </c>
      <c r="L76" s="3" t="n">
        <v>25141.0</v>
      </c>
      <c r="M76" s="3" t="n">
        <v>24453.0</v>
      </c>
      <c r="N76" s="3" t="n">
        <v>24425.0</v>
      </c>
      <c r="O76" s="3" t="n">
        <v>24297.0</v>
      </c>
      <c r="P76" s="3" t="n">
        <v>24777.0</v>
      </c>
      <c r="Q76" s="3" t="n">
        <v>25390.0</v>
      </c>
      <c r="R76" s="3" t="n">
        <v>25822.0</v>
      </c>
      <c r="S76" s="3" t="n">
        <v>26969.0</v>
      </c>
      <c r="T76" s="3" t="n">
        <v>27672.0</v>
      </c>
      <c r="U76" s="3" t="n">
        <v>28490.0</v>
      </c>
      <c r="V76" s="3" t="n">
        <v>29525.0</v>
      </c>
      <c r="W76" s="3" t="n">
        <v>30688.0</v>
      </c>
      <c r="X76" s="3" t="n">
        <v>31686.0</v>
      </c>
      <c r="Y76" s="3" t="n">
        <v>31692.0</v>
      </c>
      <c r="Z76" s="3" t="n">
        <v>31650.0</v>
      </c>
      <c r="AA76" s="3" t="n">
        <v>31905.0</v>
      </c>
      <c r="AB76" s="3" t="n">
        <v>32166.0</v>
      </c>
      <c r="AC76" s="3" t="n">
        <v>31133.0</v>
      </c>
      <c r="AD76" s="3" t="n">
        <v>32689.0</v>
      </c>
      <c r="AE76" s="3" t="n">
        <v>33427.0</v>
      </c>
      <c r="AF76" s="3" t="n">
        <v>31740.0</v>
      </c>
      <c r="AG76" s="3" t="n">
        <v>30704.0</v>
      </c>
      <c r="AH76" s="3" t="n">
        <v>28589.0</v>
      </c>
      <c r="AI76" s="3" t="n">
        <v>27140.0</v>
      </c>
      <c r="AJ76" s="3" t="n">
        <v>26484.0</v>
      </c>
      <c r="AK76" s="3" t="n">
        <v>25713.0</v>
      </c>
      <c r="AL76" s="3" t="n">
        <v>25589.0</v>
      </c>
      <c r="AM76" s="3" t="n">
        <v>25050.0</v>
      </c>
      <c r="AN76" s="3" t="n">
        <v>23489.0</v>
      </c>
      <c r="AO76" s="3" t="n">
        <v>22869.0</v>
      </c>
    </row>
    <row r="77" spans="1:41" x14ac:dyDescent="0.2">
      <c r="A77" s="128"/>
      <c r="B77" s="9">
        <v>68</v>
      </c>
      <c r="C77" s="3" t="n">
        <v>33282.0</v>
      </c>
      <c r="D77" s="3" t="n">
        <v>34923.0</v>
      </c>
      <c r="E77" s="3" t="n">
        <v>34051.0</v>
      </c>
      <c r="F77" s="3" t="n">
        <v>33908.0</v>
      </c>
      <c r="G77" s="3" t="n">
        <v>32825.0</v>
      </c>
      <c r="H77" s="3" t="n">
        <v>31405.0</v>
      </c>
      <c r="I77" s="3" t="n">
        <v>28808.0</v>
      </c>
      <c r="J77" s="3" t="n">
        <v>27174.0</v>
      </c>
      <c r="K77" s="3" t="n">
        <v>25773.0</v>
      </c>
      <c r="L77" s="3" t="n">
        <v>25235.0</v>
      </c>
      <c r="M77" s="3" t="n">
        <v>24661.0</v>
      </c>
      <c r="N77" s="3" t="n">
        <v>23980.0</v>
      </c>
      <c r="O77" s="3" t="n">
        <v>23960.0</v>
      </c>
      <c r="P77" s="3" t="n">
        <v>23829.0</v>
      </c>
      <c r="Q77" s="3" t="n">
        <v>24304.0</v>
      </c>
      <c r="R77" s="3" t="n">
        <v>24911.0</v>
      </c>
      <c r="S77" s="3" t="n">
        <v>25336.0</v>
      </c>
      <c r="T77" s="3" t="n">
        <v>26465.0</v>
      </c>
      <c r="U77" s="3" t="n">
        <v>27159.0</v>
      </c>
      <c r="V77" s="3" t="n">
        <v>27972.0</v>
      </c>
      <c r="W77" s="3" t="n">
        <v>28984.0</v>
      </c>
      <c r="X77" s="3" t="n">
        <v>30128.0</v>
      </c>
      <c r="Y77" s="3" t="n">
        <v>31111.0</v>
      </c>
      <c r="Z77" s="3" t="n">
        <v>31110.0</v>
      </c>
      <c r="AA77" s="3" t="n">
        <v>31074.0</v>
      </c>
      <c r="AB77" s="3" t="n">
        <v>31332.0</v>
      </c>
      <c r="AC77" s="3" t="n">
        <v>31587.0</v>
      </c>
      <c r="AD77" s="3" t="n">
        <v>30572.0</v>
      </c>
      <c r="AE77" s="3" t="n">
        <v>32103.0</v>
      </c>
      <c r="AF77" s="3" t="n">
        <v>32831.0</v>
      </c>
      <c r="AG77" s="3" t="n">
        <v>31179.0</v>
      </c>
      <c r="AH77" s="3" t="n">
        <v>30159.0</v>
      </c>
      <c r="AI77" s="3" t="n">
        <v>28087.0</v>
      </c>
      <c r="AJ77" s="3" t="n">
        <v>26672.0</v>
      </c>
      <c r="AK77" s="3" t="n">
        <v>26026.0</v>
      </c>
      <c r="AL77" s="3" t="n">
        <v>25266.0</v>
      </c>
      <c r="AM77" s="3" t="n">
        <v>25141.0</v>
      </c>
      <c r="AN77" s="3" t="n">
        <v>24614.0</v>
      </c>
      <c r="AO77" s="3" t="n">
        <v>23086.0</v>
      </c>
    </row>
    <row r="78" spans="1:41" x14ac:dyDescent="0.2">
      <c r="A78" s="128"/>
      <c r="B78" s="9">
        <v>69</v>
      </c>
      <c r="C78" s="3" t="n">
        <v>33243.0</v>
      </c>
      <c r="D78" s="3" t="n">
        <v>32549.0</v>
      </c>
      <c r="E78" s="3" t="n">
        <v>34161.0</v>
      </c>
      <c r="F78" s="3" t="n">
        <v>33316.0</v>
      </c>
      <c r="G78" s="3" t="n">
        <v>33183.0</v>
      </c>
      <c r="H78" s="3" t="n">
        <v>32135.0</v>
      </c>
      <c r="I78" s="3" t="n">
        <v>30748.0</v>
      </c>
      <c r="J78" s="3" t="n">
        <v>28211.0</v>
      </c>
      <c r="K78" s="3" t="n">
        <v>26610.0</v>
      </c>
      <c r="L78" s="3" t="n">
        <v>25238.0</v>
      </c>
      <c r="M78" s="3" t="n">
        <v>24718.0</v>
      </c>
      <c r="N78" s="3" t="n">
        <v>24156.0</v>
      </c>
      <c r="O78" s="3" t="n">
        <v>23494.0</v>
      </c>
      <c r="P78" s="3" t="n">
        <v>23475.0</v>
      </c>
      <c r="Q78" s="3" t="n">
        <v>23349.0</v>
      </c>
      <c r="R78" s="3" t="n">
        <v>23813.0</v>
      </c>
      <c r="S78" s="3" t="n">
        <v>24415.0</v>
      </c>
      <c r="T78" s="3" t="n">
        <v>24833.0</v>
      </c>
      <c r="U78" s="3" t="n">
        <v>25945.0</v>
      </c>
      <c r="V78" s="3" t="n">
        <v>26625.0</v>
      </c>
      <c r="W78" s="3" t="n">
        <v>27426.0</v>
      </c>
      <c r="X78" s="3" t="n">
        <v>28417.0</v>
      </c>
      <c r="Y78" s="3" t="n">
        <v>29540.0</v>
      </c>
      <c r="Z78" s="3" t="n">
        <v>30505.0</v>
      </c>
      <c r="AA78" s="3" t="n">
        <v>30510.0</v>
      </c>
      <c r="AB78" s="3" t="n">
        <v>30478.0</v>
      </c>
      <c r="AC78" s="3" t="n">
        <v>30739.0</v>
      </c>
      <c r="AD78" s="3" t="n">
        <v>30985.0</v>
      </c>
      <c r="AE78" s="3" t="n">
        <v>29993.0</v>
      </c>
      <c r="AF78" s="3" t="n">
        <v>31497.0</v>
      </c>
      <c r="AG78" s="3" t="n">
        <v>32215.0</v>
      </c>
      <c r="AH78" s="3" t="n">
        <v>30592.0</v>
      </c>
      <c r="AI78" s="3" t="n">
        <v>29586.0</v>
      </c>
      <c r="AJ78" s="3" t="n">
        <v>27561.0</v>
      </c>
      <c r="AK78" s="3" t="n">
        <v>26176.0</v>
      </c>
      <c r="AL78" s="3" t="n">
        <v>25544.0</v>
      </c>
      <c r="AM78" s="3" t="n">
        <v>24803.0</v>
      </c>
      <c r="AN78" s="3" t="n">
        <v>24682.0</v>
      </c>
      <c r="AO78" s="3" t="n">
        <v>24165.0</v>
      </c>
    </row>
    <row r="79" spans="1:41" x14ac:dyDescent="0.2">
      <c r="A79" s="128"/>
      <c r="B79" s="9">
        <v>70</v>
      </c>
      <c r="C79" s="3" t="n">
        <v>31939.0</v>
      </c>
      <c r="D79" s="3" t="n">
        <v>32442.0</v>
      </c>
      <c r="E79" s="3" t="n">
        <v>31773.0</v>
      </c>
      <c r="F79" s="3" t="n">
        <v>33356.0</v>
      </c>
      <c r="G79" s="3" t="n">
        <v>32534.0</v>
      </c>
      <c r="H79" s="3" t="n">
        <v>32418.0</v>
      </c>
      <c r="I79" s="3" t="n">
        <v>31393.0</v>
      </c>
      <c r="J79" s="3" t="n">
        <v>30043.0</v>
      </c>
      <c r="K79" s="3" t="n">
        <v>27572.0</v>
      </c>
      <c r="L79" s="3" t="n">
        <v>26009.0</v>
      </c>
      <c r="M79" s="3" t="n">
        <v>24669.0</v>
      </c>
      <c r="N79" s="3" t="n">
        <v>24165.0</v>
      </c>
      <c r="O79" s="3" t="n">
        <v>23617.0</v>
      </c>
      <c r="P79" s="3" t="n">
        <v>22963.0</v>
      </c>
      <c r="Q79" s="3" t="n">
        <v>22955.0</v>
      </c>
      <c r="R79" s="3" t="n">
        <v>22828.0</v>
      </c>
      <c r="S79" s="3" t="n">
        <v>23286.0</v>
      </c>
      <c r="T79" s="3" t="n">
        <v>23878.0</v>
      </c>
      <c r="U79" s="3" t="n">
        <v>24295.0</v>
      </c>
      <c r="V79" s="3" t="n">
        <v>25383.0</v>
      </c>
      <c r="W79" s="3" t="n">
        <v>26052.0</v>
      </c>
      <c r="X79" s="3" t="n">
        <v>26836.0</v>
      </c>
      <c r="Y79" s="3" t="n">
        <v>27807.0</v>
      </c>
      <c r="Z79" s="3" t="n">
        <v>28908.0</v>
      </c>
      <c r="AA79" s="3" t="n">
        <v>29865.0</v>
      </c>
      <c r="AB79" s="3" t="n">
        <v>29866.0</v>
      </c>
      <c r="AC79" s="3" t="n">
        <v>29838.0</v>
      </c>
      <c r="AD79" s="3" t="n">
        <v>30097.0</v>
      </c>
      <c r="AE79" s="3" t="n">
        <v>30342.0</v>
      </c>
      <c r="AF79" s="3" t="n">
        <v>29367.0</v>
      </c>
      <c r="AG79" s="3" t="n">
        <v>30846.0</v>
      </c>
      <c r="AH79" s="3" t="n">
        <v>31553.0</v>
      </c>
      <c r="AI79" s="3" t="n">
        <v>29965.0</v>
      </c>
      <c r="AJ79" s="3" t="n">
        <v>28980.0</v>
      </c>
      <c r="AK79" s="3" t="n">
        <v>27003.0</v>
      </c>
      <c r="AL79" s="3" t="n">
        <v>25639.0</v>
      </c>
      <c r="AM79" s="3" t="n">
        <v>25023.0</v>
      </c>
      <c r="AN79" s="3" t="n">
        <v>24299.0</v>
      </c>
      <c r="AO79" s="3" t="n">
        <v>24181.0</v>
      </c>
    </row>
    <row r="80" spans="1:41" x14ac:dyDescent="0.2">
      <c r="A80" s="128"/>
      <c r="B80" s="9">
        <v>71</v>
      </c>
      <c r="C80" s="3" t="n">
        <v>31187.0</v>
      </c>
      <c r="D80" s="3" t="n">
        <v>31119.0</v>
      </c>
      <c r="E80" s="3" t="n">
        <v>31615.0</v>
      </c>
      <c r="F80" s="3" t="n">
        <v>30966.0</v>
      </c>
      <c r="G80" s="3" t="n">
        <v>32522.0</v>
      </c>
      <c r="H80" s="3" t="n">
        <v>31728.0</v>
      </c>
      <c r="I80" s="3" t="n">
        <v>31625.0</v>
      </c>
      <c r="J80" s="3" t="n">
        <v>30625.0</v>
      </c>
      <c r="K80" s="3" t="n">
        <v>29315.0</v>
      </c>
      <c r="L80" s="3" t="n">
        <v>26908.0</v>
      </c>
      <c r="M80" s="3" t="n">
        <v>25387.0</v>
      </c>
      <c r="N80" s="3" t="n">
        <v>24077.0</v>
      </c>
      <c r="O80" s="3" t="n">
        <v>23591.0</v>
      </c>
      <c r="P80" s="3" t="n">
        <v>23059.0</v>
      </c>
      <c r="Q80" s="3" t="n">
        <v>22427.0</v>
      </c>
      <c r="R80" s="3" t="n">
        <v>22422.0</v>
      </c>
      <c r="S80" s="3" t="n">
        <v>22297.0</v>
      </c>
      <c r="T80" s="3" t="n">
        <v>22743.0</v>
      </c>
      <c r="U80" s="3" t="n">
        <v>23325.0</v>
      </c>
      <c r="V80" s="3" t="n">
        <v>23738.0</v>
      </c>
      <c r="W80" s="3" t="n">
        <v>24802.0</v>
      </c>
      <c r="X80" s="3" t="n">
        <v>25464.0</v>
      </c>
      <c r="Y80" s="3" t="n">
        <v>26235.0</v>
      </c>
      <c r="Z80" s="3" t="n">
        <v>27170.0</v>
      </c>
      <c r="AA80" s="3" t="n">
        <v>28255.0</v>
      </c>
      <c r="AB80" s="3" t="n">
        <v>29191.0</v>
      </c>
      <c r="AC80" s="3" t="n">
        <v>29196.0</v>
      </c>
      <c r="AD80" s="3" t="n">
        <v>29169.0</v>
      </c>
      <c r="AE80" s="3" t="n">
        <v>29433.0</v>
      </c>
      <c r="AF80" s="3" t="n">
        <v>29671.0</v>
      </c>
      <c r="AG80" s="3" t="n">
        <v>28717.0</v>
      </c>
      <c r="AH80" s="3" t="n">
        <v>30169.0</v>
      </c>
      <c r="AI80" s="3" t="n">
        <v>30861.0</v>
      </c>
      <c r="AJ80" s="3" t="n">
        <v>29308.0</v>
      </c>
      <c r="AK80" s="3" t="n">
        <v>28346.0</v>
      </c>
      <c r="AL80" s="3" t="n">
        <v>26420.0</v>
      </c>
      <c r="AM80" s="3" t="n">
        <v>25080.0</v>
      </c>
      <c r="AN80" s="3" t="n">
        <v>24481.0</v>
      </c>
      <c r="AO80" s="3" t="n">
        <v>23776.0</v>
      </c>
    </row>
    <row r="81" spans="1:41" x14ac:dyDescent="0.2">
      <c r="A81" s="128"/>
      <c r="B81" s="9">
        <v>72</v>
      </c>
      <c r="C81" s="3" t="n">
        <v>28658.0</v>
      </c>
      <c r="D81" s="3" t="n">
        <v>30343.0</v>
      </c>
      <c r="E81" s="3" t="n">
        <v>30285.0</v>
      </c>
      <c r="F81" s="3" t="n">
        <v>30774.0</v>
      </c>
      <c r="G81" s="3" t="n">
        <v>30152.0</v>
      </c>
      <c r="H81" s="3" t="n">
        <v>31676.0</v>
      </c>
      <c r="I81" s="3" t="n">
        <v>30904.0</v>
      </c>
      <c r="J81" s="3" t="n">
        <v>30810.0</v>
      </c>
      <c r="K81" s="3" t="n">
        <v>29840.0</v>
      </c>
      <c r="L81" s="3" t="n">
        <v>28570.0</v>
      </c>
      <c r="M81" s="3" t="n">
        <v>26232.0</v>
      </c>
      <c r="N81" s="3" t="n">
        <v>24752.0</v>
      </c>
      <c r="O81" s="3" t="n">
        <v>23475.0</v>
      </c>
      <c r="P81" s="3" t="n">
        <v>23003.0</v>
      </c>
      <c r="Q81" s="3" t="n">
        <v>22489.0</v>
      </c>
      <c r="R81" s="3" t="n">
        <v>21871.0</v>
      </c>
      <c r="S81" s="3" t="n">
        <v>21874.0</v>
      </c>
      <c r="T81" s="3" t="n">
        <v>21747.0</v>
      </c>
      <c r="U81" s="3" t="n">
        <v>22187.0</v>
      </c>
      <c r="V81" s="3" t="n">
        <v>22756.0</v>
      </c>
      <c r="W81" s="3" t="n">
        <v>23163.0</v>
      </c>
      <c r="X81" s="3" t="n">
        <v>24199.0</v>
      </c>
      <c r="Y81" s="3" t="n">
        <v>24849.0</v>
      </c>
      <c r="Z81" s="3" t="n">
        <v>25602.0</v>
      </c>
      <c r="AA81" s="3" t="n">
        <v>26525.0</v>
      </c>
      <c r="AB81" s="3" t="n">
        <v>27584.0</v>
      </c>
      <c r="AC81" s="3" t="n">
        <v>28503.0</v>
      </c>
      <c r="AD81" s="3" t="n">
        <v>28510.0</v>
      </c>
      <c r="AE81" s="3" t="n">
        <v>28486.0</v>
      </c>
      <c r="AF81" s="3" t="n">
        <v>28751.0</v>
      </c>
      <c r="AG81" s="3" t="n">
        <v>28979.0</v>
      </c>
      <c r="AH81" s="3" t="n">
        <v>28052.0</v>
      </c>
      <c r="AI81" s="3" t="n">
        <v>29471.0</v>
      </c>
      <c r="AJ81" s="3" t="n">
        <v>30153.0</v>
      </c>
      <c r="AK81" s="3" t="n">
        <v>28643.0</v>
      </c>
      <c r="AL81" s="3" t="n">
        <v>27697.0</v>
      </c>
      <c r="AM81" s="3" t="n">
        <v>25822.0</v>
      </c>
      <c r="AN81" s="3" t="n">
        <v>24512.0</v>
      </c>
      <c r="AO81" s="3" t="n">
        <v>23929.0</v>
      </c>
    </row>
    <row r="82" spans="1:41" x14ac:dyDescent="0.2">
      <c r="A82" s="128"/>
      <c r="B82" s="9">
        <v>73</v>
      </c>
      <c r="C82" s="3" t="n">
        <v>26584.0</v>
      </c>
      <c r="D82" s="3" t="n">
        <v>27823.0</v>
      </c>
      <c r="E82" s="3" t="n">
        <v>29464.0</v>
      </c>
      <c r="F82" s="3" t="n">
        <v>29416.0</v>
      </c>
      <c r="G82" s="3" t="n">
        <v>29900.0</v>
      </c>
      <c r="H82" s="3" t="n">
        <v>29304.0</v>
      </c>
      <c r="I82" s="3" t="n">
        <v>30791.0</v>
      </c>
      <c r="J82" s="3" t="n">
        <v>30046.0</v>
      </c>
      <c r="K82" s="3" t="n">
        <v>29963.0</v>
      </c>
      <c r="L82" s="3" t="n">
        <v>29024.0</v>
      </c>
      <c r="M82" s="3" t="n">
        <v>27793.0</v>
      </c>
      <c r="N82" s="3" t="n">
        <v>25519.0</v>
      </c>
      <c r="O82" s="3" t="n">
        <v>24086.0</v>
      </c>
      <c r="P82" s="3" t="n">
        <v>22846.0</v>
      </c>
      <c r="Q82" s="3" t="n">
        <v>22395.0</v>
      </c>
      <c r="R82" s="3" t="n">
        <v>21897.0</v>
      </c>
      <c r="S82" s="3" t="n">
        <v>21294.0</v>
      </c>
      <c r="T82" s="3" t="n">
        <v>21299.0</v>
      </c>
      <c r="U82" s="3" t="n">
        <v>21181.0</v>
      </c>
      <c r="V82" s="3" t="n">
        <v>21609.0</v>
      </c>
      <c r="W82" s="3" t="n">
        <v>22163.0</v>
      </c>
      <c r="X82" s="3" t="n">
        <v>22568.0</v>
      </c>
      <c r="Y82" s="3" t="n">
        <v>23580.0</v>
      </c>
      <c r="Z82" s="3" t="n">
        <v>24209.0</v>
      </c>
      <c r="AA82" s="3" t="n">
        <v>24949.0</v>
      </c>
      <c r="AB82" s="3" t="n">
        <v>25849.0</v>
      </c>
      <c r="AC82" s="3" t="n">
        <v>26886.0</v>
      </c>
      <c r="AD82" s="3" t="n">
        <v>27776.0</v>
      </c>
      <c r="AE82" s="3" t="n">
        <v>27788.0</v>
      </c>
      <c r="AF82" s="3" t="n">
        <v>27761.0</v>
      </c>
      <c r="AG82" s="3" t="n">
        <v>28028.0</v>
      </c>
      <c r="AH82" s="3" t="n">
        <v>28257.0</v>
      </c>
      <c r="AI82" s="3" t="n">
        <v>27352.0</v>
      </c>
      <c r="AJ82" s="3" t="n">
        <v>28737.0</v>
      </c>
      <c r="AK82" s="3" t="n">
        <v>29414.0</v>
      </c>
      <c r="AL82" s="3" t="n">
        <v>27941.0</v>
      </c>
      <c r="AM82" s="3" t="n">
        <v>27019.0</v>
      </c>
      <c r="AN82" s="3" t="n">
        <v>25188.0</v>
      </c>
      <c r="AO82" s="3" t="n">
        <v>23915.0</v>
      </c>
    </row>
    <row r="83" spans="1:41" x14ac:dyDescent="0.2">
      <c r="A83" s="128"/>
      <c r="B83" s="9">
        <v>74</v>
      </c>
      <c r="C83" s="3" t="n">
        <v>26336.0</v>
      </c>
      <c r="D83" s="3" t="n">
        <v>25747.0</v>
      </c>
      <c r="E83" s="3" t="n">
        <v>26948.0</v>
      </c>
      <c r="F83" s="3" t="n">
        <v>28545.0</v>
      </c>
      <c r="G83" s="3" t="n">
        <v>28505.0</v>
      </c>
      <c r="H83" s="3" t="n">
        <v>28987.0</v>
      </c>
      <c r="I83" s="3" t="n">
        <v>28415.0</v>
      </c>
      <c r="J83" s="3" t="n">
        <v>29867.0</v>
      </c>
      <c r="K83" s="3" t="n">
        <v>29147.0</v>
      </c>
      <c r="L83" s="3" t="n">
        <v>29076.0</v>
      </c>
      <c r="M83" s="3" t="n">
        <v>28169.0</v>
      </c>
      <c r="N83" s="3" t="n">
        <v>26975.0</v>
      </c>
      <c r="O83" s="3" t="n">
        <v>24778.0</v>
      </c>
      <c r="P83" s="3" t="n">
        <v>23383.0</v>
      </c>
      <c r="Q83" s="3" t="n">
        <v>22189.0</v>
      </c>
      <c r="R83" s="3" t="n">
        <v>21757.0</v>
      </c>
      <c r="S83" s="3" t="n">
        <v>21268.0</v>
      </c>
      <c r="T83" s="3" t="n">
        <v>20690.0</v>
      </c>
      <c r="U83" s="3" t="n">
        <v>20701.0</v>
      </c>
      <c r="V83" s="3" t="n">
        <v>20582.0</v>
      </c>
      <c r="W83" s="3" t="n">
        <v>20995.0</v>
      </c>
      <c r="X83" s="3" t="n">
        <v>21543.0</v>
      </c>
      <c r="Y83" s="3" t="n">
        <v>21943.0</v>
      </c>
      <c r="Z83" s="3" t="n">
        <v>22922.0</v>
      </c>
      <c r="AA83" s="3" t="n">
        <v>23533.0</v>
      </c>
      <c r="AB83" s="3" t="n">
        <v>24261.0</v>
      </c>
      <c r="AC83" s="3" t="n">
        <v>25134.0</v>
      </c>
      <c r="AD83" s="3" t="n">
        <v>26142.0</v>
      </c>
      <c r="AE83" s="3" t="n">
        <v>27015.0</v>
      </c>
      <c r="AF83" s="3" t="n">
        <v>27028.0</v>
      </c>
      <c r="AG83" s="3" t="n">
        <v>27004.0</v>
      </c>
      <c r="AH83" s="3" t="n">
        <v>27272.0</v>
      </c>
      <c r="AI83" s="3" t="n">
        <v>27496.0</v>
      </c>
      <c r="AJ83" s="3" t="n">
        <v>26621.0</v>
      </c>
      <c r="AK83" s="3" t="n">
        <v>27963.0</v>
      </c>
      <c r="AL83" s="3" t="n">
        <v>28625.0</v>
      </c>
      <c r="AM83" s="3" t="n">
        <v>27198.0</v>
      </c>
      <c r="AN83" s="3" t="n">
        <v>26293.0</v>
      </c>
      <c r="AO83" s="3" t="n">
        <v>24519.0</v>
      </c>
    </row>
    <row r="84" spans="1:41" x14ac:dyDescent="0.2">
      <c r="A84" s="128"/>
      <c r="B84" s="9">
        <v>75</v>
      </c>
      <c r="C84" s="3" t="n">
        <v>24780.0</v>
      </c>
      <c r="D84" s="3" t="n">
        <v>25429.0</v>
      </c>
      <c r="E84" s="3" t="n">
        <v>24884.0</v>
      </c>
      <c r="F84" s="3" t="n">
        <v>26048.0</v>
      </c>
      <c r="G84" s="3" t="n">
        <v>27592.0</v>
      </c>
      <c r="H84" s="3" t="n">
        <v>27566.0</v>
      </c>
      <c r="I84" s="3" t="n">
        <v>28033.0</v>
      </c>
      <c r="J84" s="3" t="n">
        <v>27489.0</v>
      </c>
      <c r="K84" s="3" t="n">
        <v>28903.0</v>
      </c>
      <c r="L84" s="3" t="n">
        <v>28215.0</v>
      </c>
      <c r="M84" s="3" t="n">
        <v>28154.0</v>
      </c>
      <c r="N84" s="3" t="n">
        <v>27273.0</v>
      </c>
      <c r="O84" s="3" t="n">
        <v>26130.0</v>
      </c>
      <c r="P84" s="3" t="n">
        <v>24007.0</v>
      </c>
      <c r="Q84" s="3" t="n">
        <v>22663.0</v>
      </c>
      <c r="R84" s="3" t="n">
        <v>21499.0</v>
      </c>
      <c r="S84" s="3" t="n">
        <v>21084.0</v>
      </c>
      <c r="T84" s="3" t="n">
        <v>20607.0</v>
      </c>
      <c r="U84" s="3" t="n">
        <v>20060.0</v>
      </c>
      <c r="V84" s="3" t="n">
        <v>20073.0</v>
      </c>
      <c r="W84" s="3" t="n">
        <v>19957.0</v>
      </c>
      <c r="X84" s="3" t="n">
        <v>20363.0</v>
      </c>
      <c r="Y84" s="3" t="n">
        <v>20895.0</v>
      </c>
      <c r="Z84" s="3" t="n">
        <v>21278.0</v>
      </c>
      <c r="AA84" s="3" t="n">
        <v>22236.0</v>
      </c>
      <c r="AB84" s="3" t="n">
        <v>22831.0</v>
      </c>
      <c r="AC84" s="3" t="n">
        <v>23538.0</v>
      </c>
      <c r="AD84" s="3" t="n">
        <v>24385.0</v>
      </c>
      <c r="AE84" s="3" t="n">
        <v>25365.0</v>
      </c>
      <c r="AF84" s="3" t="n">
        <v>26213.0</v>
      </c>
      <c r="AG84" s="3" t="n">
        <v>26226.0</v>
      </c>
      <c r="AH84" s="3" t="n">
        <v>26209.0</v>
      </c>
      <c r="AI84" s="3" t="n">
        <v>26473.0</v>
      </c>
      <c r="AJ84" s="3" t="n">
        <v>26691.0</v>
      </c>
      <c r="AK84" s="3" t="n">
        <v>25849.0</v>
      </c>
      <c r="AL84" s="3" t="n">
        <v>27145.0</v>
      </c>
      <c r="AM84" s="3" t="n">
        <v>27796.0</v>
      </c>
      <c r="AN84" s="3" t="n">
        <v>26411.0</v>
      </c>
      <c r="AO84" s="3" t="n">
        <v>25533.0</v>
      </c>
    </row>
    <row r="85" spans="1:41" x14ac:dyDescent="0.2">
      <c r="A85" s="128"/>
      <c r="B85" s="9">
        <v>76</v>
      </c>
      <c r="C85" s="3" t="n">
        <v>24194.0</v>
      </c>
      <c r="D85" s="3" t="n">
        <v>23856.0</v>
      </c>
      <c r="E85" s="3" t="n">
        <v>24497.0</v>
      </c>
      <c r="F85" s="3" t="n">
        <v>23991.0</v>
      </c>
      <c r="G85" s="3" t="n">
        <v>25120.0</v>
      </c>
      <c r="H85" s="3" t="n">
        <v>26617.0</v>
      </c>
      <c r="I85" s="3" t="n">
        <v>26595.0</v>
      </c>
      <c r="J85" s="3" t="n">
        <v>27046.0</v>
      </c>
      <c r="K85" s="3" t="n">
        <v>26531.0</v>
      </c>
      <c r="L85" s="3" t="n">
        <v>27905.0</v>
      </c>
      <c r="M85" s="3" t="n">
        <v>27243.0</v>
      </c>
      <c r="N85" s="3" t="n">
        <v>27188.0</v>
      </c>
      <c r="O85" s="3" t="n">
        <v>26351.0</v>
      </c>
      <c r="P85" s="3" t="n">
        <v>25248.0</v>
      </c>
      <c r="Q85" s="3" t="n">
        <v>23208.0</v>
      </c>
      <c r="R85" s="3" t="n">
        <v>21904.0</v>
      </c>
      <c r="S85" s="3" t="n">
        <v>20781.0</v>
      </c>
      <c r="T85" s="3" t="n">
        <v>20383.0</v>
      </c>
      <c r="U85" s="3" t="n">
        <v>19929.0</v>
      </c>
      <c r="V85" s="3" t="n">
        <v>19396.0</v>
      </c>
      <c r="W85" s="3" t="n">
        <v>19414.0</v>
      </c>
      <c r="X85" s="3" t="n">
        <v>19307.0</v>
      </c>
      <c r="Y85" s="3" t="n">
        <v>19699.0</v>
      </c>
      <c r="Z85" s="3" t="n">
        <v>20214.0</v>
      </c>
      <c r="AA85" s="3" t="n">
        <v>20586.0</v>
      </c>
      <c r="AB85" s="3" t="n">
        <v>21514.0</v>
      </c>
      <c r="AC85" s="3" t="n">
        <v>22090.0</v>
      </c>
      <c r="AD85" s="3" t="n">
        <v>22777.0</v>
      </c>
      <c r="AE85" s="3" t="n">
        <v>23610.0</v>
      </c>
      <c r="AF85" s="3" t="n">
        <v>24560.0</v>
      </c>
      <c r="AG85" s="3" t="n">
        <v>25380.0</v>
      </c>
      <c r="AH85" s="3" t="n">
        <v>25397.0</v>
      </c>
      <c r="AI85" s="3" t="n">
        <v>25377.0</v>
      </c>
      <c r="AJ85" s="3" t="n">
        <v>25644.0</v>
      </c>
      <c r="AK85" s="3" t="n">
        <v>25849.0</v>
      </c>
      <c r="AL85" s="3" t="n">
        <v>25035.0</v>
      </c>
      <c r="AM85" s="3" t="n">
        <v>26292.0</v>
      </c>
      <c r="AN85" s="3" t="n">
        <v>26928.0</v>
      </c>
      <c r="AO85" s="3" t="n">
        <v>25589.0</v>
      </c>
    </row>
    <row r="86" spans="1:41" x14ac:dyDescent="0.2">
      <c r="A86" s="128"/>
      <c r="B86" s="9">
        <v>77</v>
      </c>
      <c r="C86" s="3" t="n">
        <v>14696.0</v>
      </c>
      <c r="D86" s="3" t="n">
        <v>23224.0</v>
      </c>
      <c r="E86" s="3" t="n">
        <v>22914.0</v>
      </c>
      <c r="F86" s="3" t="n">
        <v>23537.0</v>
      </c>
      <c r="G86" s="3" t="n">
        <v>23068.0</v>
      </c>
      <c r="H86" s="3" t="n">
        <v>24163.0</v>
      </c>
      <c r="I86" s="3" t="n">
        <v>25605.0</v>
      </c>
      <c r="J86" s="3" t="n">
        <v>25587.0</v>
      </c>
      <c r="K86" s="3" t="n">
        <v>26023.0</v>
      </c>
      <c r="L86" s="3" t="n">
        <v>25540.0</v>
      </c>
      <c r="M86" s="3" t="n">
        <v>26863.0</v>
      </c>
      <c r="N86" s="3" t="n">
        <v>26232.0</v>
      </c>
      <c r="O86" s="3" t="n">
        <v>26189.0</v>
      </c>
      <c r="P86" s="3" t="n">
        <v>25383.0</v>
      </c>
      <c r="Q86" s="3" t="n">
        <v>24323.0</v>
      </c>
      <c r="R86" s="3" t="n">
        <v>22370.0</v>
      </c>
      <c r="S86" s="3" t="n">
        <v>21116.0</v>
      </c>
      <c r="T86" s="3" t="n">
        <v>20034.0</v>
      </c>
      <c r="U86" s="3" t="n">
        <v>19658.0</v>
      </c>
      <c r="V86" s="3" t="n">
        <v>19226.0</v>
      </c>
      <c r="W86" s="3" t="n">
        <v>18710.0</v>
      </c>
      <c r="X86" s="3" t="n">
        <v>18738.0</v>
      </c>
      <c r="Y86" s="3" t="n">
        <v>18632.0</v>
      </c>
      <c r="Z86" s="3" t="n">
        <v>19008.0</v>
      </c>
      <c r="AA86" s="3" t="n">
        <v>19510.0</v>
      </c>
      <c r="AB86" s="3" t="n">
        <v>19875.0</v>
      </c>
      <c r="AC86" s="3" t="n">
        <v>20765.0</v>
      </c>
      <c r="AD86" s="3" t="n">
        <v>21319.0</v>
      </c>
      <c r="AE86" s="3" t="n">
        <v>21988.0</v>
      </c>
      <c r="AF86" s="3" t="n">
        <v>22790.0</v>
      </c>
      <c r="AG86" s="3" t="n">
        <v>23717.0</v>
      </c>
      <c r="AH86" s="3" t="n">
        <v>24509.0</v>
      </c>
      <c r="AI86" s="3" t="n">
        <v>24530.0</v>
      </c>
      <c r="AJ86" s="3" t="n">
        <v>24505.0</v>
      </c>
      <c r="AK86" s="3" t="n">
        <v>24770.0</v>
      </c>
      <c r="AL86" s="3" t="n">
        <v>24967.0</v>
      </c>
      <c r="AM86" s="3" t="n">
        <v>24187.0</v>
      </c>
      <c r="AN86" s="3" t="n">
        <v>25398.0</v>
      </c>
      <c r="AO86" s="3" t="n">
        <v>26022.0</v>
      </c>
    </row>
    <row r="87" spans="1:41" x14ac:dyDescent="0.2">
      <c r="A87" s="128"/>
      <c r="B87" s="9">
        <v>78</v>
      </c>
      <c r="C87" s="3" t="n">
        <v>13221.0</v>
      </c>
      <c r="D87" s="3" t="n">
        <v>14052.0</v>
      </c>
      <c r="E87" s="3" t="n">
        <v>22226.0</v>
      </c>
      <c r="F87" s="3" t="n">
        <v>21942.0</v>
      </c>
      <c r="G87" s="3" t="n">
        <v>22546.0</v>
      </c>
      <c r="H87" s="3" t="n">
        <v>22110.0</v>
      </c>
      <c r="I87" s="3" t="n">
        <v>23159.0</v>
      </c>
      <c r="J87" s="3" t="n">
        <v>24553.0</v>
      </c>
      <c r="K87" s="3" t="n">
        <v>24535.0</v>
      </c>
      <c r="L87" s="3" t="n">
        <v>24970.0</v>
      </c>
      <c r="M87" s="3" t="n">
        <v>24511.0</v>
      </c>
      <c r="N87" s="3" t="n">
        <v>25777.0</v>
      </c>
      <c r="O87" s="3" t="n">
        <v>25177.0</v>
      </c>
      <c r="P87" s="3" t="n">
        <v>25144.0</v>
      </c>
      <c r="Q87" s="3" t="n">
        <v>24379.0</v>
      </c>
      <c r="R87" s="3" t="n">
        <v>23364.0</v>
      </c>
      <c r="S87" s="3" t="n">
        <v>21500.0</v>
      </c>
      <c r="T87" s="3" t="n">
        <v>20290.0</v>
      </c>
      <c r="U87" s="3" t="n">
        <v>19258.0</v>
      </c>
      <c r="V87" s="3" t="n">
        <v>18897.0</v>
      </c>
      <c r="W87" s="3" t="n">
        <v>18483.0</v>
      </c>
      <c r="X87" s="3" t="n">
        <v>17990.0</v>
      </c>
      <c r="Y87" s="3" t="n">
        <v>18023.0</v>
      </c>
      <c r="Z87" s="3" t="n">
        <v>17921.0</v>
      </c>
      <c r="AA87" s="3" t="n">
        <v>18275.0</v>
      </c>
      <c r="AB87" s="3" t="n">
        <v>18765.0</v>
      </c>
      <c r="AC87" s="3" t="n">
        <v>19124.0</v>
      </c>
      <c r="AD87" s="3" t="n">
        <v>19984.0</v>
      </c>
      <c r="AE87" s="3" t="n">
        <v>20521.0</v>
      </c>
      <c r="AF87" s="3" t="n">
        <v>21166.0</v>
      </c>
      <c r="AG87" s="3" t="n">
        <v>21938.0</v>
      </c>
      <c r="AH87" s="3" t="n">
        <v>22827.0</v>
      </c>
      <c r="AI87" s="3" t="n">
        <v>23587.0</v>
      </c>
      <c r="AJ87" s="3" t="n">
        <v>23619.0</v>
      </c>
      <c r="AK87" s="3" t="n">
        <v>23601.0</v>
      </c>
      <c r="AL87" s="3" t="n">
        <v>23853.0</v>
      </c>
      <c r="AM87" s="3" t="n">
        <v>24044.0</v>
      </c>
      <c r="AN87" s="3" t="n">
        <v>23297.0</v>
      </c>
      <c r="AO87" s="3" t="n">
        <v>24470.0</v>
      </c>
    </row>
    <row r="88" spans="1:41" x14ac:dyDescent="0.2">
      <c r="A88" s="128"/>
      <c r="B88" s="9">
        <v>79</v>
      </c>
      <c r="C88" s="3" t="n">
        <v>12935.0</v>
      </c>
      <c r="D88" s="3" t="n">
        <v>12598.0</v>
      </c>
      <c r="E88" s="3" t="n">
        <v>13390.0</v>
      </c>
      <c r="F88" s="3" t="n">
        <v>21189.0</v>
      </c>
      <c r="G88" s="3" t="n">
        <v>20920.0</v>
      </c>
      <c r="H88" s="3" t="n">
        <v>21521.0</v>
      </c>
      <c r="I88" s="3" t="n">
        <v>21116.0</v>
      </c>
      <c r="J88" s="3" t="n">
        <v>22126.0</v>
      </c>
      <c r="K88" s="3" t="n">
        <v>23463.0</v>
      </c>
      <c r="L88" s="3" t="n">
        <v>23448.0</v>
      </c>
      <c r="M88" s="3" t="n">
        <v>23872.0</v>
      </c>
      <c r="N88" s="3" t="n">
        <v>23437.0</v>
      </c>
      <c r="O88" s="3" t="n">
        <v>24650.0</v>
      </c>
      <c r="P88" s="3" t="n">
        <v>24079.0</v>
      </c>
      <c r="Q88" s="3" t="n">
        <v>24069.0</v>
      </c>
      <c r="R88" s="3" t="n">
        <v>23329.0</v>
      </c>
      <c r="S88" s="3" t="n">
        <v>22370.0</v>
      </c>
      <c r="T88" s="3" t="n">
        <v>20587.0</v>
      </c>
      <c r="U88" s="3" t="n">
        <v>19436.0</v>
      </c>
      <c r="V88" s="3" t="n">
        <v>18444.0</v>
      </c>
      <c r="W88" s="3" t="n">
        <v>18102.0</v>
      </c>
      <c r="X88" s="3" t="n">
        <v>17707.0</v>
      </c>
      <c r="Y88" s="3" t="n">
        <v>17232.0</v>
      </c>
      <c r="Z88" s="3" t="n">
        <v>17265.0</v>
      </c>
      <c r="AA88" s="3" t="n">
        <v>17170.0</v>
      </c>
      <c r="AB88" s="3" t="n">
        <v>17507.0</v>
      </c>
      <c r="AC88" s="3" t="n">
        <v>17983.0</v>
      </c>
      <c r="AD88" s="3" t="n">
        <v>18326.0</v>
      </c>
      <c r="AE88" s="3" t="n">
        <v>19163.0</v>
      </c>
      <c r="AF88" s="3" t="n">
        <v>19680.0</v>
      </c>
      <c r="AG88" s="3" t="n">
        <v>20301.0</v>
      </c>
      <c r="AH88" s="3" t="n">
        <v>21047.0</v>
      </c>
      <c r="AI88" s="3" t="n">
        <v>21899.0</v>
      </c>
      <c r="AJ88" s="3" t="n">
        <v>22632.0</v>
      </c>
      <c r="AK88" s="3" t="n">
        <v>22667.0</v>
      </c>
      <c r="AL88" s="3" t="n">
        <v>22653.0</v>
      </c>
      <c r="AM88" s="3" t="n">
        <v>22899.0</v>
      </c>
      <c r="AN88" s="3" t="n">
        <v>23079.0</v>
      </c>
      <c r="AO88" s="3" t="n">
        <v>22368.0</v>
      </c>
    </row>
    <row r="89" spans="1:41" x14ac:dyDescent="0.2">
      <c r="A89" s="128"/>
      <c r="B89" s="9">
        <v>80</v>
      </c>
      <c r="C89" s="3" t="n">
        <v>11744.0</v>
      </c>
      <c r="D89" s="3" t="n">
        <v>12260.0</v>
      </c>
      <c r="E89" s="3" t="n">
        <v>11951.0</v>
      </c>
      <c r="F89" s="3" t="n">
        <v>12703.0</v>
      </c>
      <c r="G89" s="3" t="n">
        <v>20123.0</v>
      </c>
      <c r="H89" s="3" t="n">
        <v>19882.0</v>
      </c>
      <c r="I89" s="3" t="n">
        <v>20462.0</v>
      </c>
      <c r="J89" s="3" t="n">
        <v>20084.0</v>
      </c>
      <c r="K89" s="3" t="n">
        <v>21051.0</v>
      </c>
      <c r="L89" s="3" t="n">
        <v>22342.0</v>
      </c>
      <c r="M89" s="3" t="n">
        <v>22322.0</v>
      </c>
      <c r="N89" s="3" t="n">
        <v>22721.0</v>
      </c>
      <c r="O89" s="3" t="n">
        <v>22326.0</v>
      </c>
      <c r="P89" s="3" t="n">
        <v>23479.0</v>
      </c>
      <c r="Q89" s="3" t="n">
        <v>22946.0</v>
      </c>
      <c r="R89" s="3" t="n">
        <v>22937.0</v>
      </c>
      <c r="S89" s="3" t="n">
        <v>22240.0</v>
      </c>
      <c r="T89" s="3" t="n">
        <v>21328.0</v>
      </c>
      <c r="U89" s="3" t="n">
        <v>19646.0</v>
      </c>
      <c r="V89" s="3" t="n">
        <v>18541.0</v>
      </c>
      <c r="W89" s="3" t="n">
        <v>17597.0</v>
      </c>
      <c r="X89" s="3" t="n">
        <v>17281.0</v>
      </c>
      <c r="Y89" s="3" t="n">
        <v>16899.0</v>
      </c>
      <c r="Z89" s="3" t="n">
        <v>16448.0</v>
      </c>
      <c r="AA89" s="3" t="n">
        <v>16482.0</v>
      </c>
      <c r="AB89" s="3" t="n">
        <v>16392.0</v>
      </c>
      <c r="AC89" s="3" t="n">
        <v>16719.0</v>
      </c>
      <c r="AD89" s="3" t="n">
        <v>17173.0</v>
      </c>
      <c r="AE89" s="3" t="n">
        <v>17510.0</v>
      </c>
      <c r="AF89" s="3" t="n">
        <v>18308.0</v>
      </c>
      <c r="AG89" s="3" t="n">
        <v>18808.0</v>
      </c>
      <c r="AH89" s="3" t="n">
        <v>19398.0</v>
      </c>
      <c r="AI89" s="3" t="n">
        <v>20114.0</v>
      </c>
      <c r="AJ89" s="3" t="n">
        <v>20927.0</v>
      </c>
      <c r="AK89" s="3" t="n">
        <v>21626.0</v>
      </c>
      <c r="AL89" s="3" t="n">
        <v>21666.0</v>
      </c>
      <c r="AM89" s="3" t="n">
        <v>21655.0</v>
      </c>
      <c r="AN89" s="3" t="n">
        <v>21893.0</v>
      </c>
      <c r="AO89" s="3" t="n">
        <v>22067.0</v>
      </c>
    </row>
    <row r="90" spans="1:41" x14ac:dyDescent="0.2">
      <c r="A90" s="128"/>
      <c r="B90" s="9">
        <v>81</v>
      </c>
      <c r="C90" s="3" t="n">
        <v>11753.0</v>
      </c>
      <c r="D90" s="3" t="n">
        <v>11060.0</v>
      </c>
      <c r="E90" s="3" t="n">
        <v>11551.0</v>
      </c>
      <c r="F90" s="3" t="n">
        <v>11270.0</v>
      </c>
      <c r="G90" s="3" t="n">
        <v>11984.0</v>
      </c>
      <c r="H90" s="3" t="n">
        <v>18992.0</v>
      </c>
      <c r="I90" s="3" t="n">
        <v>18774.0</v>
      </c>
      <c r="J90" s="3" t="n">
        <v>19330.0</v>
      </c>
      <c r="K90" s="3" t="n">
        <v>18991.0</v>
      </c>
      <c r="L90" s="3" t="n">
        <v>19911.0</v>
      </c>
      <c r="M90" s="3" t="n">
        <v>21137.0</v>
      </c>
      <c r="N90" s="3" t="n">
        <v>21129.0</v>
      </c>
      <c r="O90" s="3" t="n">
        <v>21507.0</v>
      </c>
      <c r="P90" s="3" t="n">
        <v>21137.0</v>
      </c>
      <c r="Q90" s="3" t="n">
        <v>22236.0</v>
      </c>
      <c r="R90" s="3" t="n">
        <v>21730.0</v>
      </c>
      <c r="S90" s="3" t="n">
        <v>21740.0</v>
      </c>
      <c r="T90" s="3" t="n">
        <v>21076.0</v>
      </c>
      <c r="U90" s="3" t="n">
        <v>20228.0</v>
      </c>
      <c r="V90" s="3" t="n">
        <v>18625.0</v>
      </c>
      <c r="W90" s="3" t="n">
        <v>17584.0</v>
      </c>
      <c r="X90" s="3" t="n">
        <v>16689.0</v>
      </c>
      <c r="Y90" s="3" t="n">
        <v>16392.0</v>
      </c>
      <c r="Z90" s="3" t="n">
        <v>16026.0</v>
      </c>
      <c r="AA90" s="3" t="n">
        <v>15604.0</v>
      </c>
      <c r="AB90" s="3" t="n">
        <v>15640.0</v>
      </c>
      <c r="AC90" s="3" t="n">
        <v>15559.0</v>
      </c>
      <c r="AD90" s="3" t="n">
        <v>15866.0</v>
      </c>
      <c r="AE90" s="3" t="n">
        <v>16306.0</v>
      </c>
      <c r="AF90" s="3" t="n">
        <v>16623.0</v>
      </c>
      <c r="AG90" s="3" t="n">
        <v>17394.0</v>
      </c>
      <c r="AH90" s="3" t="n">
        <v>17863.0</v>
      </c>
      <c r="AI90" s="3" t="n">
        <v>18435.0</v>
      </c>
      <c r="AJ90" s="3" t="n">
        <v>19115.0</v>
      </c>
      <c r="AK90" s="3" t="n">
        <v>19895.0</v>
      </c>
      <c r="AL90" s="3" t="n">
        <v>20556.0</v>
      </c>
      <c r="AM90" s="3" t="n">
        <v>20598.0</v>
      </c>
      <c r="AN90" s="3" t="n">
        <v>20585.0</v>
      </c>
      <c r="AO90" s="3" t="n">
        <v>20821.0</v>
      </c>
    </row>
    <row r="91" spans="1:41" x14ac:dyDescent="0.2">
      <c r="A91" s="128"/>
      <c r="B91" s="9">
        <v>82</v>
      </c>
      <c r="C91" s="3" t="n">
        <v>11042.0</v>
      </c>
      <c r="D91" s="3" t="n">
        <v>11003.0</v>
      </c>
      <c r="E91" s="3" t="n">
        <v>10370.0</v>
      </c>
      <c r="F91" s="3" t="n">
        <v>10829.0</v>
      </c>
      <c r="G91" s="3" t="n">
        <v>10574.0</v>
      </c>
      <c r="H91" s="3" t="n">
        <v>11245.0</v>
      </c>
      <c r="I91" s="3" t="n">
        <v>17814.0</v>
      </c>
      <c r="J91" s="3" t="n">
        <v>17616.0</v>
      </c>
      <c r="K91" s="3" t="n">
        <v>18147.0</v>
      </c>
      <c r="L91" s="3" t="n">
        <v>17842.0</v>
      </c>
      <c r="M91" s="3" t="n">
        <v>18707.0</v>
      </c>
      <c r="N91" s="3" t="n">
        <v>19864.0</v>
      </c>
      <c r="O91" s="3" t="n">
        <v>19864.0</v>
      </c>
      <c r="P91" s="3" t="n">
        <v>20219.0</v>
      </c>
      <c r="Q91" s="3" t="n">
        <v>19880.0</v>
      </c>
      <c r="R91" s="3" t="n">
        <v>20918.0</v>
      </c>
      <c r="S91" s="3" t="n">
        <v>20447.0</v>
      </c>
      <c r="T91" s="3" t="n">
        <v>20456.0</v>
      </c>
      <c r="U91" s="3" t="n">
        <v>19850.0</v>
      </c>
      <c r="V91" s="3" t="n">
        <v>19054.0</v>
      </c>
      <c r="W91" s="3" t="n">
        <v>17547.0</v>
      </c>
      <c r="X91" s="3" t="n">
        <v>16578.0</v>
      </c>
      <c r="Y91" s="3" t="n">
        <v>15729.0</v>
      </c>
      <c r="Z91" s="3" t="n">
        <v>15454.0</v>
      </c>
      <c r="AA91" s="3" t="n">
        <v>15112.0</v>
      </c>
      <c r="AB91" s="3" t="n">
        <v>14724.0</v>
      </c>
      <c r="AC91" s="3" t="n">
        <v>14758.0</v>
      </c>
      <c r="AD91" s="3" t="n">
        <v>14679.0</v>
      </c>
      <c r="AE91" s="3" t="n">
        <v>14976.0</v>
      </c>
      <c r="AF91" s="3" t="n">
        <v>15390.0</v>
      </c>
      <c r="AG91" s="3" t="n">
        <v>15692.0</v>
      </c>
      <c r="AH91" s="3" t="n">
        <v>16421.0</v>
      </c>
      <c r="AI91" s="3" t="n">
        <v>16865.0</v>
      </c>
      <c r="AJ91" s="3" t="n">
        <v>17411.0</v>
      </c>
      <c r="AK91" s="3" t="n">
        <v>18054.0</v>
      </c>
      <c r="AL91" s="3" t="n">
        <v>18787.0</v>
      </c>
      <c r="AM91" s="3" t="n">
        <v>19422.0</v>
      </c>
      <c r="AN91" s="3" t="n">
        <v>19458.0</v>
      </c>
      <c r="AO91" s="3" t="n">
        <v>19454.0</v>
      </c>
    </row>
    <row r="92" spans="1:41" x14ac:dyDescent="0.2">
      <c r="A92" s="128"/>
      <c r="B92" s="9">
        <v>83</v>
      </c>
      <c r="C92" s="3" t="n">
        <v>10346.0</v>
      </c>
      <c r="D92" s="3" t="n">
        <v>10236.0</v>
      </c>
      <c r="E92" s="3" t="n">
        <v>10209.0</v>
      </c>
      <c r="F92" s="3" t="n">
        <v>9624.0</v>
      </c>
      <c r="G92" s="3" t="n">
        <v>10056.0</v>
      </c>
      <c r="H92" s="3" t="n">
        <v>9827.0</v>
      </c>
      <c r="I92" s="3" t="n">
        <v>10453.0</v>
      </c>
      <c r="J92" s="3" t="n">
        <v>16563.0</v>
      </c>
      <c r="K92" s="3" t="n">
        <v>16391.0</v>
      </c>
      <c r="L92" s="3" t="n">
        <v>16901.0</v>
      </c>
      <c r="M92" s="3" t="n">
        <v>16624.0</v>
      </c>
      <c r="N92" s="3" t="n">
        <v>17441.0</v>
      </c>
      <c r="O92" s="3" t="n">
        <v>18530.0</v>
      </c>
      <c r="P92" s="3" t="n">
        <v>18528.0</v>
      </c>
      <c r="Q92" s="3" t="n">
        <v>18871.0</v>
      </c>
      <c r="R92" s="3" t="n">
        <v>18564.0</v>
      </c>
      <c r="S92" s="3" t="n">
        <v>19532.0</v>
      </c>
      <c r="T92" s="3" t="n">
        <v>19092.0</v>
      </c>
      <c r="U92" s="3" t="n">
        <v>19119.0</v>
      </c>
      <c r="V92" s="3" t="n">
        <v>18555.0</v>
      </c>
      <c r="W92" s="3" t="n">
        <v>17806.0</v>
      </c>
      <c r="X92" s="3" t="n">
        <v>16410.0</v>
      </c>
      <c r="Y92" s="3" t="n">
        <v>15503.0</v>
      </c>
      <c r="Z92" s="3" t="n">
        <v>14712.0</v>
      </c>
      <c r="AA92" s="3" t="n">
        <v>14459.0</v>
      </c>
      <c r="AB92" s="3" t="n">
        <v>14146.0</v>
      </c>
      <c r="AC92" s="3" t="n">
        <v>13786.0</v>
      </c>
      <c r="AD92" s="3" t="n">
        <v>13810.0</v>
      </c>
      <c r="AE92" s="3" t="n">
        <v>13747.0</v>
      </c>
      <c r="AF92" s="3" t="n">
        <v>14025.0</v>
      </c>
      <c r="AG92" s="3" t="n">
        <v>14413.0</v>
      </c>
      <c r="AH92" s="3" t="n">
        <v>14705.0</v>
      </c>
      <c r="AI92" s="3" t="n">
        <v>15387.0</v>
      </c>
      <c r="AJ92" s="3" t="n">
        <v>15811.0</v>
      </c>
      <c r="AK92" s="3" t="n">
        <v>16326.0</v>
      </c>
      <c r="AL92" s="3" t="n">
        <v>16925.0</v>
      </c>
      <c r="AM92" s="3" t="n">
        <v>17624.0</v>
      </c>
      <c r="AN92" s="3" t="n">
        <v>18216.0</v>
      </c>
      <c r="AO92" s="3" t="n">
        <v>18253.0</v>
      </c>
    </row>
    <row r="93" spans="1:41" x14ac:dyDescent="0.2">
      <c r="A93" s="128"/>
      <c r="B93" s="9">
        <v>84</v>
      </c>
      <c r="C93" s="3" t="n">
        <v>9586.0</v>
      </c>
      <c r="D93" s="3" t="n">
        <v>9492.0</v>
      </c>
      <c r="E93" s="3" t="n">
        <v>9403.0</v>
      </c>
      <c r="F93" s="3" t="n">
        <v>9382.0</v>
      </c>
      <c r="G93" s="3" t="n">
        <v>8841.0</v>
      </c>
      <c r="H93" s="3" t="n">
        <v>9248.0</v>
      </c>
      <c r="I93" s="3" t="n">
        <v>9045.0</v>
      </c>
      <c r="J93" s="3" t="n">
        <v>9629.0</v>
      </c>
      <c r="K93" s="3" t="n">
        <v>15261.0</v>
      </c>
      <c r="L93" s="3" t="n">
        <v>15107.0</v>
      </c>
      <c r="M93" s="3" t="n">
        <v>15585.0</v>
      </c>
      <c r="N93" s="3" t="n">
        <v>15345.0</v>
      </c>
      <c r="O93" s="3" t="n">
        <v>16106.0</v>
      </c>
      <c r="P93" s="3" t="n">
        <v>17114.0</v>
      </c>
      <c r="Q93" s="3" t="n">
        <v>17124.0</v>
      </c>
      <c r="R93" s="3" t="n">
        <v>17436.0</v>
      </c>
      <c r="S93" s="3" t="n">
        <v>17170.0</v>
      </c>
      <c r="T93" s="3" t="n">
        <v>18067.0</v>
      </c>
      <c r="U93" s="3" t="n">
        <v>17660.0</v>
      </c>
      <c r="V93" s="3" t="n">
        <v>17697.0</v>
      </c>
      <c r="W93" s="3" t="n">
        <v>17181.0</v>
      </c>
      <c r="X93" s="3" t="n">
        <v>16495.0</v>
      </c>
      <c r="Y93" s="3" t="n">
        <v>15209.0</v>
      </c>
      <c r="Z93" s="3" t="n">
        <v>14368.0</v>
      </c>
      <c r="AA93" s="3" t="n">
        <v>13633.0</v>
      </c>
      <c r="AB93" s="3" t="n">
        <v>13405.0</v>
      </c>
      <c r="AC93" s="3" t="n">
        <v>13120.0</v>
      </c>
      <c r="AD93" s="3" t="n">
        <v>12786.0</v>
      </c>
      <c r="AE93" s="3" t="n">
        <v>12817.0</v>
      </c>
      <c r="AF93" s="3" t="n">
        <v>12752.0</v>
      </c>
      <c r="AG93" s="3" t="n">
        <v>13015.0</v>
      </c>
      <c r="AH93" s="3" t="n">
        <v>13379.0</v>
      </c>
      <c r="AI93" s="3" t="n">
        <v>13650.0</v>
      </c>
      <c r="AJ93" s="3" t="n">
        <v>14288.0</v>
      </c>
      <c r="AK93" s="3" t="n">
        <v>14687.0</v>
      </c>
      <c r="AL93" s="3" t="n">
        <v>15169.0</v>
      </c>
      <c r="AM93" s="3" t="n">
        <v>15725.0</v>
      </c>
      <c r="AN93" s="3" t="n">
        <v>16380.0</v>
      </c>
      <c r="AO93" s="3" t="n">
        <v>16934.0</v>
      </c>
    </row>
    <row r="94" spans="1:41" x14ac:dyDescent="0.2">
      <c r="A94" s="128"/>
      <c r="B94" s="9">
        <v>85</v>
      </c>
      <c r="C94" s="3" t="n">
        <v>9035.0</v>
      </c>
      <c r="D94" s="3" t="n">
        <v>8695.0</v>
      </c>
      <c r="E94" s="3" t="n">
        <v>8618.0</v>
      </c>
      <c r="F94" s="3" t="n">
        <v>8540.0</v>
      </c>
      <c r="G94" s="3" t="n">
        <v>8524.0</v>
      </c>
      <c r="H94" s="3" t="n">
        <v>8042.0</v>
      </c>
      <c r="I94" s="3" t="n">
        <v>8411.0</v>
      </c>
      <c r="J94" s="3" t="n">
        <v>8233.0</v>
      </c>
      <c r="K94" s="3" t="n">
        <v>8772.0</v>
      </c>
      <c r="L94" s="3" t="n">
        <v>13909.0</v>
      </c>
      <c r="M94" s="3" t="n">
        <v>13773.0</v>
      </c>
      <c r="N94" s="3" t="n">
        <v>14218.0</v>
      </c>
      <c r="O94" s="3" t="n">
        <v>14023.0</v>
      </c>
      <c r="P94" s="3" t="n">
        <v>14719.0</v>
      </c>
      <c r="Q94" s="3" t="n">
        <v>15655.0</v>
      </c>
      <c r="R94" s="3" t="n">
        <v>15659.0</v>
      </c>
      <c r="S94" s="3" t="n">
        <v>15957.0</v>
      </c>
      <c r="T94" s="3" t="n">
        <v>15715.0</v>
      </c>
      <c r="U94" s="3" t="n">
        <v>16544.0</v>
      </c>
      <c r="V94" s="3" t="n">
        <v>16180.0</v>
      </c>
      <c r="W94" s="3" t="n">
        <v>16227.0</v>
      </c>
      <c r="X94" s="3" t="n">
        <v>15746.0</v>
      </c>
      <c r="Y94" s="3" t="n">
        <v>15129.0</v>
      </c>
      <c r="Z94" s="3" t="n">
        <v>13954.0</v>
      </c>
      <c r="AA94" s="3" t="n">
        <v>13185.0</v>
      </c>
      <c r="AB94" s="3" t="n">
        <v>12511.0</v>
      </c>
      <c r="AC94" s="3" t="n">
        <v>12298.0</v>
      </c>
      <c r="AD94" s="3" t="n">
        <v>12039.0</v>
      </c>
      <c r="AE94" s="3" t="n">
        <v>11746.0</v>
      </c>
      <c r="AF94" s="3" t="n">
        <v>11771.0</v>
      </c>
      <c r="AG94" s="3" t="n">
        <v>11712.0</v>
      </c>
      <c r="AH94" s="3" t="n">
        <v>11961.0</v>
      </c>
      <c r="AI94" s="3" t="n">
        <v>12298.0</v>
      </c>
      <c r="AJ94" s="3" t="n">
        <v>12548.0</v>
      </c>
      <c r="AK94" s="3" t="n">
        <v>13142.0</v>
      </c>
      <c r="AL94" s="3" t="n">
        <v>13509.0</v>
      </c>
      <c r="AM94" s="3" t="n">
        <v>13961.0</v>
      </c>
      <c r="AN94" s="3" t="n">
        <v>14469.0</v>
      </c>
      <c r="AO94" s="3" t="n">
        <v>15083.0</v>
      </c>
    </row>
    <row r="95" spans="1:41" x14ac:dyDescent="0.2">
      <c r="A95" s="128"/>
      <c r="B95" s="9">
        <v>86</v>
      </c>
      <c r="C95" s="3" t="n">
        <v>8299.0</v>
      </c>
      <c r="D95" s="3" t="n">
        <v>8118.0</v>
      </c>
      <c r="E95" s="3" t="n">
        <v>7819.0</v>
      </c>
      <c r="F95" s="3" t="n">
        <v>7756.0</v>
      </c>
      <c r="G95" s="3" t="n">
        <v>7688.0</v>
      </c>
      <c r="H95" s="3" t="n">
        <v>7687.0</v>
      </c>
      <c r="I95" s="3" t="n">
        <v>7251.0</v>
      </c>
      <c r="J95" s="3" t="n">
        <v>7589.0</v>
      </c>
      <c r="K95" s="3" t="n">
        <v>7430.0</v>
      </c>
      <c r="L95" s="3" t="n">
        <v>7921.0</v>
      </c>
      <c r="M95" s="3" t="n">
        <v>12567.0</v>
      </c>
      <c r="N95" s="3" t="n">
        <v>12446.0</v>
      </c>
      <c r="O95" s="3" t="n">
        <v>12863.0</v>
      </c>
      <c r="P95" s="3" t="n">
        <v>12695.0</v>
      </c>
      <c r="Q95" s="3" t="n">
        <v>13339.0</v>
      </c>
      <c r="R95" s="3" t="n">
        <v>14182.0</v>
      </c>
      <c r="S95" s="3" t="n">
        <v>14196.0</v>
      </c>
      <c r="T95" s="3" t="n">
        <v>14464.0</v>
      </c>
      <c r="U95" s="3" t="n">
        <v>14263.0</v>
      </c>
      <c r="V95" s="3" t="n">
        <v>15015.0</v>
      </c>
      <c r="W95" s="3" t="n">
        <v>14697.0</v>
      </c>
      <c r="X95" s="3" t="n">
        <v>14743.0</v>
      </c>
      <c r="Y95" s="3" t="n">
        <v>14313.0</v>
      </c>
      <c r="Z95" s="3" t="n">
        <v>13751.0</v>
      </c>
      <c r="AA95" s="3" t="n">
        <v>12682.0</v>
      </c>
      <c r="AB95" s="3" t="n">
        <v>11994.0</v>
      </c>
      <c r="AC95" s="3" t="n">
        <v>11382.0</v>
      </c>
      <c r="AD95" s="3" t="n">
        <v>11190.0</v>
      </c>
      <c r="AE95" s="3" t="n">
        <v>10960.0</v>
      </c>
      <c r="AF95" s="3" t="n">
        <v>10694.0</v>
      </c>
      <c r="AG95" s="3" t="n">
        <v>10722.0</v>
      </c>
      <c r="AH95" s="3" t="n">
        <v>10669.0</v>
      </c>
      <c r="AI95" s="3" t="n">
        <v>10895.0</v>
      </c>
      <c r="AJ95" s="3" t="n">
        <v>11208.0</v>
      </c>
      <c r="AK95" s="3" t="n">
        <v>11440.0</v>
      </c>
      <c r="AL95" s="3" t="n">
        <v>11979.0</v>
      </c>
      <c r="AM95" s="3" t="n">
        <v>12317.0</v>
      </c>
      <c r="AN95" s="3" t="n">
        <v>12734.0</v>
      </c>
      <c r="AO95" s="3" t="n">
        <v>13208.0</v>
      </c>
    </row>
    <row r="96" spans="1:41" x14ac:dyDescent="0.2">
      <c r="A96" s="128"/>
      <c r="B96" s="9">
        <v>87</v>
      </c>
      <c r="C96" s="3" t="n">
        <v>7275.0</v>
      </c>
      <c r="D96" s="3" t="n">
        <v>7371.0</v>
      </c>
      <c r="E96" s="3" t="n">
        <v>7212.0</v>
      </c>
      <c r="F96" s="3" t="n">
        <v>6954.0</v>
      </c>
      <c r="G96" s="3" t="n">
        <v>6901.0</v>
      </c>
      <c r="H96" s="3" t="n">
        <v>6855.0</v>
      </c>
      <c r="I96" s="3" t="n">
        <v>6849.0</v>
      </c>
      <c r="J96" s="3" t="n">
        <v>6469.0</v>
      </c>
      <c r="K96" s="3" t="n">
        <v>6778.0</v>
      </c>
      <c r="L96" s="3" t="n">
        <v>6643.0</v>
      </c>
      <c r="M96" s="3" t="n">
        <v>7078.0</v>
      </c>
      <c r="N96" s="3" t="n">
        <v>11229.0</v>
      </c>
      <c r="O96" s="3" t="n">
        <v>11134.0</v>
      </c>
      <c r="P96" s="3" t="n">
        <v>11511.0</v>
      </c>
      <c r="Q96" s="3" t="n">
        <v>11381.0</v>
      </c>
      <c r="R96" s="3" t="n">
        <v>11955.0</v>
      </c>
      <c r="S96" s="3" t="n">
        <v>12725.0</v>
      </c>
      <c r="T96" s="3" t="n">
        <v>12731.0</v>
      </c>
      <c r="U96" s="3" t="n">
        <v>12979.0</v>
      </c>
      <c r="V96" s="3" t="n">
        <v>12811.0</v>
      </c>
      <c r="W96" s="3" t="n">
        <v>13488.0</v>
      </c>
      <c r="X96" s="3" t="n">
        <v>13207.0</v>
      </c>
      <c r="Y96" s="3" t="n">
        <v>13264.0</v>
      </c>
      <c r="Z96" s="3" t="n">
        <v>12871.0</v>
      </c>
      <c r="AA96" s="3" t="n">
        <v>12375.0</v>
      </c>
      <c r="AB96" s="3" t="n">
        <v>11427.0</v>
      </c>
      <c r="AC96" s="3" t="n">
        <v>10801.0</v>
      </c>
      <c r="AD96" s="3" t="n">
        <v>10247.0</v>
      </c>
      <c r="AE96" s="3" t="n">
        <v>10084.0</v>
      </c>
      <c r="AF96" s="3" t="n">
        <v>9878.0</v>
      </c>
      <c r="AG96" s="3" t="n">
        <v>9643.0</v>
      </c>
      <c r="AH96" s="3" t="n">
        <v>9669.0</v>
      </c>
      <c r="AI96" s="3" t="n">
        <v>9620.0</v>
      </c>
      <c r="AJ96" s="3" t="n">
        <v>9829.0</v>
      </c>
      <c r="AK96" s="3" t="n">
        <v>10114.0</v>
      </c>
      <c r="AL96" s="3" t="n">
        <v>10324.0</v>
      </c>
      <c r="AM96" s="3" t="n">
        <v>10819.0</v>
      </c>
      <c r="AN96" s="3" t="n">
        <v>11121.0</v>
      </c>
      <c r="AO96" s="3" t="n">
        <v>11507.0</v>
      </c>
    </row>
    <row r="97" spans="1:41" x14ac:dyDescent="0.2">
      <c r="A97" s="128"/>
      <c r="B97" s="9">
        <v>88</v>
      </c>
      <c r="C97" s="3" t="n">
        <v>6219.0</v>
      </c>
      <c r="D97" s="3" t="n">
        <v>6383.0</v>
      </c>
      <c r="E97" s="3" t="n">
        <v>6470.0</v>
      </c>
      <c r="F97" s="3" t="n">
        <v>6334.0</v>
      </c>
      <c r="G97" s="3" t="n">
        <v>6117.0</v>
      </c>
      <c r="H97" s="3" t="n">
        <v>6075.0</v>
      </c>
      <c r="I97" s="3" t="n">
        <v>6037.0</v>
      </c>
      <c r="J97" s="3" t="n">
        <v>6034.0</v>
      </c>
      <c r="K97" s="3" t="n">
        <v>5706.0</v>
      </c>
      <c r="L97" s="3" t="n">
        <v>5990.0</v>
      </c>
      <c r="M97" s="3" t="n">
        <v>5865.0</v>
      </c>
      <c r="N97" s="3" t="n">
        <v>6256.0</v>
      </c>
      <c r="O97" s="3" t="n">
        <v>9933.0</v>
      </c>
      <c r="P97" s="3" t="n">
        <v>9862.0</v>
      </c>
      <c r="Q97" s="3" t="n">
        <v>10205.0</v>
      </c>
      <c r="R97" s="3" t="n">
        <v>10092.0</v>
      </c>
      <c r="S97" s="3" t="n">
        <v>10606.0</v>
      </c>
      <c r="T97" s="3" t="n">
        <v>11292.0</v>
      </c>
      <c r="U97" s="3" t="n">
        <v>11308.0</v>
      </c>
      <c r="V97" s="3" t="n">
        <v>11535.0</v>
      </c>
      <c r="W97" s="3" t="n">
        <v>11390.0</v>
      </c>
      <c r="X97" s="3" t="n">
        <v>11994.0</v>
      </c>
      <c r="Y97" s="3" t="n">
        <v>11756.0</v>
      </c>
      <c r="Z97" s="3" t="n">
        <v>11805.0</v>
      </c>
      <c r="AA97" s="3" t="n">
        <v>11461.0</v>
      </c>
      <c r="AB97" s="3" t="n">
        <v>11022.0</v>
      </c>
      <c r="AC97" s="3" t="n">
        <v>10182.0</v>
      </c>
      <c r="AD97" s="3" t="n">
        <v>9623.0</v>
      </c>
      <c r="AE97" s="3" t="n">
        <v>9139.0</v>
      </c>
      <c r="AF97" s="3" t="n">
        <v>8998.0</v>
      </c>
      <c r="AG97" s="3" t="n">
        <v>8812.0</v>
      </c>
      <c r="AH97" s="3" t="n">
        <v>8613.0</v>
      </c>
      <c r="AI97" s="3" t="n">
        <v>8637.0</v>
      </c>
      <c r="AJ97" s="3" t="n">
        <v>8596.0</v>
      </c>
      <c r="AK97" s="3" t="n">
        <v>8782.0</v>
      </c>
      <c r="AL97" s="3" t="n">
        <v>9039.0</v>
      </c>
      <c r="AM97" s="3" t="n">
        <v>9229.0</v>
      </c>
      <c r="AN97" s="3" t="n">
        <v>9668.0</v>
      </c>
      <c r="AO97" s="3" t="n">
        <v>9950.0</v>
      </c>
    </row>
    <row r="98" spans="1:41" x14ac:dyDescent="0.2">
      <c r="A98" s="128"/>
      <c r="B98" s="9">
        <v>89</v>
      </c>
      <c r="C98" s="3" t="n">
        <v>5417.0</v>
      </c>
      <c r="D98" s="3" t="n">
        <v>5384.0</v>
      </c>
      <c r="E98" s="3" t="n">
        <v>5537.0</v>
      </c>
      <c r="F98" s="3" t="n">
        <v>5613.0</v>
      </c>
      <c r="G98" s="3" t="n">
        <v>5506.0</v>
      </c>
      <c r="H98" s="3" t="n">
        <v>5322.0</v>
      </c>
      <c r="I98" s="3" t="n">
        <v>5283.0</v>
      </c>
      <c r="J98" s="3" t="n">
        <v>5259.0</v>
      </c>
      <c r="K98" s="3" t="n">
        <v>5262.0</v>
      </c>
      <c r="L98" s="3" t="n">
        <v>4980.0</v>
      </c>
      <c r="M98" s="3" t="n">
        <v>5231.0</v>
      </c>
      <c r="N98" s="3" t="n">
        <v>5123.0</v>
      </c>
      <c r="O98" s="3" t="n">
        <v>5471.0</v>
      </c>
      <c r="P98" s="3" t="n">
        <v>8684.0</v>
      </c>
      <c r="Q98" s="3" t="n">
        <v>8635.0</v>
      </c>
      <c r="R98" s="3" t="n">
        <v>8934.0</v>
      </c>
      <c r="S98" s="3" t="n">
        <v>8850.0</v>
      </c>
      <c r="T98" s="3" t="n">
        <v>9298.0</v>
      </c>
      <c r="U98" s="3" t="n">
        <v>9913.0</v>
      </c>
      <c r="V98" s="3" t="n">
        <v>9930.0</v>
      </c>
      <c r="W98" s="3" t="n">
        <v>10135.0</v>
      </c>
      <c r="X98" s="3" t="n">
        <v>10013.0</v>
      </c>
      <c r="Y98" s="3" t="n">
        <v>10556.0</v>
      </c>
      <c r="Z98" s="3" t="n">
        <v>10341.0</v>
      </c>
      <c r="AA98" s="3" t="n">
        <v>10390.0</v>
      </c>
      <c r="AB98" s="3" t="n">
        <v>10097.0</v>
      </c>
      <c r="AC98" s="3" t="n">
        <v>9711.0</v>
      </c>
      <c r="AD98" s="3" t="n">
        <v>8975.0</v>
      </c>
      <c r="AE98" s="3" t="n">
        <v>8489.0</v>
      </c>
      <c r="AF98" s="3" t="n">
        <v>8061.0</v>
      </c>
      <c r="AG98" s="3" t="n">
        <v>7940.0</v>
      </c>
      <c r="AH98" s="3" t="n">
        <v>7780.0</v>
      </c>
      <c r="AI98" s="3" t="n">
        <v>7600.0</v>
      </c>
      <c r="AJ98" s="3" t="n">
        <v>7631.0</v>
      </c>
      <c r="AK98" s="3" t="n">
        <v>7597.0</v>
      </c>
      <c r="AL98" s="3" t="n">
        <v>7763.0</v>
      </c>
      <c r="AM98" s="3" t="n">
        <v>7990.0</v>
      </c>
      <c r="AN98" s="3" t="n">
        <v>8164.0</v>
      </c>
      <c r="AO98" s="3" t="n">
        <v>8556.0</v>
      </c>
    </row>
    <row r="99" spans="1:41" x14ac:dyDescent="0.2">
      <c r="A99" s="128"/>
      <c r="B99" s="9">
        <v>90</v>
      </c>
      <c r="C99" s="3" t="n">
        <v>4742.0</v>
      </c>
      <c r="D99" s="3" t="n">
        <v>4626.0</v>
      </c>
      <c r="E99" s="3" t="n">
        <v>4605.0</v>
      </c>
      <c r="F99" s="3" t="n">
        <v>4744.0</v>
      </c>
      <c r="G99" s="3" t="n">
        <v>4813.0</v>
      </c>
      <c r="H99" s="3" t="n">
        <v>4723.0</v>
      </c>
      <c r="I99" s="3" t="n">
        <v>4567.0</v>
      </c>
      <c r="J99" s="3" t="n">
        <v>4539.0</v>
      </c>
      <c r="K99" s="3" t="n">
        <v>4526.0</v>
      </c>
      <c r="L99" s="3" t="n">
        <v>4533.0</v>
      </c>
      <c r="M99" s="3" t="n">
        <v>4289.0</v>
      </c>
      <c r="N99" s="3" t="n">
        <v>4516.0</v>
      </c>
      <c r="O99" s="3" t="n">
        <v>4425.0</v>
      </c>
      <c r="P99" s="3" t="n">
        <v>4727.0</v>
      </c>
      <c r="Q99" s="3" t="n">
        <v>7510.0</v>
      </c>
      <c r="R99" s="3" t="n">
        <v>7474.0</v>
      </c>
      <c r="S99" s="3" t="n">
        <v>7738.0</v>
      </c>
      <c r="T99" s="3" t="n">
        <v>7657.0</v>
      </c>
      <c r="U99" s="3" t="n">
        <v>8066.0</v>
      </c>
      <c r="V99" s="3" t="n">
        <v>8603.0</v>
      </c>
      <c r="W99" s="3" t="n">
        <v>8626.0</v>
      </c>
      <c r="X99" s="3" t="n">
        <v>8799.0</v>
      </c>
      <c r="Y99" s="3" t="n">
        <v>8707.0</v>
      </c>
      <c r="Z99" s="3" t="n">
        <v>9178.0</v>
      </c>
      <c r="AA99" s="3" t="n">
        <v>8996.0</v>
      </c>
      <c r="AB99" s="3" t="n">
        <v>9045.0</v>
      </c>
      <c r="AC99" s="3" t="n">
        <v>8793.0</v>
      </c>
      <c r="AD99" s="3" t="n">
        <v>8457.0</v>
      </c>
      <c r="AE99" s="3" t="n">
        <v>7825.0</v>
      </c>
      <c r="AF99" s="3" t="n">
        <v>7400.0</v>
      </c>
      <c r="AG99" s="3" t="n">
        <v>7027.0</v>
      </c>
      <c r="AH99" s="3" t="n">
        <v>6927.0</v>
      </c>
      <c r="AI99" s="3" t="n">
        <v>6788.0</v>
      </c>
      <c r="AJ99" s="3" t="n">
        <v>6633.0</v>
      </c>
      <c r="AK99" s="3" t="n">
        <v>6663.0</v>
      </c>
      <c r="AL99" s="3" t="n">
        <v>6637.0</v>
      </c>
      <c r="AM99" s="3" t="n">
        <v>6787.0</v>
      </c>
      <c r="AN99" s="3" t="n">
        <v>6983.0</v>
      </c>
      <c r="AO99" s="3" t="n">
        <v>7139.0</v>
      </c>
    </row>
    <row r="100" spans="1:41" x14ac:dyDescent="0.2">
      <c r="A100" s="128"/>
      <c r="B100" s="9">
        <v>91</v>
      </c>
      <c r="C100" s="3" t="n">
        <v>3902.0</v>
      </c>
      <c r="D100" s="3" t="n">
        <v>3999.0</v>
      </c>
      <c r="E100" s="3" t="n">
        <v>3900.0</v>
      </c>
      <c r="F100" s="3" t="n">
        <v>3887.0</v>
      </c>
      <c r="G100" s="3" t="n">
        <v>4012.0</v>
      </c>
      <c r="H100" s="3" t="n">
        <v>4074.0</v>
      </c>
      <c r="I100" s="3" t="n">
        <v>3995.0</v>
      </c>
      <c r="J100" s="3" t="n">
        <v>3871.0</v>
      </c>
      <c r="K100" s="3" t="n">
        <v>3850.0</v>
      </c>
      <c r="L100" s="3" t="n">
        <v>3852.0</v>
      </c>
      <c r="M100" s="3" t="n">
        <v>3849.0</v>
      </c>
      <c r="N100" s="3" t="n">
        <v>3651.0</v>
      </c>
      <c r="O100" s="3" t="n">
        <v>3848.0</v>
      </c>
      <c r="P100" s="3" t="n">
        <v>3777.0</v>
      </c>
      <c r="Q100" s="3" t="n">
        <v>4035.0</v>
      </c>
      <c r="R100" s="3" t="n">
        <v>6410.0</v>
      </c>
      <c r="S100" s="3" t="n">
        <v>6385.0</v>
      </c>
      <c r="T100" s="3" t="n">
        <v>6610.0</v>
      </c>
      <c r="U100" s="3" t="n">
        <v>6551.0</v>
      </c>
      <c r="V100" s="3" t="n">
        <v>6904.0</v>
      </c>
      <c r="W100" s="3" t="n">
        <v>7368.0</v>
      </c>
      <c r="X100" s="3" t="n">
        <v>7390.0</v>
      </c>
      <c r="Y100" s="3" t="n">
        <v>7547.0</v>
      </c>
      <c r="Z100" s="3" t="n">
        <v>7468.0</v>
      </c>
      <c r="AA100" s="3" t="n">
        <v>7866.0</v>
      </c>
      <c r="AB100" s="3" t="n">
        <v>7721.0</v>
      </c>
      <c r="AC100" s="3" t="n">
        <v>7772.0</v>
      </c>
      <c r="AD100" s="3" t="n">
        <v>7549.0</v>
      </c>
      <c r="AE100" s="3" t="n">
        <v>7276.0</v>
      </c>
      <c r="AF100" s="3" t="n">
        <v>6730.0</v>
      </c>
      <c r="AG100" s="3" t="n">
        <v>6369.0</v>
      </c>
      <c r="AH100" s="3" t="n">
        <v>6050.0</v>
      </c>
      <c r="AI100" s="3" t="n">
        <v>5969.0</v>
      </c>
      <c r="AJ100" s="3" t="n">
        <v>5847.0</v>
      </c>
      <c r="AK100" s="3" t="n">
        <v>5721.0</v>
      </c>
      <c r="AL100" s="3" t="n">
        <v>5752.0</v>
      </c>
      <c r="AM100" s="3" t="n">
        <v>5733.0</v>
      </c>
      <c r="AN100" s="3" t="n">
        <v>5857.0</v>
      </c>
      <c r="AO100" s="3" t="n">
        <v>6028.0</v>
      </c>
    </row>
    <row r="101" spans="1:41" x14ac:dyDescent="0.2">
      <c r="A101" s="128"/>
      <c r="B101" s="9">
        <v>92</v>
      </c>
      <c r="C101" s="3" t="n">
        <v>3087.0</v>
      </c>
      <c r="D101" s="3" t="n">
        <v>3228.0</v>
      </c>
      <c r="E101" s="3" t="n">
        <v>3305.0</v>
      </c>
      <c r="F101" s="3" t="n">
        <v>3229.0</v>
      </c>
      <c r="G101" s="3" t="n">
        <v>3227.0</v>
      </c>
      <c r="H101" s="3" t="n">
        <v>3331.0</v>
      </c>
      <c r="I101" s="3" t="n">
        <v>3382.0</v>
      </c>
      <c r="J101" s="3" t="n">
        <v>3324.0</v>
      </c>
      <c r="K101" s="3" t="n">
        <v>3218.0</v>
      </c>
      <c r="L101" s="3" t="n">
        <v>3215.0</v>
      </c>
      <c r="M101" s="3" t="n">
        <v>3217.0</v>
      </c>
      <c r="N101" s="3" t="n">
        <v>3214.0</v>
      </c>
      <c r="O101" s="3" t="n">
        <v>3057.0</v>
      </c>
      <c r="P101" s="3" t="n">
        <v>3220.0</v>
      </c>
      <c r="Q101" s="3" t="n">
        <v>3165.0</v>
      </c>
      <c r="R101" s="3" t="n">
        <v>3381.0</v>
      </c>
      <c r="S101" s="3" t="n">
        <v>5379.0</v>
      </c>
      <c r="T101" s="3" t="n">
        <v>5359.0</v>
      </c>
      <c r="U101" s="3" t="n">
        <v>5552.0</v>
      </c>
      <c r="V101" s="3" t="n">
        <v>5505.0</v>
      </c>
      <c r="W101" s="3" t="n">
        <v>5814.0</v>
      </c>
      <c r="X101" s="3" t="n">
        <v>6209.0</v>
      </c>
      <c r="Y101" s="3" t="n">
        <v>6229.0</v>
      </c>
      <c r="Z101" s="3" t="n">
        <v>6366.0</v>
      </c>
      <c r="AA101" s="3" t="n">
        <v>6306.0</v>
      </c>
      <c r="AB101" s="3" t="n">
        <v>6641.0</v>
      </c>
      <c r="AC101" s="3" t="n">
        <v>6524.0</v>
      </c>
      <c r="AD101" s="3" t="n">
        <v>6570.0</v>
      </c>
      <c r="AE101" s="3" t="n">
        <v>6386.0</v>
      </c>
      <c r="AF101" s="3" t="n">
        <v>6156.0</v>
      </c>
      <c r="AG101" s="3" t="n">
        <v>5699.0</v>
      </c>
      <c r="AH101" s="3" t="n">
        <v>5399.0</v>
      </c>
      <c r="AI101" s="3" t="n">
        <v>5127.0</v>
      </c>
      <c r="AJ101" s="3" t="n">
        <v>5064.0</v>
      </c>
      <c r="AK101" s="3" t="n">
        <v>4963.0</v>
      </c>
      <c r="AL101" s="3" t="n">
        <v>4850.0</v>
      </c>
      <c r="AM101" s="3" t="n">
        <v>4888.0</v>
      </c>
      <c r="AN101" s="3" t="n">
        <v>4867.0</v>
      </c>
      <c r="AO101" s="3" t="n">
        <v>4977.0</v>
      </c>
    </row>
    <row r="102" spans="1:41" x14ac:dyDescent="0.2">
      <c r="A102" s="128"/>
      <c r="B102" s="9">
        <v>93</v>
      </c>
      <c r="C102" s="3" t="n">
        <v>2261.0</v>
      </c>
      <c r="D102" s="3" t="n">
        <v>2505.0</v>
      </c>
      <c r="E102" s="3" t="n">
        <v>2619.0</v>
      </c>
      <c r="F102" s="3" t="n">
        <v>2685.0</v>
      </c>
      <c r="G102" s="3" t="n">
        <v>2622.0</v>
      </c>
      <c r="H102" s="3" t="n">
        <v>2632.0</v>
      </c>
      <c r="I102" s="3" t="n">
        <v>2711.0</v>
      </c>
      <c r="J102" s="3" t="n">
        <v>2759.0</v>
      </c>
      <c r="K102" s="3" t="n">
        <v>2721.0</v>
      </c>
      <c r="L102" s="3" t="n">
        <v>2638.0</v>
      </c>
      <c r="M102" s="3" t="n">
        <v>2637.0</v>
      </c>
      <c r="N102" s="3" t="n">
        <v>2637.0</v>
      </c>
      <c r="O102" s="3" t="n">
        <v>2639.0</v>
      </c>
      <c r="P102" s="3" t="n">
        <v>2511.0</v>
      </c>
      <c r="Q102" s="3" t="n">
        <v>2648.0</v>
      </c>
      <c r="R102" s="3" t="n">
        <v>2606.0</v>
      </c>
      <c r="S102" s="3" t="n">
        <v>2789.0</v>
      </c>
      <c r="T102" s="3" t="n">
        <v>4438.0</v>
      </c>
      <c r="U102" s="3" t="n">
        <v>4429.0</v>
      </c>
      <c r="V102" s="3" t="n">
        <v>4595.0</v>
      </c>
      <c r="W102" s="3" t="n">
        <v>4566.0</v>
      </c>
      <c r="X102" s="3" t="n">
        <v>4822.0</v>
      </c>
      <c r="Y102" s="3" t="n">
        <v>5151.0</v>
      </c>
      <c r="Z102" s="3" t="n">
        <v>5168.0</v>
      </c>
      <c r="AA102" s="3" t="n">
        <v>5281.0</v>
      </c>
      <c r="AB102" s="3" t="n">
        <v>5238.0</v>
      </c>
      <c r="AC102" s="3" t="n">
        <v>5519.0</v>
      </c>
      <c r="AD102" s="3" t="n">
        <v>5419.0</v>
      </c>
      <c r="AE102" s="3" t="n">
        <v>5470.0</v>
      </c>
      <c r="AF102" s="3" t="n">
        <v>5314.0</v>
      </c>
      <c r="AG102" s="3" t="n">
        <v>5129.0</v>
      </c>
      <c r="AH102" s="3" t="n">
        <v>4753.0</v>
      </c>
      <c r="AI102" s="3" t="n">
        <v>4507.0</v>
      </c>
      <c r="AJ102" s="3" t="n">
        <v>4279.0</v>
      </c>
      <c r="AK102" s="3" t="n">
        <v>4231.0</v>
      </c>
      <c r="AL102" s="3" t="n">
        <v>4146.0</v>
      </c>
      <c r="AM102" s="3" t="n">
        <v>4054.0</v>
      </c>
      <c r="AN102" s="3" t="n">
        <v>4088.0</v>
      </c>
      <c r="AO102" s="3" t="n">
        <v>4074.0</v>
      </c>
    </row>
    <row r="103" spans="1:41" x14ac:dyDescent="0.2">
      <c r="A103" s="128"/>
      <c r="B103" s="9">
        <v>94</v>
      </c>
      <c r="C103" s="3" t="n">
        <v>1588.0</v>
      </c>
      <c r="D103" s="3" t="n">
        <v>1796.0</v>
      </c>
      <c r="E103" s="3" t="n">
        <v>1996.0</v>
      </c>
      <c r="F103" s="3" t="n">
        <v>2084.0</v>
      </c>
      <c r="G103" s="3" t="n">
        <v>2146.0</v>
      </c>
      <c r="H103" s="3" t="n">
        <v>2099.0</v>
      </c>
      <c r="I103" s="3" t="n">
        <v>2106.0</v>
      </c>
      <c r="J103" s="3" t="n">
        <v>2173.0</v>
      </c>
      <c r="K103" s="3" t="n">
        <v>2212.0</v>
      </c>
      <c r="L103" s="3" t="n">
        <v>2187.0</v>
      </c>
      <c r="M103" s="3" t="n">
        <v>2121.0</v>
      </c>
      <c r="N103" s="3" t="n">
        <v>2125.0</v>
      </c>
      <c r="O103" s="3" t="n">
        <v>2128.0</v>
      </c>
      <c r="P103" s="3" t="n">
        <v>2130.0</v>
      </c>
      <c r="Q103" s="3" t="n">
        <v>2039.0</v>
      </c>
      <c r="R103" s="3" t="n">
        <v>2144.0</v>
      </c>
      <c r="S103" s="3" t="n">
        <v>2111.0</v>
      </c>
      <c r="T103" s="3" t="n">
        <v>2264.0</v>
      </c>
      <c r="U103" s="3" t="n">
        <v>3594.0</v>
      </c>
      <c r="V103" s="3" t="n">
        <v>3598.0</v>
      </c>
      <c r="W103" s="3" t="n">
        <v>3734.0</v>
      </c>
      <c r="X103" s="3" t="n">
        <v>3712.0</v>
      </c>
      <c r="Y103" s="3" t="n">
        <v>3932.0</v>
      </c>
      <c r="Z103" s="3" t="n">
        <v>4203.0</v>
      </c>
      <c r="AA103" s="3" t="n">
        <v>4217.0</v>
      </c>
      <c r="AB103" s="3" t="n">
        <v>4308.0</v>
      </c>
      <c r="AC103" s="3" t="n">
        <v>4276.0</v>
      </c>
      <c r="AD103" s="3" t="n">
        <v>4508.0</v>
      </c>
      <c r="AE103" s="3" t="n">
        <v>4437.0</v>
      </c>
      <c r="AF103" s="3" t="n">
        <v>4481.0</v>
      </c>
      <c r="AG103" s="3" t="n">
        <v>4353.0</v>
      </c>
      <c r="AH103" s="3" t="n">
        <v>4208.0</v>
      </c>
      <c r="AI103" s="3" t="n">
        <v>3897.0</v>
      </c>
      <c r="AJ103" s="3" t="n">
        <v>3696.0</v>
      </c>
      <c r="AK103" s="3" t="n">
        <v>3517.0</v>
      </c>
      <c r="AL103" s="3" t="n">
        <v>3475.0</v>
      </c>
      <c r="AM103" s="3" t="n">
        <v>3402.0</v>
      </c>
      <c r="AN103" s="3" t="n">
        <v>3338.0</v>
      </c>
      <c r="AO103" s="3" t="n">
        <v>3364.0</v>
      </c>
    </row>
    <row r="104" spans="1:41" x14ac:dyDescent="0.2">
      <c r="A104" s="128"/>
      <c r="B104" s="9">
        <v>95</v>
      </c>
      <c r="C104" s="3" t="n">
        <v>1225.0</v>
      </c>
      <c r="D104" s="3" t="n">
        <v>1238.0</v>
      </c>
      <c r="E104" s="3" t="n">
        <v>1398.0</v>
      </c>
      <c r="F104" s="3" t="n">
        <v>1560.0</v>
      </c>
      <c r="G104" s="3" t="n">
        <v>1623.0</v>
      </c>
      <c r="H104" s="3" t="n">
        <v>1679.0</v>
      </c>
      <c r="I104" s="3" t="n">
        <v>1642.0</v>
      </c>
      <c r="J104" s="3" t="n">
        <v>1644.0</v>
      </c>
      <c r="K104" s="3" t="n">
        <v>1703.0</v>
      </c>
      <c r="L104" s="3" t="n">
        <v>1744.0</v>
      </c>
      <c r="M104" s="3" t="n">
        <v>1723.0</v>
      </c>
      <c r="N104" s="3" t="n">
        <v>1676.0</v>
      </c>
      <c r="O104" s="3" t="n">
        <v>1678.0</v>
      </c>
      <c r="P104" s="3" t="n">
        <v>1683.0</v>
      </c>
      <c r="Q104" s="3" t="n">
        <v>1690.0</v>
      </c>
      <c r="R104" s="3" t="n">
        <v>1623.0</v>
      </c>
      <c r="S104" s="3" t="n">
        <v>1700.0</v>
      </c>
      <c r="T104" s="3" t="n">
        <v>1678.0</v>
      </c>
      <c r="U104" s="3" t="n">
        <v>1801.0</v>
      </c>
      <c r="V104" s="3" t="n">
        <v>2861.0</v>
      </c>
      <c r="W104" s="3" t="n">
        <v>2871.0</v>
      </c>
      <c r="X104" s="3" t="n">
        <v>2977.0</v>
      </c>
      <c r="Y104" s="3" t="n">
        <v>2960.0</v>
      </c>
      <c r="Z104" s="3" t="n">
        <v>3136.0</v>
      </c>
      <c r="AA104" s="3" t="n">
        <v>3359.0</v>
      </c>
      <c r="AB104" s="3" t="n">
        <v>3370.0</v>
      </c>
      <c r="AC104" s="3" t="n">
        <v>3447.0</v>
      </c>
      <c r="AD104" s="3" t="n">
        <v>3425.0</v>
      </c>
      <c r="AE104" s="3" t="n">
        <v>3617.0</v>
      </c>
      <c r="AF104" s="3" t="n">
        <v>3561.0</v>
      </c>
      <c r="AG104" s="3" t="n">
        <v>3600.0</v>
      </c>
      <c r="AH104" s="3" t="n">
        <v>3496.0</v>
      </c>
      <c r="AI104" s="3" t="n">
        <v>3380.0</v>
      </c>
      <c r="AJ104" s="3" t="n">
        <v>3130.0</v>
      </c>
      <c r="AK104" s="3" t="n">
        <v>2974.0</v>
      </c>
      <c r="AL104" s="3" t="n">
        <v>2828.0</v>
      </c>
      <c r="AM104" s="3" t="n">
        <v>2802.0</v>
      </c>
      <c r="AN104" s="3" t="n">
        <v>2740.0</v>
      </c>
      <c r="AO104" s="3" t="n">
        <v>2694.0</v>
      </c>
    </row>
    <row r="105" spans="1:41" x14ac:dyDescent="0.2">
      <c r="A105" s="128"/>
      <c r="B105" s="9">
        <v>96</v>
      </c>
      <c r="C105" s="3" t="n">
        <v>850.0</v>
      </c>
      <c r="D105" s="3" t="n">
        <v>935.0</v>
      </c>
      <c r="E105" s="3" t="n">
        <v>937.0</v>
      </c>
      <c r="F105" s="3" t="n">
        <v>1062.0</v>
      </c>
      <c r="G105" s="3" t="n">
        <v>1185.0</v>
      </c>
      <c r="H105" s="3" t="n">
        <v>1238.0</v>
      </c>
      <c r="I105" s="3" t="n">
        <v>1283.0</v>
      </c>
      <c r="J105" s="3" t="n">
        <v>1254.0</v>
      </c>
      <c r="K105" s="3" t="n">
        <v>1261.0</v>
      </c>
      <c r="L105" s="3" t="n">
        <v>1306.0</v>
      </c>
      <c r="M105" s="3" t="n">
        <v>1342.0</v>
      </c>
      <c r="N105" s="3" t="n">
        <v>1322.0</v>
      </c>
      <c r="O105" s="3" t="n">
        <v>1292.0</v>
      </c>
      <c r="P105" s="3" t="n">
        <v>1297.0</v>
      </c>
      <c r="Q105" s="3" t="n">
        <v>1295.0</v>
      </c>
      <c r="R105" s="3" t="n">
        <v>1305.0</v>
      </c>
      <c r="S105" s="3" t="n">
        <v>1255.0</v>
      </c>
      <c r="T105" s="3" t="n">
        <v>1315.0</v>
      </c>
      <c r="U105" s="3" t="n">
        <v>1299.0</v>
      </c>
      <c r="V105" s="3" t="n">
        <v>1401.0</v>
      </c>
      <c r="W105" s="3" t="n">
        <v>2227.0</v>
      </c>
      <c r="X105" s="3" t="n">
        <v>2238.0</v>
      </c>
      <c r="Y105" s="3" t="n">
        <v>2325.0</v>
      </c>
      <c r="Z105" s="3" t="n">
        <v>2315.0</v>
      </c>
      <c r="AA105" s="3" t="n">
        <v>2448.0</v>
      </c>
      <c r="AB105" s="3" t="n">
        <v>2632.0</v>
      </c>
      <c r="AC105" s="3" t="n">
        <v>2638.0</v>
      </c>
      <c r="AD105" s="3" t="n">
        <v>2706.0</v>
      </c>
      <c r="AE105" s="3" t="n">
        <v>2686.0</v>
      </c>
      <c r="AF105" s="3" t="n">
        <v>2842.0</v>
      </c>
      <c r="AG105" s="3" t="n">
        <v>2799.0</v>
      </c>
      <c r="AH105" s="3" t="n">
        <v>2830.0</v>
      </c>
      <c r="AI105" s="3" t="n">
        <v>2752.0</v>
      </c>
      <c r="AJ105" s="3" t="n">
        <v>2655.0</v>
      </c>
      <c r="AK105" s="3" t="n">
        <v>2470.0</v>
      </c>
      <c r="AL105" s="3" t="n">
        <v>2345.0</v>
      </c>
      <c r="AM105" s="3" t="n">
        <v>2228.0</v>
      </c>
      <c r="AN105" s="3" t="n">
        <v>2208.0</v>
      </c>
      <c r="AO105" s="3" t="n">
        <v>2167.0</v>
      </c>
    </row>
    <row r="106" spans="1:41" x14ac:dyDescent="0.2">
      <c r="A106" s="128"/>
      <c r="B106" s="9">
        <v>97</v>
      </c>
      <c r="C106" s="3" t="n">
        <v>628.0</v>
      </c>
      <c r="D106" s="3" t="n">
        <v>633.0</v>
      </c>
      <c r="E106" s="3" t="n">
        <v>690.0</v>
      </c>
      <c r="F106" s="3" t="n">
        <v>695.0</v>
      </c>
      <c r="G106" s="3" t="n">
        <v>795.0</v>
      </c>
      <c r="H106" s="3" t="n">
        <v>884.0</v>
      </c>
      <c r="I106" s="3" t="n">
        <v>923.0</v>
      </c>
      <c r="J106" s="3" t="n">
        <v>965.0</v>
      </c>
      <c r="K106" s="3" t="n">
        <v>945.0</v>
      </c>
      <c r="L106" s="3" t="n">
        <v>944.0</v>
      </c>
      <c r="M106" s="3" t="n">
        <v>982.0</v>
      </c>
      <c r="N106" s="3" t="n">
        <v>1012.0</v>
      </c>
      <c r="O106" s="3" t="n">
        <v>997.0</v>
      </c>
      <c r="P106" s="3" t="n">
        <v>977.0</v>
      </c>
      <c r="Q106" s="3" t="n">
        <v>984.0</v>
      </c>
      <c r="R106" s="3" t="n">
        <v>984.0</v>
      </c>
      <c r="S106" s="3" t="n">
        <v>987.0</v>
      </c>
      <c r="T106" s="3" t="n">
        <v>957.0</v>
      </c>
      <c r="U106" s="3" t="n">
        <v>998.0</v>
      </c>
      <c r="V106" s="3" t="n">
        <v>984.0</v>
      </c>
      <c r="W106" s="3" t="n">
        <v>1067.0</v>
      </c>
      <c r="X106" s="3" t="n">
        <v>1703.0</v>
      </c>
      <c r="Y106" s="3" t="n">
        <v>1715.0</v>
      </c>
      <c r="Z106" s="3" t="n">
        <v>1786.0</v>
      </c>
      <c r="AA106" s="3" t="n">
        <v>1778.0</v>
      </c>
      <c r="AB106" s="3" t="n">
        <v>1880.0</v>
      </c>
      <c r="AC106" s="3" t="n">
        <v>2021.0</v>
      </c>
      <c r="AD106" s="3" t="n">
        <v>2026.0</v>
      </c>
      <c r="AE106" s="3" t="n">
        <v>2089.0</v>
      </c>
      <c r="AF106" s="3" t="n">
        <v>2071.0</v>
      </c>
      <c r="AG106" s="3" t="n">
        <v>2187.0</v>
      </c>
      <c r="AH106" s="3" t="n">
        <v>2160.0</v>
      </c>
      <c r="AI106" s="3" t="n">
        <v>2187.0</v>
      </c>
      <c r="AJ106" s="3" t="n">
        <v>2132.0</v>
      </c>
      <c r="AK106" s="3" t="n">
        <v>2054.0</v>
      </c>
      <c r="AL106" s="3" t="n">
        <v>1915.0</v>
      </c>
      <c r="AM106" s="3" t="n">
        <v>1822.0</v>
      </c>
      <c r="AN106" s="3" t="n">
        <v>1725.0</v>
      </c>
      <c r="AO106" s="3" t="n">
        <v>1717.0</v>
      </c>
    </row>
    <row r="107" spans="1:41" x14ac:dyDescent="0.2">
      <c r="A107" s="128"/>
      <c r="B107" s="9">
        <v>98</v>
      </c>
      <c r="C107" s="3" t="n">
        <v>332.0</v>
      </c>
      <c r="D107" s="3" t="n">
        <v>456.0</v>
      </c>
      <c r="E107" s="3" t="n">
        <v>460.0</v>
      </c>
      <c r="F107" s="3" t="n">
        <v>502.0</v>
      </c>
      <c r="G107" s="3" t="n">
        <v>510.0</v>
      </c>
      <c r="H107" s="3" t="n">
        <v>578.0</v>
      </c>
      <c r="I107" s="3" t="n">
        <v>649.0</v>
      </c>
      <c r="J107" s="3" t="n">
        <v>677.0</v>
      </c>
      <c r="K107" s="3" t="n">
        <v>709.0</v>
      </c>
      <c r="L107" s="3" t="n">
        <v>694.0</v>
      </c>
      <c r="M107" s="3" t="n">
        <v>697.0</v>
      </c>
      <c r="N107" s="3" t="n">
        <v>725.0</v>
      </c>
      <c r="O107" s="3" t="n">
        <v>753.0</v>
      </c>
      <c r="P107" s="3" t="n">
        <v>735.0</v>
      </c>
      <c r="Q107" s="3" t="n">
        <v>724.0</v>
      </c>
      <c r="R107" s="3" t="n">
        <v>731.0</v>
      </c>
      <c r="S107" s="3" t="n">
        <v>730.0</v>
      </c>
      <c r="T107" s="3" t="n">
        <v>735.0</v>
      </c>
      <c r="U107" s="3" t="n">
        <v>717.0</v>
      </c>
      <c r="V107" s="3" t="n">
        <v>748.0</v>
      </c>
      <c r="W107" s="3" t="n">
        <v>739.0</v>
      </c>
      <c r="X107" s="3" t="n">
        <v>799.0</v>
      </c>
      <c r="Y107" s="3" t="n">
        <v>1280.0</v>
      </c>
      <c r="Z107" s="3" t="n">
        <v>1287.0</v>
      </c>
      <c r="AA107" s="3" t="n">
        <v>1339.0</v>
      </c>
      <c r="AB107" s="3" t="n">
        <v>1336.0</v>
      </c>
      <c r="AC107" s="3" t="n">
        <v>1414.0</v>
      </c>
      <c r="AD107" s="3" t="n">
        <v>1516.0</v>
      </c>
      <c r="AE107" s="3" t="n">
        <v>1525.0</v>
      </c>
      <c r="AF107" s="3" t="n">
        <v>1569.0</v>
      </c>
      <c r="AG107" s="3" t="n">
        <v>1557.0</v>
      </c>
      <c r="AH107" s="3" t="n">
        <v>1650.0</v>
      </c>
      <c r="AI107" s="3" t="n">
        <v>1628.0</v>
      </c>
      <c r="AJ107" s="3" t="n">
        <v>1650.0</v>
      </c>
      <c r="AK107" s="3" t="n">
        <v>1613.0</v>
      </c>
      <c r="AL107" s="3" t="n">
        <v>1551.0</v>
      </c>
      <c r="AM107" s="3" t="n">
        <v>1452.0</v>
      </c>
      <c r="AN107" s="3" t="n">
        <v>1374.0</v>
      </c>
      <c r="AO107" s="3" t="n">
        <v>1310.0</v>
      </c>
    </row>
    <row r="108" spans="1:41" x14ac:dyDescent="0.2">
      <c r="A108" s="128"/>
      <c r="B108" s="9">
        <v>99</v>
      </c>
      <c r="C108" s="3" t="n">
        <v>230.0</v>
      </c>
      <c r="D108" s="3" t="n">
        <v>238.0</v>
      </c>
      <c r="E108" s="3" t="n">
        <v>316.0</v>
      </c>
      <c r="F108" s="3" t="n">
        <v>324.0</v>
      </c>
      <c r="G108" s="3" t="n">
        <v>348.0</v>
      </c>
      <c r="H108" s="3" t="n">
        <v>364.0</v>
      </c>
      <c r="I108" s="3" t="n">
        <v>407.0</v>
      </c>
      <c r="J108" s="3" t="n">
        <v>466.0</v>
      </c>
      <c r="K108" s="3" t="n">
        <v>482.0</v>
      </c>
      <c r="L108" s="3" t="n">
        <v>503.0</v>
      </c>
      <c r="M108" s="3" t="n">
        <v>496.0</v>
      </c>
      <c r="N108" s="3" t="n">
        <v>499.0</v>
      </c>
      <c r="O108" s="3" t="n">
        <v>519.0</v>
      </c>
      <c r="P108" s="3" t="n">
        <v>540.0</v>
      </c>
      <c r="Q108" s="3" t="n">
        <v>529.0</v>
      </c>
      <c r="R108" s="3" t="n">
        <v>525.0</v>
      </c>
      <c r="S108" s="3" t="n">
        <v>528.0</v>
      </c>
      <c r="T108" s="3" t="n">
        <v>526.0</v>
      </c>
      <c r="U108" s="3" t="n">
        <v>533.0</v>
      </c>
      <c r="V108" s="3" t="n">
        <v>523.0</v>
      </c>
      <c r="W108" s="3" t="n">
        <v>546.0</v>
      </c>
      <c r="X108" s="3" t="n">
        <v>543.0</v>
      </c>
      <c r="Y108" s="3" t="n">
        <v>583.0</v>
      </c>
      <c r="Z108" s="3" t="n">
        <v>929.0</v>
      </c>
      <c r="AA108" s="3" t="n">
        <v>935.0</v>
      </c>
      <c r="AB108" s="3" t="n">
        <v>975.0</v>
      </c>
      <c r="AC108" s="3" t="n">
        <v>974.0</v>
      </c>
      <c r="AD108" s="3" t="n">
        <v>1035.0</v>
      </c>
      <c r="AE108" s="3" t="n">
        <v>1107.0</v>
      </c>
      <c r="AF108" s="3" t="n">
        <v>1118.0</v>
      </c>
      <c r="AG108" s="3" t="n">
        <v>1148.0</v>
      </c>
      <c r="AH108" s="3" t="n">
        <v>1146.0</v>
      </c>
      <c r="AI108" s="3" t="n">
        <v>1211.0</v>
      </c>
      <c r="AJ108" s="3" t="n">
        <v>1191.0</v>
      </c>
      <c r="AK108" s="3" t="n">
        <v>1208.0</v>
      </c>
      <c r="AL108" s="3" t="n">
        <v>1186.0</v>
      </c>
      <c r="AM108" s="3" t="n">
        <v>1141.0</v>
      </c>
      <c r="AN108" s="3" t="n">
        <v>1069.0</v>
      </c>
      <c r="AO108" s="3" t="n">
        <v>1016.0</v>
      </c>
    </row>
    <row r="109" spans="1:41" x14ac:dyDescent="0.2">
      <c r="A109" s="128"/>
      <c r="B109" s="9" t="s">
        <v>79</v>
      </c>
      <c r="C109" s="4" t="n">
        <v>312.0</v>
      </c>
      <c r="D109" s="4" t="n">
        <v>360.0</v>
      </c>
      <c r="E109" s="4" t="n">
        <v>399.0</v>
      </c>
      <c r="F109" s="4" t="n">
        <v>475.0</v>
      </c>
      <c r="G109" s="4" t="n">
        <v>524.0</v>
      </c>
      <c r="H109" s="4" t="n">
        <v>578.0</v>
      </c>
      <c r="I109" s="4" t="n">
        <v>626.0</v>
      </c>
      <c r="J109" s="4" t="n">
        <v>693.0</v>
      </c>
      <c r="K109" s="4" t="n">
        <v>780.0</v>
      </c>
      <c r="L109" s="4" t="n">
        <v>840.0</v>
      </c>
      <c r="M109" s="4" t="n">
        <v>901.0</v>
      </c>
      <c r="N109" s="4" t="n">
        <v>933.0</v>
      </c>
      <c r="O109" s="4" t="n">
        <v>957.0</v>
      </c>
      <c r="P109" s="4" t="n">
        <v>989.0</v>
      </c>
      <c r="Q109" s="4" t="n">
        <v>1025.0</v>
      </c>
      <c r="R109" s="4" t="n">
        <v>1048.0</v>
      </c>
      <c r="S109" s="4" t="n">
        <v>1055.0</v>
      </c>
      <c r="T109" s="4" t="n">
        <v>1064.0</v>
      </c>
      <c r="U109" s="4" t="n">
        <v>1071.0</v>
      </c>
      <c r="V109" s="4" t="n">
        <v>1084.0</v>
      </c>
      <c r="W109" s="4" t="n">
        <v>1085.0</v>
      </c>
      <c r="X109" s="4" t="n">
        <v>1101.0</v>
      </c>
      <c r="Y109" s="4" t="n">
        <v>1111.0</v>
      </c>
      <c r="Z109" s="4" t="n">
        <v>1145.0</v>
      </c>
      <c r="AA109" s="4" t="n">
        <v>1417.0</v>
      </c>
      <c r="AB109" s="4" t="n">
        <v>1604.0</v>
      </c>
      <c r="AC109" s="4" t="n">
        <v>1762.0</v>
      </c>
      <c r="AD109" s="4" t="n">
        <v>1869.0</v>
      </c>
      <c r="AE109" s="4" t="n">
        <v>1990.0</v>
      </c>
      <c r="AF109" s="4" t="n">
        <v>2120.0</v>
      </c>
      <c r="AG109" s="4" t="n">
        <v>2220.0</v>
      </c>
      <c r="AH109" s="4" t="n">
        <v>2307.0</v>
      </c>
      <c r="AI109" s="4" t="n">
        <v>2371.0</v>
      </c>
      <c r="AJ109" s="4" t="n">
        <v>2452.0</v>
      </c>
      <c r="AK109" s="4" t="n">
        <v>2500.0</v>
      </c>
      <c r="AL109" s="4" t="n">
        <v>2543.0</v>
      </c>
      <c r="AM109" s="4" t="n">
        <v>2560.0</v>
      </c>
      <c r="AN109" s="4" t="n">
        <v>2537.0</v>
      </c>
      <c r="AO109" s="3" t="n">
        <v>2474.0</v>
      </c>
    </row>
    <row r="110" spans="1:41" x14ac:dyDescent="0.2">
      <c r="A110" s="129" t="s">
        <v>50</v>
      </c>
      <c r="B110" s="14" t="s">
        <v>47</v>
      </c>
      <c r="C110" s="16" t="n">
        <v>1133290.0</v>
      </c>
      <c r="D110" s="16" t="n">
        <v>1126196.0</v>
      </c>
      <c r="E110" s="16" t="n">
        <v>1118714.0</v>
      </c>
      <c r="F110" s="16" t="n">
        <v>1110864.0</v>
      </c>
      <c r="G110" s="16" t="n">
        <v>1102639.0</v>
      </c>
      <c r="H110" s="16" t="n">
        <v>1094897.0</v>
      </c>
      <c r="I110" s="16" t="n">
        <v>1087223.0</v>
      </c>
      <c r="J110" s="16" t="n">
        <v>1078663.0</v>
      </c>
      <c r="K110" s="16" t="n">
        <v>1069521.0</v>
      </c>
      <c r="L110" s="16" t="n">
        <v>1059992.0</v>
      </c>
      <c r="M110" s="16" t="n">
        <v>1050212.0</v>
      </c>
      <c r="N110" s="16" t="n">
        <v>1040085.0</v>
      </c>
      <c r="O110" s="16" t="n">
        <v>1029764.0</v>
      </c>
      <c r="P110" s="16" t="n">
        <v>1019234.0</v>
      </c>
      <c r="Q110" s="16" t="n">
        <v>1008624.0</v>
      </c>
      <c r="R110" s="16" t="n">
        <v>997823.0</v>
      </c>
      <c r="S110" s="16" t="n">
        <v>986886.0</v>
      </c>
      <c r="T110" s="16" t="n">
        <v>975867.0</v>
      </c>
      <c r="U110" s="16" t="n">
        <v>964861.0</v>
      </c>
      <c r="V110" s="16" t="n">
        <v>953868.0</v>
      </c>
      <c r="W110" s="16" t="n">
        <v>942780.0</v>
      </c>
      <c r="X110" s="16" t="n">
        <v>931761.0</v>
      </c>
      <c r="Y110" s="16" t="n">
        <v>920668.0</v>
      </c>
      <c r="Z110" s="16" t="n">
        <v>909496.0</v>
      </c>
      <c r="AA110" s="16" t="n">
        <v>898396.0</v>
      </c>
      <c r="AB110" s="16" t="n">
        <v>887226.0</v>
      </c>
      <c r="AC110" s="16" t="n">
        <v>876132.0</v>
      </c>
      <c r="AD110" s="16" t="n">
        <v>864943.0</v>
      </c>
      <c r="AE110" s="16" t="n">
        <v>853823.0</v>
      </c>
      <c r="AF110" s="16" t="n">
        <v>842595.0</v>
      </c>
      <c r="AG110" s="16" t="n">
        <v>831376.0</v>
      </c>
      <c r="AH110" s="16" t="n">
        <v>820004.0</v>
      </c>
      <c r="AI110" s="16" t="n">
        <v>808528.0</v>
      </c>
      <c r="AJ110" s="16" t="n">
        <v>797038.0</v>
      </c>
      <c r="AK110" s="16" t="n">
        <v>785423.0</v>
      </c>
      <c r="AL110" s="16" t="n">
        <v>773680.0</v>
      </c>
      <c r="AM110" s="16" t="n">
        <v>761961.0</v>
      </c>
      <c r="AN110" s="16" t="n">
        <v>750100.0</v>
      </c>
      <c r="AO110" s="15" t="n">
        <v>738156.0</v>
      </c>
    </row>
    <row r="111" spans="1:41" x14ac:dyDescent="0.2">
      <c r="A111" s="128"/>
      <c r="B111" s="9">
        <v>0</v>
      </c>
      <c r="C111" s="3" t="n">
        <v>9013.0</v>
      </c>
      <c r="D111" s="3" t="n">
        <v>8433.0</v>
      </c>
      <c r="E111" s="3" t="n">
        <v>8122.0</v>
      </c>
      <c r="F111" s="3" t="n">
        <v>7845.0</v>
      </c>
      <c r="G111" s="3" t="n">
        <v>7606.0</v>
      </c>
      <c r="H111" s="3" t="n">
        <v>7395.0</v>
      </c>
      <c r="I111" s="3" t="n">
        <v>7224.0</v>
      </c>
      <c r="J111" s="3" t="n">
        <v>7061.0</v>
      </c>
      <c r="K111" s="3" t="n">
        <v>6913.0</v>
      </c>
      <c r="L111" s="3" t="n">
        <v>6782.0</v>
      </c>
      <c r="M111" s="3" t="n">
        <v>6665.0</v>
      </c>
      <c r="N111" s="3" t="n">
        <v>6571.0</v>
      </c>
      <c r="O111" s="3" t="n">
        <v>6510.0</v>
      </c>
      <c r="P111" s="3" t="n">
        <v>6446.0</v>
      </c>
      <c r="Q111" s="3" t="n">
        <v>6404.0</v>
      </c>
      <c r="R111" s="3" t="n">
        <v>6382.0</v>
      </c>
      <c r="S111" s="3" t="n">
        <v>6375.0</v>
      </c>
      <c r="T111" s="3" t="n">
        <v>6372.0</v>
      </c>
      <c r="U111" s="3" t="n">
        <v>6370.0</v>
      </c>
      <c r="V111" s="3" t="n">
        <v>6363.0</v>
      </c>
      <c r="W111" s="3" t="n">
        <v>6342.0</v>
      </c>
      <c r="X111" s="3" t="n">
        <v>6304.0</v>
      </c>
      <c r="Y111" s="3" t="n">
        <v>6262.0</v>
      </c>
      <c r="Z111" s="3" t="n">
        <v>6205.0</v>
      </c>
      <c r="AA111" s="3" t="n">
        <v>6123.0</v>
      </c>
      <c r="AB111" s="3" t="n">
        <v>6030.0</v>
      </c>
      <c r="AC111" s="3" t="n">
        <v>5929.0</v>
      </c>
      <c r="AD111" s="3" t="n">
        <v>5795.0</v>
      </c>
      <c r="AE111" s="3" t="n">
        <v>5657.0</v>
      </c>
      <c r="AF111" s="3" t="n">
        <v>5499.0</v>
      </c>
      <c r="AG111" s="3" t="n">
        <v>5338.0</v>
      </c>
      <c r="AH111" s="3" t="n">
        <v>5177.0</v>
      </c>
      <c r="AI111" s="3" t="n">
        <v>5002.0</v>
      </c>
      <c r="AJ111" s="3" t="n">
        <v>4817.0</v>
      </c>
      <c r="AK111" s="3" t="n">
        <v>4653.0</v>
      </c>
      <c r="AL111" s="3" t="n">
        <v>4493.0</v>
      </c>
      <c r="AM111" s="3" t="n">
        <v>4333.0</v>
      </c>
      <c r="AN111" s="3" t="n">
        <v>4193.0</v>
      </c>
      <c r="AO111" s="3" t="n">
        <v>4063.0</v>
      </c>
    </row>
    <row r="112" spans="1:41" x14ac:dyDescent="0.2">
      <c r="A112" s="128"/>
      <c r="B112" s="9">
        <v>1</v>
      </c>
      <c r="C112" s="3" t="n">
        <v>10067.0</v>
      </c>
      <c r="D112" s="3" t="n">
        <v>9009.0</v>
      </c>
      <c r="E112" s="3" t="n">
        <v>8430.0</v>
      </c>
      <c r="F112" s="3" t="n">
        <v>8125.0</v>
      </c>
      <c r="G112" s="3" t="n">
        <v>7847.0</v>
      </c>
      <c r="H112" s="3" t="n">
        <v>7632.0</v>
      </c>
      <c r="I112" s="3" t="n">
        <v>7422.0</v>
      </c>
      <c r="J112" s="3" t="n">
        <v>7238.0</v>
      </c>
      <c r="K112" s="3" t="n">
        <v>7065.0</v>
      </c>
      <c r="L112" s="3" t="n">
        <v>6915.0</v>
      </c>
      <c r="M112" s="3" t="n">
        <v>6787.0</v>
      </c>
      <c r="N112" s="3" t="n">
        <v>6667.0</v>
      </c>
      <c r="O112" s="3" t="n">
        <v>6571.0</v>
      </c>
      <c r="P112" s="3" t="n">
        <v>6508.0</v>
      </c>
      <c r="Q112" s="3" t="n">
        <v>6447.0</v>
      </c>
      <c r="R112" s="3" t="n">
        <v>6401.0</v>
      </c>
      <c r="S112" s="3" t="n">
        <v>6380.0</v>
      </c>
      <c r="T112" s="3" t="n">
        <v>6374.0</v>
      </c>
      <c r="U112" s="3" t="n">
        <v>6369.0</v>
      </c>
      <c r="V112" s="3" t="n">
        <v>6367.0</v>
      </c>
      <c r="W112" s="3" t="n">
        <v>6359.0</v>
      </c>
      <c r="X112" s="3" t="n">
        <v>6339.0</v>
      </c>
      <c r="Y112" s="3" t="n">
        <v>6304.0</v>
      </c>
      <c r="Z112" s="3" t="n">
        <v>6260.0</v>
      </c>
      <c r="AA112" s="3" t="n">
        <v>6202.0</v>
      </c>
      <c r="AB112" s="3" t="n">
        <v>6120.0</v>
      </c>
      <c r="AC112" s="3" t="n">
        <v>6028.0</v>
      </c>
      <c r="AD112" s="3" t="n">
        <v>5930.0</v>
      </c>
      <c r="AE112" s="3" t="n">
        <v>5801.0</v>
      </c>
      <c r="AF112" s="3" t="n">
        <v>5668.0</v>
      </c>
      <c r="AG112" s="3" t="n">
        <v>5507.0</v>
      </c>
      <c r="AH112" s="3" t="n">
        <v>5343.0</v>
      </c>
      <c r="AI112" s="3" t="n">
        <v>5183.0</v>
      </c>
      <c r="AJ112" s="3" t="n">
        <v>5009.0</v>
      </c>
      <c r="AK112" s="3" t="n">
        <v>4827.0</v>
      </c>
      <c r="AL112" s="3" t="n">
        <v>4664.0</v>
      </c>
      <c r="AM112" s="3" t="n">
        <v>4502.0</v>
      </c>
      <c r="AN112" s="3" t="n">
        <v>4343.0</v>
      </c>
      <c r="AO112" s="3" t="n">
        <v>4204.0</v>
      </c>
    </row>
    <row r="113" spans="1:41" x14ac:dyDescent="0.2">
      <c r="A113" s="128"/>
      <c r="B113" s="9">
        <v>2</v>
      </c>
      <c r="C113" s="3" t="n">
        <v>10470.0</v>
      </c>
      <c r="D113" s="3" t="n">
        <v>10059.0</v>
      </c>
      <c r="E113" s="3" t="n">
        <v>9008.0</v>
      </c>
      <c r="F113" s="3" t="n">
        <v>8432.0</v>
      </c>
      <c r="G113" s="3" t="n">
        <v>8127.0</v>
      </c>
      <c r="H113" s="3" t="n">
        <v>7878.0</v>
      </c>
      <c r="I113" s="3" t="n">
        <v>7675.0</v>
      </c>
      <c r="J113" s="3" t="n">
        <v>7444.0</v>
      </c>
      <c r="K113" s="3" t="n">
        <v>7255.0</v>
      </c>
      <c r="L113" s="3" t="n">
        <v>7073.0</v>
      </c>
      <c r="M113" s="3" t="n">
        <v>6922.0</v>
      </c>
      <c r="N113" s="3" t="n">
        <v>6794.0</v>
      </c>
      <c r="O113" s="3" t="n">
        <v>6673.0</v>
      </c>
      <c r="P113" s="3" t="n">
        <v>6577.0</v>
      </c>
      <c r="Q113" s="3" t="n">
        <v>6512.0</v>
      </c>
      <c r="R113" s="3" t="n">
        <v>6453.0</v>
      </c>
      <c r="S113" s="3" t="n">
        <v>6409.0</v>
      </c>
      <c r="T113" s="3" t="n">
        <v>6387.0</v>
      </c>
      <c r="U113" s="3" t="n">
        <v>6380.0</v>
      </c>
      <c r="V113" s="3" t="n">
        <v>6375.0</v>
      </c>
      <c r="W113" s="3" t="n">
        <v>6373.0</v>
      </c>
      <c r="X113" s="3" t="n">
        <v>6365.0</v>
      </c>
      <c r="Y113" s="3" t="n">
        <v>6345.0</v>
      </c>
      <c r="Z113" s="3" t="n">
        <v>6310.0</v>
      </c>
      <c r="AA113" s="3" t="n">
        <v>6267.0</v>
      </c>
      <c r="AB113" s="3" t="n">
        <v>6209.0</v>
      </c>
      <c r="AC113" s="3" t="n">
        <v>6129.0</v>
      </c>
      <c r="AD113" s="3" t="n">
        <v>6036.0</v>
      </c>
      <c r="AE113" s="3" t="n">
        <v>5935.0</v>
      </c>
      <c r="AF113" s="3" t="n">
        <v>5807.0</v>
      </c>
      <c r="AG113" s="3" t="n">
        <v>5676.0</v>
      </c>
      <c r="AH113" s="3" t="n">
        <v>5515.0</v>
      </c>
      <c r="AI113" s="3" t="n">
        <v>5349.0</v>
      </c>
      <c r="AJ113" s="3" t="n">
        <v>5196.0</v>
      </c>
      <c r="AK113" s="3" t="n">
        <v>5020.0</v>
      </c>
      <c r="AL113" s="3" t="n">
        <v>4838.0</v>
      </c>
      <c r="AM113" s="3" t="n">
        <v>4674.0</v>
      </c>
      <c r="AN113" s="3" t="n">
        <v>4512.0</v>
      </c>
      <c r="AO113" s="3" t="n">
        <v>4352.0</v>
      </c>
    </row>
    <row r="114" spans="1:41" x14ac:dyDescent="0.2">
      <c r="A114" s="128"/>
      <c r="B114" s="9">
        <v>3</v>
      </c>
      <c r="C114" s="3" t="n">
        <v>10836.0</v>
      </c>
      <c r="D114" s="3" t="n">
        <v>10471.0</v>
      </c>
      <c r="E114" s="3" t="n">
        <v>10059.0</v>
      </c>
      <c r="F114" s="3" t="n">
        <v>9019.0</v>
      </c>
      <c r="G114" s="3" t="n">
        <v>8440.0</v>
      </c>
      <c r="H114" s="3" t="n">
        <v>8166.0</v>
      </c>
      <c r="I114" s="3" t="n">
        <v>7925.0</v>
      </c>
      <c r="J114" s="3" t="n">
        <v>7703.0</v>
      </c>
      <c r="K114" s="3" t="n">
        <v>7455.0</v>
      </c>
      <c r="L114" s="3" t="n">
        <v>7267.0</v>
      </c>
      <c r="M114" s="3" t="n">
        <v>7083.0</v>
      </c>
      <c r="N114" s="3" t="n">
        <v>6929.0</v>
      </c>
      <c r="O114" s="3" t="n">
        <v>6801.0</v>
      </c>
      <c r="P114" s="3" t="n">
        <v>6676.0</v>
      </c>
      <c r="Q114" s="3" t="n">
        <v>6581.0</v>
      </c>
      <c r="R114" s="3" t="n">
        <v>6519.0</v>
      </c>
      <c r="S114" s="3" t="n">
        <v>6459.0</v>
      </c>
      <c r="T114" s="3" t="n">
        <v>6414.0</v>
      </c>
      <c r="U114" s="3" t="n">
        <v>6392.0</v>
      </c>
      <c r="V114" s="3" t="n">
        <v>6386.0</v>
      </c>
      <c r="W114" s="3" t="n">
        <v>6381.0</v>
      </c>
      <c r="X114" s="3" t="n">
        <v>6379.0</v>
      </c>
      <c r="Y114" s="3" t="n">
        <v>6370.0</v>
      </c>
      <c r="Z114" s="3" t="n">
        <v>6350.0</v>
      </c>
      <c r="AA114" s="3" t="n">
        <v>6316.0</v>
      </c>
      <c r="AB114" s="3" t="n">
        <v>6274.0</v>
      </c>
      <c r="AC114" s="3" t="n">
        <v>6215.0</v>
      </c>
      <c r="AD114" s="3" t="n">
        <v>6133.0</v>
      </c>
      <c r="AE114" s="3" t="n">
        <v>6040.0</v>
      </c>
      <c r="AF114" s="3" t="n">
        <v>5941.0</v>
      </c>
      <c r="AG114" s="3" t="n">
        <v>5814.0</v>
      </c>
      <c r="AH114" s="3" t="n">
        <v>5686.0</v>
      </c>
      <c r="AI114" s="3" t="n">
        <v>5528.0</v>
      </c>
      <c r="AJ114" s="3" t="n">
        <v>5363.0</v>
      </c>
      <c r="AK114" s="3" t="n">
        <v>5207.0</v>
      </c>
      <c r="AL114" s="3" t="n">
        <v>5029.0</v>
      </c>
      <c r="AM114" s="3" t="n">
        <v>4849.0</v>
      </c>
      <c r="AN114" s="3" t="n">
        <v>4686.0</v>
      </c>
      <c r="AO114" s="3" t="n">
        <v>4524.0</v>
      </c>
    </row>
    <row r="115" spans="1:41" x14ac:dyDescent="0.2">
      <c r="A115" s="128"/>
      <c r="B115" s="9">
        <v>4</v>
      </c>
      <c r="C115" s="3" t="n">
        <v>11902.0</v>
      </c>
      <c r="D115" s="3" t="n">
        <v>10830.0</v>
      </c>
      <c r="E115" s="3" t="n">
        <v>10467.0</v>
      </c>
      <c r="F115" s="3" t="n">
        <v>10054.0</v>
      </c>
      <c r="G115" s="3" t="n">
        <v>9016.0</v>
      </c>
      <c r="H115" s="3" t="n">
        <v>8465.0</v>
      </c>
      <c r="I115" s="3" t="n">
        <v>8211.0</v>
      </c>
      <c r="J115" s="3" t="n">
        <v>7950.0</v>
      </c>
      <c r="K115" s="3" t="n">
        <v>7721.0</v>
      </c>
      <c r="L115" s="3" t="n">
        <v>7466.0</v>
      </c>
      <c r="M115" s="3" t="n">
        <v>7277.0</v>
      </c>
      <c r="N115" s="3" t="n">
        <v>7092.0</v>
      </c>
      <c r="O115" s="3" t="n">
        <v>6938.0</v>
      </c>
      <c r="P115" s="3" t="n">
        <v>6807.0</v>
      </c>
      <c r="Q115" s="3" t="n">
        <v>6681.0</v>
      </c>
      <c r="R115" s="3" t="n">
        <v>6586.0</v>
      </c>
      <c r="S115" s="3" t="n">
        <v>6522.0</v>
      </c>
      <c r="T115" s="3" t="n">
        <v>6462.0</v>
      </c>
      <c r="U115" s="3" t="n">
        <v>6418.0</v>
      </c>
      <c r="V115" s="3" t="n">
        <v>6396.0</v>
      </c>
      <c r="W115" s="3" t="n">
        <v>6391.0</v>
      </c>
      <c r="X115" s="3" t="n">
        <v>6387.0</v>
      </c>
      <c r="Y115" s="3" t="n">
        <v>6385.0</v>
      </c>
      <c r="Z115" s="3" t="n">
        <v>6376.0</v>
      </c>
      <c r="AA115" s="3" t="n">
        <v>6355.0</v>
      </c>
      <c r="AB115" s="3" t="n">
        <v>6322.0</v>
      </c>
      <c r="AC115" s="3" t="n">
        <v>6280.0</v>
      </c>
      <c r="AD115" s="3" t="n">
        <v>6221.0</v>
      </c>
      <c r="AE115" s="3" t="n">
        <v>6138.0</v>
      </c>
      <c r="AF115" s="3" t="n">
        <v>6045.0</v>
      </c>
      <c r="AG115" s="3" t="n">
        <v>5945.0</v>
      </c>
      <c r="AH115" s="3" t="n">
        <v>5819.0</v>
      </c>
      <c r="AI115" s="3" t="n">
        <v>5690.0</v>
      </c>
      <c r="AJ115" s="3" t="n">
        <v>5531.0</v>
      </c>
      <c r="AK115" s="3" t="n">
        <v>5365.0</v>
      </c>
      <c r="AL115" s="3" t="n">
        <v>5209.0</v>
      </c>
      <c r="AM115" s="3" t="n">
        <v>5033.0</v>
      </c>
      <c r="AN115" s="3" t="n">
        <v>4852.0</v>
      </c>
      <c r="AO115" s="3" t="n">
        <v>4690.0</v>
      </c>
    </row>
    <row r="116" spans="1:41" x14ac:dyDescent="0.2">
      <c r="A116" s="128"/>
      <c r="B116" s="9">
        <v>5</v>
      </c>
      <c r="C116" s="3" t="n">
        <v>12175.0</v>
      </c>
      <c r="D116" s="3" t="n">
        <v>11893.0</v>
      </c>
      <c r="E116" s="3" t="n">
        <v>10820.0</v>
      </c>
      <c r="F116" s="3" t="n">
        <v>10461.0</v>
      </c>
      <c r="G116" s="3" t="n">
        <v>10044.0</v>
      </c>
      <c r="H116" s="3" t="n">
        <v>9042.0</v>
      </c>
      <c r="I116" s="3" t="n">
        <v>8503.0</v>
      </c>
      <c r="J116" s="3" t="n">
        <v>8231.0</v>
      </c>
      <c r="K116" s="3" t="n">
        <v>7958.0</v>
      </c>
      <c r="L116" s="3" t="n">
        <v>7725.0</v>
      </c>
      <c r="M116" s="3" t="n">
        <v>7472.0</v>
      </c>
      <c r="N116" s="3" t="n">
        <v>7284.0</v>
      </c>
      <c r="O116" s="3" t="n">
        <v>7097.0</v>
      </c>
      <c r="P116" s="3" t="n">
        <v>6941.0</v>
      </c>
      <c r="Q116" s="3" t="n">
        <v>6808.0</v>
      </c>
      <c r="R116" s="3" t="n">
        <v>6683.0</v>
      </c>
      <c r="S116" s="3" t="n">
        <v>6583.0</v>
      </c>
      <c r="T116" s="3" t="n">
        <v>6522.0</v>
      </c>
      <c r="U116" s="3" t="n">
        <v>6461.0</v>
      </c>
      <c r="V116" s="3" t="n">
        <v>6416.0</v>
      </c>
      <c r="W116" s="3" t="n">
        <v>6394.0</v>
      </c>
      <c r="X116" s="3" t="n">
        <v>6389.0</v>
      </c>
      <c r="Y116" s="3" t="n">
        <v>6385.0</v>
      </c>
      <c r="Z116" s="3" t="n">
        <v>6383.0</v>
      </c>
      <c r="AA116" s="3" t="n">
        <v>6373.0</v>
      </c>
      <c r="AB116" s="3" t="n">
        <v>6353.0</v>
      </c>
      <c r="AC116" s="3" t="n">
        <v>6322.0</v>
      </c>
      <c r="AD116" s="3" t="n">
        <v>6280.0</v>
      </c>
      <c r="AE116" s="3" t="n">
        <v>6222.0</v>
      </c>
      <c r="AF116" s="3" t="n">
        <v>6141.0</v>
      </c>
      <c r="AG116" s="3" t="n">
        <v>6049.0</v>
      </c>
      <c r="AH116" s="3" t="n">
        <v>5948.0</v>
      </c>
      <c r="AI116" s="3" t="n">
        <v>5823.0</v>
      </c>
      <c r="AJ116" s="3" t="n">
        <v>5694.0</v>
      </c>
      <c r="AK116" s="3" t="n">
        <v>5536.0</v>
      </c>
      <c r="AL116" s="3" t="n">
        <v>5369.0</v>
      </c>
      <c r="AM116" s="3" t="n">
        <v>5217.0</v>
      </c>
      <c r="AN116" s="3" t="n">
        <v>5040.0</v>
      </c>
      <c r="AO116" s="3" t="n">
        <v>4860.0</v>
      </c>
    </row>
    <row r="117" spans="1:41" x14ac:dyDescent="0.2">
      <c r="A117" s="128"/>
      <c r="B117" s="9">
        <v>6</v>
      </c>
      <c r="C117" s="3" t="n">
        <v>11941.0</v>
      </c>
      <c r="D117" s="3" t="n">
        <v>12176.0</v>
      </c>
      <c r="E117" s="3" t="n">
        <v>11894.0</v>
      </c>
      <c r="F117" s="3" t="n">
        <v>10824.0</v>
      </c>
      <c r="G117" s="3" t="n">
        <v>10464.0</v>
      </c>
      <c r="H117" s="3" t="n">
        <v>10072.0</v>
      </c>
      <c r="I117" s="3" t="n">
        <v>9086.0</v>
      </c>
      <c r="J117" s="3" t="n">
        <v>8531.0</v>
      </c>
      <c r="K117" s="3" t="n">
        <v>8247.0</v>
      </c>
      <c r="L117" s="3" t="n">
        <v>7968.0</v>
      </c>
      <c r="M117" s="3" t="n">
        <v>7730.0</v>
      </c>
      <c r="N117" s="3" t="n">
        <v>7479.0</v>
      </c>
      <c r="O117" s="3" t="n">
        <v>7292.0</v>
      </c>
      <c r="P117" s="3" t="n">
        <v>7102.0</v>
      </c>
      <c r="Q117" s="3" t="n">
        <v>6945.0</v>
      </c>
      <c r="R117" s="3" t="n">
        <v>6811.0</v>
      </c>
      <c r="S117" s="3" t="n">
        <v>6687.0</v>
      </c>
      <c r="T117" s="3" t="n">
        <v>6587.0</v>
      </c>
      <c r="U117" s="3" t="n">
        <v>6526.0</v>
      </c>
      <c r="V117" s="3" t="n">
        <v>6466.0</v>
      </c>
      <c r="W117" s="3" t="n">
        <v>6422.0</v>
      </c>
      <c r="X117" s="3" t="n">
        <v>6399.0</v>
      </c>
      <c r="Y117" s="3" t="n">
        <v>6394.0</v>
      </c>
      <c r="Z117" s="3" t="n">
        <v>6389.0</v>
      </c>
      <c r="AA117" s="3" t="n">
        <v>6386.0</v>
      </c>
      <c r="AB117" s="3" t="n">
        <v>6376.0</v>
      </c>
      <c r="AC117" s="3" t="n">
        <v>6356.0</v>
      </c>
      <c r="AD117" s="3" t="n">
        <v>6325.0</v>
      </c>
      <c r="AE117" s="3" t="n">
        <v>6283.0</v>
      </c>
      <c r="AF117" s="3" t="n">
        <v>6227.0</v>
      </c>
      <c r="AG117" s="3" t="n">
        <v>6145.0</v>
      </c>
      <c r="AH117" s="3" t="n">
        <v>6054.0</v>
      </c>
      <c r="AI117" s="3" t="n">
        <v>5953.0</v>
      </c>
      <c r="AJ117" s="3" t="n">
        <v>5825.0</v>
      </c>
      <c r="AK117" s="3" t="n">
        <v>5696.0</v>
      </c>
      <c r="AL117" s="3" t="n">
        <v>5539.0</v>
      </c>
      <c r="AM117" s="3" t="n">
        <v>5372.0</v>
      </c>
      <c r="AN117" s="3" t="n">
        <v>5219.0</v>
      </c>
      <c r="AO117" s="3" t="n">
        <v>5044.0</v>
      </c>
    </row>
    <row r="118" spans="1:41" x14ac:dyDescent="0.2">
      <c r="A118" s="128"/>
      <c r="B118" s="9">
        <v>7</v>
      </c>
      <c r="C118" s="3" t="n">
        <v>11501.0</v>
      </c>
      <c r="D118" s="3" t="n">
        <v>11946.0</v>
      </c>
      <c r="E118" s="3" t="n">
        <v>12182.0</v>
      </c>
      <c r="F118" s="3" t="n">
        <v>11899.0</v>
      </c>
      <c r="G118" s="3" t="n">
        <v>10833.0</v>
      </c>
      <c r="H118" s="3" t="n">
        <v>10499.0</v>
      </c>
      <c r="I118" s="3" t="n">
        <v>10119.0</v>
      </c>
      <c r="J118" s="3" t="n">
        <v>9108.0</v>
      </c>
      <c r="K118" s="3" t="n">
        <v>8541.0</v>
      </c>
      <c r="L118" s="3" t="n">
        <v>8255.0</v>
      </c>
      <c r="M118" s="3" t="n">
        <v>7977.0</v>
      </c>
      <c r="N118" s="3" t="n">
        <v>7738.0</v>
      </c>
      <c r="O118" s="3" t="n">
        <v>7490.0</v>
      </c>
      <c r="P118" s="3" t="n">
        <v>7303.0</v>
      </c>
      <c r="Q118" s="3" t="n">
        <v>7112.0</v>
      </c>
      <c r="R118" s="3" t="n">
        <v>6954.0</v>
      </c>
      <c r="S118" s="3" t="n">
        <v>6820.0</v>
      </c>
      <c r="T118" s="3" t="n">
        <v>6695.0</v>
      </c>
      <c r="U118" s="3" t="n">
        <v>6597.0</v>
      </c>
      <c r="V118" s="3" t="n">
        <v>6535.0</v>
      </c>
      <c r="W118" s="3" t="n">
        <v>6475.0</v>
      </c>
      <c r="X118" s="3" t="n">
        <v>6430.0</v>
      </c>
      <c r="Y118" s="3" t="n">
        <v>6408.0</v>
      </c>
      <c r="Z118" s="3" t="n">
        <v>6403.0</v>
      </c>
      <c r="AA118" s="3" t="n">
        <v>6398.0</v>
      </c>
      <c r="AB118" s="3" t="n">
        <v>6396.0</v>
      </c>
      <c r="AC118" s="3" t="n">
        <v>6386.0</v>
      </c>
      <c r="AD118" s="3" t="n">
        <v>6366.0</v>
      </c>
      <c r="AE118" s="3" t="n">
        <v>6334.0</v>
      </c>
      <c r="AF118" s="3" t="n">
        <v>6292.0</v>
      </c>
      <c r="AG118" s="3" t="n">
        <v>6235.0</v>
      </c>
      <c r="AH118" s="3" t="n">
        <v>6153.0</v>
      </c>
      <c r="AI118" s="3" t="n">
        <v>6063.0</v>
      </c>
      <c r="AJ118" s="3" t="n">
        <v>5962.0</v>
      </c>
      <c r="AK118" s="3" t="n">
        <v>5831.0</v>
      </c>
      <c r="AL118" s="3" t="n">
        <v>5707.0</v>
      </c>
      <c r="AM118" s="3" t="n">
        <v>5549.0</v>
      </c>
      <c r="AN118" s="3" t="n">
        <v>5380.0</v>
      </c>
      <c r="AO118" s="3" t="n">
        <v>5228.0</v>
      </c>
    </row>
    <row r="119" spans="1:41" x14ac:dyDescent="0.2">
      <c r="A119" s="128"/>
      <c r="B119" s="9">
        <v>8</v>
      </c>
      <c r="C119" s="3" t="n">
        <v>11884.0</v>
      </c>
      <c r="D119" s="3" t="n">
        <v>11497.0</v>
      </c>
      <c r="E119" s="3" t="n">
        <v>11941.0</v>
      </c>
      <c r="F119" s="3" t="n">
        <v>12180.0</v>
      </c>
      <c r="G119" s="3" t="n">
        <v>11899.0</v>
      </c>
      <c r="H119" s="3" t="n">
        <v>10875.0</v>
      </c>
      <c r="I119" s="3" t="n">
        <v>10551.0</v>
      </c>
      <c r="J119" s="3" t="n">
        <v>10143.0</v>
      </c>
      <c r="K119" s="3" t="n">
        <v>9123.0</v>
      </c>
      <c r="L119" s="3" t="n">
        <v>8545.0</v>
      </c>
      <c r="M119" s="3" t="n">
        <v>8260.0</v>
      </c>
      <c r="N119" s="3" t="n">
        <v>7981.0</v>
      </c>
      <c r="O119" s="3" t="n">
        <v>7741.0</v>
      </c>
      <c r="P119" s="3" t="n">
        <v>7488.0</v>
      </c>
      <c r="Q119" s="3" t="n">
        <v>7307.0</v>
      </c>
      <c r="R119" s="3" t="n">
        <v>7118.0</v>
      </c>
      <c r="S119" s="3" t="n">
        <v>6959.0</v>
      </c>
      <c r="T119" s="3" t="n">
        <v>6825.0</v>
      </c>
      <c r="U119" s="3" t="n">
        <v>6695.0</v>
      </c>
      <c r="V119" s="3" t="n">
        <v>6594.0</v>
      </c>
      <c r="W119" s="3" t="n">
        <v>6532.0</v>
      </c>
      <c r="X119" s="3" t="n">
        <v>6472.0</v>
      </c>
      <c r="Y119" s="3" t="n">
        <v>6426.0</v>
      </c>
      <c r="Z119" s="3" t="n">
        <v>6405.0</v>
      </c>
      <c r="AA119" s="3" t="n">
        <v>6399.0</v>
      </c>
      <c r="AB119" s="3" t="n">
        <v>6394.0</v>
      </c>
      <c r="AC119" s="3" t="n">
        <v>6391.0</v>
      </c>
      <c r="AD119" s="3" t="n">
        <v>6381.0</v>
      </c>
      <c r="AE119" s="3" t="n">
        <v>6361.0</v>
      </c>
      <c r="AF119" s="3" t="n">
        <v>6329.0</v>
      </c>
      <c r="AG119" s="3" t="n">
        <v>6286.0</v>
      </c>
      <c r="AH119" s="3" t="n">
        <v>6229.0</v>
      </c>
      <c r="AI119" s="3" t="n">
        <v>6146.0</v>
      </c>
      <c r="AJ119" s="3" t="n">
        <v>6060.0</v>
      </c>
      <c r="AK119" s="3" t="n">
        <v>5962.0</v>
      </c>
      <c r="AL119" s="3" t="n">
        <v>5833.0</v>
      </c>
      <c r="AM119" s="3" t="n">
        <v>5709.0</v>
      </c>
      <c r="AN119" s="3" t="n">
        <v>5553.0</v>
      </c>
      <c r="AO119" s="3" t="n">
        <v>5379.0</v>
      </c>
    </row>
    <row r="120" spans="1:41" x14ac:dyDescent="0.2">
      <c r="A120" s="128"/>
      <c r="B120" s="9">
        <v>9</v>
      </c>
      <c r="C120" s="3" t="n">
        <v>11512.0</v>
      </c>
      <c r="D120" s="3" t="n">
        <v>11874.0</v>
      </c>
      <c r="E120" s="3" t="n">
        <v>11486.0</v>
      </c>
      <c r="F120" s="3" t="n">
        <v>11934.0</v>
      </c>
      <c r="G120" s="3" t="n">
        <v>12176.0</v>
      </c>
      <c r="H120" s="3" t="n">
        <v>11935.0</v>
      </c>
      <c r="I120" s="3" t="n">
        <v>10922.0</v>
      </c>
      <c r="J120" s="3" t="n">
        <v>10575.0</v>
      </c>
      <c r="K120" s="3" t="n">
        <v>10143.0</v>
      </c>
      <c r="L120" s="3" t="n">
        <v>9122.0</v>
      </c>
      <c r="M120" s="3" t="n">
        <v>8544.0</v>
      </c>
      <c r="N120" s="3" t="n">
        <v>8259.0</v>
      </c>
      <c r="O120" s="3" t="n">
        <v>7972.0</v>
      </c>
      <c r="P120" s="3" t="n">
        <v>7736.0</v>
      </c>
      <c r="Q120" s="3" t="n">
        <v>7481.0</v>
      </c>
      <c r="R120" s="3" t="n">
        <v>7305.0</v>
      </c>
      <c r="S120" s="3" t="n">
        <v>7116.0</v>
      </c>
      <c r="T120" s="3" t="n">
        <v>6958.0</v>
      </c>
      <c r="U120" s="3" t="n">
        <v>6826.0</v>
      </c>
      <c r="V120" s="3" t="n">
        <v>6695.0</v>
      </c>
      <c r="W120" s="3" t="n">
        <v>6595.0</v>
      </c>
      <c r="X120" s="3" t="n">
        <v>6534.0</v>
      </c>
      <c r="Y120" s="3" t="n">
        <v>6474.0</v>
      </c>
      <c r="Z120" s="3" t="n">
        <v>6430.0</v>
      </c>
      <c r="AA120" s="3" t="n">
        <v>6409.0</v>
      </c>
      <c r="AB120" s="3" t="n">
        <v>6403.0</v>
      </c>
      <c r="AC120" s="3" t="n">
        <v>6398.0</v>
      </c>
      <c r="AD120" s="3" t="n">
        <v>6394.0</v>
      </c>
      <c r="AE120" s="3" t="n">
        <v>6384.0</v>
      </c>
      <c r="AF120" s="3" t="n">
        <v>6364.0</v>
      </c>
      <c r="AG120" s="3" t="n">
        <v>6333.0</v>
      </c>
      <c r="AH120" s="3" t="n">
        <v>6288.0</v>
      </c>
      <c r="AI120" s="3" t="n">
        <v>6232.0</v>
      </c>
      <c r="AJ120" s="3" t="n">
        <v>6147.0</v>
      </c>
      <c r="AK120" s="3" t="n">
        <v>6060.0</v>
      </c>
      <c r="AL120" s="3" t="n">
        <v>5958.0</v>
      </c>
      <c r="AM120" s="3" t="n">
        <v>5828.0</v>
      </c>
      <c r="AN120" s="3" t="n">
        <v>5705.0</v>
      </c>
      <c r="AO120" s="3" t="n">
        <v>5550.0</v>
      </c>
    </row>
    <row r="121" spans="1:41" x14ac:dyDescent="0.2">
      <c r="A121" s="128"/>
      <c r="B121" s="9">
        <v>10</v>
      </c>
      <c r="C121" s="3" t="n">
        <v>12358.0</v>
      </c>
      <c r="D121" s="3" t="n">
        <v>11511.0</v>
      </c>
      <c r="E121" s="3" t="n">
        <v>11875.0</v>
      </c>
      <c r="F121" s="3" t="n">
        <v>11488.0</v>
      </c>
      <c r="G121" s="3" t="n">
        <v>11939.0</v>
      </c>
      <c r="H121" s="3" t="n">
        <v>12218.0</v>
      </c>
      <c r="I121" s="3" t="n">
        <v>11988.0</v>
      </c>
      <c r="J121" s="3" t="n">
        <v>10950.0</v>
      </c>
      <c r="K121" s="3" t="n">
        <v>10590.0</v>
      </c>
      <c r="L121" s="3" t="n">
        <v>10144.0</v>
      </c>
      <c r="M121" s="3" t="n">
        <v>9125.0</v>
      </c>
      <c r="N121" s="3" t="n">
        <v>8547.0</v>
      </c>
      <c r="O121" s="3" t="n">
        <v>8262.0</v>
      </c>
      <c r="P121" s="3" t="n">
        <v>7975.0</v>
      </c>
      <c r="Q121" s="3" t="n">
        <v>7737.0</v>
      </c>
      <c r="R121" s="3" t="n">
        <v>7485.0</v>
      </c>
      <c r="S121" s="3" t="n">
        <v>7307.0</v>
      </c>
      <c r="T121" s="3" t="n">
        <v>7118.0</v>
      </c>
      <c r="U121" s="3" t="n">
        <v>6961.0</v>
      </c>
      <c r="V121" s="3" t="n">
        <v>6829.0</v>
      </c>
      <c r="W121" s="3" t="n">
        <v>6698.0</v>
      </c>
      <c r="X121" s="3" t="n">
        <v>6598.0</v>
      </c>
      <c r="Y121" s="3" t="n">
        <v>6537.0</v>
      </c>
      <c r="Z121" s="3" t="n">
        <v>6477.0</v>
      </c>
      <c r="AA121" s="3" t="n">
        <v>6433.0</v>
      </c>
      <c r="AB121" s="3" t="n">
        <v>6412.0</v>
      </c>
      <c r="AC121" s="3" t="n">
        <v>6406.0</v>
      </c>
      <c r="AD121" s="3" t="n">
        <v>6401.0</v>
      </c>
      <c r="AE121" s="3" t="n">
        <v>6397.0</v>
      </c>
      <c r="AF121" s="3" t="n">
        <v>6388.0</v>
      </c>
      <c r="AG121" s="3" t="n">
        <v>6368.0</v>
      </c>
      <c r="AH121" s="3" t="n">
        <v>6338.0</v>
      </c>
      <c r="AI121" s="3" t="n">
        <v>6292.0</v>
      </c>
      <c r="AJ121" s="3" t="n">
        <v>6236.0</v>
      </c>
      <c r="AK121" s="3" t="n">
        <v>6152.0</v>
      </c>
      <c r="AL121" s="3" t="n">
        <v>6064.0</v>
      </c>
      <c r="AM121" s="3" t="n">
        <v>5964.0</v>
      </c>
      <c r="AN121" s="3" t="n">
        <v>5834.0</v>
      </c>
      <c r="AO121" s="3" t="n">
        <v>5708.0</v>
      </c>
    </row>
    <row r="122" spans="1:41" x14ac:dyDescent="0.2">
      <c r="A122" s="128"/>
      <c r="B122" s="9">
        <v>11</v>
      </c>
      <c r="C122" s="3" t="n">
        <v>12551.0</v>
      </c>
      <c r="D122" s="3" t="n">
        <v>12354.0</v>
      </c>
      <c r="E122" s="3" t="n">
        <v>11510.0</v>
      </c>
      <c r="F122" s="3" t="n">
        <v>11876.0</v>
      </c>
      <c r="G122" s="3" t="n">
        <v>11489.0</v>
      </c>
      <c r="H122" s="3" t="n">
        <v>11977.0</v>
      </c>
      <c r="I122" s="3" t="n">
        <v>12268.0</v>
      </c>
      <c r="J122" s="3" t="n">
        <v>12011.0</v>
      </c>
      <c r="K122" s="3" t="n">
        <v>10956.0</v>
      </c>
      <c r="L122" s="3" t="n">
        <v>10597.0</v>
      </c>
      <c r="M122" s="3" t="n">
        <v>10140.0</v>
      </c>
      <c r="N122" s="3" t="n">
        <v>9124.0</v>
      </c>
      <c r="O122" s="3" t="n">
        <v>8548.0</v>
      </c>
      <c r="P122" s="3" t="n">
        <v>8267.0</v>
      </c>
      <c r="Q122" s="3" t="n">
        <v>7977.0</v>
      </c>
      <c r="R122" s="3" t="n">
        <v>7739.0</v>
      </c>
      <c r="S122" s="3" t="n">
        <v>7490.0</v>
      </c>
      <c r="T122" s="3" t="n">
        <v>7312.0</v>
      </c>
      <c r="U122" s="3" t="n">
        <v>7122.0</v>
      </c>
      <c r="V122" s="3" t="n">
        <v>6964.0</v>
      </c>
      <c r="W122" s="3" t="n">
        <v>6833.0</v>
      </c>
      <c r="X122" s="3" t="n">
        <v>6700.0</v>
      </c>
      <c r="Y122" s="3" t="n">
        <v>6598.0</v>
      </c>
      <c r="Z122" s="3" t="n">
        <v>6538.0</v>
      </c>
      <c r="AA122" s="3" t="n">
        <v>6479.0</v>
      </c>
      <c r="AB122" s="3" t="n">
        <v>6434.0</v>
      </c>
      <c r="AC122" s="3" t="n">
        <v>6413.0</v>
      </c>
      <c r="AD122" s="3" t="n">
        <v>6408.0</v>
      </c>
      <c r="AE122" s="3" t="n">
        <v>6403.0</v>
      </c>
      <c r="AF122" s="3" t="n">
        <v>6398.0</v>
      </c>
      <c r="AG122" s="3" t="n">
        <v>6390.0</v>
      </c>
      <c r="AH122" s="3" t="n">
        <v>6369.0</v>
      </c>
      <c r="AI122" s="3" t="n">
        <v>6339.0</v>
      </c>
      <c r="AJ122" s="3" t="n">
        <v>6293.0</v>
      </c>
      <c r="AK122" s="3" t="n">
        <v>6237.0</v>
      </c>
      <c r="AL122" s="3" t="n">
        <v>6152.0</v>
      </c>
      <c r="AM122" s="3" t="n">
        <v>6064.0</v>
      </c>
      <c r="AN122" s="3" t="n">
        <v>5965.0</v>
      </c>
      <c r="AO122" s="3" t="n">
        <v>5837.0</v>
      </c>
    </row>
    <row r="123" spans="1:41" x14ac:dyDescent="0.2">
      <c r="A123" s="128"/>
      <c r="B123" s="9">
        <v>12</v>
      </c>
      <c r="C123" s="3" t="n">
        <v>12997.0</v>
      </c>
      <c r="D123" s="3" t="n">
        <v>12546.0</v>
      </c>
      <c r="E123" s="3" t="n">
        <v>12352.0</v>
      </c>
      <c r="F123" s="3" t="n">
        <v>11510.0</v>
      </c>
      <c r="G123" s="3" t="n">
        <v>11874.0</v>
      </c>
      <c r="H123" s="3" t="n">
        <v>11524.0</v>
      </c>
      <c r="I123" s="3" t="n">
        <v>12026.0</v>
      </c>
      <c r="J123" s="3" t="n">
        <v>12287.0</v>
      </c>
      <c r="K123" s="3" t="n">
        <v>12018.0</v>
      </c>
      <c r="L123" s="3" t="n">
        <v>10964.0</v>
      </c>
      <c r="M123" s="3" t="n">
        <v>10595.0</v>
      </c>
      <c r="N123" s="3" t="n">
        <v>10142.0</v>
      </c>
      <c r="O123" s="3" t="n">
        <v>9124.0</v>
      </c>
      <c r="P123" s="3" t="n">
        <v>8550.0</v>
      </c>
      <c r="Q123" s="3" t="n">
        <v>8274.0</v>
      </c>
      <c r="R123" s="3" t="n">
        <v>7982.0</v>
      </c>
      <c r="S123" s="3" t="n">
        <v>7741.0</v>
      </c>
      <c r="T123" s="3" t="n">
        <v>7494.0</v>
      </c>
      <c r="U123" s="3" t="n">
        <v>7315.0</v>
      </c>
      <c r="V123" s="3" t="n">
        <v>7122.0</v>
      </c>
      <c r="W123" s="3" t="n">
        <v>6963.0</v>
      </c>
      <c r="X123" s="3" t="n">
        <v>6835.0</v>
      </c>
      <c r="Y123" s="3" t="n">
        <v>6701.0</v>
      </c>
      <c r="Z123" s="3" t="n">
        <v>6598.0</v>
      </c>
      <c r="AA123" s="3" t="n">
        <v>6537.0</v>
      </c>
      <c r="AB123" s="3" t="n">
        <v>6477.0</v>
      </c>
      <c r="AC123" s="3" t="n">
        <v>6434.0</v>
      </c>
      <c r="AD123" s="3" t="n">
        <v>6414.0</v>
      </c>
      <c r="AE123" s="3" t="n">
        <v>6409.0</v>
      </c>
      <c r="AF123" s="3" t="n">
        <v>6404.0</v>
      </c>
      <c r="AG123" s="3" t="n">
        <v>6398.0</v>
      </c>
      <c r="AH123" s="3" t="n">
        <v>6390.0</v>
      </c>
      <c r="AI123" s="3" t="n">
        <v>6369.0</v>
      </c>
      <c r="AJ123" s="3" t="n">
        <v>6340.0</v>
      </c>
      <c r="AK123" s="3" t="n">
        <v>6295.0</v>
      </c>
      <c r="AL123" s="3" t="n">
        <v>6239.0</v>
      </c>
      <c r="AM123" s="3" t="n">
        <v>6153.0</v>
      </c>
      <c r="AN123" s="3" t="n">
        <v>6065.0</v>
      </c>
      <c r="AO123" s="3" t="n">
        <v>5966.0</v>
      </c>
    </row>
    <row r="124" spans="1:41" x14ac:dyDescent="0.2">
      <c r="A124" s="128"/>
      <c r="B124" s="9">
        <v>13</v>
      </c>
      <c r="C124" s="3" t="n">
        <v>13493.0</v>
      </c>
      <c r="D124" s="3" t="n">
        <v>12991.0</v>
      </c>
      <c r="E124" s="3" t="n">
        <v>12540.0</v>
      </c>
      <c r="F124" s="3" t="n">
        <v>12345.0</v>
      </c>
      <c r="G124" s="3" t="n">
        <v>11507.0</v>
      </c>
      <c r="H124" s="3" t="n">
        <v>11906.0</v>
      </c>
      <c r="I124" s="3" t="n">
        <v>11573.0</v>
      </c>
      <c r="J124" s="3" t="n">
        <v>12050.0</v>
      </c>
      <c r="K124" s="3" t="n">
        <v>12295.0</v>
      </c>
      <c r="L124" s="3" t="n">
        <v>12022.0</v>
      </c>
      <c r="M124" s="3" t="n">
        <v>10966.0</v>
      </c>
      <c r="N124" s="3" t="n">
        <v>10591.0</v>
      </c>
      <c r="O124" s="3" t="n">
        <v>10136.0</v>
      </c>
      <c r="P124" s="3" t="n">
        <v>9121.0</v>
      </c>
      <c r="Q124" s="3" t="n">
        <v>8548.0</v>
      </c>
      <c r="R124" s="3" t="n">
        <v>8272.0</v>
      </c>
      <c r="S124" s="3" t="n">
        <v>7979.0</v>
      </c>
      <c r="T124" s="3" t="n">
        <v>7741.0</v>
      </c>
      <c r="U124" s="3" t="n">
        <v>7495.0</v>
      </c>
      <c r="V124" s="3" t="n">
        <v>7315.0</v>
      </c>
      <c r="W124" s="3" t="n">
        <v>7121.0</v>
      </c>
      <c r="X124" s="3" t="n">
        <v>6963.0</v>
      </c>
      <c r="Y124" s="3" t="n">
        <v>6836.0</v>
      </c>
      <c r="Z124" s="3" t="n">
        <v>6701.0</v>
      </c>
      <c r="AA124" s="3" t="n">
        <v>6600.0</v>
      </c>
      <c r="AB124" s="3" t="n">
        <v>6538.0</v>
      </c>
      <c r="AC124" s="3" t="n">
        <v>6476.0</v>
      </c>
      <c r="AD124" s="3" t="n">
        <v>6434.0</v>
      </c>
      <c r="AE124" s="3" t="n">
        <v>6414.0</v>
      </c>
      <c r="AF124" s="3" t="n">
        <v>6409.0</v>
      </c>
      <c r="AG124" s="3" t="n">
        <v>6404.0</v>
      </c>
      <c r="AH124" s="3" t="n">
        <v>6397.0</v>
      </c>
      <c r="AI124" s="3" t="n">
        <v>6388.0</v>
      </c>
      <c r="AJ124" s="3" t="n">
        <v>6367.0</v>
      </c>
      <c r="AK124" s="3" t="n">
        <v>6338.0</v>
      </c>
      <c r="AL124" s="3" t="n">
        <v>6293.0</v>
      </c>
      <c r="AM124" s="3" t="n">
        <v>6237.0</v>
      </c>
      <c r="AN124" s="3" t="n">
        <v>6153.0</v>
      </c>
      <c r="AO124" s="3" t="n">
        <v>6062.0</v>
      </c>
    </row>
    <row r="125" spans="1:41" x14ac:dyDescent="0.2">
      <c r="A125" s="128"/>
      <c r="B125" s="9">
        <v>14</v>
      </c>
      <c r="C125" s="3" t="n">
        <v>13118.0</v>
      </c>
      <c r="D125" s="3" t="n">
        <v>13492.0</v>
      </c>
      <c r="E125" s="3" t="n">
        <v>12986.0</v>
      </c>
      <c r="F125" s="3" t="n">
        <v>12536.0</v>
      </c>
      <c r="G125" s="3" t="n">
        <v>12341.0</v>
      </c>
      <c r="H125" s="3" t="n">
        <v>11536.0</v>
      </c>
      <c r="I125" s="3" t="n">
        <v>11946.0</v>
      </c>
      <c r="J125" s="3" t="n">
        <v>11587.0</v>
      </c>
      <c r="K125" s="3" t="n">
        <v>12054.0</v>
      </c>
      <c r="L125" s="3" t="n">
        <v>12292.0</v>
      </c>
      <c r="M125" s="3" t="n">
        <v>12018.0</v>
      </c>
      <c r="N125" s="3" t="n">
        <v>10961.0</v>
      </c>
      <c r="O125" s="3" t="n">
        <v>10588.0</v>
      </c>
      <c r="P125" s="3" t="n">
        <v>10130.0</v>
      </c>
      <c r="Q125" s="3" t="n">
        <v>9117.0</v>
      </c>
      <c r="R125" s="3" t="n">
        <v>8547.0</v>
      </c>
      <c r="S125" s="3" t="n">
        <v>8268.0</v>
      </c>
      <c r="T125" s="3" t="n">
        <v>7976.0</v>
      </c>
      <c r="U125" s="3" t="n">
        <v>7734.0</v>
      </c>
      <c r="V125" s="3" t="n">
        <v>7489.0</v>
      </c>
      <c r="W125" s="3" t="n">
        <v>7312.0</v>
      </c>
      <c r="X125" s="3" t="n">
        <v>7118.0</v>
      </c>
      <c r="Y125" s="3" t="n">
        <v>6961.0</v>
      </c>
      <c r="Z125" s="3" t="n">
        <v>6834.0</v>
      </c>
      <c r="AA125" s="3" t="n">
        <v>6700.0</v>
      </c>
      <c r="AB125" s="3" t="n">
        <v>6600.0</v>
      </c>
      <c r="AC125" s="3" t="n">
        <v>6538.0</v>
      </c>
      <c r="AD125" s="3" t="n">
        <v>6476.0</v>
      </c>
      <c r="AE125" s="3" t="n">
        <v>6435.0</v>
      </c>
      <c r="AF125" s="3" t="n">
        <v>6414.0</v>
      </c>
      <c r="AG125" s="3" t="n">
        <v>6410.0</v>
      </c>
      <c r="AH125" s="3" t="n">
        <v>6403.0</v>
      </c>
      <c r="AI125" s="3" t="n">
        <v>6396.0</v>
      </c>
      <c r="AJ125" s="3" t="n">
        <v>6387.0</v>
      </c>
      <c r="AK125" s="3" t="n">
        <v>6366.0</v>
      </c>
      <c r="AL125" s="3" t="n">
        <v>6337.0</v>
      </c>
      <c r="AM125" s="3" t="n">
        <v>6292.0</v>
      </c>
      <c r="AN125" s="3" t="n">
        <v>6236.0</v>
      </c>
      <c r="AO125" s="3" t="n">
        <v>6152.0</v>
      </c>
    </row>
    <row r="126" spans="1:41" x14ac:dyDescent="0.2">
      <c r="A126" s="128"/>
      <c r="B126" s="9">
        <v>15</v>
      </c>
      <c r="C126" s="3" t="n">
        <v>12069.0</v>
      </c>
      <c r="D126" s="3" t="n">
        <v>13116.0</v>
      </c>
      <c r="E126" s="3" t="n">
        <v>13486.0</v>
      </c>
      <c r="F126" s="3" t="n">
        <v>12981.0</v>
      </c>
      <c r="G126" s="3" t="n">
        <v>12534.0</v>
      </c>
      <c r="H126" s="3" t="n">
        <v>12365.0</v>
      </c>
      <c r="I126" s="3" t="n">
        <v>11574.0</v>
      </c>
      <c r="J126" s="3" t="n">
        <v>11959.0</v>
      </c>
      <c r="K126" s="3" t="n">
        <v>11585.0</v>
      </c>
      <c r="L126" s="3" t="n">
        <v>12051.0</v>
      </c>
      <c r="M126" s="3" t="n">
        <v>12291.0</v>
      </c>
      <c r="N126" s="3" t="n">
        <v>12017.0</v>
      </c>
      <c r="O126" s="3" t="n">
        <v>10965.0</v>
      </c>
      <c r="P126" s="3" t="n">
        <v>10586.0</v>
      </c>
      <c r="Q126" s="3" t="n">
        <v>10129.0</v>
      </c>
      <c r="R126" s="3" t="n">
        <v>9117.0</v>
      </c>
      <c r="S126" s="3" t="n">
        <v>8553.0</v>
      </c>
      <c r="T126" s="3" t="n">
        <v>8274.0</v>
      </c>
      <c r="U126" s="3" t="n">
        <v>7980.0</v>
      </c>
      <c r="V126" s="3" t="n">
        <v>7739.0</v>
      </c>
      <c r="W126" s="3" t="n">
        <v>7494.0</v>
      </c>
      <c r="X126" s="3" t="n">
        <v>7315.0</v>
      </c>
      <c r="Y126" s="3" t="n">
        <v>7122.0</v>
      </c>
      <c r="Z126" s="3" t="n">
        <v>6965.0</v>
      </c>
      <c r="AA126" s="3" t="n">
        <v>6835.0</v>
      </c>
      <c r="AB126" s="3" t="n">
        <v>6699.0</v>
      </c>
      <c r="AC126" s="3" t="n">
        <v>6597.0</v>
      </c>
      <c r="AD126" s="3" t="n">
        <v>6534.0</v>
      </c>
      <c r="AE126" s="3" t="n">
        <v>6471.0</v>
      </c>
      <c r="AF126" s="3" t="n">
        <v>6432.0</v>
      </c>
      <c r="AG126" s="3" t="n">
        <v>6411.0</v>
      </c>
      <c r="AH126" s="3" t="n">
        <v>6407.0</v>
      </c>
      <c r="AI126" s="3" t="n">
        <v>6400.0</v>
      </c>
      <c r="AJ126" s="3" t="n">
        <v>6393.0</v>
      </c>
      <c r="AK126" s="3" t="n">
        <v>6384.0</v>
      </c>
      <c r="AL126" s="3" t="n">
        <v>6363.0</v>
      </c>
      <c r="AM126" s="3" t="n">
        <v>6334.0</v>
      </c>
      <c r="AN126" s="3" t="n">
        <v>6288.0</v>
      </c>
      <c r="AO126" s="3" t="n">
        <v>6230.0</v>
      </c>
    </row>
    <row r="127" spans="1:41" x14ac:dyDescent="0.2">
      <c r="A127" s="128"/>
      <c r="B127" s="9">
        <v>16</v>
      </c>
      <c r="C127" s="3" t="n">
        <v>11745.0</v>
      </c>
      <c r="D127" s="3" t="n">
        <v>12068.0</v>
      </c>
      <c r="E127" s="3" t="n">
        <v>13115.0</v>
      </c>
      <c r="F127" s="3" t="n">
        <v>13484.0</v>
      </c>
      <c r="G127" s="3" t="n">
        <v>12980.0</v>
      </c>
      <c r="H127" s="3" t="n">
        <v>12561.0</v>
      </c>
      <c r="I127" s="3" t="n">
        <v>12404.0</v>
      </c>
      <c r="J127" s="3" t="n">
        <v>11588.0</v>
      </c>
      <c r="K127" s="3" t="n">
        <v>11964.0</v>
      </c>
      <c r="L127" s="3" t="n">
        <v>11585.0</v>
      </c>
      <c r="M127" s="3" t="n">
        <v>12049.0</v>
      </c>
      <c r="N127" s="3" t="n">
        <v>12290.0</v>
      </c>
      <c r="O127" s="3" t="n">
        <v>12015.0</v>
      </c>
      <c r="P127" s="3" t="n">
        <v>10964.0</v>
      </c>
      <c r="Q127" s="3" t="n">
        <v>10588.0</v>
      </c>
      <c r="R127" s="3" t="n">
        <v>10130.0</v>
      </c>
      <c r="S127" s="3" t="n">
        <v>9119.0</v>
      </c>
      <c r="T127" s="3" t="n">
        <v>8554.0</v>
      </c>
      <c r="U127" s="3" t="n">
        <v>8273.0</v>
      </c>
      <c r="V127" s="3" t="n">
        <v>7978.0</v>
      </c>
      <c r="W127" s="3" t="n">
        <v>7738.0</v>
      </c>
      <c r="X127" s="3" t="n">
        <v>7493.0</v>
      </c>
      <c r="Y127" s="3" t="n">
        <v>7314.0</v>
      </c>
      <c r="Z127" s="3" t="n">
        <v>7122.0</v>
      </c>
      <c r="AA127" s="3" t="n">
        <v>6964.0</v>
      </c>
      <c r="AB127" s="3" t="n">
        <v>6834.0</v>
      </c>
      <c r="AC127" s="3" t="n">
        <v>6698.0</v>
      </c>
      <c r="AD127" s="3" t="n">
        <v>6597.0</v>
      </c>
      <c r="AE127" s="3" t="n">
        <v>6535.0</v>
      </c>
      <c r="AF127" s="3" t="n">
        <v>6472.0</v>
      </c>
      <c r="AG127" s="3" t="n">
        <v>6433.0</v>
      </c>
      <c r="AH127" s="3" t="n">
        <v>6411.0</v>
      </c>
      <c r="AI127" s="3" t="n">
        <v>6407.0</v>
      </c>
      <c r="AJ127" s="3" t="n">
        <v>6399.0</v>
      </c>
      <c r="AK127" s="3" t="n">
        <v>6392.0</v>
      </c>
      <c r="AL127" s="3" t="n">
        <v>6383.0</v>
      </c>
      <c r="AM127" s="3" t="n">
        <v>6362.0</v>
      </c>
      <c r="AN127" s="3" t="n">
        <v>6334.0</v>
      </c>
      <c r="AO127" s="3" t="n">
        <v>6287.0</v>
      </c>
    </row>
    <row r="128" spans="1:41" x14ac:dyDescent="0.2">
      <c r="A128" s="128"/>
      <c r="B128" s="9">
        <v>17</v>
      </c>
      <c r="C128" s="3" t="n">
        <v>11230.0</v>
      </c>
      <c r="D128" s="3" t="n">
        <v>11734.0</v>
      </c>
      <c r="E128" s="3" t="n">
        <v>12057.0</v>
      </c>
      <c r="F128" s="3" t="n">
        <v>13102.0</v>
      </c>
      <c r="G128" s="3" t="n">
        <v>13470.0</v>
      </c>
      <c r="H128" s="3" t="n">
        <v>12997.0</v>
      </c>
      <c r="I128" s="3" t="n">
        <v>12588.0</v>
      </c>
      <c r="J128" s="3" t="n">
        <v>12403.0</v>
      </c>
      <c r="K128" s="3" t="n">
        <v>11577.0</v>
      </c>
      <c r="L128" s="3" t="n">
        <v>11951.0</v>
      </c>
      <c r="M128" s="3" t="n">
        <v>11569.0</v>
      </c>
      <c r="N128" s="3" t="n">
        <v>12036.0</v>
      </c>
      <c r="O128" s="3" t="n">
        <v>12277.0</v>
      </c>
      <c r="P128" s="3" t="n">
        <v>12004.0</v>
      </c>
      <c r="Q128" s="3" t="n">
        <v>10954.0</v>
      </c>
      <c r="R128" s="3" t="n">
        <v>10578.0</v>
      </c>
      <c r="S128" s="3" t="n">
        <v>10120.0</v>
      </c>
      <c r="T128" s="3" t="n">
        <v>9111.0</v>
      </c>
      <c r="U128" s="3" t="n">
        <v>8552.0</v>
      </c>
      <c r="V128" s="3" t="n">
        <v>8274.0</v>
      </c>
      <c r="W128" s="3" t="n">
        <v>7979.0</v>
      </c>
      <c r="X128" s="3" t="n">
        <v>7739.0</v>
      </c>
      <c r="Y128" s="3" t="n">
        <v>7494.0</v>
      </c>
      <c r="Z128" s="3" t="n">
        <v>7313.0</v>
      </c>
      <c r="AA128" s="3" t="n">
        <v>7119.0</v>
      </c>
      <c r="AB128" s="3" t="n">
        <v>6960.0</v>
      </c>
      <c r="AC128" s="3" t="n">
        <v>6831.0</v>
      </c>
      <c r="AD128" s="3" t="n">
        <v>6697.0</v>
      </c>
      <c r="AE128" s="3" t="n">
        <v>6596.0</v>
      </c>
      <c r="AF128" s="3" t="n">
        <v>6532.0</v>
      </c>
      <c r="AG128" s="3" t="n">
        <v>6466.0</v>
      </c>
      <c r="AH128" s="3" t="n">
        <v>6427.0</v>
      </c>
      <c r="AI128" s="3" t="n">
        <v>6404.0</v>
      </c>
      <c r="AJ128" s="3" t="n">
        <v>6400.0</v>
      </c>
      <c r="AK128" s="3" t="n">
        <v>6392.0</v>
      </c>
      <c r="AL128" s="3" t="n">
        <v>6384.0</v>
      </c>
      <c r="AM128" s="3" t="n">
        <v>6375.0</v>
      </c>
      <c r="AN128" s="3" t="n">
        <v>6354.0</v>
      </c>
      <c r="AO128" s="3" t="n">
        <v>6327.0</v>
      </c>
    </row>
    <row r="129" spans="1:41" x14ac:dyDescent="0.2">
      <c r="A129" s="128"/>
      <c r="B129" s="9">
        <v>18</v>
      </c>
      <c r="C129" s="3" t="n">
        <v>11030.0</v>
      </c>
      <c r="D129" s="3" t="n">
        <v>11229.0</v>
      </c>
      <c r="E129" s="3" t="n">
        <v>11728.0</v>
      </c>
      <c r="F129" s="3" t="n">
        <v>12050.0</v>
      </c>
      <c r="G129" s="3" t="n">
        <v>13093.0</v>
      </c>
      <c r="H129" s="3" t="n">
        <v>13493.0</v>
      </c>
      <c r="I129" s="3" t="n">
        <v>13036.0</v>
      </c>
      <c r="J129" s="3" t="n">
        <v>12595.0</v>
      </c>
      <c r="K129" s="3" t="n">
        <v>12400.0</v>
      </c>
      <c r="L129" s="3" t="n">
        <v>11574.0</v>
      </c>
      <c r="M129" s="3" t="n">
        <v>11946.0</v>
      </c>
      <c r="N129" s="3" t="n">
        <v>11561.0</v>
      </c>
      <c r="O129" s="3" t="n">
        <v>12019.0</v>
      </c>
      <c r="P129" s="3" t="n">
        <v>12261.0</v>
      </c>
      <c r="Q129" s="3" t="n">
        <v>11990.0</v>
      </c>
      <c r="R129" s="3" t="n">
        <v>10944.0</v>
      </c>
      <c r="S129" s="3" t="n">
        <v>10563.0</v>
      </c>
      <c r="T129" s="3" t="n">
        <v>10107.0</v>
      </c>
      <c r="U129" s="3" t="n">
        <v>9097.0</v>
      </c>
      <c r="V129" s="3" t="n">
        <v>8541.0</v>
      </c>
      <c r="W129" s="3" t="n">
        <v>8263.0</v>
      </c>
      <c r="X129" s="3" t="n">
        <v>7964.0</v>
      </c>
      <c r="Y129" s="3" t="n">
        <v>7725.0</v>
      </c>
      <c r="Z129" s="3" t="n">
        <v>7480.0</v>
      </c>
      <c r="AA129" s="3" t="n">
        <v>7302.0</v>
      </c>
      <c r="AB129" s="3" t="n">
        <v>7110.0</v>
      </c>
      <c r="AC129" s="3" t="n">
        <v>6951.0</v>
      </c>
      <c r="AD129" s="3" t="n">
        <v>6824.0</v>
      </c>
      <c r="AE129" s="3" t="n">
        <v>6689.0</v>
      </c>
      <c r="AF129" s="3" t="n">
        <v>6588.0</v>
      </c>
      <c r="AG129" s="3" t="n">
        <v>6524.0</v>
      </c>
      <c r="AH129" s="3" t="n">
        <v>6460.0</v>
      </c>
      <c r="AI129" s="3" t="n">
        <v>6421.0</v>
      </c>
      <c r="AJ129" s="3" t="n">
        <v>6396.0</v>
      </c>
      <c r="AK129" s="3" t="n">
        <v>6392.0</v>
      </c>
      <c r="AL129" s="3" t="n">
        <v>6384.0</v>
      </c>
      <c r="AM129" s="3" t="n">
        <v>6375.0</v>
      </c>
      <c r="AN129" s="3" t="n">
        <v>6366.0</v>
      </c>
      <c r="AO129" s="3" t="n">
        <v>6345.0</v>
      </c>
    </row>
    <row r="130" spans="1:41" x14ac:dyDescent="0.2">
      <c r="A130" s="128"/>
      <c r="B130" s="9">
        <v>19</v>
      </c>
      <c r="C130" s="3" t="n">
        <v>10711.0</v>
      </c>
      <c r="D130" s="3" t="n">
        <v>11007.0</v>
      </c>
      <c r="E130" s="3" t="n">
        <v>11205.0</v>
      </c>
      <c r="F130" s="3" t="n">
        <v>11704.0</v>
      </c>
      <c r="G130" s="3" t="n">
        <v>12024.0</v>
      </c>
      <c r="H130" s="3" t="n">
        <v>13088.0</v>
      </c>
      <c r="I130" s="3" t="n">
        <v>13491.0</v>
      </c>
      <c r="J130" s="3" t="n">
        <v>13016.0</v>
      </c>
      <c r="K130" s="3" t="n">
        <v>12567.0</v>
      </c>
      <c r="L130" s="3" t="n">
        <v>12369.0</v>
      </c>
      <c r="M130" s="3" t="n">
        <v>11547.0</v>
      </c>
      <c r="N130" s="3" t="n">
        <v>11915.0</v>
      </c>
      <c r="O130" s="3" t="n">
        <v>11528.0</v>
      </c>
      <c r="P130" s="3" t="n">
        <v>11988.0</v>
      </c>
      <c r="Q130" s="3" t="n">
        <v>12232.0</v>
      </c>
      <c r="R130" s="3" t="n">
        <v>11959.0</v>
      </c>
      <c r="S130" s="3" t="n">
        <v>10916.0</v>
      </c>
      <c r="T130" s="3" t="n">
        <v>10533.0</v>
      </c>
      <c r="U130" s="3" t="n">
        <v>10080.0</v>
      </c>
      <c r="V130" s="3" t="n">
        <v>9070.0</v>
      </c>
      <c r="W130" s="3" t="n">
        <v>8519.0</v>
      </c>
      <c r="X130" s="3" t="n">
        <v>8242.0</v>
      </c>
      <c r="Y130" s="3" t="n">
        <v>7942.0</v>
      </c>
      <c r="Z130" s="3" t="n">
        <v>7702.0</v>
      </c>
      <c r="AA130" s="3" t="n">
        <v>7455.0</v>
      </c>
      <c r="AB130" s="3" t="n">
        <v>7278.0</v>
      </c>
      <c r="AC130" s="3" t="n">
        <v>7089.0</v>
      </c>
      <c r="AD130" s="3" t="n">
        <v>6928.0</v>
      </c>
      <c r="AE130" s="3" t="n">
        <v>6803.0</v>
      </c>
      <c r="AF130" s="3" t="n">
        <v>6665.0</v>
      </c>
      <c r="AG130" s="3" t="n">
        <v>6565.0</v>
      </c>
      <c r="AH130" s="3" t="n">
        <v>6500.0</v>
      </c>
      <c r="AI130" s="3" t="n">
        <v>6437.0</v>
      </c>
      <c r="AJ130" s="3" t="n">
        <v>6399.0</v>
      </c>
      <c r="AK130" s="3" t="n">
        <v>6374.0</v>
      </c>
      <c r="AL130" s="3" t="n">
        <v>6370.0</v>
      </c>
      <c r="AM130" s="3" t="n">
        <v>6361.0</v>
      </c>
      <c r="AN130" s="3" t="n">
        <v>6352.0</v>
      </c>
      <c r="AO130" s="3" t="n">
        <v>6342.0</v>
      </c>
    </row>
    <row r="131" spans="1:41" x14ac:dyDescent="0.2">
      <c r="A131" s="128"/>
      <c r="B131" s="9">
        <v>20</v>
      </c>
      <c r="C131" s="3" t="n">
        <v>10787.0</v>
      </c>
      <c r="D131" s="3" t="n">
        <v>10676.0</v>
      </c>
      <c r="E131" s="3" t="n">
        <v>10977.0</v>
      </c>
      <c r="F131" s="3" t="n">
        <v>11174.0</v>
      </c>
      <c r="G131" s="3" t="n">
        <v>11676.0</v>
      </c>
      <c r="H131" s="3" t="n">
        <v>11996.0</v>
      </c>
      <c r="I131" s="3" t="n">
        <v>13061.0</v>
      </c>
      <c r="J131" s="3" t="n">
        <v>13459.0</v>
      </c>
      <c r="K131" s="3" t="n">
        <v>12978.0</v>
      </c>
      <c r="L131" s="3" t="n">
        <v>12529.0</v>
      </c>
      <c r="M131" s="3" t="n">
        <v>12332.0</v>
      </c>
      <c r="N131" s="3" t="n">
        <v>11516.0</v>
      </c>
      <c r="O131" s="3" t="n">
        <v>11883.0</v>
      </c>
      <c r="P131" s="3" t="n">
        <v>11497.0</v>
      </c>
      <c r="Q131" s="3" t="n">
        <v>11956.0</v>
      </c>
      <c r="R131" s="3" t="n">
        <v>12194.0</v>
      </c>
      <c r="S131" s="3" t="n">
        <v>11923.0</v>
      </c>
      <c r="T131" s="3" t="n">
        <v>10885.0</v>
      </c>
      <c r="U131" s="3" t="n">
        <v>10504.0</v>
      </c>
      <c r="V131" s="3" t="n">
        <v>10047.0</v>
      </c>
      <c r="W131" s="3" t="n">
        <v>9037.0</v>
      </c>
      <c r="X131" s="3" t="n">
        <v>8487.0</v>
      </c>
      <c r="Y131" s="3" t="n">
        <v>8211.0</v>
      </c>
      <c r="Z131" s="3" t="n">
        <v>7914.0</v>
      </c>
      <c r="AA131" s="3" t="n">
        <v>7675.0</v>
      </c>
      <c r="AB131" s="3" t="n">
        <v>7430.0</v>
      </c>
      <c r="AC131" s="3" t="n">
        <v>7254.0</v>
      </c>
      <c r="AD131" s="3" t="n">
        <v>7066.0</v>
      </c>
      <c r="AE131" s="3" t="n">
        <v>6907.0</v>
      </c>
      <c r="AF131" s="3" t="n">
        <v>6781.0</v>
      </c>
      <c r="AG131" s="3" t="n">
        <v>6643.0</v>
      </c>
      <c r="AH131" s="3" t="n">
        <v>6543.0</v>
      </c>
      <c r="AI131" s="3" t="n">
        <v>6477.0</v>
      </c>
      <c r="AJ131" s="3" t="n">
        <v>6414.0</v>
      </c>
      <c r="AK131" s="3" t="n">
        <v>6377.0</v>
      </c>
      <c r="AL131" s="3" t="n">
        <v>6352.0</v>
      </c>
      <c r="AM131" s="3" t="n">
        <v>6348.0</v>
      </c>
      <c r="AN131" s="3" t="n">
        <v>6338.0</v>
      </c>
      <c r="AO131" s="3" t="n">
        <v>6329.0</v>
      </c>
    </row>
    <row r="132" spans="1:41" x14ac:dyDescent="0.2">
      <c r="A132" s="128"/>
      <c r="B132" s="9">
        <v>21</v>
      </c>
      <c r="C132" s="3" t="n">
        <v>11082.0</v>
      </c>
      <c r="D132" s="3" t="n">
        <v>10772.0</v>
      </c>
      <c r="E132" s="3" t="n">
        <v>10660.0</v>
      </c>
      <c r="F132" s="3" t="n">
        <v>10961.0</v>
      </c>
      <c r="G132" s="3" t="n">
        <v>11157.0</v>
      </c>
      <c r="H132" s="3" t="n">
        <v>11669.0</v>
      </c>
      <c r="I132" s="3" t="n">
        <v>11988.0</v>
      </c>
      <c r="J132" s="3" t="n">
        <v>13047.0</v>
      </c>
      <c r="K132" s="3" t="n">
        <v>13440.0</v>
      </c>
      <c r="L132" s="3" t="n">
        <v>12958.0</v>
      </c>
      <c r="M132" s="3" t="n">
        <v>12508.0</v>
      </c>
      <c r="N132" s="3" t="n">
        <v>12311.0</v>
      </c>
      <c r="O132" s="3" t="n">
        <v>11494.0</v>
      </c>
      <c r="P132" s="3" t="n">
        <v>11863.0</v>
      </c>
      <c r="Q132" s="3" t="n">
        <v>11479.0</v>
      </c>
      <c r="R132" s="3" t="n">
        <v>11935.0</v>
      </c>
      <c r="S132" s="3" t="n">
        <v>12172.0</v>
      </c>
      <c r="T132" s="3" t="n">
        <v>11901.0</v>
      </c>
      <c r="U132" s="3" t="n">
        <v>10870.0</v>
      </c>
      <c r="V132" s="3" t="n">
        <v>10492.0</v>
      </c>
      <c r="W132" s="3" t="n">
        <v>10035.0</v>
      </c>
      <c r="X132" s="3" t="n">
        <v>9025.0</v>
      </c>
      <c r="Y132" s="3" t="n">
        <v>8477.0</v>
      </c>
      <c r="Z132" s="3" t="n">
        <v>8204.0</v>
      </c>
      <c r="AA132" s="3" t="n">
        <v>7907.0</v>
      </c>
      <c r="AB132" s="3" t="n">
        <v>7670.0</v>
      </c>
      <c r="AC132" s="3" t="n">
        <v>7422.0</v>
      </c>
      <c r="AD132" s="3" t="n">
        <v>7247.0</v>
      </c>
      <c r="AE132" s="3" t="n">
        <v>7061.0</v>
      </c>
      <c r="AF132" s="3" t="n">
        <v>6901.0</v>
      </c>
      <c r="AG132" s="3" t="n">
        <v>6776.0</v>
      </c>
      <c r="AH132" s="3" t="n">
        <v>6636.0</v>
      </c>
      <c r="AI132" s="3" t="n">
        <v>6536.0</v>
      </c>
      <c r="AJ132" s="3" t="n">
        <v>6469.0</v>
      </c>
      <c r="AK132" s="3" t="n">
        <v>6404.0</v>
      </c>
      <c r="AL132" s="3" t="n">
        <v>6366.0</v>
      </c>
      <c r="AM132" s="3" t="n">
        <v>6343.0</v>
      </c>
      <c r="AN132" s="3" t="n">
        <v>6339.0</v>
      </c>
      <c r="AO132" s="3" t="n">
        <v>6329.0</v>
      </c>
    </row>
    <row r="133" spans="1:41" x14ac:dyDescent="0.2">
      <c r="A133" s="128"/>
      <c r="B133" s="9">
        <v>22</v>
      </c>
      <c r="C133" s="3" t="n">
        <v>11500.0</v>
      </c>
      <c r="D133" s="3" t="n">
        <v>11063.0</v>
      </c>
      <c r="E133" s="3" t="n">
        <v>10756.0</v>
      </c>
      <c r="F133" s="3" t="n">
        <v>10642.0</v>
      </c>
      <c r="G133" s="3" t="n">
        <v>10939.0</v>
      </c>
      <c r="H133" s="3" t="n">
        <v>11146.0</v>
      </c>
      <c r="I133" s="3" t="n">
        <v>11660.0</v>
      </c>
      <c r="J133" s="3" t="n">
        <v>11971.0</v>
      </c>
      <c r="K133" s="3" t="n">
        <v>13025.0</v>
      </c>
      <c r="L133" s="3" t="n">
        <v>13421.0</v>
      </c>
      <c r="M133" s="3" t="n">
        <v>12940.0</v>
      </c>
      <c r="N133" s="3" t="n">
        <v>12490.0</v>
      </c>
      <c r="O133" s="3" t="n">
        <v>12293.0</v>
      </c>
      <c r="P133" s="3" t="n">
        <v>11475.0</v>
      </c>
      <c r="Q133" s="3" t="n">
        <v>11847.0</v>
      </c>
      <c r="R133" s="3" t="n">
        <v>11463.0</v>
      </c>
      <c r="S133" s="3" t="n">
        <v>11919.0</v>
      </c>
      <c r="T133" s="3" t="n">
        <v>12156.0</v>
      </c>
      <c r="U133" s="3" t="n">
        <v>11883.0</v>
      </c>
      <c r="V133" s="3" t="n">
        <v>10851.0</v>
      </c>
      <c r="W133" s="3" t="n">
        <v>10471.0</v>
      </c>
      <c r="X133" s="3" t="n">
        <v>10020.0</v>
      </c>
      <c r="Y133" s="3" t="n">
        <v>9010.0</v>
      </c>
      <c r="Z133" s="3" t="n">
        <v>8464.0</v>
      </c>
      <c r="AA133" s="3" t="n">
        <v>8191.0</v>
      </c>
      <c r="AB133" s="3" t="n">
        <v>7889.0</v>
      </c>
      <c r="AC133" s="3" t="n">
        <v>7653.0</v>
      </c>
      <c r="AD133" s="3" t="n">
        <v>7406.0</v>
      </c>
      <c r="AE133" s="3" t="n">
        <v>7230.0</v>
      </c>
      <c r="AF133" s="3" t="n">
        <v>7044.0</v>
      </c>
      <c r="AG133" s="3" t="n">
        <v>6885.0</v>
      </c>
      <c r="AH133" s="3" t="n">
        <v>6760.0</v>
      </c>
      <c r="AI133" s="3" t="n">
        <v>6620.0</v>
      </c>
      <c r="AJ133" s="3" t="n">
        <v>6521.0</v>
      </c>
      <c r="AK133" s="3" t="n">
        <v>6454.0</v>
      </c>
      <c r="AL133" s="3" t="n">
        <v>6389.0</v>
      </c>
      <c r="AM133" s="3" t="n">
        <v>6350.0</v>
      </c>
      <c r="AN133" s="3" t="n">
        <v>6327.0</v>
      </c>
      <c r="AO133" s="3" t="n">
        <v>6322.0</v>
      </c>
    </row>
    <row r="134" spans="1:41" x14ac:dyDescent="0.2">
      <c r="A134" s="128"/>
      <c r="B134" s="9">
        <v>23</v>
      </c>
      <c r="C134" s="3" t="n">
        <v>11512.0</v>
      </c>
      <c r="D134" s="3" t="n">
        <v>11483.0</v>
      </c>
      <c r="E134" s="3" t="n">
        <v>11043.0</v>
      </c>
      <c r="F134" s="3" t="n">
        <v>10737.0</v>
      </c>
      <c r="G134" s="3" t="n">
        <v>10623.0</v>
      </c>
      <c r="H134" s="3" t="n">
        <v>10924.0</v>
      </c>
      <c r="I134" s="3" t="n">
        <v>11138.0</v>
      </c>
      <c r="J134" s="3" t="n">
        <v>11644.0</v>
      </c>
      <c r="K134" s="3" t="n">
        <v>11955.0</v>
      </c>
      <c r="L134" s="3" t="n">
        <v>13004.0</v>
      </c>
      <c r="M134" s="3" t="n">
        <v>13401.0</v>
      </c>
      <c r="N134" s="3" t="n">
        <v>12920.0</v>
      </c>
      <c r="O134" s="3" t="n">
        <v>12470.0</v>
      </c>
      <c r="P134" s="3" t="n">
        <v>12272.0</v>
      </c>
      <c r="Q134" s="3" t="n">
        <v>11455.0</v>
      </c>
      <c r="R134" s="3" t="n">
        <v>11828.0</v>
      </c>
      <c r="S134" s="3" t="n">
        <v>11445.0</v>
      </c>
      <c r="T134" s="3" t="n">
        <v>11899.0</v>
      </c>
      <c r="U134" s="3" t="n">
        <v>12139.0</v>
      </c>
      <c r="V134" s="3" t="n">
        <v>11865.0</v>
      </c>
      <c r="W134" s="3" t="n">
        <v>10832.0</v>
      </c>
      <c r="X134" s="3" t="n">
        <v>10456.0</v>
      </c>
      <c r="Y134" s="3" t="n">
        <v>10006.0</v>
      </c>
      <c r="Z134" s="3" t="n">
        <v>8996.0</v>
      </c>
      <c r="AA134" s="3" t="n">
        <v>8451.0</v>
      </c>
      <c r="AB134" s="3" t="n">
        <v>8182.0</v>
      </c>
      <c r="AC134" s="3" t="n">
        <v>7880.0</v>
      </c>
      <c r="AD134" s="3" t="n">
        <v>7645.0</v>
      </c>
      <c r="AE134" s="3" t="n">
        <v>7399.0</v>
      </c>
      <c r="AF134" s="3" t="n">
        <v>7221.0</v>
      </c>
      <c r="AG134" s="3" t="n">
        <v>7037.0</v>
      </c>
      <c r="AH134" s="3" t="n">
        <v>6876.0</v>
      </c>
      <c r="AI134" s="3" t="n">
        <v>6751.0</v>
      </c>
      <c r="AJ134" s="3" t="n">
        <v>6608.0</v>
      </c>
      <c r="AK134" s="3" t="n">
        <v>6510.0</v>
      </c>
      <c r="AL134" s="3" t="n">
        <v>6444.0</v>
      </c>
      <c r="AM134" s="3" t="n">
        <v>6379.0</v>
      </c>
      <c r="AN134" s="3" t="n">
        <v>6340.0</v>
      </c>
      <c r="AO134" s="3" t="n">
        <v>6316.0</v>
      </c>
    </row>
    <row r="135" spans="1:41" x14ac:dyDescent="0.2">
      <c r="A135" s="128"/>
      <c r="B135" s="9">
        <v>24</v>
      </c>
      <c r="C135" s="3" t="n">
        <v>11636.0</v>
      </c>
      <c r="D135" s="3" t="n">
        <v>11498.0</v>
      </c>
      <c r="E135" s="3" t="n">
        <v>11467.0</v>
      </c>
      <c r="F135" s="3" t="n">
        <v>11028.0</v>
      </c>
      <c r="G135" s="3" t="n">
        <v>10721.0</v>
      </c>
      <c r="H135" s="3" t="n">
        <v>10612.0</v>
      </c>
      <c r="I135" s="3" t="n">
        <v>10918.0</v>
      </c>
      <c r="J135" s="3" t="n">
        <v>11127.0</v>
      </c>
      <c r="K135" s="3" t="n">
        <v>11625.0</v>
      </c>
      <c r="L135" s="3" t="n">
        <v>11937.0</v>
      </c>
      <c r="M135" s="3" t="n">
        <v>12985.0</v>
      </c>
      <c r="N135" s="3" t="n">
        <v>13381.0</v>
      </c>
      <c r="O135" s="3" t="n">
        <v>12904.0</v>
      </c>
      <c r="P135" s="3" t="n">
        <v>12453.0</v>
      </c>
      <c r="Q135" s="3" t="n">
        <v>12255.0</v>
      </c>
      <c r="R135" s="3" t="n">
        <v>11434.0</v>
      </c>
      <c r="S135" s="3" t="n">
        <v>11809.0</v>
      </c>
      <c r="T135" s="3" t="n">
        <v>11429.0</v>
      </c>
      <c r="U135" s="3" t="n">
        <v>11883.0</v>
      </c>
      <c r="V135" s="3" t="n">
        <v>12122.0</v>
      </c>
      <c r="W135" s="3" t="n">
        <v>11847.0</v>
      </c>
      <c r="X135" s="3" t="n">
        <v>10817.0</v>
      </c>
      <c r="Y135" s="3" t="n">
        <v>10441.0</v>
      </c>
      <c r="Z135" s="3" t="n">
        <v>9992.0</v>
      </c>
      <c r="AA135" s="3" t="n">
        <v>8983.0</v>
      </c>
      <c r="AB135" s="3" t="n">
        <v>8440.0</v>
      </c>
      <c r="AC135" s="3" t="n">
        <v>8175.0</v>
      </c>
      <c r="AD135" s="3" t="n">
        <v>7873.0</v>
      </c>
      <c r="AE135" s="3" t="n">
        <v>7640.0</v>
      </c>
      <c r="AF135" s="3" t="n">
        <v>7394.0</v>
      </c>
      <c r="AG135" s="3" t="n">
        <v>7214.0</v>
      </c>
      <c r="AH135" s="3" t="n">
        <v>7027.0</v>
      </c>
      <c r="AI135" s="3" t="n">
        <v>6866.0</v>
      </c>
      <c r="AJ135" s="3" t="n">
        <v>6740.0</v>
      </c>
      <c r="AK135" s="3" t="n">
        <v>6597.0</v>
      </c>
      <c r="AL135" s="3" t="n">
        <v>6500.0</v>
      </c>
      <c r="AM135" s="3" t="n">
        <v>6435.0</v>
      </c>
      <c r="AN135" s="3" t="n">
        <v>6370.0</v>
      </c>
      <c r="AO135" s="3" t="n">
        <v>6331.0</v>
      </c>
    </row>
    <row r="136" spans="1:41" x14ac:dyDescent="0.2">
      <c r="A136" s="128"/>
      <c r="B136" s="9">
        <v>25</v>
      </c>
      <c r="C136" s="3" t="n">
        <v>12255.0</v>
      </c>
      <c r="D136" s="3" t="n">
        <v>11616.0</v>
      </c>
      <c r="E136" s="3" t="n">
        <v>11473.0</v>
      </c>
      <c r="F136" s="3" t="n">
        <v>11442.0</v>
      </c>
      <c r="G136" s="3" t="n">
        <v>11004.0</v>
      </c>
      <c r="H136" s="3" t="n">
        <v>10708.0</v>
      </c>
      <c r="I136" s="3" t="n">
        <v>10595.0</v>
      </c>
      <c r="J136" s="3" t="n">
        <v>10895.0</v>
      </c>
      <c r="K136" s="3" t="n">
        <v>11109.0</v>
      </c>
      <c r="L136" s="3" t="n">
        <v>11602.0</v>
      </c>
      <c r="M136" s="3" t="n">
        <v>11915.0</v>
      </c>
      <c r="N136" s="3" t="n">
        <v>12966.0</v>
      </c>
      <c r="O136" s="3" t="n">
        <v>13358.0</v>
      </c>
      <c r="P136" s="3" t="n">
        <v>12882.0</v>
      </c>
      <c r="Q136" s="3" t="n">
        <v>12434.0</v>
      </c>
      <c r="R136" s="3" t="n">
        <v>12232.0</v>
      </c>
      <c r="S136" s="3" t="n">
        <v>11412.0</v>
      </c>
      <c r="T136" s="3" t="n">
        <v>11788.0</v>
      </c>
      <c r="U136" s="3" t="n">
        <v>11405.0</v>
      </c>
      <c r="V136" s="3" t="n">
        <v>11860.0</v>
      </c>
      <c r="W136" s="3" t="n">
        <v>12097.0</v>
      </c>
      <c r="X136" s="3" t="n">
        <v>11825.0</v>
      </c>
      <c r="Y136" s="3" t="n">
        <v>10798.0</v>
      </c>
      <c r="Z136" s="3" t="n">
        <v>10424.0</v>
      </c>
      <c r="AA136" s="3" t="n">
        <v>9970.0</v>
      </c>
      <c r="AB136" s="3" t="n">
        <v>8963.0</v>
      </c>
      <c r="AC136" s="3" t="n">
        <v>8423.0</v>
      </c>
      <c r="AD136" s="3" t="n">
        <v>8163.0</v>
      </c>
      <c r="AE136" s="3" t="n">
        <v>7862.0</v>
      </c>
      <c r="AF136" s="3" t="n">
        <v>7629.0</v>
      </c>
      <c r="AG136" s="3" t="n">
        <v>7384.0</v>
      </c>
      <c r="AH136" s="3" t="n">
        <v>7203.0</v>
      </c>
      <c r="AI136" s="3" t="n">
        <v>7018.0</v>
      </c>
      <c r="AJ136" s="3" t="n">
        <v>6856.0</v>
      </c>
      <c r="AK136" s="3" t="n">
        <v>6729.0</v>
      </c>
      <c r="AL136" s="3" t="n">
        <v>6588.0</v>
      </c>
      <c r="AM136" s="3" t="n">
        <v>6489.0</v>
      </c>
      <c r="AN136" s="3" t="n">
        <v>6424.0</v>
      </c>
      <c r="AO136" s="3" t="n">
        <v>6360.0</v>
      </c>
    </row>
    <row r="137" spans="1:41" x14ac:dyDescent="0.2">
      <c r="A137" s="128"/>
      <c r="B137" s="9">
        <v>26</v>
      </c>
      <c r="C137" s="3" t="n">
        <v>13081.0</v>
      </c>
      <c r="D137" s="3" t="n">
        <v>12220.0</v>
      </c>
      <c r="E137" s="3" t="n">
        <v>11587.0</v>
      </c>
      <c r="F137" s="3" t="n">
        <v>11443.0</v>
      </c>
      <c r="G137" s="3" t="n">
        <v>11409.0</v>
      </c>
      <c r="H137" s="3" t="n">
        <v>10979.0</v>
      </c>
      <c r="I137" s="3" t="n">
        <v>10687.0</v>
      </c>
      <c r="J137" s="3" t="n">
        <v>10565.0</v>
      </c>
      <c r="K137" s="3" t="n">
        <v>10865.0</v>
      </c>
      <c r="L137" s="3" t="n">
        <v>11078.0</v>
      </c>
      <c r="M137" s="3" t="n">
        <v>11566.0</v>
      </c>
      <c r="N137" s="3" t="n">
        <v>11876.0</v>
      </c>
      <c r="O137" s="3" t="n">
        <v>12921.0</v>
      </c>
      <c r="P137" s="3" t="n">
        <v>13313.0</v>
      </c>
      <c r="Q137" s="3" t="n">
        <v>12841.0</v>
      </c>
      <c r="R137" s="3" t="n">
        <v>12395.0</v>
      </c>
      <c r="S137" s="3" t="n">
        <v>12192.0</v>
      </c>
      <c r="T137" s="3" t="n">
        <v>11379.0</v>
      </c>
      <c r="U137" s="3" t="n">
        <v>11756.0</v>
      </c>
      <c r="V137" s="3" t="n">
        <v>11374.0</v>
      </c>
      <c r="W137" s="3" t="n">
        <v>11826.0</v>
      </c>
      <c r="X137" s="3" t="n">
        <v>12057.0</v>
      </c>
      <c r="Y137" s="3" t="n">
        <v>11787.0</v>
      </c>
      <c r="Z137" s="3" t="n">
        <v>10764.0</v>
      </c>
      <c r="AA137" s="3" t="n">
        <v>10391.0</v>
      </c>
      <c r="AB137" s="3" t="n">
        <v>9936.0</v>
      </c>
      <c r="AC137" s="3" t="n">
        <v>8939.0</v>
      </c>
      <c r="AD137" s="3" t="n">
        <v>8394.0</v>
      </c>
      <c r="AE137" s="3" t="n">
        <v>8134.0</v>
      </c>
      <c r="AF137" s="3" t="n">
        <v>7833.0</v>
      </c>
      <c r="AG137" s="3" t="n">
        <v>7599.0</v>
      </c>
      <c r="AH137" s="3" t="n">
        <v>7356.0</v>
      </c>
      <c r="AI137" s="3" t="n">
        <v>7179.0</v>
      </c>
      <c r="AJ137" s="3" t="n">
        <v>6992.0</v>
      </c>
      <c r="AK137" s="3" t="n">
        <v>6830.0</v>
      </c>
      <c r="AL137" s="3" t="n">
        <v>6704.0</v>
      </c>
      <c r="AM137" s="3" t="n">
        <v>6564.0</v>
      </c>
      <c r="AN137" s="3" t="n">
        <v>6464.0</v>
      </c>
      <c r="AO137" s="3" t="n">
        <v>6400.0</v>
      </c>
    </row>
    <row r="138" spans="1:41" x14ac:dyDescent="0.2">
      <c r="A138" s="128"/>
      <c r="B138" s="9">
        <v>27</v>
      </c>
      <c r="C138" s="3" t="n">
        <v>13058.0</v>
      </c>
      <c r="D138" s="3" t="n">
        <v>13035.0</v>
      </c>
      <c r="E138" s="3" t="n">
        <v>12173.0</v>
      </c>
      <c r="F138" s="3" t="n">
        <v>11543.0</v>
      </c>
      <c r="G138" s="3" t="n">
        <v>11398.0</v>
      </c>
      <c r="H138" s="3" t="n">
        <v>11366.0</v>
      </c>
      <c r="I138" s="3" t="n">
        <v>10948.0</v>
      </c>
      <c r="J138" s="3" t="n">
        <v>10652.0</v>
      </c>
      <c r="K138" s="3" t="n">
        <v>10529.0</v>
      </c>
      <c r="L138" s="3" t="n">
        <v>10825.0</v>
      </c>
      <c r="M138" s="3" t="n">
        <v>11038.0</v>
      </c>
      <c r="N138" s="3" t="n">
        <v>11523.0</v>
      </c>
      <c r="O138" s="3" t="n">
        <v>11829.0</v>
      </c>
      <c r="P138" s="3" t="n">
        <v>12865.0</v>
      </c>
      <c r="Q138" s="3" t="n">
        <v>13263.0</v>
      </c>
      <c r="R138" s="3" t="n">
        <v>12794.0</v>
      </c>
      <c r="S138" s="3" t="n">
        <v>12346.0</v>
      </c>
      <c r="T138" s="3" t="n">
        <v>12141.0</v>
      </c>
      <c r="U138" s="3" t="n">
        <v>11335.0</v>
      </c>
      <c r="V138" s="3" t="n">
        <v>11712.0</v>
      </c>
      <c r="W138" s="3" t="n">
        <v>11326.0</v>
      </c>
      <c r="X138" s="3" t="n">
        <v>11782.0</v>
      </c>
      <c r="Y138" s="3" t="n">
        <v>12015.0</v>
      </c>
      <c r="Z138" s="3" t="n">
        <v>11744.0</v>
      </c>
      <c r="AA138" s="3" t="n">
        <v>10724.0</v>
      </c>
      <c r="AB138" s="3" t="n">
        <v>10353.0</v>
      </c>
      <c r="AC138" s="3" t="n">
        <v>9896.0</v>
      </c>
      <c r="AD138" s="3" t="n">
        <v>8908.0</v>
      </c>
      <c r="AE138" s="3" t="n">
        <v>8371.0</v>
      </c>
      <c r="AF138" s="3" t="n">
        <v>8113.0</v>
      </c>
      <c r="AG138" s="3" t="n">
        <v>7809.0</v>
      </c>
      <c r="AH138" s="3" t="n">
        <v>7577.0</v>
      </c>
      <c r="AI138" s="3" t="n">
        <v>7332.0</v>
      </c>
      <c r="AJ138" s="3" t="n">
        <v>7156.0</v>
      </c>
      <c r="AK138" s="3" t="n">
        <v>6970.0</v>
      </c>
      <c r="AL138" s="3" t="n">
        <v>6807.0</v>
      </c>
      <c r="AM138" s="3" t="n">
        <v>6682.0</v>
      </c>
      <c r="AN138" s="3" t="n">
        <v>6540.0</v>
      </c>
      <c r="AO138" s="3" t="n">
        <v>6440.0</v>
      </c>
    </row>
    <row r="139" spans="1:41" x14ac:dyDescent="0.2">
      <c r="A139" s="128"/>
      <c r="B139" s="9">
        <v>28</v>
      </c>
      <c r="C139" s="3" t="n">
        <v>13734.0</v>
      </c>
      <c r="D139" s="3" t="n">
        <v>13015.0</v>
      </c>
      <c r="E139" s="3" t="n">
        <v>12991.0</v>
      </c>
      <c r="F139" s="3" t="n">
        <v>12130.0</v>
      </c>
      <c r="G139" s="3" t="n">
        <v>11503.0</v>
      </c>
      <c r="H139" s="3" t="n">
        <v>11362.0</v>
      </c>
      <c r="I139" s="3" t="n">
        <v>11332.0</v>
      </c>
      <c r="J139" s="3" t="n">
        <v>10910.0</v>
      </c>
      <c r="K139" s="3" t="n">
        <v>10614.0</v>
      </c>
      <c r="L139" s="3" t="n">
        <v>10491.0</v>
      </c>
      <c r="M139" s="3" t="n">
        <v>10787.0</v>
      </c>
      <c r="N139" s="3" t="n">
        <v>10997.0</v>
      </c>
      <c r="O139" s="3" t="n">
        <v>11479.0</v>
      </c>
      <c r="P139" s="3" t="n">
        <v>11789.0</v>
      </c>
      <c r="Q139" s="3" t="n">
        <v>12817.0</v>
      </c>
      <c r="R139" s="3" t="n">
        <v>13211.0</v>
      </c>
      <c r="S139" s="3" t="n">
        <v>12748.0</v>
      </c>
      <c r="T139" s="3" t="n">
        <v>12304.0</v>
      </c>
      <c r="U139" s="3" t="n">
        <v>12101.0</v>
      </c>
      <c r="V139" s="3" t="n">
        <v>11295.0</v>
      </c>
      <c r="W139" s="3" t="n">
        <v>11674.0</v>
      </c>
      <c r="X139" s="3" t="n">
        <v>11289.0</v>
      </c>
      <c r="Y139" s="3" t="n">
        <v>11746.0</v>
      </c>
      <c r="Z139" s="3" t="n">
        <v>11974.0</v>
      </c>
      <c r="AA139" s="3" t="n">
        <v>11701.0</v>
      </c>
      <c r="AB139" s="3" t="n">
        <v>10686.0</v>
      </c>
      <c r="AC139" s="3" t="n">
        <v>10318.0</v>
      </c>
      <c r="AD139" s="3" t="n">
        <v>9861.0</v>
      </c>
      <c r="AE139" s="3" t="n">
        <v>8877.0</v>
      </c>
      <c r="AF139" s="3" t="n">
        <v>8344.0</v>
      </c>
      <c r="AG139" s="3" t="n">
        <v>8092.0</v>
      </c>
      <c r="AH139" s="3" t="n">
        <v>7787.0</v>
      </c>
      <c r="AI139" s="3" t="n">
        <v>7559.0</v>
      </c>
      <c r="AJ139" s="3" t="n">
        <v>7315.0</v>
      </c>
      <c r="AK139" s="3" t="n">
        <v>7137.0</v>
      </c>
      <c r="AL139" s="3" t="n">
        <v>6950.0</v>
      </c>
      <c r="AM139" s="3" t="n">
        <v>6785.0</v>
      </c>
      <c r="AN139" s="3" t="n">
        <v>6660.0</v>
      </c>
      <c r="AO139" s="3" t="n">
        <v>6516.0</v>
      </c>
    </row>
    <row r="140" spans="1:41" x14ac:dyDescent="0.2">
      <c r="A140" s="128"/>
      <c r="B140" s="9">
        <v>29</v>
      </c>
      <c r="C140" s="3" t="n">
        <v>14504.0</v>
      </c>
      <c r="D140" s="3" t="n">
        <v>13677.0</v>
      </c>
      <c r="E140" s="3" t="n">
        <v>12960.0</v>
      </c>
      <c r="F140" s="3" t="n">
        <v>12930.0</v>
      </c>
      <c r="G140" s="3" t="n">
        <v>12079.0</v>
      </c>
      <c r="H140" s="3" t="n">
        <v>11462.0</v>
      </c>
      <c r="I140" s="3" t="n">
        <v>11320.0</v>
      </c>
      <c r="J140" s="3" t="n">
        <v>11293.0</v>
      </c>
      <c r="K140" s="3" t="n">
        <v>10870.0</v>
      </c>
      <c r="L140" s="3" t="n">
        <v>10572.0</v>
      </c>
      <c r="M140" s="3" t="n">
        <v>10445.0</v>
      </c>
      <c r="N140" s="3" t="n">
        <v>10745.0</v>
      </c>
      <c r="O140" s="3" t="n">
        <v>10955.0</v>
      </c>
      <c r="P140" s="3" t="n">
        <v>11430.0</v>
      </c>
      <c r="Q140" s="3" t="n">
        <v>11739.0</v>
      </c>
      <c r="R140" s="3" t="n">
        <v>12759.0</v>
      </c>
      <c r="S140" s="3" t="n">
        <v>13152.0</v>
      </c>
      <c r="T140" s="3" t="n">
        <v>12689.0</v>
      </c>
      <c r="U140" s="3" t="n">
        <v>12246.0</v>
      </c>
      <c r="V140" s="3" t="n">
        <v>12045.0</v>
      </c>
      <c r="W140" s="3" t="n">
        <v>11245.0</v>
      </c>
      <c r="X140" s="3" t="n">
        <v>11628.0</v>
      </c>
      <c r="Y140" s="3" t="n">
        <v>11241.0</v>
      </c>
      <c r="Z140" s="3" t="n">
        <v>11696.0</v>
      </c>
      <c r="AA140" s="3" t="n">
        <v>11924.0</v>
      </c>
      <c r="AB140" s="3" t="n">
        <v>11651.0</v>
      </c>
      <c r="AC140" s="3" t="n">
        <v>10643.0</v>
      </c>
      <c r="AD140" s="3" t="n">
        <v>10271.0</v>
      </c>
      <c r="AE140" s="3" t="n">
        <v>9820.0</v>
      </c>
      <c r="AF140" s="3" t="n">
        <v>8837.0</v>
      </c>
      <c r="AG140" s="3" t="n">
        <v>8308.0</v>
      </c>
      <c r="AH140" s="3" t="n">
        <v>8060.0</v>
      </c>
      <c r="AI140" s="3" t="n">
        <v>7756.0</v>
      </c>
      <c r="AJ140" s="3" t="n">
        <v>7531.0</v>
      </c>
      <c r="AK140" s="3" t="n">
        <v>7286.0</v>
      </c>
      <c r="AL140" s="3" t="n">
        <v>7110.0</v>
      </c>
      <c r="AM140" s="3" t="n">
        <v>6924.0</v>
      </c>
      <c r="AN140" s="3" t="n">
        <v>6761.0</v>
      </c>
      <c r="AO140" s="3" t="n">
        <v>6635.0</v>
      </c>
    </row>
    <row r="141" spans="1:41" x14ac:dyDescent="0.2">
      <c r="A141" s="128"/>
      <c r="B141" s="9">
        <v>30</v>
      </c>
      <c r="C141" s="3" t="n">
        <v>14911.0</v>
      </c>
      <c r="D141" s="3" t="n">
        <v>14432.0</v>
      </c>
      <c r="E141" s="3" t="n">
        <v>13609.0</v>
      </c>
      <c r="F141" s="3" t="n">
        <v>12898.0</v>
      </c>
      <c r="G141" s="3" t="n">
        <v>12871.0</v>
      </c>
      <c r="H141" s="3" t="n">
        <v>12026.0</v>
      </c>
      <c r="I141" s="3" t="n">
        <v>11415.0</v>
      </c>
      <c r="J141" s="3" t="n">
        <v>11264.0</v>
      </c>
      <c r="K141" s="3" t="n">
        <v>11238.0</v>
      </c>
      <c r="L141" s="3" t="n">
        <v>10815.0</v>
      </c>
      <c r="M141" s="3" t="n">
        <v>10523.0</v>
      </c>
      <c r="N141" s="3" t="n">
        <v>10397.0</v>
      </c>
      <c r="O141" s="3" t="n">
        <v>10692.0</v>
      </c>
      <c r="P141" s="3" t="n">
        <v>10899.0</v>
      </c>
      <c r="Q141" s="3" t="n">
        <v>11375.0</v>
      </c>
      <c r="R141" s="3" t="n">
        <v>11674.0</v>
      </c>
      <c r="S141" s="3" t="n">
        <v>12693.0</v>
      </c>
      <c r="T141" s="3" t="n">
        <v>13079.0</v>
      </c>
      <c r="U141" s="3" t="n">
        <v>12618.0</v>
      </c>
      <c r="V141" s="3" t="n">
        <v>12186.0</v>
      </c>
      <c r="W141" s="3" t="n">
        <v>11985.0</v>
      </c>
      <c r="X141" s="3" t="n">
        <v>11188.0</v>
      </c>
      <c r="Y141" s="3" t="n">
        <v>11569.0</v>
      </c>
      <c r="Z141" s="3" t="n">
        <v>11184.0</v>
      </c>
      <c r="AA141" s="3" t="n">
        <v>11634.0</v>
      </c>
      <c r="AB141" s="3" t="n">
        <v>11863.0</v>
      </c>
      <c r="AC141" s="3" t="n">
        <v>11594.0</v>
      </c>
      <c r="AD141" s="3" t="n">
        <v>10592.0</v>
      </c>
      <c r="AE141" s="3" t="n">
        <v>10219.0</v>
      </c>
      <c r="AF141" s="3" t="n">
        <v>9777.0</v>
      </c>
      <c r="AG141" s="3" t="n">
        <v>8796.0</v>
      </c>
      <c r="AH141" s="3" t="n">
        <v>8269.0</v>
      </c>
      <c r="AI141" s="3" t="n">
        <v>8026.0</v>
      </c>
      <c r="AJ141" s="3" t="n">
        <v>7721.0</v>
      </c>
      <c r="AK141" s="3" t="n">
        <v>7500.0</v>
      </c>
      <c r="AL141" s="3" t="n">
        <v>7258.0</v>
      </c>
      <c r="AM141" s="3" t="n">
        <v>7078.0</v>
      </c>
      <c r="AN141" s="3" t="n">
        <v>6892.0</v>
      </c>
      <c r="AO141" s="3" t="n">
        <v>6733.0</v>
      </c>
    </row>
    <row r="142" spans="1:41" x14ac:dyDescent="0.2">
      <c r="A142" s="128"/>
      <c r="B142" s="9">
        <v>31</v>
      </c>
      <c r="C142" s="3" t="n">
        <v>15823.0</v>
      </c>
      <c r="D142" s="3" t="n">
        <v>14834.0</v>
      </c>
      <c r="E142" s="3" t="n">
        <v>14355.0</v>
      </c>
      <c r="F142" s="3" t="n">
        <v>13536.0</v>
      </c>
      <c r="G142" s="3" t="n">
        <v>12828.0</v>
      </c>
      <c r="H142" s="3" t="n">
        <v>12807.0</v>
      </c>
      <c r="I142" s="3" t="n">
        <v>11969.0</v>
      </c>
      <c r="J142" s="3" t="n">
        <v>11361.0</v>
      </c>
      <c r="K142" s="3" t="n">
        <v>11198.0</v>
      </c>
      <c r="L142" s="3" t="n">
        <v>11173.0</v>
      </c>
      <c r="M142" s="3" t="n">
        <v>10756.0</v>
      </c>
      <c r="N142" s="3" t="n">
        <v>10463.0</v>
      </c>
      <c r="O142" s="3" t="n">
        <v>10335.0</v>
      </c>
      <c r="P142" s="3" t="n">
        <v>10632.0</v>
      </c>
      <c r="Q142" s="3" t="n">
        <v>10834.0</v>
      </c>
      <c r="R142" s="3" t="n">
        <v>11311.0</v>
      </c>
      <c r="S142" s="3" t="n">
        <v>11608.0</v>
      </c>
      <c r="T142" s="3" t="n">
        <v>12620.0</v>
      </c>
      <c r="U142" s="3" t="n">
        <v>13005.0</v>
      </c>
      <c r="V142" s="3" t="n">
        <v>12547.0</v>
      </c>
      <c r="W142" s="3" t="n">
        <v>12115.0</v>
      </c>
      <c r="X142" s="3" t="n">
        <v>11922.0</v>
      </c>
      <c r="Y142" s="3" t="n">
        <v>11124.0</v>
      </c>
      <c r="Z142" s="3" t="n">
        <v>11508.0</v>
      </c>
      <c r="AA142" s="3" t="n">
        <v>11127.0</v>
      </c>
      <c r="AB142" s="3" t="n">
        <v>11571.0</v>
      </c>
      <c r="AC142" s="3" t="n">
        <v>11801.0</v>
      </c>
      <c r="AD142" s="3" t="n">
        <v>11531.0</v>
      </c>
      <c r="AE142" s="3" t="n">
        <v>10533.0</v>
      </c>
      <c r="AF142" s="3" t="n">
        <v>10160.0</v>
      </c>
      <c r="AG142" s="3" t="n">
        <v>9725.0</v>
      </c>
      <c r="AH142" s="3" t="n">
        <v>8748.0</v>
      </c>
      <c r="AI142" s="3" t="n">
        <v>8226.0</v>
      </c>
      <c r="AJ142" s="3" t="n">
        <v>7984.0</v>
      </c>
      <c r="AK142" s="3" t="n">
        <v>7683.0</v>
      </c>
      <c r="AL142" s="3" t="n">
        <v>7460.0</v>
      </c>
      <c r="AM142" s="3" t="n">
        <v>7218.0</v>
      </c>
      <c r="AN142" s="3" t="n">
        <v>7038.0</v>
      </c>
      <c r="AO142" s="3" t="n">
        <v>6852.0</v>
      </c>
    </row>
    <row r="143" spans="1:41" x14ac:dyDescent="0.2">
      <c r="A143" s="128"/>
      <c r="B143" s="9">
        <v>32</v>
      </c>
      <c r="C143" s="3" t="n">
        <v>16030.0</v>
      </c>
      <c r="D143" s="3" t="n">
        <v>15744.0</v>
      </c>
      <c r="E143" s="3" t="n">
        <v>14758.0</v>
      </c>
      <c r="F143" s="3" t="n">
        <v>14284.0</v>
      </c>
      <c r="G143" s="3" t="n">
        <v>13462.0</v>
      </c>
      <c r="H143" s="3" t="n">
        <v>12761.0</v>
      </c>
      <c r="I143" s="3" t="n">
        <v>12745.0</v>
      </c>
      <c r="J143" s="3" t="n">
        <v>11907.0</v>
      </c>
      <c r="K143" s="3" t="n">
        <v>11304.0</v>
      </c>
      <c r="L143" s="3" t="n">
        <v>11136.0</v>
      </c>
      <c r="M143" s="3" t="n">
        <v>11115.0</v>
      </c>
      <c r="N143" s="3" t="n">
        <v>10699.0</v>
      </c>
      <c r="O143" s="3" t="n">
        <v>10411.0</v>
      </c>
      <c r="P143" s="3" t="n">
        <v>10285.0</v>
      </c>
      <c r="Q143" s="3" t="n">
        <v>10576.0</v>
      </c>
      <c r="R143" s="3" t="n">
        <v>10778.0</v>
      </c>
      <c r="S143" s="3" t="n">
        <v>11248.0</v>
      </c>
      <c r="T143" s="3" t="n">
        <v>11542.0</v>
      </c>
      <c r="U143" s="3" t="n">
        <v>12549.0</v>
      </c>
      <c r="V143" s="3" t="n">
        <v>12931.0</v>
      </c>
      <c r="W143" s="3" t="n">
        <v>12475.0</v>
      </c>
      <c r="X143" s="3" t="n">
        <v>12044.0</v>
      </c>
      <c r="Y143" s="3" t="n">
        <v>11860.0</v>
      </c>
      <c r="Z143" s="3" t="n">
        <v>11062.0</v>
      </c>
      <c r="AA143" s="3" t="n">
        <v>11446.0</v>
      </c>
      <c r="AB143" s="3" t="n">
        <v>11072.0</v>
      </c>
      <c r="AC143" s="3" t="n">
        <v>11508.0</v>
      </c>
      <c r="AD143" s="3" t="n">
        <v>11738.0</v>
      </c>
      <c r="AE143" s="3" t="n">
        <v>11474.0</v>
      </c>
      <c r="AF143" s="3" t="n">
        <v>10477.0</v>
      </c>
      <c r="AG143" s="3" t="n">
        <v>10106.0</v>
      </c>
      <c r="AH143" s="3" t="n">
        <v>9678.0</v>
      </c>
      <c r="AI143" s="3" t="n">
        <v>8703.0</v>
      </c>
      <c r="AJ143" s="3" t="n">
        <v>8188.0</v>
      </c>
      <c r="AK143" s="3" t="n">
        <v>7947.0</v>
      </c>
      <c r="AL143" s="3" t="n">
        <v>7648.0</v>
      </c>
      <c r="AM143" s="3" t="n">
        <v>7425.0</v>
      </c>
      <c r="AN143" s="3" t="n">
        <v>7185.0</v>
      </c>
      <c r="AO143" s="3" t="n">
        <v>7004.0</v>
      </c>
    </row>
    <row r="144" spans="1:41" x14ac:dyDescent="0.2">
      <c r="A144" s="128"/>
      <c r="B144" s="9">
        <v>33</v>
      </c>
      <c r="C144" s="3" t="n">
        <v>15855.0</v>
      </c>
      <c r="D144" s="3" t="n">
        <v>15961.0</v>
      </c>
      <c r="E144" s="3" t="n">
        <v>15671.0</v>
      </c>
      <c r="F144" s="3" t="n">
        <v>14688.0</v>
      </c>
      <c r="G144" s="3" t="n">
        <v>14216.0</v>
      </c>
      <c r="H144" s="3" t="n">
        <v>13400.0</v>
      </c>
      <c r="I144" s="3" t="n">
        <v>12711.0</v>
      </c>
      <c r="J144" s="3" t="n">
        <v>12684.0</v>
      </c>
      <c r="K144" s="3" t="n">
        <v>11849.0</v>
      </c>
      <c r="L144" s="3" t="n">
        <v>11247.0</v>
      </c>
      <c r="M144" s="3" t="n">
        <v>11075.0</v>
      </c>
      <c r="N144" s="3" t="n">
        <v>11052.0</v>
      </c>
      <c r="O144" s="3" t="n">
        <v>10636.0</v>
      </c>
      <c r="P144" s="3" t="n">
        <v>10354.0</v>
      </c>
      <c r="Q144" s="3" t="n">
        <v>10225.0</v>
      </c>
      <c r="R144" s="3" t="n">
        <v>10518.0</v>
      </c>
      <c r="S144" s="3" t="n">
        <v>10715.0</v>
      </c>
      <c r="T144" s="3" t="n">
        <v>11189.0</v>
      </c>
      <c r="U144" s="3" t="n">
        <v>11483.0</v>
      </c>
      <c r="V144" s="3" t="n">
        <v>12484.0</v>
      </c>
      <c r="W144" s="3" t="n">
        <v>12862.0</v>
      </c>
      <c r="X144" s="3" t="n">
        <v>12410.0</v>
      </c>
      <c r="Y144" s="3" t="n">
        <v>11983.0</v>
      </c>
      <c r="Z144" s="3" t="n">
        <v>11795.0</v>
      </c>
      <c r="AA144" s="3" t="n">
        <v>11005.0</v>
      </c>
      <c r="AB144" s="3" t="n">
        <v>11390.0</v>
      </c>
      <c r="AC144" s="3" t="n">
        <v>11015.0</v>
      </c>
      <c r="AD144" s="3" t="n">
        <v>11449.0</v>
      </c>
      <c r="AE144" s="3" t="n">
        <v>11681.0</v>
      </c>
      <c r="AF144" s="3" t="n">
        <v>11413.0</v>
      </c>
      <c r="AG144" s="3" t="n">
        <v>10421.0</v>
      </c>
      <c r="AH144" s="3" t="n">
        <v>10051.0</v>
      </c>
      <c r="AI144" s="3" t="n">
        <v>9631.0</v>
      </c>
      <c r="AJ144" s="3" t="n">
        <v>8659.0</v>
      </c>
      <c r="AK144" s="3" t="n">
        <v>8152.0</v>
      </c>
      <c r="AL144" s="3" t="n">
        <v>7914.0</v>
      </c>
      <c r="AM144" s="3" t="n">
        <v>7616.0</v>
      </c>
      <c r="AN144" s="3" t="n">
        <v>7395.0</v>
      </c>
      <c r="AO144" s="3" t="n">
        <v>7157.0</v>
      </c>
    </row>
    <row r="145" spans="1:41" x14ac:dyDescent="0.2">
      <c r="A145" s="128"/>
      <c r="B145" s="9">
        <v>34</v>
      </c>
      <c r="C145" s="3" t="n">
        <v>16301.0</v>
      </c>
      <c r="D145" s="3" t="n">
        <v>15782.0</v>
      </c>
      <c r="E145" s="3" t="n">
        <v>15885.0</v>
      </c>
      <c r="F145" s="3" t="n">
        <v>15592.0</v>
      </c>
      <c r="G145" s="3" t="n">
        <v>14616.0</v>
      </c>
      <c r="H145" s="3" t="n">
        <v>14153.0</v>
      </c>
      <c r="I145" s="3" t="n">
        <v>13335.0</v>
      </c>
      <c r="J145" s="3" t="n">
        <v>12639.0</v>
      </c>
      <c r="K145" s="3" t="n">
        <v>12611.0</v>
      </c>
      <c r="L145" s="3" t="n">
        <v>11784.0</v>
      </c>
      <c r="M145" s="3" t="n">
        <v>11187.0</v>
      </c>
      <c r="N145" s="3" t="n">
        <v>11019.0</v>
      </c>
      <c r="O145" s="3" t="n">
        <v>10990.0</v>
      </c>
      <c r="P145" s="3" t="n">
        <v>10574.0</v>
      </c>
      <c r="Q145" s="3" t="n">
        <v>10298.0</v>
      </c>
      <c r="R145" s="3" t="n">
        <v>10170.0</v>
      </c>
      <c r="S145" s="3" t="n">
        <v>10461.0</v>
      </c>
      <c r="T145" s="3" t="n">
        <v>10655.0</v>
      </c>
      <c r="U145" s="3" t="n">
        <v>11124.0</v>
      </c>
      <c r="V145" s="3" t="n">
        <v>11414.0</v>
      </c>
      <c r="W145" s="3" t="n">
        <v>12410.0</v>
      </c>
      <c r="X145" s="3" t="n">
        <v>12788.0</v>
      </c>
      <c r="Y145" s="3" t="n">
        <v>12338.0</v>
      </c>
      <c r="Z145" s="3" t="n">
        <v>11916.0</v>
      </c>
      <c r="AA145" s="3" t="n">
        <v>11730.0</v>
      </c>
      <c r="AB145" s="3" t="n">
        <v>10945.0</v>
      </c>
      <c r="AC145" s="3" t="n">
        <v>11328.0</v>
      </c>
      <c r="AD145" s="3" t="n">
        <v>10955.0</v>
      </c>
      <c r="AE145" s="3" t="n">
        <v>11384.0</v>
      </c>
      <c r="AF145" s="3" t="n">
        <v>11613.0</v>
      </c>
      <c r="AG145" s="3" t="n">
        <v>11345.0</v>
      </c>
      <c r="AH145" s="3" t="n">
        <v>10361.0</v>
      </c>
      <c r="AI145" s="3" t="n">
        <v>9992.0</v>
      </c>
      <c r="AJ145" s="3" t="n">
        <v>9578.0</v>
      </c>
      <c r="AK145" s="3" t="n">
        <v>8609.0</v>
      </c>
      <c r="AL145" s="3" t="n">
        <v>8111.0</v>
      </c>
      <c r="AM145" s="3" t="n">
        <v>7871.0</v>
      </c>
      <c r="AN145" s="3" t="n">
        <v>7571.0</v>
      </c>
      <c r="AO145" s="3" t="n">
        <v>7355.0</v>
      </c>
    </row>
    <row r="146" spans="1:41" x14ac:dyDescent="0.2">
      <c r="A146" s="128"/>
      <c r="B146" s="9">
        <v>35</v>
      </c>
      <c r="C146" s="3" t="n">
        <v>16594.0</v>
      </c>
      <c r="D146" s="3" t="n">
        <v>16242.0</v>
      </c>
      <c r="E146" s="3" t="n">
        <v>15725.0</v>
      </c>
      <c r="F146" s="3" t="n">
        <v>15824.0</v>
      </c>
      <c r="G146" s="3" t="n">
        <v>15537.0</v>
      </c>
      <c r="H146" s="3" t="n">
        <v>14566.0</v>
      </c>
      <c r="I146" s="3" t="n">
        <v>14107.0</v>
      </c>
      <c r="J146" s="3" t="n">
        <v>13293.0</v>
      </c>
      <c r="K146" s="3" t="n">
        <v>12599.0</v>
      </c>
      <c r="L146" s="3" t="n">
        <v>12571.0</v>
      </c>
      <c r="M146" s="3" t="n">
        <v>11748.0</v>
      </c>
      <c r="N146" s="3" t="n">
        <v>11152.0</v>
      </c>
      <c r="O146" s="3" t="n">
        <v>10982.0</v>
      </c>
      <c r="P146" s="3" t="n">
        <v>10954.0</v>
      </c>
      <c r="Q146" s="3" t="n">
        <v>10541.0</v>
      </c>
      <c r="R146" s="3" t="n">
        <v>10262.0</v>
      </c>
      <c r="S146" s="3" t="n">
        <v>10132.0</v>
      </c>
      <c r="T146" s="3" t="n">
        <v>10424.0</v>
      </c>
      <c r="U146" s="3" t="n">
        <v>10615.0</v>
      </c>
      <c r="V146" s="3" t="n">
        <v>11085.0</v>
      </c>
      <c r="W146" s="3" t="n">
        <v>11377.0</v>
      </c>
      <c r="X146" s="3" t="n">
        <v>12365.0</v>
      </c>
      <c r="Y146" s="3" t="n">
        <v>12741.0</v>
      </c>
      <c r="Z146" s="3" t="n">
        <v>12293.0</v>
      </c>
      <c r="AA146" s="3" t="n">
        <v>11874.0</v>
      </c>
      <c r="AB146" s="3" t="n">
        <v>11689.0</v>
      </c>
      <c r="AC146" s="3" t="n">
        <v>10910.0</v>
      </c>
      <c r="AD146" s="3" t="n">
        <v>11291.0</v>
      </c>
      <c r="AE146" s="3" t="n">
        <v>10917.0</v>
      </c>
      <c r="AF146" s="3" t="n">
        <v>11342.0</v>
      </c>
      <c r="AG146" s="3" t="n">
        <v>11573.0</v>
      </c>
      <c r="AH146" s="3" t="n">
        <v>11309.0</v>
      </c>
      <c r="AI146" s="3" t="n">
        <v>10327.0</v>
      </c>
      <c r="AJ146" s="3" t="n">
        <v>9956.0</v>
      </c>
      <c r="AK146" s="3" t="n">
        <v>9547.0</v>
      </c>
      <c r="AL146" s="3" t="n">
        <v>8585.0</v>
      </c>
      <c r="AM146" s="3" t="n">
        <v>8089.0</v>
      </c>
      <c r="AN146" s="3" t="n">
        <v>7852.0</v>
      </c>
      <c r="AO146" s="3" t="n">
        <v>7548.0</v>
      </c>
    </row>
    <row r="147" spans="1:41" x14ac:dyDescent="0.2">
      <c r="A147" s="128"/>
      <c r="B147" s="9">
        <v>36</v>
      </c>
      <c r="C147" s="3" t="n">
        <v>17517.0</v>
      </c>
      <c r="D147" s="3" t="n">
        <v>16536.0</v>
      </c>
      <c r="E147" s="3" t="n">
        <v>16187.0</v>
      </c>
      <c r="F147" s="3" t="n">
        <v>15666.0</v>
      </c>
      <c r="G147" s="3" t="n">
        <v>15766.0</v>
      </c>
      <c r="H147" s="3" t="n">
        <v>15489.0</v>
      </c>
      <c r="I147" s="3" t="n">
        <v>14530.0</v>
      </c>
      <c r="J147" s="3" t="n">
        <v>14062.0</v>
      </c>
      <c r="K147" s="3" t="n">
        <v>13247.0</v>
      </c>
      <c r="L147" s="3" t="n">
        <v>12550.0</v>
      </c>
      <c r="M147" s="3" t="n">
        <v>12520.0</v>
      </c>
      <c r="N147" s="3" t="n">
        <v>11701.0</v>
      </c>
      <c r="O147" s="3" t="n">
        <v>11105.0</v>
      </c>
      <c r="P147" s="3" t="n">
        <v>10934.0</v>
      </c>
      <c r="Q147" s="3" t="n">
        <v>10906.0</v>
      </c>
      <c r="R147" s="3" t="n">
        <v>10492.0</v>
      </c>
      <c r="S147" s="3" t="n">
        <v>10215.0</v>
      </c>
      <c r="T147" s="3" t="n">
        <v>10088.0</v>
      </c>
      <c r="U147" s="3" t="n">
        <v>10379.0</v>
      </c>
      <c r="V147" s="3" t="n">
        <v>10569.0</v>
      </c>
      <c r="W147" s="3" t="n">
        <v>11035.0</v>
      </c>
      <c r="X147" s="3" t="n">
        <v>11324.0</v>
      </c>
      <c r="Y147" s="3" t="n">
        <v>12310.0</v>
      </c>
      <c r="Z147" s="3" t="n">
        <v>12685.0</v>
      </c>
      <c r="AA147" s="3" t="n">
        <v>12240.0</v>
      </c>
      <c r="AB147" s="3" t="n">
        <v>11819.0</v>
      </c>
      <c r="AC147" s="3" t="n">
        <v>11636.0</v>
      </c>
      <c r="AD147" s="3" t="n">
        <v>10859.0</v>
      </c>
      <c r="AE147" s="3" t="n">
        <v>11244.0</v>
      </c>
      <c r="AF147" s="3" t="n">
        <v>10872.0</v>
      </c>
      <c r="AG147" s="3" t="n">
        <v>11294.0</v>
      </c>
      <c r="AH147" s="3" t="n">
        <v>11523.0</v>
      </c>
      <c r="AI147" s="3" t="n">
        <v>11259.0</v>
      </c>
      <c r="AJ147" s="3" t="n">
        <v>10285.0</v>
      </c>
      <c r="AK147" s="3" t="n">
        <v>9917.0</v>
      </c>
      <c r="AL147" s="3" t="n">
        <v>9509.0</v>
      </c>
      <c r="AM147" s="3" t="n">
        <v>8546.0</v>
      </c>
      <c r="AN147" s="3" t="n">
        <v>8058.0</v>
      </c>
      <c r="AO147" s="3" t="n">
        <v>7825.0</v>
      </c>
    </row>
    <row r="148" spans="1:41" x14ac:dyDescent="0.2">
      <c r="A148" s="128"/>
      <c r="B148" s="9">
        <v>37</v>
      </c>
      <c r="C148" s="3" t="n">
        <v>19104.0</v>
      </c>
      <c r="D148" s="3" t="n">
        <v>17469.0</v>
      </c>
      <c r="E148" s="3" t="n">
        <v>16493.0</v>
      </c>
      <c r="F148" s="3" t="n">
        <v>16143.0</v>
      </c>
      <c r="G148" s="3" t="n">
        <v>15619.0</v>
      </c>
      <c r="H148" s="3" t="n">
        <v>15726.0</v>
      </c>
      <c r="I148" s="3" t="n">
        <v>15448.0</v>
      </c>
      <c r="J148" s="3" t="n">
        <v>14493.0</v>
      </c>
      <c r="K148" s="3" t="n">
        <v>14025.0</v>
      </c>
      <c r="L148" s="3" t="n">
        <v>13210.0</v>
      </c>
      <c r="M148" s="3" t="n">
        <v>12510.0</v>
      </c>
      <c r="N148" s="3" t="n">
        <v>12480.0</v>
      </c>
      <c r="O148" s="3" t="n">
        <v>11664.0</v>
      </c>
      <c r="P148" s="3" t="n">
        <v>11067.0</v>
      </c>
      <c r="Q148" s="3" t="n">
        <v>10893.0</v>
      </c>
      <c r="R148" s="3" t="n">
        <v>10866.0</v>
      </c>
      <c r="S148" s="3" t="n">
        <v>10454.0</v>
      </c>
      <c r="T148" s="3" t="n">
        <v>10182.0</v>
      </c>
      <c r="U148" s="3" t="n">
        <v>10050.0</v>
      </c>
      <c r="V148" s="3" t="n">
        <v>10346.0</v>
      </c>
      <c r="W148" s="3" t="n">
        <v>10532.0</v>
      </c>
      <c r="X148" s="3" t="n">
        <v>10995.0</v>
      </c>
      <c r="Y148" s="3" t="n">
        <v>11287.0</v>
      </c>
      <c r="Z148" s="3" t="n">
        <v>12261.0</v>
      </c>
      <c r="AA148" s="3" t="n">
        <v>12640.0</v>
      </c>
      <c r="AB148" s="3" t="n">
        <v>12197.0</v>
      </c>
      <c r="AC148" s="3" t="n">
        <v>11775.0</v>
      </c>
      <c r="AD148" s="3" t="n">
        <v>11591.0</v>
      </c>
      <c r="AE148" s="3" t="n">
        <v>10817.0</v>
      </c>
      <c r="AF148" s="3" t="n">
        <v>11205.0</v>
      </c>
      <c r="AG148" s="3" t="n">
        <v>10833.0</v>
      </c>
      <c r="AH148" s="3" t="n">
        <v>11252.0</v>
      </c>
      <c r="AI148" s="3" t="n">
        <v>11483.0</v>
      </c>
      <c r="AJ148" s="3" t="n">
        <v>11216.0</v>
      </c>
      <c r="AK148" s="3" t="n">
        <v>10247.0</v>
      </c>
      <c r="AL148" s="3" t="n">
        <v>9876.0</v>
      </c>
      <c r="AM148" s="3" t="n">
        <v>9475.0</v>
      </c>
      <c r="AN148" s="3" t="n">
        <v>8513.0</v>
      </c>
      <c r="AO148" s="3" t="n">
        <v>8024.0</v>
      </c>
    </row>
    <row r="149" spans="1:41" x14ac:dyDescent="0.2">
      <c r="A149" s="128"/>
      <c r="B149" s="9">
        <v>38</v>
      </c>
      <c r="C149" s="3" t="n">
        <v>19570.0</v>
      </c>
      <c r="D149" s="3" t="n">
        <v>19043.0</v>
      </c>
      <c r="E149" s="3" t="n">
        <v>17415.0</v>
      </c>
      <c r="F149" s="3" t="n">
        <v>16445.0</v>
      </c>
      <c r="G149" s="3" t="n">
        <v>16097.0</v>
      </c>
      <c r="H149" s="3" t="n">
        <v>15585.0</v>
      </c>
      <c r="I149" s="3" t="n">
        <v>15697.0</v>
      </c>
      <c r="J149" s="3" t="n">
        <v>15410.0</v>
      </c>
      <c r="K149" s="3" t="n">
        <v>14448.0</v>
      </c>
      <c r="L149" s="3" t="n">
        <v>13979.0</v>
      </c>
      <c r="M149" s="3" t="n">
        <v>13170.0</v>
      </c>
      <c r="N149" s="3" t="n">
        <v>12467.0</v>
      </c>
      <c r="O149" s="3" t="n">
        <v>12432.0</v>
      </c>
      <c r="P149" s="3" t="n">
        <v>11621.0</v>
      </c>
      <c r="Q149" s="3" t="n">
        <v>11030.0</v>
      </c>
      <c r="R149" s="3" t="n">
        <v>10860.0</v>
      </c>
      <c r="S149" s="3" t="n">
        <v>10831.0</v>
      </c>
      <c r="T149" s="3" t="n">
        <v>10417.0</v>
      </c>
      <c r="U149" s="3" t="n">
        <v>10143.0</v>
      </c>
      <c r="V149" s="3" t="n">
        <v>10012.0</v>
      </c>
      <c r="W149" s="3" t="n">
        <v>10310.0</v>
      </c>
      <c r="X149" s="3" t="n">
        <v>10498.0</v>
      </c>
      <c r="Y149" s="3" t="n">
        <v>10957.0</v>
      </c>
      <c r="Z149" s="3" t="n">
        <v>11252.0</v>
      </c>
      <c r="AA149" s="3" t="n">
        <v>12222.0</v>
      </c>
      <c r="AB149" s="3" t="n">
        <v>12599.0</v>
      </c>
      <c r="AC149" s="3" t="n">
        <v>12157.0</v>
      </c>
      <c r="AD149" s="3" t="n">
        <v>11732.0</v>
      </c>
      <c r="AE149" s="3" t="n">
        <v>11554.0</v>
      </c>
      <c r="AF149" s="3" t="n">
        <v>10786.0</v>
      </c>
      <c r="AG149" s="3" t="n">
        <v>11172.0</v>
      </c>
      <c r="AH149" s="3" t="n">
        <v>10798.0</v>
      </c>
      <c r="AI149" s="3" t="n">
        <v>11217.0</v>
      </c>
      <c r="AJ149" s="3" t="n">
        <v>11447.0</v>
      </c>
      <c r="AK149" s="3" t="n">
        <v>11181.0</v>
      </c>
      <c r="AL149" s="3" t="n">
        <v>10215.0</v>
      </c>
      <c r="AM149" s="3" t="n">
        <v>9841.0</v>
      </c>
      <c r="AN149" s="3" t="n">
        <v>9441.0</v>
      </c>
      <c r="AO149" s="3" t="n">
        <v>8482.0</v>
      </c>
    </row>
    <row r="150" spans="1:41" x14ac:dyDescent="0.2">
      <c r="A150" s="128"/>
      <c r="B150" s="9">
        <v>39</v>
      </c>
      <c r="C150" s="3" t="n">
        <v>20475.0</v>
      </c>
      <c r="D150" s="3" t="n">
        <v>19513.0</v>
      </c>
      <c r="E150" s="3" t="n">
        <v>18984.0</v>
      </c>
      <c r="F150" s="3" t="n">
        <v>17368.0</v>
      </c>
      <c r="G150" s="3" t="n">
        <v>16402.0</v>
      </c>
      <c r="H150" s="3" t="n">
        <v>16058.0</v>
      </c>
      <c r="I150" s="3" t="n">
        <v>15552.0</v>
      </c>
      <c r="J150" s="3" t="n">
        <v>15661.0</v>
      </c>
      <c r="K150" s="3" t="n">
        <v>15374.0</v>
      </c>
      <c r="L150" s="3" t="n">
        <v>14405.0</v>
      </c>
      <c r="M150" s="3" t="n">
        <v>13939.0</v>
      </c>
      <c r="N150" s="3" t="n">
        <v>13134.0</v>
      </c>
      <c r="O150" s="3" t="n">
        <v>12429.0</v>
      </c>
      <c r="P150" s="3" t="n">
        <v>12389.0</v>
      </c>
      <c r="Q150" s="3" t="n">
        <v>11582.0</v>
      </c>
      <c r="R150" s="3" t="n">
        <v>10998.0</v>
      </c>
      <c r="S150" s="3" t="n">
        <v>10826.0</v>
      </c>
      <c r="T150" s="3" t="n">
        <v>10798.0</v>
      </c>
      <c r="U150" s="3" t="n">
        <v>10391.0</v>
      </c>
      <c r="V150" s="3" t="n">
        <v>10114.0</v>
      </c>
      <c r="W150" s="3" t="n">
        <v>9983.0</v>
      </c>
      <c r="X150" s="3" t="n">
        <v>10277.0</v>
      </c>
      <c r="Y150" s="3" t="n">
        <v>10464.0</v>
      </c>
      <c r="Z150" s="3" t="n">
        <v>10925.0</v>
      </c>
      <c r="AA150" s="3" t="n">
        <v>11218.0</v>
      </c>
      <c r="AB150" s="3" t="n">
        <v>12183.0</v>
      </c>
      <c r="AC150" s="3" t="n">
        <v>12558.0</v>
      </c>
      <c r="AD150" s="3" t="n">
        <v>12117.0</v>
      </c>
      <c r="AE150" s="3" t="n">
        <v>11694.0</v>
      </c>
      <c r="AF150" s="3" t="n">
        <v>11518.0</v>
      </c>
      <c r="AG150" s="3" t="n">
        <v>10753.0</v>
      </c>
      <c r="AH150" s="3" t="n">
        <v>11140.0</v>
      </c>
      <c r="AI150" s="3" t="n">
        <v>10766.0</v>
      </c>
      <c r="AJ150" s="3" t="n">
        <v>11183.0</v>
      </c>
      <c r="AK150" s="3" t="n">
        <v>11411.0</v>
      </c>
      <c r="AL150" s="3" t="n">
        <v>11151.0</v>
      </c>
      <c r="AM150" s="3" t="n">
        <v>10187.0</v>
      </c>
      <c r="AN150" s="3" t="n">
        <v>9815.0</v>
      </c>
      <c r="AO150" s="3" t="n">
        <v>9417.0</v>
      </c>
    </row>
    <row r="151" spans="1:41" x14ac:dyDescent="0.2">
      <c r="A151" s="128"/>
      <c r="B151" s="9">
        <v>40</v>
      </c>
      <c r="C151" s="3" t="n">
        <v>20183.0</v>
      </c>
      <c r="D151" s="3" t="n">
        <v>20412.0</v>
      </c>
      <c r="E151" s="3" t="n">
        <v>19455.0</v>
      </c>
      <c r="F151" s="3" t="n">
        <v>18930.0</v>
      </c>
      <c r="G151" s="3" t="n">
        <v>17321.0</v>
      </c>
      <c r="H151" s="3" t="n">
        <v>16361.0</v>
      </c>
      <c r="I151" s="3" t="n">
        <v>16030.0</v>
      </c>
      <c r="J151" s="3" t="n">
        <v>15519.0</v>
      </c>
      <c r="K151" s="3" t="n">
        <v>15627.0</v>
      </c>
      <c r="L151" s="3" t="n">
        <v>15339.0</v>
      </c>
      <c r="M151" s="3" t="n">
        <v>14374.0</v>
      </c>
      <c r="N151" s="3" t="n">
        <v>13908.0</v>
      </c>
      <c r="O151" s="3" t="n">
        <v>13106.0</v>
      </c>
      <c r="P151" s="3" t="n">
        <v>12406.0</v>
      </c>
      <c r="Q151" s="3" t="n">
        <v>12364.0</v>
      </c>
      <c r="R151" s="3" t="n">
        <v>11562.0</v>
      </c>
      <c r="S151" s="3" t="n">
        <v>10975.0</v>
      </c>
      <c r="T151" s="3" t="n">
        <v>10800.0</v>
      </c>
      <c r="U151" s="3" t="n">
        <v>10771.0</v>
      </c>
      <c r="V151" s="3" t="n">
        <v>10366.0</v>
      </c>
      <c r="W151" s="3" t="n">
        <v>10088.0</v>
      </c>
      <c r="X151" s="3" t="n">
        <v>9961.0</v>
      </c>
      <c r="Y151" s="3" t="n">
        <v>10253.0</v>
      </c>
      <c r="Z151" s="3" t="n">
        <v>10441.0</v>
      </c>
      <c r="AA151" s="3" t="n">
        <v>10900.0</v>
      </c>
      <c r="AB151" s="3" t="n">
        <v>11198.0</v>
      </c>
      <c r="AC151" s="3" t="n">
        <v>12163.0</v>
      </c>
      <c r="AD151" s="3" t="n">
        <v>12534.0</v>
      </c>
      <c r="AE151" s="3" t="n">
        <v>12093.0</v>
      </c>
      <c r="AF151" s="3" t="n">
        <v>11672.0</v>
      </c>
      <c r="AG151" s="3" t="n">
        <v>11500.0</v>
      </c>
      <c r="AH151" s="3" t="n">
        <v>10733.0</v>
      </c>
      <c r="AI151" s="3" t="n">
        <v>11117.0</v>
      </c>
      <c r="AJ151" s="3" t="n">
        <v>10746.0</v>
      </c>
      <c r="AK151" s="3" t="n">
        <v>11164.0</v>
      </c>
      <c r="AL151" s="3" t="n">
        <v>11395.0</v>
      </c>
      <c r="AM151" s="3" t="n">
        <v>11137.0</v>
      </c>
      <c r="AN151" s="3" t="n">
        <v>10167.0</v>
      </c>
      <c r="AO151" s="3" t="n">
        <v>9793.0</v>
      </c>
    </row>
    <row r="152" spans="1:41" x14ac:dyDescent="0.2">
      <c r="A152" s="128"/>
      <c r="B152" s="9">
        <v>41</v>
      </c>
      <c r="C152" s="3" t="n">
        <v>19135.0</v>
      </c>
      <c r="D152" s="3" t="n">
        <v>20118.0</v>
      </c>
      <c r="E152" s="3" t="n">
        <v>20346.0</v>
      </c>
      <c r="F152" s="3" t="n">
        <v>19398.0</v>
      </c>
      <c r="G152" s="3" t="n">
        <v>18878.0</v>
      </c>
      <c r="H152" s="3" t="n">
        <v>17284.0</v>
      </c>
      <c r="I152" s="3" t="n">
        <v>16332.0</v>
      </c>
      <c r="J152" s="3" t="n">
        <v>15998.0</v>
      </c>
      <c r="K152" s="3" t="n">
        <v>15486.0</v>
      </c>
      <c r="L152" s="3" t="n">
        <v>15594.0</v>
      </c>
      <c r="M152" s="3" t="n">
        <v>15301.0</v>
      </c>
      <c r="N152" s="3" t="n">
        <v>14338.0</v>
      </c>
      <c r="O152" s="3" t="n">
        <v>13870.0</v>
      </c>
      <c r="P152" s="3" t="n">
        <v>13068.0</v>
      </c>
      <c r="Q152" s="3" t="n">
        <v>12373.0</v>
      </c>
      <c r="R152" s="3" t="n">
        <v>12328.0</v>
      </c>
      <c r="S152" s="3" t="n">
        <v>11529.0</v>
      </c>
      <c r="T152" s="3" t="n">
        <v>10953.0</v>
      </c>
      <c r="U152" s="3" t="n">
        <v>10772.0</v>
      </c>
      <c r="V152" s="3" t="n">
        <v>10744.0</v>
      </c>
      <c r="W152" s="3" t="n">
        <v>10342.0</v>
      </c>
      <c r="X152" s="3" t="n">
        <v>10065.0</v>
      </c>
      <c r="Y152" s="3" t="n">
        <v>9939.0</v>
      </c>
      <c r="Z152" s="3" t="n">
        <v>10225.0</v>
      </c>
      <c r="AA152" s="3" t="n">
        <v>10411.0</v>
      </c>
      <c r="AB152" s="3" t="n">
        <v>10870.0</v>
      </c>
      <c r="AC152" s="3" t="n">
        <v>11164.0</v>
      </c>
      <c r="AD152" s="3" t="n">
        <v>12132.0</v>
      </c>
      <c r="AE152" s="3" t="n">
        <v>12498.0</v>
      </c>
      <c r="AF152" s="3" t="n">
        <v>12057.0</v>
      </c>
      <c r="AG152" s="3" t="n">
        <v>11637.0</v>
      </c>
      <c r="AH152" s="3" t="n">
        <v>11466.0</v>
      </c>
      <c r="AI152" s="3" t="n">
        <v>10702.0</v>
      </c>
      <c r="AJ152" s="3" t="n">
        <v>11086.0</v>
      </c>
      <c r="AK152" s="3" t="n">
        <v>10715.0</v>
      </c>
      <c r="AL152" s="3" t="n">
        <v>11133.0</v>
      </c>
      <c r="AM152" s="3" t="n">
        <v>11361.0</v>
      </c>
      <c r="AN152" s="3" t="n">
        <v>11107.0</v>
      </c>
      <c r="AO152" s="3" t="n">
        <v>10141.0</v>
      </c>
    </row>
    <row r="153" spans="1:41" x14ac:dyDescent="0.2">
      <c r="A153" s="128"/>
      <c r="B153" s="9">
        <v>42</v>
      </c>
      <c r="C153" s="3" t="n">
        <v>19621.0</v>
      </c>
      <c r="D153" s="3" t="n">
        <v>19070.0</v>
      </c>
      <c r="E153" s="3" t="n">
        <v>20053.0</v>
      </c>
      <c r="F153" s="3" t="n">
        <v>20282.0</v>
      </c>
      <c r="G153" s="3" t="n">
        <v>19340.0</v>
      </c>
      <c r="H153" s="3" t="n">
        <v>18826.0</v>
      </c>
      <c r="I153" s="3" t="n">
        <v>17241.0</v>
      </c>
      <c r="J153" s="3" t="n">
        <v>16292.0</v>
      </c>
      <c r="K153" s="3" t="n">
        <v>15959.0</v>
      </c>
      <c r="L153" s="3" t="n">
        <v>15447.0</v>
      </c>
      <c r="M153" s="3" t="n">
        <v>15554.0</v>
      </c>
      <c r="N153" s="3" t="n">
        <v>15262.0</v>
      </c>
      <c r="O153" s="3" t="n">
        <v>14300.0</v>
      </c>
      <c r="P153" s="3" t="n">
        <v>13837.0</v>
      </c>
      <c r="Q153" s="3" t="n">
        <v>13034.0</v>
      </c>
      <c r="R153" s="3" t="n">
        <v>12337.0</v>
      </c>
      <c r="S153" s="3" t="n">
        <v>12297.0</v>
      </c>
      <c r="T153" s="3" t="n">
        <v>11494.0</v>
      </c>
      <c r="U153" s="3" t="n">
        <v>10921.0</v>
      </c>
      <c r="V153" s="3" t="n">
        <v>10740.0</v>
      </c>
      <c r="W153" s="3" t="n">
        <v>10712.0</v>
      </c>
      <c r="X153" s="3" t="n">
        <v>10313.0</v>
      </c>
      <c r="Y153" s="3" t="n">
        <v>10035.0</v>
      </c>
      <c r="Z153" s="3" t="n">
        <v>9909.0</v>
      </c>
      <c r="AA153" s="3" t="n">
        <v>10196.0</v>
      </c>
      <c r="AB153" s="3" t="n">
        <v>10378.0</v>
      </c>
      <c r="AC153" s="3" t="n">
        <v>10838.0</v>
      </c>
      <c r="AD153" s="3" t="n">
        <v>11134.0</v>
      </c>
      <c r="AE153" s="3" t="n">
        <v>12099.0</v>
      </c>
      <c r="AF153" s="3" t="n">
        <v>12464.0</v>
      </c>
      <c r="AG153" s="3" t="n">
        <v>12025.0</v>
      </c>
      <c r="AH153" s="3" t="n">
        <v>11605.0</v>
      </c>
      <c r="AI153" s="3" t="n">
        <v>11432.0</v>
      </c>
      <c r="AJ153" s="3" t="n">
        <v>10671.0</v>
      </c>
      <c r="AK153" s="3" t="n">
        <v>11053.0</v>
      </c>
      <c r="AL153" s="3" t="n">
        <v>10682.0</v>
      </c>
      <c r="AM153" s="3" t="n">
        <v>11100.0</v>
      </c>
      <c r="AN153" s="3" t="n">
        <v>11326.0</v>
      </c>
      <c r="AO153" s="3" t="n">
        <v>11075.0</v>
      </c>
    </row>
    <row r="154" spans="1:41" x14ac:dyDescent="0.2">
      <c r="A154" s="128"/>
      <c r="B154" s="9">
        <v>43</v>
      </c>
      <c r="C154" s="3" t="n">
        <v>19291.0</v>
      </c>
      <c r="D154" s="3" t="n">
        <v>19541.0</v>
      </c>
      <c r="E154" s="3" t="n">
        <v>18993.0</v>
      </c>
      <c r="F154" s="3" t="n">
        <v>19971.0</v>
      </c>
      <c r="G154" s="3" t="n">
        <v>20209.0</v>
      </c>
      <c r="H154" s="3" t="n">
        <v>19271.0</v>
      </c>
      <c r="I154" s="3" t="n">
        <v>18762.0</v>
      </c>
      <c r="J154" s="3" t="n">
        <v>17176.0</v>
      </c>
      <c r="K154" s="3" t="n">
        <v>16238.0</v>
      </c>
      <c r="L154" s="3" t="n">
        <v>15900.0</v>
      </c>
      <c r="M154" s="3" t="n">
        <v>15391.0</v>
      </c>
      <c r="N154" s="3" t="n">
        <v>15494.0</v>
      </c>
      <c r="O154" s="3" t="n">
        <v>15203.0</v>
      </c>
      <c r="P154" s="3" t="n">
        <v>14247.0</v>
      </c>
      <c r="Q154" s="3" t="n">
        <v>13787.0</v>
      </c>
      <c r="R154" s="3" t="n">
        <v>12987.0</v>
      </c>
      <c r="S154" s="3" t="n">
        <v>12294.0</v>
      </c>
      <c r="T154" s="3" t="n">
        <v>12252.0</v>
      </c>
      <c r="U154" s="3" t="n">
        <v>11452.0</v>
      </c>
      <c r="V154" s="3" t="n">
        <v>10881.0</v>
      </c>
      <c r="W154" s="3" t="n">
        <v>10701.0</v>
      </c>
      <c r="X154" s="3" t="n">
        <v>10671.0</v>
      </c>
      <c r="Y154" s="3" t="n">
        <v>10275.0</v>
      </c>
      <c r="Z154" s="3" t="n">
        <v>9997.0</v>
      </c>
      <c r="AA154" s="3" t="n">
        <v>9871.0</v>
      </c>
      <c r="AB154" s="3" t="n">
        <v>10157.0</v>
      </c>
      <c r="AC154" s="3" t="n">
        <v>10339.0</v>
      </c>
      <c r="AD154" s="3" t="n">
        <v>10798.0</v>
      </c>
      <c r="AE154" s="3" t="n">
        <v>11093.0</v>
      </c>
      <c r="AF154" s="3" t="n">
        <v>12053.0</v>
      </c>
      <c r="AG154" s="3" t="n">
        <v>12417.0</v>
      </c>
      <c r="AH154" s="3" t="n">
        <v>11981.0</v>
      </c>
      <c r="AI154" s="3" t="n">
        <v>11559.0</v>
      </c>
      <c r="AJ154" s="3" t="n">
        <v>11387.0</v>
      </c>
      <c r="AK154" s="3" t="n">
        <v>10631.0</v>
      </c>
      <c r="AL154" s="3" t="n">
        <v>11012.0</v>
      </c>
      <c r="AM154" s="3" t="n">
        <v>10642.0</v>
      </c>
      <c r="AN154" s="3" t="n">
        <v>11059.0</v>
      </c>
      <c r="AO154" s="3" t="n">
        <v>11285.0</v>
      </c>
    </row>
    <row r="155" spans="1:41" x14ac:dyDescent="0.2">
      <c r="A155" s="128"/>
      <c r="B155" s="9">
        <v>44</v>
      </c>
      <c r="C155" s="3" t="n">
        <v>19268.0</v>
      </c>
      <c r="D155" s="3" t="n">
        <v>19218.0</v>
      </c>
      <c r="E155" s="3" t="n">
        <v>19467.0</v>
      </c>
      <c r="F155" s="3" t="n">
        <v>18920.0</v>
      </c>
      <c r="G155" s="3" t="n">
        <v>19891.0</v>
      </c>
      <c r="H155" s="3" t="n">
        <v>20140.0</v>
      </c>
      <c r="I155" s="3" t="n">
        <v>19208.0</v>
      </c>
      <c r="J155" s="3" t="n">
        <v>18706.0</v>
      </c>
      <c r="K155" s="3" t="n">
        <v>17123.0</v>
      </c>
      <c r="L155" s="3" t="n">
        <v>16183.0</v>
      </c>
      <c r="M155" s="3" t="n">
        <v>15843.0</v>
      </c>
      <c r="N155" s="3" t="n">
        <v>15337.0</v>
      </c>
      <c r="O155" s="3" t="n">
        <v>15435.0</v>
      </c>
      <c r="P155" s="3" t="n">
        <v>15150.0</v>
      </c>
      <c r="Q155" s="3" t="n">
        <v>14194.0</v>
      </c>
      <c r="R155" s="3" t="n">
        <v>13733.0</v>
      </c>
      <c r="S155" s="3" t="n">
        <v>12941.0</v>
      </c>
      <c r="T155" s="3" t="n">
        <v>12251.0</v>
      </c>
      <c r="U155" s="3" t="n">
        <v>12210.0</v>
      </c>
      <c r="V155" s="3" t="n">
        <v>11417.0</v>
      </c>
      <c r="W155" s="3" t="n">
        <v>10847.0</v>
      </c>
      <c r="X155" s="3" t="n">
        <v>10662.0</v>
      </c>
      <c r="Y155" s="3" t="n">
        <v>10633.0</v>
      </c>
      <c r="Z155" s="3" t="n">
        <v>10240.0</v>
      </c>
      <c r="AA155" s="3" t="n">
        <v>9960.0</v>
      </c>
      <c r="AB155" s="3" t="n">
        <v>9832.0</v>
      </c>
      <c r="AC155" s="3" t="n">
        <v>10121.0</v>
      </c>
      <c r="AD155" s="3" t="n">
        <v>10305.0</v>
      </c>
      <c r="AE155" s="3" t="n">
        <v>10762.0</v>
      </c>
      <c r="AF155" s="3" t="n">
        <v>11058.0</v>
      </c>
      <c r="AG155" s="3" t="n">
        <v>12015.0</v>
      </c>
      <c r="AH155" s="3" t="n">
        <v>12374.0</v>
      </c>
      <c r="AI155" s="3" t="n">
        <v>11943.0</v>
      </c>
      <c r="AJ155" s="3" t="n">
        <v>11527.0</v>
      </c>
      <c r="AK155" s="3" t="n">
        <v>11352.0</v>
      </c>
      <c r="AL155" s="3" t="n">
        <v>10598.0</v>
      </c>
      <c r="AM155" s="3" t="n">
        <v>10975.0</v>
      </c>
      <c r="AN155" s="3" t="n">
        <v>10607.0</v>
      </c>
      <c r="AO155" s="3" t="n">
        <v>11026.0</v>
      </c>
    </row>
    <row r="156" spans="1:41" x14ac:dyDescent="0.2">
      <c r="A156" s="128"/>
      <c r="B156" s="9">
        <v>45</v>
      </c>
      <c r="C156" s="3" t="n">
        <v>19082.0</v>
      </c>
      <c r="D156" s="3" t="n">
        <v>19187.0</v>
      </c>
      <c r="E156" s="3" t="n">
        <v>19135.0</v>
      </c>
      <c r="F156" s="3" t="n">
        <v>19384.0</v>
      </c>
      <c r="G156" s="3" t="n">
        <v>18840.0</v>
      </c>
      <c r="H156" s="3" t="n">
        <v>19810.0</v>
      </c>
      <c r="I156" s="3" t="n">
        <v>20063.0</v>
      </c>
      <c r="J156" s="3" t="n">
        <v>19130.0</v>
      </c>
      <c r="K156" s="3" t="n">
        <v>18628.0</v>
      </c>
      <c r="L156" s="3" t="n">
        <v>17058.0</v>
      </c>
      <c r="M156" s="3" t="n">
        <v>16123.0</v>
      </c>
      <c r="N156" s="3" t="n">
        <v>15780.0</v>
      </c>
      <c r="O156" s="3" t="n">
        <v>15276.0</v>
      </c>
      <c r="P156" s="3" t="n">
        <v>15376.0</v>
      </c>
      <c r="Q156" s="3" t="n">
        <v>15096.0</v>
      </c>
      <c r="R156" s="3" t="n">
        <v>14143.0</v>
      </c>
      <c r="S156" s="3" t="n">
        <v>13682.0</v>
      </c>
      <c r="T156" s="3" t="n">
        <v>12895.0</v>
      </c>
      <c r="U156" s="3" t="n">
        <v>12203.0</v>
      </c>
      <c r="V156" s="3" t="n">
        <v>12158.0</v>
      </c>
      <c r="W156" s="3" t="n">
        <v>11370.0</v>
      </c>
      <c r="X156" s="3" t="n">
        <v>10806.0</v>
      </c>
      <c r="Y156" s="3" t="n">
        <v>10624.0</v>
      </c>
      <c r="Z156" s="3" t="n">
        <v>10590.0</v>
      </c>
      <c r="AA156" s="3" t="n">
        <v>10201.0</v>
      </c>
      <c r="AB156" s="3" t="n">
        <v>9923.0</v>
      </c>
      <c r="AC156" s="3" t="n">
        <v>9794.0</v>
      </c>
      <c r="AD156" s="3" t="n">
        <v>10080.0</v>
      </c>
      <c r="AE156" s="3" t="n">
        <v>10266.0</v>
      </c>
      <c r="AF156" s="3" t="n">
        <v>10717.0</v>
      </c>
      <c r="AG156" s="3" t="n">
        <v>11014.0</v>
      </c>
      <c r="AH156" s="3" t="n">
        <v>11966.0</v>
      </c>
      <c r="AI156" s="3" t="n">
        <v>12327.0</v>
      </c>
      <c r="AJ156" s="3" t="n">
        <v>11895.0</v>
      </c>
      <c r="AK156" s="3" t="n">
        <v>11480.0</v>
      </c>
      <c r="AL156" s="3" t="n">
        <v>11310.0</v>
      </c>
      <c r="AM156" s="3" t="n">
        <v>10559.0</v>
      </c>
      <c r="AN156" s="3" t="n">
        <v>10936.0</v>
      </c>
      <c r="AO156" s="3" t="n">
        <v>10567.0</v>
      </c>
    </row>
    <row r="157" spans="1:41" x14ac:dyDescent="0.2">
      <c r="A157" s="128"/>
      <c r="B157" s="9">
        <v>46</v>
      </c>
      <c r="C157" s="3" t="n">
        <v>18986.0</v>
      </c>
      <c r="D157" s="3" t="n">
        <v>18982.0</v>
      </c>
      <c r="E157" s="3" t="n">
        <v>19091.0</v>
      </c>
      <c r="F157" s="3" t="n">
        <v>19045.0</v>
      </c>
      <c r="G157" s="3" t="n">
        <v>19293.0</v>
      </c>
      <c r="H157" s="3" t="n">
        <v>18755.0</v>
      </c>
      <c r="I157" s="3" t="n">
        <v>19728.0</v>
      </c>
      <c r="J157" s="3" t="n">
        <v>19975.0</v>
      </c>
      <c r="K157" s="3" t="n">
        <v>19048.0</v>
      </c>
      <c r="L157" s="3" t="n">
        <v>18546.0</v>
      </c>
      <c r="M157" s="3" t="n">
        <v>16992.0</v>
      </c>
      <c r="N157" s="3" t="n">
        <v>16065.0</v>
      </c>
      <c r="O157" s="3" t="n">
        <v>15724.0</v>
      </c>
      <c r="P157" s="3" t="n">
        <v>15220.0</v>
      </c>
      <c r="Q157" s="3" t="n">
        <v>15324.0</v>
      </c>
      <c r="R157" s="3" t="n">
        <v>15040.0</v>
      </c>
      <c r="S157" s="3" t="n">
        <v>14095.0</v>
      </c>
      <c r="T157" s="3" t="n">
        <v>13634.0</v>
      </c>
      <c r="U157" s="3" t="n">
        <v>12849.0</v>
      </c>
      <c r="V157" s="3" t="n">
        <v>12168.0</v>
      </c>
      <c r="W157" s="3" t="n">
        <v>12117.0</v>
      </c>
      <c r="X157" s="3" t="n">
        <v>11330.0</v>
      </c>
      <c r="Y157" s="3" t="n">
        <v>10766.0</v>
      </c>
      <c r="Z157" s="3" t="n">
        <v>10591.0</v>
      </c>
      <c r="AA157" s="3" t="n">
        <v>10558.0</v>
      </c>
      <c r="AB157" s="3" t="n">
        <v>10168.0</v>
      </c>
      <c r="AC157" s="3" t="n">
        <v>9892.0</v>
      </c>
      <c r="AD157" s="3" t="n">
        <v>9762.0</v>
      </c>
      <c r="AE157" s="3" t="n">
        <v>10045.0</v>
      </c>
      <c r="AF157" s="3" t="n">
        <v>10232.0</v>
      </c>
      <c r="AG157" s="3" t="n">
        <v>10684.0</v>
      </c>
      <c r="AH157" s="3" t="n">
        <v>10975.0</v>
      </c>
      <c r="AI157" s="3" t="n">
        <v>11927.0</v>
      </c>
      <c r="AJ157" s="3" t="n">
        <v>12286.0</v>
      </c>
      <c r="AK157" s="3" t="n">
        <v>11852.0</v>
      </c>
      <c r="AL157" s="3" t="n">
        <v>11436.0</v>
      </c>
      <c r="AM157" s="3" t="n">
        <v>11270.0</v>
      </c>
      <c r="AN157" s="3" t="n">
        <v>10524.0</v>
      </c>
      <c r="AO157" s="3" t="n">
        <v>10897.0</v>
      </c>
    </row>
    <row r="158" spans="1:41" x14ac:dyDescent="0.2">
      <c r="A158" s="128"/>
      <c r="B158" s="9">
        <v>47</v>
      </c>
      <c r="C158" s="3" t="n">
        <v>18267.0</v>
      </c>
      <c r="D158" s="3" t="n">
        <v>18898.0</v>
      </c>
      <c r="E158" s="3" t="n">
        <v>18892.0</v>
      </c>
      <c r="F158" s="3" t="n">
        <v>19002.0</v>
      </c>
      <c r="G158" s="3" t="n">
        <v>18956.0</v>
      </c>
      <c r="H158" s="3" t="n">
        <v>19210.0</v>
      </c>
      <c r="I158" s="3" t="n">
        <v>18673.0</v>
      </c>
      <c r="J158" s="3" t="n">
        <v>19645.0</v>
      </c>
      <c r="K158" s="3" t="n">
        <v>19891.0</v>
      </c>
      <c r="L158" s="3" t="n">
        <v>18966.0</v>
      </c>
      <c r="M158" s="3" t="n">
        <v>18464.0</v>
      </c>
      <c r="N158" s="3" t="n">
        <v>16918.0</v>
      </c>
      <c r="O158" s="3" t="n">
        <v>16005.0</v>
      </c>
      <c r="P158" s="3" t="n">
        <v>15659.0</v>
      </c>
      <c r="Q158" s="3" t="n">
        <v>15158.0</v>
      </c>
      <c r="R158" s="3" t="n">
        <v>15258.0</v>
      </c>
      <c r="S158" s="3" t="n">
        <v>14971.0</v>
      </c>
      <c r="T158" s="3" t="n">
        <v>14033.0</v>
      </c>
      <c r="U158" s="3" t="n">
        <v>13570.0</v>
      </c>
      <c r="V158" s="3" t="n">
        <v>12791.0</v>
      </c>
      <c r="W158" s="3" t="n">
        <v>12117.0</v>
      </c>
      <c r="X158" s="3" t="n">
        <v>12065.0</v>
      </c>
      <c r="Y158" s="3" t="n">
        <v>11282.0</v>
      </c>
      <c r="Z158" s="3" t="n">
        <v>10723.0</v>
      </c>
      <c r="AA158" s="3" t="n">
        <v>10548.0</v>
      </c>
      <c r="AB158" s="3" t="n">
        <v>10510.0</v>
      </c>
      <c r="AC158" s="3" t="n">
        <v>10127.0</v>
      </c>
      <c r="AD158" s="3" t="n">
        <v>9853.0</v>
      </c>
      <c r="AE158" s="3" t="n">
        <v>9722.0</v>
      </c>
      <c r="AF158" s="3" t="n">
        <v>10002.0</v>
      </c>
      <c r="AG158" s="3" t="n">
        <v>10186.0</v>
      </c>
      <c r="AH158" s="3" t="n">
        <v>10642.0</v>
      </c>
      <c r="AI158" s="3" t="n">
        <v>10928.0</v>
      </c>
      <c r="AJ158" s="3" t="n">
        <v>11874.0</v>
      </c>
      <c r="AK158" s="3" t="n">
        <v>12231.0</v>
      </c>
      <c r="AL158" s="3" t="n">
        <v>11798.0</v>
      </c>
      <c r="AM158" s="3" t="n">
        <v>11386.0</v>
      </c>
      <c r="AN158" s="3" t="n">
        <v>11218.0</v>
      </c>
      <c r="AO158" s="3" t="n">
        <v>10477.0</v>
      </c>
    </row>
    <row r="159" spans="1:41" x14ac:dyDescent="0.2">
      <c r="A159" s="128"/>
      <c r="B159" s="9">
        <v>48</v>
      </c>
      <c r="C159" s="3" t="n">
        <v>17542.0</v>
      </c>
      <c r="D159" s="3" t="n">
        <v>18163.0</v>
      </c>
      <c r="E159" s="3" t="n">
        <v>18793.0</v>
      </c>
      <c r="F159" s="3" t="n">
        <v>18787.0</v>
      </c>
      <c r="G159" s="3" t="n">
        <v>18900.0</v>
      </c>
      <c r="H159" s="3" t="n">
        <v>18856.0</v>
      </c>
      <c r="I159" s="3" t="n">
        <v>19112.0</v>
      </c>
      <c r="J159" s="3" t="n">
        <v>18575.0</v>
      </c>
      <c r="K159" s="3" t="n">
        <v>19544.0</v>
      </c>
      <c r="L159" s="3" t="n">
        <v>19794.0</v>
      </c>
      <c r="M159" s="3" t="n">
        <v>18870.0</v>
      </c>
      <c r="N159" s="3" t="n">
        <v>18371.0</v>
      </c>
      <c r="O159" s="3" t="n">
        <v>16833.0</v>
      </c>
      <c r="P159" s="3" t="n">
        <v>15923.0</v>
      </c>
      <c r="Q159" s="3" t="n">
        <v>15584.0</v>
      </c>
      <c r="R159" s="3" t="n">
        <v>15083.0</v>
      </c>
      <c r="S159" s="3" t="n">
        <v>15185.0</v>
      </c>
      <c r="T159" s="3" t="n">
        <v>14901.0</v>
      </c>
      <c r="U159" s="3" t="n">
        <v>13967.0</v>
      </c>
      <c r="V159" s="3" t="n">
        <v>13511.0</v>
      </c>
      <c r="W159" s="3" t="n">
        <v>12743.0</v>
      </c>
      <c r="X159" s="3" t="n">
        <v>12071.0</v>
      </c>
      <c r="Y159" s="3" t="n">
        <v>12020.0</v>
      </c>
      <c r="Z159" s="3" t="n">
        <v>11234.0</v>
      </c>
      <c r="AA159" s="3" t="n">
        <v>10677.0</v>
      </c>
      <c r="AB159" s="3" t="n">
        <v>10504.0</v>
      </c>
      <c r="AC159" s="3" t="n">
        <v>10462.0</v>
      </c>
      <c r="AD159" s="3" t="n">
        <v>10081.0</v>
      </c>
      <c r="AE159" s="3" t="n">
        <v>9811.0</v>
      </c>
      <c r="AF159" s="3" t="n">
        <v>9683.0</v>
      </c>
      <c r="AG159" s="3" t="n">
        <v>9958.0</v>
      </c>
      <c r="AH159" s="3" t="n">
        <v>10139.0</v>
      </c>
      <c r="AI159" s="3" t="n">
        <v>10595.0</v>
      </c>
      <c r="AJ159" s="3" t="n">
        <v>10882.0</v>
      </c>
      <c r="AK159" s="3" t="n">
        <v>11828.0</v>
      </c>
      <c r="AL159" s="3" t="n">
        <v>12180.0</v>
      </c>
      <c r="AM159" s="3" t="n">
        <v>11748.0</v>
      </c>
      <c r="AN159" s="3" t="n">
        <v>11337.0</v>
      </c>
      <c r="AO159" s="3" t="n">
        <v>11168.0</v>
      </c>
    </row>
    <row r="160" spans="1:41" x14ac:dyDescent="0.2">
      <c r="A160" s="128"/>
      <c r="B160" s="9">
        <v>49</v>
      </c>
      <c r="C160" s="3" t="n">
        <v>16791.0</v>
      </c>
      <c r="D160" s="3" t="n">
        <v>17441.0</v>
      </c>
      <c r="E160" s="3" t="n">
        <v>18059.0</v>
      </c>
      <c r="F160" s="3" t="n">
        <v>18682.0</v>
      </c>
      <c r="G160" s="3" t="n">
        <v>18676.0</v>
      </c>
      <c r="H160" s="3" t="n">
        <v>18788.0</v>
      </c>
      <c r="I160" s="3" t="n">
        <v>18750.0</v>
      </c>
      <c r="J160" s="3" t="n">
        <v>19006.0</v>
      </c>
      <c r="K160" s="3" t="n">
        <v>18469.0</v>
      </c>
      <c r="L160" s="3" t="n">
        <v>19430.0</v>
      </c>
      <c r="M160" s="3" t="n">
        <v>19687.0</v>
      </c>
      <c r="N160" s="3" t="n">
        <v>18771.0</v>
      </c>
      <c r="O160" s="3" t="n">
        <v>18279.0</v>
      </c>
      <c r="P160" s="3" t="n">
        <v>16748.0</v>
      </c>
      <c r="Q160" s="3" t="n">
        <v>15842.0</v>
      </c>
      <c r="R160" s="3" t="n">
        <v>15503.0</v>
      </c>
      <c r="S160" s="3" t="n">
        <v>15007.0</v>
      </c>
      <c r="T160" s="3" t="n">
        <v>15105.0</v>
      </c>
      <c r="U160" s="3" t="n">
        <v>14827.0</v>
      </c>
      <c r="V160" s="3" t="n">
        <v>13899.0</v>
      </c>
      <c r="W160" s="3" t="n">
        <v>13445.0</v>
      </c>
      <c r="X160" s="3" t="n">
        <v>12681.0</v>
      </c>
      <c r="Y160" s="3" t="n">
        <v>12009.0</v>
      </c>
      <c r="Z160" s="3" t="n">
        <v>11957.0</v>
      </c>
      <c r="AA160" s="3" t="n">
        <v>11174.0</v>
      </c>
      <c r="AB160" s="3" t="n">
        <v>10620.0</v>
      </c>
      <c r="AC160" s="3" t="n">
        <v>10448.0</v>
      </c>
      <c r="AD160" s="3" t="n">
        <v>10409.0</v>
      </c>
      <c r="AE160" s="3" t="n">
        <v>10028.0</v>
      </c>
      <c r="AF160" s="3" t="n">
        <v>9763.0</v>
      </c>
      <c r="AG160" s="3" t="n">
        <v>9631.0</v>
      </c>
      <c r="AH160" s="3" t="n">
        <v>9904.0</v>
      </c>
      <c r="AI160" s="3" t="n">
        <v>10086.0</v>
      </c>
      <c r="AJ160" s="3" t="n">
        <v>10542.0</v>
      </c>
      <c r="AK160" s="3" t="n">
        <v>10830.0</v>
      </c>
      <c r="AL160" s="3" t="n">
        <v>11771.0</v>
      </c>
      <c r="AM160" s="3" t="n">
        <v>12119.0</v>
      </c>
      <c r="AN160" s="3" t="n">
        <v>11690.0</v>
      </c>
      <c r="AO160" s="3" t="n">
        <v>11281.0</v>
      </c>
    </row>
    <row r="161" spans="1:41" x14ac:dyDescent="0.2">
      <c r="A161" s="128"/>
      <c r="B161" s="9">
        <v>50</v>
      </c>
      <c r="C161" s="3" t="n">
        <v>16210.0</v>
      </c>
      <c r="D161" s="3" t="n">
        <v>16689.0</v>
      </c>
      <c r="E161" s="3" t="n">
        <v>17332.0</v>
      </c>
      <c r="F161" s="3" t="n">
        <v>17947.0</v>
      </c>
      <c r="G161" s="3" t="n">
        <v>18567.0</v>
      </c>
      <c r="H161" s="3" t="n">
        <v>18560.0</v>
      </c>
      <c r="I161" s="3" t="n">
        <v>18680.0</v>
      </c>
      <c r="J161" s="3" t="n">
        <v>18640.0</v>
      </c>
      <c r="K161" s="3" t="n">
        <v>18895.0</v>
      </c>
      <c r="L161" s="3" t="n">
        <v>18364.0</v>
      </c>
      <c r="M161" s="3" t="n">
        <v>19317.0</v>
      </c>
      <c r="N161" s="3" t="n">
        <v>19578.0</v>
      </c>
      <c r="O161" s="3" t="n">
        <v>18671.0</v>
      </c>
      <c r="P161" s="3" t="n">
        <v>18180.0</v>
      </c>
      <c r="Q161" s="3" t="n">
        <v>16665.0</v>
      </c>
      <c r="R161" s="3" t="n">
        <v>15766.0</v>
      </c>
      <c r="S161" s="3" t="n">
        <v>15429.0</v>
      </c>
      <c r="T161" s="3" t="n">
        <v>14935.0</v>
      </c>
      <c r="U161" s="3" t="n">
        <v>15030.0</v>
      </c>
      <c r="V161" s="3" t="n">
        <v>14752.0</v>
      </c>
      <c r="W161" s="3" t="n">
        <v>13829.0</v>
      </c>
      <c r="X161" s="3" t="n">
        <v>13377.0</v>
      </c>
      <c r="Y161" s="3" t="n">
        <v>12618.0</v>
      </c>
      <c r="Z161" s="3" t="n">
        <v>11946.0</v>
      </c>
      <c r="AA161" s="3" t="n">
        <v>11899.0</v>
      </c>
      <c r="AB161" s="3" t="n">
        <v>11117.0</v>
      </c>
      <c r="AC161" s="3" t="n">
        <v>10572.0</v>
      </c>
      <c r="AD161" s="3" t="n">
        <v>10396.0</v>
      </c>
      <c r="AE161" s="3" t="n">
        <v>10356.0</v>
      </c>
      <c r="AF161" s="3" t="n">
        <v>9979.0</v>
      </c>
      <c r="AG161" s="3" t="n">
        <v>9712.0</v>
      </c>
      <c r="AH161" s="3" t="n">
        <v>9580.0</v>
      </c>
      <c r="AI161" s="3" t="n">
        <v>9853.0</v>
      </c>
      <c r="AJ161" s="3" t="n">
        <v>10036.0</v>
      </c>
      <c r="AK161" s="3" t="n">
        <v>10487.0</v>
      </c>
      <c r="AL161" s="3" t="n">
        <v>10777.0</v>
      </c>
      <c r="AM161" s="3" t="n">
        <v>11714.0</v>
      </c>
      <c r="AN161" s="3" t="n">
        <v>12059.0</v>
      </c>
      <c r="AO161" s="3" t="n">
        <v>11632.0</v>
      </c>
    </row>
    <row r="162" spans="1:41" x14ac:dyDescent="0.2">
      <c r="A162" s="128"/>
      <c r="B162" s="9">
        <v>51</v>
      </c>
      <c r="C162" s="3" t="n">
        <v>15746.0</v>
      </c>
      <c r="D162" s="3" t="n">
        <v>16084.0</v>
      </c>
      <c r="E162" s="3" t="n">
        <v>16562.0</v>
      </c>
      <c r="F162" s="3" t="n">
        <v>17202.0</v>
      </c>
      <c r="G162" s="3" t="n">
        <v>17817.0</v>
      </c>
      <c r="H162" s="3" t="n">
        <v>18444.0</v>
      </c>
      <c r="I162" s="3" t="n">
        <v>18434.0</v>
      </c>
      <c r="J162" s="3" t="n">
        <v>18553.0</v>
      </c>
      <c r="K162" s="3" t="n">
        <v>18515.0</v>
      </c>
      <c r="L162" s="3" t="n">
        <v>18770.0</v>
      </c>
      <c r="M162" s="3" t="n">
        <v>18240.0</v>
      </c>
      <c r="N162" s="3" t="n">
        <v>19186.0</v>
      </c>
      <c r="O162" s="3" t="n">
        <v>19445.0</v>
      </c>
      <c r="P162" s="3" t="n">
        <v>18546.0</v>
      </c>
      <c r="Q162" s="3" t="n">
        <v>18061.0</v>
      </c>
      <c r="R162" s="3" t="n">
        <v>16552.0</v>
      </c>
      <c r="S162" s="3" t="n">
        <v>15664.0</v>
      </c>
      <c r="T162" s="3" t="n">
        <v>15330.0</v>
      </c>
      <c r="U162" s="3" t="n">
        <v>14843.0</v>
      </c>
      <c r="V162" s="3" t="n">
        <v>14933.0</v>
      </c>
      <c r="W162" s="3" t="n">
        <v>14661.0</v>
      </c>
      <c r="X162" s="3" t="n">
        <v>13743.0</v>
      </c>
      <c r="Y162" s="3" t="n">
        <v>13294.0</v>
      </c>
      <c r="Z162" s="3" t="n">
        <v>12542.0</v>
      </c>
      <c r="AA162" s="3" t="n">
        <v>11871.0</v>
      </c>
      <c r="AB162" s="3" t="n">
        <v>11822.0</v>
      </c>
      <c r="AC162" s="3" t="n">
        <v>11044.0</v>
      </c>
      <c r="AD162" s="3" t="n">
        <v>10497.0</v>
      </c>
      <c r="AE162" s="3" t="n">
        <v>10324.0</v>
      </c>
      <c r="AF162" s="3" t="n">
        <v>10284.0</v>
      </c>
      <c r="AG162" s="3" t="n">
        <v>9910.0</v>
      </c>
      <c r="AH162" s="3" t="n">
        <v>9643.0</v>
      </c>
      <c r="AI162" s="3" t="n">
        <v>9512.0</v>
      </c>
      <c r="AJ162" s="3" t="n">
        <v>9783.0</v>
      </c>
      <c r="AK162" s="3" t="n">
        <v>9965.0</v>
      </c>
      <c r="AL162" s="3" t="n">
        <v>10415.0</v>
      </c>
      <c r="AM162" s="3" t="n">
        <v>10707.0</v>
      </c>
      <c r="AN162" s="3" t="n">
        <v>11642.0</v>
      </c>
      <c r="AO162" s="3" t="n">
        <v>11986.0</v>
      </c>
    </row>
    <row r="163" spans="1:41" x14ac:dyDescent="0.2">
      <c r="A163" s="128"/>
      <c r="B163" s="9">
        <v>52</v>
      </c>
      <c r="C163" s="3" t="n">
        <v>14875.0</v>
      </c>
      <c r="D163" s="3" t="n">
        <v>15623.0</v>
      </c>
      <c r="E163" s="3" t="n">
        <v>15959.0</v>
      </c>
      <c r="F163" s="3" t="n">
        <v>16438.0</v>
      </c>
      <c r="G163" s="3" t="n">
        <v>17077.0</v>
      </c>
      <c r="H163" s="3" t="n">
        <v>17686.0</v>
      </c>
      <c r="I163" s="3" t="n">
        <v>18312.0</v>
      </c>
      <c r="J163" s="3" t="n">
        <v>18305.0</v>
      </c>
      <c r="K163" s="3" t="n">
        <v>18422.0</v>
      </c>
      <c r="L163" s="3" t="n">
        <v>18386.0</v>
      </c>
      <c r="M163" s="3" t="n">
        <v>18642.0</v>
      </c>
      <c r="N163" s="3" t="n">
        <v>18113.0</v>
      </c>
      <c r="O163" s="3" t="n">
        <v>19051.0</v>
      </c>
      <c r="P163" s="3" t="n">
        <v>19312.0</v>
      </c>
      <c r="Q163" s="3" t="n">
        <v>18427.0</v>
      </c>
      <c r="R163" s="3" t="n">
        <v>17942.0</v>
      </c>
      <c r="S163" s="3" t="n">
        <v>16445.0</v>
      </c>
      <c r="T163" s="3" t="n">
        <v>15567.0</v>
      </c>
      <c r="U163" s="3" t="n">
        <v>15233.0</v>
      </c>
      <c r="V163" s="3" t="n">
        <v>14751.0</v>
      </c>
      <c r="W163" s="3" t="n">
        <v>14838.0</v>
      </c>
      <c r="X163" s="3" t="n">
        <v>14569.0</v>
      </c>
      <c r="Y163" s="3" t="n">
        <v>13653.0</v>
      </c>
      <c r="Z163" s="3" t="n">
        <v>13208.0</v>
      </c>
      <c r="AA163" s="3" t="n">
        <v>12460.0</v>
      </c>
      <c r="AB163" s="3" t="n">
        <v>11793.0</v>
      </c>
      <c r="AC163" s="3" t="n">
        <v>11744.0</v>
      </c>
      <c r="AD163" s="3" t="n">
        <v>10978.0</v>
      </c>
      <c r="AE163" s="3" t="n">
        <v>10438.0</v>
      </c>
      <c r="AF163" s="3" t="n">
        <v>10265.0</v>
      </c>
      <c r="AG163" s="3" t="n">
        <v>10227.0</v>
      </c>
      <c r="AH163" s="3" t="n">
        <v>9855.0</v>
      </c>
      <c r="AI163" s="3" t="n">
        <v>9590.0</v>
      </c>
      <c r="AJ163" s="3" t="n">
        <v>9456.0</v>
      </c>
      <c r="AK163" s="3" t="n">
        <v>9725.0</v>
      </c>
      <c r="AL163" s="3" t="n">
        <v>9906.0</v>
      </c>
      <c r="AM163" s="3" t="n">
        <v>10353.0</v>
      </c>
      <c r="AN163" s="3" t="n">
        <v>10640.0</v>
      </c>
      <c r="AO163" s="3" t="n">
        <v>11569.0</v>
      </c>
    </row>
    <row r="164" spans="1:41" x14ac:dyDescent="0.2">
      <c r="A164" s="128"/>
      <c r="B164" s="9">
        <v>53</v>
      </c>
      <c r="C164" s="3" t="n">
        <v>14505.0</v>
      </c>
      <c r="D164" s="3" t="n">
        <v>14761.0</v>
      </c>
      <c r="E164" s="3" t="n">
        <v>15501.0</v>
      </c>
      <c r="F164" s="3" t="n">
        <v>15842.0</v>
      </c>
      <c r="G164" s="3" t="n">
        <v>16312.0</v>
      </c>
      <c r="H164" s="3" t="n">
        <v>16947.0</v>
      </c>
      <c r="I164" s="3" t="n">
        <v>17558.0</v>
      </c>
      <c r="J164" s="3" t="n">
        <v>18178.0</v>
      </c>
      <c r="K164" s="3" t="n">
        <v>18170.0</v>
      </c>
      <c r="L164" s="3" t="n">
        <v>18283.0</v>
      </c>
      <c r="M164" s="3" t="n">
        <v>18253.0</v>
      </c>
      <c r="N164" s="3" t="n">
        <v>18508.0</v>
      </c>
      <c r="O164" s="3" t="n">
        <v>17986.0</v>
      </c>
      <c r="P164" s="3" t="n">
        <v>18917.0</v>
      </c>
      <c r="Q164" s="3" t="n">
        <v>19177.0</v>
      </c>
      <c r="R164" s="3" t="n">
        <v>18297.0</v>
      </c>
      <c r="S164" s="3" t="n">
        <v>17821.0</v>
      </c>
      <c r="T164" s="3" t="n">
        <v>16334.0</v>
      </c>
      <c r="U164" s="3" t="n">
        <v>15465.0</v>
      </c>
      <c r="V164" s="3" t="n">
        <v>15138.0</v>
      </c>
      <c r="W164" s="3" t="n">
        <v>14658.0</v>
      </c>
      <c r="X164" s="3" t="n">
        <v>14748.0</v>
      </c>
      <c r="Y164" s="3" t="n">
        <v>14478.0</v>
      </c>
      <c r="Z164" s="3" t="n">
        <v>13572.0</v>
      </c>
      <c r="AA164" s="3" t="n">
        <v>13132.0</v>
      </c>
      <c r="AB164" s="3" t="n">
        <v>12385.0</v>
      </c>
      <c r="AC164" s="3" t="n">
        <v>11720.0</v>
      </c>
      <c r="AD164" s="3" t="n">
        <v>11670.0</v>
      </c>
      <c r="AE164" s="3" t="n">
        <v>10908.0</v>
      </c>
      <c r="AF164" s="3" t="n">
        <v>10370.0</v>
      </c>
      <c r="AG164" s="3" t="n">
        <v>10201.0</v>
      </c>
      <c r="AH164" s="3" t="n">
        <v>10165.0</v>
      </c>
      <c r="AI164" s="3" t="n">
        <v>9796.0</v>
      </c>
      <c r="AJ164" s="3" t="n">
        <v>9533.0</v>
      </c>
      <c r="AK164" s="3" t="n">
        <v>9399.0</v>
      </c>
      <c r="AL164" s="3" t="n">
        <v>9665.0</v>
      </c>
      <c r="AM164" s="3" t="n">
        <v>9846.0</v>
      </c>
      <c r="AN164" s="3" t="n">
        <v>10290.0</v>
      </c>
      <c r="AO164" s="3" t="n">
        <v>10575.0</v>
      </c>
    </row>
    <row r="165" spans="1:41" x14ac:dyDescent="0.2">
      <c r="A165" s="128"/>
      <c r="B165" s="9">
        <v>54</v>
      </c>
      <c r="C165" s="3" t="n">
        <v>14093.0</v>
      </c>
      <c r="D165" s="3" t="n">
        <v>14374.0</v>
      </c>
      <c r="E165" s="3" t="n">
        <v>14628.0</v>
      </c>
      <c r="F165" s="3" t="n">
        <v>15363.0</v>
      </c>
      <c r="G165" s="3" t="n">
        <v>15704.0</v>
      </c>
      <c r="H165" s="3" t="n">
        <v>16176.0</v>
      </c>
      <c r="I165" s="3" t="n">
        <v>16812.0</v>
      </c>
      <c r="J165" s="3" t="n">
        <v>17415.0</v>
      </c>
      <c r="K165" s="3" t="n">
        <v>18031.0</v>
      </c>
      <c r="L165" s="3" t="n">
        <v>18022.0</v>
      </c>
      <c r="M165" s="3" t="n">
        <v>18138.0</v>
      </c>
      <c r="N165" s="3" t="n">
        <v>18110.0</v>
      </c>
      <c r="O165" s="3" t="n">
        <v>18364.0</v>
      </c>
      <c r="P165" s="3" t="n">
        <v>17845.0</v>
      </c>
      <c r="Q165" s="3" t="n">
        <v>18771.0</v>
      </c>
      <c r="R165" s="3" t="n">
        <v>19029.0</v>
      </c>
      <c r="S165" s="3" t="n">
        <v>18154.0</v>
      </c>
      <c r="T165" s="3" t="n">
        <v>17691.0</v>
      </c>
      <c r="U165" s="3" t="n">
        <v>16217.0</v>
      </c>
      <c r="V165" s="3" t="n">
        <v>15357.0</v>
      </c>
      <c r="W165" s="3" t="n">
        <v>15031.0</v>
      </c>
      <c r="X165" s="3" t="n">
        <v>14555.0</v>
      </c>
      <c r="Y165" s="3" t="n">
        <v>14637.0</v>
      </c>
      <c r="Z165" s="3" t="n">
        <v>14375.0</v>
      </c>
      <c r="AA165" s="3" t="n">
        <v>13473.0</v>
      </c>
      <c r="AB165" s="3" t="n">
        <v>13035.0</v>
      </c>
      <c r="AC165" s="3" t="n">
        <v>12291.0</v>
      </c>
      <c r="AD165" s="3" t="n">
        <v>11634.0</v>
      </c>
      <c r="AE165" s="3" t="n">
        <v>11583.0</v>
      </c>
      <c r="AF165" s="3" t="n">
        <v>10830.0</v>
      </c>
      <c r="AG165" s="3" t="n">
        <v>10294.0</v>
      </c>
      <c r="AH165" s="3" t="n">
        <v>10126.0</v>
      </c>
      <c r="AI165" s="3" t="n">
        <v>10094.0</v>
      </c>
      <c r="AJ165" s="3" t="n">
        <v>9723.0</v>
      </c>
      <c r="AK165" s="3" t="n">
        <v>9460.0</v>
      </c>
      <c r="AL165" s="3" t="n">
        <v>9330.0</v>
      </c>
      <c r="AM165" s="3" t="n">
        <v>9596.0</v>
      </c>
      <c r="AN165" s="3" t="n">
        <v>9775.0</v>
      </c>
      <c r="AO165" s="3" t="n">
        <v>10218.0</v>
      </c>
    </row>
    <row r="166" spans="1:41" x14ac:dyDescent="0.2">
      <c r="A166" s="128"/>
      <c r="B166" s="9">
        <v>55</v>
      </c>
      <c r="C166" s="3" t="n">
        <v>13584.0</v>
      </c>
      <c r="D166" s="3" t="n">
        <v>13959.0</v>
      </c>
      <c r="E166" s="3" t="n">
        <v>14241.0</v>
      </c>
      <c r="F166" s="3" t="n">
        <v>14490.0</v>
      </c>
      <c r="G166" s="3" t="n">
        <v>15225.0</v>
      </c>
      <c r="H166" s="3" t="n">
        <v>15564.0</v>
      </c>
      <c r="I166" s="3" t="n">
        <v>16035.0</v>
      </c>
      <c r="J166" s="3" t="n">
        <v>16661.0</v>
      </c>
      <c r="K166" s="3" t="n">
        <v>17257.0</v>
      </c>
      <c r="L166" s="3" t="n">
        <v>17869.0</v>
      </c>
      <c r="M166" s="3" t="n">
        <v>17862.0</v>
      </c>
      <c r="N166" s="3" t="n">
        <v>17978.0</v>
      </c>
      <c r="O166" s="3" t="n">
        <v>17951.0</v>
      </c>
      <c r="P166" s="3" t="n">
        <v>18208.0</v>
      </c>
      <c r="Q166" s="3" t="n">
        <v>17695.0</v>
      </c>
      <c r="R166" s="3" t="n">
        <v>18609.0</v>
      </c>
      <c r="S166" s="3" t="n">
        <v>18864.0</v>
      </c>
      <c r="T166" s="3" t="n">
        <v>18002.0</v>
      </c>
      <c r="U166" s="3" t="n">
        <v>17549.0</v>
      </c>
      <c r="V166" s="3" t="n">
        <v>16093.0</v>
      </c>
      <c r="W166" s="3" t="n">
        <v>15234.0</v>
      </c>
      <c r="X166" s="3" t="n">
        <v>14907.0</v>
      </c>
      <c r="Y166" s="3" t="n">
        <v>14436.0</v>
      </c>
      <c r="Z166" s="3" t="n">
        <v>14518.0</v>
      </c>
      <c r="AA166" s="3" t="n">
        <v>14264.0</v>
      </c>
      <c r="AB166" s="3" t="n">
        <v>13373.0</v>
      </c>
      <c r="AC166" s="3" t="n">
        <v>12942.0</v>
      </c>
      <c r="AD166" s="3" t="n">
        <v>12202.0</v>
      </c>
      <c r="AE166" s="3" t="n">
        <v>11551.0</v>
      </c>
      <c r="AF166" s="3" t="n">
        <v>11502.0</v>
      </c>
      <c r="AG166" s="3" t="n">
        <v>10752.0</v>
      </c>
      <c r="AH166" s="3" t="n">
        <v>10220.0</v>
      </c>
      <c r="AI166" s="3" t="n">
        <v>10053.0</v>
      </c>
      <c r="AJ166" s="3" t="n">
        <v>10021.0</v>
      </c>
      <c r="AK166" s="3" t="n">
        <v>9654.0</v>
      </c>
      <c r="AL166" s="3" t="n">
        <v>9393.0</v>
      </c>
      <c r="AM166" s="3" t="n">
        <v>9263.0</v>
      </c>
      <c r="AN166" s="3" t="n">
        <v>9529.0</v>
      </c>
      <c r="AO166" s="3" t="n">
        <v>9706.0</v>
      </c>
    </row>
    <row r="167" spans="1:41" x14ac:dyDescent="0.2">
      <c r="A167" s="128"/>
      <c r="B167" s="9">
        <v>56</v>
      </c>
      <c r="C167" s="3" t="n">
        <v>13432.0</v>
      </c>
      <c r="D167" s="3" t="n">
        <v>13434.0</v>
      </c>
      <c r="E167" s="3" t="n">
        <v>13805.0</v>
      </c>
      <c r="F167" s="3" t="n">
        <v>14087.0</v>
      </c>
      <c r="G167" s="3" t="n">
        <v>14331.0</v>
      </c>
      <c r="H167" s="3" t="n">
        <v>15062.0</v>
      </c>
      <c r="I167" s="3" t="n">
        <v>15400.0</v>
      </c>
      <c r="J167" s="3" t="n">
        <v>15871.0</v>
      </c>
      <c r="K167" s="3" t="n">
        <v>16496.0</v>
      </c>
      <c r="L167" s="3" t="n">
        <v>17086.0</v>
      </c>
      <c r="M167" s="3" t="n">
        <v>17696.0</v>
      </c>
      <c r="N167" s="3" t="n">
        <v>17684.0</v>
      </c>
      <c r="O167" s="3" t="n">
        <v>17801.0</v>
      </c>
      <c r="P167" s="3" t="n">
        <v>17776.0</v>
      </c>
      <c r="Q167" s="3" t="n">
        <v>18033.0</v>
      </c>
      <c r="R167" s="3" t="n">
        <v>17526.0</v>
      </c>
      <c r="S167" s="3" t="n">
        <v>18431.0</v>
      </c>
      <c r="T167" s="3" t="n">
        <v>18683.0</v>
      </c>
      <c r="U167" s="3" t="n">
        <v>17836.0</v>
      </c>
      <c r="V167" s="3" t="n">
        <v>17385.0</v>
      </c>
      <c r="W167" s="3" t="n">
        <v>15947.0</v>
      </c>
      <c r="X167" s="3" t="n">
        <v>15095.0</v>
      </c>
      <c r="Y167" s="3" t="n">
        <v>14774.0</v>
      </c>
      <c r="Z167" s="3" t="n">
        <v>14306.0</v>
      </c>
      <c r="AA167" s="3" t="n">
        <v>14383.0</v>
      </c>
      <c r="AB167" s="3" t="n">
        <v>14134.0</v>
      </c>
      <c r="AC167" s="3" t="n">
        <v>13250.0</v>
      </c>
      <c r="AD167" s="3" t="n">
        <v>12826.0</v>
      </c>
      <c r="AE167" s="3" t="n">
        <v>12095.0</v>
      </c>
      <c r="AF167" s="3" t="n">
        <v>11449.0</v>
      </c>
      <c r="AG167" s="3" t="n">
        <v>11405.0</v>
      </c>
      <c r="AH167" s="3" t="n">
        <v>10664.0</v>
      </c>
      <c r="AI167" s="3" t="n">
        <v>10132.0</v>
      </c>
      <c r="AJ167" s="3" t="n">
        <v>9968.0</v>
      </c>
      <c r="AK167" s="3" t="n">
        <v>9940.0</v>
      </c>
      <c r="AL167" s="3" t="n">
        <v>9574.0</v>
      </c>
      <c r="AM167" s="3" t="n">
        <v>9316.0</v>
      </c>
      <c r="AN167" s="3" t="n">
        <v>9185.0</v>
      </c>
      <c r="AO167" s="3" t="n">
        <v>9451.0</v>
      </c>
    </row>
    <row r="168" spans="1:41" x14ac:dyDescent="0.2">
      <c r="A168" s="128"/>
      <c r="B168" s="9">
        <v>57</v>
      </c>
      <c r="C168" s="3" t="n">
        <v>13347.0</v>
      </c>
      <c r="D168" s="3" t="n">
        <v>13260.0</v>
      </c>
      <c r="E168" s="3" t="n">
        <v>13269.0</v>
      </c>
      <c r="F168" s="3" t="n">
        <v>13635.0</v>
      </c>
      <c r="G168" s="3" t="n">
        <v>13913.0</v>
      </c>
      <c r="H168" s="3" t="n">
        <v>14161.0</v>
      </c>
      <c r="I168" s="3" t="n">
        <v>14884.0</v>
      </c>
      <c r="J168" s="3" t="n">
        <v>15219.0</v>
      </c>
      <c r="K168" s="3" t="n">
        <v>15683.0</v>
      </c>
      <c r="L168" s="3" t="n">
        <v>16308.0</v>
      </c>
      <c r="M168" s="3" t="n">
        <v>16895.0</v>
      </c>
      <c r="N168" s="3" t="n">
        <v>17497.0</v>
      </c>
      <c r="O168" s="3" t="n">
        <v>17489.0</v>
      </c>
      <c r="P168" s="3" t="n">
        <v>17607.0</v>
      </c>
      <c r="Q168" s="3" t="n">
        <v>17584.0</v>
      </c>
      <c r="R168" s="3" t="n">
        <v>17836.0</v>
      </c>
      <c r="S168" s="3" t="n">
        <v>17337.0</v>
      </c>
      <c r="T168" s="3" t="n">
        <v>18229.0</v>
      </c>
      <c r="U168" s="3" t="n">
        <v>18481.0</v>
      </c>
      <c r="V168" s="3" t="n">
        <v>17644.0</v>
      </c>
      <c r="W168" s="3" t="n">
        <v>17201.0</v>
      </c>
      <c r="X168" s="3" t="n">
        <v>15780.0</v>
      </c>
      <c r="Y168" s="3" t="n">
        <v>14936.0</v>
      </c>
      <c r="Z168" s="3" t="n">
        <v>14615.0</v>
      </c>
      <c r="AA168" s="3" t="n">
        <v>14155.0</v>
      </c>
      <c r="AB168" s="3" t="n">
        <v>14230.0</v>
      </c>
      <c r="AC168" s="3" t="n">
        <v>13983.0</v>
      </c>
      <c r="AD168" s="3" t="n">
        <v>13110.0</v>
      </c>
      <c r="AE168" s="3" t="n">
        <v>12691.0</v>
      </c>
      <c r="AF168" s="3" t="n">
        <v>11968.0</v>
      </c>
      <c r="AG168" s="3" t="n">
        <v>11327.0</v>
      </c>
      <c r="AH168" s="3" t="n">
        <v>11286.0</v>
      </c>
      <c r="AI168" s="3" t="n">
        <v>10555.0</v>
      </c>
      <c r="AJ168" s="3" t="n">
        <v>10028.0</v>
      </c>
      <c r="AK168" s="3" t="n">
        <v>9865.0</v>
      </c>
      <c r="AL168" s="3" t="n">
        <v>9837.0</v>
      </c>
      <c r="AM168" s="3" t="n">
        <v>9480.0</v>
      </c>
      <c r="AN168" s="3" t="n">
        <v>9222.0</v>
      </c>
      <c r="AO168" s="3" t="n">
        <v>9093.0</v>
      </c>
    </row>
    <row r="169" spans="1:41" x14ac:dyDescent="0.2">
      <c r="A169" s="128"/>
      <c r="B169" s="9">
        <v>58</v>
      </c>
      <c r="C169" s="3" t="n">
        <v>13545.0</v>
      </c>
      <c r="D169" s="3" t="n">
        <v>13174.0</v>
      </c>
      <c r="E169" s="3" t="n">
        <v>13089.0</v>
      </c>
      <c r="F169" s="3" t="n">
        <v>13102.0</v>
      </c>
      <c r="G169" s="3" t="n">
        <v>13461.0</v>
      </c>
      <c r="H169" s="3" t="n">
        <v>13736.0</v>
      </c>
      <c r="I169" s="3" t="n">
        <v>13982.0</v>
      </c>
      <c r="J169" s="3" t="n">
        <v>14704.0</v>
      </c>
      <c r="K169" s="3" t="n">
        <v>15034.0</v>
      </c>
      <c r="L169" s="3" t="n">
        <v>15490.0</v>
      </c>
      <c r="M169" s="3" t="n">
        <v>16110.0</v>
      </c>
      <c r="N169" s="3" t="n">
        <v>16689.0</v>
      </c>
      <c r="O169" s="3" t="n">
        <v>17283.0</v>
      </c>
      <c r="P169" s="3" t="n">
        <v>17274.0</v>
      </c>
      <c r="Q169" s="3" t="n">
        <v>17393.0</v>
      </c>
      <c r="R169" s="3" t="n">
        <v>17373.0</v>
      </c>
      <c r="S169" s="3" t="n">
        <v>17622.0</v>
      </c>
      <c r="T169" s="3" t="n">
        <v>17132.0</v>
      </c>
      <c r="U169" s="3" t="n">
        <v>18013.0</v>
      </c>
      <c r="V169" s="3" t="n">
        <v>18265.0</v>
      </c>
      <c r="W169" s="3" t="n">
        <v>17436.0</v>
      </c>
      <c r="X169" s="3" t="n">
        <v>17001.0</v>
      </c>
      <c r="Y169" s="3" t="n">
        <v>15599.0</v>
      </c>
      <c r="Z169" s="3" t="n">
        <v>14766.0</v>
      </c>
      <c r="AA169" s="3" t="n">
        <v>14452.0</v>
      </c>
      <c r="AB169" s="3" t="n">
        <v>13999.0</v>
      </c>
      <c r="AC169" s="3" t="n">
        <v>14074.0</v>
      </c>
      <c r="AD169" s="3" t="n">
        <v>13829.0</v>
      </c>
      <c r="AE169" s="3" t="n">
        <v>12969.0</v>
      </c>
      <c r="AF169" s="3" t="n">
        <v>12555.0</v>
      </c>
      <c r="AG169" s="3" t="n">
        <v>11838.0</v>
      </c>
      <c r="AH169" s="3" t="n">
        <v>11207.0</v>
      </c>
      <c r="AI169" s="3" t="n">
        <v>11168.0</v>
      </c>
      <c r="AJ169" s="3" t="n">
        <v>10446.0</v>
      </c>
      <c r="AK169" s="3" t="n">
        <v>9923.0</v>
      </c>
      <c r="AL169" s="3" t="n">
        <v>9759.0</v>
      </c>
      <c r="AM169" s="3" t="n">
        <v>9731.0</v>
      </c>
      <c r="AN169" s="3" t="n">
        <v>9378.0</v>
      </c>
      <c r="AO169" s="3" t="n">
        <v>9125.0</v>
      </c>
    </row>
    <row r="170" spans="1:41" x14ac:dyDescent="0.2">
      <c r="A170" s="128"/>
      <c r="B170" s="9">
        <v>59</v>
      </c>
      <c r="C170" s="3" t="n">
        <v>13672.0</v>
      </c>
      <c r="D170" s="3" t="n">
        <v>13352.0</v>
      </c>
      <c r="E170" s="3" t="n">
        <v>12993.0</v>
      </c>
      <c r="F170" s="3" t="n">
        <v>12909.0</v>
      </c>
      <c r="G170" s="3" t="n">
        <v>12919.0</v>
      </c>
      <c r="H170" s="3" t="n">
        <v>13279.0</v>
      </c>
      <c r="I170" s="3" t="n">
        <v>13550.0</v>
      </c>
      <c r="J170" s="3" t="n">
        <v>13789.0</v>
      </c>
      <c r="K170" s="3" t="n">
        <v>14507.0</v>
      </c>
      <c r="L170" s="3" t="n">
        <v>14828.0</v>
      </c>
      <c r="M170" s="3" t="n">
        <v>15281.0</v>
      </c>
      <c r="N170" s="3" t="n">
        <v>15899.0</v>
      </c>
      <c r="O170" s="3" t="n">
        <v>16471.0</v>
      </c>
      <c r="P170" s="3" t="n">
        <v>17055.0</v>
      </c>
      <c r="Q170" s="3" t="n">
        <v>17051.0</v>
      </c>
      <c r="R170" s="3" t="n">
        <v>17167.0</v>
      </c>
      <c r="S170" s="3" t="n">
        <v>17149.0</v>
      </c>
      <c r="T170" s="3" t="n">
        <v>17397.0</v>
      </c>
      <c r="U170" s="3" t="n">
        <v>16915.0</v>
      </c>
      <c r="V170" s="3" t="n">
        <v>17784.0</v>
      </c>
      <c r="W170" s="3" t="n">
        <v>18034.0</v>
      </c>
      <c r="X170" s="3" t="n">
        <v>17220.0</v>
      </c>
      <c r="Y170" s="3" t="n">
        <v>16792.0</v>
      </c>
      <c r="Z170" s="3" t="n">
        <v>15406.0</v>
      </c>
      <c r="AA170" s="3" t="n">
        <v>14586.0</v>
      </c>
      <c r="AB170" s="3" t="n">
        <v>14281.0</v>
      </c>
      <c r="AC170" s="3" t="n">
        <v>13833.0</v>
      </c>
      <c r="AD170" s="3" t="n">
        <v>13907.0</v>
      </c>
      <c r="AE170" s="3" t="n">
        <v>13664.0</v>
      </c>
      <c r="AF170" s="3" t="n">
        <v>12817.0</v>
      </c>
      <c r="AG170" s="3" t="n">
        <v>12403.0</v>
      </c>
      <c r="AH170" s="3" t="n">
        <v>11698.0</v>
      </c>
      <c r="AI170" s="3" t="n">
        <v>11072.0</v>
      </c>
      <c r="AJ170" s="3" t="n">
        <v>11035.0</v>
      </c>
      <c r="AK170" s="3" t="n">
        <v>10324.0</v>
      </c>
      <c r="AL170" s="3" t="n">
        <v>9805.0</v>
      </c>
      <c r="AM170" s="3" t="n">
        <v>9642.0</v>
      </c>
      <c r="AN170" s="3" t="n">
        <v>9613.0</v>
      </c>
      <c r="AO170" s="3" t="n">
        <v>9266.0</v>
      </c>
    </row>
    <row r="171" spans="1:41" x14ac:dyDescent="0.2">
      <c r="A171" s="128"/>
      <c r="B171" s="9">
        <v>60</v>
      </c>
      <c r="C171" s="3" t="n">
        <v>13814.0</v>
      </c>
      <c r="D171" s="3" t="n">
        <v>13462.0</v>
      </c>
      <c r="E171" s="3" t="n">
        <v>13153.0</v>
      </c>
      <c r="F171" s="3" t="n">
        <v>12802.0</v>
      </c>
      <c r="G171" s="3" t="n">
        <v>12716.0</v>
      </c>
      <c r="H171" s="3" t="n">
        <v>12729.0</v>
      </c>
      <c r="I171" s="3" t="n">
        <v>13089.0</v>
      </c>
      <c r="J171" s="3" t="n">
        <v>13350.0</v>
      </c>
      <c r="K171" s="3" t="n">
        <v>13591.0</v>
      </c>
      <c r="L171" s="3" t="n">
        <v>14298.0</v>
      </c>
      <c r="M171" s="3" t="n">
        <v>14618.0</v>
      </c>
      <c r="N171" s="3" t="n">
        <v>15065.0</v>
      </c>
      <c r="O171" s="3" t="n">
        <v>15678.0</v>
      </c>
      <c r="P171" s="3" t="n">
        <v>16243.0</v>
      </c>
      <c r="Q171" s="3" t="n">
        <v>16812.0</v>
      </c>
      <c r="R171" s="3" t="n">
        <v>16811.0</v>
      </c>
      <c r="S171" s="3" t="n">
        <v>16928.0</v>
      </c>
      <c r="T171" s="3" t="n">
        <v>16911.0</v>
      </c>
      <c r="U171" s="3" t="n">
        <v>17160.0</v>
      </c>
      <c r="V171" s="3" t="n">
        <v>16685.0</v>
      </c>
      <c r="W171" s="3" t="n">
        <v>17540.0</v>
      </c>
      <c r="X171" s="3" t="n">
        <v>17790.0</v>
      </c>
      <c r="Y171" s="3" t="n">
        <v>16989.0</v>
      </c>
      <c r="Z171" s="3" t="n">
        <v>16570.0</v>
      </c>
      <c r="AA171" s="3" t="n">
        <v>15205.0</v>
      </c>
      <c r="AB171" s="3" t="n">
        <v>14396.0</v>
      </c>
      <c r="AC171" s="3" t="n">
        <v>14095.0</v>
      </c>
      <c r="AD171" s="3" t="n">
        <v>13654.0</v>
      </c>
      <c r="AE171" s="3" t="n">
        <v>13725.0</v>
      </c>
      <c r="AF171" s="3" t="n">
        <v>13489.0</v>
      </c>
      <c r="AG171" s="3" t="n">
        <v>12654.0</v>
      </c>
      <c r="AH171" s="3" t="n">
        <v>12247.0</v>
      </c>
      <c r="AI171" s="3" t="n">
        <v>11551.0</v>
      </c>
      <c r="AJ171" s="3" t="n">
        <v>10932.0</v>
      </c>
      <c r="AK171" s="3" t="n">
        <v>10897.0</v>
      </c>
      <c r="AL171" s="3" t="n">
        <v>10194.0</v>
      </c>
      <c r="AM171" s="3" t="n">
        <v>9682.0</v>
      </c>
      <c r="AN171" s="3" t="n">
        <v>9523.0</v>
      </c>
      <c r="AO171" s="3" t="n">
        <v>9493.0</v>
      </c>
    </row>
    <row r="172" spans="1:41" x14ac:dyDescent="0.2">
      <c r="A172" s="128"/>
      <c r="B172" s="9">
        <v>61</v>
      </c>
      <c r="C172" s="3" t="n">
        <v>14100.0</v>
      </c>
      <c r="D172" s="3" t="n">
        <v>13575.0</v>
      </c>
      <c r="E172" s="3" t="n">
        <v>13233.0</v>
      </c>
      <c r="F172" s="3" t="n">
        <v>12930.0</v>
      </c>
      <c r="G172" s="3" t="n">
        <v>12584.0</v>
      </c>
      <c r="H172" s="3" t="n">
        <v>12503.0</v>
      </c>
      <c r="I172" s="3" t="n">
        <v>12523.0</v>
      </c>
      <c r="J172" s="3" t="n">
        <v>12875.0</v>
      </c>
      <c r="K172" s="3" t="n">
        <v>13132.0</v>
      </c>
      <c r="L172" s="3" t="n">
        <v>13370.0</v>
      </c>
      <c r="M172" s="3" t="n">
        <v>14067.0</v>
      </c>
      <c r="N172" s="3" t="n">
        <v>14382.0</v>
      </c>
      <c r="O172" s="3" t="n">
        <v>14829.0</v>
      </c>
      <c r="P172" s="3" t="n">
        <v>15434.0</v>
      </c>
      <c r="Q172" s="3" t="n">
        <v>15988.0</v>
      </c>
      <c r="R172" s="3" t="n">
        <v>16553.0</v>
      </c>
      <c r="S172" s="3" t="n">
        <v>16555.0</v>
      </c>
      <c r="T172" s="3" t="n">
        <v>16669.0</v>
      </c>
      <c r="U172" s="3" t="n">
        <v>16654.0</v>
      </c>
      <c r="V172" s="3" t="n">
        <v>16900.0</v>
      </c>
      <c r="W172" s="3" t="n">
        <v>16436.0</v>
      </c>
      <c r="X172" s="3" t="n">
        <v>17280.0</v>
      </c>
      <c r="Y172" s="3" t="n">
        <v>17534.0</v>
      </c>
      <c r="Z172" s="3" t="n">
        <v>16740.0</v>
      </c>
      <c r="AA172" s="3" t="n">
        <v>16329.0</v>
      </c>
      <c r="AB172" s="3" t="n">
        <v>14985.0</v>
      </c>
      <c r="AC172" s="3" t="n">
        <v>14187.0</v>
      </c>
      <c r="AD172" s="3" t="n">
        <v>13891.0</v>
      </c>
      <c r="AE172" s="3" t="n">
        <v>13458.0</v>
      </c>
      <c r="AF172" s="3" t="n">
        <v>13527.0</v>
      </c>
      <c r="AG172" s="3" t="n">
        <v>13296.0</v>
      </c>
      <c r="AH172" s="3" t="n">
        <v>12468.0</v>
      </c>
      <c r="AI172" s="3" t="n">
        <v>12069.0</v>
      </c>
      <c r="AJ172" s="3" t="n">
        <v>11383.0</v>
      </c>
      <c r="AK172" s="3" t="n">
        <v>10782.0</v>
      </c>
      <c r="AL172" s="3" t="n">
        <v>10745.0</v>
      </c>
      <c r="AM172" s="3" t="n">
        <v>10055.0</v>
      </c>
      <c r="AN172" s="3" t="n">
        <v>9551.0</v>
      </c>
      <c r="AO172" s="3" t="n">
        <v>9397.0</v>
      </c>
    </row>
    <row r="173" spans="1:41" x14ac:dyDescent="0.2">
      <c r="A173" s="128"/>
      <c r="B173" s="9">
        <v>62</v>
      </c>
      <c r="C173" s="3" t="n">
        <v>14540.0</v>
      </c>
      <c r="D173" s="3" t="n">
        <v>13841.0</v>
      </c>
      <c r="E173" s="3" t="n">
        <v>13325.0</v>
      </c>
      <c r="F173" s="3" t="n">
        <v>12993.0</v>
      </c>
      <c r="G173" s="3" t="n">
        <v>12699.0</v>
      </c>
      <c r="H173" s="3" t="n">
        <v>12366.0</v>
      </c>
      <c r="I173" s="3" t="n">
        <v>12290.0</v>
      </c>
      <c r="J173" s="3" t="n">
        <v>12306.0</v>
      </c>
      <c r="K173" s="3" t="n">
        <v>12647.0</v>
      </c>
      <c r="L173" s="3" t="n">
        <v>12903.0</v>
      </c>
      <c r="M173" s="3" t="n">
        <v>13138.0</v>
      </c>
      <c r="N173" s="3" t="n">
        <v>13823.0</v>
      </c>
      <c r="O173" s="3" t="n">
        <v>14137.0</v>
      </c>
      <c r="P173" s="3" t="n">
        <v>14576.0</v>
      </c>
      <c r="Q173" s="3" t="n">
        <v>15173.0</v>
      </c>
      <c r="R173" s="3" t="n">
        <v>15719.0</v>
      </c>
      <c r="S173" s="3" t="n">
        <v>16275.0</v>
      </c>
      <c r="T173" s="3" t="n">
        <v>16279.0</v>
      </c>
      <c r="U173" s="3" t="n">
        <v>16394.0</v>
      </c>
      <c r="V173" s="3" t="n">
        <v>16380.0</v>
      </c>
      <c r="W173" s="3" t="n">
        <v>16623.0</v>
      </c>
      <c r="X173" s="3" t="n">
        <v>16169.0</v>
      </c>
      <c r="Y173" s="3" t="n">
        <v>17001.0</v>
      </c>
      <c r="Z173" s="3" t="n">
        <v>17250.0</v>
      </c>
      <c r="AA173" s="3" t="n">
        <v>16469.0</v>
      </c>
      <c r="AB173" s="3" t="n">
        <v>16068.0</v>
      </c>
      <c r="AC173" s="3" t="n">
        <v>14752.0</v>
      </c>
      <c r="AD173" s="3" t="n">
        <v>13963.0</v>
      </c>
      <c r="AE173" s="3" t="n">
        <v>13673.0</v>
      </c>
      <c r="AF173" s="3" t="n">
        <v>13250.0</v>
      </c>
      <c r="AG173" s="3" t="n">
        <v>13321.0</v>
      </c>
      <c r="AH173" s="3" t="n">
        <v>13092.0</v>
      </c>
      <c r="AI173" s="3" t="n">
        <v>12276.0</v>
      </c>
      <c r="AJ173" s="3" t="n">
        <v>11890.0</v>
      </c>
      <c r="AK173" s="3" t="n">
        <v>11212.0</v>
      </c>
      <c r="AL173" s="3" t="n">
        <v>10618.0</v>
      </c>
      <c r="AM173" s="3" t="n">
        <v>10582.0</v>
      </c>
      <c r="AN173" s="3" t="n">
        <v>9901.0</v>
      </c>
      <c r="AO173" s="3" t="n">
        <v>9402.0</v>
      </c>
    </row>
    <row r="174" spans="1:41" x14ac:dyDescent="0.2">
      <c r="A174" s="128"/>
      <c r="B174" s="9">
        <v>63</v>
      </c>
      <c r="C174" s="3" t="n">
        <v>15633.0</v>
      </c>
      <c r="D174" s="3" t="n">
        <v>14247.0</v>
      </c>
      <c r="E174" s="3" t="n">
        <v>13571.0</v>
      </c>
      <c r="F174" s="3" t="n">
        <v>13062.0</v>
      </c>
      <c r="G174" s="3" t="n">
        <v>12742.0</v>
      </c>
      <c r="H174" s="3" t="n">
        <v>12462.0</v>
      </c>
      <c r="I174" s="3" t="n">
        <v>12133.0</v>
      </c>
      <c r="J174" s="3" t="n">
        <v>12063.0</v>
      </c>
      <c r="K174" s="3" t="n">
        <v>12077.0</v>
      </c>
      <c r="L174" s="3" t="n">
        <v>12412.0</v>
      </c>
      <c r="M174" s="3" t="n">
        <v>12665.0</v>
      </c>
      <c r="N174" s="3" t="n">
        <v>12894.0</v>
      </c>
      <c r="O174" s="3" t="n">
        <v>13571.0</v>
      </c>
      <c r="P174" s="3" t="n">
        <v>13880.0</v>
      </c>
      <c r="Q174" s="3" t="n">
        <v>14313.0</v>
      </c>
      <c r="R174" s="3" t="n">
        <v>14900.0</v>
      </c>
      <c r="S174" s="3" t="n">
        <v>15435.0</v>
      </c>
      <c r="T174" s="3" t="n">
        <v>15979.0</v>
      </c>
      <c r="U174" s="3" t="n">
        <v>15983.0</v>
      </c>
      <c r="V174" s="3" t="n">
        <v>16100.0</v>
      </c>
      <c r="W174" s="3" t="n">
        <v>16090.0</v>
      </c>
      <c r="X174" s="3" t="n">
        <v>16331.0</v>
      </c>
      <c r="Y174" s="3" t="n">
        <v>15882.0</v>
      </c>
      <c r="Z174" s="3" t="n">
        <v>16699.0</v>
      </c>
      <c r="AA174" s="3" t="n">
        <v>16947.0</v>
      </c>
      <c r="AB174" s="3" t="n">
        <v>16180.0</v>
      </c>
      <c r="AC174" s="3" t="n">
        <v>15793.0</v>
      </c>
      <c r="AD174" s="3" t="n">
        <v>14502.0</v>
      </c>
      <c r="AE174" s="3" t="n">
        <v>13727.0</v>
      </c>
      <c r="AF174" s="3" t="n">
        <v>13443.0</v>
      </c>
      <c r="AG174" s="3" t="n">
        <v>13031.0</v>
      </c>
      <c r="AH174" s="3" t="n">
        <v>13099.0</v>
      </c>
      <c r="AI174" s="3" t="n">
        <v>12877.0</v>
      </c>
      <c r="AJ174" s="3" t="n">
        <v>12074.0</v>
      </c>
      <c r="AK174" s="3" t="n">
        <v>11696.0</v>
      </c>
      <c r="AL174" s="3" t="n">
        <v>11032.0</v>
      </c>
      <c r="AM174" s="3" t="n">
        <v>10443.0</v>
      </c>
      <c r="AN174" s="3" t="n">
        <v>10409.0</v>
      </c>
      <c r="AO174" s="3" t="n">
        <v>9739.0</v>
      </c>
    </row>
    <row r="175" spans="1:41" x14ac:dyDescent="0.2">
      <c r="A175" s="128"/>
      <c r="B175" s="9">
        <v>64</v>
      </c>
      <c r="C175" s="3" t="n">
        <v>15987.0</v>
      </c>
      <c r="D175" s="3" t="n">
        <v>15281.0</v>
      </c>
      <c r="E175" s="3" t="n">
        <v>13933.0</v>
      </c>
      <c r="F175" s="3" t="n">
        <v>13270.0</v>
      </c>
      <c r="G175" s="3" t="n">
        <v>12775.0</v>
      </c>
      <c r="H175" s="3" t="n">
        <v>12466.0</v>
      </c>
      <c r="I175" s="3" t="n">
        <v>12198.0</v>
      </c>
      <c r="J175" s="3" t="n">
        <v>11876.0</v>
      </c>
      <c r="K175" s="3" t="n">
        <v>11802.0</v>
      </c>
      <c r="L175" s="3" t="n">
        <v>11821.0</v>
      </c>
      <c r="M175" s="3" t="n">
        <v>12154.0</v>
      </c>
      <c r="N175" s="3" t="n">
        <v>12399.0</v>
      </c>
      <c r="O175" s="3" t="n">
        <v>12626.0</v>
      </c>
      <c r="P175" s="3" t="n">
        <v>13290.0</v>
      </c>
      <c r="Q175" s="3" t="n">
        <v>13597.0</v>
      </c>
      <c r="R175" s="3" t="n">
        <v>14025.0</v>
      </c>
      <c r="S175" s="3" t="n">
        <v>14598.0</v>
      </c>
      <c r="T175" s="3" t="n">
        <v>15123.0</v>
      </c>
      <c r="U175" s="3" t="n">
        <v>15658.0</v>
      </c>
      <c r="V175" s="3" t="n">
        <v>15663.0</v>
      </c>
      <c r="W175" s="3" t="n">
        <v>15785.0</v>
      </c>
      <c r="X175" s="3" t="n">
        <v>15773.0</v>
      </c>
      <c r="Y175" s="3" t="n">
        <v>16012.0</v>
      </c>
      <c r="Z175" s="3" t="n">
        <v>15573.0</v>
      </c>
      <c r="AA175" s="3" t="n">
        <v>16373.0</v>
      </c>
      <c r="AB175" s="3" t="n">
        <v>16619.0</v>
      </c>
      <c r="AC175" s="3" t="n">
        <v>15870.0</v>
      </c>
      <c r="AD175" s="3" t="n">
        <v>15490.0</v>
      </c>
      <c r="AE175" s="3" t="n">
        <v>14225.0</v>
      </c>
      <c r="AF175" s="3" t="n">
        <v>13464.0</v>
      </c>
      <c r="AG175" s="3" t="n">
        <v>13186.0</v>
      </c>
      <c r="AH175" s="3" t="n">
        <v>12779.0</v>
      </c>
      <c r="AI175" s="3" t="n">
        <v>12847.0</v>
      </c>
      <c r="AJ175" s="3" t="n">
        <v>12633.0</v>
      </c>
      <c r="AK175" s="3" t="n">
        <v>11842.0</v>
      </c>
      <c r="AL175" s="3" t="n">
        <v>11477.0</v>
      </c>
      <c r="AM175" s="3" t="n">
        <v>10832.0</v>
      </c>
      <c r="AN175" s="3" t="n">
        <v>10258.0</v>
      </c>
      <c r="AO175" s="3" t="n">
        <v>10220.0</v>
      </c>
    </row>
    <row r="176" spans="1:41" x14ac:dyDescent="0.2">
      <c r="A176" s="128"/>
      <c r="B176" s="9">
        <v>65</v>
      </c>
      <c r="C176" s="3" t="n">
        <v>15946.0</v>
      </c>
      <c r="D176" s="3" t="n">
        <v>15610.0</v>
      </c>
      <c r="E176" s="3" t="n">
        <v>14926.0</v>
      </c>
      <c r="F176" s="3" t="n">
        <v>13612.0</v>
      </c>
      <c r="G176" s="3" t="n">
        <v>12966.0</v>
      </c>
      <c r="H176" s="3" t="n">
        <v>12483.0</v>
      </c>
      <c r="I176" s="3" t="n">
        <v>12186.0</v>
      </c>
      <c r="J176" s="3" t="n">
        <v>11925.0</v>
      </c>
      <c r="K176" s="3" t="n">
        <v>11613.0</v>
      </c>
      <c r="L176" s="3" t="n">
        <v>11544.0</v>
      </c>
      <c r="M176" s="3" t="n">
        <v>11557.0</v>
      </c>
      <c r="N176" s="3" t="n">
        <v>11889.0</v>
      </c>
      <c r="O176" s="3" t="n">
        <v>12131.0</v>
      </c>
      <c r="P176" s="3" t="n">
        <v>12354.0</v>
      </c>
      <c r="Q176" s="3" t="n">
        <v>13001.0</v>
      </c>
      <c r="R176" s="3" t="n">
        <v>13303.0</v>
      </c>
      <c r="S176" s="3" t="n">
        <v>13725.0</v>
      </c>
      <c r="T176" s="3" t="n">
        <v>14289.0</v>
      </c>
      <c r="U176" s="3" t="n">
        <v>14805.0</v>
      </c>
      <c r="V176" s="3" t="n">
        <v>15333.0</v>
      </c>
      <c r="W176" s="3" t="n">
        <v>15336.0</v>
      </c>
      <c r="X176" s="3" t="n">
        <v>15458.0</v>
      </c>
      <c r="Y176" s="3" t="n">
        <v>15448.0</v>
      </c>
      <c r="Z176" s="3" t="n">
        <v>15683.0</v>
      </c>
      <c r="AA176" s="3" t="n">
        <v>15252.0</v>
      </c>
      <c r="AB176" s="3" t="n">
        <v>16037.0</v>
      </c>
      <c r="AC176" s="3" t="n">
        <v>16278.0</v>
      </c>
      <c r="AD176" s="3" t="n">
        <v>15544.0</v>
      </c>
      <c r="AE176" s="3" t="n">
        <v>15179.0</v>
      </c>
      <c r="AF176" s="3" t="n">
        <v>13944.0</v>
      </c>
      <c r="AG176" s="3" t="n">
        <v>13194.0</v>
      </c>
      <c r="AH176" s="3" t="n">
        <v>12927.0</v>
      </c>
      <c r="AI176" s="3" t="n">
        <v>12528.0</v>
      </c>
      <c r="AJ176" s="3" t="n">
        <v>12595.0</v>
      </c>
      <c r="AK176" s="3" t="n">
        <v>12385.0</v>
      </c>
      <c r="AL176" s="3" t="n">
        <v>11612.0</v>
      </c>
      <c r="AM176" s="3" t="n">
        <v>11255.0</v>
      </c>
      <c r="AN176" s="3" t="n">
        <v>10620.0</v>
      </c>
      <c r="AO176" s="3" t="n">
        <v>10060.0</v>
      </c>
    </row>
    <row r="177" spans="1:41" x14ac:dyDescent="0.2">
      <c r="A177" s="128"/>
      <c r="B177" s="9">
        <v>66</v>
      </c>
      <c r="C177" s="3" t="n">
        <v>15799.0</v>
      </c>
      <c r="D177" s="3" t="n">
        <v>15533.0</v>
      </c>
      <c r="E177" s="3" t="n">
        <v>15205.0</v>
      </c>
      <c r="F177" s="3" t="n">
        <v>14542.0</v>
      </c>
      <c r="G177" s="3" t="n">
        <v>13267.0</v>
      </c>
      <c r="H177" s="3" t="n">
        <v>12642.0</v>
      </c>
      <c r="I177" s="3" t="n">
        <v>12177.0</v>
      </c>
      <c r="J177" s="3" t="n">
        <v>11888.0</v>
      </c>
      <c r="K177" s="3" t="n">
        <v>11638.0</v>
      </c>
      <c r="L177" s="3" t="n">
        <v>11334.0</v>
      </c>
      <c r="M177" s="3" t="n">
        <v>11267.0</v>
      </c>
      <c r="N177" s="3" t="n">
        <v>11279.0</v>
      </c>
      <c r="O177" s="3" t="n">
        <v>11607.0</v>
      </c>
      <c r="P177" s="3" t="n">
        <v>11847.0</v>
      </c>
      <c r="Q177" s="3" t="n">
        <v>12062.0</v>
      </c>
      <c r="R177" s="3" t="n">
        <v>12696.0</v>
      </c>
      <c r="S177" s="3" t="n">
        <v>12990.0</v>
      </c>
      <c r="T177" s="3" t="n">
        <v>13403.0</v>
      </c>
      <c r="U177" s="3" t="n">
        <v>13954.0</v>
      </c>
      <c r="V177" s="3" t="n">
        <v>14461.0</v>
      </c>
      <c r="W177" s="3" t="n">
        <v>14975.0</v>
      </c>
      <c r="X177" s="3" t="n">
        <v>14987.0</v>
      </c>
      <c r="Y177" s="3" t="n">
        <v>15104.0</v>
      </c>
      <c r="Z177" s="3" t="n">
        <v>15096.0</v>
      </c>
      <c r="AA177" s="3" t="n">
        <v>15327.0</v>
      </c>
      <c r="AB177" s="3" t="n">
        <v>14908.0</v>
      </c>
      <c r="AC177" s="3" t="n">
        <v>15675.0</v>
      </c>
      <c r="AD177" s="3" t="n">
        <v>15911.0</v>
      </c>
      <c r="AE177" s="3" t="n">
        <v>15200.0</v>
      </c>
      <c r="AF177" s="3" t="n">
        <v>14842.0</v>
      </c>
      <c r="AG177" s="3" t="n">
        <v>13644.0</v>
      </c>
      <c r="AH177" s="3" t="n">
        <v>12909.0</v>
      </c>
      <c r="AI177" s="3" t="n">
        <v>12643.0</v>
      </c>
      <c r="AJ177" s="3" t="n">
        <v>12257.0</v>
      </c>
      <c r="AK177" s="3" t="n">
        <v>12320.0</v>
      </c>
      <c r="AL177" s="3" t="n">
        <v>12113.0</v>
      </c>
      <c r="AM177" s="3" t="n">
        <v>11359.0</v>
      </c>
      <c r="AN177" s="3" t="n">
        <v>11015.0</v>
      </c>
      <c r="AO177" s="3" t="n">
        <v>10392.0</v>
      </c>
    </row>
    <row r="178" spans="1:41" x14ac:dyDescent="0.2">
      <c r="A178" s="128"/>
      <c r="B178" s="9">
        <v>67</v>
      </c>
      <c r="C178" s="3" t="n">
        <v>15743.0</v>
      </c>
      <c r="D178" s="3" t="n">
        <v>15353.0</v>
      </c>
      <c r="E178" s="3" t="n">
        <v>15099.0</v>
      </c>
      <c r="F178" s="3" t="n">
        <v>14789.0</v>
      </c>
      <c r="G178" s="3" t="n">
        <v>14149.0</v>
      </c>
      <c r="H178" s="3" t="n">
        <v>12914.0</v>
      </c>
      <c r="I178" s="3" t="n">
        <v>12307.0</v>
      </c>
      <c r="J178" s="3" t="n">
        <v>11856.0</v>
      </c>
      <c r="K178" s="3" t="n">
        <v>11579.0</v>
      </c>
      <c r="L178" s="3" t="n">
        <v>11337.0</v>
      </c>
      <c r="M178" s="3" t="n">
        <v>11040.0</v>
      </c>
      <c r="N178" s="3" t="n">
        <v>10977.0</v>
      </c>
      <c r="O178" s="3" t="n">
        <v>10990.0</v>
      </c>
      <c r="P178" s="3" t="n">
        <v>11307.0</v>
      </c>
      <c r="Q178" s="3" t="n">
        <v>11546.0</v>
      </c>
      <c r="R178" s="3" t="n">
        <v>11754.0</v>
      </c>
      <c r="S178" s="3" t="n">
        <v>12374.0</v>
      </c>
      <c r="T178" s="3" t="n">
        <v>12664.0</v>
      </c>
      <c r="U178" s="3" t="n">
        <v>13066.0</v>
      </c>
      <c r="V178" s="3" t="n">
        <v>13608.0</v>
      </c>
      <c r="W178" s="3" t="n">
        <v>14103.0</v>
      </c>
      <c r="X178" s="3" t="n">
        <v>14606.0</v>
      </c>
      <c r="Y178" s="3" t="n">
        <v>14615.0</v>
      </c>
      <c r="Z178" s="3" t="n">
        <v>14730.0</v>
      </c>
      <c r="AA178" s="3" t="n">
        <v>14729.0</v>
      </c>
      <c r="AB178" s="3" t="n">
        <v>14953.0</v>
      </c>
      <c r="AC178" s="3" t="n">
        <v>14546.0</v>
      </c>
      <c r="AD178" s="3" t="n">
        <v>15300.0</v>
      </c>
      <c r="AE178" s="3" t="n">
        <v>15527.0</v>
      </c>
      <c r="AF178" s="3" t="n">
        <v>14835.0</v>
      </c>
      <c r="AG178" s="3" t="n">
        <v>14489.0</v>
      </c>
      <c r="AH178" s="3" t="n">
        <v>13323.0</v>
      </c>
      <c r="AI178" s="3" t="n">
        <v>12604.0</v>
      </c>
      <c r="AJ178" s="3" t="n">
        <v>12354.0</v>
      </c>
      <c r="AK178" s="3" t="n">
        <v>11975.0</v>
      </c>
      <c r="AL178" s="3" t="n">
        <v>12037.0</v>
      </c>
      <c r="AM178" s="3" t="n">
        <v>11839.0</v>
      </c>
      <c r="AN178" s="3" t="n">
        <v>11097.0</v>
      </c>
      <c r="AO178" s="3" t="n">
        <v>10758.0</v>
      </c>
    </row>
    <row r="179" spans="1:41" x14ac:dyDescent="0.2">
      <c r="A179" s="128"/>
      <c r="B179" s="9">
        <v>68</v>
      </c>
      <c r="C179" s="3" t="n">
        <v>14349.0</v>
      </c>
      <c r="D179" s="3" t="n">
        <v>15271.0</v>
      </c>
      <c r="E179" s="3" t="n">
        <v>14901.0</v>
      </c>
      <c r="F179" s="3" t="n">
        <v>14656.0</v>
      </c>
      <c r="G179" s="3" t="n">
        <v>14357.0</v>
      </c>
      <c r="H179" s="3" t="n">
        <v>13740.0</v>
      </c>
      <c r="I179" s="3" t="n">
        <v>12547.0</v>
      </c>
      <c r="J179" s="3" t="n">
        <v>11960.0</v>
      </c>
      <c r="K179" s="3" t="n">
        <v>11525.0</v>
      </c>
      <c r="L179" s="3" t="n">
        <v>11261.0</v>
      </c>
      <c r="M179" s="3" t="n">
        <v>11027.0</v>
      </c>
      <c r="N179" s="3" t="n">
        <v>10735.0</v>
      </c>
      <c r="O179" s="3" t="n">
        <v>10677.0</v>
      </c>
      <c r="P179" s="3" t="n">
        <v>10690.0</v>
      </c>
      <c r="Q179" s="3" t="n">
        <v>11001.0</v>
      </c>
      <c r="R179" s="3" t="n">
        <v>11236.0</v>
      </c>
      <c r="S179" s="3" t="n">
        <v>11436.0</v>
      </c>
      <c r="T179" s="3" t="n">
        <v>12042.0</v>
      </c>
      <c r="U179" s="3" t="n">
        <v>12325.0</v>
      </c>
      <c r="V179" s="3" t="n">
        <v>12724.0</v>
      </c>
      <c r="W179" s="3" t="n">
        <v>13251.0</v>
      </c>
      <c r="X179" s="3" t="n">
        <v>13734.0</v>
      </c>
      <c r="Y179" s="3" t="n">
        <v>14225.0</v>
      </c>
      <c r="Z179" s="3" t="n">
        <v>14231.0</v>
      </c>
      <c r="AA179" s="3" t="n">
        <v>14348.0</v>
      </c>
      <c r="AB179" s="3" t="n">
        <v>14350.0</v>
      </c>
      <c r="AC179" s="3" t="n">
        <v>14568.0</v>
      </c>
      <c r="AD179" s="3" t="n">
        <v>14173.0</v>
      </c>
      <c r="AE179" s="3" t="n">
        <v>14913.0</v>
      </c>
      <c r="AF179" s="3" t="n">
        <v>15135.0</v>
      </c>
      <c r="AG179" s="3" t="n">
        <v>14466.0</v>
      </c>
      <c r="AH179" s="3" t="n">
        <v>14123.0</v>
      </c>
      <c r="AI179" s="3" t="n">
        <v>12987.0</v>
      </c>
      <c r="AJ179" s="3" t="n">
        <v>12294.0</v>
      </c>
      <c r="AK179" s="3" t="n">
        <v>12048.0</v>
      </c>
      <c r="AL179" s="3" t="n">
        <v>11679.0</v>
      </c>
      <c r="AM179" s="3" t="n">
        <v>11740.0</v>
      </c>
      <c r="AN179" s="3" t="n">
        <v>11550.0</v>
      </c>
      <c r="AO179" s="3" t="n">
        <v>10827.0</v>
      </c>
    </row>
    <row r="180" spans="1:41" x14ac:dyDescent="0.2">
      <c r="A180" s="128"/>
      <c r="B180" s="9">
        <v>69</v>
      </c>
      <c r="C180" s="3" t="n">
        <v>14240.0</v>
      </c>
      <c r="D180" s="3" t="n">
        <v>13895.0</v>
      </c>
      <c r="E180" s="3" t="n">
        <v>14796.0</v>
      </c>
      <c r="F180" s="3" t="n">
        <v>14444.0</v>
      </c>
      <c r="G180" s="3" t="n">
        <v>14209.0</v>
      </c>
      <c r="H180" s="3" t="n">
        <v>13926.0</v>
      </c>
      <c r="I180" s="3" t="n">
        <v>13330.0</v>
      </c>
      <c r="J180" s="3" t="n">
        <v>12174.0</v>
      </c>
      <c r="K180" s="3" t="n">
        <v>11606.0</v>
      </c>
      <c r="L180" s="3" t="n">
        <v>11185.0</v>
      </c>
      <c r="M180" s="3" t="n">
        <v>10936.0</v>
      </c>
      <c r="N180" s="3" t="n">
        <v>10709.0</v>
      </c>
      <c r="O180" s="3" t="n">
        <v>10431.0</v>
      </c>
      <c r="P180" s="3" t="n">
        <v>10373.0</v>
      </c>
      <c r="Q180" s="3" t="n">
        <v>10386.0</v>
      </c>
      <c r="R180" s="3" t="n">
        <v>10690.0</v>
      </c>
      <c r="S180" s="3" t="n">
        <v>10922.0</v>
      </c>
      <c r="T180" s="3" t="n">
        <v>11117.0</v>
      </c>
      <c r="U180" s="3" t="n">
        <v>11711.0</v>
      </c>
      <c r="V180" s="3" t="n">
        <v>11984.0</v>
      </c>
      <c r="W180" s="3" t="n">
        <v>12376.0</v>
      </c>
      <c r="X180" s="3" t="n">
        <v>12885.0</v>
      </c>
      <c r="Y180" s="3" t="n">
        <v>13353.0</v>
      </c>
      <c r="Z180" s="3" t="n">
        <v>13833.0</v>
      </c>
      <c r="AA180" s="3" t="n">
        <v>13844.0</v>
      </c>
      <c r="AB180" s="3" t="n">
        <v>13960.0</v>
      </c>
      <c r="AC180" s="3" t="n">
        <v>13967.0</v>
      </c>
      <c r="AD180" s="3" t="n">
        <v>14178.0</v>
      </c>
      <c r="AE180" s="3" t="n">
        <v>13796.0</v>
      </c>
      <c r="AF180" s="3" t="n">
        <v>14518.0</v>
      </c>
      <c r="AG180" s="3" t="n">
        <v>14738.0</v>
      </c>
      <c r="AH180" s="3" t="n">
        <v>14084.0</v>
      </c>
      <c r="AI180" s="3" t="n">
        <v>13747.0</v>
      </c>
      <c r="AJ180" s="3" t="n">
        <v>12646.0</v>
      </c>
      <c r="AK180" s="3" t="n">
        <v>11972.0</v>
      </c>
      <c r="AL180" s="3" t="n">
        <v>11733.0</v>
      </c>
      <c r="AM180" s="3" t="n">
        <v>11376.0</v>
      </c>
      <c r="AN180" s="3" t="n">
        <v>11439.0</v>
      </c>
      <c r="AO180" s="3" t="n">
        <v>11253.0</v>
      </c>
    </row>
    <row r="181" spans="1:41" x14ac:dyDescent="0.2">
      <c r="A181" s="128"/>
      <c r="B181" s="9">
        <v>70</v>
      </c>
      <c r="C181" s="3" t="n">
        <v>13400.0</v>
      </c>
      <c r="D181" s="3" t="n">
        <v>13750.0</v>
      </c>
      <c r="E181" s="3" t="n">
        <v>13419.0</v>
      </c>
      <c r="F181" s="3" t="n">
        <v>14298.0</v>
      </c>
      <c r="G181" s="3" t="n">
        <v>13960.0</v>
      </c>
      <c r="H181" s="3" t="n">
        <v>13737.0</v>
      </c>
      <c r="I181" s="3" t="n">
        <v>13466.0</v>
      </c>
      <c r="J181" s="3" t="n">
        <v>12892.0</v>
      </c>
      <c r="K181" s="3" t="n">
        <v>11779.0</v>
      </c>
      <c r="L181" s="3" t="n">
        <v>11230.0</v>
      </c>
      <c r="M181" s="3" t="n">
        <v>10826.0</v>
      </c>
      <c r="N181" s="3" t="n">
        <v>10587.0</v>
      </c>
      <c r="O181" s="3" t="n">
        <v>10367.0</v>
      </c>
      <c r="P181" s="3" t="n">
        <v>10097.0</v>
      </c>
      <c r="Q181" s="3" t="n">
        <v>10047.0</v>
      </c>
      <c r="R181" s="3" t="n">
        <v>10059.0</v>
      </c>
      <c r="S181" s="3" t="n">
        <v>10353.0</v>
      </c>
      <c r="T181" s="3" t="n">
        <v>10580.0</v>
      </c>
      <c r="U181" s="3" t="n">
        <v>10777.0</v>
      </c>
      <c r="V181" s="3" t="n">
        <v>11351.0</v>
      </c>
      <c r="W181" s="3" t="n">
        <v>11617.0</v>
      </c>
      <c r="X181" s="3" t="n">
        <v>11999.0</v>
      </c>
      <c r="Y181" s="3" t="n">
        <v>12492.0</v>
      </c>
      <c r="Z181" s="3" t="n">
        <v>12946.0</v>
      </c>
      <c r="AA181" s="3" t="n">
        <v>13421.0</v>
      </c>
      <c r="AB181" s="3" t="n">
        <v>13429.0</v>
      </c>
      <c r="AC181" s="3" t="n">
        <v>13546.0</v>
      </c>
      <c r="AD181" s="3" t="n">
        <v>13553.0</v>
      </c>
      <c r="AE181" s="3" t="n">
        <v>13762.0</v>
      </c>
      <c r="AF181" s="3" t="n">
        <v>13390.0</v>
      </c>
      <c r="AG181" s="3" t="n">
        <v>14097.0</v>
      </c>
      <c r="AH181" s="3" t="n">
        <v>14309.0</v>
      </c>
      <c r="AI181" s="3" t="n">
        <v>13676.0</v>
      </c>
      <c r="AJ181" s="3" t="n">
        <v>13348.0</v>
      </c>
      <c r="AK181" s="3" t="n">
        <v>12282.0</v>
      </c>
      <c r="AL181" s="3" t="n">
        <v>11625.0</v>
      </c>
      <c r="AM181" s="3" t="n">
        <v>11395.0</v>
      </c>
      <c r="AN181" s="3" t="n">
        <v>11050.0</v>
      </c>
      <c r="AO181" s="3" t="n">
        <v>11113.0</v>
      </c>
    </row>
    <row r="182" spans="1:41" x14ac:dyDescent="0.2">
      <c r="A182" s="128"/>
      <c r="B182" s="9">
        <v>71</v>
      </c>
      <c r="C182" s="3" t="n">
        <v>12777.0</v>
      </c>
      <c r="D182" s="3" t="n">
        <v>12908.0</v>
      </c>
      <c r="E182" s="3" t="n">
        <v>13256.0</v>
      </c>
      <c r="F182" s="3" t="n">
        <v>12937.0</v>
      </c>
      <c r="G182" s="3" t="n">
        <v>13794.0</v>
      </c>
      <c r="H182" s="3" t="n">
        <v>13471.0</v>
      </c>
      <c r="I182" s="3" t="n">
        <v>13265.0</v>
      </c>
      <c r="J182" s="3" t="n">
        <v>13001.0</v>
      </c>
      <c r="K182" s="3" t="n">
        <v>12452.0</v>
      </c>
      <c r="L182" s="3" t="n">
        <v>11376.0</v>
      </c>
      <c r="M182" s="3" t="n">
        <v>10856.0</v>
      </c>
      <c r="N182" s="3" t="n">
        <v>10461.0</v>
      </c>
      <c r="O182" s="3" t="n">
        <v>10232.0</v>
      </c>
      <c r="P182" s="3" t="n">
        <v>10025.0</v>
      </c>
      <c r="Q182" s="3" t="n">
        <v>9767.0</v>
      </c>
      <c r="R182" s="3" t="n">
        <v>9719.0</v>
      </c>
      <c r="S182" s="3" t="n">
        <v>9730.0</v>
      </c>
      <c r="T182" s="3" t="n">
        <v>10014.0</v>
      </c>
      <c r="U182" s="3" t="n">
        <v>10236.0</v>
      </c>
      <c r="V182" s="3" t="n">
        <v>10429.0</v>
      </c>
      <c r="W182" s="3" t="n">
        <v>10984.0</v>
      </c>
      <c r="X182" s="3" t="n">
        <v>11252.0</v>
      </c>
      <c r="Y182" s="3" t="n">
        <v>11620.0</v>
      </c>
      <c r="Z182" s="3" t="n">
        <v>12092.0</v>
      </c>
      <c r="AA182" s="3" t="n">
        <v>12538.0</v>
      </c>
      <c r="AB182" s="3" t="n">
        <v>12994.0</v>
      </c>
      <c r="AC182" s="3" t="n">
        <v>13007.0</v>
      </c>
      <c r="AD182" s="3" t="n">
        <v>13123.0</v>
      </c>
      <c r="AE182" s="3" t="n">
        <v>13132.0</v>
      </c>
      <c r="AF182" s="3" t="n">
        <v>13337.0</v>
      </c>
      <c r="AG182" s="3" t="n">
        <v>12977.0</v>
      </c>
      <c r="AH182" s="3" t="n">
        <v>13664.0</v>
      </c>
      <c r="AI182" s="3" t="n">
        <v>13870.0</v>
      </c>
      <c r="AJ182" s="3" t="n">
        <v>13258.0</v>
      </c>
      <c r="AK182" s="3" t="n">
        <v>12941.0</v>
      </c>
      <c r="AL182" s="3" t="n">
        <v>11908.0</v>
      </c>
      <c r="AM182" s="3" t="n">
        <v>11276.0</v>
      </c>
      <c r="AN182" s="3" t="n">
        <v>11052.0</v>
      </c>
      <c r="AO182" s="3" t="n">
        <v>10720.0</v>
      </c>
    </row>
    <row r="183" spans="1:41" x14ac:dyDescent="0.2">
      <c r="A183" s="128"/>
      <c r="B183" s="9">
        <v>72</v>
      </c>
      <c r="C183" s="3" t="n">
        <v>11652.0</v>
      </c>
      <c r="D183" s="3" t="n">
        <v>12288.0</v>
      </c>
      <c r="E183" s="3" t="n">
        <v>12422.0</v>
      </c>
      <c r="F183" s="3" t="n">
        <v>12761.0</v>
      </c>
      <c r="G183" s="3" t="n">
        <v>12461.0</v>
      </c>
      <c r="H183" s="3" t="n">
        <v>13290.0</v>
      </c>
      <c r="I183" s="3" t="n">
        <v>12978.0</v>
      </c>
      <c r="J183" s="3" t="n">
        <v>12787.0</v>
      </c>
      <c r="K183" s="3" t="n">
        <v>12536.0</v>
      </c>
      <c r="L183" s="3" t="n">
        <v>12008.0</v>
      </c>
      <c r="M183" s="3" t="n">
        <v>10972.0</v>
      </c>
      <c r="N183" s="3" t="n">
        <v>10474.0</v>
      </c>
      <c r="O183" s="3" t="n">
        <v>10095.0</v>
      </c>
      <c r="P183" s="3" t="n">
        <v>9877.0</v>
      </c>
      <c r="Q183" s="3" t="n">
        <v>9682.0</v>
      </c>
      <c r="R183" s="3" t="n">
        <v>9433.0</v>
      </c>
      <c r="S183" s="3" t="n">
        <v>9387.0</v>
      </c>
      <c r="T183" s="3" t="n">
        <v>9399.0</v>
      </c>
      <c r="U183" s="3" t="n">
        <v>9675.0</v>
      </c>
      <c r="V183" s="3" t="n">
        <v>9892.0</v>
      </c>
      <c r="W183" s="3" t="n">
        <v>10079.0</v>
      </c>
      <c r="X183" s="3" t="n">
        <v>10614.0</v>
      </c>
      <c r="Y183" s="3" t="n">
        <v>10873.0</v>
      </c>
      <c r="Z183" s="3" t="n">
        <v>11228.0</v>
      </c>
      <c r="AA183" s="3" t="n">
        <v>11692.0</v>
      </c>
      <c r="AB183" s="3" t="n">
        <v>12122.0</v>
      </c>
      <c r="AC183" s="3" t="n">
        <v>12570.0</v>
      </c>
      <c r="AD183" s="3" t="n">
        <v>12583.0</v>
      </c>
      <c r="AE183" s="3" t="n">
        <v>12699.0</v>
      </c>
      <c r="AF183" s="3" t="n">
        <v>12712.0</v>
      </c>
      <c r="AG183" s="3" t="n">
        <v>12909.0</v>
      </c>
      <c r="AH183" s="3" t="n">
        <v>12563.0</v>
      </c>
      <c r="AI183" s="3" t="n">
        <v>13226.0</v>
      </c>
      <c r="AJ183" s="3" t="n">
        <v>13430.0</v>
      </c>
      <c r="AK183" s="3" t="n">
        <v>12842.0</v>
      </c>
      <c r="AL183" s="3" t="n">
        <v>12531.0</v>
      </c>
      <c r="AM183" s="3" t="n">
        <v>11534.0</v>
      </c>
      <c r="AN183" s="3" t="n">
        <v>10918.0</v>
      </c>
      <c r="AO183" s="3" t="n">
        <v>10707.0</v>
      </c>
    </row>
    <row r="184" spans="1:41" x14ac:dyDescent="0.2">
      <c r="A184" s="128"/>
      <c r="B184" s="9">
        <v>73</v>
      </c>
      <c r="C184" s="3" t="n">
        <v>10538.0</v>
      </c>
      <c r="D184" s="3" t="n">
        <v>11178.0</v>
      </c>
      <c r="E184" s="3" t="n">
        <v>11791.0</v>
      </c>
      <c r="F184" s="3" t="n">
        <v>11928.0</v>
      </c>
      <c r="G184" s="3" t="n">
        <v>12261.0</v>
      </c>
      <c r="H184" s="3" t="n">
        <v>11974.0</v>
      </c>
      <c r="I184" s="3" t="n">
        <v>12778.0</v>
      </c>
      <c r="J184" s="3" t="n">
        <v>12482.0</v>
      </c>
      <c r="K184" s="3" t="n">
        <v>12301.0</v>
      </c>
      <c r="L184" s="3" t="n">
        <v>12062.0</v>
      </c>
      <c r="M184" s="3" t="n">
        <v>11557.0</v>
      </c>
      <c r="N184" s="3" t="n">
        <v>10559.0</v>
      </c>
      <c r="O184" s="3" t="n">
        <v>10085.0</v>
      </c>
      <c r="P184" s="3" t="n">
        <v>9724.0</v>
      </c>
      <c r="Q184" s="3" t="n">
        <v>9518.0</v>
      </c>
      <c r="R184" s="3" t="n">
        <v>9336.0</v>
      </c>
      <c r="S184" s="3" t="n">
        <v>9091.0</v>
      </c>
      <c r="T184" s="3" t="n">
        <v>9051.0</v>
      </c>
      <c r="U184" s="3" t="n">
        <v>9064.0</v>
      </c>
      <c r="V184" s="3" t="n">
        <v>9335.0</v>
      </c>
      <c r="W184" s="3" t="n">
        <v>9540.0</v>
      </c>
      <c r="X184" s="3" t="n">
        <v>9727.0</v>
      </c>
      <c r="Y184" s="3" t="n">
        <v>10243.0</v>
      </c>
      <c r="Z184" s="3" t="n">
        <v>10489.0</v>
      </c>
      <c r="AA184" s="3" t="n">
        <v>10838.0</v>
      </c>
      <c r="AB184" s="3" t="n">
        <v>11282.0</v>
      </c>
      <c r="AC184" s="3" t="n">
        <v>11702.0</v>
      </c>
      <c r="AD184" s="3" t="n">
        <v>12132.0</v>
      </c>
      <c r="AE184" s="3" t="n">
        <v>12147.0</v>
      </c>
      <c r="AF184" s="3" t="n">
        <v>12259.0</v>
      </c>
      <c r="AG184" s="3" t="n">
        <v>12277.0</v>
      </c>
      <c r="AH184" s="3" t="n">
        <v>12470.0</v>
      </c>
      <c r="AI184" s="3" t="n">
        <v>12137.0</v>
      </c>
      <c r="AJ184" s="3" t="n">
        <v>12778.0</v>
      </c>
      <c r="AK184" s="3" t="n">
        <v>12977.0</v>
      </c>
      <c r="AL184" s="3" t="n">
        <v>12411.0</v>
      </c>
      <c r="AM184" s="3" t="n">
        <v>12113.0</v>
      </c>
      <c r="AN184" s="3" t="n">
        <v>11150.0</v>
      </c>
      <c r="AO184" s="3" t="n">
        <v>10554.0</v>
      </c>
    </row>
    <row r="185" spans="1:41" x14ac:dyDescent="0.2">
      <c r="A185" s="128"/>
      <c r="B185" s="9">
        <v>74</v>
      </c>
      <c r="C185" s="3" t="n">
        <v>10446.0</v>
      </c>
      <c r="D185" s="3" t="n">
        <v>10085.0</v>
      </c>
      <c r="E185" s="3" t="n">
        <v>10703.0</v>
      </c>
      <c r="F185" s="3" t="n">
        <v>11292.0</v>
      </c>
      <c r="G185" s="3" t="n">
        <v>11427.0</v>
      </c>
      <c r="H185" s="3" t="n">
        <v>11754.0</v>
      </c>
      <c r="I185" s="3" t="n">
        <v>11484.0</v>
      </c>
      <c r="J185" s="3" t="n">
        <v>12262.0</v>
      </c>
      <c r="K185" s="3" t="n">
        <v>11981.0</v>
      </c>
      <c r="L185" s="3" t="n">
        <v>11811.0</v>
      </c>
      <c r="M185" s="3" t="n">
        <v>11586.0</v>
      </c>
      <c r="N185" s="3" t="n">
        <v>11099.0</v>
      </c>
      <c r="O185" s="3" t="n">
        <v>10147.0</v>
      </c>
      <c r="P185" s="3" t="n">
        <v>9688.0</v>
      </c>
      <c r="Q185" s="3" t="n">
        <v>9350.0</v>
      </c>
      <c r="R185" s="3" t="n">
        <v>9154.0</v>
      </c>
      <c r="S185" s="3" t="n">
        <v>8978.0</v>
      </c>
      <c r="T185" s="3" t="n">
        <v>8745.0</v>
      </c>
      <c r="U185" s="3" t="n">
        <v>8712.0</v>
      </c>
      <c r="V185" s="3" t="n">
        <v>8721.0</v>
      </c>
      <c r="W185" s="3" t="n">
        <v>8979.0</v>
      </c>
      <c r="X185" s="3" t="n">
        <v>9183.0</v>
      </c>
      <c r="Y185" s="3" t="n">
        <v>9364.0</v>
      </c>
      <c r="Z185" s="3" t="n">
        <v>9859.0</v>
      </c>
      <c r="AA185" s="3" t="n">
        <v>10098.0</v>
      </c>
      <c r="AB185" s="3" t="n">
        <v>10437.0</v>
      </c>
      <c r="AC185" s="3" t="n">
        <v>10867.0</v>
      </c>
      <c r="AD185" s="3" t="n">
        <v>11272.0</v>
      </c>
      <c r="AE185" s="3" t="n">
        <v>11689.0</v>
      </c>
      <c r="AF185" s="3" t="n">
        <v>11707.0</v>
      </c>
      <c r="AG185" s="3" t="n">
        <v>11819.0</v>
      </c>
      <c r="AH185" s="3" t="n">
        <v>11836.0</v>
      </c>
      <c r="AI185" s="3" t="n">
        <v>12026.0</v>
      </c>
      <c r="AJ185" s="3" t="n">
        <v>11708.0</v>
      </c>
      <c r="AK185" s="3" t="n">
        <v>12322.0</v>
      </c>
      <c r="AL185" s="3" t="n">
        <v>12512.0</v>
      </c>
      <c r="AM185" s="3" t="n">
        <v>11975.0</v>
      </c>
      <c r="AN185" s="3" t="n">
        <v>11682.0</v>
      </c>
      <c r="AO185" s="3" t="n">
        <v>10757.0</v>
      </c>
    </row>
    <row r="186" spans="1:41" x14ac:dyDescent="0.2">
      <c r="A186" s="128"/>
      <c r="B186" s="9">
        <v>75</v>
      </c>
      <c r="C186" s="3" t="n">
        <v>9607.0</v>
      </c>
      <c r="D186" s="3" t="n">
        <v>9959.0</v>
      </c>
      <c r="E186" s="3" t="n">
        <v>9629.0</v>
      </c>
      <c r="F186" s="3" t="n">
        <v>10220.0</v>
      </c>
      <c r="G186" s="3" t="n">
        <v>10779.0</v>
      </c>
      <c r="H186" s="3" t="n">
        <v>10918.0</v>
      </c>
      <c r="I186" s="3" t="n">
        <v>11233.0</v>
      </c>
      <c r="J186" s="3" t="n">
        <v>10978.0</v>
      </c>
      <c r="K186" s="3" t="n">
        <v>11729.0</v>
      </c>
      <c r="L186" s="3" t="n">
        <v>11466.0</v>
      </c>
      <c r="M186" s="3" t="n">
        <v>11309.0</v>
      </c>
      <c r="N186" s="3" t="n">
        <v>11091.0</v>
      </c>
      <c r="O186" s="3" t="n">
        <v>10631.0</v>
      </c>
      <c r="P186" s="3" t="n">
        <v>9724.0</v>
      </c>
      <c r="Q186" s="3" t="n">
        <v>9287.0</v>
      </c>
      <c r="R186" s="3" t="n">
        <v>8960.0</v>
      </c>
      <c r="S186" s="3" t="n">
        <v>8773.0</v>
      </c>
      <c r="T186" s="3" t="n">
        <v>8603.0</v>
      </c>
      <c r="U186" s="3" t="n">
        <v>8387.0</v>
      </c>
      <c r="V186" s="3" t="n">
        <v>8359.0</v>
      </c>
      <c r="W186" s="3" t="n">
        <v>8364.0</v>
      </c>
      <c r="X186" s="3" t="n">
        <v>8620.0</v>
      </c>
      <c r="Y186" s="3" t="n">
        <v>8813.0</v>
      </c>
      <c r="Z186" s="3" t="n">
        <v>8985.0</v>
      </c>
      <c r="AA186" s="3" t="n">
        <v>9467.0</v>
      </c>
      <c r="AB186" s="3" t="n">
        <v>9697.0</v>
      </c>
      <c r="AC186" s="3" t="n">
        <v>10023.0</v>
      </c>
      <c r="AD186" s="3" t="n">
        <v>10436.0</v>
      </c>
      <c r="AE186" s="3" t="n">
        <v>10828.0</v>
      </c>
      <c r="AF186" s="3" t="n">
        <v>11228.0</v>
      </c>
      <c r="AG186" s="3" t="n">
        <v>11250.0</v>
      </c>
      <c r="AH186" s="3" t="n">
        <v>11358.0</v>
      </c>
      <c r="AI186" s="3" t="n">
        <v>11375.0</v>
      </c>
      <c r="AJ186" s="3" t="n">
        <v>11560.0</v>
      </c>
      <c r="AK186" s="3" t="n">
        <v>11257.0</v>
      </c>
      <c r="AL186" s="3" t="n">
        <v>11842.0</v>
      </c>
      <c r="AM186" s="3" t="n">
        <v>12031.0</v>
      </c>
      <c r="AN186" s="3" t="n">
        <v>11518.0</v>
      </c>
      <c r="AO186" s="3" t="n">
        <v>11235.0</v>
      </c>
    </row>
    <row r="187" spans="1:41" x14ac:dyDescent="0.2">
      <c r="A187" s="128"/>
      <c r="B187" s="9">
        <v>76</v>
      </c>
      <c r="C187" s="3" t="n">
        <v>9173.0</v>
      </c>
      <c r="D187" s="3" t="n">
        <v>9115.0</v>
      </c>
      <c r="E187" s="3" t="n">
        <v>9459.0</v>
      </c>
      <c r="F187" s="3" t="n">
        <v>9156.0</v>
      </c>
      <c r="G187" s="3" t="n">
        <v>9723.0</v>
      </c>
      <c r="H187" s="3" t="n">
        <v>10255.0</v>
      </c>
      <c r="I187" s="3" t="n">
        <v>10392.0</v>
      </c>
      <c r="J187" s="3" t="n">
        <v>10692.0</v>
      </c>
      <c r="K187" s="3" t="n">
        <v>10455.0</v>
      </c>
      <c r="L187" s="3" t="n">
        <v>11176.0</v>
      </c>
      <c r="M187" s="3" t="n">
        <v>10931.0</v>
      </c>
      <c r="N187" s="3" t="n">
        <v>10780.0</v>
      </c>
      <c r="O187" s="3" t="n">
        <v>10582.0</v>
      </c>
      <c r="P187" s="3" t="n">
        <v>10144.0</v>
      </c>
      <c r="Q187" s="3" t="n">
        <v>9282.0</v>
      </c>
      <c r="R187" s="3" t="n">
        <v>8865.0</v>
      </c>
      <c r="S187" s="3" t="n">
        <v>8554.0</v>
      </c>
      <c r="T187" s="3" t="n">
        <v>8377.0</v>
      </c>
      <c r="U187" s="3" t="n">
        <v>8219.0</v>
      </c>
      <c r="V187" s="3" t="n">
        <v>8013.0</v>
      </c>
      <c r="W187" s="3" t="n">
        <v>7985.0</v>
      </c>
      <c r="X187" s="3" t="n">
        <v>7994.0</v>
      </c>
      <c r="Y187" s="3" t="n">
        <v>8239.0</v>
      </c>
      <c r="Z187" s="3" t="n">
        <v>8424.0</v>
      </c>
      <c r="AA187" s="3" t="n">
        <v>8592.0</v>
      </c>
      <c r="AB187" s="3" t="n">
        <v>9050.0</v>
      </c>
      <c r="AC187" s="3" t="n">
        <v>9274.0</v>
      </c>
      <c r="AD187" s="3" t="n">
        <v>9584.0</v>
      </c>
      <c r="AE187" s="3" t="n">
        <v>9987.0</v>
      </c>
      <c r="AF187" s="3" t="n">
        <v>10366.0</v>
      </c>
      <c r="AG187" s="3" t="n">
        <v>10748.0</v>
      </c>
      <c r="AH187" s="3" t="n">
        <v>10769.0</v>
      </c>
      <c r="AI187" s="3" t="n">
        <v>10874.0</v>
      </c>
      <c r="AJ187" s="3" t="n">
        <v>10898.0</v>
      </c>
      <c r="AK187" s="3" t="n">
        <v>11070.0</v>
      </c>
      <c r="AL187" s="3" t="n">
        <v>10777.0</v>
      </c>
      <c r="AM187" s="3" t="n">
        <v>11344.0</v>
      </c>
      <c r="AN187" s="3" t="n">
        <v>11529.0</v>
      </c>
      <c r="AO187" s="3" t="n">
        <v>11035.0</v>
      </c>
    </row>
    <row r="188" spans="1:41" x14ac:dyDescent="0.2">
      <c r="A188" s="128"/>
      <c r="B188" s="9">
        <v>77</v>
      </c>
      <c r="C188" s="3" t="n">
        <v>5490.0</v>
      </c>
      <c r="D188" s="3" t="n">
        <v>8676.0</v>
      </c>
      <c r="E188" s="3" t="n">
        <v>8633.0</v>
      </c>
      <c r="F188" s="3" t="n">
        <v>8963.0</v>
      </c>
      <c r="G188" s="3" t="n">
        <v>8679.0</v>
      </c>
      <c r="H188" s="3" t="n">
        <v>9220.0</v>
      </c>
      <c r="I188" s="3" t="n">
        <v>9732.0</v>
      </c>
      <c r="J188" s="3" t="n">
        <v>9862.0</v>
      </c>
      <c r="K188" s="3" t="n">
        <v>10150.0</v>
      </c>
      <c r="L188" s="3" t="n">
        <v>9927.0</v>
      </c>
      <c r="M188" s="3" t="n">
        <v>10617.0</v>
      </c>
      <c r="N188" s="3" t="n">
        <v>10382.0</v>
      </c>
      <c r="O188" s="3" t="n">
        <v>10242.0</v>
      </c>
      <c r="P188" s="3" t="n">
        <v>10059.0</v>
      </c>
      <c r="Q188" s="3" t="n">
        <v>9647.0</v>
      </c>
      <c r="R188" s="3" t="n">
        <v>8833.0</v>
      </c>
      <c r="S188" s="3" t="n">
        <v>8436.0</v>
      </c>
      <c r="T188" s="3" t="n">
        <v>8144.0</v>
      </c>
      <c r="U188" s="3" t="n">
        <v>7980.0</v>
      </c>
      <c r="V188" s="3" t="n">
        <v>7833.0</v>
      </c>
      <c r="W188" s="3" t="n">
        <v>7638.0</v>
      </c>
      <c r="X188" s="3" t="n">
        <v>7617.0</v>
      </c>
      <c r="Y188" s="3" t="n">
        <v>7623.0</v>
      </c>
      <c r="Z188" s="3" t="n">
        <v>7856.0</v>
      </c>
      <c r="AA188" s="3" t="n">
        <v>8034.0</v>
      </c>
      <c r="AB188" s="3" t="n">
        <v>8196.0</v>
      </c>
      <c r="AC188" s="3" t="n">
        <v>8630.0</v>
      </c>
      <c r="AD188" s="3" t="n">
        <v>8844.0</v>
      </c>
      <c r="AE188" s="3" t="n">
        <v>9145.0</v>
      </c>
      <c r="AF188" s="3" t="n">
        <v>9525.0</v>
      </c>
      <c r="AG188" s="3" t="n">
        <v>9892.0</v>
      </c>
      <c r="AH188" s="3" t="n">
        <v>10254.0</v>
      </c>
      <c r="AI188" s="3" t="n">
        <v>10275.0</v>
      </c>
      <c r="AJ188" s="3" t="n">
        <v>10379.0</v>
      </c>
      <c r="AK188" s="3" t="n">
        <v>10400.0</v>
      </c>
      <c r="AL188" s="3" t="n">
        <v>10565.0</v>
      </c>
      <c r="AM188" s="3" t="n">
        <v>10290.0</v>
      </c>
      <c r="AN188" s="3" t="n">
        <v>10830.0</v>
      </c>
      <c r="AO188" s="3" t="n">
        <v>11012.0</v>
      </c>
    </row>
    <row r="189" spans="1:41" x14ac:dyDescent="0.2">
      <c r="A189" s="128"/>
      <c r="B189" s="9">
        <v>78</v>
      </c>
      <c r="C189" s="3" t="n">
        <v>4741.0</v>
      </c>
      <c r="D189" s="3" t="n">
        <v>5161.0</v>
      </c>
      <c r="E189" s="3" t="n">
        <v>8170.0</v>
      </c>
      <c r="F189" s="3" t="n">
        <v>8134.0</v>
      </c>
      <c r="G189" s="3" t="n">
        <v>8450.0</v>
      </c>
      <c r="H189" s="3" t="n">
        <v>8185.0</v>
      </c>
      <c r="I189" s="3" t="n">
        <v>8702.0</v>
      </c>
      <c r="J189" s="3" t="n">
        <v>9191.0</v>
      </c>
      <c r="K189" s="3" t="n">
        <v>9313.0</v>
      </c>
      <c r="L189" s="3" t="n">
        <v>9595.0</v>
      </c>
      <c r="M189" s="3" t="n">
        <v>9389.0</v>
      </c>
      <c r="N189" s="3" t="n">
        <v>10038.0</v>
      </c>
      <c r="O189" s="3" t="n">
        <v>9823.0</v>
      </c>
      <c r="P189" s="3" t="n">
        <v>9691.0</v>
      </c>
      <c r="Q189" s="3" t="n">
        <v>9522.0</v>
      </c>
      <c r="R189" s="3" t="n">
        <v>9136.0</v>
      </c>
      <c r="S189" s="3" t="n">
        <v>8370.0</v>
      </c>
      <c r="T189" s="3" t="n">
        <v>7989.0</v>
      </c>
      <c r="U189" s="3" t="n">
        <v>7719.0</v>
      </c>
      <c r="V189" s="3" t="n">
        <v>7567.0</v>
      </c>
      <c r="W189" s="3" t="n">
        <v>7425.0</v>
      </c>
      <c r="X189" s="3" t="n">
        <v>7243.0</v>
      </c>
      <c r="Y189" s="3" t="n">
        <v>7225.0</v>
      </c>
      <c r="Z189" s="3" t="n">
        <v>7230.0</v>
      </c>
      <c r="AA189" s="3" t="n">
        <v>7452.0</v>
      </c>
      <c r="AB189" s="3" t="n">
        <v>7622.0</v>
      </c>
      <c r="AC189" s="3" t="n">
        <v>7781.0</v>
      </c>
      <c r="AD189" s="3" t="n">
        <v>8193.0</v>
      </c>
      <c r="AE189" s="3" t="n">
        <v>8399.0</v>
      </c>
      <c r="AF189" s="3" t="n">
        <v>8685.0</v>
      </c>
      <c r="AG189" s="3" t="n">
        <v>9051.0</v>
      </c>
      <c r="AH189" s="3" t="n">
        <v>9395.0</v>
      </c>
      <c r="AI189" s="3" t="n">
        <v>9741.0</v>
      </c>
      <c r="AJ189" s="3" t="n">
        <v>9766.0</v>
      </c>
      <c r="AK189" s="3" t="n">
        <v>9867.0</v>
      </c>
      <c r="AL189" s="3" t="n">
        <v>9888.0</v>
      </c>
      <c r="AM189" s="3" t="n">
        <v>10049.0</v>
      </c>
      <c r="AN189" s="3" t="n">
        <v>9789.0</v>
      </c>
      <c r="AO189" s="3" t="n">
        <v>10303.0</v>
      </c>
    </row>
    <row r="190" spans="1:41" x14ac:dyDescent="0.2">
      <c r="A190" s="128"/>
      <c r="B190" s="9">
        <v>79</v>
      </c>
      <c r="C190" s="3" t="n">
        <v>4549.0</v>
      </c>
      <c r="D190" s="3" t="n">
        <v>4434.0</v>
      </c>
      <c r="E190" s="3" t="n">
        <v>4829.0</v>
      </c>
      <c r="F190" s="3" t="n">
        <v>7649.0</v>
      </c>
      <c r="G190" s="3" t="n">
        <v>7613.0</v>
      </c>
      <c r="H190" s="3" t="n">
        <v>7922.0</v>
      </c>
      <c r="I190" s="3" t="n">
        <v>7681.0</v>
      </c>
      <c r="J190" s="3" t="n">
        <v>8173.0</v>
      </c>
      <c r="K190" s="3" t="n">
        <v>8636.0</v>
      </c>
      <c r="L190" s="3" t="n">
        <v>8749.0</v>
      </c>
      <c r="M190" s="3" t="n">
        <v>9021.0</v>
      </c>
      <c r="N190" s="3" t="n">
        <v>8827.0</v>
      </c>
      <c r="O190" s="3" t="n">
        <v>9438.0</v>
      </c>
      <c r="P190" s="3" t="n">
        <v>9242.0</v>
      </c>
      <c r="Q190" s="3" t="n">
        <v>9127.0</v>
      </c>
      <c r="R190" s="3" t="n">
        <v>8966.0</v>
      </c>
      <c r="S190" s="3" t="n">
        <v>8608.0</v>
      </c>
      <c r="T190" s="3" t="n">
        <v>7888.0</v>
      </c>
      <c r="U190" s="3" t="n">
        <v>7532.0</v>
      </c>
      <c r="V190" s="3" t="n">
        <v>7279.0</v>
      </c>
      <c r="W190" s="3" t="n">
        <v>7135.0</v>
      </c>
      <c r="X190" s="3" t="n">
        <v>7006.0</v>
      </c>
      <c r="Y190" s="3" t="n">
        <v>6830.0</v>
      </c>
      <c r="Z190" s="3" t="n">
        <v>6815.0</v>
      </c>
      <c r="AA190" s="3" t="n">
        <v>6822.0</v>
      </c>
      <c r="AB190" s="3" t="n">
        <v>7027.0</v>
      </c>
      <c r="AC190" s="3" t="n">
        <v>7194.0</v>
      </c>
      <c r="AD190" s="3" t="n">
        <v>7344.0</v>
      </c>
      <c r="AE190" s="3" t="n">
        <v>7741.0</v>
      </c>
      <c r="AF190" s="3" t="n">
        <v>7935.0</v>
      </c>
      <c r="AG190" s="3" t="n">
        <v>8207.0</v>
      </c>
      <c r="AH190" s="3" t="n">
        <v>8553.0</v>
      </c>
      <c r="AI190" s="3" t="n">
        <v>8881.0</v>
      </c>
      <c r="AJ190" s="3" t="n">
        <v>9212.0</v>
      </c>
      <c r="AK190" s="3" t="n">
        <v>9234.0</v>
      </c>
      <c r="AL190" s="3" t="n">
        <v>9334.0</v>
      </c>
      <c r="AM190" s="3" t="n">
        <v>9355.0</v>
      </c>
      <c r="AN190" s="3" t="n">
        <v>9508.0</v>
      </c>
      <c r="AO190" s="3" t="n">
        <v>9260.0</v>
      </c>
    </row>
    <row r="191" spans="1:41" x14ac:dyDescent="0.2">
      <c r="A191" s="128"/>
      <c r="B191" s="9">
        <v>80</v>
      </c>
      <c r="C191" s="3" t="n">
        <v>4001.0</v>
      </c>
      <c r="D191" s="3" t="n">
        <v>4233.0</v>
      </c>
      <c r="E191" s="3" t="n">
        <v>4131.0</v>
      </c>
      <c r="F191" s="3" t="n">
        <v>4500.0</v>
      </c>
      <c r="G191" s="3" t="n">
        <v>7132.0</v>
      </c>
      <c r="H191" s="3" t="n">
        <v>7104.0</v>
      </c>
      <c r="I191" s="3" t="n">
        <v>7400.0</v>
      </c>
      <c r="J191" s="3" t="n">
        <v>7176.0</v>
      </c>
      <c r="K191" s="3" t="n">
        <v>7638.0</v>
      </c>
      <c r="L191" s="3" t="n">
        <v>8080.0</v>
      </c>
      <c r="M191" s="3" t="n">
        <v>8189.0</v>
      </c>
      <c r="N191" s="3" t="n">
        <v>8440.0</v>
      </c>
      <c r="O191" s="3" t="n">
        <v>8270.0</v>
      </c>
      <c r="P191" s="3" t="n">
        <v>8840.0</v>
      </c>
      <c r="Q191" s="3" t="n">
        <v>8661.0</v>
      </c>
      <c r="R191" s="3" t="n">
        <v>8555.0</v>
      </c>
      <c r="S191" s="3" t="n">
        <v>8407.0</v>
      </c>
      <c r="T191" s="3" t="n">
        <v>8073.0</v>
      </c>
      <c r="U191" s="3" t="n">
        <v>7409.0</v>
      </c>
      <c r="V191" s="3" t="n">
        <v>7073.0</v>
      </c>
      <c r="W191" s="3" t="n">
        <v>6837.0</v>
      </c>
      <c r="X191" s="3" t="n">
        <v>6709.0</v>
      </c>
      <c r="Y191" s="3" t="n">
        <v>6581.0</v>
      </c>
      <c r="Z191" s="3" t="n">
        <v>6416.0</v>
      </c>
      <c r="AA191" s="3" t="n">
        <v>6408.0</v>
      </c>
      <c r="AB191" s="3" t="n">
        <v>6414.0</v>
      </c>
      <c r="AC191" s="3" t="n">
        <v>6612.0</v>
      </c>
      <c r="AD191" s="3" t="n">
        <v>6767.0</v>
      </c>
      <c r="AE191" s="3" t="n">
        <v>6913.0</v>
      </c>
      <c r="AF191" s="3" t="n">
        <v>7283.0</v>
      </c>
      <c r="AG191" s="3" t="n">
        <v>7470.0</v>
      </c>
      <c r="AH191" s="3" t="n">
        <v>7725.0</v>
      </c>
      <c r="AI191" s="3" t="n">
        <v>8051.0</v>
      </c>
      <c r="AJ191" s="3" t="n">
        <v>8363.0</v>
      </c>
      <c r="AK191" s="3" t="n">
        <v>8672.0</v>
      </c>
      <c r="AL191" s="3" t="n">
        <v>8695.0</v>
      </c>
      <c r="AM191" s="3" t="n">
        <v>8797.0</v>
      </c>
      <c r="AN191" s="3" t="n">
        <v>8815.0</v>
      </c>
      <c r="AO191" s="3" t="n">
        <v>8957.0</v>
      </c>
    </row>
    <row r="192" spans="1:41" x14ac:dyDescent="0.2">
      <c r="A192" s="128"/>
      <c r="B192" s="9">
        <v>81</v>
      </c>
      <c r="C192" s="3" t="n">
        <v>3900.0</v>
      </c>
      <c r="D192" s="3" t="n">
        <v>3694.0</v>
      </c>
      <c r="E192" s="3" t="n">
        <v>3908.0</v>
      </c>
      <c r="F192" s="3" t="n">
        <v>3820.0</v>
      </c>
      <c r="G192" s="3" t="n">
        <v>4162.0</v>
      </c>
      <c r="H192" s="3" t="n">
        <v>6601.0</v>
      </c>
      <c r="I192" s="3" t="n">
        <v>6581.0</v>
      </c>
      <c r="J192" s="3" t="n">
        <v>6857.0</v>
      </c>
      <c r="K192" s="3" t="n">
        <v>6657.0</v>
      </c>
      <c r="L192" s="3" t="n">
        <v>7089.0</v>
      </c>
      <c r="M192" s="3" t="n">
        <v>7503.0</v>
      </c>
      <c r="N192" s="3" t="n">
        <v>7610.0</v>
      </c>
      <c r="O192" s="3" t="n">
        <v>7843.0</v>
      </c>
      <c r="P192" s="3" t="n">
        <v>7691.0</v>
      </c>
      <c r="Q192" s="3" t="n">
        <v>8224.0</v>
      </c>
      <c r="R192" s="3" t="n">
        <v>8059.0</v>
      </c>
      <c r="S192" s="3" t="n">
        <v>7964.0</v>
      </c>
      <c r="T192" s="3" t="n">
        <v>7826.0</v>
      </c>
      <c r="U192" s="3" t="n">
        <v>7526.0</v>
      </c>
      <c r="V192" s="3" t="n">
        <v>6902.0</v>
      </c>
      <c r="W192" s="3" t="n">
        <v>6590.0</v>
      </c>
      <c r="X192" s="3" t="n">
        <v>6377.0</v>
      </c>
      <c r="Y192" s="3" t="n">
        <v>6255.0</v>
      </c>
      <c r="Z192" s="3" t="n">
        <v>6135.0</v>
      </c>
      <c r="AA192" s="3" t="n">
        <v>5986.0</v>
      </c>
      <c r="AB192" s="3" t="n">
        <v>5976.0</v>
      </c>
      <c r="AC192" s="3" t="n">
        <v>5989.0</v>
      </c>
      <c r="AD192" s="3" t="n">
        <v>6172.0</v>
      </c>
      <c r="AE192" s="3" t="n">
        <v>6319.0</v>
      </c>
      <c r="AF192" s="3" t="n">
        <v>6453.0</v>
      </c>
      <c r="AG192" s="3" t="n">
        <v>6810.0</v>
      </c>
      <c r="AH192" s="3" t="n">
        <v>6981.0</v>
      </c>
      <c r="AI192" s="3" t="n">
        <v>7224.0</v>
      </c>
      <c r="AJ192" s="3" t="n">
        <v>7530.0</v>
      </c>
      <c r="AK192" s="3" t="n">
        <v>7822.0</v>
      </c>
      <c r="AL192" s="3" t="n">
        <v>8109.0</v>
      </c>
      <c r="AM192" s="3" t="n">
        <v>8135.0</v>
      </c>
      <c r="AN192" s="3" t="n">
        <v>8230.0</v>
      </c>
      <c r="AO192" s="3" t="n">
        <v>8249.0</v>
      </c>
    </row>
    <row r="193" spans="1:41" x14ac:dyDescent="0.2">
      <c r="A193" s="128"/>
      <c r="B193" s="9">
        <v>82</v>
      </c>
      <c r="C193" s="3" t="n">
        <v>3535.0</v>
      </c>
      <c r="D193" s="3" t="n">
        <v>3577.0</v>
      </c>
      <c r="E193" s="3" t="n">
        <v>3395.0</v>
      </c>
      <c r="F193" s="3" t="n">
        <v>3590.0</v>
      </c>
      <c r="G193" s="3" t="n">
        <v>3514.0</v>
      </c>
      <c r="H193" s="3" t="n">
        <v>3829.0</v>
      </c>
      <c r="I193" s="3" t="n">
        <v>6068.0</v>
      </c>
      <c r="J193" s="3" t="n">
        <v>6055.0</v>
      </c>
      <c r="K193" s="3" t="n">
        <v>6311.0</v>
      </c>
      <c r="L193" s="3" t="n">
        <v>6138.0</v>
      </c>
      <c r="M193" s="3" t="n">
        <v>6537.0</v>
      </c>
      <c r="N193" s="3" t="n">
        <v>6916.0</v>
      </c>
      <c r="O193" s="3" t="n">
        <v>7021.0</v>
      </c>
      <c r="P193" s="3" t="n">
        <v>7239.0</v>
      </c>
      <c r="Q193" s="3" t="n">
        <v>7100.0</v>
      </c>
      <c r="R193" s="3" t="n">
        <v>7597.0</v>
      </c>
      <c r="S193" s="3" t="n">
        <v>7447.0</v>
      </c>
      <c r="T193" s="3" t="n">
        <v>7357.0</v>
      </c>
      <c r="U193" s="3" t="n">
        <v>7239.0</v>
      </c>
      <c r="V193" s="3" t="n">
        <v>6962.0</v>
      </c>
      <c r="W193" s="3" t="n">
        <v>6384.0</v>
      </c>
      <c r="X193" s="3" t="n">
        <v>6107.0</v>
      </c>
      <c r="Y193" s="3" t="n">
        <v>5905.0</v>
      </c>
      <c r="Z193" s="3" t="n">
        <v>5792.0</v>
      </c>
      <c r="AA193" s="3" t="n">
        <v>5686.0</v>
      </c>
      <c r="AB193" s="3" t="n">
        <v>5551.0</v>
      </c>
      <c r="AC193" s="3" t="n">
        <v>5546.0</v>
      </c>
      <c r="AD193" s="3" t="n">
        <v>5555.0</v>
      </c>
      <c r="AE193" s="3" t="n">
        <v>5728.0</v>
      </c>
      <c r="AF193" s="3" t="n">
        <v>5862.0</v>
      </c>
      <c r="AG193" s="3" t="n">
        <v>5990.0</v>
      </c>
      <c r="AH193" s="3" t="n">
        <v>6324.0</v>
      </c>
      <c r="AI193" s="3" t="n">
        <v>6481.0</v>
      </c>
      <c r="AJ193" s="3" t="n">
        <v>6713.0</v>
      </c>
      <c r="AK193" s="3" t="n">
        <v>6995.0</v>
      </c>
      <c r="AL193" s="3" t="n">
        <v>7264.0</v>
      </c>
      <c r="AM193" s="3" t="n">
        <v>7542.0</v>
      </c>
      <c r="AN193" s="3" t="n">
        <v>7561.0</v>
      </c>
      <c r="AO193" s="3" t="n">
        <v>7651.0</v>
      </c>
    </row>
    <row r="194" spans="1:41" x14ac:dyDescent="0.2">
      <c r="A194" s="128"/>
      <c r="B194" s="9">
        <v>83</v>
      </c>
      <c r="C194" s="3" t="n">
        <v>3233.0</v>
      </c>
      <c r="D194" s="3" t="n">
        <v>3206.0</v>
      </c>
      <c r="E194" s="3" t="n">
        <v>3251.0</v>
      </c>
      <c r="F194" s="3" t="n">
        <v>3088.0</v>
      </c>
      <c r="G194" s="3" t="n">
        <v>3263.0</v>
      </c>
      <c r="H194" s="3" t="n">
        <v>3199.0</v>
      </c>
      <c r="I194" s="3" t="n">
        <v>3489.0</v>
      </c>
      <c r="J194" s="3" t="n">
        <v>5532.0</v>
      </c>
      <c r="K194" s="3" t="n">
        <v>5524.0</v>
      </c>
      <c r="L194" s="3" t="n">
        <v>5766.0</v>
      </c>
      <c r="M194" s="3" t="n">
        <v>5610.0</v>
      </c>
      <c r="N194" s="3" t="n">
        <v>5978.0</v>
      </c>
      <c r="O194" s="3" t="n">
        <v>6327.0</v>
      </c>
      <c r="P194" s="3" t="n">
        <v>6426.0</v>
      </c>
      <c r="Q194" s="3" t="n">
        <v>6629.0</v>
      </c>
      <c r="R194" s="3" t="n">
        <v>6508.0</v>
      </c>
      <c r="S194" s="3" t="n">
        <v>6966.0</v>
      </c>
      <c r="T194" s="3" t="n">
        <v>6826.0</v>
      </c>
      <c r="U194" s="3" t="n">
        <v>6752.0</v>
      </c>
      <c r="V194" s="3" t="n">
        <v>6647.0</v>
      </c>
      <c r="W194" s="3" t="n">
        <v>6391.0</v>
      </c>
      <c r="X194" s="3" t="n">
        <v>5866.0</v>
      </c>
      <c r="Y194" s="3" t="n">
        <v>5608.0</v>
      </c>
      <c r="Z194" s="3" t="n">
        <v>5425.0</v>
      </c>
      <c r="AA194" s="3" t="n">
        <v>5325.0</v>
      </c>
      <c r="AB194" s="3" t="n">
        <v>5231.0</v>
      </c>
      <c r="AC194" s="3" t="n">
        <v>5109.0</v>
      </c>
      <c r="AD194" s="3" t="n">
        <v>5103.0</v>
      </c>
      <c r="AE194" s="3" t="n">
        <v>5117.0</v>
      </c>
      <c r="AF194" s="3" t="n">
        <v>5275.0</v>
      </c>
      <c r="AG194" s="3" t="n">
        <v>5401.0</v>
      </c>
      <c r="AH194" s="3" t="n">
        <v>5520.0</v>
      </c>
      <c r="AI194" s="3" t="n">
        <v>5825.0</v>
      </c>
      <c r="AJ194" s="3" t="n">
        <v>5979.0</v>
      </c>
      <c r="AK194" s="3" t="n">
        <v>6191.0</v>
      </c>
      <c r="AL194" s="3" t="n">
        <v>6451.0</v>
      </c>
      <c r="AM194" s="3" t="n">
        <v>6703.0</v>
      </c>
      <c r="AN194" s="3" t="n">
        <v>6959.0</v>
      </c>
      <c r="AO194" s="3" t="n">
        <v>6977.0</v>
      </c>
    </row>
    <row r="195" spans="1:41" x14ac:dyDescent="0.2">
      <c r="A195" s="128"/>
      <c r="B195" s="9">
        <v>84</v>
      </c>
      <c r="C195" s="3" t="n">
        <v>2896.0</v>
      </c>
      <c r="D195" s="3" t="n">
        <v>2897.0</v>
      </c>
      <c r="E195" s="3" t="n">
        <v>2881.0</v>
      </c>
      <c r="F195" s="3" t="n">
        <v>2922.0</v>
      </c>
      <c r="G195" s="3" t="n">
        <v>2771.0</v>
      </c>
      <c r="H195" s="3" t="n">
        <v>2931.0</v>
      </c>
      <c r="I195" s="3" t="n">
        <v>2878.0</v>
      </c>
      <c r="J195" s="3" t="n">
        <v>3142.0</v>
      </c>
      <c r="K195" s="3" t="n">
        <v>4990.0</v>
      </c>
      <c r="L195" s="3" t="n">
        <v>4985.0</v>
      </c>
      <c r="M195" s="3" t="n">
        <v>5210.0</v>
      </c>
      <c r="N195" s="3" t="n">
        <v>5069.0</v>
      </c>
      <c r="O195" s="3" t="n">
        <v>5406.0</v>
      </c>
      <c r="P195" s="3" t="n">
        <v>5724.0</v>
      </c>
      <c r="Q195" s="3" t="n">
        <v>5818.0</v>
      </c>
      <c r="R195" s="3" t="n">
        <v>6003.0</v>
      </c>
      <c r="S195" s="3" t="n">
        <v>5896.0</v>
      </c>
      <c r="T195" s="3" t="n">
        <v>6315.0</v>
      </c>
      <c r="U195" s="3" t="n">
        <v>6191.0</v>
      </c>
      <c r="V195" s="3" t="n">
        <v>6128.0</v>
      </c>
      <c r="W195" s="3" t="n">
        <v>6035.0</v>
      </c>
      <c r="X195" s="3" t="n">
        <v>5807.0</v>
      </c>
      <c r="Y195" s="3" t="n">
        <v>5332.0</v>
      </c>
      <c r="Z195" s="3" t="n">
        <v>5100.0</v>
      </c>
      <c r="AA195" s="3" t="n">
        <v>4935.0</v>
      </c>
      <c r="AB195" s="3" t="n">
        <v>4843.0</v>
      </c>
      <c r="AC195" s="3" t="n">
        <v>4764.0</v>
      </c>
      <c r="AD195" s="3" t="n">
        <v>4652.0</v>
      </c>
      <c r="AE195" s="3" t="n">
        <v>4651.0</v>
      </c>
      <c r="AF195" s="3" t="n">
        <v>4661.0</v>
      </c>
      <c r="AG195" s="3" t="n">
        <v>4810.0</v>
      </c>
      <c r="AH195" s="3" t="n">
        <v>4920.0</v>
      </c>
      <c r="AI195" s="3" t="n">
        <v>5032.0</v>
      </c>
      <c r="AJ195" s="3" t="n">
        <v>5314.0</v>
      </c>
      <c r="AK195" s="3" t="n">
        <v>5454.0</v>
      </c>
      <c r="AL195" s="3" t="n">
        <v>5645.0</v>
      </c>
      <c r="AM195" s="3" t="n">
        <v>5886.0</v>
      </c>
      <c r="AN195" s="3" t="n">
        <v>6118.0</v>
      </c>
      <c r="AO195" s="3" t="n">
        <v>6353.0</v>
      </c>
    </row>
    <row r="196" spans="1:41" x14ac:dyDescent="0.2">
      <c r="A196" s="128"/>
      <c r="B196" s="9">
        <v>85</v>
      </c>
      <c r="C196" s="3" t="n">
        <v>2657.0</v>
      </c>
      <c r="D196" s="3" t="n">
        <v>2563.0</v>
      </c>
      <c r="E196" s="3" t="n">
        <v>2570.0</v>
      </c>
      <c r="F196" s="3" t="n">
        <v>2557.0</v>
      </c>
      <c r="G196" s="3" t="n">
        <v>2593.0</v>
      </c>
      <c r="H196" s="3" t="n">
        <v>2459.0</v>
      </c>
      <c r="I196" s="3" t="n">
        <v>2604.0</v>
      </c>
      <c r="J196" s="3" t="n">
        <v>2564.0</v>
      </c>
      <c r="K196" s="3" t="n">
        <v>2800.0</v>
      </c>
      <c r="L196" s="3" t="n">
        <v>4455.0</v>
      </c>
      <c r="M196" s="3" t="n">
        <v>4451.0</v>
      </c>
      <c r="N196" s="3" t="n">
        <v>4653.0</v>
      </c>
      <c r="O196" s="3" t="n">
        <v>4531.0</v>
      </c>
      <c r="P196" s="3" t="n">
        <v>4839.0</v>
      </c>
      <c r="Q196" s="3" t="n">
        <v>5127.0</v>
      </c>
      <c r="R196" s="3" t="n">
        <v>5208.0</v>
      </c>
      <c r="S196" s="3" t="n">
        <v>5382.0</v>
      </c>
      <c r="T196" s="3" t="n">
        <v>5286.0</v>
      </c>
      <c r="U196" s="3" t="n">
        <v>5665.0</v>
      </c>
      <c r="V196" s="3" t="n">
        <v>5559.0</v>
      </c>
      <c r="W196" s="3" t="n">
        <v>5507.0</v>
      </c>
      <c r="X196" s="3" t="n">
        <v>5420.0</v>
      </c>
      <c r="Y196" s="3" t="n">
        <v>5220.0</v>
      </c>
      <c r="Z196" s="3" t="n">
        <v>4796.0</v>
      </c>
      <c r="AA196" s="3" t="n">
        <v>4592.0</v>
      </c>
      <c r="AB196" s="3" t="n">
        <v>4442.0</v>
      </c>
      <c r="AC196" s="3" t="n">
        <v>4360.0</v>
      </c>
      <c r="AD196" s="3" t="n">
        <v>4291.0</v>
      </c>
      <c r="AE196" s="3" t="n">
        <v>4195.0</v>
      </c>
      <c r="AF196" s="3" t="n">
        <v>4188.0</v>
      </c>
      <c r="AG196" s="3" t="n">
        <v>4204.0</v>
      </c>
      <c r="AH196" s="3" t="n">
        <v>4339.0</v>
      </c>
      <c r="AI196" s="3" t="n">
        <v>4436.0</v>
      </c>
      <c r="AJ196" s="3" t="n">
        <v>4543.0</v>
      </c>
      <c r="AK196" s="3" t="n">
        <v>4799.0</v>
      </c>
      <c r="AL196" s="3" t="n">
        <v>4923.0</v>
      </c>
      <c r="AM196" s="3" t="n">
        <v>5100.0</v>
      </c>
      <c r="AN196" s="3" t="n">
        <v>5317.0</v>
      </c>
      <c r="AO196" s="3" t="n">
        <v>5528.0</v>
      </c>
    </row>
    <row r="197" spans="1:41" x14ac:dyDescent="0.2">
      <c r="A197" s="128"/>
      <c r="B197" s="9">
        <v>86</v>
      </c>
      <c r="C197" s="3" t="n">
        <v>2349.0</v>
      </c>
      <c r="D197" s="3" t="n">
        <v>2329.0</v>
      </c>
      <c r="E197" s="3" t="n">
        <v>2252.0</v>
      </c>
      <c r="F197" s="3" t="n">
        <v>2259.0</v>
      </c>
      <c r="G197" s="3" t="n">
        <v>2244.0</v>
      </c>
      <c r="H197" s="3" t="n">
        <v>2282.0</v>
      </c>
      <c r="I197" s="3" t="n">
        <v>2168.0</v>
      </c>
      <c r="J197" s="3" t="n">
        <v>2298.0</v>
      </c>
      <c r="K197" s="3" t="n">
        <v>2262.0</v>
      </c>
      <c r="L197" s="3" t="n">
        <v>2472.0</v>
      </c>
      <c r="M197" s="3" t="n">
        <v>3938.0</v>
      </c>
      <c r="N197" s="3" t="n">
        <v>3933.0</v>
      </c>
      <c r="O197" s="3" t="n">
        <v>4117.0</v>
      </c>
      <c r="P197" s="3" t="n">
        <v>4016.0</v>
      </c>
      <c r="Q197" s="3" t="n">
        <v>4293.0</v>
      </c>
      <c r="R197" s="3" t="n">
        <v>4543.0</v>
      </c>
      <c r="S197" s="3" t="n">
        <v>4621.0</v>
      </c>
      <c r="T197" s="3" t="n">
        <v>4775.0</v>
      </c>
      <c r="U197" s="3" t="n">
        <v>4699.0</v>
      </c>
      <c r="V197" s="3" t="n">
        <v>5038.0</v>
      </c>
      <c r="W197" s="3" t="n">
        <v>4947.0</v>
      </c>
      <c r="X197" s="3" t="n">
        <v>4901.0</v>
      </c>
      <c r="Y197" s="3" t="n">
        <v>4825.0</v>
      </c>
      <c r="Z197" s="3" t="n">
        <v>4647.0</v>
      </c>
      <c r="AA197" s="3" t="n">
        <v>4271.0</v>
      </c>
      <c r="AB197" s="3" t="n">
        <v>4095.0</v>
      </c>
      <c r="AC197" s="3" t="n">
        <v>3962.0</v>
      </c>
      <c r="AD197" s="3" t="n">
        <v>3890.0</v>
      </c>
      <c r="AE197" s="3" t="n">
        <v>3832.0</v>
      </c>
      <c r="AF197" s="3" t="n">
        <v>3745.0</v>
      </c>
      <c r="AG197" s="3" t="n">
        <v>3741.0</v>
      </c>
      <c r="AH197" s="3" t="n">
        <v>3754.0</v>
      </c>
      <c r="AI197" s="3" t="n">
        <v>3877.0</v>
      </c>
      <c r="AJ197" s="3" t="n">
        <v>3966.0</v>
      </c>
      <c r="AK197" s="3" t="n">
        <v>4064.0</v>
      </c>
      <c r="AL197" s="3" t="n">
        <v>4289.0</v>
      </c>
      <c r="AM197" s="3" t="n">
        <v>4408.0</v>
      </c>
      <c r="AN197" s="3" t="n">
        <v>4565.0</v>
      </c>
      <c r="AO197" s="3" t="n">
        <v>4761.0</v>
      </c>
    </row>
    <row r="198" spans="1:41" x14ac:dyDescent="0.2">
      <c r="A198" s="128"/>
      <c r="B198" s="9">
        <v>87</v>
      </c>
      <c r="C198" s="3" t="n">
        <v>1983.0</v>
      </c>
      <c r="D198" s="3" t="n">
        <v>2035.0</v>
      </c>
      <c r="E198" s="3" t="n">
        <v>2023.0</v>
      </c>
      <c r="F198" s="3" t="n">
        <v>1955.0</v>
      </c>
      <c r="G198" s="3" t="n">
        <v>1964.0</v>
      </c>
      <c r="H198" s="3" t="n">
        <v>1954.0</v>
      </c>
      <c r="I198" s="3" t="n">
        <v>1986.0</v>
      </c>
      <c r="J198" s="3" t="n">
        <v>1890.0</v>
      </c>
      <c r="K198" s="3" t="n">
        <v>2008.0</v>
      </c>
      <c r="L198" s="3" t="n">
        <v>1977.0</v>
      </c>
      <c r="M198" s="3" t="n">
        <v>2164.0</v>
      </c>
      <c r="N198" s="3" t="n">
        <v>3443.0</v>
      </c>
      <c r="O198" s="3" t="n">
        <v>3445.0</v>
      </c>
      <c r="P198" s="3" t="n">
        <v>3607.0</v>
      </c>
      <c r="Q198" s="3" t="n">
        <v>3527.0</v>
      </c>
      <c r="R198" s="3" t="n">
        <v>3767.0</v>
      </c>
      <c r="S198" s="3" t="n">
        <v>3994.0</v>
      </c>
      <c r="T198" s="3" t="n">
        <v>4056.0</v>
      </c>
      <c r="U198" s="3" t="n">
        <v>4197.0</v>
      </c>
      <c r="V198" s="3" t="n">
        <v>4137.0</v>
      </c>
      <c r="W198" s="3" t="n">
        <v>4436.0</v>
      </c>
      <c r="X198" s="3" t="n">
        <v>4358.0</v>
      </c>
      <c r="Y198" s="3" t="n">
        <v>4321.0</v>
      </c>
      <c r="Z198" s="3" t="n">
        <v>4252.0</v>
      </c>
      <c r="AA198" s="3" t="n">
        <v>4102.0</v>
      </c>
      <c r="AB198" s="3" t="n">
        <v>3775.0</v>
      </c>
      <c r="AC198" s="3" t="n">
        <v>3615.0</v>
      </c>
      <c r="AD198" s="3" t="n">
        <v>3498.0</v>
      </c>
      <c r="AE198" s="3" t="n">
        <v>3438.0</v>
      </c>
      <c r="AF198" s="3" t="n">
        <v>3387.0</v>
      </c>
      <c r="AG198" s="3" t="n">
        <v>3313.0</v>
      </c>
      <c r="AH198" s="3" t="n">
        <v>3307.0</v>
      </c>
      <c r="AI198" s="3" t="n">
        <v>3318.0</v>
      </c>
      <c r="AJ198" s="3" t="n">
        <v>3433.0</v>
      </c>
      <c r="AK198" s="3" t="n">
        <v>3510.0</v>
      </c>
      <c r="AL198" s="3" t="n">
        <v>3598.0</v>
      </c>
      <c r="AM198" s="3" t="n">
        <v>3803.0</v>
      </c>
      <c r="AN198" s="3" t="n">
        <v>3909.0</v>
      </c>
      <c r="AO198" s="3" t="n">
        <v>4047.0</v>
      </c>
    </row>
    <row r="199" spans="1:41" x14ac:dyDescent="0.2">
      <c r="A199" s="128"/>
      <c r="B199" s="9">
        <v>88</v>
      </c>
      <c r="C199" s="3" t="n">
        <v>1615.0</v>
      </c>
      <c r="D199" s="3" t="n">
        <v>1697.0</v>
      </c>
      <c r="E199" s="3" t="n">
        <v>1744.0</v>
      </c>
      <c r="F199" s="3" t="n">
        <v>1731.0</v>
      </c>
      <c r="G199" s="3" t="n">
        <v>1676.0</v>
      </c>
      <c r="H199" s="3" t="n">
        <v>1687.0</v>
      </c>
      <c r="I199" s="3" t="n">
        <v>1679.0</v>
      </c>
      <c r="J199" s="3" t="n">
        <v>1708.0</v>
      </c>
      <c r="K199" s="3" t="n">
        <v>1628.0</v>
      </c>
      <c r="L199" s="3" t="n">
        <v>1733.0</v>
      </c>
      <c r="M199" s="3" t="n">
        <v>1706.0</v>
      </c>
      <c r="N199" s="3" t="n">
        <v>1867.0</v>
      </c>
      <c r="O199" s="3" t="n">
        <v>2976.0</v>
      </c>
      <c r="P199" s="3" t="n">
        <v>2985.0</v>
      </c>
      <c r="Q199" s="3" t="n">
        <v>3127.0</v>
      </c>
      <c r="R199" s="3" t="n">
        <v>3060.0</v>
      </c>
      <c r="S199" s="3" t="n">
        <v>3267.0</v>
      </c>
      <c r="T199" s="3" t="n">
        <v>3467.0</v>
      </c>
      <c r="U199" s="3" t="n">
        <v>3522.0</v>
      </c>
      <c r="V199" s="3" t="n">
        <v>3651.0</v>
      </c>
      <c r="W199" s="3" t="n">
        <v>3595.0</v>
      </c>
      <c r="X199" s="3" t="n">
        <v>3862.0</v>
      </c>
      <c r="Y199" s="3" t="n">
        <v>3794.0</v>
      </c>
      <c r="Z199" s="3" t="n">
        <v>3762.0</v>
      </c>
      <c r="AA199" s="3" t="n">
        <v>3707.0</v>
      </c>
      <c r="AB199" s="3" t="n">
        <v>3576.0</v>
      </c>
      <c r="AC199" s="3" t="n">
        <v>3293.0</v>
      </c>
      <c r="AD199" s="3" t="n">
        <v>3157.0</v>
      </c>
      <c r="AE199" s="3" t="n">
        <v>3055.0</v>
      </c>
      <c r="AF199" s="3" t="n">
        <v>3006.0</v>
      </c>
      <c r="AG199" s="3" t="n">
        <v>2963.0</v>
      </c>
      <c r="AH199" s="3" t="n">
        <v>2903.0</v>
      </c>
      <c r="AI199" s="3" t="n">
        <v>2894.0</v>
      </c>
      <c r="AJ199" s="3" t="n">
        <v>2907.0</v>
      </c>
      <c r="AK199" s="3" t="n">
        <v>3007.0</v>
      </c>
      <c r="AL199" s="3" t="n">
        <v>3076.0</v>
      </c>
      <c r="AM199" s="3" t="n">
        <v>3155.0</v>
      </c>
      <c r="AN199" s="3" t="n">
        <v>3330.0</v>
      </c>
      <c r="AO199" s="3" t="n">
        <v>3426.0</v>
      </c>
    </row>
    <row r="200" spans="1:41" x14ac:dyDescent="0.2">
      <c r="A200" s="128"/>
      <c r="B200" s="9">
        <v>89</v>
      </c>
      <c r="C200" s="3" t="n">
        <v>1322.0</v>
      </c>
      <c r="D200" s="3" t="n">
        <v>1361.0</v>
      </c>
      <c r="E200" s="3" t="n">
        <v>1438.0</v>
      </c>
      <c r="F200" s="3" t="n">
        <v>1475.0</v>
      </c>
      <c r="G200" s="3" t="n">
        <v>1466.0</v>
      </c>
      <c r="H200" s="3" t="n">
        <v>1422.0</v>
      </c>
      <c r="I200" s="3" t="n">
        <v>1427.0</v>
      </c>
      <c r="J200" s="3" t="n">
        <v>1423.0</v>
      </c>
      <c r="K200" s="3" t="n">
        <v>1452.0</v>
      </c>
      <c r="L200" s="3" t="n">
        <v>1382.0</v>
      </c>
      <c r="M200" s="3" t="n">
        <v>1478.0</v>
      </c>
      <c r="N200" s="3" t="n">
        <v>1453.0</v>
      </c>
      <c r="O200" s="3" t="n">
        <v>1593.0</v>
      </c>
      <c r="P200" s="3" t="n">
        <v>2542.0</v>
      </c>
      <c r="Q200" s="3" t="n">
        <v>2555.0</v>
      </c>
      <c r="R200" s="3" t="n">
        <v>2676.0</v>
      </c>
      <c r="S200" s="3" t="n">
        <v>2620.0</v>
      </c>
      <c r="T200" s="3" t="n">
        <v>2800.0</v>
      </c>
      <c r="U200" s="3" t="n">
        <v>2975.0</v>
      </c>
      <c r="V200" s="3" t="n">
        <v>3026.0</v>
      </c>
      <c r="W200" s="3" t="n">
        <v>3137.0</v>
      </c>
      <c r="X200" s="3" t="n">
        <v>3092.0</v>
      </c>
      <c r="Y200" s="3" t="n">
        <v>3326.0</v>
      </c>
      <c r="Z200" s="3" t="n">
        <v>3269.0</v>
      </c>
      <c r="AA200" s="3" t="n">
        <v>3241.0</v>
      </c>
      <c r="AB200" s="3" t="n">
        <v>3195.0</v>
      </c>
      <c r="AC200" s="3" t="n">
        <v>3084.0</v>
      </c>
      <c r="AD200" s="3" t="n">
        <v>2841.0</v>
      </c>
      <c r="AE200" s="3" t="n">
        <v>2725.0</v>
      </c>
      <c r="AF200" s="3" t="n">
        <v>2637.0</v>
      </c>
      <c r="AG200" s="3" t="n">
        <v>2596.0</v>
      </c>
      <c r="AH200" s="3" t="n">
        <v>2558.0</v>
      </c>
      <c r="AI200" s="3" t="n">
        <v>2505.0</v>
      </c>
      <c r="AJ200" s="3" t="n">
        <v>2503.0</v>
      </c>
      <c r="AK200" s="3" t="n">
        <v>2516.0</v>
      </c>
      <c r="AL200" s="3" t="n">
        <v>2602.0</v>
      </c>
      <c r="AM200" s="3" t="n">
        <v>2665.0</v>
      </c>
      <c r="AN200" s="3" t="n">
        <v>2736.0</v>
      </c>
      <c r="AO200" s="3" t="n">
        <v>2887.0</v>
      </c>
    </row>
    <row r="201" spans="1:41" x14ac:dyDescent="0.2">
      <c r="A201" s="128"/>
      <c r="B201" s="9">
        <v>90</v>
      </c>
      <c r="C201" s="3" t="n">
        <v>1137.0</v>
      </c>
      <c r="D201" s="3" t="n">
        <v>1100.0</v>
      </c>
      <c r="E201" s="3" t="n">
        <v>1136.0</v>
      </c>
      <c r="F201" s="3" t="n">
        <v>1204.0</v>
      </c>
      <c r="G201" s="3" t="n">
        <v>1236.0</v>
      </c>
      <c r="H201" s="3" t="n">
        <v>1226.0</v>
      </c>
      <c r="I201" s="3" t="n">
        <v>1190.0</v>
      </c>
      <c r="J201" s="3" t="n">
        <v>1197.0</v>
      </c>
      <c r="K201" s="3" t="n">
        <v>1197.0</v>
      </c>
      <c r="L201" s="3" t="n">
        <v>1223.0</v>
      </c>
      <c r="M201" s="3" t="n">
        <v>1164.0</v>
      </c>
      <c r="N201" s="3" t="n">
        <v>1247.0</v>
      </c>
      <c r="O201" s="3" t="n">
        <v>1227.0</v>
      </c>
      <c r="P201" s="3" t="n">
        <v>1346.0</v>
      </c>
      <c r="Q201" s="3" t="n">
        <v>2152.0</v>
      </c>
      <c r="R201" s="3" t="n">
        <v>2164.0</v>
      </c>
      <c r="S201" s="3" t="n">
        <v>2269.0</v>
      </c>
      <c r="T201" s="3" t="n">
        <v>2218.0</v>
      </c>
      <c r="U201" s="3" t="n">
        <v>2378.0</v>
      </c>
      <c r="V201" s="3" t="n">
        <v>2528.0</v>
      </c>
      <c r="W201" s="3" t="n">
        <v>2574.0</v>
      </c>
      <c r="X201" s="3" t="n">
        <v>2667.0</v>
      </c>
      <c r="Y201" s="3" t="n">
        <v>2633.0</v>
      </c>
      <c r="Z201" s="3" t="n">
        <v>2834.0</v>
      </c>
      <c r="AA201" s="3" t="n">
        <v>2788.0</v>
      </c>
      <c r="AB201" s="3" t="n">
        <v>2765.0</v>
      </c>
      <c r="AC201" s="3" t="n">
        <v>2727.0</v>
      </c>
      <c r="AD201" s="3" t="n">
        <v>2633.0</v>
      </c>
      <c r="AE201" s="3" t="n">
        <v>2428.0</v>
      </c>
      <c r="AF201" s="3" t="n">
        <v>2332.0</v>
      </c>
      <c r="AG201" s="3" t="n">
        <v>2257.0</v>
      </c>
      <c r="AH201" s="3" t="n">
        <v>2220.0</v>
      </c>
      <c r="AI201" s="3" t="n">
        <v>2188.0</v>
      </c>
      <c r="AJ201" s="3" t="n">
        <v>2146.0</v>
      </c>
      <c r="AK201" s="3" t="n">
        <v>2140.0</v>
      </c>
      <c r="AL201" s="3" t="n">
        <v>2152.0</v>
      </c>
      <c r="AM201" s="3" t="n">
        <v>2233.0</v>
      </c>
      <c r="AN201" s="3" t="n">
        <v>2284.0</v>
      </c>
      <c r="AO201" s="3" t="n">
        <v>2348.0</v>
      </c>
    </row>
    <row r="202" spans="1:41" x14ac:dyDescent="0.2">
      <c r="A202" s="128"/>
      <c r="B202" s="9">
        <v>91</v>
      </c>
      <c r="C202" s="3" t="n">
        <v>927.0</v>
      </c>
      <c r="D202" s="3" t="n">
        <v>939.0</v>
      </c>
      <c r="E202" s="3" t="n">
        <v>905.0</v>
      </c>
      <c r="F202" s="3" t="n">
        <v>935.0</v>
      </c>
      <c r="G202" s="3" t="n">
        <v>997.0</v>
      </c>
      <c r="H202" s="3" t="n">
        <v>1021.0</v>
      </c>
      <c r="I202" s="3" t="n">
        <v>1010.0</v>
      </c>
      <c r="J202" s="3" t="n">
        <v>986.0</v>
      </c>
      <c r="K202" s="3" t="n">
        <v>991.0</v>
      </c>
      <c r="L202" s="3" t="n">
        <v>996.0</v>
      </c>
      <c r="M202" s="3" t="n">
        <v>1013.0</v>
      </c>
      <c r="N202" s="3" t="n">
        <v>970.0</v>
      </c>
      <c r="O202" s="3" t="n">
        <v>1040.0</v>
      </c>
      <c r="P202" s="3" t="n">
        <v>1024.0</v>
      </c>
      <c r="Q202" s="3" t="n">
        <v>1125.0</v>
      </c>
      <c r="R202" s="3" t="n">
        <v>1801.0</v>
      </c>
      <c r="S202" s="3" t="n">
        <v>1809.0</v>
      </c>
      <c r="T202" s="3" t="n">
        <v>1898.0</v>
      </c>
      <c r="U202" s="3" t="n">
        <v>1857.0</v>
      </c>
      <c r="V202" s="3" t="n">
        <v>1994.0</v>
      </c>
      <c r="W202" s="3" t="n">
        <v>2119.0</v>
      </c>
      <c r="X202" s="3" t="n">
        <v>2162.0</v>
      </c>
      <c r="Y202" s="3" t="n">
        <v>2239.0</v>
      </c>
      <c r="Z202" s="3" t="n">
        <v>2211.0</v>
      </c>
      <c r="AA202" s="3" t="n">
        <v>2383.0</v>
      </c>
      <c r="AB202" s="3" t="n">
        <v>2340.0</v>
      </c>
      <c r="AC202" s="3" t="n">
        <v>2329.0</v>
      </c>
      <c r="AD202" s="3" t="n">
        <v>2292.0</v>
      </c>
      <c r="AE202" s="3" t="n">
        <v>2223.0</v>
      </c>
      <c r="AF202" s="3" t="n">
        <v>2046.0</v>
      </c>
      <c r="AG202" s="3" t="n">
        <v>1968.0</v>
      </c>
      <c r="AH202" s="3" t="n">
        <v>1905.0</v>
      </c>
      <c r="AI202" s="3" t="n">
        <v>1876.0</v>
      </c>
      <c r="AJ202" s="3" t="n">
        <v>1847.0</v>
      </c>
      <c r="AK202" s="3" t="n">
        <v>1813.0</v>
      </c>
      <c r="AL202" s="3" t="n">
        <v>1810.0</v>
      </c>
      <c r="AM202" s="3" t="n">
        <v>1825.0</v>
      </c>
      <c r="AN202" s="3" t="n">
        <v>1892.0</v>
      </c>
      <c r="AO202" s="3" t="n">
        <v>1931.0</v>
      </c>
    </row>
    <row r="203" spans="1:41" x14ac:dyDescent="0.2">
      <c r="A203" s="128"/>
      <c r="B203" s="9">
        <v>92</v>
      </c>
      <c r="C203" s="3" t="n">
        <v>694.0</v>
      </c>
      <c r="D203" s="3" t="n">
        <v>749.0</v>
      </c>
      <c r="E203" s="3" t="n">
        <v>756.0</v>
      </c>
      <c r="F203" s="3" t="n">
        <v>731.0</v>
      </c>
      <c r="G203" s="3" t="n">
        <v>758.0</v>
      </c>
      <c r="H203" s="3" t="n">
        <v>805.0</v>
      </c>
      <c r="I203" s="3" t="n">
        <v>828.0</v>
      </c>
      <c r="J203" s="3" t="n">
        <v>822.0</v>
      </c>
      <c r="K203" s="3" t="n">
        <v>798.0</v>
      </c>
      <c r="L203" s="3" t="n">
        <v>812.0</v>
      </c>
      <c r="M203" s="3" t="n">
        <v>814.0</v>
      </c>
      <c r="N203" s="3" t="n">
        <v>826.0</v>
      </c>
      <c r="O203" s="3" t="n">
        <v>794.0</v>
      </c>
      <c r="P203" s="3" t="n">
        <v>848.0</v>
      </c>
      <c r="Q203" s="3" t="n">
        <v>840.0</v>
      </c>
      <c r="R203" s="3" t="n">
        <v>922.0</v>
      </c>
      <c r="S203" s="3" t="n">
        <v>1481.0</v>
      </c>
      <c r="T203" s="3" t="n">
        <v>1488.0</v>
      </c>
      <c r="U203" s="3" t="n">
        <v>1559.0</v>
      </c>
      <c r="V203" s="3" t="n">
        <v>1531.0</v>
      </c>
      <c r="W203" s="3" t="n">
        <v>1642.0</v>
      </c>
      <c r="X203" s="3" t="n">
        <v>1750.0</v>
      </c>
      <c r="Y203" s="3" t="n">
        <v>1783.0</v>
      </c>
      <c r="Z203" s="3" t="n">
        <v>1850.0</v>
      </c>
      <c r="AA203" s="3" t="n">
        <v>1831.0</v>
      </c>
      <c r="AB203" s="3" t="n">
        <v>1971.0</v>
      </c>
      <c r="AC203" s="3" t="n">
        <v>1937.0</v>
      </c>
      <c r="AD203" s="3" t="n">
        <v>1928.0</v>
      </c>
      <c r="AE203" s="3" t="n">
        <v>1898.0</v>
      </c>
      <c r="AF203" s="3" t="n">
        <v>1843.0</v>
      </c>
      <c r="AG203" s="3" t="n">
        <v>1700.0</v>
      </c>
      <c r="AH203" s="3" t="n">
        <v>1637.0</v>
      </c>
      <c r="AI203" s="3" t="n">
        <v>1584.0</v>
      </c>
      <c r="AJ203" s="3" t="n">
        <v>1562.0</v>
      </c>
      <c r="AK203" s="3" t="n">
        <v>1538.0</v>
      </c>
      <c r="AL203" s="3" t="n">
        <v>1507.0</v>
      </c>
      <c r="AM203" s="3" t="n">
        <v>1509.0</v>
      </c>
      <c r="AN203" s="3" t="n">
        <v>1520.0</v>
      </c>
      <c r="AO203" s="3" t="n">
        <v>1577.0</v>
      </c>
    </row>
    <row r="204" spans="1:41" x14ac:dyDescent="0.2">
      <c r="A204" s="128"/>
      <c r="B204" s="9">
        <v>93</v>
      </c>
      <c r="C204" s="3" t="n">
        <v>458.0</v>
      </c>
      <c r="D204" s="3" t="n">
        <v>553.0</v>
      </c>
      <c r="E204" s="3" t="n">
        <v>595.0</v>
      </c>
      <c r="F204" s="3" t="n">
        <v>600.0</v>
      </c>
      <c r="G204" s="3" t="n">
        <v>577.0</v>
      </c>
      <c r="H204" s="3" t="n">
        <v>605.0</v>
      </c>
      <c r="I204" s="3" t="n">
        <v>639.0</v>
      </c>
      <c r="J204" s="3" t="n">
        <v>658.0</v>
      </c>
      <c r="K204" s="3" t="n">
        <v>659.0</v>
      </c>
      <c r="L204" s="3" t="n">
        <v>641.0</v>
      </c>
      <c r="M204" s="3" t="n">
        <v>655.0</v>
      </c>
      <c r="N204" s="3" t="n">
        <v>653.0</v>
      </c>
      <c r="O204" s="3" t="n">
        <v>663.0</v>
      </c>
      <c r="P204" s="3" t="n">
        <v>638.0</v>
      </c>
      <c r="Q204" s="3" t="n">
        <v>680.0</v>
      </c>
      <c r="R204" s="3" t="n">
        <v>676.0</v>
      </c>
      <c r="S204" s="3" t="n">
        <v>745.0</v>
      </c>
      <c r="T204" s="3" t="n">
        <v>1196.0</v>
      </c>
      <c r="U204" s="3" t="n">
        <v>1203.0</v>
      </c>
      <c r="V204" s="3" t="n">
        <v>1265.0</v>
      </c>
      <c r="W204" s="3" t="n">
        <v>1244.0</v>
      </c>
      <c r="X204" s="3" t="n">
        <v>1337.0</v>
      </c>
      <c r="Y204" s="3" t="n">
        <v>1424.0</v>
      </c>
      <c r="Z204" s="3" t="n">
        <v>1449.0</v>
      </c>
      <c r="AA204" s="3" t="n">
        <v>1504.0</v>
      </c>
      <c r="AB204" s="3" t="n">
        <v>1490.0</v>
      </c>
      <c r="AC204" s="3" t="n">
        <v>1607.0</v>
      </c>
      <c r="AD204" s="3" t="n">
        <v>1576.0</v>
      </c>
      <c r="AE204" s="3" t="n">
        <v>1574.0</v>
      </c>
      <c r="AF204" s="3" t="n">
        <v>1546.0</v>
      </c>
      <c r="AG204" s="3" t="n">
        <v>1509.0</v>
      </c>
      <c r="AH204" s="3" t="n">
        <v>1390.0</v>
      </c>
      <c r="AI204" s="3" t="n">
        <v>1341.0</v>
      </c>
      <c r="AJ204" s="3" t="n">
        <v>1299.0</v>
      </c>
      <c r="AK204" s="3" t="n">
        <v>1278.0</v>
      </c>
      <c r="AL204" s="3" t="n">
        <v>1261.0</v>
      </c>
      <c r="AM204" s="3" t="n">
        <v>1237.0</v>
      </c>
      <c r="AN204" s="3" t="n">
        <v>1240.0</v>
      </c>
      <c r="AO204" s="3" t="n">
        <v>1249.0</v>
      </c>
    </row>
    <row r="205" spans="1:41" x14ac:dyDescent="0.2">
      <c r="A205" s="128"/>
      <c r="B205" s="9">
        <v>94</v>
      </c>
      <c r="C205" s="3" t="n">
        <v>308.0</v>
      </c>
      <c r="D205" s="3" t="n">
        <v>354.0</v>
      </c>
      <c r="E205" s="3" t="n">
        <v>432.0</v>
      </c>
      <c r="F205" s="3" t="n">
        <v>462.0</v>
      </c>
      <c r="G205" s="3" t="n">
        <v>469.0</v>
      </c>
      <c r="H205" s="3" t="n">
        <v>450.0</v>
      </c>
      <c r="I205" s="3" t="n">
        <v>475.0</v>
      </c>
      <c r="J205" s="3" t="n">
        <v>501.0</v>
      </c>
      <c r="K205" s="3" t="n">
        <v>514.0</v>
      </c>
      <c r="L205" s="3" t="n">
        <v>519.0</v>
      </c>
      <c r="M205" s="3" t="n">
        <v>504.0</v>
      </c>
      <c r="N205" s="3" t="n">
        <v>519.0</v>
      </c>
      <c r="O205" s="3" t="n">
        <v>514.0</v>
      </c>
      <c r="P205" s="3" t="n">
        <v>525.0</v>
      </c>
      <c r="Q205" s="3" t="n">
        <v>508.0</v>
      </c>
      <c r="R205" s="3" t="n">
        <v>539.0</v>
      </c>
      <c r="S205" s="3" t="n">
        <v>536.0</v>
      </c>
      <c r="T205" s="3" t="n">
        <v>593.0</v>
      </c>
      <c r="U205" s="3" t="n">
        <v>948.0</v>
      </c>
      <c r="V205" s="3" t="n">
        <v>958.0</v>
      </c>
      <c r="W205" s="3" t="n">
        <v>1005.0</v>
      </c>
      <c r="X205" s="3" t="n">
        <v>991.0</v>
      </c>
      <c r="Y205" s="3" t="n">
        <v>1067.0</v>
      </c>
      <c r="Z205" s="3" t="n">
        <v>1138.0</v>
      </c>
      <c r="AA205" s="3" t="n">
        <v>1158.0</v>
      </c>
      <c r="AB205" s="3" t="n">
        <v>1198.0</v>
      </c>
      <c r="AC205" s="3" t="n">
        <v>1194.0</v>
      </c>
      <c r="AD205" s="3" t="n">
        <v>1287.0</v>
      </c>
      <c r="AE205" s="3" t="n">
        <v>1266.0</v>
      </c>
      <c r="AF205" s="3" t="n">
        <v>1263.0</v>
      </c>
      <c r="AG205" s="3" t="n">
        <v>1244.0</v>
      </c>
      <c r="AH205" s="3" t="n">
        <v>1214.0</v>
      </c>
      <c r="AI205" s="3" t="n">
        <v>1115.0</v>
      </c>
      <c r="AJ205" s="3" t="n">
        <v>1079.0</v>
      </c>
      <c r="AK205" s="3" t="n">
        <v>1047.0</v>
      </c>
      <c r="AL205" s="3" t="n">
        <v>1028.0</v>
      </c>
      <c r="AM205" s="3" t="n">
        <v>1018.0</v>
      </c>
      <c r="AN205" s="3" t="n">
        <v>1001.0</v>
      </c>
      <c r="AO205" s="3" t="n">
        <v>1001.0</v>
      </c>
    </row>
    <row r="206" spans="1:41" x14ac:dyDescent="0.2">
      <c r="A206" s="128"/>
      <c r="B206" s="9">
        <v>95</v>
      </c>
      <c r="C206" s="3" t="n">
        <v>244.0</v>
      </c>
      <c r="D206" s="3" t="n">
        <v>236.0</v>
      </c>
      <c r="E206" s="3" t="n">
        <v>266.0</v>
      </c>
      <c r="F206" s="3" t="n">
        <v>329.0</v>
      </c>
      <c r="G206" s="3" t="n">
        <v>346.0</v>
      </c>
      <c r="H206" s="3" t="n">
        <v>356.0</v>
      </c>
      <c r="I206" s="3" t="n">
        <v>339.0</v>
      </c>
      <c r="J206" s="3" t="n">
        <v>359.0</v>
      </c>
      <c r="K206" s="3" t="n">
        <v>381.0</v>
      </c>
      <c r="L206" s="3" t="n">
        <v>392.0</v>
      </c>
      <c r="M206" s="3" t="n">
        <v>397.0</v>
      </c>
      <c r="N206" s="3" t="n">
        <v>389.0</v>
      </c>
      <c r="O206" s="3" t="n">
        <v>397.0</v>
      </c>
      <c r="P206" s="3" t="n">
        <v>396.0</v>
      </c>
      <c r="Q206" s="3" t="n">
        <v>404.0</v>
      </c>
      <c r="R206" s="3" t="n">
        <v>397.0</v>
      </c>
      <c r="S206" s="3" t="n">
        <v>416.0</v>
      </c>
      <c r="T206" s="3" t="n">
        <v>415.0</v>
      </c>
      <c r="U206" s="3" t="n">
        <v>459.0</v>
      </c>
      <c r="V206" s="3" t="n">
        <v>738.0</v>
      </c>
      <c r="W206" s="3" t="n">
        <v>745.0</v>
      </c>
      <c r="X206" s="3" t="n">
        <v>782.0</v>
      </c>
      <c r="Y206" s="3" t="n">
        <v>771.0</v>
      </c>
      <c r="Z206" s="3" t="n">
        <v>829.0</v>
      </c>
      <c r="AA206" s="3" t="n">
        <v>890.0</v>
      </c>
      <c r="AB206" s="3" t="n">
        <v>902.0</v>
      </c>
      <c r="AC206" s="3" t="n">
        <v>936.0</v>
      </c>
      <c r="AD206" s="3" t="n">
        <v>933.0</v>
      </c>
      <c r="AE206" s="3" t="n">
        <v>1005.0</v>
      </c>
      <c r="AF206" s="3" t="n">
        <v>991.0</v>
      </c>
      <c r="AG206" s="3" t="n">
        <v>992.0</v>
      </c>
      <c r="AH206" s="3" t="n">
        <v>974.0</v>
      </c>
      <c r="AI206" s="3" t="n">
        <v>950.0</v>
      </c>
      <c r="AJ206" s="3" t="n">
        <v>875.0</v>
      </c>
      <c r="AK206" s="3" t="n">
        <v>846.0</v>
      </c>
      <c r="AL206" s="3" t="n">
        <v>819.0</v>
      </c>
      <c r="AM206" s="3" t="n">
        <v>810.0</v>
      </c>
      <c r="AN206" s="3" t="n">
        <v>802.0</v>
      </c>
      <c r="AO206" s="3" t="n">
        <v>789.0</v>
      </c>
    </row>
    <row r="207" spans="1:41" x14ac:dyDescent="0.2">
      <c r="A207" s="128"/>
      <c r="B207" s="9">
        <v>96</v>
      </c>
      <c r="C207" s="3" t="n">
        <v>156.0</v>
      </c>
      <c r="D207" s="3" t="n">
        <v>180.0</v>
      </c>
      <c r="E207" s="3" t="n">
        <v>167.0</v>
      </c>
      <c r="F207" s="3" t="n">
        <v>193.0</v>
      </c>
      <c r="G207" s="3" t="n">
        <v>240.0</v>
      </c>
      <c r="H207" s="3" t="n">
        <v>254.0</v>
      </c>
      <c r="I207" s="3" t="n">
        <v>259.0</v>
      </c>
      <c r="J207" s="3" t="n">
        <v>248.0</v>
      </c>
      <c r="K207" s="3" t="n">
        <v>263.0</v>
      </c>
      <c r="L207" s="3" t="n">
        <v>279.0</v>
      </c>
      <c r="M207" s="3" t="n">
        <v>289.0</v>
      </c>
      <c r="N207" s="3" t="n">
        <v>290.0</v>
      </c>
      <c r="O207" s="3" t="n">
        <v>284.0</v>
      </c>
      <c r="P207" s="3" t="n">
        <v>294.0</v>
      </c>
      <c r="Q207" s="3" t="n">
        <v>292.0</v>
      </c>
      <c r="R207" s="3" t="n">
        <v>300.0</v>
      </c>
      <c r="S207" s="3" t="n">
        <v>292.0</v>
      </c>
      <c r="T207" s="3" t="n">
        <v>311.0</v>
      </c>
      <c r="U207" s="3" t="n">
        <v>305.0</v>
      </c>
      <c r="V207" s="3" t="n">
        <v>344.0</v>
      </c>
      <c r="W207" s="3" t="n">
        <v>558.0</v>
      </c>
      <c r="X207" s="3" t="n">
        <v>564.0</v>
      </c>
      <c r="Y207" s="3" t="n">
        <v>594.0</v>
      </c>
      <c r="Z207" s="3" t="n">
        <v>584.0</v>
      </c>
      <c r="AA207" s="3" t="n">
        <v>627.0</v>
      </c>
      <c r="AB207" s="3" t="n">
        <v>676.0</v>
      </c>
      <c r="AC207" s="3" t="n">
        <v>686.0</v>
      </c>
      <c r="AD207" s="3" t="n">
        <v>713.0</v>
      </c>
      <c r="AE207" s="3" t="n">
        <v>709.0</v>
      </c>
      <c r="AF207" s="3" t="n">
        <v>766.0</v>
      </c>
      <c r="AG207" s="3" t="n">
        <v>756.0</v>
      </c>
      <c r="AH207" s="3" t="n">
        <v>756.0</v>
      </c>
      <c r="AI207" s="3" t="n">
        <v>743.0</v>
      </c>
      <c r="AJ207" s="3" t="n">
        <v>723.0</v>
      </c>
      <c r="AK207" s="3" t="n">
        <v>672.0</v>
      </c>
      <c r="AL207" s="3" t="n">
        <v>648.0</v>
      </c>
      <c r="AM207" s="3" t="n">
        <v>627.0</v>
      </c>
      <c r="AN207" s="3" t="n">
        <v>619.0</v>
      </c>
      <c r="AO207" s="3" t="n">
        <v>616.0</v>
      </c>
    </row>
    <row r="208" spans="1:41" x14ac:dyDescent="0.2">
      <c r="A208" s="128"/>
      <c r="B208" s="9">
        <v>97</v>
      </c>
      <c r="C208" s="3" t="n">
        <v>123.0</v>
      </c>
      <c r="D208" s="3" t="n">
        <v>111.0</v>
      </c>
      <c r="E208" s="3" t="n">
        <v>126.0</v>
      </c>
      <c r="F208" s="3" t="n">
        <v>119.0</v>
      </c>
      <c r="G208" s="3" t="n">
        <v>140.0</v>
      </c>
      <c r="H208" s="3" t="n">
        <v>171.0</v>
      </c>
      <c r="I208" s="3" t="n">
        <v>184.0</v>
      </c>
      <c r="J208" s="3" t="n">
        <v>190.0</v>
      </c>
      <c r="K208" s="3" t="n">
        <v>182.0</v>
      </c>
      <c r="L208" s="3" t="n">
        <v>187.0</v>
      </c>
      <c r="M208" s="3" t="n">
        <v>201.0</v>
      </c>
      <c r="N208" s="3" t="n">
        <v>207.0</v>
      </c>
      <c r="O208" s="3" t="n">
        <v>206.0</v>
      </c>
      <c r="P208" s="3" t="n">
        <v>206.0</v>
      </c>
      <c r="Q208" s="3" t="n">
        <v>214.0</v>
      </c>
      <c r="R208" s="3" t="n">
        <v>216.0</v>
      </c>
      <c r="S208" s="3" t="n">
        <v>216.0</v>
      </c>
      <c r="T208" s="3" t="n">
        <v>216.0</v>
      </c>
      <c r="U208" s="3" t="n">
        <v>225.0</v>
      </c>
      <c r="V208" s="3" t="n">
        <v>220.0</v>
      </c>
      <c r="W208" s="3" t="n">
        <v>252.0</v>
      </c>
      <c r="X208" s="3" t="n">
        <v>417.0</v>
      </c>
      <c r="Y208" s="3" t="n">
        <v>422.0</v>
      </c>
      <c r="Z208" s="3" t="n">
        <v>445.0</v>
      </c>
      <c r="AA208" s="3" t="n">
        <v>438.0</v>
      </c>
      <c r="AB208" s="3" t="n">
        <v>468.0</v>
      </c>
      <c r="AC208" s="3" t="n">
        <v>506.0</v>
      </c>
      <c r="AD208" s="3" t="n">
        <v>513.0</v>
      </c>
      <c r="AE208" s="3" t="n">
        <v>539.0</v>
      </c>
      <c r="AF208" s="3" t="n">
        <v>532.0</v>
      </c>
      <c r="AG208" s="3" t="n">
        <v>576.0</v>
      </c>
      <c r="AH208" s="3" t="n">
        <v>568.0</v>
      </c>
      <c r="AI208" s="3" t="n">
        <v>571.0</v>
      </c>
      <c r="AJ208" s="3" t="n">
        <v>564.0</v>
      </c>
      <c r="AK208" s="3" t="n">
        <v>547.0</v>
      </c>
      <c r="AL208" s="3" t="n">
        <v>511.0</v>
      </c>
      <c r="AM208" s="3" t="n">
        <v>493.0</v>
      </c>
      <c r="AN208" s="3" t="n">
        <v>473.0</v>
      </c>
      <c r="AO208" s="3" t="n">
        <v>470.0</v>
      </c>
    </row>
    <row r="209" spans="1:41" x14ac:dyDescent="0.2">
      <c r="A209" s="128"/>
      <c r="B209" s="9">
        <v>98</v>
      </c>
      <c r="C209" s="3" t="n">
        <v>38.0</v>
      </c>
      <c r="D209" s="3" t="n">
        <v>93.0</v>
      </c>
      <c r="E209" s="3" t="n">
        <v>80.0</v>
      </c>
      <c r="F209" s="3" t="n">
        <v>93.0</v>
      </c>
      <c r="G209" s="3" t="n">
        <v>88.0</v>
      </c>
      <c r="H209" s="3" t="n">
        <v>101.0</v>
      </c>
      <c r="I209" s="3" t="n">
        <v>130.0</v>
      </c>
      <c r="J209" s="3" t="n">
        <v>139.0</v>
      </c>
      <c r="K209" s="3" t="n">
        <v>141.0</v>
      </c>
      <c r="L209" s="3" t="n">
        <v>135.0</v>
      </c>
      <c r="M209" s="3" t="n">
        <v>140.0</v>
      </c>
      <c r="N209" s="3" t="n">
        <v>149.0</v>
      </c>
      <c r="O209" s="3" t="n">
        <v>156.0</v>
      </c>
      <c r="P209" s="3" t="n">
        <v>151.0</v>
      </c>
      <c r="Q209" s="3" t="n">
        <v>152.0</v>
      </c>
      <c r="R209" s="3" t="n">
        <v>161.0</v>
      </c>
      <c r="S209" s="3" t="n">
        <v>160.0</v>
      </c>
      <c r="T209" s="3" t="n">
        <v>162.0</v>
      </c>
      <c r="U209" s="3" t="n">
        <v>164.0</v>
      </c>
      <c r="V209" s="3" t="n">
        <v>170.0</v>
      </c>
      <c r="W209" s="3" t="n">
        <v>168.0</v>
      </c>
      <c r="X209" s="3" t="n">
        <v>191.0</v>
      </c>
      <c r="Y209" s="3" t="n">
        <v>314.0</v>
      </c>
      <c r="Z209" s="3" t="n">
        <v>315.0</v>
      </c>
      <c r="AA209" s="3" t="n">
        <v>332.0</v>
      </c>
      <c r="AB209" s="3" t="n">
        <v>326.0</v>
      </c>
      <c r="AC209" s="3" t="n">
        <v>351.0</v>
      </c>
      <c r="AD209" s="3" t="n">
        <v>376.0</v>
      </c>
      <c r="AE209" s="3" t="n">
        <v>384.0</v>
      </c>
      <c r="AF209" s="3" t="n">
        <v>401.0</v>
      </c>
      <c r="AG209" s="3" t="n">
        <v>397.0</v>
      </c>
      <c r="AH209" s="3" t="n">
        <v>434.0</v>
      </c>
      <c r="AI209" s="3" t="n">
        <v>425.0</v>
      </c>
      <c r="AJ209" s="3" t="n">
        <v>425.0</v>
      </c>
      <c r="AK209" s="3" t="n">
        <v>421.0</v>
      </c>
      <c r="AL209" s="3" t="n">
        <v>407.0</v>
      </c>
      <c r="AM209" s="3" t="n">
        <v>385.0</v>
      </c>
      <c r="AN209" s="3" t="n">
        <v>366.0</v>
      </c>
      <c r="AO209" s="3" t="n">
        <v>356.0</v>
      </c>
    </row>
    <row r="210" spans="1:41" x14ac:dyDescent="0.2">
      <c r="A210" s="128"/>
      <c r="B210" s="9">
        <v>99</v>
      </c>
      <c r="C210" s="3" t="n">
        <v>36.0</v>
      </c>
      <c r="D210" s="3" t="n">
        <v>27.0</v>
      </c>
      <c r="E210" s="3" t="n">
        <v>59.0</v>
      </c>
      <c r="F210" s="3" t="n">
        <v>49.0</v>
      </c>
      <c r="G210" s="3" t="n">
        <v>57.0</v>
      </c>
      <c r="H210" s="3" t="n">
        <v>59.0</v>
      </c>
      <c r="I210" s="3" t="n">
        <v>66.0</v>
      </c>
      <c r="J210" s="3" t="n">
        <v>89.0</v>
      </c>
      <c r="K210" s="3" t="n">
        <v>95.0</v>
      </c>
      <c r="L210" s="3" t="n">
        <v>94.0</v>
      </c>
      <c r="M210" s="3" t="n">
        <v>90.0</v>
      </c>
      <c r="N210" s="3" t="n">
        <v>93.0</v>
      </c>
      <c r="O210" s="3" t="n">
        <v>100.0</v>
      </c>
      <c r="P210" s="3" t="n">
        <v>105.0</v>
      </c>
      <c r="Q210" s="3" t="n">
        <v>103.0</v>
      </c>
      <c r="R210" s="3" t="n">
        <v>104.0</v>
      </c>
      <c r="S210" s="3" t="n">
        <v>111.0</v>
      </c>
      <c r="T210" s="3" t="n">
        <v>108.0</v>
      </c>
      <c r="U210" s="3" t="n">
        <v>111.0</v>
      </c>
      <c r="V210" s="3" t="n">
        <v>114.0</v>
      </c>
      <c r="W210" s="3" t="n">
        <v>117.0</v>
      </c>
      <c r="X210" s="3" t="n">
        <v>118.0</v>
      </c>
      <c r="Y210" s="3" t="n">
        <v>133.0</v>
      </c>
      <c r="Z210" s="3" t="n">
        <v>217.0</v>
      </c>
      <c r="AA210" s="3" t="n">
        <v>219.0</v>
      </c>
      <c r="AB210" s="3" t="n">
        <v>232.0</v>
      </c>
      <c r="AC210" s="3" t="n">
        <v>228.0</v>
      </c>
      <c r="AD210" s="3" t="n">
        <v>248.0</v>
      </c>
      <c r="AE210" s="3" t="n">
        <v>266.0</v>
      </c>
      <c r="AF210" s="3" t="n">
        <v>274.0</v>
      </c>
      <c r="AG210" s="3" t="n">
        <v>286.0</v>
      </c>
      <c r="AH210" s="3" t="n">
        <v>283.0</v>
      </c>
      <c r="AI210" s="3" t="n">
        <v>306.0</v>
      </c>
      <c r="AJ210" s="3" t="n">
        <v>298.0</v>
      </c>
      <c r="AK210" s="3" t="n">
        <v>300.0</v>
      </c>
      <c r="AL210" s="3" t="n">
        <v>298.0</v>
      </c>
      <c r="AM210" s="3" t="n">
        <v>289.0</v>
      </c>
      <c r="AN210" s="3" t="n">
        <v>275.0</v>
      </c>
      <c r="AO210" s="3" t="n">
        <v>261.0</v>
      </c>
    </row>
    <row r="211" spans="1:41" x14ac:dyDescent="0.2">
      <c r="A211" s="128"/>
      <c r="B211" s="9" t="s">
        <v>79</v>
      </c>
      <c r="C211" s="3" t="n">
        <v>47.0</v>
      </c>
      <c r="D211" s="3" t="n">
        <v>53.0</v>
      </c>
      <c r="E211" s="3" t="n">
        <v>51.0</v>
      </c>
      <c r="F211" s="3" t="n">
        <v>75.0</v>
      </c>
      <c r="G211" s="3" t="n">
        <v>79.0</v>
      </c>
      <c r="H211" s="3" t="n">
        <v>89.0</v>
      </c>
      <c r="I211" s="3" t="n">
        <v>98.0</v>
      </c>
      <c r="J211" s="3" t="n">
        <v>112.0</v>
      </c>
      <c r="K211" s="3" t="n">
        <v>135.0</v>
      </c>
      <c r="L211" s="3" t="n">
        <v>155.0</v>
      </c>
      <c r="M211" s="3" t="n">
        <v>170.0</v>
      </c>
      <c r="N211" s="3" t="n">
        <v>177.0</v>
      </c>
      <c r="O211" s="3" t="n">
        <v>183.0</v>
      </c>
      <c r="P211" s="3" t="n">
        <v>195.0</v>
      </c>
      <c r="Q211" s="3" t="n">
        <v>202.0</v>
      </c>
      <c r="R211" s="3" t="n">
        <v>209.0</v>
      </c>
      <c r="S211" s="3" t="n">
        <v>210.0</v>
      </c>
      <c r="T211" s="3" t="n">
        <v>216.0</v>
      </c>
      <c r="U211" s="3" t="n">
        <v>220.0</v>
      </c>
      <c r="V211" s="3" t="n">
        <v>224.0</v>
      </c>
      <c r="W211" s="3" t="n">
        <v>227.0</v>
      </c>
      <c r="X211" s="3" t="n">
        <v>233.0</v>
      </c>
      <c r="Y211" s="3" t="n">
        <v>235.0</v>
      </c>
      <c r="Z211" s="3" t="n">
        <v>246.0</v>
      </c>
      <c r="AA211" s="3" t="n">
        <v>320.0</v>
      </c>
      <c r="AB211" s="3" t="n">
        <v>372.0</v>
      </c>
      <c r="AC211" s="3" t="n">
        <v>419.0</v>
      </c>
      <c r="AD211" s="3" t="n">
        <v>448.0</v>
      </c>
      <c r="AE211" s="3" t="n">
        <v>485.0</v>
      </c>
      <c r="AF211" s="3" t="n">
        <v>518.0</v>
      </c>
      <c r="AG211" s="3" t="n">
        <v>549.0</v>
      </c>
      <c r="AH211" s="3" t="n">
        <v>573.0</v>
      </c>
      <c r="AI211" s="3" t="n">
        <v>589.0</v>
      </c>
      <c r="AJ211" s="3" t="n">
        <v>616.0</v>
      </c>
      <c r="AK211" s="3" t="n">
        <v>625.0</v>
      </c>
      <c r="AL211" s="3" t="n">
        <v>633.0</v>
      </c>
      <c r="AM211" s="3" t="n">
        <v>643.0</v>
      </c>
      <c r="AN211" s="3" t="n">
        <v>642.0</v>
      </c>
      <c r="AO211" s="3" t="n">
        <v>629.0</v>
      </c>
    </row>
    <row r="212" spans="1:41" x14ac:dyDescent="0.2">
      <c r="A212" s="128" t="s">
        <v>51</v>
      </c>
      <c r="B212" s="14" t="s">
        <v>52</v>
      </c>
      <c r="C212" s="15" t="n">
        <v>1245193.0</v>
      </c>
      <c r="D212" s="15" t="n">
        <v>1237160.0</v>
      </c>
      <c r="E212" s="15" t="n">
        <v>1228724.0</v>
      </c>
      <c r="F212" s="15" t="n">
        <v>1220034.0</v>
      </c>
      <c r="G212" s="15" t="n">
        <v>1211156.0</v>
      </c>
      <c r="H212" s="15" t="n">
        <v>1203718.0</v>
      </c>
      <c r="I212" s="15" t="n">
        <v>1196518.0</v>
      </c>
      <c r="J212" s="15" t="n">
        <v>1187815.0</v>
      </c>
      <c r="K212" s="15" t="n">
        <v>1178225.0</v>
      </c>
      <c r="L212" s="15" t="n">
        <v>1168136.0</v>
      </c>
      <c r="M212" s="15" t="n">
        <v>1157544.0</v>
      </c>
      <c r="N212" s="15" t="n">
        <v>1146615.0</v>
      </c>
      <c r="O212" s="15" t="n">
        <v>1135472.0</v>
      </c>
      <c r="P212" s="15" t="n">
        <v>1123953.0</v>
      </c>
      <c r="Q212" s="15" t="n">
        <v>1112287.0</v>
      </c>
      <c r="R212" s="15" t="n">
        <v>1100332.0</v>
      </c>
      <c r="S212" s="15" t="n">
        <v>1088274.0</v>
      </c>
      <c r="T212" s="15" t="n">
        <v>1075949.0</v>
      </c>
      <c r="U212" s="15" t="n">
        <v>1063580.0</v>
      </c>
      <c r="V212" s="15" t="n">
        <v>1051045.0</v>
      </c>
      <c r="W212" s="15" t="n">
        <v>1038529.0</v>
      </c>
      <c r="X212" s="15" t="n">
        <v>1025880.0</v>
      </c>
      <c r="Y212" s="15" t="n">
        <v>1013300.0</v>
      </c>
      <c r="Z212" s="15" t="n">
        <v>1000647.0</v>
      </c>
      <c r="AA212" s="15" t="n">
        <v>987959.0</v>
      </c>
      <c r="AB212" s="15" t="n">
        <v>975441.0</v>
      </c>
      <c r="AC212" s="15" t="n">
        <v>962889.0</v>
      </c>
      <c r="AD212" s="15" t="n">
        <v>950371.0</v>
      </c>
      <c r="AE212" s="15" t="n">
        <v>938009.0</v>
      </c>
      <c r="AF212" s="15" t="n">
        <v>925646.0</v>
      </c>
      <c r="AG212" s="15" t="n">
        <v>913258.0</v>
      </c>
      <c r="AH212" s="15" t="n">
        <v>901041.0</v>
      </c>
      <c r="AI212" s="15" t="n">
        <v>888810.0</v>
      </c>
      <c r="AJ212" s="15" t="n">
        <v>876512.0</v>
      </c>
      <c r="AK212" s="15" t="n">
        <v>864287.0</v>
      </c>
      <c r="AL212" s="15" t="n">
        <v>851961.0</v>
      </c>
      <c r="AM212" s="15" t="n">
        <v>839494.0</v>
      </c>
      <c r="AN212" s="15" t="n">
        <v>826915.0</v>
      </c>
      <c r="AO212" s="15" t="n">
        <v>814413.0</v>
      </c>
    </row>
    <row r="213" spans="1:41" x14ac:dyDescent="0.2">
      <c r="A213" s="128"/>
      <c r="B213" s="9">
        <v>0</v>
      </c>
      <c r="C213" s="3" t="n">
        <v>8749.0</v>
      </c>
      <c r="D213" s="3" t="n">
        <v>7969.0</v>
      </c>
      <c r="E213" s="3" t="n">
        <v>7675.0</v>
      </c>
      <c r="F213" s="3" t="n">
        <v>7417.0</v>
      </c>
      <c r="G213" s="3" t="n">
        <v>7187.0</v>
      </c>
      <c r="H213" s="3" t="n">
        <v>6992.0</v>
      </c>
      <c r="I213" s="3" t="n">
        <v>6828.0</v>
      </c>
      <c r="J213" s="3" t="n">
        <v>6677.0</v>
      </c>
      <c r="K213" s="3" t="n">
        <v>6536.0</v>
      </c>
      <c r="L213" s="3" t="n">
        <v>6411.0</v>
      </c>
      <c r="M213" s="3" t="n">
        <v>6302.0</v>
      </c>
      <c r="N213" s="3" t="n">
        <v>6214.0</v>
      </c>
      <c r="O213" s="3" t="n">
        <v>6149.0</v>
      </c>
      <c r="P213" s="3" t="n">
        <v>6082.0</v>
      </c>
      <c r="Q213" s="3" t="n">
        <v>6050.0</v>
      </c>
      <c r="R213" s="3" t="n">
        <v>6027.0</v>
      </c>
      <c r="S213" s="3" t="n">
        <v>6022.0</v>
      </c>
      <c r="T213" s="3" t="n">
        <v>6017.0</v>
      </c>
      <c r="U213" s="3" t="n">
        <v>6019.0</v>
      </c>
      <c r="V213" s="3" t="n">
        <v>6015.0</v>
      </c>
      <c r="W213" s="3" t="n">
        <v>5997.0</v>
      </c>
      <c r="X213" s="3" t="n">
        <v>5956.0</v>
      </c>
      <c r="Y213" s="3" t="n">
        <v>5915.0</v>
      </c>
      <c r="Z213" s="3" t="n">
        <v>5867.0</v>
      </c>
      <c r="AA213" s="3" t="n">
        <v>5791.0</v>
      </c>
      <c r="AB213" s="3" t="n">
        <v>5703.0</v>
      </c>
      <c r="AC213" s="3" t="n">
        <v>5601.0</v>
      </c>
      <c r="AD213" s="3" t="n">
        <v>5475.0</v>
      </c>
      <c r="AE213" s="3" t="n">
        <v>5347.0</v>
      </c>
      <c r="AF213" s="3" t="n">
        <v>5207.0</v>
      </c>
      <c r="AG213" s="3" t="n">
        <v>5044.0</v>
      </c>
      <c r="AH213" s="3" t="n">
        <v>4897.0</v>
      </c>
      <c r="AI213" s="3" t="n">
        <v>4732.0</v>
      </c>
      <c r="AJ213" s="3" t="n">
        <v>4564.0</v>
      </c>
      <c r="AK213" s="3" t="n">
        <v>4408.0</v>
      </c>
      <c r="AL213" s="3" t="n">
        <v>4248.0</v>
      </c>
      <c r="AM213" s="3" t="n">
        <v>4102.0</v>
      </c>
      <c r="AN213" s="3" t="n">
        <v>3967.0</v>
      </c>
      <c r="AO213" s="3" t="n">
        <v>3843.0</v>
      </c>
    </row>
    <row r="214" spans="1:41" x14ac:dyDescent="0.2">
      <c r="A214" s="128"/>
      <c r="B214" s="9">
        <v>1</v>
      </c>
      <c r="C214" s="3" t="n">
        <v>9562.0</v>
      </c>
      <c r="D214" s="3" t="n">
        <v>8733.0</v>
      </c>
      <c r="E214" s="3" t="n">
        <v>7966.0</v>
      </c>
      <c r="F214" s="3" t="n">
        <v>7678.0</v>
      </c>
      <c r="G214" s="3" t="n">
        <v>7417.0</v>
      </c>
      <c r="H214" s="3" t="n">
        <v>7203.0</v>
      </c>
      <c r="I214" s="3" t="n">
        <v>7014.0</v>
      </c>
      <c r="J214" s="3" t="n">
        <v>6838.0</v>
      </c>
      <c r="K214" s="3" t="n">
        <v>6684.0</v>
      </c>
      <c r="L214" s="3" t="n">
        <v>6538.0</v>
      </c>
      <c r="M214" s="3" t="n">
        <v>6413.0</v>
      </c>
      <c r="N214" s="3" t="n">
        <v>6304.0</v>
      </c>
      <c r="O214" s="3" t="n">
        <v>6217.0</v>
      </c>
      <c r="P214" s="3" t="n">
        <v>6152.0</v>
      </c>
      <c r="Q214" s="3" t="n">
        <v>6084.0</v>
      </c>
      <c r="R214" s="3" t="n">
        <v>6052.0</v>
      </c>
      <c r="S214" s="3" t="n">
        <v>6028.0</v>
      </c>
      <c r="T214" s="3" t="n">
        <v>6021.0</v>
      </c>
      <c r="U214" s="3" t="n">
        <v>6016.0</v>
      </c>
      <c r="V214" s="3" t="n">
        <v>6017.0</v>
      </c>
      <c r="W214" s="3" t="n">
        <v>6013.0</v>
      </c>
      <c r="X214" s="3" t="n">
        <v>5995.0</v>
      </c>
      <c r="Y214" s="3" t="n">
        <v>5955.0</v>
      </c>
      <c r="Z214" s="3" t="n">
        <v>5915.0</v>
      </c>
      <c r="AA214" s="3" t="n">
        <v>5868.0</v>
      </c>
      <c r="AB214" s="3" t="n">
        <v>5792.0</v>
      </c>
      <c r="AC214" s="3" t="n">
        <v>5705.0</v>
      </c>
      <c r="AD214" s="3" t="n">
        <v>5606.0</v>
      </c>
      <c r="AE214" s="3" t="n">
        <v>5481.0</v>
      </c>
      <c r="AF214" s="3" t="n">
        <v>5353.0</v>
      </c>
      <c r="AG214" s="3" t="n">
        <v>5212.0</v>
      </c>
      <c r="AH214" s="3" t="n">
        <v>5052.0</v>
      </c>
      <c r="AI214" s="3" t="n">
        <v>4906.0</v>
      </c>
      <c r="AJ214" s="3" t="n">
        <v>4741.0</v>
      </c>
      <c r="AK214" s="3" t="n">
        <v>4574.0</v>
      </c>
      <c r="AL214" s="3" t="n">
        <v>4419.0</v>
      </c>
      <c r="AM214" s="3" t="n">
        <v>4257.0</v>
      </c>
      <c r="AN214" s="3" t="n">
        <v>4112.0</v>
      </c>
      <c r="AO214" s="3" t="n">
        <v>3976.0</v>
      </c>
    </row>
    <row r="215" spans="1:41" x14ac:dyDescent="0.2">
      <c r="A215" s="128"/>
      <c r="B215" s="9">
        <v>2</v>
      </c>
      <c r="C215" s="3" t="n">
        <v>9978.0</v>
      </c>
      <c r="D215" s="3" t="n">
        <v>9562.0</v>
      </c>
      <c r="E215" s="3" t="n">
        <v>8730.0</v>
      </c>
      <c r="F215" s="3" t="n">
        <v>7972.0</v>
      </c>
      <c r="G215" s="3" t="n">
        <v>7689.0</v>
      </c>
      <c r="H215" s="3" t="n">
        <v>7449.0</v>
      </c>
      <c r="I215" s="3" t="n">
        <v>7246.0</v>
      </c>
      <c r="J215" s="3" t="n">
        <v>7040.0</v>
      </c>
      <c r="K215" s="3" t="n">
        <v>6857.0</v>
      </c>
      <c r="L215" s="3" t="n">
        <v>6694.0</v>
      </c>
      <c r="M215" s="3" t="n">
        <v>6547.0</v>
      </c>
      <c r="N215" s="3" t="n">
        <v>6423.0</v>
      </c>
      <c r="O215" s="3" t="n">
        <v>6309.0</v>
      </c>
      <c r="P215" s="3" t="n">
        <v>6222.0</v>
      </c>
      <c r="Q215" s="3" t="n">
        <v>6156.0</v>
      </c>
      <c r="R215" s="3" t="n">
        <v>6087.0</v>
      </c>
      <c r="S215" s="3" t="n">
        <v>6055.0</v>
      </c>
      <c r="T215" s="3" t="n">
        <v>6033.0</v>
      </c>
      <c r="U215" s="3" t="n">
        <v>6026.0</v>
      </c>
      <c r="V215" s="3" t="n">
        <v>6021.0</v>
      </c>
      <c r="W215" s="3" t="n">
        <v>6022.0</v>
      </c>
      <c r="X215" s="3" t="n">
        <v>6018.0</v>
      </c>
      <c r="Y215" s="3" t="n">
        <v>6000.0</v>
      </c>
      <c r="Z215" s="3" t="n">
        <v>5960.0</v>
      </c>
      <c r="AA215" s="3" t="n">
        <v>5920.0</v>
      </c>
      <c r="AB215" s="3" t="n">
        <v>5873.0</v>
      </c>
      <c r="AC215" s="3" t="n">
        <v>5798.0</v>
      </c>
      <c r="AD215" s="3" t="n">
        <v>5713.0</v>
      </c>
      <c r="AE215" s="3" t="n">
        <v>5618.0</v>
      </c>
      <c r="AF215" s="3" t="n">
        <v>5493.0</v>
      </c>
      <c r="AG215" s="3" t="n">
        <v>5361.0</v>
      </c>
      <c r="AH215" s="3" t="n">
        <v>5222.0</v>
      </c>
      <c r="AI215" s="3" t="n">
        <v>5066.0</v>
      </c>
      <c r="AJ215" s="3" t="n">
        <v>4923.0</v>
      </c>
      <c r="AK215" s="3" t="n">
        <v>4756.0</v>
      </c>
      <c r="AL215" s="3" t="n">
        <v>4585.0</v>
      </c>
      <c r="AM215" s="3" t="n">
        <v>4428.0</v>
      </c>
      <c r="AN215" s="3" t="n">
        <v>4265.0</v>
      </c>
      <c r="AO215" s="3" t="n">
        <v>4123.0</v>
      </c>
    </row>
    <row r="216" spans="1:41" x14ac:dyDescent="0.2">
      <c r="A216" s="128"/>
      <c r="B216" s="9">
        <v>3</v>
      </c>
      <c r="C216" s="3" t="n">
        <v>10542.0</v>
      </c>
      <c r="D216" s="3" t="n">
        <v>9977.0</v>
      </c>
      <c r="E216" s="3" t="n">
        <v>9558.0</v>
      </c>
      <c r="F216" s="3" t="n">
        <v>8734.0</v>
      </c>
      <c r="G216" s="3" t="n">
        <v>7983.0</v>
      </c>
      <c r="H216" s="3" t="n">
        <v>7728.0</v>
      </c>
      <c r="I216" s="3" t="n">
        <v>7502.0</v>
      </c>
      <c r="J216" s="3" t="n">
        <v>7274.0</v>
      </c>
      <c r="K216" s="3" t="n">
        <v>7061.0</v>
      </c>
      <c r="L216" s="3" t="n">
        <v>6867.0</v>
      </c>
      <c r="M216" s="3" t="n">
        <v>6703.0</v>
      </c>
      <c r="N216" s="3" t="n">
        <v>6557.0</v>
      </c>
      <c r="O216" s="3" t="n">
        <v>6431.0</v>
      </c>
      <c r="P216" s="3" t="n">
        <v>6322.0</v>
      </c>
      <c r="Q216" s="3" t="n">
        <v>6236.0</v>
      </c>
      <c r="R216" s="3" t="n">
        <v>6168.0</v>
      </c>
      <c r="S216" s="3" t="n">
        <v>6100.0</v>
      </c>
      <c r="T216" s="3" t="n">
        <v>6069.0</v>
      </c>
      <c r="U216" s="3" t="n">
        <v>6046.0</v>
      </c>
      <c r="V216" s="3" t="n">
        <v>6038.0</v>
      </c>
      <c r="W216" s="3" t="n">
        <v>6033.0</v>
      </c>
      <c r="X216" s="3" t="n">
        <v>6035.0</v>
      </c>
      <c r="Y216" s="3" t="n">
        <v>6031.0</v>
      </c>
      <c r="Z216" s="3" t="n">
        <v>6014.0</v>
      </c>
      <c r="AA216" s="3" t="n">
        <v>5973.0</v>
      </c>
      <c r="AB216" s="3" t="n">
        <v>5932.0</v>
      </c>
      <c r="AC216" s="3" t="n">
        <v>5886.0</v>
      </c>
      <c r="AD216" s="3" t="n">
        <v>5811.0</v>
      </c>
      <c r="AE216" s="3" t="n">
        <v>5725.0</v>
      </c>
      <c r="AF216" s="3" t="n">
        <v>5630.0</v>
      </c>
      <c r="AG216" s="3" t="n">
        <v>5510.0</v>
      </c>
      <c r="AH216" s="3" t="n">
        <v>5378.0</v>
      </c>
      <c r="AI216" s="3" t="n">
        <v>5239.0</v>
      </c>
      <c r="AJ216" s="3" t="n">
        <v>5086.0</v>
      </c>
      <c r="AK216" s="3" t="n">
        <v>4940.0</v>
      </c>
      <c r="AL216" s="3" t="n">
        <v>4767.0</v>
      </c>
      <c r="AM216" s="3" t="n">
        <v>4597.0</v>
      </c>
      <c r="AN216" s="3" t="n">
        <v>4444.0</v>
      </c>
      <c r="AO216" s="3" t="n">
        <v>4281.0</v>
      </c>
    </row>
    <row r="217" spans="1:41" x14ac:dyDescent="0.2">
      <c r="A217" s="128"/>
      <c r="B217" s="9">
        <v>4</v>
      </c>
      <c r="C217" s="3" t="n">
        <v>11118.0</v>
      </c>
      <c r="D217" s="3" t="n">
        <v>10547.0</v>
      </c>
      <c r="E217" s="3" t="n">
        <v>9984.0</v>
      </c>
      <c r="F217" s="3" t="n">
        <v>9565.0</v>
      </c>
      <c r="G217" s="3" t="n">
        <v>8744.0</v>
      </c>
      <c r="H217" s="3" t="n">
        <v>8029.0</v>
      </c>
      <c r="I217" s="3" t="n">
        <v>7782.0</v>
      </c>
      <c r="J217" s="3" t="n">
        <v>7535.0</v>
      </c>
      <c r="K217" s="3" t="n">
        <v>7301.0</v>
      </c>
      <c r="L217" s="3" t="n">
        <v>7075.0</v>
      </c>
      <c r="M217" s="3" t="n">
        <v>6885.0</v>
      </c>
      <c r="N217" s="3" t="n">
        <v>6722.0</v>
      </c>
      <c r="O217" s="3" t="n">
        <v>6577.0</v>
      </c>
      <c r="P217" s="3" t="n">
        <v>6445.0</v>
      </c>
      <c r="Q217" s="3" t="n">
        <v>6337.0</v>
      </c>
      <c r="R217" s="3" t="n">
        <v>6249.0</v>
      </c>
      <c r="S217" s="3" t="n">
        <v>6177.0</v>
      </c>
      <c r="T217" s="3" t="n">
        <v>6111.0</v>
      </c>
      <c r="U217" s="3" t="n">
        <v>6079.0</v>
      </c>
      <c r="V217" s="3" t="n">
        <v>6055.0</v>
      </c>
      <c r="W217" s="3" t="n">
        <v>6047.0</v>
      </c>
      <c r="X217" s="3" t="n">
        <v>6041.0</v>
      </c>
      <c r="Y217" s="3" t="n">
        <v>6042.0</v>
      </c>
      <c r="Z217" s="3" t="n">
        <v>6039.0</v>
      </c>
      <c r="AA217" s="3" t="n">
        <v>6022.0</v>
      </c>
      <c r="AB217" s="3" t="n">
        <v>5981.0</v>
      </c>
      <c r="AC217" s="3" t="n">
        <v>5940.0</v>
      </c>
      <c r="AD217" s="3" t="n">
        <v>5893.0</v>
      </c>
      <c r="AE217" s="3" t="n">
        <v>5819.0</v>
      </c>
      <c r="AF217" s="3" t="n">
        <v>5734.0</v>
      </c>
      <c r="AG217" s="3" t="n">
        <v>5639.0</v>
      </c>
      <c r="AH217" s="3" t="n">
        <v>5521.0</v>
      </c>
      <c r="AI217" s="3" t="n">
        <v>5386.0</v>
      </c>
      <c r="AJ217" s="3" t="n">
        <v>5244.0</v>
      </c>
      <c r="AK217" s="3" t="n">
        <v>5093.0</v>
      </c>
      <c r="AL217" s="3" t="n">
        <v>4949.0</v>
      </c>
      <c r="AM217" s="3" t="n">
        <v>4778.0</v>
      </c>
      <c r="AN217" s="3" t="n">
        <v>4610.0</v>
      </c>
      <c r="AO217" s="3" t="n">
        <v>4460.0</v>
      </c>
    </row>
    <row r="218" spans="1:41" x14ac:dyDescent="0.2">
      <c r="A218" s="128"/>
      <c r="B218" s="9">
        <v>5</v>
      </c>
      <c r="C218" s="3" t="n">
        <v>11680.0</v>
      </c>
      <c r="D218" s="3" t="n">
        <v>11121.0</v>
      </c>
      <c r="E218" s="3" t="n">
        <v>10551.0</v>
      </c>
      <c r="F218" s="3" t="n">
        <v>9983.0</v>
      </c>
      <c r="G218" s="3" t="n">
        <v>9566.0</v>
      </c>
      <c r="H218" s="3" t="n">
        <v>8782.0</v>
      </c>
      <c r="I218" s="3" t="n">
        <v>8080.0</v>
      </c>
      <c r="J218" s="3" t="n">
        <v>7814.0</v>
      </c>
      <c r="K218" s="3" t="n">
        <v>7550.0</v>
      </c>
      <c r="L218" s="3" t="n">
        <v>7315.0</v>
      </c>
      <c r="M218" s="3" t="n">
        <v>7085.0</v>
      </c>
      <c r="N218" s="3" t="n">
        <v>6897.0</v>
      </c>
      <c r="O218" s="3" t="n">
        <v>6731.0</v>
      </c>
      <c r="P218" s="3" t="n">
        <v>6588.0</v>
      </c>
      <c r="Q218" s="3" t="n">
        <v>6455.0</v>
      </c>
      <c r="R218" s="3" t="n">
        <v>6348.0</v>
      </c>
      <c r="S218" s="3" t="n">
        <v>6261.0</v>
      </c>
      <c r="T218" s="3" t="n">
        <v>6186.0</v>
      </c>
      <c r="U218" s="3" t="n">
        <v>6119.0</v>
      </c>
      <c r="V218" s="3" t="n">
        <v>6087.0</v>
      </c>
      <c r="W218" s="3" t="n">
        <v>6064.0</v>
      </c>
      <c r="X218" s="3" t="n">
        <v>6056.0</v>
      </c>
      <c r="Y218" s="3" t="n">
        <v>6051.0</v>
      </c>
      <c r="Z218" s="3" t="n">
        <v>6052.0</v>
      </c>
      <c r="AA218" s="3" t="n">
        <v>6050.0</v>
      </c>
      <c r="AB218" s="3" t="n">
        <v>6035.0</v>
      </c>
      <c r="AC218" s="3" t="n">
        <v>5994.0</v>
      </c>
      <c r="AD218" s="3" t="n">
        <v>5950.0</v>
      </c>
      <c r="AE218" s="3" t="n">
        <v>5902.0</v>
      </c>
      <c r="AF218" s="3" t="n">
        <v>5828.0</v>
      </c>
      <c r="AG218" s="3" t="n">
        <v>5743.0</v>
      </c>
      <c r="AH218" s="3" t="n">
        <v>5648.0</v>
      </c>
      <c r="AI218" s="3" t="n">
        <v>5531.0</v>
      </c>
      <c r="AJ218" s="3" t="n">
        <v>5394.0</v>
      </c>
      <c r="AK218" s="3" t="n">
        <v>5253.0</v>
      </c>
      <c r="AL218" s="3" t="n">
        <v>5100.0</v>
      </c>
      <c r="AM218" s="3" t="n">
        <v>4959.0</v>
      </c>
      <c r="AN218" s="3" t="n">
        <v>4791.0</v>
      </c>
      <c r="AO218" s="3" t="n">
        <v>4625.0</v>
      </c>
    </row>
    <row r="219" spans="1:41" x14ac:dyDescent="0.2">
      <c r="A219" s="128"/>
      <c r="B219" s="9">
        <v>6</v>
      </c>
      <c r="C219" s="3" t="n">
        <v>11120.0</v>
      </c>
      <c r="D219" s="3" t="n">
        <v>11684.0</v>
      </c>
      <c r="E219" s="3" t="n">
        <v>11122.0</v>
      </c>
      <c r="F219" s="3" t="n">
        <v>10554.0</v>
      </c>
      <c r="G219" s="3" t="n">
        <v>9986.0</v>
      </c>
      <c r="H219" s="3" t="n">
        <v>9601.0</v>
      </c>
      <c r="I219" s="3" t="n">
        <v>8828.0</v>
      </c>
      <c r="J219" s="3" t="n">
        <v>8107.0</v>
      </c>
      <c r="K219" s="3" t="n">
        <v>7837.0</v>
      </c>
      <c r="L219" s="3" t="n">
        <v>7563.0</v>
      </c>
      <c r="M219" s="3" t="n">
        <v>7330.0</v>
      </c>
      <c r="N219" s="3" t="n">
        <v>7098.0</v>
      </c>
      <c r="O219" s="3" t="n">
        <v>6908.0</v>
      </c>
      <c r="P219" s="3" t="n">
        <v>6740.0</v>
      </c>
      <c r="Q219" s="3" t="n">
        <v>6598.0</v>
      </c>
      <c r="R219" s="3" t="n">
        <v>6467.0</v>
      </c>
      <c r="S219" s="3" t="n">
        <v>6359.0</v>
      </c>
      <c r="T219" s="3" t="n">
        <v>6272.0</v>
      </c>
      <c r="U219" s="3" t="n">
        <v>6196.0</v>
      </c>
      <c r="V219" s="3" t="n">
        <v>6127.0</v>
      </c>
      <c r="W219" s="3" t="n">
        <v>6093.0</v>
      </c>
      <c r="X219" s="3" t="n">
        <v>6070.0</v>
      </c>
      <c r="Y219" s="3" t="n">
        <v>6064.0</v>
      </c>
      <c r="Z219" s="3" t="n">
        <v>6059.0</v>
      </c>
      <c r="AA219" s="3" t="n">
        <v>6060.0</v>
      </c>
      <c r="AB219" s="3" t="n">
        <v>6057.0</v>
      </c>
      <c r="AC219" s="3" t="n">
        <v>6043.0</v>
      </c>
      <c r="AD219" s="3" t="n">
        <v>6002.0</v>
      </c>
      <c r="AE219" s="3" t="n">
        <v>5957.0</v>
      </c>
      <c r="AF219" s="3" t="n">
        <v>5910.0</v>
      </c>
      <c r="AG219" s="3" t="n">
        <v>5834.0</v>
      </c>
      <c r="AH219" s="3" t="n">
        <v>5748.0</v>
      </c>
      <c r="AI219" s="3" t="n">
        <v>5655.0</v>
      </c>
      <c r="AJ219" s="3" t="n">
        <v>5537.0</v>
      </c>
      <c r="AK219" s="3" t="n">
        <v>5399.0</v>
      </c>
      <c r="AL219" s="3" t="n">
        <v>5258.0</v>
      </c>
      <c r="AM219" s="3" t="n">
        <v>5109.0</v>
      </c>
      <c r="AN219" s="3" t="n">
        <v>4969.0</v>
      </c>
      <c r="AO219" s="3" t="n">
        <v>4803.0</v>
      </c>
    </row>
    <row r="220" spans="1:41" x14ac:dyDescent="0.2">
      <c r="A220" s="128"/>
      <c r="B220" s="9">
        <v>7</v>
      </c>
      <c r="C220" s="3" t="n">
        <v>10927.0</v>
      </c>
      <c r="D220" s="3" t="n">
        <v>11124.0</v>
      </c>
      <c r="E220" s="3" t="n">
        <v>11684.0</v>
      </c>
      <c r="F220" s="3" t="n">
        <v>11127.0</v>
      </c>
      <c r="G220" s="3" t="n">
        <v>10554.0</v>
      </c>
      <c r="H220" s="3" t="n">
        <v>10021.0</v>
      </c>
      <c r="I220" s="3" t="n">
        <v>9646.0</v>
      </c>
      <c r="J220" s="3" t="n">
        <v>8852.0</v>
      </c>
      <c r="K220" s="3" t="n">
        <v>8118.0</v>
      </c>
      <c r="L220" s="3" t="n">
        <v>7845.0</v>
      </c>
      <c r="M220" s="3" t="n">
        <v>7561.0</v>
      </c>
      <c r="N220" s="3" t="n">
        <v>7328.0</v>
      </c>
      <c r="O220" s="3" t="n">
        <v>7090.0</v>
      </c>
      <c r="P220" s="3" t="n">
        <v>6900.0</v>
      </c>
      <c r="Q220" s="3" t="n">
        <v>6732.0</v>
      </c>
      <c r="R220" s="3" t="n">
        <v>6593.0</v>
      </c>
      <c r="S220" s="3" t="n">
        <v>6464.0</v>
      </c>
      <c r="T220" s="3" t="n">
        <v>6356.0</v>
      </c>
      <c r="U220" s="3" t="n">
        <v>6268.0</v>
      </c>
      <c r="V220" s="3" t="n">
        <v>6197.0</v>
      </c>
      <c r="W220" s="3" t="n">
        <v>6128.0</v>
      </c>
      <c r="X220" s="3" t="n">
        <v>6092.0</v>
      </c>
      <c r="Y220" s="3" t="n">
        <v>6069.0</v>
      </c>
      <c r="Z220" s="3" t="n">
        <v>6063.0</v>
      </c>
      <c r="AA220" s="3" t="n">
        <v>6056.0</v>
      </c>
      <c r="AB220" s="3" t="n">
        <v>6057.0</v>
      </c>
      <c r="AC220" s="3" t="n">
        <v>6054.0</v>
      </c>
      <c r="AD220" s="3" t="n">
        <v>6042.0</v>
      </c>
      <c r="AE220" s="3" t="n">
        <v>6000.0</v>
      </c>
      <c r="AF220" s="3" t="n">
        <v>5957.0</v>
      </c>
      <c r="AG220" s="3" t="n">
        <v>5913.0</v>
      </c>
      <c r="AH220" s="3" t="n">
        <v>5839.0</v>
      </c>
      <c r="AI220" s="3" t="n">
        <v>5753.0</v>
      </c>
      <c r="AJ220" s="3" t="n">
        <v>5658.0</v>
      </c>
      <c r="AK220" s="3" t="n">
        <v>5541.0</v>
      </c>
      <c r="AL220" s="3" t="n">
        <v>5404.0</v>
      </c>
      <c r="AM220" s="3" t="n">
        <v>5260.0</v>
      </c>
      <c r="AN220" s="3" t="n">
        <v>5111.0</v>
      </c>
      <c r="AO220" s="3" t="n">
        <v>4975.0</v>
      </c>
    </row>
    <row r="221" spans="1:41" x14ac:dyDescent="0.2">
      <c r="A221" s="128"/>
      <c r="B221" s="9">
        <v>8</v>
      </c>
      <c r="C221" s="3" t="n">
        <v>11034.0</v>
      </c>
      <c r="D221" s="3" t="n">
        <v>10935.0</v>
      </c>
      <c r="E221" s="3" t="n">
        <v>11131.0</v>
      </c>
      <c r="F221" s="3" t="n">
        <v>11690.0</v>
      </c>
      <c r="G221" s="3" t="n">
        <v>11131.0</v>
      </c>
      <c r="H221" s="3" t="n">
        <v>10593.0</v>
      </c>
      <c r="I221" s="3" t="n">
        <v>10063.0</v>
      </c>
      <c r="J221" s="3" t="n">
        <v>9664.0</v>
      </c>
      <c r="K221" s="3" t="n">
        <v>8858.0</v>
      </c>
      <c r="L221" s="3" t="n">
        <v>8122.0</v>
      </c>
      <c r="M221" s="3" t="n">
        <v>7851.0</v>
      </c>
      <c r="N221" s="3" t="n">
        <v>7564.0</v>
      </c>
      <c r="O221" s="3" t="n">
        <v>7338.0</v>
      </c>
      <c r="P221" s="3" t="n">
        <v>7099.0</v>
      </c>
      <c r="Q221" s="3" t="n">
        <v>6910.0</v>
      </c>
      <c r="R221" s="3" t="n">
        <v>6740.0</v>
      </c>
      <c r="S221" s="3" t="n">
        <v>6601.0</v>
      </c>
      <c r="T221" s="3" t="n">
        <v>6472.0</v>
      </c>
      <c r="U221" s="3" t="n">
        <v>6363.0</v>
      </c>
      <c r="V221" s="3" t="n">
        <v>6275.0</v>
      </c>
      <c r="W221" s="3" t="n">
        <v>6204.0</v>
      </c>
      <c r="X221" s="3" t="n">
        <v>6134.0</v>
      </c>
      <c r="Y221" s="3" t="n">
        <v>6099.0</v>
      </c>
      <c r="Z221" s="3" t="n">
        <v>6077.0</v>
      </c>
      <c r="AA221" s="3" t="n">
        <v>6071.0</v>
      </c>
      <c r="AB221" s="3" t="n">
        <v>6063.0</v>
      </c>
      <c r="AC221" s="3" t="n">
        <v>6064.0</v>
      </c>
      <c r="AD221" s="3" t="n">
        <v>6060.0</v>
      </c>
      <c r="AE221" s="3" t="n">
        <v>6049.0</v>
      </c>
      <c r="AF221" s="3" t="n">
        <v>6007.0</v>
      </c>
      <c r="AG221" s="3" t="n">
        <v>5963.0</v>
      </c>
      <c r="AH221" s="3" t="n">
        <v>5918.0</v>
      </c>
      <c r="AI221" s="3" t="n">
        <v>5845.0</v>
      </c>
      <c r="AJ221" s="3" t="n">
        <v>5759.0</v>
      </c>
      <c r="AK221" s="3" t="n">
        <v>5664.0</v>
      </c>
      <c r="AL221" s="3" t="n">
        <v>5547.0</v>
      </c>
      <c r="AM221" s="3" t="n">
        <v>5411.0</v>
      </c>
      <c r="AN221" s="3" t="n">
        <v>5267.0</v>
      </c>
      <c r="AO221" s="3" t="n">
        <v>5118.0</v>
      </c>
    </row>
    <row r="222" spans="1:41" x14ac:dyDescent="0.2">
      <c r="A222" s="128"/>
      <c r="B222" s="9">
        <v>9</v>
      </c>
      <c r="C222" s="3" t="n">
        <v>11035.0</v>
      </c>
      <c r="D222" s="3" t="n">
        <v>11035.0</v>
      </c>
      <c r="E222" s="3" t="n">
        <v>10936.0</v>
      </c>
      <c r="F222" s="3" t="n">
        <v>11133.0</v>
      </c>
      <c r="G222" s="3" t="n">
        <v>11692.0</v>
      </c>
      <c r="H222" s="3" t="n">
        <v>11162.0</v>
      </c>
      <c r="I222" s="3" t="n">
        <v>10645.0</v>
      </c>
      <c r="J222" s="3" t="n">
        <v>10088.0</v>
      </c>
      <c r="K222" s="3" t="n">
        <v>9672.0</v>
      </c>
      <c r="L222" s="3" t="n">
        <v>8864.0</v>
      </c>
      <c r="M222" s="3" t="n">
        <v>8130.0</v>
      </c>
      <c r="N222" s="3" t="n">
        <v>7859.0</v>
      </c>
      <c r="O222" s="3" t="n">
        <v>7570.0</v>
      </c>
      <c r="P222" s="3" t="n">
        <v>7340.0</v>
      </c>
      <c r="Q222" s="3" t="n">
        <v>7102.0</v>
      </c>
      <c r="R222" s="3" t="n">
        <v>6911.0</v>
      </c>
      <c r="S222" s="3" t="n">
        <v>6742.0</v>
      </c>
      <c r="T222" s="3" t="n">
        <v>6604.0</v>
      </c>
      <c r="U222" s="3" t="n">
        <v>6473.0</v>
      </c>
      <c r="V222" s="3" t="n">
        <v>6364.0</v>
      </c>
      <c r="W222" s="3" t="n">
        <v>6277.0</v>
      </c>
      <c r="X222" s="3" t="n">
        <v>6207.0</v>
      </c>
      <c r="Y222" s="3" t="n">
        <v>6138.0</v>
      </c>
      <c r="Z222" s="3" t="n">
        <v>6101.0</v>
      </c>
      <c r="AA222" s="3" t="n">
        <v>6079.0</v>
      </c>
      <c r="AB222" s="3" t="n">
        <v>6072.0</v>
      </c>
      <c r="AC222" s="3" t="n">
        <v>6066.0</v>
      </c>
      <c r="AD222" s="3" t="n">
        <v>6065.0</v>
      </c>
      <c r="AE222" s="3" t="n">
        <v>6062.0</v>
      </c>
      <c r="AF222" s="3" t="n">
        <v>6052.0</v>
      </c>
      <c r="AG222" s="3" t="n">
        <v>6009.0</v>
      </c>
      <c r="AH222" s="3" t="n">
        <v>5966.0</v>
      </c>
      <c r="AI222" s="3" t="n">
        <v>5922.0</v>
      </c>
      <c r="AJ222" s="3" t="n">
        <v>5848.0</v>
      </c>
      <c r="AK222" s="3" t="n">
        <v>5763.0</v>
      </c>
      <c r="AL222" s="3" t="n">
        <v>5668.0</v>
      </c>
      <c r="AM222" s="3" t="n">
        <v>5553.0</v>
      </c>
      <c r="AN222" s="3" t="n">
        <v>5418.0</v>
      </c>
      <c r="AO222" s="3" t="n">
        <v>5272.0</v>
      </c>
    </row>
    <row r="223" spans="1:41" x14ac:dyDescent="0.2">
      <c r="A223" s="128"/>
      <c r="B223" s="9">
        <v>10</v>
      </c>
      <c r="C223" s="3" t="n">
        <v>11808.0</v>
      </c>
      <c r="D223" s="3" t="n">
        <v>11034.0</v>
      </c>
      <c r="E223" s="3" t="n">
        <v>11031.0</v>
      </c>
      <c r="F223" s="3" t="n">
        <v>10936.0</v>
      </c>
      <c r="G223" s="3" t="n">
        <v>11133.0</v>
      </c>
      <c r="H223" s="3" t="n">
        <v>11728.0</v>
      </c>
      <c r="I223" s="3" t="n">
        <v>11212.0</v>
      </c>
      <c r="J223" s="3" t="n">
        <v>10667.0</v>
      </c>
      <c r="K223" s="3" t="n">
        <v>10100.0</v>
      </c>
      <c r="L223" s="3" t="n">
        <v>9673.0</v>
      </c>
      <c r="M223" s="3" t="n">
        <v>8865.0</v>
      </c>
      <c r="N223" s="3" t="n">
        <v>8132.0</v>
      </c>
      <c r="O223" s="3" t="n">
        <v>7863.0</v>
      </c>
      <c r="P223" s="3" t="n">
        <v>7573.0</v>
      </c>
      <c r="Q223" s="3" t="n">
        <v>7345.0</v>
      </c>
      <c r="R223" s="3" t="n">
        <v>7109.0</v>
      </c>
      <c r="S223" s="3" t="n">
        <v>6919.0</v>
      </c>
      <c r="T223" s="3" t="n">
        <v>6747.0</v>
      </c>
      <c r="U223" s="3" t="n">
        <v>6608.0</v>
      </c>
      <c r="V223" s="3" t="n">
        <v>6477.0</v>
      </c>
      <c r="W223" s="3" t="n">
        <v>6367.0</v>
      </c>
      <c r="X223" s="3" t="n">
        <v>6280.0</v>
      </c>
      <c r="Y223" s="3" t="n">
        <v>6210.0</v>
      </c>
      <c r="Z223" s="3" t="n">
        <v>6140.0</v>
      </c>
      <c r="AA223" s="3" t="n">
        <v>6103.0</v>
      </c>
      <c r="AB223" s="3" t="n">
        <v>6081.0</v>
      </c>
      <c r="AC223" s="3" t="n">
        <v>6074.0</v>
      </c>
      <c r="AD223" s="3" t="n">
        <v>6067.0</v>
      </c>
      <c r="AE223" s="3" t="n">
        <v>6065.0</v>
      </c>
      <c r="AF223" s="3" t="n">
        <v>6062.0</v>
      </c>
      <c r="AG223" s="3" t="n">
        <v>6052.0</v>
      </c>
      <c r="AH223" s="3" t="n">
        <v>6009.0</v>
      </c>
      <c r="AI223" s="3" t="n">
        <v>5965.0</v>
      </c>
      <c r="AJ223" s="3" t="n">
        <v>5921.0</v>
      </c>
      <c r="AK223" s="3" t="n">
        <v>5848.0</v>
      </c>
      <c r="AL223" s="3" t="n">
        <v>5763.0</v>
      </c>
      <c r="AM223" s="3" t="n">
        <v>5670.0</v>
      </c>
      <c r="AN223" s="3" t="n">
        <v>5554.0</v>
      </c>
      <c r="AO223" s="3" t="n">
        <v>5419.0</v>
      </c>
    </row>
    <row r="224" spans="1:41" x14ac:dyDescent="0.2">
      <c r="A224" s="128"/>
      <c r="B224" s="9">
        <v>11</v>
      </c>
      <c r="C224" s="3" t="n">
        <v>11631.0</v>
      </c>
      <c r="D224" s="3" t="n">
        <v>11806.0</v>
      </c>
      <c r="E224" s="3" t="n">
        <v>11035.0</v>
      </c>
      <c r="F224" s="3" t="n">
        <v>11032.0</v>
      </c>
      <c r="G224" s="3" t="n">
        <v>10938.0</v>
      </c>
      <c r="H224" s="3" t="n">
        <v>11165.0</v>
      </c>
      <c r="I224" s="3" t="n">
        <v>11783.0</v>
      </c>
      <c r="J224" s="3" t="n">
        <v>11242.0</v>
      </c>
      <c r="K224" s="3" t="n">
        <v>10676.0</v>
      </c>
      <c r="L224" s="3" t="n">
        <v>10108.0</v>
      </c>
      <c r="M224" s="3" t="n">
        <v>9674.0</v>
      </c>
      <c r="N224" s="3" t="n">
        <v>8863.0</v>
      </c>
      <c r="O224" s="3" t="n">
        <v>8133.0</v>
      </c>
      <c r="P224" s="3" t="n">
        <v>7868.0</v>
      </c>
      <c r="Q224" s="3" t="n">
        <v>7576.0</v>
      </c>
      <c r="R224" s="3" t="n">
        <v>7348.0</v>
      </c>
      <c r="S224" s="3" t="n">
        <v>7112.0</v>
      </c>
      <c r="T224" s="3" t="n">
        <v>6919.0</v>
      </c>
      <c r="U224" s="3" t="n">
        <v>6750.0</v>
      </c>
      <c r="V224" s="3" t="n">
        <v>6612.0</v>
      </c>
      <c r="W224" s="3" t="n">
        <v>6480.0</v>
      </c>
      <c r="X224" s="3" t="n">
        <v>6371.0</v>
      </c>
      <c r="Y224" s="3" t="n">
        <v>6284.0</v>
      </c>
      <c r="Z224" s="3" t="n">
        <v>6216.0</v>
      </c>
      <c r="AA224" s="3" t="n">
        <v>6146.0</v>
      </c>
      <c r="AB224" s="3" t="n">
        <v>6109.0</v>
      </c>
      <c r="AC224" s="3" t="n">
        <v>6087.0</v>
      </c>
      <c r="AD224" s="3" t="n">
        <v>6080.0</v>
      </c>
      <c r="AE224" s="3" t="n">
        <v>6073.0</v>
      </c>
      <c r="AF224" s="3" t="n">
        <v>6071.0</v>
      </c>
      <c r="AG224" s="3" t="n">
        <v>6068.0</v>
      </c>
      <c r="AH224" s="3" t="n">
        <v>6057.0</v>
      </c>
      <c r="AI224" s="3" t="n">
        <v>6013.0</v>
      </c>
      <c r="AJ224" s="3" t="n">
        <v>5968.0</v>
      </c>
      <c r="AK224" s="3" t="n">
        <v>5922.0</v>
      </c>
      <c r="AL224" s="3" t="n">
        <v>5847.0</v>
      </c>
      <c r="AM224" s="3" t="n">
        <v>5765.0</v>
      </c>
      <c r="AN224" s="3" t="n">
        <v>5671.0</v>
      </c>
      <c r="AO224" s="3" t="n">
        <v>5555.0</v>
      </c>
    </row>
    <row r="225" spans="1:41" x14ac:dyDescent="0.2">
      <c r="A225" s="128"/>
      <c r="B225" s="9">
        <v>12</v>
      </c>
      <c r="C225" s="3" t="n">
        <v>12486.0</v>
      </c>
      <c r="D225" s="3" t="n">
        <v>11620.0</v>
      </c>
      <c r="E225" s="3" t="n">
        <v>11797.0</v>
      </c>
      <c r="F225" s="3" t="n">
        <v>11032.0</v>
      </c>
      <c r="G225" s="3" t="n">
        <v>11030.0</v>
      </c>
      <c r="H225" s="3" t="n">
        <v>10969.0</v>
      </c>
      <c r="I225" s="3" t="n">
        <v>11208.0</v>
      </c>
      <c r="J225" s="3" t="n">
        <v>11800.0</v>
      </c>
      <c r="K225" s="3" t="n">
        <v>11249.0</v>
      </c>
      <c r="L225" s="3" t="n">
        <v>10676.0</v>
      </c>
      <c r="M225" s="3" t="n">
        <v>10106.0</v>
      </c>
      <c r="N225" s="3" t="n">
        <v>9674.0</v>
      </c>
      <c r="O225" s="3" t="n">
        <v>8861.0</v>
      </c>
      <c r="P225" s="3" t="n">
        <v>8134.0</v>
      </c>
      <c r="Q225" s="3" t="n">
        <v>7870.0</v>
      </c>
      <c r="R225" s="3" t="n">
        <v>7579.0</v>
      </c>
      <c r="S225" s="3" t="n">
        <v>7352.0</v>
      </c>
      <c r="T225" s="3" t="n">
        <v>7117.0</v>
      </c>
      <c r="U225" s="3" t="n">
        <v>6921.0</v>
      </c>
      <c r="V225" s="3" t="n">
        <v>6750.0</v>
      </c>
      <c r="W225" s="3" t="n">
        <v>6613.0</v>
      </c>
      <c r="X225" s="3" t="n">
        <v>6480.0</v>
      </c>
      <c r="Y225" s="3" t="n">
        <v>6370.0</v>
      </c>
      <c r="Z225" s="3" t="n">
        <v>6282.0</v>
      </c>
      <c r="AA225" s="3" t="n">
        <v>6214.0</v>
      </c>
      <c r="AB225" s="3" t="n">
        <v>6145.0</v>
      </c>
      <c r="AC225" s="3" t="n">
        <v>6109.0</v>
      </c>
      <c r="AD225" s="3" t="n">
        <v>6086.0</v>
      </c>
      <c r="AE225" s="3" t="n">
        <v>6079.0</v>
      </c>
      <c r="AF225" s="3" t="n">
        <v>6073.0</v>
      </c>
      <c r="AG225" s="3" t="n">
        <v>6071.0</v>
      </c>
      <c r="AH225" s="3" t="n">
        <v>6068.0</v>
      </c>
      <c r="AI225" s="3" t="n">
        <v>6057.0</v>
      </c>
      <c r="AJ225" s="3" t="n">
        <v>6013.0</v>
      </c>
      <c r="AK225" s="3" t="n">
        <v>5967.0</v>
      </c>
      <c r="AL225" s="3" t="n">
        <v>5920.0</v>
      </c>
      <c r="AM225" s="3" t="n">
        <v>5844.0</v>
      </c>
      <c r="AN225" s="3" t="n">
        <v>5761.0</v>
      </c>
      <c r="AO225" s="3" t="n">
        <v>5667.0</v>
      </c>
    </row>
    <row r="226" spans="1:41" x14ac:dyDescent="0.2">
      <c r="A226" s="128"/>
      <c r="B226" s="9">
        <v>13</v>
      </c>
      <c r="C226" s="3" t="n">
        <v>12637.0</v>
      </c>
      <c r="D226" s="3" t="n">
        <v>12480.0</v>
      </c>
      <c r="E226" s="3" t="n">
        <v>11612.0</v>
      </c>
      <c r="F226" s="3" t="n">
        <v>11788.0</v>
      </c>
      <c r="G226" s="3" t="n">
        <v>11027.0</v>
      </c>
      <c r="H226" s="3" t="n">
        <v>11059.0</v>
      </c>
      <c r="I226" s="3" t="n">
        <v>11011.0</v>
      </c>
      <c r="J226" s="3" t="n">
        <v>11227.0</v>
      </c>
      <c r="K226" s="3" t="n">
        <v>11804.0</v>
      </c>
      <c r="L226" s="3" t="n">
        <v>11249.0</v>
      </c>
      <c r="M226" s="3" t="n">
        <v>10673.0</v>
      </c>
      <c r="N226" s="3" t="n">
        <v>10098.0</v>
      </c>
      <c r="O226" s="3" t="n">
        <v>9666.0</v>
      </c>
      <c r="P226" s="3" t="n">
        <v>8855.0</v>
      </c>
      <c r="Q226" s="3" t="n">
        <v>8132.0</v>
      </c>
      <c r="R226" s="3" t="n">
        <v>7871.0</v>
      </c>
      <c r="S226" s="3" t="n">
        <v>7583.0</v>
      </c>
      <c r="T226" s="3" t="n">
        <v>7355.0</v>
      </c>
      <c r="U226" s="3" t="n">
        <v>7119.0</v>
      </c>
      <c r="V226" s="3" t="n">
        <v>6922.0</v>
      </c>
      <c r="W226" s="3" t="n">
        <v>6751.0</v>
      </c>
      <c r="X226" s="3" t="n">
        <v>6612.0</v>
      </c>
      <c r="Y226" s="3" t="n">
        <v>6479.0</v>
      </c>
      <c r="Z226" s="3" t="n">
        <v>6368.0</v>
      </c>
      <c r="AA226" s="3" t="n">
        <v>6278.0</v>
      </c>
      <c r="AB226" s="3" t="n">
        <v>6212.0</v>
      </c>
      <c r="AC226" s="3" t="n">
        <v>6144.0</v>
      </c>
      <c r="AD226" s="3" t="n">
        <v>6107.0</v>
      </c>
      <c r="AE226" s="3" t="n">
        <v>6084.0</v>
      </c>
      <c r="AF226" s="3" t="n">
        <v>6077.0</v>
      </c>
      <c r="AG226" s="3" t="n">
        <v>6071.0</v>
      </c>
      <c r="AH226" s="3" t="n">
        <v>6069.0</v>
      </c>
      <c r="AI226" s="3" t="n">
        <v>6066.0</v>
      </c>
      <c r="AJ226" s="3" t="n">
        <v>6055.0</v>
      </c>
      <c r="AK226" s="3" t="n">
        <v>6013.0</v>
      </c>
      <c r="AL226" s="3" t="n">
        <v>5967.0</v>
      </c>
      <c r="AM226" s="3" t="n">
        <v>5921.0</v>
      </c>
      <c r="AN226" s="3" t="n">
        <v>5844.0</v>
      </c>
      <c r="AO226" s="3" t="n">
        <v>5761.0</v>
      </c>
    </row>
    <row r="227" spans="1:41" x14ac:dyDescent="0.2">
      <c r="A227" s="128"/>
      <c r="B227" s="9">
        <v>14</v>
      </c>
      <c r="C227" s="3" t="n">
        <v>12378.0</v>
      </c>
      <c r="D227" s="3" t="n">
        <v>12631.0</v>
      </c>
      <c r="E227" s="3" t="n">
        <v>12475.0</v>
      </c>
      <c r="F227" s="3" t="n">
        <v>11609.0</v>
      </c>
      <c r="G227" s="3" t="n">
        <v>11788.0</v>
      </c>
      <c r="H227" s="3" t="n">
        <v>11063.0</v>
      </c>
      <c r="I227" s="3" t="n">
        <v>11108.0</v>
      </c>
      <c r="J227" s="3" t="n">
        <v>11034.0</v>
      </c>
      <c r="K227" s="3" t="n">
        <v>11238.0</v>
      </c>
      <c r="L227" s="3" t="n">
        <v>11810.0</v>
      </c>
      <c r="M227" s="3" t="n">
        <v>11251.0</v>
      </c>
      <c r="N227" s="3" t="n">
        <v>10674.0</v>
      </c>
      <c r="O227" s="3" t="n">
        <v>10096.0</v>
      </c>
      <c r="P227" s="3" t="n">
        <v>9660.0</v>
      </c>
      <c r="Q227" s="3" t="n">
        <v>8848.0</v>
      </c>
      <c r="R227" s="3" t="n">
        <v>8129.0</v>
      </c>
      <c r="S227" s="3" t="n">
        <v>7869.0</v>
      </c>
      <c r="T227" s="3" t="n">
        <v>7580.0</v>
      </c>
      <c r="U227" s="3" t="n">
        <v>7354.0</v>
      </c>
      <c r="V227" s="3" t="n">
        <v>7121.0</v>
      </c>
      <c r="W227" s="3" t="n">
        <v>6925.0</v>
      </c>
      <c r="X227" s="3" t="n">
        <v>6753.0</v>
      </c>
      <c r="Y227" s="3" t="n">
        <v>6615.0</v>
      </c>
      <c r="Z227" s="3" t="n">
        <v>6481.0</v>
      </c>
      <c r="AA227" s="3" t="n">
        <v>6369.0</v>
      </c>
      <c r="AB227" s="3" t="n">
        <v>6279.0</v>
      </c>
      <c r="AC227" s="3" t="n">
        <v>6214.0</v>
      </c>
      <c r="AD227" s="3" t="n">
        <v>6146.0</v>
      </c>
      <c r="AE227" s="3" t="n">
        <v>6107.0</v>
      </c>
      <c r="AF227" s="3" t="n">
        <v>6084.0</v>
      </c>
      <c r="AG227" s="3" t="n">
        <v>6078.0</v>
      </c>
      <c r="AH227" s="3" t="n">
        <v>6072.0</v>
      </c>
      <c r="AI227" s="3" t="n">
        <v>6070.0</v>
      </c>
      <c r="AJ227" s="3" t="n">
        <v>6067.0</v>
      </c>
      <c r="AK227" s="3" t="n">
        <v>6056.0</v>
      </c>
      <c r="AL227" s="3" t="n">
        <v>6013.0</v>
      </c>
      <c r="AM227" s="3" t="n">
        <v>5967.0</v>
      </c>
      <c r="AN227" s="3" t="n">
        <v>5921.0</v>
      </c>
      <c r="AO227" s="3" t="n">
        <v>5844.0</v>
      </c>
    </row>
    <row r="228" spans="1:41" x14ac:dyDescent="0.2">
      <c r="A228" s="128"/>
      <c r="B228" s="9">
        <v>15</v>
      </c>
      <c r="C228" s="3" t="n">
        <v>11571.0</v>
      </c>
      <c r="D228" s="3" t="n">
        <v>12365.0</v>
      </c>
      <c r="E228" s="3" t="n">
        <v>12618.0</v>
      </c>
      <c r="F228" s="3" t="n">
        <v>12461.0</v>
      </c>
      <c r="G228" s="3" t="n">
        <v>11597.0</v>
      </c>
      <c r="H228" s="3" t="n">
        <v>11814.0</v>
      </c>
      <c r="I228" s="3" t="n">
        <v>11103.0</v>
      </c>
      <c r="J228" s="3" t="n">
        <v>11120.0</v>
      </c>
      <c r="K228" s="3" t="n">
        <v>11035.0</v>
      </c>
      <c r="L228" s="3" t="n">
        <v>11236.0</v>
      </c>
      <c r="M228" s="3" t="n">
        <v>11799.0</v>
      </c>
      <c r="N228" s="3" t="n">
        <v>11242.0</v>
      </c>
      <c r="O228" s="3" t="n">
        <v>10667.0</v>
      </c>
      <c r="P228" s="3" t="n">
        <v>10091.0</v>
      </c>
      <c r="Q228" s="3" t="n">
        <v>9655.0</v>
      </c>
      <c r="R228" s="3" t="n">
        <v>8845.0</v>
      </c>
      <c r="S228" s="3" t="n">
        <v>8123.0</v>
      </c>
      <c r="T228" s="3" t="n">
        <v>7866.0</v>
      </c>
      <c r="U228" s="3" t="n">
        <v>7575.0</v>
      </c>
      <c r="V228" s="3" t="n">
        <v>7349.0</v>
      </c>
      <c r="W228" s="3" t="n">
        <v>7117.0</v>
      </c>
      <c r="X228" s="3" t="n">
        <v>6920.0</v>
      </c>
      <c r="Y228" s="3" t="n">
        <v>6751.0</v>
      </c>
      <c r="Z228" s="3" t="n">
        <v>6615.0</v>
      </c>
      <c r="AA228" s="3" t="n">
        <v>6481.0</v>
      </c>
      <c r="AB228" s="3" t="n">
        <v>6369.0</v>
      </c>
      <c r="AC228" s="3" t="n">
        <v>6278.0</v>
      </c>
      <c r="AD228" s="3" t="n">
        <v>6209.0</v>
      </c>
      <c r="AE228" s="3" t="n">
        <v>6142.0</v>
      </c>
      <c r="AF228" s="3" t="n">
        <v>6101.0</v>
      </c>
      <c r="AG228" s="3" t="n">
        <v>6077.0</v>
      </c>
      <c r="AH228" s="3" t="n">
        <v>6072.0</v>
      </c>
      <c r="AI228" s="3" t="n">
        <v>6065.0</v>
      </c>
      <c r="AJ228" s="3" t="n">
        <v>6064.0</v>
      </c>
      <c r="AK228" s="3" t="n">
        <v>6062.0</v>
      </c>
      <c r="AL228" s="3" t="n">
        <v>6050.0</v>
      </c>
      <c r="AM228" s="3" t="n">
        <v>6006.0</v>
      </c>
      <c r="AN228" s="3" t="n">
        <v>5960.0</v>
      </c>
      <c r="AO228" s="3" t="n">
        <v>5914.0</v>
      </c>
    </row>
    <row r="229" spans="1:41" x14ac:dyDescent="0.2">
      <c r="A229" s="128"/>
      <c r="B229" s="9">
        <v>16</v>
      </c>
      <c r="C229" s="3" t="n">
        <v>11116.0</v>
      </c>
      <c r="D229" s="3" t="n">
        <v>11563.0</v>
      </c>
      <c r="E229" s="3" t="n">
        <v>12357.0</v>
      </c>
      <c r="F229" s="3" t="n">
        <v>12607.0</v>
      </c>
      <c r="G229" s="3" t="n">
        <v>12451.0</v>
      </c>
      <c r="H229" s="3" t="n">
        <v>11618.0</v>
      </c>
      <c r="I229" s="3" t="n">
        <v>11848.0</v>
      </c>
      <c r="J229" s="3" t="n">
        <v>11109.0</v>
      </c>
      <c r="K229" s="3" t="n">
        <v>11123.0</v>
      </c>
      <c r="L229" s="3" t="n">
        <v>11037.0</v>
      </c>
      <c r="M229" s="3" t="n">
        <v>11232.0</v>
      </c>
      <c r="N229" s="3" t="n">
        <v>11794.0</v>
      </c>
      <c r="O229" s="3" t="n">
        <v>11236.0</v>
      </c>
      <c r="P229" s="3" t="n">
        <v>10662.0</v>
      </c>
      <c r="Q229" s="3" t="n">
        <v>10083.0</v>
      </c>
      <c r="R229" s="3" t="n">
        <v>9645.0</v>
      </c>
      <c r="S229" s="3" t="n">
        <v>8839.0</v>
      </c>
      <c r="T229" s="3" t="n">
        <v>8118.0</v>
      </c>
      <c r="U229" s="3" t="n">
        <v>7863.0</v>
      </c>
      <c r="V229" s="3" t="n">
        <v>7575.0</v>
      </c>
      <c r="W229" s="3" t="n">
        <v>7349.0</v>
      </c>
      <c r="X229" s="3" t="n">
        <v>7117.0</v>
      </c>
      <c r="Y229" s="3" t="n">
        <v>6921.0</v>
      </c>
      <c r="Z229" s="3" t="n">
        <v>6749.0</v>
      </c>
      <c r="AA229" s="3" t="n">
        <v>6611.0</v>
      </c>
      <c r="AB229" s="3" t="n">
        <v>6479.0</v>
      </c>
      <c r="AC229" s="3" t="n">
        <v>6367.0</v>
      </c>
      <c r="AD229" s="3" t="n">
        <v>6277.0</v>
      </c>
      <c r="AE229" s="3" t="n">
        <v>6208.0</v>
      </c>
      <c r="AF229" s="3" t="n">
        <v>6141.0</v>
      </c>
      <c r="AG229" s="3" t="n">
        <v>6099.0</v>
      </c>
      <c r="AH229" s="3" t="n">
        <v>6075.0</v>
      </c>
      <c r="AI229" s="3" t="n">
        <v>6069.0</v>
      </c>
      <c r="AJ229" s="3" t="n">
        <v>6063.0</v>
      </c>
      <c r="AK229" s="3" t="n">
        <v>6062.0</v>
      </c>
      <c r="AL229" s="3" t="n">
        <v>6061.0</v>
      </c>
      <c r="AM229" s="3" t="n">
        <v>6048.0</v>
      </c>
      <c r="AN229" s="3" t="n">
        <v>6004.0</v>
      </c>
      <c r="AO229" s="3" t="n">
        <v>5960.0</v>
      </c>
    </row>
    <row r="230" spans="1:41" x14ac:dyDescent="0.2">
      <c r="A230" s="128"/>
      <c r="B230" s="9">
        <v>17</v>
      </c>
      <c r="C230" s="3" t="n">
        <v>10550.0</v>
      </c>
      <c r="D230" s="3" t="n">
        <v>11113.0</v>
      </c>
      <c r="E230" s="3" t="n">
        <v>11556.0</v>
      </c>
      <c r="F230" s="3" t="n">
        <v>12356.0</v>
      </c>
      <c r="G230" s="3" t="n">
        <v>12604.0</v>
      </c>
      <c r="H230" s="3" t="n">
        <v>12474.0</v>
      </c>
      <c r="I230" s="3" t="n">
        <v>11652.0</v>
      </c>
      <c r="J230" s="3" t="n">
        <v>11864.0</v>
      </c>
      <c r="K230" s="3" t="n">
        <v>11111.0</v>
      </c>
      <c r="L230" s="3" t="n">
        <v>11123.0</v>
      </c>
      <c r="M230" s="3" t="n">
        <v>11039.0</v>
      </c>
      <c r="N230" s="3" t="n">
        <v>11232.0</v>
      </c>
      <c r="O230" s="3" t="n">
        <v>11792.0</v>
      </c>
      <c r="P230" s="3" t="n">
        <v>11236.0</v>
      </c>
      <c r="Q230" s="3" t="n">
        <v>10663.0</v>
      </c>
      <c r="R230" s="3" t="n">
        <v>10081.0</v>
      </c>
      <c r="S230" s="3" t="n">
        <v>9644.0</v>
      </c>
      <c r="T230" s="3" t="n">
        <v>8837.0</v>
      </c>
      <c r="U230" s="3" t="n">
        <v>8123.0</v>
      </c>
      <c r="V230" s="3" t="n">
        <v>7864.0</v>
      </c>
      <c r="W230" s="3" t="n">
        <v>7574.0</v>
      </c>
      <c r="X230" s="3" t="n">
        <v>7347.0</v>
      </c>
      <c r="Y230" s="3" t="n">
        <v>7118.0</v>
      </c>
      <c r="Z230" s="3" t="n">
        <v>6923.0</v>
      </c>
      <c r="AA230" s="3" t="n">
        <v>6752.0</v>
      </c>
      <c r="AB230" s="3" t="n">
        <v>6614.0</v>
      </c>
      <c r="AC230" s="3" t="n">
        <v>6482.0</v>
      </c>
      <c r="AD230" s="3" t="n">
        <v>6372.0</v>
      </c>
      <c r="AE230" s="3" t="n">
        <v>6281.0</v>
      </c>
      <c r="AF230" s="3" t="n">
        <v>6212.0</v>
      </c>
      <c r="AG230" s="3" t="n">
        <v>6145.0</v>
      </c>
      <c r="AH230" s="3" t="n">
        <v>6104.0</v>
      </c>
      <c r="AI230" s="3" t="n">
        <v>6079.0</v>
      </c>
      <c r="AJ230" s="3" t="n">
        <v>6073.0</v>
      </c>
      <c r="AK230" s="3" t="n">
        <v>6067.0</v>
      </c>
      <c r="AL230" s="3" t="n">
        <v>6066.0</v>
      </c>
      <c r="AM230" s="3" t="n">
        <v>6065.0</v>
      </c>
      <c r="AN230" s="3" t="n">
        <v>6052.0</v>
      </c>
      <c r="AO230" s="3" t="n">
        <v>6008.0</v>
      </c>
    </row>
    <row r="231" spans="1:41" x14ac:dyDescent="0.2">
      <c r="A231" s="128"/>
      <c r="B231" s="9">
        <v>18</v>
      </c>
      <c r="C231" s="3" t="n">
        <v>10516.0</v>
      </c>
      <c r="D231" s="3" t="n">
        <v>10547.0</v>
      </c>
      <c r="E231" s="3" t="n">
        <v>11108.0</v>
      </c>
      <c r="F231" s="3" t="n">
        <v>11554.0</v>
      </c>
      <c r="G231" s="3" t="n">
        <v>12356.0</v>
      </c>
      <c r="H231" s="3" t="n">
        <v>12632.0</v>
      </c>
      <c r="I231" s="3" t="n">
        <v>12512.0</v>
      </c>
      <c r="J231" s="3" t="n">
        <v>11668.0</v>
      </c>
      <c r="K231" s="3" t="n">
        <v>11869.0</v>
      </c>
      <c r="L231" s="3" t="n">
        <v>11114.0</v>
      </c>
      <c r="M231" s="3" t="n">
        <v>11124.0</v>
      </c>
      <c r="N231" s="3" t="n">
        <v>11034.0</v>
      </c>
      <c r="O231" s="3" t="n">
        <v>11229.0</v>
      </c>
      <c r="P231" s="3" t="n">
        <v>11787.0</v>
      </c>
      <c r="Q231" s="3" t="n">
        <v>11232.0</v>
      </c>
      <c r="R231" s="3" t="n">
        <v>10661.0</v>
      </c>
      <c r="S231" s="3" t="n">
        <v>10075.0</v>
      </c>
      <c r="T231" s="3" t="n">
        <v>9636.0</v>
      </c>
      <c r="U231" s="3" t="n">
        <v>8827.0</v>
      </c>
      <c r="V231" s="3" t="n">
        <v>8114.0</v>
      </c>
      <c r="W231" s="3" t="n">
        <v>7859.0</v>
      </c>
      <c r="X231" s="3" t="n">
        <v>7570.0</v>
      </c>
      <c r="Y231" s="3" t="n">
        <v>7341.0</v>
      </c>
      <c r="Z231" s="3" t="n">
        <v>7111.0</v>
      </c>
      <c r="AA231" s="3" t="n">
        <v>6917.0</v>
      </c>
      <c r="AB231" s="3" t="n">
        <v>6747.0</v>
      </c>
      <c r="AC231" s="3" t="n">
        <v>6608.0</v>
      </c>
      <c r="AD231" s="3" t="n">
        <v>6478.0</v>
      </c>
      <c r="AE231" s="3" t="n">
        <v>6368.0</v>
      </c>
      <c r="AF231" s="3" t="n">
        <v>6277.0</v>
      </c>
      <c r="AG231" s="3" t="n">
        <v>6209.0</v>
      </c>
      <c r="AH231" s="3" t="n">
        <v>6143.0</v>
      </c>
      <c r="AI231" s="3" t="n">
        <v>6102.0</v>
      </c>
      <c r="AJ231" s="3" t="n">
        <v>6077.0</v>
      </c>
      <c r="AK231" s="3" t="n">
        <v>6072.0</v>
      </c>
      <c r="AL231" s="3" t="n">
        <v>6066.0</v>
      </c>
      <c r="AM231" s="3" t="n">
        <v>6064.0</v>
      </c>
      <c r="AN231" s="3" t="n">
        <v>6063.0</v>
      </c>
      <c r="AO231" s="3" t="n">
        <v>6050.0</v>
      </c>
    </row>
    <row r="232" spans="1:41" x14ac:dyDescent="0.2">
      <c r="A232" s="128"/>
      <c r="B232" s="9">
        <v>19</v>
      </c>
      <c r="C232" s="3" t="n">
        <v>10081.0</v>
      </c>
      <c r="D232" s="3" t="n">
        <v>10512.0</v>
      </c>
      <c r="E232" s="3" t="n">
        <v>10545.0</v>
      </c>
      <c r="F232" s="3" t="n">
        <v>11105.0</v>
      </c>
      <c r="G232" s="3" t="n">
        <v>11553.0</v>
      </c>
      <c r="H232" s="3" t="n">
        <v>12388.0</v>
      </c>
      <c r="I232" s="3" t="n">
        <v>12678.0</v>
      </c>
      <c r="J232" s="3" t="n">
        <v>12526.0</v>
      </c>
      <c r="K232" s="3" t="n">
        <v>11675.0</v>
      </c>
      <c r="L232" s="3" t="n">
        <v>11872.0</v>
      </c>
      <c r="M232" s="3" t="n">
        <v>11118.0</v>
      </c>
      <c r="N232" s="3" t="n">
        <v>11125.0</v>
      </c>
      <c r="O232" s="3" t="n">
        <v>11037.0</v>
      </c>
      <c r="P232" s="3" t="n">
        <v>11229.0</v>
      </c>
      <c r="Q232" s="3" t="n">
        <v>11786.0</v>
      </c>
      <c r="R232" s="3" t="n">
        <v>11233.0</v>
      </c>
      <c r="S232" s="3" t="n">
        <v>10660.0</v>
      </c>
      <c r="T232" s="3" t="n">
        <v>10072.0</v>
      </c>
      <c r="U232" s="3" t="n">
        <v>9633.0</v>
      </c>
      <c r="V232" s="3" t="n">
        <v>8819.0</v>
      </c>
      <c r="W232" s="3" t="n">
        <v>8108.0</v>
      </c>
      <c r="X232" s="3" t="n">
        <v>7850.0</v>
      </c>
      <c r="Y232" s="3" t="n">
        <v>7562.0</v>
      </c>
      <c r="Z232" s="3" t="n">
        <v>7338.0</v>
      </c>
      <c r="AA232" s="3" t="n">
        <v>7109.0</v>
      </c>
      <c r="AB232" s="3" t="n">
        <v>6919.0</v>
      </c>
      <c r="AC232" s="3" t="n">
        <v>6748.0</v>
      </c>
      <c r="AD232" s="3" t="n">
        <v>6609.0</v>
      </c>
      <c r="AE232" s="3" t="n">
        <v>6476.0</v>
      </c>
      <c r="AF232" s="3" t="n">
        <v>6367.0</v>
      </c>
      <c r="AG232" s="3" t="n">
        <v>6280.0</v>
      </c>
      <c r="AH232" s="3" t="n">
        <v>6212.0</v>
      </c>
      <c r="AI232" s="3" t="n">
        <v>6146.0</v>
      </c>
      <c r="AJ232" s="3" t="n">
        <v>6104.0</v>
      </c>
      <c r="AK232" s="3" t="n">
        <v>6079.0</v>
      </c>
      <c r="AL232" s="3" t="n">
        <v>6074.0</v>
      </c>
      <c r="AM232" s="3" t="n">
        <v>6068.0</v>
      </c>
      <c r="AN232" s="3" t="n">
        <v>6066.0</v>
      </c>
      <c r="AO232" s="3" t="n">
        <v>6065.0</v>
      </c>
    </row>
    <row r="233" spans="1:41" x14ac:dyDescent="0.2">
      <c r="A233" s="128"/>
      <c r="B233" s="9">
        <v>20</v>
      </c>
      <c r="C233" s="3" t="n">
        <v>10335.0</v>
      </c>
      <c r="D233" s="3" t="n">
        <v>10072.0</v>
      </c>
      <c r="E233" s="3" t="n">
        <v>10503.0</v>
      </c>
      <c r="F233" s="3" t="n">
        <v>10533.0</v>
      </c>
      <c r="G233" s="3" t="n">
        <v>11094.0</v>
      </c>
      <c r="H233" s="3" t="n">
        <v>11577.0</v>
      </c>
      <c r="I233" s="3" t="n">
        <v>12430.0</v>
      </c>
      <c r="J233" s="3" t="n">
        <v>12690.0</v>
      </c>
      <c r="K233" s="3" t="n">
        <v>12526.0</v>
      </c>
      <c r="L233" s="3" t="n">
        <v>11673.0</v>
      </c>
      <c r="M233" s="3" t="n">
        <v>11868.0</v>
      </c>
      <c r="N233" s="3" t="n">
        <v>11111.0</v>
      </c>
      <c r="O233" s="3" t="n">
        <v>11119.0</v>
      </c>
      <c r="P233" s="3" t="n">
        <v>11032.0</v>
      </c>
      <c r="Q233" s="3" t="n">
        <v>11222.0</v>
      </c>
      <c r="R233" s="3" t="n">
        <v>11780.0</v>
      </c>
      <c r="S233" s="3" t="n">
        <v>11228.0</v>
      </c>
      <c r="T233" s="3" t="n">
        <v>10653.0</v>
      </c>
      <c r="U233" s="3" t="n">
        <v>10063.0</v>
      </c>
      <c r="V233" s="3" t="n">
        <v>9628.0</v>
      </c>
      <c r="W233" s="3" t="n">
        <v>8818.0</v>
      </c>
      <c r="X233" s="3" t="n">
        <v>8111.0</v>
      </c>
      <c r="Y233" s="3" t="n">
        <v>7851.0</v>
      </c>
      <c r="Z233" s="3" t="n">
        <v>7562.0</v>
      </c>
      <c r="AA233" s="3" t="n">
        <v>7339.0</v>
      </c>
      <c r="AB233" s="3" t="n">
        <v>7111.0</v>
      </c>
      <c r="AC233" s="3" t="n">
        <v>6923.0</v>
      </c>
      <c r="AD233" s="3" t="n">
        <v>6751.0</v>
      </c>
      <c r="AE233" s="3" t="n">
        <v>6611.0</v>
      </c>
      <c r="AF233" s="3" t="n">
        <v>6478.0</v>
      </c>
      <c r="AG233" s="3" t="n">
        <v>6370.0</v>
      </c>
      <c r="AH233" s="3" t="n">
        <v>6283.0</v>
      </c>
      <c r="AI233" s="3" t="n">
        <v>6216.0</v>
      </c>
      <c r="AJ233" s="3" t="n">
        <v>6150.0</v>
      </c>
      <c r="AK233" s="3" t="n">
        <v>6109.0</v>
      </c>
      <c r="AL233" s="3" t="n">
        <v>6085.0</v>
      </c>
      <c r="AM233" s="3" t="n">
        <v>6081.0</v>
      </c>
      <c r="AN233" s="3" t="n">
        <v>6075.0</v>
      </c>
      <c r="AO233" s="3" t="n">
        <v>6072.0</v>
      </c>
    </row>
    <row r="234" spans="1:41" x14ac:dyDescent="0.2">
      <c r="A234" s="128"/>
      <c r="B234" s="9">
        <v>21</v>
      </c>
      <c r="C234" s="3" t="n">
        <v>10496.0</v>
      </c>
      <c r="D234" s="3" t="n">
        <v>10335.0</v>
      </c>
      <c r="E234" s="3" t="n">
        <v>10073.0</v>
      </c>
      <c r="F234" s="3" t="n">
        <v>10503.0</v>
      </c>
      <c r="G234" s="3" t="n">
        <v>10533.0</v>
      </c>
      <c r="H234" s="3" t="n">
        <v>11116.0</v>
      </c>
      <c r="I234" s="3" t="n">
        <v>11611.0</v>
      </c>
      <c r="J234" s="3" t="n">
        <v>12438.0</v>
      </c>
      <c r="K234" s="3" t="n">
        <v>12690.0</v>
      </c>
      <c r="L234" s="3" t="n">
        <v>12523.0</v>
      </c>
      <c r="M234" s="3" t="n">
        <v>11666.0</v>
      </c>
      <c r="N234" s="3" t="n">
        <v>11863.0</v>
      </c>
      <c r="O234" s="3" t="n">
        <v>11106.0</v>
      </c>
      <c r="P234" s="3" t="n">
        <v>11116.0</v>
      </c>
      <c r="Q234" s="3" t="n">
        <v>11028.0</v>
      </c>
      <c r="R234" s="3" t="n">
        <v>11218.0</v>
      </c>
      <c r="S234" s="3" t="n">
        <v>11775.0</v>
      </c>
      <c r="T234" s="3" t="n">
        <v>11226.0</v>
      </c>
      <c r="U234" s="3" t="n">
        <v>10652.0</v>
      </c>
      <c r="V234" s="3" t="n">
        <v>10062.0</v>
      </c>
      <c r="W234" s="3" t="n">
        <v>9629.0</v>
      </c>
      <c r="X234" s="3" t="n">
        <v>8817.0</v>
      </c>
      <c r="Y234" s="3" t="n">
        <v>8112.0</v>
      </c>
      <c r="Z234" s="3" t="n">
        <v>7857.0</v>
      </c>
      <c r="AA234" s="3" t="n">
        <v>7565.0</v>
      </c>
      <c r="AB234" s="3" t="n">
        <v>7341.0</v>
      </c>
      <c r="AC234" s="3" t="n">
        <v>7110.0</v>
      </c>
      <c r="AD234" s="3" t="n">
        <v>6923.0</v>
      </c>
      <c r="AE234" s="3" t="n">
        <v>6750.0</v>
      </c>
      <c r="AF234" s="3" t="n">
        <v>6608.0</v>
      </c>
      <c r="AG234" s="3" t="n">
        <v>6476.0</v>
      </c>
      <c r="AH234" s="3" t="n">
        <v>6369.0</v>
      </c>
      <c r="AI234" s="3" t="n">
        <v>6282.0</v>
      </c>
      <c r="AJ234" s="3" t="n">
        <v>6213.0</v>
      </c>
      <c r="AK234" s="3" t="n">
        <v>6150.0</v>
      </c>
      <c r="AL234" s="3" t="n">
        <v>6109.0</v>
      </c>
      <c r="AM234" s="3" t="n">
        <v>6085.0</v>
      </c>
      <c r="AN234" s="3" t="n">
        <v>6081.0</v>
      </c>
      <c r="AO234" s="3" t="n">
        <v>6075.0</v>
      </c>
    </row>
    <row r="235" spans="1:41" x14ac:dyDescent="0.2">
      <c r="A235" s="128"/>
      <c r="B235" s="9">
        <v>22</v>
      </c>
      <c r="C235" s="3" t="n">
        <v>10820.0</v>
      </c>
      <c r="D235" s="3" t="n">
        <v>10491.0</v>
      </c>
      <c r="E235" s="3" t="n">
        <v>10333.0</v>
      </c>
      <c r="F235" s="3" t="n">
        <v>10071.0</v>
      </c>
      <c r="G235" s="3" t="n">
        <v>10499.0</v>
      </c>
      <c r="H235" s="3" t="n">
        <v>10557.0</v>
      </c>
      <c r="I235" s="3" t="n">
        <v>11148.0</v>
      </c>
      <c r="J235" s="3" t="n">
        <v>11628.0</v>
      </c>
      <c r="K235" s="3" t="n">
        <v>12444.0</v>
      </c>
      <c r="L235" s="3" t="n">
        <v>12694.0</v>
      </c>
      <c r="M235" s="3" t="n">
        <v>12527.0</v>
      </c>
      <c r="N235" s="3" t="n">
        <v>11663.0</v>
      </c>
      <c r="O235" s="3" t="n">
        <v>11857.0</v>
      </c>
      <c r="P235" s="3" t="n">
        <v>11103.0</v>
      </c>
      <c r="Q235" s="3" t="n">
        <v>11113.0</v>
      </c>
      <c r="R235" s="3" t="n">
        <v>11026.0</v>
      </c>
      <c r="S235" s="3" t="n">
        <v>11215.0</v>
      </c>
      <c r="T235" s="3" t="n">
        <v>11771.0</v>
      </c>
      <c r="U235" s="3" t="n">
        <v>11217.0</v>
      </c>
      <c r="V235" s="3" t="n">
        <v>10649.0</v>
      </c>
      <c r="W235" s="3" t="n">
        <v>10062.0</v>
      </c>
      <c r="X235" s="3" t="n">
        <v>9628.0</v>
      </c>
      <c r="Y235" s="3" t="n">
        <v>8814.0</v>
      </c>
      <c r="Z235" s="3" t="n">
        <v>8111.0</v>
      </c>
      <c r="AA235" s="3" t="n">
        <v>7857.0</v>
      </c>
      <c r="AB235" s="3" t="n">
        <v>7572.0</v>
      </c>
      <c r="AC235" s="3" t="n">
        <v>7346.0</v>
      </c>
      <c r="AD235" s="3" t="n">
        <v>7117.0</v>
      </c>
      <c r="AE235" s="3" t="n">
        <v>6928.0</v>
      </c>
      <c r="AF235" s="3" t="n">
        <v>6752.0</v>
      </c>
      <c r="AG235" s="3" t="n">
        <v>6609.0</v>
      </c>
      <c r="AH235" s="3" t="n">
        <v>6478.0</v>
      </c>
      <c r="AI235" s="3" t="n">
        <v>6372.0</v>
      </c>
      <c r="AJ235" s="3" t="n">
        <v>6285.0</v>
      </c>
      <c r="AK235" s="3" t="n">
        <v>6217.0</v>
      </c>
      <c r="AL235" s="3" t="n">
        <v>6154.0</v>
      </c>
      <c r="AM235" s="3" t="n">
        <v>6111.0</v>
      </c>
      <c r="AN235" s="3" t="n">
        <v>6087.0</v>
      </c>
      <c r="AO235" s="3" t="n">
        <v>6083.0</v>
      </c>
    </row>
    <row r="236" spans="1:41" x14ac:dyDescent="0.2">
      <c r="A236" s="128"/>
      <c r="B236" s="9">
        <v>23</v>
      </c>
      <c r="C236" s="3" t="n">
        <v>10929.0</v>
      </c>
      <c r="D236" s="3" t="n">
        <v>10809.0</v>
      </c>
      <c r="E236" s="3" t="n">
        <v>10481.0</v>
      </c>
      <c r="F236" s="3" t="n">
        <v>10321.0</v>
      </c>
      <c r="G236" s="3" t="n">
        <v>10062.0</v>
      </c>
      <c r="H236" s="3" t="n">
        <v>10517.0</v>
      </c>
      <c r="I236" s="3" t="n">
        <v>10584.0</v>
      </c>
      <c r="J236" s="3" t="n">
        <v>11156.0</v>
      </c>
      <c r="K236" s="3" t="n">
        <v>11617.0</v>
      </c>
      <c r="L236" s="3" t="n">
        <v>12429.0</v>
      </c>
      <c r="M236" s="3" t="n">
        <v>12676.0</v>
      </c>
      <c r="N236" s="3" t="n">
        <v>12514.0</v>
      </c>
      <c r="O236" s="3" t="n">
        <v>11652.0</v>
      </c>
      <c r="P236" s="3" t="n">
        <v>11846.0</v>
      </c>
      <c r="Q236" s="3" t="n">
        <v>11091.0</v>
      </c>
      <c r="R236" s="3" t="n">
        <v>11107.0</v>
      </c>
      <c r="S236" s="3" t="n">
        <v>11024.0</v>
      </c>
      <c r="T236" s="3" t="n">
        <v>11208.0</v>
      </c>
      <c r="U236" s="3" t="n">
        <v>11762.0</v>
      </c>
      <c r="V236" s="3" t="n">
        <v>11210.0</v>
      </c>
      <c r="W236" s="3" t="n">
        <v>10638.0</v>
      </c>
      <c r="X236" s="3" t="n">
        <v>10048.0</v>
      </c>
      <c r="Y236" s="3" t="n">
        <v>9615.0</v>
      </c>
      <c r="Z236" s="3" t="n">
        <v>8802.0</v>
      </c>
      <c r="AA236" s="3" t="n">
        <v>8101.0</v>
      </c>
      <c r="AB236" s="3" t="n">
        <v>7849.0</v>
      </c>
      <c r="AC236" s="3" t="n">
        <v>7567.0</v>
      </c>
      <c r="AD236" s="3" t="n">
        <v>7342.0</v>
      </c>
      <c r="AE236" s="3" t="n">
        <v>7115.0</v>
      </c>
      <c r="AF236" s="3" t="n">
        <v>6923.0</v>
      </c>
      <c r="AG236" s="3" t="n">
        <v>6746.0</v>
      </c>
      <c r="AH236" s="3" t="n">
        <v>6601.0</v>
      </c>
      <c r="AI236" s="3" t="n">
        <v>6470.0</v>
      </c>
      <c r="AJ236" s="3" t="n">
        <v>6364.0</v>
      </c>
      <c r="AK236" s="3" t="n">
        <v>6277.0</v>
      </c>
      <c r="AL236" s="3" t="n">
        <v>6209.0</v>
      </c>
      <c r="AM236" s="3" t="n">
        <v>6148.0</v>
      </c>
      <c r="AN236" s="3" t="n">
        <v>6106.0</v>
      </c>
      <c r="AO236" s="3" t="n">
        <v>6081.0</v>
      </c>
    </row>
    <row r="237" spans="1:41" x14ac:dyDescent="0.2">
      <c r="A237" s="128"/>
      <c r="B237" s="9">
        <v>24</v>
      </c>
      <c r="C237" s="3" t="n">
        <v>11182.0</v>
      </c>
      <c r="D237" s="3" t="n">
        <v>10906.0</v>
      </c>
      <c r="E237" s="3" t="n">
        <v>10786.0</v>
      </c>
      <c r="F237" s="3" t="n">
        <v>10468.0</v>
      </c>
      <c r="G237" s="3" t="n">
        <v>10307.0</v>
      </c>
      <c r="H237" s="3" t="n">
        <v>10073.0</v>
      </c>
      <c r="I237" s="3" t="n">
        <v>10540.0</v>
      </c>
      <c r="J237" s="3" t="n">
        <v>10588.0</v>
      </c>
      <c r="K237" s="3" t="n">
        <v>11146.0</v>
      </c>
      <c r="L237" s="3" t="n">
        <v>11599.0</v>
      </c>
      <c r="M237" s="3" t="n">
        <v>12404.0</v>
      </c>
      <c r="N237" s="3" t="n">
        <v>12652.0</v>
      </c>
      <c r="O237" s="3" t="n">
        <v>12488.0</v>
      </c>
      <c r="P237" s="3" t="n">
        <v>11628.0</v>
      </c>
      <c r="Q237" s="3" t="n">
        <v>11822.0</v>
      </c>
      <c r="R237" s="3" t="n">
        <v>11067.0</v>
      </c>
      <c r="S237" s="3" t="n">
        <v>11085.0</v>
      </c>
      <c r="T237" s="3" t="n">
        <v>11004.0</v>
      </c>
      <c r="U237" s="3" t="n">
        <v>11189.0</v>
      </c>
      <c r="V237" s="3" t="n">
        <v>11742.0</v>
      </c>
      <c r="W237" s="3" t="n">
        <v>11193.0</v>
      </c>
      <c r="X237" s="3" t="n">
        <v>10616.0</v>
      </c>
      <c r="Y237" s="3" t="n">
        <v>10030.0</v>
      </c>
      <c r="Z237" s="3" t="n">
        <v>9594.0</v>
      </c>
      <c r="AA237" s="3" t="n">
        <v>8782.0</v>
      </c>
      <c r="AB237" s="3" t="n">
        <v>8082.0</v>
      </c>
      <c r="AC237" s="3" t="n">
        <v>7833.0</v>
      </c>
      <c r="AD237" s="3" t="n">
        <v>7553.0</v>
      </c>
      <c r="AE237" s="3" t="n">
        <v>7328.0</v>
      </c>
      <c r="AF237" s="3" t="n">
        <v>7102.0</v>
      </c>
      <c r="AG237" s="3" t="n">
        <v>6910.0</v>
      </c>
      <c r="AH237" s="3" t="n">
        <v>6734.0</v>
      </c>
      <c r="AI237" s="3" t="n">
        <v>6592.0</v>
      </c>
      <c r="AJ237" s="3" t="n">
        <v>6463.0</v>
      </c>
      <c r="AK237" s="3" t="n">
        <v>6357.0</v>
      </c>
      <c r="AL237" s="3" t="n">
        <v>6271.0</v>
      </c>
      <c r="AM237" s="3" t="n">
        <v>6202.0</v>
      </c>
      <c r="AN237" s="3" t="n">
        <v>6140.0</v>
      </c>
      <c r="AO237" s="3" t="n">
        <v>6098.0</v>
      </c>
    </row>
    <row r="238" spans="1:41" x14ac:dyDescent="0.2">
      <c r="A238" s="128"/>
      <c r="B238" s="9">
        <v>25</v>
      </c>
      <c r="C238" s="3" t="n">
        <v>11716.0</v>
      </c>
      <c r="D238" s="3" t="n">
        <v>11159.0</v>
      </c>
      <c r="E238" s="3" t="n">
        <v>10886.0</v>
      </c>
      <c r="F238" s="3" t="n">
        <v>10767.0</v>
      </c>
      <c r="G238" s="3" t="n">
        <v>10452.0</v>
      </c>
      <c r="H238" s="3" t="n">
        <v>10321.0</v>
      </c>
      <c r="I238" s="3" t="n">
        <v>10087.0</v>
      </c>
      <c r="J238" s="3" t="n">
        <v>10531.0</v>
      </c>
      <c r="K238" s="3" t="n">
        <v>10572.0</v>
      </c>
      <c r="L238" s="3" t="n">
        <v>11127.0</v>
      </c>
      <c r="M238" s="3" t="n">
        <v>11580.0</v>
      </c>
      <c r="N238" s="3" t="n">
        <v>12375.0</v>
      </c>
      <c r="O238" s="3" t="n">
        <v>12628.0</v>
      </c>
      <c r="P238" s="3" t="n">
        <v>12459.0</v>
      </c>
      <c r="Q238" s="3" t="n">
        <v>11601.0</v>
      </c>
      <c r="R238" s="3" t="n">
        <v>11800.0</v>
      </c>
      <c r="S238" s="3" t="n">
        <v>11049.0</v>
      </c>
      <c r="T238" s="3" t="n">
        <v>11067.0</v>
      </c>
      <c r="U238" s="3" t="n">
        <v>10989.0</v>
      </c>
      <c r="V238" s="3" t="n">
        <v>11171.0</v>
      </c>
      <c r="W238" s="3" t="n">
        <v>11722.0</v>
      </c>
      <c r="X238" s="3" t="n">
        <v>11175.0</v>
      </c>
      <c r="Y238" s="3" t="n">
        <v>10594.0</v>
      </c>
      <c r="Z238" s="3" t="n">
        <v>10008.0</v>
      </c>
      <c r="AA238" s="3" t="n">
        <v>9579.0</v>
      </c>
      <c r="AB238" s="3" t="n">
        <v>8766.0</v>
      </c>
      <c r="AC238" s="3" t="n">
        <v>8072.0</v>
      </c>
      <c r="AD238" s="3" t="n">
        <v>7827.0</v>
      </c>
      <c r="AE238" s="3" t="n">
        <v>7546.0</v>
      </c>
      <c r="AF238" s="3" t="n">
        <v>7318.0</v>
      </c>
      <c r="AG238" s="3" t="n">
        <v>7093.0</v>
      </c>
      <c r="AH238" s="3" t="n">
        <v>6904.0</v>
      </c>
      <c r="AI238" s="3" t="n">
        <v>6724.0</v>
      </c>
      <c r="AJ238" s="3" t="n">
        <v>6582.0</v>
      </c>
      <c r="AK238" s="3" t="n">
        <v>6452.0</v>
      </c>
      <c r="AL238" s="3" t="n">
        <v>6345.0</v>
      </c>
      <c r="AM238" s="3" t="n">
        <v>6260.0</v>
      </c>
      <c r="AN238" s="3" t="n">
        <v>6190.0</v>
      </c>
      <c r="AO238" s="3" t="n">
        <v>6127.0</v>
      </c>
    </row>
    <row r="239" spans="1:41" x14ac:dyDescent="0.2">
      <c r="A239" s="128"/>
      <c r="B239" s="9">
        <v>26</v>
      </c>
      <c r="C239" s="3" t="n">
        <v>12018.0</v>
      </c>
      <c r="D239" s="3" t="n">
        <v>11674.0</v>
      </c>
      <c r="E239" s="3" t="n">
        <v>11118.0</v>
      </c>
      <c r="F239" s="3" t="n">
        <v>10849.0</v>
      </c>
      <c r="G239" s="3" t="n">
        <v>10733.0</v>
      </c>
      <c r="H239" s="3" t="n">
        <v>10439.0</v>
      </c>
      <c r="I239" s="3" t="n">
        <v>10316.0</v>
      </c>
      <c r="J239" s="3" t="n">
        <v>10060.0</v>
      </c>
      <c r="K239" s="3" t="n">
        <v>10493.0</v>
      </c>
      <c r="L239" s="3" t="n">
        <v>10535.0</v>
      </c>
      <c r="M239" s="3" t="n">
        <v>11084.0</v>
      </c>
      <c r="N239" s="3" t="n">
        <v>11533.0</v>
      </c>
      <c r="O239" s="3" t="n">
        <v>12330.0</v>
      </c>
      <c r="P239" s="3" t="n">
        <v>12586.0</v>
      </c>
      <c r="Q239" s="3" t="n">
        <v>12411.0</v>
      </c>
      <c r="R239" s="3" t="n">
        <v>11556.0</v>
      </c>
      <c r="S239" s="3" t="n">
        <v>11755.0</v>
      </c>
      <c r="T239" s="3" t="n">
        <v>11004.0</v>
      </c>
      <c r="U239" s="3" t="n">
        <v>11026.0</v>
      </c>
      <c r="V239" s="3" t="n">
        <v>10952.0</v>
      </c>
      <c r="W239" s="3" t="n">
        <v>11132.0</v>
      </c>
      <c r="X239" s="3" t="n">
        <v>11684.0</v>
      </c>
      <c r="Y239" s="3" t="n">
        <v>11138.0</v>
      </c>
      <c r="Z239" s="3" t="n">
        <v>10557.0</v>
      </c>
      <c r="AA239" s="3" t="n">
        <v>9970.0</v>
      </c>
      <c r="AB239" s="3" t="n">
        <v>9539.0</v>
      </c>
      <c r="AC239" s="3" t="n">
        <v>8729.0</v>
      </c>
      <c r="AD239" s="3" t="n">
        <v>8043.0</v>
      </c>
      <c r="AE239" s="3" t="n">
        <v>7797.0</v>
      </c>
      <c r="AF239" s="3" t="n">
        <v>7518.0</v>
      </c>
      <c r="AG239" s="3" t="n">
        <v>7293.0</v>
      </c>
      <c r="AH239" s="3" t="n">
        <v>7065.0</v>
      </c>
      <c r="AI239" s="3" t="n">
        <v>6879.0</v>
      </c>
      <c r="AJ239" s="3" t="n">
        <v>6702.0</v>
      </c>
      <c r="AK239" s="3" t="n">
        <v>6557.0</v>
      </c>
      <c r="AL239" s="3" t="n">
        <v>6425.0</v>
      </c>
      <c r="AM239" s="3" t="n">
        <v>6319.0</v>
      </c>
      <c r="AN239" s="3" t="n">
        <v>6232.0</v>
      </c>
      <c r="AO239" s="3" t="n">
        <v>6166.0</v>
      </c>
    </row>
    <row r="240" spans="1:41" x14ac:dyDescent="0.2">
      <c r="A240" s="128"/>
      <c r="B240" s="9">
        <v>27</v>
      </c>
      <c r="C240" s="3" t="n">
        <v>12598.0</v>
      </c>
      <c r="D240" s="3" t="n">
        <v>11963.0</v>
      </c>
      <c r="E240" s="3" t="n">
        <v>11623.0</v>
      </c>
      <c r="F240" s="3" t="n">
        <v>11062.0</v>
      </c>
      <c r="G240" s="3" t="n">
        <v>10796.0</v>
      </c>
      <c r="H240" s="3" t="n">
        <v>10701.0</v>
      </c>
      <c r="I240" s="3" t="n">
        <v>10413.0</v>
      </c>
      <c r="J240" s="3" t="n">
        <v>10276.0</v>
      </c>
      <c r="K240" s="3" t="n">
        <v>10010.0</v>
      </c>
      <c r="L240" s="3" t="n">
        <v>10438.0</v>
      </c>
      <c r="M240" s="3" t="n">
        <v>10473.0</v>
      </c>
      <c r="N240" s="3" t="n">
        <v>11019.0</v>
      </c>
      <c r="O240" s="3" t="n">
        <v>11471.0</v>
      </c>
      <c r="P240" s="3" t="n">
        <v>12255.0</v>
      </c>
      <c r="Q240" s="3" t="n">
        <v>12512.0</v>
      </c>
      <c r="R240" s="3" t="n">
        <v>12341.0</v>
      </c>
      <c r="S240" s="3" t="n">
        <v>11495.0</v>
      </c>
      <c r="T240" s="3" t="n">
        <v>11689.0</v>
      </c>
      <c r="U240" s="3" t="n">
        <v>10943.0</v>
      </c>
      <c r="V240" s="3" t="n">
        <v>10969.0</v>
      </c>
      <c r="W240" s="3" t="n">
        <v>10900.0</v>
      </c>
      <c r="X240" s="3" t="n">
        <v>11073.0</v>
      </c>
      <c r="Y240" s="3" t="n">
        <v>11624.0</v>
      </c>
      <c r="Z240" s="3" t="n">
        <v>11080.0</v>
      </c>
      <c r="AA240" s="3" t="n">
        <v>10502.0</v>
      </c>
      <c r="AB240" s="3" t="n">
        <v>9913.0</v>
      </c>
      <c r="AC240" s="3" t="n">
        <v>9477.0</v>
      </c>
      <c r="AD240" s="3" t="n">
        <v>8681.0</v>
      </c>
      <c r="AE240" s="3" t="n">
        <v>8005.0</v>
      </c>
      <c r="AF240" s="3" t="n">
        <v>7757.0</v>
      </c>
      <c r="AG240" s="3" t="n">
        <v>7478.0</v>
      </c>
      <c r="AH240" s="3" t="n">
        <v>7251.0</v>
      </c>
      <c r="AI240" s="3" t="n">
        <v>7032.0</v>
      </c>
      <c r="AJ240" s="3" t="n">
        <v>6846.0</v>
      </c>
      <c r="AK240" s="3" t="n">
        <v>6669.0</v>
      </c>
      <c r="AL240" s="3" t="n">
        <v>6524.0</v>
      </c>
      <c r="AM240" s="3" t="n">
        <v>6390.0</v>
      </c>
      <c r="AN240" s="3" t="n">
        <v>6283.0</v>
      </c>
      <c r="AO240" s="3" t="n">
        <v>6198.0</v>
      </c>
    </row>
    <row r="241" spans="1:41" x14ac:dyDescent="0.2">
      <c r="A241" s="128"/>
      <c r="B241" s="9">
        <v>28</v>
      </c>
      <c r="C241" s="3" t="n">
        <v>13190.0</v>
      </c>
      <c r="D241" s="3" t="n">
        <v>12526.0</v>
      </c>
      <c r="E241" s="3" t="n">
        <v>11888.0</v>
      </c>
      <c r="F241" s="3" t="n">
        <v>11552.0</v>
      </c>
      <c r="G241" s="3" t="n">
        <v>10996.0</v>
      </c>
      <c r="H241" s="3" t="n">
        <v>10757.0</v>
      </c>
      <c r="I241" s="3" t="n">
        <v>10675.0</v>
      </c>
      <c r="J241" s="3" t="n">
        <v>10363.0</v>
      </c>
      <c r="K241" s="3" t="n">
        <v>10212.0</v>
      </c>
      <c r="L241" s="3" t="n">
        <v>9945.0</v>
      </c>
      <c r="M241" s="3" t="n">
        <v>10367.0</v>
      </c>
      <c r="N241" s="3" t="n">
        <v>10397.0</v>
      </c>
      <c r="O241" s="3" t="n">
        <v>10942.0</v>
      </c>
      <c r="P241" s="3" t="n">
        <v>11392.0</v>
      </c>
      <c r="Q241" s="3" t="n">
        <v>12174.0</v>
      </c>
      <c r="R241" s="3" t="n">
        <v>12428.0</v>
      </c>
      <c r="S241" s="3" t="n">
        <v>12260.0</v>
      </c>
      <c r="T241" s="3" t="n">
        <v>11411.0</v>
      </c>
      <c r="U241" s="3" t="n">
        <v>11606.0</v>
      </c>
      <c r="V241" s="3" t="n">
        <v>10866.0</v>
      </c>
      <c r="W241" s="3" t="n">
        <v>10899.0</v>
      </c>
      <c r="X241" s="3" t="n">
        <v>10831.0</v>
      </c>
      <c r="Y241" s="3" t="n">
        <v>11004.0</v>
      </c>
      <c r="Z241" s="3" t="n">
        <v>11547.0</v>
      </c>
      <c r="AA241" s="3" t="n">
        <v>11002.0</v>
      </c>
      <c r="AB241" s="3" t="n">
        <v>10437.0</v>
      </c>
      <c r="AC241" s="3" t="n">
        <v>9847.0</v>
      </c>
      <c r="AD241" s="3" t="n">
        <v>9411.0</v>
      </c>
      <c r="AE241" s="3" t="n">
        <v>8623.0</v>
      </c>
      <c r="AF241" s="3" t="n">
        <v>7948.0</v>
      </c>
      <c r="AG241" s="3" t="n">
        <v>7708.0</v>
      </c>
      <c r="AH241" s="3" t="n">
        <v>7433.0</v>
      </c>
      <c r="AI241" s="3" t="n">
        <v>7201.0</v>
      </c>
      <c r="AJ241" s="3" t="n">
        <v>6984.0</v>
      </c>
      <c r="AK241" s="3" t="n">
        <v>6801.0</v>
      </c>
      <c r="AL241" s="3" t="n">
        <v>6625.0</v>
      </c>
      <c r="AM241" s="3" t="n">
        <v>6483.0</v>
      </c>
      <c r="AN241" s="3" t="n">
        <v>6350.0</v>
      </c>
      <c r="AO241" s="3" t="n">
        <v>6240.0</v>
      </c>
    </row>
    <row r="242" spans="1:41" x14ac:dyDescent="0.2">
      <c r="A242" s="128"/>
      <c r="B242" s="9">
        <v>29</v>
      </c>
      <c r="C242" s="3" t="n">
        <v>13765.0</v>
      </c>
      <c r="D242" s="3" t="n">
        <v>13118.0</v>
      </c>
      <c r="E242" s="3" t="n">
        <v>12456.0</v>
      </c>
      <c r="F242" s="3" t="n">
        <v>11820.0</v>
      </c>
      <c r="G242" s="3" t="n">
        <v>11489.0</v>
      </c>
      <c r="H242" s="3" t="n">
        <v>10956.0</v>
      </c>
      <c r="I242" s="3" t="n">
        <v>10727.0</v>
      </c>
      <c r="J242" s="3" t="n">
        <v>10629.0</v>
      </c>
      <c r="K242" s="3" t="n">
        <v>10310.0</v>
      </c>
      <c r="L242" s="3" t="n">
        <v>10149.0</v>
      </c>
      <c r="M242" s="3" t="n">
        <v>9880.0</v>
      </c>
      <c r="N242" s="3" t="n">
        <v>10295.0</v>
      </c>
      <c r="O242" s="3" t="n">
        <v>10326.0</v>
      </c>
      <c r="P242" s="3" t="n">
        <v>10873.0</v>
      </c>
      <c r="Q242" s="3" t="n">
        <v>11320.0</v>
      </c>
      <c r="R242" s="3" t="n">
        <v>12100.0</v>
      </c>
      <c r="S242" s="3" t="n">
        <v>12348.0</v>
      </c>
      <c r="T242" s="3" t="n">
        <v>12182.0</v>
      </c>
      <c r="U242" s="3" t="n">
        <v>11338.0</v>
      </c>
      <c r="V242" s="3" t="n">
        <v>11534.0</v>
      </c>
      <c r="W242" s="3" t="n">
        <v>10794.0</v>
      </c>
      <c r="X242" s="3" t="n">
        <v>10834.0</v>
      </c>
      <c r="Y242" s="3" t="n">
        <v>10765.0</v>
      </c>
      <c r="Z242" s="3" t="n">
        <v>10935.0</v>
      </c>
      <c r="AA242" s="3" t="n">
        <v>11476.0</v>
      </c>
      <c r="AB242" s="3" t="n">
        <v>10927.0</v>
      </c>
      <c r="AC242" s="3" t="n">
        <v>10368.0</v>
      </c>
      <c r="AD242" s="3" t="n">
        <v>9783.0</v>
      </c>
      <c r="AE242" s="3" t="n">
        <v>9351.0</v>
      </c>
      <c r="AF242" s="3" t="n">
        <v>8569.0</v>
      </c>
      <c r="AG242" s="3" t="n">
        <v>7903.0</v>
      </c>
      <c r="AH242" s="3" t="n">
        <v>7664.0</v>
      </c>
      <c r="AI242" s="3" t="n">
        <v>7391.0</v>
      </c>
      <c r="AJ242" s="3" t="n">
        <v>7164.0</v>
      </c>
      <c r="AK242" s="3" t="n">
        <v>6948.0</v>
      </c>
      <c r="AL242" s="3" t="n">
        <v>6760.0</v>
      </c>
      <c r="AM242" s="3" t="n">
        <v>6581.0</v>
      </c>
      <c r="AN242" s="3" t="n">
        <v>6439.0</v>
      </c>
      <c r="AO242" s="3" t="n">
        <v>6313.0</v>
      </c>
    </row>
    <row r="243" spans="1:41" x14ac:dyDescent="0.2">
      <c r="A243" s="128"/>
      <c r="B243" s="9">
        <v>30</v>
      </c>
      <c r="C243" s="3" t="n">
        <v>14017.0</v>
      </c>
      <c r="D243" s="3" t="n">
        <v>13693.0</v>
      </c>
      <c r="E243" s="3" t="n">
        <v>13044.0</v>
      </c>
      <c r="F243" s="3" t="n">
        <v>12386.0</v>
      </c>
      <c r="G243" s="3" t="n">
        <v>11753.0</v>
      </c>
      <c r="H243" s="3" t="n">
        <v>11456.0</v>
      </c>
      <c r="I243" s="3" t="n">
        <v>10925.0</v>
      </c>
      <c r="J243" s="3" t="n">
        <v>10683.0</v>
      </c>
      <c r="K243" s="3" t="n">
        <v>10571.0</v>
      </c>
      <c r="L243" s="3" t="n">
        <v>10250.0</v>
      </c>
      <c r="M243" s="3" t="n">
        <v>10087.0</v>
      </c>
      <c r="N243" s="3" t="n">
        <v>9815.0</v>
      </c>
      <c r="O243" s="3" t="n">
        <v>10231.0</v>
      </c>
      <c r="P243" s="3" t="n">
        <v>10264.0</v>
      </c>
      <c r="Q243" s="3" t="n">
        <v>10805.0</v>
      </c>
      <c r="R243" s="3" t="n">
        <v>11250.0</v>
      </c>
      <c r="S243" s="3" t="n">
        <v>12028.0</v>
      </c>
      <c r="T243" s="3" t="n">
        <v>12273.0</v>
      </c>
      <c r="U243" s="3" t="n">
        <v>12110.0</v>
      </c>
      <c r="V243" s="3" t="n">
        <v>11268.0</v>
      </c>
      <c r="W243" s="3" t="n">
        <v>11468.0</v>
      </c>
      <c r="X243" s="3" t="n">
        <v>10730.0</v>
      </c>
      <c r="Y243" s="3" t="n">
        <v>10772.0</v>
      </c>
      <c r="Z243" s="3" t="n">
        <v>10701.0</v>
      </c>
      <c r="AA243" s="3" t="n">
        <v>10871.0</v>
      </c>
      <c r="AB243" s="3" t="n">
        <v>11413.0</v>
      </c>
      <c r="AC243" s="3" t="n">
        <v>10857.0</v>
      </c>
      <c r="AD243" s="3" t="n">
        <v>10303.0</v>
      </c>
      <c r="AE243" s="3" t="n">
        <v>9723.0</v>
      </c>
      <c r="AF243" s="3" t="n">
        <v>9294.0</v>
      </c>
      <c r="AG243" s="3" t="n">
        <v>8514.0</v>
      </c>
      <c r="AH243" s="3" t="n">
        <v>7860.0</v>
      </c>
      <c r="AI243" s="3" t="n">
        <v>7624.0</v>
      </c>
      <c r="AJ243" s="3" t="n">
        <v>7347.0</v>
      </c>
      <c r="AK243" s="3" t="n">
        <v>7124.0</v>
      </c>
      <c r="AL243" s="3" t="n">
        <v>6913.0</v>
      </c>
      <c r="AM243" s="3" t="n">
        <v>6723.0</v>
      </c>
      <c r="AN243" s="3" t="n">
        <v>6545.0</v>
      </c>
      <c r="AO243" s="3" t="n">
        <v>6403.0</v>
      </c>
    </row>
    <row r="244" spans="1:41" x14ac:dyDescent="0.2">
      <c r="A244" s="128"/>
      <c r="B244" s="9">
        <v>31</v>
      </c>
      <c r="C244" s="3" t="n">
        <v>14841.0</v>
      </c>
      <c r="D244" s="3" t="n">
        <v>13955.0</v>
      </c>
      <c r="E244" s="3" t="n">
        <v>13631.0</v>
      </c>
      <c r="F244" s="3" t="n">
        <v>12984.0</v>
      </c>
      <c r="G244" s="3" t="n">
        <v>12331.0</v>
      </c>
      <c r="H244" s="3" t="n">
        <v>11733.0</v>
      </c>
      <c r="I244" s="3" t="n">
        <v>11450.0</v>
      </c>
      <c r="J244" s="3" t="n">
        <v>10892.0</v>
      </c>
      <c r="K244" s="3" t="n">
        <v>10639.0</v>
      </c>
      <c r="L244" s="3" t="n">
        <v>10525.0</v>
      </c>
      <c r="M244" s="3" t="n">
        <v>10208.0</v>
      </c>
      <c r="N244" s="3" t="n">
        <v>10033.0</v>
      </c>
      <c r="O244" s="3" t="n">
        <v>9760.0</v>
      </c>
      <c r="P244" s="3" t="n">
        <v>10179.0</v>
      </c>
      <c r="Q244" s="3" t="n">
        <v>10206.0</v>
      </c>
      <c r="R244" s="3" t="n">
        <v>10747.0</v>
      </c>
      <c r="S244" s="3" t="n">
        <v>11192.0</v>
      </c>
      <c r="T244" s="3" t="n">
        <v>11962.0</v>
      </c>
      <c r="U244" s="3" t="n">
        <v>12207.0</v>
      </c>
      <c r="V244" s="3" t="n">
        <v>12049.0</v>
      </c>
      <c r="W244" s="3" t="n">
        <v>11209.0</v>
      </c>
      <c r="X244" s="3" t="n">
        <v>11412.0</v>
      </c>
      <c r="Y244" s="3" t="n">
        <v>10675.0</v>
      </c>
      <c r="Z244" s="3" t="n">
        <v>10721.0</v>
      </c>
      <c r="AA244" s="3" t="n">
        <v>10647.0</v>
      </c>
      <c r="AB244" s="3" t="n">
        <v>10819.0</v>
      </c>
      <c r="AC244" s="3" t="n">
        <v>11359.0</v>
      </c>
      <c r="AD244" s="3" t="n">
        <v>10806.0</v>
      </c>
      <c r="AE244" s="3" t="n">
        <v>10250.0</v>
      </c>
      <c r="AF244" s="3" t="n">
        <v>9667.0</v>
      </c>
      <c r="AG244" s="3" t="n">
        <v>9245.0</v>
      </c>
      <c r="AH244" s="3" t="n">
        <v>8472.0</v>
      </c>
      <c r="AI244" s="3" t="n">
        <v>7821.0</v>
      </c>
      <c r="AJ244" s="3" t="n">
        <v>7588.0</v>
      </c>
      <c r="AK244" s="3" t="n">
        <v>7314.0</v>
      </c>
      <c r="AL244" s="3" t="n">
        <v>7092.0</v>
      </c>
      <c r="AM244" s="3" t="n">
        <v>6882.0</v>
      </c>
      <c r="AN244" s="3" t="n">
        <v>6693.0</v>
      </c>
      <c r="AO244" s="3" t="n">
        <v>6514.0</v>
      </c>
    </row>
    <row r="245" spans="1:41" x14ac:dyDescent="0.2">
      <c r="A245" s="128"/>
      <c r="B245" s="9">
        <v>32</v>
      </c>
      <c r="C245" s="3" t="n">
        <v>15158.0</v>
      </c>
      <c r="D245" s="3" t="n">
        <v>14780.0</v>
      </c>
      <c r="E245" s="3" t="n">
        <v>13894.0</v>
      </c>
      <c r="F245" s="3" t="n">
        <v>13573.0</v>
      </c>
      <c r="G245" s="3" t="n">
        <v>12936.0</v>
      </c>
      <c r="H245" s="3" t="n">
        <v>12313.0</v>
      </c>
      <c r="I245" s="3" t="n">
        <v>11730.0</v>
      </c>
      <c r="J245" s="3" t="n">
        <v>11429.0</v>
      </c>
      <c r="K245" s="3" t="n">
        <v>10856.0</v>
      </c>
      <c r="L245" s="3" t="n">
        <v>10598.0</v>
      </c>
      <c r="M245" s="3" t="n">
        <v>10484.0</v>
      </c>
      <c r="N245" s="3" t="n">
        <v>10158.0</v>
      </c>
      <c r="O245" s="3" t="n">
        <v>9978.0</v>
      </c>
      <c r="P245" s="3" t="n">
        <v>9702.0</v>
      </c>
      <c r="Q245" s="3" t="n">
        <v>10125.0</v>
      </c>
      <c r="R245" s="3" t="n">
        <v>10150.0</v>
      </c>
      <c r="S245" s="3" t="n">
        <v>10697.0</v>
      </c>
      <c r="T245" s="3" t="n">
        <v>11138.0</v>
      </c>
      <c r="U245" s="3" t="n">
        <v>11903.0</v>
      </c>
      <c r="V245" s="3" t="n">
        <v>12147.0</v>
      </c>
      <c r="W245" s="3" t="n">
        <v>11991.0</v>
      </c>
      <c r="X245" s="3" t="n">
        <v>11154.0</v>
      </c>
      <c r="Y245" s="3" t="n">
        <v>11355.0</v>
      </c>
      <c r="Z245" s="3" t="n">
        <v>10626.0</v>
      </c>
      <c r="AA245" s="3" t="n">
        <v>10672.0</v>
      </c>
      <c r="AB245" s="3" t="n">
        <v>10600.0</v>
      </c>
      <c r="AC245" s="3" t="n">
        <v>10769.0</v>
      </c>
      <c r="AD245" s="3" t="n">
        <v>11304.0</v>
      </c>
      <c r="AE245" s="3" t="n">
        <v>10748.0</v>
      </c>
      <c r="AF245" s="3" t="n">
        <v>10204.0</v>
      </c>
      <c r="AG245" s="3" t="n">
        <v>9615.0</v>
      </c>
      <c r="AH245" s="3" t="n">
        <v>9201.0</v>
      </c>
      <c r="AI245" s="3" t="n">
        <v>8436.0</v>
      </c>
      <c r="AJ245" s="3" t="n">
        <v>7784.0</v>
      </c>
      <c r="AK245" s="3" t="n">
        <v>7554.0</v>
      </c>
      <c r="AL245" s="3" t="n">
        <v>7285.0</v>
      </c>
      <c r="AM245" s="3" t="n">
        <v>7059.0</v>
      </c>
      <c r="AN245" s="3" t="n">
        <v>6850.0</v>
      </c>
      <c r="AO245" s="3" t="n">
        <v>6662.0</v>
      </c>
    </row>
    <row r="246" spans="1:41" x14ac:dyDescent="0.2">
      <c r="A246" s="128"/>
      <c r="B246" s="9">
        <v>33</v>
      </c>
      <c r="C246" s="3" t="n">
        <v>15323.0</v>
      </c>
      <c r="D246" s="3" t="n">
        <v>15090.0</v>
      </c>
      <c r="E246" s="3" t="n">
        <v>14710.0</v>
      </c>
      <c r="F246" s="3" t="n">
        <v>13833.0</v>
      </c>
      <c r="G246" s="3" t="n">
        <v>13511.0</v>
      </c>
      <c r="H246" s="3" t="n">
        <v>12904.0</v>
      </c>
      <c r="I246" s="3" t="n">
        <v>12296.0</v>
      </c>
      <c r="J246" s="3" t="n">
        <v>11700.0</v>
      </c>
      <c r="K246" s="3" t="n">
        <v>11382.0</v>
      </c>
      <c r="L246" s="3" t="n">
        <v>10809.0</v>
      </c>
      <c r="M246" s="3" t="n">
        <v>10546.0</v>
      </c>
      <c r="N246" s="3" t="n">
        <v>10432.0</v>
      </c>
      <c r="O246" s="3" t="n">
        <v>10107.0</v>
      </c>
      <c r="P246" s="3" t="n">
        <v>9927.0</v>
      </c>
      <c r="Q246" s="3" t="n">
        <v>9657.0</v>
      </c>
      <c r="R246" s="3" t="n">
        <v>10076.0</v>
      </c>
      <c r="S246" s="3" t="n">
        <v>10098.0</v>
      </c>
      <c r="T246" s="3" t="n">
        <v>10636.0</v>
      </c>
      <c r="U246" s="3" t="n">
        <v>11078.0</v>
      </c>
      <c r="V246" s="3" t="n">
        <v>11838.0</v>
      </c>
      <c r="W246" s="3" t="n">
        <v>12080.0</v>
      </c>
      <c r="X246" s="3" t="n">
        <v>11929.0</v>
      </c>
      <c r="Y246" s="3" t="n">
        <v>11088.0</v>
      </c>
      <c r="Z246" s="3" t="n">
        <v>11288.0</v>
      </c>
      <c r="AA246" s="3" t="n">
        <v>10568.0</v>
      </c>
      <c r="AB246" s="3" t="n">
        <v>10615.0</v>
      </c>
      <c r="AC246" s="3" t="n">
        <v>10541.0</v>
      </c>
      <c r="AD246" s="3" t="n">
        <v>10709.0</v>
      </c>
      <c r="AE246" s="3" t="n">
        <v>11241.0</v>
      </c>
      <c r="AF246" s="3" t="n">
        <v>10687.0</v>
      </c>
      <c r="AG246" s="3" t="n">
        <v>10150.0</v>
      </c>
      <c r="AH246" s="3" t="n">
        <v>9565.0</v>
      </c>
      <c r="AI246" s="3" t="n">
        <v>9147.0</v>
      </c>
      <c r="AJ246" s="3" t="n">
        <v>8391.0</v>
      </c>
      <c r="AK246" s="3" t="n">
        <v>7742.0</v>
      </c>
      <c r="AL246" s="3" t="n">
        <v>7517.0</v>
      </c>
      <c r="AM246" s="3" t="n">
        <v>7245.0</v>
      </c>
      <c r="AN246" s="3" t="n">
        <v>7022.0</v>
      </c>
      <c r="AO246" s="3" t="n">
        <v>6812.0</v>
      </c>
    </row>
    <row r="247" spans="1:41" x14ac:dyDescent="0.2">
      <c r="A247" s="128"/>
      <c r="B247" s="9">
        <v>34</v>
      </c>
      <c r="C247" s="3" t="n">
        <v>15759.0</v>
      </c>
      <c r="D247" s="3" t="n">
        <v>15270.0</v>
      </c>
      <c r="E247" s="3" t="n">
        <v>15044.0</v>
      </c>
      <c r="F247" s="3" t="n">
        <v>14662.0</v>
      </c>
      <c r="G247" s="3" t="n">
        <v>13789.0</v>
      </c>
      <c r="H247" s="3" t="n">
        <v>13495.0</v>
      </c>
      <c r="I247" s="3" t="n">
        <v>12901.0</v>
      </c>
      <c r="J247" s="3" t="n">
        <v>12274.0</v>
      </c>
      <c r="K247" s="3" t="n">
        <v>11662.0</v>
      </c>
      <c r="L247" s="3" t="n">
        <v>11342.0</v>
      </c>
      <c r="M247" s="3" t="n">
        <v>10769.0</v>
      </c>
      <c r="N247" s="3" t="n">
        <v>10504.0</v>
      </c>
      <c r="O247" s="3" t="n">
        <v>10390.0</v>
      </c>
      <c r="P247" s="3" t="n">
        <v>10070.0</v>
      </c>
      <c r="Q247" s="3" t="n">
        <v>9882.0</v>
      </c>
      <c r="R247" s="3" t="n">
        <v>9612.0</v>
      </c>
      <c r="S247" s="3" t="n">
        <v>10031.0</v>
      </c>
      <c r="T247" s="3" t="n">
        <v>10048.0</v>
      </c>
      <c r="U247" s="3" t="n">
        <v>10597.0</v>
      </c>
      <c r="V247" s="3" t="n">
        <v>11028.0</v>
      </c>
      <c r="W247" s="3" t="n">
        <v>11787.0</v>
      </c>
      <c r="X247" s="3" t="n">
        <v>12025.0</v>
      </c>
      <c r="Y247" s="3" t="n">
        <v>11876.0</v>
      </c>
      <c r="Z247" s="3" t="n">
        <v>11038.0</v>
      </c>
      <c r="AA247" s="3" t="n">
        <v>11242.0</v>
      </c>
      <c r="AB247" s="3" t="n">
        <v>10523.0</v>
      </c>
      <c r="AC247" s="3" t="n">
        <v>10572.0</v>
      </c>
      <c r="AD247" s="3" t="n">
        <v>10502.0</v>
      </c>
      <c r="AE247" s="3" t="n">
        <v>10665.0</v>
      </c>
      <c r="AF247" s="3" t="n">
        <v>11198.0</v>
      </c>
      <c r="AG247" s="3" t="n">
        <v>10643.0</v>
      </c>
      <c r="AH247" s="3" t="n">
        <v>10105.0</v>
      </c>
      <c r="AI247" s="3" t="n">
        <v>9522.0</v>
      </c>
      <c r="AJ247" s="3" t="n">
        <v>9103.0</v>
      </c>
      <c r="AK247" s="3" t="n">
        <v>8357.0</v>
      </c>
      <c r="AL247" s="3" t="n">
        <v>7708.0</v>
      </c>
      <c r="AM247" s="3" t="n">
        <v>7485.0</v>
      </c>
      <c r="AN247" s="3" t="n">
        <v>7213.0</v>
      </c>
      <c r="AO247" s="3" t="n">
        <v>6988.0</v>
      </c>
    </row>
    <row r="248" spans="1:41" x14ac:dyDescent="0.2">
      <c r="A248" s="128"/>
      <c r="B248" s="9">
        <v>35</v>
      </c>
      <c r="C248" s="3" t="n">
        <v>16185.0</v>
      </c>
      <c r="D248" s="3" t="n">
        <v>15707.0</v>
      </c>
      <c r="E248" s="3" t="n">
        <v>15221.0</v>
      </c>
      <c r="F248" s="3" t="n">
        <v>14993.0</v>
      </c>
      <c r="G248" s="3" t="n">
        <v>14616.0</v>
      </c>
      <c r="H248" s="3" t="n">
        <v>13781.0</v>
      </c>
      <c r="I248" s="3" t="n">
        <v>13498.0</v>
      </c>
      <c r="J248" s="3" t="n">
        <v>12880.0</v>
      </c>
      <c r="K248" s="3" t="n">
        <v>12246.0</v>
      </c>
      <c r="L248" s="3" t="n">
        <v>11630.0</v>
      </c>
      <c r="M248" s="3" t="n">
        <v>11310.0</v>
      </c>
      <c r="N248" s="3" t="n">
        <v>10728.0</v>
      </c>
      <c r="O248" s="3" t="n">
        <v>10465.0</v>
      </c>
      <c r="P248" s="3" t="n">
        <v>10351.0</v>
      </c>
      <c r="Q248" s="3" t="n">
        <v>10031.0</v>
      </c>
      <c r="R248" s="3" t="n">
        <v>9840.0</v>
      </c>
      <c r="S248" s="3" t="n">
        <v>9562.0</v>
      </c>
      <c r="T248" s="3" t="n">
        <v>9988.0</v>
      </c>
      <c r="U248" s="3" t="n">
        <v>10005.0</v>
      </c>
      <c r="V248" s="3" t="n">
        <v>10559.0</v>
      </c>
      <c r="W248" s="3" t="n">
        <v>10986.0</v>
      </c>
      <c r="X248" s="3" t="n">
        <v>11741.0</v>
      </c>
      <c r="Y248" s="3" t="n">
        <v>11981.0</v>
      </c>
      <c r="Z248" s="3" t="n">
        <v>11831.0</v>
      </c>
      <c r="AA248" s="3" t="n">
        <v>10993.0</v>
      </c>
      <c r="AB248" s="3" t="n">
        <v>11199.0</v>
      </c>
      <c r="AC248" s="3" t="n">
        <v>10481.0</v>
      </c>
      <c r="AD248" s="3" t="n">
        <v>10534.0</v>
      </c>
      <c r="AE248" s="3" t="n">
        <v>10462.0</v>
      </c>
      <c r="AF248" s="3" t="n">
        <v>10621.0</v>
      </c>
      <c r="AG248" s="3" t="n">
        <v>11152.0</v>
      </c>
      <c r="AH248" s="3" t="n">
        <v>10595.0</v>
      </c>
      <c r="AI248" s="3" t="n">
        <v>10062.0</v>
      </c>
      <c r="AJ248" s="3" t="n">
        <v>9483.0</v>
      </c>
      <c r="AK248" s="3" t="n">
        <v>9060.0</v>
      </c>
      <c r="AL248" s="3" t="n">
        <v>8318.0</v>
      </c>
      <c r="AM248" s="3" t="n">
        <v>7677.0</v>
      </c>
      <c r="AN248" s="3" t="n">
        <v>7456.0</v>
      </c>
      <c r="AO248" s="3" t="n">
        <v>7186.0</v>
      </c>
    </row>
    <row r="249" spans="1:41" x14ac:dyDescent="0.2">
      <c r="A249" s="128"/>
      <c r="B249" s="9">
        <v>36</v>
      </c>
      <c r="C249" s="3" t="n">
        <v>16970.0</v>
      </c>
      <c r="D249" s="3" t="n">
        <v>16141.0</v>
      </c>
      <c r="E249" s="3" t="n">
        <v>15660.0</v>
      </c>
      <c r="F249" s="3" t="n">
        <v>15181.0</v>
      </c>
      <c r="G249" s="3" t="n">
        <v>14956.0</v>
      </c>
      <c r="H249" s="3" t="n">
        <v>14611.0</v>
      </c>
      <c r="I249" s="3" t="n">
        <v>13782.0</v>
      </c>
      <c r="J249" s="3" t="n">
        <v>13474.0</v>
      </c>
      <c r="K249" s="3" t="n">
        <v>12847.0</v>
      </c>
      <c r="L249" s="3" t="n">
        <v>12208.0</v>
      </c>
      <c r="M249" s="3" t="n">
        <v>11588.0</v>
      </c>
      <c r="N249" s="3" t="n">
        <v>11273.0</v>
      </c>
      <c r="O249" s="3" t="n">
        <v>10690.0</v>
      </c>
      <c r="P249" s="3" t="n">
        <v>10430.0</v>
      </c>
      <c r="Q249" s="3" t="n">
        <v>10318.0</v>
      </c>
      <c r="R249" s="3" t="n">
        <v>9997.0</v>
      </c>
      <c r="S249" s="3" t="n">
        <v>9805.0</v>
      </c>
      <c r="T249" s="3" t="n">
        <v>9532.0</v>
      </c>
      <c r="U249" s="3" t="n">
        <v>9950.0</v>
      </c>
      <c r="V249" s="3" t="n">
        <v>9966.0</v>
      </c>
      <c r="W249" s="3" t="n">
        <v>10517.0</v>
      </c>
      <c r="X249" s="3" t="n">
        <v>10944.0</v>
      </c>
      <c r="Y249" s="3" t="n">
        <v>11695.0</v>
      </c>
      <c r="Z249" s="3" t="n">
        <v>11935.0</v>
      </c>
      <c r="AA249" s="3" t="n">
        <v>11784.0</v>
      </c>
      <c r="AB249" s="3" t="n">
        <v>10950.0</v>
      </c>
      <c r="AC249" s="3" t="n">
        <v>11156.0</v>
      </c>
      <c r="AD249" s="3" t="n">
        <v>10438.0</v>
      </c>
      <c r="AE249" s="3" t="n">
        <v>10493.0</v>
      </c>
      <c r="AF249" s="3" t="n">
        <v>10425.0</v>
      </c>
      <c r="AG249" s="3" t="n">
        <v>10583.0</v>
      </c>
      <c r="AH249" s="3" t="n">
        <v>11116.0</v>
      </c>
      <c r="AI249" s="3" t="n">
        <v>10552.0</v>
      </c>
      <c r="AJ249" s="3" t="n">
        <v>10020.0</v>
      </c>
      <c r="AK249" s="3" t="n">
        <v>9448.0</v>
      </c>
      <c r="AL249" s="3" t="n">
        <v>9027.0</v>
      </c>
      <c r="AM249" s="3" t="n">
        <v>8287.0</v>
      </c>
      <c r="AN249" s="3" t="n">
        <v>7645.0</v>
      </c>
      <c r="AO249" s="3" t="n">
        <v>7426.0</v>
      </c>
    </row>
    <row r="250" spans="1:41" x14ac:dyDescent="0.2">
      <c r="A250" s="128"/>
      <c r="B250" s="9">
        <v>37</v>
      </c>
      <c r="C250" s="3" t="n">
        <v>17999.0</v>
      </c>
      <c r="D250" s="3" t="n">
        <v>16921.0</v>
      </c>
      <c r="E250" s="3" t="n">
        <v>16100.0</v>
      </c>
      <c r="F250" s="3" t="n">
        <v>15615.0</v>
      </c>
      <c r="G250" s="3" t="n">
        <v>15140.0</v>
      </c>
      <c r="H250" s="3" t="n">
        <v>14957.0</v>
      </c>
      <c r="I250" s="3" t="n">
        <v>14622.0</v>
      </c>
      <c r="J250" s="3" t="n">
        <v>13769.0</v>
      </c>
      <c r="K250" s="3" t="n">
        <v>13453.0</v>
      </c>
      <c r="L250" s="3" t="n">
        <v>12818.0</v>
      </c>
      <c r="M250" s="3" t="n">
        <v>12175.0</v>
      </c>
      <c r="N250" s="3" t="n">
        <v>11554.0</v>
      </c>
      <c r="O250" s="3" t="n">
        <v>11233.0</v>
      </c>
      <c r="P250" s="3" t="n">
        <v>10652.0</v>
      </c>
      <c r="Q250" s="3" t="n">
        <v>10391.0</v>
      </c>
      <c r="R250" s="3" t="n">
        <v>10277.0</v>
      </c>
      <c r="S250" s="3" t="n">
        <v>9957.0</v>
      </c>
      <c r="T250" s="3" t="n">
        <v>9767.0</v>
      </c>
      <c r="U250" s="3" t="n">
        <v>9494.0</v>
      </c>
      <c r="V250" s="3" t="n">
        <v>9908.0</v>
      </c>
      <c r="W250" s="3" t="n">
        <v>9926.0</v>
      </c>
      <c r="X250" s="3" t="n">
        <v>10473.0</v>
      </c>
      <c r="Y250" s="3" t="n">
        <v>10906.0</v>
      </c>
      <c r="Z250" s="3" t="n">
        <v>11651.0</v>
      </c>
      <c r="AA250" s="3" t="n">
        <v>11892.0</v>
      </c>
      <c r="AB250" s="3" t="n">
        <v>11742.0</v>
      </c>
      <c r="AC250" s="3" t="n">
        <v>10905.0</v>
      </c>
      <c r="AD250" s="3" t="n">
        <v>11116.0</v>
      </c>
      <c r="AE250" s="3" t="n">
        <v>10398.0</v>
      </c>
      <c r="AF250" s="3" t="n">
        <v>10455.0</v>
      </c>
      <c r="AG250" s="3" t="n">
        <v>10388.0</v>
      </c>
      <c r="AH250" s="3" t="n">
        <v>10543.0</v>
      </c>
      <c r="AI250" s="3" t="n">
        <v>11074.0</v>
      </c>
      <c r="AJ250" s="3" t="n">
        <v>10516.0</v>
      </c>
      <c r="AK250" s="3" t="n">
        <v>9982.0</v>
      </c>
      <c r="AL250" s="3" t="n">
        <v>9414.0</v>
      </c>
      <c r="AM250" s="3" t="n">
        <v>8994.0</v>
      </c>
      <c r="AN250" s="3" t="n">
        <v>8253.0</v>
      </c>
      <c r="AO250" s="3" t="n">
        <v>7616.0</v>
      </c>
    </row>
    <row r="251" spans="1:41" x14ac:dyDescent="0.2">
      <c r="A251" s="128"/>
      <c r="B251" s="9">
        <v>38</v>
      </c>
      <c r="C251" s="3" t="n">
        <v>18785.0</v>
      </c>
      <c r="D251" s="3" t="n">
        <v>17972.0</v>
      </c>
      <c r="E251" s="3" t="n">
        <v>16887.0</v>
      </c>
      <c r="F251" s="3" t="n">
        <v>16074.0</v>
      </c>
      <c r="G251" s="3" t="n">
        <v>15597.0</v>
      </c>
      <c r="H251" s="3" t="n">
        <v>15156.0</v>
      </c>
      <c r="I251" s="3" t="n">
        <v>14991.0</v>
      </c>
      <c r="J251" s="3" t="n">
        <v>14627.0</v>
      </c>
      <c r="K251" s="3" t="n">
        <v>13756.0</v>
      </c>
      <c r="L251" s="3" t="n">
        <v>13434.0</v>
      </c>
      <c r="M251" s="3" t="n">
        <v>12796.0</v>
      </c>
      <c r="N251" s="3" t="n">
        <v>12153.0</v>
      </c>
      <c r="O251" s="3" t="n">
        <v>11534.0</v>
      </c>
      <c r="P251" s="3" t="n">
        <v>11211.0</v>
      </c>
      <c r="Q251" s="3" t="n">
        <v>10631.0</v>
      </c>
      <c r="R251" s="3" t="n">
        <v>10368.0</v>
      </c>
      <c r="S251" s="3" t="n">
        <v>10258.0</v>
      </c>
      <c r="T251" s="3" t="n">
        <v>9936.0</v>
      </c>
      <c r="U251" s="3" t="n">
        <v>9745.0</v>
      </c>
      <c r="V251" s="3" t="n">
        <v>9472.0</v>
      </c>
      <c r="W251" s="3" t="n">
        <v>9885.0</v>
      </c>
      <c r="X251" s="3" t="n">
        <v>9902.0</v>
      </c>
      <c r="Y251" s="3" t="n">
        <v>10450.0</v>
      </c>
      <c r="Z251" s="3" t="n">
        <v>10881.0</v>
      </c>
      <c r="AA251" s="3" t="n">
        <v>11619.0</v>
      </c>
      <c r="AB251" s="3" t="n">
        <v>11862.0</v>
      </c>
      <c r="AC251" s="3" t="n">
        <v>11713.0</v>
      </c>
      <c r="AD251" s="3" t="n">
        <v>10875.0</v>
      </c>
      <c r="AE251" s="3" t="n">
        <v>11089.0</v>
      </c>
      <c r="AF251" s="3" t="n">
        <v>10371.0</v>
      </c>
      <c r="AG251" s="3" t="n">
        <v>10432.0</v>
      </c>
      <c r="AH251" s="3" t="n">
        <v>10364.0</v>
      </c>
      <c r="AI251" s="3" t="n">
        <v>10517.0</v>
      </c>
      <c r="AJ251" s="3" t="n">
        <v>11044.0</v>
      </c>
      <c r="AK251" s="3" t="n">
        <v>10485.0</v>
      </c>
      <c r="AL251" s="3" t="n">
        <v>9958.0</v>
      </c>
      <c r="AM251" s="3" t="n">
        <v>9390.0</v>
      </c>
      <c r="AN251" s="3" t="n">
        <v>8971.0</v>
      </c>
      <c r="AO251" s="3" t="n">
        <v>8230.0</v>
      </c>
    </row>
    <row r="252" spans="1:41" x14ac:dyDescent="0.2">
      <c r="A252" s="128"/>
      <c r="B252" s="9">
        <v>39</v>
      </c>
      <c r="C252" s="3" t="n">
        <v>19951.0</v>
      </c>
      <c r="D252" s="3" t="n">
        <v>18762.0</v>
      </c>
      <c r="E252" s="3" t="n">
        <v>17949.0</v>
      </c>
      <c r="F252" s="3" t="n">
        <v>16862.0</v>
      </c>
      <c r="G252" s="3" t="n">
        <v>16052.0</v>
      </c>
      <c r="H252" s="3" t="n">
        <v>15610.0</v>
      </c>
      <c r="I252" s="3" t="n">
        <v>15179.0</v>
      </c>
      <c r="J252" s="3" t="n">
        <v>14994.0</v>
      </c>
      <c r="K252" s="3" t="n">
        <v>14619.0</v>
      </c>
      <c r="L252" s="3" t="n">
        <v>13737.0</v>
      </c>
      <c r="M252" s="3" t="n">
        <v>13414.0</v>
      </c>
      <c r="N252" s="3" t="n">
        <v>12774.0</v>
      </c>
      <c r="O252" s="3" t="n">
        <v>12135.0</v>
      </c>
      <c r="P252" s="3" t="n">
        <v>11518.0</v>
      </c>
      <c r="Q252" s="3" t="n">
        <v>11192.0</v>
      </c>
      <c r="R252" s="3" t="n">
        <v>10612.0</v>
      </c>
      <c r="S252" s="3" t="n">
        <v>10351.0</v>
      </c>
      <c r="T252" s="3" t="n">
        <v>10240.0</v>
      </c>
      <c r="U252" s="3" t="n">
        <v>9917.0</v>
      </c>
      <c r="V252" s="3" t="n">
        <v>9724.0</v>
      </c>
      <c r="W252" s="3" t="n">
        <v>9451.0</v>
      </c>
      <c r="X252" s="3" t="n">
        <v>9863.0</v>
      </c>
      <c r="Y252" s="3" t="n">
        <v>9878.0</v>
      </c>
      <c r="Z252" s="3" t="n">
        <v>10429.0</v>
      </c>
      <c r="AA252" s="3" t="n">
        <v>10867.0</v>
      </c>
      <c r="AB252" s="3" t="n">
        <v>11599.0</v>
      </c>
      <c r="AC252" s="3" t="n">
        <v>11838.0</v>
      </c>
      <c r="AD252" s="3" t="n">
        <v>11692.0</v>
      </c>
      <c r="AE252" s="3" t="n">
        <v>10848.0</v>
      </c>
      <c r="AF252" s="3" t="n">
        <v>11064.0</v>
      </c>
      <c r="AG252" s="3" t="n">
        <v>10347.0</v>
      </c>
      <c r="AH252" s="3" t="n">
        <v>10409.0</v>
      </c>
      <c r="AI252" s="3" t="n">
        <v>10340.0</v>
      </c>
      <c r="AJ252" s="3" t="n">
        <v>10496.0</v>
      </c>
      <c r="AK252" s="3" t="n">
        <v>11022.0</v>
      </c>
      <c r="AL252" s="3" t="n">
        <v>10461.0</v>
      </c>
      <c r="AM252" s="3" t="n">
        <v>9932.0</v>
      </c>
      <c r="AN252" s="3" t="n">
        <v>9366.0</v>
      </c>
      <c r="AO252" s="3" t="n">
        <v>8948.0</v>
      </c>
    </row>
    <row r="253" spans="1:41" x14ac:dyDescent="0.2">
      <c r="A253" s="128"/>
      <c r="B253" s="9">
        <v>40</v>
      </c>
      <c r="C253" s="3" t="n">
        <v>19358.0</v>
      </c>
      <c r="D253" s="3" t="n">
        <v>19921.0</v>
      </c>
      <c r="E253" s="3" t="n">
        <v>18732.0</v>
      </c>
      <c r="F253" s="3" t="n">
        <v>17926.0</v>
      </c>
      <c r="G253" s="3" t="n">
        <v>16841.0</v>
      </c>
      <c r="H253" s="3" t="n">
        <v>16061.0</v>
      </c>
      <c r="I253" s="3" t="n">
        <v>15639.0</v>
      </c>
      <c r="J253" s="3" t="n">
        <v>15181.0</v>
      </c>
      <c r="K253" s="3" t="n">
        <v>14988.0</v>
      </c>
      <c r="L253" s="3" t="n">
        <v>14615.0</v>
      </c>
      <c r="M253" s="3" t="n">
        <v>13726.0</v>
      </c>
      <c r="N253" s="3" t="n">
        <v>13406.0</v>
      </c>
      <c r="O253" s="3" t="n">
        <v>12758.0</v>
      </c>
      <c r="P253" s="3" t="n">
        <v>12121.0</v>
      </c>
      <c r="Q253" s="3" t="n">
        <v>11512.0</v>
      </c>
      <c r="R253" s="3" t="n">
        <v>11187.0</v>
      </c>
      <c r="S253" s="3" t="n">
        <v>10602.0</v>
      </c>
      <c r="T253" s="3" t="n">
        <v>10343.0</v>
      </c>
      <c r="U253" s="3" t="n">
        <v>10234.0</v>
      </c>
      <c r="V253" s="3" t="n">
        <v>9911.0</v>
      </c>
      <c r="W253" s="3" t="n">
        <v>9718.0</v>
      </c>
      <c r="X253" s="3" t="n">
        <v>9445.0</v>
      </c>
      <c r="Y253" s="3" t="n">
        <v>9854.0</v>
      </c>
      <c r="Z253" s="3" t="n">
        <v>9868.0</v>
      </c>
      <c r="AA253" s="3" t="n">
        <v>10417.0</v>
      </c>
      <c r="AB253" s="3" t="n">
        <v>10852.0</v>
      </c>
      <c r="AC253" s="3" t="n">
        <v>11589.0</v>
      </c>
      <c r="AD253" s="3" t="n">
        <v>11823.0</v>
      </c>
      <c r="AE253" s="3" t="n">
        <v>11680.0</v>
      </c>
      <c r="AF253" s="3" t="n">
        <v>10839.0</v>
      </c>
      <c r="AG253" s="3" t="n">
        <v>11055.0</v>
      </c>
      <c r="AH253" s="3" t="n">
        <v>10338.0</v>
      </c>
      <c r="AI253" s="3" t="n">
        <v>10399.0</v>
      </c>
      <c r="AJ253" s="3" t="n">
        <v>10331.0</v>
      </c>
      <c r="AK253" s="3" t="n">
        <v>10491.0</v>
      </c>
      <c r="AL253" s="3" t="n">
        <v>11015.0</v>
      </c>
      <c r="AM253" s="3" t="n">
        <v>10449.0</v>
      </c>
      <c r="AN253" s="3" t="n">
        <v>9922.0</v>
      </c>
      <c r="AO253" s="3" t="n">
        <v>9354.0</v>
      </c>
    </row>
    <row r="254" spans="1:41" x14ac:dyDescent="0.2">
      <c r="A254" s="128"/>
      <c r="B254" s="9">
        <v>41</v>
      </c>
      <c r="C254" s="3" t="n">
        <v>18465.0</v>
      </c>
      <c r="D254" s="3" t="n">
        <v>19324.0</v>
      </c>
      <c r="E254" s="3" t="n">
        <v>19889.0</v>
      </c>
      <c r="F254" s="3" t="n">
        <v>18704.0</v>
      </c>
      <c r="G254" s="3" t="n">
        <v>17900.0</v>
      </c>
      <c r="H254" s="3" t="n">
        <v>16845.0</v>
      </c>
      <c r="I254" s="3" t="n">
        <v>16082.0</v>
      </c>
      <c r="J254" s="3" t="n">
        <v>15635.0</v>
      </c>
      <c r="K254" s="3" t="n">
        <v>15167.0</v>
      </c>
      <c r="L254" s="3" t="n">
        <v>14969.0</v>
      </c>
      <c r="M254" s="3" t="n">
        <v>14598.0</v>
      </c>
      <c r="N254" s="3" t="n">
        <v>13709.0</v>
      </c>
      <c r="O254" s="3" t="n">
        <v>13389.0</v>
      </c>
      <c r="P254" s="3" t="n">
        <v>12744.0</v>
      </c>
      <c r="Q254" s="3" t="n">
        <v>12102.0</v>
      </c>
      <c r="R254" s="3" t="n">
        <v>11497.0</v>
      </c>
      <c r="S254" s="3" t="n">
        <v>11173.0</v>
      </c>
      <c r="T254" s="3" t="n">
        <v>10590.0</v>
      </c>
      <c r="U254" s="3" t="n">
        <v>10327.0</v>
      </c>
      <c r="V254" s="3" t="n">
        <v>10219.0</v>
      </c>
      <c r="W254" s="3" t="n">
        <v>9896.0</v>
      </c>
      <c r="X254" s="3" t="n">
        <v>9704.0</v>
      </c>
      <c r="Y254" s="3" t="n">
        <v>9428.0</v>
      </c>
      <c r="Z254" s="3" t="n">
        <v>9838.0</v>
      </c>
      <c r="AA254" s="3" t="n">
        <v>9853.0</v>
      </c>
      <c r="AB254" s="3" t="n">
        <v>10404.0</v>
      </c>
      <c r="AC254" s="3" t="n">
        <v>10833.0</v>
      </c>
      <c r="AD254" s="3" t="n">
        <v>11567.0</v>
      </c>
      <c r="AE254" s="3" t="n">
        <v>11799.0</v>
      </c>
      <c r="AF254" s="3" t="n">
        <v>11655.0</v>
      </c>
      <c r="AG254" s="3" t="n">
        <v>10818.0</v>
      </c>
      <c r="AH254" s="3" t="n">
        <v>11036.0</v>
      </c>
      <c r="AI254" s="3" t="n">
        <v>10324.0</v>
      </c>
      <c r="AJ254" s="3" t="n">
        <v>10385.0</v>
      </c>
      <c r="AK254" s="3" t="n">
        <v>10316.0</v>
      </c>
      <c r="AL254" s="3" t="n">
        <v>10474.0</v>
      </c>
      <c r="AM254" s="3" t="n">
        <v>10998.0</v>
      </c>
      <c r="AN254" s="3" t="n">
        <v>10429.0</v>
      </c>
      <c r="AO254" s="3" t="n">
        <v>9904.0</v>
      </c>
    </row>
    <row r="255" spans="1:41" x14ac:dyDescent="0.2">
      <c r="A255" s="128"/>
      <c r="B255" s="9">
        <v>42</v>
      </c>
      <c r="C255" s="3" t="n">
        <v>19156.0</v>
      </c>
      <c r="D255" s="3" t="n">
        <v>18420.0</v>
      </c>
      <c r="E255" s="3" t="n">
        <v>19280.0</v>
      </c>
      <c r="F255" s="3" t="n">
        <v>19848.0</v>
      </c>
      <c r="G255" s="3" t="n">
        <v>18667.0</v>
      </c>
      <c r="H255" s="3" t="n">
        <v>17895.0</v>
      </c>
      <c r="I255" s="3" t="n">
        <v>16856.0</v>
      </c>
      <c r="J255" s="3" t="n">
        <v>16077.0</v>
      </c>
      <c r="K255" s="3" t="n">
        <v>15620.0</v>
      </c>
      <c r="L255" s="3" t="n">
        <v>15145.0</v>
      </c>
      <c r="M255" s="3" t="n">
        <v>14943.0</v>
      </c>
      <c r="N255" s="3" t="n">
        <v>14573.0</v>
      </c>
      <c r="O255" s="3" t="n">
        <v>13682.0</v>
      </c>
      <c r="P255" s="3" t="n">
        <v>13360.0</v>
      </c>
      <c r="Q255" s="3" t="n">
        <v>12718.0</v>
      </c>
      <c r="R255" s="3" t="n">
        <v>12080.0</v>
      </c>
      <c r="S255" s="3" t="n">
        <v>11473.0</v>
      </c>
      <c r="T255" s="3" t="n">
        <v>11147.0</v>
      </c>
      <c r="U255" s="3" t="n">
        <v>10565.0</v>
      </c>
      <c r="V255" s="3" t="n">
        <v>10306.0</v>
      </c>
      <c r="W255" s="3" t="n">
        <v>10198.0</v>
      </c>
      <c r="X255" s="3" t="n">
        <v>9878.0</v>
      </c>
      <c r="Y255" s="3" t="n">
        <v>9682.0</v>
      </c>
      <c r="Z255" s="3" t="n">
        <v>9407.0</v>
      </c>
      <c r="AA255" s="3" t="n">
        <v>9818.0</v>
      </c>
      <c r="AB255" s="3" t="n">
        <v>9834.0</v>
      </c>
      <c r="AC255" s="3" t="n">
        <v>10380.0</v>
      </c>
      <c r="AD255" s="3" t="n">
        <v>10809.0</v>
      </c>
      <c r="AE255" s="3" t="n">
        <v>11539.0</v>
      </c>
      <c r="AF255" s="3" t="n">
        <v>11769.0</v>
      </c>
      <c r="AG255" s="3" t="n">
        <v>11625.0</v>
      </c>
      <c r="AH255" s="3" t="n">
        <v>10787.0</v>
      </c>
      <c r="AI255" s="3" t="n">
        <v>11005.0</v>
      </c>
      <c r="AJ255" s="3" t="n">
        <v>10296.0</v>
      </c>
      <c r="AK255" s="3" t="n">
        <v>10358.0</v>
      </c>
      <c r="AL255" s="3" t="n">
        <v>10289.0</v>
      </c>
      <c r="AM255" s="3" t="n">
        <v>10448.0</v>
      </c>
      <c r="AN255" s="3" t="n">
        <v>10970.0</v>
      </c>
      <c r="AO255" s="3" t="n">
        <v>10402.0</v>
      </c>
    </row>
    <row r="256" spans="1:41" x14ac:dyDescent="0.2">
      <c r="A256" s="128"/>
      <c r="B256" s="9">
        <v>43</v>
      </c>
      <c r="C256" s="3" t="n">
        <v>19096.0</v>
      </c>
      <c r="D256" s="3" t="n">
        <v>19109.0</v>
      </c>
      <c r="E256" s="3" t="n">
        <v>18378.0</v>
      </c>
      <c r="F256" s="3" t="n">
        <v>19238.0</v>
      </c>
      <c r="G256" s="3" t="n">
        <v>19803.0</v>
      </c>
      <c r="H256" s="3" t="n">
        <v>18657.0</v>
      </c>
      <c r="I256" s="3" t="n">
        <v>17899.0</v>
      </c>
      <c r="J256" s="3" t="n">
        <v>16837.0</v>
      </c>
      <c r="K256" s="3" t="n">
        <v>16052.0</v>
      </c>
      <c r="L256" s="3" t="n">
        <v>15595.0</v>
      </c>
      <c r="M256" s="3" t="n">
        <v>15123.0</v>
      </c>
      <c r="N256" s="3" t="n">
        <v>14917.0</v>
      </c>
      <c r="O256" s="3" t="n">
        <v>14547.0</v>
      </c>
      <c r="P256" s="3" t="n">
        <v>13659.0</v>
      </c>
      <c r="Q256" s="3" t="n">
        <v>13338.0</v>
      </c>
      <c r="R256" s="3" t="n">
        <v>12691.0</v>
      </c>
      <c r="S256" s="3" t="n">
        <v>12051.0</v>
      </c>
      <c r="T256" s="3" t="n">
        <v>11448.0</v>
      </c>
      <c r="U256" s="3" t="n">
        <v>11123.0</v>
      </c>
      <c r="V256" s="3" t="n">
        <v>10540.0</v>
      </c>
      <c r="W256" s="3" t="n">
        <v>10280.0</v>
      </c>
      <c r="X256" s="3" t="n">
        <v>10172.0</v>
      </c>
      <c r="Y256" s="3" t="n">
        <v>9853.0</v>
      </c>
      <c r="Z256" s="3" t="n">
        <v>9658.0</v>
      </c>
      <c r="AA256" s="3" t="n">
        <v>9382.0</v>
      </c>
      <c r="AB256" s="3" t="n">
        <v>9793.0</v>
      </c>
      <c r="AC256" s="3" t="n">
        <v>9806.0</v>
      </c>
      <c r="AD256" s="3" t="n">
        <v>10355.0</v>
      </c>
      <c r="AE256" s="3" t="n">
        <v>10786.0</v>
      </c>
      <c r="AF256" s="3" t="n">
        <v>11511.0</v>
      </c>
      <c r="AG256" s="3" t="n">
        <v>11740.0</v>
      </c>
      <c r="AH256" s="3" t="n">
        <v>11598.0</v>
      </c>
      <c r="AI256" s="3" t="n">
        <v>10764.0</v>
      </c>
      <c r="AJ256" s="3" t="n">
        <v>10978.0</v>
      </c>
      <c r="AK256" s="3" t="n">
        <v>10271.0</v>
      </c>
      <c r="AL256" s="3" t="n">
        <v>10335.0</v>
      </c>
      <c r="AM256" s="3" t="n">
        <v>10267.0</v>
      </c>
      <c r="AN256" s="3" t="n">
        <v>10425.0</v>
      </c>
      <c r="AO256" s="3" t="n">
        <v>10946.0</v>
      </c>
    </row>
    <row r="257" spans="1:41" x14ac:dyDescent="0.2">
      <c r="A257" s="128"/>
      <c r="B257" s="9">
        <v>44</v>
      </c>
      <c r="C257" s="3" t="n">
        <v>18809.0</v>
      </c>
      <c r="D257" s="3" t="n">
        <v>19059.0</v>
      </c>
      <c r="E257" s="3" t="n">
        <v>19073.0</v>
      </c>
      <c r="F257" s="3" t="n">
        <v>18348.0</v>
      </c>
      <c r="G257" s="3" t="n">
        <v>19210.0</v>
      </c>
      <c r="H257" s="3" t="n">
        <v>19796.0</v>
      </c>
      <c r="I257" s="3" t="n">
        <v>18666.0</v>
      </c>
      <c r="J257" s="3" t="n">
        <v>17885.0</v>
      </c>
      <c r="K257" s="3" t="n">
        <v>16817.0</v>
      </c>
      <c r="L257" s="3" t="n">
        <v>16028.0</v>
      </c>
      <c r="M257" s="3" t="n">
        <v>15572.0</v>
      </c>
      <c r="N257" s="3" t="n">
        <v>15102.0</v>
      </c>
      <c r="O257" s="3" t="n">
        <v>14895.0</v>
      </c>
      <c r="P257" s="3" t="n">
        <v>14528.0</v>
      </c>
      <c r="Q257" s="3" t="n">
        <v>13639.0</v>
      </c>
      <c r="R257" s="3" t="n">
        <v>13315.0</v>
      </c>
      <c r="S257" s="3" t="n">
        <v>12673.0</v>
      </c>
      <c r="T257" s="3" t="n">
        <v>12036.0</v>
      </c>
      <c r="U257" s="3" t="n">
        <v>11433.0</v>
      </c>
      <c r="V257" s="3" t="n">
        <v>11105.0</v>
      </c>
      <c r="W257" s="3" t="n">
        <v>10526.0</v>
      </c>
      <c r="X257" s="3" t="n">
        <v>10269.0</v>
      </c>
      <c r="Y257" s="3" t="n">
        <v>10160.0</v>
      </c>
      <c r="Z257" s="3" t="n">
        <v>9838.0</v>
      </c>
      <c r="AA257" s="3" t="n">
        <v>9646.0</v>
      </c>
      <c r="AB257" s="3" t="n">
        <v>9369.0</v>
      </c>
      <c r="AC257" s="3" t="n">
        <v>9781.0</v>
      </c>
      <c r="AD257" s="3" t="n">
        <v>9791.0</v>
      </c>
      <c r="AE257" s="3" t="n">
        <v>10334.0</v>
      </c>
      <c r="AF257" s="3" t="n">
        <v>10766.0</v>
      </c>
      <c r="AG257" s="3" t="n">
        <v>11488.0</v>
      </c>
      <c r="AH257" s="3" t="n">
        <v>11718.0</v>
      </c>
      <c r="AI257" s="3" t="n">
        <v>11576.0</v>
      </c>
      <c r="AJ257" s="3" t="n">
        <v>10744.0</v>
      </c>
      <c r="AK257" s="3" t="n">
        <v>10956.0</v>
      </c>
      <c r="AL257" s="3" t="n">
        <v>10251.0</v>
      </c>
      <c r="AM257" s="3" t="n">
        <v>10315.0</v>
      </c>
      <c r="AN257" s="3" t="n">
        <v>10250.0</v>
      </c>
      <c r="AO257" s="3" t="n">
        <v>10408.0</v>
      </c>
    </row>
    <row r="258" spans="1:41" x14ac:dyDescent="0.2">
      <c r="A258" s="128"/>
      <c r="B258" s="9">
        <v>45</v>
      </c>
      <c r="C258" s="3" t="n">
        <v>18982.0</v>
      </c>
      <c r="D258" s="3" t="n">
        <v>18778.0</v>
      </c>
      <c r="E258" s="3" t="n">
        <v>19029.0</v>
      </c>
      <c r="F258" s="3" t="n">
        <v>19042.0</v>
      </c>
      <c r="G258" s="3" t="n">
        <v>18325.0</v>
      </c>
      <c r="H258" s="3" t="n">
        <v>19207.0</v>
      </c>
      <c r="I258" s="3" t="n">
        <v>19803.0</v>
      </c>
      <c r="J258" s="3" t="n">
        <v>18661.0</v>
      </c>
      <c r="K258" s="3" t="n">
        <v>17872.0</v>
      </c>
      <c r="L258" s="3" t="n">
        <v>16802.0</v>
      </c>
      <c r="M258" s="3" t="n">
        <v>16011.0</v>
      </c>
      <c r="N258" s="3" t="n">
        <v>15552.0</v>
      </c>
      <c r="O258" s="3" t="n">
        <v>15084.0</v>
      </c>
      <c r="P258" s="3" t="n">
        <v>14878.0</v>
      </c>
      <c r="Q258" s="3" t="n">
        <v>14510.0</v>
      </c>
      <c r="R258" s="3" t="n">
        <v>13627.0</v>
      </c>
      <c r="S258" s="3" t="n">
        <v>13302.0</v>
      </c>
      <c r="T258" s="3" t="n">
        <v>12658.0</v>
      </c>
      <c r="U258" s="3" t="n">
        <v>12021.0</v>
      </c>
      <c r="V258" s="3" t="n">
        <v>11416.0</v>
      </c>
      <c r="W258" s="3" t="n">
        <v>11090.0</v>
      </c>
      <c r="X258" s="3" t="n">
        <v>10512.0</v>
      </c>
      <c r="Y258" s="3" t="n">
        <v>10256.0</v>
      </c>
      <c r="Z258" s="3" t="n">
        <v>10148.0</v>
      </c>
      <c r="AA258" s="3" t="n">
        <v>9828.0</v>
      </c>
      <c r="AB258" s="3" t="n">
        <v>9635.0</v>
      </c>
      <c r="AC258" s="3" t="n">
        <v>9361.0</v>
      </c>
      <c r="AD258" s="3" t="n">
        <v>9772.0</v>
      </c>
      <c r="AE258" s="3" t="n">
        <v>9779.0</v>
      </c>
      <c r="AF258" s="3" t="n">
        <v>10320.0</v>
      </c>
      <c r="AG258" s="3" t="n">
        <v>10753.0</v>
      </c>
      <c r="AH258" s="3" t="n">
        <v>11475.0</v>
      </c>
      <c r="AI258" s="3" t="n">
        <v>11701.0</v>
      </c>
      <c r="AJ258" s="3" t="n">
        <v>11562.0</v>
      </c>
      <c r="AK258" s="3" t="n">
        <v>10730.0</v>
      </c>
      <c r="AL258" s="3" t="n">
        <v>10940.0</v>
      </c>
      <c r="AM258" s="3" t="n">
        <v>10238.0</v>
      </c>
      <c r="AN258" s="3" t="n">
        <v>10301.0</v>
      </c>
      <c r="AO258" s="3" t="n">
        <v>10237.0</v>
      </c>
    </row>
    <row r="259" spans="1:41" x14ac:dyDescent="0.2">
      <c r="A259" s="128"/>
      <c r="B259" s="9">
        <v>46</v>
      </c>
      <c r="C259" s="3" t="n">
        <v>18966.0</v>
      </c>
      <c r="D259" s="3" t="n">
        <v>18942.0</v>
      </c>
      <c r="E259" s="3" t="n">
        <v>18738.0</v>
      </c>
      <c r="F259" s="3" t="n">
        <v>18991.0</v>
      </c>
      <c r="G259" s="3" t="n">
        <v>19003.0</v>
      </c>
      <c r="H259" s="3" t="n">
        <v>18312.0</v>
      </c>
      <c r="I259" s="3" t="n">
        <v>19202.0</v>
      </c>
      <c r="J259" s="3" t="n">
        <v>19777.0</v>
      </c>
      <c r="K259" s="3" t="n">
        <v>18635.0</v>
      </c>
      <c r="L259" s="3" t="n">
        <v>17845.0</v>
      </c>
      <c r="M259" s="3" t="n">
        <v>16778.0</v>
      </c>
      <c r="N259" s="3" t="n">
        <v>15985.0</v>
      </c>
      <c r="O259" s="3" t="n">
        <v>15525.0</v>
      </c>
      <c r="P259" s="3" t="n">
        <v>15055.0</v>
      </c>
      <c r="Q259" s="3" t="n">
        <v>14856.0</v>
      </c>
      <c r="R259" s="3" t="n">
        <v>14491.0</v>
      </c>
      <c r="S259" s="3" t="n">
        <v>13606.0</v>
      </c>
      <c r="T259" s="3" t="n">
        <v>13282.0</v>
      </c>
      <c r="U259" s="3" t="n">
        <v>12641.0</v>
      </c>
      <c r="V259" s="3" t="n">
        <v>12000.0</v>
      </c>
      <c r="W259" s="3" t="n">
        <v>11398.0</v>
      </c>
      <c r="X259" s="3" t="n">
        <v>11075.0</v>
      </c>
      <c r="Y259" s="3" t="n">
        <v>10494.0</v>
      </c>
      <c r="Z259" s="3" t="n">
        <v>10236.0</v>
      </c>
      <c r="AA259" s="3" t="n">
        <v>10127.0</v>
      </c>
      <c r="AB259" s="3" t="n">
        <v>9807.0</v>
      </c>
      <c r="AC259" s="3" t="n">
        <v>9614.0</v>
      </c>
      <c r="AD259" s="3" t="n">
        <v>9341.0</v>
      </c>
      <c r="AE259" s="3" t="n">
        <v>9752.0</v>
      </c>
      <c r="AF259" s="3" t="n">
        <v>9761.0</v>
      </c>
      <c r="AG259" s="3" t="n">
        <v>10302.0</v>
      </c>
      <c r="AH259" s="3" t="n">
        <v>10732.0</v>
      </c>
      <c r="AI259" s="3" t="n">
        <v>11453.0</v>
      </c>
      <c r="AJ259" s="3" t="n">
        <v>11676.0</v>
      </c>
      <c r="AK259" s="3" t="n">
        <v>11537.0</v>
      </c>
      <c r="AL259" s="3" t="n">
        <v>10708.0</v>
      </c>
      <c r="AM259" s="3" t="n">
        <v>10915.0</v>
      </c>
      <c r="AN259" s="3" t="n">
        <v>10214.0</v>
      </c>
      <c r="AO259" s="3" t="n">
        <v>10278.0</v>
      </c>
    </row>
    <row r="260" spans="1:41" x14ac:dyDescent="0.2">
      <c r="A260" s="128"/>
      <c r="B260" s="9">
        <v>47</v>
      </c>
      <c r="C260" s="3" t="n">
        <v>18401.0</v>
      </c>
      <c r="D260" s="3" t="n">
        <v>18925.0</v>
      </c>
      <c r="E260" s="3" t="n">
        <v>18902.0</v>
      </c>
      <c r="F260" s="3" t="n">
        <v>18699.0</v>
      </c>
      <c r="G260" s="3" t="n">
        <v>18956.0</v>
      </c>
      <c r="H260" s="3" t="n">
        <v>18990.0</v>
      </c>
      <c r="I260" s="3" t="n">
        <v>18306.0</v>
      </c>
      <c r="J260" s="3" t="n">
        <v>19181.0</v>
      </c>
      <c r="K260" s="3" t="n">
        <v>19746.0</v>
      </c>
      <c r="L260" s="3" t="n">
        <v>18608.0</v>
      </c>
      <c r="M260" s="3" t="n">
        <v>17816.0</v>
      </c>
      <c r="N260" s="3" t="n">
        <v>16755.0</v>
      </c>
      <c r="O260" s="3" t="n">
        <v>15959.0</v>
      </c>
      <c r="P260" s="3" t="n">
        <v>15501.0</v>
      </c>
      <c r="Q260" s="3" t="n">
        <v>15033.0</v>
      </c>
      <c r="R260" s="3" t="n">
        <v>14833.0</v>
      </c>
      <c r="S260" s="3" t="n">
        <v>14469.0</v>
      </c>
      <c r="T260" s="3" t="n">
        <v>13588.0</v>
      </c>
      <c r="U260" s="3" t="n">
        <v>13264.0</v>
      </c>
      <c r="V260" s="3" t="n">
        <v>12626.0</v>
      </c>
      <c r="W260" s="3" t="n">
        <v>11986.0</v>
      </c>
      <c r="X260" s="3" t="n">
        <v>11382.0</v>
      </c>
      <c r="Y260" s="3" t="n">
        <v>11061.0</v>
      </c>
      <c r="Z260" s="3" t="n">
        <v>10478.0</v>
      </c>
      <c r="AA260" s="3" t="n">
        <v>10221.0</v>
      </c>
      <c r="AB260" s="3" t="n">
        <v>10113.0</v>
      </c>
      <c r="AC260" s="3" t="n">
        <v>9789.0</v>
      </c>
      <c r="AD260" s="3" t="n">
        <v>9598.0</v>
      </c>
      <c r="AE260" s="3" t="n">
        <v>9325.0</v>
      </c>
      <c r="AF260" s="3" t="n">
        <v>9736.0</v>
      </c>
      <c r="AG260" s="3" t="n">
        <v>9747.0</v>
      </c>
      <c r="AH260" s="3" t="n">
        <v>10287.0</v>
      </c>
      <c r="AI260" s="3" t="n">
        <v>10716.0</v>
      </c>
      <c r="AJ260" s="3" t="n">
        <v>11435.0</v>
      </c>
      <c r="AK260" s="3" t="n">
        <v>11658.0</v>
      </c>
      <c r="AL260" s="3" t="n">
        <v>11520.0</v>
      </c>
      <c r="AM260" s="3" t="n">
        <v>10692.0</v>
      </c>
      <c r="AN260" s="3" t="n">
        <v>10897.0</v>
      </c>
      <c r="AO260" s="3" t="n">
        <v>10197.0</v>
      </c>
    </row>
    <row r="261" spans="1:41" x14ac:dyDescent="0.2">
      <c r="A261" s="128"/>
      <c r="B261" s="9">
        <v>48</v>
      </c>
      <c r="C261" s="3" t="n">
        <v>17626.0</v>
      </c>
      <c r="D261" s="3" t="n">
        <v>18367.0</v>
      </c>
      <c r="E261" s="3" t="n">
        <v>18891.0</v>
      </c>
      <c r="F261" s="3" t="n">
        <v>18868.0</v>
      </c>
      <c r="G261" s="3" t="n">
        <v>18669.0</v>
      </c>
      <c r="H261" s="3" t="n">
        <v>18945.0</v>
      </c>
      <c r="I261" s="3" t="n">
        <v>18990.0</v>
      </c>
      <c r="J261" s="3" t="n">
        <v>18290.0</v>
      </c>
      <c r="K261" s="3" t="n">
        <v>19154.0</v>
      </c>
      <c r="L261" s="3" t="n">
        <v>19719.0</v>
      </c>
      <c r="M261" s="3" t="n">
        <v>18583.0</v>
      </c>
      <c r="N261" s="3" t="n">
        <v>17792.0</v>
      </c>
      <c r="O261" s="3" t="n">
        <v>16735.0</v>
      </c>
      <c r="P261" s="3" t="n">
        <v>15935.0</v>
      </c>
      <c r="Q261" s="3" t="n">
        <v>15479.0</v>
      </c>
      <c r="R261" s="3" t="n">
        <v>15014.0</v>
      </c>
      <c r="S261" s="3" t="n">
        <v>14814.0</v>
      </c>
      <c r="T261" s="3" t="n">
        <v>14446.0</v>
      </c>
      <c r="U261" s="3" t="n">
        <v>13569.0</v>
      </c>
      <c r="V261" s="3" t="n">
        <v>13243.0</v>
      </c>
      <c r="W261" s="3" t="n">
        <v>12605.0</v>
      </c>
      <c r="X261" s="3" t="n">
        <v>11965.0</v>
      </c>
      <c r="Y261" s="3" t="n">
        <v>11364.0</v>
      </c>
      <c r="Z261" s="3" t="n">
        <v>11045.0</v>
      </c>
      <c r="AA261" s="3" t="n">
        <v>10464.0</v>
      </c>
      <c r="AB261" s="3" t="n">
        <v>10204.0</v>
      </c>
      <c r="AC261" s="3" t="n">
        <v>10097.0</v>
      </c>
      <c r="AD261" s="3" t="n">
        <v>9774.0</v>
      </c>
      <c r="AE261" s="3" t="n">
        <v>9584.0</v>
      </c>
      <c r="AF261" s="3" t="n">
        <v>9312.0</v>
      </c>
      <c r="AG261" s="3" t="n">
        <v>9720.0</v>
      </c>
      <c r="AH261" s="3" t="n">
        <v>9731.0</v>
      </c>
      <c r="AI261" s="3" t="n">
        <v>10272.0</v>
      </c>
      <c r="AJ261" s="3" t="n">
        <v>10705.0</v>
      </c>
      <c r="AK261" s="3" t="n">
        <v>11418.0</v>
      </c>
      <c r="AL261" s="3" t="n">
        <v>11637.0</v>
      </c>
      <c r="AM261" s="3" t="n">
        <v>11497.0</v>
      </c>
      <c r="AN261" s="3" t="n">
        <v>10674.0</v>
      </c>
      <c r="AO261" s="3" t="n">
        <v>10880.0</v>
      </c>
    </row>
    <row r="262" spans="1:41" x14ac:dyDescent="0.2">
      <c r="A262" s="128"/>
      <c r="B262" s="9">
        <v>49</v>
      </c>
      <c r="C262" s="3" t="n">
        <v>17033.0</v>
      </c>
      <c r="D262" s="3" t="n">
        <v>17582.0</v>
      </c>
      <c r="E262" s="3" t="n">
        <v>18325.0</v>
      </c>
      <c r="F262" s="3" t="n">
        <v>18849.0</v>
      </c>
      <c r="G262" s="3" t="n">
        <v>18823.0</v>
      </c>
      <c r="H262" s="3" t="n">
        <v>18650.0</v>
      </c>
      <c r="I262" s="3" t="n">
        <v>18932.0</v>
      </c>
      <c r="J262" s="3" t="n">
        <v>18963.0</v>
      </c>
      <c r="K262" s="3" t="n">
        <v>18260.0</v>
      </c>
      <c r="L262" s="3" t="n">
        <v>19121.0</v>
      </c>
      <c r="M262" s="3" t="n">
        <v>19681.0</v>
      </c>
      <c r="N262" s="3" t="n">
        <v>18548.0</v>
      </c>
      <c r="O262" s="3" t="n">
        <v>17759.0</v>
      </c>
      <c r="P262" s="3" t="n">
        <v>16707.0</v>
      </c>
      <c r="Q262" s="3" t="n">
        <v>15908.0</v>
      </c>
      <c r="R262" s="3" t="n">
        <v>15455.0</v>
      </c>
      <c r="S262" s="3" t="n">
        <v>14989.0</v>
      </c>
      <c r="T262" s="3" t="n">
        <v>14788.0</v>
      </c>
      <c r="U262" s="3" t="n">
        <v>14420.0</v>
      </c>
      <c r="V262" s="3" t="n">
        <v>13548.0</v>
      </c>
      <c r="W262" s="3" t="n">
        <v>13226.0</v>
      </c>
      <c r="X262" s="3" t="n">
        <v>12586.0</v>
      </c>
      <c r="Y262" s="3" t="n">
        <v>11948.0</v>
      </c>
      <c r="Z262" s="3" t="n">
        <v>11344.0</v>
      </c>
      <c r="AA262" s="3" t="n">
        <v>11029.0</v>
      </c>
      <c r="AB262" s="3" t="n">
        <v>10446.0</v>
      </c>
      <c r="AC262" s="3" t="n">
        <v>10188.0</v>
      </c>
      <c r="AD262" s="3" t="n">
        <v>10082.0</v>
      </c>
      <c r="AE262" s="3" t="n">
        <v>9758.0</v>
      </c>
      <c r="AF262" s="3" t="n">
        <v>9568.0</v>
      </c>
      <c r="AG262" s="3" t="n">
        <v>9296.0</v>
      </c>
      <c r="AH262" s="3" t="n">
        <v>9703.0</v>
      </c>
      <c r="AI262" s="3" t="n">
        <v>9716.0</v>
      </c>
      <c r="AJ262" s="3" t="n">
        <v>10258.0</v>
      </c>
      <c r="AK262" s="3" t="n">
        <v>10691.0</v>
      </c>
      <c r="AL262" s="3" t="n">
        <v>11400.0</v>
      </c>
      <c r="AM262" s="3" t="n">
        <v>11618.0</v>
      </c>
      <c r="AN262" s="3" t="n">
        <v>11476.0</v>
      </c>
      <c r="AO262" s="3" t="n">
        <v>10656.0</v>
      </c>
    </row>
    <row r="263" spans="1:41" x14ac:dyDescent="0.2">
      <c r="A263" s="128"/>
      <c r="B263" s="9">
        <v>50</v>
      </c>
      <c r="C263" s="3" t="n">
        <v>16565.0</v>
      </c>
      <c r="D263" s="3" t="n">
        <v>16990.0</v>
      </c>
      <c r="E263" s="3" t="n">
        <v>17537.0</v>
      </c>
      <c r="F263" s="3" t="n">
        <v>18279.0</v>
      </c>
      <c r="G263" s="3" t="n">
        <v>18804.0</v>
      </c>
      <c r="H263" s="3" t="n">
        <v>18797.0</v>
      </c>
      <c r="I263" s="3" t="n">
        <v>18635.0</v>
      </c>
      <c r="J263" s="3" t="n">
        <v>18902.0</v>
      </c>
      <c r="K263" s="3" t="n">
        <v>18929.0</v>
      </c>
      <c r="L263" s="3" t="n">
        <v>18226.0</v>
      </c>
      <c r="M263" s="3" t="n">
        <v>19082.0</v>
      </c>
      <c r="N263" s="3" t="n">
        <v>19640.0</v>
      </c>
      <c r="O263" s="3" t="n">
        <v>18516.0</v>
      </c>
      <c r="P263" s="3" t="n">
        <v>17728.0</v>
      </c>
      <c r="Q263" s="3" t="n">
        <v>16680.0</v>
      </c>
      <c r="R263" s="3" t="n">
        <v>15881.0</v>
      </c>
      <c r="S263" s="3" t="n">
        <v>15429.0</v>
      </c>
      <c r="T263" s="3" t="n">
        <v>14967.0</v>
      </c>
      <c r="U263" s="3" t="n">
        <v>14768.0</v>
      </c>
      <c r="V263" s="3" t="n">
        <v>14398.0</v>
      </c>
      <c r="W263" s="3" t="n">
        <v>13526.0</v>
      </c>
      <c r="X263" s="3" t="n">
        <v>13208.0</v>
      </c>
      <c r="Y263" s="3" t="n">
        <v>12569.0</v>
      </c>
      <c r="Z263" s="3" t="n">
        <v>11933.0</v>
      </c>
      <c r="AA263" s="3" t="n">
        <v>11331.0</v>
      </c>
      <c r="AB263" s="3" t="n">
        <v>11017.0</v>
      </c>
      <c r="AC263" s="3" t="n">
        <v>10432.0</v>
      </c>
      <c r="AD263" s="3" t="n">
        <v>10173.0</v>
      </c>
      <c r="AE263" s="3" t="n">
        <v>10068.0</v>
      </c>
      <c r="AF263" s="3" t="n">
        <v>9742.0</v>
      </c>
      <c r="AG263" s="3" t="n">
        <v>9550.0</v>
      </c>
      <c r="AH263" s="3" t="n">
        <v>9278.0</v>
      </c>
      <c r="AI263" s="3" t="n">
        <v>9683.0</v>
      </c>
      <c r="AJ263" s="3" t="n">
        <v>9699.0</v>
      </c>
      <c r="AK263" s="3" t="n">
        <v>10240.0</v>
      </c>
      <c r="AL263" s="3" t="n">
        <v>10676.0</v>
      </c>
      <c r="AM263" s="3" t="n">
        <v>11383.0</v>
      </c>
      <c r="AN263" s="3" t="n">
        <v>11601.0</v>
      </c>
      <c r="AO263" s="3" t="n">
        <v>11460.0</v>
      </c>
    </row>
    <row r="264" spans="1:41" x14ac:dyDescent="0.2">
      <c r="A264" s="128"/>
      <c r="B264" s="9">
        <v>51</v>
      </c>
      <c r="C264" s="3" t="n">
        <v>16078.0</v>
      </c>
      <c r="D264" s="3" t="n">
        <v>16513.0</v>
      </c>
      <c r="E264" s="3" t="n">
        <v>16940.0</v>
      </c>
      <c r="F264" s="3" t="n">
        <v>17484.0</v>
      </c>
      <c r="G264" s="3" t="n">
        <v>18225.0</v>
      </c>
      <c r="H264" s="3" t="n">
        <v>18771.0</v>
      </c>
      <c r="I264" s="3" t="n">
        <v>18768.0</v>
      </c>
      <c r="J264" s="3" t="n">
        <v>18595.0</v>
      </c>
      <c r="K264" s="3" t="n">
        <v>18857.0</v>
      </c>
      <c r="L264" s="3" t="n">
        <v>18881.0</v>
      </c>
      <c r="M264" s="3" t="n">
        <v>18175.0</v>
      </c>
      <c r="N264" s="3" t="n">
        <v>19031.0</v>
      </c>
      <c r="O264" s="3" t="n">
        <v>19589.0</v>
      </c>
      <c r="P264" s="3" t="n">
        <v>18469.0</v>
      </c>
      <c r="Q264" s="3" t="n">
        <v>17683.0</v>
      </c>
      <c r="R264" s="3" t="n">
        <v>16638.0</v>
      </c>
      <c r="S264" s="3" t="n">
        <v>15840.0</v>
      </c>
      <c r="T264" s="3" t="n">
        <v>15391.0</v>
      </c>
      <c r="U264" s="3" t="n">
        <v>14929.0</v>
      </c>
      <c r="V264" s="3" t="n">
        <v>14734.0</v>
      </c>
      <c r="W264" s="3" t="n">
        <v>14366.0</v>
      </c>
      <c r="X264" s="3" t="n">
        <v>13499.0</v>
      </c>
      <c r="Y264" s="3" t="n">
        <v>13180.0</v>
      </c>
      <c r="Z264" s="3" t="n">
        <v>12536.0</v>
      </c>
      <c r="AA264" s="3" t="n">
        <v>11904.0</v>
      </c>
      <c r="AB264" s="3" t="n">
        <v>11305.0</v>
      </c>
      <c r="AC264" s="3" t="n">
        <v>10995.0</v>
      </c>
      <c r="AD264" s="3" t="n">
        <v>10410.0</v>
      </c>
      <c r="AE264" s="3" t="n">
        <v>10156.0</v>
      </c>
      <c r="AF264" s="3" t="n">
        <v>10049.0</v>
      </c>
      <c r="AG264" s="3" t="n">
        <v>9723.0</v>
      </c>
      <c r="AH264" s="3" t="n">
        <v>9530.0</v>
      </c>
      <c r="AI264" s="3" t="n">
        <v>9259.0</v>
      </c>
      <c r="AJ264" s="3" t="n">
        <v>9662.0</v>
      </c>
      <c r="AK264" s="3" t="n">
        <v>9681.0</v>
      </c>
      <c r="AL264" s="3" t="n">
        <v>10220.0</v>
      </c>
      <c r="AM264" s="3" t="n">
        <v>10654.0</v>
      </c>
      <c r="AN264" s="3" t="n">
        <v>11357.0</v>
      </c>
      <c r="AO264" s="3" t="n">
        <v>11575.0</v>
      </c>
    </row>
    <row r="265" spans="1:41" x14ac:dyDescent="0.2">
      <c r="A265" s="128"/>
      <c r="B265" s="9">
        <v>52</v>
      </c>
      <c r="C265" s="3" t="n">
        <v>15467.0</v>
      </c>
      <c r="D265" s="3" t="n">
        <v>16032.0</v>
      </c>
      <c r="E265" s="3" t="n">
        <v>16466.0</v>
      </c>
      <c r="F265" s="3" t="n">
        <v>16893.0</v>
      </c>
      <c r="G265" s="3" t="n">
        <v>17432.0</v>
      </c>
      <c r="H265" s="3" t="n">
        <v>18190.0</v>
      </c>
      <c r="I265" s="3" t="n">
        <v>18736.0</v>
      </c>
      <c r="J265" s="3" t="n">
        <v>18725.0</v>
      </c>
      <c r="K265" s="3" t="n">
        <v>18547.0</v>
      </c>
      <c r="L265" s="3" t="n">
        <v>18807.0</v>
      </c>
      <c r="M265" s="3" t="n">
        <v>18832.0</v>
      </c>
      <c r="N265" s="3" t="n">
        <v>18126.0</v>
      </c>
      <c r="O265" s="3" t="n">
        <v>18981.0</v>
      </c>
      <c r="P265" s="3" t="n">
        <v>19539.0</v>
      </c>
      <c r="Q265" s="3" t="n">
        <v>18424.0</v>
      </c>
      <c r="R265" s="3" t="n">
        <v>17639.0</v>
      </c>
      <c r="S265" s="3" t="n">
        <v>16596.0</v>
      </c>
      <c r="T265" s="3" t="n">
        <v>15801.0</v>
      </c>
      <c r="U265" s="3" t="n">
        <v>15355.0</v>
      </c>
      <c r="V265" s="3" t="n">
        <v>14893.0</v>
      </c>
      <c r="W265" s="3" t="n">
        <v>14699.0</v>
      </c>
      <c r="X265" s="3" t="n">
        <v>14331.0</v>
      </c>
      <c r="Y265" s="3" t="n">
        <v>13465.0</v>
      </c>
      <c r="Z265" s="3" t="n">
        <v>13145.0</v>
      </c>
      <c r="AA265" s="3" t="n">
        <v>12501.0</v>
      </c>
      <c r="AB265" s="3" t="n">
        <v>11870.0</v>
      </c>
      <c r="AC265" s="3" t="n">
        <v>11275.0</v>
      </c>
      <c r="AD265" s="3" t="n">
        <v>10964.0</v>
      </c>
      <c r="AE265" s="3" t="n">
        <v>10375.0</v>
      </c>
      <c r="AF265" s="3" t="n">
        <v>10120.0</v>
      </c>
      <c r="AG265" s="3" t="n">
        <v>10011.0</v>
      </c>
      <c r="AH265" s="3" t="n">
        <v>9685.0</v>
      </c>
      <c r="AI265" s="3" t="n">
        <v>9493.0</v>
      </c>
      <c r="AJ265" s="3" t="n">
        <v>9220.0</v>
      </c>
      <c r="AK265" s="3" t="n">
        <v>9624.0</v>
      </c>
      <c r="AL265" s="3" t="n">
        <v>9644.0</v>
      </c>
      <c r="AM265" s="3" t="n">
        <v>10179.0</v>
      </c>
      <c r="AN265" s="3" t="n">
        <v>10621.0</v>
      </c>
      <c r="AO265" s="3" t="n">
        <v>11323.0</v>
      </c>
    </row>
    <row r="266" spans="1:41" x14ac:dyDescent="0.2">
      <c r="A266" s="128"/>
      <c r="B266" s="9">
        <v>53</v>
      </c>
      <c r="C266" s="3" t="n">
        <v>15176.0</v>
      </c>
      <c r="D266" s="3" t="n">
        <v>15409.0</v>
      </c>
      <c r="E266" s="3" t="n">
        <v>15979.0</v>
      </c>
      <c r="F266" s="3" t="n">
        <v>16414.0</v>
      </c>
      <c r="G266" s="3" t="n">
        <v>16840.0</v>
      </c>
      <c r="H266" s="3" t="n">
        <v>17393.0</v>
      </c>
      <c r="I266" s="3" t="n">
        <v>18156.0</v>
      </c>
      <c r="J266" s="3" t="n">
        <v>18691.0</v>
      </c>
      <c r="K266" s="3" t="n">
        <v>18676.0</v>
      </c>
      <c r="L266" s="3" t="n">
        <v>18498.0</v>
      </c>
      <c r="M266" s="3" t="n">
        <v>18758.0</v>
      </c>
      <c r="N266" s="3" t="n">
        <v>18781.0</v>
      </c>
      <c r="O266" s="3" t="n">
        <v>18077.0</v>
      </c>
      <c r="P266" s="3" t="n">
        <v>18934.0</v>
      </c>
      <c r="Q266" s="3" t="n">
        <v>19490.0</v>
      </c>
      <c r="R266" s="3" t="n">
        <v>18383.0</v>
      </c>
      <c r="S266" s="3" t="n">
        <v>17602.0</v>
      </c>
      <c r="T266" s="3" t="n">
        <v>16560.0</v>
      </c>
      <c r="U266" s="3" t="n">
        <v>15761.0</v>
      </c>
      <c r="V266" s="3" t="n">
        <v>15315.0</v>
      </c>
      <c r="W266" s="3" t="n">
        <v>14855.0</v>
      </c>
      <c r="X266" s="3" t="n">
        <v>14660.0</v>
      </c>
      <c r="Y266" s="3" t="n">
        <v>14293.0</v>
      </c>
      <c r="Z266" s="3" t="n">
        <v>13428.0</v>
      </c>
      <c r="AA266" s="3" t="n">
        <v>13106.0</v>
      </c>
      <c r="AB266" s="3" t="n">
        <v>12465.0</v>
      </c>
      <c r="AC266" s="3" t="n">
        <v>11836.0</v>
      </c>
      <c r="AD266" s="3" t="n">
        <v>11239.0</v>
      </c>
      <c r="AE266" s="3" t="n">
        <v>10929.0</v>
      </c>
      <c r="AF266" s="3" t="n">
        <v>10342.0</v>
      </c>
      <c r="AG266" s="3" t="n">
        <v>10090.0</v>
      </c>
      <c r="AH266" s="3" t="n">
        <v>9980.0</v>
      </c>
      <c r="AI266" s="3" t="n">
        <v>9656.0</v>
      </c>
      <c r="AJ266" s="3" t="n">
        <v>9467.0</v>
      </c>
      <c r="AK266" s="3" t="n">
        <v>9191.0</v>
      </c>
      <c r="AL266" s="3" t="n">
        <v>9596.0</v>
      </c>
      <c r="AM266" s="3" t="n">
        <v>9617.0</v>
      </c>
      <c r="AN266" s="3" t="n">
        <v>10147.0</v>
      </c>
      <c r="AO266" s="3" t="n">
        <v>10590.0</v>
      </c>
    </row>
    <row r="267" spans="1:41" x14ac:dyDescent="0.2">
      <c r="A267" s="128"/>
      <c r="B267" s="9">
        <v>54</v>
      </c>
      <c r="C267" s="3" t="n">
        <v>14743.0</v>
      </c>
      <c r="D267" s="3" t="n">
        <v>15128.0</v>
      </c>
      <c r="E267" s="3" t="n">
        <v>15364.0</v>
      </c>
      <c r="F267" s="3" t="n">
        <v>15932.0</v>
      </c>
      <c r="G267" s="3" t="n">
        <v>16368.0</v>
      </c>
      <c r="H267" s="3" t="n">
        <v>16813.0</v>
      </c>
      <c r="I267" s="3" t="n">
        <v>17372.0</v>
      </c>
      <c r="J267" s="3" t="n">
        <v>18113.0</v>
      </c>
      <c r="K267" s="3" t="n">
        <v>18638.0</v>
      </c>
      <c r="L267" s="3" t="n">
        <v>18624.0</v>
      </c>
      <c r="M267" s="3" t="n">
        <v>18445.0</v>
      </c>
      <c r="N267" s="3" t="n">
        <v>18702.0</v>
      </c>
      <c r="O267" s="3" t="n">
        <v>18729.0</v>
      </c>
      <c r="P267" s="3" t="n">
        <v>18029.0</v>
      </c>
      <c r="Q267" s="3" t="n">
        <v>18882.0</v>
      </c>
      <c r="R267" s="3" t="n">
        <v>19435.0</v>
      </c>
      <c r="S267" s="3" t="n">
        <v>18335.0</v>
      </c>
      <c r="T267" s="3" t="n">
        <v>17560.0</v>
      </c>
      <c r="U267" s="3" t="n">
        <v>16522.0</v>
      </c>
      <c r="V267" s="3" t="n">
        <v>15725.0</v>
      </c>
      <c r="W267" s="3" t="n">
        <v>15282.0</v>
      </c>
      <c r="X267" s="3" t="n">
        <v>14823.0</v>
      </c>
      <c r="Y267" s="3" t="n">
        <v>14629.0</v>
      </c>
      <c r="Z267" s="3" t="n">
        <v>14263.0</v>
      </c>
      <c r="AA267" s="3" t="n">
        <v>13397.0</v>
      </c>
      <c r="AB267" s="3" t="n">
        <v>13076.0</v>
      </c>
      <c r="AC267" s="3" t="n">
        <v>12437.0</v>
      </c>
      <c r="AD267" s="3" t="n">
        <v>11812.0</v>
      </c>
      <c r="AE267" s="3" t="n">
        <v>11217.0</v>
      </c>
      <c r="AF267" s="3" t="n">
        <v>10907.0</v>
      </c>
      <c r="AG267" s="3" t="n">
        <v>10321.0</v>
      </c>
      <c r="AH267" s="3" t="n">
        <v>10072.0</v>
      </c>
      <c r="AI267" s="3" t="n">
        <v>9963.0</v>
      </c>
      <c r="AJ267" s="3" t="n">
        <v>9640.0</v>
      </c>
      <c r="AK267" s="3" t="n">
        <v>9446.0</v>
      </c>
      <c r="AL267" s="3" t="n">
        <v>9170.0</v>
      </c>
      <c r="AM267" s="3" t="n">
        <v>9578.0</v>
      </c>
      <c r="AN267" s="3" t="n">
        <v>9599.0</v>
      </c>
      <c r="AO267" s="3" t="n">
        <v>10124.0</v>
      </c>
    </row>
    <row r="268" spans="1:41" x14ac:dyDescent="0.2">
      <c r="A268" s="128"/>
      <c r="B268" s="9">
        <v>55</v>
      </c>
      <c r="C268" s="3" t="n">
        <v>14519.0</v>
      </c>
      <c r="D268" s="3" t="n">
        <v>14694.0</v>
      </c>
      <c r="E268" s="3" t="n">
        <v>15077.0</v>
      </c>
      <c r="F268" s="3" t="n">
        <v>15313.0</v>
      </c>
      <c r="G268" s="3" t="n">
        <v>15881.0</v>
      </c>
      <c r="H268" s="3" t="n">
        <v>16329.0</v>
      </c>
      <c r="I268" s="3" t="n">
        <v>16774.0</v>
      </c>
      <c r="J268" s="3" t="n">
        <v>17329.0</v>
      </c>
      <c r="K268" s="3" t="n">
        <v>18055.0</v>
      </c>
      <c r="L268" s="3" t="n">
        <v>18580.0</v>
      </c>
      <c r="M268" s="3" t="n">
        <v>18568.0</v>
      </c>
      <c r="N268" s="3" t="n">
        <v>18392.0</v>
      </c>
      <c r="O268" s="3" t="n">
        <v>18649.0</v>
      </c>
      <c r="P268" s="3" t="n">
        <v>18674.0</v>
      </c>
      <c r="Q268" s="3" t="n">
        <v>17980.0</v>
      </c>
      <c r="R268" s="3" t="n">
        <v>18832.0</v>
      </c>
      <c r="S268" s="3" t="n">
        <v>19382.0</v>
      </c>
      <c r="T268" s="3" t="n">
        <v>18288.0</v>
      </c>
      <c r="U268" s="3" t="n">
        <v>17516.0</v>
      </c>
      <c r="V268" s="3" t="n">
        <v>16481.0</v>
      </c>
      <c r="W268" s="3" t="n">
        <v>15684.0</v>
      </c>
      <c r="X268" s="3" t="n">
        <v>15240.0</v>
      </c>
      <c r="Y268" s="3" t="n">
        <v>14785.0</v>
      </c>
      <c r="Z268" s="3" t="n">
        <v>14590.0</v>
      </c>
      <c r="AA268" s="3" t="n">
        <v>14224.0</v>
      </c>
      <c r="AB268" s="3" t="n">
        <v>13361.0</v>
      </c>
      <c r="AC268" s="3" t="n">
        <v>13040.0</v>
      </c>
      <c r="AD268" s="3" t="n">
        <v>12400.0</v>
      </c>
      <c r="AE268" s="3" t="n">
        <v>11783.0</v>
      </c>
      <c r="AF268" s="3" t="n">
        <v>11192.0</v>
      </c>
      <c r="AG268" s="3" t="n">
        <v>10884.0</v>
      </c>
      <c r="AH268" s="3" t="n">
        <v>10299.0</v>
      </c>
      <c r="AI268" s="3" t="n">
        <v>10052.0</v>
      </c>
      <c r="AJ268" s="3" t="n">
        <v>9942.0</v>
      </c>
      <c r="AK268" s="3" t="n">
        <v>9622.0</v>
      </c>
      <c r="AL268" s="3" t="n">
        <v>9427.0</v>
      </c>
      <c r="AM268" s="3" t="n">
        <v>9153.0</v>
      </c>
      <c r="AN268" s="3" t="n">
        <v>9559.0</v>
      </c>
      <c r="AO268" s="3" t="n">
        <v>9579.0</v>
      </c>
    </row>
    <row r="269" spans="1:41" x14ac:dyDescent="0.2">
      <c r="A269" s="128"/>
      <c r="B269" s="9">
        <v>56</v>
      </c>
      <c r="C269" s="3" t="n">
        <v>14626.0</v>
      </c>
      <c r="D269" s="3" t="n">
        <v>14463.0</v>
      </c>
      <c r="E269" s="3" t="n">
        <v>14640.0</v>
      </c>
      <c r="F269" s="3" t="n">
        <v>15023.0</v>
      </c>
      <c r="G269" s="3" t="n">
        <v>15257.0</v>
      </c>
      <c r="H269" s="3" t="n">
        <v>15832.0</v>
      </c>
      <c r="I269" s="3" t="n">
        <v>16288.0</v>
      </c>
      <c r="J269" s="3" t="n">
        <v>16725.0</v>
      </c>
      <c r="K269" s="3" t="n">
        <v>17273.0</v>
      </c>
      <c r="L269" s="3" t="n">
        <v>17993.0</v>
      </c>
      <c r="M269" s="3" t="n">
        <v>18515.0</v>
      </c>
      <c r="N269" s="3" t="n">
        <v>18508.0</v>
      </c>
      <c r="O269" s="3" t="n">
        <v>18330.0</v>
      </c>
      <c r="P269" s="3" t="n">
        <v>18585.0</v>
      </c>
      <c r="Q269" s="3" t="n">
        <v>18613.0</v>
      </c>
      <c r="R269" s="3" t="n">
        <v>17920.0</v>
      </c>
      <c r="S269" s="3" t="n">
        <v>18774.0</v>
      </c>
      <c r="T269" s="3" t="n">
        <v>19325.0</v>
      </c>
      <c r="U269" s="3" t="n">
        <v>18234.0</v>
      </c>
      <c r="V269" s="3" t="n">
        <v>17465.0</v>
      </c>
      <c r="W269" s="3" t="n">
        <v>16437.0</v>
      </c>
      <c r="X269" s="3" t="n">
        <v>15646.0</v>
      </c>
      <c r="Y269" s="3" t="n">
        <v>15207.0</v>
      </c>
      <c r="Z269" s="3" t="n">
        <v>14756.0</v>
      </c>
      <c r="AA269" s="3" t="n">
        <v>14556.0</v>
      </c>
      <c r="AB269" s="3" t="n">
        <v>14193.0</v>
      </c>
      <c r="AC269" s="3" t="n">
        <v>13327.0</v>
      </c>
      <c r="AD269" s="3" t="n">
        <v>13011.0</v>
      </c>
      <c r="AE269" s="3" t="n">
        <v>12368.0</v>
      </c>
      <c r="AF269" s="3" t="n">
        <v>11749.0</v>
      </c>
      <c r="AG269" s="3" t="n">
        <v>11162.0</v>
      </c>
      <c r="AH269" s="3" t="n">
        <v>10852.0</v>
      </c>
      <c r="AI269" s="3" t="n">
        <v>10270.0</v>
      </c>
      <c r="AJ269" s="3" t="n">
        <v>10023.0</v>
      </c>
      <c r="AK269" s="3" t="n">
        <v>9912.0</v>
      </c>
      <c r="AL269" s="3" t="n">
        <v>9594.0</v>
      </c>
      <c r="AM269" s="3" t="n">
        <v>9404.0</v>
      </c>
      <c r="AN269" s="3" t="n">
        <v>9129.0</v>
      </c>
      <c r="AO269" s="3" t="n">
        <v>9534.0</v>
      </c>
    </row>
    <row r="270" spans="1:41" x14ac:dyDescent="0.2">
      <c r="A270" s="128"/>
      <c r="B270" s="9">
        <v>57</v>
      </c>
      <c r="C270" s="3" t="n">
        <v>14534.0</v>
      </c>
      <c r="D270" s="3" t="n">
        <v>14556.0</v>
      </c>
      <c r="E270" s="3" t="n">
        <v>14396.0</v>
      </c>
      <c r="F270" s="3" t="n">
        <v>14573.0</v>
      </c>
      <c r="G270" s="3" t="n">
        <v>14957.0</v>
      </c>
      <c r="H270" s="3" t="n">
        <v>15199.0</v>
      </c>
      <c r="I270" s="3" t="n">
        <v>15777.0</v>
      </c>
      <c r="J270" s="3" t="n">
        <v>16223.0</v>
      </c>
      <c r="K270" s="3" t="n">
        <v>16662.0</v>
      </c>
      <c r="L270" s="3" t="n">
        <v>17204.0</v>
      </c>
      <c r="M270" s="3" t="n">
        <v>17924.0</v>
      </c>
      <c r="N270" s="3" t="n">
        <v>18444.0</v>
      </c>
      <c r="O270" s="3" t="n">
        <v>18438.0</v>
      </c>
      <c r="P270" s="3" t="n">
        <v>18256.0</v>
      </c>
      <c r="Q270" s="3" t="n">
        <v>18511.0</v>
      </c>
      <c r="R270" s="3" t="n">
        <v>18540.0</v>
      </c>
      <c r="S270" s="3" t="n">
        <v>17851.0</v>
      </c>
      <c r="T270" s="3" t="n">
        <v>18702.0</v>
      </c>
      <c r="U270" s="3" t="n">
        <v>19256.0</v>
      </c>
      <c r="V270" s="3" t="n">
        <v>18165.0</v>
      </c>
      <c r="W270" s="3" t="n">
        <v>17403.0</v>
      </c>
      <c r="X270" s="3" t="n">
        <v>16377.0</v>
      </c>
      <c r="Y270" s="3" t="n">
        <v>15590.0</v>
      </c>
      <c r="Z270" s="3" t="n">
        <v>15154.0</v>
      </c>
      <c r="AA270" s="3" t="n">
        <v>14707.0</v>
      </c>
      <c r="AB270" s="3" t="n">
        <v>14508.0</v>
      </c>
      <c r="AC270" s="3" t="n">
        <v>14143.0</v>
      </c>
      <c r="AD270" s="3" t="n">
        <v>13277.0</v>
      </c>
      <c r="AE270" s="3" t="n">
        <v>12965.0</v>
      </c>
      <c r="AF270" s="3" t="n">
        <v>12327.0</v>
      </c>
      <c r="AG270" s="3" t="n">
        <v>11711.0</v>
      </c>
      <c r="AH270" s="3" t="n">
        <v>11129.0</v>
      </c>
      <c r="AI270" s="3" t="n">
        <v>10817.0</v>
      </c>
      <c r="AJ270" s="3" t="n">
        <v>10240.0</v>
      </c>
      <c r="AK270" s="3" t="n">
        <v>9995.0</v>
      </c>
      <c r="AL270" s="3" t="n">
        <v>9886.0</v>
      </c>
      <c r="AM270" s="3" t="n">
        <v>9565.0</v>
      </c>
      <c r="AN270" s="3" t="n">
        <v>9376.0</v>
      </c>
      <c r="AO270" s="3" t="n">
        <v>9103.0</v>
      </c>
    </row>
    <row r="271" spans="1:41" x14ac:dyDescent="0.2">
      <c r="A271" s="128"/>
      <c r="B271" s="9">
        <v>58</v>
      </c>
      <c r="C271" s="3" t="n">
        <v>14893.0</v>
      </c>
      <c r="D271" s="3" t="n">
        <v>14457.0</v>
      </c>
      <c r="E271" s="3" t="n">
        <v>14478.0</v>
      </c>
      <c r="F271" s="3" t="n">
        <v>14321.0</v>
      </c>
      <c r="G271" s="3" t="n">
        <v>14499.0</v>
      </c>
      <c r="H271" s="3" t="n">
        <v>14893.0</v>
      </c>
      <c r="I271" s="3" t="n">
        <v>15142.0</v>
      </c>
      <c r="J271" s="3" t="n">
        <v>15706.0</v>
      </c>
      <c r="K271" s="3" t="n">
        <v>16144.0</v>
      </c>
      <c r="L271" s="3" t="n">
        <v>16580.0</v>
      </c>
      <c r="M271" s="3" t="n">
        <v>17115.0</v>
      </c>
      <c r="N271" s="3" t="n">
        <v>17832.0</v>
      </c>
      <c r="O271" s="3" t="n">
        <v>18354.0</v>
      </c>
      <c r="P271" s="3" t="n">
        <v>18348.0</v>
      </c>
      <c r="Q271" s="3" t="n">
        <v>18166.0</v>
      </c>
      <c r="R271" s="3" t="n">
        <v>18418.0</v>
      </c>
      <c r="S271" s="3" t="n">
        <v>18451.0</v>
      </c>
      <c r="T271" s="3" t="n">
        <v>17767.0</v>
      </c>
      <c r="U271" s="3" t="n">
        <v>18617.0</v>
      </c>
      <c r="V271" s="3" t="n">
        <v>19173.0</v>
      </c>
      <c r="W271" s="3" t="n">
        <v>18082.0</v>
      </c>
      <c r="X271" s="3" t="n">
        <v>17324.0</v>
      </c>
      <c r="Y271" s="3" t="n">
        <v>16301.0</v>
      </c>
      <c r="Z271" s="3" t="n">
        <v>15519.0</v>
      </c>
      <c r="AA271" s="3" t="n">
        <v>15082.0</v>
      </c>
      <c r="AB271" s="3" t="n">
        <v>14643.0</v>
      </c>
      <c r="AC271" s="3" t="n">
        <v>14445.0</v>
      </c>
      <c r="AD271" s="3" t="n">
        <v>14084.0</v>
      </c>
      <c r="AE271" s="3" t="n">
        <v>13225.0</v>
      </c>
      <c r="AF271" s="3" t="n">
        <v>12911.0</v>
      </c>
      <c r="AG271" s="3" t="n">
        <v>12281.0</v>
      </c>
      <c r="AH271" s="3" t="n">
        <v>11668.0</v>
      </c>
      <c r="AI271" s="3" t="n">
        <v>11088.0</v>
      </c>
      <c r="AJ271" s="3" t="n">
        <v>10778.0</v>
      </c>
      <c r="AK271" s="3" t="n">
        <v>10200.0</v>
      </c>
      <c r="AL271" s="3" t="n">
        <v>9958.0</v>
      </c>
      <c r="AM271" s="3" t="n">
        <v>9848.0</v>
      </c>
      <c r="AN271" s="3" t="n">
        <v>9528.0</v>
      </c>
      <c r="AO271" s="3" t="n">
        <v>9340.0</v>
      </c>
    </row>
    <row r="272" spans="1:41" x14ac:dyDescent="0.2">
      <c r="A272" s="128"/>
      <c r="B272" s="9">
        <v>59</v>
      </c>
      <c r="C272" s="3" t="n">
        <v>15188.0</v>
      </c>
      <c r="D272" s="3" t="n">
        <v>14805.0</v>
      </c>
      <c r="E272" s="3" t="n">
        <v>14375.0</v>
      </c>
      <c r="F272" s="3" t="n">
        <v>14397.0</v>
      </c>
      <c r="G272" s="3" t="n">
        <v>14244.0</v>
      </c>
      <c r="H272" s="3" t="n">
        <v>14430.0</v>
      </c>
      <c r="I272" s="3" t="n">
        <v>14832.0</v>
      </c>
      <c r="J272" s="3" t="n">
        <v>15065.0</v>
      </c>
      <c r="K272" s="3" t="n">
        <v>15629.0</v>
      </c>
      <c r="L272" s="3" t="n">
        <v>16066.0</v>
      </c>
      <c r="M272" s="3" t="n">
        <v>16502.0</v>
      </c>
      <c r="N272" s="3" t="n">
        <v>17029.0</v>
      </c>
      <c r="O272" s="3" t="n">
        <v>17743.0</v>
      </c>
      <c r="P272" s="3" t="n">
        <v>18262.0</v>
      </c>
      <c r="Q272" s="3" t="n">
        <v>18254.0</v>
      </c>
      <c r="R272" s="3" t="n">
        <v>18077.0</v>
      </c>
      <c r="S272" s="3" t="n">
        <v>18329.0</v>
      </c>
      <c r="T272" s="3" t="n">
        <v>18360.0</v>
      </c>
      <c r="U272" s="3" t="n">
        <v>17681.0</v>
      </c>
      <c r="V272" s="3" t="n">
        <v>18525.0</v>
      </c>
      <c r="W272" s="3" t="n">
        <v>19077.0</v>
      </c>
      <c r="X272" s="3" t="n">
        <v>17997.0</v>
      </c>
      <c r="Y272" s="3" t="n">
        <v>17246.0</v>
      </c>
      <c r="Z272" s="3" t="n">
        <v>16231.0</v>
      </c>
      <c r="AA272" s="3" t="n">
        <v>15455.0</v>
      </c>
      <c r="AB272" s="3" t="n">
        <v>15021.0</v>
      </c>
      <c r="AC272" s="3" t="n">
        <v>14583.0</v>
      </c>
      <c r="AD272" s="3" t="n">
        <v>14381.0</v>
      </c>
      <c r="AE272" s="3" t="n">
        <v>14022.0</v>
      </c>
      <c r="AF272" s="3" t="n">
        <v>13165.0</v>
      </c>
      <c r="AG272" s="3" t="n">
        <v>12853.0</v>
      </c>
      <c r="AH272" s="3" t="n">
        <v>12228.0</v>
      </c>
      <c r="AI272" s="3" t="n">
        <v>11621.0</v>
      </c>
      <c r="AJ272" s="3" t="n">
        <v>11047.0</v>
      </c>
      <c r="AK272" s="3" t="n">
        <v>10737.0</v>
      </c>
      <c r="AL272" s="3" t="n">
        <v>10159.0</v>
      </c>
      <c r="AM272" s="3" t="n">
        <v>9921.0</v>
      </c>
      <c r="AN272" s="3" t="n">
        <v>9811.0</v>
      </c>
      <c r="AO272" s="3" t="n">
        <v>9494.0</v>
      </c>
    </row>
    <row r="273" spans="1:41" x14ac:dyDescent="0.2">
      <c r="A273" s="128"/>
      <c r="B273" s="9">
        <v>60</v>
      </c>
      <c r="C273" s="3" t="n">
        <v>15400.0</v>
      </c>
      <c r="D273" s="3" t="n">
        <v>15088.0</v>
      </c>
      <c r="E273" s="3" t="n">
        <v>14708.0</v>
      </c>
      <c r="F273" s="3" t="n">
        <v>14278.0</v>
      </c>
      <c r="G273" s="3" t="n">
        <v>14299.0</v>
      </c>
      <c r="H273" s="3" t="n">
        <v>14158.0</v>
      </c>
      <c r="I273" s="3" t="n">
        <v>14347.0</v>
      </c>
      <c r="J273" s="3" t="n">
        <v>14739.0</v>
      </c>
      <c r="K273" s="3" t="n">
        <v>14969.0</v>
      </c>
      <c r="L273" s="3" t="n">
        <v>15527.0</v>
      </c>
      <c r="M273" s="3" t="n">
        <v>15960.0</v>
      </c>
      <c r="N273" s="3" t="n">
        <v>16397.0</v>
      </c>
      <c r="O273" s="3" t="n">
        <v>16922.0</v>
      </c>
      <c r="P273" s="3" t="n">
        <v>17631.0</v>
      </c>
      <c r="Q273" s="3" t="n">
        <v>18151.0</v>
      </c>
      <c r="R273" s="3" t="n">
        <v>18142.0</v>
      </c>
      <c r="S273" s="3" t="n">
        <v>17968.0</v>
      </c>
      <c r="T273" s="3" t="n">
        <v>18224.0</v>
      </c>
      <c r="U273" s="3" t="n">
        <v>18252.0</v>
      </c>
      <c r="V273" s="3" t="n">
        <v>17577.0</v>
      </c>
      <c r="W273" s="3" t="n">
        <v>18421.0</v>
      </c>
      <c r="X273" s="3" t="n">
        <v>18970.0</v>
      </c>
      <c r="Y273" s="3" t="n">
        <v>17896.0</v>
      </c>
      <c r="Z273" s="3" t="n">
        <v>17148.0</v>
      </c>
      <c r="AA273" s="3" t="n">
        <v>16138.0</v>
      </c>
      <c r="AB273" s="3" t="n">
        <v>15363.0</v>
      </c>
      <c r="AC273" s="3" t="n">
        <v>14937.0</v>
      </c>
      <c r="AD273" s="3" t="n">
        <v>14507.0</v>
      </c>
      <c r="AE273" s="3" t="n">
        <v>14310.0</v>
      </c>
      <c r="AF273" s="3" t="n">
        <v>13955.0</v>
      </c>
      <c r="AG273" s="3" t="n">
        <v>13094.0</v>
      </c>
      <c r="AH273" s="3" t="n">
        <v>12784.0</v>
      </c>
      <c r="AI273" s="3" t="n">
        <v>12162.0</v>
      </c>
      <c r="AJ273" s="3" t="n">
        <v>11556.0</v>
      </c>
      <c r="AK273" s="3" t="n">
        <v>10984.0</v>
      </c>
      <c r="AL273" s="3" t="n">
        <v>10677.0</v>
      </c>
      <c r="AM273" s="3" t="n">
        <v>10102.0</v>
      </c>
      <c r="AN273" s="3" t="n">
        <v>9866.0</v>
      </c>
      <c r="AO273" s="3" t="n">
        <v>9757.0</v>
      </c>
    </row>
    <row r="274" spans="1:41" x14ac:dyDescent="0.2">
      <c r="A274" s="128"/>
      <c r="B274" s="9">
        <v>61</v>
      </c>
      <c r="C274" s="3" t="n">
        <v>16340.0</v>
      </c>
      <c r="D274" s="3" t="n">
        <v>15288.0</v>
      </c>
      <c r="E274" s="3" t="n">
        <v>14978.0</v>
      </c>
      <c r="F274" s="3" t="n">
        <v>14604.0</v>
      </c>
      <c r="G274" s="3" t="n">
        <v>14177.0</v>
      </c>
      <c r="H274" s="3" t="n">
        <v>14210.0</v>
      </c>
      <c r="I274" s="3" t="n">
        <v>14076.0</v>
      </c>
      <c r="J274" s="3" t="n">
        <v>14253.0</v>
      </c>
      <c r="K274" s="3" t="n">
        <v>14637.0</v>
      </c>
      <c r="L274" s="3" t="n">
        <v>14860.0</v>
      </c>
      <c r="M274" s="3" t="n">
        <v>15414.0</v>
      </c>
      <c r="N274" s="3" t="n">
        <v>15849.0</v>
      </c>
      <c r="O274" s="3" t="n">
        <v>16283.0</v>
      </c>
      <c r="P274" s="3" t="n">
        <v>16801.0</v>
      </c>
      <c r="Q274" s="3" t="n">
        <v>17503.0</v>
      </c>
      <c r="R274" s="3" t="n">
        <v>18020.0</v>
      </c>
      <c r="S274" s="3" t="n">
        <v>18015.0</v>
      </c>
      <c r="T274" s="3" t="n">
        <v>17845.0</v>
      </c>
      <c r="U274" s="3" t="n">
        <v>18100.0</v>
      </c>
      <c r="V274" s="3" t="n">
        <v>18128.0</v>
      </c>
      <c r="W274" s="3" t="n">
        <v>17461.0</v>
      </c>
      <c r="X274" s="3" t="n">
        <v>18302.0</v>
      </c>
      <c r="Y274" s="3" t="n">
        <v>18844.0</v>
      </c>
      <c r="Z274" s="3" t="n">
        <v>17781.0</v>
      </c>
      <c r="AA274" s="3" t="n">
        <v>17041.0</v>
      </c>
      <c r="AB274" s="3" t="n">
        <v>16039.0</v>
      </c>
      <c r="AC274" s="3" t="n">
        <v>15270.0</v>
      </c>
      <c r="AD274" s="3" t="n">
        <v>14843.0</v>
      </c>
      <c r="AE274" s="3" t="n">
        <v>14422.0</v>
      </c>
      <c r="AF274" s="3" t="n">
        <v>14229.0</v>
      </c>
      <c r="AG274" s="3" t="n">
        <v>13873.0</v>
      </c>
      <c r="AH274" s="3" t="n">
        <v>13018.0</v>
      </c>
      <c r="AI274" s="3" t="n">
        <v>12712.0</v>
      </c>
      <c r="AJ274" s="3" t="n">
        <v>12089.0</v>
      </c>
      <c r="AK274" s="3" t="n">
        <v>11486.0</v>
      </c>
      <c r="AL274" s="3" t="n">
        <v>10914.0</v>
      </c>
      <c r="AM274" s="3" t="n">
        <v>10610.0</v>
      </c>
      <c r="AN274" s="3" t="n">
        <v>10035.0</v>
      </c>
      <c r="AO274" s="3" t="n">
        <v>9803.0</v>
      </c>
    </row>
    <row r="275" spans="1:41" x14ac:dyDescent="0.2">
      <c r="A275" s="128"/>
      <c r="B275" s="9">
        <v>62</v>
      </c>
      <c r="C275" s="3" t="n">
        <v>17327.0</v>
      </c>
      <c r="D275" s="3" t="n">
        <v>16200.0</v>
      </c>
      <c r="E275" s="3" t="n">
        <v>15159.0</v>
      </c>
      <c r="F275" s="3" t="n">
        <v>14852.0</v>
      </c>
      <c r="G275" s="3" t="n">
        <v>14480.0</v>
      </c>
      <c r="H275" s="3" t="n">
        <v>14070.0</v>
      </c>
      <c r="I275" s="3" t="n">
        <v>14110.0</v>
      </c>
      <c r="J275" s="3" t="n">
        <v>13969.0</v>
      </c>
      <c r="K275" s="3" t="n">
        <v>14141.0</v>
      </c>
      <c r="L275" s="3" t="n">
        <v>14521.0</v>
      </c>
      <c r="M275" s="3" t="n">
        <v>14745.0</v>
      </c>
      <c r="N275" s="3" t="n">
        <v>15294.0</v>
      </c>
      <c r="O275" s="3" t="n">
        <v>15728.0</v>
      </c>
      <c r="P275" s="3" t="n">
        <v>16161.0</v>
      </c>
      <c r="Q275" s="3" t="n">
        <v>16676.0</v>
      </c>
      <c r="R275" s="3" t="n">
        <v>17375.0</v>
      </c>
      <c r="S275" s="3" t="n">
        <v>17890.0</v>
      </c>
      <c r="T275" s="3" t="n">
        <v>17883.0</v>
      </c>
      <c r="U275" s="3" t="n">
        <v>17714.0</v>
      </c>
      <c r="V275" s="3" t="n">
        <v>17968.0</v>
      </c>
      <c r="W275" s="3" t="n">
        <v>18000.0</v>
      </c>
      <c r="X275" s="3" t="n">
        <v>17336.0</v>
      </c>
      <c r="Y275" s="3" t="n">
        <v>18173.0</v>
      </c>
      <c r="Z275" s="3" t="n">
        <v>18711.0</v>
      </c>
      <c r="AA275" s="3" t="n">
        <v>17657.0</v>
      </c>
      <c r="AB275" s="3" t="n">
        <v>16930.0</v>
      </c>
      <c r="AC275" s="3" t="n">
        <v>15934.0</v>
      </c>
      <c r="AD275" s="3" t="n">
        <v>15171.0</v>
      </c>
      <c r="AE275" s="3" t="n">
        <v>14740.0</v>
      </c>
      <c r="AF275" s="3" t="n">
        <v>14321.0</v>
      </c>
      <c r="AG275" s="3" t="n">
        <v>14129.0</v>
      </c>
      <c r="AH275" s="3" t="n">
        <v>13775.0</v>
      </c>
      <c r="AI275" s="3" t="n">
        <v>12926.0</v>
      </c>
      <c r="AJ275" s="3" t="n">
        <v>12622.0</v>
      </c>
      <c r="AK275" s="3" t="n">
        <v>12003.0</v>
      </c>
      <c r="AL275" s="3" t="n">
        <v>11400.0</v>
      </c>
      <c r="AM275" s="3" t="n">
        <v>10835.0</v>
      </c>
      <c r="AN275" s="3" t="n">
        <v>10535.0</v>
      </c>
      <c r="AO275" s="3" t="n">
        <v>9963.0</v>
      </c>
    </row>
    <row r="276" spans="1:41" x14ac:dyDescent="0.2">
      <c r="A276" s="128"/>
      <c r="B276" s="9">
        <v>63</v>
      </c>
      <c r="C276" s="3" t="n">
        <v>18674.0</v>
      </c>
      <c r="D276" s="3" t="n">
        <v>17175.0</v>
      </c>
      <c r="E276" s="3" t="n">
        <v>16056.0</v>
      </c>
      <c r="F276" s="3" t="n">
        <v>15031.0</v>
      </c>
      <c r="G276" s="3" t="n">
        <v>14729.0</v>
      </c>
      <c r="H276" s="3" t="n">
        <v>14369.0</v>
      </c>
      <c r="I276" s="3" t="n">
        <v>13967.0</v>
      </c>
      <c r="J276" s="3" t="n">
        <v>14001.0</v>
      </c>
      <c r="K276" s="3" t="n">
        <v>13856.0</v>
      </c>
      <c r="L276" s="3" t="n">
        <v>14024.0</v>
      </c>
      <c r="M276" s="3" t="n">
        <v>14403.0</v>
      </c>
      <c r="N276" s="3" t="n">
        <v>14625.0</v>
      </c>
      <c r="O276" s="3" t="n">
        <v>15171.0</v>
      </c>
      <c r="P276" s="3" t="n">
        <v>15600.0</v>
      </c>
      <c r="Q276" s="3" t="n">
        <v>16034.0</v>
      </c>
      <c r="R276" s="3" t="n">
        <v>16549.0</v>
      </c>
      <c r="S276" s="3" t="n">
        <v>17243.0</v>
      </c>
      <c r="T276" s="3" t="n">
        <v>17750.0</v>
      </c>
      <c r="U276" s="3" t="n">
        <v>17741.0</v>
      </c>
      <c r="V276" s="3" t="n">
        <v>17577.0</v>
      </c>
      <c r="W276" s="3" t="n">
        <v>17829.0</v>
      </c>
      <c r="X276" s="3" t="n">
        <v>17864.0</v>
      </c>
      <c r="Y276" s="3" t="n">
        <v>17203.0</v>
      </c>
      <c r="Z276" s="3" t="n">
        <v>18034.0</v>
      </c>
      <c r="AA276" s="3" t="n">
        <v>18571.0</v>
      </c>
      <c r="AB276" s="3" t="n">
        <v>17526.0</v>
      </c>
      <c r="AC276" s="3" t="n">
        <v>16805.0</v>
      </c>
      <c r="AD276" s="3" t="n">
        <v>15817.0</v>
      </c>
      <c r="AE276" s="3" t="n">
        <v>15063.0</v>
      </c>
      <c r="AF276" s="3" t="n">
        <v>14632.0</v>
      </c>
      <c r="AG276" s="3" t="n">
        <v>14220.0</v>
      </c>
      <c r="AH276" s="3" t="n">
        <v>14031.0</v>
      </c>
      <c r="AI276" s="3" t="n">
        <v>13680.0</v>
      </c>
      <c r="AJ276" s="3" t="n">
        <v>12835.0</v>
      </c>
      <c r="AK276" s="3" t="n">
        <v>12536.0</v>
      </c>
      <c r="AL276" s="3" t="n">
        <v>11925.0</v>
      </c>
      <c r="AM276" s="3" t="n">
        <v>11321.0</v>
      </c>
      <c r="AN276" s="3" t="n">
        <v>10757.0</v>
      </c>
      <c r="AO276" s="3" t="n">
        <v>10456.0</v>
      </c>
    </row>
    <row r="277" spans="1:41" x14ac:dyDescent="0.2">
      <c r="A277" s="128"/>
      <c r="B277" s="9">
        <v>64</v>
      </c>
      <c r="C277" s="3" t="n">
        <v>19351.0</v>
      </c>
      <c r="D277" s="3" t="n">
        <v>18499.0</v>
      </c>
      <c r="E277" s="3" t="n">
        <v>17014.0</v>
      </c>
      <c r="F277" s="3" t="n">
        <v>15906.0</v>
      </c>
      <c r="G277" s="3" t="n">
        <v>14896.0</v>
      </c>
      <c r="H277" s="3" t="n">
        <v>14607.0</v>
      </c>
      <c r="I277" s="3" t="n">
        <v>14255.0</v>
      </c>
      <c r="J277" s="3" t="n">
        <v>13852.0</v>
      </c>
      <c r="K277" s="3" t="n">
        <v>13882.0</v>
      </c>
      <c r="L277" s="3" t="n">
        <v>13737.0</v>
      </c>
      <c r="M277" s="3" t="n">
        <v>13901.0</v>
      </c>
      <c r="N277" s="3" t="n">
        <v>14283.0</v>
      </c>
      <c r="O277" s="3" t="n">
        <v>14505.0</v>
      </c>
      <c r="P277" s="3" t="n">
        <v>15046.0</v>
      </c>
      <c r="Q277" s="3" t="n">
        <v>15471.0</v>
      </c>
      <c r="R277" s="3" t="n">
        <v>15898.0</v>
      </c>
      <c r="S277" s="3" t="n">
        <v>16408.0</v>
      </c>
      <c r="T277" s="3" t="n">
        <v>17096.0</v>
      </c>
      <c r="U277" s="3" t="n">
        <v>17602.0</v>
      </c>
      <c r="V277" s="3" t="n">
        <v>17592.0</v>
      </c>
      <c r="W277" s="3" t="n">
        <v>17432.0</v>
      </c>
      <c r="X277" s="3" t="n">
        <v>17685.0</v>
      </c>
      <c r="Y277" s="3" t="n">
        <v>17722.0</v>
      </c>
      <c r="Z277" s="3" t="n">
        <v>17068.0</v>
      </c>
      <c r="AA277" s="3" t="n">
        <v>17891.0</v>
      </c>
      <c r="AB277" s="3" t="n">
        <v>18424.0</v>
      </c>
      <c r="AC277" s="3" t="n">
        <v>17392.0</v>
      </c>
      <c r="AD277" s="3" t="n">
        <v>16678.0</v>
      </c>
      <c r="AE277" s="3" t="n">
        <v>15699.0</v>
      </c>
      <c r="AF277" s="3" t="n">
        <v>14947.0</v>
      </c>
      <c r="AG277" s="3" t="n">
        <v>14519.0</v>
      </c>
      <c r="AH277" s="3" t="n">
        <v>14113.0</v>
      </c>
      <c r="AI277" s="3" t="n">
        <v>13922.0</v>
      </c>
      <c r="AJ277" s="3" t="n">
        <v>13576.0</v>
      </c>
      <c r="AK277" s="3" t="n">
        <v>12739.0</v>
      </c>
      <c r="AL277" s="3" t="n">
        <v>12447.0</v>
      </c>
      <c r="AM277" s="3" t="n">
        <v>11841.0</v>
      </c>
      <c r="AN277" s="3" t="n">
        <v>11242.0</v>
      </c>
      <c r="AO277" s="3" t="n">
        <v>10683.0</v>
      </c>
    </row>
    <row r="278" spans="1:41" x14ac:dyDescent="0.2">
      <c r="A278" s="128"/>
      <c r="B278" s="9">
        <v>65</v>
      </c>
      <c r="C278" s="3" t="n">
        <v>19983.0</v>
      </c>
      <c r="D278" s="3" t="n">
        <v>19153.0</v>
      </c>
      <c r="E278" s="3" t="n">
        <v>18311.0</v>
      </c>
      <c r="F278" s="3" t="n">
        <v>16845.0</v>
      </c>
      <c r="G278" s="3" t="n">
        <v>15747.0</v>
      </c>
      <c r="H278" s="3" t="n">
        <v>14754.0</v>
      </c>
      <c r="I278" s="3" t="n">
        <v>14466.0</v>
      </c>
      <c r="J278" s="3" t="n">
        <v>14114.0</v>
      </c>
      <c r="K278" s="3" t="n">
        <v>13716.0</v>
      </c>
      <c r="L278" s="3" t="n">
        <v>13745.0</v>
      </c>
      <c r="M278" s="3" t="n">
        <v>13600.0</v>
      </c>
      <c r="N278" s="3" t="n">
        <v>13763.0</v>
      </c>
      <c r="O278" s="3" t="n">
        <v>14144.0</v>
      </c>
      <c r="P278" s="3" t="n">
        <v>14367.0</v>
      </c>
      <c r="Q278" s="3" t="n">
        <v>14904.0</v>
      </c>
      <c r="R278" s="3" t="n">
        <v>15323.0</v>
      </c>
      <c r="S278" s="3" t="n">
        <v>15749.0</v>
      </c>
      <c r="T278" s="3" t="n">
        <v>16252.0</v>
      </c>
      <c r="U278" s="3" t="n">
        <v>16935.0</v>
      </c>
      <c r="V278" s="3" t="n">
        <v>17435.0</v>
      </c>
      <c r="W278" s="3" t="n">
        <v>17429.0</v>
      </c>
      <c r="X278" s="3" t="n">
        <v>17270.0</v>
      </c>
      <c r="Y278" s="3" t="n">
        <v>17523.0</v>
      </c>
      <c r="Z278" s="3" t="n">
        <v>17564.0</v>
      </c>
      <c r="AA278" s="3" t="n">
        <v>16918.0</v>
      </c>
      <c r="AB278" s="3" t="n">
        <v>17734.0</v>
      </c>
      <c r="AC278" s="3" t="n">
        <v>18258.0</v>
      </c>
      <c r="AD278" s="3" t="n">
        <v>17238.0</v>
      </c>
      <c r="AE278" s="3" t="n">
        <v>16535.0</v>
      </c>
      <c r="AF278" s="3" t="n">
        <v>15562.0</v>
      </c>
      <c r="AG278" s="3" t="n">
        <v>14817.0</v>
      </c>
      <c r="AH278" s="3" t="n">
        <v>14398.0</v>
      </c>
      <c r="AI278" s="3" t="n">
        <v>13994.0</v>
      </c>
      <c r="AJ278" s="3" t="n">
        <v>13807.0</v>
      </c>
      <c r="AK278" s="3" t="n">
        <v>13462.0</v>
      </c>
      <c r="AL278" s="3" t="n">
        <v>12629.0</v>
      </c>
      <c r="AM278" s="3" t="n">
        <v>12339.0</v>
      </c>
      <c r="AN278" s="3" t="n">
        <v>11739.0</v>
      </c>
      <c r="AO278" s="3" t="n">
        <v>11154.0</v>
      </c>
    </row>
    <row r="279" spans="1:41" x14ac:dyDescent="0.2">
      <c r="A279" s="128"/>
      <c r="B279" s="9">
        <v>66</v>
      </c>
      <c r="C279" s="3" t="n">
        <v>19654.0</v>
      </c>
      <c r="D279" s="3" t="n">
        <v>19755.0</v>
      </c>
      <c r="E279" s="3" t="n">
        <v>18939.0</v>
      </c>
      <c r="F279" s="3" t="n">
        <v>18109.0</v>
      </c>
      <c r="G279" s="3" t="n">
        <v>16663.0</v>
      </c>
      <c r="H279" s="3" t="n">
        <v>15589.0</v>
      </c>
      <c r="I279" s="3" t="n">
        <v>14603.0</v>
      </c>
      <c r="J279" s="3" t="n">
        <v>14321.0</v>
      </c>
      <c r="K279" s="3" t="n">
        <v>13966.0</v>
      </c>
      <c r="L279" s="3" t="n">
        <v>13573.0</v>
      </c>
      <c r="M279" s="3" t="n">
        <v>13606.0</v>
      </c>
      <c r="N279" s="3" t="n">
        <v>13463.0</v>
      </c>
      <c r="O279" s="3" t="n">
        <v>13626.0</v>
      </c>
      <c r="P279" s="3" t="n">
        <v>14004.0</v>
      </c>
      <c r="Q279" s="3" t="n">
        <v>14227.0</v>
      </c>
      <c r="R279" s="3" t="n">
        <v>14758.0</v>
      </c>
      <c r="S279" s="3" t="n">
        <v>15173.0</v>
      </c>
      <c r="T279" s="3" t="n">
        <v>15594.0</v>
      </c>
      <c r="U279" s="3" t="n">
        <v>16093.0</v>
      </c>
      <c r="V279" s="3" t="n">
        <v>16768.0</v>
      </c>
      <c r="W279" s="3" t="n">
        <v>17267.0</v>
      </c>
      <c r="X279" s="3" t="n">
        <v>17262.0</v>
      </c>
      <c r="Y279" s="3" t="n">
        <v>17105.0</v>
      </c>
      <c r="Z279" s="3" t="n">
        <v>17359.0</v>
      </c>
      <c r="AA279" s="3" t="n">
        <v>17397.0</v>
      </c>
      <c r="AB279" s="3" t="n">
        <v>16761.0</v>
      </c>
      <c r="AC279" s="3" t="n">
        <v>17574.0</v>
      </c>
      <c r="AD279" s="3" t="n">
        <v>18085.0</v>
      </c>
      <c r="AE279" s="3" t="n">
        <v>17081.0</v>
      </c>
      <c r="AF279" s="3" t="n">
        <v>16388.0</v>
      </c>
      <c r="AG279" s="3" t="n">
        <v>15422.0</v>
      </c>
      <c r="AH279" s="3" t="n">
        <v>14684.0</v>
      </c>
      <c r="AI279" s="3" t="n">
        <v>14273.0</v>
      </c>
      <c r="AJ279" s="3" t="n">
        <v>13871.0</v>
      </c>
      <c r="AK279" s="3" t="n">
        <v>13686.0</v>
      </c>
      <c r="AL279" s="3" t="n">
        <v>13347.0</v>
      </c>
      <c r="AM279" s="3" t="n">
        <v>12518.0</v>
      </c>
      <c r="AN279" s="3" t="n">
        <v>12229.0</v>
      </c>
      <c r="AO279" s="3" t="n">
        <v>11638.0</v>
      </c>
    </row>
    <row r="280" spans="1:41" x14ac:dyDescent="0.2">
      <c r="A280" s="128"/>
      <c r="B280" s="9">
        <v>67</v>
      </c>
      <c r="C280" s="3" t="n">
        <v>19920.0</v>
      </c>
      <c r="D280" s="3" t="n">
        <v>19412.0</v>
      </c>
      <c r="E280" s="3" t="n">
        <v>19513.0</v>
      </c>
      <c r="F280" s="3" t="n">
        <v>18710.0</v>
      </c>
      <c r="G280" s="3" t="n">
        <v>17892.0</v>
      </c>
      <c r="H280" s="3" t="n">
        <v>16468.0</v>
      </c>
      <c r="I280" s="3" t="n">
        <v>15409.0</v>
      </c>
      <c r="J280" s="3" t="n">
        <v>14430.0</v>
      </c>
      <c r="K280" s="3" t="n">
        <v>14150.0</v>
      </c>
      <c r="L280" s="3" t="n">
        <v>13804.0</v>
      </c>
      <c r="M280" s="3" t="n">
        <v>13413.0</v>
      </c>
      <c r="N280" s="3" t="n">
        <v>13448.0</v>
      </c>
      <c r="O280" s="3" t="n">
        <v>13307.0</v>
      </c>
      <c r="P280" s="3" t="n">
        <v>13470.0</v>
      </c>
      <c r="Q280" s="3" t="n">
        <v>13844.0</v>
      </c>
      <c r="R280" s="3" t="n">
        <v>14068.0</v>
      </c>
      <c r="S280" s="3" t="n">
        <v>14595.0</v>
      </c>
      <c r="T280" s="3" t="n">
        <v>15008.0</v>
      </c>
      <c r="U280" s="3" t="n">
        <v>15424.0</v>
      </c>
      <c r="V280" s="3" t="n">
        <v>15917.0</v>
      </c>
      <c r="W280" s="3" t="n">
        <v>16585.0</v>
      </c>
      <c r="X280" s="3" t="n">
        <v>17080.0</v>
      </c>
      <c r="Y280" s="3" t="n">
        <v>17077.0</v>
      </c>
      <c r="Z280" s="3" t="n">
        <v>16920.0</v>
      </c>
      <c r="AA280" s="3" t="n">
        <v>17176.0</v>
      </c>
      <c r="AB280" s="3" t="n">
        <v>17213.0</v>
      </c>
      <c r="AC280" s="3" t="n">
        <v>16587.0</v>
      </c>
      <c r="AD280" s="3" t="n">
        <v>17389.0</v>
      </c>
      <c r="AE280" s="3" t="n">
        <v>17900.0</v>
      </c>
      <c r="AF280" s="3" t="n">
        <v>16905.0</v>
      </c>
      <c r="AG280" s="3" t="n">
        <v>16215.0</v>
      </c>
      <c r="AH280" s="3" t="n">
        <v>15266.0</v>
      </c>
      <c r="AI280" s="3" t="n">
        <v>14536.0</v>
      </c>
      <c r="AJ280" s="3" t="n">
        <v>14130.0</v>
      </c>
      <c r="AK280" s="3" t="n">
        <v>13738.0</v>
      </c>
      <c r="AL280" s="3" t="n">
        <v>13552.0</v>
      </c>
      <c r="AM280" s="3" t="n">
        <v>13211.0</v>
      </c>
      <c r="AN280" s="3" t="n">
        <v>12392.0</v>
      </c>
      <c r="AO280" s="3" t="n">
        <v>12111.0</v>
      </c>
    </row>
    <row r="281" spans="1:41" x14ac:dyDescent="0.2">
      <c r="A281" s="128"/>
      <c r="B281" s="9">
        <v>68</v>
      </c>
      <c r="C281" s="3" t="n">
        <v>18933.0</v>
      </c>
      <c r="D281" s="3" t="n">
        <v>19652.0</v>
      </c>
      <c r="E281" s="3" t="n">
        <v>19150.0</v>
      </c>
      <c r="F281" s="3" t="n">
        <v>19252.0</v>
      </c>
      <c r="G281" s="3" t="n">
        <v>18468.0</v>
      </c>
      <c r="H281" s="3" t="n">
        <v>17665.0</v>
      </c>
      <c r="I281" s="3" t="n">
        <v>16261.0</v>
      </c>
      <c r="J281" s="3" t="n">
        <v>15214.0</v>
      </c>
      <c r="K281" s="3" t="n">
        <v>14248.0</v>
      </c>
      <c r="L281" s="3" t="n">
        <v>13974.0</v>
      </c>
      <c r="M281" s="3" t="n">
        <v>13634.0</v>
      </c>
      <c r="N281" s="3" t="n">
        <v>13245.0</v>
      </c>
      <c r="O281" s="3" t="n">
        <v>13283.0</v>
      </c>
      <c r="P281" s="3" t="n">
        <v>13139.0</v>
      </c>
      <c r="Q281" s="3" t="n">
        <v>13303.0</v>
      </c>
      <c r="R281" s="3" t="n">
        <v>13675.0</v>
      </c>
      <c r="S281" s="3" t="n">
        <v>13900.0</v>
      </c>
      <c r="T281" s="3" t="n">
        <v>14423.0</v>
      </c>
      <c r="U281" s="3" t="n">
        <v>14834.0</v>
      </c>
      <c r="V281" s="3" t="n">
        <v>15248.0</v>
      </c>
      <c r="W281" s="3" t="n">
        <v>15733.0</v>
      </c>
      <c r="X281" s="3" t="n">
        <v>16394.0</v>
      </c>
      <c r="Y281" s="3" t="n">
        <v>16886.0</v>
      </c>
      <c r="Z281" s="3" t="n">
        <v>16879.0</v>
      </c>
      <c r="AA281" s="3" t="n">
        <v>16726.0</v>
      </c>
      <c r="AB281" s="3" t="n">
        <v>16982.0</v>
      </c>
      <c r="AC281" s="3" t="n">
        <v>17019.0</v>
      </c>
      <c r="AD281" s="3" t="n">
        <v>16399.0</v>
      </c>
      <c r="AE281" s="3" t="n">
        <v>17190.0</v>
      </c>
      <c r="AF281" s="3" t="n">
        <v>17696.0</v>
      </c>
      <c r="AG281" s="3" t="n">
        <v>16713.0</v>
      </c>
      <c r="AH281" s="3" t="n">
        <v>16036.0</v>
      </c>
      <c r="AI281" s="3" t="n">
        <v>15100.0</v>
      </c>
      <c r="AJ281" s="3" t="n">
        <v>14378.0</v>
      </c>
      <c r="AK281" s="3" t="n">
        <v>13978.0</v>
      </c>
      <c r="AL281" s="3" t="n">
        <v>13587.0</v>
      </c>
      <c r="AM281" s="3" t="n">
        <v>13401.0</v>
      </c>
      <c r="AN281" s="3" t="n">
        <v>13064.0</v>
      </c>
      <c r="AO281" s="3" t="n">
        <v>12259.0</v>
      </c>
    </row>
    <row r="282" spans="1:41" x14ac:dyDescent="0.2">
      <c r="A282" s="128"/>
      <c r="B282" s="9">
        <v>69</v>
      </c>
      <c r="C282" s="3" t="n">
        <v>19003.0</v>
      </c>
      <c r="D282" s="3" t="n">
        <v>18654.0</v>
      </c>
      <c r="E282" s="3" t="n">
        <v>19365.0</v>
      </c>
      <c r="F282" s="3" t="n">
        <v>18872.0</v>
      </c>
      <c r="G282" s="3" t="n">
        <v>18974.0</v>
      </c>
      <c r="H282" s="3" t="n">
        <v>18209.0</v>
      </c>
      <c r="I282" s="3" t="n">
        <v>17418.0</v>
      </c>
      <c r="J282" s="3" t="n">
        <v>16037.0</v>
      </c>
      <c r="K282" s="3" t="n">
        <v>15004.0</v>
      </c>
      <c r="L282" s="3" t="n">
        <v>14053.0</v>
      </c>
      <c r="M282" s="3" t="n">
        <v>13782.0</v>
      </c>
      <c r="N282" s="3" t="n">
        <v>13447.0</v>
      </c>
      <c r="O282" s="3" t="n">
        <v>13063.0</v>
      </c>
      <c r="P282" s="3" t="n">
        <v>13102.0</v>
      </c>
      <c r="Q282" s="3" t="n">
        <v>12963.0</v>
      </c>
      <c r="R282" s="3" t="n">
        <v>13123.0</v>
      </c>
      <c r="S282" s="3" t="n">
        <v>13493.0</v>
      </c>
      <c r="T282" s="3" t="n">
        <v>13716.0</v>
      </c>
      <c r="U282" s="3" t="n">
        <v>14234.0</v>
      </c>
      <c r="V282" s="3" t="n">
        <v>14641.0</v>
      </c>
      <c r="W282" s="3" t="n">
        <v>15050.0</v>
      </c>
      <c r="X282" s="3" t="n">
        <v>15532.0</v>
      </c>
      <c r="Y282" s="3" t="n">
        <v>16187.0</v>
      </c>
      <c r="Z282" s="3" t="n">
        <v>16672.0</v>
      </c>
      <c r="AA282" s="3" t="n">
        <v>16666.0</v>
      </c>
      <c r="AB282" s="3" t="n">
        <v>16518.0</v>
      </c>
      <c r="AC282" s="3" t="n">
        <v>16772.0</v>
      </c>
      <c r="AD282" s="3" t="n">
        <v>16807.0</v>
      </c>
      <c r="AE282" s="3" t="n">
        <v>16197.0</v>
      </c>
      <c r="AF282" s="3" t="n">
        <v>16979.0</v>
      </c>
      <c r="AG282" s="3" t="n">
        <v>17477.0</v>
      </c>
      <c r="AH282" s="3" t="n">
        <v>16508.0</v>
      </c>
      <c r="AI282" s="3" t="n">
        <v>15839.0</v>
      </c>
      <c r="AJ282" s="3" t="n">
        <v>14915.0</v>
      </c>
      <c r="AK282" s="3" t="n">
        <v>14204.0</v>
      </c>
      <c r="AL282" s="3" t="n">
        <v>13811.0</v>
      </c>
      <c r="AM282" s="3" t="n">
        <v>13427.0</v>
      </c>
      <c r="AN282" s="3" t="n">
        <v>13243.0</v>
      </c>
      <c r="AO282" s="3" t="n">
        <v>12912.0</v>
      </c>
    </row>
    <row r="283" spans="1:41" x14ac:dyDescent="0.2">
      <c r="A283" s="128"/>
      <c r="B283" s="9">
        <v>70</v>
      </c>
      <c r="C283" s="3" t="n">
        <v>18539.0</v>
      </c>
      <c r="D283" s="3" t="n">
        <v>18692.0</v>
      </c>
      <c r="E283" s="3" t="n">
        <v>18354.0</v>
      </c>
      <c r="F283" s="3" t="n">
        <v>19058.0</v>
      </c>
      <c r="G283" s="3" t="n">
        <v>18574.0</v>
      </c>
      <c r="H283" s="3" t="n">
        <v>18681.0</v>
      </c>
      <c r="I283" s="3" t="n">
        <v>17927.0</v>
      </c>
      <c r="J283" s="3" t="n">
        <v>17151.0</v>
      </c>
      <c r="K283" s="3" t="n">
        <v>15793.0</v>
      </c>
      <c r="L283" s="3" t="n">
        <v>14779.0</v>
      </c>
      <c r="M283" s="3" t="n">
        <v>13843.0</v>
      </c>
      <c r="N283" s="3" t="n">
        <v>13578.0</v>
      </c>
      <c r="O283" s="3" t="n">
        <v>13250.0</v>
      </c>
      <c r="P283" s="3" t="n">
        <v>12866.0</v>
      </c>
      <c r="Q283" s="3" t="n">
        <v>12908.0</v>
      </c>
      <c r="R283" s="3" t="n">
        <v>12769.0</v>
      </c>
      <c r="S283" s="3" t="n">
        <v>12933.0</v>
      </c>
      <c r="T283" s="3" t="n">
        <v>13298.0</v>
      </c>
      <c r="U283" s="3" t="n">
        <v>13518.0</v>
      </c>
      <c r="V283" s="3" t="n">
        <v>14032.0</v>
      </c>
      <c r="W283" s="3" t="n">
        <v>14435.0</v>
      </c>
      <c r="X283" s="3" t="n">
        <v>14837.0</v>
      </c>
      <c r="Y283" s="3" t="n">
        <v>15315.0</v>
      </c>
      <c r="Z283" s="3" t="n">
        <v>15962.0</v>
      </c>
      <c r="AA283" s="3" t="n">
        <v>16444.0</v>
      </c>
      <c r="AB283" s="3" t="n">
        <v>16437.0</v>
      </c>
      <c r="AC283" s="3" t="n">
        <v>16292.0</v>
      </c>
      <c r="AD283" s="3" t="n">
        <v>16544.0</v>
      </c>
      <c r="AE283" s="3" t="n">
        <v>16580.0</v>
      </c>
      <c r="AF283" s="3" t="n">
        <v>15977.0</v>
      </c>
      <c r="AG283" s="3" t="n">
        <v>16749.0</v>
      </c>
      <c r="AH283" s="3" t="n">
        <v>17244.0</v>
      </c>
      <c r="AI283" s="3" t="n">
        <v>16289.0</v>
      </c>
      <c r="AJ283" s="3" t="n">
        <v>15632.0</v>
      </c>
      <c r="AK283" s="3" t="n">
        <v>14721.0</v>
      </c>
      <c r="AL283" s="3" t="n">
        <v>14014.0</v>
      </c>
      <c r="AM283" s="3" t="n">
        <v>13628.0</v>
      </c>
      <c r="AN283" s="3" t="n">
        <v>13249.0</v>
      </c>
      <c r="AO283" s="3" t="n">
        <v>13068.0</v>
      </c>
    </row>
    <row r="284" spans="1:41" x14ac:dyDescent="0.2">
      <c r="A284" s="128"/>
      <c r="B284" s="9">
        <v>71</v>
      </c>
      <c r="C284" s="3" t="n">
        <v>18410.0</v>
      </c>
      <c r="D284" s="3" t="n">
        <v>18211.0</v>
      </c>
      <c r="E284" s="3" t="n">
        <v>18359.0</v>
      </c>
      <c r="F284" s="3" t="n">
        <v>18029.0</v>
      </c>
      <c r="G284" s="3" t="n">
        <v>18728.0</v>
      </c>
      <c r="H284" s="3" t="n">
        <v>18257.0</v>
      </c>
      <c r="I284" s="3" t="n">
        <v>18360.0</v>
      </c>
      <c r="J284" s="3" t="n">
        <v>17624.0</v>
      </c>
      <c r="K284" s="3" t="n">
        <v>16863.0</v>
      </c>
      <c r="L284" s="3" t="n">
        <v>15532.0</v>
      </c>
      <c r="M284" s="3" t="n">
        <v>14531.0</v>
      </c>
      <c r="N284" s="3" t="n">
        <v>13616.0</v>
      </c>
      <c r="O284" s="3" t="n">
        <v>13359.0</v>
      </c>
      <c r="P284" s="3" t="n">
        <v>13034.0</v>
      </c>
      <c r="Q284" s="3" t="n">
        <v>12660.0</v>
      </c>
      <c r="R284" s="3" t="n">
        <v>12703.0</v>
      </c>
      <c r="S284" s="3" t="n">
        <v>12567.0</v>
      </c>
      <c r="T284" s="3" t="n">
        <v>12729.0</v>
      </c>
      <c r="U284" s="3" t="n">
        <v>13089.0</v>
      </c>
      <c r="V284" s="3" t="n">
        <v>13309.0</v>
      </c>
      <c r="W284" s="3" t="n">
        <v>13818.0</v>
      </c>
      <c r="X284" s="3" t="n">
        <v>14212.0</v>
      </c>
      <c r="Y284" s="3" t="n">
        <v>14615.0</v>
      </c>
      <c r="Z284" s="3" t="n">
        <v>15078.0</v>
      </c>
      <c r="AA284" s="3" t="n">
        <v>15717.0</v>
      </c>
      <c r="AB284" s="3" t="n">
        <v>16197.0</v>
      </c>
      <c r="AC284" s="3" t="n">
        <v>16189.0</v>
      </c>
      <c r="AD284" s="3" t="n">
        <v>16046.0</v>
      </c>
      <c r="AE284" s="3" t="n">
        <v>16301.0</v>
      </c>
      <c r="AF284" s="3" t="n">
        <v>16334.0</v>
      </c>
      <c r="AG284" s="3" t="n">
        <v>15740.0</v>
      </c>
      <c r="AH284" s="3" t="n">
        <v>16505.0</v>
      </c>
      <c r="AI284" s="3" t="n">
        <v>16991.0</v>
      </c>
      <c r="AJ284" s="3" t="n">
        <v>16050.0</v>
      </c>
      <c r="AK284" s="3" t="n">
        <v>15405.0</v>
      </c>
      <c r="AL284" s="3" t="n">
        <v>14512.0</v>
      </c>
      <c r="AM284" s="3" t="n">
        <v>13804.0</v>
      </c>
      <c r="AN284" s="3" t="n">
        <v>13429.0</v>
      </c>
      <c r="AO284" s="3" t="n">
        <v>13056.0</v>
      </c>
    </row>
    <row r="285" spans="1:41" x14ac:dyDescent="0.2">
      <c r="A285" s="128"/>
      <c r="B285" s="9">
        <v>72</v>
      </c>
      <c r="C285" s="3" t="n">
        <v>17006.0</v>
      </c>
      <c r="D285" s="3" t="n">
        <v>18055.0</v>
      </c>
      <c r="E285" s="3" t="n">
        <v>17863.0</v>
      </c>
      <c r="F285" s="3" t="n">
        <v>18013.0</v>
      </c>
      <c r="G285" s="3" t="n">
        <v>17691.0</v>
      </c>
      <c r="H285" s="3" t="n">
        <v>18386.0</v>
      </c>
      <c r="I285" s="3" t="n">
        <v>17926.0</v>
      </c>
      <c r="J285" s="3" t="n">
        <v>18023.0</v>
      </c>
      <c r="K285" s="3" t="n">
        <v>17304.0</v>
      </c>
      <c r="L285" s="3" t="n">
        <v>16562.0</v>
      </c>
      <c r="M285" s="3" t="n">
        <v>15260.0</v>
      </c>
      <c r="N285" s="3" t="n">
        <v>14278.0</v>
      </c>
      <c r="O285" s="3" t="n">
        <v>13380.0</v>
      </c>
      <c r="P285" s="3" t="n">
        <v>13126.0</v>
      </c>
      <c r="Q285" s="3" t="n">
        <v>12807.0</v>
      </c>
      <c r="R285" s="3" t="n">
        <v>12438.0</v>
      </c>
      <c r="S285" s="3" t="n">
        <v>12487.0</v>
      </c>
      <c r="T285" s="3" t="n">
        <v>12348.0</v>
      </c>
      <c r="U285" s="3" t="n">
        <v>12512.0</v>
      </c>
      <c r="V285" s="3" t="n">
        <v>12864.0</v>
      </c>
      <c r="W285" s="3" t="n">
        <v>13084.0</v>
      </c>
      <c r="X285" s="3" t="n">
        <v>13585.0</v>
      </c>
      <c r="Y285" s="3" t="n">
        <v>13976.0</v>
      </c>
      <c r="Z285" s="3" t="n">
        <v>14374.0</v>
      </c>
      <c r="AA285" s="3" t="n">
        <v>14833.0</v>
      </c>
      <c r="AB285" s="3" t="n">
        <v>15462.0</v>
      </c>
      <c r="AC285" s="3" t="n">
        <v>15933.0</v>
      </c>
      <c r="AD285" s="3" t="n">
        <v>15927.0</v>
      </c>
      <c r="AE285" s="3" t="n">
        <v>15787.0</v>
      </c>
      <c r="AF285" s="3" t="n">
        <v>16039.0</v>
      </c>
      <c r="AG285" s="3" t="n">
        <v>16070.0</v>
      </c>
      <c r="AH285" s="3" t="n">
        <v>15489.0</v>
      </c>
      <c r="AI285" s="3" t="n">
        <v>16245.0</v>
      </c>
      <c r="AJ285" s="3" t="n">
        <v>16723.0</v>
      </c>
      <c r="AK285" s="3" t="n">
        <v>15801.0</v>
      </c>
      <c r="AL285" s="3" t="n">
        <v>15166.0</v>
      </c>
      <c r="AM285" s="3" t="n">
        <v>14288.0</v>
      </c>
      <c r="AN285" s="3" t="n">
        <v>13594.0</v>
      </c>
      <c r="AO285" s="3" t="n">
        <v>13222.0</v>
      </c>
    </row>
    <row r="286" spans="1:41" x14ac:dyDescent="0.2">
      <c r="A286" s="128"/>
      <c r="B286" s="9">
        <v>73</v>
      </c>
      <c r="C286" s="3" t="n">
        <v>16046.0</v>
      </c>
      <c r="D286" s="3" t="n">
        <v>16645.0</v>
      </c>
      <c r="E286" s="3" t="n">
        <v>17673.0</v>
      </c>
      <c r="F286" s="3" t="n">
        <v>17488.0</v>
      </c>
      <c r="G286" s="3" t="n">
        <v>17639.0</v>
      </c>
      <c r="H286" s="3" t="n">
        <v>17330.0</v>
      </c>
      <c r="I286" s="3" t="n">
        <v>18013.0</v>
      </c>
      <c r="J286" s="3" t="n">
        <v>17564.0</v>
      </c>
      <c r="K286" s="3" t="n">
        <v>17662.0</v>
      </c>
      <c r="L286" s="3" t="n">
        <v>16962.0</v>
      </c>
      <c r="M286" s="3" t="n">
        <v>16236.0</v>
      </c>
      <c r="N286" s="3" t="n">
        <v>14960.0</v>
      </c>
      <c r="O286" s="3" t="n">
        <v>14001.0</v>
      </c>
      <c r="P286" s="3" t="n">
        <v>13122.0</v>
      </c>
      <c r="Q286" s="3" t="n">
        <v>12877.0</v>
      </c>
      <c r="R286" s="3" t="n">
        <v>12561.0</v>
      </c>
      <c r="S286" s="3" t="n">
        <v>12203.0</v>
      </c>
      <c r="T286" s="3" t="n">
        <v>12248.0</v>
      </c>
      <c r="U286" s="3" t="n">
        <v>12117.0</v>
      </c>
      <c r="V286" s="3" t="n">
        <v>12274.0</v>
      </c>
      <c r="W286" s="3" t="n">
        <v>12623.0</v>
      </c>
      <c r="X286" s="3" t="n">
        <v>12841.0</v>
      </c>
      <c r="Y286" s="3" t="n">
        <v>13337.0</v>
      </c>
      <c r="Z286" s="3" t="n">
        <v>13720.0</v>
      </c>
      <c r="AA286" s="3" t="n">
        <v>14111.0</v>
      </c>
      <c r="AB286" s="3" t="n">
        <v>14567.0</v>
      </c>
      <c r="AC286" s="3" t="n">
        <v>15184.0</v>
      </c>
      <c r="AD286" s="3" t="n">
        <v>15644.0</v>
      </c>
      <c r="AE286" s="3" t="n">
        <v>15641.0</v>
      </c>
      <c r="AF286" s="3" t="n">
        <v>15502.0</v>
      </c>
      <c r="AG286" s="3" t="n">
        <v>15751.0</v>
      </c>
      <c r="AH286" s="3" t="n">
        <v>15787.0</v>
      </c>
      <c r="AI286" s="3" t="n">
        <v>15215.0</v>
      </c>
      <c r="AJ286" s="3" t="n">
        <v>15959.0</v>
      </c>
      <c r="AK286" s="3" t="n">
        <v>16437.0</v>
      </c>
      <c r="AL286" s="3" t="n">
        <v>15530.0</v>
      </c>
      <c r="AM286" s="3" t="n">
        <v>14906.0</v>
      </c>
      <c r="AN286" s="3" t="n">
        <v>14038.0</v>
      </c>
      <c r="AO286" s="3" t="n">
        <v>13361.0</v>
      </c>
    </row>
    <row r="287" spans="1:41" x14ac:dyDescent="0.2">
      <c r="A287" s="128"/>
      <c r="B287" s="9">
        <v>74</v>
      </c>
      <c r="C287" s="3" t="n">
        <v>15890.0</v>
      </c>
      <c r="D287" s="3" t="n">
        <v>15662.0</v>
      </c>
      <c r="E287" s="3" t="n">
        <v>16245.0</v>
      </c>
      <c r="F287" s="3" t="n">
        <v>17253.0</v>
      </c>
      <c r="G287" s="3" t="n">
        <v>17078.0</v>
      </c>
      <c r="H287" s="3" t="n">
        <v>17233.0</v>
      </c>
      <c r="I287" s="3" t="n">
        <v>16931.0</v>
      </c>
      <c r="J287" s="3" t="n">
        <v>17605.0</v>
      </c>
      <c r="K287" s="3" t="n">
        <v>17166.0</v>
      </c>
      <c r="L287" s="3" t="n">
        <v>17265.0</v>
      </c>
      <c r="M287" s="3" t="n">
        <v>16583.0</v>
      </c>
      <c r="N287" s="3" t="n">
        <v>15876.0</v>
      </c>
      <c r="O287" s="3" t="n">
        <v>14631.0</v>
      </c>
      <c r="P287" s="3" t="n">
        <v>13695.0</v>
      </c>
      <c r="Q287" s="3" t="n">
        <v>12839.0</v>
      </c>
      <c r="R287" s="3" t="n">
        <v>12603.0</v>
      </c>
      <c r="S287" s="3" t="n">
        <v>12290.0</v>
      </c>
      <c r="T287" s="3" t="n">
        <v>11945.0</v>
      </c>
      <c r="U287" s="3" t="n">
        <v>11989.0</v>
      </c>
      <c r="V287" s="3" t="n">
        <v>11861.0</v>
      </c>
      <c r="W287" s="3" t="n">
        <v>12016.0</v>
      </c>
      <c r="X287" s="3" t="n">
        <v>12360.0</v>
      </c>
      <c r="Y287" s="3" t="n">
        <v>12579.0</v>
      </c>
      <c r="Z287" s="3" t="n">
        <v>13063.0</v>
      </c>
      <c r="AA287" s="3" t="n">
        <v>13435.0</v>
      </c>
      <c r="AB287" s="3" t="n">
        <v>13824.0</v>
      </c>
      <c r="AC287" s="3" t="n">
        <v>14267.0</v>
      </c>
      <c r="AD287" s="3" t="n">
        <v>14870.0</v>
      </c>
      <c r="AE287" s="3" t="n">
        <v>15326.0</v>
      </c>
      <c r="AF287" s="3" t="n">
        <v>15321.0</v>
      </c>
      <c r="AG287" s="3" t="n">
        <v>15185.0</v>
      </c>
      <c r="AH287" s="3" t="n">
        <v>15436.0</v>
      </c>
      <c r="AI287" s="3" t="n">
        <v>15470.0</v>
      </c>
      <c r="AJ287" s="3" t="n">
        <v>14913.0</v>
      </c>
      <c r="AK287" s="3" t="n">
        <v>15641.0</v>
      </c>
      <c r="AL287" s="3" t="n">
        <v>16113.0</v>
      </c>
      <c r="AM287" s="3" t="n">
        <v>15223.0</v>
      </c>
      <c r="AN287" s="3" t="n">
        <v>14611.0</v>
      </c>
      <c r="AO287" s="3" t="n">
        <v>13762.0</v>
      </c>
    </row>
    <row r="288" spans="1:41" x14ac:dyDescent="0.2">
      <c r="A288" s="128"/>
      <c r="B288" s="9">
        <v>75</v>
      </c>
      <c r="C288" s="3" t="n">
        <v>15173.0</v>
      </c>
      <c r="D288" s="3" t="n">
        <v>15470.0</v>
      </c>
      <c r="E288" s="3" t="n">
        <v>15255.0</v>
      </c>
      <c r="F288" s="3" t="n">
        <v>15828.0</v>
      </c>
      <c r="G288" s="3" t="n">
        <v>16813.0</v>
      </c>
      <c r="H288" s="3" t="n">
        <v>16648.0</v>
      </c>
      <c r="I288" s="3" t="n">
        <v>16800.0</v>
      </c>
      <c r="J288" s="3" t="n">
        <v>16511.0</v>
      </c>
      <c r="K288" s="3" t="n">
        <v>17174.0</v>
      </c>
      <c r="L288" s="3" t="n">
        <v>16749.0</v>
      </c>
      <c r="M288" s="3" t="n">
        <v>16845.0</v>
      </c>
      <c r="N288" s="3" t="n">
        <v>16182.0</v>
      </c>
      <c r="O288" s="3" t="n">
        <v>15499.0</v>
      </c>
      <c r="P288" s="3" t="n">
        <v>14283.0</v>
      </c>
      <c r="Q288" s="3" t="n">
        <v>13376.0</v>
      </c>
      <c r="R288" s="3" t="n">
        <v>12539.0</v>
      </c>
      <c r="S288" s="3" t="n">
        <v>12311.0</v>
      </c>
      <c r="T288" s="3" t="n">
        <v>12004.0</v>
      </c>
      <c r="U288" s="3" t="n">
        <v>11673.0</v>
      </c>
      <c r="V288" s="3" t="n">
        <v>11714.0</v>
      </c>
      <c r="W288" s="3" t="n">
        <v>11593.0</v>
      </c>
      <c r="X288" s="3" t="n">
        <v>11743.0</v>
      </c>
      <c r="Y288" s="3" t="n">
        <v>12082.0</v>
      </c>
      <c r="Z288" s="3" t="n">
        <v>12293.0</v>
      </c>
      <c r="AA288" s="3" t="n">
        <v>12769.0</v>
      </c>
      <c r="AB288" s="3" t="n">
        <v>13134.0</v>
      </c>
      <c r="AC288" s="3" t="n">
        <v>13515.0</v>
      </c>
      <c r="AD288" s="3" t="n">
        <v>13949.0</v>
      </c>
      <c r="AE288" s="3" t="n">
        <v>14537.0</v>
      </c>
      <c r="AF288" s="3" t="n">
        <v>14985.0</v>
      </c>
      <c r="AG288" s="3" t="n">
        <v>14976.0</v>
      </c>
      <c r="AH288" s="3" t="n">
        <v>14851.0</v>
      </c>
      <c r="AI288" s="3" t="n">
        <v>15098.0</v>
      </c>
      <c r="AJ288" s="3" t="n">
        <v>15131.0</v>
      </c>
      <c r="AK288" s="3" t="n">
        <v>14592.0</v>
      </c>
      <c r="AL288" s="3" t="n">
        <v>15303.0</v>
      </c>
      <c r="AM288" s="3" t="n">
        <v>15765.0</v>
      </c>
      <c r="AN288" s="3" t="n">
        <v>14893.0</v>
      </c>
      <c r="AO288" s="3" t="n">
        <v>14298.0</v>
      </c>
    </row>
    <row r="289" spans="1:41" x14ac:dyDescent="0.2">
      <c r="A289" s="128"/>
      <c r="B289" s="9">
        <v>76</v>
      </c>
      <c r="C289" s="3" t="n">
        <v>15021.0</v>
      </c>
      <c r="D289" s="3" t="n">
        <v>14741.0</v>
      </c>
      <c r="E289" s="3" t="n">
        <v>15038.0</v>
      </c>
      <c r="F289" s="3" t="n">
        <v>14835.0</v>
      </c>
      <c r="G289" s="3" t="n">
        <v>15397.0</v>
      </c>
      <c r="H289" s="3" t="n">
        <v>16362.0</v>
      </c>
      <c r="I289" s="3" t="n">
        <v>16203.0</v>
      </c>
      <c r="J289" s="3" t="n">
        <v>16354.0</v>
      </c>
      <c r="K289" s="3" t="n">
        <v>16076.0</v>
      </c>
      <c r="L289" s="3" t="n">
        <v>16729.0</v>
      </c>
      <c r="M289" s="3" t="n">
        <v>16312.0</v>
      </c>
      <c r="N289" s="3" t="n">
        <v>16408.0</v>
      </c>
      <c r="O289" s="3" t="n">
        <v>15769.0</v>
      </c>
      <c r="P289" s="3" t="n">
        <v>15104.0</v>
      </c>
      <c r="Q289" s="3" t="n">
        <v>13926.0</v>
      </c>
      <c r="R289" s="3" t="n">
        <v>13039.0</v>
      </c>
      <c r="S289" s="3" t="n">
        <v>12227.0</v>
      </c>
      <c r="T289" s="3" t="n">
        <v>12006.0</v>
      </c>
      <c r="U289" s="3" t="n">
        <v>11710.0</v>
      </c>
      <c r="V289" s="3" t="n">
        <v>11383.0</v>
      </c>
      <c r="W289" s="3" t="n">
        <v>11429.0</v>
      </c>
      <c r="X289" s="3" t="n">
        <v>11313.0</v>
      </c>
      <c r="Y289" s="3" t="n">
        <v>11460.0</v>
      </c>
      <c r="Z289" s="3" t="n">
        <v>11790.0</v>
      </c>
      <c r="AA289" s="3" t="n">
        <v>11994.0</v>
      </c>
      <c r="AB289" s="3" t="n">
        <v>12464.0</v>
      </c>
      <c r="AC289" s="3" t="n">
        <v>12816.0</v>
      </c>
      <c r="AD289" s="3" t="n">
        <v>13193.0</v>
      </c>
      <c r="AE289" s="3" t="n">
        <v>13623.0</v>
      </c>
      <c r="AF289" s="3" t="n">
        <v>14194.0</v>
      </c>
      <c r="AG289" s="3" t="n">
        <v>14632.0</v>
      </c>
      <c r="AH289" s="3" t="n">
        <v>14628.0</v>
      </c>
      <c r="AI289" s="3" t="n">
        <v>14503.0</v>
      </c>
      <c r="AJ289" s="3" t="n">
        <v>14746.0</v>
      </c>
      <c r="AK289" s="3" t="n">
        <v>14779.0</v>
      </c>
      <c r="AL289" s="3" t="n">
        <v>14258.0</v>
      </c>
      <c r="AM289" s="3" t="n">
        <v>14948.0</v>
      </c>
      <c r="AN289" s="3" t="n">
        <v>15399.0</v>
      </c>
      <c r="AO289" s="3" t="n">
        <v>14554.0</v>
      </c>
    </row>
    <row r="290" spans="1:41" x14ac:dyDescent="0.2">
      <c r="A290" s="128"/>
      <c r="B290" s="9">
        <v>77</v>
      </c>
      <c r="C290" s="3" t="n">
        <v>9206.0</v>
      </c>
      <c r="D290" s="3" t="n">
        <v>14548.0</v>
      </c>
      <c r="E290" s="3" t="n">
        <v>14281.0</v>
      </c>
      <c r="F290" s="3" t="n">
        <v>14574.0</v>
      </c>
      <c r="G290" s="3" t="n">
        <v>14389.0</v>
      </c>
      <c r="H290" s="3" t="n">
        <v>14943.0</v>
      </c>
      <c r="I290" s="3" t="n">
        <v>15873.0</v>
      </c>
      <c r="J290" s="3" t="n">
        <v>15725.0</v>
      </c>
      <c r="K290" s="3" t="n">
        <v>15873.0</v>
      </c>
      <c r="L290" s="3" t="n">
        <v>15613.0</v>
      </c>
      <c r="M290" s="3" t="n">
        <v>16246.0</v>
      </c>
      <c r="N290" s="3" t="n">
        <v>15850.0</v>
      </c>
      <c r="O290" s="3" t="n">
        <v>15947.0</v>
      </c>
      <c r="P290" s="3" t="n">
        <v>15324.0</v>
      </c>
      <c r="Q290" s="3" t="n">
        <v>14676.0</v>
      </c>
      <c r="R290" s="3" t="n">
        <v>13537.0</v>
      </c>
      <c r="S290" s="3" t="n">
        <v>12680.0</v>
      </c>
      <c r="T290" s="3" t="n">
        <v>11890.0</v>
      </c>
      <c r="U290" s="3" t="n">
        <v>11678.0</v>
      </c>
      <c r="V290" s="3" t="n">
        <v>11393.0</v>
      </c>
      <c r="W290" s="3" t="n">
        <v>11072.0</v>
      </c>
      <c r="X290" s="3" t="n">
        <v>11121.0</v>
      </c>
      <c r="Y290" s="3" t="n">
        <v>11009.0</v>
      </c>
      <c r="Z290" s="3" t="n">
        <v>11152.0</v>
      </c>
      <c r="AA290" s="3" t="n">
        <v>11476.0</v>
      </c>
      <c r="AB290" s="3" t="n">
        <v>11679.0</v>
      </c>
      <c r="AC290" s="3" t="n">
        <v>12135.0</v>
      </c>
      <c r="AD290" s="3" t="n">
        <v>12475.0</v>
      </c>
      <c r="AE290" s="3" t="n">
        <v>12843.0</v>
      </c>
      <c r="AF290" s="3" t="n">
        <v>13265.0</v>
      </c>
      <c r="AG290" s="3" t="n">
        <v>13825.0</v>
      </c>
      <c r="AH290" s="3" t="n">
        <v>14255.0</v>
      </c>
      <c r="AI290" s="3" t="n">
        <v>14255.0</v>
      </c>
      <c r="AJ290" s="3" t="n">
        <v>14126.0</v>
      </c>
      <c r="AK290" s="3" t="n">
        <v>14370.0</v>
      </c>
      <c r="AL290" s="3" t="n">
        <v>14402.0</v>
      </c>
      <c r="AM290" s="3" t="n">
        <v>13897.0</v>
      </c>
      <c r="AN290" s="3" t="n">
        <v>14568.0</v>
      </c>
      <c r="AO290" s="3" t="n">
        <v>15010.0</v>
      </c>
    </row>
    <row r="291" spans="1:41" x14ac:dyDescent="0.2">
      <c r="A291" s="128"/>
      <c r="B291" s="9">
        <v>78</v>
      </c>
      <c r="C291" s="3" t="n">
        <v>8480.0</v>
      </c>
      <c r="D291" s="3" t="n">
        <v>8891.0</v>
      </c>
      <c r="E291" s="3" t="n">
        <v>14056.0</v>
      </c>
      <c r="F291" s="3" t="n">
        <v>13808.0</v>
      </c>
      <c r="G291" s="3" t="n">
        <v>14096.0</v>
      </c>
      <c r="H291" s="3" t="n">
        <v>13925.0</v>
      </c>
      <c r="I291" s="3" t="n">
        <v>14457.0</v>
      </c>
      <c r="J291" s="3" t="n">
        <v>15362.0</v>
      </c>
      <c r="K291" s="3" t="n">
        <v>15222.0</v>
      </c>
      <c r="L291" s="3" t="n">
        <v>15375.0</v>
      </c>
      <c r="M291" s="3" t="n">
        <v>15122.0</v>
      </c>
      <c r="N291" s="3" t="n">
        <v>15739.0</v>
      </c>
      <c r="O291" s="3" t="n">
        <v>15354.0</v>
      </c>
      <c r="P291" s="3" t="n">
        <v>15453.0</v>
      </c>
      <c r="Q291" s="3" t="n">
        <v>14857.0</v>
      </c>
      <c r="R291" s="3" t="n">
        <v>14228.0</v>
      </c>
      <c r="S291" s="3" t="n">
        <v>13130.0</v>
      </c>
      <c r="T291" s="3" t="n">
        <v>12301.0</v>
      </c>
      <c r="U291" s="3" t="n">
        <v>11539.0</v>
      </c>
      <c r="V291" s="3" t="n">
        <v>11330.0</v>
      </c>
      <c r="W291" s="3" t="n">
        <v>11058.0</v>
      </c>
      <c r="X291" s="3" t="n">
        <v>10747.0</v>
      </c>
      <c r="Y291" s="3" t="n">
        <v>10798.0</v>
      </c>
      <c r="Z291" s="3" t="n">
        <v>10691.0</v>
      </c>
      <c r="AA291" s="3" t="n">
        <v>10823.0</v>
      </c>
      <c r="AB291" s="3" t="n">
        <v>11143.0</v>
      </c>
      <c r="AC291" s="3" t="n">
        <v>11343.0</v>
      </c>
      <c r="AD291" s="3" t="n">
        <v>11791.0</v>
      </c>
      <c r="AE291" s="3" t="n">
        <v>12122.0</v>
      </c>
      <c r="AF291" s="3" t="n">
        <v>12481.0</v>
      </c>
      <c r="AG291" s="3" t="n">
        <v>12887.0</v>
      </c>
      <c r="AH291" s="3" t="n">
        <v>13432.0</v>
      </c>
      <c r="AI291" s="3" t="n">
        <v>13846.0</v>
      </c>
      <c r="AJ291" s="3" t="n">
        <v>13853.0</v>
      </c>
      <c r="AK291" s="3" t="n">
        <v>13734.0</v>
      </c>
      <c r="AL291" s="3" t="n">
        <v>13965.0</v>
      </c>
      <c r="AM291" s="3" t="n">
        <v>13995.0</v>
      </c>
      <c r="AN291" s="3" t="n">
        <v>13508.0</v>
      </c>
      <c r="AO291" s="3" t="n">
        <v>14167.0</v>
      </c>
    </row>
    <row r="292" spans="1:41" x14ac:dyDescent="0.2">
      <c r="A292" s="128"/>
      <c r="B292" s="9">
        <v>79</v>
      </c>
      <c r="C292" s="3" t="n">
        <v>8386.0</v>
      </c>
      <c r="D292" s="3" t="n">
        <v>8164.0</v>
      </c>
      <c r="E292" s="3" t="n">
        <v>8561.0</v>
      </c>
      <c r="F292" s="3" t="n">
        <v>13540.0</v>
      </c>
      <c r="G292" s="3" t="n">
        <v>13307.0</v>
      </c>
      <c r="H292" s="3" t="n">
        <v>13599.0</v>
      </c>
      <c r="I292" s="3" t="n">
        <v>13435.0</v>
      </c>
      <c r="J292" s="3" t="n">
        <v>13953.0</v>
      </c>
      <c r="K292" s="3" t="n">
        <v>14827.0</v>
      </c>
      <c r="L292" s="3" t="n">
        <v>14699.0</v>
      </c>
      <c r="M292" s="3" t="n">
        <v>14851.0</v>
      </c>
      <c r="N292" s="3" t="n">
        <v>14610.0</v>
      </c>
      <c r="O292" s="3" t="n">
        <v>15212.0</v>
      </c>
      <c r="P292" s="3" t="n">
        <v>14837.0</v>
      </c>
      <c r="Q292" s="3" t="n">
        <v>14942.0</v>
      </c>
      <c r="R292" s="3" t="n">
        <v>14363.0</v>
      </c>
      <c r="S292" s="3" t="n">
        <v>13762.0</v>
      </c>
      <c r="T292" s="3" t="n">
        <v>12699.0</v>
      </c>
      <c r="U292" s="3" t="n">
        <v>11904.0</v>
      </c>
      <c r="V292" s="3" t="n">
        <v>11165.0</v>
      </c>
      <c r="W292" s="3" t="n">
        <v>10967.0</v>
      </c>
      <c r="X292" s="3" t="n">
        <v>10701.0</v>
      </c>
      <c r="Y292" s="3" t="n">
        <v>10402.0</v>
      </c>
      <c r="Z292" s="3" t="n">
        <v>10450.0</v>
      </c>
      <c r="AA292" s="3" t="n">
        <v>10348.0</v>
      </c>
      <c r="AB292" s="3" t="n">
        <v>10480.0</v>
      </c>
      <c r="AC292" s="3" t="n">
        <v>10789.0</v>
      </c>
      <c r="AD292" s="3" t="n">
        <v>10982.0</v>
      </c>
      <c r="AE292" s="3" t="n">
        <v>11422.0</v>
      </c>
      <c r="AF292" s="3" t="n">
        <v>11745.0</v>
      </c>
      <c r="AG292" s="3" t="n">
        <v>12094.0</v>
      </c>
      <c r="AH292" s="3" t="n">
        <v>12494.0</v>
      </c>
      <c r="AI292" s="3" t="n">
        <v>13018.0</v>
      </c>
      <c r="AJ292" s="3" t="n">
        <v>13420.0</v>
      </c>
      <c r="AK292" s="3" t="n">
        <v>13433.0</v>
      </c>
      <c r="AL292" s="3" t="n">
        <v>13319.0</v>
      </c>
      <c r="AM292" s="3" t="n">
        <v>13544.0</v>
      </c>
      <c r="AN292" s="3" t="n">
        <v>13571.0</v>
      </c>
      <c r="AO292" s="3" t="n">
        <v>13108.0</v>
      </c>
    </row>
    <row r="293" spans="1:41" x14ac:dyDescent="0.2">
      <c r="A293" s="128"/>
      <c r="B293" s="9">
        <v>80</v>
      </c>
      <c r="C293" s="3" t="n">
        <v>7743.0</v>
      </c>
      <c r="D293" s="3" t="n">
        <v>8027.0</v>
      </c>
      <c r="E293" s="3" t="n">
        <v>7820.0</v>
      </c>
      <c r="F293" s="3" t="n">
        <v>8203.0</v>
      </c>
      <c r="G293" s="3" t="n">
        <v>12991.0</v>
      </c>
      <c r="H293" s="3" t="n">
        <v>12778.0</v>
      </c>
      <c r="I293" s="3" t="n">
        <v>13062.0</v>
      </c>
      <c r="J293" s="3" t="n">
        <v>12908.0</v>
      </c>
      <c r="K293" s="3" t="n">
        <v>13413.0</v>
      </c>
      <c r="L293" s="3" t="n">
        <v>14262.0</v>
      </c>
      <c r="M293" s="3" t="n">
        <v>14133.0</v>
      </c>
      <c r="N293" s="3" t="n">
        <v>14281.0</v>
      </c>
      <c r="O293" s="3" t="n">
        <v>14056.0</v>
      </c>
      <c r="P293" s="3" t="n">
        <v>14639.0</v>
      </c>
      <c r="Q293" s="3" t="n">
        <v>14285.0</v>
      </c>
      <c r="R293" s="3" t="n">
        <v>14382.0</v>
      </c>
      <c r="S293" s="3" t="n">
        <v>13833.0</v>
      </c>
      <c r="T293" s="3" t="n">
        <v>13255.0</v>
      </c>
      <c r="U293" s="3" t="n">
        <v>12237.0</v>
      </c>
      <c r="V293" s="3" t="n">
        <v>11468.0</v>
      </c>
      <c r="W293" s="3" t="n">
        <v>10760.0</v>
      </c>
      <c r="X293" s="3" t="n">
        <v>10572.0</v>
      </c>
      <c r="Y293" s="3" t="n">
        <v>10318.0</v>
      </c>
      <c r="Z293" s="3" t="n">
        <v>10032.0</v>
      </c>
      <c r="AA293" s="3" t="n">
        <v>10074.0</v>
      </c>
      <c r="AB293" s="3" t="n">
        <v>9978.0</v>
      </c>
      <c r="AC293" s="3" t="n">
        <v>10107.0</v>
      </c>
      <c r="AD293" s="3" t="n">
        <v>10406.0</v>
      </c>
      <c r="AE293" s="3" t="n">
        <v>10597.0</v>
      </c>
      <c r="AF293" s="3" t="n">
        <v>11025.0</v>
      </c>
      <c r="AG293" s="3" t="n">
        <v>11338.0</v>
      </c>
      <c r="AH293" s="3" t="n">
        <v>11673.0</v>
      </c>
      <c r="AI293" s="3" t="n">
        <v>12063.0</v>
      </c>
      <c r="AJ293" s="3" t="n">
        <v>12564.0</v>
      </c>
      <c r="AK293" s="3" t="n">
        <v>12954.0</v>
      </c>
      <c r="AL293" s="3" t="n">
        <v>12971.0</v>
      </c>
      <c r="AM293" s="3" t="n">
        <v>12858.0</v>
      </c>
      <c r="AN293" s="3" t="n">
        <v>13078.0</v>
      </c>
      <c r="AO293" s="3" t="n">
        <v>13110.0</v>
      </c>
    </row>
    <row r="294" spans="1:41" x14ac:dyDescent="0.2">
      <c r="A294" s="128"/>
      <c r="B294" s="9">
        <v>81</v>
      </c>
      <c r="C294" s="3" t="n">
        <v>7853.0</v>
      </c>
      <c r="D294" s="3" t="n">
        <v>7366.0</v>
      </c>
      <c r="E294" s="3" t="n">
        <v>7643.0</v>
      </c>
      <c r="F294" s="3" t="n">
        <v>7450.0</v>
      </c>
      <c r="G294" s="3" t="n">
        <v>7822.0</v>
      </c>
      <c r="H294" s="3" t="n">
        <v>12391.0</v>
      </c>
      <c r="I294" s="3" t="n">
        <v>12193.0</v>
      </c>
      <c r="J294" s="3" t="n">
        <v>12473.0</v>
      </c>
      <c r="K294" s="3" t="n">
        <v>12334.0</v>
      </c>
      <c r="L294" s="3" t="n">
        <v>12822.0</v>
      </c>
      <c r="M294" s="3" t="n">
        <v>13634.0</v>
      </c>
      <c r="N294" s="3" t="n">
        <v>13519.0</v>
      </c>
      <c r="O294" s="3" t="n">
        <v>13664.0</v>
      </c>
      <c r="P294" s="3" t="n">
        <v>13446.0</v>
      </c>
      <c r="Q294" s="3" t="n">
        <v>14012.0</v>
      </c>
      <c r="R294" s="3" t="n">
        <v>13671.0</v>
      </c>
      <c r="S294" s="3" t="n">
        <v>13776.0</v>
      </c>
      <c r="T294" s="3" t="n">
        <v>13250.0</v>
      </c>
      <c r="U294" s="3" t="n">
        <v>12702.0</v>
      </c>
      <c r="V294" s="3" t="n">
        <v>11723.0</v>
      </c>
      <c r="W294" s="3" t="n">
        <v>10994.0</v>
      </c>
      <c r="X294" s="3" t="n">
        <v>10312.0</v>
      </c>
      <c r="Y294" s="3" t="n">
        <v>10137.0</v>
      </c>
      <c r="Z294" s="3" t="n">
        <v>9891.0</v>
      </c>
      <c r="AA294" s="3" t="n">
        <v>9618.0</v>
      </c>
      <c r="AB294" s="3" t="n">
        <v>9664.0</v>
      </c>
      <c r="AC294" s="3" t="n">
        <v>9570.0</v>
      </c>
      <c r="AD294" s="3" t="n">
        <v>9694.0</v>
      </c>
      <c r="AE294" s="3" t="n">
        <v>9987.0</v>
      </c>
      <c r="AF294" s="3" t="n">
        <v>10170.0</v>
      </c>
      <c r="AG294" s="3" t="n">
        <v>10584.0</v>
      </c>
      <c r="AH294" s="3" t="n">
        <v>10882.0</v>
      </c>
      <c r="AI294" s="3" t="n">
        <v>11211.0</v>
      </c>
      <c r="AJ294" s="3" t="n">
        <v>11585.0</v>
      </c>
      <c r="AK294" s="3" t="n">
        <v>12073.0</v>
      </c>
      <c r="AL294" s="3" t="n">
        <v>12447.0</v>
      </c>
      <c r="AM294" s="3" t="n">
        <v>12463.0</v>
      </c>
      <c r="AN294" s="3" t="n">
        <v>12355.0</v>
      </c>
      <c r="AO294" s="3" t="n">
        <v>12572.0</v>
      </c>
    </row>
    <row r="295" spans="1:41" x14ac:dyDescent="0.2">
      <c r="A295" s="128"/>
      <c r="B295" s="9">
        <v>82</v>
      </c>
      <c r="C295" s="3" t="n">
        <v>7507.0</v>
      </c>
      <c r="D295" s="3" t="n">
        <v>7426.0</v>
      </c>
      <c r="E295" s="3" t="n">
        <v>6975.0</v>
      </c>
      <c r="F295" s="3" t="n">
        <v>7239.0</v>
      </c>
      <c r="G295" s="3" t="n">
        <v>7060.0</v>
      </c>
      <c r="H295" s="3" t="n">
        <v>7416.0</v>
      </c>
      <c r="I295" s="3" t="n">
        <v>11746.0</v>
      </c>
      <c r="J295" s="3" t="n">
        <v>11561.0</v>
      </c>
      <c r="K295" s="3" t="n">
        <v>11836.0</v>
      </c>
      <c r="L295" s="3" t="n">
        <v>11704.0</v>
      </c>
      <c r="M295" s="3" t="n">
        <v>12170.0</v>
      </c>
      <c r="N295" s="3" t="n">
        <v>12948.0</v>
      </c>
      <c r="O295" s="3" t="n">
        <v>12843.0</v>
      </c>
      <c r="P295" s="3" t="n">
        <v>12980.0</v>
      </c>
      <c r="Q295" s="3" t="n">
        <v>12780.0</v>
      </c>
      <c r="R295" s="3" t="n">
        <v>13321.0</v>
      </c>
      <c r="S295" s="3" t="n">
        <v>13000.0</v>
      </c>
      <c r="T295" s="3" t="n">
        <v>13099.0</v>
      </c>
      <c r="U295" s="3" t="n">
        <v>12611.0</v>
      </c>
      <c r="V295" s="3" t="n">
        <v>12092.0</v>
      </c>
      <c r="W295" s="3" t="n">
        <v>11163.0</v>
      </c>
      <c r="X295" s="3" t="n">
        <v>10471.0</v>
      </c>
      <c r="Y295" s="3" t="n">
        <v>9824.0</v>
      </c>
      <c r="Z295" s="3" t="n">
        <v>9662.0</v>
      </c>
      <c r="AA295" s="3" t="n">
        <v>9426.0</v>
      </c>
      <c r="AB295" s="3" t="n">
        <v>9173.0</v>
      </c>
      <c r="AC295" s="3" t="n">
        <v>9212.0</v>
      </c>
      <c r="AD295" s="3" t="n">
        <v>9124.0</v>
      </c>
      <c r="AE295" s="3" t="n">
        <v>9248.0</v>
      </c>
      <c r="AF295" s="3" t="n">
        <v>9528.0</v>
      </c>
      <c r="AG295" s="3" t="n">
        <v>9702.0</v>
      </c>
      <c r="AH295" s="3" t="n">
        <v>10097.0</v>
      </c>
      <c r="AI295" s="3" t="n">
        <v>10384.0</v>
      </c>
      <c r="AJ295" s="3" t="n">
        <v>10698.0</v>
      </c>
      <c r="AK295" s="3" t="n">
        <v>11059.0</v>
      </c>
      <c r="AL295" s="3" t="n">
        <v>11523.0</v>
      </c>
      <c r="AM295" s="3" t="n">
        <v>11880.0</v>
      </c>
      <c r="AN295" s="3" t="n">
        <v>11897.0</v>
      </c>
      <c r="AO295" s="3" t="n">
        <v>11803.0</v>
      </c>
    </row>
    <row r="296" spans="1:41" x14ac:dyDescent="0.2">
      <c r="A296" s="128"/>
      <c r="B296" s="9">
        <v>83</v>
      </c>
      <c r="C296" s="3" t="n">
        <v>7113.0</v>
      </c>
      <c r="D296" s="3" t="n">
        <v>7030.0</v>
      </c>
      <c r="E296" s="3" t="n">
        <v>6958.0</v>
      </c>
      <c r="F296" s="3" t="n">
        <v>6536.0</v>
      </c>
      <c r="G296" s="3" t="n">
        <v>6793.0</v>
      </c>
      <c r="H296" s="3" t="n">
        <v>6628.0</v>
      </c>
      <c r="I296" s="3" t="n">
        <v>6964.0</v>
      </c>
      <c r="J296" s="3" t="n">
        <v>11031.0</v>
      </c>
      <c r="K296" s="3" t="n">
        <v>10867.0</v>
      </c>
      <c r="L296" s="3" t="n">
        <v>11135.0</v>
      </c>
      <c r="M296" s="3" t="n">
        <v>11014.0</v>
      </c>
      <c r="N296" s="3" t="n">
        <v>11463.0</v>
      </c>
      <c r="O296" s="3" t="n">
        <v>12203.0</v>
      </c>
      <c r="P296" s="3" t="n">
        <v>12102.0</v>
      </c>
      <c r="Q296" s="3" t="n">
        <v>12242.0</v>
      </c>
      <c r="R296" s="3" t="n">
        <v>12056.0</v>
      </c>
      <c r="S296" s="3" t="n">
        <v>12566.0</v>
      </c>
      <c r="T296" s="3" t="n">
        <v>12266.0</v>
      </c>
      <c r="U296" s="3" t="n">
        <v>12367.0</v>
      </c>
      <c r="V296" s="3" t="n">
        <v>11908.0</v>
      </c>
      <c r="W296" s="3" t="n">
        <v>11415.0</v>
      </c>
      <c r="X296" s="3" t="n">
        <v>10544.0</v>
      </c>
      <c r="Y296" s="3" t="n">
        <v>9895.0</v>
      </c>
      <c r="Z296" s="3" t="n">
        <v>9287.0</v>
      </c>
      <c r="AA296" s="3" t="n">
        <v>9134.0</v>
      </c>
      <c r="AB296" s="3" t="n">
        <v>8915.0</v>
      </c>
      <c r="AC296" s="3" t="n">
        <v>8677.0</v>
      </c>
      <c r="AD296" s="3" t="n">
        <v>8707.0</v>
      </c>
      <c r="AE296" s="3" t="n">
        <v>8630.0</v>
      </c>
      <c r="AF296" s="3" t="n">
        <v>8750.0</v>
      </c>
      <c r="AG296" s="3" t="n">
        <v>9012.0</v>
      </c>
      <c r="AH296" s="3" t="n">
        <v>9185.0</v>
      </c>
      <c r="AI296" s="3" t="n">
        <v>9562.0</v>
      </c>
      <c r="AJ296" s="3" t="n">
        <v>9832.0</v>
      </c>
      <c r="AK296" s="3" t="n">
        <v>10135.0</v>
      </c>
      <c r="AL296" s="3" t="n">
        <v>10474.0</v>
      </c>
      <c r="AM296" s="3" t="n">
        <v>10921.0</v>
      </c>
      <c r="AN296" s="3" t="n">
        <v>11257.0</v>
      </c>
      <c r="AO296" s="3" t="n">
        <v>11276.0</v>
      </c>
    </row>
    <row r="297" spans="1:41" x14ac:dyDescent="0.2">
      <c r="A297" s="128"/>
      <c r="B297" s="9">
        <v>84</v>
      </c>
      <c r="C297" s="3" t="n">
        <v>6690.0</v>
      </c>
      <c r="D297" s="3" t="n">
        <v>6595.0</v>
      </c>
      <c r="E297" s="3" t="n">
        <v>6522.0</v>
      </c>
      <c r="F297" s="3" t="n">
        <v>6460.0</v>
      </c>
      <c r="G297" s="3" t="n">
        <v>6070.0</v>
      </c>
      <c r="H297" s="3" t="n">
        <v>6317.0</v>
      </c>
      <c r="I297" s="3" t="n">
        <v>6167.0</v>
      </c>
      <c r="J297" s="3" t="n">
        <v>6487.0</v>
      </c>
      <c r="K297" s="3" t="n">
        <v>10271.0</v>
      </c>
      <c r="L297" s="3" t="n">
        <v>10122.0</v>
      </c>
      <c r="M297" s="3" t="n">
        <v>10375.0</v>
      </c>
      <c r="N297" s="3" t="n">
        <v>10276.0</v>
      </c>
      <c r="O297" s="3" t="n">
        <v>10700.0</v>
      </c>
      <c r="P297" s="3" t="n">
        <v>11390.0</v>
      </c>
      <c r="Q297" s="3" t="n">
        <v>11306.0</v>
      </c>
      <c r="R297" s="3" t="n">
        <v>11433.0</v>
      </c>
      <c r="S297" s="3" t="n">
        <v>11274.0</v>
      </c>
      <c r="T297" s="3" t="n">
        <v>11752.0</v>
      </c>
      <c r="U297" s="3" t="n">
        <v>11469.0</v>
      </c>
      <c r="V297" s="3" t="n">
        <v>11569.0</v>
      </c>
      <c r="W297" s="3" t="n">
        <v>11146.0</v>
      </c>
      <c r="X297" s="3" t="n">
        <v>10688.0</v>
      </c>
      <c r="Y297" s="3" t="n">
        <v>9877.0</v>
      </c>
      <c r="Z297" s="3" t="n">
        <v>9268.0</v>
      </c>
      <c r="AA297" s="3" t="n">
        <v>8698.0</v>
      </c>
      <c r="AB297" s="3" t="n">
        <v>8562.0</v>
      </c>
      <c r="AC297" s="3" t="n">
        <v>8356.0</v>
      </c>
      <c r="AD297" s="3" t="n">
        <v>8134.0</v>
      </c>
      <c r="AE297" s="3" t="n">
        <v>8166.0</v>
      </c>
      <c r="AF297" s="3" t="n">
        <v>8091.0</v>
      </c>
      <c r="AG297" s="3" t="n">
        <v>8205.0</v>
      </c>
      <c r="AH297" s="3" t="n">
        <v>8459.0</v>
      </c>
      <c r="AI297" s="3" t="n">
        <v>8618.0</v>
      </c>
      <c r="AJ297" s="3" t="n">
        <v>8974.0</v>
      </c>
      <c r="AK297" s="3" t="n">
        <v>9233.0</v>
      </c>
      <c r="AL297" s="3" t="n">
        <v>9524.0</v>
      </c>
      <c r="AM297" s="3" t="n">
        <v>9839.0</v>
      </c>
      <c r="AN297" s="3" t="n">
        <v>10262.0</v>
      </c>
      <c r="AO297" s="3" t="n">
        <v>10581.0</v>
      </c>
    </row>
    <row r="298" spans="1:41" x14ac:dyDescent="0.2">
      <c r="A298" s="128"/>
      <c r="B298" s="9">
        <v>85</v>
      </c>
      <c r="C298" s="3" t="n">
        <v>6378.0</v>
      </c>
      <c r="D298" s="3" t="n">
        <v>6132.0</v>
      </c>
      <c r="E298" s="3" t="n">
        <v>6048.0</v>
      </c>
      <c r="F298" s="3" t="n">
        <v>5983.0</v>
      </c>
      <c r="G298" s="3" t="n">
        <v>5931.0</v>
      </c>
      <c r="H298" s="3" t="n">
        <v>5583.0</v>
      </c>
      <c r="I298" s="3" t="n">
        <v>5807.0</v>
      </c>
      <c r="J298" s="3" t="n">
        <v>5669.0</v>
      </c>
      <c r="K298" s="3" t="n">
        <v>5972.0</v>
      </c>
      <c r="L298" s="3" t="n">
        <v>9454.0</v>
      </c>
      <c r="M298" s="3" t="n">
        <v>9322.0</v>
      </c>
      <c r="N298" s="3" t="n">
        <v>9565.0</v>
      </c>
      <c r="O298" s="3" t="n">
        <v>9492.0</v>
      </c>
      <c r="P298" s="3" t="n">
        <v>9880.0</v>
      </c>
      <c r="Q298" s="3" t="n">
        <v>10528.0</v>
      </c>
      <c r="R298" s="3" t="n">
        <v>10451.0</v>
      </c>
      <c r="S298" s="3" t="n">
        <v>10575.0</v>
      </c>
      <c r="T298" s="3" t="n">
        <v>10429.0</v>
      </c>
      <c r="U298" s="3" t="n">
        <v>10879.0</v>
      </c>
      <c r="V298" s="3" t="n">
        <v>10621.0</v>
      </c>
      <c r="W298" s="3" t="n">
        <v>10720.0</v>
      </c>
      <c r="X298" s="3" t="n">
        <v>10326.0</v>
      </c>
      <c r="Y298" s="3" t="n">
        <v>9909.0</v>
      </c>
      <c r="Z298" s="3" t="n">
        <v>9158.0</v>
      </c>
      <c r="AA298" s="3" t="n">
        <v>8593.0</v>
      </c>
      <c r="AB298" s="3" t="n">
        <v>8069.0</v>
      </c>
      <c r="AC298" s="3" t="n">
        <v>7938.0</v>
      </c>
      <c r="AD298" s="3" t="n">
        <v>7748.0</v>
      </c>
      <c r="AE298" s="3" t="n">
        <v>7551.0</v>
      </c>
      <c r="AF298" s="3" t="n">
        <v>7583.0</v>
      </c>
      <c r="AG298" s="3" t="n">
        <v>7508.0</v>
      </c>
      <c r="AH298" s="3" t="n">
        <v>7622.0</v>
      </c>
      <c r="AI298" s="3" t="n">
        <v>7862.0</v>
      </c>
      <c r="AJ298" s="3" t="n">
        <v>8005.0</v>
      </c>
      <c r="AK298" s="3" t="n">
        <v>8343.0</v>
      </c>
      <c r="AL298" s="3" t="n">
        <v>8586.0</v>
      </c>
      <c r="AM298" s="3" t="n">
        <v>8861.0</v>
      </c>
      <c r="AN298" s="3" t="n">
        <v>9152.0</v>
      </c>
      <c r="AO298" s="3" t="n">
        <v>9555.0</v>
      </c>
    </row>
    <row r="299" spans="1:41" x14ac:dyDescent="0.2">
      <c r="A299" s="128"/>
      <c r="B299" s="9">
        <v>86</v>
      </c>
      <c r="C299" s="3" t="n">
        <v>5950.0</v>
      </c>
      <c r="D299" s="3" t="n">
        <v>5789.0</v>
      </c>
      <c r="E299" s="3" t="n">
        <v>5567.0</v>
      </c>
      <c r="F299" s="3" t="n">
        <v>5497.0</v>
      </c>
      <c r="G299" s="3" t="n">
        <v>5444.0</v>
      </c>
      <c r="H299" s="3" t="n">
        <v>5405.0</v>
      </c>
      <c r="I299" s="3" t="n">
        <v>5083.0</v>
      </c>
      <c r="J299" s="3" t="n">
        <v>5291.0</v>
      </c>
      <c r="K299" s="3" t="n">
        <v>5168.0</v>
      </c>
      <c r="L299" s="3" t="n">
        <v>5449.0</v>
      </c>
      <c r="M299" s="3" t="n">
        <v>8629.0</v>
      </c>
      <c r="N299" s="3" t="n">
        <v>8513.0</v>
      </c>
      <c r="O299" s="3" t="n">
        <v>8746.0</v>
      </c>
      <c r="P299" s="3" t="n">
        <v>8679.0</v>
      </c>
      <c r="Q299" s="3" t="n">
        <v>9046.0</v>
      </c>
      <c r="R299" s="3" t="n">
        <v>9639.0</v>
      </c>
      <c r="S299" s="3" t="n">
        <v>9575.0</v>
      </c>
      <c r="T299" s="3" t="n">
        <v>9689.0</v>
      </c>
      <c r="U299" s="3" t="n">
        <v>9564.0</v>
      </c>
      <c r="V299" s="3" t="n">
        <v>9977.0</v>
      </c>
      <c r="W299" s="3" t="n">
        <v>9750.0</v>
      </c>
      <c r="X299" s="3" t="n">
        <v>9842.0</v>
      </c>
      <c r="Y299" s="3" t="n">
        <v>9488.0</v>
      </c>
      <c r="Z299" s="3" t="n">
        <v>9104.0</v>
      </c>
      <c r="AA299" s="3" t="n">
        <v>8411.0</v>
      </c>
      <c r="AB299" s="3" t="n">
        <v>7899.0</v>
      </c>
      <c r="AC299" s="3" t="n">
        <v>7420.0</v>
      </c>
      <c r="AD299" s="3" t="n">
        <v>7300.0</v>
      </c>
      <c r="AE299" s="3" t="n">
        <v>7128.0</v>
      </c>
      <c r="AF299" s="3" t="n">
        <v>6949.0</v>
      </c>
      <c r="AG299" s="3" t="n">
        <v>6981.0</v>
      </c>
      <c r="AH299" s="3" t="n">
        <v>6915.0</v>
      </c>
      <c r="AI299" s="3" t="n">
        <v>7018.0</v>
      </c>
      <c r="AJ299" s="3" t="n">
        <v>7242.0</v>
      </c>
      <c r="AK299" s="3" t="n">
        <v>7376.0</v>
      </c>
      <c r="AL299" s="3" t="n">
        <v>7690.0</v>
      </c>
      <c r="AM299" s="3" t="n">
        <v>7909.0</v>
      </c>
      <c r="AN299" s="3" t="n">
        <v>8169.0</v>
      </c>
      <c r="AO299" s="3" t="n">
        <v>8447.0</v>
      </c>
    </row>
    <row r="300" spans="1:41" x14ac:dyDescent="0.2">
      <c r="A300" s="128"/>
      <c r="B300" s="9">
        <v>87</v>
      </c>
      <c r="C300" s="3" t="n">
        <v>5292.0</v>
      </c>
      <c r="D300" s="3" t="n">
        <v>5336.0</v>
      </c>
      <c r="E300" s="3" t="n">
        <v>5189.0</v>
      </c>
      <c r="F300" s="3" t="n">
        <v>4999.0</v>
      </c>
      <c r="G300" s="3" t="n">
        <v>4937.0</v>
      </c>
      <c r="H300" s="3" t="n">
        <v>4901.0</v>
      </c>
      <c r="I300" s="3" t="n">
        <v>4863.0</v>
      </c>
      <c r="J300" s="3" t="n">
        <v>4579.0</v>
      </c>
      <c r="K300" s="3" t="n">
        <v>4770.0</v>
      </c>
      <c r="L300" s="3" t="n">
        <v>4666.0</v>
      </c>
      <c r="M300" s="3" t="n">
        <v>4914.0</v>
      </c>
      <c r="N300" s="3" t="n">
        <v>7786.0</v>
      </c>
      <c r="O300" s="3" t="n">
        <v>7689.0</v>
      </c>
      <c r="P300" s="3" t="n">
        <v>7904.0</v>
      </c>
      <c r="Q300" s="3" t="n">
        <v>7854.0</v>
      </c>
      <c r="R300" s="3" t="n">
        <v>8188.0</v>
      </c>
      <c r="S300" s="3" t="n">
        <v>8731.0</v>
      </c>
      <c r="T300" s="3" t="n">
        <v>8675.0</v>
      </c>
      <c r="U300" s="3" t="n">
        <v>8782.0</v>
      </c>
      <c r="V300" s="3" t="n">
        <v>8674.0</v>
      </c>
      <c r="W300" s="3" t="n">
        <v>9052.0</v>
      </c>
      <c r="X300" s="3" t="n">
        <v>8849.0</v>
      </c>
      <c r="Y300" s="3" t="n">
        <v>8943.0</v>
      </c>
      <c r="Z300" s="3" t="n">
        <v>8619.0</v>
      </c>
      <c r="AA300" s="3" t="n">
        <v>8273.0</v>
      </c>
      <c r="AB300" s="3" t="n">
        <v>7652.0</v>
      </c>
      <c r="AC300" s="3" t="n">
        <v>7186.0</v>
      </c>
      <c r="AD300" s="3" t="n">
        <v>6749.0</v>
      </c>
      <c r="AE300" s="3" t="n">
        <v>6646.0</v>
      </c>
      <c r="AF300" s="3" t="n">
        <v>6491.0</v>
      </c>
      <c r="AG300" s="3" t="n">
        <v>6330.0</v>
      </c>
      <c r="AH300" s="3" t="n">
        <v>6362.0</v>
      </c>
      <c r="AI300" s="3" t="n">
        <v>6302.0</v>
      </c>
      <c r="AJ300" s="3" t="n">
        <v>6396.0</v>
      </c>
      <c r="AK300" s="3" t="n">
        <v>6604.0</v>
      </c>
      <c r="AL300" s="3" t="n">
        <v>6726.0</v>
      </c>
      <c r="AM300" s="3" t="n">
        <v>7016.0</v>
      </c>
      <c r="AN300" s="3" t="n">
        <v>7212.0</v>
      </c>
      <c r="AO300" s="3" t="n">
        <v>7460.0</v>
      </c>
    </row>
    <row r="301" spans="1:41" x14ac:dyDescent="0.2">
      <c r="A301" s="128"/>
      <c r="B301" s="9">
        <v>88</v>
      </c>
      <c r="C301" s="3" t="n">
        <v>4604.0</v>
      </c>
      <c r="D301" s="3" t="n">
        <v>4686.0</v>
      </c>
      <c r="E301" s="3" t="n">
        <v>4726.0</v>
      </c>
      <c r="F301" s="3" t="n">
        <v>4603.0</v>
      </c>
      <c r="G301" s="3" t="n">
        <v>4441.0</v>
      </c>
      <c r="H301" s="3" t="n">
        <v>4388.0</v>
      </c>
      <c r="I301" s="3" t="n">
        <v>4358.0</v>
      </c>
      <c r="J301" s="3" t="n">
        <v>4326.0</v>
      </c>
      <c r="K301" s="3" t="n">
        <v>4078.0</v>
      </c>
      <c r="L301" s="3" t="n">
        <v>4257.0</v>
      </c>
      <c r="M301" s="3" t="n">
        <v>4159.0</v>
      </c>
      <c r="N301" s="3" t="n">
        <v>4389.0</v>
      </c>
      <c r="O301" s="3" t="n">
        <v>6957.0</v>
      </c>
      <c r="P301" s="3" t="n">
        <v>6877.0</v>
      </c>
      <c r="Q301" s="3" t="n">
        <v>7078.0</v>
      </c>
      <c r="R301" s="3" t="n">
        <v>7032.0</v>
      </c>
      <c r="S301" s="3" t="n">
        <v>7339.0</v>
      </c>
      <c r="T301" s="3" t="n">
        <v>7825.0</v>
      </c>
      <c r="U301" s="3" t="n">
        <v>7786.0</v>
      </c>
      <c r="V301" s="3" t="n">
        <v>7884.0</v>
      </c>
      <c r="W301" s="3" t="n">
        <v>7795.0</v>
      </c>
      <c r="X301" s="3" t="n">
        <v>8132.0</v>
      </c>
      <c r="Y301" s="3" t="n">
        <v>7962.0</v>
      </c>
      <c r="Z301" s="3" t="n">
        <v>8043.0</v>
      </c>
      <c r="AA301" s="3" t="n">
        <v>7754.0</v>
      </c>
      <c r="AB301" s="3" t="n">
        <v>7446.0</v>
      </c>
      <c r="AC301" s="3" t="n">
        <v>6889.0</v>
      </c>
      <c r="AD301" s="3" t="n">
        <v>6466.0</v>
      </c>
      <c r="AE301" s="3" t="n">
        <v>6084.0</v>
      </c>
      <c r="AF301" s="3" t="n">
        <v>5992.0</v>
      </c>
      <c r="AG301" s="3" t="n">
        <v>5849.0</v>
      </c>
      <c r="AH301" s="3" t="n">
        <v>5710.0</v>
      </c>
      <c r="AI301" s="3" t="n">
        <v>5743.0</v>
      </c>
      <c r="AJ301" s="3" t="n">
        <v>5689.0</v>
      </c>
      <c r="AK301" s="3" t="n">
        <v>5775.0</v>
      </c>
      <c r="AL301" s="3" t="n">
        <v>5963.0</v>
      </c>
      <c r="AM301" s="3" t="n">
        <v>6074.0</v>
      </c>
      <c r="AN301" s="3" t="n">
        <v>6338.0</v>
      </c>
      <c r="AO301" s="3" t="n">
        <v>6524.0</v>
      </c>
    </row>
    <row r="302" spans="1:41" x14ac:dyDescent="0.2">
      <c r="A302" s="128"/>
      <c r="B302" s="9">
        <v>89</v>
      </c>
      <c r="C302" s="3" t="n">
        <v>4095.0</v>
      </c>
      <c r="D302" s="3" t="n">
        <v>4023.0</v>
      </c>
      <c r="E302" s="3" t="n">
        <v>4099.0</v>
      </c>
      <c r="F302" s="3" t="n">
        <v>4138.0</v>
      </c>
      <c r="G302" s="3" t="n">
        <v>4040.0</v>
      </c>
      <c r="H302" s="3" t="n">
        <v>3900.0</v>
      </c>
      <c r="I302" s="3" t="n">
        <v>3856.0</v>
      </c>
      <c r="J302" s="3" t="n">
        <v>3836.0</v>
      </c>
      <c r="K302" s="3" t="n">
        <v>3810.0</v>
      </c>
      <c r="L302" s="3" t="n">
        <v>3598.0</v>
      </c>
      <c r="M302" s="3" t="n">
        <v>3753.0</v>
      </c>
      <c r="N302" s="3" t="n">
        <v>3670.0</v>
      </c>
      <c r="O302" s="3" t="n">
        <v>3878.0</v>
      </c>
      <c r="P302" s="3" t="n">
        <v>6142.0</v>
      </c>
      <c r="Q302" s="3" t="n">
        <v>6080.0</v>
      </c>
      <c r="R302" s="3" t="n">
        <v>6258.0</v>
      </c>
      <c r="S302" s="3" t="n">
        <v>6230.0</v>
      </c>
      <c r="T302" s="3" t="n">
        <v>6498.0</v>
      </c>
      <c r="U302" s="3" t="n">
        <v>6938.0</v>
      </c>
      <c r="V302" s="3" t="n">
        <v>6904.0</v>
      </c>
      <c r="W302" s="3" t="n">
        <v>6998.0</v>
      </c>
      <c r="X302" s="3" t="n">
        <v>6921.0</v>
      </c>
      <c r="Y302" s="3" t="n">
        <v>7230.0</v>
      </c>
      <c r="Z302" s="3" t="n">
        <v>7072.0</v>
      </c>
      <c r="AA302" s="3" t="n">
        <v>7149.0</v>
      </c>
      <c r="AB302" s="3" t="n">
        <v>6902.0</v>
      </c>
      <c r="AC302" s="3" t="n">
        <v>6627.0</v>
      </c>
      <c r="AD302" s="3" t="n">
        <v>6134.0</v>
      </c>
      <c r="AE302" s="3" t="n">
        <v>5764.0</v>
      </c>
      <c r="AF302" s="3" t="n">
        <v>5424.0</v>
      </c>
      <c r="AG302" s="3" t="n">
        <v>5344.0</v>
      </c>
      <c r="AH302" s="3" t="n">
        <v>5222.0</v>
      </c>
      <c r="AI302" s="3" t="n">
        <v>5095.0</v>
      </c>
      <c r="AJ302" s="3" t="n">
        <v>5128.0</v>
      </c>
      <c r="AK302" s="3" t="n">
        <v>5081.0</v>
      </c>
      <c r="AL302" s="3" t="n">
        <v>5161.0</v>
      </c>
      <c r="AM302" s="3" t="n">
        <v>5325.0</v>
      </c>
      <c r="AN302" s="3" t="n">
        <v>5428.0</v>
      </c>
      <c r="AO302" s="3" t="n">
        <v>5669.0</v>
      </c>
    </row>
    <row r="303" spans="1:41" x14ac:dyDescent="0.2">
      <c r="A303" s="128"/>
      <c r="B303" s="9">
        <v>90</v>
      </c>
      <c r="C303" s="3" t="n">
        <v>3605.0</v>
      </c>
      <c r="D303" s="3" t="n">
        <v>3526.0</v>
      </c>
      <c r="E303" s="3" t="n">
        <v>3469.0</v>
      </c>
      <c r="F303" s="3" t="n">
        <v>3540.0</v>
      </c>
      <c r="G303" s="3" t="n">
        <v>3577.0</v>
      </c>
      <c r="H303" s="3" t="n">
        <v>3497.0</v>
      </c>
      <c r="I303" s="3" t="n">
        <v>3377.0</v>
      </c>
      <c r="J303" s="3" t="n">
        <v>3342.0</v>
      </c>
      <c r="K303" s="3" t="n">
        <v>3329.0</v>
      </c>
      <c r="L303" s="3" t="n">
        <v>3310.0</v>
      </c>
      <c r="M303" s="3" t="n">
        <v>3125.0</v>
      </c>
      <c r="N303" s="3" t="n">
        <v>3269.0</v>
      </c>
      <c r="O303" s="3" t="n">
        <v>3198.0</v>
      </c>
      <c r="P303" s="3" t="n">
        <v>3381.0</v>
      </c>
      <c r="Q303" s="3" t="n">
        <v>5358.0</v>
      </c>
      <c r="R303" s="3" t="n">
        <v>5310.0</v>
      </c>
      <c r="S303" s="3" t="n">
        <v>5469.0</v>
      </c>
      <c r="T303" s="3" t="n">
        <v>5439.0</v>
      </c>
      <c r="U303" s="3" t="n">
        <v>5688.0</v>
      </c>
      <c r="V303" s="3" t="n">
        <v>6075.0</v>
      </c>
      <c r="W303" s="3" t="n">
        <v>6052.0</v>
      </c>
      <c r="X303" s="3" t="n">
        <v>6132.0</v>
      </c>
      <c r="Y303" s="3" t="n">
        <v>6074.0</v>
      </c>
      <c r="Z303" s="3" t="n">
        <v>6344.0</v>
      </c>
      <c r="AA303" s="3" t="n">
        <v>6208.0</v>
      </c>
      <c r="AB303" s="3" t="n">
        <v>6280.0</v>
      </c>
      <c r="AC303" s="3" t="n">
        <v>6066.0</v>
      </c>
      <c r="AD303" s="3" t="n">
        <v>5824.0</v>
      </c>
      <c r="AE303" s="3" t="n">
        <v>5397.0</v>
      </c>
      <c r="AF303" s="3" t="n">
        <v>5068.0</v>
      </c>
      <c r="AG303" s="3" t="n">
        <v>4770.0</v>
      </c>
      <c r="AH303" s="3" t="n">
        <v>4707.0</v>
      </c>
      <c r="AI303" s="3" t="n">
        <v>4600.0</v>
      </c>
      <c r="AJ303" s="3" t="n">
        <v>4487.0</v>
      </c>
      <c r="AK303" s="3" t="n">
        <v>4523.0</v>
      </c>
      <c r="AL303" s="3" t="n">
        <v>4485.0</v>
      </c>
      <c r="AM303" s="3" t="n">
        <v>4554.0</v>
      </c>
      <c r="AN303" s="3" t="n">
        <v>4699.0</v>
      </c>
      <c r="AO303" s="3" t="n">
        <v>4791.0</v>
      </c>
    </row>
    <row r="304" spans="1:41" x14ac:dyDescent="0.2">
      <c r="A304" s="128"/>
      <c r="B304" s="9">
        <v>91</v>
      </c>
      <c r="C304" s="3" t="n">
        <v>2975.0</v>
      </c>
      <c r="D304" s="3" t="n">
        <v>3060.0</v>
      </c>
      <c r="E304" s="3" t="n">
        <v>2995.0</v>
      </c>
      <c r="F304" s="3" t="n">
        <v>2952.0</v>
      </c>
      <c r="G304" s="3" t="n">
        <v>3015.0</v>
      </c>
      <c r="H304" s="3" t="n">
        <v>3053.0</v>
      </c>
      <c r="I304" s="3" t="n">
        <v>2985.0</v>
      </c>
      <c r="J304" s="3" t="n">
        <v>2885.0</v>
      </c>
      <c r="K304" s="3" t="n">
        <v>2859.0</v>
      </c>
      <c r="L304" s="3" t="n">
        <v>2856.0</v>
      </c>
      <c r="M304" s="3" t="n">
        <v>2836.0</v>
      </c>
      <c r="N304" s="3" t="n">
        <v>2681.0</v>
      </c>
      <c r="O304" s="3" t="n">
        <v>2808.0</v>
      </c>
      <c r="P304" s="3" t="n">
        <v>2753.0</v>
      </c>
      <c r="Q304" s="3" t="n">
        <v>2910.0</v>
      </c>
      <c r="R304" s="3" t="n">
        <v>4609.0</v>
      </c>
      <c r="S304" s="3" t="n">
        <v>4576.0</v>
      </c>
      <c r="T304" s="3" t="n">
        <v>4712.0</v>
      </c>
      <c r="U304" s="3" t="n">
        <v>4694.0</v>
      </c>
      <c r="V304" s="3" t="n">
        <v>4910.0</v>
      </c>
      <c r="W304" s="3" t="n">
        <v>5249.0</v>
      </c>
      <c r="X304" s="3" t="n">
        <v>5228.0</v>
      </c>
      <c r="Y304" s="3" t="n">
        <v>5308.0</v>
      </c>
      <c r="Z304" s="3" t="n">
        <v>5257.0</v>
      </c>
      <c r="AA304" s="3" t="n">
        <v>5483.0</v>
      </c>
      <c r="AB304" s="3" t="n">
        <v>5381.0</v>
      </c>
      <c r="AC304" s="3" t="n">
        <v>5443.0</v>
      </c>
      <c r="AD304" s="3" t="n">
        <v>5257.0</v>
      </c>
      <c r="AE304" s="3" t="n">
        <v>5053.0</v>
      </c>
      <c r="AF304" s="3" t="n">
        <v>4684.0</v>
      </c>
      <c r="AG304" s="3" t="n">
        <v>4401.0</v>
      </c>
      <c r="AH304" s="3" t="n">
        <v>4145.0</v>
      </c>
      <c r="AI304" s="3" t="n">
        <v>4093.0</v>
      </c>
      <c r="AJ304" s="3" t="n">
        <v>4000.0</v>
      </c>
      <c r="AK304" s="3" t="n">
        <v>3908.0</v>
      </c>
      <c r="AL304" s="3" t="n">
        <v>3942.0</v>
      </c>
      <c r="AM304" s="3" t="n">
        <v>3908.0</v>
      </c>
      <c r="AN304" s="3" t="n">
        <v>3965.0</v>
      </c>
      <c r="AO304" s="3" t="n">
        <v>4097.0</v>
      </c>
    </row>
    <row r="305" spans="1:41" x14ac:dyDescent="0.2">
      <c r="A305" s="128"/>
      <c r="B305" s="9">
        <v>92</v>
      </c>
      <c r="C305" s="3" t="n">
        <v>2393.0</v>
      </c>
      <c r="D305" s="3" t="n">
        <v>2479.0</v>
      </c>
      <c r="E305" s="3" t="n">
        <v>2549.0</v>
      </c>
      <c r="F305" s="3" t="n">
        <v>2498.0</v>
      </c>
      <c r="G305" s="3" t="n">
        <v>2469.0</v>
      </c>
      <c r="H305" s="3" t="n">
        <v>2526.0</v>
      </c>
      <c r="I305" s="3" t="n">
        <v>2554.0</v>
      </c>
      <c r="J305" s="3" t="n">
        <v>2502.0</v>
      </c>
      <c r="K305" s="3" t="n">
        <v>2420.0</v>
      </c>
      <c r="L305" s="3" t="n">
        <v>2403.0</v>
      </c>
      <c r="M305" s="3" t="n">
        <v>2403.0</v>
      </c>
      <c r="N305" s="3" t="n">
        <v>2388.0</v>
      </c>
      <c r="O305" s="3" t="n">
        <v>2263.0</v>
      </c>
      <c r="P305" s="3" t="n">
        <v>2372.0</v>
      </c>
      <c r="Q305" s="3" t="n">
        <v>2325.0</v>
      </c>
      <c r="R305" s="3" t="n">
        <v>2459.0</v>
      </c>
      <c r="S305" s="3" t="n">
        <v>3898.0</v>
      </c>
      <c r="T305" s="3" t="n">
        <v>3871.0</v>
      </c>
      <c r="U305" s="3" t="n">
        <v>3993.0</v>
      </c>
      <c r="V305" s="3" t="n">
        <v>3974.0</v>
      </c>
      <c r="W305" s="3" t="n">
        <v>4172.0</v>
      </c>
      <c r="X305" s="3" t="n">
        <v>4459.0</v>
      </c>
      <c r="Y305" s="3" t="n">
        <v>4446.0</v>
      </c>
      <c r="Z305" s="3" t="n">
        <v>4516.0</v>
      </c>
      <c r="AA305" s="3" t="n">
        <v>4475.0</v>
      </c>
      <c r="AB305" s="3" t="n">
        <v>4670.0</v>
      </c>
      <c r="AC305" s="3" t="n">
        <v>4587.0</v>
      </c>
      <c r="AD305" s="3" t="n">
        <v>4642.0</v>
      </c>
      <c r="AE305" s="3" t="n">
        <v>4488.0</v>
      </c>
      <c r="AF305" s="3" t="n">
        <v>4313.0</v>
      </c>
      <c r="AG305" s="3" t="n">
        <v>3999.0</v>
      </c>
      <c r="AH305" s="3" t="n">
        <v>3762.0</v>
      </c>
      <c r="AI305" s="3" t="n">
        <v>3543.0</v>
      </c>
      <c r="AJ305" s="3" t="n">
        <v>3502.0</v>
      </c>
      <c r="AK305" s="3" t="n">
        <v>3425.0</v>
      </c>
      <c r="AL305" s="3" t="n">
        <v>3343.0</v>
      </c>
      <c r="AM305" s="3" t="n">
        <v>3379.0</v>
      </c>
      <c r="AN305" s="3" t="n">
        <v>3347.0</v>
      </c>
      <c r="AO305" s="3" t="n">
        <v>3400.0</v>
      </c>
    </row>
    <row r="306" spans="1:41" x14ac:dyDescent="0.2">
      <c r="A306" s="128"/>
      <c r="B306" s="9">
        <v>93</v>
      </c>
      <c r="C306" s="3" t="n">
        <v>1803.0</v>
      </c>
      <c r="D306" s="3" t="n">
        <v>1952.0</v>
      </c>
      <c r="E306" s="3" t="n">
        <v>2024.0</v>
      </c>
      <c r="F306" s="3" t="n">
        <v>2085.0</v>
      </c>
      <c r="G306" s="3" t="n">
        <v>2045.0</v>
      </c>
      <c r="H306" s="3" t="n">
        <v>2027.0</v>
      </c>
      <c r="I306" s="3" t="n">
        <v>2072.0</v>
      </c>
      <c r="J306" s="3" t="n">
        <v>2101.0</v>
      </c>
      <c r="K306" s="3" t="n">
        <v>2062.0</v>
      </c>
      <c r="L306" s="3" t="n">
        <v>1997.0</v>
      </c>
      <c r="M306" s="3" t="n">
        <v>1982.0</v>
      </c>
      <c r="N306" s="3" t="n">
        <v>1984.0</v>
      </c>
      <c r="O306" s="3" t="n">
        <v>1976.0</v>
      </c>
      <c r="P306" s="3" t="n">
        <v>1873.0</v>
      </c>
      <c r="Q306" s="3" t="n">
        <v>1968.0</v>
      </c>
      <c r="R306" s="3" t="n">
        <v>1930.0</v>
      </c>
      <c r="S306" s="3" t="n">
        <v>2044.0</v>
      </c>
      <c r="T306" s="3" t="n">
        <v>3242.0</v>
      </c>
      <c r="U306" s="3" t="n">
        <v>3226.0</v>
      </c>
      <c r="V306" s="3" t="n">
        <v>3330.0</v>
      </c>
      <c r="W306" s="3" t="n">
        <v>3322.0</v>
      </c>
      <c r="X306" s="3" t="n">
        <v>3485.0</v>
      </c>
      <c r="Y306" s="3" t="n">
        <v>3727.0</v>
      </c>
      <c r="Z306" s="3" t="n">
        <v>3719.0</v>
      </c>
      <c r="AA306" s="3" t="n">
        <v>3777.0</v>
      </c>
      <c r="AB306" s="3" t="n">
        <v>3748.0</v>
      </c>
      <c r="AC306" s="3" t="n">
        <v>3912.0</v>
      </c>
      <c r="AD306" s="3" t="n">
        <v>3843.0</v>
      </c>
      <c r="AE306" s="3" t="n">
        <v>3896.0</v>
      </c>
      <c r="AF306" s="3" t="n">
        <v>3768.0</v>
      </c>
      <c r="AG306" s="3" t="n">
        <v>3620.0</v>
      </c>
      <c r="AH306" s="3" t="n">
        <v>3363.0</v>
      </c>
      <c r="AI306" s="3" t="n">
        <v>3166.0</v>
      </c>
      <c r="AJ306" s="3" t="n">
        <v>2980.0</v>
      </c>
      <c r="AK306" s="3" t="n">
        <v>2953.0</v>
      </c>
      <c r="AL306" s="3" t="n">
        <v>2885.0</v>
      </c>
      <c r="AM306" s="3" t="n">
        <v>2817.0</v>
      </c>
      <c r="AN306" s="3" t="n">
        <v>2848.0</v>
      </c>
      <c r="AO306" s="3" t="n">
        <v>2825.0</v>
      </c>
    </row>
    <row r="307" spans="1:41" x14ac:dyDescent="0.2">
      <c r="A307" s="128"/>
      <c r="B307" s="9">
        <v>94</v>
      </c>
      <c r="C307" s="3" t="n">
        <v>1280.0</v>
      </c>
      <c r="D307" s="3" t="n">
        <v>1442.0</v>
      </c>
      <c r="E307" s="3" t="n">
        <v>1564.0</v>
      </c>
      <c r="F307" s="3" t="n">
        <v>1622.0</v>
      </c>
      <c r="G307" s="3" t="n">
        <v>1677.0</v>
      </c>
      <c r="H307" s="3" t="n">
        <v>1649.0</v>
      </c>
      <c r="I307" s="3" t="n">
        <v>1631.0</v>
      </c>
      <c r="J307" s="3" t="n">
        <v>1672.0</v>
      </c>
      <c r="K307" s="3" t="n">
        <v>1698.0</v>
      </c>
      <c r="L307" s="3" t="n">
        <v>1668.0</v>
      </c>
      <c r="M307" s="3" t="n">
        <v>1617.0</v>
      </c>
      <c r="N307" s="3" t="n">
        <v>1606.0</v>
      </c>
      <c r="O307" s="3" t="n">
        <v>1614.0</v>
      </c>
      <c r="P307" s="3" t="n">
        <v>1605.0</v>
      </c>
      <c r="Q307" s="3" t="n">
        <v>1531.0</v>
      </c>
      <c r="R307" s="3" t="n">
        <v>1605.0</v>
      </c>
      <c r="S307" s="3" t="n">
        <v>1575.0</v>
      </c>
      <c r="T307" s="3" t="n">
        <v>1671.0</v>
      </c>
      <c r="U307" s="3" t="n">
        <v>2646.0</v>
      </c>
      <c r="V307" s="3" t="n">
        <v>2640.0</v>
      </c>
      <c r="W307" s="3" t="n">
        <v>2729.0</v>
      </c>
      <c r="X307" s="3" t="n">
        <v>2721.0</v>
      </c>
      <c r="Y307" s="3" t="n">
        <v>2865.0</v>
      </c>
      <c r="Z307" s="3" t="n">
        <v>3065.0</v>
      </c>
      <c r="AA307" s="3" t="n">
        <v>3059.0</v>
      </c>
      <c r="AB307" s="3" t="n">
        <v>3110.0</v>
      </c>
      <c r="AC307" s="3" t="n">
        <v>3082.0</v>
      </c>
      <c r="AD307" s="3" t="n">
        <v>3221.0</v>
      </c>
      <c r="AE307" s="3" t="n">
        <v>3171.0</v>
      </c>
      <c r="AF307" s="3" t="n">
        <v>3218.0</v>
      </c>
      <c r="AG307" s="3" t="n">
        <v>3109.0</v>
      </c>
      <c r="AH307" s="3" t="n">
        <v>2994.0</v>
      </c>
      <c r="AI307" s="3" t="n">
        <v>2782.0</v>
      </c>
      <c r="AJ307" s="3" t="n">
        <v>2617.0</v>
      </c>
      <c r="AK307" s="3" t="n">
        <v>2470.0</v>
      </c>
      <c r="AL307" s="3" t="n">
        <v>2447.0</v>
      </c>
      <c r="AM307" s="3" t="n">
        <v>2384.0</v>
      </c>
      <c r="AN307" s="3" t="n">
        <v>2337.0</v>
      </c>
      <c r="AO307" s="3" t="n">
        <v>2363.0</v>
      </c>
    </row>
    <row r="308" spans="1:41" x14ac:dyDescent="0.2">
      <c r="A308" s="128"/>
      <c r="B308" s="9">
        <v>95</v>
      </c>
      <c r="C308" s="3" t="n">
        <v>981.0</v>
      </c>
      <c r="D308" s="3" t="n">
        <v>1002.0</v>
      </c>
      <c r="E308" s="3" t="n">
        <v>1132.0</v>
      </c>
      <c r="F308" s="3" t="n">
        <v>1231.0</v>
      </c>
      <c r="G308" s="3" t="n">
        <v>1277.0</v>
      </c>
      <c r="H308" s="3" t="n">
        <v>1323.0</v>
      </c>
      <c r="I308" s="3" t="n">
        <v>1303.0</v>
      </c>
      <c r="J308" s="3" t="n">
        <v>1285.0</v>
      </c>
      <c r="K308" s="3" t="n">
        <v>1322.0</v>
      </c>
      <c r="L308" s="3" t="n">
        <v>1352.0</v>
      </c>
      <c r="M308" s="3" t="n">
        <v>1326.0</v>
      </c>
      <c r="N308" s="3" t="n">
        <v>1287.0</v>
      </c>
      <c r="O308" s="3" t="n">
        <v>1281.0</v>
      </c>
      <c r="P308" s="3" t="n">
        <v>1287.0</v>
      </c>
      <c r="Q308" s="3" t="n">
        <v>1286.0</v>
      </c>
      <c r="R308" s="3" t="n">
        <v>1226.0</v>
      </c>
      <c r="S308" s="3" t="n">
        <v>1284.0</v>
      </c>
      <c r="T308" s="3" t="n">
        <v>1263.0</v>
      </c>
      <c r="U308" s="3" t="n">
        <v>1342.0</v>
      </c>
      <c r="V308" s="3" t="n">
        <v>2123.0</v>
      </c>
      <c r="W308" s="3" t="n">
        <v>2126.0</v>
      </c>
      <c r="X308" s="3" t="n">
        <v>2195.0</v>
      </c>
      <c r="Y308" s="3" t="n">
        <v>2189.0</v>
      </c>
      <c r="Z308" s="3" t="n">
        <v>2307.0</v>
      </c>
      <c r="AA308" s="3" t="n">
        <v>2469.0</v>
      </c>
      <c r="AB308" s="3" t="n">
        <v>2468.0</v>
      </c>
      <c r="AC308" s="3" t="n">
        <v>2511.0</v>
      </c>
      <c r="AD308" s="3" t="n">
        <v>2492.0</v>
      </c>
      <c r="AE308" s="3" t="n">
        <v>2612.0</v>
      </c>
      <c r="AF308" s="3" t="n">
        <v>2570.0</v>
      </c>
      <c r="AG308" s="3" t="n">
        <v>2608.0</v>
      </c>
      <c r="AH308" s="3" t="n">
        <v>2522.0</v>
      </c>
      <c r="AI308" s="3" t="n">
        <v>2430.0</v>
      </c>
      <c r="AJ308" s="3" t="n">
        <v>2255.0</v>
      </c>
      <c r="AK308" s="3" t="n">
        <v>2128.0</v>
      </c>
      <c r="AL308" s="3" t="n">
        <v>2009.0</v>
      </c>
      <c r="AM308" s="3" t="n">
        <v>1992.0</v>
      </c>
      <c r="AN308" s="3" t="n">
        <v>1938.0</v>
      </c>
      <c r="AO308" s="3" t="n">
        <v>1905.0</v>
      </c>
    </row>
    <row r="309" spans="1:41" x14ac:dyDescent="0.2">
      <c r="A309" s="128"/>
      <c r="B309" s="9">
        <v>96</v>
      </c>
      <c r="C309" s="3" t="n">
        <v>694.0</v>
      </c>
      <c r="D309" s="3" t="n">
        <v>755.0</v>
      </c>
      <c r="E309" s="3" t="n">
        <v>770.0</v>
      </c>
      <c r="F309" s="3" t="n">
        <v>869.0</v>
      </c>
      <c r="G309" s="3" t="n">
        <v>945.0</v>
      </c>
      <c r="H309" s="3" t="n">
        <v>984.0</v>
      </c>
      <c r="I309" s="3" t="n">
        <v>1024.0</v>
      </c>
      <c r="J309" s="3" t="n">
        <v>1006.0</v>
      </c>
      <c r="K309" s="3" t="n">
        <v>998.0</v>
      </c>
      <c r="L309" s="3" t="n">
        <v>1027.0</v>
      </c>
      <c r="M309" s="3" t="n">
        <v>1053.0</v>
      </c>
      <c r="N309" s="3" t="n">
        <v>1032.0</v>
      </c>
      <c r="O309" s="3" t="n">
        <v>1008.0</v>
      </c>
      <c r="P309" s="3" t="n">
        <v>1003.0</v>
      </c>
      <c r="Q309" s="3" t="n">
        <v>1003.0</v>
      </c>
      <c r="R309" s="3" t="n">
        <v>1005.0</v>
      </c>
      <c r="S309" s="3" t="n">
        <v>963.0</v>
      </c>
      <c r="T309" s="3" t="n">
        <v>1004.0</v>
      </c>
      <c r="U309" s="3" t="n">
        <v>994.0</v>
      </c>
      <c r="V309" s="3" t="n">
        <v>1057.0</v>
      </c>
      <c r="W309" s="3" t="n">
        <v>1669.0</v>
      </c>
      <c r="X309" s="3" t="n">
        <v>1674.0</v>
      </c>
      <c r="Y309" s="3" t="n">
        <v>1731.0</v>
      </c>
      <c r="Z309" s="3" t="n">
        <v>1731.0</v>
      </c>
      <c r="AA309" s="3" t="n">
        <v>1821.0</v>
      </c>
      <c r="AB309" s="3" t="n">
        <v>1956.0</v>
      </c>
      <c r="AC309" s="3" t="n">
        <v>1952.0</v>
      </c>
      <c r="AD309" s="3" t="n">
        <v>1993.0</v>
      </c>
      <c r="AE309" s="3" t="n">
        <v>1977.0</v>
      </c>
      <c r="AF309" s="3" t="n">
        <v>2076.0</v>
      </c>
      <c r="AG309" s="3" t="n">
        <v>2043.0</v>
      </c>
      <c r="AH309" s="3" t="n">
        <v>2074.0</v>
      </c>
      <c r="AI309" s="3" t="n">
        <v>2009.0</v>
      </c>
      <c r="AJ309" s="3" t="n">
        <v>1932.0</v>
      </c>
      <c r="AK309" s="3" t="n">
        <v>1798.0</v>
      </c>
      <c r="AL309" s="3" t="n">
        <v>1697.0</v>
      </c>
      <c r="AM309" s="3" t="n">
        <v>1601.0</v>
      </c>
      <c r="AN309" s="3" t="n">
        <v>1589.0</v>
      </c>
      <c r="AO309" s="3" t="n">
        <v>1551.0</v>
      </c>
    </row>
    <row r="310" spans="1:41" x14ac:dyDescent="0.2">
      <c r="A310" s="128"/>
      <c r="B310" s="9">
        <v>97</v>
      </c>
      <c r="C310" s="3" t="n">
        <v>505.0</v>
      </c>
      <c r="D310" s="3" t="n">
        <v>522.0</v>
      </c>
      <c r="E310" s="3" t="n">
        <v>564.0</v>
      </c>
      <c r="F310" s="3" t="n">
        <v>576.0</v>
      </c>
      <c r="G310" s="3" t="n">
        <v>655.0</v>
      </c>
      <c r="H310" s="3" t="n">
        <v>713.0</v>
      </c>
      <c r="I310" s="3" t="n">
        <v>739.0</v>
      </c>
      <c r="J310" s="3" t="n">
        <v>775.0</v>
      </c>
      <c r="K310" s="3" t="n">
        <v>763.0</v>
      </c>
      <c r="L310" s="3" t="n">
        <v>757.0</v>
      </c>
      <c r="M310" s="3" t="n">
        <v>781.0</v>
      </c>
      <c r="N310" s="3" t="n">
        <v>805.0</v>
      </c>
      <c r="O310" s="3" t="n">
        <v>791.0</v>
      </c>
      <c r="P310" s="3" t="n">
        <v>771.0</v>
      </c>
      <c r="Q310" s="3" t="n">
        <v>770.0</v>
      </c>
      <c r="R310" s="3" t="n">
        <v>768.0</v>
      </c>
      <c r="S310" s="3" t="n">
        <v>771.0</v>
      </c>
      <c r="T310" s="3" t="n">
        <v>741.0</v>
      </c>
      <c r="U310" s="3" t="n">
        <v>773.0</v>
      </c>
      <c r="V310" s="3" t="n">
        <v>764.0</v>
      </c>
      <c r="W310" s="3" t="n">
        <v>815.0</v>
      </c>
      <c r="X310" s="3" t="n">
        <v>1286.0</v>
      </c>
      <c r="Y310" s="3" t="n">
        <v>1293.0</v>
      </c>
      <c r="Z310" s="3" t="n">
        <v>1341.0</v>
      </c>
      <c r="AA310" s="3" t="n">
        <v>1340.0</v>
      </c>
      <c r="AB310" s="3" t="n">
        <v>1412.0</v>
      </c>
      <c r="AC310" s="3" t="n">
        <v>1515.0</v>
      </c>
      <c r="AD310" s="3" t="n">
        <v>1513.0</v>
      </c>
      <c r="AE310" s="3" t="n">
        <v>1550.0</v>
      </c>
      <c r="AF310" s="3" t="n">
        <v>1539.0</v>
      </c>
      <c r="AG310" s="3" t="n">
        <v>1611.0</v>
      </c>
      <c r="AH310" s="3" t="n">
        <v>1592.0</v>
      </c>
      <c r="AI310" s="3" t="n">
        <v>1616.0</v>
      </c>
      <c r="AJ310" s="3" t="n">
        <v>1568.0</v>
      </c>
      <c r="AK310" s="3" t="n">
        <v>1507.0</v>
      </c>
      <c r="AL310" s="3" t="n">
        <v>1404.0</v>
      </c>
      <c r="AM310" s="3" t="n">
        <v>1329.0</v>
      </c>
      <c r="AN310" s="3" t="n">
        <v>1252.0</v>
      </c>
      <c r="AO310" s="3" t="n">
        <v>1247.0</v>
      </c>
    </row>
    <row r="311" spans="1:41" x14ac:dyDescent="0.2">
      <c r="A311" s="128"/>
      <c r="B311" s="9">
        <v>98</v>
      </c>
      <c r="C311" s="3" t="n">
        <v>294.0</v>
      </c>
      <c r="D311" s="3" t="n">
        <v>363.0</v>
      </c>
      <c r="E311" s="3" t="n">
        <v>380.0</v>
      </c>
      <c r="F311" s="3" t="n">
        <v>409.0</v>
      </c>
      <c r="G311" s="3" t="n">
        <v>422.0</v>
      </c>
      <c r="H311" s="3" t="n">
        <v>477.0</v>
      </c>
      <c r="I311" s="3" t="n">
        <v>519.0</v>
      </c>
      <c r="J311" s="3" t="n">
        <v>538.0</v>
      </c>
      <c r="K311" s="3" t="n">
        <v>568.0</v>
      </c>
      <c r="L311" s="3" t="n">
        <v>559.0</v>
      </c>
      <c r="M311" s="3" t="n">
        <v>557.0</v>
      </c>
      <c r="N311" s="3" t="n">
        <v>576.0</v>
      </c>
      <c r="O311" s="3" t="n">
        <v>597.0</v>
      </c>
      <c r="P311" s="3" t="n">
        <v>584.0</v>
      </c>
      <c r="Q311" s="3" t="n">
        <v>572.0</v>
      </c>
      <c r="R311" s="3" t="n">
        <v>570.0</v>
      </c>
      <c r="S311" s="3" t="n">
        <v>570.0</v>
      </c>
      <c r="T311" s="3" t="n">
        <v>573.0</v>
      </c>
      <c r="U311" s="3" t="n">
        <v>553.0</v>
      </c>
      <c r="V311" s="3" t="n">
        <v>578.0</v>
      </c>
      <c r="W311" s="3" t="n">
        <v>571.0</v>
      </c>
      <c r="X311" s="3" t="n">
        <v>608.0</v>
      </c>
      <c r="Y311" s="3" t="n">
        <v>966.0</v>
      </c>
      <c r="Z311" s="3" t="n">
        <v>972.0</v>
      </c>
      <c r="AA311" s="3" t="n">
        <v>1007.0</v>
      </c>
      <c r="AB311" s="3" t="n">
        <v>1010.0</v>
      </c>
      <c r="AC311" s="3" t="n">
        <v>1063.0</v>
      </c>
      <c r="AD311" s="3" t="n">
        <v>1140.0</v>
      </c>
      <c r="AE311" s="3" t="n">
        <v>1141.0</v>
      </c>
      <c r="AF311" s="3" t="n">
        <v>1168.0</v>
      </c>
      <c r="AG311" s="3" t="n">
        <v>1160.0</v>
      </c>
      <c r="AH311" s="3" t="n">
        <v>1216.0</v>
      </c>
      <c r="AI311" s="3" t="n">
        <v>1203.0</v>
      </c>
      <c r="AJ311" s="3" t="n">
        <v>1225.0</v>
      </c>
      <c r="AK311" s="3" t="n">
        <v>1192.0</v>
      </c>
      <c r="AL311" s="3" t="n">
        <v>1144.0</v>
      </c>
      <c r="AM311" s="3" t="n">
        <v>1067.0</v>
      </c>
      <c r="AN311" s="3" t="n">
        <v>1008.0</v>
      </c>
      <c r="AO311" s="3" t="n">
        <v>954.0</v>
      </c>
    </row>
    <row r="312" spans="1:41" x14ac:dyDescent="0.2">
      <c r="A312" s="128"/>
      <c r="B312" s="9">
        <v>99</v>
      </c>
      <c r="C312" s="3" t="n">
        <v>194.0</v>
      </c>
      <c r="D312" s="3" t="n">
        <v>211.0</v>
      </c>
      <c r="E312" s="3" t="n">
        <v>257.0</v>
      </c>
      <c r="F312" s="3" t="n">
        <v>275.0</v>
      </c>
      <c r="G312" s="3" t="n">
        <v>291.0</v>
      </c>
      <c r="H312" s="3" t="n">
        <v>305.0</v>
      </c>
      <c r="I312" s="3" t="n">
        <v>341.0</v>
      </c>
      <c r="J312" s="3" t="n">
        <v>377.0</v>
      </c>
      <c r="K312" s="3" t="n">
        <v>387.0</v>
      </c>
      <c r="L312" s="3" t="n">
        <v>409.0</v>
      </c>
      <c r="M312" s="3" t="n">
        <v>406.0</v>
      </c>
      <c r="N312" s="3" t="n">
        <v>406.0</v>
      </c>
      <c r="O312" s="3" t="n">
        <v>419.0</v>
      </c>
      <c r="P312" s="3" t="n">
        <v>435.0</v>
      </c>
      <c r="Q312" s="3" t="n">
        <v>426.0</v>
      </c>
      <c r="R312" s="3" t="n">
        <v>421.0</v>
      </c>
      <c r="S312" s="3" t="n">
        <v>417.0</v>
      </c>
      <c r="T312" s="3" t="n">
        <v>418.0</v>
      </c>
      <c r="U312" s="3" t="n">
        <v>422.0</v>
      </c>
      <c r="V312" s="3" t="n">
        <v>409.0</v>
      </c>
      <c r="W312" s="3" t="n">
        <v>429.0</v>
      </c>
      <c r="X312" s="3" t="n">
        <v>425.0</v>
      </c>
      <c r="Y312" s="3" t="n">
        <v>450.0</v>
      </c>
      <c r="Z312" s="3" t="n">
        <v>712.0</v>
      </c>
      <c r="AA312" s="3" t="n">
        <v>716.0</v>
      </c>
      <c r="AB312" s="3" t="n">
        <v>743.0</v>
      </c>
      <c r="AC312" s="3" t="n">
        <v>746.0</v>
      </c>
      <c r="AD312" s="3" t="n">
        <v>787.0</v>
      </c>
      <c r="AE312" s="3" t="n">
        <v>841.0</v>
      </c>
      <c r="AF312" s="3" t="n">
        <v>844.0</v>
      </c>
      <c r="AG312" s="3" t="n">
        <v>862.0</v>
      </c>
      <c r="AH312" s="3" t="n">
        <v>863.0</v>
      </c>
      <c r="AI312" s="3" t="n">
        <v>905.0</v>
      </c>
      <c r="AJ312" s="3" t="n">
        <v>893.0</v>
      </c>
      <c r="AK312" s="3" t="n">
        <v>908.0</v>
      </c>
      <c r="AL312" s="3" t="n">
        <v>888.0</v>
      </c>
      <c r="AM312" s="3" t="n">
        <v>852.0</v>
      </c>
      <c r="AN312" s="3" t="n">
        <v>794.0</v>
      </c>
      <c r="AO312" s="3" t="n">
        <v>755.0</v>
      </c>
    </row>
    <row r="313" spans="1:41" x14ac:dyDescent="0.2">
      <c r="A313" s="128"/>
      <c r="B313" s="10" t="s">
        <v>79</v>
      </c>
      <c r="C313" s="4" t="n">
        <v>265.0</v>
      </c>
      <c r="D313" s="4" t="n">
        <v>307.0</v>
      </c>
      <c r="E313" s="4" t="n">
        <v>348.0</v>
      </c>
      <c r="F313" s="4" t="n">
        <v>400.0</v>
      </c>
      <c r="G313" s="4" t="n">
        <v>445.0</v>
      </c>
      <c r="H313" s="4" t="n">
        <v>489.0</v>
      </c>
      <c r="I313" s="4" t="n">
        <v>528.0</v>
      </c>
      <c r="J313" s="4" t="n">
        <v>581.0</v>
      </c>
      <c r="K313" s="4" t="n">
        <v>645.0</v>
      </c>
      <c r="L313" s="4" t="n">
        <v>685.0</v>
      </c>
      <c r="M313" s="4" t="n">
        <v>731.0</v>
      </c>
      <c r="N313" s="4" t="n">
        <v>756.0</v>
      </c>
      <c r="O313" s="4" t="n">
        <v>774.0</v>
      </c>
      <c r="P313" s="4" t="n">
        <v>794.0</v>
      </c>
      <c r="Q313" s="4" t="n">
        <v>823.0</v>
      </c>
      <c r="R313" s="4" t="n">
        <v>839.0</v>
      </c>
      <c r="S313" s="4" t="n">
        <v>845.0</v>
      </c>
      <c r="T313" s="4" t="n">
        <v>848.0</v>
      </c>
      <c r="U313" s="4" t="n">
        <v>851.0</v>
      </c>
      <c r="V313" s="4" t="n">
        <v>860.0</v>
      </c>
      <c r="W313" s="4" t="n">
        <v>858.0</v>
      </c>
      <c r="X313" s="4" t="n">
        <v>868.0</v>
      </c>
      <c r="Y313" s="4" t="n">
        <v>876.0</v>
      </c>
      <c r="Z313" s="4" t="n">
        <v>899.0</v>
      </c>
      <c r="AA313" s="4" t="n">
        <v>1097.0</v>
      </c>
      <c r="AB313" s="4" t="n">
        <v>1232.0</v>
      </c>
      <c r="AC313" s="4" t="n">
        <v>1343.0</v>
      </c>
      <c r="AD313" s="4" t="n">
        <v>1421.0</v>
      </c>
      <c r="AE313" s="4" t="n">
        <v>1505.0</v>
      </c>
      <c r="AF313" s="4" t="n">
        <v>1602.0</v>
      </c>
      <c r="AG313" s="4" t="n">
        <v>1671.0</v>
      </c>
      <c r="AH313" s="4" t="n">
        <v>1734.0</v>
      </c>
      <c r="AI313" s="4" t="n">
        <v>1782.0</v>
      </c>
      <c r="AJ313" s="4" t="n">
        <v>1836.0</v>
      </c>
      <c r="AK313" s="4" t="n">
        <v>1875.0</v>
      </c>
      <c r="AL313" s="4" t="n">
        <v>1910.0</v>
      </c>
      <c r="AM313" s="4" t="n">
        <v>1917.0</v>
      </c>
      <c r="AN313" s="4" t="n">
        <v>1895.0</v>
      </c>
      <c r="AO313" s="4" t="n">
        <v>1845.0</v>
      </c>
    </row>
  </sheetData>
  <mergeCells count="5"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FF6966"/>
  </sheetPr>
  <dimension ref="A1:AO7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3"/>
      <c r="B1" s="83"/>
      <c r="C1" s="13" t="s">
        <v>86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D2" s="33" t="s">
        <v>40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131" t="s">
        <v>83</v>
      </c>
      <c r="B3" s="131"/>
      <c r="D3" s="24" t="s">
        <v>68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41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49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105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2" t="s">
        <v>47</v>
      </c>
      <c r="B8" s="37" t="s">
        <v>48</v>
      </c>
      <c r="C8" s="15" t="n">
        <v>2378483.0</v>
      </c>
      <c r="D8" s="15" t="n">
        <v>2363356.0</v>
      </c>
      <c r="E8" s="15" t="n">
        <v>2347438.0</v>
      </c>
      <c r="F8" s="15" t="n">
        <v>2330898.0</v>
      </c>
      <c r="G8" s="15" t="n">
        <v>2313795.0</v>
      </c>
      <c r="H8" s="15" t="n">
        <v>2298615.0</v>
      </c>
      <c r="I8" s="15" t="n">
        <v>2283741.0</v>
      </c>
      <c r="J8" s="15" t="n">
        <v>2266478.0</v>
      </c>
      <c r="K8" s="15" t="n">
        <v>2247746.0</v>
      </c>
      <c r="L8" s="15" t="n">
        <v>2228128.0</v>
      </c>
      <c r="M8" s="15" t="n">
        <v>2207756.0</v>
      </c>
      <c r="N8" s="15" t="n">
        <v>2186700.0</v>
      </c>
      <c r="O8" s="15" t="n">
        <v>2165236.0</v>
      </c>
      <c r="P8" s="15" t="n">
        <v>2143187.0</v>
      </c>
      <c r="Q8" s="15" t="n">
        <v>2120911.0</v>
      </c>
      <c r="R8" s="15" t="n">
        <v>2098155.0</v>
      </c>
      <c r="S8" s="15" t="n">
        <v>2075160.0</v>
      </c>
      <c r="T8" s="15" t="n">
        <v>2051816.0</v>
      </c>
      <c r="U8" s="15" t="n">
        <v>2028441.0</v>
      </c>
      <c r="V8" s="15" t="n">
        <v>2004913.0</v>
      </c>
      <c r="W8" s="15" t="n">
        <v>1981309.0</v>
      </c>
      <c r="X8" s="15" t="n">
        <v>1957641.0</v>
      </c>
      <c r="Y8" s="15" t="n">
        <v>1933968.0</v>
      </c>
      <c r="Z8" s="15" t="n">
        <v>1910143.0</v>
      </c>
      <c r="AA8" s="15" t="n">
        <v>1886355.0</v>
      </c>
      <c r="AB8" s="15" t="n">
        <v>1862667.0</v>
      </c>
      <c r="AC8" s="15" t="n">
        <v>1839021.0</v>
      </c>
      <c r="AD8" s="15" t="n">
        <v>1815314.0</v>
      </c>
      <c r="AE8" s="15" t="n">
        <v>1791832.0</v>
      </c>
      <c r="AF8" s="15" t="n">
        <v>1768241.0</v>
      </c>
      <c r="AG8" s="15" t="n">
        <v>1744634.0</v>
      </c>
      <c r="AH8" s="15" t="n">
        <v>1721045.0</v>
      </c>
      <c r="AI8" s="15" t="n">
        <v>1697338.0</v>
      </c>
      <c r="AJ8" s="15" t="n">
        <v>1673550.0</v>
      </c>
      <c r="AK8" s="15" t="n">
        <v>1649710.0</v>
      </c>
      <c r="AL8" s="15" t="n">
        <v>1625641.0</v>
      </c>
      <c r="AM8" s="15" t="n">
        <v>1601455.0</v>
      </c>
      <c r="AN8" s="15" t="n">
        <v>1577015.0</v>
      </c>
      <c r="AO8" s="15" t="n">
        <v>1552569.0</v>
      </c>
    </row>
    <row r="9" spans="1:41" x14ac:dyDescent="0.2">
      <c r="A9" s="133"/>
      <c r="B9" s="64" t="s">
        <v>20</v>
      </c>
      <c r="C9" s="3" t="n">
        <v>102237.0</v>
      </c>
      <c r="D9" s="3" t="n">
        <v>95590.0</v>
      </c>
      <c r="E9" s="3" t="n">
        <v>89999.0</v>
      </c>
      <c r="F9" s="3" t="n">
        <v>84841.0</v>
      </c>
      <c r="G9" s="3" t="n">
        <v>80056.0</v>
      </c>
      <c r="H9" s="3" t="n">
        <v>76937.0</v>
      </c>
      <c r="I9" s="3" t="n">
        <v>74829.0</v>
      </c>
      <c r="J9" s="3" t="n">
        <v>72760.0</v>
      </c>
      <c r="K9" s="3" t="n">
        <v>70848.0</v>
      </c>
      <c r="L9" s="3" t="n">
        <v>69088.0</v>
      </c>
      <c r="M9" s="3" t="n">
        <v>67584.0</v>
      </c>
      <c r="N9" s="3" t="n">
        <v>66273.0</v>
      </c>
      <c r="O9" s="3" t="n">
        <v>65176.0</v>
      </c>
      <c r="P9" s="3" t="n">
        <v>64237.0</v>
      </c>
      <c r="Q9" s="3" t="n">
        <v>63488.0</v>
      </c>
      <c r="R9" s="3" t="n">
        <v>62924.0</v>
      </c>
      <c r="S9" s="3" t="n">
        <v>62527.0</v>
      </c>
      <c r="T9" s="3" t="n">
        <v>62260.0</v>
      </c>
      <c r="U9" s="3" t="n">
        <v>62115.0</v>
      </c>
      <c r="V9" s="3" t="n">
        <v>62033.0</v>
      </c>
      <c r="W9" s="3" t="n">
        <v>61958.0</v>
      </c>
      <c r="X9" s="3" t="n">
        <v>61819.0</v>
      </c>
      <c r="Y9" s="3" t="n">
        <v>61609.0</v>
      </c>
      <c r="Z9" s="3" t="n">
        <v>61296.0</v>
      </c>
      <c r="AA9" s="3" t="n">
        <v>60837.0</v>
      </c>
      <c r="AB9" s="3" t="n">
        <v>60236.0</v>
      </c>
      <c r="AC9" s="3" t="n">
        <v>59511.0</v>
      </c>
      <c r="AD9" s="3" t="n">
        <v>58613.0</v>
      </c>
      <c r="AE9" s="3" t="n">
        <v>57561.0</v>
      </c>
      <c r="AF9" s="3" t="n">
        <v>56377.0</v>
      </c>
      <c r="AG9" s="3" t="n">
        <v>55046.0</v>
      </c>
      <c r="AH9" s="3" t="n">
        <v>53610.0</v>
      </c>
      <c r="AI9" s="3" t="n">
        <v>52081.0</v>
      </c>
      <c r="AJ9" s="3" t="n">
        <v>50474.0</v>
      </c>
      <c r="AK9" s="3" t="n">
        <v>48843.0</v>
      </c>
      <c r="AL9" s="3" t="n">
        <v>47201.0</v>
      </c>
      <c r="AM9" s="3" t="n">
        <v>45553.0</v>
      </c>
      <c r="AN9" s="3" t="n">
        <v>43984.0</v>
      </c>
      <c r="AO9" s="3" t="n">
        <v>42516.0</v>
      </c>
    </row>
    <row r="10" spans="1:41" x14ac:dyDescent="0.2">
      <c r="A10" s="133"/>
      <c r="B10" s="64" t="s">
        <v>21</v>
      </c>
      <c r="C10" s="3" t="n">
        <v>114809.0</v>
      </c>
      <c r="D10" s="3" t="n">
        <v>115285.0</v>
      </c>
      <c r="E10" s="3" t="n">
        <v>113747.0</v>
      </c>
      <c r="F10" s="3" t="n">
        <v>111785.0</v>
      </c>
      <c r="G10" s="3" t="n">
        <v>108345.0</v>
      </c>
      <c r="H10" s="3" t="n">
        <v>102582.0</v>
      </c>
      <c r="I10" s="3" t="n">
        <v>96443.0</v>
      </c>
      <c r="J10" s="3" t="n">
        <v>91113.0</v>
      </c>
      <c r="K10" s="3" t="n">
        <v>86047.0</v>
      </c>
      <c r="L10" s="3" t="n">
        <v>81324.0</v>
      </c>
      <c r="M10" s="3" t="n">
        <v>77940.0</v>
      </c>
      <c r="N10" s="3" t="n">
        <v>75487.0</v>
      </c>
      <c r="O10" s="3" t="n">
        <v>73229.0</v>
      </c>
      <c r="P10" s="3" t="n">
        <v>71237.0</v>
      </c>
      <c r="Q10" s="3" t="n">
        <v>69450.0</v>
      </c>
      <c r="R10" s="3" t="n">
        <v>67930.0</v>
      </c>
      <c r="S10" s="3" t="n">
        <v>66592.0</v>
      </c>
      <c r="T10" s="3" t="n">
        <v>65477.0</v>
      </c>
      <c r="U10" s="3" t="n">
        <v>64524.0</v>
      </c>
      <c r="V10" s="3" t="n">
        <v>63756.0</v>
      </c>
      <c r="W10" s="3" t="n">
        <v>63184.0</v>
      </c>
      <c r="X10" s="3" t="n">
        <v>62783.0</v>
      </c>
      <c r="Y10" s="3" t="n">
        <v>62508.0</v>
      </c>
      <c r="Z10" s="3" t="n">
        <v>62362.0</v>
      </c>
      <c r="AA10" s="3" t="n">
        <v>62281.0</v>
      </c>
      <c r="AB10" s="3" t="n">
        <v>62206.0</v>
      </c>
      <c r="AC10" s="3" t="n">
        <v>62074.0</v>
      </c>
      <c r="AD10" s="3" t="n">
        <v>61865.0</v>
      </c>
      <c r="AE10" s="3" t="n">
        <v>61554.0</v>
      </c>
      <c r="AF10" s="3" t="n">
        <v>61107.0</v>
      </c>
      <c r="AG10" s="3" t="n">
        <v>60510.0</v>
      </c>
      <c r="AH10" s="3" t="n">
        <v>59791.0</v>
      </c>
      <c r="AI10" s="3" t="n">
        <v>58923.0</v>
      </c>
      <c r="AJ10" s="3" t="n">
        <v>57884.0</v>
      </c>
      <c r="AK10" s="3" t="n">
        <v>56705.0</v>
      </c>
      <c r="AL10" s="3" t="n">
        <v>55383.0</v>
      </c>
      <c r="AM10" s="3" t="n">
        <v>53967.0</v>
      </c>
      <c r="AN10" s="3" t="n">
        <v>52453.0</v>
      </c>
      <c r="AO10" s="3" t="n">
        <v>50854.0</v>
      </c>
    </row>
    <row r="11" spans="1:41" x14ac:dyDescent="0.2">
      <c r="A11" s="133"/>
      <c r="B11" s="65" t="s">
        <v>22</v>
      </c>
      <c r="C11" s="3" t="n">
        <v>125457.0</v>
      </c>
      <c r="D11" s="3" t="n">
        <v>122465.0</v>
      </c>
      <c r="E11" s="3" t="n">
        <v>119213.0</v>
      </c>
      <c r="F11" s="3" t="n">
        <v>116152.0</v>
      </c>
      <c r="G11" s="3" t="n">
        <v>115066.0</v>
      </c>
      <c r="H11" s="3" t="n">
        <v>115145.0</v>
      </c>
      <c r="I11" s="3" t="n">
        <v>116123.0</v>
      </c>
      <c r="J11" s="3" t="n">
        <v>114855.0</v>
      </c>
      <c r="K11" s="3" t="n">
        <v>112980.0</v>
      </c>
      <c r="L11" s="3" t="n">
        <v>109535.0</v>
      </c>
      <c r="M11" s="3" t="n">
        <v>103413.0</v>
      </c>
      <c r="N11" s="3" t="n">
        <v>96806.0</v>
      </c>
      <c r="O11" s="3" t="n">
        <v>91277.0</v>
      </c>
      <c r="P11" s="3" t="n">
        <v>86133.0</v>
      </c>
      <c r="Q11" s="3" t="n">
        <v>81424.0</v>
      </c>
      <c r="R11" s="3" t="n">
        <v>78061.0</v>
      </c>
      <c r="S11" s="3" t="n">
        <v>75620.0</v>
      </c>
      <c r="T11" s="3" t="n">
        <v>73359.0</v>
      </c>
      <c r="U11" s="3" t="n">
        <v>71379.0</v>
      </c>
      <c r="V11" s="3" t="n">
        <v>69601.0</v>
      </c>
      <c r="W11" s="3" t="n">
        <v>68063.0</v>
      </c>
      <c r="X11" s="3" t="n">
        <v>66710.0</v>
      </c>
      <c r="Y11" s="3" t="n">
        <v>65591.0</v>
      </c>
      <c r="Z11" s="3" t="n">
        <v>64635.0</v>
      </c>
      <c r="AA11" s="3" t="n">
        <v>63859.0</v>
      </c>
      <c r="AB11" s="3" t="n">
        <v>63287.0</v>
      </c>
      <c r="AC11" s="3" t="n">
        <v>62895.0</v>
      </c>
      <c r="AD11" s="3" t="n">
        <v>62619.0</v>
      </c>
      <c r="AE11" s="3" t="n">
        <v>62466.0</v>
      </c>
      <c r="AF11" s="3" t="n">
        <v>62380.0</v>
      </c>
      <c r="AG11" s="3" t="n">
        <v>62310.0</v>
      </c>
      <c r="AH11" s="3" t="n">
        <v>62172.0</v>
      </c>
      <c r="AI11" s="3" t="n">
        <v>61955.0</v>
      </c>
      <c r="AJ11" s="3" t="n">
        <v>61647.0</v>
      </c>
      <c r="AK11" s="3" t="n">
        <v>61194.0</v>
      </c>
      <c r="AL11" s="3" t="n">
        <v>60595.0</v>
      </c>
      <c r="AM11" s="3" t="n">
        <v>59877.0</v>
      </c>
      <c r="AN11" s="3" t="n">
        <v>59004.0</v>
      </c>
      <c r="AO11" s="3" t="n">
        <v>57971.0</v>
      </c>
    </row>
    <row r="12" spans="1:41" x14ac:dyDescent="0.2">
      <c r="A12" s="133"/>
      <c r="B12" s="64" t="s">
        <v>23</v>
      </c>
      <c r="C12" s="3" t="n">
        <v>110619.0</v>
      </c>
      <c r="D12" s="3" t="n">
        <v>115254.0</v>
      </c>
      <c r="E12" s="3" t="n">
        <v>119775.0</v>
      </c>
      <c r="F12" s="3" t="n">
        <v>123404.0</v>
      </c>
      <c r="G12" s="3" t="n">
        <v>124662.0</v>
      </c>
      <c r="H12" s="3" t="n">
        <v>125430.0</v>
      </c>
      <c r="I12" s="3" t="n">
        <v>122886.0</v>
      </c>
      <c r="J12" s="3" t="n">
        <v>119848.0</v>
      </c>
      <c r="K12" s="3" t="n">
        <v>116906.0</v>
      </c>
      <c r="L12" s="3" t="n">
        <v>115912.0</v>
      </c>
      <c r="M12" s="3" t="n">
        <v>115714.0</v>
      </c>
      <c r="N12" s="3" t="n">
        <v>116246.0</v>
      </c>
      <c r="O12" s="3" t="n">
        <v>114765.0</v>
      </c>
      <c r="P12" s="3" t="n">
        <v>112808.0</v>
      </c>
      <c r="Q12" s="3" t="n">
        <v>109312.0</v>
      </c>
      <c r="R12" s="3" t="n">
        <v>103193.0</v>
      </c>
      <c r="S12" s="3" t="n">
        <v>96612.0</v>
      </c>
      <c r="T12" s="3" t="n">
        <v>91108.0</v>
      </c>
      <c r="U12" s="3" t="n">
        <v>86003.0</v>
      </c>
      <c r="V12" s="3" t="n">
        <v>81323.0</v>
      </c>
      <c r="W12" s="3" t="n">
        <v>78000.0</v>
      </c>
      <c r="X12" s="3" t="n">
        <v>75557.0</v>
      </c>
      <c r="Y12" s="3" t="n">
        <v>73290.0</v>
      </c>
      <c r="Z12" s="3" t="n">
        <v>71318.0</v>
      </c>
      <c r="AA12" s="3" t="n">
        <v>69545.0</v>
      </c>
      <c r="AB12" s="3" t="n">
        <v>68009.0</v>
      </c>
      <c r="AC12" s="3" t="n">
        <v>66649.0</v>
      </c>
      <c r="AD12" s="3" t="n">
        <v>65525.0</v>
      </c>
      <c r="AE12" s="3" t="n">
        <v>64569.0</v>
      </c>
      <c r="AF12" s="3" t="n">
        <v>63787.0</v>
      </c>
      <c r="AG12" s="3" t="n">
        <v>63209.0</v>
      </c>
      <c r="AH12" s="3" t="n">
        <v>62811.0</v>
      </c>
      <c r="AI12" s="3" t="n">
        <v>62530.0</v>
      </c>
      <c r="AJ12" s="3" t="n">
        <v>62368.0</v>
      </c>
      <c r="AK12" s="3" t="n">
        <v>62276.0</v>
      </c>
      <c r="AL12" s="3" t="n">
        <v>62201.0</v>
      </c>
      <c r="AM12" s="3" t="n">
        <v>62058.0</v>
      </c>
      <c r="AN12" s="3" t="n">
        <v>61839.0</v>
      </c>
      <c r="AO12" s="3" t="n">
        <v>61528.0</v>
      </c>
    </row>
    <row r="13" spans="1:41" x14ac:dyDescent="0.2">
      <c r="A13" s="133"/>
      <c r="B13" s="64" t="s">
        <v>24</v>
      </c>
      <c r="C13" s="3" t="n">
        <v>110279.0</v>
      </c>
      <c r="D13" s="3" t="n">
        <v>108105.0</v>
      </c>
      <c r="E13" s="3" t="n">
        <v>107079.0</v>
      </c>
      <c r="F13" s="3" t="n">
        <v>106438.0</v>
      </c>
      <c r="G13" s="3" t="n">
        <v>107611.0</v>
      </c>
      <c r="H13" s="3" t="n">
        <v>110187.0</v>
      </c>
      <c r="I13" s="3" t="n">
        <v>115078.0</v>
      </c>
      <c r="J13" s="3" t="n">
        <v>119748.0</v>
      </c>
      <c r="K13" s="3" t="n">
        <v>123446.0</v>
      </c>
      <c r="L13" s="3" t="n">
        <v>124767.0</v>
      </c>
      <c r="M13" s="3" t="n">
        <v>125307.0</v>
      </c>
      <c r="N13" s="3" t="n">
        <v>122421.0</v>
      </c>
      <c r="O13" s="3" t="n">
        <v>119266.0</v>
      </c>
      <c r="P13" s="3" t="n">
        <v>116285.0</v>
      </c>
      <c r="Q13" s="3" t="n">
        <v>115268.0</v>
      </c>
      <c r="R13" s="3" t="n">
        <v>115052.0</v>
      </c>
      <c r="S13" s="3" t="n">
        <v>115595.0</v>
      </c>
      <c r="T13" s="3" t="n">
        <v>114132.0</v>
      </c>
      <c r="U13" s="3" t="n">
        <v>112162.0</v>
      </c>
      <c r="V13" s="3" t="n">
        <v>108668.0</v>
      </c>
      <c r="W13" s="3" t="n">
        <v>102562.0</v>
      </c>
      <c r="X13" s="3" t="n">
        <v>96025.0</v>
      </c>
      <c r="Y13" s="3" t="n">
        <v>90567.0</v>
      </c>
      <c r="Z13" s="3" t="n">
        <v>85496.0</v>
      </c>
      <c r="AA13" s="3" t="n">
        <v>80851.0</v>
      </c>
      <c r="AB13" s="3" t="n">
        <v>77566.0</v>
      </c>
      <c r="AC13" s="3" t="n">
        <v>75163.0</v>
      </c>
      <c r="AD13" s="3" t="n">
        <v>72923.0</v>
      </c>
      <c r="AE13" s="3" t="n">
        <v>70969.0</v>
      </c>
      <c r="AF13" s="3" t="n">
        <v>69204.0</v>
      </c>
      <c r="AG13" s="3" t="n">
        <v>67666.0</v>
      </c>
      <c r="AH13" s="3" t="n">
        <v>66307.0</v>
      </c>
      <c r="AI13" s="3" t="n">
        <v>65182.0</v>
      </c>
      <c r="AJ13" s="3" t="n">
        <v>64227.0</v>
      </c>
      <c r="AK13" s="3" t="n">
        <v>63452.0</v>
      </c>
      <c r="AL13" s="3" t="n">
        <v>62879.0</v>
      </c>
      <c r="AM13" s="3" t="n">
        <v>62482.0</v>
      </c>
      <c r="AN13" s="3" t="n">
        <v>62203.0</v>
      </c>
      <c r="AO13" s="3" t="n">
        <v>62036.0</v>
      </c>
    </row>
    <row r="14" spans="1:41" x14ac:dyDescent="0.2">
      <c r="A14" s="133"/>
      <c r="B14" s="64" t="s">
        <v>25</v>
      </c>
      <c r="C14" s="3" t="n">
        <v>129919.0</v>
      </c>
      <c r="D14" s="3" t="n">
        <v>124003.0</v>
      </c>
      <c r="E14" s="3" t="n">
        <v>119155.0</v>
      </c>
      <c r="F14" s="3" t="n">
        <v>115538.0</v>
      </c>
      <c r="G14" s="3" t="n">
        <v>111859.0</v>
      </c>
      <c r="H14" s="3" t="n">
        <v>109051.0</v>
      </c>
      <c r="I14" s="3" t="n">
        <v>107100.0</v>
      </c>
      <c r="J14" s="3" t="n">
        <v>106174.0</v>
      </c>
      <c r="K14" s="3" t="n">
        <v>105584.0</v>
      </c>
      <c r="L14" s="3" t="n">
        <v>106762.0</v>
      </c>
      <c r="M14" s="3" t="n">
        <v>109135.0</v>
      </c>
      <c r="N14" s="3" t="n">
        <v>113726.0</v>
      </c>
      <c r="O14" s="3" t="n">
        <v>118239.0</v>
      </c>
      <c r="P14" s="3" t="n">
        <v>121844.0</v>
      </c>
      <c r="Q14" s="3" t="n">
        <v>123112.0</v>
      </c>
      <c r="R14" s="3" t="n">
        <v>123616.0</v>
      </c>
      <c r="S14" s="3" t="n">
        <v>120757.0</v>
      </c>
      <c r="T14" s="3" t="n">
        <v>117654.0</v>
      </c>
      <c r="U14" s="3" t="n">
        <v>114745.0</v>
      </c>
      <c r="V14" s="3" t="n">
        <v>113778.0</v>
      </c>
      <c r="W14" s="3" t="n">
        <v>113615.0</v>
      </c>
      <c r="X14" s="3" t="n">
        <v>114178.0</v>
      </c>
      <c r="Y14" s="3" t="n">
        <v>112712.0</v>
      </c>
      <c r="Z14" s="3" t="n">
        <v>110729.0</v>
      </c>
      <c r="AA14" s="3" t="n">
        <v>107239.0</v>
      </c>
      <c r="AB14" s="3" t="n">
        <v>101171.0</v>
      </c>
      <c r="AC14" s="3" t="n">
        <v>94712.0</v>
      </c>
      <c r="AD14" s="3" t="n">
        <v>89342.0</v>
      </c>
      <c r="AE14" s="3" t="n">
        <v>84386.0</v>
      </c>
      <c r="AF14" s="3" t="n">
        <v>79866.0</v>
      </c>
      <c r="AG14" s="3" t="n">
        <v>76667.0</v>
      </c>
      <c r="AH14" s="3" t="n">
        <v>74300.0</v>
      </c>
      <c r="AI14" s="3" t="n">
        <v>72071.0</v>
      </c>
      <c r="AJ14" s="3" t="n">
        <v>70128.0</v>
      </c>
      <c r="AK14" s="3" t="n">
        <v>68379.0</v>
      </c>
      <c r="AL14" s="3" t="n">
        <v>66838.0</v>
      </c>
      <c r="AM14" s="3" t="n">
        <v>65477.0</v>
      </c>
      <c r="AN14" s="3" t="n">
        <v>64343.0</v>
      </c>
      <c r="AO14" s="3" t="n">
        <v>63395.0</v>
      </c>
    </row>
    <row r="15" spans="1:41" x14ac:dyDescent="0.2">
      <c r="A15" s="133"/>
      <c r="B15" s="64" t="s">
        <v>26</v>
      </c>
      <c r="C15" s="3" t="n">
        <v>154018.0</v>
      </c>
      <c r="D15" s="3" t="n">
        <v>149541.0</v>
      </c>
      <c r="E15" s="3" t="n">
        <v>144601.0</v>
      </c>
      <c r="F15" s="3" t="n">
        <v>138436.0</v>
      </c>
      <c r="G15" s="3" t="n">
        <v>132313.0</v>
      </c>
      <c r="H15" s="3" t="n">
        <v>127048.0</v>
      </c>
      <c r="I15" s="3" t="n">
        <v>121477.0</v>
      </c>
      <c r="J15" s="3" t="n">
        <v>116833.0</v>
      </c>
      <c r="K15" s="3" t="n">
        <v>113310.0</v>
      </c>
      <c r="L15" s="3" t="n">
        <v>109679.0</v>
      </c>
      <c r="M15" s="3" t="n">
        <v>106750.0</v>
      </c>
      <c r="N15" s="3" t="n">
        <v>104572.0</v>
      </c>
      <c r="O15" s="3" t="n">
        <v>103530.0</v>
      </c>
      <c r="P15" s="3" t="n">
        <v>102886.0</v>
      </c>
      <c r="Q15" s="3" t="n">
        <v>103983.0</v>
      </c>
      <c r="R15" s="3" t="n">
        <v>106286.0</v>
      </c>
      <c r="S15" s="3" t="n">
        <v>110771.0</v>
      </c>
      <c r="T15" s="3" t="n">
        <v>115142.0</v>
      </c>
      <c r="U15" s="3" t="n">
        <v>118674.0</v>
      </c>
      <c r="V15" s="3" t="n">
        <v>119892.0</v>
      </c>
      <c r="W15" s="3" t="n">
        <v>120382.0</v>
      </c>
      <c r="X15" s="3" t="n">
        <v>117602.0</v>
      </c>
      <c r="Y15" s="3" t="n">
        <v>114640.0</v>
      </c>
      <c r="Z15" s="3" t="n">
        <v>111839.0</v>
      </c>
      <c r="AA15" s="3" t="n">
        <v>110942.0</v>
      </c>
      <c r="AB15" s="3" t="n">
        <v>110811.0</v>
      </c>
      <c r="AC15" s="3" t="n">
        <v>111344.0</v>
      </c>
      <c r="AD15" s="3" t="n">
        <v>109889.0</v>
      </c>
      <c r="AE15" s="3" t="n">
        <v>107918.0</v>
      </c>
      <c r="AF15" s="3" t="n">
        <v>104490.0</v>
      </c>
      <c r="AG15" s="3" t="n">
        <v>98560.0</v>
      </c>
      <c r="AH15" s="3" t="n">
        <v>92310.0</v>
      </c>
      <c r="AI15" s="3" t="n">
        <v>87128.0</v>
      </c>
      <c r="AJ15" s="3" t="n">
        <v>82343.0</v>
      </c>
      <c r="AK15" s="3" t="n">
        <v>77982.0</v>
      </c>
      <c r="AL15" s="3" t="n">
        <v>74906.0</v>
      </c>
      <c r="AM15" s="3" t="n">
        <v>72602.0</v>
      </c>
      <c r="AN15" s="3" t="n">
        <v>70404.0</v>
      </c>
      <c r="AO15" s="3" t="n">
        <v>68480.0</v>
      </c>
    </row>
    <row r="16" spans="1:41" x14ac:dyDescent="0.2">
      <c r="A16" s="133"/>
      <c r="B16" s="64" t="s">
        <v>27</v>
      </c>
      <c r="C16" s="3" t="n">
        <v>183150.0</v>
      </c>
      <c r="D16" s="3" t="n">
        <v>174306.0</v>
      </c>
      <c r="E16" s="3" t="n">
        <v>166621.0</v>
      </c>
      <c r="F16" s="3" t="n">
        <v>160171.0</v>
      </c>
      <c r="G16" s="3" t="n">
        <v>155782.0</v>
      </c>
      <c r="H16" s="3" t="n">
        <v>151539.0</v>
      </c>
      <c r="I16" s="3" t="n">
        <v>147406.0</v>
      </c>
      <c r="J16" s="3" t="n">
        <v>142663.0</v>
      </c>
      <c r="K16" s="3" t="n">
        <v>136614.0</v>
      </c>
      <c r="L16" s="3" t="n">
        <v>130542.0</v>
      </c>
      <c r="M16" s="3" t="n">
        <v>125170.0</v>
      </c>
      <c r="N16" s="3" t="n">
        <v>119416.0</v>
      </c>
      <c r="O16" s="3" t="n">
        <v>114669.0</v>
      </c>
      <c r="P16" s="3" t="n">
        <v>111127.0</v>
      </c>
      <c r="Q16" s="3" t="n">
        <v>107515.0</v>
      </c>
      <c r="R16" s="3" t="n">
        <v>104572.0</v>
      </c>
      <c r="S16" s="3" t="n">
        <v>102391.0</v>
      </c>
      <c r="T16" s="3" t="n">
        <v>101372.0</v>
      </c>
      <c r="U16" s="3" t="n">
        <v>100689.0</v>
      </c>
      <c r="V16" s="3" t="n">
        <v>101755.0</v>
      </c>
      <c r="W16" s="3" t="n">
        <v>104002.0</v>
      </c>
      <c r="X16" s="3" t="n">
        <v>108382.0</v>
      </c>
      <c r="Y16" s="3" t="n">
        <v>112669.0</v>
      </c>
      <c r="Z16" s="3" t="n">
        <v>116143.0</v>
      </c>
      <c r="AA16" s="3" t="n">
        <v>117349.0</v>
      </c>
      <c r="AB16" s="3" t="n">
        <v>117839.0</v>
      </c>
      <c r="AC16" s="3" t="n">
        <v>115129.0</v>
      </c>
      <c r="AD16" s="3" t="n">
        <v>112245.0</v>
      </c>
      <c r="AE16" s="3" t="n">
        <v>109516.0</v>
      </c>
      <c r="AF16" s="3" t="n">
        <v>108659.0</v>
      </c>
      <c r="AG16" s="3" t="n">
        <v>108527.0</v>
      </c>
      <c r="AH16" s="3" t="n">
        <v>109049.0</v>
      </c>
      <c r="AI16" s="3" t="n">
        <v>107597.0</v>
      </c>
      <c r="AJ16" s="3" t="n">
        <v>105646.0</v>
      </c>
      <c r="AK16" s="3" t="n">
        <v>102300.0</v>
      </c>
      <c r="AL16" s="3" t="n">
        <v>96514.0</v>
      </c>
      <c r="AM16" s="3" t="n">
        <v>90418.0</v>
      </c>
      <c r="AN16" s="3" t="n">
        <v>85370.0</v>
      </c>
      <c r="AO16" s="3" t="n">
        <v>80702.0</v>
      </c>
    </row>
    <row r="17" spans="1:41" x14ac:dyDescent="0.2">
      <c r="A17" s="133"/>
      <c r="B17" s="64" t="s">
        <v>28</v>
      </c>
      <c r="C17" s="3" t="n">
        <v>192382.0</v>
      </c>
      <c r="D17" s="3" t="n">
        <v>194192.0</v>
      </c>
      <c r="E17" s="3" t="n">
        <v>193666.0</v>
      </c>
      <c r="F17" s="3" t="n">
        <v>191565.0</v>
      </c>
      <c r="G17" s="3" t="n">
        <v>188060.0</v>
      </c>
      <c r="H17" s="3" t="n">
        <v>181136.0</v>
      </c>
      <c r="I17" s="3" t="n">
        <v>172715.0</v>
      </c>
      <c r="J17" s="3" t="n">
        <v>165306.0</v>
      </c>
      <c r="K17" s="3" t="n">
        <v>159077.0</v>
      </c>
      <c r="L17" s="3" t="n">
        <v>154815.0</v>
      </c>
      <c r="M17" s="3" t="n">
        <v>150425.0</v>
      </c>
      <c r="N17" s="3" t="n">
        <v>146046.0</v>
      </c>
      <c r="O17" s="3" t="n">
        <v>141185.0</v>
      </c>
      <c r="P17" s="3" t="n">
        <v>135120.0</v>
      </c>
      <c r="Q17" s="3" t="n">
        <v>129061.0</v>
      </c>
      <c r="R17" s="3" t="n">
        <v>123717.0</v>
      </c>
      <c r="S17" s="3" t="n">
        <v>118008.0</v>
      </c>
      <c r="T17" s="3" t="n">
        <v>113314.0</v>
      </c>
      <c r="U17" s="3" t="n">
        <v>109808.0</v>
      </c>
      <c r="V17" s="3" t="n">
        <v>106229.0</v>
      </c>
      <c r="W17" s="3" t="n">
        <v>103308.0</v>
      </c>
      <c r="X17" s="3" t="n">
        <v>101140.0</v>
      </c>
      <c r="Y17" s="3" t="n">
        <v>100112.0</v>
      </c>
      <c r="Z17" s="3" t="n">
        <v>99421.0</v>
      </c>
      <c r="AA17" s="3" t="n">
        <v>100454.0</v>
      </c>
      <c r="AB17" s="3" t="n">
        <v>102687.0</v>
      </c>
      <c r="AC17" s="3" t="n">
        <v>107014.0</v>
      </c>
      <c r="AD17" s="3" t="n">
        <v>111248.0</v>
      </c>
      <c r="AE17" s="3" t="n">
        <v>114683.0</v>
      </c>
      <c r="AF17" s="3" t="n">
        <v>115844.0</v>
      </c>
      <c r="AG17" s="3" t="n">
        <v>116320.0</v>
      </c>
      <c r="AH17" s="3" t="n">
        <v>113636.0</v>
      </c>
      <c r="AI17" s="3" t="n">
        <v>110821.0</v>
      </c>
      <c r="AJ17" s="3" t="n">
        <v>108151.0</v>
      </c>
      <c r="AK17" s="3" t="n">
        <v>107307.0</v>
      </c>
      <c r="AL17" s="3" t="n">
        <v>107184.0</v>
      </c>
      <c r="AM17" s="3" t="n">
        <v>107692.0</v>
      </c>
      <c r="AN17" s="3" t="n">
        <v>106262.0</v>
      </c>
      <c r="AO17" s="3" t="n">
        <v>104334.0</v>
      </c>
    </row>
    <row r="18" spans="1:41" x14ac:dyDescent="0.2">
      <c r="A18" s="133"/>
      <c r="B18" s="64" t="s">
        <v>29</v>
      </c>
      <c r="C18" s="3" t="n">
        <v>181676.0</v>
      </c>
      <c r="D18" s="3" t="n">
        <v>185265.0</v>
      </c>
      <c r="E18" s="3" t="n">
        <v>187855.0</v>
      </c>
      <c r="F18" s="3" t="n">
        <v>189349.0</v>
      </c>
      <c r="G18" s="3" t="n">
        <v>188441.0</v>
      </c>
      <c r="H18" s="3" t="n">
        <v>189523.0</v>
      </c>
      <c r="I18" s="3" t="n">
        <v>191559.0</v>
      </c>
      <c r="J18" s="3" t="n">
        <v>191203.0</v>
      </c>
      <c r="K18" s="3" t="n">
        <v>189247.0</v>
      </c>
      <c r="L18" s="3" t="n">
        <v>185889.0</v>
      </c>
      <c r="M18" s="3" t="n">
        <v>179005.0</v>
      </c>
      <c r="N18" s="3" t="n">
        <v>170537.0</v>
      </c>
      <c r="O18" s="3" t="n">
        <v>163179.0</v>
      </c>
      <c r="P18" s="3" t="n">
        <v>157002.0</v>
      </c>
      <c r="Q18" s="3" t="n">
        <v>152790.0</v>
      </c>
      <c r="R18" s="3" t="n">
        <v>148447.0</v>
      </c>
      <c r="S18" s="3" t="n">
        <v>144120.0</v>
      </c>
      <c r="T18" s="3" t="n">
        <v>139330.0</v>
      </c>
      <c r="U18" s="3" t="n">
        <v>133331.0</v>
      </c>
      <c r="V18" s="3" t="n">
        <v>127360.0</v>
      </c>
      <c r="W18" s="3" t="n">
        <v>122097.0</v>
      </c>
      <c r="X18" s="3" t="n">
        <v>116473.0</v>
      </c>
      <c r="Y18" s="3" t="n">
        <v>111824.0</v>
      </c>
      <c r="Z18" s="3" t="n">
        <v>108346.0</v>
      </c>
      <c r="AA18" s="3" t="n">
        <v>104827.0</v>
      </c>
      <c r="AB18" s="3" t="n">
        <v>101930.0</v>
      </c>
      <c r="AC18" s="3" t="n">
        <v>99772.0</v>
      </c>
      <c r="AD18" s="3" t="n">
        <v>98752.0</v>
      </c>
      <c r="AE18" s="3" t="n">
        <v>98070.0</v>
      </c>
      <c r="AF18" s="3" t="n">
        <v>99094.0</v>
      </c>
      <c r="AG18" s="3" t="n">
        <v>101291.0</v>
      </c>
      <c r="AH18" s="3" t="n">
        <v>105554.0</v>
      </c>
      <c r="AI18" s="3" t="n">
        <v>109721.0</v>
      </c>
      <c r="AJ18" s="3" t="n">
        <v>113115.0</v>
      </c>
      <c r="AK18" s="3" t="n">
        <v>114255.0</v>
      </c>
      <c r="AL18" s="3" t="n">
        <v>114700.0</v>
      </c>
      <c r="AM18" s="3" t="n">
        <v>112042.0</v>
      </c>
      <c r="AN18" s="3" t="n">
        <v>109267.0</v>
      </c>
      <c r="AO18" s="3" t="n">
        <v>106638.0</v>
      </c>
    </row>
    <row r="19" spans="1:41" x14ac:dyDescent="0.2">
      <c r="A19" s="133"/>
      <c r="B19" s="64" t="s">
        <v>30</v>
      </c>
      <c r="C19" s="3" t="n">
        <v>153458.0</v>
      </c>
      <c r="D19" s="3" t="n">
        <v>157603.0</v>
      </c>
      <c r="E19" s="3" t="n">
        <v>162268.0</v>
      </c>
      <c r="F19" s="3" t="n">
        <v>167794.0</v>
      </c>
      <c r="G19" s="3" t="n">
        <v>173146.0</v>
      </c>
      <c r="H19" s="3" t="n">
        <v>177777.0</v>
      </c>
      <c r="I19" s="3" t="n">
        <v>181463.0</v>
      </c>
      <c r="J19" s="3" t="n">
        <v>184117.0</v>
      </c>
      <c r="K19" s="3" t="n">
        <v>185680.0</v>
      </c>
      <c r="L19" s="3" t="n">
        <v>184861.0</v>
      </c>
      <c r="M19" s="3" t="n">
        <v>185882.0</v>
      </c>
      <c r="N19" s="3" t="n">
        <v>187775.0</v>
      </c>
      <c r="O19" s="3" t="n">
        <v>187409.0</v>
      </c>
      <c r="P19" s="3" t="n">
        <v>185499.0</v>
      </c>
      <c r="Q19" s="3" t="n">
        <v>182260.0</v>
      </c>
      <c r="R19" s="3" t="n">
        <v>175562.0</v>
      </c>
      <c r="S19" s="3" t="n">
        <v>167315.0</v>
      </c>
      <c r="T19" s="3" t="n">
        <v>160136.0</v>
      </c>
      <c r="U19" s="3" t="n">
        <v>154123.0</v>
      </c>
      <c r="V19" s="3" t="n">
        <v>149996.0</v>
      </c>
      <c r="W19" s="3" t="n">
        <v>145745.0</v>
      </c>
      <c r="X19" s="3" t="n">
        <v>141513.0</v>
      </c>
      <c r="Y19" s="3" t="n">
        <v>136816.0</v>
      </c>
      <c r="Z19" s="3" t="n">
        <v>130948.0</v>
      </c>
      <c r="AA19" s="3" t="n">
        <v>125074.0</v>
      </c>
      <c r="AB19" s="3" t="n">
        <v>119885.0</v>
      </c>
      <c r="AC19" s="3" t="n">
        <v>114346.0</v>
      </c>
      <c r="AD19" s="3" t="n">
        <v>109773.0</v>
      </c>
      <c r="AE19" s="3" t="n">
        <v>106354.0</v>
      </c>
      <c r="AF19" s="3" t="n">
        <v>102888.0</v>
      </c>
      <c r="AG19" s="3" t="n">
        <v>100039.0</v>
      </c>
      <c r="AH19" s="3" t="n">
        <v>97914.0</v>
      </c>
      <c r="AI19" s="3" t="n">
        <v>96899.0</v>
      </c>
      <c r="AJ19" s="3" t="n">
        <v>96219.0</v>
      </c>
      <c r="AK19" s="3" t="n">
        <v>97218.0</v>
      </c>
      <c r="AL19" s="3" t="n">
        <v>99399.0</v>
      </c>
      <c r="AM19" s="3" t="n">
        <v>103627.0</v>
      </c>
      <c r="AN19" s="3" t="n">
        <v>107731.0</v>
      </c>
      <c r="AO19" s="3" t="n">
        <v>111052.0</v>
      </c>
    </row>
    <row r="20" spans="1:41" x14ac:dyDescent="0.2">
      <c r="A20" s="133"/>
      <c r="B20" s="64" t="s">
        <v>31</v>
      </c>
      <c r="C20" s="3" t="n">
        <v>141340.0</v>
      </c>
      <c r="D20" s="3" t="n">
        <v>140154.0</v>
      </c>
      <c r="E20" s="3" t="n">
        <v>140363.0</v>
      </c>
      <c r="F20" s="3" t="n">
        <v>141850.0</v>
      </c>
      <c r="G20" s="3" t="n">
        <v>144687.0</v>
      </c>
      <c r="H20" s="3" t="n">
        <v>148485.0</v>
      </c>
      <c r="I20" s="3" t="n">
        <v>152664.0</v>
      </c>
      <c r="J20" s="3" t="n">
        <v>157292.0</v>
      </c>
      <c r="K20" s="3" t="n">
        <v>162740.0</v>
      </c>
      <c r="L20" s="3" t="n">
        <v>168004.0</v>
      </c>
      <c r="M20" s="3" t="n">
        <v>172468.0</v>
      </c>
      <c r="N20" s="3" t="n">
        <v>175952.0</v>
      </c>
      <c r="O20" s="3" t="n">
        <v>178509.0</v>
      </c>
      <c r="P20" s="3" t="n">
        <v>180045.0</v>
      </c>
      <c r="Q20" s="3" t="n">
        <v>179280.0</v>
      </c>
      <c r="R20" s="3" t="n">
        <v>180298.0</v>
      </c>
      <c r="S20" s="3" t="n">
        <v>182190.0</v>
      </c>
      <c r="T20" s="3" t="n">
        <v>181885.0</v>
      </c>
      <c r="U20" s="3" t="n">
        <v>180098.0</v>
      </c>
      <c r="V20" s="3" t="n">
        <v>176980.0</v>
      </c>
      <c r="W20" s="3" t="n">
        <v>170535.0</v>
      </c>
      <c r="X20" s="3" t="n">
        <v>162587.0</v>
      </c>
      <c r="Y20" s="3" t="n">
        <v>155666.0</v>
      </c>
      <c r="Z20" s="3" t="n">
        <v>149861.0</v>
      </c>
      <c r="AA20" s="3" t="n">
        <v>145864.0</v>
      </c>
      <c r="AB20" s="3" t="n">
        <v>141743.0</v>
      </c>
      <c r="AC20" s="3" t="n">
        <v>137620.0</v>
      </c>
      <c r="AD20" s="3" t="n">
        <v>133027.0</v>
      </c>
      <c r="AE20" s="3" t="n">
        <v>127333.0</v>
      </c>
      <c r="AF20" s="3" t="n">
        <v>121635.0</v>
      </c>
      <c r="AG20" s="3" t="n">
        <v>116616.0</v>
      </c>
      <c r="AH20" s="3" t="n">
        <v>111251.0</v>
      </c>
      <c r="AI20" s="3" t="n">
        <v>106828.0</v>
      </c>
      <c r="AJ20" s="3" t="n">
        <v>103528.0</v>
      </c>
      <c r="AK20" s="3" t="n">
        <v>100172.0</v>
      </c>
      <c r="AL20" s="3" t="n">
        <v>97392.0</v>
      </c>
      <c r="AM20" s="3" t="n">
        <v>95323.0</v>
      </c>
      <c r="AN20" s="3" t="n">
        <v>94330.0</v>
      </c>
      <c r="AO20" s="3" t="n">
        <v>93691.0</v>
      </c>
    </row>
    <row r="21" spans="1:41" x14ac:dyDescent="0.2">
      <c r="A21" s="133"/>
      <c r="B21" s="64" t="s">
        <v>32</v>
      </c>
      <c r="C21" s="3" t="n">
        <v>161166.0</v>
      </c>
      <c r="D21" s="3" t="n">
        <v>152656.0</v>
      </c>
      <c r="E21" s="3" t="n">
        <v>145130.0</v>
      </c>
      <c r="F21" s="3" t="n">
        <v>139728.0</v>
      </c>
      <c r="G21" s="3" t="n">
        <v>136097.0</v>
      </c>
      <c r="H21" s="3" t="n">
        <v>133940.0</v>
      </c>
      <c r="I21" s="3" t="n">
        <v>132988.0</v>
      </c>
      <c r="J21" s="3" t="n">
        <v>133284.0</v>
      </c>
      <c r="K21" s="3" t="n">
        <v>134734.0</v>
      </c>
      <c r="L21" s="3" t="n">
        <v>137473.0</v>
      </c>
      <c r="M21" s="3" t="n">
        <v>141065.0</v>
      </c>
      <c r="N21" s="3" t="n">
        <v>145011.0</v>
      </c>
      <c r="O21" s="3" t="n">
        <v>149450.0</v>
      </c>
      <c r="P21" s="3" t="n">
        <v>154662.0</v>
      </c>
      <c r="Q21" s="3" t="n">
        <v>159718.0</v>
      </c>
      <c r="R21" s="3" t="n">
        <v>163992.0</v>
      </c>
      <c r="S21" s="3" t="n">
        <v>167315.0</v>
      </c>
      <c r="T21" s="3" t="n">
        <v>169759.0</v>
      </c>
      <c r="U21" s="3" t="n">
        <v>171258.0</v>
      </c>
      <c r="V21" s="3" t="n">
        <v>170570.0</v>
      </c>
      <c r="W21" s="3" t="n">
        <v>171617.0</v>
      </c>
      <c r="X21" s="3" t="n">
        <v>173500.0</v>
      </c>
      <c r="Y21" s="3" t="n">
        <v>173256.0</v>
      </c>
      <c r="Z21" s="3" t="n">
        <v>171574.0</v>
      </c>
      <c r="AA21" s="3" t="n">
        <v>168621.0</v>
      </c>
      <c r="AB21" s="3" t="n">
        <v>162530.0</v>
      </c>
      <c r="AC21" s="3" t="n">
        <v>155035.0</v>
      </c>
      <c r="AD21" s="3" t="n">
        <v>148516.0</v>
      </c>
      <c r="AE21" s="3" t="n">
        <v>143042.0</v>
      </c>
      <c r="AF21" s="3" t="n">
        <v>139257.0</v>
      </c>
      <c r="AG21" s="3" t="n">
        <v>135323.0</v>
      </c>
      <c r="AH21" s="3" t="n">
        <v>131406.0</v>
      </c>
      <c r="AI21" s="3" t="n">
        <v>127022.0</v>
      </c>
      <c r="AJ21" s="3" t="n">
        <v>121590.0</v>
      </c>
      <c r="AK21" s="3" t="n">
        <v>116177.0</v>
      </c>
      <c r="AL21" s="3" t="n">
        <v>111429.0</v>
      </c>
      <c r="AM21" s="3" t="n">
        <v>106303.0</v>
      </c>
      <c r="AN21" s="3" t="n">
        <v>102077.0</v>
      </c>
      <c r="AO21" s="3" t="n">
        <v>98913.0</v>
      </c>
    </row>
    <row r="22" spans="1:41" x14ac:dyDescent="0.2">
      <c r="A22" s="133"/>
      <c r="B22" s="65" t="s">
        <v>33</v>
      </c>
      <c r="C22" s="3" t="n">
        <v>173570.0</v>
      </c>
      <c r="D22" s="3" t="n">
        <v>172288.0</v>
      </c>
      <c r="E22" s="3" t="n">
        <v>170205.0</v>
      </c>
      <c r="F22" s="3" t="n">
        <v>163831.0</v>
      </c>
      <c r="G22" s="3" t="n">
        <v>156692.0</v>
      </c>
      <c r="H22" s="3" t="n">
        <v>148390.0</v>
      </c>
      <c r="I22" s="3" t="n">
        <v>140704.0</v>
      </c>
      <c r="J22" s="3" t="n">
        <v>133919.0</v>
      </c>
      <c r="K22" s="3" t="n">
        <v>129045.0</v>
      </c>
      <c r="L22" s="3" t="n">
        <v>125810.0</v>
      </c>
      <c r="M22" s="3" t="n">
        <v>123862.0</v>
      </c>
      <c r="N22" s="3" t="n">
        <v>122955.0</v>
      </c>
      <c r="O22" s="3" t="n">
        <v>123259.0</v>
      </c>
      <c r="P22" s="3" t="n">
        <v>124653.0</v>
      </c>
      <c r="Q22" s="3" t="n">
        <v>127237.0</v>
      </c>
      <c r="R22" s="3" t="n">
        <v>130626.0</v>
      </c>
      <c r="S22" s="3" t="n">
        <v>134357.0</v>
      </c>
      <c r="T22" s="3" t="n">
        <v>138508.0</v>
      </c>
      <c r="U22" s="3" t="n">
        <v>143381.0</v>
      </c>
      <c r="V22" s="3" t="n">
        <v>148119.0</v>
      </c>
      <c r="W22" s="3" t="n">
        <v>152105.0</v>
      </c>
      <c r="X22" s="3" t="n">
        <v>155208.0</v>
      </c>
      <c r="Y22" s="3" t="n">
        <v>157523.0</v>
      </c>
      <c r="Z22" s="3" t="n">
        <v>158967.0</v>
      </c>
      <c r="AA22" s="3" t="n">
        <v>158383.0</v>
      </c>
      <c r="AB22" s="3" t="n">
        <v>159416.0</v>
      </c>
      <c r="AC22" s="3" t="n">
        <v>161244.0</v>
      </c>
      <c r="AD22" s="3" t="n">
        <v>161024.0</v>
      </c>
      <c r="AE22" s="3" t="n">
        <v>159518.0</v>
      </c>
      <c r="AF22" s="3" t="n">
        <v>156804.0</v>
      </c>
      <c r="AG22" s="3" t="n">
        <v>151175.0</v>
      </c>
      <c r="AH22" s="3" t="n">
        <v>144258.0</v>
      </c>
      <c r="AI22" s="3" t="n">
        <v>138251.0</v>
      </c>
      <c r="AJ22" s="3" t="n">
        <v>133247.0</v>
      </c>
      <c r="AK22" s="3" t="n">
        <v>129768.0</v>
      </c>
      <c r="AL22" s="3" t="n">
        <v>126100.0</v>
      </c>
      <c r="AM22" s="3" t="n">
        <v>122465.0</v>
      </c>
      <c r="AN22" s="3" t="n">
        <v>118388.0</v>
      </c>
      <c r="AO22" s="3" t="n">
        <v>113364.0</v>
      </c>
    </row>
    <row r="23" spans="1:41" x14ac:dyDescent="0.2">
      <c r="A23" s="133"/>
      <c r="B23" s="64" t="s">
        <v>34</v>
      </c>
      <c r="C23" s="3" t="n">
        <v>144704.0</v>
      </c>
      <c r="D23" s="3" t="n">
        <v>147474.0</v>
      </c>
      <c r="E23" s="3" t="n">
        <v>150085.0</v>
      </c>
      <c r="F23" s="3" t="n">
        <v>153057.0</v>
      </c>
      <c r="G23" s="3" t="n">
        <v>153613.0</v>
      </c>
      <c r="H23" s="3" t="n">
        <v>154113.0</v>
      </c>
      <c r="I23" s="3" t="n">
        <v>153128.0</v>
      </c>
      <c r="J23" s="3" t="n">
        <v>151391.0</v>
      </c>
      <c r="K23" s="3" t="n">
        <v>145837.0</v>
      </c>
      <c r="L23" s="3" t="n">
        <v>139587.0</v>
      </c>
      <c r="M23" s="3" t="n">
        <v>132250.0</v>
      </c>
      <c r="N23" s="3" t="n">
        <v>125488.0</v>
      </c>
      <c r="O23" s="3" t="n">
        <v>119547.0</v>
      </c>
      <c r="P23" s="3" t="n">
        <v>115254.0</v>
      </c>
      <c r="Q23" s="3" t="n">
        <v>112455.0</v>
      </c>
      <c r="R23" s="3" t="n">
        <v>110775.0</v>
      </c>
      <c r="S23" s="3" t="n">
        <v>110019.0</v>
      </c>
      <c r="T23" s="3" t="n">
        <v>110357.0</v>
      </c>
      <c r="U23" s="3" t="n">
        <v>111689.0</v>
      </c>
      <c r="V23" s="3" t="n">
        <v>114068.0</v>
      </c>
      <c r="W23" s="3" t="n">
        <v>117175.0</v>
      </c>
      <c r="X23" s="3" t="n">
        <v>120610.0</v>
      </c>
      <c r="Y23" s="3" t="n">
        <v>124414.0</v>
      </c>
      <c r="Z23" s="3" t="n">
        <v>128811.0</v>
      </c>
      <c r="AA23" s="3" t="n">
        <v>133127.0</v>
      </c>
      <c r="AB23" s="3" t="n">
        <v>136751.0</v>
      </c>
      <c r="AC23" s="3" t="n">
        <v>139557.0</v>
      </c>
      <c r="AD23" s="3" t="n">
        <v>141694.0</v>
      </c>
      <c r="AE23" s="3" t="n">
        <v>143064.0</v>
      </c>
      <c r="AF23" s="3" t="n">
        <v>142578.0</v>
      </c>
      <c r="AG23" s="3" t="n">
        <v>143574.0</v>
      </c>
      <c r="AH23" s="3" t="n">
        <v>145303.0</v>
      </c>
      <c r="AI23" s="3" t="n">
        <v>145145.0</v>
      </c>
      <c r="AJ23" s="3" t="n">
        <v>143799.0</v>
      </c>
      <c r="AK23" s="3" t="n">
        <v>141369.0</v>
      </c>
      <c r="AL23" s="3" t="n">
        <v>136322.0</v>
      </c>
      <c r="AM23" s="3" t="n">
        <v>130142.0</v>
      </c>
      <c r="AN23" s="3" t="n">
        <v>124773.0</v>
      </c>
      <c r="AO23" s="3" t="n">
        <v>120320.0</v>
      </c>
    </row>
    <row r="24" spans="1:41" x14ac:dyDescent="0.2">
      <c r="A24" s="133"/>
      <c r="B24" s="64" t="s">
        <v>35</v>
      </c>
      <c r="C24" s="3" t="n">
        <v>89826.0</v>
      </c>
      <c r="D24" s="3" t="n">
        <v>99159.0</v>
      </c>
      <c r="E24" s="3" t="n">
        <v>107911.0</v>
      </c>
      <c r="F24" s="3" t="n">
        <v>116707.0</v>
      </c>
      <c r="G24" s="3" t="n">
        <v>119246.0</v>
      </c>
      <c r="H24" s="3" t="n">
        <v>121977.0</v>
      </c>
      <c r="I24" s="3" t="n">
        <v>124508.0</v>
      </c>
      <c r="J24" s="3" t="n">
        <v>126801.0</v>
      </c>
      <c r="K24" s="3" t="n">
        <v>129455.0</v>
      </c>
      <c r="L24" s="3" t="n">
        <v>130078.0</v>
      </c>
      <c r="M24" s="3" t="n">
        <v>130643.0</v>
      </c>
      <c r="N24" s="3" t="n">
        <v>129907.0</v>
      </c>
      <c r="O24" s="3" t="n">
        <v>128497.0</v>
      </c>
      <c r="P24" s="3" t="n">
        <v>123861.0</v>
      </c>
      <c r="Q24" s="3" t="n">
        <v>118642.0</v>
      </c>
      <c r="R24" s="3" t="n">
        <v>112466.0</v>
      </c>
      <c r="S24" s="3" t="n">
        <v>106851.0</v>
      </c>
      <c r="T24" s="3" t="n">
        <v>101901.0</v>
      </c>
      <c r="U24" s="3" t="n">
        <v>98341.0</v>
      </c>
      <c r="V24" s="3" t="n">
        <v>96036.0</v>
      </c>
      <c r="W24" s="3" t="n">
        <v>94666.0</v>
      </c>
      <c r="X24" s="3" t="n">
        <v>94105.0</v>
      </c>
      <c r="Y24" s="3" t="n">
        <v>94481.0</v>
      </c>
      <c r="Z24" s="3" t="n">
        <v>95686.0</v>
      </c>
      <c r="AA24" s="3" t="n">
        <v>97777.0</v>
      </c>
      <c r="AB24" s="3" t="n">
        <v>100492.0</v>
      </c>
      <c r="AC24" s="3" t="n">
        <v>103500.0</v>
      </c>
      <c r="AD24" s="3" t="n">
        <v>106791.0</v>
      </c>
      <c r="AE24" s="3" t="n">
        <v>110647.0</v>
      </c>
      <c r="AF24" s="3" t="n">
        <v>114409.0</v>
      </c>
      <c r="AG24" s="3" t="n">
        <v>117562.0</v>
      </c>
      <c r="AH24" s="3" t="n">
        <v>119989.0</v>
      </c>
      <c r="AI24" s="3" t="n">
        <v>121866.0</v>
      </c>
      <c r="AJ24" s="3" t="n">
        <v>123091.0</v>
      </c>
      <c r="AK24" s="3" t="n">
        <v>122736.0</v>
      </c>
      <c r="AL24" s="3" t="n">
        <v>123653.0</v>
      </c>
      <c r="AM24" s="3" t="n">
        <v>125218.0</v>
      </c>
      <c r="AN24" s="3" t="n">
        <v>125113.0</v>
      </c>
      <c r="AO24" s="3" t="n">
        <v>123982.0</v>
      </c>
    </row>
    <row r="25" spans="1:41" x14ac:dyDescent="0.2">
      <c r="A25" s="133"/>
      <c r="B25" s="64" t="s">
        <v>36</v>
      </c>
      <c r="C25" s="3" t="n">
        <v>54471.0</v>
      </c>
      <c r="D25" s="3" t="n">
        <v>54051.0</v>
      </c>
      <c r="E25" s="3" t="n">
        <v>53484.0</v>
      </c>
      <c r="F25" s="3" t="n">
        <v>53808.0</v>
      </c>
      <c r="G25" s="3" t="n">
        <v>61578.0</v>
      </c>
      <c r="H25" s="3" t="n">
        <v>69194.0</v>
      </c>
      <c r="I25" s="3" t="n">
        <v>76548.0</v>
      </c>
      <c r="J25" s="3" t="n">
        <v>83222.0</v>
      </c>
      <c r="K25" s="3" t="n">
        <v>89841.0</v>
      </c>
      <c r="L25" s="3" t="n">
        <v>92103.0</v>
      </c>
      <c r="M25" s="3" t="n">
        <v>94375.0</v>
      </c>
      <c r="N25" s="3" t="n">
        <v>96500.0</v>
      </c>
      <c r="O25" s="3" t="n">
        <v>98333.0</v>
      </c>
      <c r="P25" s="3" t="n">
        <v>100477.0</v>
      </c>
      <c r="Q25" s="3" t="n">
        <v>101057.0</v>
      </c>
      <c r="R25" s="3" t="n">
        <v>101585.0</v>
      </c>
      <c r="S25" s="3" t="n">
        <v>101129.0</v>
      </c>
      <c r="T25" s="3" t="n">
        <v>100019.0</v>
      </c>
      <c r="U25" s="3" t="n">
        <v>96503.0</v>
      </c>
      <c r="V25" s="3" t="n">
        <v>92472.0</v>
      </c>
      <c r="W25" s="3" t="n">
        <v>87715.0</v>
      </c>
      <c r="X25" s="3" t="n">
        <v>83453.0</v>
      </c>
      <c r="Y25" s="3" t="n">
        <v>79732.0</v>
      </c>
      <c r="Z25" s="3" t="n">
        <v>77008.0</v>
      </c>
      <c r="AA25" s="3" t="n">
        <v>75290.0</v>
      </c>
      <c r="AB25" s="3" t="n">
        <v>74307.0</v>
      </c>
      <c r="AC25" s="3" t="n">
        <v>73942.0</v>
      </c>
      <c r="AD25" s="3" t="n">
        <v>74314.0</v>
      </c>
      <c r="AE25" s="3" t="n">
        <v>75356.0</v>
      </c>
      <c r="AF25" s="3" t="n">
        <v>77098.0</v>
      </c>
      <c r="AG25" s="3" t="n">
        <v>79322.0</v>
      </c>
      <c r="AH25" s="3" t="n">
        <v>81766.0</v>
      </c>
      <c r="AI25" s="3" t="n">
        <v>84451.0</v>
      </c>
      <c r="AJ25" s="3" t="n">
        <v>87552.0</v>
      </c>
      <c r="AK25" s="3" t="n">
        <v>90588.0</v>
      </c>
      <c r="AL25" s="3" t="n">
        <v>93103.0</v>
      </c>
      <c r="AM25" s="3" t="n">
        <v>95024.0</v>
      </c>
      <c r="AN25" s="3" t="n">
        <v>96532.0</v>
      </c>
      <c r="AO25" s="3" t="n">
        <v>97529.0</v>
      </c>
    </row>
    <row r="26" spans="1:41" x14ac:dyDescent="0.2">
      <c r="A26" s="133"/>
      <c r="B26" s="64" t="s">
        <v>37</v>
      </c>
      <c r="C26" s="3" t="n">
        <v>36245.0</v>
      </c>
      <c r="D26" s="3" t="n">
        <v>35951.0</v>
      </c>
      <c r="E26" s="3" t="n">
        <v>35656.0</v>
      </c>
      <c r="F26" s="3" t="n">
        <v>35197.0</v>
      </c>
      <c r="G26" s="3" t="n">
        <v>34736.0</v>
      </c>
      <c r="H26" s="3" t="n">
        <v>33981.0</v>
      </c>
      <c r="I26" s="3" t="n">
        <v>33831.0</v>
      </c>
      <c r="J26" s="3" t="n">
        <v>33584.0</v>
      </c>
      <c r="K26" s="3" t="n">
        <v>33948.0</v>
      </c>
      <c r="L26" s="3" t="n">
        <v>39443.0</v>
      </c>
      <c r="M26" s="3" t="n">
        <v>44514.0</v>
      </c>
      <c r="N26" s="3" t="n">
        <v>49272.0</v>
      </c>
      <c r="O26" s="3" t="n">
        <v>53424.0</v>
      </c>
      <c r="P26" s="3" t="n">
        <v>57471.0</v>
      </c>
      <c r="Q26" s="3" t="n">
        <v>59215.0</v>
      </c>
      <c r="R26" s="3" t="n">
        <v>60822.0</v>
      </c>
      <c r="S26" s="3" t="n">
        <v>62334.0</v>
      </c>
      <c r="T26" s="3" t="n">
        <v>63500.0</v>
      </c>
      <c r="U26" s="3" t="n">
        <v>65007.0</v>
      </c>
      <c r="V26" s="3" t="n">
        <v>65471.0</v>
      </c>
      <c r="W26" s="3" t="n">
        <v>65937.0</v>
      </c>
      <c r="X26" s="3" t="n">
        <v>65703.0</v>
      </c>
      <c r="Y26" s="3" t="n">
        <v>65018.0</v>
      </c>
      <c r="Z26" s="3" t="n">
        <v>62722.0</v>
      </c>
      <c r="AA26" s="3" t="n">
        <v>60093.0</v>
      </c>
      <c r="AB26" s="3" t="n">
        <v>57051.0</v>
      </c>
      <c r="AC26" s="3" t="n">
        <v>54374.0</v>
      </c>
      <c r="AD26" s="3" t="n">
        <v>52074.0</v>
      </c>
      <c r="AE26" s="3" t="n">
        <v>50418.0</v>
      </c>
      <c r="AF26" s="3" t="n">
        <v>49402.0</v>
      </c>
      <c r="AG26" s="3" t="n">
        <v>48829.0</v>
      </c>
      <c r="AH26" s="3" t="n">
        <v>48692.0</v>
      </c>
      <c r="AI26" s="3" t="n">
        <v>49050.0</v>
      </c>
      <c r="AJ26" s="3" t="n">
        <v>49812.0</v>
      </c>
      <c r="AK26" s="3" t="n">
        <v>51075.0</v>
      </c>
      <c r="AL26" s="3" t="n">
        <v>52614.0</v>
      </c>
      <c r="AM26" s="3" t="n">
        <v>54316.0</v>
      </c>
      <c r="AN26" s="3" t="n">
        <v>56156.0</v>
      </c>
      <c r="AO26" s="3" t="n">
        <v>58304.0</v>
      </c>
    </row>
    <row r="27" spans="1:41" x14ac:dyDescent="0.2">
      <c r="A27" s="133"/>
      <c r="B27" s="74" t="s">
        <v>80</v>
      </c>
      <c r="C27" s="3" t="n">
        <v>15580.0</v>
      </c>
      <c r="D27" s="3" t="n">
        <v>16154.0</v>
      </c>
      <c r="E27" s="3" t="n">
        <v>16425.0</v>
      </c>
      <c r="F27" s="3" t="n">
        <v>16629.0</v>
      </c>
      <c r="G27" s="3" t="n">
        <v>16820.0</v>
      </c>
      <c r="H27" s="3" t="n">
        <v>16859.0</v>
      </c>
      <c r="I27" s="3" t="n">
        <v>16761.0</v>
      </c>
      <c r="J27" s="3" t="n">
        <v>16666.0</v>
      </c>
      <c r="K27" s="3" t="n">
        <v>16527.0</v>
      </c>
      <c r="L27" s="3" t="n">
        <v>16425.0</v>
      </c>
      <c r="M27" s="3" t="n">
        <v>16113.0</v>
      </c>
      <c r="N27" s="3" t="n">
        <v>16143.0</v>
      </c>
      <c r="O27" s="3" t="n">
        <v>16097.0</v>
      </c>
      <c r="P27" s="3" t="n">
        <v>16365.0</v>
      </c>
      <c r="Q27" s="3" t="n">
        <v>19397.0</v>
      </c>
      <c r="R27" s="3" t="n">
        <v>22015.0</v>
      </c>
      <c r="S27" s="3" t="n">
        <v>24402.0</v>
      </c>
      <c r="T27" s="3" t="n">
        <v>26328.0</v>
      </c>
      <c r="U27" s="3" t="n">
        <v>28192.0</v>
      </c>
      <c r="V27" s="3" t="n">
        <v>29205.0</v>
      </c>
      <c r="W27" s="3" t="n">
        <v>30108.0</v>
      </c>
      <c r="X27" s="3" t="n">
        <v>30932.0</v>
      </c>
      <c r="Y27" s="3" t="n">
        <v>31566.0</v>
      </c>
      <c r="Z27" s="3" t="n">
        <v>32383.0</v>
      </c>
      <c r="AA27" s="3" t="n">
        <v>32666.0</v>
      </c>
      <c r="AB27" s="3" t="n">
        <v>32953.0</v>
      </c>
      <c r="AC27" s="3" t="n">
        <v>32884.0</v>
      </c>
      <c r="AD27" s="3" t="n">
        <v>32503.0</v>
      </c>
      <c r="AE27" s="3" t="n">
        <v>31394.0</v>
      </c>
      <c r="AF27" s="3" t="n">
        <v>30081.0</v>
      </c>
      <c r="AG27" s="3" t="n">
        <v>28577.0</v>
      </c>
      <c r="AH27" s="3" t="n">
        <v>27337.0</v>
      </c>
      <c r="AI27" s="3" t="n">
        <v>26288.0</v>
      </c>
      <c r="AJ27" s="3" t="n">
        <v>25519.0</v>
      </c>
      <c r="AK27" s="3" t="n">
        <v>25095.0</v>
      </c>
      <c r="AL27" s="3" t="n">
        <v>24860.0</v>
      </c>
      <c r="AM27" s="3" t="n">
        <v>24864.0</v>
      </c>
      <c r="AN27" s="3" t="n">
        <v>25133.0</v>
      </c>
      <c r="AO27" s="3" t="n">
        <v>25582.0</v>
      </c>
    </row>
    <row r="28" spans="1:41" x14ac:dyDescent="0.2">
      <c r="A28" s="133"/>
      <c r="B28" s="74" t="s">
        <v>81</v>
      </c>
      <c r="C28" s="3" t="n">
        <v>3265.0</v>
      </c>
      <c r="D28" s="3" t="n">
        <v>3500.0</v>
      </c>
      <c r="E28" s="3" t="n">
        <v>3801.0</v>
      </c>
      <c r="F28" s="3" t="n">
        <v>4143.0</v>
      </c>
      <c r="G28" s="3" t="n">
        <v>4461.0</v>
      </c>
      <c r="H28" s="3" t="n">
        <v>4743.0</v>
      </c>
      <c r="I28" s="3" t="n">
        <v>4904.0</v>
      </c>
      <c r="J28" s="3" t="n">
        <v>5006.0</v>
      </c>
      <c r="K28" s="3" t="n">
        <v>5100.0</v>
      </c>
      <c r="L28" s="3" t="n">
        <v>5191.0</v>
      </c>
      <c r="M28" s="3" t="n">
        <v>5240.0</v>
      </c>
      <c r="N28" s="3" t="n">
        <v>5234.0</v>
      </c>
      <c r="O28" s="3" t="n">
        <v>5239.0</v>
      </c>
      <c r="P28" s="3" t="n">
        <v>5232.0</v>
      </c>
      <c r="Q28" s="3" t="n">
        <v>5222.0</v>
      </c>
      <c r="R28" s="3" t="n">
        <v>5168.0</v>
      </c>
      <c r="S28" s="3" t="n">
        <v>5200.0</v>
      </c>
      <c r="T28" s="3" t="n">
        <v>5211.0</v>
      </c>
      <c r="U28" s="3" t="n">
        <v>5348.0</v>
      </c>
      <c r="V28" s="3" t="n">
        <v>6517.0</v>
      </c>
      <c r="W28" s="3" t="n">
        <v>7450.0</v>
      </c>
      <c r="X28" s="3" t="n">
        <v>8260.0</v>
      </c>
      <c r="Y28" s="3" t="n">
        <v>8863.0</v>
      </c>
      <c r="Z28" s="3" t="n">
        <v>9453.0</v>
      </c>
      <c r="AA28" s="3" t="n">
        <v>9859.0</v>
      </c>
      <c r="AB28" s="3" t="n">
        <v>10193.0</v>
      </c>
      <c r="AC28" s="3" t="n">
        <v>10494.0</v>
      </c>
      <c r="AD28" s="3" t="n">
        <v>10708.0</v>
      </c>
      <c r="AE28" s="3" t="n">
        <v>11024.0</v>
      </c>
      <c r="AF28" s="3" t="n">
        <v>11161.0</v>
      </c>
      <c r="AG28" s="3" t="n">
        <v>11291.0</v>
      </c>
      <c r="AH28" s="3" t="n">
        <v>11282.0</v>
      </c>
      <c r="AI28" s="3" t="n">
        <v>11158.0</v>
      </c>
      <c r="AJ28" s="3" t="n">
        <v>10758.0</v>
      </c>
      <c r="AK28" s="3" t="n">
        <v>10319.0</v>
      </c>
      <c r="AL28" s="3" t="n">
        <v>9825.0</v>
      </c>
      <c r="AM28" s="3" t="n">
        <v>9445.0</v>
      </c>
      <c r="AN28" s="3" t="n">
        <v>9116.0</v>
      </c>
      <c r="AO28" s="3" t="n">
        <v>8904.0</v>
      </c>
    </row>
    <row r="29" spans="1:41" x14ac:dyDescent="0.2">
      <c r="A29" s="134"/>
      <c r="B29" s="66" t="s">
        <v>79</v>
      </c>
      <c r="C29" s="4" t="n">
        <v>312.0</v>
      </c>
      <c r="D29" s="4" t="n">
        <v>360.0</v>
      </c>
      <c r="E29" s="4" t="n">
        <v>399.0</v>
      </c>
      <c r="F29" s="4" t="n">
        <v>475.0</v>
      </c>
      <c r="G29" s="4" t="n">
        <v>524.0</v>
      </c>
      <c r="H29" s="4" t="n">
        <v>578.0</v>
      </c>
      <c r="I29" s="4" t="n">
        <v>626.0</v>
      </c>
      <c r="J29" s="4" t="n">
        <v>693.0</v>
      </c>
      <c r="K29" s="4" t="n">
        <v>780.0</v>
      </c>
      <c r="L29" s="4" t="n">
        <v>840.0</v>
      </c>
      <c r="M29" s="4" t="n">
        <v>901.0</v>
      </c>
      <c r="N29" s="4" t="n">
        <v>933.0</v>
      </c>
      <c r="O29" s="4" t="n">
        <v>957.0</v>
      </c>
      <c r="P29" s="4" t="n">
        <v>989.0</v>
      </c>
      <c r="Q29" s="4" t="n">
        <v>1025.0</v>
      </c>
      <c r="R29" s="4" t="n">
        <v>1048.0</v>
      </c>
      <c r="S29" s="4" t="n">
        <v>1055.0</v>
      </c>
      <c r="T29" s="4" t="n">
        <v>1064.0</v>
      </c>
      <c r="U29" s="4" t="n">
        <v>1071.0</v>
      </c>
      <c r="V29" s="4" t="n">
        <v>1084.0</v>
      </c>
      <c r="W29" s="4" t="n">
        <v>1085.0</v>
      </c>
      <c r="X29" s="4" t="n">
        <v>1101.0</v>
      </c>
      <c r="Y29" s="4" t="n">
        <v>1111.0</v>
      </c>
      <c r="Z29" s="4" t="n">
        <v>1145.0</v>
      </c>
      <c r="AA29" s="4" t="n">
        <v>1417.0</v>
      </c>
      <c r="AB29" s="4" t="n">
        <v>1604.0</v>
      </c>
      <c r="AC29" s="4" t="n">
        <v>1762.0</v>
      </c>
      <c r="AD29" s="4" t="n">
        <v>1869.0</v>
      </c>
      <c r="AE29" s="4" t="n">
        <v>1990.0</v>
      </c>
      <c r="AF29" s="4" t="n">
        <v>2120.0</v>
      </c>
      <c r="AG29" s="4" t="n">
        <v>2220.0</v>
      </c>
      <c r="AH29" s="4" t="n">
        <v>2307.0</v>
      </c>
      <c r="AI29" s="4" t="n">
        <v>2371.0</v>
      </c>
      <c r="AJ29" s="4" t="n">
        <v>2452.0</v>
      </c>
      <c r="AK29" s="4" t="n">
        <v>2500.0</v>
      </c>
      <c r="AL29" s="4" t="n">
        <v>2543.0</v>
      </c>
      <c r="AM29" s="4" t="n">
        <v>2560.0</v>
      </c>
      <c r="AN29" s="4" t="n">
        <v>2537.0</v>
      </c>
      <c r="AO29" s="4" t="n">
        <v>2474.0</v>
      </c>
    </row>
    <row r="30" spans="1:41" x14ac:dyDescent="0.2">
      <c r="A30" s="133" t="s">
        <v>50</v>
      </c>
      <c r="B30" s="63" t="s">
        <v>64</v>
      </c>
      <c r="C30" s="26" t="n">
        <v>1133290.0</v>
      </c>
      <c r="D30" s="16" t="n">
        <v>1126196.0</v>
      </c>
      <c r="E30" s="16" t="n">
        <v>1118714.0</v>
      </c>
      <c r="F30" s="16" t="n">
        <v>1110864.0</v>
      </c>
      <c r="G30" s="16" t="n">
        <v>1102639.0</v>
      </c>
      <c r="H30" s="16" t="n">
        <v>1094897.0</v>
      </c>
      <c r="I30" s="16" t="n">
        <v>1087223.0</v>
      </c>
      <c r="J30" s="16" t="n">
        <v>1078663.0</v>
      </c>
      <c r="K30" s="16" t="n">
        <v>1069521.0</v>
      </c>
      <c r="L30" s="16" t="n">
        <v>1059992.0</v>
      </c>
      <c r="M30" s="16" t="n">
        <v>1050212.0</v>
      </c>
      <c r="N30" s="16" t="n">
        <v>1040085.0</v>
      </c>
      <c r="O30" s="16" t="n">
        <v>1029764.0</v>
      </c>
      <c r="P30" s="16" t="n">
        <v>1019234.0</v>
      </c>
      <c r="Q30" s="16" t="n">
        <v>1008624.0</v>
      </c>
      <c r="R30" s="16" t="n">
        <v>997823.0</v>
      </c>
      <c r="S30" s="16" t="n">
        <v>986886.0</v>
      </c>
      <c r="T30" s="16" t="n">
        <v>975867.0</v>
      </c>
      <c r="U30" s="16" t="n">
        <v>964861.0</v>
      </c>
      <c r="V30" s="16" t="n">
        <v>953868.0</v>
      </c>
      <c r="W30" s="16" t="n">
        <v>942780.0</v>
      </c>
      <c r="X30" s="16" t="n">
        <v>931761.0</v>
      </c>
      <c r="Y30" s="16" t="n">
        <v>920668.0</v>
      </c>
      <c r="Z30" s="16" t="n">
        <v>909496.0</v>
      </c>
      <c r="AA30" s="16" t="n">
        <v>898396.0</v>
      </c>
      <c r="AB30" s="16" t="n">
        <v>887226.0</v>
      </c>
      <c r="AC30" s="16" t="n">
        <v>876132.0</v>
      </c>
      <c r="AD30" s="16" t="n">
        <v>864943.0</v>
      </c>
      <c r="AE30" s="16" t="n">
        <v>853823.0</v>
      </c>
      <c r="AF30" s="16" t="n">
        <v>842595.0</v>
      </c>
      <c r="AG30" s="16" t="n">
        <v>831376.0</v>
      </c>
      <c r="AH30" s="16" t="n">
        <v>820004.0</v>
      </c>
      <c r="AI30" s="16" t="n">
        <v>808528.0</v>
      </c>
      <c r="AJ30" s="16" t="n">
        <v>797038.0</v>
      </c>
      <c r="AK30" s="16" t="n">
        <v>785423.0</v>
      </c>
      <c r="AL30" s="16" t="n">
        <v>773680.0</v>
      </c>
      <c r="AM30" s="16" t="n">
        <v>761961.0</v>
      </c>
      <c r="AN30" s="16" t="n">
        <v>750100.0</v>
      </c>
      <c r="AO30" s="16" t="n">
        <v>738156.0</v>
      </c>
    </row>
    <row r="31" spans="1:41" x14ac:dyDescent="0.2">
      <c r="A31" s="133"/>
      <c r="B31" s="64" t="s">
        <v>20</v>
      </c>
      <c r="C31" s="11" t="n">
        <v>52288.0</v>
      </c>
      <c r="D31" s="3" t="n">
        <v>48802.0</v>
      </c>
      <c r="E31" s="3" t="n">
        <v>46086.0</v>
      </c>
      <c r="F31" s="3" t="n">
        <v>43475.0</v>
      </c>
      <c r="G31" s="3" t="n">
        <v>41036.0</v>
      </c>
      <c r="H31" s="3" t="n">
        <v>39536.0</v>
      </c>
      <c r="I31" s="3" t="n">
        <v>38457.0</v>
      </c>
      <c r="J31" s="3" t="n">
        <v>37396.0</v>
      </c>
      <c r="K31" s="3" t="n">
        <v>36409.0</v>
      </c>
      <c r="L31" s="3" t="n">
        <v>35503.0</v>
      </c>
      <c r="M31" s="3" t="n">
        <v>34734.0</v>
      </c>
      <c r="N31" s="3" t="n">
        <v>34053.0</v>
      </c>
      <c r="O31" s="3" t="n">
        <v>33493.0</v>
      </c>
      <c r="P31" s="3" t="n">
        <v>33014.0</v>
      </c>
      <c r="Q31" s="3" t="n">
        <v>32625.0</v>
      </c>
      <c r="R31" s="3" t="n">
        <v>32341.0</v>
      </c>
      <c r="S31" s="3" t="n">
        <v>32145.0</v>
      </c>
      <c r="T31" s="3" t="n">
        <v>32009.0</v>
      </c>
      <c r="U31" s="3" t="n">
        <v>31929.0</v>
      </c>
      <c r="V31" s="3" t="n">
        <v>31887.0</v>
      </c>
      <c r="W31" s="3" t="n">
        <v>31846.0</v>
      </c>
      <c r="X31" s="3" t="n">
        <v>31774.0</v>
      </c>
      <c r="Y31" s="3" t="n">
        <v>31666.0</v>
      </c>
      <c r="Z31" s="3" t="n">
        <v>31501.0</v>
      </c>
      <c r="AA31" s="3" t="n">
        <v>31263.0</v>
      </c>
      <c r="AB31" s="3" t="n">
        <v>30955.0</v>
      </c>
      <c r="AC31" s="3" t="n">
        <v>30581.0</v>
      </c>
      <c r="AD31" s="3" t="n">
        <v>30115.0</v>
      </c>
      <c r="AE31" s="3" t="n">
        <v>29571.0</v>
      </c>
      <c r="AF31" s="3" t="n">
        <v>28960.0</v>
      </c>
      <c r="AG31" s="3" t="n">
        <v>28280.0</v>
      </c>
      <c r="AH31" s="3" t="n">
        <v>27540.0</v>
      </c>
      <c r="AI31" s="3" t="n">
        <v>26752.0</v>
      </c>
      <c r="AJ31" s="3" t="n">
        <v>25916.0</v>
      </c>
      <c r="AK31" s="3" t="n">
        <v>25072.0</v>
      </c>
      <c r="AL31" s="3" t="n">
        <v>24233.0</v>
      </c>
      <c r="AM31" s="3" t="n">
        <v>23391.0</v>
      </c>
      <c r="AN31" s="3" t="n">
        <v>22586.0</v>
      </c>
      <c r="AO31" s="3" t="n">
        <v>21833.0</v>
      </c>
    </row>
    <row r="32" spans="1:41" x14ac:dyDescent="0.2">
      <c r="A32" s="133"/>
      <c r="B32" s="64" t="s">
        <v>21</v>
      </c>
      <c r="C32" s="11" t="n">
        <v>59013.0</v>
      </c>
      <c r="D32" s="3" t="n">
        <v>59386.0</v>
      </c>
      <c r="E32" s="3" t="n">
        <v>58323.0</v>
      </c>
      <c r="F32" s="3" t="n">
        <v>57298.0</v>
      </c>
      <c r="G32" s="3" t="n">
        <v>55416.0</v>
      </c>
      <c r="H32" s="3" t="n">
        <v>52423.0</v>
      </c>
      <c r="I32" s="3" t="n">
        <v>49181.0</v>
      </c>
      <c r="J32" s="3" t="n">
        <v>46588.0</v>
      </c>
      <c r="K32" s="3" t="n">
        <v>44012.0</v>
      </c>
      <c r="L32" s="3" t="n">
        <v>41615.0</v>
      </c>
      <c r="M32" s="3" t="n">
        <v>39983.0</v>
      </c>
      <c r="N32" s="3" t="n">
        <v>38741.0</v>
      </c>
      <c r="O32" s="3" t="n">
        <v>37592.0</v>
      </c>
      <c r="P32" s="3" t="n">
        <v>36570.0</v>
      </c>
      <c r="Q32" s="3" t="n">
        <v>35653.0</v>
      </c>
      <c r="R32" s="3" t="n">
        <v>34871.0</v>
      </c>
      <c r="S32" s="3" t="n">
        <v>34165.0</v>
      </c>
      <c r="T32" s="3" t="n">
        <v>33587.0</v>
      </c>
      <c r="U32" s="3" t="n">
        <v>33105.0</v>
      </c>
      <c r="V32" s="3" t="n">
        <v>32706.0</v>
      </c>
      <c r="W32" s="3" t="n">
        <v>32418.0</v>
      </c>
      <c r="X32" s="3" t="n">
        <v>32224.0</v>
      </c>
      <c r="Y32" s="3" t="n">
        <v>32087.0</v>
      </c>
      <c r="Z32" s="3" t="n">
        <v>32010.0</v>
      </c>
      <c r="AA32" s="3" t="n">
        <v>31965.0</v>
      </c>
      <c r="AB32" s="3" t="n">
        <v>31922.0</v>
      </c>
      <c r="AC32" s="3" t="n">
        <v>31853.0</v>
      </c>
      <c r="AD32" s="3" t="n">
        <v>31746.0</v>
      </c>
      <c r="AE32" s="3" t="n">
        <v>31584.0</v>
      </c>
      <c r="AF32" s="3" t="n">
        <v>31353.0</v>
      </c>
      <c r="AG32" s="3" t="n">
        <v>31048.0</v>
      </c>
      <c r="AH32" s="3" t="n">
        <v>30672.0</v>
      </c>
      <c r="AI32" s="3" t="n">
        <v>30217.0</v>
      </c>
      <c r="AJ32" s="3" t="n">
        <v>29688.0</v>
      </c>
      <c r="AK32" s="3" t="n">
        <v>29085.0</v>
      </c>
      <c r="AL32" s="3" t="n">
        <v>28406.0</v>
      </c>
      <c r="AM32" s="3" t="n">
        <v>27675.0</v>
      </c>
      <c r="AN32" s="3" t="n">
        <v>26897.0</v>
      </c>
      <c r="AO32" s="3" t="n">
        <v>26061.0</v>
      </c>
    </row>
    <row r="33" spans="1:41" x14ac:dyDescent="0.2">
      <c r="A33" s="133"/>
      <c r="B33" s="64" t="s">
        <v>22</v>
      </c>
      <c r="C33" s="11" t="n">
        <v>64517.0</v>
      </c>
      <c r="D33" s="3" t="n">
        <v>62894.0</v>
      </c>
      <c r="E33" s="3" t="n">
        <v>61263.0</v>
      </c>
      <c r="F33" s="3" t="n">
        <v>59755.0</v>
      </c>
      <c r="G33" s="3" t="n">
        <v>59150.0</v>
      </c>
      <c r="H33" s="3" t="n">
        <v>59161.0</v>
      </c>
      <c r="I33" s="3" t="n">
        <v>59801.0</v>
      </c>
      <c r="J33" s="3" t="n">
        <v>58885.0</v>
      </c>
      <c r="K33" s="3" t="n">
        <v>57913.0</v>
      </c>
      <c r="L33" s="3" t="n">
        <v>56019.0</v>
      </c>
      <c r="M33" s="3" t="n">
        <v>52844.0</v>
      </c>
      <c r="N33" s="3" t="n">
        <v>49365.0</v>
      </c>
      <c r="O33" s="3" t="n">
        <v>46658.0</v>
      </c>
      <c r="P33" s="3" t="n">
        <v>44043.0</v>
      </c>
      <c r="Q33" s="3" t="n">
        <v>41653.0</v>
      </c>
      <c r="R33" s="3" t="n">
        <v>40025.0</v>
      </c>
      <c r="S33" s="3" t="n">
        <v>38785.0</v>
      </c>
      <c r="T33" s="3" t="n">
        <v>37641.0</v>
      </c>
      <c r="U33" s="3" t="n">
        <v>36627.0</v>
      </c>
      <c r="V33" s="3" t="n">
        <v>35719.0</v>
      </c>
      <c r="W33" s="3" t="n">
        <v>34927.0</v>
      </c>
      <c r="X33" s="3" t="n">
        <v>34214.0</v>
      </c>
      <c r="Y33" s="3" t="n">
        <v>33633.0</v>
      </c>
      <c r="Z33" s="3" t="n">
        <v>33148.0</v>
      </c>
      <c r="AA33" s="3" t="n">
        <v>32749.0</v>
      </c>
      <c r="AB33" s="3" t="n">
        <v>32461.0</v>
      </c>
      <c r="AC33" s="3" t="n">
        <v>32267.0</v>
      </c>
      <c r="AD33" s="3" t="n">
        <v>32133.0</v>
      </c>
      <c r="AE33" s="3" t="n">
        <v>32058.0</v>
      </c>
      <c r="AF33" s="3" t="n">
        <v>32013.0</v>
      </c>
      <c r="AG33" s="3" t="n">
        <v>31970.0</v>
      </c>
      <c r="AH33" s="3" t="n">
        <v>31897.0</v>
      </c>
      <c r="AI33" s="3" t="n">
        <v>31784.0</v>
      </c>
      <c r="AJ33" s="3" t="n">
        <v>31623.0</v>
      </c>
      <c r="AK33" s="3" t="n">
        <v>31388.0</v>
      </c>
      <c r="AL33" s="3" t="n">
        <v>31085.0</v>
      </c>
      <c r="AM33" s="3" t="n">
        <v>30710.0</v>
      </c>
      <c r="AN33" s="3" t="n">
        <v>30253.0</v>
      </c>
      <c r="AO33" s="3" t="n">
        <v>29725.0</v>
      </c>
    </row>
    <row r="34" spans="1:41" x14ac:dyDescent="0.2">
      <c r="A34" s="133"/>
      <c r="B34" s="64" t="s">
        <v>23</v>
      </c>
      <c r="C34" s="11" t="n">
        <v>56785.0</v>
      </c>
      <c r="D34" s="3" t="n">
        <v>59154.0</v>
      </c>
      <c r="E34" s="3" t="n">
        <v>61591.0</v>
      </c>
      <c r="F34" s="3" t="n">
        <v>63321.0</v>
      </c>
      <c r="G34" s="3" t="n">
        <v>64101.0</v>
      </c>
      <c r="H34" s="3" t="n">
        <v>64504.0</v>
      </c>
      <c r="I34" s="3" t="n">
        <v>63093.0</v>
      </c>
      <c r="J34" s="3" t="n">
        <v>61561.0</v>
      </c>
      <c r="K34" s="3" t="n">
        <v>60093.0</v>
      </c>
      <c r="L34" s="3" t="n">
        <v>59530.0</v>
      </c>
      <c r="M34" s="3" t="n">
        <v>59402.0</v>
      </c>
      <c r="N34" s="3" t="n">
        <v>59819.0</v>
      </c>
      <c r="O34" s="3" t="n">
        <v>58804.0</v>
      </c>
      <c r="P34" s="3" t="n">
        <v>57803.0</v>
      </c>
      <c r="Q34" s="3" t="n">
        <v>55893.0</v>
      </c>
      <c r="R34" s="3" t="n">
        <v>52728.0</v>
      </c>
      <c r="S34" s="3" t="n">
        <v>49271.0</v>
      </c>
      <c r="T34" s="3" t="n">
        <v>46579.0</v>
      </c>
      <c r="U34" s="3" t="n">
        <v>43982.0</v>
      </c>
      <c r="V34" s="3" t="n">
        <v>41602.0</v>
      </c>
      <c r="W34" s="3" t="n">
        <v>39993.0</v>
      </c>
      <c r="X34" s="3" t="n">
        <v>38753.0</v>
      </c>
      <c r="Y34" s="3" t="n">
        <v>37597.0</v>
      </c>
      <c r="Z34" s="3" t="n">
        <v>36582.0</v>
      </c>
      <c r="AA34" s="3" t="n">
        <v>35675.0</v>
      </c>
      <c r="AB34" s="3" t="n">
        <v>34881.0</v>
      </c>
      <c r="AC34" s="3" t="n">
        <v>34166.0</v>
      </c>
      <c r="AD34" s="3" t="n">
        <v>33580.0</v>
      </c>
      <c r="AE34" s="3" t="n">
        <v>33094.0</v>
      </c>
      <c r="AF34" s="3" t="n">
        <v>32689.0</v>
      </c>
      <c r="AG34" s="3" t="n">
        <v>32399.0</v>
      </c>
      <c r="AH34" s="3" t="n">
        <v>32205.0</v>
      </c>
      <c r="AI34" s="3" t="n">
        <v>32069.0</v>
      </c>
      <c r="AJ34" s="3" t="n">
        <v>31987.0</v>
      </c>
      <c r="AK34" s="3" t="n">
        <v>31934.0</v>
      </c>
      <c r="AL34" s="3" t="n">
        <v>31884.0</v>
      </c>
      <c r="AM34" s="3" t="n">
        <v>31807.0</v>
      </c>
      <c r="AN34" s="3" t="n">
        <v>31694.0</v>
      </c>
      <c r="AO34" s="3" t="n">
        <v>31531.0</v>
      </c>
    </row>
    <row r="35" spans="1:41" x14ac:dyDescent="0.2">
      <c r="A35" s="133"/>
      <c r="B35" s="64" t="s">
        <v>24</v>
      </c>
      <c r="C35" s="11" t="n">
        <v>56517.0</v>
      </c>
      <c r="D35" s="3" t="n">
        <v>55492.0</v>
      </c>
      <c r="E35" s="3" t="n">
        <v>54903.0</v>
      </c>
      <c r="F35" s="3" t="n">
        <v>54542.0</v>
      </c>
      <c r="G35" s="3" t="n">
        <v>55116.0</v>
      </c>
      <c r="H35" s="3" t="n">
        <v>56347.0</v>
      </c>
      <c r="I35" s="3" t="n">
        <v>58765.0</v>
      </c>
      <c r="J35" s="3" t="n">
        <v>61248.0</v>
      </c>
      <c r="K35" s="3" t="n">
        <v>63023.0</v>
      </c>
      <c r="L35" s="3" t="n">
        <v>63849.0</v>
      </c>
      <c r="M35" s="3" t="n">
        <v>64166.0</v>
      </c>
      <c r="N35" s="3" t="n">
        <v>62618.0</v>
      </c>
      <c r="O35" s="3" t="n">
        <v>61044.0</v>
      </c>
      <c r="P35" s="3" t="n">
        <v>59560.0</v>
      </c>
      <c r="Q35" s="3" t="n">
        <v>58992.0</v>
      </c>
      <c r="R35" s="3" t="n">
        <v>58854.0</v>
      </c>
      <c r="S35" s="3" t="n">
        <v>59268.0</v>
      </c>
      <c r="T35" s="3" t="n">
        <v>58270.0</v>
      </c>
      <c r="U35" s="3" t="n">
        <v>57279.0</v>
      </c>
      <c r="V35" s="3" t="n">
        <v>55377.0</v>
      </c>
      <c r="W35" s="3" t="n">
        <v>52222.0</v>
      </c>
      <c r="X35" s="3" t="n">
        <v>48805.0</v>
      </c>
      <c r="Y35" s="3" t="n">
        <v>46145.0</v>
      </c>
      <c r="Z35" s="3" t="n">
        <v>43570.0</v>
      </c>
      <c r="AA35" s="3" t="n">
        <v>41207.0</v>
      </c>
      <c r="AB35" s="3" t="n">
        <v>39611.0</v>
      </c>
      <c r="AC35" s="3" t="n">
        <v>38384.0</v>
      </c>
      <c r="AD35" s="3" t="n">
        <v>37237.0</v>
      </c>
      <c r="AE35" s="3" t="n">
        <v>36237.0</v>
      </c>
      <c r="AF35" s="3" t="n">
        <v>35341.0</v>
      </c>
      <c r="AG35" s="3" t="n">
        <v>34555.0</v>
      </c>
      <c r="AH35" s="3" t="n">
        <v>33842.0</v>
      </c>
      <c r="AI35" s="3" t="n">
        <v>33250.0</v>
      </c>
      <c r="AJ35" s="3" t="n">
        <v>32752.0</v>
      </c>
      <c r="AK35" s="3" t="n">
        <v>32342.0</v>
      </c>
      <c r="AL35" s="3" t="n">
        <v>32051.0</v>
      </c>
      <c r="AM35" s="3" t="n">
        <v>31855.0</v>
      </c>
      <c r="AN35" s="3" t="n">
        <v>31714.0</v>
      </c>
      <c r="AO35" s="3" t="n">
        <v>31627.0</v>
      </c>
    </row>
    <row r="36" spans="1:41" x14ac:dyDescent="0.2">
      <c r="A36" s="133"/>
      <c r="B36" s="64" t="s">
        <v>25</v>
      </c>
      <c r="C36" s="11" t="n">
        <v>66632.0</v>
      </c>
      <c r="D36" s="3" t="n">
        <v>63563.0</v>
      </c>
      <c r="E36" s="3" t="n">
        <v>61184.0</v>
      </c>
      <c r="F36" s="3" t="n">
        <v>59488.0</v>
      </c>
      <c r="G36" s="3" t="n">
        <v>57393.0</v>
      </c>
      <c r="H36" s="3" t="n">
        <v>55877.0</v>
      </c>
      <c r="I36" s="3" t="n">
        <v>54882.0</v>
      </c>
      <c r="J36" s="3" t="n">
        <v>54315.0</v>
      </c>
      <c r="K36" s="3" t="n">
        <v>53987.0</v>
      </c>
      <c r="L36" s="3" t="n">
        <v>54568.0</v>
      </c>
      <c r="M36" s="3" t="n">
        <v>55751.0</v>
      </c>
      <c r="N36" s="3" t="n">
        <v>58107.0</v>
      </c>
      <c r="O36" s="3" t="n">
        <v>60542.0</v>
      </c>
      <c r="P36" s="3" t="n">
        <v>62279.0</v>
      </c>
      <c r="Q36" s="3" t="n">
        <v>63094.0</v>
      </c>
      <c r="R36" s="3" t="n">
        <v>63391.0</v>
      </c>
      <c r="S36" s="3" t="n">
        <v>61850.0</v>
      </c>
      <c r="T36" s="3" t="n">
        <v>60301.0</v>
      </c>
      <c r="U36" s="3" t="n">
        <v>58843.0</v>
      </c>
      <c r="V36" s="3" t="n">
        <v>58286.0</v>
      </c>
      <c r="W36" s="3" t="n">
        <v>58168.0</v>
      </c>
      <c r="X36" s="3" t="n">
        <v>58581.0</v>
      </c>
      <c r="Y36" s="3" t="n">
        <v>57587.0</v>
      </c>
      <c r="Z36" s="3" t="n">
        <v>56602.0</v>
      </c>
      <c r="AA36" s="3" t="n">
        <v>54710.0</v>
      </c>
      <c r="AB36" s="3" t="n">
        <v>51589.0</v>
      </c>
      <c r="AC36" s="3" t="n">
        <v>48219.0</v>
      </c>
      <c r="AD36" s="3" t="n">
        <v>45597.0</v>
      </c>
      <c r="AE36" s="3" t="n">
        <v>43064.0</v>
      </c>
      <c r="AF36" s="3" t="n">
        <v>40756.0</v>
      </c>
      <c r="AG36" s="3" t="n">
        <v>39192.0</v>
      </c>
      <c r="AH36" s="3" t="n">
        <v>37983.0</v>
      </c>
      <c r="AI36" s="3" t="n">
        <v>36844.0</v>
      </c>
      <c r="AJ36" s="3" t="n">
        <v>35850.0</v>
      </c>
      <c r="AK36" s="3" t="n">
        <v>34952.0</v>
      </c>
      <c r="AL36" s="3" t="n">
        <v>34159.0</v>
      </c>
      <c r="AM36" s="3" t="n">
        <v>33444.0</v>
      </c>
      <c r="AN36" s="3" t="n">
        <v>32849.0</v>
      </c>
      <c r="AO36" s="3" t="n">
        <v>32351.0</v>
      </c>
    </row>
    <row r="37" spans="1:41" x14ac:dyDescent="0.2">
      <c r="A37" s="133"/>
      <c r="B37" s="64" t="s">
        <v>26</v>
      </c>
      <c r="C37" s="11" t="n">
        <v>78920.0</v>
      </c>
      <c r="D37" s="3" t="n">
        <v>76753.0</v>
      </c>
      <c r="E37" s="3" t="n">
        <v>74278.0</v>
      </c>
      <c r="F37" s="3" t="n">
        <v>70998.0</v>
      </c>
      <c r="G37" s="3" t="n">
        <v>67993.0</v>
      </c>
      <c r="H37" s="3" t="n">
        <v>65147.0</v>
      </c>
      <c r="I37" s="3" t="n">
        <v>62175.0</v>
      </c>
      <c r="J37" s="3" t="n">
        <v>59855.0</v>
      </c>
      <c r="K37" s="3" t="n">
        <v>58200.0</v>
      </c>
      <c r="L37" s="3" t="n">
        <v>56155.0</v>
      </c>
      <c r="M37" s="3" t="n">
        <v>54656.0</v>
      </c>
      <c r="N37" s="3" t="n">
        <v>53630.0</v>
      </c>
      <c r="O37" s="3" t="n">
        <v>53064.0</v>
      </c>
      <c r="P37" s="3" t="n">
        <v>52744.0</v>
      </c>
      <c r="Q37" s="3" t="n">
        <v>53308.0</v>
      </c>
      <c r="R37" s="3" t="n">
        <v>54451.0</v>
      </c>
      <c r="S37" s="3" t="n">
        <v>56725.0</v>
      </c>
      <c r="T37" s="3" t="n">
        <v>59085.0</v>
      </c>
      <c r="U37" s="3" t="n">
        <v>60779.0</v>
      </c>
      <c r="V37" s="3" t="n">
        <v>61562.0</v>
      </c>
      <c r="W37" s="3" t="n">
        <v>61847.0</v>
      </c>
      <c r="X37" s="3" t="n">
        <v>60352.0</v>
      </c>
      <c r="Y37" s="3" t="n">
        <v>58874.0</v>
      </c>
      <c r="Z37" s="3" t="n">
        <v>57465.0</v>
      </c>
      <c r="AA37" s="3" t="n">
        <v>56942.0</v>
      </c>
      <c r="AB37" s="3" t="n">
        <v>56841.0</v>
      </c>
      <c r="AC37" s="3" t="n">
        <v>57246.0</v>
      </c>
      <c r="AD37" s="3" t="n">
        <v>56265.0</v>
      </c>
      <c r="AE37" s="3" t="n">
        <v>55291.0</v>
      </c>
      <c r="AF37" s="3" t="n">
        <v>53440.0</v>
      </c>
      <c r="AG37" s="3" t="n">
        <v>50393.0</v>
      </c>
      <c r="AH37" s="3" t="n">
        <v>47107.0</v>
      </c>
      <c r="AI37" s="3" t="n">
        <v>44578.0</v>
      </c>
      <c r="AJ37" s="3" t="n">
        <v>42130.0</v>
      </c>
      <c r="AK37" s="3" t="n">
        <v>39891.0</v>
      </c>
      <c r="AL37" s="3" t="n">
        <v>38391.0</v>
      </c>
      <c r="AM37" s="3" t="n">
        <v>37208.0</v>
      </c>
      <c r="AN37" s="3" t="n">
        <v>36081.0</v>
      </c>
      <c r="AO37" s="3" t="n">
        <v>35101.0</v>
      </c>
    </row>
    <row r="38" spans="1:41" x14ac:dyDescent="0.2">
      <c r="A38" s="133"/>
      <c r="B38" s="64" t="s">
        <v>27</v>
      </c>
      <c r="C38" s="11" t="n">
        <v>93260.0</v>
      </c>
      <c r="D38" s="3" t="n">
        <v>88803.0</v>
      </c>
      <c r="E38" s="3" t="n">
        <v>84804.0</v>
      </c>
      <c r="F38" s="3" t="n">
        <v>81446.0</v>
      </c>
      <c r="G38" s="3" t="n">
        <v>79421.0</v>
      </c>
      <c r="H38" s="3" t="n">
        <v>77424.0</v>
      </c>
      <c r="I38" s="3" t="n">
        <v>75334.0</v>
      </c>
      <c r="J38" s="3" t="n">
        <v>72919.0</v>
      </c>
      <c r="K38" s="3" t="n">
        <v>69693.0</v>
      </c>
      <c r="L38" s="3" t="n">
        <v>66715.0</v>
      </c>
      <c r="M38" s="3" t="n">
        <v>63887.0</v>
      </c>
      <c r="N38" s="3" t="n">
        <v>60934.0</v>
      </c>
      <c r="O38" s="3" t="n">
        <v>58612.0</v>
      </c>
      <c r="P38" s="3" t="n">
        <v>56965.0</v>
      </c>
      <c r="Q38" s="3" t="n">
        <v>54952.0</v>
      </c>
      <c r="R38" s="3" t="n">
        <v>53478.0</v>
      </c>
      <c r="S38" s="3" t="n">
        <v>52458.0</v>
      </c>
      <c r="T38" s="3" t="n">
        <v>51909.0</v>
      </c>
      <c r="U38" s="3" t="n">
        <v>51578.0</v>
      </c>
      <c r="V38" s="3" t="n">
        <v>52126.0</v>
      </c>
      <c r="W38" s="3" t="n">
        <v>53237.0</v>
      </c>
      <c r="X38" s="3" t="n">
        <v>55459.0</v>
      </c>
      <c r="Y38" s="3" t="n">
        <v>57759.0</v>
      </c>
      <c r="Z38" s="3" t="n">
        <v>59416.0</v>
      </c>
      <c r="AA38" s="3" t="n">
        <v>60194.0</v>
      </c>
      <c r="AB38" s="3" t="n">
        <v>60487.0</v>
      </c>
      <c r="AC38" s="3" t="n">
        <v>59036.0</v>
      </c>
      <c r="AD38" s="3" t="n">
        <v>57590.0</v>
      </c>
      <c r="AE38" s="3" t="n">
        <v>56226.0</v>
      </c>
      <c r="AF38" s="3" t="n">
        <v>55723.0</v>
      </c>
      <c r="AG38" s="3" t="n">
        <v>55625.0</v>
      </c>
      <c r="AH38" s="3" t="n">
        <v>56022.0</v>
      </c>
      <c r="AI38" s="3" t="n">
        <v>55052.0</v>
      </c>
      <c r="AJ38" s="3" t="n">
        <v>54087.0</v>
      </c>
      <c r="AK38" s="3" t="n">
        <v>52303.0</v>
      </c>
      <c r="AL38" s="3" t="n">
        <v>49336.0</v>
      </c>
      <c r="AM38" s="3" t="n">
        <v>46138.0</v>
      </c>
      <c r="AN38" s="3" t="n">
        <v>43679.0</v>
      </c>
      <c r="AO38" s="3" t="n">
        <v>41296.0</v>
      </c>
    </row>
    <row r="39" spans="1:41" x14ac:dyDescent="0.2">
      <c r="A39" s="133"/>
      <c r="B39" s="64" t="s">
        <v>28</v>
      </c>
      <c r="C39" s="11" t="n">
        <v>97498.0</v>
      </c>
      <c r="D39" s="3" t="n">
        <v>98359.0</v>
      </c>
      <c r="E39" s="3" t="n">
        <v>98314.0</v>
      </c>
      <c r="F39" s="3" t="n">
        <v>97501.0</v>
      </c>
      <c r="G39" s="3" t="n">
        <v>95639.0</v>
      </c>
      <c r="H39" s="3" t="n">
        <v>91882.0</v>
      </c>
      <c r="I39" s="3" t="n">
        <v>87573.0</v>
      </c>
      <c r="J39" s="3" t="n">
        <v>83691.0</v>
      </c>
      <c r="K39" s="3" t="n">
        <v>80433.0</v>
      </c>
      <c r="L39" s="3" t="n">
        <v>78463.0</v>
      </c>
      <c r="M39" s="3" t="n">
        <v>76463.0</v>
      </c>
      <c r="N39" s="3" t="n">
        <v>74339.0</v>
      </c>
      <c r="O39" s="3" t="n">
        <v>71914.0</v>
      </c>
      <c r="P39" s="3" t="n">
        <v>68708.0</v>
      </c>
      <c r="Q39" s="3" t="n">
        <v>65752.0</v>
      </c>
      <c r="R39" s="3" t="n">
        <v>62947.0</v>
      </c>
      <c r="S39" s="3" t="n">
        <v>60036.0</v>
      </c>
      <c r="T39" s="3" t="n">
        <v>57750.0</v>
      </c>
      <c r="U39" s="3" t="n">
        <v>56126.0</v>
      </c>
      <c r="V39" s="3" t="n">
        <v>54148.0</v>
      </c>
      <c r="W39" s="3" t="n">
        <v>52690.0</v>
      </c>
      <c r="X39" s="3" t="n">
        <v>51672.0</v>
      </c>
      <c r="Y39" s="3" t="n">
        <v>51135.0</v>
      </c>
      <c r="Z39" s="3" t="n">
        <v>50812.0</v>
      </c>
      <c r="AA39" s="3" t="n">
        <v>51338.0</v>
      </c>
      <c r="AB39" s="3" t="n">
        <v>52435.0</v>
      </c>
      <c r="AC39" s="3" t="n">
        <v>54625.0</v>
      </c>
      <c r="AD39" s="3" t="n">
        <v>56903.0</v>
      </c>
      <c r="AE39" s="3" t="n">
        <v>58545.0</v>
      </c>
      <c r="AF39" s="3" t="n">
        <v>59304.0</v>
      </c>
      <c r="AG39" s="3" t="n">
        <v>59594.0</v>
      </c>
      <c r="AH39" s="3" t="n">
        <v>58159.0</v>
      </c>
      <c r="AI39" s="3" t="n">
        <v>56753.0</v>
      </c>
      <c r="AJ39" s="3" t="n">
        <v>55417.0</v>
      </c>
      <c r="AK39" s="3" t="n">
        <v>54915.0</v>
      </c>
      <c r="AL39" s="3" t="n">
        <v>54820.0</v>
      </c>
      <c r="AM39" s="3" t="n">
        <v>55215.0</v>
      </c>
      <c r="AN39" s="3" t="n">
        <v>54266.0</v>
      </c>
      <c r="AO39" s="3" t="n">
        <v>53320.0</v>
      </c>
    </row>
    <row r="40" spans="1:41" x14ac:dyDescent="0.2">
      <c r="A40" s="133"/>
      <c r="B40" s="64" t="s">
        <v>29</v>
      </c>
      <c r="C40" s="11" t="n">
        <v>90668.0</v>
      </c>
      <c r="D40" s="3" t="n">
        <v>92671.0</v>
      </c>
      <c r="E40" s="3" t="n">
        <v>93970.0</v>
      </c>
      <c r="F40" s="3" t="n">
        <v>94900.0</v>
      </c>
      <c r="G40" s="3" t="n">
        <v>94665.0</v>
      </c>
      <c r="H40" s="3" t="n">
        <v>95419.0</v>
      </c>
      <c r="I40" s="3" t="n">
        <v>96326.0</v>
      </c>
      <c r="J40" s="3" t="n">
        <v>96331.0</v>
      </c>
      <c r="K40" s="3" t="n">
        <v>95580.0</v>
      </c>
      <c r="L40" s="3" t="n">
        <v>93794.0</v>
      </c>
      <c r="M40" s="3" t="n">
        <v>90136.0</v>
      </c>
      <c r="N40" s="3" t="n">
        <v>85905.0</v>
      </c>
      <c r="O40" s="3" t="n">
        <v>82117.0</v>
      </c>
      <c r="P40" s="3" t="n">
        <v>78926.0</v>
      </c>
      <c r="Q40" s="3" t="n">
        <v>77004.0</v>
      </c>
      <c r="R40" s="3" t="n">
        <v>75027.0</v>
      </c>
      <c r="S40" s="3" t="n">
        <v>72940.0</v>
      </c>
      <c r="T40" s="3" t="n">
        <v>70568.0</v>
      </c>
      <c r="U40" s="3" t="n">
        <v>67416.0</v>
      </c>
      <c r="V40" s="3" t="n">
        <v>64527.0</v>
      </c>
      <c r="W40" s="3" t="n">
        <v>61792.0</v>
      </c>
      <c r="X40" s="3" t="n">
        <v>58953.0</v>
      </c>
      <c r="Y40" s="3" t="n">
        <v>56701.0</v>
      </c>
      <c r="Z40" s="3" t="n">
        <v>55095.0</v>
      </c>
      <c r="AA40" s="3" t="n">
        <v>53158.0</v>
      </c>
      <c r="AB40" s="3" t="n">
        <v>51725.0</v>
      </c>
      <c r="AC40" s="3" t="n">
        <v>50723.0</v>
      </c>
      <c r="AD40" s="3" t="n">
        <v>50185.0</v>
      </c>
      <c r="AE40" s="3" t="n">
        <v>49872.0</v>
      </c>
      <c r="AF40" s="3" t="n">
        <v>50397.0</v>
      </c>
      <c r="AG40" s="3" t="n">
        <v>51473.0</v>
      </c>
      <c r="AH40" s="3" t="n">
        <v>53626.0</v>
      </c>
      <c r="AI40" s="3" t="n">
        <v>55863.0</v>
      </c>
      <c r="AJ40" s="3" t="n">
        <v>57479.0</v>
      </c>
      <c r="AK40" s="3" t="n">
        <v>58221.0</v>
      </c>
      <c r="AL40" s="3" t="n">
        <v>58495.0</v>
      </c>
      <c r="AM40" s="3" t="n">
        <v>57082.0</v>
      </c>
      <c r="AN40" s="3" t="n">
        <v>55705.0</v>
      </c>
      <c r="AO40" s="3" t="n">
        <v>54390.0</v>
      </c>
    </row>
    <row r="41" spans="1:41" x14ac:dyDescent="0.2">
      <c r="A41" s="133"/>
      <c r="B41" s="64" t="s">
        <v>30</v>
      </c>
      <c r="C41" s="11" t="n">
        <v>75429.0</v>
      </c>
      <c r="D41" s="3" t="n">
        <v>77531.0</v>
      </c>
      <c r="E41" s="3" t="n">
        <v>79982.0</v>
      </c>
      <c r="F41" s="3" t="n">
        <v>82792.0</v>
      </c>
      <c r="G41" s="3" t="n">
        <v>85477.0</v>
      </c>
      <c r="H41" s="3" t="n">
        <v>87813.0</v>
      </c>
      <c r="I41" s="3" t="n">
        <v>89796.0</v>
      </c>
      <c r="J41" s="3" t="n">
        <v>91091.0</v>
      </c>
      <c r="K41" s="3" t="n">
        <v>92033.0</v>
      </c>
      <c r="L41" s="3" t="n">
        <v>91825.0</v>
      </c>
      <c r="M41" s="3" t="n">
        <v>92590.0</v>
      </c>
      <c r="N41" s="3" t="n">
        <v>93495.0</v>
      </c>
      <c r="O41" s="3" t="n">
        <v>93517.0</v>
      </c>
      <c r="P41" s="3" t="n">
        <v>92800.0</v>
      </c>
      <c r="Q41" s="3" t="n">
        <v>91101.0</v>
      </c>
      <c r="R41" s="3" t="n">
        <v>87586.0</v>
      </c>
      <c r="S41" s="3" t="n">
        <v>83513.0</v>
      </c>
      <c r="T41" s="3" t="n">
        <v>79857.0</v>
      </c>
      <c r="U41" s="3" t="n">
        <v>76788.0</v>
      </c>
      <c r="V41" s="3" t="n">
        <v>74931.0</v>
      </c>
      <c r="W41" s="3" t="n">
        <v>73017.0</v>
      </c>
      <c r="X41" s="3" t="n">
        <v>70992.0</v>
      </c>
      <c r="Y41" s="3" t="n">
        <v>68680.0</v>
      </c>
      <c r="Z41" s="3" t="n">
        <v>65643.0</v>
      </c>
      <c r="AA41" s="3" t="n">
        <v>62835.0</v>
      </c>
      <c r="AB41" s="3" t="n">
        <v>60152.0</v>
      </c>
      <c r="AC41" s="3" t="n">
        <v>57371.0</v>
      </c>
      <c r="AD41" s="3" t="n">
        <v>55175.0</v>
      </c>
      <c r="AE41" s="3" t="n">
        <v>53609.0</v>
      </c>
      <c r="AF41" s="3" t="n">
        <v>51728.0</v>
      </c>
      <c r="AG41" s="3" t="n">
        <v>50344.0</v>
      </c>
      <c r="AH41" s="3" t="n">
        <v>49369.0</v>
      </c>
      <c r="AI41" s="3" t="n">
        <v>48845.0</v>
      </c>
      <c r="AJ41" s="3" t="n">
        <v>48531.0</v>
      </c>
      <c r="AK41" s="3" t="n">
        <v>49036.0</v>
      </c>
      <c r="AL41" s="3" t="n">
        <v>50093.0</v>
      </c>
      <c r="AM41" s="3" t="n">
        <v>52216.0</v>
      </c>
      <c r="AN41" s="3" t="n">
        <v>54406.0</v>
      </c>
      <c r="AO41" s="3" t="n">
        <v>55980.0</v>
      </c>
    </row>
    <row r="42" spans="1:41" x14ac:dyDescent="0.2">
      <c r="A42" s="133"/>
      <c r="B42" s="64" t="s">
        <v>31</v>
      </c>
      <c r="C42" s="11" t="n">
        <v>67580.0</v>
      </c>
      <c r="D42" s="3" t="n">
        <v>67179.0</v>
      </c>
      <c r="E42" s="3" t="n">
        <v>67397.0</v>
      </c>
      <c r="F42" s="3" t="n">
        <v>68223.0</v>
      </c>
      <c r="G42" s="3" t="n">
        <v>69849.0</v>
      </c>
      <c r="H42" s="3" t="n">
        <v>71802.0</v>
      </c>
      <c r="I42" s="3" t="n">
        <v>73851.0</v>
      </c>
      <c r="J42" s="3" t="n">
        <v>76244.0</v>
      </c>
      <c r="K42" s="3" t="n">
        <v>78977.0</v>
      </c>
      <c r="L42" s="3" t="n">
        <v>81581.0</v>
      </c>
      <c r="M42" s="3" t="n">
        <v>83844.0</v>
      </c>
      <c r="N42" s="3" t="n">
        <v>85747.0</v>
      </c>
      <c r="O42" s="3" t="n">
        <v>86995.0</v>
      </c>
      <c r="P42" s="3" t="n">
        <v>87920.0</v>
      </c>
      <c r="Q42" s="3" t="n">
        <v>87756.0</v>
      </c>
      <c r="R42" s="3" t="n">
        <v>88511.0</v>
      </c>
      <c r="S42" s="3" t="n">
        <v>89403.0</v>
      </c>
      <c r="T42" s="3" t="n">
        <v>89443.0</v>
      </c>
      <c r="U42" s="3" t="n">
        <v>88794.0</v>
      </c>
      <c r="V42" s="3" t="n">
        <v>87171.0</v>
      </c>
      <c r="W42" s="3" t="n">
        <v>83852.0</v>
      </c>
      <c r="X42" s="3" t="n">
        <v>80003.0</v>
      </c>
      <c r="Y42" s="3" t="n">
        <v>76537.0</v>
      </c>
      <c r="Z42" s="3" t="n">
        <v>73611.0</v>
      </c>
      <c r="AA42" s="3" t="n">
        <v>71840.0</v>
      </c>
      <c r="AB42" s="3" t="n">
        <v>70017.0</v>
      </c>
      <c r="AC42" s="3" t="n">
        <v>68082.0</v>
      </c>
      <c r="AD42" s="3" t="n">
        <v>65874.0</v>
      </c>
      <c r="AE42" s="3" t="n">
        <v>62970.0</v>
      </c>
      <c r="AF42" s="3" t="n">
        <v>60291.0</v>
      </c>
      <c r="AG42" s="3" t="n">
        <v>57725.0</v>
      </c>
      <c r="AH42" s="3" t="n">
        <v>55075.0</v>
      </c>
      <c r="AI42" s="3" t="n">
        <v>52980.0</v>
      </c>
      <c r="AJ42" s="3" t="n">
        <v>51498.0</v>
      </c>
      <c r="AK42" s="3" t="n">
        <v>49706.0</v>
      </c>
      <c r="AL42" s="3" t="n">
        <v>48368.0</v>
      </c>
      <c r="AM42" s="3" t="n">
        <v>47432.0</v>
      </c>
      <c r="AN42" s="3" t="n">
        <v>46927.0</v>
      </c>
      <c r="AO42" s="3" t="n">
        <v>46641.0</v>
      </c>
    </row>
    <row r="43" spans="1:41" x14ac:dyDescent="0.2">
      <c r="A43" s="133"/>
      <c r="B43" s="64" t="s">
        <v>32</v>
      </c>
      <c r="C43" s="3" t="n">
        <v>74074.0</v>
      </c>
      <c r="D43" s="3" t="n">
        <v>70406.0</v>
      </c>
      <c r="E43" s="3" t="n">
        <v>67215.0</v>
      </c>
      <c r="F43" s="3" t="n">
        <v>65057.0</v>
      </c>
      <c r="G43" s="3" t="n">
        <v>63516.0</v>
      </c>
      <c r="H43" s="3" t="n">
        <v>62526.0</v>
      </c>
      <c r="I43" s="3" t="n">
        <v>62233.0</v>
      </c>
      <c r="J43" s="3" t="n">
        <v>62470.0</v>
      </c>
      <c r="K43" s="3" t="n">
        <v>63249.0</v>
      </c>
      <c r="L43" s="3" t="n">
        <v>64804.0</v>
      </c>
      <c r="M43" s="3" t="n">
        <v>66642.0</v>
      </c>
      <c r="N43" s="3" t="n">
        <v>68563.0</v>
      </c>
      <c r="O43" s="3" t="n">
        <v>70841.0</v>
      </c>
      <c r="P43" s="3" t="n">
        <v>73423.0</v>
      </c>
      <c r="Q43" s="3" t="n">
        <v>75883.0</v>
      </c>
      <c r="R43" s="3" t="n">
        <v>78008.0</v>
      </c>
      <c r="S43" s="3" t="n">
        <v>79791.0</v>
      </c>
      <c r="T43" s="3" t="n">
        <v>80961.0</v>
      </c>
      <c r="U43" s="3" t="n">
        <v>81849.0</v>
      </c>
      <c r="V43" s="3" t="n">
        <v>81728.0</v>
      </c>
      <c r="W43" s="3" t="n">
        <v>82474.0</v>
      </c>
      <c r="X43" s="3" t="n">
        <v>83343.0</v>
      </c>
      <c r="Y43" s="3" t="n">
        <v>83418.0</v>
      </c>
      <c r="Z43" s="3" t="n">
        <v>82832.0</v>
      </c>
      <c r="AA43" s="3" t="n">
        <v>81323.0</v>
      </c>
      <c r="AB43" s="3" t="n">
        <v>78248.0</v>
      </c>
      <c r="AC43" s="3" t="n">
        <v>74697.0</v>
      </c>
      <c r="AD43" s="3" t="n">
        <v>71500.0</v>
      </c>
      <c r="AE43" s="3" t="n">
        <v>68808.0</v>
      </c>
      <c r="AF43" s="3" t="n">
        <v>67173.0</v>
      </c>
      <c r="AG43" s="3" t="n">
        <v>65488.0</v>
      </c>
      <c r="AH43" s="3" t="n">
        <v>63685.0</v>
      </c>
      <c r="AI43" s="3" t="n">
        <v>61620.0</v>
      </c>
      <c r="AJ43" s="3" t="n">
        <v>58912.0</v>
      </c>
      <c r="AK43" s="3" t="n">
        <v>56429.0</v>
      </c>
      <c r="AL43" s="3" t="n">
        <v>54066.0</v>
      </c>
      <c r="AM43" s="3" t="n">
        <v>51594.0</v>
      </c>
      <c r="AN43" s="3" t="n">
        <v>49642.0</v>
      </c>
      <c r="AO43" s="3" t="n">
        <v>48251.0</v>
      </c>
    </row>
    <row r="44" spans="1:41" x14ac:dyDescent="0.2">
      <c r="A44" s="133"/>
      <c r="B44" s="65" t="s">
        <v>33</v>
      </c>
      <c r="C44" s="3" t="n">
        <v>76077.0</v>
      </c>
      <c r="D44" s="3" t="n">
        <v>75662.0</v>
      </c>
      <c r="E44" s="3" t="n">
        <v>74927.0</v>
      </c>
      <c r="F44" s="3" t="n">
        <v>72043.0</v>
      </c>
      <c r="G44" s="3" t="n">
        <v>68948.0</v>
      </c>
      <c r="H44" s="3" t="n">
        <v>65705.0</v>
      </c>
      <c r="I44" s="3" t="n">
        <v>62547.0</v>
      </c>
      <c r="J44" s="3" t="n">
        <v>59803.0</v>
      </c>
      <c r="K44" s="3" t="n">
        <v>57961.0</v>
      </c>
      <c r="L44" s="3" t="n">
        <v>56661.0</v>
      </c>
      <c r="M44" s="3" t="n">
        <v>55827.0</v>
      </c>
      <c r="N44" s="3" t="n">
        <v>55589.0</v>
      </c>
      <c r="O44" s="3" t="n">
        <v>55836.0</v>
      </c>
      <c r="P44" s="3" t="n">
        <v>56571.0</v>
      </c>
      <c r="Q44" s="3" t="n">
        <v>57996.0</v>
      </c>
      <c r="R44" s="3" t="n">
        <v>59679.0</v>
      </c>
      <c r="S44" s="3" t="n">
        <v>61447.0</v>
      </c>
      <c r="T44" s="3" t="n">
        <v>63515.0</v>
      </c>
      <c r="U44" s="3" t="n">
        <v>65861.0</v>
      </c>
      <c r="V44" s="3" t="n">
        <v>68110.0</v>
      </c>
      <c r="W44" s="3" t="n">
        <v>70041.0</v>
      </c>
      <c r="X44" s="3" t="n">
        <v>71670.0</v>
      </c>
      <c r="Y44" s="3" t="n">
        <v>72745.0</v>
      </c>
      <c r="Z44" s="3" t="n">
        <v>73573.0</v>
      </c>
      <c r="AA44" s="3" t="n">
        <v>73500.0</v>
      </c>
      <c r="AB44" s="3" t="n">
        <v>74208.0</v>
      </c>
      <c r="AC44" s="3" t="n">
        <v>75034.0</v>
      </c>
      <c r="AD44" s="3" t="n">
        <v>75106.0</v>
      </c>
      <c r="AE44" s="3" t="n">
        <v>74615.0</v>
      </c>
      <c r="AF44" s="3" t="n">
        <v>73274.0</v>
      </c>
      <c r="AG44" s="3" t="n">
        <v>70531.0</v>
      </c>
      <c r="AH44" s="3" t="n">
        <v>67366.0</v>
      </c>
      <c r="AI44" s="3" t="n">
        <v>64509.0</v>
      </c>
      <c r="AJ44" s="3" t="n">
        <v>62146.0</v>
      </c>
      <c r="AK44" s="3" t="n">
        <v>60700.0</v>
      </c>
      <c r="AL44" s="3" t="n">
        <v>59174.0</v>
      </c>
      <c r="AM44" s="3" t="n">
        <v>57569.0</v>
      </c>
      <c r="AN44" s="3" t="n">
        <v>55721.0</v>
      </c>
      <c r="AO44" s="3" t="n">
        <v>53290.0</v>
      </c>
    </row>
    <row r="45" spans="1:41" x14ac:dyDescent="0.2">
      <c r="A45" s="133"/>
      <c r="B45" s="64" t="s">
        <v>34</v>
      </c>
      <c r="C45" s="3" t="n">
        <v>58813.0</v>
      </c>
      <c r="D45" s="3" t="n">
        <v>60209.0</v>
      </c>
      <c r="E45" s="3" t="n">
        <v>61591.0</v>
      </c>
      <c r="F45" s="3" t="n">
        <v>63216.0</v>
      </c>
      <c r="G45" s="3" t="n">
        <v>63903.0</v>
      </c>
      <c r="H45" s="3" t="n">
        <v>64226.0</v>
      </c>
      <c r="I45" s="3" t="n">
        <v>63971.0</v>
      </c>
      <c r="J45" s="3" t="n">
        <v>63424.0</v>
      </c>
      <c r="K45" s="3" t="n">
        <v>61049.0</v>
      </c>
      <c r="L45" s="3" t="n">
        <v>58487.0</v>
      </c>
      <c r="M45" s="3" t="n">
        <v>55797.0</v>
      </c>
      <c r="N45" s="3" t="n">
        <v>53180.0</v>
      </c>
      <c r="O45" s="3" t="n">
        <v>50926.0</v>
      </c>
      <c r="P45" s="3" t="n">
        <v>49411.0</v>
      </c>
      <c r="Q45" s="3" t="n">
        <v>48364.0</v>
      </c>
      <c r="R45" s="3" t="n">
        <v>47701.0</v>
      </c>
      <c r="S45" s="3" t="n">
        <v>47539.0</v>
      </c>
      <c r="T45" s="3" t="n">
        <v>47789.0</v>
      </c>
      <c r="U45" s="3" t="n">
        <v>48464.0</v>
      </c>
      <c r="V45" s="3" t="n">
        <v>49728.0</v>
      </c>
      <c r="W45" s="3" t="n">
        <v>51199.0</v>
      </c>
      <c r="X45" s="3" t="n">
        <v>52775.0</v>
      </c>
      <c r="Y45" s="3" t="n">
        <v>54592.0</v>
      </c>
      <c r="Z45" s="3" t="n">
        <v>56614.0</v>
      </c>
      <c r="AA45" s="3" t="n">
        <v>58587.0</v>
      </c>
      <c r="AB45" s="3" t="n">
        <v>60264.0</v>
      </c>
      <c r="AC45" s="3" t="n">
        <v>61692.0</v>
      </c>
      <c r="AD45" s="3" t="n">
        <v>62663.0</v>
      </c>
      <c r="AE45" s="3" t="n">
        <v>63429.0</v>
      </c>
      <c r="AF45" s="3" t="n">
        <v>63405.0</v>
      </c>
      <c r="AG45" s="3" t="n">
        <v>64079.0</v>
      </c>
      <c r="AH45" s="3" t="n">
        <v>64842.0</v>
      </c>
      <c r="AI45" s="3" t="n">
        <v>64935.0</v>
      </c>
      <c r="AJ45" s="3" t="n">
        <v>64522.0</v>
      </c>
      <c r="AK45" s="3" t="n">
        <v>63364.0</v>
      </c>
      <c r="AL45" s="3" t="n">
        <v>60987.0</v>
      </c>
      <c r="AM45" s="3" t="n">
        <v>58293.0</v>
      </c>
      <c r="AN45" s="3" t="n">
        <v>55852.0</v>
      </c>
      <c r="AO45" s="3" t="n">
        <v>53851.0</v>
      </c>
    </row>
    <row r="46" spans="1:41" x14ac:dyDescent="0.2">
      <c r="A46" s="133"/>
      <c r="B46" s="64" t="s">
        <v>35</v>
      </c>
      <c r="C46" s="3" t="n">
        <v>33560.0</v>
      </c>
      <c r="D46" s="3" t="n">
        <v>37345.0</v>
      </c>
      <c r="E46" s="3" t="n">
        <v>40720.0</v>
      </c>
      <c r="F46" s="3" t="n">
        <v>44122.0</v>
      </c>
      <c r="G46" s="3" t="n">
        <v>45244.0</v>
      </c>
      <c r="H46" s="3" t="n">
        <v>46500.0</v>
      </c>
      <c r="I46" s="3" t="n">
        <v>47740.0</v>
      </c>
      <c r="J46" s="3" t="n">
        <v>48896.0</v>
      </c>
      <c r="K46" s="3" t="n">
        <v>50283.0</v>
      </c>
      <c r="L46" s="3" t="n">
        <v>50913.0</v>
      </c>
      <c r="M46" s="3" t="n">
        <v>51267.0</v>
      </c>
      <c r="N46" s="3" t="n">
        <v>51118.0</v>
      </c>
      <c r="O46" s="3" t="n">
        <v>50716.0</v>
      </c>
      <c r="P46" s="3" t="n">
        <v>48860.0</v>
      </c>
      <c r="Q46" s="3" t="n">
        <v>46865.0</v>
      </c>
      <c r="R46" s="3" t="n">
        <v>44760.0</v>
      </c>
      <c r="S46" s="3" t="n">
        <v>42741.0</v>
      </c>
      <c r="T46" s="3" t="n">
        <v>41001.0</v>
      </c>
      <c r="U46" s="3" t="n">
        <v>39837.0</v>
      </c>
      <c r="V46" s="3" t="n">
        <v>39051.0</v>
      </c>
      <c r="W46" s="3" t="n">
        <v>38547.0</v>
      </c>
      <c r="X46" s="3" t="n">
        <v>38480.0</v>
      </c>
      <c r="Y46" s="3" t="n">
        <v>38730.0</v>
      </c>
      <c r="Z46" s="3" t="n">
        <v>39310.0</v>
      </c>
      <c r="AA46" s="3" t="n">
        <v>40367.0</v>
      </c>
      <c r="AB46" s="3" t="n">
        <v>41592.0</v>
      </c>
      <c r="AC46" s="3" t="n">
        <v>42902.0</v>
      </c>
      <c r="AD46" s="3" t="n">
        <v>44401.0</v>
      </c>
      <c r="AE46" s="3" t="n">
        <v>46100.0</v>
      </c>
      <c r="AF46" s="3" t="n">
        <v>47739.0</v>
      </c>
      <c r="AG46" s="3" t="n">
        <v>49148.0</v>
      </c>
      <c r="AH46" s="3" t="n">
        <v>50329.0</v>
      </c>
      <c r="AI46" s="3" t="n">
        <v>51146.0</v>
      </c>
      <c r="AJ46" s="3" t="n">
        <v>51815.0</v>
      </c>
      <c r="AK46" s="3" t="n">
        <v>51828.0</v>
      </c>
      <c r="AL46" s="3" t="n">
        <v>52406.0</v>
      </c>
      <c r="AM46" s="3" t="n">
        <v>53069.0</v>
      </c>
      <c r="AN46" s="3" t="n">
        <v>53174.0</v>
      </c>
      <c r="AO46" s="3" t="n">
        <v>52845.0</v>
      </c>
    </row>
    <row r="47" spans="1:41" x14ac:dyDescent="0.2">
      <c r="A47" s="133"/>
      <c r="B47" s="64" t="s">
        <v>36</v>
      </c>
      <c r="C47" s="3" t="n">
        <v>17565.0</v>
      </c>
      <c r="D47" s="3" t="n">
        <v>17607.0</v>
      </c>
      <c r="E47" s="3" t="n">
        <v>17566.0</v>
      </c>
      <c r="F47" s="3" t="n">
        <v>17920.0</v>
      </c>
      <c r="G47" s="3" t="n">
        <v>20842.0</v>
      </c>
      <c r="H47" s="3" t="n">
        <v>23664.0</v>
      </c>
      <c r="I47" s="3" t="n">
        <v>26416.0</v>
      </c>
      <c r="J47" s="3" t="n">
        <v>28762.0</v>
      </c>
      <c r="K47" s="3" t="n">
        <v>31120.0</v>
      </c>
      <c r="L47" s="3" t="n">
        <v>32058.0</v>
      </c>
      <c r="M47" s="3" t="n">
        <v>33049.0</v>
      </c>
      <c r="N47" s="3" t="n">
        <v>34013.0</v>
      </c>
      <c r="O47" s="3" t="n">
        <v>34867.0</v>
      </c>
      <c r="P47" s="3" t="n">
        <v>35920.0</v>
      </c>
      <c r="Q47" s="3" t="n">
        <v>36432.0</v>
      </c>
      <c r="R47" s="3" t="n">
        <v>36722.0</v>
      </c>
      <c r="S47" s="3" t="n">
        <v>36680.0</v>
      </c>
      <c r="T47" s="3" t="n">
        <v>36397.0</v>
      </c>
      <c r="U47" s="3" t="n">
        <v>35117.0</v>
      </c>
      <c r="V47" s="3" t="n">
        <v>33712.0</v>
      </c>
      <c r="W47" s="3" t="n">
        <v>32237.0</v>
      </c>
      <c r="X47" s="3" t="n">
        <v>30866.0</v>
      </c>
      <c r="Y47" s="3" t="n">
        <v>29681.0</v>
      </c>
      <c r="Z47" s="3" t="n">
        <v>28868.0</v>
      </c>
      <c r="AA47" s="3" t="n">
        <v>28340.0</v>
      </c>
      <c r="AB47" s="3" t="n">
        <v>28015.0</v>
      </c>
      <c r="AC47" s="3" t="n">
        <v>28020.0</v>
      </c>
      <c r="AD47" s="3" t="n">
        <v>28249.0</v>
      </c>
      <c r="AE47" s="3" t="n">
        <v>28728.0</v>
      </c>
      <c r="AF47" s="3" t="n">
        <v>29534.0</v>
      </c>
      <c r="AG47" s="3" t="n">
        <v>30481.0</v>
      </c>
      <c r="AH47" s="3" t="n">
        <v>31470.0</v>
      </c>
      <c r="AI47" s="3" t="n">
        <v>32613.0</v>
      </c>
      <c r="AJ47" s="3" t="n">
        <v>33899.0</v>
      </c>
      <c r="AK47" s="3" t="n">
        <v>35134.0</v>
      </c>
      <c r="AL47" s="3" t="n">
        <v>36164.0</v>
      </c>
      <c r="AM47" s="3" t="n">
        <v>37063.0</v>
      </c>
      <c r="AN47" s="3" t="n">
        <v>37683.0</v>
      </c>
      <c r="AO47" s="3" t="n">
        <v>38187.0</v>
      </c>
    </row>
    <row r="48" spans="1:41" x14ac:dyDescent="0.2">
      <c r="A48" s="133"/>
      <c r="B48" s="64" t="s">
        <v>37</v>
      </c>
      <c r="C48" s="3" t="n">
        <v>9926.0</v>
      </c>
      <c r="D48" s="3" t="n">
        <v>9985.0</v>
      </c>
      <c r="E48" s="3" t="n">
        <v>10027.0</v>
      </c>
      <c r="F48" s="3" t="n">
        <v>9977.0</v>
      </c>
      <c r="G48" s="3" t="n">
        <v>9943.0</v>
      </c>
      <c r="H48" s="3" t="n">
        <v>9804.0</v>
      </c>
      <c r="I48" s="3" t="n">
        <v>9864.0</v>
      </c>
      <c r="J48" s="3" t="n">
        <v>9883.0</v>
      </c>
      <c r="K48" s="3" t="n">
        <v>10150.0</v>
      </c>
      <c r="L48" s="3" t="n">
        <v>12019.0</v>
      </c>
      <c r="M48" s="3" t="n">
        <v>13737.0</v>
      </c>
      <c r="N48" s="3" t="n">
        <v>15349.0</v>
      </c>
      <c r="O48" s="3" t="n">
        <v>16662.0</v>
      </c>
      <c r="P48" s="3" t="n">
        <v>17989.0</v>
      </c>
      <c r="Q48" s="3" t="n">
        <v>18629.0</v>
      </c>
      <c r="R48" s="3" t="n">
        <v>19254.0</v>
      </c>
      <c r="S48" s="3" t="n">
        <v>19884.0</v>
      </c>
      <c r="T48" s="3" t="n">
        <v>20384.0</v>
      </c>
      <c r="U48" s="3" t="n">
        <v>21058.0</v>
      </c>
      <c r="V48" s="3" t="n">
        <v>21411.0</v>
      </c>
      <c r="W48" s="3" t="n">
        <v>21622.0</v>
      </c>
      <c r="X48" s="3" t="n">
        <v>21633.0</v>
      </c>
      <c r="Y48" s="3" t="n">
        <v>21486.0</v>
      </c>
      <c r="Z48" s="3" t="n">
        <v>20726.0</v>
      </c>
      <c r="AA48" s="3" t="n">
        <v>19913.0</v>
      </c>
      <c r="AB48" s="3" t="n">
        <v>19083.0</v>
      </c>
      <c r="AC48" s="3" t="n">
        <v>18314.0</v>
      </c>
      <c r="AD48" s="3" t="n">
        <v>17677.0</v>
      </c>
      <c r="AE48" s="3" t="n">
        <v>17245.0</v>
      </c>
      <c r="AF48" s="3" t="n">
        <v>16963.0</v>
      </c>
      <c r="AG48" s="3" t="n">
        <v>16817.0</v>
      </c>
      <c r="AH48" s="3" t="n">
        <v>16861.0</v>
      </c>
      <c r="AI48" s="3" t="n">
        <v>17030.0</v>
      </c>
      <c r="AJ48" s="3" t="n">
        <v>17352.0</v>
      </c>
      <c r="AK48" s="3" t="n">
        <v>17896.0</v>
      </c>
      <c r="AL48" s="3" t="n">
        <v>18488.0</v>
      </c>
      <c r="AM48" s="3" t="n">
        <v>19131.0</v>
      </c>
      <c r="AN48" s="3" t="n">
        <v>19857.0</v>
      </c>
      <c r="AO48" s="3" t="n">
        <v>20649.0</v>
      </c>
    </row>
    <row r="49" spans="1:41" x14ac:dyDescent="0.2">
      <c r="A49" s="133"/>
      <c r="B49" s="74" t="s">
        <v>80</v>
      </c>
      <c r="C49" s="3" t="n">
        <v>3524.0</v>
      </c>
      <c r="D49" s="3" t="n">
        <v>3695.0</v>
      </c>
      <c r="E49" s="3" t="n">
        <v>3824.0</v>
      </c>
      <c r="F49" s="3" t="n">
        <v>3932.0</v>
      </c>
      <c r="G49" s="3" t="n">
        <v>4037.0</v>
      </c>
      <c r="H49" s="3" t="n">
        <v>4107.0</v>
      </c>
      <c r="I49" s="3" t="n">
        <v>4142.0</v>
      </c>
      <c r="J49" s="3" t="n">
        <v>4164.0</v>
      </c>
      <c r="K49" s="3" t="n">
        <v>4159.0</v>
      </c>
      <c r="L49" s="3" t="n">
        <v>4191.0</v>
      </c>
      <c r="M49" s="3" t="n">
        <v>4150.0</v>
      </c>
      <c r="N49" s="3" t="n">
        <v>4215.0</v>
      </c>
      <c r="O49" s="3" t="n">
        <v>4238.0</v>
      </c>
      <c r="P49" s="3" t="n">
        <v>4381.0</v>
      </c>
      <c r="Q49" s="3" t="n">
        <v>5305.0</v>
      </c>
      <c r="R49" s="3" t="n">
        <v>6102.0</v>
      </c>
      <c r="S49" s="3" t="n">
        <v>6840.0</v>
      </c>
      <c r="T49" s="3" t="n">
        <v>7393.0</v>
      </c>
      <c r="U49" s="3" t="n">
        <v>7945.0</v>
      </c>
      <c r="V49" s="3" t="n">
        <v>8276.0</v>
      </c>
      <c r="W49" s="3" t="n">
        <v>8584.0</v>
      </c>
      <c r="X49" s="3" t="n">
        <v>8907.0</v>
      </c>
      <c r="Y49" s="3" t="n">
        <v>9146.0</v>
      </c>
      <c r="Z49" s="3" t="n">
        <v>9482.0</v>
      </c>
      <c r="AA49" s="3" t="n">
        <v>9664.0</v>
      </c>
      <c r="AB49" s="3" t="n">
        <v>9764.0</v>
      </c>
      <c r="AC49" s="3" t="n">
        <v>9794.0</v>
      </c>
      <c r="AD49" s="3" t="n">
        <v>9716.0</v>
      </c>
      <c r="AE49" s="3" t="n">
        <v>9389.0</v>
      </c>
      <c r="AF49" s="3" t="n">
        <v>9030.0</v>
      </c>
      <c r="AG49" s="3" t="n">
        <v>8678.0</v>
      </c>
      <c r="AH49" s="3" t="n">
        <v>8366.0</v>
      </c>
      <c r="AI49" s="3" t="n">
        <v>8104.0</v>
      </c>
      <c r="AJ49" s="3" t="n">
        <v>7933.0</v>
      </c>
      <c r="AK49" s="3" t="n">
        <v>7816.0</v>
      </c>
      <c r="AL49" s="3" t="n">
        <v>7758.0</v>
      </c>
      <c r="AM49" s="3" t="n">
        <v>7822.0</v>
      </c>
      <c r="AN49" s="3" t="n">
        <v>7937.0</v>
      </c>
      <c r="AO49" s="3" t="n">
        <v>8106.0</v>
      </c>
    </row>
    <row r="50" spans="1:41" x14ac:dyDescent="0.2">
      <c r="A50" s="133"/>
      <c r="B50" s="74" t="s">
        <v>81</v>
      </c>
      <c r="C50" s="3" t="n">
        <v>597.0</v>
      </c>
      <c r="D50" s="3" t="n">
        <v>647.0</v>
      </c>
      <c r="E50" s="3" t="n">
        <v>698.0</v>
      </c>
      <c r="F50" s="3" t="n">
        <v>783.0</v>
      </c>
      <c r="G50" s="3" t="n">
        <v>871.0</v>
      </c>
      <c r="H50" s="3" t="n">
        <v>941.0</v>
      </c>
      <c r="I50" s="3" t="n">
        <v>978.0</v>
      </c>
      <c r="J50" s="3" t="n">
        <v>1025.0</v>
      </c>
      <c r="K50" s="3" t="n">
        <v>1062.0</v>
      </c>
      <c r="L50" s="3" t="n">
        <v>1087.0</v>
      </c>
      <c r="M50" s="3" t="n">
        <v>1117.0</v>
      </c>
      <c r="N50" s="3" t="n">
        <v>1128.0</v>
      </c>
      <c r="O50" s="3" t="n">
        <v>1143.0</v>
      </c>
      <c r="P50" s="3" t="n">
        <v>1152.0</v>
      </c>
      <c r="Q50" s="3" t="n">
        <v>1165.0</v>
      </c>
      <c r="R50" s="3" t="n">
        <v>1178.0</v>
      </c>
      <c r="S50" s="3" t="n">
        <v>1195.0</v>
      </c>
      <c r="T50" s="3" t="n">
        <v>1212.0</v>
      </c>
      <c r="U50" s="3" t="n">
        <v>1264.0</v>
      </c>
      <c r="V50" s="3" t="n">
        <v>1586.0</v>
      </c>
      <c r="W50" s="3" t="n">
        <v>1840.0</v>
      </c>
      <c r="X50" s="3" t="n">
        <v>2072.0</v>
      </c>
      <c r="Y50" s="3" t="n">
        <v>2234.0</v>
      </c>
      <c r="Z50" s="3" t="n">
        <v>2390.0</v>
      </c>
      <c r="AA50" s="3" t="n">
        <v>2506.0</v>
      </c>
      <c r="AB50" s="3" t="n">
        <v>2604.0</v>
      </c>
      <c r="AC50" s="3" t="n">
        <v>2707.0</v>
      </c>
      <c r="AD50" s="3" t="n">
        <v>2783.0</v>
      </c>
      <c r="AE50" s="3" t="n">
        <v>2903.0</v>
      </c>
      <c r="AF50" s="3" t="n">
        <v>2964.0</v>
      </c>
      <c r="AG50" s="3" t="n">
        <v>3007.0</v>
      </c>
      <c r="AH50" s="3" t="n">
        <v>3015.0</v>
      </c>
      <c r="AI50" s="3" t="n">
        <v>2995.0</v>
      </c>
      <c r="AJ50" s="3" t="n">
        <v>2885.0</v>
      </c>
      <c r="AK50" s="3" t="n">
        <v>2786.0</v>
      </c>
      <c r="AL50" s="3" t="n">
        <v>2683.0</v>
      </c>
      <c r="AM50" s="3" t="n">
        <v>2604.0</v>
      </c>
      <c r="AN50" s="3" t="n">
        <v>2535.0</v>
      </c>
      <c r="AO50" s="3" t="n">
        <v>2492.0</v>
      </c>
    </row>
    <row r="51" spans="1:41" x14ac:dyDescent="0.2">
      <c r="A51" s="133"/>
      <c r="B51" s="66" t="s">
        <v>79</v>
      </c>
      <c r="C51" s="3" t="n">
        <v>47.0</v>
      </c>
      <c r="D51" s="3" t="n">
        <v>53.0</v>
      </c>
      <c r="E51" s="3" t="n">
        <v>51.0</v>
      </c>
      <c r="F51" s="3" t="n">
        <v>75.0</v>
      </c>
      <c r="G51" s="3" t="n">
        <v>79.0</v>
      </c>
      <c r="H51" s="3" t="n">
        <v>89.0</v>
      </c>
      <c r="I51" s="3" t="n">
        <v>98.0</v>
      </c>
      <c r="J51" s="3" t="n">
        <v>112.0</v>
      </c>
      <c r="K51" s="3" t="n">
        <v>135.0</v>
      </c>
      <c r="L51" s="3" t="n">
        <v>155.0</v>
      </c>
      <c r="M51" s="3" t="n">
        <v>170.0</v>
      </c>
      <c r="N51" s="3" t="n">
        <v>177.0</v>
      </c>
      <c r="O51" s="3" t="n">
        <v>183.0</v>
      </c>
      <c r="P51" s="3" t="n">
        <v>195.0</v>
      </c>
      <c r="Q51" s="3" t="n">
        <v>202.0</v>
      </c>
      <c r="R51" s="3" t="n">
        <v>209.0</v>
      </c>
      <c r="S51" s="3" t="n">
        <v>210.0</v>
      </c>
      <c r="T51" s="3" t="n">
        <v>216.0</v>
      </c>
      <c r="U51" s="3" t="n">
        <v>220.0</v>
      </c>
      <c r="V51" s="3" t="n">
        <v>224.0</v>
      </c>
      <c r="W51" s="3" t="n">
        <v>227.0</v>
      </c>
      <c r="X51" s="3" t="n">
        <v>233.0</v>
      </c>
      <c r="Y51" s="3" t="n">
        <v>235.0</v>
      </c>
      <c r="Z51" s="3" t="n">
        <v>246.0</v>
      </c>
      <c r="AA51" s="3" t="n">
        <v>320.0</v>
      </c>
      <c r="AB51" s="3" t="n">
        <v>372.0</v>
      </c>
      <c r="AC51" s="3" t="n">
        <v>419.0</v>
      </c>
      <c r="AD51" s="3" t="n">
        <v>448.0</v>
      </c>
      <c r="AE51" s="3" t="n">
        <v>485.0</v>
      </c>
      <c r="AF51" s="3" t="n">
        <v>518.0</v>
      </c>
      <c r="AG51" s="3" t="n">
        <v>549.0</v>
      </c>
      <c r="AH51" s="3" t="n">
        <v>573.0</v>
      </c>
      <c r="AI51" s="3" t="n">
        <v>589.0</v>
      </c>
      <c r="AJ51" s="3" t="n">
        <v>616.0</v>
      </c>
      <c r="AK51" s="3" t="n">
        <v>625.0</v>
      </c>
      <c r="AL51" s="3" t="n">
        <v>633.0</v>
      </c>
      <c r="AM51" s="3" t="n">
        <v>643.0</v>
      </c>
      <c r="AN51" s="3" t="n">
        <v>642.0</v>
      </c>
      <c r="AO51" s="3" t="n">
        <v>629.0</v>
      </c>
    </row>
    <row r="52" spans="1:41" x14ac:dyDescent="0.2">
      <c r="A52" s="132" t="s">
        <v>51</v>
      </c>
      <c r="B52" s="63" t="s">
        <v>64</v>
      </c>
      <c r="C52" s="15" t="n">
        <v>1245193.0</v>
      </c>
      <c r="D52" s="15" t="n">
        <v>1237160.0</v>
      </c>
      <c r="E52" s="15" t="n">
        <v>1228724.0</v>
      </c>
      <c r="F52" s="15" t="n">
        <v>1220034.0</v>
      </c>
      <c r="G52" s="15" t="n">
        <v>1211156.0</v>
      </c>
      <c r="H52" s="15" t="n">
        <v>1203718.0</v>
      </c>
      <c r="I52" s="15" t="n">
        <v>1196518.0</v>
      </c>
      <c r="J52" s="15" t="n">
        <v>1187815.0</v>
      </c>
      <c r="K52" s="15" t="n">
        <v>1178225.0</v>
      </c>
      <c r="L52" s="15" t="n">
        <v>1168136.0</v>
      </c>
      <c r="M52" s="15" t="n">
        <v>1157544.0</v>
      </c>
      <c r="N52" s="15" t="n">
        <v>1146615.0</v>
      </c>
      <c r="O52" s="15" t="n">
        <v>1135472.0</v>
      </c>
      <c r="P52" s="15" t="n">
        <v>1123953.0</v>
      </c>
      <c r="Q52" s="15" t="n">
        <v>1112287.0</v>
      </c>
      <c r="R52" s="15" t="n">
        <v>1100332.0</v>
      </c>
      <c r="S52" s="15" t="n">
        <v>1088274.0</v>
      </c>
      <c r="T52" s="15" t="n">
        <v>1075949.0</v>
      </c>
      <c r="U52" s="15" t="n">
        <v>1063580.0</v>
      </c>
      <c r="V52" s="15" t="n">
        <v>1051045.0</v>
      </c>
      <c r="W52" s="15" t="n">
        <v>1038529.0</v>
      </c>
      <c r="X52" s="15" t="n">
        <v>1025880.0</v>
      </c>
      <c r="Y52" s="15" t="n">
        <v>1013300.0</v>
      </c>
      <c r="Z52" s="15" t="n">
        <v>1000647.0</v>
      </c>
      <c r="AA52" s="15" t="n">
        <v>987959.0</v>
      </c>
      <c r="AB52" s="15" t="n">
        <v>975441.0</v>
      </c>
      <c r="AC52" s="15" t="n">
        <v>962889.0</v>
      </c>
      <c r="AD52" s="15" t="n">
        <v>950371.0</v>
      </c>
      <c r="AE52" s="15" t="n">
        <v>938009.0</v>
      </c>
      <c r="AF52" s="15" t="n">
        <v>925646.0</v>
      </c>
      <c r="AG52" s="15" t="n">
        <v>913258.0</v>
      </c>
      <c r="AH52" s="15" t="n">
        <v>901041.0</v>
      </c>
      <c r="AI52" s="15" t="n">
        <v>888810.0</v>
      </c>
      <c r="AJ52" s="15" t="n">
        <v>876512.0</v>
      </c>
      <c r="AK52" s="15" t="n">
        <v>864287.0</v>
      </c>
      <c r="AL52" s="15" t="n">
        <v>851961.0</v>
      </c>
      <c r="AM52" s="15" t="n">
        <v>839494.0</v>
      </c>
      <c r="AN52" s="15" t="n">
        <v>826915.0</v>
      </c>
      <c r="AO52" s="15" t="n">
        <v>814413.0</v>
      </c>
    </row>
    <row r="53" spans="1:41" x14ac:dyDescent="0.2">
      <c r="A53" s="133"/>
      <c r="B53" s="64" t="s">
        <v>20</v>
      </c>
      <c r="C53" s="3" t="n">
        <v>49949.0</v>
      </c>
      <c r="D53" s="3" t="n">
        <v>46788.0</v>
      </c>
      <c r="E53" s="3" t="n">
        <v>43913.0</v>
      </c>
      <c r="F53" s="3" t="n">
        <v>41366.0</v>
      </c>
      <c r="G53" s="3" t="n">
        <v>39020.0</v>
      </c>
      <c r="H53" s="3" t="n">
        <v>37401.0</v>
      </c>
      <c r="I53" s="3" t="n">
        <v>36372.0</v>
      </c>
      <c r="J53" s="3" t="n">
        <v>35364.0</v>
      </c>
      <c r="K53" s="3" t="n">
        <v>34439.0</v>
      </c>
      <c r="L53" s="3" t="n">
        <v>33585.0</v>
      </c>
      <c r="M53" s="3" t="n">
        <v>32850.0</v>
      </c>
      <c r="N53" s="3" t="n">
        <v>32220.0</v>
      </c>
      <c r="O53" s="3" t="n">
        <v>31683.0</v>
      </c>
      <c r="P53" s="3" t="n">
        <v>31223.0</v>
      </c>
      <c r="Q53" s="3" t="n">
        <v>30863.0</v>
      </c>
      <c r="R53" s="3" t="n">
        <v>30583.0</v>
      </c>
      <c r="S53" s="3" t="n">
        <v>30382.0</v>
      </c>
      <c r="T53" s="3" t="n">
        <v>30251.0</v>
      </c>
      <c r="U53" s="3" t="n">
        <v>30186.0</v>
      </c>
      <c r="V53" s="3" t="n">
        <v>30146.0</v>
      </c>
      <c r="W53" s="3" t="n">
        <v>30112.0</v>
      </c>
      <c r="X53" s="3" t="n">
        <v>30045.0</v>
      </c>
      <c r="Y53" s="3" t="n">
        <v>29943.0</v>
      </c>
      <c r="Z53" s="3" t="n">
        <v>29795.0</v>
      </c>
      <c r="AA53" s="3" t="n">
        <v>29574.0</v>
      </c>
      <c r="AB53" s="3" t="n">
        <v>29281.0</v>
      </c>
      <c r="AC53" s="3" t="n">
        <v>28930.0</v>
      </c>
      <c r="AD53" s="3" t="n">
        <v>28498.0</v>
      </c>
      <c r="AE53" s="3" t="n">
        <v>27990.0</v>
      </c>
      <c r="AF53" s="3" t="n">
        <v>27417.0</v>
      </c>
      <c r="AG53" s="3" t="n">
        <v>26766.0</v>
      </c>
      <c r="AH53" s="3" t="n">
        <v>26070.0</v>
      </c>
      <c r="AI53" s="3" t="n">
        <v>25329.0</v>
      </c>
      <c r="AJ53" s="3" t="n">
        <v>24558.0</v>
      </c>
      <c r="AK53" s="3" t="n">
        <v>23771.0</v>
      </c>
      <c r="AL53" s="3" t="n">
        <v>22968.0</v>
      </c>
      <c r="AM53" s="3" t="n">
        <v>22162.0</v>
      </c>
      <c r="AN53" s="3" t="n">
        <v>21398.0</v>
      </c>
      <c r="AO53" s="3" t="n">
        <v>20683.0</v>
      </c>
    </row>
    <row r="54" spans="1:41" x14ac:dyDescent="0.2">
      <c r="A54" s="133"/>
      <c r="B54" s="64" t="s">
        <v>21</v>
      </c>
      <c r="C54" s="3" t="n">
        <v>55796.0</v>
      </c>
      <c r="D54" s="3" t="n">
        <v>55899.0</v>
      </c>
      <c r="E54" s="3" t="n">
        <v>55424.0</v>
      </c>
      <c r="F54" s="3" t="n">
        <v>54487.0</v>
      </c>
      <c r="G54" s="3" t="n">
        <v>52929.0</v>
      </c>
      <c r="H54" s="3" t="n">
        <v>50159.0</v>
      </c>
      <c r="I54" s="3" t="n">
        <v>47262.0</v>
      </c>
      <c r="J54" s="3" t="n">
        <v>44525.0</v>
      </c>
      <c r="K54" s="3" t="n">
        <v>42035.0</v>
      </c>
      <c r="L54" s="3" t="n">
        <v>39709.0</v>
      </c>
      <c r="M54" s="3" t="n">
        <v>37957.0</v>
      </c>
      <c r="N54" s="3" t="n">
        <v>36746.0</v>
      </c>
      <c r="O54" s="3" t="n">
        <v>35637.0</v>
      </c>
      <c r="P54" s="3" t="n">
        <v>34667.0</v>
      </c>
      <c r="Q54" s="3" t="n">
        <v>33797.0</v>
      </c>
      <c r="R54" s="3" t="n">
        <v>33059.0</v>
      </c>
      <c r="S54" s="3" t="n">
        <v>32427.0</v>
      </c>
      <c r="T54" s="3" t="n">
        <v>31890.0</v>
      </c>
      <c r="U54" s="3" t="n">
        <v>31419.0</v>
      </c>
      <c r="V54" s="3" t="n">
        <v>31050.0</v>
      </c>
      <c r="W54" s="3" t="n">
        <v>30766.0</v>
      </c>
      <c r="X54" s="3" t="n">
        <v>30559.0</v>
      </c>
      <c r="Y54" s="3" t="n">
        <v>30421.0</v>
      </c>
      <c r="Z54" s="3" t="n">
        <v>30352.0</v>
      </c>
      <c r="AA54" s="3" t="n">
        <v>30316.0</v>
      </c>
      <c r="AB54" s="3" t="n">
        <v>30284.0</v>
      </c>
      <c r="AC54" s="3" t="n">
        <v>30221.0</v>
      </c>
      <c r="AD54" s="3" t="n">
        <v>30119.0</v>
      </c>
      <c r="AE54" s="3" t="n">
        <v>29970.0</v>
      </c>
      <c r="AF54" s="3" t="n">
        <v>29754.0</v>
      </c>
      <c r="AG54" s="3" t="n">
        <v>29462.0</v>
      </c>
      <c r="AH54" s="3" t="n">
        <v>29119.0</v>
      </c>
      <c r="AI54" s="3" t="n">
        <v>28706.0</v>
      </c>
      <c r="AJ54" s="3" t="n">
        <v>28196.0</v>
      </c>
      <c r="AK54" s="3" t="n">
        <v>27620.0</v>
      </c>
      <c r="AL54" s="3" t="n">
        <v>26977.0</v>
      </c>
      <c r="AM54" s="3" t="n">
        <v>26292.0</v>
      </c>
      <c r="AN54" s="3" t="n">
        <v>25556.0</v>
      </c>
      <c r="AO54" s="3" t="n">
        <v>24793.0</v>
      </c>
    </row>
    <row r="55" spans="1:41" x14ac:dyDescent="0.2">
      <c r="A55" s="133"/>
      <c r="B55" s="64" t="s">
        <v>22</v>
      </c>
      <c r="C55" s="3" t="n">
        <v>60940.0</v>
      </c>
      <c r="D55" s="3" t="n">
        <v>59571.0</v>
      </c>
      <c r="E55" s="3" t="n">
        <v>57950.0</v>
      </c>
      <c r="F55" s="3" t="n">
        <v>56397.0</v>
      </c>
      <c r="G55" s="3" t="n">
        <v>55916.0</v>
      </c>
      <c r="H55" s="3" t="n">
        <v>55984.0</v>
      </c>
      <c r="I55" s="3" t="n">
        <v>56322.0</v>
      </c>
      <c r="J55" s="3" t="n">
        <v>55970.0</v>
      </c>
      <c r="K55" s="3" t="n">
        <v>55067.0</v>
      </c>
      <c r="L55" s="3" t="n">
        <v>53516.0</v>
      </c>
      <c r="M55" s="3" t="n">
        <v>50569.0</v>
      </c>
      <c r="N55" s="3" t="n">
        <v>47441.0</v>
      </c>
      <c r="O55" s="3" t="n">
        <v>44619.0</v>
      </c>
      <c r="P55" s="3" t="n">
        <v>42090.0</v>
      </c>
      <c r="Q55" s="3" t="n">
        <v>39771.0</v>
      </c>
      <c r="R55" s="3" t="n">
        <v>38036.0</v>
      </c>
      <c r="S55" s="3" t="n">
        <v>36835.0</v>
      </c>
      <c r="T55" s="3" t="n">
        <v>35718.0</v>
      </c>
      <c r="U55" s="3" t="n">
        <v>34752.0</v>
      </c>
      <c r="V55" s="3" t="n">
        <v>33882.0</v>
      </c>
      <c r="W55" s="3" t="n">
        <v>33136.0</v>
      </c>
      <c r="X55" s="3" t="n">
        <v>32496.0</v>
      </c>
      <c r="Y55" s="3" t="n">
        <v>31958.0</v>
      </c>
      <c r="Z55" s="3" t="n">
        <v>31487.0</v>
      </c>
      <c r="AA55" s="3" t="n">
        <v>31110.0</v>
      </c>
      <c r="AB55" s="3" t="n">
        <v>30826.0</v>
      </c>
      <c r="AC55" s="3" t="n">
        <v>30628.0</v>
      </c>
      <c r="AD55" s="3" t="n">
        <v>30486.0</v>
      </c>
      <c r="AE55" s="3" t="n">
        <v>30408.0</v>
      </c>
      <c r="AF55" s="3" t="n">
        <v>30367.0</v>
      </c>
      <c r="AG55" s="3" t="n">
        <v>30340.0</v>
      </c>
      <c r="AH55" s="3" t="n">
        <v>30275.0</v>
      </c>
      <c r="AI55" s="3" t="n">
        <v>30171.0</v>
      </c>
      <c r="AJ55" s="3" t="n">
        <v>30024.0</v>
      </c>
      <c r="AK55" s="3" t="n">
        <v>29806.0</v>
      </c>
      <c r="AL55" s="3" t="n">
        <v>29510.0</v>
      </c>
      <c r="AM55" s="3" t="n">
        <v>29167.0</v>
      </c>
      <c r="AN55" s="3" t="n">
        <v>28751.0</v>
      </c>
      <c r="AO55" s="3" t="n">
        <v>28246.0</v>
      </c>
    </row>
    <row r="56" spans="1:41" x14ac:dyDescent="0.2">
      <c r="A56" s="133"/>
      <c r="B56" s="64" t="s">
        <v>23</v>
      </c>
      <c r="C56" s="3" t="n">
        <v>53834.0</v>
      </c>
      <c r="D56" s="3" t="n">
        <v>56100.0</v>
      </c>
      <c r="E56" s="3" t="n">
        <v>58184.0</v>
      </c>
      <c r="F56" s="3" t="n">
        <v>60083.0</v>
      </c>
      <c r="G56" s="3" t="n">
        <v>60561.0</v>
      </c>
      <c r="H56" s="3" t="n">
        <v>60926.0</v>
      </c>
      <c r="I56" s="3" t="n">
        <v>59793.0</v>
      </c>
      <c r="J56" s="3" t="n">
        <v>58287.0</v>
      </c>
      <c r="K56" s="3" t="n">
        <v>56813.0</v>
      </c>
      <c r="L56" s="3" t="n">
        <v>56382.0</v>
      </c>
      <c r="M56" s="3" t="n">
        <v>56312.0</v>
      </c>
      <c r="N56" s="3" t="n">
        <v>56427.0</v>
      </c>
      <c r="O56" s="3" t="n">
        <v>55961.0</v>
      </c>
      <c r="P56" s="3" t="n">
        <v>55005.0</v>
      </c>
      <c r="Q56" s="3" t="n">
        <v>53419.0</v>
      </c>
      <c r="R56" s="3" t="n">
        <v>50465.0</v>
      </c>
      <c r="S56" s="3" t="n">
        <v>47341.0</v>
      </c>
      <c r="T56" s="3" t="n">
        <v>44529.0</v>
      </c>
      <c r="U56" s="3" t="n">
        <v>42021.0</v>
      </c>
      <c r="V56" s="3" t="n">
        <v>39721.0</v>
      </c>
      <c r="W56" s="3" t="n">
        <v>38007.0</v>
      </c>
      <c r="X56" s="3" t="n">
        <v>36804.0</v>
      </c>
      <c r="Y56" s="3" t="n">
        <v>35693.0</v>
      </c>
      <c r="Z56" s="3" t="n">
        <v>34736.0</v>
      </c>
      <c r="AA56" s="3" t="n">
        <v>33870.0</v>
      </c>
      <c r="AB56" s="3" t="n">
        <v>33128.0</v>
      </c>
      <c r="AC56" s="3" t="n">
        <v>32483.0</v>
      </c>
      <c r="AD56" s="3" t="n">
        <v>31945.0</v>
      </c>
      <c r="AE56" s="3" t="n">
        <v>31475.0</v>
      </c>
      <c r="AF56" s="3" t="n">
        <v>31098.0</v>
      </c>
      <c r="AG56" s="3" t="n">
        <v>30810.0</v>
      </c>
      <c r="AH56" s="3" t="n">
        <v>30606.0</v>
      </c>
      <c r="AI56" s="3" t="n">
        <v>30461.0</v>
      </c>
      <c r="AJ56" s="3" t="n">
        <v>30381.0</v>
      </c>
      <c r="AK56" s="3" t="n">
        <v>30342.0</v>
      </c>
      <c r="AL56" s="3" t="n">
        <v>30317.0</v>
      </c>
      <c r="AM56" s="3" t="n">
        <v>30251.0</v>
      </c>
      <c r="AN56" s="3" t="n">
        <v>30145.0</v>
      </c>
      <c r="AO56" s="3" t="n">
        <v>29997.0</v>
      </c>
    </row>
    <row r="57" spans="1:41" x14ac:dyDescent="0.2">
      <c r="A57" s="133"/>
      <c r="B57" s="64" t="s">
        <v>24</v>
      </c>
      <c r="C57" s="3" t="n">
        <v>53762.0</v>
      </c>
      <c r="D57" s="3" t="n">
        <v>52613.0</v>
      </c>
      <c r="E57" s="3" t="n">
        <v>52176.0</v>
      </c>
      <c r="F57" s="3" t="n">
        <v>51896.0</v>
      </c>
      <c r="G57" s="3" t="n">
        <v>52495.0</v>
      </c>
      <c r="H57" s="3" t="n">
        <v>53840.0</v>
      </c>
      <c r="I57" s="3" t="n">
        <v>56313.0</v>
      </c>
      <c r="J57" s="3" t="n">
        <v>58500.0</v>
      </c>
      <c r="K57" s="3" t="n">
        <v>60423.0</v>
      </c>
      <c r="L57" s="3" t="n">
        <v>60918.0</v>
      </c>
      <c r="M57" s="3" t="n">
        <v>61141.0</v>
      </c>
      <c r="N57" s="3" t="n">
        <v>59803.0</v>
      </c>
      <c r="O57" s="3" t="n">
        <v>58222.0</v>
      </c>
      <c r="P57" s="3" t="n">
        <v>56725.0</v>
      </c>
      <c r="Q57" s="3" t="n">
        <v>56276.0</v>
      </c>
      <c r="R57" s="3" t="n">
        <v>56198.0</v>
      </c>
      <c r="S57" s="3" t="n">
        <v>56327.0</v>
      </c>
      <c r="T57" s="3" t="n">
        <v>55862.0</v>
      </c>
      <c r="U57" s="3" t="n">
        <v>54883.0</v>
      </c>
      <c r="V57" s="3" t="n">
        <v>53291.0</v>
      </c>
      <c r="W57" s="3" t="n">
        <v>50340.0</v>
      </c>
      <c r="X57" s="3" t="n">
        <v>47220.0</v>
      </c>
      <c r="Y57" s="3" t="n">
        <v>44422.0</v>
      </c>
      <c r="Z57" s="3" t="n">
        <v>41926.0</v>
      </c>
      <c r="AA57" s="3" t="n">
        <v>39644.0</v>
      </c>
      <c r="AB57" s="3" t="n">
        <v>37955.0</v>
      </c>
      <c r="AC57" s="3" t="n">
        <v>36779.0</v>
      </c>
      <c r="AD57" s="3" t="n">
        <v>35686.0</v>
      </c>
      <c r="AE57" s="3" t="n">
        <v>34732.0</v>
      </c>
      <c r="AF57" s="3" t="n">
        <v>33863.0</v>
      </c>
      <c r="AG57" s="3" t="n">
        <v>33111.0</v>
      </c>
      <c r="AH57" s="3" t="n">
        <v>32465.0</v>
      </c>
      <c r="AI57" s="3" t="n">
        <v>31932.0</v>
      </c>
      <c r="AJ57" s="3" t="n">
        <v>31475.0</v>
      </c>
      <c r="AK57" s="3" t="n">
        <v>31110.0</v>
      </c>
      <c r="AL57" s="3" t="n">
        <v>30828.0</v>
      </c>
      <c r="AM57" s="3" t="n">
        <v>30627.0</v>
      </c>
      <c r="AN57" s="3" t="n">
        <v>30489.0</v>
      </c>
      <c r="AO57" s="3" t="n">
        <v>30409.0</v>
      </c>
    </row>
    <row r="58" spans="1:41" x14ac:dyDescent="0.2">
      <c r="A58" s="133"/>
      <c r="B58" s="64" t="s">
        <v>25</v>
      </c>
      <c r="C58" s="3" t="n">
        <v>63287.0</v>
      </c>
      <c r="D58" s="3" t="n">
        <v>60440.0</v>
      </c>
      <c r="E58" s="3" t="n">
        <v>57971.0</v>
      </c>
      <c r="F58" s="3" t="n">
        <v>56050.0</v>
      </c>
      <c r="G58" s="3" t="n">
        <v>54466.0</v>
      </c>
      <c r="H58" s="3" t="n">
        <v>53174.0</v>
      </c>
      <c r="I58" s="3" t="n">
        <v>52218.0</v>
      </c>
      <c r="J58" s="3" t="n">
        <v>51859.0</v>
      </c>
      <c r="K58" s="3" t="n">
        <v>51597.0</v>
      </c>
      <c r="L58" s="3" t="n">
        <v>52194.0</v>
      </c>
      <c r="M58" s="3" t="n">
        <v>53384.0</v>
      </c>
      <c r="N58" s="3" t="n">
        <v>55619.0</v>
      </c>
      <c r="O58" s="3" t="n">
        <v>57697.0</v>
      </c>
      <c r="P58" s="3" t="n">
        <v>59565.0</v>
      </c>
      <c r="Q58" s="3" t="n">
        <v>60018.0</v>
      </c>
      <c r="R58" s="3" t="n">
        <v>60225.0</v>
      </c>
      <c r="S58" s="3" t="n">
        <v>58907.0</v>
      </c>
      <c r="T58" s="3" t="n">
        <v>57353.0</v>
      </c>
      <c r="U58" s="3" t="n">
        <v>55902.0</v>
      </c>
      <c r="V58" s="3" t="n">
        <v>55492.0</v>
      </c>
      <c r="W58" s="3" t="n">
        <v>55447.0</v>
      </c>
      <c r="X58" s="3" t="n">
        <v>55597.0</v>
      </c>
      <c r="Y58" s="3" t="n">
        <v>55125.0</v>
      </c>
      <c r="Z58" s="3" t="n">
        <v>54127.0</v>
      </c>
      <c r="AA58" s="3" t="n">
        <v>52529.0</v>
      </c>
      <c r="AB58" s="3" t="n">
        <v>49582.0</v>
      </c>
      <c r="AC58" s="3" t="n">
        <v>46493.0</v>
      </c>
      <c r="AD58" s="3" t="n">
        <v>43745.0</v>
      </c>
      <c r="AE58" s="3" t="n">
        <v>41322.0</v>
      </c>
      <c r="AF58" s="3" t="n">
        <v>39110.0</v>
      </c>
      <c r="AG58" s="3" t="n">
        <v>37475.0</v>
      </c>
      <c r="AH58" s="3" t="n">
        <v>36317.0</v>
      </c>
      <c r="AI58" s="3" t="n">
        <v>35227.0</v>
      </c>
      <c r="AJ58" s="3" t="n">
        <v>34278.0</v>
      </c>
      <c r="AK58" s="3" t="n">
        <v>33427.0</v>
      </c>
      <c r="AL58" s="3" t="n">
        <v>32679.0</v>
      </c>
      <c r="AM58" s="3" t="n">
        <v>32033.0</v>
      </c>
      <c r="AN58" s="3" t="n">
        <v>31494.0</v>
      </c>
      <c r="AO58" s="3" t="n">
        <v>31044.0</v>
      </c>
    </row>
    <row r="59" spans="1:41" x14ac:dyDescent="0.2">
      <c r="A59" s="133"/>
      <c r="B59" s="64" t="s">
        <v>26</v>
      </c>
      <c r="C59" s="3" t="n">
        <v>75098.0</v>
      </c>
      <c r="D59" s="3" t="n">
        <v>72788.0</v>
      </c>
      <c r="E59" s="3" t="n">
        <v>70323.0</v>
      </c>
      <c r="F59" s="3" t="n">
        <v>67438.0</v>
      </c>
      <c r="G59" s="3" t="n">
        <v>64320.0</v>
      </c>
      <c r="H59" s="3" t="n">
        <v>61901.0</v>
      </c>
      <c r="I59" s="3" t="n">
        <v>59302.0</v>
      </c>
      <c r="J59" s="3" t="n">
        <v>56978.0</v>
      </c>
      <c r="K59" s="3" t="n">
        <v>55110.0</v>
      </c>
      <c r="L59" s="3" t="n">
        <v>53524.0</v>
      </c>
      <c r="M59" s="3" t="n">
        <v>52094.0</v>
      </c>
      <c r="N59" s="3" t="n">
        <v>50942.0</v>
      </c>
      <c r="O59" s="3" t="n">
        <v>50466.0</v>
      </c>
      <c r="P59" s="3" t="n">
        <v>50142.0</v>
      </c>
      <c r="Q59" s="3" t="n">
        <v>50675.0</v>
      </c>
      <c r="R59" s="3" t="n">
        <v>51835.0</v>
      </c>
      <c r="S59" s="3" t="n">
        <v>54046.0</v>
      </c>
      <c r="T59" s="3" t="n">
        <v>56057.0</v>
      </c>
      <c r="U59" s="3" t="n">
        <v>57895.0</v>
      </c>
      <c r="V59" s="3" t="n">
        <v>58330.0</v>
      </c>
      <c r="W59" s="3" t="n">
        <v>58535.0</v>
      </c>
      <c r="X59" s="3" t="n">
        <v>57250.0</v>
      </c>
      <c r="Y59" s="3" t="n">
        <v>55766.0</v>
      </c>
      <c r="Z59" s="3" t="n">
        <v>54374.0</v>
      </c>
      <c r="AA59" s="3" t="n">
        <v>54000.0</v>
      </c>
      <c r="AB59" s="3" t="n">
        <v>53970.0</v>
      </c>
      <c r="AC59" s="3" t="n">
        <v>54098.0</v>
      </c>
      <c r="AD59" s="3" t="n">
        <v>53624.0</v>
      </c>
      <c r="AE59" s="3" t="n">
        <v>52627.0</v>
      </c>
      <c r="AF59" s="3" t="n">
        <v>51050.0</v>
      </c>
      <c r="AG59" s="3" t="n">
        <v>48167.0</v>
      </c>
      <c r="AH59" s="3" t="n">
        <v>45203.0</v>
      </c>
      <c r="AI59" s="3" t="n">
        <v>42550.0</v>
      </c>
      <c r="AJ59" s="3" t="n">
        <v>40213.0</v>
      </c>
      <c r="AK59" s="3" t="n">
        <v>38091.0</v>
      </c>
      <c r="AL59" s="3" t="n">
        <v>36515.0</v>
      </c>
      <c r="AM59" s="3" t="n">
        <v>35394.0</v>
      </c>
      <c r="AN59" s="3" t="n">
        <v>34323.0</v>
      </c>
      <c r="AO59" s="3" t="n">
        <v>33379.0</v>
      </c>
    </row>
    <row r="60" spans="1:41" x14ac:dyDescent="0.2">
      <c r="A60" s="133"/>
      <c r="B60" s="64" t="s">
        <v>27</v>
      </c>
      <c r="C60" s="3" t="n">
        <v>89890.0</v>
      </c>
      <c r="D60" s="3" t="n">
        <v>85503.0</v>
      </c>
      <c r="E60" s="3" t="n">
        <v>81817.0</v>
      </c>
      <c r="F60" s="3" t="n">
        <v>78725.0</v>
      </c>
      <c r="G60" s="3" t="n">
        <v>76361.0</v>
      </c>
      <c r="H60" s="3" t="n">
        <v>74115.0</v>
      </c>
      <c r="I60" s="3" t="n">
        <v>72072.0</v>
      </c>
      <c r="J60" s="3" t="n">
        <v>69744.0</v>
      </c>
      <c r="K60" s="3" t="n">
        <v>66921.0</v>
      </c>
      <c r="L60" s="3" t="n">
        <v>63827.0</v>
      </c>
      <c r="M60" s="3" t="n">
        <v>61283.0</v>
      </c>
      <c r="N60" s="3" t="n">
        <v>58482.0</v>
      </c>
      <c r="O60" s="3" t="n">
        <v>56057.0</v>
      </c>
      <c r="P60" s="3" t="n">
        <v>54162.0</v>
      </c>
      <c r="Q60" s="3" t="n">
        <v>52563.0</v>
      </c>
      <c r="R60" s="3" t="n">
        <v>51094.0</v>
      </c>
      <c r="S60" s="3" t="n">
        <v>49933.0</v>
      </c>
      <c r="T60" s="3" t="n">
        <v>49463.0</v>
      </c>
      <c r="U60" s="3" t="n">
        <v>49111.0</v>
      </c>
      <c r="V60" s="3" t="n">
        <v>49629.0</v>
      </c>
      <c r="W60" s="3" t="n">
        <v>50765.0</v>
      </c>
      <c r="X60" s="3" t="n">
        <v>52923.0</v>
      </c>
      <c r="Y60" s="3" t="n">
        <v>54910.0</v>
      </c>
      <c r="Z60" s="3" t="n">
        <v>56727.0</v>
      </c>
      <c r="AA60" s="3" t="n">
        <v>57155.0</v>
      </c>
      <c r="AB60" s="3" t="n">
        <v>57352.0</v>
      </c>
      <c r="AC60" s="3" t="n">
        <v>56093.0</v>
      </c>
      <c r="AD60" s="3" t="n">
        <v>54655.0</v>
      </c>
      <c r="AE60" s="3" t="n">
        <v>53290.0</v>
      </c>
      <c r="AF60" s="3" t="n">
        <v>52936.0</v>
      </c>
      <c r="AG60" s="3" t="n">
        <v>52902.0</v>
      </c>
      <c r="AH60" s="3" t="n">
        <v>53027.0</v>
      </c>
      <c r="AI60" s="3" t="n">
        <v>52545.0</v>
      </c>
      <c r="AJ60" s="3" t="n">
        <v>51559.0</v>
      </c>
      <c r="AK60" s="3" t="n">
        <v>49997.0</v>
      </c>
      <c r="AL60" s="3" t="n">
        <v>47178.0</v>
      </c>
      <c r="AM60" s="3" t="n">
        <v>44280.0</v>
      </c>
      <c r="AN60" s="3" t="n">
        <v>41691.0</v>
      </c>
      <c r="AO60" s="3" t="n">
        <v>39406.0</v>
      </c>
    </row>
    <row r="61" spans="1:41" x14ac:dyDescent="0.2">
      <c r="A61" s="133"/>
      <c r="B61" s="64" t="s">
        <v>28</v>
      </c>
      <c r="C61" s="3" t="n">
        <v>94884.0</v>
      </c>
      <c r="D61" s="3" t="n">
        <v>95833.0</v>
      </c>
      <c r="E61" s="3" t="n">
        <v>95352.0</v>
      </c>
      <c r="F61" s="3" t="n">
        <v>94064.0</v>
      </c>
      <c r="G61" s="3" t="n">
        <v>92421.0</v>
      </c>
      <c r="H61" s="3" t="n">
        <v>89254.0</v>
      </c>
      <c r="I61" s="3" t="n">
        <v>85142.0</v>
      </c>
      <c r="J61" s="3" t="n">
        <v>81615.0</v>
      </c>
      <c r="K61" s="3" t="n">
        <v>78644.0</v>
      </c>
      <c r="L61" s="3" t="n">
        <v>76352.0</v>
      </c>
      <c r="M61" s="3" t="n">
        <v>73962.0</v>
      </c>
      <c r="N61" s="3" t="n">
        <v>71707.0</v>
      </c>
      <c r="O61" s="3" t="n">
        <v>69271.0</v>
      </c>
      <c r="P61" s="3" t="n">
        <v>66412.0</v>
      </c>
      <c r="Q61" s="3" t="n">
        <v>63309.0</v>
      </c>
      <c r="R61" s="3" t="n">
        <v>60770.0</v>
      </c>
      <c r="S61" s="3" t="n">
        <v>57972.0</v>
      </c>
      <c r="T61" s="3" t="n">
        <v>55564.0</v>
      </c>
      <c r="U61" s="3" t="n">
        <v>53682.0</v>
      </c>
      <c r="V61" s="3" t="n">
        <v>52081.0</v>
      </c>
      <c r="W61" s="3" t="n">
        <v>50618.0</v>
      </c>
      <c r="X61" s="3" t="n">
        <v>49468.0</v>
      </c>
      <c r="Y61" s="3" t="n">
        <v>48977.0</v>
      </c>
      <c r="Z61" s="3" t="n">
        <v>48609.0</v>
      </c>
      <c r="AA61" s="3" t="n">
        <v>49116.0</v>
      </c>
      <c r="AB61" s="3" t="n">
        <v>50252.0</v>
      </c>
      <c r="AC61" s="3" t="n">
        <v>52389.0</v>
      </c>
      <c r="AD61" s="3" t="n">
        <v>54345.0</v>
      </c>
      <c r="AE61" s="3" t="n">
        <v>56138.0</v>
      </c>
      <c r="AF61" s="3" t="n">
        <v>56540.0</v>
      </c>
      <c r="AG61" s="3" t="n">
        <v>56726.0</v>
      </c>
      <c r="AH61" s="3" t="n">
        <v>55477.0</v>
      </c>
      <c r="AI61" s="3" t="n">
        <v>54068.0</v>
      </c>
      <c r="AJ61" s="3" t="n">
        <v>52734.0</v>
      </c>
      <c r="AK61" s="3" t="n">
        <v>52392.0</v>
      </c>
      <c r="AL61" s="3" t="n">
        <v>52364.0</v>
      </c>
      <c r="AM61" s="3" t="n">
        <v>52477.0</v>
      </c>
      <c r="AN61" s="3" t="n">
        <v>51996.0</v>
      </c>
      <c r="AO61" s="3" t="n">
        <v>51014.0</v>
      </c>
    </row>
    <row r="62" spans="1:41" x14ac:dyDescent="0.2">
      <c r="A62" s="133"/>
      <c r="B62" s="64" t="s">
        <v>29</v>
      </c>
      <c r="C62" s="3" t="n">
        <v>91008.0</v>
      </c>
      <c r="D62" s="3" t="n">
        <v>92594.0</v>
      </c>
      <c r="E62" s="3" t="n">
        <v>93885.0</v>
      </c>
      <c r="F62" s="3" t="n">
        <v>94449.0</v>
      </c>
      <c r="G62" s="3" t="n">
        <v>93776.0</v>
      </c>
      <c r="H62" s="3" t="n">
        <v>94104.0</v>
      </c>
      <c r="I62" s="3" t="n">
        <v>95233.0</v>
      </c>
      <c r="J62" s="3" t="n">
        <v>94872.0</v>
      </c>
      <c r="K62" s="3" t="n">
        <v>93667.0</v>
      </c>
      <c r="L62" s="3" t="n">
        <v>92095.0</v>
      </c>
      <c r="M62" s="3" t="n">
        <v>88869.0</v>
      </c>
      <c r="N62" s="3" t="n">
        <v>84632.0</v>
      </c>
      <c r="O62" s="3" t="n">
        <v>81062.0</v>
      </c>
      <c r="P62" s="3" t="n">
        <v>78076.0</v>
      </c>
      <c r="Q62" s="3" t="n">
        <v>75786.0</v>
      </c>
      <c r="R62" s="3" t="n">
        <v>73420.0</v>
      </c>
      <c r="S62" s="3" t="n">
        <v>71180.0</v>
      </c>
      <c r="T62" s="3" t="n">
        <v>68762.0</v>
      </c>
      <c r="U62" s="3" t="n">
        <v>65915.0</v>
      </c>
      <c r="V62" s="3" t="n">
        <v>62833.0</v>
      </c>
      <c r="W62" s="3" t="n">
        <v>60305.0</v>
      </c>
      <c r="X62" s="3" t="n">
        <v>57520.0</v>
      </c>
      <c r="Y62" s="3" t="n">
        <v>55123.0</v>
      </c>
      <c r="Z62" s="3" t="n">
        <v>53251.0</v>
      </c>
      <c r="AA62" s="3" t="n">
        <v>51669.0</v>
      </c>
      <c r="AB62" s="3" t="n">
        <v>50205.0</v>
      </c>
      <c r="AC62" s="3" t="n">
        <v>49049.0</v>
      </c>
      <c r="AD62" s="3" t="n">
        <v>48567.0</v>
      </c>
      <c r="AE62" s="3" t="n">
        <v>48198.0</v>
      </c>
      <c r="AF62" s="3" t="n">
        <v>48697.0</v>
      </c>
      <c r="AG62" s="3" t="n">
        <v>49818.0</v>
      </c>
      <c r="AH62" s="3" t="n">
        <v>51928.0</v>
      </c>
      <c r="AI62" s="3" t="n">
        <v>53858.0</v>
      </c>
      <c r="AJ62" s="3" t="n">
        <v>55636.0</v>
      </c>
      <c r="AK62" s="3" t="n">
        <v>56034.0</v>
      </c>
      <c r="AL62" s="3" t="n">
        <v>56205.0</v>
      </c>
      <c r="AM62" s="3" t="n">
        <v>54960.0</v>
      </c>
      <c r="AN62" s="3" t="n">
        <v>53562.0</v>
      </c>
      <c r="AO62" s="3" t="n">
        <v>52248.0</v>
      </c>
    </row>
    <row r="63" spans="1:41" x14ac:dyDescent="0.2">
      <c r="A63" s="133"/>
      <c r="B63" s="64" t="s">
        <v>30</v>
      </c>
      <c r="C63" s="3" t="n">
        <v>78029.0</v>
      </c>
      <c r="D63" s="3" t="n">
        <v>80072.0</v>
      </c>
      <c r="E63" s="3" t="n">
        <v>82286.0</v>
      </c>
      <c r="F63" s="3" t="n">
        <v>85002.0</v>
      </c>
      <c r="G63" s="3" t="n">
        <v>87669.0</v>
      </c>
      <c r="H63" s="3" t="n">
        <v>89964.0</v>
      </c>
      <c r="I63" s="3" t="n">
        <v>91667.0</v>
      </c>
      <c r="J63" s="3" t="n">
        <v>93026.0</v>
      </c>
      <c r="K63" s="3" t="n">
        <v>93647.0</v>
      </c>
      <c r="L63" s="3" t="n">
        <v>93036.0</v>
      </c>
      <c r="M63" s="3" t="n">
        <v>93292.0</v>
      </c>
      <c r="N63" s="3" t="n">
        <v>94280.0</v>
      </c>
      <c r="O63" s="3" t="n">
        <v>93892.0</v>
      </c>
      <c r="P63" s="3" t="n">
        <v>92699.0</v>
      </c>
      <c r="Q63" s="3" t="n">
        <v>91159.0</v>
      </c>
      <c r="R63" s="3" t="n">
        <v>87976.0</v>
      </c>
      <c r="S63" s="3" t="n">
        <v>83802.0</v>
      </c>
      <c r="T63" s="3" t="n">
        <v>80279.0</v>
      </c>
      <c r="U63" s="3" t="n">
        <v>77335.0</v>
      </c>
      <c r="V63" s="3" t="n">
        <v>75065.0</v>
      </c>
      <c r="W63" s="3" t="n">
        <v>72728.0</v>
      </c>
      <c r="X63" s="3" t="n">
        <v>70521.0</v>
      </c>
      <c r="Y63" s="3" t="n">
        <v>68136.0</v>
      </c>
      <c r="Z63" s="3" t="n">
        <v>65305.0</v>
      </c>
      <c r="AA63" s="3" t="n">
        <v>62239.0</v>
      </c>
      <c r="AB63" s="3" t="n">
        <v>59733.0</v>
      </c>
      <c r="AC63" s="3" t="n">
        <v>56975.0</v>
      </c>
      <c r="AD63" s="3" t="n">
        <v>54598.0</v>
      </c>
      <c r="AE63" s="3" t="n">
        <v>52745.0</v>
      </c>
      <c r="AF63" s="3" t="n">
        <v>51160.0</v>
      </c>
      <c r="AG63" s="3" t="n">
        <v>49695.0</v>
      </c>
      <c r="AH63" s="3" t="n">
        <v>48545.0</v>
      </c>
      <c r="AI63" s="3" t="n">
        <v>48054.0</v>
      </c>
      <c r="AJ63" s="3" t="n">
        <v>47688.0</v>
      </c>
      <c r="AK63" s="3" t="n">
        <v>48182.0</v>
      </c>
      <c r="AL63" s="3" t="n">
        <v>49306.0</v>
      </c>
      <c r="AM63" s="3" t="n">
        <v>51411.0</v>
      </c>
      <c r="AN63" s="3" t="n">
        <v>53325.0</v>
      </c>
      <c r="AO63" s="3" t="n">
        <v>55072.0</v>
      </c>
    </row>
    <row r="64" spans="1:41" x14ac:dyDescent="0.2">
      <c r="A64" s="133"/>
      <c r="B64" s="64" t="s">
        <v>31</v>
      </c>
      <c r="C64" s="3" t="n">
        <v>73760.0</v>
      </c>
      <c r="D64" s="3" t="n">
        <v>72975.0</v>
      </c>
      <c r="E64" s="3" t="n">
        <v>72966.0</v>
      </c>
      <c r="F64" s="3" t="n">
        <v>73627.0</v>
      </c>
      <c r="G64" s="3" t="n">
        <v>74838.0</v>
      </c>
      <c r="H64" s="3" t="n">
        <v>76683.0</v>
      </c>
      <c r="I64" s="3" t="n">
        <v>78813.0</v>
      </c>
      <c r="J64" s="3" t="n">
        <v>81048.0</v>
      </c>
      <c r="K64" s="3" t="n">
        <v>83763.0</v>
      </c>
      <c r="L64" s="3" t="n">
        <v>86423.0</v>
      </c>
      <c r="M64" s="3" t="n">
        <v>88624.0</v>
      </c>
      <c r="N64" s="3" t="n">
        <v>90205.0</v>
      </c>
      <c r="O64" s="3" t="n">
        <v>91514.0</v>
      </c>
      <c r="P64" s="3" t="n">
        <v>92125.0</v>
      </c>
      <c r="Q64" s="3" t="n">
        <v>91524.0</v>
      </c>
      <c r="R64" s="3" t="n">
        <v>91787.0</v>
      </c>
      <c r="S64" s="3" t="n">
        <v>92787.0</v>
      </c>
      <c r="T64" s="3" t="n">
        <v>92442.0</v>
      </c>
      <c r="U64" s="3" t="n">
        <v>91304.0</v>
      </c>
      <c r="V64" s="3" t="n">
        <v>89809.0</v>
      </c>
      <c r="W64" s="3" t="n">
        <v>86683.0</v>
      </c>
      <c r="X64" s="3" t="n">
        <v>82584.0</v>
      </c>
      <c r="Y64" s="3" t="n">
        <v>79129.0</v>
      </c>
      <c r="Z64" s="3" t="n">
        <v>76250.0</v>
      </c>
      <c r="AA64" s="3" t="n">
        <v>74024.0</v>
      </c>
      <c r="AB64" s="3" t="n">
        <v>71726.0</v>
      </c>
      <c r="AC64" s="3" t="n">
        <v>69538.0</v>
      </c>
      <c r="AD64" s="3" t="n">
        <v>67153.0</v>
      </c>
      <c r="AE64" s="3" t="n">
        <v>64363.0</v>
      </c>
      <c r="AF64" s="3" t="n">
        <v>61344.0</v>
      </c>
      <c r="AG64" s="3" t="n">
        <v>58891.0</v>
      </c>
      <c r="AH64" s="3" t="n">
        <v>56176.0</v>
      </c>
      <c r="AI64" s="3" t="n">
        <v>53848.0</v>
      </c>
      <c r="AJ64" s="3" t="n">
        <v>52030.0</v>
      </c>
      <c r="AK64" s="3" t="n">
        <v>50466.0</v>
      </c>
      <c r="AL64" s="3" t="n">
        <v>49024.0</v>
      </c>
      <c r="AM64" s="3" t="n">
        <v>47891.0</v>
      </c>
      <c r="AN64" s="3" t="n">
        <v>47403.0</v>
      </c>
      <c r="AO64" s="3" t="n">
        <v>47050.0</v>
      </c>
    </row>
    <row r="65" spans="1:41" x14ac:dyDescent="0.2">
      <c r="A65" s="133"/>
      <c r="B65" s="64" t="s">
        <v>32</v>
      </c>
      <c r="C65" s="3" t="n">
        <v>87092.0</v>
      </c>
      <c r="D65" s="3" t="n">
        <v>82250.0</v>
      </c>
      <c r="E65" s="3" t="n">
        <v>77915.0</v>
      </c>
      <c r="F65" s="3" t="n">
        <v>74671.0</v>
      </c>
      <c r="G65" s="3" t="n">
        <v>72581.0</v>
      </c>
      <c r="H65" s="3" t="n">
        <v>71414.0</v>
      </c>
      <c r="I65" s="3" t="n">
        <v>70755.0</v>
      </c>
      <c r="J65" s="3" t="n">
        <v>70814.0</v>
      </c>
      <c r="K65" s="3" t="n">
        <v>71485.0</v>
      </c>
      <c r="L65" s="3" t="n">
        <v>72669.0</v>
      </c>
      <c r="M65" s="3" t="n">
        <v>74423.0</v>
      </c>
      <c r="N65" s="3" t="n">
        <v>76448.0</v>
      </c>
      <c r="O65" s="3" t="n">
        <v>78609.0</v>
      </c>
      <c r="P65" s="3" t="n">
        <v>81239.0</v>
      </c>
      <c r="Q65" s="3" t="n">
        <v>83835.0</v>
      </c>
      <c r="R65" s="3" t="n">
        <v>85984.0</v>
      </c>
      <c r="S65" s="3" t="n">
        <v>87524.0</v>
      </c>
      <c r="T65" s="3" t="n">
        <v>88798.0</v>
      </c>
      <c r="U65" s="3" t="n">
        <v>89409.0</v>
      </c>
      <c r="V65" s="3" t="n">
        <v>88842.0</v>
      </c>
      <c r="W65" s="3" t="n">
        <v>89143.0</v>
      </c>
      <c r="X65" s="3" t="n">
        <v>90157.0</v>
      </c>
      <c r="Y65" s="3" t="n">
        <v>89838.0</v>
      </c>
      <c r="Z65" s="3" t="n">
        <v>88742.0</v>
      </c>
      <c r="AA65" s="3" t="n">
        <v>87298.0</v>
      </c>
      <c r="AB65" s="3" t="n">
        <v>84282.0</v>
      </c>
      <c r="AC65" s="3" t="n">
        <v>80338.0</v>
      </c>
      <c r="AD65" s="3" t="n">
        <v>77016.0</v>
      </c>
      <c r="AE65" s="3" t="n">
        <v>74234.0</v>
      </c>
      <c r="AF65" s="3" t="n">
        <v>72084.0</v>
      </c>
      <c r="AG65" s="3" t="n">
        <v>69835.0</v>
      </c>
      <c r="AH65" s="3" t="n">
        <v>67721.0</v>
      </c>
      <c r="AI65" s="3" t="n">
        <v>65402.0</v>
      </c>
      <c r="AJ65" s="3" t="n">
        <v>62678.0</v>
      </c>
      <c r="AK65" s="3" t="n">
        <v>59748.0</v>
      </c>
      <c r="AL65" s="3" t="n">
        <v>57363.0</v>
      </c>
      <c r="AM65" s="3" t="n">
        <v>54709.0</v>
      </c>
      <c r="AN65" s="3" t="n">
        <v>52435.0</v>
      </c>
      <c r="AO65" s="3" t="n">
        <v>50662.0</v>
      </c>
    </row>
    <row r="66" spans="1:41" x14ac:dyDescent="0.2">
      <c r="A66" s="133"/>
      <c r="B66" s="65" t="s">
        <v>33</v>
      </c>
      <c r="C66" s="3" t="n">
        <v>97493.0</v>
      </c>
      <c r="D66" s="3" t="n">
        <v>96626.0</v>
      </c>
      <c r="E66" s="3" t="n">
        <v>95278.0</v>
      </c>
      <c r="F66" s="3" t="n">
        <v>91788.0</v>
      </c>
      <c r="G66" s="3" t="n">
        <v>87744.0</v>
      </c>
      <c r="H66" s="3" t="n">
        <v>82685.0</v>
      </c>
      <c r="I66" s="3" t="n">
        <v>78157.0</v>
      </c>
      <c r="J66" s="3" t="n">
        <v>74116.0</v>
      </c>
      <c r="K66" s="3" t="n">
        <v>71084.0</v>
      </c>
      <c r="L66" s="3" t="n">
        <v>69149.0</v>
      </c>
      <c r="M66" s="3" t="n">
        <v>68035.0</v>
      </c>
      <c r="N66" s="3" t="n">
        <v>67366.0</v>
      </c>
      <c r="O66" s="3" t="n">
        <v>67423.0</v>
      </c>
      <c r="P66" s="3" t="n">
        <v>68082.0</v>
      </c>
      <c r="Q66" s="3" t="n">
        <v>69241.0</v>
      </c>
      <c r="R66" s="3" t="n">
        <v>70947.0</v>
      </c>
      <c r="S66" s="3" t="n">
        <v>72910.0</v>
      </c>
      <c r="T66" s="3" t="n">
        <v>74993.0</v>
      </c>
      <c r="U66" s="3" t="n">
        <v>77520.0</v>
      </c>
      <c r="V66" s="3" t="n">
        <v>80009.0</v>
      </c>
      <c r="W66" s="3" t="n">
        <v>82064.0</v>
      </c>
      <c r="X66" s="3" t="n">
        <v>83538.0</v>
      </c>
      <c r="Y66" s="3" t="n">
        <v>84778.0</v>
      </c>
      <c r="Z66" s="3" t="n">
        <v>85394.0</v>
      </c>
      <c r="AA66" s="3" t="n">
        <v>84883.0</v>
      </c>
      <c r="AB66" s="3" t="n">
        <v>85208.0</v>
      </c>
      <c r="AC66" s="3" t="n">
        <v>86210.0</v>
      </c>
      <c r="AD66" s="3" t="n">
        <v>85918.0</v>
      </c>
      <c r="AE66" s="3" t="n">
        <v>84903.0</v>
      </c>
      <c r="AF66" s="3" t="n">
        <v>83530.0</v>
      </c>
      <c r="AG66" s="3" t="n">
        <v>80644.0</v>
      </c>
      <c r="AH66" s="3" t="n">
        <v>76892.0</v>
      </c>
      <c r="AI66" s="3" t="n">
        <v>73742.0</v>
      </c>
      <c r="AJ66" s="3" t="n">
        <v>71101.0</v>
      </c>
      <c r="AK66" s="3" t="n">
        <v>69068.0</v>
      </c>
      <c r="AL66" s="3" t="n">
        <v>66926.0</v>
      </c>
      <c r="AM66" s="3" t="n">
        <v>64896.0</v>
      </c>
      <c r="AN66" s="3" t="n">
        <v>62667.0</v>
      </c>
      <c r="AO66" s="3" t="n">
        <v>60074.0</v>
      </c>
    </row>
    <row r="67" spans="1:41" x14ac:dyDescent="0.2">
      <c r="A67" s="133"/>
      <c r="B67" s="64" t="s">
        <v>34</v>
      </c>
      <c r="C67" s="3" t="n">
        <v>85891.0</v>
      </c>
      <c r="D67" s="3" t="n">
        <v>87265.0</v>
      </c>
      <c r="E67" s="3" t="n">
        <v>88494.0</v>
      </c>
      <c r="F67" s="3" t="n">
        <v>89841.0</v>
      </c>
      <c r="G67" s="3" t="n">
        <v>89710.0</v>
      </c>
      <c r="H67" s="3" t="n">
        <v>89887.0</v>
      </c>
      <c r="I67" s="3" t="n">
        <v>89157.0</v>
      </c>
      <c r="J67" s="3" t="n">
        <v>87967.0</v>
      </c>
      <c r="K67" s="3" t="n">
        <v>84788.0</v>
      </c>
      <c r="L67" s="3" t="n">
        <v>81100.0</v>
      </c>
      <c r="M67" s="3" t="n">
        <v>76453.0</v>
      </c>
      <c r="N67" s="3" t="n">
        <v>72308.0</v>
      </c>
      <c r="O67" s="3" t="n">
        <v>68621.0</v>
      </c>
      <c r="P67" s="3" t="n">
        <v>65843.0</v>
      </c>
      <c r="Q67" s="3" t="n">
        <v>64091.0</v>
      </c>
      <c r="R67" s="3" t="n">
        <v>63074.0</v>
      </c>
      <c r="S67" s="3" t="n">
        <v>62480.0</v>
      </c>
      <c r="T67" s="3" t="n">
        <v>62568.0</v>
      </c>
      <c r="U67" s="3" t="n">
        <v>63225.0</v>
      </c>
      <c r="V67" s="3" t="n">
        <v>64340.0</v>
      </c>
      <c r="W67" s="3" t="n">
        <v>65976.0</v>
      </c>
      <c r="X67" s="3" t="n">
        <v>67835.0</v>
      </c>
      <c r="Y67" s="3" t="n">
        <v>69822.0</v>
      </c>
      <c r="Z67" s="3" t="n">
        <v>72197.0</v>
      </c>
      <c r="AA67" s="3" t="n">
        <v>74540.0</v>
      </c>
      <c r="AB67" s="3" t="n">
        <v>76487.0</v>
      </c>
      <c r="AC67" s="3" t="n">
        <v>77865.0</v>
      </c>
      <c r="AD67" s="3" t="n">
        <v>79031.0</v>
      </c>
      <c r="AE67" s="3" t="n">
        <v>79635.0</v>
      </c>
      <c r="AF67" s="3" t="n">
        <v>79173.0</v>
      </c>
      <c r="AG67" s="3" t="n">
        <v>79495.0</v>
      </c>
      <c r="AH67" s="3" t="n">
        <v>80461.0</v>
      </c>
      <c r="AI67" s="3" t="n">
        <v>80210.0</v>
      </c>
      <c r="AJ67" s="3" t="n">
        <v>79277.0</v>
      </c>
      <c r="AK67" s="3" t="n">
        <v>78005.0</v>
      </c>
      <c r="AL67" s="3" t="n">
        <v>75335.0</v>
      </c>
      <c r="AM67" s="3" t="n">
        <v>71849.0</v>
      </c>
      <c r="AN67" s="3" t="n">
        <v>68921.0</v>
      </c>
      <c r="AO67" s="3" t="n">
        <v>66469.0</v>
      </c>
    </row>
    <row r="68" spans="1:41" x14ac:dyDescent="0.2">
      <c r="A68" s="133"/>
      <c r="B68" s="64" t="s">
        <v>35</v>
      </c>
      <c r="C68" s="3" t="n">
        <v>56266.0</v>
      </c>
      <c r="D68" s="3" t="n">
        <v>61814.0</v>
      </c>
      <c r="E68" s="3" t="n">
        <v>67191.0</v>
      </c>
      <c r="F68" s="3" t="n">
        <v>72585.0</v>
      </c>
      <c r="G68" s="3" t="n">
        <v>74002.0</v>
      </c>
      <c r="H68" s="3" t="n">
        <v>75477.0</v>
      </c>
      <c r="I68" s="3" t="n">
        <v>76768.0</v>
      </c>
      <c r="J68" s="3" t="n">
        <v>77905.0</v>
      </c>
      <c r="K68" s="3" t="n">
        <v>79172.0</v>
      </c>
      <c r="L68" s="3" t="n">
        <v>79165.0</v>
      </c>
      <c r="M68" s="3" t="n">
        <v>79376.0</v>
      </c>
      <c r="N68" s="3" t="n">
        <v>78789.0</v>
      </c>
      <c r="O68" s="3" t="n">
        <v>77781.0</v>
      </c>
      <c r="P68" s="3" t="n">
        <v>75001.0</v>
      </c>
      <c r="Q68" s="3" t="n">
        <v>71777.0</v>
      </c>
      <c r="R68" s="3" t="n">
        <v>67706.0</v>
      </c>
      <c r="S68" s="3" t="n">
        <v>64110.0</v>
      </c>
      <c r="T68" s="3" t="n">
        <v>60900.0</v>
      </c>
      <c r="U68" s="3" t="n">
        <v>58504.0</v>
      </c>
      <c r="V68" s="3" t="n">
        <v>56985.0</v>
      </c>
      <c r="W68" s="3" t="n">
        <v>56119.0</v>
      </c>
      <c r="X68" s="3" t="n">
        <v>55625.0</v>
      </c>
      <c r="Y68" s="3" t="n">
        <v>55751.0</v>
      </c>
      <c r="Z68" s="3" t="n">
        <v>56376.0</v>
      </c>
      <c r="AA68" s="3" t="n">
        <v>57410.0</v>
      </c>
      <c r="AB68" s="3" t="n">
        <v>58900.0</v>
      </c>
      <c r="AC68" s="3" t="n">
        <v>60598.0</v>
      </c>
      <c r="AD68" s="3" t="n">
        <v>62390.0</v>
      </c>
      <c r="AE68" s="3" t="n">
        <v>64547.0</v>
      </c>
      <c r="AF68" s="3" t="n">
        <v>66670.0</v>
      </c>
      <c r="AG68" s="3" t="n">
        <v>68414.0</v>
      </c>
      <c r="AH68" s="3" t="n">
        <v>69660.0</v>
      </c>
      <c r="AI68" s="3" t="n">
        <v>70720.0</v>
      </c>
      <c r="AJ68" s="3" t="n">
        <v>71276.0</v>
      </c>
      <c r="AK68" s="3" t="n">
        <v>70908.0</v>
      </c>
      <c r="AL68" s="3" t="n">
        <v>71247.0</v>
      </c>
      <c r="AM68" s="3" t="n">
        <v>72149.0</v>
      </c>
      <c r="AN68" s="3" t="n">
        <v>71939.0</v>
      </c>
      <c r="AO68" s="3" t="n">
        <v>71137.0</v>
      </c>
    </row>
    <row r="69" spans="1:41" x14ac:dyDescent="0.2">
      <c r="A69" s="133"/>
      <c r="B69" s="64" t="s">
        <v>36</v>
      </c>
      <c r="C69" s="3" t="n">
        <v>36906.0</v>
      </c>
      <c r="D69" s="3" t="n">
        <v>36444.0</v>
      </c>
      <c r="E69" s="3" t="n">
        <v>35918.0</v>
      </c>
      <c r="F69" s="3" t="n">
        <v>35888.0</v>
      </c>
      <c r="G69" s="3" t="n">
        <v>40736.0</v>
      </c>
      <c r="H69" s="3" t="n">
        <v>45530.0</v>
      </c>
      <c r="I69" s="3" t="n">
        <v>50132.0</v>
      </c>
      <c r="J69" s="3" t="n">
        <v>54460.0</v>
      </c>
      <c r="K69" s="3" t="n">
        <v>58721.0</v>
      </c>
      <c r="L69" s="3" t="n">
        <v>60045.0</v>
      </c>
      <c r="M69" s="3" t="n">
        <v>61326.0</v>
      </c>
      <c r="N69" s="3" t="n">
        <v>62487.0</v>
      </c>
      <c r="O69" s="3" t="n">
        <v>63466.0</v>
      </c>
      <c r="P69" s="3" t="n">
        <v>64557.0</v>
      </c>
      <c r="Q69" s="3" t="n">
        <v>64625.0</v>
      </c>
      <c r="R69" s="3" t="n">
        <v>64863.0</v>
      </c>
      <c r="S69" s="3" t="n">
        <v>64449.0</v>
      </c>
      <c r="T69" s="3" t="n">
        <v>63622.0</v>
      </c>
      <c r="U69" s="3" t="n">
        <v>61386.0</v>
      </c>
      <c r="V69" s="3" t="n">
        <v>58760.0</v>
      </c>
      <c r="W69" s="3" t="n">
        <v>55478.0</v>
      </c>
      <c r="X69" s="3" t="n">
        <v>52587.0</v>
      </c>
      <c r="Y69" s="3" t="n">
        <v>50051.0</v>
      </c>
      <c r="Z69" s="3" t="n">
        <v>48140.0</v>
      </c>
      <c r="AA69" s="3" t="n">
        <v>46950.0</v>
      </c>
      <c r="AB69" s="3" t="n">
        <v>46292.0</v>
      </c>
      <c r="AC69" s="3" t="n">
        <v>45922.0</v>
      </c>
      <c r="AD69" s="3" t="n">
        <v>46065.0</v>
      </c>
      <c r="AE69" s="3" t="n">
        <v>46628.0</v>
      </c>
      <c r="AF69" s="3" t="n">
        <v>47564.0</v>
      </c>
      <c r="AG69" s="3" t="n">
        <v>48841.0</v>
      </c>
      <c r="AH69" s="3" t="n">
        <v>50296.0</v>
      </c>
      <c r="AI69" s="3" t="n">
        <v>51838.0</v>
      </c>
      <c r="AJ69" s="3" t="n">
        <v>53653.0</v>
      </c>
      <c r="AK69" s="3" t="n">
        <v>55454.0</v>
      </c>
      <c r="AL69" s="3" t="n">
        <v>56939.0</v>
      </c>
      <c r="AM69" s="3" t="n">
        <v>57961.0</v>
      </c>
      <c r="AN69" s="3" t="n">
        <v>58849.0</v>
      </c>
      <c r="AO69" s="3" t="n">
        <v>59342.0</v>
      </c>
    </row>
    <row r="70" spans="1:41" x14ac:dyDescent="0.2">
      <c r="A70" s="133"/>
      <c r="B70" s="64" t="s">
        <v>37</v>
      </c>
      <c r="C70" s="3" t="n">
        <v>26319.0</v>
      </c>
      <c r="D70" s="3" t="n">
        <v>25966.0</v>
      </c>
      <c r="E70" s="3" t="n">
        <v>25629.0</v>
      </c>
      <c r="F70" s="3" t="n">
        <v>25220.0</v>
      </c>
      <c r="G70" s="3" t="n">
        <v>24793.0</v>
      </c>
      <c r="H70" s="3" t="n">
        <v>24177.0</v>
      </c>
      <c r="I70" s="3" t="n">
        <v>23967.0</v>
      </c>
      <c r="J70" s="3" t="n">
        <v>23701.0</v>
      </c>
      <c r="K70" s="3" t="n">
        <v>23798.0</v>
      </c>
      <c r="L70" s="3" t="n">
        <v>27424.0</v>
      </c>
      <c r="M70" s="3" t="n">
        <v>30777.0</v>
      </c>
      <c r="N70" s="3" t="n">
        <v>33923.0</v>
      </c>
      <c r="O70" s="3" t="n">
        <v>36762.0</v>
      </c>
      <c r="P70" s="3" t="n">
        <v>39482.0</v>
      </c>
      <c r="Q70" s="3" t="n">
        <v>40586.0</v>
      </c>
      <c r="R70" s="3" t="n">
        <v>41568.0</v>
      </c>
      <c r="S70" s="3" t="n">
        <v>42450.0</v>
      </c>
      <c r="T70" s="3" t="n">
        <v>43116.0</v>
      </c>
      <c r="U70" s="3" t="n">
        <v>43949.0</v>
      </c>
      <c r="V70" s="3" t="n">
        <v>44060.0</v>
      </c>
      <c r="W70" s="3" t="n">
        <v>44315.0</v>
      </c>
      <c r="X70" s="3" t="n">
        <v>44070.0</v>
      </c>
      <c r="Y70" s="3" t="n">
        <v>43532.0</v>
      </c>
      <c r="Z70" s="3" t="n">
        <v>41996.0</v>
      </c>
      <c r="AA70" s="3" t="n">
        <v>40180.0</v>
      </c>
      <c r="AB70" s="3" t="n">
        <v>37968.0</v>
      </c>
      <c r="AC70" s="3" t="n">
        <v>36060.0</v>
      </c>
      <c r="AD70" s="3" t="n">
        <v>34397.0</v>
      </c>
      <c r="AE70" s="3" t="n">
        <v>33173.0</v>
      </c>
      <c r="AF70" s="3" t="n">
        <v>32439.0</v>
      </c>
      <c r="AG70" s="3" t="n">
        <v>32012.0</v>
      </c>
      <c r="AH70" s="3" t="n">
        <v>31831.0</v>
      </c>
      <c r="AI70" s="3" t="n">
        <v>32020.0</v>
      </c>
      <c r="AJ70" s="3" t="n">
        <v>32460.0</v>
      </c>
      <c r="AK70" s="3" t="n">
        <v>33179.0</v>
      </c>
      <c r="AL70" s="3" t="n">
        <v>34126.0</v>
      </c>
      <c r="AM70" s="3" t="n">
        <v>35185.0</v>
      </c>
      <c r="AN70" s="3" t="n">
        <v>36299.0</v>
      </c>
      <c r="AO70" s="3" t="n">
        <v>37655.0</v>
      </c>
    </row>
    <row r="71" spans="1:41" x14ac:dyDescent="0.2">
      <c r="A71" s="133"/>
      <c r="B71" s="64" t="s">
        <v>80</v>
      </c>
      <c r="C71" s="3" t="n">
        <v>12056.0</v>
      </c>
      <c r="D71" s="3" t="n">
        <v>12459.0</v>
      </c>
      <c r="E71" s="3" t="n">
        <v>12601.0</v>
      </c>
      <c r="F71" s="3" t="n">
        <v>12697.0</v>
      </c>
      <c r="G71" s="3" t="n">
        <v>12783.0</v>
      </c>
      <c r="H71" s="3" t="n">
        <v>12752.0</v>
      </c>
      <c r="I71" s="3" t="n">
        <v>12619.0</v>
      </c>
      <c r="J71" s="3" t="n">
        <v>12502.0</v>
      </c>
      <c r="K71" s="3" t="n">
        <v>12368.0</v>
      </c>
      <c r="L71" s="3" t="n">
        <v>12234.0</v>
      </c>
      <c r="M71" s="3" t="n">
        <v>11963.0</v>
      </c>
      <c r="N71" s="3" t="n">
        <v>11928.0</v>
      </c>
      <c r="O71" s="3" t="n">
        <v>11859.0</v>
      </c>
      <c r="P71" s="3" t="n">
        <v>11984.0</v>
      </c>
      <c r="Q71" s="3" t="n">
        <v>14092.0</v>
      </c>
      <c r="R71" s="3" t="n">
        <v>15913.0</v>
      </c>
      <c r="S71" s="3" t="n">
        <v>17562.0</v>
      </c>
      <c r="T71" s="3" t="n">
        <v>18935.0</v>
      </c>
      <c r="U71" s="3" t="n">
        <v>20247.0</v>
      </c>
      <c r="V71" s="3" t="n">
        <v>20929.0</v>
      </c>
      <c r="W71" s="3" t="n">
        <v>21524.0</v>
      </c>
      <c r="X71" s="3" t="n">
        <v>22025.0</v>
      </c>
      <c r="Y71" s="3" t="n">
        <v>22420.0</v>
      </c>
      <c r="Z71" s="3" t="n">
        <v>22901.0</v>
      </c>
      <c r="AA71" s="3" t="n">
        <v>23002.0</v>
      </c>
      <c r="AB71" s="3" t="n">
        <v>23189.0</v>
      </c>
      <c r="AC71" s="3" t="n">
        <v>23090.0</v>
      </c>
      <c r="AD71" s="3" t="n">
        <v>22787.0</v>
      </c>
      <c r="AE71" s="3" t="n">
        <v>22005.0</v>
      </c>
      <c r="AF71" s="3" t="n">
        <v>21051.0</v>
      </c>
      <c r="AG71" s="3" t="n">
        <v>19899.0</v>
      </c>
      <c r="AH71" s="3" t="n">
        <v>18971.0</v>
      </c>
      <c r="AI71" s="3" t="n">
        <v>18184.0</v>
      </c>
      <c r="AJ71" s="3" t="n">
        <v>17586.0</v>
      </c>
      <c r="AK71" s="3" t="n">
        <v>17279.0</v>
      </c>
      <c r="AL71" s="3" t="n">
        <v>17102.0</v>
      </c>
      <c r="AM71" s="3" t="n">
        <v>17042.0</v>
      </c>
      <c r="AN71" s="3" t="n">
        <v>17196.0</v>
      </c>
      <c r="AO71" s="3" t="n">
        <v>17476.0</v>
      </c>
    </row>
    <row r="72" spans="1:41" x14ac:dyDescent="0.2">
      <c r="A72" s="133"/>
      <c r="B72" s="74" t="s">
        <v>81</v>
      </c>
      <c r="C72" s="3" t="n">
        <v>2668.0</v>
      </c>
      <c r="D72" s="3" t="n">
        <v>2853.0</v>
      </c>
      <c r="E72" s="3" t="n">
        <v>3103.0</v>
      </c>
      <c r="F72" s="3" t="n">
        <v>3360.0</v>
      </c>
      <c r="G72" s="3" t="n">
        <v>3590.0</v>
      </c>
      <c r="H72" s="3" t="n">
        <v>3802.0</v>
      </c>
      <c r="I72" s="3" t="n">
        <v>3926.0</v>
      </c>
      <c r="J72" s="3" t="n">
        <v>3981.0</v>
      </c>
      <c r="K72" s="3" t="n">
        <v>4038.0</v>
      </c>
      <c r="L72" s="3" t="n">
        <v>4104.0</v>
      </c>
      <c r="M72" s="3" t="n">
        <v>4123.0</v>
      </c>
      <c r="N72" s="3" t="n">
        <v>4106.0</v>
      </c>
      <c r="O72" s="3" t="n">
        <v>4096.0</v>
      </c>
      <c r="P72" s="3" t="n">
        <v>4080.0</v>
      </c>
      <c r="Q72" s="3" t="n">
        <v>4057.0</v>
      </c>
      <c r="R72" s="3" t="n">
        <v>3990.0</v>
      </c>
      <c r="S72" s="3" t="n">
        <v>4005.0</v>
      </c>
      <c r="T72" s="3" t="n">
        <v>3999.0</v>
      </c>
      <c r="U72" s="3" t="n">
        <v>4084.0</v>
      </c>
      <c r="V72" s="3" t="n">
        <v>4931.0</v>
      </c>
      <c r="W72" s="3" t="n">
        <v>5610.0</v>
      </c>
      <c r="X72" s="3" t="n">
        <v>6188.0</v>
      </c>
      <c r="Y72" s="3" t="n">
        <v>6629.0</v>
      </c>
      <c r="Z72" s="3" t="n">
        <v>7063.0</v>
      </c>
      <c r="AA72" s="3" t="n">
        <v>7353.0</v>
      </c>
      <c r="AB72" s="3" t="n">
        <v>7589.0</v>
      </c>
      <c r="AC72" s="3" t="n">
        <v>7787.0</v>
      </c>
      <c r="AD72" s="3" t="n">
        <v>7925.0</v>
      </c>
      <c r="AE72" s="3" t="n">
        <v>8121.0</v>
      </c>
      <c r="AF72" s="3" t="n">
        <v>8197.0</v>
      </c>
      <c r="AG72" s="3" t="n">
        <v>8284.0</v>
      </c>
      <c r="AH72" s="3" t="n">
        <v>8267.0</v>
      </c>
      <c r="AI72" s="3" t="n">
        <v>8163.0</v>
      </c>
      <c r="AJ72" s="3" t="n">
        <v>7873.0</v>
      </c>
      <c r="AK72" s="3" t="n">
        <v>7533.0</v>
      </c>
      <c r="AL72" s="3" t="n">
        <v>7142.0</v>
      </c>
      <c r="AM72" s="3" t="n">
        <v>6841.0</v>
      </c>
      <c r="AN72" s="3" t="n">
        <v>6581.0</v>
      </c>
      <c r="AO72" s="3" t="n">
        <v>6412.0</v>
      </c>
    </row>
    <row r="73" spans="1:41" x14ac:dyDescent="0.2">
      <c r="A73" s="134"/>
      <c r="B73" s="66" t="s">
        <v>79</v>
      </c>
      <c r="C73" s="4" t="n">
        <v>265.0</v>
      </c>
      <c r="D73" s="4" t="n">
        <v>307.0</v>
      </c>
      <c r="E73" s="4" t="n">
        <v>348.0</v>
      </c>
      <c r="F73" s="4" t="n">
        <v>400.0</v>
      </c>
      <c r="G73" s="4" t="n">
        <v>445.0</v>
      </c>
      <c r="H73" s="4" t="n">
        <v>489.0</v>
      </c>
      <c r="I73" s="4" t="n">
        <v>528.0</v>
      </c>
      <c r="J73" s="4" t="n">
        <v>581.0</v>
      </c>
      <c r="K73" s="4" t="n">
        <v>645.0</v>
      </c>
      <c r="L73" s="4" t="n">
        <v>685.0</v>
      </c>
      <c r="M73" s="4" t="n">
        <v>731.0</v>
      </c>
      <c r="N73" s="4" t="n">
        <v>756.0</v>
      </c>
      <c r="O73" s="4" t="n">
        <v>774.0</v>
      </c>
      <c r="P73" s="4" t="n">
        <v>794.0</v>
      </c>
      <c r="Q73" s="4" t="n">
        <v>823.0</v>
      </c>
      <c r="R73" s="4" t="n">
        <v>839.0</v>
      </c>
      <c r="S73" s="4" t="n">
        <v>845.0</v>
      </c>
      <c r="T73" s="4" t="n">
        <v>848.0</v>
      </c>
      <c r="U73" s="4" t="n">
        <v>851.0</v>
      </c>
      <c r="V73" s="4" t="n">
        <v>860.0</v>
      </c>
      <c r="W73" s="4" t="n">
        <v>858.0</v>
      </c>
      <c r="X73" s="4" t="n">
        <v>868.0</v>
      </c>
      <c r="Y73" s="4" t="n">
        <v>876.0</v>
      </c>
      <c r="Z73" s="4" t="n">
        <v>899.0</v>
      </c>
      <c r="AA73" s="4" t="n">
        <v>1097.0</v>
      </c>
      <c r="AB73" s="4" t="n">
        <v>1232.0</v>
      </c>
      <c r="AC73" s="4" t="n">
        <v>1343.0</v>
      </c>
      <c r="AD73" s="4" t="n">
        <v>1421.0</v>
      </c>
      <c r="AE73" s="4" t="n">
        <v>1505.0</v>
      </c>
      <c r="AF73" s="4" t="n">
        <v>1602.0</v>
      </c>
      <c r="AG73" s="4" t="n">
        <v>1671.0</v>
      </c>
      <c r="AH73" s="4" t="n">
        <v>1734.0</v>
      </c>
      <c r="AI73" s="4" t="n">
        <v>1782.0</v>
      </c>
      <c r="AJ73" s="4" t="n">
        <v>1836.0</v>
      </c>
      <c r="AK73" s="4" t="n">
        <v>1875.0</v>
      </c>
      <c r="AL73" s="4" t="n">
        <v>1910.0</v>
      </c>
      <c r="AM73" s="4" t="n">
        <v>1917.0</v>
      </c>
      <c r="AN73" s="4" t="n">
        <v>1895.0</v>
      </c>
      <c r="AO73" s="4" t="n">
        <v>1845.0</v>
      </c>
    </row>
  </sheetData>
  <mergeCells count="5">
    <mergeCell ref="A8:A29"/>
    <mergeCell ref="A30:A51"/>
    <mergeCell ref="A52:A73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8"/>
      <c r="B1" s="138"/>
      <c r="C1" s="12" t="s">
        <v>66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C2" s="36"/>
      <c r="D2" s="33" t="s">
        <v>40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131" t="s">
        <v>83</v>
      </c>
      <c r="B3" s="131"/>
      <c r="D3" s="24" t="s">
        <v>67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41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49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105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5" t="s">
        <v>47</v>
      </c>
      <c r="B8" s="63" t="s">
        <v>64</v>
      </c>
      <c r="C8" s="15" t="n">
        <v>2378483.0</v>
      </c>
      <c r="D8" s="15" t="n">
        <v>2363356.0</v>
      </c>
      <c r="E8" s="15" t="n">
        <v>2347438.0</v>
      </c>
      <c r="F8" s="15" t="n">
        <v>2330898.0</v>
      </c>
      <c r="G8" s="15" t="n">
        <v>2313795.0</v>
      </c>
      <c r="H8" s="15" t="n">
        <v>2298615.0</v>
      </c>
      <c r="I8" s="15" t="n">
        <v>2283741.0</v>
      </c>
      <c r="J8" s="15" t="n">
        <v>2266478.0</v>
      </c>
      <c r="K8" s="15" t="n">
        <v>2247746.0</v>
      </c>
      <c r="L8" s="15" t="n">
        <v>2228128.0</v>
      </c>
      <c r="M8" s="15" t="n">
        <v>2207756.0</v>
      </c>
      <c r="N8" s="15" t="n">
        <v>2186700.0</v>
      </c>
      <c r="O8" s="15" t="n">
        <v>2165236.0</v>
      </c>
      <c r="P8" s="15" t="n">
        <v>2143187.0</v>
      </c>
      <c r="Q8" s="15" t="n">
        <v>2120911.0</v>
      </c>
      <c r="R8" s="15" t="n">
        <v>2098155.0</v>
      </c>
      <c r="S8" s="15" t="n">
        <v>2075160.0</v>
      </c>
      <c r="T8" s="15" t="n">
        <v>2051816.0</v>
      </c>
      <c r="U8" s="15" t="n">
        <v>2028441.0</v>
      </c>
      <c r="V8" s="15" t="n">
        <v>2004913.0</v>
      </c>
      <c r="W8" s="15" t="n">
        <v>1981309.0</v>
      </c>
      <c r="X8" s="15" t="n">
        <v>1957641.0</v>
      </c>
      <c r="Y8" s="15" t="n">
        <v>1933968.0</v>
      </c>
      <c r="Z8" s="15" t="n">
        <v>1910143.0</v>
      </c>
      <c r="AA8" s="15" t="n">
        <v>1886355.0</v>
      </c>
      <c r="AB8" s="15" t="n">
        <v>1862667.0</v>
      </c>
      <c r="AC8" s="15" t="n">
        <v>1839021.0</v>
      </c>
      <c r="AD8" s="15" t="n">
        <v>1815314.0</v>
      </c>
      <c r="AE8" s="15" t="n">
        <v>1791832.0</v>
      </c>
      <c r="AF8" s="15" t="n">
        <v>1768241.0</v>
      </c>
      <c r="AG8" s="15" t="n">
        <v>1744634.0</v>
      </c>
      <c r="AH8" s="15" t="n">
        <v>1721045.0</v>
      </c>
      <c r="AI8" s="15" t="n">
        <v>1697338.0</v>
      </c>
      <c r="AJ8" s="15" t="n">
        <v>1673550.0</v>
      </c>
      <c r="AK8" s="15" t="n">
        <v>1649710.0</v>
      </c>
      <c r="AL8" s="15" t="n">
        <v>1625641.0</v>
      </c>
      <c r="AM8" s="15" t="n">
        <v>1601455.0</v>
      </c>
      <c r="AN8" s="15" t="n">
        <v>1577015.0</v>
      </c>
      <c r="AO8" s="15" t="n">
        <v>1552569.0</v>
      </c>
    </row>
    <row r="9" spans="1:41" x14ac:dyDescent="0.2">
      <c r="A9" s="136"/>
      <c r="B9" s="64" t="s">
        <v>8</v>
      </c>
      <c r="C9" s="3" t="n">
        <v>410784.0</v>
      </c>
      <c r="D9" s="3" t="n">
        <v>405299.0</v>
      </c>
      <c r="E9" s="3" t="n">
        <v>398148.0</v>
      </c>
      <c r="F9" s="3" t="n">
        <v>389769.0</v>
      </c>
      <c r="G9" s="3" t="n">
        <v>379103.0</v>
      </c>
      <c r="H9" s="3" t="n">
        <v>368493.0</v>
      </c>
      <c r="I9" s="3" t="n">
        <v>358564.0</v>
      </c>
      <c r="J9" s="3" t="n">
        <v>348771.0</v>
      </c>
      <c r="K9" s="3" t="n">
        <v>338270.0</v>
      </c>
      <c r="L9" s="3" t="n">
        <v>328930.0</v>
      </c>
      <c r="M9" s="3" t="n">
        <v>318916.0</v>
      </c>
      <c r="N9" s="3" t="n">
        <v>309177.0</v>
      </c>
      <c r="O9" s="3" t="n">
        <v>298634.0</v>
      </c>
      <c r="P9" s="3" t="n">
        <v>287150.0</v>
      </c>
      <c r="Q9" s="3" t="n">
        <v>276434.0</v>
      </c>
      <c r="R9" s="3" t="n">
        <v>267311.0</v>
      </c>
      <c r="S9" s="3" t="n">
        <v>259137.0</v>
      </c>
      <c r="T9" s="3" t="n">
        <v>251856.0</v>
      </c>
      <c r="U9" s="3" t="n">
        <v>246384.0</v>
      </c>
      <c r="V9" s="3" t="n">
        <v>242169.0</v>
      </c>
      <c r="W9" s="3" t="n">
        <v>238456.0</v>
      </c>
      <c r="X9" s="3" t="n">
        <v>235243.0</v>
      </c>
      <c r="Y9" s="3" t="n">
        <v>232428.0</v>
      </c>
      <c r="Z9" s="3" t="n">
        <v>229980.0</v>
      </c>
      <c r="AA9" s="3" t="n">
        <v>227739.0</v>
      </c>
      <c r="AB9" s="3" t="n">
        <v>225684.0</v>
      </c>
      <c r="AC9" s="3" t="n">
        <v>223733.0</v>
      </c>
      <c r="AD9" s="3" t="n">
        <v>221783.0</v>
      </c>
      <c r="AE9" s="3" t="n">
        <v>219814.0</v>
      </c>
      <c r="AF9" s="3" t="n">
        <v>217754.0</v>
      </c>
      <c r="AG9" s="3" t="n">
        <v>215497.0</v>
      </c>
      <c r="AH9" s="3" t="n">
        <v>213069.0</v>
      </c>
      <c r="AI9" s="3" t="n">
        <v>210383.0</v>
      </c>
      <c r="AJ9" s="3" t="n">
        <v>207397.0</v>
      </c>
      <c r="AK9" s="3" t="n">
        <v>204101.0</v>
      </c>
      <c r="AL9" s="3" t="n">
        <v>200486.0</v>
      </c>
      <c r="AM9" s="3" t="n">
        <v>196587.0</v>
      </c>
      <c r="AN9" s="3" t="n">
        <v>192433.0</v>
      </c>
      <c r="AO9" s="3" t="n">
        <v>188067.0</v>
      </c>
    </row>
    <row r="10" spans="1:41" x14ac:dyDescent="0.2">
      <c r="A10" s="136"/>
      <c r="B10" s="64" t="s">
        <v>9</v>
      </c>
      <c r="C10" s="3" t="n">
        <v>1362634.0</v>
      </c>
      <c r="D10" s="3" t="n">
        <v>1346870.0</v>
      </c>
      <c r="E10" s="3" t="n">
        <v>1333409.0</v>
      </c>
      <c r="F10" s="3" t="n">
        <v>1322611.0</v>
      </c>
      <c r="G10" s="3" t="n">
        <v>1314441.0</v>
      </c>
      <c r="H10" s="3" t="n">
        <v>1308873.0</v>
      </c>
      <c r="I10" s="3" t="n">
        <v>1303412.0</v>
      </c>
      <c r="J10" s="3" t="n">
        <v>1295611.0</v>
      </c>
      <c r="K10" s="3" t="n">
        <v>1287458.0</v>
      </c>
      <c r="L10" s="3" t="n">
        <v>1277052.0</v>
      </c>
      <c r="M10" s="3" t="n">
        <v>1266519.0</v>
      </c>
      <c r="N10" s="3" t="n">
        <v>1254643.0</v>
      </c>
      <c r="O10" s="3" t="n">
        <v>1242640.0</v>
      </c>
      <c r="P10" s="3" t="n">
        <v>1230496.0</v>
      </c>
      <c r="Q10" s="3" t="n">
        <v>1216392.0</v>
      </c>
      <c r="R10" s="3" t="n">
        <v>1200355.0</v>
      </c>
      <c r="S10" s="3" t="n">
        <v>1183152.0</v>
      </c>
      <c r="T10" s="3" t="n">
        <v>1164274.0</v>
      </c>
      <c r="U10" s="3" t="n">
        <v>1143116.0</v>
      </c>
      <c r="V10" s="3" t="n">
        <v>1120930.0</v>
      </c>
      <c r="W10" s="3" t="n">
        <v>1097469.0</v>
      </c>
      <c r="X10" s="3" t="n">
        <v>1072869.0</v>
      </c>
      <c r="Y10" s="3" t="n">
        <v>1048994.0</v>
      </c>
      <c r="Z10" s="3" t="n">
        <v>1025246.0</v>
      </c>
      <c r="AA10" s="3" t="n">
        <v>1002706.0</v>
      </c>
      <c r="AB10" s="3" t="n">
        <v>979934.0</v>
      </c>
      <c r="AC10" s="3" t="n">
        <v>957193.0</v>
      </c>
      <c r="AD10" s="3" t="n">
        <v>935538.0</v>
      </c>
      <c r="AE10" s="3" t="n">
        <v>914373.0</v>
      </c>
      <c r="AF10" s="3" t="n">
        <v>894750.0</v>
      </c>
      <c r="AG10" s="3" t="n">
        <v>876752.0</v>
      </c>
      <c r="AH10" s="3" t="n">
        <v>859321.0</v>
      </c>
      <c r="AI10" s="3" t="n">
        <v>842973.0</v>
      </c>
      <c r="AJ10" s="3" t="n">
        <v>827245.0</v>
      </c>
      <c r="AK10" s="3" t="n">
        <v>812411.0</v>
      </c>
      <c r="AL10" s="3" t="n">
        <v>798772.0</v>
      </c>
      <c r="AM10" s="3" t="n">
        <v>786125.0</v>
      </c>
      <c r="AN10" s="3" t="n">
        <v>774399.0</v>
      </c>
      <c r="AO10" s="3" t="n">
        <v>763381.0</v>
      </c>
    </row>
    <row r="11" spans="1:41" x14ac:dyDescent="0.2">
      <c r="A11" s="136"/>
      <c r="B11" s="64" t="s">
        <v>11</v>
      </c>
      <c r="C11" s="3" t="n">
        <v>812086.0</v>
      </c>
      <c r="D11" s="3" t="n">
        <v>793442.0</v>
      </c>
      <c r="E11" s="3" t="n">
        <v>775708.0</v>
      </c>
      <c r="F11" s="3" t="n">
        <v>758561.0</v>
      </c>
      <c r="G11" s="3" t="n">
        <v>744651.0</v>
      </c>
      <c r="H11" s="3" t="n">
        <v>730562.0</v>
      </c>
      <c r="I11" s="3" t="n">
        <v>715493.0</v>
      </c>
      <c r="J11" s="3" t="n">
        <v>700529.0</v>
      </c>
      <c r="K11" s="3" t="n">
        <v>686542.0</v>
      </c>
      <c r="L11" s="3" t="n">
        <v>673494.0</v>
      </c>
      <c r="M11" s="3" t="n">
        <v>662522.0</v>
      </c>
      <c r="N11" s="3" t="n">
        <v>651816.0</v>
      </c>
      <c r="O11" s="3" t="n">
        <v>642702.0</v>
      </c>
      <c r="P11" s="3" t="n">
        <v>634527.0</v>
      </c>
      <c r="Q11" s="3" t="n">
        <v>626179.0</v>
      </c>
      <c r="R11" s="3" t="n">
        <v>618040.0</v>
      </c>
      <c r="S11" s="3" t="n">
        <v>609736.0</v>
      </c>
      <c r="T11" s="3" t="n">
        <v>601962.0</v>
      </c>
      <c r="U11" s="3" t="n">
        <v>593715.0</v>
      </c>
      <c r="V11" s="3" t="n">
        <v>584866.0</v>
      </c>
      <c r="W11" s="3" t="n">
        <v>576618.0</v>
      </c>
      <c r="X11" s="3" t="n">
        <v>568953.0</v>
      </c>
      <c r="Y11" s="3" t="n">
        <v>561270.0</v>
      </c>
      <c r="Z11" s="3" t="n">
        <v>553259.0</v>
      </c>
      <c r="AA11" s="3" t="n">
        <v>545618.0</v>
      </c>
      <c r="AB11" s="3" t="n">
        <v>538128.0</v>
      </c>
      <c r="AC11" s="3" t="n">
        <v>530758.0</v>
      </c>
      <c r="AD11" s="3" t="n">
        <v>522486.0</v>
      </c>
      <c r="AE11" s="3" t="n">
        <v>513808.0</v>
      </c>
      <c r="AF11" s="3" t="n">
        <v>503960.0</v>
      </c>
      <c r="AG11" s="3" t="n">
        <v>493318.0</v>
      </c>
      <c r="AH11" s="3" t="n">
        <v>480917.0</v>
      </c>
      <c r="AI11" s="3" t="n">
        <v>467905.0</v>
      </c>
      <c r="AJ11" s="3" t="n">
        <v>455471.0</v>
      </c>
      <c r="AK11" s="3" t="n">
        <v>444337.0</v>
      </c>
      <c r="AL11" s="3" t="n">
        <v>433215.0</v>
      </c>
      <c r="AM11" s="3" t="n">
        <v>423539.0</v>
      </c>
      <c r="AN11" s="3" t="n">
        <v>413429.0</v>
      </c>
      <c r="AO11" s="3" t="n">
        <v>403749.0</v>
      </c>
    </row>
    <row r="12" spans="1:41" x14ac:dyDescent="0.2">
      <c r="A12" s="136"/>
      <c r="B12" s="64" t="s">
        <v>12</v>
      </c>
      <c r="C12" s="3" t="n">
        <v>550548.0</v>
      </c>
      <c r="D12" s="3" t="n">
        <v>553428.0</v>
      </c>
      <c r="E12" s="3" t="n">
        <v>557701.0</v>
      </c>
      <c r="F12" s="3" t="n">
        <v>564050.0</v>
      </c>
      <c r="G12" s="3" t="n">
        <v>569790.0</v>
      </c>
      <c r="H12" s="3" t="n">
        <v>578311.0</v>
      </c>
      <c r="I12" s="3" t="n">
        <v>587919.0</v>
      </c>
      <c r="J12" s="3" t="n">
        <v>595082.0</v>
      </c>
      <c r="K12" s="3" t="n">
        <v>600916.0</v>
      </c>
      <c r="L12" s="3" t="n">
        <v>603558.0</v>
      </c>
      <c r="M12" s="3" t="n">
        <v>603997.0</v>
      </c>
      <c r="N12" s="3" t="n">
        <v>602827.0</v>
      </c>
      <c r="O12" s="3" t="n">
        <v>599938.0</v>
      </c>
      <c r="P12" s="3" t="n">
        <v>595969.0</v>
      </c>
      <c r="Q12" s="3" t="n">
        <v>590213.0</v>
      </c>
      <c r="R12" s="3" t="n">
        <v>582315.0</v>
      </c>
      <c r="S12" s="3" t="n">
        <v>573416.0</v>
      </c>
      <c r="T12" s="3" t="n">
        <v>562312.0</v>
      </c>
      <c r="U12" s="3" t="n">
        <v>549401.0</v>
      </c>
      <c r="V12" s="3" t="n">
        <v>536064.0</v>
      </c>
      <c r="W12" s="3" t="n">
        <v>520851.0</v>
      </c>
      <c r="X12" s="3" t="n">
        <v>503916.0</v>
      </c>
      <c r="Y12" s="3" t="n">
        <v>487724.0</v>
      </c>
      <c r="Z12" s="3" t="n">
        <v>471987.0</v>
      </c>
      <c r="AA12" s="3" t="n">
        <v>457088.0</v>
      </c>
      <c r="AB12" s="3" t="n">
        <v>441806.0</v>
      </c>
      <c r="AC12" s="3" t="n">
        <v>426435.0</v>
      </c>
      <c r="AD12" s="3" t="n">
        <v>413052.0</v>
      </c>
      <c r="AE12" s="3" t="n">
        <v>400565.0</v>
      </c>
      <c r="AF12" s="3" t="n">
        <v>390790.0</v>
      </c>
      <c r="AG12" s="3" t="n">
        <v>383434.0</v>
      </c>
      <c r="AH12" s="3" t="n">
        <v>378404.0</v>
      </c>
      <c r="AI12" s="3" t="n">
        <v>375068.0</v>
      </c>
      <c r="AJ12" s="3" t="n">
        <v>371774.0</v>
      </c>
      <c r="AK12" s="3" t="n">
        <v>368074.0</v>
      </c>
      <c r="AL12" s="3" t="n">
        <v>365557.0</v>
      </c>
      <c r="AM12" s="3" t="n">
        <v>362586.0</v>
      </c>
      <c r="AN12" s="3" t="n">
        <v>360970.0</v>
      </c>
      <c r="AO12" s="3" t="n">
        <v>359632.0</v>
      </c>
    </row>
    <row r="13" spans="1:41" x14ac:dyDescent="0.2">
      <c r="A13" s="136"/>
      <c r="B13" s="64" t="s">
        <v>10</v>
      </c>
      <c r="C13" s="3" t="n">
        <v>605065.0</v>
      </c>
      <c r="D13" s="3" t="n">
        <v>611187.0</v>
      </c>
      <c r="E13" s="3" t="n">
        <v>615881.0</v>
      </c>
      <c r="F13" s="3" t="n">
        <v>618518.0</v>
      </c>
      <c r="G13" s="3" t="n">
        <v>620251.0</v>
      </c>
      <c r="H13" s="3" t="n">
        <v>621249.0</v>
      </c>
      <c r="I13" s="3" t="n">
        <v>621765.0</v>
      </c>
      <c r="J13" s="3" t="n">
        <v>622096.0</v>
      </c>
      <c r="K13" s="3" t="n">
        <v>622018.0</v>
      </c>
      <c r="L13" s="3" t="n">
        <v>622146.0</v>
      </c>
      <c r="M13" s="3" t="n">
        <v>622321.0</v>
      </c>
      <c r="N13" s="3" t="n">
        <v>622880.0</v>
      </c>
      <c r="O13" s="3" t="n">
        <v>623962.0</v>
      </c>
      <c r="P13" s="3" t="n">
        <v>625541.0</v>
      </c>
      <c r="Q13" s="3" t="n">
        <v>628085.0</v>
      </c>
      <c r="R13" s="3" t="n">
        <v>630489.0</v>
      </c>
      <c r="S13" s="3" t="n">
        <v>632871.0</v>
      </c>
      <c r="T13" s="3" t="n">
        <v>635686.0</v>
      </c>
      <c r="U13" s="3" t="n">
        <v>638941.0</v>
      </c>
      <c r="V13" s="3" t="n">
        <v>641814.0</v>
      </c>
      <c r="W13" s="3" t="n">
        <v>645384.0</v>
      </c>
      <c r="X13" s="3" t="n">
        <v>649529.0</v>
      </c>
      <c r="Y13" s="3" t="n">
        <v>652546.0</v>
      </c>
      <c r="Z13" s="3" t="n">
        <v>654917.0</v>
      </c>
      <c r="AA13" s="3" t="n">
        <v>655910.0</v>
      </c>
      <c r="AB13" s="3" t="n">
        <v>657049.0</v>
      </c>
      <c r="AC13" s="3" t="n">
        <v>658095.0</v>
      </c>
      <c r="AD13" s="3" t="n">
        <v>657993.0</v>
      </c>
      <c r="AE13" s="3" t="n">
        <v>657645.0</v>
      </c>
      <c r="AF13" s="3" t="n">
        <v>655737.0</v>
      </c>
      <c r="AG13" s="3" t="n">
        <v>652385.0</v>
      </c>
      <c r="AH13" s="3" t="n">
        <v>648655.0</v>
      </c>
      <c r="AI13" s="3" t="n">
        <v>643982.0</v>
      </c>
      <c r="AJ13" s="3" t="n">
        <v>638908.0</v>
      </c>
      <c r="AK13" s="3" t="n">
        <v>633198.0</v>
      </c>
      <c r="AL13" s="3" t="n">
        <v>626383.0</v>
      </c>
      <c r="AM13" s="3" t="n">
        <v>618743.0</v>
      </c>
      <c r="AN13" s="3" t="n">
        <v>610183.0</v>
      </c>
      <c r="AO13" s="3" t="n">
        <v>601121.0</v>
      </c>
    </row>
    <row r="14" spans="1:41" x14ac:dyDescent="0.2">
      <c r="A14" s="136"/>
      <c r="B14" s="64" t="s">
        <v>0</v>
      </c>
      <c r="C14" s="3" t="n">
        <v>57839.0</v>
      </c>
      <c r="D14" s="3" t="n">
        <v>53765.0</v>
      </c>
      <c r="E14" s="3" t="n">
        <v>49931.0</v>
      </c>
      <c r="F14" s="3" t="n">
        <v>47469.0</v>
      </c>
      <c r="G14" s="3" t="n">
        <v>45873.0</v>
      </c>
      <c r="H14" s="3" t="n">
        <v>44549.0</v>
      </c>
      <c r="I14" s="3" t="n">
        <v>43409.0</v>
      </c>
      <c r="J14" s="3" t="n">
        <v>42298.0</v>
      </c>
      <c r="K14" s="3" t="n">
        <v>41310.0</v>
      </c>
      <c r="L14" s="3" t="n">
        <v>40413.0</v>
      </c>
      <c r="M14" s="3" t="n">
        <v>39636.0</v>
      </c>
      <c r="N14" s="3" t="n">
        <v>38973.0</v>
      </c>
      <c r="O14" s="3" t="n">
        <v>38429.0</v>
      </c>
      <c r="P14" s="3" t="n">
        <v>37987.0</v>
      </c>
      <c r="Q14" s="3" t="n">
        <v>37653.0</v>
      </c>
      <c r="R14" s="3" t="n">
        <v>37402.0</v>
      </c>
      <c r="S14" s="3" t="n">
        <v>37269.0</v>
      </c>
      <c r="T14" s="3" t="n">
        <v>37204.0</v>
      </c>
      <c r="U14" s="3" t="n">
        <v>37180.0</v>
      </c>
      <c r="V14" s="3" t="n">
        <v>37158.0</v>
      </c>
      <c r="W14" s="3" t="n">
        <v>37106.0</v>
      </c>
      <c r="X14" s="3" t="n">
        <v>36977.0</v>
      </c>
      <c r="Y14" s="3" t="n">
        <v>36781.0</v>
      </c>
      <c r="Z14" s="3" t="n">
        <v>36517.0</v>
      </c>
      <c r="AA14" s="3" t="n">
        <v>36171.0</v>
      </c>
      <c r="AB14" s="3" t="n">
        <v>35727.0</v>
      </c>
      <c r="AC14" s="3" t="n">
        <v>35190.0</v>
      </c>
      <c r="AD14" s="3" t="n">
        <v>34555.0</v>
      </c>
      <c r="AE14" s="3" t="n">
        <v>33839.0</v>
      </c>
      <c r="AF14" s="3" t="n">
        <v>33027.0</v>
      </c>
      <c r="AG14" s="3" t="n">
        <v>32138.0</v>
      </c>
      <c r="AH14" s="3" t="n">
        <v>31206.0</v>
      </c>
      <c r="AI14" s="3" t="n">
        <v>30238.0</v>
      </c>
      <c r="AJ14" s="3" t="n">
        <v>29250.0</v>
      </c>
      <c r="AK14" s="3" t="n">
        <v>28238.0</v>
      </c>
      <c r="AL14" s="3" t="n">
        <v>27247.0</v>
      </c>
      <c r="AM14" s="3" t="n">
        <v>26296.0</v>
      </c>
      <c r="AN14" s="3" t="n">
        <v>25392.0</v>
      </c>
      <c r="AO14" s="3" t="n">
        <v>24561.0</v>
      </c>
    </row>
    <row r="15" spans="1:41" x14ac:dyDescent="0.2">
      <c r="A15" s="136"/>
      <c r="B15" s="64" t="s">
        <v>1</v>
      </c>
      <c r="C15" s="3" t="n">
        <v>91314.0</v>
      </c>
      <c r="D15" s="3" t="n">
        <v>88699.0</v>
      </c>
      <c r="E15" s="3" t="n">
        <v>84455.0</v>
      </c>
      <c r="F15" s="3" t="n">
        <v>79194.0</v>
      </c>
      <c r="G15" s="3" t="n">
        <v>74243.0</v>
      </c>
      <c r="H15" s="3" t="n">
        <v>69885.0</v>
      </c>
      <c r="I15" s="3" t="n">
        <v>65917.0</v>
      </c>
      <c r="J15" s="3" t="n">
        <v>63145.0</v>
      </c>
      <c r="K15" s="3" t="n">
        <v>61130.0</v>
      </c>
      <c r="L15" s="3" t="n">
        <v>59246.0</v>
      </c>
      <c r="M15" s="3" t="n">
        <v>57565.0</v>
      </c>
      <c r="N15" s="3" t="n">
        <v>56058.0</v>
      </c>
      <c r="O15" s="3" t="n">
        <v>54775.0</v>
      </c>
      <c r="P15" s="3" t="n">
        <v>53621.0</v>
      </c>
      <c r="Q15" s="3" t="n">
        <v>52641.0</v>
      </c>
      <c r="R15" s="3" t="n">
        <v>51831.0</v>
      </c>
      <c r="S15" s="3" t="n">
        <v>51148.0</v>
      </c>
      <c r="T15" s="3" t="n">
        <v>50623.0</v>
      </c>
      <c r="U15" s="3" t="n">
        <v>50237.0</v>
      </c>
      <c r="V15" s="3" t="n">
        <v>49971.0</v>
      </c>
      <c r="W15" s="3" t="n">
        <v>49825.0</v>
      </c>
      <c r="X15" s="3" t="n">
        <v>49756.0</v>
      </c>
      <c r="Y15" s="3" t="n">
        <v>49722.0</v>
      </c>
      <c r="Z15" s="3" t="n">
        <v>49662.0</v>
      </c>
      <c r="AA15" s="3" t="n">
        <v>49535.0</v>
      </c>
      <c r="AB15" s="3" t="n">
        <v>49330.0</v>
      </c>
      <c r="AC15" s="3" t="n">
        <v>49036.0</v>
      </c>
      <c r="AD15" s="3" t="n">
        <v>48615.0</v>
      </c>
      <c r="AE15" s="3" t="n">
        <v>48086.0</v>
      </c>
      <c r="AF15" s="3" t="n">
        <v>47456.0</v>
      </c>
      <c r="AG15" s="3" t="n">
        <v>46679.0</v>
      </c>
      <c r="AH15" s="3" t="n">
        <v>45802.0</v>
      </c>
      <c r="AI15" s="3" t="n">
        <v>44805.0</v>
      </c>
      <c r="AJ15" s="3" t="n">
        <v>43674.0</v>
      </c>
      <c r="AK15" s="3" t="n">
        <v>42489.0</v>
      </c>
      <c r="AL15" s="3" t="n">
        <v>41220.0</v>
      </c>
      <c r="AM15" s="3" t="n">
        <v>39914.0</v>
      </c>
      <c r="AN15" s="3" t="n">
        <v>38611.0</v>
      </c>
      <c r="AO15" s="3" t="n">
        <v>37287.0</v>
      </c>
    </row>
    <row r="16" spans="1:41" x14ac:dyDescent="0.2">
      <c r="A16" s="136"/>
      <c r="B16" s="65" t="s">
        <v>18</v>
      </c>
      <c r="C16" s="3" t="n">
        <v>193350.0</v>
      </c>
      <c r="D16" s="3" t="n">
        <v>190876.0</v>
      </c>
      <c r="E16" s="3" t="n">
        <v>188573.0</v>
      </c>
      <c r="F16" s="3" t="n">
        <v>186115.0</v>
      </c>
      <c r="G16" s="3" t="n">
        <v>183351.0</v>
      </c>
      <c r="H16" s="3" t="n">
        <v>180230.0</v>
      </c>
      <c r="I16" s="3" t="n">
        <v>178069.0</v>
      </c>
      <c r="J16" s="3" t="n">
        <v>173285.0</v>
      </c>
      <c r="K16" s="3" t="n">
        <v>167435.0</v>
      </c>
      <c r="L16" s="3" t="n">
        <v>160288.0</v>
      </c>
      <c r="M16" s="3" t="n">
        <v>151736.0</v>
      </c>
      <c r="N16" s="3" t="n">
        <v>143535.0</v>
      </c>
      <c r="O16" s="3" t="n">
        <v>136478.0</v>
      </c>
      <c r="P16" s="3" t="n">
        <v>129999.0</v>
      </c>
      <c r="Q16" s="3" t="n">
        <v>124068.0</v>
      </c>
      <c r="R16" s="3" t="n">
        <v>119682.0</v>
      </c>
      <c r="S16" s="3" t="n">
        <v>116322.0</v>
      </c>
      <c r="T16" s="3" t="n">
        <v>113269.0</v>
      </c>
      <c r="U16" s="3" t="n">
        <v>110601.0</v>
      </c>
      <c r="V16" s="3" t="n">
        <v>108261.0</v>
      </c>
      <c r="W16" s="3" t="n">
        <v>106274.0</v>
      </c>
      <c r="X16" s="3" t="n">
        <v>104579.0</v>
      </c>
      <c r="Y16" s="3" t="n">
        <v>103205.0</v>
      </c>
      <c r="Z16" s="3" t="n">
        <v>102114.0</v>
      </c>
      <c r="AA16" s="3" t="n">
        <v>101271.0</v>
      </c>
      <c r="AB16" s="3" t="n">
        <v>100672.0</v>
      </c>
      <c r="AC16" s="3" t="n">
        <v>100254.0</v>
      </c>
      <c r="AD16" s="3" t="n">
        <v>99927.0</v>
      </c>
      <c r="AE16" s="3" t="n">
        <v>99656.0</v>
      </c>
      <c r="AF16" s="3" t="n">
        <v>99381.0</v>
      </c>
      <c r="AG16" s="3" t="n">
        <v>99049.0</v>
      </c>
      <c r="AH16" s="3" t="n">
        <v>98565.0</v>
      </c>
      <c r="AI16" s="3" t="n">
        <v>97916.0</v>
      </c>
      <c r="AJ16" s="3" t="n">
        <v>97081.0</v>
      </c>
      <c r="AK16" s="3" t="n">
        <v>96015.0</v>
      </c>
      <c r="AL16" s="3" t="n">
        <v>94712.0</v>
      </c>
      <c r="AM16" s="3" t="n">
        <v>93187.0</v>
      </c>
      <c r="AN16" s="3" t="n">
        <v>91438.0</v>
      </c>
      <c r="AO16" s="3" t="n">
        <v>89493.0</v>
      </c>
    </row>
    <row r="17" spans="1:41" x14ac:dyDescent="0.2">
      <c r="A17" s="136"/>
      <c r="B17" s="64" t="s">
        <v>19</v>
      </c>
      <c r="C17" s="3" t="n">
        <v>89827.0</v>
      </c>
      <c r="D17" s="3" t="n">
        <v>93735.0</v>
      </c>
      <c r="E17" s="3" t="n">
        <v>98025.0</v>
      </c>
      <c r="F17" s="3" t="n">
        <v>100595.0</v>
      </c>
      <c r="G17" s="3" t="n">
        <v>101085.0</v>
      </c>
      <c r="H17" s="3" t="n">
        <v>99954.0</v>
      </c>
      <c r="I17" s="3" t="n">
        <v>96717.0</v>
      </c>
      <c r="J17" s="3" t="n">
        <v>94306.0</v>
      </c>
      <c r="K17" s="3" t="n">
        <v>92664.0</v>
      </c>
      <c r="L17" s="3" t="n">
        <v>91671.0</v>
      </c>
      <c r="M17" s="3" t="n">
        <v>93049.0</v>
      </c>
      <c r="N17" s="3" t="n">
        <v>93206.0</v>
      </c>
      <c r="O17" s="3" t="n">
        <v>92200.0</v>
      </c>
      <c r="P17" s="3" t="n">
        <v>89591.0</v>
      </c>
      <c r="Q17" s="3" t="n">
        <v>85294.0</v>
      </c>
      <c r="R17" s="3" t="n">
        <v>80001.0</v>
      </c>
      <c r="S17" s="3" t="n">
        <v>75036.0</v>
      </c>
      <c r="T17" s="3" t="n">
        <v>70503.0</v>
      </c>
      <c r="U17" s="3" t="n">
        <v>66290.0</v>
      </c>
      <c r="V17" s="3" t="n">
        <v>63434.0</v>
      </c>
      <c r="W17" s="3" t="n">
        <v>61373.0</v>
      </c>
      <c r="X17" s="3" t="n">
        <v>59465.0</v>
      </c>
      <c r="Y17" s="3" t="n">
        <v>57786.0</v>
      </c>
      <c r="Z17" s="3" t="n">
        <v>56278.0</v>
      </c>
      <c r="AA17" s="3" t="n">
        <v>54981.0</v>
      </c>
      <c r="AB17" s="3" t="n">
        <v>53812.0</v>
      </c>
      <c r="AC17" s="3" t="n">
        <v>52812.0</v>
      </c>
      <c r="AD17" s="3" t="n">
        <v>51988.0</v>
      </c>
      <c r="AE17" s="3" t="n">
        <v>51290.0</v>
      </c>
      <c r="AF17" s="3" t="n">
        <v>50755.0</v>
      </c>
      <c r="AG17" s="3" t="n">
        <v>50364.0</v>
      </c>
      <c r="AH17" s="3" t="n">
        <v>50099.0</v>
      </c>
      <c r="AI17" s="3" t="n">
        <v>49947.0</v>
      </c>
      <c r="AJ17" s="3" t="n">
        <v>49865.0</v>
      </c>
      <c r="AK17" s="3" t="n">
        <v>49823.0</v>
      </c>
      <c r="AL17" s="3" t="n">
        <v>49757.0</v>
      </c>
      <c r="AM17" s="3" t="n">
        <v>49629.0</v>
      </c>
      <c r="AN17" s="3" t="n">
        <v>49421.0</v>
      </c>
      <c r="AO17" s="3" t="n">
        <v>49121.0</v>
      </c>
    </row>
    <row r="18" spans="1:41" x14ac:dyDescent="0.2">
      <c r="A18" s="136"/>
      <c r="B18" s="64" t="s">
        <v>2</v>
      </c>
      <c r="C18" s="3" t="n">
        <v>131071.0</v>
      </c>
      <c r="D18" s="3" t="n">
        <v>129624.0</v>
      </c>
      <c r="E18" s="3" t="n">
        <v>128829.0</v>
      </c>
      <c r="F18" s="3" t="n">
        <v>129247.0</v>
      </c>
      <c r="G18" s="3" t="n">
        <v>131188.0</v>
      </c>
      <c r="H18" s="3" t="n">
        <v>135663.0</v>
      </c>
      <c r="I18" s="3" t="n">
        <v>141247.0</v>
      </c>
      <c r="J18" s="3" t="n">
        <v>145290.0</v>
      </c>
      <c r="K18" s="3" t="n">
        <v>147688.0</v>
      </c>
      <c r="L18" s="3" t="n">
        <v>149008.0</v>
      </c>
      <c r="M18" s="3" t="n">
        <v>147972.0</v>
      </c>
      <c r="N18" s="3" t="n">
        <v>145461.0</v>
      </c>
      <c r="O18" s="3" t="n">
        <v>141831.0</v>
      </c>
      <c r="P18" s="3" t="n">
        <v>139502.0</v>
      </c>
      <c r="Q18" s="3" t="n">
        <v>139286.0</v>
      </c>
      <c r="R18" s="3" t="n">
        <v>138244.0</v>
      </c>
      <c r="S18" s="3" t="n">
        <v>137171.0</v>
      </c>
      <c r="T18" s="3" t="n">
        <v>134737.0</v>
      </c>
      <c r="U18" s="3" t="n">
        <v>131875.0</v>
      </c>
      <c r="V18" s="3" t="n">
        <v>126557.0</v>
      </c>
      <c r="W18" s="3" t="n">
        <v>119189.0</v>
      </c>
      <c r="X18" s="3" t="n">
        <v>112117.0</v>
      </c>
      <c r="Y18" s="3" t="n">
        <v>106071.0</v>
      </c>
      <c r="Z18" s="3" t="n">
        <v>100536.0</v>
      </c>
      <c r="AA18" s="3" t="n">
        <v>95415.0</v>
      </c>
      <c r="AB18" s="3" t="n">
        <v>91763.0</v>
      </c>
      <c r="AC18" s="3" t="n">
        <v>89000.0</v>
      </c>
      <c r="AD18" s="3" t="n">
        <v>86460.0</v>
      </c>
      <c r="AE18" s="3" t="n">
        <v>84248.0</v>
      </c>
      <c r="AF18" s="3" t="n">
        <v>82236.0</v>
      </c>
      <c r="AG18" s="3" t="n">
        <v>80511.0</v>
      </c>
      <c r="AH18" s="3" t="n">
        <v>79019.0</v>
      </c>
      <c r="AI18" s="3" t="n">
        <v>77765.0</v>
      </c>
      <c r="AJ18" s="3" t="n">
        <v>76730.0</v>
      </c>
      <c r="AK18" s="3" t="n">
        <v>75905.0</v>
      </c>
      <c r="AL18" s="3" t="n">
        <v>75323.0</v>
      </c>
      <c r="AM18" s="3" t="n">
        <v>74911.0</v>
      </c>
      <c r="AN18" s="3" t="n">
        <v>74621.0</v>
      </c>
      <c r="AO18" s="3" t="n">
        <v>74443.0</v>
      </c>
    </row>
    <row r="19" spans="1:41" x14ac:dyDescent="0.2">
      <c r="A19" s="136"/>
      <c r="B19" s="64" t="s">
        <v>3</v>
      </c>
      <c r="C19" s="3" t="n">
        <v>342503.0</v>
      </c>
      <c r="D19" s="3" t="n">
        <v>333340.0</v>
      </c>
      <c r="E19" s="3" t="n">
        <v>322959.0</v>
      </c>
      <c r="F19" s="3" t="n">
        <v>312778.0</v>
      </c>
      <c r="G19" s="3" t="n">
        <v>303467.0</v>
      </c>
      <c r="H19" s="3" t="n">
        <v>294664.0</v>
      </c>
      <c r="I19" s="3" t="n">
        <v>287395.0</v>
      </c>
      <c r="J19" s="3" t="n">
        <v>278728.0</v>
      </c>
      <c r="K19" s="3" t="n">
        <v>269875.0</v>
      </c>
      <c r="L19" s="3" t="n">
        <v>259947.0</v>
      </c>
      <c r="M19" s="3" t="n">
        <v>248937.0</v>
      </c>
      <c r="N19" s="3" t="n">
        <v>238566.0</v>
      </c>
      <c r="O19" s="3" t="n">
        <v>229682.0</v>
      </c>
      <c r="P19" s="3" t="n">
        <v>221607.0</v>
      </c>
      <c r="Q19" s="3" t="n">
        <v>214362.0</v>
      </c>
      <c r="R19" s="3" t="n">
        <v>208915.0</v>
      </c>
      <c r="S19" s="3" t="n">
        <v>204739.0</v>
      </c>
      <c r="T19" s="3" t="n">
        <v>201096.0</v>
      </c>
      <c r="U19" s="3" t="n">
        <v>198018.0</v>
      </c>
      <c r="V19" s="3" t="n">
        <v>195390.0</v>
      </c>
      <c r="W19" s="3" t="n">
        <v>193205.0</v>
      </c>
      <c r="X19" s="3" t="n">
        <v>191312.0</v>
      </c>
      <c r="Y19" s="3" t="n">
        <v>189708.0</v>
      </c>
      <c r="Z19" s="3" t="n">
        <v>188293.0</v>
      </c>
      <c r="AA19" s="3" t="n">
        <v>186977.0</v>
      </c>
      <c r="AB19" s="3" t="n">
        <v>185729.0</v>
      </c>
      <c r="AC19" s="3" t="n">
        <v>184480.0</v>
      </c>
      <c r="AD19" s="3" t="n">
        <v>183097.0</v>
      </c>
      <c r="AE19" s="3" t="n">
        <v>181581.0</v>
      </c>
      <c r="AF19" s="3" t="n">
        <v>179864.0</v>
      </c>
      <c r="AG19" s="3" t="n">
        <v>177866.0</v>
      </c>
      <c r="AH19" s="3" t="n">
        <v>175573.0</v>
      </c>
      <c r="AI19" s="3" t="n">
        <v>172959.0</v>
      </c>
      <c r="AJ19" s="3" t="n">
        <v>170005.0</v>
      </c>
      <c r="AK19" s="3" t="n">
        <v>166742.0</v>
      </c>
      <c r="AL19" s="3" t="n">
        <v>163179.0</v>
      </c>
      <c r="AM19" s="3" t="n">
        <v>159397.0</v>
      </c>
      <c r="AN19" s="3" t="n">
        <v>155441.0</v>
      </c>
      <c r="AO19" s="3" t="n">
        <v>151341.0</v>
      </c>
    </row>
    <row r="20" spans="1:41" x14ac:dyDescent="0.2">
      <c r="A20" s="136"/>
      <c r="B20" s="64" t="s">
        <v>4</v>
      </c>
      <c r="C20" s="3" t="n">
        <v>1518007.0</v>
      </c>
      <c r="D20" s="3" t="n">
        <v>1501079.0</v>
      </c>
      <c r="E20" s="3" t="n">
        <v>1486513.0</v>
      </c>
      <c r="F20" s="3" t="n">
        <v>1474273.0</v>
      </c>
      <c r="G20" s="3" t="n">
        <v>1462658.0</v>
      </c>
      <c r="H20" s="3" t="n">
        <v>1454116.0</v>
      </c>
      <c r="I20" s="3" t="n">
        <v>1445336.0</v>
      </c>
      <c r="J20" s="3" t="n">
        <v>1436468.0</v>
      </c>
      <c r="K20" s="3" t="n">
        <v>1427338.0</v>
      </c>
      <c r="L20" s="3" t="n">
        <v>1418704.0</v>
      </c>
      <c r="M20" s="3" t="n">
        <v>1410921.0</v>
      </c>
      <c r="N20" s="3" t="n">
        <v>1401702.0</v>
      </c>
      <c r="O20" s="3" t="n">
        <v>1390201.0</v>
      </c>
      <c r="P20" s="3" t="n">
        <v>1377278.0</v>
      </c>
      <c r="Q20" s="3" t="n">
        <v>1362299.0</v>
      </c>
      <c r="R20" s="3" t="n">
        <v>1344735.0</v>
      </c>
      <c r="S20" s="3" t="n">
        <v>1325074.0</v>
      </c>
      <c r="T20" s="3" t="n">
        <v>1303832.0</v>
      </c>
      <c r="U20" s="3" t="n">
        <v>1280891.0</v>
      </c>
      <c r="V20" s="3" t="n">
        <v>1256551.0</v>
      </c>
      <c r="W20" s="3" t="n">
        <v>1231863.0</v>
      </c>
      <c r="X20" s="3" t="n">
        <v>1206957.0</v>
      </c>
      <c r="Y20" s="3" t="n">
        <v>1181552.0</v>
      </c>
      <c r="Z20" s="3" t="n">
        <v>1155675.0</v>
      </c>
      <c r="AA20" s="3" t="n">
        <v>1130766.0</v>
      </c>
      <c r="AB20" s="3" t="n">
        <v>1104171.0</v>
      </c>
      <c r="AC20" s="3" t="n">
        <v>1076784.0</v>
      </c>
      <c r="AD20" s="3" t="n">
        <v>1051240.0</v>
      </c>
      <c r="AE20" s="3" t="n">
        <v>1026840.0</v>
      </c>
      <c r="AF20" s="3" t="n">
        <v>1004724.0</v>
      </c>
      <c r="AG20" s="3" t="n">
        <v>984218.0</v>
      </c>
      <c r="AH20" s="3" t="n">
        <v>964538.0</v>
      </c>
      <c r="AI20" s="3" t="n">
        <v>945799.0</v>
      </c>
      <c r="AJ20" s="3" t="n">
        <v>927315.0</v>
      </c>
      <c r="AK20" s="3" t="n">
        <v>909518.0</v>
      </c>
      <c r="AL20" s="3" t="n">
        <v>893442.0</v>
      </c>
      <c r="AM20" s="3" t="n">
        <v>878024.0</v>
      </c>
      <c r="AN20" s="3" t="n">
        <v>863826.0</v>
      </c>
      <c r="AO20" s="3" t="n">
        <v>850769.0</v>
      </c>
    </row>
    <row r="21" spans="1:41" x14ac:dyDescent="0.2">
      <c r="A21" s="136"/>
      <c r="B21" s="64" t="s">
        <v>5</v>
      </c>
      <c r="C21" s="3" t="n">
        <v>517973.0</v>
      </c>
      <c r="D21" s="3" t="n">
        <v>528937.0</v>
      </c>
      <c r="E21" s="3" t="n">
        <v>537966.0</v>
      </c>
      <c r="F21" s="3" t="n">
        <v>543847.0</v>
      </c>
      <c r="G21" s="3" t="n">
        <v>547670.0</v>
      </c>
      <c r="H21" s="3" t="n">
        <v>549835.0</v>
      </c>
      <c r="I21" s="3" t="n">
        <v>551010.0</v>
      </c>
      <c r="J21" s="3" t="n">
        <v>551282.0</v>
      </c>
      <c r="K21" s="3" t="n">
        <v>550533.0</v>
      </c>
      <c r="L21" s="3" t="n">
        <v>549477.0</v>
      </c>
      <c r="M21" s="3" t="n">
        <v>547898.0</v>
      </c>
      <c r="N21" s="3" t="n">
        <v>546432.0</v>
      </c>
      <c r="O21" s="3" t="n">
        <v>545353.0</v>
      </c>
      <c r="P21" s="3" t="n">
        <v>544302.0</v>
      </c>
      <c r="Q21" s="3" t="n">
        <v>544250.0</v>
      </c>
      <c r="R21" s="3" t="n">
        <v>544505.0</v>
      </c>
      <c r="S21" s="3" t="n">
        <v>545347.0</v>
      </c>
      <c r="T21" s="3" t="n">
        <v>546888.0</v>
      </c>
      <c r="U21" s="3" t="n">
        <v>549532.0</v>
      </c>
      <c r="V21" s="3" t="n">
        <v>552972.0</v>
      </c>
      <c r="W21" s="3" t="n">
        <v>556241.0</v>
      </c>
      <c r="X21" s="3" t="n">
        <v>559372.0</v>
      </c>
      <c r="Y21" s="3" t="n">
        <v>562708.0</v>
      </c>
      <c r="Z21" s="3" t="n">
        <v>566175.0</v>
      </c>
      <c r="AA21" s="3" t="n">
        <v>568612.0</v>
      </c>
      <c r="AB21" s="3" t="n">
        <v>572767.0</v>
      </c>
      <c r="AC21" s="3" t="n">
        <v>577757.0</v>
      </c>
      <c r="AD21" s="3" t="n">
        <v>580977.0</v>
      </c>
      <c r="AE21" s="3" t="n">
        <v>583411.0</v>
      </c>
      <c r="AF21" s="3" t="n">
        <v>583653.0</v>
      </c>
      <c r="AG21" s="3" t="n">
        <v>582550.0</v>
      </c>
      <c r="AH21" s="3" t="n">
        <v>580934.0</v>
      </c>
      <c r="AI21" s="3" t="n">
        <v>578580.0</v>
      </c>
      <c r="AJ21" s="3" t="n">
        <v>576230.0</v>
      </c>
      <c r="AK21" s="3" t="n">
        <v>573450.0</v>
      </c>
      <c r="AL21" s="3" t="n">
        <v>569020.0</v>
      </c>
      <c r="AM21" s="3" t="n">
        <v>564034.0</v>
      </c>
      <c r="AN21" s="3" t="n">
        <v>557748.0</v>
      </c>
      <c r="AO21" s="3" t="n">
        <v>550459.0</v>
      </c>
    </row>
    <row r="22" spans="1:41" x14ac:dyDescent="0.2">
      <c r="A22" s="137"/>
      <c r="B22" s="66" t="s">
        <v>6</v>
      </c>
      <c r="C22" s="4" t="n">
        <v>109873.0</v>
      </c>
      <c r="D22" s="4" t="n">
        <v>110016.0</v>
      </c>
      <c r="E22" s="4" t="n">
        <v>109765.0</v>
      </c>
      <c r="F22" s="4" t="n">
        <v>110252.0</v>
      </c>
      <c r="G22" s="4" t="n">
        <v>118119.0</v>
      </c>
      <c r="H22" s="4" t="n">
        <v>125355.0</v>
      </c>
      <c r="I22" s="4" t="n">
        <v>132670.0</v>
      </c>
      <c r="J22" s="4" t="n">
        <v>139171.0</v>
      </c>
      <c r="K22" s="4" t="n">
        <v>146196.0</v>
      </c>
      <c r="L22" s="4" t="n">
        <v>154002.0</v>
      </c>
      <c r="M22" s="4" t="n">
        <v>161143.0</v>
      </c>
      <c r="N22" s="4" t="n">
        <v>168082.0</v>
      </c>
      <c r="O22" s="4" t="n">
        <v>174050.0</v>
      </c>
      <c r="P22" s="4" t="n">
        <v>180534.0</v>
      </c>
      <c r="Q22" s="4" t="n">
        <v>185916.0</v>
      </c>
      <c r="R22" s="4" t="n">
        <v>190638.0</v>
      </c>
      <c r="S22" s="4" t="n">
        <v>194120.0</v>
      </c>
      <c r="T22" s="4" t="n">
        <v>196122.0</v>
      </c>
      <c r="U22" s="4" t="n">
        <v>196121.0</v>
      </c>
      <c r="V22" s="4" t="n">
        <v>194749.0</v>
      </c>
      <c r="W22" s="4" t="n">
        <v>192295.0</v>
      </c>
      <c r="X22" s="4" t="n">
        <v>189449.0</v>
      </c>
      <c r="Y22" s="4" t="n">
        <v>186290.0</v>
      </c>
      <c r="Z22" s="4" t="n">
        <v>182711.0</v>
      </c>
      <c r="AA22" s="4" t="n">
        <v>179325.0</v>
      </c>
      <c r="AB22" s="4" t="n">
        <v>176108.0</v>
      </c>
      <c r="AC22" s="4" t="n">
        <v>173456.0</v>
      </c>
      <c r="AD22" s="4" t="n">
        <v>171468.0</v>
      </c>
      <c r="AE22" s="4" t="n">
        <v>170182.0</v>
      </c>
      <c r="AF22" s="4" t="n">
        <v>169862.0</v>
      </c>
      <c r="AG22" s="4" t="n">
        <v>170239.0</v>
      </c>
      <c r="AH22" s="4" t="n">
        <v>171384.0</v>
      </c>
      <c r="AI22" s="4" t="n">
        <v>173318.0</v>
      </c>
      <c r="AJ22" s="4" t="n">
        <v>176093.0</v>
      </c>
      <c r="AK22" s="4" t="n">
        <v>179577.0</v>
      </c>
      <c r="AL22" s="4" t="n">
        <v>182945.0</v>
      </c>
      <c r="AM22" s="4" t="n">
        <v>186209.0</v>
      </c>
      <c r="AN22" s="4" t="n">
        <v>189474.0</v>
      </c>
      <c r="AO22" s="4" t="n">
        <v>192793.0</v>
      </c>
    </row>
    <row r="23" spans="1:41" x14ac:dyDescent="0.2">
      <c r="A23" s="136" t="s">
        <v>50</v>
      </c>
      <c r="B23" s="63" t="s">
        <v>64</v>
      </c>
      <c r="C23" s="26" t="n">
        <v>1133290.0</v>
      </c>
      <c r="D23" s="16" t="n">
        <v>1126196.0</v>
      </c>
      <c r="E23" s="16" t="n">
        <v>1118714.0</v>
      </c>
      <c r="F23" s="16" t="n">
        <v>1110864.0</v>
      </c>
      <c r="G23" s="16" t="n">
        <v>1102639.0</v>
      </c>
      <c r="H23" s="16" t="n">
        <v>1094897.0</v>
      </c>
      <c r="I23" s="16" t="n">
        <v>1087223.0</v>
      </c>
      <c r="J23" s="16" t="n">
        <v>1078663.0</v>
      </c>
      <c r="K23" s="16" t="n">
        <v>1069521.0</v>
      </c>
      <c r="L23" s="16" t="n">
        <v>1059992.0</v>
      </c>
      <c r="M23" s="16" t="n">
        <v>1050212.0</v>
      </c>
      <c r="N23" s="16" t="n">
        <v>1040085.0</v>
      </c>
      <c r="O23" s="16" t="n">
        <v>1029764.0</v>
      </c>
      <c r="P23" s="16" t="n">
        <v>1019234.0</v>
      </c>
      <c r="Q23" s="16" t="n">
        <v>1008624.0</v>
      </c>
      <c r="R23" s="16" t="n">
        <v>997823.0</v>
      </c>
      <c r="S23" s="16" t="n">
        <v>986886.0</v>
      </c>
      <c r="T23" s="16" t="n">
        <v>975867.0</v>
      </c>
      <c r="U23" s="16" t="n">
        <v>964861.0</v>
      </c>
      <c r="V23" s="16" t="n">
        <v>953868.0</v>
      </c>
      <c r="W23" s="16" t="n">
        <v>942780.0</v>
      </c>
      <c r="X23" s="16" t="n">
        <v>931761.0</v>
      </c>
      <c r="Y23" s="16" t="n">
        <v>920668.0</v>
      </c>
      <c r="Z23" s="16" t="n">
        <v>909496.0</v>
      </c>
      <c r="AA23" s="16" t="n">
        <v>898396.0</v>
      </c>
      <c r="AB23" s="16" t="n">
        <v>887226.0</v>
      </c>
      <c r="AC23" s="16" t="n">
        <v>876132.0</v>
      </c>
      <c r="AD23" s="16" t="n">
        <v>864943.0</v>
      </c>
      <c r="AE23" s="16" t="n">
        <v>853823.0</v>
      </c>
      <c r="AF23" s="16" t="n">
        <v>842595.0</v>
      </c>
      <c r="AG23" s="16" t="n">
        <v>831376.0</v>
      </c>
      <c r="AH23" s="16" t="n">
        <v>820004.0</v>
      </c>
      <c r="AI23" s="16" t="n">
        <v>808528.0</v>
      </c>
      <c r="AJ23" s="16" t="n">
        <v>797038.0</v>
      </c>
      <c r="AK23" s="16" t="n">
        <v>785423.0</v>
      </c>
      <c r="AL23" s="16" t="n">
        <v>773680.0</v>
      </c>
      <c r="AM23" s="16" t="n">
        <v>761961.0</v>
      </c>
      <c r="AN23" s="16" t="n">
        <v>750100.0</v>
      </c>
      <c r="AO23" s="16" t="n">
        <v>738156.0</v>
      </c>
    </row>
    <row r="24" spans="1:41" x14ac:dyDescent="0.2">
      <c r="A24" s="136"/>
      <c r="B24" s="64" t="s">
        <v>8</v>
      </c>
      <c r="C24" s="11" t="n">
        <v>210862.0</v>
      </c>
      <c r="D24" s="3" t="n">
        <v>208000.0</v>
      </c>
      <c r="E24" s="3" t="n">
        <v>204330.0</v>
      </c>
      <c r="F24" s="3" t="n">
        <v>200095.0</v>
      </c>
      <c r="G24" s="3" t="n">
        <v>194586.0</v>
      </c>
      <c r="H24" s="3" t="n">
        <v>189043.0</v>
      </c>
      <c r="I24" s="3" t="n">
        <v>184005.0</v>
      </c>
      <c r="J24" s="3" t="n">
        <v>178819.0</v>
      </c>
      <c r="K24" s="3" t="n">
        <v>173460.0</v>
      </c>
      <c r="L24" s="3" t="n">
        <v>168724.0</v>
      </c>
      <c r="M24" s="3" t="n">
        <v>163470.0</v>
      </c>
      <c r="N24" s="3" t="n">
        <v>158502.0</v>
      </c>
      <c r="O24" s="3" t="n">
        <v>153000.0</v>
      </c>
      <c r="P24" s="3" t="n">
        <v>147181.0</v>
      </c>
      <c r="Q24" s="3" t="n">
        <v>141602.0</v>
      </c>
      <c r="R24" s="3" t="n">
        <v>137062.0</v>
      </c>
      <c r="S24" s="3" t="n">
        <v>132887.0</v>
      </c>
      <c r="T24" s="3" t="n">
        <v>129176.0</v>
      </c>
      <c r="U24" s="3" t="n">
        <v>126466.0</v>
      </c>
      <c r="V24" s="3" t="n">
        <v>124303.0</v>
      </c>
      <c r="W24" s="3" t="n">
        <v>122402.0</v>
      </c>
      <c r="X24" s="3" t="n">
        <v>120759.0</v>
      </c>
      <c r="Y24" s="3" t="n">
        <v>119316.0</v>
      </c>
      <c r="Z24" s="3" t="n">
        <v>118059.0</v>
      </c>
      <c r="AA24" s="3" t="n">
        <v>116895.0</v>
      </c>
      <c r="AB24" s="3" t="n">
        <v>115831.0</v>
      </c>
      <c r="AC24" s="3" t="n">
        <v>114827.0</v>
      </c>
      <c r="AD24" s="3" t="n">
        <v>113822.0</v>
      </c>
      <c r="AE24" s="3" t="n">
        <v>112815.0</v>
      </c>
      <c r="AF24" s="3" t="n">
        <v>111762.0</v>
      </c>
      <c r="AG24" s="3" t="n">
        <v>110608.0</v>
      </c>
      <c r="AH24" s="3" t="n">
        <v>109354.0</v>
      </c>
      <c r="AI24" s="3" t="n">
        <v>107964.0</v>
      </c>
      <c r="AJ24" s="3" t="n">
        <v>106419.0</v>
      </c>
      <c r="AK24" s="3" t="n">
        <v>104713.0</v>
      </c>
      <c r="AL24" s="3" t="n">
        <v>102854.0</v>
      </c>
      <c r="AM24" s="3" t="n">
        <v>100847.0</v>
      </c>
      <c r="AN24" s="3" t="n">
        <v>98712.0</v>
      </c>
      <c r="AO24" s="3" t="n">
        <v>96463.0</v>
      </c>
    </row>
    <row r="25" spans="1:41" x14ac:dyDescent="0.2">
      <c r="A25" s="136"/>
      <c r="B25" s="64" t="s">
        <v>14</v>
      </c>
      <c r="C25" s="11" t="n">
        <v>722319.0</v>
      </c>
      <c r="D25" s="3" t="n">
        <v>712993.0</v>
      </c>
      <c r="E25" s="3" t="n">
        <v>704980.0</v>
      </c>
      <c r="F25" s="3" t="n">
        <v>698701.0</v>
      </c>
      <c r="G25" s="3" t="n">
        <v>694186.0</v>
      </c>
      <c r="H25" s="3" t="n">
        <v>690818.0</v>
      </c>
      <c r="I25" s="3" t="n">
        <v>687462.0</v>
      </c>
      <c r="J25" s="3" t="n">
        <v>683775.0</v>
      </c>
      <c r="K25" s="3" t="n">
        <v>680142.0</v>
      </c>
      <c r="L25" s="3" t="n">
        <v>675697.0</v>
      </c>
      <c r="M25" s="3" t="n">
        <v>671628.0</v>
      </c>
      <c r="N25" s="3" t="n">
        <v>666814.0</v>
      </c>
      <c r="O25" s="3" t="n">
        <v>662193.0</v>
      </c>
      <c r="P25" s="3" t="n">
        <v>657574.0</v>
      </c>
      <c r="Q25" s="3" t="n">
        <v>652064.0</v>
      </c>
      <c r="R25" s="3" t="n">
        <v>645156.0</v>
      </c>
      <c r="S25" s="3" t="n">
        <v>637463.0</v>
      </c>
      <c r="T25" s="3" t="n">
        <v>628784.0</v>
      </c>
      <c r="U25" s="3" t="n">
        <v>618629.0</v>
      </c>
      <c r="V25" s="3" t="n">
        <v>607467.0</v>
      </c>
      <c r="W25" s="3" t="n">
        <v>596081.0</v>
      </c>
      <c r="X25" s="3" t="n">
        <v>584366.0</v>
      </c>
      <c r="Y25" s="3" t="n">
        <v>572503.0</v>
      </c>
      <c r="Z25" s="3" t="n">
        <v>560228.0</v>
      </c>
      <c r="AA25" s="3" t="n">
        <v>548304.0</v>
      </c>
      <c r="AB25" s="3" t="n">
        <v>535493.0</v>
      </c>
      <c r="AC25" s="3" t="n">
        <v>522423.0</v>
      </c>
      <c r="AD25" s="3" t="n">
        <v>510078.0</v>
      </c>
      <c r="AE25" s="3" t="n">
        <v>498114.0</v>
      </c>
      <c r="AF25" s="3" t="n">
        <v>487406.0</v>
      </c>
      <c r="AG25" s="3" t="n">
        <v>477478.0</v>
      </c>
      <c r="AH25" s="3" t="n">
        <v>467828.0</v>
      </c>
      <c r="AI25" s="3" t="n">
        <v>458643.0</v>
      </c>
      <c r="AJ25" s="3" t="n">
        <v>449451.0</v>
      </c>
      <c r="AK25" s="3" t="n">
        <v>440561.0</v>
      </c>
      <c r="AL25" s="3" t="n">
        <v>432533.0</v>
      </c>
      <c r="AM25" s="3" t="n">
        <v>424920.0</v>
      </c>
      <c r="AN25" s="3" t="n">
        <v>417987.0</v>
      </c>
      <c r="AO25" s="3" t="n">
        <v>411644.0</v>
      </c>
    </row>
    <row r="26" spans="1:41" x14ac:dyDescent="0.2">
      <c r="A26" s="136"/>
      <c r="B26" s="64" t="s">
        <v>11</v>
      </c>
      <c r="C26" s="11" t="n">
        <v>414568.0</v>
      </c>
      <c r="D26" s="3" t="n">
        <v>405206.0</v>
      </c>
      <c r="E26" s="3" t="n">
        <v>396416.0</v>
      </c>
      <c r="F26" s="3" t="n">
        <v>387729.0</v>
      </c>
      <c r="G26" s="3" t="n">
        <v>380679.0</v>
      </c>
      <c r="H26" s="3" t="n">
        <v>373258.0</v>
      </c>
      <c r="I26" s="3" t="n">
        <v>365256.0</v>
      </c>
      <c r="J26" s="3" t="n">
        <v>357639.0</v>
      </c>
      <c r="K26" s="3" t="n">
        <v>350303.0</v>
      </c>
      <c r="L26" s="3" t="n">
        <v>343693.0</v>
      </c>
      <c r="M26" s="3" t="n">
        <v>338416.0</v>
      </c>
      <c r="N26" s="3" t="n">
        <v>333104.0</v>
      </c>
      <c r="O26" s="3" t="n">
        <v>328723.0</v>
      </c>
      <c r="P26" s="3" t="n">
        <v>324505.0</v>
      </c>
      <c r="Q26" s="3" t="n">
        <v>320320.0</v>
      </c>
      <c r="R26" s="3" t="n">
        <v>316024.0</v>
      </c>
      <c r="S26" s="3" t="n">
        <v>311816.0</v>
      </c>
      <c r="T26" s="3" t="n">
        <v>307955.0</v>
      </c>
      <c r="U26" s="3" t="n">
        <v>303782.0</v>
      </c>
      <c r="V26" s="3" t="n">
        <v>299110.0</v>
      </c>
      <c r="W26" s="3" t="n">
        <v>294946.0</v>
      </c>
      <c r="X26" s="3" t="n">
        <v>291075.0</v>
      </c>
      <c r="Y26" s="3" t="n">
        <v>287167.0</v>
      </c>
      <c r="Z26" s="3" t="n">
        <v>283047.0</v>
      </c>
      <c r="AA26" s="3" t="n">
        <v>279148.0</v>
      </c>
      <c r="AB26" s="3" t="n">
        <v>275351.0</v>
      </c>
      <c r="AC26" s="3" t="n">
        <v>271550.0</v>
      </c>
      <c r="AD26" s="3" t="n">
        <v>267344.0</v>
      </c>
      <c r="AE26" s="3" t="n">
        <v>262855.0</v>
      </c>
      <c r="AF26" s="3" t="n">
        <v>257817.0</v>
      </c>
      <c r="AG26" s="3" t="n">
        <v>252448.0</v>
      </c>
      <c r="AH26" s="3" t="n">
        <v>246073.0</v>
      </c>
      <c r="AI26" s="3" t="n">
        <v>239335.0</v>
      </c>
      <c r="AJ26" s="3" t="n">
        <v>233031.0</v>
      </c>
      <c r="AK26" s="3" t="n">
        <v>227169.0</v>
      </c>
      <c r="AL26" s="3" t="n">
        <v>221511.0</v>
      </c>
      <c r="AM26" s="3" t="n">
        <v>216596.0</v>
      </c>
      <c r="AN26" s="3" t="n">
        <v>211307.0</v>
      </c>
      <c r="AO26" s="3" t="n">
        <v>206382.0</v>
      </c>
    </row>
    <row r="27" spans="1:41" x14ac:dyDescent="0.2">
      <c r="A27" s="136"/>
      <c r="B27" s="64" t="s">
        <v>13</v>
      </c>
      <c r="C27" s="11" t="n">
        <v>307751.0</v>
      </c>
      <c r="D27" s="3" t="n">
        <v>307787.0</v>
      </c>
      <c r="E27" s="3" t="n">
        <v>308564.0</v>
      </c>
      <c r="F27" s="3" t="n">
        <v>310972.0</v>
      </c>
      <c r="G27" s="3" t="n">
        <v>313507.0</v>
      </c>
      <c r="H27" s="3" t="n">
        <v>317560.0</v>
      </c>
      <c r="I27" s="3" t="n">
        <v>322206.0</v>
      </c>
      <c r="J27" s="3" t="n">
        <v>326136.0</v>
      </c>
      <c r="K27" s="3" t="n">
        <v>329839.0</v>
      </c>
      <c r="L27" s="3" t="n">
        <v>332004.0</v>
      </c>
      <c r="M27" s="3" t="n">
        <v>333212.0</v>
      </c>
      <c r="N27" s="3" t="n">
        <v>333710.0</v>
      </c>
      <c r="O27" s="3" t="n">
        <v>333470.0</v>
      </c>
      <c r="P27" s="3" t="n">
        <v>333069.0</v>
      </c>
      <c r="Q27" s="3" t="n">
        <v>331744.0</v>
      </c>
      <c r="R27" s="3" t="n">
        <v>329132.0</v>
      </c>
      <c r="S27" s="3" t="n">
        <v>325647.0</v>
      </c>
      <c r="T27" s="3" t="n">
        <v>320829.0</v>
      </c>
      <c r="U27" s="3" t="n">
        <v>314847.0</v>
      </c>
      <c r="V27" s="3" t="n">
        <v>308357.0</v>
      </c>
      <c r="W27" s="3" t="n">
        <v>301135.0</v>
      </c>
      <c r="X27" s="3" t="n">
        <v>293291.0</v>
      </c>
      <c r="Y27" s="3" t="n">
        <v>285336.0</v>
      </c>
      <c r="Z27" s="3" t="n">
        <v>277181.0</v>
      </c>
      <c r="AA27" s="3" t="n">
        <v>269156.0</v>
      </c>
      <c r="AB27" s="3" t="n">
        <v>260142.0</v>
      </c>
      <c r="AC27" s="3" t="n">
        <v>250873.0</v>
      </c>
      <c r="AD27" s="3" t="n">
        <v>242734.0</v>
      </c>
      <c r="AE27" s="3" t="n">
        <v>235259.0</v>
      </c>
      <c r="AF27" s="3" t="n">
        <v>229589.0</v>
      </c>
      <c r="AG27" s="3" t="n">
        <v>225030.0</v>
      </c>
      <c r="AH27" s="3" t="n">
        <v>221755.0</v>
      </c>
      <c r="AI27" s="3" t="n">
        <v>219308.0</v>
      </c>
      <c r="AJ27" s="3" t="n">
        <v>216420.0</v>
      </c>
      <c r="AK27" s="3" t="n">
        <v>213392.0</v>
      </c>
      <c r="AL27" s="3" t="n">
        <v>211022.0</v>
      </c>
      <c r="AM27" s="3" t="n">
        <v>208324.0</v>
      </c>
      <c r="AN27" s="3" t="n">
        <v>206680.0</v>
      </c>
      <c r="AO27" s="3" t="n">
        <v>205262.0</v>
      </c>
    </row>
    <row r="28" spans="1:41" x14ac:dyDescent="0.2">
      <c r="A28" s="136"/>
      <c r="B28" s="64" t="s">
        <v>5</v>
      </c>
      <c r="C28" s="11" t="n">
        <v>200109.0</v>
      </c>
      <c r="D28" s="3" t="n">
        <v>205203.0</v>
      </c>
      <c r="E28" s="3" t="n">
        <v>209404.0</v>
      </c>
      <c r="F28" s="3" t="n">
        <v>212068.0</v>
      </c>
      <c r="G28" s="3" t="n">
        <v>213867.0</v>
      </c>
      <c r="H28" s="3" t="n">
        <v>215036.0</v>
      </c>
      <c r="I28" s="3" t="n">
        <v>215756.0</v>
      </c>
      <c r="J28" s="3" t="n">
        <v>216069.0</v>
      </c>
      <c r="K28" s="3" t="n">
        <v>215919.0</v>
      </c>
      <c r="L28" s="3" t="n">
        <v>215571.0</v>
      </c>
      <c r="M28" s="3" t="n">
        <v>215114.0</v>
      </c>
      <c r="N28" s="3" t="n">
        <v>214769.0</v>
      </c>
      <c r="O28" s="3" t="n">
        <v>214571.0</v>
      </c>
      <c r="P28" s="3" t="n">
        <v>214479.0</v>
      </c>
      <c r="Q28" s="3" t="n">
        <v>214958.0</v>
      </c>
      <c r="R28" s="3" t="n">
        <v>215605.0</v>
      </c>
      <c r="S28" s="3" t="n">
        <v>216536.0</v>
      </c>
      <c r="T28" s="3" t="n">
        <v>217907.0</v>
      </c>
      <c r="U28" s="3" t="n">
        <v>219766.0</v>
      </c>
      <c r="V28" s="3" t="n">
        <v>222098.0</v>
      </c>
      <c r="W28" s="3" t="n">
        <v>224297.0</v>
      </c>
      <c r="X28" s="3" t="n">
        <v>226636.0</v>
      </c>
      <c r="Y28" s="3" t="n">
        <v>228849.0</v>
      </c>
      <c r="Z28" s="3" t="n">
        <v>231209.0</v>
      </c>
      <c r="AA28" s="3" t="n">
        <v>233197.0</v>
      </c>
      <c r="AB28" s="3" t="n">
        <v>235902.0</v>
      </c>
      <c r="AC28" s="3" t="n">
        <v>238882.0</v>
      </c>
      <c r="AD28" s="3" t="n">
        <v>241043.0</v>
      </c>
      <c r="AE28" s="3" t="n">
        <v>242894.0</v>
      </c>
      <c r="AF28" s="3" t="n">
        <v>243427.0</v>
      </c>
      <c r="AG28" s="3" t="n">
        <v>243290.0</v>
      </c>
      <c r="AH28" s="3" t="n">
        <v>242822.0</v>
      </c>
      <c r="AI28" s="3" t="n">
        <v>241921.0</v>
      </c>
      <c r="AJ28" s="3" t="n">
        <v>241168.0</v>
      </c>
      <c r="AK28" s="3" t="n">
        <v>240149.0</v>
      </c>
      <c r="AL28" s="3" t="n">
        <v>238293.0</v>
      </c>
      <c r="AM28" s="3" t="n">
        <v>236194.0</v>
      </c>
      <c r="AN28" s="3" t="n">
        <v>233401.0</v>
      </c>
      <c r="AO28" s="3" t="n">
        <v>230049.0</v>
      </c>
    </row>
    <row r="29" spans="1:41" x14ac:dyDescent="0.2">
      <c r="A29" s="136"/>
      <c r="B29" s="64" t="s">
        <v>0</v>
      </c>
      <c r="C29" s="3" t="n">
        <v>29550.0</v>
      </c>
      <c r="D29" s="3" t="n">
        <v>27501.0</v>
      </c>
      <c r="E29" s="3" t="n">
        <v>25560.0</v>
      </c>
      <c r="F29" s="3" t="n">
        <v>24402.0</v>
      </c>
      <c r="G29" s="3" t="n">
        <v>23580.0</v>
      </c>
      <c r="H29" s="3" t="n">
        <v>22905.0</v>
      </c>
      <c r="I29" s="3" t="n">
        <v>22321.0</v>
      </c>
      <c r="J29" s="3" t="n">
        <v>21743.0</v>
      </c>
      <c r="K29" s="3" t="n">
        <v>21233.0</v>
      </c>
      <c r="L29" s="3" t="n">
        <v>20770.0</v>
      </c>
      <c r="M29" s="3" t="n">
        <v>20374.0</v>
      </c>
      <c r="N29" s="3" t="n">
        <v>20032.0</v>
      </c>
      <c r="O29" s="3" t="n">
        <v>19754.0</v>
      </c>
      <c r="P29" s="3" t="n">
        <v>19531.0</v>
      </c>
      <c r="Q29" s="3" t="n">
        <v>19363.0</v>
      </c>
      <c r="R29" s="3" t="n">
        <v>19236.0</v>
      </c>
      <c r="S29" s="3" t="n">
        <v>19164.0</v>
      </c>
      <c r="T29" s="3" t="n">
        <v>19133.0</v>
      </c>
      <c r="U29" s="3" t="n">
        <v>19119.0</v>
      </c>
      <c r="V29" s="3" t="n">
        <v>19105.0</v>
      </c>
      <c r="W29" s="3" t="n">
        <v>19074.0</v>
      </c>
      <c r="X29" s="3" t="n">
        <v>19008.0</v>
      </c>
      <c r="Y29" s="3" t="n">
        <v>18911.0</v>
      </c>
      <c r="Z29" s="3" t="n">
        <v>18775.0</v>
      </c>
      <c r="AA29" s="3" t="n">
        <v>18592.0</v>
      </c>
      <c r="AB29" s="3" t="n">
        <v>18359.0</v>
      </c>
      <c r="AC29" s="3" t="n">
        <v>18086.0</v>
      </c>
      <c r="AD29" s="3" t="n">
        <v>17761.0</v>
      </c>
      <c r="AE29" s="3" t="n">
        <v>17393.0</v>
      </c>
      <c r="AF29" s="3" t="n">
        <v>16974.0</v>
      </c>
      <c r="AG29" s="3" t="n">
        <v>16521.0</v>
      </c>
      <c r="AH29" s="3" t="n">
        <v>16035.0</v>
      </c>
      <c r="AI29" s="3" t="n">
        <v>15534.0</v>
      </c>
      <c r="AJ29" s="3" t="n">
        <v>15022.0</v>
      </c>
      <c r="AK29" s="3" t="n">
        <v>14500.0</v>
      </c>
      <c r="AL29" s="3" t="n">
        <v>13995.0</v>
      </c>
      <c r="AM29" s="3" t="n">
        <v>13509.0</v>
      </c>
      <c r="AN29" s="3" t="n">
        <v>13048.0</v>
      </c>
      <c r="AO29" s="3" t="n">
        <v>12619.0</v>
      </c>
    </row>
    <row r="30" spans="1:41" x14ac:dyDescent="0.2">
      <c r="A30" s="136"/>
      <c r="B30" s="64" t="s">
        <v>1</v>
      </c>
      <c r="C30" s="3" t="n">
        <v>46854.0</v>
      </c>
      <c r="D30" s="3" t="n">
        <v>45370.0</v>
      </c>
      <c r="E30" s="3" t="n">
        <v>43240.0</v>
      </c>
      <c r="F30" s="3" t="n">
        <v>40358.0</v>
      </c>
      <c r="G30" s="3" t="n">
        <v>37964.0</v>
      </c>
      <c r="H30" s="3" t="n">
        <v>35745.0</v>
      </c>
      <c r="I30" s="3" t="n">
        <v>33725.0</v>
      </c>
      <c r="J30" s="3" t="n">
        <v>32415.0</v>
      </c>
      <c r="K30" s="3" t="n">
        <v>31381.0</v>
      </c>
      <c r="L30" s="3" t="n">
        <v>30426.0</v>
      </c>
      <c r="M30" s="3" t="n">
        <v>29562.0</v>
      </c>
      <c r="N30" s="3" t="n">
        <v>28784.0</v>
      </c>
      <c r="O30" s="3" t="n">
        <v>28128.0</v>
      </c>
      <c r="P30" s="3" t="n">
        <v>27526.0</v>
      </c>
      <c r="Q30" s="3" t="n">
        <v>27015.0</v>
      </c>
      <c r="R30" s="3" t="n">
        <v>26599.0</v>
      </c>
      <c r="S30" s="3" t="n">
        <v>26251.0</v>
      </c>
      <c r="T30" s="3" t="n">
        <v>25985.0</v>
      </c>
      <c r="U30" s="3" t="n">
        <v>25797.0</v>
      </c>
      <c r="V30" s="3" t="n">
        <v>25664.0</v>
      </c>
      <c r="W30" s="3" t="n">
        <v>25588.0</v>
      </c>
      <c r="X30" s="3" t="n">
        <v>25554.0</v>
      </c>
      <c r="Y30" s="3" t="n">
        <v>25534.0</v>
      </c>
      <c r="Z30" s="3" t="n">
        <v>25498.0</v>
      </c>
      <c r="AA30" s="3" t="n">
        <v>25430.0</v>
      </c>
      <c r="AB30" s="3" t="n">
        <v>25325.0</v>
      </c>
      <c r="AC30" s="3" t="n">
        <v>25173.0</v>
      </c>
      <c r="AD30" s="3" t="n">
        <v>24959.0</v>
      </c>
      <c r="AE30" s="3" t="n">
        <v>24683.0</v>
      </c>
      <c r="AF30" s="3" t="n">
        <v>24354.0</v>
      </c>
      <c r="AG30" s="3" t="n">
        <v>23953.0</v>
      </c>
      <c r="AH30" s="3" t="n">
        <v>23507.0</v>
      </c>
      <c r="AI30" s="3" t="n">
        <v>22994.0</v>
      </c>
      <c r="AJ30" s="3" t="n">
        <v>22413.0</v>
      </c>
      <c r="AK30" s="3" t="n">
        <v>21804.0</v>
      </c>
      <c r="AL30" s="3" t="n">
        <v>21146.0</v>
      </c>
      <c r="AM30" s="3" t="n">
        <v>20471.0</v>
      </c>
      <c r="AN30" s="3" t="n">
        <v>19797.0</v>
      </c>
      <c r="AO30" s="3" t="n">
        <v>19118.0</v>
      </c>
    </row>
    <row r="31" spans="1:41" x14ac:dyDescent="0.2">
      <c r="A31" s="136"/>
      <c r="B31" s="65" t="s">
        <v>18</v>
      </c>
      <c r="C31" s="3" t="n">
        <v>99414.0</v>
      </c>
      <c r="D31" s="3" t="n">
        <v>98211.0</v>
      </c>
      <c r="E31" s="3" t="n">
        <v>96872.0</v>
      </c>
      <c r="F31" s="3" t="n">
        <v>95768.0</v>
      </c>
      <c r="G31" s="3" t="n">
        <v>94058.0</v>
      </c>
      <c r="H31" s="3" t="n">
        <v>92470.0</v>
      </c>
      <c r="I31" s="3" t="n">
        <v>91393.0</v>
      </c>
      <c r="J31" s="3" t="n">
        <v>88711.0</v>
      </c>
      <c r="K31" s="3" t="n">
        <v>85720.0</v>
      </c>
      <c r="L31" s="3" t="n">
        <v>81941.0</v>
      </c>
      <c r="M31" s="3" t="n">
        <v>77625.0</v>
      </c>
      <c r="N31" s="3" t="n">
        <v>73343.0</v>
      </c>
      <c r="O31" s="3" t="n">
        <v>69861.0</v>
      </c>
      <c r="P31" s="3" t="n">
        <v>66570.0</v>
      </c>
      <c r="Q31" s="3" t="n">
        <v>63553.0</v>
      </c>
      <c r="R31" s="3" t="n">
        <v>61402.0</v>
      </c>
      <c r="S31" s="3" t="n">
        <v>59680.0</v>
      </c>
      <c r="T31" s="3" t="n">
        <v>58119.0</v>
      </c>
      <c r="U31" s="3" t="n">
        <v>56745.0</v>
      </c>
      <c r="V31" s="3" t="n">
        <v>55543.0</v>
      </c>
      <c r="W31" s="3" t="n">
        <v>54529.0</v>
      </c>
      <c r="X31" s="3" t="n">
        <v>53650.0</v>
      </c>
      <c r="Y31" s="3" t="n">
        <v>52941.0</v>
      </c>
      <c r="Z31" s="3" t="n">
        <v>52386.0</v>
      </c>
      <c r="AA31" s="3" t="n">
        <v>51955.0</v>
      </c>
      <c r="AB31" s="3" t="n">
        <v>51654.0</v>
      </c>
      <c r="AC31" s="3" t="n">
        <v>51442.0</v>
      </c>
      <c r="AD31" s="3" t="n">
        <v>51274.0</v>
      </c>
      <c r="AE31" s="3" t="n">
        <v>51137.0</v>
      </c>
      <c r="AF31" s="3" t="n">
        <v>50998.0</v>
      </c>
      <c r="AG31" s="3" t="n">
        <v>50824.0</v>
      </c>
      <c r="AH31" s="3" t="n">
        <v>50567.0</v>
      </c>
      <c r="AI31" s="3" t="n">
        <v>50225.0</v>
      </c>
      <c r="AJ31" s="3" t="n">
        <v>49792.0</v>
      </c>
      <c r="AK31" s="3" t="n">
        <v>49241.0</v>
      </c>
      <c r="AL31" s="3" t="n">
        <v>48583.0</v>
      </c>
      <c r="AM31" s="3" t="n">
        <v>47796.0</v>
      </c>
      <c r="AN31" s="3" t="n">
        <v>46891.0</v>
      </c>
      <c r="AO31" s="3" t="n">
        <v>45882.0</v>
      </c>
    </row>
    <row r="32" spans="1:41" x14ac:dyDescent="0.2">
      <c r="A32" s="136"/>
      <c r="B32" s="64" t="s">
        <v>19</v>
      </c>
      <c r="C32" s="3" t="n">
        <v>46074.0</v>
      </c>
      <c r="D32" s="3" t="n">
        <v>48147.0</v>
      </c>
      <c r="E32" s="3" t="n">
        <v>50386.0</v>
      </c>
      <c r="F32" s="3" t="n">
        <v>51617.0</v>
      </c>
      <c r="G32" s="3" t="n">
        <v>52077.0</v>
      </c>
      <c r="H32" s="3" t="n">
        <v>51416.0</v>
      </c>
      <c r="I32" s="3" t="n">
        <v>49602.0</v>
      </c>
      <c r="J32" s="3" t="n">
        <v>48545.0</v>
      </c>
      <c r="K32" s="3" t="n">
        <v>47526.0</v>
      </c>
      <c r="L32" s="3" t="n">
        <v>47161.0</v>
      </c>
      <c r="M32" s="3" t="n">
        <v>47855.0</v>
      </c>
      <c r="N32" s="3" t="n">
        <v>47904.0</v>
      </c>
      <c r="O32" s="3" t="n">
        <v>47276.0</v>
      </c>
      <c r="P32" s="3" t="n">
        <v>45815.0</v>
      </c>
      <c r="Q32" s="3" t="n">
        <v>43661.0</v>
      </c>
      <c r="R32" s="3" t="n">
        <v>40769.0</v>
      </c>
      <c r="S32" s="3" t="n">
        <v>38355.0</v>
      </c>
      <c r="T32" s="3" t="n">
        <v>36046.0</v>
      </c>
      <c r="U32" s="3" t="n">
        <v>33902.0</v>
      </c>
      <c r="V32" s="3" t="n">
        <v>32532.0</v>
      </c>
      <c r="W32" s="3" t="n">
        <v>31474.0</v>
      </c>
      <c r="X32" s="3" t="n">
        <v>30511.0</v>
      </c>
      <c r="Y32" s="3" t="n">
        <v>29655.0</v>
      </c>
      <c r="Z32" s="3" t="n">
        <v>28880.0</v>
      </c>
      <c r="AA32" s="3" t="n">
        <v>28220.0</v>
      </c>
      <c r="AB32" s="3" t="n">
        <v>27603.0</v>
      </c>
      <c r="AC32" s="3" t="n">
        <v>27077.0</v>
      </c>
      <c r="AD32" s="3" t="n">
        <v>26652.0</v>
      </c>
      <c r="AE32" s="3" t="n">
        <v>26291.0</v>
      </c>
      <c r="AF32" s="3" t="n">
        <v>26024.0</v>
      </c>
      <c r="AG32" s="3" t="n">
        <v>25834.0</v>
      </c>
      <c r="AH32" s="3" t="n">
        <v>25705.0</v>
      </c>
      <c r="AI32" s="3" t="n">
        <v>25632.0</v>
      </c>
      <c r="AJ32" s="3" t="n">
        <v>25588.0</v>
      </c>
      <c r="AK32" s="3" t="n">
        <v>25560.0</v>
      </c>
      <c r="AL32" s="3" t="n">
        <v>25514.0</v>
      </c>
      <c r="AM32" s="3" t="n">
        <v>25446.0</v>
      </c>
      <c r="AN32" s="3" t="n">
        <v>25342.0</v>
      </c>
      <c r="AO32" s="3" t="n">
        <v>25189.0</v>
      </c>
    </row>
    <row r="33" spans="1:41" x14ac:dyDescent="0.2">
      <c r="A33" s="136"/>
      <c r="B33" s="64" t="s">
        <v>2</v>
      </c>
      <c r="C33" s="3" t="n">
        <v>67228.0</v>
      </c>
      <c r="D33" s="3" t="n">
        <v>66499.0</v>
      </c>
      <c r="E33" s="3" t="n">
        <v>66108.0</v>
      </c>
      <c r="F33" s="3" t="n">
        <v>66246.0</v>
      </c>
      <c r="G33" s="3" t="n">
        <v>67140.0</v>
      </c>
      <c r="H33" s="3" t="n">
        <v>69435.0</v>
      </c>
      <c r="I33" s="3" t="n">
        <v>72256.0</v>
      </c>
      <c r="J33" s="3" t="n">
        <v>74264.0</v>
      </c>
      <c r="K33" s="3" t="n">
        <v>75590.0</v>
      </c>
      <c r="L33" s="3" t="n">
        <v>76218.0</v>
      </c>
      <c r="M33" s="3" t="n">
        <v>75713.0</v>
      </c>
      <c r="N33" s="3" t="n">
        <v>74533.0</v>
      </c>
      <c r="O33" s="3" t="n">
        <v>72572.0</v>
      </c>
      <c r="P33" s="3" t="n">
        <v>71548.0</v>
      </c>
      <c r="Q33" s="3" t="n">
        <v>71224.0</v>
      </c>
      <c r="R33" s="3" t="n">
        <v>70813.0</v>
      </c>
      <c r="S33" s="3" t="n">
        <v>70184.0</v>
      </c>
      <c r="T33" s="3" t="n">
        <v>68803.0</v>
      </c>
      <c r="U33" s="3" t="n">
        <v>67359.0</v>
      </c>
      <c r="V33" s="3" t="n">
        <v>64447.0</v>
      </c>
      <c r="W33" s="3" t="n">
        <v>60741.0</v>
      </c>
      <c r="X33" s="3" t="n">
        <v>57047.0</v>
      </c>
      <c r="Y33" s="3" t="n">
        <v>54087.0</v>
      </c>
      <c r="Z33" s="3" t="n">
        <v>51272.0</v>
      </c>
      <c r="AA33" s="3" t="n">
        <v>48662.0</v>
      </c>
      <c r="AB33" s="3" t="n">
        <v>46889.0</v>
      </c>
      <c r="AC33" s="3" t="n">
        <v>45473.0</v>
      </c>
      <c r="AD33" s="3" t="n">
        <v>44165.0</v>
      </c>
      <c r="AE33" s="3" t="n">
        <v>43040.0</v>
      </c>
      <c r="AF33" s="3" t="n">
        <v>42006.0</v>
      </c>
      <c r="AG33" s="3" t="n">
        <v>41120.0</v>
      </c>
      <c r="AH33" s="3" t="n">
        <v>40342.0</v>
      </c>
      <c r="AI33" s="3" t="n">
        <v>39687.0</v>
      </c>
      <c r="AJ33" s="3" t="n">
        <v>39151.0</v>
      </c>
      <c r="AK33" s="3" t="n">
        <v>38716.0</v>
      </c>
      <c r="AL33" s="3" t="n">
        <v>38421.0</v>
      </c>
      <c r="AM33" s="3" t="n">
        <v>38216.0</v>
      </c>
      <c r="AN33" s="3" t="n">
        <v>38066.0</v>
      </c>
      <c r="AO33" s="3" t="n">
        <v>37969.0</v>
      </c>
    </row>
    <row r="34" spans="1:41" x14ac:dyDescent="0.2">
      <c r="A34" s="136"/>
      <c r="B34" s="64" t="s">
        <v>3</v>
      </c>
      <c r="C34" s="3" t="n">
        <v>175818.0</v>
      </c>
      <c r="D34" s="3" t="n">
        <v>171082.0</v>
      </c>
      <c r="E34" s="3" t="n">
        <v>165672.0</v>
      </c>
      <c r="F34" s="3" t="n">
        <v>160528.0</v>
      </c>
      <c r="G34" s="3" t="n">
        <v>155602.0</v>
      </c>
      <c r="H34" s="3" t="n">
        <v>151120.0</v>
      </c>
      <c r="I34" s="3" t="n">
        <v>147439.0</v>
      </c>
      <c r="J34" s="3" t="n">
        <v>142869.0</v>
      </c>
      <c r="K34" s="3" t="n">
        <v>138334.0</v>
      </c>
      <c r="L34" s="3" t="n">
        <v>133137.0</v>
      </c>
      <c r="M34" s="3" t="n">
        <v>127561.0</v>
      </c>
      <c r="N34" s="3" t="n">
        <v>122159.0</v>
      </c>
      <c r="O34" s="3" t="n">
        <v>117743.0</v>
      </c>
      <c r="P34" s="3" t="n">
        <v>113627.0</v>
      </c>
      <c r="Q34" s="3" t="n">
        <v>109931.0</v>
      </c>
      <c r="R34" s="3" t="n">
        <v>107237.0</v>
      </c>
      <c r="S34" s="3" t="n">
        <v>105095.0</v>
      </c>
      <c r="T34" s="3" t="n">
        <v>103237.0</v>
      </c>
      <c r="U34" s="3" t="n">
        <v>101661.0</v>
      </c>
      <c r="V34" s="3" t="n">
        <v>100312.0</v>
      </c>
      <c r="W34" s="3" t="n">
        <v>99191.0</v>
      </c>
      <c r="X34" s="3" t="n">
        <v>98212.0</v>
      </c>
      <c r="Y34" s="3" t="n">
        <v>97386.0</v>
      </c>
      <c r="Z34" s="3" t="n">
        <v>96659.0</v>
      </c>
      <c r="AA34" s="3" t="n">
        <v>95977.0</v>
      </c>
      <c r="AB34" s="3" t="n">
        <v>95338.0</v>
      </c>
      <c r="AC34" s="3" t="n">
        <v>94701.0</v>
      </c>
      <c r="AD34" s="3" t="n">
        <v>93994.0</v>
      </c>
      <c r="AE34" s="3" t="n">
        <v>93213.0</v>
      </c>
      <c r="AF34" s="3" t="n">
        <v>92326.0</v>
      </c>
      <c r="AG34" s="3" t="n">
        <v>91298.0</v>
      </c>
      <c r="AH34" s="3" t="n">
        <v>90109.0</v>
      </c>
      <c r="AI34" s="3" t="n">
        <v>88753.0</v>
      </c>
      <c r="AJ34" s="3" t="n">
        <v>87227.0</v>
      </c>
      <c r="AK34" s="3" t="n">
        <v>85545.0</v>
      </c>
      <c r="AL34" s="3" t="n">
        <v>83724.0</v>
      </c>
      <c r="AM34" s="3" t="n">
        <v>81776.0</v>
      </c>
      <c r="AN34" s="3" t="n">
        <v>79736.0</v>
      </c>
      <c r="AO34" s="3" t="n">
        <v>77619.0</v>
      </c>
    </row>
    <row r="35" spans="1:41" x14ac:dyDescent="0.2">
      <c r="A35" s="136"/>
      <c r="B35" s="64" t="s">
        <v>4</v>
      </c>
      <c r="C35" s="3" t="n">
        <v>757363.0</v>
      </c>
      <c r="D35" s="3" t="n">
        <v>749911.0</v>
      </c>
      <c r="E35" s="3" t="n">
        <v>743638.0</v>
      </c>
      <c r="F35" s="3" t="n">
        <v>738268.0</v>
      </c>
      <c r="G35" s="3" t="n">
        <v>733170.0</v>
      </c>
      <c r="H35" s="3" t="n">
        <v>728741.0</v>
      </c>
      <c r="I35" s="3" t="n">
        <v>724028.0</v>
      </c>
      <c r="J35" s="3" t="n">
        <v>719725.0</v>
      </c>
      <c r="K35" s="3" t="n">
        <v>715268.0</v>
      </c>
      <c r="L35" s="3" t="n">
        <v>711284.0</v>
      </c>
      <c r="M35" s="3" t="n">
        <v>707537.0</v>
      </c>
      <c r="N35" s="3" t="n">
        <v>703157.0</v>
      </c>
      <c r="O35" s="3" t="n">
        <v>697450.0</v>
      </c>
      <c r="P35" s="3" t="n">
        <v>691128.0</v>
      </c>
      <c r="Q35" s="3" t="n">
        <v>683735.0</v>
      </c>
      <c r="R35" s="3" t="n">
        <v>674981.0</v>
      </c>
      <c r="S35" s="3" t="n">
        <v>665255.0</v>
      </c>
      <c r="T35" s="3" t="n">
        <v>654723.0</v>
      </c>
      <c r="U35" s="3" t="n">
        <v>643434.0</v>
      </c>
      <c r="V35" s="3" t="n">
        <v>631458.0</v>
      </c>
      <c r="W35" s="3" t="n">
        <v>619292.0</v>
      </c>
      <c r="X35" s="3" t="n">
        <v>606913.0</v>
      </c>
      <c r="Y35" s="3" t="n">
        <v>594433.0</v>
      </c>
      <c r="Z35" s="3" t="n">
        <v>581628.0</v>
      </c>
      <c r="AA35" s="3" t="n">
        <v>569222.0</v>
      </c>
      <c r="AB35" s="3" t="n">
        <v>555986.0</v>
      </c>
      <c r="AC35" s="3" t="n">
        <v>542549.0</v>
      </c>
      <c r="AD35" s="3" t="n">
        <v>529906.0</v>
      </c>
      <c r="AE35" s="3" t="n">
        <v>517716.0</v>
      </c>
      <c r="AF35" s="3" t="n">
        <v>506842.0</v>
      </c>
      <c r="AG35" s="3" t="n">
        <v>496788.0</v>
      </c>
      <c r="AH35" s="3" t="n">
        <v>487073.0</v>
      </c>
      <c r="AI35" s="3" t="n">
        <v>477854.0</v>
      </c>
      <c r="AJ35" s="3" t="n">
        <v>468643.0</v>
      </c>
      <c r="AK35" s="3" t="n">
        <v>459729.0</v>
      </c>
      <c r="AL35" s="3" t="n">
        <v>451663.0</v>
      </c>
      <c r="AM35" s="3" t="n">
        <v>443991.0</v>
      </c>
      <c r="AN35" s="3" t="n">
        <v>436963.0</v>
      </c>
      <c r="AO35" s="3" t="n">
        <v>430488.0</v>
      </c>
    </row>
    <row r="36" spans="1:41" x14ac:dyDescent="0.2">
      <c r="A36" s="136"/>
      <c r="B36" s="64" t="s">
        <v>5</v>
      </c>
      <c r="C36" s="3" t="n">
        <v>200109.0</v>
      </c>
      <c r="D36" s="3" t="n">
        <v>205203.0</v>
      </c>
      <c r="E36" s="3" t="n">
        <v>209404.0</v>
      </c>
      <c r="F36" s="3" t="n">
        <v>212068.0</v>
      </c>
      <c r="G36" s="3" t="n">
        <v>213867.0</v>
      </c>
      <c r="H36" s="3" t="n">
        <v>215036.0</v>
      </c>
      <c r="I36" s="3" t="n">
        <v>215756.0</v>
      </c>
      <c r="J36" s="3" t="n">
        <v>216069.0</v>
      </c>
      <c r="K36" s="3" t="n">
        <v>215919.0</v>
      </c>
      <c r="L36" s="3" t="n">
        <v>215571.0</v>
      </c>
      <c r="M36" s="3" t="n">
        <v>215114.0</v>
      </c>
      <c r="N36" s="3" t="n">
        <v>214769.0</v>
      </c>
      <c r="O36" s="3" t="n">
        <v>214571.0</v>
      </c>
      <c r="P36" s="3" t="n">
        <v>214479.0</v>
      </c>
      <c r="Q36" s="3" t="n">
        <v>214958.0</v>
      </c>
      <c r="R36" s="3" t="n">
        <v>215605.0</v>
      </c>
      <c r="S36" s="3" t="n">
        <v>216536.0</v>
      </c>
      <c r="T36" s="3" t="n">
        <v>217907.0</v>
      </c>
      <c r="U36" s="3" t="n">
        <v>219766.0</v>
      </c>
      <c r="V36" s="3" t="n">
        <v>222098.0</v>
      </c>
      <c r="W36" s="3" t="n">
        <v>224297.0</v>
      </c>
      <c r="X36" s="3" t="n">
        <v>226636.0</v>
      </c>
      <c r="Y36" s="3" t="n">
        <v>228849.0</v>
      </c>
      <c r="Z36" s="3" t="n">
        <v>231209.0</v>
      </c>
      <c r="AA36" s="3" t="n">
        <v>233197.0</v>
      </c>
      <c r="AB36" s="3" t="n">
        <v>235902.0</v>
      </c>
      <c r="AC36" s="3" t="n">
        <v>238882.0</v>
      </c>
      <c r="AD36" s="3" t="n">
        <v>241043.0</v>
      </c>
      <c r="AE36" s="3" t="n">
        <v>242894.0</v>
      </c>
      <c r="AF36" s="3" t="n">
        <v>243427.0</v>
      </c>
      <c r="AG36" s="3" t="n">
        <v>243290.0</v>
      </c>
      <c r="AH36" s="3" t="n">
        <v>242822.0</v>
      </c>
      <c r="AI36" s="3" t="n">
        <v>241921.0</v>
      </c>
      <c r="AJ36" s="3" t="n">
        <v>241168.0</v>
      </c>
      <c r="AK36" s="3" t="n">
        <v>240149.0</v>
      </c>
      <c r="AL36" s="3" t="n">
        <v>238293.0</v>
      </c>
      <c r="AM36" s="3" t="n">
        <v>236194.0</v>
      </c>
      <c r="AN36" s="3" t="n">
        <v>233401.0</v>
      </c>
      <c r="AO36" s="3" t="n">
        <v>230049.0</v>
      </c>
    </row>
    <row r="37" spans="1:41" x14ac:dyDescent="0.2">
      <c r="A37" s="136"/>
      <c r="B37" s="66" t="s">
        <v>6</v>
      </c>
      <c r="C37" s="3" t="n">
        <v>31659.0</v>
      </c>
      <c r="D37" s="3" t="n">
        <v>31987.0</v>
      </c>
      <c r="E37" s="3" t="n">
        <v>32166.0</v>
      </c>
      <c r="F37" s="3" t="n">
        <v>32687.0</v>
      </c>
      <c r="G37" s="3" t="n">
        <v>35772.0</v>
      </c>
      <c r="H37" s="3" t="n">
        <v>38605.0</v>
      </c>
      <c r="I37" s="3" t="n">
        <v>41498.0</v>
      </c>
      <c r="J37" s="3" t="n">
        <v>43946.0</v>
      </c>
      <c r="K37" s="3" t="n">
        <v>46626.0</v>
      </c>
      <c r="L37" s="3" t="n">
        <v>49510.0</v>
      </c>
      <c r="M37" s="3" t="n">
        <v>52223.0</v>
      </c>
      <c r="N37" s="3" t="n">
        <v>54882.0</v>
      </c>
      <c r="O37" s="3" t="n">
        <v>57093.0</v>
      </c>
      <c r="P37" s="3" t="n">
        <v>59637.0</v>
      </c>
      <c r="Q37" s="3" t="n">
        <v>61733.0</v>
      </c>
      <c r="R37" s="3" t="n">
        <v>63465.0</v>
      </c>
      <c r="S37" s="3" t="n">
        <v>64809.0</v>
      </c>
      <c r="T37" s="3" t="n">
        <v>65602.0</v>
      </c>
      <c r="U37" s="3" t="n">
        <v>65604.0</v>
      </c>
      <c r="V37" s="3" t="n">
        <v>65209.0</v>
      </c>
      <c r="W37" s="3" t="n">
        <v>64510.0</v>
      </c>
      <c r="X37" s="3" t="n">
        <v>63711.0</v>
      </c>
      <c r="Y37" s="3" t="n">
        <v>62782.0</v>
      </c>
      <c r="Z37" s="3" t="n">
        <v>61712.0</v>
      </c>
      <c r="AA37" s="3" t="n">
        <v>60743.0</v>
      </c>
      <c r="AB37" s="3" t="n">
        <v>59838.0</v>
      </c>
      <c r="AC37" s="3" t="n">
        <v>59254.0</v>
      </c>
      <c r="AD37" s="3" t="n">
        <v>58873.0</v>
      </c>
      <c r="AE37" s="3" t="n">
        <v>58750.0</v>
      </c>
      <c r="AF37" s="3" t="n">
        <v>59009.0</v>
      </c>
      <c r="AG37" s="3" t="n">
        <v>59532.0</v>
      </c>
      <c r="AH37" s="3" t="n">
        <v>60285.0</v>
      </c>
      <c r="AI37" s="3" t="n">
        <v>61331.0</v>
      </c>
      <c r="AJ37" s="3" t="n">
        <v>62685.0</v>
      </c>
      <c r="AK37" s="3" t="n">
        <v>64257.0</v>
      </c>
      <c r="AL37" s="3" t="n">
        <v>65726.0</v>
      </c>
      <c r="AM37" s="3" t="n">
        <v>67263.0</v>
      </c>
      <c r="AN37" s="3" t="n">
        <v>68654.0</v>
      </c>
      <c r="AO37" s="3" t="n">
        <v>70063.0</v>
      </c>
    </row>
    <row r="38" spans="1:41" x14ac:dyDescent="0.2">
      <c r="A38" s="135" t="s">
        <v>51</v>
      </c>
      <c r="B38" s="63" t="s">
        <v>64</v>
      </c>
      <c r="C38" s="15" t="n">
        <v>1245193.0</v>
      </c>
      <c r="D38" s="15" t="n">
        <v>1237160.0</v>
      </c>
      <c r="E38" s="15" t="n">
        <v>1228724.0</v>
      </c>
      <c r="F38" s="15" t="n">
        <v>1220034.0</v>
      </c>
      <c r="G38" s="15" t="n">
        <v>1211156.0</v>
      </c>
      <c r="H38" s="15" t="n">
        <v>1203718.0</v>
      </c>
      <c r="I38" s="15" t="n">
        <v>1196518.0</v>
      </c>
      <c r="J38" s="15" t="n">
        <v>1187815.0</v>
      </c>
      <c r="K38" s="15" t="n">
        <v>1178225.0</v>
      </c>
      <c r="L38" s="15" t="n">
        <v>1168136.0</v>
      </c>
      <c r="M38" s="15" t="n">
        <v>1157544.0</v>
      </c>
      <c r="N38" s="15" t="n">
        <v>1146615.0</v>
      </c>
      <c r="O38" s="15" t="n">
        <v>1135472.0</v>
      </c>
      <c r="P38" s="15" t="n">
        <v>1123953.0</v>
      </c>
      <c r="Q38" s="15" t="n">
        <v>1112287.0</v>
      </c>
      <c r="R38" s="15" t="n">
        <v>1100332.0</v>
      </c>
      <c r="S38" s="15" t="n">
        <v>1088274.0</v>
      </c>
      <c r="T38" s="15" t="n">
        <v>1075949.0</v>
      </c>
      <c r="U38" s="15" t="n">
        <v>1063580.0</v>
      </c>
      <c r="V38" s="15" t="n">
        <v>1051045.0</v>
      </c>
      <c r="W38" s="15" t="n">
        <v>1038529.0</v>
      </c>
      <c r="X38" s="15" t="n">
        <v>1025880.0</v>
      </c>
      <c r="Y38" s="15" t="n">
        <v>1013300.0</v>
      </c>
      <c r="Z38" s="15" t="n">
        <v>1000647.0</v>
      </c>
      <c r="AA38" s="15" t="n">
        <v>987959.0</v>
      </c>
      <c r="AB38" s="15" t="n">
        <v>975441.0</v>
      </c>
      <c r="AC38" s="15" t="n">
        <v>962889.0</v>
      </c>
      <c r="AD38" s="15" t="n">
        <v>950371.0</v>
      </c>
      <c r="AE38" s="15" t="n">
        <v>938009.0</v>
      </c>
      <c r="AF38" s="15" t="n">
        <v>925646.0</v>
      </c>
      <c r="AG38" s="15" t="n">
        <v>913258.0</v>
      </c>
      <c r="AH38" s="15" t="n">
        <v>901041.0</v>
      </c>
      <c r="AI38" s="15" t="n">
        <v>888810.0</v>
      </c>
      <c r="AJ38" s="15" t="n">
        <v>876512.0</v>
      </c>
      <c r="AK38" s="15" t="n">
        <v>864287.0</v>
      </c>
      <c r="AL38" s="15" t="n">
        <v>851961.0</v>
      </c>
      <c r="AM38" s="15" t="n">
        <v>839494.0</v>
      </c>
      <c r="AN38" s="15" t="n">
        <v>826915.0</v>
      </c>
      <c r="AO38" s="15" t="n">
        <v>814413.0</v>
      </c>
    </row>
    <row r="39" spans="1:41" x14ac:dyDescent="0.2">
      <c r="A39" s="136"/>
      <c r="B39" s="64" t="s">
        <v>8</v>
      </c>
      <c r="C39" s="3" t="n">
        <v>199922.0</v>
      </c>
      <c r="D39" s="3" t="n">
        <v>197299.0</v>
      </c>
      <c r="E39" s="3" t="n">
        <v>193818.0</v>
      </c>
      <c r="F39" s="3" t="n">
        <v>189674.0</v>
      </c>
      <c r="G39" s="3" t="n">
        <v>184517.0</v>
      </c>
      <c r="H39" s="3" t="n">
        <v>179450.0</v>
      </c>
      <c r="I39" s="3" t="n">
        <v>174559.0</v>
      </c>
      <c r="J39" s="3" t="n">
        <v>169952.0</v>
      </c>
      <c r="K39" s="3" t="n">
        <v>164810.0</v>
      </c>
      <c r="L39" s="3" t="n">
        <v>160206.0</v>
      </c>
      <c r="M39" s="3" t="n">
        <v>155446.0</v>
      </c>
      <c r="N39" s="3" t="n">
        <v>150675.0</v>
      </c>
      <c r="O39" s="3" t="n">
        <v>145634.0</v>
      </c>
      <c r="P39" s="3" t="n">
        <v>139969.0</v>
      </c>
      <c r="Q39" s="3" t="n">
        <v>134832.0</v>
      </c>
      <c r="R39" s="3" t="n">
        <v>130249.0</v>
      </c>
      <c r="S39" s="3" t="n">
        <v>126250.0</v>
      </c>
      <c r="T39" s="3" t="n">
        <v>122680.0</v>
      </c>
      <c r="U39" s="3" t="n">
        <v>119918.0</v>
      </c>
      <c r="V39" s="3" t="n">
        <v>117866.0</v>
      </c>
      <c r="W39" s="3" t="n">
        <v>116054.0</v>
      </c>
      <c r="X39" s="3" t="n">
        <v>114484.0</v>
      </c>
      <c r="Y39" s="3" t="n">
        <v>113112.0</v>
      </c>
      <c r="Z39" s="3" t="n">
        <v>111921.0</v>
      </c>
      <c r="AA39" s="3" t="n">
        <v>110844.0</v>
      </c>
      <c r="AB39" s="3" t="n">
        <v>109853.0</v>
      </c>
      <c r="AC39" s="3" t="n">
        <v>108906.0</v>
      </c>
      <c r="AD39" s="3" t="n">
        <v>107961.0</v>
      </c>
      <c r="AE39" s="3" t="n">
        <v>106999.0</v>
      </c>
      <c r="AF39" s="3" t="n">
        <v>105992.0</v>
      </c>
      <c r="AG39" s="3" t="n">
        <v>104889.0</v>
      </c>
      <c r="AH39" s="3" t="n">
        <v>103715.0</v>
      </c>
      <c r="AI39" s="3" t="n">
        <v>102419.0</v>
      </c>
      <c r="AJ39" s="3" t="n">
        <v>100978.0</v>
      </c>
      <c r="AK39" s="3" t="n">
        <v>99388.0</v>
      </c>
      <c r="AL39" s="3" t="n">
        <v>97632.0</v>
      </c>
      <c r="AM39" s="3" t="n">
        <v>95740.0</v>
      </c>
      <c r="AN39" s="3" t="n">
        <v>93721.0</v>
      </c>
      <c r="AO39" s="3" t="n">
        <v>91604.0</v>
      </c>
    </row>
    <row r="40" spans="1:41" x14ac:dyDescent="0.2">
      <c r="A40" s="136"/>
      <c r="B40" s="64" t="s">
        <v>15</v>
      </c>
      <c r="C40" s="3" t="n">
        <v>640315.0</v>
      </c>
      <c r="D40" s="3" t="n">
        <v>633877.0</v>
      </c>
      <c r="E40" s="3" t="n">
        <v>628429.0</v>
      </c>
      <c r="F40" s="3" t="n">
        <v>623910.0</v>
      </c>
      <c r="G40" s="3" t="n">
        <v>620255.0</v>
      </c>
      <c r="H40" s="3" t="n">
        <v>618055.0</v>
      </c>
      <c r="I40" s="3" t="n">
        <v>615950.0</v>
      </c>
      <c r="J40" s="3" t="n">
        <v>611836.0</v>
      </c>
      <c r="K40" s="3" t="n">
        <v>607316.0</v>
      </c>
      <c r="L40" s="3" t="n">
        <v>601355.0</v>
      </c>
      <c r="M40" s="3" t="n">
        <v>594891.0</v>
      </c>
      <c r="N40" s="3" t="n">
        <v>587829.0</v>
      </c>
      <c r="O40" s="3" t="n">
        <v>580447.0</v>
      </c>
      <c r="P40" s="3" t="n">
        <v>572922.0</v>
      </c>
      <c r="Q40" s="3" t="n">
        <v>564328.0</v>
      </c>
      <c r="R40" s="3" t="n">
        <v>555199.0</v>
      </c>
      <c r="S40" s="3" t="n">
        <v>545689.0</v>
      </c>
      <c r="T40" s="3" t="n">
        <v>535490.0</v>
      </c>
      <c r="U40" s="3" t="n">
        <v>524487.0</v>
      </c>
      <c r="V40" s="3" t="n">
        <v>513463.0</v>
      </c>
      <c r="W40" s="3" t="n">
        <v>501388.0</v>
      </c>
      <c r="X40" s="3" t="n">
        <v>488503.0</v>
      </c>
      <c r="Y40" s="3" t="n">
        <v>476491.0</v>
      </c>
      <c r="Z40" s="3" t="n">
        <v>465018.0</v>
      </c>
      <c r="AA40" s="3" t="n">
        <v>454402.0</v>
      </c>
      <c r="AB40" s="3" t="n">
        <v>444441.0</v>
      </c>
      <c r="AC40" s="3" t="n">
        <v>434770.0</v>
      </c>
      <c r="AD40" s="3" t="n">
        <v>425460.0</v>
      </c>
      <c r="AE40" s="3" t="n">
        <v>416259.0</v>
      </c>
      <c r="AF40" s="3" t="n">
        <v>407344.0</v>
      </c>
      <c r="AG40" s="3" t="n">
        <v>399274.0</v>
      </c>
      <c r="AH40" s="3" t="n">
        <v>391493.0</v>
      </c>
      <c r="AI40" s="3" t="n">
        <v>384330.0</v>
      </c>
      <c r="AJ40" s="3" t="n">
        <v>377794.0</v>
      </c>
      <c r="AK40" s="3" t="n">
        <v>371850.0</v>
      </c>
      <c r="AL40" s="3" t="n">
        <v>366239.0</v>
      </c>
      <c r="AM40" s="3" t="n">
        <v>361205.0</v>
      </c>
      <c r="AN40" s="3" t="n">
        <v>356412.0</v>
      </c>
      <c r="AO40" s="3" t="n">
        <v>351737.0</v>
      </c>
    </row>
    <row r="41" spans="1:41" x14ac:dyDescent="0.2">
      <c r="A41" s="136"/>
      <c r="B41" s="64" t="s">
        <v>11</v>
      </c>
      <c r="C41" s="3" t="n">
        <v>397518.0</v>
      </c>
      <c r="D41" s="3" t="n">
        <v>388236.0</v>
      </c>
      <c r="E41" s="3" t="n">
        <v>379292.0</v>
      </c>
      <c r="F41" s="3" t="n">
        <v>370832.0</v>
      </c>
      <c r="G41" s="3" t="n">
        <v>363972.0</v>
      </c>
      <c r="H41" s="3" t="n">
        <v>357304.0</v>
      </c>
      <c r="I41" s="3" t="n">
        <v>350237.0</v>
      </c>
      <c r="J41" s="3" t="n">
        <v>342890.0</v>
      </c>
      <c r="K41" s="3" t="n">
        <v>336239.0</v>
      </c>
      <c r="L41" s="3" t="n">
        <v>329801.0</v>
      </c>
      <c r="M41" s="3" t="n">
        <v>324106.0</v>
      </c>
      <c r="N41" s="3" t="n">
        <v>318712.0</v>
      </c>
      <c r="O41" s="3" t="n">
        <v>313979.0</v>
      </c>
      <c r="P41" s="3" t="n">
        <v>310022.0</v>
      </c>
      <c r="Q41" s="3" t="n">
        <v>305859.0</v>
      </c>
      <c r="R41" s="3" t="n">
        <v>302016.0</v>
      </c>
      <c r="S41" s="3" t="n">
        <v>297920.0</v>
      </c>
      <c r="T41" s="3" t="n">
        <v>294007.0</v>
      </c>
      <c r="U41" s="3" t="n">
        <v>289933.0</v>
      </c>
      <c r="V41" s="3" t="n">
        <v>285756.0</v>
      </c>
      <c r="W41" s="3" t="n">
        <v>281672.0</v>
      </c>
      <c r="X41" s="3" t="n">
        <v>277878.0</v>
      </c>
      <c r="Y41" s="3" t="n">
        <v>274103.0</v>
      </c>
      <c r="Z41" s="3" t="n">
        <v>270212.0</v>
      </c>
      <c r="AA41" s="3" t="n">
        <v>266470.0</v>
      </c>
      <c r="AB41" s="3" t="n">
        <v>262777.0</v>
      </c>
      <c r="AC41" s="3" t="n">
        <v>259208.0</v>
      </c>
      <c r="AD41" s="3" t="n">
        <v>255142.0</v>
      </c>
      <c r="AE41" s="3" t="n">
        <v>250953.0</v>
      </c>
      <c r="AF41" s="3" t="n">
        <v>246143.0</v>
      </c>
      <c r="AG41" s="3" t="n">
        <v>240870.0</v>
      </c>
      <c r="AH41" s="3" t="n">
        <v>234844.0</v>
      </c>
      <c r="AI41" s="3" t="n">
        <v>228570.0</v>
      </c>
      <c r="AJ41" s="3" t="n">
        <v>222440.0</v>
      </c>
      <c r="AK41" s="3" t="n">
        <v>217168.0</v>
      </c>
      <c r="AL41" s="3" t="n">
        <v>211704.0</v>
      </c>
      <c r="AM41" s="3" t="n">
        <v>206943.0</v>
      </c>
      <c r="AN41" s="3" t="n">
        <v>202122.0</v>
      </c>
      <c r="AO41" s="3" t="n">
        <v>197367.0</v>
      </c>
    </row>
    <row r="42" spans="1:41" x14ac:dyDescent="0.2">
      <c r="A42" s="136"/>
      <c r="B42" s="64" t="s">
        <v>16</v>
      </c>
      <c r="C42" s="3" t="n">
        <v>242797.0</v>
      </c>
      <c r="D42" s="3" t="n">
        <v>245641.0</v>
      </c>
      <c r="E42" s="3" t="n">
        <v>249137.0</v>
      </c>
      <c r="F42" s="3" t="n">
        <v>253078.0</v>
      </c>
      <c r="G42" s="3" t="n">
        <v>256283.0</v>
      </c>
      <c r="H42" s="3" t="n">
        <v>260751.0</v>
      </c>
      <c r="I42" s="3" t="n">
        <v>265713.0</v>
      </c>
      <c r="J42" s="3" t="n">
        <v>268946.0</v>
      </c>
      <c r="K42" s="3" t="n">
        <v>271077.0</v>
      </c>
      <c r="L42" s="3" t="n">
        <v>271554.0</v>
      </c>
      <c r="M42" s="3" t="n">
        <v>270785.0</v>
      </c>
      <c r="N42" s="3" t="n">
        <v>269117.0</v>
      </c>
      <c r="O42" s="3" t="n">
        <v>266468.0</v>
      </c>
      <c r="P42" s="3" t="n">
        <v>262900.0</v>
      </c>
      <c r="Q42" s="3" t="n">
        <v>258469.0</v>
      </c>
      <c r="R42" s="3" t="n">
        <v>253183.0</v>
      </c>
      <c r="S42" s="3" t="n">
        <v>247769.0</v>
      </c>
      <c r="T42" s="3" t="n">
        <v>241483.0</v>
      </c>
      <c r="U42" s="3" t="n">
        <v>234554.0</v>
      </c>
      <c r="V42" s="3" t="n">
        <v>227707.0</v>
      </c>
      <c r="W42" s="3" t="n">
        <v>219716.0</v>
      </c>
      <c r="X42" s="3" t="n">
        <v>210625.0</v>
      </c>
      <c r="Y42" s="3" t="n">
        <v>202388.0</v>
      </c>
      <c r="Z42" s="3" t="n">
        <v>194806.0</v>
      </c>
      <c r="AA42" s="3" t="n">
        <v>187932.0</v>
      </c>
      <c r="AB42" s="3" t="n">
        <v>181664.0</v>
      </c>
      <c r="AC42" s="3" t="n">
        <v>175562.0</v>
      </c>
      <c r="AD42" s="3" t="n">
        <v>170318.0</v>
      </c>
      <c r="AE42" s="3" t="n">
        <v>165306.0</v>
      </c>
      <c r="AF42" s="3" t="n">
        <v>161201.0</v>
      </c>
      <c r="AG42" s="3" t="n">
        <v>158404.0</v>
      </c>
      <c r="AH42" s="3" t="n">
        <v>156649.0</v>
      </c>
      <c r="AI42" s="3" t="n">
        <v>155760.0</v>
      </c>
      <c r="AJ42" s="3" t="n">
        <v>155354.0</v>
      </c>
      <c r="AK42" s="3" t="n">
        <v>154682.0</v>
      </c>
      <c r="AL42" s="3" t="n">
        <v>154535.0</v>
      </c>
      <c r="AM42" s="3" t="n">
        <v>154262.0</v>
      </c>
      <c r="AN42" s="3" t="n">
        <v>154290.0</v>
      </c>
      <c r="AO42" s="3" t="n">
        <v>154370.0</v>
      </c>
    </row>
    <row r="43" spans="1:41" x14ac:dyDescent="0.2">
      <c r="A43" s="136"/>
      <c r="B43" s="64" t="s">
        <v>17</v>
      </c>
      <c r="C43" s="3" t="n">
        <v>404956.0</v>
      </c>
      <c r="D43" s="3" t="n">
        <v>405984.0</v>
      </c>
      <c r="E43" s="3" t="n">
        <v>406477.0</v>
      </c>
      <c r="F43" s="3" t="n">
        <v>406450.0</v>
      </c>
      <c r="G43" s="3" t="n">
        <v>406384.0</v>
      </c>
      <c r="H43" s="3" t="n">
        <v>406213.0</v>
      </c>
      <c r="I43" s="3" t="n">
        <v>406009.0</v>
      </c>
      <c r="J43" s="3" t="n">
        <v>406027.0</v>
      </c>
      <c r="K43" s="3" t="n">
        <v>406099.0</v>
      </c>
      <c r="L43" s="3" t="n">
        <v>406575.0</v>
      </c>
      <c r="M43" s="3" t="n">
        <v>407207.0</v>
      </c>
      <c r="N43" s="3" t="n">
        <v>408111.0</v>
      </c>
      <c r="O43" s="3" t="n">
        <v>409391.0</v>
      </c>
      <c r="P43" s="3" t="n">
        <v>411062.0</v>
      </c>
      <c r="Q43" s="3" t="n">
        <v>413127.0</v>
      </c>
      <c r="R43" s="3" t="n">
        <v>414884.0</v>
      </c>
      <c r="S43" s="3" t="n">
        <v>416335.0</v>
      </c>
      <c r="T43" s="3" t="n">
        <v>417779.0</v>
      </c>
      <c r="U43" s="3" t="n">
        <v>419175.0</v>
      </c>
      <c r="V43" s="3" t="n">
        <v>419716.0</v>
      </c>
      <c r="W43" s="3" t="n">
        <v>421087.0</v>
      </c>
      <c r="X43" s="3" t="n">
        <v>422893.0</v>
      </c>
      <c r="Y43" s="3" t="n">
        <v>423697.0</v>
      </c>
      <c r="Z43" s="3" t="n">
        <v>423708.0</v>
      </c>
      <c r="AA43" s="3" t="n">
        <v>422713.0</v>
      </c>
      <c r="AB43" s="3" t="n">
        <v>421147.0</v>
      </c>
      <c r="AC43" s="3" t="n">
        <v>419213.0</v>
      </c>
      <c r="AD43" s="3" t="n">
        <v>416950.0</v>
      </c>
      <c r="AE43" s="3" t="n">
        <v>414751.0</v>
      </c>
      <c r="AF43" s="3" t="n">
        <v>412310.0</v>
      </c>
      <c r="AG43" s="3" t="n">
        <v>409095.0</v>
      </c>
      <c r="AH43" s="3" t="n">
        <v>405833.0</v>
      </c>
      <c r="AI43" s="3" t="n">
        <v>402061.0</v>
      </c>
      <c r="AJ43" s="3" t="n">
        <v>397740.0</v>
      </c>
      <c r="AK43" s="3" t="n">
        <v>393049.0</v>
      </c>
      <c r="AL43" s="3" t="n">
        <v>388090.0</v>
      </c>
      <c r="AM43" s="3" t="n">
        <v>382549.0</v>
      </c>
      <c r="AN43" s="3" t="n">
        <v>376782.0</v>
      </c>
      <c r="AO43" s="3" t="n">
        <v>371072.0</v>
      </c>
    </row>
    <row r="44" spans="1:41" x14ac:dyDescent="0.2">
      <c r="A44" s="136"/>
      <c r="B44" s="64" t="s">
        <v>0</v>
      </c>
      <c r="C44" s="3" t="n">
        <v>28289.0</v>
      </c>
      <c r="D44" s="3" t="n">
        <v>26264.0</v>
      </c>
      <c r="E44" s="3" t="n">
        <v>24371.0</v>
      </c>
      <c r="F44" s="3" t="n">
        <v>23067.0</v>
      </c>
      <c r="G44" s="3" t="n">
        <v>22293.0</v>
      </c>
      <c r="H44" s="3" t="n">
        <v>21644.0</v>
      </c>
      <c r="I44" s="3" t="n">
        <v>21088.0</v>
      </c>
      <c r="J44" s="3" t="n">
        <v>20555.0</v>
      </c>
      <c r="K44" s="3" t="n">
        <v>20077.0</v>
      </c>
      <c r="L44" s="3" t="n">
        <v>19643.0</v>
      </c>
      <c r="M44" s="3" t="n">
        <v>19262.0</v>
      </c>
      <c r="N44" s="3" t="n">
        <v>18941.0</v>
      </c>
      <c r="O44" s="3" t="n">
        <v>18675.0</v>
      </c>
      <c r="P44" s="3" t="n">
        <v>18456.0</v>
      </c>
      <c r="Q44" s="3" t="n">
        <v>18290.0</v>
      </c>
      <c r="R44" s="3" t="n">
        <v>18166.0</v>
      </c>
      <c r="S44" s="3" t="n">
        <v>18105.0</v>
      </c>
      <c r="T44" s="3" t="n">
        <v>18071.0</v>
      </c>
      <c r="U44" s="3" t="n">
        <v>18061.0</v>
      </c>
      <c r="V44" s="3" t="n">
        <v>18053.0</v>
      </c>
      <c r="W44" s="3" t="n">
        <v>18032.0</v>
      </c>
      <c r="X44" s="3" t="n">
        <v>17969.0</v>
      </c>
      <c r="Y44" s="3" t="n">
        <v>17870.0</v>
      </c>
      <c r="Z44" s="3" t="n">
        <v>17742.0</v>
      </c>
      <c r="AA44" s="3" t="n">
        <v>17579.0</v>
      </c>
      <c r="AB44" s="3" t="n">
        <v>17368.0</v>
      </c>
      <c r="AC44" s="3" t="n">
        <v>17104.0</v>
      </c>
      <c r="AD44" s="3" t="n">
        <v>16794.0</v>
      </c>
      <c r="AE44" s="3" t="n">
        <v>16446.0</v>
      </c>
      <c r="AF44" s="3" t="n">
        <v>16053.0</v>
      </c>
      <c r="AG44" s="3" t="n">
        <v>15617.0</v>
      </c>
      <c r="AH44" s="3" t="n">
        <v>15171.0</v>
      </c>
      <c r="AI44" s="3" t="n">
        <v>14704.0</v>
      </c>
      <c r="AJ44" s="3" t="n">
        <v>14228.0</v>
      </c>
      <c r="AK44" s="3" t="n">
        <v>13738.0</v>
      </c>
      <c r="AL44" s="3" t="n">
        <v>13252.0</v>
      </c>
      <c r="AM44" s="3" t="n">
        <v>12787.0</v>
      </c>
      <c r="AN44" s="3" t="n">
        <v>12344.0</v>
      </c>
      <c r="AO44" s="3" t="n">
        <v>11942.0</v>
      </c>
    </row>
    <row r="45" spans="1:41" x14ac:dyDescent="0.2">
      <c r="A45" s="136"/>
      <c r="B45" s="64" t="s">
        <v>1</v>
      </c>
      <c r="C45" s="3" t="n">
        <v>44460.0</v>
      </c>
      <c r="D45" s="3" t="n">
        <v>43329.0</v>
      </c>
      <c r="E45" s="3" t="n">
        <v>41215.0</v>
      </c>
      <c r="F45" s="3" t="n">
        <v>38836.0</v>
      </c>
      <c r="G45" s="3" t="n">
        <v>36279.0</v>
      </c>
      <c r="H45" s="3" t="n">
        <v>34140.0</v>
      </c>
      <c r="I45" s="3" t="n">
        <v>32192.0</v>
      </c>
      <c r="J45" s="3" t="n">
        <v>30730.0</v>
      </c>
      <c r="K45" s="3" t="n">
        <v>29749.0</v>
      </c>
      <c r="L45" s="3" t="n">
        <v>28820.0</v>
      </c>
      <c r="M45" s="3" t="n">
        <v>28003.0</v>
      </c>
      <c r="N45" s="3" t="n">
        <v>27274.0</v>
      </c>
      <c r="O45" s="3" t="n">
        <v>26647.0</v>
      </c>
      <c r="P45" s="3" t="n">
        <v>26095.0</v>
      </c>
      <c r="Q45" s="3" t="n">
        <v>25626.0</v>
      </c>
      <c r="R45" s="3" t="n">
        <v>25232.0</v>
      </c>
      <c r="S45" s="3" t="n">
        <v>24897.0</v>
      </c>
      <c r="T45" s="3" t="n">
        <v>24638.0</v>
      </c>
      <c r="U45" s="3" t="n">
        <v>24440.0</v>
      </c>
      <c r="V45" s="3" t="n">
        <v>24307.0</v>
      </c>
      <c r="W45" s="3" t="n">
        <v>24237.0</v>
      </c>
      <c r="X45" s="3" t="n">
        <v>24202.0</v>
      </c>
      <c r="Y45" s="3" t="n">
        <v>24188.0</v>
      </c>
      <c r="Z45" s="3" t="n">
        <v>24164.0</v>
      </c>
      <c r="AA45" s="3" t="n">
        <v>24105.0</v>
      </c>
      <c r="AB45" s="3" t="n">
        <v>24005.0</v>
      </c>
      <c r="AC45" s="3" t="n">
        <v>23863.0</v>
      </c>
      <c r="AD45" s="3" t="n">
        <v>23656.0</v>
      </c>
      <c r="AE45" s="3" t="n">
        <v>23403.0</v>
      </c>
      <c r="AF45" s="3" t="n">
        <v>23102.0</v>
      </c>
      <c r="AG45" s="3" t="n">
        <v>22726.0</v>
      </c>
      <c r="AH45" s="3" t="n">
        <v>22295.0</v>
      </c>
      <c r="AI45" s="3" t="n">
        <v>21811.0</v>
      </c>
      <c r="AJ45" s="3" t="n">
        <v>21261.0</v>
      </c>
      <c r="AK45" s="3" t="n">
        <v>20685.0</v>
      </c>
      <c r="AL45" s="3" t="n">
        <v>20074.0</v>
      </c>
      <c r="AM45" s="3" t="n">
        <v>19443.0</v>
      </c>
      <c r="AN45" s="3" t="n">
        <v>18814.0</v>
      </c>
      <c r="AO45" s="3" t="n">
        <v>18169.0</v>
      </c>
    </row>
    <row r="46" spans="1:41" x14ac:dyDescent="0.2">
      <c r="A46" s="136"/>
      <c r="B46" s="65" t="s">
        <v>18</v>
      </c>
      <c r="C46" s="3" t="n">
        <v>93936.0</v>
      </c>
      <c r="D46" s="3" t="n">
        <v>92665.0</v>
      </c>
      <c r="E46" s="3" t="n">
        <v>91701.0</v>
      </c>
      <c r="F46" s="3" t="n">
        <v>90347.0</v>
      </c>
      <c r="G46" s="3" t="n">
        <v>89293.0</v>
      </c>
      <c r="H46" s="3" t="n">
        <v>87760.0</v>
      </c>
      <c r="I46" s="3" t="n">
        <v>86676.0</v>
      </c>
      <c r="J46" s="3" t="n">
        <v>84574.0</v>
      </c>
      <c r="K46" s="3" t="n">
        <v>81715.0</v>
      </c>
      <c r="L46" s="3" t="n">
        <v>78347.0</v>
      </c>
      <c r="M46" s="3" t="n">
        <v>74111.0</v>
      </c>
      <c r="N46" s="3" t="n">
        <v>70192.0</v>
      </c>
      <c r="O46" s="3" t="n">
        <v>66617.0</v>
      </c>
      <c r="P46" s="3" t="n">
        <v>63429.0</v>
      </c>
      <c r="Q46" s="3" t="n">
        <v>60515.0</v>
      </c>
      <c r="R46" s="3" t="n">
        <v>58280.0</v>
      </c>
      <c r="S46" s="3" t="n">
        <v>56642.0</v>
      </c>
      <c r="T46" s="3" t="n">
        <v>55150.0</v>
      </c>
      <c r="U46" s="3" t="n">
        <v>53856.0</v>
      </c>
      <c r="V46" s="3" t="n">
        <v>52718.0</v>
      </c>
      <c r="W46" s="3" t="n">
        <v>51745.0</v>
      </c>
      <c r="X46" s="3" t="n">
        <v>50929.0</v>
      </c>
      <c r="Y46" s="3" t="n">
        <v>50264.0</v>
      </c>
      <c r="Z46" s="3" t="n">
        <v>49728.0</v>
      </c>
      <c r="AA46" s="3" t="n">
        <v>49316.0</v>
      </c>
      <c r="AB46" s="3" t="n">
        <v>49018.0</v>
      </c>
      <c r="AC46" s="3" t="n">
        <v>48812.0</v>
      </c>
      <c r="AD46" s="3" t="n">
        <v>48653.0</v>
      </c>
      <c r="AE46" s="3" t="n">
        <v>48519.0</v>
      </c>
      <c r="AF46" s="3" t="n">
        <v>48383.0</v>
      </c>
      <c r="AG46" s="3" t="n">
        <v>48225.0</v>
      </c>
      <c r="AH46" s="3" t="n">
        <v>47998.0</v>
      </c>
      <c r="AI46" s="3" t="n">
        <v>47691.0</v>
      </c>
      <c r="AJ46" s="3" t="n">
        <v>47289.0</v>
      </c>
      <c r="AK46" s="3" t="n">
        <v>46774.0</v>
      </c>
      <c r="AL46" s="3" t="n">
        <v>46129.0</v>
      </c>
      <c r="AM46" s="3" t="n">
        <v>45391.0</v>
      </c>
      <c r="AN46" s="3" t="n">
        <v>44547.0</v>
      </c>
      <c r="AO46" s="3" t="n">
        <v>43611.0</v>
      </c>
    </row>
    <row r="47" spans="1:41" x14ac:dyDescent="0.2">
      <c r="A47" s="136"/>
      <c r="B47" s="64" t="s">
        <v>19</v>
      </c>
      <c r="C47" s="3" t="n">
        <v>43753.0</v>
      </c>
      <c r="D47" s="3" t="n">
        <v>45588.0</v>
      </c>
      <c r="E47" s="3" t="n">
        <v>47639.0</v>
      </c>
      <c r="F47" s="3" t="n">
        <v>48978.0</v>
      </c>
      <c r="G47" s="3" t="n">
        <v>49008.0</v>
      </c>
      <c r="H47" s="3" t="n">
        <v>48538.0</v>
      </c>
      <c r="I47" s="3" t="n">
        <v>47115.0</v>
      </c>
      <c r="J47" s="3" t="n">
        <v>45761.0</v>
      </c>
      <c r="K47" s="3" t="n">
        <v>45138.0</v>
      </c>
      <c r="L47" s="3" t="n">
        <v>44510.0</v>
      </c>
      <c r="M47" s="3" t="n">
        <v>45194.0</v>
      </c>
      <c r="N47" s="3" t="n">
        <v>45302.0</v>
      </c>
      <c r="O47" s="3" t="n">
        <v>44924.0</v>
      </c>
      <c r="P47" s="3" t="n">
        <v>43776.0</v>
      </c>
      <c r="Q47" s="3" t="n">
        <v>41633.0</v>
      </c>
      <c r="R47" s="3" t="n">
        <v>39232.0</v>
      </c>
      <c r="S47" s="3" t="n">
        <v>36681.0</v>
      </c>
      <c r="T47" s="3" t="n">
        <v>34457.0</v>
      </c>
      <c r="U47" s="3" t="n">
        <v>32388.0</v>
      </c>
      <c r="V47" s="3" t="n">
        <v>30902.0</v>
      </c>
      <c r="W47" s="3" t="n">
        <v>29899.0</v>
      </c>
      <c r="X47" s="3" t="n">
        <v>28954.0</v>
      </c>
      <c r="Y47" s="3" t="n">
        <v>28131.0</v>
      </c>
      <c r="Z47" s="3" t="n">
        <v>27398.0</v>
      </c>
      <c r="AA47" s="3" t="n">
        <v>26761.0</v>
      </c>
      <c r="AB47" s="3" t="n">
        <v>26209.0</v>
      </c>
      <c r="AC47" s="3" t="n">
        <v>25735.0</v>
      </c>
      <c r="AD47" s="3" t="n">
        <v>25336.0</v>
      </c>
      <c r="AE47" s="3" t="n">
        <v>24999.0</v>
      </c>
      <c r="AF47" s="3" t="n">
        <v>24731.0</v>
      </c>
      <c r="AG47" s="3" t="n">
        <v>24530.0</v>
      </c>
      <c r="AH47" s="3" t="n">
        <v>24394.0</v>
      </c>
      <c r="AI47" s="3" t="n">
        <v>24315.0</v>
      </c>
      <c r="AJ47" s="3" t="n">
        <v>24277.0</v>
      </c>
      <c r="AK47" s="3" t="n">
        <v>24263.0</v>
      </c>
      <c r="AL47" s="3" t="n">
        <v>24243.0</v>
      </c>
      <c r="AM47" s="3" t="n">
        <v>24183.0</v>
      </c>
      <c r="AN47" s="3" t="n">
        <v>24079.0</v>
      </c>
      <c r="AO47" s="3" t="n">
        <v>23932.0</v>
      </c>
    </row>
    <row r="48" spans="1:41" x14ac:dyDescent="0.2">
      <c r="A48" s="136"/>
      <c r="B48" s="64" t="s">
        <v>2</v>
      </c>
      <c r="C48" s="3" t="n">
        <v>63843.0</v>
      </c>
      <c r="D48" s="3" t="n">
        <v>63125.0</v>
      </c>
      <c r="E48" s="3" t="n">
        <v>62721.0</v>
      </c>
      <c r="F48" s="3" t="n">
        <v>63001.0</v>
      </c>
      <c r="G48" s="3" t="n">
        <v>64048.0</v>
      </c>
      <c r="H48" s="3" t="n">
        <v>66228.0</v>
      </c>
      <c r="I48" s="3" t="n">
        <v>68991.0</v>
      </c>
      <c r="J48" s="3" t="n">
        <v>71026.0</v>
      </c>
      <c r="K48" s="3" t="n">
        <v>72098.0</v>
      </c>
      <c r="L48" s="3" t="n">
        <v>72790.0</v>
      </c>
      <c r="M48" s="3" t="n">
        <v>72259.0</v>
      </c>
      <c r="N48" s="3" t="n">
        <v>70928.0</v>
      </c>
      <c r="O48" s="3" t="n">
        <v>69259.0</v>
      </c>
      <c r="P48" s="3" t="n">
        <v>67954.0</v>
      </c>
      <c r="Q48" s="3" t="n">
        <v>68062.0</v>
      </c>
      <c r="R48" s="3" t="n">
        <v>67431.0</v>
      </c>
      <c r="S48" s="3" t="n">
        <v>66987.0</v>
      </c>
      <c r="T48" s="3" t="n">
        <v>65934.0</v>
      </c>
      <c r="U48" s="3" t="n">
        <v>64516.0</v>
      </c>
      <c r="V48" s="3" t="n">
        <v>62110.0</v>
      </c>
      <c r="W48" s="3" t="n">
        <v>58448.0</v>
      </c>
      <c r="X48" s="3" t="n">
        <v>55070.0</v>
      </c>
      <c r="Y48" s="3" t="n">
        <v>51984.0</v>
      </c>
      <c r="Z48" s="3" t="n">
        <v>49264.0</v>
      </c>
      <c r="AA48" s="3" t="n">
        <v>46753.0</v>
      </c>
      <c r="AB48" s="3" t="n">
        <v>44874.0</v>
      </c>
      <c r="AC48" s="3" t="n">
        <v>43527.0</v>
      </c>
      <c r="AD48" s="3" t="n">
        <v>42295.0</v>
      </c>
      <c r="AE48" s="3" t="n">
        <v>41208.0</v>
      </c>
      <c r="AF48" s="3" t="n">
        <v>40230.0</v>
      </c>
      <c r="AG48" s="3" t="n">
        <v>39391.0</v>
      </c>
      <c r="AH48" s="3" t="n">
        <v>38677.0</v>
      </c>
      <c r="AI48" s="3" t="n">
        <v>38078.0</v>
      </c>
      <c r="AJ48" s="3" t="n">
        <v>37579.0</v>
      </c>
      <c r="AK48" s="3" t="n">
        <v>37189.0</v>
      </c>
      <c r="AL48" s="3" t="n">
        <v>36902.0</v>
      </c>
      <c r="AM48" s="3" t="n">
        <v>36695.0</v>
      </c>
      <c r="AN48" s="3" t="n">
        <v>36555.0</v>
      </c>
      <c r="AO48" s="3" t="n">
        <v>36474.0</v>
      </c>
    </row>
    <row r="49" spans="1:41" x14ac:dyDescent="0.2">
      <c r="A49" s="136"/>
      <c r="B49" s="64" t="s">
        <v>3</v>
      </c>
      <c r="C49" s="3" t="n">
        <v>166685.0</v>
      </c>
      <c r="D49" s="3" t="n">
        <v>162258.0</v>
      </c>
      <c r="E49" s="3" t="n">
        <v>157287.0</v>
      </c>
      <c r="F49" s="3" t="n">
        <v>152250.0</v>
      </c>
      <c r="G49" s="3" t="n">
        <v>147865.0</v>
      </c>
      <c r="H49" s="3" t="n">
        <v>143544.0</v>
      </c>
      <c r="I49" s="3" t="n">
        <v>139956.0</v>
      </c>
      <c r="J49" s="3" t="n">
        <v>135859.0</v>
      </c>
      <c r="K49" s="3" t="n">
        <v>131541.0</v>
      </c>
      <c r="L49" s="3" t="n">
        <v>126810.0</v>
      </c>
      <c r="M49" s="3" t="n">
        <v>121376.0</v>
      </c>
      <c r="N49" s="3" t="n">
        <v>116407.0</v>
      </c>
      <c r="O49" s="3" t="n">
        <v>111939.0</v>
      </c>
      <c r="P49" s="3" t="n">
        <v>107980.0</v>
      </c>
      <c r="Q49" s="3" t="n">
        <v>104431.0</v>
      </c>
      <c r="R49" s="3" t="n">
        <v>101678.0</v>
      </c>
      <c r="S49" s="3" t="n">
        <v>99644.0</v>
      </c>
      <c r="T49" s="3" t="n">
        <v>97859.0</v>
      </c>
      <c r="U49" s="3" t="n">
        <v>96357.0</v>
      </c>
      <c r="V49" s="3" t="n">
        <v>95078.0</v>
      </c>
      <c r="W49" s="3" t="n">
        <v>94014.0</v>
      </c>
      <c r="X49" s="3" t="n">
        <v>93100.0</v>
      </c>
      <c r="Y49" s="3" t="n">
        <v>92322.0</v>
      </c>
      <c r="Z49" s="3" t="n">
        <v>91634.0</v>
      </c>
      <c r="AA49" s="3" t="n">
        <v>91000.0</v>
      </c>
      <c r="AB49" s="3" t="n">
        <v>90391.0</v>
      </c>
      <c r="AC49" s="3" t="n">
        <v>89779.0</v>
      </c>
      <c r="AD49" s="3" t="n">
        <v>89103.0</v>
      </c>
      <c r="AE49" s="3" t="n">
        <v>88368.0</v>
      </c>
      <c r="AF49" s="3" t="n">
        <v>87538.0</v>
      </c>
      <c r="AG49" s="3" t="n">
        <v>86568.0</v>
      </c>
      <c r="AH49" s="3" t="n">
        <v>85464.0</v>
      </c>
      <c r="AI49" s="3" t="n">
        <v>84206.0</v>
      </c>
      <c r="AJ49" s="3" t="n">
        <v>82778.0</v>
      </c>
      <c r="AK49" s="3" t="n">
        <v>81197.0</v>
      </c>
      <c r="AL49" s="3" t="n">
        <v>79455.0</v>
      </c>
      <c r="AM49" s="3" t="n">
        <v>77621.0</v>
      </c>
      <c r="AN49" s="3" t="n">
        <v>75705.0</v>
      </c>
      <c r="AO49" s="3" t="n">
        <v>73722.0</v>
      </c>
    </row>
    <row r="50" spans="1:41" x14ac:dyDescent="0.2">
      <c r="A50" s="136"/>
      <c r="B50" s="64" t="s">
        <v>4</v>
      </c>
      <c r="C50" s="3" t="n">
        <v>760644.0</v>
      </c>
      <c r="D50" s="3" t="n">
        <v>751168.0</v>
      </c>
      <c r="E50" s="3" t="n">
        <v>742875.0</v>
      </c>
      <c r="F50" s="3" t="n">
        <v>736005.0</v>
      </c>
      <c r="G50" s="3" t="n">
        <v>729488.0</v>
      </c>
      <c r="H50" s="3" t="n">
        <v>725375.0</v>
      </c>
      <c r="I50" s="3" t="n">
        <v>721308.0</v>
      </c>
      <c r="J50" s="3" t="n">
        <v>716743.0</v>
      </c>
      <c r="K50" s="3" t="n">
        <v>712070.0</v>
      </c>
      <c r="L50" s="3" t="n">
        <v>707420.0</v>
      </c>
      <c r="M50" s="3" t="n">
        <v>703384.0</v>
      </c>
      <c r="N50" s="3" t="n">
        <v>698545.0</v>
      </c>
      <c r="O50" s="3" t="n">
        <v>692751.0</v>
      </c>
      <c r="P50" s="3" t="n">
        <v>686150.0</v>
      </c>
      <c r="Q50" s="3" t="n">
        <v>678564.0</v>
      </c>
      <c r="R50" s="3" t="n">
        <v>669754.0</v>
      </c>
      <c r="S50" s="3" t="n">
        <v>659819.0</v>
      </c>
      <c r="T50" s="3" t="n">
        <v>649109.0</v>
      </c>
      <c r="U50" s="3" t="n">
        <v>637457.0</v>
      </c>
      <c r="V50" s="3" t="n">
        <v>625093.0</v>
      </c>
      <c r="W50" s="3" t="n">
        <v>612571.0</v>
      </c>
      <c r="X50" s="3" t="n">
        <v>600044.0</v>
      </c>
      <c r="Y50" s="3" t="n">
        <v>587119.0</v>
      </c>
      <c r="Z50" s="3" t="n">
        <v>574047.0</v>
      </c>
      <c r="AA50" s="3" t="n">
        <v>561544.0</v>
      </c>
      <c r="AB50" s="3" t="n">
        <v>548185.0</v>
      </c>
      <c r="AC50" s="3" t="n">
        <v>534235.0</v>
      </c>
      <c r="AD50" s="3" t="n">
        <v>521334.0</v>
      </c>
      <c r="AE50" s="3" t="n">
        <v>509124.0</v>
      </c>
      <c r="AF50" s="3" t="n">
        <v>497882.0</v>
      </c>
      <c r="AG50" s="3" t="n">
        <v>487430.0</v>
      </c>
      <c r="AH50" s="3" t="n">
        <v>477465.0</v>
      </c>
      <c r="AI50" s="3" t="n">
        <v>467945.0</v>
      </c>
      <c r="AJ50" s="3" t="n">
        <v>458672.0</v>
      </c>
      <c r="AK50" s="3" t="n">
        <v>449789.0</v>
      </c>
      <c r="AL50" s="3" t="n">
        <v>441779.0</v>
      </c>
      <c r="AM50" s="3" t="n">
        <v>434033.0</v>
      </c>
      <c r="AN50" s="3" t="n">
        <v>426863.0</v>
      </c>
      <c r="AO50" s="3" t="n">
        <v>420281.0</v>
      </c>
    </row>
    <row r="51" spans="1:41" x14ac:dyDescent="0.2">
      <c r="A51" s="136"/>
      <c r="B51" s="64" t="s">
        <v>5</v>
      </c>
      <c r="C51" s="3" t="n">
        <v>317864.0</v>
      </c>
      <c r="D51" s="3" t="n">
        <v>323734.0</v>
      </c>
      <c r="E51" s="3" t="n">
        <v>328562.0</v>
      </c>
      <c r="F51" s="3" t="n">
        <v>331779.0</v>
      </c>
      <c r="G51" s="3" t="n">
        <v>333803.0</v>
      </c>
      <c r="H51" s="3" t="n">
        <v>334799.0</v>
      </c>
      <c r="I51" s="3" t="n">
        <v>335254.0</v>
      </c>
      <c r="J51" s="3" t="n">
        <v>335213.0</v>
      </c>
      <c r="K51" s="3" t="n">
        <v>334614.0</v>
      </c>
      <c r="L51" s="3" t="n">
        <v>333906.0</v>
      </c>
      <c r="M51" s="3" t="n">
        <v>332784.0</v>
      </c>
      <c r="N51" s="3" t="n">
        <v>331663.0</v>
      </c>
      <c r="O51" s="3" t="n">
        <v>330782.0</v>
      </c>
      <c r="P51" s="3" t="n">
        <v>329823.0</v>
      </c>
      <c r="Q51" s="3" t="n">
        <v>329292.0</v>
      </c>
      <c r="R51" s="3" t="n">
        <v>328900.0</v>
      </c>
      <c r="S51" s="3" t="n">
        <v>328811.0</v>
      </c>
      <c r="T51" s="3" t="n">
        <v>328981.0</v>
      </c>
      <c r="U51" s="3" t="n">
        <v>329766.0</v>
      </c>
      <c r="V51" s="3" t="n">
        <v>330874.0</v>
      </c>
      <c r="W51" s="3" t="n">
        <v>331944.0</v>
      </c>
      <c r="X51" s="3" t="n">
        <v>332736.0</v>
      </c>
      <c r="Y51" s="3" t="n">
        <v>333859.0</v>
      </c>
      <c r="Z51" s="3" t="n">
        <v>334966.0</v>
      </c>
      <c r="AA51" s="3" t="n">
        <v>335415.0</v>
      </c>
      <c r="AB51" s="3" t="n">
        <v>336865.0</v>
      </c>
      <c r="AC51" s="3" t="n">
        <v>338875.0</v>
      </c>
      <c r="AD51" s="3" t="n">
        <v>339934.0</v>
      </c>
      <c r="AE51" s="3" t="n">
        <v>340517.0</v>
      </c>
      <c r="AF51" s="3" t="n">
        <v>340226.0</v>
      </c>
      <c r="AG51" s="3" t="n">
        <v>339260.0</v>
      </c>
      <c r="AH51" s="3" t="n">
        <v>338112.0</v>
      </c>
      <c r="AI51" s="3" t="n">
        <v>336659.0</v>
      </c>
      <c r="AJ51" s="3" t="n">
        <v>335062.0</v>
      </c>
      <c r="AK51" s="3" t="n">
        <v>333301.0</v>
      </c>
      <c r="AL51" s="3" t="n">
        <v>330727.0</v>
      </c>
      <c r="AM51" s="3" t="n">
        <v>327840.0</v>
      </c>
      <c r="AN51" s="3" t="n">
        <v>324347.0</v>
      </c>
      <c r="AO51" s="3" t="n">
        <v>320410.0</v>
      </c>
    </row>
    <row r="52" spans="1:41" x14ac:dyDescent="0.2">
      <c r="A52" s="136"/>
      <c r="B52" s="64" t="s">
        <v>6</v>
      </c>
      <c r="C52" s="3" t="n">
        <v>78214.0</v>
      </c>
      <c r="D52" s="3" t="n">
        <v>78029.0</v>
      </c>
      <c r="E52" s="3" t="n">
        <v>77599.0</v>
      </c>
      <c r="F52" s="3" t="n">
        <v>77565.0</v>
      </c>
      <c r="G52" s="3" t="n">
        <v>82347.0</v>
      </c>
      <c r="H52" s="3" t="n">
        <v>86750.0</v>
      </c>
      <c r="I52" s="3" t="n">
        <v>91172.0</v>
      </c>
      <c r="J52" s="3" t="n">
        <v>95225.0</v>
      </c>
      <c r="K52" s="3" t="n">
        <v>99570.0</v>
      </c>
      <c r="L52" s="3" t="n">
        <v>104492.0</v>
      </c>
      <c r="M52" s="3" t="n">
        <v>108920.0</v>
      </c>
      <c r="N52" s="3" t="n">
        <v>113200.0</v>
      </c>
      <c r="O52" s="3" t="n">
        <v>116957.0</v>
      </c>
      <c r="P52" s="3" t="n">
        <v>120897.0</v>
      </c>
      <c r="Q52" s="3" t="n">
        <v>124183.0</v>
      </c>
      <c r="R52" s="3" t="n">
        <v>127173.0</v>
      </c>
      <c r="S52" s="3" t="n">
        <v>129311.0</v>
      </c>
      <c r="T52" s="3" t="n">
        <v>130520.0</v>
      </c>
      <c r="U52" s="3" t="n">
        <v>130517.0</v>
      </c>
      <c r="V52" s="3" t="n">
        <v>129540.0</v>
      </c>
      <c r="W52" s="3" t="n">
        <v>127785.0</v>
      </c>
      <c r="X52" s="3" t="n">
        <v>125738.0</v>
      </c>
      <c r="Y52" s="3" t="n">
        <v>123508.0</v>
      </c>
      <c r="Z52" s="3" t="n">
        <v>120999.0</v>
      </c>
      <c r="AA52" s="3" t="n">
        <v>118582.0</v>
      </c>
      <c r="AB52" s="3" t="n">
        <v>116270.0</v>
      </c>
      <c r="AC52" s="3" t="n">
        <v>114202.0</v>
      </c>
      <c r="AD52" s="3" t="n">
        <v>112595.0</v>
      </c>
      <c r="AE52" s="3" t="n">
        <v>111432.0</v>
      </c>
      <c r="AF52" s="3" t="n">
        <v>110853.0</v>
      </c>
      <c r="AG52" s="3" t="n">
        <v>110707.0</v>
      </c>
      <c r="AH52" s="3" t="n">
        <v>111099.0</v>
      </c>
      <c r="AI52" s="3" t="n">
        <v>111987.0</v>
      </c>
      <c r="AJ52" s="3" t="n">
        <v>113408.0</v>
      </c>
      <c r="AK52" s="3" t="n">
        <v>115320.0</v>
      </c>
      <c r="AL52" s="3" t="n">
        <v>117219.0</v>
      </c>
      <c r="AM52" s="3" t="n">
        <v>118946.0</v>
      </c>
      <c r="AN52" s="3" t="n">
        <v>120820.0</v>
      </c>
      <c r="AO52" s="3" t="n">
        <v>122730.0</v>
      </c>
    </row>
    <row r="53" spans="1:41" x14ac:dyDescent="0.2">
      <c r="A53" s="137"/>
      <c r="B53" s="66" t="s">
        <v>7</v>
      </c>
      <c r="C53" s="4" t="n">
        <v>521763.0</v>
      </c>
      <c r="D53" s="4" t="n">
        <v>515871.0</v>
      </c>
      <c r="E53" s="4" t="n">
        <v>509708.0</v>
      </c>
      <c r="F53" s="4" t="n">
        <v>502705.0</v>
      </c>
      <c r="G53" s="4" t="n">
        <v>494400.0</v>
      </c>
      <c r="H53" s="4" t="n">
        <v>487314.0</v>
      </c>
      <c r="I53" s="4" t="n">
        <v>480073.0</v>
      </c>
      <c r="J53" s="4" t="n">
        <v>471855.0</v>
      </c>
      <c r="K53" s="4" t="n">
        <v>463175.0</v>
      </c>
      <c r="L53" s="4" t="n">
        <v>455292.0</v>
      </c>
      <c r="M53" s="4" t="n">
        <v>447045.0</v>
      </c>
      <c r="N53" s="4" t="n">
        <v>437612.0</v>
      </c>
      <c r="O53" s="4" t="n">
        <v>428736.0</v>
      </c>
      <c r="P53" s="4" t="n">
        <v>420087.0</v>
      </c>
      <c r="Q53" s="4" t="n">
        <v>412046.0</v>
      </c>
      <c r="R53" s="4" t="n">
        <v>404007.0</v>
      </c>
      <c r="S53" s="4" t="n">
        <v>395706.0</v>
      </c>
      <c r="T53" s="4" t="n">
        <v>387590.0</v>
      </c>
      <c r="U53" s="4" t="n">
        <v>379409.0</v>
      </c>
      <c r="V53" s="4" t="n">
        <v>371377.0</v>
      </c>
      <c r="W53" s="4" t="n">
        <v>364017.0</v>
      </c>
      <c r="X53" s="4" t="n">
        <v>356782.0</v>
      </c>
      <c r="Y53" s="4" t="n">
        <v>350016.0</v>
      </c>
      <c r="Z53" s="4" t="n">
        <v>343750.0</v>
      </c>
      <c r="AA53" s="4" t="n">
        <v>337983.0</v>
      </c>
      <c r="AB53" s="4" t="n">
        <v>332444.0</v>
      </c>
      <c r="AC53" s="4" t="n">
        <v>327384.0</v>
      </c>
      <c r="AD53" s="4" t="n">
        <v>322567.0</v>
      </c>
      <c r="AE53" s="4" t="n">
        <v>317782.0</v>
      </c>
      <c r="AF53" s="4" t="n">
        <v>313294.0</v>
      </c>
      <c r="AG53" s="4" t="n">
        <v>309009.0</v>
      </c>
      <c r="AH53" s="4" t="n">
        <v>305023.0</v>
      </c>
      <c r="AI53" s="4" t="n">
        <v>300641.0</v>
      </c>
      <c r="AJ53" s="4" t="n">
        <v>296276.0</v>
      </c>
      <c r="AK53" s="4" t="n">
        <v>291393.0</v>
      </c>
      <c r="AL53" s="4" t="n">
        <v>286086.0</v>
      </c>
      <c r="AM53" s="4" t="n">
        <v>280022.0</v>
      </c>
      <c r="AN53" s="4" t="n">
        <v>273700.0</v>
      </c>
      <c r="AO53" s="4" t="n">
        <v>267497.0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47" t="s">
        <v>55</v>
      </c>
      <c r="C1" s="147"/>
      <c r="D1" s="147"/>
      <c r="E1" s="40"/>
      <c r="F1" s="40"/>
      <c r="G1" s="41"/>
      <c r="H1" s="8"/>
      <c r="I1" s="8"/>
    </row>
    <row r="2" spans="1:9" ht="12" customHeight="1" x14ac:dyDescent="0.2">
      <c r="A2" s="130" t="s">
        <v>82</v>
      </c>
      <c r="B2" s="130"/>
      <c r="C2" s="45" t="s">
        <v>56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1" t="s">
        <v>83</v>
      </c>
      <c r="B3" s="82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105</v>
      </c>
      <c r="B4" s="23"/>
      <c r="C4" s="23"/>
      <c r="D4" s="23"/>
      <c r="E4" s="23"/>
      <c r="F4" s="23"/>
      <c r="G4" s="32"/>
    </row>
    <row r="5" spans="1:9" ht="31.9" customHeight="1" x14ac:dyDescent="0.2">
      <c r="A5" s="139" t="s">
        <v>65</v>
      </c>
      <c r="B5" s="141" t="s">
        <v>59</v>
      </c>
      <c r="C5" s="142"/>
      <c r="D5" s="143" t="s">
        <v>57</v>
      </c>
      <c r="E5" s="144"/>
      <c r="F5" s="145" t="s">
        <v>58</v>
      </c>
      <c r="G5" s="146"/>
    </row>
    <row r="6" spans="1:9" ht="25.15" customHeight="1" x14ac:dyDescent="0.2">
      <c r="A6" s="140"/>
      <c r="B6" s="46" t="s">
        <v>104</v>
      </c>
      <c r="C6" s="52" t="s">
        <v>60</v>
      </c>
      <c r="D6" s="57" t="s">
        <v>61</v>
      </c>
      <c r="E6" s="58" t="s">
        <v>62</v>
      </c>
      <c r="F6" s="48" t="s">
        <v>103</v>
      </c>
      <c r="G6" s="47" t="s">
        <v>63</v>
      </c>
    </row>
    <row r="7" spans="1:9" x14ac:dyDescent="0.2">
      <c r="A7" s="49">
        <v>2023</v>
      </c>
      <c r="B7" s="1" t="n">
        <v>16455.0</v>
      </c>
      <c r="C7" s="53" t="n">
        <v>30016.0</v>
      </c>
      <c r="D7" s="59" t="n">
        <v>20533.0</v>
      </c>
      <c r="E7" s="53" t="n">
        <v>22064.0</v>
      </c>
      <c r="F7" s="2" t="n">
        <v>554.0</v>
      </c>
      <c r="G7" s="2" t="n">
        <v>590.0</v>
      </c>
    </row>
    <row r="8" spans="1:9" x14ac:dyDescent="0.2">
      <c r="A8" s="50">
        <v>2024</v>
      </c>
      <c r="B8" s="1" t="n">
        <v>15845.0</v>
      </c>
      <c r="C8" s="54" t="n">
        <v>30221.0</v>
      </c>
      <c r="D8" s="59" t="n">
        <v>20212.0</v>
      </c>
      <c r="E8" s="54" t="n">
        <v>21655.0</v>
      </c>
      <c r="F8" s="2" t="n">
        <v>540.0</v>
      </c>
      <c r="G8" s="2" t="n">
        <v>639.0</v>
      </c>
    </row>
    <row r="9" spans="1:9" x14ac:dyDescent="0.2">
      <c r="A9" s="50">
        <v>2025</v>
      </c>
      <c r="B9" s="1" t="n">
        <v>15305.0</v>
      </c>
      <c r="C9" s="54" t="n">
        <v>30441.0</v>
      </c>
      <c r="D9" s="59" t="n">
        <v>19891.0</v>
      </c>
      <c r="E9" s="54" t="n">
        <v>21199.0</v>
      </c>
      <c r="F9" s="2" t="n">
        <v>577.0</v>
      </c>
      <c r="G9" s="2" t="n">
        <v>673.0</v>
      </c>
    </row>
    <row r="10" spans="1:9" x14ac:dyDescent="0.2">
      <c r="A10" s="50">
        <v>2026</v>
      </c>
      <c r="B10" s="1" t="n">
        <v>14830.0</v>
      </c>
      <c r="C10" s="54" t="n">
        <v>30671.0</v>
      </c>
      <c r="D10" s="59" t="n">
        <v>19565.0</v>
      </c>
      <c r="E10" s="54" t="n">
        <v>20765.0</v>
      </c>
      <c r="F10" s="2" t="n">
        <v>645.0</v>
      </c>
      <c r="G10" s="2" t="n">
        <v>707.0</v>
      </c>
    </row>
    <row r="11" spans="1:9" x14ac:dyDescent="0.2">
      <c r="A11" s="50">
        <v>2027</v>
      </c>
      <c r="B11" s="1" t="n">
        <v>14422.0</v>
      </c>
      <c r="C11" s="54" t="n">
        <v>30887.0</v>
      </c>
      <c r="D11" s="59" t="n">
        <v>19264.0</v>
      </c>
      <c r="E11" s="54" t="n">
        <v>20365.0</v>
      </c>
      <c r="F11" s="2" t="n">
        <v>3118.0</v>
      </c>
      <c r="G11" s="2" t="n">
        <v>732.0</v>
      </c>
    </row>
    <row r="12" spans="1:9" x14ac:dyDescent="0.2">
      <c r="A12" s="50">
        <v>2028</v>
      </c>
      <c r="B12" s="1" t="n">
        <v>14079.0</v>
      </c>
      <c r="C12" s="54" t="n">
        <v>31276.0</v>
      </c>
      <c r="D12" s="59" t="n">
        <v>19009.0</v>
      </c>
      <c r="E12" s="54" t="n">
        <v>20026.0</v>
      </c>
      <c r="F12" s="2" t="n">
        <v>4081.0</v>
      </c>
      <c r="G12" s="2" t="n">
        <v>741.0</v>
      </c>
    </row>
    <row r="13" spans="1:9" x14ac:dyDescent="0.2">
      <c r="A13" s="50">
        <v>2029</v>
      </c>
      <c r="B13" s="1" t="n">
        <v>13767.0</v>
      </c>
      <c r="C13" s="54" t="n">
        <v>31474.0</v>
      </c>
      <c r="D13" s="59" t="n">
        <v>18760.0</v>
      </c>
      <c r="E13" s="54" t="n">
        <v>19721.0</v>
      </c>
      <c r="F13" s="2" t="n">
        <v>2172.0</v>
      </c>
      <c r="G13" s="2" t="n">
        <v>767.0</v>
      </c>
    </row>
    <row r="14" spans="1:9" x14ac:dyDescent="0.2">
      <c r="A14" s="50">
        <v>2030</v>
      </c>
      <c r="B14" s="1" t="n">
        <v>13479.0</v>
      </c>
      <c r="C14" s="54" t="n">
        <v>31745.0</v>
      </c>
      <c r="D14" s="59" t="n">
        <v>18532.0</v>
      </c>
      <c r="E14" s="54" t="n">
        <v>19419.0</v>
      </c>
      <c r="F14" s="2" t="n">
        <v>1205.0</v>
      </c>
      <c r="G14" s="2" t="n">
        <v>784.0</v>
      </c>
    </row>
    <row r="15" spans="1:9" x14ac:dyDescent="0.2">
      <c r="A15" s="50">
        <v>2031</v>
      </c>
      <c r="B15" s="1" t="n">
        <v>13227.0</v>
      </c>
      <c r="C15" s="54" t="n">
        <v>32029.0</v>
      </c>
      <c r="D15" s="59" t="n">
        <v>18298.0</v>
      </c>
      <c r="E15" s="54" t="n">
        <v>19169.0</v>
      </c>
      <c r="F15" s="2" t="n">
        <v>852.0</v>
      </c>
      <c r="G15" s="2" t="n">
        <v>797.0</v>
      </c>
    </row>
    <row r="16" spans="1:9" x14ac:dyDescent="0.2">
      <c r="A16" s="50">
        <v>2032</v>
      </c>
      <c r="B16" s="1" t="n">
        <v>12999.0</v>
      </c>
      <c r="C16" s="54" t="n">
        <v>32444.0</v>
      </c>
      <c r="D16" s="59" t="n">
        <v>18127.0</v>
      </c>
      <c r="E16" s="54" t="n">
        <v>18901.0</v>
      </c>
      <c r="F16" s="2" t="n">
        <v>666.0</v>
      </c>
      <c r="G16" s="2" t="n">
        <v>819.0</v>
      </c>
    </row>
    <row r="17" spans="1:7" x14ac:dyDescent="0.2">
      <c r="A17" s="50">
        <v>2033</v>
      </c>
      <c r="B17" s="1" t="n">
        <v>12816.0</v>
      </c>
      <c r="C17" s="54" t="n">
        <v>32828.0</v>
      </c>
      <c r="D17" s="59" t="n">
        <v>17934.0</v>
      </c>
      <c r="E17" s="54" t="n">
        <v>18683.0</v>
      </c>
      <c r="F17" s="2" t="n">
        <v>543.0</v>
      </c>
      <c r="G17" s="2" t="n">
        <v>838.0</v>
      </c>
    </row>
    <row r="18" spans="1:7" x14ac:dyDescent="0.2">
      <c r="A18" s="50">
        <v>2034</v>
      </c>
      <c r="B18" s="1" t="n">
        <v>12687.0</v>
      </c>
      <c r="C18" s="55" t="n">
        <v>33079.0</v>
      </c>
      <c r="D18" s="59" t="n">
        <v>17758.0</v>
      </c>
      <c r="E18" s="55" t="n">
        <v>18469.0</v>
      </c>
      <c r="F18" s="2" t="n">
        <v>480.0</v>
      </c>
      <c r="G18" s="2" t="n">
        <v>841.0</v>
      </c>
    </row>
    <row r="19" spans="1:7" x14ac:dyDescent="0.2">
      <c r="A19" s="50">
        <v>2035</v>
      </c>
      <c r="B19" s="1" t="n">
        <v>12559.0</v>
      </c>
      <c r="C19" s="55" t="n">
        <v>33523.0</v>
      </c>
      <c r="D19" s="59" t="n">
        <v>17577.0</v>
      </c>
      <c r="E19" s="55" t="n">
        <v>18293.0</v>
      </c>
      <c r="F19" s="2" t="n">
        <v>474.0</v>
      </c>
      <c r="G19" s="2" t="n">
        <v>843.0</v>
      </c>
    </row>
    <row r="20" spans="1:7" x14ac:dyDescent="0.2">
      <c r="A20" s="50">
        <v>2036</v>
      </c>
      <c r="B20" s="1" t="n">
        <v>12485.0</v>
      </c>
      <c r="C20" s="54" t="n">
        <v>33706.0</v>
      </c>
      <c r="D20" s="59" t="n">
        <v>17428.0</v>
      </c>
      <c r="E20" s="54" t="n">
        <v>18099.0</v>
      </c>
      <c r="F20" s="2" t="n">
        <v>472.0</v>
      </c>
      <c r="G20" s="2" t="n">
        <v>856.0</v>
      </c>
    </row>
    <row r="21" spans="1:7" x14ac:dyDescent="0.2">
      <c r="A21" s="50">
        <v>2037</v>
      </c>
      <c r="B21" s="1" t="n">
        <v>12438.0</v>
      </c>
      <c r="C21" s="54" t="n">
        <v>34129.0</v>
      </c>
      <c r="D21" s="59" t="n">
        <v>17254.0</v>
      </c>
      <c r="E21" s="54" t="n">
        <v>17915.0</v>
      </c>
      <c r="F21" s="2" t="n">
        <v>465.0</v>
      </c>
      <c r="G21" s="2" t="n">
        <v>869.0</v>
      </c>
    </row>
    <row r="22" spans="1:7" x14ac:dyDescent="0.2">
      <c r="A22" s="50">
        <v>2038</v>
      </c>
      <c r="B22" s="1" t="n">
        <v>12427.0</v>
      </c>
      <c r="C22" s="54" t="n">
        <v>34364.0</v>
      </c>
      <c r="D22" s="59" t="n">
        <v>17094.0</v>
      </c>
      <c r="E22" s="54" t="n">
        <v>17738.0</v>
      </c>
      <c r="F22" s="2" t="n">
        <v>464.0</v>
      </c>
      <c r="G22" s="2" t="n">
        <v>878.0</v>
      </c>
    </row>
    <row r="23" spans="1:7" x14ac:dyDescent="0.2">
      <c r="A23" s="50">
        <v>2039</v>
      </c>
      <c r="B23" s="1" t="n">
        <v>12419.0</v>
      </c>
      <c r="C23" s="54" t="n">
        <v>34718.0</v>
      </c>
      <c r="D23" s="59" t="n">
        <v>16951.0</v>
      </c>
      <c r="E23" s="54" t="n">
        <v>17571.0</v>
      </c>
      <c r="F23" s="2" t="n">
        <v>463.0</v>
      </c>
      <c r="G23" s="2" t="n">
        <v>888.0</v>
      </c>
    </row>
    <row r="24" spans="1:7" x14ac:dyDescent="0.2">
      <c r="A24" s="50">
        <v>2040</v>
      </c>
      <c r="B24" s="1" t="n">
        <v>12418.0</v>
      </c>
      <c r="C24" s="54" t="n">
        <v>34762.0</v>
      </c>
      <c r="D24" s="59" t="n">
        <v>16805.0</v>
      </c>
      <c r="E24" s="54" t="n">
        <v>17394.0</v>
      </c>
      <c r="F24" s="2" t="n">
        <v>460.0</v>
      </c>
      <c r="G24" s="2" t="n">
        <v>902.0</v>
      </c>
    </row>
    <row r="25" spans="1:7" x14ac:dyDescent="0.2">
      <c r="A25" s="50">
        <v>2041</v>
      </c>
      <c r="B25" s="1" t="n">
        <v>12406.0</v>
      </c>
      <c r="C25" s="54" t="n">
        <v>34908.0</v>
      </c>
      <c r="D25" s="59" t="n">
        <v>16668.0</v>
      </c>
      <c r="E25" s="54" t="n">
        <v>17243.0</v>
      </c>
      <c r="F25" s="2" t="n">
        <v>460.0</v>
      </c>
      <c r="G25" s="2" t="n">
        <v>911.0</v>
      </c>
    </row>
    <row r="26" spans="1:7" x14ac:dyDescent="0.2">
      <c r="A26" s="50">
        <v>2042</v>
      </c>
      <c r="B26" s="1" t="n">
        <v>12368.0</v>
      </c>
      <c r="C26" s="54" t="n">
        <v>34954.0</v>
      </c>
      <c r="D26" s="59" t="n">
        <v>16507.0</v>
      </c>
      <c r="E26" s="54" t="n">
        <v>17069.0</v>
      </c>
      <c r="F26" s="2" t="n">
        <v>460.0</v>
      </c>
      <c r="G26" s="2" t="n">
        <v>916.0</v>
      </c>
    </row>
    <row r="27" spans="1:7" x14ac:dyDescent="0.2">
      <c r="A27" s="50">
        <v>2043</v>
      </c>
      <c r="B27" s="1" t="n">
        <v>12289.0</v>
      </c>
      <c r="C27" s="54" t="n">
        <v>34946.0</v>
      </c>
      <c r="D27" s="59" t="n">
        <v>16352.0</v>
      </c>
      <c r="E27" s="54" t="n">
        <v>16897.0</v>
      </c>
      <c r="F27" s="2" t="n">
        <v>459.0</v>
      </c>
      <c r="G27" s="2" t="n">
        <v>925.0</v>
      </c>
    </row>
    <row r="28" spans="1:7" x14ac:dyDescent="0.2">
      <c r="A28" s="50">
        <v>2044</v>
      </c>
      <c r="B28" s="1" t="n">
        <v>12206.0</v>
      </c>
      <c r="C28" s="54" t="n">
        <v>34887.0</v>
      </c>
      <c r="D28" s="59" t="n">
        <v>16187.0</v>
      </c>
      <c r="E28" s="54" t="n">
        <v>16705.0</v>
      </c>
      <c r="F28" s="2" t="n">
        <v>454.0</v>
      </c>
      <c r="G28" s="2" t="n">
        <v>928.0</v>
      </c>
    </row>
    <row r="29" spans="1:7" x14ac:dyDescent="0.2">
      <c r="A29" s="50">
        <v>2045</v>
      </c>
      <c r="B29" s="1" t="n">
        <v>12100.0</v>
      </c>
      <c r="C29" s="54" t="n">
        <v>34927.0</v>
      </c>
      <c r="D29" s="59" t="n">
        <v>15994.0</v>
      </c>
      <c r="E29" s="54" t="n">
        <v>16501.0</v>
      </c>
      <c r="F29" s="2" t="n">
        <v>453.0</v>
      </c>
      <c r="G29" s="2" t="n">
        <v>944.0</v>
      </c>
    </row>
    <row r="30" spans="1:7" x14ac:dyDescent="0.2">
      <c r="A30" s="50">
        <v>2046</v>
      </c>
      <c r="B30" s="1" t="n">
        <v>11943.0</v>
      </c>
      <c r="C30" s="54" t="n">
        <v>34765.0</v>
      </c>
      <c r="D30" s="59" t="n">
        <v>15784.0</v>
      </c>
      <c r="E30" s="54" t="n">
        <v>16256.0</v>
      </c>
      <c r="F30" s="2" t="n">
        <v>453.0</v>
      </c>
      <c r="G30" s="2" t="n">
        <v>947.0</v>
      </c>
    </row>
    <row r="31" spans="1:7" x14ac:dyDescent="0.2">
      <c r="A31" s="50">
        <v>2047</v>
      </c>
      <c r="B31" s="1" t="n">
        <v>11761.0</v>
      </c>
      <c r="C31" s="54" t="n">
        <v>34513.0</v>
      </c>
      <c r="D31" s="59" t="n">
        <v>15570.0</v>
      </c>
      <c r="E31" s="54" t="n">
        <v>16014.0</v>
      </c>
      <c r="F31" s="2" t="n">
        <v>453.0</v>
      </c>
      <c r="G31" s="2" t="n">
        <v>945.0</v>
      </c>
    </row>
    <row r="32" spans="1:7" x14ac:dyDescent="0.2">
      <c r="A32" s="50">
        <v>2048</v>
      </c>
      <c r="B32" s="1" t="n">
        <v>11555.0</v>
      </c>
      <c r="C32" s="54" t="n">
        <v>34291.0</v>
      </c>
      <c r="D32" s="59" t="n">
        <v>15321.0</v>
      </c>
      <c r="E32" s="54" t="n">
        <v>15731.0</v>
      </c>
      <c r="F32" s="2" t="n">
        <v>452.0</v>
      </c>
      <c r="G32" s="2" t="n">
        <v>952.0</v>
      </c>
    </row>
    <row r="33" spans="1:7" x14ac:dyDescent="0.2">
      <c r="A33" s="50">
        <v>2049</v>
      </c>
      <c r="B33" s="1" t="n">
        <v>11293.0</v>
      </c>
      <c r="C33" s="54" t="n">
        <v>34152.0</v>
      </c>
      <c r="D33" s="59" t="n">
        <v>15105.0</v>
      </c>
      <c r="E33" s="54" t="n">
        <v>15432.0</v>
      </c>
      <c r="F33" s="2" t="n">
        <v>447.0</v>
      </c>
      <c r="G33" s="2" t="n">
        <v>968.0</v>
      </c>
    </row>
    <row r="34" spans="1:7" x14ac:dyDescent="0.2">
      <c r="A34" s="50">
        <v>2050</v>
      </c>
      <c r="B34" s="1" t="n">
        <v>11029.0</v>
      </c>
      <c r="C34" s="54" t="n">
        <v>33699.0</v>
      </c>
      <c r="D34" s="59" t="n">
        <v>14832.0</v>
      </c>
      <c r="E34" s="54" t="n">
        <v>15111.0</v>
      </c>
      <c r="F34" s="2" t="n">
        <v>446.0</v>
      </c>
      <c r="G34" s="2" t="n">
        <v>979.0</v>
      </c>
    </row>
    <row r="35" spans="1:7" x14ac:dyDescent="0.2">
      <c r="A35" s="50">
        <v>2051</v>
      </c>
      <c r="B35" s="1" t="n">
        <v>10729.0</v>
      </c>
      <c r="C35" s="54" t="n">
        <v>33542.0</v>
      </c>
      <c r="D35" s="59" t="n">
        <v>14570.0</v>
      </c>
      <c r="E35" s="54" t="n">
        <v>14813.0</v>
      </c>
      <c r="F35" s="2" t="n">
        <v>446.0</v>
      </c>
      <c r="G35" s="2" t="n">
        <v>981.0</v>
      </c>
    </row>
    <row r="36" spans="1:7" x14ac:dyDescent="0.2">
      <c r="A36" s="50">
        <v>2052</v>
      </c>
      <c r="B36" s="1" t="n">
        <v>10402.0</v>
      </c>
      <c r="C36" s="54" t="n">
        <v>33266.0</v>
      </c>
      <c r="D36" s="59" t="n">
        <v>14299.0</v>
      </c>
      <c r="E36" s="54" t="n">
        <v>14499.0</v>
      </c>
      <c r="F36" s="2" t="n">
        <v>446.0</v>
      </c>
      <c r="G36" s="2" t="n">
        <v>989.0</v>
      </c>
    </row>
    <row r="37" spans="1:7" x14ac:dyDescent="0.2">
      <c r="A37" s="50">
        <v>2053</v>
      </c>
      <c r="B37" s="1" t="n">
        <v>10091.0</v>
      </c>
      <c r="C37" s="54" t="n">
        <v>32968.0</v>
      </c>
      <c r="D37" s="59" t="n">
        <v>14038.0</v>
      </c>
      <c r="E37" s="54" t="n">
        <v>14208.0</v>
      </c>
      <c r="F37" s="2" t="n">
        <v>444.0</v>
      </c>
      <c r="G37" s="2" t="n">
        <v>986.0</v>
      </c>
    </row>
    <row r="38" spans="1:7" x14ac:dyDescent="0.2">
      <c r="A38" s="50">
        <v>2054</v>
      </c>
      <c r="B38" s="1" t="n">
        <v>9749.0</v>
      </c>
      <c r="C38" s="54" t="n">
        <v>32821.0</v>
      </c>
      <c r="D38" s="59" t="n">
        <v>13823.0</v>
      </c>
      <c r="E38" s="54" t="n">
        <v>13906.0</v>
      </c>
      <c r="F38" s="2" t="n">
        <v>444.0</v>
      </c>
      <c r="G38" s="2" t="n">
        <v>996.0</v>
      </c>
    </row>
    <row r="39" spans="1:7" x14ac:dyDescent="0.2">
      <c r="A39" s="50">
        <v>2055</v>
      </c>
      <c r="B39" s="1" t="n">
        <v>9394.0</v>
      </c>
      <c r="C39" s="54" t="n">
        <v>32606.0</v>
      </c>
      <c r="D39" s="59" t="n">
        <v>13576.0</v>
      </c>
      <c r="E39" s="54" t="n">
        <v>13605.0</v>
      </c>
      <c r="F39" s="2" t="n">
        <v>443.0</v>
      </c>
      <c r="G39" s="2" t="n">
        <v>990.0</v>
      </c>
    </row>
    <row r="40" spans="1:7" x14ac:dyDescent="0.2">
      <c r="A40" s="50">
        <v>2056</v>
      </c>
      <c r="B40" s="1" t="n">
        <v>9073.0</v>
      </c>
      <c r="C40" s="54" t="n">
        <v>32381.0</v>
      </c>
      <c r="D40" s="59" t="n">
        <v>13321.0</v>
      </c>
      <c r="E40" s="54" t="n">
        <v>13297.0</v>
      </c>
      <c r="F40" s="2" t="n">
        <v>443.0</v>
      </c>
      <c r="G40" s="2" t="n">
        <v>999.0</v>
      </c>
    </row>
    <row r="41" spans="1:7" x14ac:dyDescent="0.2">
      <c r="A41" s="50">
        <v>2057</v>
      </c>
      <c r="B41" s="1" t="n">
        <v>8754.0</v>
      </c>
      <c r="C41" s="54" t="n">
        <v>32316.0</v>
      </c>
      <c r="D41" s="59" t="n">
        <v>13096.0</v>
      </c>
      <c r="E41" s="54" t="n">
        <v>13033.0</v>
      </c>
      <c r="F41" s="2" t="n">
        <v>439.0</v>
      </c>
      <c r="G41" s="2" t="n">
        <v>1009.0</v>
      </c>
    </row>
    <row r="42" spans="1:7" x14ac:dyDescent="0.2">
      <c r="A42" s="50">
        <v>2058</v>
      </c>
      <c r="B42" s="1" t="n">
        <v>8439.0</v>
      </c>
      <c r="C42" s="54" t="n">
        <v>32128.0</v>
      </c>
      <c r="D42" s="59" t="n">
        <v>12833.0</v>
      </c>
      <c r="E42" s="54" t="n">
        <v>12763.0</v>
      </c>
      <c r="F42" s="2" t="n">
        <v>439.0</v>
      </c>
      <c r="G42" s="2" t="n">
        <v>1006.0</v>
      </c>
    </row>
    <row r="43" spans="1:7" x14ac:dyDescent="0.2">
      <c r="A43" s="50">
        <v>2059</v>
      </c>
      <c r="B43" s="1" t="n">
        <v>8161.0</v>
      </c>
      <c r="C43" s="54" t="n">
        <v>32113.0</v>
      </c>
      <c r="D43" s="59" t="n">
        <v>12591.0</v>
      </c>
      <c r="E43" s="54" t="n">
        <v>12507.0</v>
      </c>
      <c r="F43" s="2" t="n">
        <v>438.0</v>
      </c>
      <c r="G43" s="2" t="n">
        <v>1010.0</v>
      </c>
    </row>
    <row r="44" spans="1:7" x14ac:dyDescent="0.2">
      <c r="A44" s="51">
        <v>2060</v>
      </c>
      <c r="B44" s="5" t="n">
        <v>7907.0</v>
      </c>
      <c r="C44" s="56" t="n">
        <v>31896.0</v>
      </c>
      <c r="D44" s="60" t="n">
        <v>12361.0</v>
      </c>
      <c r="E44" s="56" t="n">
        <v>12230.0</v>
      </c>
      <c r="F44" s="6" t="n">
        <v>435.0</v>
      </c>
      <c r="G44" s="6" t="n">
        <v>1023.0</v>
      </c>
    </row>
  </sheetData>
  <mergeCells count="6">
    <mergeCell ref="A5:A6"/>
    <mergeCell ref="B5:C5"/>
    <mergeCell ref="D5:E5"/>
    <mergeCell ref="F5:G5"/>
    <mergeCell ref="B1:D1"/>
    <mergeCell ref="A2:B2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FF6966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85" width="23.7109375"/>
    <col min="4" max="4" customWidth="true" style="85" width="11.7109375"/>
    <col min="5" max="5" style="85" width="9.140625"/>
    <col min="6" max="6" customWidth="true" style="85" width="7.28515625"/>
    <col min="7" max="8" customWidth="true" style="85" width="11.85546875"/>
    <col min="9" max="21" style="85" width="9.140625"/>
    <col min="22" max="26" style="86" width="9.140625"/>
    <col min="27" max="29" style="87" width="9.140625"/>
    <col min="30" max="32" customWidth="true" style="87" width="15.42578125"/>
    <col min="33" max="33" customWidth="true" style="86" width="15.42578125"/>
    <col min="34" max="35" style="85" width="9.140625"/>
    <col min="36" max="16384" style="88" width="9.140625"/>
  </cols>
  <sheetData>
    <row r="1" spans="1:39" ht="22.9" customHeight="1" x14ac:dyDescent="0.25">
      <c r="A1" s="125"/>
      <c r="B1" s="151" t="s">
        <v>88</v>
      </c>
      <c r="C1" s="152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8"/>
      <c r="R1" s="91"/>
      <c r="S1" s="91"/>
      <c r="T1" s="91"/>
      <c r="U1" s="91"/>
      <c r="V1" s="90"/>
      <c r="W1" s="90"/>
      <c r="X1" s="90"/>
      <c r="Y1" s="90"/>
      <c r="Z1" s="90"/>
      <c r="AA1" s="96"/>
      <c r="AB1" s="96"/>
      <c r="AC1" s="96"/>
      <c r="AD1" s="96"/>
      <c r="AE1" s="96"/>
      <c r="AF1" s="96"/>
      <c r="AG1" s="119"/>
      <c r="AH1" s="120"/>
      <c r="AI1" s="120"/>
      <c r="AJ1" s="121"/>
      <c r="AK1" s="121"/>
      <c r="AL1" s="121"/>
      <c r="AM1" s="121"/>
    </row>
    <row r="2" spans="1:39" ht="12" customHeight="1" x14ac:dyDescent="0.25">
      <c r="A2" s="110" t="s">
        <v>82</v>
      </c>
      <c r="B2" s="153" t="s">
        <v>89</v>
      </c>
      <c r="C2" s="154"/>
      <c r="D2" s="107"/>
      <c r="E2" s="107"/>
      <c r="F2" s="107"/>
      <c r="G2" s="107"/>
      <c r="H2" s="84"/>
      <c r="I2" s="84"/>
      <c r="J2" s="84"/>
      <c r="K2" s="84"/>
      <c r="L2" s="84"/>
      <c r="M2" s="84"/>
      <c r="N2" s="84"/>
      <c r="O2" s="84"/>
      <c r="P2" s="84"/>
      <c r="Q2" s="84"/>
      <c r="R2" s="91"/>
      <c r="S2" s="91"/>
      <c r="T2" s="91"/>
      <c r="U2" s="91"/>
      <c r="V2" s="90"/>
      <c r="W2" s="90"/>
      <c r="X2" s="90"/>
      <c r="Y2" s="90"/>
      <c r="Z2" s="90"/>
      <c r="AA2" s="96"/>
      <c r="AB2" s="96"/>
      <c r="AC2" s="96"/>
      <c r="AD2" s="96"/>
      <c r="AE2" s="96"/>
      <c r="AF2" s="96"/>
      <c r="AG2" s="119"/>
      <c r="AH2" s="120"/>
      <c r="AI2" s="120"/>
      <c r="AJ2" s="121"/>
      <c r="AK2" s="121"/>
      <c r="AL2" s="121"/>
      <c r="AM2" s="121"/>
    </row>
    <row r="3" spans="1:39" ht="12" customHeight="1" thickBot="1" x14ac:dyDescent="0.3">
      <c r="A3" s="111" t="s">
        <v>83</v>
      </c>
      <c r="B3" s="155"/>
      <c r="C3" s="156"/>
      <c r="D3" s="107"/>
      <c r="E3" s="107"/>
      <c r="F3" s="107"/>
      <c r="G3" s="107"/>
      <c r="H3" s="42"/>
      <c r="I3" s="42"/>
      <c r="J3" s="89"/>
      <c r="O3" s="85" t="s">
        <v>38</v>
      </c>
      <c r="P3" s="91"/>
      <c r="Q3" s="91"/>
      <c r="R3" s="91"/>
      <c r="S3" s="91"/>
      <c r="T3" s="91"/>
      <c r="U3" s="91"/>
      <c r="V3" s="90"/>
      <c r="W3" s="90"/>
      <c r="X3" s="90"/>
      <c r="Y3" s="90"/>
      <c r="Z3" s="90"/>
      <c r="AA3" s="96"/>
      <c r="AB3" s="96"/>
      <c r="AC3" s="96"/>
      <c r="AD3" s="96"/>
      <c r="AE3" s="96"/>
      <c r="AF3" s="96"/>
      <c r="AG3" s="119"/>
      <c r="AH3" s="120"/>
      <c r="AI3" s="120"/>
      <c r="AJ3" s="121"/>
      <c r="AK3" s="121"/>
      <c r="AL3" s="121"/>
      <c r="AM3" s="121"/>
    </row>
    <row r="4" spans="1:39" ht="22.9" customHeight="1" thickBot="1" x14ac:dyDescent="0.3">
      <c r="A4" s="148" t="s">
        <v>105</v>
      </c>
      <c r="B4" s="149"/>
      <c r="C4" s="150"/>
      <c r="I4" s="89"/>
      <c r="J4" s="89"/>
      <c r="P4" s="91"/>
      <c r="Q4" s="91"/>
      <c r="R4" s="91"/>
      <c r="S4" s="91"/>
      <c r="T4" s="91"/>
      <c r="U4" s="91"/>
      <c r="V4" s="90"/>
      <c r="W4" s="90"/>
      <c r="X4" s="90"/>
      <c r="Y4" s="90"/>
      <c r="Z4" s="90"/>
      <c r="AA4" s="96"/>
      <c r="AB4" s="96"/>
      <c r="AC4" s="96"/>
      <c r="AD4" s="96"/>
      <c r="AE4" s="96"/>
      <c r="AF4" s="96"/>
      <c r="AG4" s="119"/>
      <c r="AH4" s="120"/>
      <c r="AI4" s="120"/>
      <c r="AJ4" s="121"/>
      <c r="AK4" s="121"/>
      <c r="AL4" s="121"/>
      <c r="AM4" s="121"/>
    </row>
    <row r="5" spans="1:39" ht="16.899999999999999" customHeight="1" x14ac:dyDescent="0.25">
      <c r="A5" s="92"/>
      <c r="B5" s="93"/>
      <c r="C5" s="112"/>
      <c r="P5" s="91"/>
      <c r="Q5" s="91"/>
      <c r="R5" s="91"/>
      <c r="S5" s="91"/>
      <c r="T5" s="91"/>
      <c r="U5" s="91"/>
      <c r="V5" s="90"/>
      <c r="W5" s="90"/>
      <c r="X5" s="90"/>
      <c r="Y5" s="90"/>
      <c r="Z5" s="90"/>
      <c r="AA5" s="96"/>
      <c r="AB5" s="96"/>
      <c r="AC5" s="96"/>
      <c r="AD5" s="96"/>
      <c r="AE5" s="96"/>
      <c r="AF5" s="96"/>
      <c r="AG5" s="119"/>
      <c r="AH5" s="120"/>
      <c r="AI5" s="120"/>
      <c r="AJ5" s="121"/>
      <c r="AK5" s="121"/>
      <c r="AL5" s="121"/>
      <c r="AM5" s="121"/>
    </row>
    <row r="6" spans="1:39" ht="16.899999999999999" customHeight="1" thickBot="1" x14ac:dyDescent="0.3">
      <c r="A6" s="94" t="s">
        <v>38</v>
      </c>
      <c r="B6" s="124" t="s">
        <v>101</v>
      </c>
      <c r="C6" s="113"/>
      <c r="I6" s="95"/>
      <c r="P6" s="91"/>
      <c r="Q6" s="91"/>
      <c r="R6" s="91"/>
      <c r="S6" s="91"/>
      <c r="T6" s="91"/>
      <c r="U6" s="91"/>
      <c r="V6" s="90"/>
      <c r="W6" s="90"/>
      <c r="X6" s="90"/>
      <c r="Y6" s="90"/>
      <c r="Z6" s="90"/>
      <c r="AA6" s="96"/>
      <c r="AB6" s="96"/>
      <c r="AC6" s="96"/>
      <c r="AD6" s="96"/>
      <c r="AE6" s="96"/>
      <c r="AF6" s="96"/>
      <c r="AG6" s="119"/>
      <c r="AH6" s="120"/>
      <c r="AI6" s="120"/>
      <c r="AJ6" s="121"/>
      <c r="AK6" s="121"/>
      <c r="AL6" s="121"/>
      <c r="AM6" s="121"/>
    </row>
    <row r="7" spans="1:39" ht="16.899999999999999" customHeight="1" thickBot="1" x14ac:dyDescent="0.35">
      <c r="A7" s="97"/>
      <c r="B7" s="123"/>
      <c r="C7" s="122">
        <v>2022</v>
      </c>
      <c r="I7" s="95"/>
      <c r="P7" s="91"/>
      <c r="Q7" s="91"/>
      <c r="R7" s="91"/>
      <c r="S7" s="91"/>
      <c r="T7" s="91"/>
      <c r="U7" s="91"/>
      <c r="V7" s="90"/>
      <c r="W7" s="90"/>
      <c r="X7" s="90"/>
      <c r="Y7" s="90"/>
      <c r="Z7" s="90"/>
      <c r="AA7" s="96">
        <v>2022</v>
      </c>
      <c r="AB7" s="96">
        <v>0</v>
      </c>
      <c r="AC7" s="96"/>
      <c r="AD7" s="96" t="s">
        <v>90</v>
      </c>
      <c r="AE7" s="96" t="s">
        <v>91</v>
      </c>
      <c r="AF7" s="96" t="s">
        <v>99</v>
      </c>
      <c r="AG7" s="119" t="s">
        <v>100</v>
      </c>
      <c r="AH7" s="120"/>
      <c r="AI7" s="120"/>
      <c r="AJ7" s="121"/>
      <c r="AK7" s="121"/>
      <c r="AL7" s="121"/>
      <c r="AM7" s="121"/>
    </row>
    <row r="8" spans="1:39" ht="16.899999999999999" customHeight="1" x14ac:dyDescent="0.25">
      <c r="A8" s="97"/>
      <c r="B8" s="124" t="s">
        <v>102</v>
      </c>
      <c r="C8" s="113"/>
      <c r="I8" s="99"/>
      <c r="P8" s="91"/>
      <c r="Q8" s="91"/>
      <c r="R8" s="91"/>
      <c r="S8" s="91"/>
      <c r="T8" s="91"/>
      <c r="U8" s="91"/>
      <c r="V8" s="90"/>
      <c r="W8" s="90"/>
      <c r="X8" s="90"/>
      <c r="Y8" s="90"/>
      <c r="Z8" s="90"/>
      <c r="AA8" s="96">
        <v>2023</v>
      </c>
      <c r="AB8" s="96">
        <v>1</v>
      </c>
      <c r="AC8" s="96"/>
      <c r="AD8" s="100">
        <f>(-1*B12)-AF8</f>
        <v>-9999999</v>
      </c>
      <c r="AE8" s="101">
        <f>C12-AG8</f>
        <v>9999999</v>
      </c>
      <c r="AF8" s="96">
        <f>IF(B12&gt;C12,-1*(B12-C12),0)</f>
        <v>0</v>
      </c>
      <c r="AG8" s="101">
        <f>IF(C12&gt;B12,C12-B12,0)</f>
        <v>0</v>
      </c>
      <c r="AH8" s="120"/>
      <c r="AI8" s="120"/>
      <c r="AJ8" s="121"/>
      <c r="AK8" s="121"/>
      <c r="AL8" s="121"/>
      <c r="AM8" s="121"/>
    </row>
    <row r="9" spans="1:39" ht="16.899999999999999" customHeight="1" x14ac:dyDescent="0.25">
      <c r="A9" s="97"/>
      <c r="B9" s="98"/>
      <c r="C9" s="113"/>
      <c r="I9" s="99"/>
      <c r="P9" s="91"/>
      <c r="Q9" s="91"/>
      <c r="R9" s="91"/>
      <c r="S9" s="91"/>
      <c r="T9" s="91"/>
      <c r="U9" s="91"/>
      <c r="V9" s="90"/>
      <c r="W9" s="90"/>
      <c r="X9" s="90"/>
      <c r="Y9" s="90"/>
      <c r="Z9" s="90"/>
      <c r="AA9" s="96">
        <v>2024</v>
      </c>
      <c r="AB9" s="96">
        <v>2</v>
      </c>
      <c r="AC9" s="96"/>
      <c r="AD9" s="100">
        <f>(-1*B13)-AF9</f>
        <v>-9999999</v>
      </c>
      <c r="AE9" s="101">
        <f>C13-AG9</f>
        <v>9999999</v>
      </c>
      <c r="AF9" s="96">
        <f>IF(B13&gt;C13,-1*(B13-C13),0)</f>
        <v>0</v>
      </c>
      <c r="AG9" s="101">
        <f>IF(C13&gt;B13,C13-B13,0)</f>
        <v>0</v>
      </c>
      <c r="AH9" s="120"/>
      <c r="AI9" s="120"/>
      <c r="AJ9" s="121"/>
      <c r="AK9" s="121"/>
      <c r="AL9" s="121"/>
      <c r="AM9" s="121"/>
    </row>
    <row r="10" spans="1:39" ht="16.899999999999999" customHeight="1" x14ac:dyDescent="0.25">
      <c r="A10" s="98"/>
      <c r="B10" s="89"/>
      <c r="C10" s="113"/>
      <c r="I10" s="99"/>
      <c r="P10" s="91"/>
      <c r="Q10" s="91"/>
      <c r="R10" s="91"/>
      <c r="S10" s="91"/>
      <c r="T10" s="91"/>
      <c r="U10" s="91"/>
      <c r="V10" s="90"/>
      <c r="W10" s="90"/>
      <c r="X10" s="90"/>
      <c r="Y10" s="90"/>
      <c r="Z10" s="90"/>
      <c r="AA10" s="96">
        <v>2025</v>
      </c>
      <c r="AB10" s="96">
        <v>3</v>
      </c>
      <c r="AC10" s="96"/>
      <c r="AD10" s="100">
        <f t="shared" ref="AD10:AD72" si="0">(-1*B14)-AF10</f>
        <v>-9999999</v>
      </c>
      <c r="AE10" s="101">
        <f t="shared" ref="AE10:AE72" si="1">C14-AG10</f>
        <v>9999999</v>
      </c>
      <c r="AF10" s="96">
        <f t="shared" ref="AF10:AF72" si="2">IF(B14&gt;C14,-1*(B14-C14),0)</f>
        <v>0</v>
      </c>
      <c r="AG10" s="101">
        <f t="shared" ref="AG10:AG72" si="3">IF(C14&gt;B14,C14-B14,0)</f>
        <v>0</v>
      </c>
      <c r="AH10" s="120"/>
      <c r="AI10" s="120"/>
      <c r="AJ10" s="121"/>
      <c r="AK10" s="121"/>
      <c r="AL10" s="121"/>
      <c r="AM10" s="121"/>
    </row>
    <row r="11" spans="1:39" ht="16.899999999999999" customHeight="1" x14ac:dyDescent="0.25">
      <c r="A11" s="114" t="s">
        <v>96</v>
      </c>
      <c r="B11" s="114" t="s">
        <v>97</v>
      </c>
      <c r="C11" s="114" t="s">
        <v>98</v>
      </c>
      <c r="I11" s="99"/>
      <c r="P11" s="91"/>
      <c r="Q11" s="120"/>
      <c r="R11" s="91"/>
      <c r="S11" s="91"/>
      <c r="T11" s="91"/>
      <c r="U11" s="91"/>
      <c r="V11" s="90"/>
      <c r="W11" s="90"/>
      <c r="X11" s="90"/>
      <c r="Y11" s="90"/>
      <c r="Z11" s="90"/>
      <c r="AA11" s="96">
        <v>2026</v>
      </c>
      <c r="AB11" s="96">
        <v>4</v>
      </c>
      <c r="AC11" s="96"/>
      <c r="AD11" s="100">
        <f t="shared" si="0"/>
        <v>-9999999</v>
      </c>
      <c r="AE11" s="101">
        <f t="shared" si="1"/>
        <v>9999999</v>
      </c>
      <c r="AF11" s="96">
        <f t="shared" si="2"/>
        <v>0</v>
      </c>
      <c r="AG11" s="101">
        <f t="shared" si="3"/>
        <v>0</v>
      </c>
      <c r="AH11" s="120"/>
      <c r="AI11" s="120"/>
      <c r="AJ11" s="121"/>
      <c r="AK11" s="121"/>
      <c r="AL11" s="121"/>
      <c r="AM11" s="121"/>
    </row>
    <row r="12" spans="1:39" x14ac:dyDescent="0.25">
      <c r="A12" s="117">
        <v>0</v>
      </c>
      <c r="B12" s="118">
        <f>INDEX('Tabl. 1'!$C$8:$AO$313,104+$AB7,MATCH($C$7,$AA$7:$AA$45))</f>
        <v>9999999</v>
      </c>
      <c r="C12" s="118">
        <f>INDEX('Tabl. 1'!$C$8:$AO$313,206+$AB7,MATCH($C$7,$AA$7:$AA$45))</f>
        <v>9999999</v>
      </c>
      <c r="I12" s="99"/>
      <c r="P12" s="91"/>
      <c r="Q12" s="91"/>
      <c r="R12" s="91"/>
      <c r="S12" s="91"/>
      <c r="T12" s="91"/>
      <c r="U12" s="91"/>
      <c r="V12" s="90"/>
      <c r="W12" s="90"/>
      <c r="X12" s="90"/>
      <c r="Y12" s="90"/>
      <c r="Z12" s="90"/>
      <c r="AA12" s="96">
        <v>2027</v>
      </c>
      <c r="AB12" s="96">
        <v>5</v>
      </c>
      <c r="AC12" s="96"/>
      <c r="AD12" s="100">
        <f t="shared" si="0"/>
        <v>-9999999</v>
      </c>
      <c r="AE12" s="101">
        <f t="shared" si="1"/>
        <v>9999999</v>
      </c>
      <c r="AF12" s="96">
        <f t="shared" si="2"/>
        <v>0</v>
      </c>
      <c r="AG12" s="101">
        <f t="shared" si="3"/>
        <v>0</v>
      </c>
      <c r="AH12" s="120"/>
      <c r="AI12" s="120"/>
      <c r="AJ12" s="121"/>
      <c r="AK12" s="121"/>
      <c r="AL12" s="121"/>
      <c r="AM12" s="121"/>
    </row>
    <row r="13" spans="1:39" x14ac:dyDescent="0.25">
      <c r="A13" s="117">
        <v>1</v>
      </c>
      <c r="B13" s="118">
        <f>INDEX('Tabl. 1'!$C$8:$AO$313,104+$AB8,MATCH($C$7,$AA$7:$AA$45))</f>
        <v>9999999</v>
      </c>
      <c r="C13" s="118">
        <f>INDEX('Tabl. 1'!$C$8:$AO$313,206+$AB8,MATCH($C$7,$AA$7:$AA$45))</f>
        <v>9999999</v>
      </c>
      <c r="I13" s="99"/>
      <c r="P13" s="91"/>
      <c r="Q13" s="91"/>
      <c r="R13" s="91"/>
      <c r="S13" s="91"/>
      <c r="T13" s="91"/>
      <c r="U13" s="91"/>
      <c r="V13" s="90"/>
      <c r="W13" s="90"/>
      <c r="X13" s="90"/>
      <c r="Y13" s="90"/>
      <c r="Z13" s="90"/>
      <c r="AA13" s="96">
        <v>2028</v>
      </c>
      <c r="AB13" s="96">
        <v>6</v>
      </c>
      <c r="AC13" s="96"/>
      <c r="AD13" s="100">
        <f t="shared" si="0"/>
        <v>-9999999</v>
      </c>
      <c r="AE13" s="101">
        <f t="shared" si="1"/>
        <v>9999999</v>
      </c>
      <c r="AF13" s="96">
        <f t="shared" si="2"/>
        <v>0</v>
      </c>
      <c r="AG13" s="101">
        <f t="shared" si="3"/>
        <v>0</v>
      </c>
      <c r="AH13" s="120"/>
      <c r="AI13" s="120"/>
      <c r="AJ13" s="121"/>
      <c r="AK13" s="121"/>
      <c r="AL13" s="121"/>
      <c r="AM13" s="121"/>
    </row>
    <row r="14" spans="1:39" x14ac:dyDescent="0.25">
      <c r="A14" s="117">
        <v>2</v>
      </c>
      <c r="B14" s="118">
        <f>INDEX('Tabl. 1'!$C$8:$AO$313,104+$AB9,MATCH($C$7,$AA$7:$AA$45))</f>
        <v>9999999</v>
      </c>
      <c r="C14" s="118">
        <f>INDEX('Tabl. 1'!$C$8:$AO$313,206+$AB9,MATCH($C$7,$AA$7:$AA$45))</f>
        <v>9999999</v>
      </c>
      <c r="I14" s="99"/>
      <c r="P14" s="91"/>
      <c r="Q14" s="91"/>
      <c r="R14" s="91"/>
      <c r="S14" s="91"/>
      <c r="T14" s="91"/>
      <c r="U14" s="91"/>
      <c r="V14" s="90"/>
      <c r="W14" s="90"/>
      <c r="X14" s="90"/>
      <c r="Y14" s="90"/>
      <c r="Z14" s="90"/>
      <c r="AA14" s="96">
        <v>2029</v>
      </c>
      <c r="AB14" s="96">
        <v>7</v>
      </c>
      <c r="AC14" s="96"/>
      <c r="AD14" s="100">
        <f t="shared" si="0"/>
        <v>-9999999</v>
      </c>
      <c r="AE14" s="101">
        <f t="shared" si="1"/>
        <v>9999999</v>
      </c>
      <c r="AF14" s="96">
        <f t="shared" si="2"/>
        <v>0</v>
      </c>
      <c r="AG14" s="101">
        <f t="shared" si="3"/>
        <v>0</v>
      </c>
      <c r="AH14" s="120"/>
      <c r="AI14" s="120"/>
      <c r="AJ14" s="121"/>
      <c r="AK14" s="121"/>
      <c r="AL14" s="121"/>
      <c r="AM14" s="121"/>
    </row>
    <row r="15" spans="1:39" x14ac:dyDescent="0.25">
      <c r="A15" s="117">
        <v>3</v>
      </c>
      <c r="B15" s="118">
        <f>INDEX('Tabl. 1'!$C$8:$AO$313,104+$AB10,MATCH($C$7,$AA$7:$AA$45))</f>
        <v>9999999</v>
      </c>
      <c r="C15" s="118">
        <f>INDEX('Tabl. 1'!$C$8:$AO$313,206+$AB10,MATCH($C$7,$AA$7:$AA$45))</f>
        <v>9999999</v>
      </c>
      <c r="I15" s="99"/>
      <c r="P15" s="91"/>
      <c r="Q15" s="91"/>
      <c r="R15" s="91"/>
      <c r="S15" s="91"/>
      <c r="T15" s="91"/>
      <c r="U15" s="91"/>
      <c r="V15" s="90"/>
      <c r="W15" s="90"/>
      <c r="X15" s="90"/>
      <c r="Y15" s="90"/>
      <c r="Z15" s="90"/>
      <c r="AA15" s="96">
        <v>2030</v>
      </c>
      <c r="AB15" s="96">
        <v>8</v>
      </c>
      <c r="AC15" s="96"/>
      <c r="AD15" s="100">
        <f t="shared" si="0"/>
        <v>-9999999</v>
      </c>
      <c r="AE15" s="101">
        <f t="shared" si="1"/>
        <v>9999999</v>
      </c>
      <c r="AF15" s="96">
        <f t="shared" si="2"/>
        <v>0</v>
      </c>
      <c r="AG15" s="101">
        <f t="shared" si="3"/>
        <v>0</v>
      </c>
      <c r="AH15" s="120"/>
      <c r="AI15" s="120"/>
      <c r="AJ15" s="121"/>
      <c r="AK15" s="121"/>
      <c r="AL15" s="121"/>
      <c r="AM15" s="121"/>
    </row>
    <row r="16" spans="1:39" x14ac:dyDescent="0.25">
      <c r="A16" s="117">
        <v>4</v>
      </c>
      <c r="B16" s="118">
        <f>INDEX('Tabl. 1'!$C$8:$AO$313,104+$AB11,MATCH($C$7,$AA$7:$AA$45))</f>
        <v>9999999</v>
      </c>
      <c r="C16" s="118">
        <f>INDEX('Tabl. 1'!$C$8:$AO$313,206+$AB11,MATCH($C$7,$AA$7:$AA$45))</f>
        <v>9999999</v>
      </c>
      <c r="I16" s="99"/>
      <c r="P16" s="91"/>
      <c r="Q16" s="91"/>
      <c r="R16" s="91"/>
      <c r="S16" s="91"/>
      <c r="T16" s="91"/>
      <c r="U16" s="91"/>
      <c r="V16" s="90"/>
      <c r="W16" s="90"/>
      <c r="X16" s="90"/>
      <c r="Y16" s="90"/>
      <c r="Z16" s="90"/>
      <c r="AA16" s="96">
        <v>2031</v>
      </c>
      <c r="AB16" s="96">
        <v>9</v>
      </c>
      <c r="AC16" s="96"/>
      <c r="AD16" s="100">
        <f t="shared" si="0"/>
        <v>-9999999</v>
      </c>
      <c r="AE16" s="101">
        <f t="shared" si="1"/>
        <v>9999999</v>
      </c>
      <c r="AF16" s="96">
        <f t="shared" si="2"/>
        <v>0</v>
      </c>
      <c r="AG16" s="101">
        <f t="shared" si="3"/>
        <v>0</v>
      </c>
      <c r="AH16" s="120"/>
      <c r="AI16" s="120"/>
      <c r="AJ16" s="121"/>
      <c r="AK16" s="121"/>
      <c r="AL16" s="121"/>
      <c r="AM16" s="121"/>
    </row>
    <row r="17" spans="1:39" x14ac:dyDescent="0.25">
      <c r="A17" s="115">
        <v>5</v>
      </c>
      <c r="B17" s="116">
        <f>INDEX('Tabl. 1'!$C$8:$AO$313,104+$AB12,MATCH($C$7,$AA$7:$AA$45))</f>
        <v>9999999</v>
      </c>
      <c r="C17" s="116">
        <f>INDEX('Tabl. 1'!$C$8:$AO$313,206+$AB12,MATCH($C$7,$AA$7:$AA$45))</f>
        <v>9999999</v>
      </c>
      <c r="I17" s="99"/>
      <c r="P17" s="91"/>
      <c r="Q17" s="91"/>
      <c r="R17" s="91"/>
      <c r="S17" s="91"/>
      <c r="T17" s="91"/>
      <c r="U17" s="91"/>
      <c r="V17" s="90"/>
      <c r="W17" s="90"/>
      <c r="X17" s="90"/>
      <c r="Y17" s="90"/>
      <c r="Z17" s="90"/>
      <c r="AA17" s="96">
        <v>2032</v>
      </c>
      <c r="AB17" s="96">
        <v>10</v>
      </c>
      <c r="AC17" s="96"/>
      <c r="AD17" s="100">
        <f t="shared" si="0"/>
        <v>-9999999</v>
      </c>
      <c r="AE17" s="101">
        <f t="shared" si="1"/>
        <v>9999999</v>
      </c>
      <c r="AF17" s="96">
        <f t="shared" si="2"/>
        <v>0</v>
      </c>
      <c r="AG17" s="101">
        <f t="shared" si="3"/>
        <v>0</v>
      </c>
      <c r="AH17" s="120"/>
      <c r="AI17" s="120"/>
      <c r="AJ17" s="121"/>
      <c r="AK17" s="121"/>
      <c r="AL17" s="121"/>
      <c r="AM17" s="121"/>
    </row>
    <row r="18" spans="1:39" x14ac:dyDescent="0.25">
      <c r="A18" s="103">
        <v>6</v>
      </c>
      <c r="B18" s="102">
        <f>INDEX('Tabl. 1'!$C$8:$AO$313,104+$AB13,MATCH($C$7,$AA$7:$AA$45))</f>
        <v>9999999</v>
      </c>
      <c r="C18" s="102">
        <f>INDEX('Tabl. 1'!$C$8:$AO$313,206+$AB13,MATCH($C$7,$AA$7:$AA$45))</f>
        <v>9999999</v>
      </c>
      <c r="I18" s="99"/>
      <c r="P18" s="91"/>
      <c r="Q18" s="91"/>
      <c r="R18" s="91"/>
      <c r="S18" s="91"/>
      <c r="T18" s="91"/>
      <c r="U18" s="91"/>
      <c r="V18" s="90"/>
      <c r="W18" s="90"/>
      <c r="X18" s="90"/>
      <c r="Y18" s="90"/>
      <c r="Z18" s="90"/>
      <c r="AA18" s="96">
        <v>2033</v>
      </c>
      <c r="AB18" s="96">
        <v>11</v>
      </c>
      <c r="AC18" s="96"/>
      <c r="AD18" s="100">
        <f t="shared" si="0"/>
        <v>-9999999</v>
      </c>
      <c r="AE18" s="101">
        <f t="shared" si="1"/>
        <v>9999999</v>
      </c>
      <c r="AF18" s="96">
        <f t="shared" si="2"/>
        <v>0</v>
      </c>
      <c r="AG18" s="101">
        <f t="shared" si="3"/>
        <v>0</v>
      </c>
      <c r="AH18" s="120"/>
      <c r="AI18" s="120"/>
      <c r="AJ18" s="121"/>
      <c r="AK18" s="121"/>
      <c r="AL18" s="121"/>
      <c r="AM18" s="121"/>
    </row>
    <row r="19" spans="1:39" x14ac:dyDescent="0.25">
      <c r="A19" s="103">
        <v>7</v>
      </c>
      <c r="B19" s="102">
        <f>INDEX('Tabl. 1'!$C$8:$AO$313,104+$AB14,MATCH($C$7,$AA$7:$AA$45))</f>
        <v>9999999</v>
      </c>
      <c r="C19" s="102">
        <f>INDEX('Tabl. 1'!$C$8:$AO$313,206+$AB14,MATCH($C$7,$AA$7:$AA$45))</f>
        <v>9999999</v>
      </c>
      <c r="I19" s="99"/>
      <c r="P19" s="91"/>
      <c r="Q19" s="91"/>
      <c r="R19" s="91"/>
      <c r="S19" s="91"/>
      <c r="T19" s="91"/>
      <c r="U19" s="91"/>
      <c r="V19" s="90"/>
      <c r="W19" s="90"/>
      <c r="X19" s="90"/>
      <c r="Y19" s="90"/>
      <c r="Z19" s="90"/>
      <c r="AA19" s="96">
        <v>2034</v>
      </c>
      <c r="AB19" s="96">
        <v>12</v>
      </c>
      <c r="AC19" s="96"/>
      <c r="AD19" s="100">
        <f t="shared" si="0"/>
        <v>-9999999</v>
      </c>
      <c r="AE19" s="101">
        <f t="shared" si="1"/>
        <v>9999999</v>
      </c>
      <c r="AF19" s="96">
        <f t="shared" si="2"/>
        <v>0</v>
      </c>
      <c r="AG19" s="101">
        <f t="shared" si="3"/>
        <v>0</v>
      </c>
      <c r="AH19" s="120"/>
      <c r="AI19" s="120"/>
      <c r="AJ19" s="121"/>
      <c r="AK19" s="121"/>
      <c r="AL19" s="121"/>
      <c r="AM19" s="121"/>
    </row>
    <row r="20" spans="1:39" x14ac:dyDescent="0.25">
      <c r="A20" s="103">
        <v>8</v>
      </c>
      <c r="B20" s="102">
        <f>INDEX('Tabl. 1'!$C$8:$AO$313,104+$AB15,MATCH($C$7,$AA$7:$AA$45))</f>
        <v>9999999</v>
      </c>
      <c r="C20" s="102">
        <f>INDEX('Tabl. 1'!$C$8:$AO$313,206+$AB15,MATCH($C$7,$AA$7:$AA$45))</f>
        <v>9999999</v>
      </c>
      <c r="I20" s="99"/>
      <c r="P20" s="91"/>
      <c r="Q20" s="91"/>
      <c r="R20" s="91"/>
      <c r="S20" s="91"/>
      <c r="T20" s="91"/>
      <c r="U20" s="91"/>
      <c r="V20" s="90"/>
      <c r="W20" s="90"/>
      <c r="X20" s="90"/>
      <c r="Y20" s="90"/>
      <c r="Z20" s="90"/>
      <c r="AA20" s="96">
        <v>2035</v>
      </c>
      <c r="AB20" s="96">
        <v>13</v>
      </c>
      <c r="AC20" s="96"/>
      <c r="AD20" s="100">
        <f t="shared" si="0"/>
        <v>-9999999</v>
      </c>
      <c r="AE20" s="101">
        <f t="shared" si="1"/>
        <v>9999999</v>
      </c>
      <c r="AF20" s="96">
        <f t="shared" si="2"/>
        <v>0</v>
      </c>
      <c r="AG20" s="101">
        <f t="shared" si="3"/>
        <v>0</v>
      </c>
      <c r="AH20" s="120"/>
      <c r="AI20" s="120"/>
      <c r="AJ20" s="121"/>
      <c r="AK20" s="121"/>
      <c r="AL20" s="121"/>
      <c r="AM20" s="121"/>
    </row>
    <row r="21" spans="1:39" x14ac:dyDescent="0.25">
      <c r="A21" s="103">
        <v>9</v>
      </c>
      <c r="B21" s="102">
        <f>INDEX('Tabl. 1'!$C$8:$AO$313,104+$AB16,MATCH($C$7,$AA$7:$AA$45))</f>
        <v>9999999</v>
      </c>
      <c r="C21" s="102">
        <f>INDEX('Tabl. 1'!$C$8:$AO$313,206+$AB16,MATCH($C$7,$AA$7:$AA$45))</f>
        <v>9999999</v>
      </c>
      <c r="I21" s="99"/>
      <c r="P21" s="91"/>
      <c r="Q21" s="91"/>
      <c r="R21" s="91"/>
      <c r="S21" s="91"/>
      <c r="T21" s="91"/>
      <c r="U21" s="91"/>
      <c r="V21" s="90"/>
      <c r="W21" s="90"/>
      <c r="X21" s="90"/>
      <c r="Y21" s="90"/>
      <c r="Z21" s="90"/>
      <c r="AA21" s="96">
        <v>2036</v>
      </c>
      <c r="AB21" s="96">
        <v>14</v>
      </c>
      <c r="AC21" s="96"/>
      <c r="AD21" s="100">
        <f t="shared" si="0"/>
        <v>-9999999</v>
      </c>
      <c r="AE21" s="101">
        <f t="shared" si="1"/>
        <v>9999999</v>
      </c>
      <c r="AF21" s="96">
        <f t="shared" si="2"/>
        <v>0</v>
      </c>
      <c r="AG21" s="101">
        <f t="shared" si="3"/>
        <v>0</v>
      </c>
      <c r="AH21" s="120"/>
      <c r="AI21" s="120"/>
      <c r="AJ21" s="121"/>
      <c r="AK21" s="121"/>
      <c r="AL21" s="121"/>
      <c r="AM21" s="121"/>
    </row>
    <row r="22" spans="1:39" x14ac:dyDescent="0.25">
      <c r="A22" s="103">
        <v>10</v>
      </c>
      <c r="B22" s="102">
        <f>INDEX('Tabl. 1'!$C$8:$AO$313,104+$AB17,MATCH($C$7,$AA$7:$AA$45))</f>
        <v>9999999</v>
      </c>
      <c r="C22" s="102">
        <f>INDEX('Tabl. 1'!$C$8:$AO$313,206+$AB17,MATCH($C$7,$AA$7:$AA$45))</f>
        <v>9999999</v>
      </c>
      <c r="I22" s="99"/>
      <c r="P22" s="91"/>
      <c r="Q22" s="91"/>
      <c r="R22" s="91"/>
      <c r="S22" s="91"/>
      <c r="T22" s="91"/>
      <c r="U22" s="91"/>
      <c r="V22" s="90"/>
      <c r="W22" s="90"/>
      <c r="X22" s="90"/>
      <c r="Y22" s="90"/>
      <c r="Z22" s="90"/>
      <c r="AA22" s="96">
        <v>2037</v>
      </c>
      <c r="AB22" s="96">
        <v>15</v>
      </c>
      <c r="AC22" s="96"/>
      <c r="AD22" s="100">
        <f t="shared" si="0"/>
        <v>-9999999</v>
      </c>
      <c r="AE22" s="101">
        <f t="shared" si="1"/>
        <v>9999999</v>
      </c>
      <c r="AF22" s="96">
        <f t="shared" si="2"/>
        <v>0</v>
      </c>
      <c r="AG22" s="101">
        <f t="shared" si="3"/>
        <v>0</v>
      </c>
      <c r="AH22" s="120"/>
      <c r="AI22" s="120"/>
      <c r="AJ22" s="121"/>
      <c r="AK22" s="121"/>
      <c r="AL22" s="121"/>
      <c r="AM22" s="121"/>
    </row>
    <row r="23" spans="1:39" x14ac:dyDescent="0.25">
      <c r="A23" s="103">
        <v>11</v>
      </c>
      <c r="B23" s="102">
        <f>INDEX('Tabl. 1'!$C$8:$AO$313,104+$AB18,MATCH($C$7,$AA$7:$AA$45))</f>
        <v>9999999</v>
      </c>
      <c r="C23" s="102">
        <f>INDEX('Tabl. 1'!$C$8:$AO$313,206+$AB18,MATCH($C$7,$AA$7:$AA$45))</f>
        <v>9999999</v>
      </c>
      <c r="I23" s="99"/>
      <c r="P23" s="91"/>
      <c r="Q23" s="91"/>
      <c r="R23" s="91"/>
      <c r="S23" s="91"/>
      <c r="T23" s="91"/>
      <c r="U23" s="91"/>
      <c r="V23" s="90"/>
      <c r="W23" s="90"/>
      <c r="X23" s="90"/>
      <c r="Y23" s="90"/>
      <c r="Z23" s="90"/>
      <c r="AA23" s="96">
        <v>2038</v>
      </c>
      <c r="AB23" s="96">
        <v>16</v>
      </c>
      <c r="AC23" s="96"/>
      <c r="AD23" s="100">
        <f t="shared" si="0"/>
        <v>-9999999</v>
      </c>
      <c r="AE23" s="101">
        <f t="shared" si="1"/>
        <v>9999999</v>
      </c>
      <c r="AF23" s="96">
        <f t="shared" si="2"/>
        <v>0</v>
      </c>
      <c r="AG23" s="101">
        <f t="shared" si="3"/>
        <v>0</v>
      </c>
      <c r="AH23" s="120"/>
      <c r="AI23" s="120"/>
      <c r="AJ23" s="121"/>
      <c r="AK23" s="121"/>
      <c r="AL23" s="121"/>
      <c r="AM23" s="121"/>
    </row>
    <row r="24" spans="1:39" x14ac:dyDescent="0.25">
      <c r="A24" s="103">
        <v>12</v>
      </c>
      <c r="B24" s="102">
        <f>INDEX('Tabl. 1'!$C$8:$AO$313,104+$AB19,MATCH($C$7,$AA$7:$AA$45))</f>
        <v>9999999</v>
      </c>
      <c r="C24" s="102">
        <f>INDEX('Tabl. 1'!$C$8:$AO$313,206+$AB19,MATCH($C$7,$AA$7:$AA$45))</f>
        <v>9999999</v>
      </c>
      <c r="I24" s="99"/>
      <c r="P24" s="91"/>
      <c r="Q24" s="91"/>
      <c r="R24" s="91"/>
      <c r="S24" s="91"/>
      <c r="T24" s="91"/>
      <c r="U24" s="91"/>
      <c r="V24" s="90"/>
      <c r="W24" s="90"/>
      <c r="X24" s="90"/>
      <c r="Y24" s="90"/>
      <c r="Z24" s="90"/>
      <c r="AA24" s="96">
        <v>2039</v>
      </c>
      <c r="AB24" s="96">
        <v>17</v>
      </c>
      <c r="AC24" s="96"/>
      <c r="AD24" s="100">
        <f t="shared" si="0"/>
        <v>-9999999</v>
      </c>
      <c r="AE24" s="101">
        <f t="shared" si="1"/>
        <v>9999999</v>
      </c>
      <c r="AF24" s="96">
        <f t="shared" si="2"/>
        <v>0</v>
      </c>
      <c r="AG24" s="101">
        <f t="shared" si="3"/>
        <v>0</v>
      </c>
      <c r="AH24" s="120"/>
      <c r="AI24" s="120"/>
      <c r="AJ24" s="121"/>
      <c r="AK24" s="121"/>
      <c r="AL24" s="121"/>
      <c r="AM24" s="121"/>
    </row>
    <row r="25" spans="1:39" x14ac:dyDescent="0.25">
      <c r="A25" s="103">
        <v>13</v>
      </c>
      <c r="B25" s="102">
        <f>INDEX('Tabl. 1'!$C$8:$AO$313,104+$AB20,MATCH($C$7,$AA$7:$AA$45))</f>
        <v>9999999</v>
      </c>
      <c r="C25" s="102">
        <f>INDEX('Tabl. 1'!$C$8:$AO$313,206+$AB20,MATCH($C$7,$AA$7:$AA$45))</f>
        <v>9999999</v>
      </c>
      <c r="I25" s="99"/>
      <c r="P25" s="91"/>
      <c r="Q25" s="91"/>
      <c r="R25" s="91"/>
      <c r="S25" s="91"/>
      <c r="T25" s="91"/>
      <c r="U25" s="91"/>
      <c r="V25" s="90"/>
      <c r="W25" s="90"/>
      <c r="X25" s="90"/>
      <c r="Y25" s="90"/>
      <c r="Z25" s="90"/>
      <c r="AA25" s="96">
        <v>2040</v>
      </c>
      <c r="AB25" s="96">
        <v>18</v>
      </c>
      <c r="AC25" s="96"/>
      <c r="AD25" s="100">
        <f t="shared" si="0"/>
        <v>-9999999</v>
      </c>
      <c r="AE25" s="101">
        <f t="shared" si="1"/>
        <v>9999999</v>
      </c>
      <c r="AF25" s="96">
        <f t="shared" si="2"/>
        <v>0</v>
      </c>
      <c r="AG25" s="101">
        <f t="shared" si="3"/>
        <v>0</v>
      </c>
      <c r="AH25" s="120"/>
      <c r="AI25" s="120"/>
      <c r="AJ25" s="121"/>
      <c r="AK25" s="121"/>
      <c r="AL25" s="121"/>
      <c r="AM25" s="121"/>
    </row>
    <row r="26" spans="1:39" x14ac:dyDescent="0.25">
      <c r="A26" s="103">
        <v>14</v>
      </c>
      <c r="B26" s="102">
        <f>INDEX('Tabl. 1'!$C$8:$AO$313,104+$AB21,MATCH($C$7,$AA$7:$AA$45))</f>
        <v>9999999</v>
      </c>
      <c r="C26" s="102">
        <f>INDEX('Tabl. 1'!$C$8:$AO$313,206+$AB21,MATCH($C$7,$AA$7:$AA$45))</f>
        <v>9999999</v>
      </c>
      <c r="I26" s="99"/>
      <c r="P26" s="91"/>
      <c r="Q26" s="91"/>
      <c r="R26" s="91"/>
      <c r="S26" s="91"/>
      <c r="T26" s="91"/>
      <c r="U26" s="91"/>
      <c r="V26" s="90"/>
      <c r="W26" s="90"/>
      <c r="X26" s="90"/>
      <c r="Y26" s="90"/>
      <c r="Z26" s="90"/>
      <c r="AA26" s="96">
        <v>2041</v>
      </c>
      <c r="AB26" s="96">
        <v>19</v>
      </c>
      <c r="AC26" s="96"/>
      <c r="AD26" s="100">
        <f t="shared" si="0"/>
        <v>-9999999</v>
      </c>
      <c r="AE26" s="101">
        <f t="shared" si="1"/>
        <v>9999999</v>
      </c>
      <c r="AF26" s="96">
        <f t="shared" si="2"/>
        <v>0</v>
      </c>
      <c r="AG26" s="101">
        <f t="shared" si="3"/>
        <v>0</v>
      </c>
      <c r="AH26" s="120"/>
      <c r="AI26" s="120"/>
      <c r="AJ26" s="121"/>
      <c r="AK26" s="121"/>
      <c r="AL26" s="121"/>
      <c r="AM26" s="121"/>
    </row>
    <row r="27" spans="1:39" x14ac:dyDescent="0.25">
      <c r="A27" s="103">
        <v>15</v>
      </c>
      <c r="B27" s="102">
        <f>INDEX('Tabl. 1'!$C$8:$AO$313,104+$AB22,MATCH($C$7,$AA$7:$AA$45))</f>
        <v>9999999</v>
      </c>
      <c r="C27" s="102">
        <f>INDEX('Tabl. 1'!$C$8:$AO$313,206+$AB22,MATCH($C$7,$AA$7:$AA$45))</f>
        <v>9999999</v>
      </c>
      <c r="I27" s="99"/>
      <c r="P27" s="91"/>
      <c r="Q27" s="91"/>
      <c r="R27" s="91"/>
      <c r="S27" s="91"/>
      <c r="T27" s="91"/>
      <c r="U27" s="91"/>
      <c r="V27" s="90"/>
      <c r="W27" s="90"/>
      <c r="X27" s="90"/>
      <c r="Y27" s="90"/>
      <c r="Z27" s="90"/>
      <c r="AA27" s="96">
        <v>2042</v>
      </c>
      <c r="AB27" s="96">
        <v>20</v>
      </c>
      <c r="AC27" s="96"/>
      <c r="AD27" s="100">
        <f t="shared" si="0"/>
        <v>-9999999</v>
      </c>
      <c r="AE27" s="101">
        <f t="shared" si="1"/>
        <v>9999999</v>
      </c>
      <c r="AF27" s="96">
        <f t="shared" si="2"/>
        <v>0</v>
      </c>
      <c r="AG27" s="101">
        <f t="shared" si="3"/>
        <v>0</v>
      </c>
      <c r="AH27" s="120"/>
      <c r="AI27" s="120"/>
      <c r="AJ27" s="121"/>
      <c r="AK27" s="121"/>
      <c r="AL27" s="121"/>
      <c r="AM27" s="121"/>
    </row>
    <row r="28" spans="1:39" x14ac:dyDescent="0.25">
      <c r="A28" s="103">
        <v>16</v>
      </c>
      <c r="B28" s="102">
        <f>INDEX('Tabl. 1'!$C$8:$AO$313,104+$AB23,MATCH($C$7,$AA$7:$AA$45))</f>
        <v>9999999</v>
      </c>
      <c r="C28" s="102">
        <f>INDEX('Tabl. 1'!$C$8:$AO$313,206+$AB23,MATCH($C$7,$AA$7:$AA$45))</f>
        <v>9999999</v>
      </c>
      <c r="I28" s="99"/>
      <c r="P28" s="91"/>
      <c r="Q28" s="91"/>
      <c r="R28" s="91"/>
      <c r="S28" s="91"/>
      <c r="T28" s="91"/>
      <c r="U28" s="91"/>
      <c r="V28" s="90"/>
      <c r="W28" s="90"/>
      <c r="X28" s="90"/>
      <c r="Y28" s="90"/>
      <c r="Z28" s="90"/>
      <c r="AA28" s="96">
        <v>2043</v>
      </c>
      <c r="AB28" s="96">
        <v>21</v>
      </c>
      <c r="AC28" s="96"/>
      <c r="AD28" s="100">
        <f t="shared" si="0"/>
        <v>-9999999</v>
      </c>
      <c r="AE28" s="101">
        <f t="shared" si="1"/>
        <v>9999999</v>
      </c>
      <c r="AF28" s="96">
        <f t="shared" si="2"/>
        <v>0</v>
      </c>
      <c r="AG28" s="101">
        <f t="shared" si="3"/>
        <v>0</v>
      </c>
      <c r="AH28" s="120"/>
      <c r="AI28" s="120"/>
      <c r="AJ28" s="121"/>
      <c r="AK28" s="121"/>
      <c r="AL28" s="121"/>
      <c r="AM28" s="121"/>
    </row>
    <row r="29" spans="1:39" x14ac:dyDescent="0.25">
      <c r="A29" s="103">
        <v>17</v>
      </c>
      <c r="B29" s="102">
        <f>INDEX('Tabl. 1'!$C$8:$AO$313,104+$AB24,MATCH($C$7,$AA$7:$AA$45))</f>
        <v>9999999</v>
      </c>
      <c r="C29" s="102">
        <f>INDEX('Tabl. 1'!$C$8:$AO$313,206+$AB24,MATCH($C$7,$AA$7:$AA$45))</f>
        <v>9999999</v>
      </c>
      <c r="I29" s="99"/>
      <c r="P29" s="91"/>
      <c r="Q29" s="91"/>
      <c r="R29" s="91"/>
      <c r="S29" s="91"/>
      <c r="T29" s="91"/>
      <c r="U29" s="91"/>
      <c r="V29" s="90"/>
      <c r="W29" s="90"/>
      <c r="X29" s="90"/>
      <c r="Y29" s="90"/>
      <c r="Z29" s="90"/>
      <c r="AA29" s="96">
        <v>2044</v>
      </c>
      <c r="AB29" s="96">
        <v>22</v>
      </c>
      <c r="AC29" s="96"/>
      <c r="AD29" s="100">
        <f t="shared" si="0"/>
        <v>-9999999</v>
      </c>
      <c r="AE29" s="101">
        <f t="shared" si="1"/>
        <v>9999999</v>
      </c>
      <c r="AF29" s="96">
        <f t="shared" si="2"/>
        <v>0</v>
      </c>
      <c r="AG29" s="101">
        <f t="shared" si="3"/>
        <v>0</v>
      </c>
      <c r="AH29" s="120"/>
      <c r="AI29" s="120"/>
      <c r="AJ29" s="121"/>
      <c r="AK29" s="121"/>
      <c r="AL29" s="121"/>
      <c r="AM29" s="121"/>
    </row>
    <row r="30" spans="1:39" x14ac:dyDescent="0.25">
      <c r="A30" s="103">
        <v>18</v>
      </c>
      <c r="B30" s="102">
        <f>INDEX('Tabl. 1'!$C$8:$AO$313,104+$AB25,MATCH($C$7,$AA$7:$AA$45))</f>
        <v>9999999</v>
      </c>
      <c r="C30" s="102">
        <f>INDEX('Tabl. 1'!$C$8:$AO$313,206+$AB25,MATCH($C$7,$AA$7:$AA$45))</f>
        <v>9999999</v>
      </c>
      <c r="I30" s="99"/>
      <c r="P30" s="91"/>
      <c r="Q30" s="91"/>
      <c r="R30" s="91"/>
      <c r="S30" s="91"/>
      <c r="T30" s="91"/>
      <c r="U30" s="91"/>
      <c r="V30" s="90"/>
      <c r="W30" s="90"/>
      <c r="X30" s="90"/>
      <c r="Y30" s="90"/>
      <c r="Z30" s="90"/>
      <c r="AA30" s="96">
        <v>2045</v>
      </c>
      <c r="AB30" s="96">
        <v>23</v>
      </c>
      <c r="AC30" s="96"/>
      <c r="AD30" s="100">
        <f t="shared" si="0"/>
        <v>-9999999</v>
      </c>
      <c r="AE30" s="101">
        <f t="shared" si="1"/>
        <v>9999999</v>
      </c>
      <c r="AF30" s="96">
        <f t="shared" si="2"/>
        <v>0</v>
      </c>
      <c r="AG30" s="101">
        <f t="shared" si="3"/>
        <v>0</v>
      </c>
      <c r="AH30" s="120"/>
      <c r="AI30" s="120"/>
      <c r="AJ30" s="121"/>
      <c r="AK30" s="121"/>
      <c r="AL30" s="121"/>
      <c r="AM30" s="121"/>
    </row>
    <row r="31" spans="1:39" x14ac:dyDescent="0.25">
      <c r="A31" s="103">
        <v>19</v>
      </c>
      <c r="B31" s="102">
        <f>INDEX('Tabl. 1'!$C$8:$AO$313,104+$AB26,MATCH($C$7,$AA$7:$AA$45))</f>
        <v>9999999</v>
      </c>
      <c r="C31" s="102">
        <f>INDEX('Tabl. 1'!$C$8:$AO$313,206+$AB26,MATCH($C$7,$AA$7:$AA$45))</f>
        <v>9999999</v>
      </c>
      <c r="I31" s="99"/>
      <c r="P31" s="91"/>
      <c r="Q31" s="91"/>
      <c r="R31" s="91"/>
      <c r="S31" s="91"/>
      <c r="T31" s="91"/>
      <c r="U31" s="91"/>
      <c r="V31" s="90"/>
      <c r="W31" s="90"/>
      <c r="X31" s="90"/>
      <c r="Y31" s="90"/>
      <c r="Z31" s="90"/>
      <c r="AA31" s="96">
        <v>2046</v>
      </c>
      <c r="AB31" s="96">
        <v>24</v>
      </c>
      <c r="AC31" s="96"/>
      <c r="AD31" s="100">
        <f t="shared" si="0"/>
        <v>-9999999</v>
      </c>
      <c r="AE31" s="101">
        <f t="shared" si="1"/>
        <v>9999999</v>
      </c>
      <c r="AF31" s="96">
        <f t="shared" si="2"/>
        <v>0</v>
      </c>
      <c r="AG31" s="101">
        <f t="shared" si="3"/>
        <v>0</v>
      </c>
      <c r="AH31" s="120"/>
      <c r="AI31" s="120"/>
      <c r="AJ31" s="121"/>
      <c r="AK31" s="121"/>
      <c r="AL31" s="121"/>
      <c r="AM31" s="121"/>
    </row>
    <row r="32" spans="1:39" x14ac:dyDescent="0.25">
      <c r="A32" s="103">
        <v>20</v>
      </c>
      <c r="B32" s="102">
        <f>INDEX('Tabl. 1'!$C$8:$AO$313,104+$AB27,MATCH($C$7,$AA$7:$AA$45))</f>
        <v>9999999</v>
      </c>
      <c r="C32" s="102">
        <f>INDEX('Tabl. 1'!$C$8:$AO$313,206+$AB27,MATCH($C$7,$AA$7:$AA$45))</f>
        <v>9999999</v>
      </c>
      <c r="I32" s="99"/>
      <c r="P32" s="91"/>
      <c r="Q32" s="91"/>
      <c r="R32" s="91"/>
      <c r="S32" s="91"/>
      <c r="T32" s="91"/>
      <c r="U32" s="91"/>
      <c r="V32" s="90"/>
      <c r="W32" s="90"/>
      <c r="X32" s="90"/>
      <c r="Y32" s="90"/>
      <c r="Z32" s="90"/>
      <c r="AA32" s="96">
        <v>2047</v>
      </c>
      <c r="AB32" s="96">
        <v>25</v>
      </c>
      <c r="AC32" s="96"/>
      <c r="AD32" s="100">
        <f t="shared" si="0"/>
        <v>-9999999</v>
      </c>
      <c r="AE32" s="101">
        <f t="shared" si="1"/>
        <v>9999999</v>
      </c>
      <c r="AF32" s="96">
        <f t="shared" si="2"/>
        <v>0</v>
      </c>
      <c r="AG32" s="101">
        <f t="shared" si="3"/>
        <v>0</v>
      </c>
      <c r="AH32" s="120"/>
      <c r="AI32" s="120"/>
      <c r="AJ32" s="121"/>
      <c r="AK32" s="121"/>
      <c r="AL32" s="121"/>
      <c r="AM32" s="121"/>
    </row>
    <row r="33" spans="1:39" x14ac:dyDescent="0.25">
      <c r="A33" s="103">
        <v>21</v>
      </c>
      <c r="B33" s="102">
        <f>INDEX('Tabl. 1'!$C$8:$AO$313,104+$AB28,MATCH($C$7,$AA$7:$AA$45))</f>
        <v>9999999</v>
      </c>
      <c r="C33" s="102">
        <f>INDEX('Tabl. 1'!$C$8:$AO$313,206+$AB28,MATCH($C$7,$AA$7:$AA$45))</f>
        <v>9999999</v>
      </c>
      <c r="I33" s="99"/>
      <c r="P33" s="91"/>
      <c r="Q33" s="91"/>
      <c r="R33" s="91"/>
      <c r="S33" s="91"/>
      <c r="T33" s="91"/>
      <c r="U33" s="91"/>
      <c r="V33" s="90"/>
      <c r="W33" s="90"/>
      <c r="X33" s="90"/>
      <c r="Y33" s="90"/>
      <c r="Z33" s="90"/>
      <c r="AA33" s="96">
        <v>2048</v>
      </c>
      <c r="AB33" s="96">
        <v>26</v>
      </c>
      <c r="AC33" s="96"/>
      <c r="AD33" s="100">
        <f t="shared" si="0"/>
        <v>-9999999</v>
      </c>
      <c r="AE33" s="101">
        <f t="shared" si="1"/>
        <v>9999999</v>
      </c>
      <c r="AF33" s="96">
        <f t="shared" si="2"/>
        <v>0</v>
      </c>
      <c r="AG33" s="101">
        <f t="shared" si="3"/>
        <v>0</v>
      </c>
      <c r="AH33" s="120"/>
      <c r="AI33" s="120"/>
      <c r="AJ33" s="121"/>
      <c r="AK33" s="121"/>
      <c r="AL33" s="121"/>
      <c r="AM33" s="121"/>
    </row>
    <row r="34" spans="1:39" x14ac:dyDescent="0.25">
      <c r="A34" s="103">
        <v>22</v>
      </c>
      <c r="B34" s="102">
        <f>INDEX('Tabl. 1'!$C$8:$AO$313,104+$AB29,MATCH($C$7,$AA$7:$AA$45))</f>
        <v>9999999</v>
      </c>
      <c r="C34" s="102">
        <f>INDEX('Tabl. 1'!$C$8:$AO$313,206+$AB29,MATCH($C$7,$AA$7:$AA$45))</f>
        <v>9999999</v>
      </c>
      <c r="I34" s="99"/>
      <c r="P34" s="91"/>
      <c r="Q34" s="91"/>
      <c r="R34" s="91"/>
      <c r="S34" s="91"/>
      <c r="T34" s="91"/>
      <c r="U34" s="91"/>
      <c r="V34" s="90"/>
      <c r="W34" s="90"/>
      <c r="X34" s="90"/>
      <c r="Y34" s="90"/>
      <c r="Z34" s="90"/>
      <c r="AA34" s="96">
        <v>2049</v>
      </c>
      <c r="AB34" s="96">
        <v>27</v>
      </c>
      <c r="AC34" s="96"/>
      <c r="AD34" s="100">
        <f t="shared" si="0"/>
        <v>-9999999</v>
      </c>
      <c r="AE34" s="101">
        <f t="shared" si="1"/>
        <v>9999999</v>
      </c>
      <c r="AF34" s="96">
        <f t="shared" si="2"/>
        <v>0</v>
      </c>
      <c r="AG34" s="101">
        <f t="shared" si="3"/>
        <v>0</v>
      </c>
      <c r="AH34" s="120"/>
      <c r="AI34" s="120"/>
      <c r="AJ34" s="121"/>
      <c r="AK34" s="121"/>
      <c r="AL34" s="121"/>
      <c r="AM34" s="121"/>
    </row>
    <row r="35" spans="1:39" x14ac:dyDescent="0.25">
      <c r="A35" s="103">
        <v>23</v>
      </c>
      <c r="B35" s="102">
        <f>INDEX('Tabl. 1'!$C$8:$AO$313,104+$AB30,MATCH($C$7,$AA$7:$AA$45))</f>
        <v>9999999</v>
      </c>
      <c r="C35" s="102">
        <f>INDEX('Tabl. 1'!$C$8:$AO$313,206+$AB30,MATCH($C$7,$AA$7:$AA$45))</f>
        <v>9999999</v>
      </c>
      <c r="I35" s="99"/>
      <c r="P35" s="91"/>
      <c r="Q35" s="91"/>
      <c r="R35" s="91"/>
      <c r="S35" s="91"/>
      <c r="T35" s="91"/>
      <c r="U35" s="91"/>
      <c r="V35" s="90"/>
      <c r="W35" s="90"/>
      <c r="X35" s="90"/>
      <c r="Y35" s="90"/>
      <c r="Z35" s="90"/>
      <c r="AA35" s="96">
        <v>2050</v>
      </c>
      <c r="AB35" s="96">
        <v>28</v>
      </c>
      <c r="AC35" s="96"/>
      <c r="AD35" s="100">
        <f t="shared" si="0"/>
        <v>-9999999</v>
      </c>
      <c r="AE35" s="101">
        <f t="shared" si="1"/>
        <v>9999999</v>
      </c>
      <c r="AF35" s="96">
        <f t="shared" si="2"/>
        <v>0</v>
      </c>
      <c r="AG35" s="101">
        <f t="shared" si="3"/>
        <v>0</v>
      </c>
      <c r="AH35" s="120"/>
      <c r="AI35" s="120"/>
      <c r="AJ35" s="121"/>
      <c r="AK35" s="121"/>
      <c r="AL35" s="121"/>
      <c r="AM35" s="121"/>
    </row>
    <row r="36" spans="1:39" x14ac:dyDescent="0.25">
      <c r="A36" s="103">
        <v>24</v>
      </c>
      <c r="B36" s="102">
        <f>INDEX('Tabl. 1'!$C$8:$AO$313,104+$AB31,MATCH($C$7,$AA$7:$AA$45))</f>
        <v>9999999</v>
      </c>
      <c r="C36" s="102">
        <f>INDEX('Tabl. 1'!$C$8:$AO$313,206+$AB31,MATCH($C$7,$AA$7:$AA$45))</f>
        <v>9999999</v>
      </c>
      <c r="I36" s="99"/>
      <c r="P36" s="91"/>
      <c r="Q36" s="91"/>
      <c r="R36" s="91"/>
      <c r="S36" s="91"/>
      <c r="T36" s="91"/>
      <c r="U36" s="91"/>
      <c r="V36" s="90"/>
      <c r="W36" s="90"/>
      <c r="X36" s="90"/>
      <c r="Y36" s="90"/>
      <c r="Z36" s="90"/>
      <c r="AA36" s="96">
        <v>2051</v>
      </c>
      <c r="AB36" s="96">
        <v>29</v>
      </c>
      <c r="AC36" s="96"/>
      <c r="AD36" s="100">
        <f t="shared" si="0"/>
        <v>-9999999</v>
      </c>
      <c r="AE36" s="101">
        <f t="shared" si="1"/>
        <v>9999999</v>
      </c>
      <c r="AF36" s="96">
        <f t="shared" si="2"/>
        <v>0</v>
      </c>
      <c r="AG36" s="101">
        <f t="shared" si="3"/>
        <v>0</v>
      </c>
      <c r="AH36" s="120"/>
      <c r="AI36" s="120"/>
      <c r="AJ36" s="121"/>
      <c r="AK36" s="121"/>
      <c r="AL36" s="121"/>
      <c r="AM36" s="121"/>
    </row>
    <row r="37" spans="1:39" x14ac:dyDescent="0.25">
      <c r="A37" s="103">
        <v>25</v>
      </c>
      <c r="B37" s="102">
        <f>INDEX('Tabl. 1'!$C$8:$AO$313,104+$AB32,MATCH($C$7,$AA$7:$AA$45))</f>
        <v>9999999</v>
      </c>
      <c r="C37" s="102">
        <f>INDEX('Tabl. 1'!$C$8:$AO$313,206+$AB32,MATCH($C$7,$AA$7:$AA$45))</f>
        <v>9999999</v>
      </c>
      <c r="I37" s="99"/>
      <c r="P37" s="91"/>
      <c r="Q37" s="91"/>
      <c r="R37" s="91"/>
      <c r="S37" s="91"/>
      <c r="T37" s="91"/>
      <c r="U37" s="91"/>
      <c r="V37" s="90"/>
      <c r="W37" s="90"/>
      <c r="X37" s="90"/>
      <c r="Y37" s="90"/>
      <c r="Z37" s="90"/>
      <c r="AA37" s="96">
        <v>2052</v>
      </c>
      <c r="AB37" s="96">
        <v>30</v>
      </c>
      <c r="AC37" s="96"/>
      <c r="AD37" s="100">
        <f t="shared" si="0"/>
        <v>-9999999</v>
      </c>
      <c r="AE37" s="101">
        <f t="shared" si="1"/>
        <v>9999999</v>
      </c>
      <c r="AF37" s="96">
        <f t="shared" si="2"/>
        <v>0</v>
      </c>
      <c r="AG37" s="101">
        <f t="shared" si="3"/>
        <v>0</v>
      </c>
      <c r="AH37" s="120"/>
      <c r="AI37" s="120"/>
      <c r="AJ37" s="121"/>
      <c r="AK37" s="121"/>
      <c r="AL37" s="121"/>
      <c r="AM37" s="121"/>
    </row>
    <row r="38" spans="1:39" x14ac:dyDescent="0.25">
      <c r="A38" s="103">
        <v>26</v>
      </c>
      <c r="B38" s="102">
        <f>INDEX('Tabl. 1'!$C$8:$AO$313,104+$AB33,MATCH($C$7,$AA$7:$AA$45))</f>
        <v>9999999</v>
      </c>
      <c r="C38" s="102">
        <f>INDEX('Tabl. 1'!$C$8:$AO$313,206+$AB33,MATCH($C$7,$AA$7:$AA$45))</f>
        <v>9999999</v>
      </c>
      <c r="I38" s="99"/>
      <c r="P38" s="91"/>
      <c r="Q38" s="91"/>
      <c r="R38" s="91"/>
      <c r="S38" s="91"/>
      <c r="T38" s="91"/>
      <c r="U38" s="91"/>
      <c r="V38" s="90"/>
      <c r="W38" s="90"/>
      <c r="X38" s="90"/>
      <c r="Y38" s="90"/>
      <c r="Z38" s="90"/>
      <c r="AA38" s="96">
        <v>2053</v>
      </c>
      <c r="AB38" s="96">
        <v>31</v>
      </c>
      <c r="AC38" s="96"/>
      <c r="AD38" s="100">
        <f t="shared" si="0"/>
        <v>-9999999</v>
      </c>
      <c r="AE38" s="101">
        <f t="shared" si="1"/>
        <v>9999999</v>
      </c>
      <c r="AF38" s="96">
        <f t="shared" si="2"/>
        <v>0</v>
      </c>
      <c r="AG38" s="101">
        <f t="shared" si="3"/>
        <v>0</v>
      </c>
      <c r="AH38" s="120"/>
      <c r="AI38" s="120"/>
      <c r="AJ38" s="121"/>
      <c r="AK38" s="121"/>
      <c r="AL38" s="121"/>
      <c r="AM38" s="121"/>
    </row>
    <row r="39" spans="1:39" x14ac:dyDescent="0.25">
      <c r="A39" s="103">
        <v>27</v>
      </c>
      <c r="B39" s="102">
        <f>INDEX('Tabl. 1'!$C$8:$AO$313,104+$AB34,MATCH($C$7,$AA$7:$AA$45))</f>
        <v>9999999</v>
      </c>
      <c r="C39" s="102">
        <f>INDEX('Tabl. 1'!$C$8:$AO$313,206+$AB34,MATCH($C$7,$AA$7:$AA$45))</f>
        <v>9999999</v>
      </c>
      <c r="I39" s="99"/>
      <c r="P39" s="91"/>
      <c r="Q39" s="91"/>
      <c r="R39" s="91"/>
      <c r="S39" s="91"/>
      <c r="T39" s="91"/>
      <c r="U39" s="91"/>
      <c r="V39" s="90"/>
      <c r="W39" s="90"/>
      <c r="X39" s="90"/>
      <c r="Y39" s="90"/>
      <c r="Z39" s="90"/>
      <c r="AA39" s="96">
        <v>2054</v>
      </c>
      <c r="AB39" s="96">
        <v>32</v>
      </c>
      <c r="AC39" s="96"/>
      <c r="AD39" s="100">
        <f t="shared" si="0"/>
        <v>-9999999</v>
      </c>
      <c r="AE39" s="101">
        <f t="shared" si="1"/>
        <v>9999999</v>
      </c>
      <c r="AF39" s="96">
        <f t="shared" si="2"/>
        <v>0</v>
      </c>
      <c r="AG39" s="101">
        <f t="shared" si="3"/>
        <v>0</v>
      </c>
      <c r="AH39" s="120"/>
      <c r="AI39" s="120"/>
      <c r="AJ39" s="121"/>
      <c r="AK39" s="121"/>
      <c r="AL39" s="121"/>
      <c r="AM39" s="121"/>
    </row>
    <row r="40" spans="1:39" x14ac:dyDescent="0.25">
      <c r="A40" s="103">
        <v>28</v>
      </c>
      <c r="B40" s="102">
        <f>INDEX('Tabl. 1'!$C$8:$AO$313,104+$AB35,MATCH($C$7,$AA$7:$AA$45))</f>
        <v>9999999</v>
      </c>
      <c r="C40" s="102">
        <f>INDEX('Tabl. 1'!$C$8:$AO$313,206+$AB35,MATCH($C$7,$AA$7:$AA$45))</f>
        <v>9999999</v>
      </c>
      <c r="I40" s="99"/>
      <c r="P40" s="91"/>
      <c r="Q40" s="91"/>
      <c r="R40" s="91"/>
      <c r="S40" s="91"/>
      <c r="T40" s="91"/>
      <c r="U40" s="91"/>
      <c r="V40" s="90"/>
      <c r="W40" s="90"/>
      <c r="X40" s="90"/>
      <c r="Y40" s="90"/>
      <c r="Z40" s="90"/>
      <c r="AA40" s="96">
        <v>2055</v>
      </c>
      <c r="AB40" s="96">
        <v>33</v>
      </c>
      <c r="AC40" s="96"/>
      <c r="AD40" s="100">
        <f t="shared" si="0"/>
        <v>-9999999</v>
      </c>
      <c r="AE40" s="101">
        <f t="shared" si="1"/>
        <v>9999999</v>
      </c>
      <c r="AF40" s="96">
        <f t="shared" si="2"/>
        <v>0</v>
      </c>
      <c r="AG40" s="101">
        <f t="shared" si="3"/>
        <v>0</v>
      </c>
      <c r="AH40" s="120"/>
      <c r="AI40" s="120"/>
      <c r="AJ40" s="121"/>
      <c r="AK40" s="121"/>
      <c r="AL40" s="121"/>
      <c r="AM40" s="121"/>
    </row>
    <row r="41" spans="1:39" x14ac:dyDescent="0.25">
      <c r="A41" s="103">
        <v>29</v>
      </c>
      <c r="B41" s="102">
        <f>INDEX('Tabl. 1'!$C$8:$AO$313,104+$AB36,MATCH($C$7,$AA$7:$AA$45))</f>
        <v>9999999</v>
      </c>
      <c r="C41" s="102">
        <f>INDEX('Tabl. 1'!$C$8:$AO$313,206+$AB36,MATCH($C$7,$AA$7:$AA$45))</f>
        <v>9999999</v>
      </c>
      <c r="I41" s="99"/>
      <c r="P41" s="91"/>
      <c r="Q41" s="91"/>
      <c r="R41" s="91"/>
      <c r="S41" s="91"/>
      <c r="T41" s="91"/>
      <c r="U41" s="91"/>
      <c r="V41" s="90"/>
      <c r="W41" s="90"/>
      <c r="X41" s="90"/>
      <c r="Y41" s="90"/>
      <c r="Z41" s="90"/>
      <c r="AA41" s="96">
        <v>2056</v>
      </c>
      <c r="AB41" s="96">
        <v>34</v>
      </c>
      <c r="AC41" s="96"/>
      <c r="AD41" s="100">
        <f t="shared" si="0"/>
        <v>-9999999</v>
      </c>
      <c r="AE41" s="101">
        <f t="shared" si="1"/>
        <v>9999999</v>
      </c>
      <c r="AF41" s="96">
        <f t="shared" si="2"/>
        <v>0</v>
      </c>
      <c r="AG41" s="101">
        <f t="shared" si="3"/>
        <v>0</v>
      </c>
      <c r="AH41" s="120"/>
      <c r="AI41" s="120"/>
      <c r="AJ41" s="121"/>
      <c r="AK41" s="121"/>
      <c r="AL41" s="121"/>
      <c r="AM41" s="121"/>
    </row>
    <row r="42" spans="1:39" x14ac:dyDescent="0.25">
      <c r="A42" s="103">
        <v>30</v>
      </c>
      <c r="B42" s="102">
        <f>INDEX('Tabl. 1'!$C$8:$AO$313,104+$AB37,MATCH($C$7,$AA$7:$AA$45))</f>
        <v>9999999</v>
      </c>
      <c r="C42" s="102">
        <f>INDEX('Tabl. 1'!$C$8:$AO$313,206+$AB37,MATCH($C$7,$AA$7:$AA$45))</f>
        <v>9999999</v>
      </c>
      <c r="I42" s="99"/>
      <c r="P42" s="91"/>
      <c r="Q42" s="91"/>
      <c r="R42" s="91"/>
      <c r="S42" s="91"/>
      <c r="T42" s="91"/>
      <c r="U42" s="91"/>
      <c r="V42" s="90"/>
      <c r="W42" s="90"/>
      <c r="X42" s="90"/>
      <c r="Y42" s="90"/>
      <c r="Z42" s="90"/>
      <c r="AA42" s="96">
        <v>2057</v>
      </c>
      <c r="AB42" s="96">
        <v>35</v>
      </c>
      <c r="AC42" s="96"/>
      <c r="AD42" s="100">
        <f t="shared" si="0"/>
        <v>-9999999</v>
      </c>
      <c r="AE42" s="101">
        <f t="shared" si="1"/>
        <v>9999999</v>
      </c>
      <c r="AF42" s="96">
        <f t="shared" si="2"/>
        <v>0</v>
      </c>
      <c r="AG42" s="101">
        <f t="shared" si="3"/>
        <v>0</v>
      </c>
      <c r="AH42" s="120"/>
      <c r="AI42" s="120"/>
      <c r="AJ42" s="121"/>
      <c r="AK42" s="121"/>
      <c r="AL42" s="121"/>
      <c r="AM42" s="121"/>
    </row>
    <row r="43" spans="1:39" x14ac:dyDescent="0.25">
      <c r="A43" s="103">
        <v>31</v>
      </c>
      <c r="B43" s="102">
        <f>INDEX('Tabl. 1'!$C$8:$AO$313,104+$AB38,MATCH($C$7,$AA$7:$AA$45))</f>
        <v>9999999</v>
      </c>
      <c r="C43" s="102">
        <f>INDEX('Tabl. 1'!$C$8:$AO$313,206+$AB38,MATCH($C$7,$AA$7:$AA$45))</f>
        <v>9999999</v>
      </c>
      <c r="I43" s="99"/>
      <c r="P43" s="91"/>
      <c r="Q43" s="91"/>
      <c r="R43" s="91"/>
      <c r="S43" s="91"/>
      <c r="T43" s="91"/>
      <c r="U43" s="91"/>
      <c r="V43" s="90"/>
      <c r="W43" s="90"/>
      <c r="X43" s="90"/>
      <c r="Y43" s="90"/>
      <c r="Z43" s="90"/>
      <c r="AA43" s="96">
        <v>2058</v>
      </c>
      <c r="AB43" s="96">
        <v>36</v>
      </c>
      <c r="AC43" s="96"/>
      <c r="AD43" s="100">
        <f t="shared" si="0"/>
        <v>-9999999</v>
      </c>
      <c r="AE43" s="101">
        <f t="shared" si="1"/>
        <v>9999999</v>
      </c>
      <c r="AF43" s="96">
        <f t="shared" si="2"/>
        <v>0</v>
      </c>
      <c r="AG43" s="101">
        <f t="shared" si="3"/>
        <v>0</v>
      </c>
      <c r="AH43" s="120"/>
      <c r="AI43" s="120"/>
      <c r="AJ43" s="121"/>
      <c r="AK43" s="121"/>
      <c r="AL43" s="121"/>
      <c r="AM43" s="121"/>
    </row>
    <row r="44" spans="1:39" x14ac:dyDescent="0.25">
      <c r="A44" s="103">
        <v>32</v>
      </c>
      <c r="B44" s="102">
        <f>INDEX('Tabl. 1'!$C$8:$AO$313,104+$AB39,MATCH($C$7,$AA$7:$AA$45))</f>
        <v>9999999</v>
      </c>
      <c r="C44" s="102">
        <f>INDEX('Tabl. 1'!$C$8:$AO$313,206+$AB39,MATCH($C$7,$AA$7:$AA$45))</f>
        <v>9999999</v>
      </c>
      <c r="I44" s="99"/>
      <c r="P44" s="91"/>
      <c r="Q44" s="91"/>
      <c r="R44" s="91"/>
      <c r="S44" s="91"/>
      <c r="T44" s="91"/>
      <c r="U44" s="91"/>
      <c r="V44" s="90"/>
      <c r="W44" s="90"/>
      <c r="X44" s="90"/>
      <c r="Y44" s="90"/>
      <c r="Z44" s="90"/>
      <c r="AA44" s="96">
        <v>2059</v>
      </c>
      <c r="AB44" s="96">
        <v>37</v>
      </c>
      <c r="AC44" s="96"/>
      <c r="AD44" s="100">
        <f t="shared" si="0"/>
        <v>-9999999</v>
      </c>
      <c r="AE44" s="101">
        <f t="shared" si="1"/>
        <v>9999999</v>
      </c>
      <c r="AF44" s="96">
        <f t="shared" si="2"/>
        <v>0</v>
      </c>
      <c r="AG44" s="101">
        <f t="shared" si="3"/>
        <v>0</v>
      </c>
      <c r="AH44" s="120"/>
      <c r="AI44" s="120"/>
      <c r="AJ44" s="121"/>
      <c r="AK44" s="121"/>
      <c r="AL44" s="121"/>
      <c r="AM44" s="121"/>
    </row>
    <row r="45" spans="1:39" x14ac:dyDescent="0.25">
      <c r="A45" s="103">
        <v>33</v>
      </c>
      <c r="B45" s="102">
        <f>INDEX('Tabl. 1'!$C$8:$AO$313,104+$AB40,MATCH($C$7,$AA$7:$AA$45))</f>
        <v>9999999</v>
      </c>
      <c r="C45" s="102">
        <f>INDEX('Tabl. 1'!$C$8:$AO$313,206+$AB40,MATCH($C$7,$AA$7:$AA$45))</f>
        <v>9999999</v>
      </c>
      <c r="I45" s="99"/>
      <c r="P45" s="91"/>
      <c r="Q45" s="91"/>
      <c r="R45" s="91"/>
      <c r="S45" s="91"/>
      <c r="T45" s="91"/>
      <c r="U45" s="91"/>
      <c r="V45" s="90"/>
      <c r="W45" s="90"/>
      <c r="X45" s="90"/>
      <c r="Y45" s="90"/>
      <c r="Z45" s="90"/>
      <c r="AA45" s="96">
        <v>2060</v>
      </c>
      <c r="AB45" s="96">
        <v>38</v>
      </c>
      <c r="AC45" s="96"/>
      <c r="AD45" s="100">
        <f t="shared" si="0"/>
        <v>-9999999</v>
      </c>
      <c r="AE45" s="101">
        <f t="shared" si="1"/>
        <v>9999999</v>
      </c>
      <c r="AF45" s="96">
        <f t="shared" si="2"/>
        <v>0</v>
      </c>
      <c r="AG45" s="101">
        <f t="shared" si="3"/>
        <v>0</v>
      </c>
      <c r="AH45" s="120"/>
      <c r="AI45" s="120"/>
      <c r="AJ45" s="121"/>
      <c r="AK45" s="121"/>
      <c r="AL45" s="121"/>
      <c r="AM45" s="121"/>
    </row>
    <row r="46" spans="1:39" x14ac:dyDescent="0.25">
      <c r="A46" s="103">
        <v>34</v>
      </c>
      <c r="B46" s="102">
        <f>INDEX('Tabl. 1'!$C$8:$AO$313,104+$AB41,MATCH($C$7,$AA$7:$AA$45))</f>
        <v>9999999</v>
      </c>
      <c r="C46" s="102">
        <f>INDEX('Tabl. 1'!$C$8:$AO$313,206+$AB41,MATCH($C$7,$AA$7:$AA$45))</f>
        <v>9999999</v>
      </c>
      <c r="I46" s="99"/>
      <c r="P46" s="91"/>
      <c r="Q46" s="91"/>
      <c r="R46" s="91"/>
      <c r="S46" s="91"/>
      <c r="T46" s="91"/>
      <c r="U46" s="91"/>
      <c r="V46" s="90"/>
      <c r="W46" s="90"/>
      <c r="X46" s="90"/>
      <c r="Y46" s="90"/>
      <c r="Z46" s="90"/>
      <c r="AA46" s="96"/>
      <c r="AB46" s="96">
        <v>39</v>
      </c>
      <c r="AC46" s="96"/>
      <c r="AD46" s="100">
        <f t="shared" si="0"/>
        <v>-9999999</v>
      </c>
      <c r="AE46" s="101">
        <f t="shared" si="1"/>
        <v>9999999</v>
      </c>
      <c r="AF46" s="96">
        <f t="shared" si="2"/>
        <v>0</v>
      </c>
      <c r="AG46" s="101">
        <f t="shared" si="3"/>
        <v>0</v>
      </c>
      <c r="AH46" s="120"/>
      <c r="AI46" s="120"/>
      <c r="AJ46" s="121"/>
      <c r="AK46" s="121"/>
      <c r="AL46" s="121"/>
      <c r="AM46" s="121"/>
    </row>
    <row r="47" spans="1:39" x14ac:dyDescent="0.25">
      <c r="A47" s="103">
        <v>35</v>
      </c>
      <c r="B47" s="102">
        <f>INDEX('Tabl. 1'!$C$8:$AO$313,104+$AB42,MATCH($C$7,$AA$7:$AA$45))</f>
        <v>9999999</v>
      </c>
      <c r="C47" s="102">
        <f>INDEX('Tabl. 1'!$C$8:$AO$313,206+$AB42,MATCH($C$7,$AA$7:$AA$45))</f>
        <v>9999999</v>
      </c>
      <c r="I47" s="99"/>
      <c r="P47" s="91"/>
      <c r="Q47" s="91"/>
      <c r="R47" s="91"/>
      <c r="S47" s="91"/>
      <c r="T47" s="91"/>
      <c r="U47" s="91"/>
      <c r="V47" s="90"/>
      <c r="W47" s="90"/>
      <c r="X47" s="90"/>
      <c r="Y47" s="90"/>
      <c r="Z47" s="90"/>
      <c r="AA47" s="96"/>
      <c r="AB47" s="96">
        <v>40</v>
      </c>
      <c r="AC47" s="96"/>
      <c r="AD47" s="100">
        <f t="shared" si="0"/>
        <v>-9999999</v>
      </c>
      <c r="AE47" s="101">
        <f t="shared" si="1"/>
        <v>9999999</v>
      </c>
      <c r="AF47" s="96">
        <f t="shared" si="2"/>
        <v>0</v>
      </c>
      <c r="AG47" s="101">
        <f t="shared" si="3"/>
        <v>0</v>
      </c>
      <c r="AH47" s="120"/>
      <c r="AI47" s="120"/>
      <c r="AJ47" s="121"/>
      <c r="AK47" s="121"/>
      <c r="AL47" s="121"/>
      <c r="AM47" s="121"/>
    </row>
    <row r="48" spans="1:39" x14ac:dyDescent="0.25">
      <c r="A48" s="103">
        <v>36</v>
      </c>
      <c r="B48" s="102">
        <f>INDEX('Tabl. 1'!$C$8:$AO$313,104+$AB43,MATCH($C$7,$AA$7:$AA$45))</f>
        <v>9999999</v>
      </c>
      <c r="C48" s="102">
        <f>INDEX('Tabl. 1'!$C$8:$AO$313,206+$AB43,MATCH($C$7,$AA$7:$AA$45))</f>
        <v>9999999</v>
      </c>
      <c r="I48" s="99"/>
      <c r="P48" s="91"/>
      <c r="Q48" s="91"/>
      <c r="R48" s="91"/>
      <c r="S48" s="91"/>
      <c r="T48" s="91"/>
      <c r="U48" s="91"/>
      <c r="V48" s="90"/>
      <c r="W48" s="90"/>
      <c r="X48" s="90"/>
      <c r="Y48" s="90"/>
      <c r="Z48" s="90"/>
      <c r="AA48" s="96"/>
      <c r="AB48" s="96">
        <v>41</v>
      </c>
      <c r="AC48" s="96"/>
      <c r="AD48" s="100">
        <f t="shared" si="0"/>
        <v>-9999999</v>
      </c>
      <c r="AE48" s="101">
        <f t="shared" si="1"/>
        <v>9999999</v>
      </c>
      <c r="AF48" s="96">
        <f t="shared" si="2"/>
        <v>0</v>
      </c>
      <c r="AG48" s="101">
        <f t="shared" si="3"/>
        <v>0</v>
      </c>
      <c r="AH48" s="120"/>
      <c r="AI48" s="120"/>
      <c r="AJ48" s="121"/>
      <c r="AK48" s="121"/>
      <c r="AL48" s="121"/>
      <c r="AM48" s="121"/>
    </row>
    <row r="49" spans="1:39" x14ac:dyDescent="0.25">
      <c r="A49" s="103">
        <v>37</v>
      </c>
      <c r="B49" s="102">
        <f>INDEX('Tabl. 1'!$C$8:$AO$313,104+$AB44,MATCH($C$7,$AA$7:$AA$45))</f>
        <v>9999999</v>
      </c>
      <c r="C49" s="102">
        <f>INDEX('Tabl. 1'!$C$8:$AO$313,206+$AB44,MATCH($C$7,$AA$7:$AA$45))</f>
        <v>9999999</v>
      </c>
      <c r="I49" s="99"/>
      <c r="P49" s="91"/>
      <c r="Q49" s="91"/>
      <c r="R49" s="91"/>
      <c r="S49" s="91"/>
      <c r="T49" s="91"/>
      <c r="U49" s="91"/>
      <c r="V49" s="90"/>
      <c r="W49" s="90"/>
      <c r="X49" s="90"/>
      <c r="Y49" s="90"/>
      <c r="Z49" s="90"/>
      <c r="AA49" s="96"/>
      <c r="AB49" s="96">
        <v>42</v>
      </c>
      <c r="AC49" s="96"/>
      <c r="AD49" s="100">
        <f t="shared" si="0"/>
        <v>-9999999</v>
      </c>
      <c r="AE49" s="101">
        <f t="shared" si="1"/>
        <v>9999999</v>
      </c>
      <c r="AF49" s="96">
        <f t="shared" si="2"/>
        <v>0</v>
      </c>
      <c r="AG49" s="101">
        <f t="shared" si="3"/>
        <v>0</v>
      </c>
      <c r="AH49" s="120"/>
      <c r="AI49" s="120"/>
      <c r="AJ49" s="121"/>
      <c r="AK49" s="121"/>
      <c r="AL49" s="121"/>
      <c r="AM49" s="121"/>
    </row>
    <row r="50" spans="1:39" x14ac:dyDescent="0.25">
      <c r="A50" s="103">
        <v>38</v>
      </c>
      <c r="B50" s="102">
        <f>INDEX('Tabl. 1'!$C$8:$AO$313,104+$AB45,MATCH($C$7,$AA$7:$AA$45))</f>
        <v>9999999</v>
      </c>
      <c r="C50" s="102">
        <f>INDEX('Tabl. 1'!$C$8:$AO$313,206+$AB45,MATCH($C$7,$AA$7:$AA$45))</f>
        <v>9999999</v>
      </c>
      <c r="I50" s="99"/>
      <c r="P50" s="91"/>
      <c r="Q50" s="91"/>
      <c r="R50" s="91"/>
      <c r="S50" s="91"/>
      <c r="T50" s="91"/>
      <c r="U50" s="91"/>
      <c r="V50" s="90"/>
      <c r="W50" s="90"/>
      <c r="X50" s="90"/>
      <c r="Y50" s="90"/>
      <c r="Z50" s="90"/>
      <c r="AA50" s="96"/>
      <c r="AB50" s="96">
        <v>43</v>
      </c>
      <c r="AC50" s="96"/>
      <c r="AD50" s="100">
        <f t="shared" si="0"/>
        <v>-9999999</v>
      </c>
      <c r="AE50" s="101">
        <f t="shared" si="1"/>
        <v>9999999</v>
      </c>
      <c r="AF50" s="96">
        <f t="shared" si="2"/>
        <v>0</v>
      </c>
      <c r="AG50" s="101">
        <f t="shared" si="3"/>
        <v>0</v>
      </c>
      <c r="AH50" s="120"/>
      <c r="AI50" s="120"/>
      <c r="AJ50" s="121"/>
      <c r="AK50" s="121"/>
      <c r="AL50" s="121"/>
      <c r="AM50" s="121"/>
    </row>
    <row r="51" spans="1:39" x14ac:dyDescent="0.25">
      <c r="A51" s="103">
        <v>39</v>
      </c>
      <c r="B51" s="102">
        <f>INDEX('Tabl. 1'!$C$8:$AO$313,104+$AB46,MATCH($C$7,$AA$7:$AA$45))</f>
        <v>9999999</v>
      </c>
      <c r="C51" s="102">
        <f>INDEX('Tabl. 1'!$C$8:$AO$313,206+$AB46,MATCH($C$7,$AA$7:$AA$45))</f>
        <v>9999999</v>
      </c>
      <c r="I51" s="99"/>
      <c r="P51" s="91"/>
      <c r="Q51" s="91"/>
      <c r="R51" s="91"/>
      <c r="S51" s="91"/>
      <c r="T51" s="91"/>
      <c r="U51" s="91"/>
      <c r="V51" s="90"/>
      <c r="W51" s="90"/>
      <c r="X51" s="90"/>
      <c r="Y51" s="90"/>
      <c r="Z51" s="90"/>
      <c r="AA51" s="96"/>
      <c r="AB51" s="96">
        <v>44</v>
      </c>
      <c r="AC51" s="96"/>
      <c r="AD51" s="100">
        <f t="shared" si="0"/>
        <v>-9999999</v>
      </c>
      <c r="AE51" s="101">
        <f t="shared" si="1"/>
        <v>9999999</v>
      </c>
      <c r="AF51" s="96">
        <f t="shared" si="2"/>
        <v>0</v>
      </c>
      <c r="AG51" s="101">
        <f t="shared" si="3"/>
        <v>0</v>
      </c>
      <c r="AH51" s="120"/>
      <c r="AI51" s="120"/>
      <c r="AJ51" s="121"/>
      <c r="AK51" s="121"/>
      <c r="AL51" s="121"/>
      <c r="AM51" s="121"/>
    </row>
    <row r="52" spans="1:39" x14ac:dyDescent="0.25">
      <c r="A52" s="103">
        <v>40</v>
      </c>
      <c r="B52" s="102">
        <f>INDEX('Tabl. 1'!$C$8:$AO$313,104+$AB47,MATCH($C$7,$AA$7:$AA$45))</f>
        <v>9999999</v>
      </c>
      <c r="C52" s="102">
        <f>INDEX('Tabl. 1'!$C$8:$AO$313,206+$AB47,MATCH($C$7,$AA$7:$AA$45))</f>
        <v>9999999</v>
      </c>
      <c r="I52" s="99"/>
      <c r="P52" s="91"/>
      <c r="Q52" s="91"/>
      <c r="R52" s="91"/>
      <c r="S52" s="91"/>
      <c r="T52" s="91"/>
      <c r="U52" s="91"/>
      <c r="V52" s="90"/>
      <c r="W52" s="90"/>
      <c r="X52" s="90"/>
      <c r="Y52" s="90"/>
      <c r="Z52" s="90"/>
      <c r="AA52" s="96"/>
      <c r="AB52" s="96">
        <v>45</v>
      </c>
      <c r="AC52" s="96"/>
      <c r="AD52" s="100">
        <f t="shared" si="0"/>
        <v>-9999999</v>
      </c>
      <c r="AE52" s="101">
        <f t="shared" si="1"/>
        <v>9999999</v>
      </c>
      <c r="AF52" s="96">
        <f t="shared" si="2"/>
        <v>0</v>
      </c>
      <c r="AG52" s="101">
        <f t="shared" si="3"/>
        <v>0</v>
      </c>
      <c r="AH52" s="120"/>
      <c r="AI52" s="120"/>
      <c r="AJ52" s="121"/>
      <c r="AK52" s="121"/>
      <c r="AL52" s="121"/>
      <c r="AM52" s="121"/>
    </row>
    <row r="53" spans="1:39" x14ac:dyDescent="0.25">
      <c r="A53" s="103">
        <v>41</v>
      </c>
      <c r="B53" s="102">
        <f>INDEX('Tabl. 1'!$C$8:$AO$313,104+$AB48,MATCH($C$7,$AA$7:$AA$45))</f>
        <v>9999999</v>
      </c>
      <c r="C53" s="102">
        <f>INDEX('Tabl. 1'!$C$8:$AO$313,206+$AB48,MATCH($C$7,$AA$7:$AA$45))</f>
        <v>9999999</v>
      </c>
      <c r="I53" s="99"/>
      <c r="P53" s="91"/>
      <c r="Q53" s="91"/>
      <c r="R53" s="91"/>
      <c r="S53" s="91"/>
      <c r="T53" s="91"/>
      <c r="U53" s="91"/>
      <c r="V53" s="90"/>
      <c r="W53" s="90"/>
      <c r="X53" s="90"/>
      <c r="Y53" s="90"/>
      <c r="Z53" s="90"/>
      <c r="AA53" s="96"/>
      <c r="AB53" s="96">
        <v>46</v>
      </c>
      <c r="AC53" s="96"/>
      <c r="AD53" s="100">
        <f t="shared" si="0"/>
        <v>-9999999</v>
      </c>
      <c r="AE53" s="101">
        <f t="shared" si="1"/>
        <v>9999999</v>
      </c>
      <c r="AF53" s="96">
        <f t="shared" si="2"/>
        <v>0</v>
      </c>
      <c r="AG53" s="101">
        <f t="shared" si="3"/>
        <v>0</v>
      </c>
      <c r="AH53" s="120"/>
      <c r="AI53" s="120"/>
      <c r="AJ53" s="121"/>
      <c r="AK53" s="121"/>
      <c r="AL53" s="121"/>
      <c r="AM53" s="121"/>
    </row>
    <row r="54" spans="1:39" x14ac:dyDescent="0.25">
      <c r="A54" s="103">
        <v>42</v>
      </c>
      <c r="B54" s="102">
        <f>INDEX('Tabl. 1'!$C$8:$AO$313,104+$AB49,MATCH($C$7,$AA$7:$AA$45))</f>
        <v>9999999</v>
      </c>
      <c r="C54" s="102">
        <f>INDEX('Tabl. 1'!$C$8:$AO$313,206+$AB49,MATCH($C$7,$AA$7:$AA$45))</f>
        <v>9999999</v>
      </c>
      <c r="I54" s="99"/>
      <c r="P54" s="91"/>
      <c r="Q54" s="91"/>
      <c r="R54" s="91"/>
      <c r="S54" s="91"/>
      <c r="T54" s="91"/>
      <c r="U54" s="91"/>
      <c r="V54" s="90"/>
      <c r="W54" s="90"/>
      <c r="X54" s="90"/>
      <c r="Y54" s="90"/>
      <c r="Z54" s="90"/>
      <c r="AA54" s="96"/>
      <c r="AB54" s="96">
        <v>47</v>
      </c>
      <c r="AC54" s="96"/>
      <c r="AD54" s="100">
        <f t="shared" si="0"/>
        <v>-9999999</v>
      </c>
      <c r="AE54" s="101">
        <f t="shared" si="1"/>
        <v>9999999</v>
      </c>
      <c r="AF54" s="96">
        <f t="shared" si="2"/>
        <v>0</v>
      </c>
      <c r="AG54" s="101">
        <f t="shared" si="3"/>
        <v>0</v>
      </c>
      <c r="AH54" s="120"/>
      <c r="AI54" s="120"/>
      <c r="AJ54" s="121"/>
      <c r="AK54" s="121"/>
      <c r="AL54" s="121"/>
      <c r="AM54" s="121"/>
    </row>
    <row r="55" spans="1:39" x14ac:dyDescent="0.25">
      <c r="A55" s="103">
        <v>43</v>
      </c>
      <c r="B55" s="102">
        <f>INDEX('Tabl. 1'!$C$8:$AO$313,104+$AB50,MATCH($C$7,$AA$7:$AA$45))</f>
        <v>9999999</v>
      </c>
      <c r="C55" s="102">
        <f>INDEX('Tabl. 1'!$C$8:$AO$313,206+$AB50,MATCH($C$7,$AA$7:$AA$45))</f>
        <v>9999999</v>
      </c>
      <c r="I55" s="99"/>
      <c r="P55" s="91"/>
      <c r="Q55" s="91"/>
      <c r="R55" s="91"/>
      <c r="S55" s="91"/>
      <c r="T55" s="91"/>
      <c r="U55" s="91"/>
      <c r="V55" s="90"/>
      <c r="W55" s="90"/>
      <c r="X55" s="90"/>
      <c r="Y55" s="90"/>
      <c r="Z55" s="90"/>
      <c r="AA55" s="96"/>
      <c r="AB55" s="96">
        <v>48</v>
      </c>
      <c r="AC55" s="96"/>
      <c r="AD55" s="100">
        <f t="shared" si="0"/>
        <v>-9999999</v>
      </c>
      <c r="AE55" s="101">
        <f t="shared" si="1"/>
        <v>9999999</v>
      </c>
      <c r="AF55" s="96">
        <f t="shared" si="2"/>
        <v>0</v>
      </c>
      <c r="AG55" s="101">
        <f t="shared" si="3"/>
        <v>0</v>
      </c>
      <c r="AH55" s="120"/>
      <c r="AI55" s="120"/>
      <c r="AJ55" s="121"/>
      <c r="AK55" s="121"/>
      <c r="AL55" s="121"/>
      <c r="AM55" s="121"/>
    </row>
    <row r="56" spans="1:39" x14ac:dyDescent="0.25">
      <c r="A56" s="103">
        <v>44</v>
      </c>
      <c r="B56" s="102">
        <f>INDEX('Tabl. 1'!$C$8:$AO$313,104+$AB51,MATCH($C$7,$AA$7:$AA$45))</f>
        <v>9999999</v>
      </c>
      <c r="C56" s="102">
        <f>INDEX('Tabl. 1'!$C$8:$AO$313,206+$AB51,MATCH($C$7,$AA$7:$AA$45))</f>
        <v>9999999</v>
      </c>
      <c r="I56" s="99"/>
      <c r="P56" s="91"/>
      <c r="Q56" s="91"/>
      <c r="R56" s="91"/>
      <c r="S56" s="91"/>
      <c r="T56" s="91"/>
      <c r="U56" s="91"/>
      <c r="V56" s="90"/>
      <c r="W56" s="90"/>
      <c r="X56" s="90"/>
      <c r="Y56" s="90"/>
      <c r="Z56" s="90"/>
      <c r="AA56" s="96"/>
      <c r="AB56" s="96">
        <v>49</v>
      </c>
      <c r="AC56" s="96"/>
      <c r="AD56" s="100">
        <f t="shared" si="0"/>
        <v>-9999999</v>
      </c>
      <c r="AE56" s="101">
        <f t="shared" si="1"/>
        <v>9999999</v>
      </c>
      <c r="AF56" s="96">
        <f t="shared" si="2"/>
        <v>0</v>
      </c>
      <c r="AG56" s="101">
        <f t="shared" si="3"/>
        <v>0</v>
      </c>
      <c r="AH56" s="120"/>
      <c r="AI56" s="120"/>
      <c r="AJ56" s="121"/>
      <c r="AK56" s="121"/>
      <c r="AL56" s="121"/>
      <c r="AM56" s="121"/>
    </row>
    <row r="57" spans="1:39" x14ac:dyDescent="0.25">
      <c r="A57" s="103">
        <v>45</v>
      </c>
      <c r="B57" s="102">
        <f>INDEX('Tabl. 1'!$C$8:$AO$313,104+$AB52,MATCH($C$7,$AA$7:$AA$45))</f>
        <v>9999999</v>
      </c>
      <c r="C57" s="102">
        <f>INDEX('Tabl. 1'!$C$8:$AO$313,206+$AB52,MATCH($C$7,$AA$7:$AA$45))</f>
        <v>9999999</v>
      </c>
      <c r="I57" s="99"/>
      <c r="P57" s="91"/>
      <c r="Q57" s="91"/>
      <c r="R57" s="91"/>
      <c r="S57" s="91"/>
      <c r="T57" s="91"/>
      <c r="U57" s="91"/>
      <c r="V57" s="90"/>
      <c r="W57" s="90"/>
      <c r="X57" s="90"/>
      <c r="Y57" s="90"/>
      <c r="Z57" s="90"/>
      <c r="AA57" s="96"/>
      <c r="AB57" s="96">
        <v>50</v>
      </c>
      <c r="AC57" s="96"/>
      <c r="AD57" s="100">
        <f t="shared" si="0"/>
        <v>-9999999</v>
      </c>
      <c r="AE57" s="101">
        <f t="shared" si="1"/>
        <v>9999999</v>
      </c>
      <c r="AF57" s="96">
        <f t="shared" si="2"/>
        <v>0</v>
      </c>
      <c r="AG57" s="101">
        <f t="shared" si="3"/>
        <v>0</v>
      </c>
      <c r="AH57" s="120"/>
      <c r="AI57" s="120"/>
      <c r="AJ57" s="121"/>
      <c r="AK57" s="121"/>
      <c r="AL57" s="121"/>
      <c r="AM57" s="121"/>
    </row>
    <row r="58" spans="1:39" x14ac:dyDescent="0.25">
      <c r="A58" s="103">
        <v>46</v>
      </c>
      <c r="B58" s="102">
        <f>INDEX('Tabl. 1'!$C$8:$AO$313,104+$AB53,MATCH($C$7,$AA$7:$AA$45))</f>
        <v>9999999</v>
      </c>
      <c r="C58" s="102">
        <f>INDEX('Tabl. 1'!$C$8:$AO$313,206+$AB53,MATCH($C$7,$AA$7:$AA$45))</f>
        <v>9999999</v>
      </c>
      <c r="I58" s="99"/>
      <c r="P58" s="91"/>
      <c r="Q58" s="91"/>
      <c r="R58" s="91"/>
      <c r="S58" s="91"/>
      <c r="T58" s="91"/>
      <c r="U58" s="91"/>
      <c r="V58" s="90"/>
      <c r="W58" s="90"/>
      <c r="X58" s="90"/>
      <c r="Y58" s="90"/>
      <c r="Z58" s="90"/>
      <c r="AA58" s="96"/>
      <c r="AB58" s="96">
        <v>51</v>
      </c>
      <c r="AC58" s="96"/>
      <c r="AD58" s="100">
        <f t="shared" si="0"/>
        <v>-9999999</v>
      </c>
      <c r="AE58" s="101">
        <f t="shared" si="1"/>
        <v>9999999</v>
      </c>
      <c r="AF58" s="96">
        <f t="shared" si="2"/>
        <v>0</v>
      </c>
      <c r="AG58" s="101">
        <f t="shared" si="3"/>
        <v>0</v>
      </c>
      <c r="AH58" s="120"/>
      <c r="AI58" s="120"/>
      <c r="AJ58" s="121"/>
      <c r="AK58" s="121"/>
      <c r="AL58" s="121"/>
      <c r="AM58" s="121"/>
    </row>
    <row r="59" spans="1:39" x14ac:dyDescent="0.25">
      <c r="A59" s="103">
        <v>47</v>
      </c>
      <c r="B59" s="102">
        <f>INDEX('Tabl. 1'!$C$8:$AO$313,104+$AB54,MATCH($C$7,$AA$7:$AA$45))</f>
        <v>9999999</v>
      </c>
      <c r="C59" s="102">
        <f>INDEX('Tabl. 1'!$C$8:$AO$313,206+$AB54,MATCH($C$7,$AA$7:$AA$45))</f>
        <v>9999999</v>
      </c>
      <c r="I59" s="99"/>
      <c r="P59" s="91"/>
      <c r="Q59" s="91"/>
      <c r="R59" s="91"/>
      <c r="S59" s="91"/>
      <c r="T59" s="91"/>
      <c r="U59" s="91"/>
      <c r="V59" s="90"/>
      <c r="W59" s="90"/>
      <c r="X59" s="90"/>
      <c r="Y59" s="90"/>
      <c r="Z59" s="90"/>
      <c r="AA59" s="96"/>
      <c r="AB59" s="96">
        <v>52</v>
      </c>
      <c r="AC59" s="96"/>
      <c r="AD59" s="100">
        <f t="shared" si="0"/>
        <v>-9999999</v>
      </c>
      <c r="AE59" s="101">
        <f t="shared" si="1"/>
        <v>9999999</v>
      </c>
      <c r="AF59" s="96">
        <f t="shared" si="2"/>
        <v>0</v>
      </c>
      <c r="AG59" s="101">
        <f t="shared" si="3"/>
        <v>0</v>
      </c>
      <c r="AH59" s="120"/>
      <c r="AI59" s="120"/>
      <c r="AJ59" s="121"/>
      <c r="AK59" s="121"/>
      <c r="AL59" s="121"/>
      <c r="AM59" s="121"/>
    </row>
    <row r="60" spans="1:39" x14ac:dyDescent="0.25">
      <c r="A60" s="103">
        <v>48</v>
      </c>
      <c r="B60" s="102">
        <f>INDEX('Tabl. 1'!$C$8:$AO$313,104+$AB55,MATCH($C$7,$AA$7:$AA$45))</f>
        <v>9999999</v>
      </c>
      <c r="C60" s="102">
        <f>INDEX('Tabl. 1'!$C$8:$AO$313,206+$AB55,MATCH($C$7,$AA$7:$AA$45))</f>
        <v>9999999</v>
      </c>
      <c r="I60" s="99"/>
      <c r="P60" s="91"/>
      <c r="Q60" s="91"/>
      <c r="R60" s="91"/>
      <c r="S60" s="91"/>
      <c r="T60" s="91"/>
      <c r="U60" s="91"/>
      <c r="V60" s="90"/>
      <c r="W60" s="90"/>
      <c r="X60" s="90"/>
      <c r="Y60" s="90"/>
      <c r="Z60" s="90"/>
      <c r="AA60" s="96"/>
      <c r="AB60" s="96">
        <v>53</v>
      </c>
      <c r="AC60" s="96"/>
      <c r="AD60" s="100">
        <f t="shared" si="0"/>
        <v>-9999999</v>
      </c>
      <c r="AE60" s="101">
        <f t="shared" si="1"/>
        <v>9999999</v>
      </c>
      <c r="AF60" s="96">
        <f t="shared" si="2"/>
        <v>0</v>
      </c>
      <c r="AG60" s="101">
        <f t="shared" si="3"/>
        <v>0</v>
      </c>
      <c r="AH60" s="120"/>
      <c r="AI60" s="120"/>
      <c r="AJ60" s="121"/>
      <c r="AK60" s="121"/>
      <c r="AL60" s="121"/>
      <c r="AM60" s="121"/>
    </row>
    <row r="61" spans="1:39" x14ac:dyDescent="0.25">
      <c r="A61" s="103">
        <v>49</v>
      </c>
      <c r="B61" s="102">
        <f>INDEX('Tabl. 1'!$C$8:$AO$313,104+$AB56,MATCH($C$7,$AA$7:$AA$45))</f>
        <v>9999999</v>
      </c>
      <c r="C61" s="102">
        <f>INDEX('Tabl. 1'!$C$8:$AO$313,206+$AB56,MATCH($C$7,$AA$7:$AA$45))</f>
        <v>9999999</v>
      </c>
      <c r="I61" s="99"/>
      <c r="P61" s="91"/>
      <c r="Q61" s="91"/>
      <c r="R61" s="91"/>
      <c r="S61" s="91"/>
      <c r="T61" s="91"/>
      <c r="U61" s="91"/>
      <c r="V61" s="90"/>
      <c r="W61" s="90"/>
      <c r="X61" s="90"/>
      <c r="Y61" s="90"/>
      <c r="Z61" s="90"/>
      <c r="AA61" s="96"/>
      <c r="AB61" s="96">
        <v>54</v>
      </c>
      <c r="AC61" s="96"/>
      <c r="AD61" s="100">
        <f t="shared" si="0"/>
        <v>-9999999</v>
      </c>
      <c r="AE61" s="101">
        <f t="shared" si="1"/>
        <v>9999999</v>
      </c>
      <c r="AF61" s="96">
        <f t="shared" si="2"/>
        <v>0</v>
      </c>
      <c r="AG61" s="101">
        <f t="shared" si="3"/>
        <v>0</v>
      </c>
      <c r="AH61" s="120"/>
      <c r="AI61" s="120"/>
      <c r="AJ61" s="121"/>
      <c r="AK61" s="121"/>
      <c r="AL61" s="121"/>
      <c r="AM61" s="121"/>
    </row>
    <row r="62" spans="1:39" x14ac:dyDescent="0.25">
      <c r="A62" s="103">
        <v>50</v>
      </c>
      <c r="B62" s="102">
        <f>INDEX('Tabl. 1'!$C$8:$AO$313,104+$AB57,MATCH($C$7,$AA$7:$AA$45))</f>
        <v>9999999</v>
      </c>
      <c r="C62" s="102">
        <f>INDEX('Tabl. 1'!$C$8:$AO$313,206+$AB57,MATCH($C$7,$AA$7:$AA$45))</f>
        <v>9999999</v>
      </c>
      <c r="I62" s="99"/>
      <c r="P62" s="91"/>
      <c r="Q62" s="91"/>
      <c r="R62" s="91"/>
      <c r="S62" s="91"/>
      <c r="T62" s="91"/>
      <c r="U62" s="91"/>
      <c r="V62" s="90"/>
      <c r="W62" s="90"/>
      <c r="X62" s="90"/>
      <c r="Y62" s="90"/>
      <c r="Z62" s="90"/>
      <c r="AA62" s="96"/>
      <c r="AB62" s="96">
        <v>55</v>
      </c>
      <c r="AC62" s="96"/>
      <c r="AD62" s="100">
        <f t="shared" si="0"/>
        <v>-9999999</v>
      </c>
      <c r="AE62" s="101">
        <f t="shared" si="1"/>
        <v>9999999</v>
      </c>
      <c r="AF62" s="96">
        <f t="shared" si="2"/>
        <v>0</v>
      </c>
      <c r="AG62" s="101">
        <f t="shared" si="3"/>
        <v>0</v>
      </c>
      <c r="AH62" s="120"/>
      <c r="AI62" s="120"/>
      <c r="AJ62" s="121"/>
      <c r="AK62" s="121"/>
      <c r="AL62" s="121"/>
      <c r="AM62" s="121"/>
    </row>
    <row r="63" spans="1:39" x14ac:dyDescent="0.25">
      <c r="A63" s="103">
        <v>51</v>
      </c>
      <c r="B63" s="102">
        <f>INDEX('Tabl. 1'!$C$8:$AO$313,104+$AB58,MATCH($C$7,$AA$7:$AA$45))</f>
        <v>9999999</v>
      </c>
      <c r="C63" s="102">
        <f>INDEX('Tabl. 1'!$C$8:$AO$313,206+$AB58,MATCH($C$7,$AA$7:$AA$45))</f>
        <v>9999999</v>
      </c>
      <c r="I63" s="99"/>
      <c r="P63" s="91"/>
      <c r="Q63" s="91"/>
      <c r="R63" s="91"/>
      <c r="S63" s="91"/>
      <c r="T63" s="91"/>
      <c r="U63" s="91"/>
      <c r="V63" s="90"/>
      <c r="W63" s="90"/>
      <c r="X63" s="90"/>
      <c r="Y63" s="90"/>
      <c r="Z63" s="90"/>
      <c r="AA63" s="96"/>
      <c r="AB63" s="96">
        <v>56</v>
      </c>
      <c r="AC63" s="96"/>
      <c r="AD63" s="100">
        <f t="shared" si="0"/>
        <v>-9999999</v>
      </c>
      <c r="AE63" s="101">
        <f t="shared" si="1"/>
        <v>9999999</v>
      </c>
      <c r="AF63" s="96">
        <f t="shared" si="2"/>
        <v>0</v>
      </c>
      <c r="AG63" s="101">
        <f t="shared" si="3"/>
        <v>0</v>
      </c>
      <c r="AH63" s="120"/>
      <c r="AI63" s="120"/>
      <c r="AJ63" s="121"/>
      <c r="AK63" s="121"/>
      <c r="AL63" s="121"/>
      <c r="AM63" s="121"/>
    </row>
    <row r="64" spans="1:39" x14ac:dyDescent="0.25">
      <c r="A64" s="103">
        <v>52</v>
      </c>
      <c r="B64" s="102">
        <f>INDEX('Tabl. 1'!$C$8:$AO$313,104+$AB59,MATCH($C$7,$AA$7:$AA$45))</f>
        <v>9999999</v>
      </c>
      <c r="C64" s="102">
        <f>INDEX('Tabl. 1'!$C$8:$AO$313,206+$AB59,MATCH($C$7,$AA$7:$AA$45))</f>
        <v>9999999</v>
      </c>
      <c r="I64" s="99"/>
      <c r="P64" s="91"/>
      <c r="Q64" s="91"/>
      <c r="R64" s="91"/>
      <c r="S64" s="91"/>
      <c r="T64" s="91"/>
      <c r="U64" s="91"/>
      <c r="V64" s="90"/>
      <c r="W64" s="90"/>
      <c r="X64" s="90"/>
      <c r="Y64" s="90"/>
      <c r="Z64" s="90"/>
      <c r="AA64" s="96"/>
      <c r="AB64" s="96">
        <v>57</v>
      </c>
      <c r="AC64" s="96"/>
      <c r="AD64" s="100">
        <f t="shared" si="0"/>
        <v>-9999999</v>
      </c>
      <c r="AE64" s="101">
        <f t="shared" si="1"/>
        <v>9999999</v>
      </c>
      <c r="AF64" s="96">
        <f t="shared" si="2"/>
        <v>0</v>
      </c>
      <c r="AG64" s="101">
        <f t="shared" si="3"/>
        <v>0</v>
      </c>
      <c r="AH64" s="120"/>
      <c r="AI64" s="120"/>
      <c r="AJ64" s="121"/>
      <c r="AK64" s="121"/>
      <c r="AL64" s="121"/>
      <c r="AM64" s="121"/>
    </row>
    <row r="65" spans="1:39" x14ac:dyDescent="0.25">
      <c r="A65" s="103">
        <v>53</v>
      </c>
      <c r="B65" s="102">
        <f>INDEX('Tabl. 1'!$C$8:$AO$313,104+$AB60,MATCH($C$7,$AA$7:$AA$45))</f>
        <v>9999999</v>
      </c>
      <c r="C65" s="102">
        <f>INDEX('Tabl. 1'!$C$8:$AO$313,206+$AB60,MATCH($C$7,$AA$7:$AA$45))</f>
        <v>9999999</v>
      </c>
      <c r="I65" s="99"/>
      <c r="P65" s="91"/>
      <c r="Q65" s="91"/>
      <c r="R65" s="91"/>
      <c r="S65" s="91"/>
      <c r="T65" s="91"/>
      <c r="U65" s="91"/>
      <c r="V65" s="90"/>
      <c r="W65" s="90"/>
      <c r="X65" s="90"/>
      <c r="Y65" s="90"/>
      <c r="Z65" s="90"/>
      <c r="AA65" s="96"/>
      <c r="AB65" s="96">
        <v>58</v>
      </c>
      <c r="AC65" s="96"/>
      <c r="AD65" s="100">
        <f t="shared" si="0"/>
        <v>-9999999</v>
      </c>
      <c r="AE65" s="101">
        <f t="shared" si="1"/>
        <v>9999999</v>
      </c>
      <c r="AF65" s="96">
        <f t="shared" si="2"/>
        <v>0</v>
      </c>
      <c r="AG65" s="101">
        <f t="shared" si="3"/>
        <v>0</v>
      </c>
      <c r="AH65" s="120"/>
      <c r="AI65" s="120"/>
      <c r="AJ65" s="121"/>
      <c r="AK65" s="121"/>
      <c r="AL65" s="121"/>
      <c r="AM65" s="121"/>
    </row>
    <row r="66" spans="1:39" x14ac:dyDescent="0.25">
      <c r="A66" s="103">
        <v>54</v>
      </c>
      <c r="B66" s="102">
        <f>INDEX('Tabl. 1'!$C$8:$AO$313,104+$AB61,MATCH($C$7,$AA$7:$AA$45))</f>
        <v>9999999</v>
      </c>
      <c r="C66" s="102">
        <f>INDEX('Tabl. 1'!$C$8:$AO$313,206+$AB61,MATCH($C$7,$AA$7:$AA$45))</f>
        <v>9999999</v>
      </c>
      <c r="I66" s="99"/>
      <c r="P66" s="91"/>
      <c r="Q66" s="91"/>
      <c r="R66" s="91"/>
      <c r="S66" s="91"/>
      <c r="T66" s="91"/>
      <c r="U66" s="91"/>
      <c r="V66" s="90"/>
      <c r="W66" s="90"/>
      <c r="X66" s="90"/>
      <c r="Y66" s="90"/>
      <c r="Z66" s="90"/>
      <c r="AA66" s="96"/>
      <c r="AB66" s="96">
        <v>59</v>
      </c>
      <c r="AC66" s="96"/>
      <c r="AD66" s="100">
        <f t="shared" si="0"/>
        <v>-9999999</v>
      </c>
      <c r="AE66" s="101">
        <f t="shared" si="1"/>
        <v>9999999</v>
      </c>
      <c r="AF66" s="96">
        <f t="shared" si="2"/>
        <v>0</v>
      </c>
      <c r="AG66" s="101">
        <f t="shared" si="3"/>
        <v>0</v>
      </c>
      <c r="AH66" s="120"/>
      <c r="AI66" s="120"/>
      <c r="AJ66" s="121"/>
      <c r="AK66" s="121"/>
      <c r="AL66" s="121"/>
      <c r="AM66" s="121"/>
    </row>
    <row r="67" spans="1:39" x14ac:dyDescent="0.25">
      <c r="A67" s="103">
        <v>55</v>
      </c>
      <c r="B67" s="102">
        <f>INDEX('Tabl. 1'!$C$8:$AO$313,104+$AB62,MATCH($C$7,$AA$7:$AA$45))</f>
        <v>9999999</v>
      </c>
      <c r="C67" s="102">
        <f>INDEX('Tabl. 1'!$C$8:$AO$313,206+$AB62,MATCH($C$7,$AA$7:$AA$45))</f>
        <v>9999999</v>
      </c>
      <c r="I67" s="99"/>
      <c r="P67" s="91"/>
      <c r="Q67" s="91"/>
      <c r="R67" s="91"/>
      <c r="S67" s="91"/>
      <c r="T67" s="91"/>
      <c r="U67" s="91"/>
      <c r="V67" s="90"/>
      <c r="W67" s="90"/>
      <c r="X67" s="90"/>
      <c r="Y67" s="90"/>
      <c r="Z67" s="90"/>
      <c r="AA67" s="96"/>
      <c r="AB67" s="96">
        <v>60</v>
      </c>
      <c r="AC67" s="96"/>
      <c r="AD67" s="100">
        <f t="shared" si="0"/>
        <v>-9999999</v>
      </c>
      <c r="AE67" s="101">
        <f t="shared" si="1"/>
        <v>9999999</v>
      </c>
      <c r="AF67" s="96">
        <f t="shared" si="2"/>
        <v>0</v>
      </c>
      <c r="AG67" s="101">
        <f t="shared" si="3"/>
        <v>0</v>
      </c>
      <c r="AH67" s="120"/>
      <c r="AI67" s="120"/>
      <c r="AJ67" s="121"/>
      <c r="AK67" s="121"/>
      <c r="AL67" s="121"/>
      <c r="AM67" s="121"/>
    </row>
    <row r="68" spans="1:39" x14ac:dyDescent="0.25">
      <c r="A68" s="103">
        <v>56</v>
      </c>
      <c r="B68" s="102">
        <f>INDEX('Tabl. 1'!$C$8:$AO$313,104+$AB63,MATCH($C$7,$AA$7:$AA$45))</f>
        <v>9999999</v>
      </c>
      <c r="C68" s="102">
        <f>INDEX('Tabl. 1'!$C$8:$AO$313,206+$AB63,MATCH($C$7,$AA$7:$AA$45))</f>
        <v>9999999</v>
      </c>
      <c r="I68" s="99"/>
      <c r="P68" s="91"/>
      <c r="Q68" s="91"/>
      <c r="R68" s="91"/>
      <c r="S68" s="91"/>
      <c r="T68" s="91"/>
      <c r="U68" s="91"/>
      <c r="V68" s="90"/>
      <c r="W68" s="90"/>
      <c r="X68" s="90"/>
      <c r="Y68" s="90"/>
      <c r="Z68" s="90"/>
      <c r="AA68" s="96"/>
      <c r="AB68" s="96">
        <v>61</v>
      </c>
      <c r="AC68" s="96"/>
      <c r="AD68" s="100">
        <f t="shared" si="0"/>
        <v>-9999999</v>
      </c>
      <c r="AE68" s="101">
        <f t="shared" si="1"/>
        <v>9999999</v>
      </c>
      <c r="AF68" s="96">
        <f t="shared" si="2"/>
        <v>0</v>
      </c>
      <c r="AG68" s="101">
        <f t="shared" si="3"/>
        <v>0</v>
      </c>
      <c r="AH68" s="120"/>
      <c r="AI68" s="120"/>
      <c r="AJ68" s="121"/>
      <c r="AK68" s="121"/>
      <c r="AL68" s="121"/>
      <c r="AM68" s="121"/>
    </row>
    <row r="69" spans="1:39" x14ac:dyDescent="0.25">
      <c r="A69" s="103">
        <v>57</v>
      </c>
      <c r="B69" s="102">
        <f>INDEX('Tabl. 1'!$C$8:$AO$313,104+$AB64,MATCH($C$7,$AA$7:$AA$45))</f>
        <v>9999999</v>
      </c>
      <c r="C69" s="102">
        <f>INDEX('Tabl. 1'!$C$8:$AO$313,206+$AB64,MATCH($C$7,$AA$7:$AA$45))</f>
        <v>9999999</v>
      </c>
      <c r="I69" s="99"/>
      <c r="P69" s="91"/>
      <c r="Q69" s="91"/>
      <c r="R69" s="91"/>
      <c r="S69" s="91"/>
      <c r="T69" s="91"/>
      <c r="U69" s="91"/>
      <c r="V69" s="90"/>
      <c r="W69" s="90"/>
      <c r="X69" s="90"/>
      <c r="Y69" s="90"/>
      <c r="Z69" s="90"/>
      <c r="AA69" s="96"/>
      <c r="AB69" s="96">
        <v>62</v>
      </c>
      <c r="AC69" s="96"/>
      <c r="AD69" s="100">
        <f t="shared" si="0"/>
        <v>-9999999</v>
      </c>
      <c r="AE69" s="101">
        <f t="shared" si="1"/>
        <v>9999999</v>
      </c>
      <c r="AF69" s="96">
        <f t="shared" si="2"/>
        <v>0</v>
      </c>
      <c r="AG69" s="101">
        <f t="shared" si="3"/>
        <v>0</v>
      </c>
      <c r="AH69" s="120"/>
      <c r="AI69" s="120"/>
      <c r="AJ69" s="121"/>
      <c r="AK69" s="121"/>
      <c r="AL69" s="121"/>
      <c r="AM69" s="121"/>
    </row>
    <row r="70" spans="1:39" x14ac:dyDescent="0.25">
      <c r="A70" s="103">
        <v>58</v>
      </c>
      <c r="B70" s="102">
        <f>INDEX('Tabl. 1'!$C$8:$AO$313,104+$AB65,MATCH($C$7,$AA$7:$AA$45))</f>
        <v>9999999</v>
      </c>
      <c r="C70" s="102">
        <f>INDEX('Tabl. 1'!$C$8:$AO$313,206+$AB65,MATCH($C$7,$AA$7:$AA$45))</f>
        <v>9999999</v>
      </c>
      <c r="I70" s="99"/>
      <c r="P70" s="91"/>
      <c r="Q70" s="91"/>
      <c r="R70" s="91"/>
      <c r="S70" s="91"/>
      <c r="T70" s="91"/>
      <c r="U70" s="91"/>
      <c r="V70" s="90"/>
      <c r="W70" s="90"/>
      <c r="X70" s="90"/>
      <c r="Y70" s="90"/>
      <c r="Z70" s="90"/>
      <c r="AA70" s="96"/>
      <c r="AB70" s="96">
        <v>63</v>
      </c>
      <c r="AC70" s="96"/>
      <c r="AD70" s="100">
        <f t="shared" si="0"/>
        <v>-9999999</v>
      </c>
      <c r="AE70" s="101">
        <f t="shared" si="1"/>
        <v>9999999</v>
      </c>
      <c r="AF70" s="96">
        <f t="shared" si="2"/>
        <v>0</v>
      </c>
      <c r="AG70" s="101">
        <f t="shared" si="3"/>
        <v>0</v>
      </c>
      <c r="AH70" s="120"/>
      <c r="AI70" s="120"/>
      <c r="AJ70" s="121"/>
      <c r="AK70" s="121"/>
      <c r="AL70" s="121"/>
      <c r="AM70" s="121"/>
    </row>
    <row r="71" spans="1:39" x14ac:dyDescent="0.25">
      <c r="A71" s="103">
        <v>59</v>
      </c>
      <c r="B71" s="102">
        <f>INDEX('Tabl. 1'!$C$8:$AO$313,104+$AB66,MATCH($C$7,$AA$7:$AA$45))</f>
        <v>9999999</v>
      </c>
      <c r="C71" s="102">
        <f>INDEX('Tabl. 1'!$C$8:$AO$313,206+$AB66,MATCH($C$7,$AA$7:$AA$45))</f>
        <v>9999999</v>
      </c>
      <c r="I71" s="99"/>
      <c r="P71" s="91"/>
      <c r="Q71" s="91"/>
      <c r="R71" s="91"/>
      <c r="S71" s="91"/>
      <c r="T71" s="91"/>
      <c r="U71" s="91"/>
      <c r="V71" s="90"/>
      <c r="W71" s="90"/>
      <c r="X71" s="90"/>
      <c r="Y71" s="90"/>
      <c r="Z71" s="90"/>
      <c r="AA71" s="96"/>
      <c r="AB71" s="96">
        <v>64</v>
      </c>
      <c r="AC71" s="96"/>
      <c r="AD71" s="100">
        <f t="shared" si="0"/>
        <v>-9999999</v>
      </c>
      <c r="AE71" s="101">
        <f t="shared" si="1"/>
        <v>9999999</v>
      </c>
      <c r="AF71" s="96">
        <f t="shared" si="2"/>
        <v>0</v>
      </c>
      <c r="AG71" s="101">
        <f t="shared" si="3"/>
        <v>0</v>
      </c>
      <c r="AH71" s="120"/>
      <c r="AI71" s="120"/>
      <c r="AJ71" s="121"/>
      <c r="AK71" s="121"/>
      <c r="AL71" s="121"/>
      <c r="AM71" s="121"/>
    </row>
    <row r="72" spans="1:39" x14ac:dyDescent="0.25">
      <c r="A72" s="103">
        <v>60</v>
      </c>
      <c r="B72" s="102">
        <f>INDEX('Tabl. 1'!$C$8:$AO$313,104+$AB67,MATCH($C$7,$AA$7:$AA$45))</f>
        <v>9999999</v>
      </c>
      <c r="C72" s="102">
        <f>INDEX('Tabl. 1'!$C$8:$AO$313,206+$AB67,MATCH($C$7,$AA$7:$AA$45))</f>
        <v>9999999</v>
      </c>
      <c r="I72" s="99"/>
      <c r="P72" s="91"/>
      <c r="Q72" s="91"/>
      <c r="R72" s="91"/>
      <c r="S72" s="91"/>
      <c r="T72" s="91"/>
      <c r="U72" s="91"/>
      <c r="V72" s="90"/>
      <c r="W72" s="90"/>
      <c r="X72" s="90"/>
      <c r="Y72" s="90"/>
      <c r="Z72" s="90"/>
      <c r="AA72" s="96"/>
      <c r="AB72" s="96">
        <v>65</v>
      </c>
      <c r="AC72" s="96"/>
      <c r="AD72" s="100">
        <f t="shared" si="0"/>
        <v>-9999999</v>
      </c>
      <c r="AE72" s="101">
        <f t="shared" si="1"/>
        <v>9999999</v>
      </c>
      <c r="AF72" s="96">
        <f t="shared" si="2"/>
        <v>0</v>
      </c>
      <c r="AG72" s="101">
        <f t="shared" si="3"/>
        <v>0</v>
      </c>
      <c r="AH72" s="120"/>
      <c r="AI72" s="120"/>
      <c r="AJ72" s="121"/>
      <c r="AK72" s="121"/>
      <c r="AL72" s="121"/>
      <c r="AM72" s="121"/>
    </row>
    <row r="73" spans="1:39" x14ac:dyDescent="0.25">
      <c r="A73" s="103">
        <v>61</v>
      </c>
      <c r="B73" s="102">
        <f>INDEX('Tabl. 1'!$C$8:$AO$313,104+$AB68,MATCH($C$7,$AA$7:$AA$45))</f>
        <v>9999999</v>
      </c>
      <c r="C73" s="102">
        <f>INDEX('Tabl. 1'!$C$8:$AO$313,206+$AB68,MATCH($C$7,$AA$7:$AA$45))</f>
        <v>9999999</v>
      </c>
      <c r="I73" s="99"/>
      <c r="P73" s="91"/>
      <c r="Q73" s="91"/>
      <c r="R73" s="91"/>
      <c r="S73" s="91"/>
      <c r="T73" s="91"/>
      <c r="U73" s="91"/>
      <c r="V73" s="90"/>
      <c r="W73" s="90"/>
      <c r="X73" s="90"/>
      <c r="Y73" s="90"/>
      <c r="Z73" s="90"/>
      <c r="AA73" s="96"/>
      <c r="AB73" s="96">
        <v>66</v>
      </c>
      <c r="AC73" s="96"/>
      <c r="AD73" s="100">
        <f t="shared" ref="AD73:AD108" si="4">(-1*B77)-AF73</f>
        <v>-9999999</v>
      </c>
      <c r="AE73" s="101">
        <f t="shared" ref="AE73:AE108" si="5">C77-AG73</f>
        <v>9999999</v>
      </c>
      <c r="AF73" s="96">
        <f t="shared" ref="AF73:AF109" si="6">IF(B77&gt;C77,-1*(B77-C77),0)</f>
        <v>0</v>
      </c>
      <c r="AG73" s="101">
        <f t="shared" ref="AG73:AG109" si="7">IF(C77&gt;B77,C77-B77,0)</f>
        <v>0</v>
      </c>
      <c r="AH73" s="120"/>
      <c r="AI73" s="120"/>
      <c r="AJ73" s="121"/>
      <c r="AK73" s="121"/>
      <c r="AL73" s="121"/>
      <c r="AM73" s="121"/>
    </row>
    <row r="74" spans="1:39" x14ac:dyDescent="0.25">
      <c r="A74" s="103">
        <v>62</v>
      </c>
      <c r="B74" s="102">
        <f>INDEX('Tabl. 1'!$C$8:$AO$313,104+$AB69,MATCH($C$7,$AA$7:$AA$45))</f>
        <v>9999999</v>
      </c>
      <c r="C74" s="102">
        <f>INDEX('Tabl. 1'!$C$8:$AO$313,206+$AB69,MATCH($C$7,$AA$7:$AA$45))</f>
        <v>9999999</v>
      </c>
      <c r="I74" s="99"/>
      <c r="P74" s="91"/>
      <c r="Q74" s="91"/>
      <c r="R74" s="91"/>
      <c r="S74" s="91"/>
      <c r="T74" s="91"/>
      <c r="U74" s="91"/>
      <c r="V74" s="90"/>
      <c r="W74" s="90"/>
      <c r="X74" s="90"/>
      <c r="Y74" s="90"/>
      <c r="Z74" s="90"/>
      <c r="AA74" s="96"/>
      <c r="AB74" s="96">
        <v>67</v>
      </c>
      <c r="AC74" s="96"/>
      <c r="AD74" s="100">
        <f t="shared" si="4"/>
        <v>-9999999</v>
      </c>
      <c r="AE74" s="101">
        <f t="shared" si="5"/>
        <v>9999999</v>
      </c>
      <c r="AF74" s="96">
        <f t="shared" si="6"/>
        <v>0</v>
      </c>
      <c r="AG74" s="101">
        <f t="shared" si="7"/>
        <v>0</v>
      </c>
      <c r="AH74" s="120"/>
      <c r="AI74" s="120"/>
      <c r="AJ74" s="121"/>
      <c r="AK74" s="121"/>
      <c r="AL74" s="121"/>
      <c r="AM74" s="121"/>
    </row>
    <row r="75" spans="1:39" x14ac:dyDescent="0.25">
      <c r="A75" s="103">
        <v>63</v>
      </c>
      <c r="B75" s="102">
        <f>INDEX('Tabl. 1'!$C$8:$AO$313,104+$AB70,MATCH($C$7,$AA$7:$AA$45))</f>
        <v>9999999</v>
      </c>
      <c r="C75" s="102">
        <f>INDEX('Tabl. 1'!$C$8:$AO$313,206+$AB70,MATCH($C$7,$AA$7:$AA$45))</f>
        <v>9999999</v>
      </c>
      <c r="I75" s="99"/>
      <c r="P75" s="91"/>
      <c r="Q75" s="91"/>
      <c r="R75" s="91"/>
      <c r="S75" s="91"/>
      <c r="T75" s="91"/>
      <c r="U75" s="91"/>
      <c r="V75" s="90"/>
      <c r="W75" s="90"/>
      <c r="X75" s="90"/>
      <c r="Y75" s="90"/>
      <c r="Z75" s="90"/>
      <c r="AA75" s="96"/>
      <c r="AB75" s="96">
        <v>68</v>
      </c>
      <c r="AC75" s="96"/>
      <c r="AD75" s="100">
        <f t="shared" si="4"/>
        <v>-9999999</v>
      </c>
      <c r="AE75" s="101">
        <f t="shared" si="5"/>
        <v>9999999</v>
      </c>
      <c r="AF75" s="96">
        <f t="shared" si="6"/>
        <v>0</v>
      </c>
      <c r="AG75" s="101">
        <f t="shared" si="7"/>
        <v>0</v>
      </c>
      <c r="AH75" s="120"/>
      <c r="AI75" s="120"/>
      <c r="AJ75" s="121"/>
      <c r="AK75" s="121"/>
      <c r="AL75" s="121"/>
      <c r="AM75" s="121"/>
    </row>
    <row r="76" spans="1:39" x14ac:dyDescent="0.25">
      <c r="A76" s="103">
        <v>64</v>
      </c>
      <c r="B76" s="102">
        <f>INDEX('Tabl. 1'!$C$8:$AO$313,104+$AB71,MATCH($C$7,$AA$7:$AA$45))</f>
        <v>9999999</v>
      </c>
      <c r="C76" s="102">
        <f>INDEX('Tabl. 1'!$C$8:$AO$313,206+$AB71,MATCH($C$7,$AA$7:$AA$45))</f>
        <v>9999999</v>
      </c>
      <c r="I76" s="99"/>
      <c r="P76" s="91"/>
      <c r="Q76" s="91"/>
      <c r="R76" s="91"/>
      <c r="S76" s="91"/>
      <c r="T76" s="91"/>
      <c r="U76" s="91"/>
      <c r="V76" s="90"/>
      <c r="W76" s="90"/>
      <c r="X76" s="90"/>
      <c r="Y76" s="90"/>
      <c r="Z76" s="90"/>
      <c r="AA76" s="96"/>
      <c r="AB76" s="96">
        <v>69</v>
      </c>
      <c r="AC76" s="96"/>
      <c r="AD76" s="100">
        <f t="shared" si="4"/>
        <v>-9999999</v>
      </c>
      <c r="AE76" s="101">
        <f t="shared" si="5"/>
        <v>9999999</v>
      </c>
      <c r="AF76" s="96">
        <f t="shared" si="6"/>
        <v>0</v>
      </c>
      <c r="AG76" s="101">
        <f t="shared" si="7"/>
        <v>0</v>
      </c>
      <c r="AH76" s="120"/>
      <c r="AI76" s="120"/>
      <c r="AJ76" s="121"/>
      <c r="AK76" s="121"/>
      <c r="AL76" s="121"/>
      <c r="AM76" s="121"/>
    </row>
    <row r="77" spans="1:39" x14ac:dyDescent="0.25">
      <c r="A77" s="103">
        <v>65</v>
      </c>
      <c r="B77" s="102">
        <f>INDEX('Tabl. 1'!$C$8:$AO$313,104+$AB72,MATCH($C$7,$AA$7:$AA$45))</f>
        <v>9999999</v>
      </c>
      <c r="C77" s="102">
        <f>INDEX('Tabl. 1'!$C$8:$AO$313,206+$AB72,MATCH($C$7,$AA$7:$AA$45))</f>
        <v>9999999</v>
      </c>
      <c r="I77" s="99"/>
      <c r="P77" s="91"/>
      <c r="Q77" s="91"/>
      <c r="R77" s="91"/>
      <c r="S77" s="91"/>
      <c r="T77" s="91"/>
      <c r="U77" s="91"/>
      <c r="V77" s="90"/>
      <c r="W77" s="90"/>
      <c r="X77" s="90"/>
      <c r="Y77" s="90"/>
      <c r="Z77" s="90"/>
      <c r="AA77" s="96"/>
      <c r="AB77" s="96">
        <v>70</v>
      </c>
      <c r="AC77" s="96"/>
      <c r="AD77" s="100">
        <f t="shared" si="4"/>
        <v>-9999999</v>
      </c>
      <c r="AE77" s="101">
        <f t="shared" si="5"/>
        <v>9999999</v>
      </c>
      <c r="AF77" s="96">
        <f t="shared" si="6"/>
        <v>0</v>
      </c>
      <c r="AG77" s="101">
        <f t="shared" si="7"/>
        <v>0</v>
      </c>
      <c r="AH77" s="120"/>
      <c r="AI77" s="120"/>
      <c r="AJ77" s="121"/>
      <c r="AK77" s="121"/>
      <c r="AL77" s="121"/>
      <c r="AM77" s="121"/>
    </row>
    <row r="78" spans="1:39" x14ac:dyDescent="0.25">
      <c r="A78" s="103">
        <v>66</v>
      </c>
      <c r="B78" s="102">
        <f>INDEX('Tabl. 1'!$C$8:$AO$313,104+$AB73,MATCH($C$7,$AA$7:$AA$45))</f>
        <v>9999999</v>
      </c>
      <c r="C78" s="102">
        <f>INDEX('Tabl. 1'!$C$8:$AO$313,206+$AB73,MATCH($C$7,$AA$7:$AA$45))</f>
        <v>9999999</v>
      </c>
      <c r="I78" s="99"/>
      <c r="P78" s="91"/>
      <c r="Q78" s="91"/>
      <c r="R78" s="91"/>
      <c r="S78" s="91"/>
      <c r="T78" s="91"/>
      <c r="U78" s="91"/>
      <c r="V78" s="90"/>
      <c r="W78" s="90"/>
      <c r="X78" s="90"/>
      <c r="Y78" s="90"/>
      <c r="Z78" s="90"/>
      <c r="AA78" s="96"/>
      <c r="AB78" s="96">
        <v>71</v>
      </c>
      <c r="AC78" s="96"/>
      <c r="AD78" s="100">
        <f t="shared" si="4"/>
        <v>-9999999</v>
      </c>
      <c r="AE78" s="101">
        <f t="shared" si="5"/>
        <v>9999999</v>
      </c>
      <c r="AF78" s="96">
        <f t="shared" si="6"/>
        <v>0</v>
      </c>
      <c r="AG78" s="101">
        <f t="shared" si="7"/>
        <v>0</v>
      </c>
      <c r="AH78" s="120"/>
      <c r="AI78" s="120"/>
      <c r="AJ78" s="121"/>
      <c r="AK78" s="121"/>
      <c r="AL78" s="121"/>
      <c r="AM78" s="121"/>
    </row>
    <row r="79" spans="1:39" x14ac:dyDescent="0.25">
      <c r="A79" s="103">
        <v>67</v>
      </c>
      <c r="B79" s="102">
        <f>INDEX('Tabl. 1'!$C$8:$AO$313,104+$AB74,MATCH($C$7,$AA$7:$AA$45))</f>
        <v>9999999</v>
      </c>
      <c r="C79" s="102">
        <f>INDEX('Tabl. 1'!$C$8:$AO$313,206+$AB74,MATCH($C$7,$AA$7:$AA$45))</f>
        <v>9999999</v>
      </c>
      <c r="I79" s="99"/>
      <c r="P79" s="91"/>
      <c r="Q79" s="91"/>
      <c r="R79" s="91"/>
      <c r="S79" s="91"/>
      <c r="T79" s="91"/>
      <c r="U79" s="91"/>
      <c r="V79" s="90"/>
      <c r="W79" s="90"/>
      <c r="X79" s="90"/>
      <c r="Y79" s="90"/>
      <c r="Z79" s="90"/>
      <c r="AA79" s="96"/>
      <c r="AB79" s="96">
        <v>72</v>
      </c>
      <c r="AC79" s="96"/>
      <c r="AD79" s="100">
        <f t="shared" si="4"/>
        <v>-9999999</v>
      </c>
      <c r="AE79" s="101">
        <f t="shared" si="5"/>
        <v>9999999</v>
      </c>
      <c r="AF79" s="96">
        <f t="shared" si="6"/>
        <v>0</v>
      </c>
      <c r="AG79" s="101">
        <f t="shared" si="7"/>
        <v>0</v>
      </c>
      <c r="AH79" s="120"/>
      <c r="AI79" s="120"/>
      <c r="AJ79" s="121"/>
      <c r="AK79" s="121"/>
      <c r="AL79" s="121"/>
      <c r="AM79" s="121"/>
    </row>
    <row r="80" spans="1:39" x14ac:dyDescent="0.25">
      <c r="A80" s="103">
        <v>68</v>
      </c>
      <c r="B80" s="102">
        <f>INDEX('Tabl. 1'!$C$8:$AO$313,104+$AB75,MATCH($C$7,$AA$7:$AA$45))</f>
        <v>9999999</v>
      </c>
      <c r="C80" s="102">
        <f>INDEX('Tabl. 1'!$C$8:$AO$313,206+$AB75,MATCH($C$7,$AA$7:$AA$45))</f>
        <v>9999999</v>
      </c>
      <c r="I80" s="99"/>
      <c r="P80" s="91"/>
      <c r="Q80" s="91"/>
      <c r="R80" s="91"/>
      <c r="S80" s="91"/>
      <c r="T80" s="91"/>
      <c r="U80" s="91"/>
      <c r="V80" s="90"/>
      <c r="W80" s="90"/>
      <c r="X80" s="90"/>
      <c r="Y80" s="90"/>
      <c r="Z80" s="90"/>
      <c r="AA80" s="96"/>
      <c r="AB80" s="96">
        <v>73</v>
      </c>
      <c r="AC80" s="96"/>
      <c r="AD80" s="100">
        <f t="shared" si="4"/>
        <v>-9999999</v>
      </c>
      <c r="AE80" s="101">
        <f t="shared" si="5"/>
        <v>9999999</v>
      </c>
      <c r="AF80" s="96">
        <f t="shared" si="6"/>
        <v>0</v>
      </c>
      <c r="AG80" s="101">
        <f t="shared" si="7"/>
        <v>0</v>
      </c>
      <c r="AH80" s="120"/>
      <c r="AI80" s="120"/>
      <c r="AJ80" s="121"/>
      <c r="AK80" s="121"/>
      <c r="AL80" s="121"/>
      <c r="AM80" s="121"/>
    </row>
    <row r="81" spans="1:39" x14ac:dyDescent="0.25">
      <c r="A81" s="103">
        <v>69</v>
      </c>
      <c r="B81" s="102">
        <f>INDEX('Tabl. 1'!$C$8:$AO$313,104+$AB76,MATCH($C$7,$AA$7:$AA$45))</f>
        <v>9999999</v>
      </c>
      <c r="C81" s="102">
        <f>INDEX('Tabl. 1'!$C$8:$AO$313,206+$AB76,MATCH($C$7,$AA$7:$AA$45))</f>
        <v>9999999</v>
      </c>
      <c r="I81" s="99"/>
      <c r="P81" s="91"/>
      <c r="Q81" s="91"/>
      <c r="R81" s="91"/>
      <c r="S81" s="91"/>
      <c r="T81" s="91"/>
      <c r="U81" s="91"/>
      <c r="V81" s="90"/>
      <c r="W81" s="90"/>
      <c r="X81" s="90"/>
      <c r="Y81" s="90"/>
      <c r="Z81" s="90"/>
      <c r="AA81" s="96"/>
      <c r="AB81" s="96">
        <v>74</v>
      </c>
      <c r="AC81" s="96"/>
      <c r="AD81" s="100">
        <f t="shared" si="4"/>
        <v>-9999999</v>
      </c>
      <c r="AE81" s="101">
        <f t="shared" si="5"/>
        <v>9999999</v>
      </c>
      <c r="AF81" s="96">
        <f t="shared" si="6"/>
        <v>0</v>
      </c>
      <c r="AG81" s="101">
        <f t="shared" si="7"/>
        <v>0</v>
      </c>
      <c r="AH81" s="120"/>
      <c r="AI81" s="120"/>
      <c r="AJ81" s="121"/>
      <c r="AK81" s="121"/>
      <c r="AL81" s="121"/>
      <c r="AM81" s="121"/>
    </row>
    <row r="82" spans="1:39" x14ac:dyDescent="0.25">
      <c r="A82" s="103">
        <v>70</v>
      </c>
      <c r="B82" s="102">
        <f>INDEX('Tabl. 1'!$C$8:$AO$313,104+$AB77,MATCH($C$7,$AA$7:$AA$45))</f>
        <v>9999999</v>
      </c>
      <c r="C82" s="102">
        <f>INDEX('Tabl. 1'!$C$8:$AO$313,206+$AB77,MATCH($C$7,$AA$7:$AA$45))</f>
        <v>9999999</v>
      </c>
      <c r="I82" s="99"/>
      <c r="P82" s="91"/>
      <c r="Q82" s="91"/>
      <c r="R82" s="91"/>
      <c r="S82" s="91"/>
      <c r="T82" s="91"/>
      <c r="U82" s="91"/>
      <c r="V82" s="90"/>
      <c r="W82" s="90"/>
      <c r="X82" s="90"/>
      <c r="Y82" s="90"/>
      <c r="Z82" s="90"/>
      <c r="AA82" s="96"/>
      <c r="AB82" s="96">
        <v>75</v>
      </c>
      <c r="AC82" s="96"/>
      <c r="AD82" s="100">
        <f t="shared" si="4"/>
        <v>-9999999</v>
      </c>
      <c r="AE82" s="101">
        <f t="shared" si="5"/>
        <v>9999999</v>
      </c>
      <c r="AF82" s="96">
        <f t="shared" si="6"/>
        <v>0</v>
      </c>
      <c r="AG82" s="101">
        <f t="shared" si="7"/>
        <v>0</v>
      </c>
      <c r="AH82" s="120"/>
      <c r="AI82" s="120"/>
      <c r="AJ82" s="121"/>
      <c r="AK82" s="121"/>
      <c r="AL82" s="121"/>
      <c r="AM82" s="121"/>
    </row>
    <row r="83" spans="1:39" x14ac:dyDescent="0.25">
      <c r="A83" s="103">
        <v>71</v>
      </c>
      <c r="B83" s="102">
        <f>INDEX('Tabl. 1'!$C$8:$AO$313,104+$AB78,MATCH($C$7,$AA$7:$AA$45))</f>
        <v>9999999</v>
      </c>
      <c r="C83" s="102">
        <f>INDEX('Tabl. 1'!$C$8:$AO$313,206+$AB78,MATCH($C$7,$AA$7:$AA$45))</f>
        <v>9999999</v>
      </c>
      <c r="I83" s="99"/>
      <c r="P83" s="91"/>
      <c r="Q83" s="91"/>
      <c r="R83" s="91"/>
      <c r="S83" s="91"/>
      <c r="T83" s="91"/>
      <c r="U83" s="91"/>
      <c r="V83" s="90"/>
      <c r="W83" s="90"/>
      <c r="X83" s="90"/>
      <c r="Y83" s="90"/>
      <c r="Z83" s="90"/>
      <c r="AA83" s="96"/>
      <c r="AB83" s="96">
        <v>76</v>
      </c>
      <c r="AC83" s="96"/>
      <c r="AD83" s="100">
        <f t="shared" si="4"/>
        <v>-9999999</v>
      </c>
      <c r="AE83" s="101">
        <f t="shared" si="5"/>
        <v>9999999</v>
      </c>
      <c r="AF83" s="96">
        <f t="shared" si="6"/>
        <v>0</v>
      </c>
      <c r="AG83" s="101">
        <f t="shared" si="7"/>
        <v>0</v>
      </c>
      <c r="AH83" s="120"/>
      <c r="AI83" s="120"/>
      <c r="AJ83" s="121"/>
      <c r="AK83" s="121"/>
      <c r="AL83" s="121"/>
      <c r="AM83" s="121"/>
    </row>
    <row r="84" spans="1:39" x14ac:dyDescent="0.25">
      <c r="A84" s="103">
        <v>72</v>
      </c>
      <c r="B84" s="102">
        <f>INDEX('Tabl. 1'!$C$8:$AO$313,104+$AB79,MATCH($C$7,$AA$7:$AA$45))</f>
        <v>9999999</v>
      </c>
      <c r="C84" s="102">
        <f>INDEX('Tabl. 1'!$C$8:$AO$313,206+$AB79,MATCH($C$7,$AA$7:$AA$45))</f>
        <v>9999999</v>
      </c>
      <c r="I84" s="99"/>
      <c r="P84" s="91"/>
      <c r="Q84" s="91"/>
      <c r="R84" s="91"/>
      <c r="S84" s="91"/>
      <c r="T84" s="91"/>
      <c r="U84" s="91"/>
      <c r="V84" s="90"/>
      <c r="W84" s="90"/>
      <c r="X84" s="90"/>
      <c r="Y84" s="90"/>
      <c r="Z84" s="90"/>
      <c r="AA84" s="96"/>
      <c r="AB84" s="96">
        <v>77</v>
      </c>
      <c r="AC84" s="96"/>
      <c r="AD84" s="100">
        <f t="shared" si="4"/>
        <v>-9999999</v>
      </c>
      <c r="AE84" s="101">
        <f t="shared" si="5"/>
        <v>9999999</v>
      </c>
      <c r="AF84" s="96">
        <f t="shared" si="6"/>
        <v>0</v>
      </c>
      <c r="AG84" s="101">
        <f t="shared" si="7"/>
        <v>0</v>
      </c>
      <c r="AH84" s="120"/>
      <c r="AI84" s="120"/>
      <c r="AJ84" s="121"/>
      <c r="AK84" s="121"/>
      <c r="AL84" s="121"/>
      <c r="AM84" s="121"/>
    </row>
    <row r="85" spans="1:39" x14ac:dyDescent="0.25">
      <c r="A85" s="103">
        <v>73</v>
      </c>
      <c r="B85" s="102">
        <f>INDEX('Tabl. 1'!$C$8:$AO$313,104+$AB80,MATCH($C$7,$AA$7:$AA$45))</f>
        <v>9999999</v>
      </c>
      <c r="C85" s="102">
        <f>INDEX('Tabl. 1'!$C$8:$AO$313,206+$AB80,MATCH($C$7,$AA$7:$AA$45))</f>
        <v>9999999</v>
      </c>
      <c r="I85" s="99"/>
      <c r="P85" s="91"/>
      <c r="Q85" s="91"/>
      <c r="R85" s="91"/>
      <c r="S85" s="91"/>
      <c r="T85" s="91"/>
      <c r="U85" s="91"/>
      <c r="V85" s="90"/>
      <c r="W85" s="90"/>
      <c r="X85" s="90"/>
      <c r="Y85" s="90"/>
      <c r="Z85" s="90"/>
      <c r="AA85" s="96"/>
      <c r="AB85" s="96">
        <v>78</v>
      </c>
      <c r="AC85" s="96"/>
      <c r="AD85" s="100">
        <f t="shared" si="4"/>
        <v>-9999999</v>
      </c>
      <c r="AE85" s="101">
        <f t="shared" si="5"/>
        <v>9999999</v>
      </c>
      <c r="AF85" s="96">
        <f t="shared" si="6"/>
        <v>0</v>
      </c>
      <c r="AG85" s="101">
        <f t="shared" si="7"/>
        <v>0</v>
      </c>
      <c r="AH85" s="120"/>
      <c r="AI85" s="120"/>
      <c r="AJ85" s="121"/>
      <c r="AK85" s="121"/>
      <c r="AL85" s="121"/>
      <c r="AM85" s="121"/>
    </row>
    <row r="86" spans="1:39" x14ac:dyDescent="0.25">
      <c r="A86" s="103">
        <v>74</v>
      </c>
      <c r="B86" s="102">
        <f>INDEX('Tabl. 1'!$C$8:$AO$313,104+$AB81,MATCH($C$7,$AA$7:$AA$45))</f>
        <v>9999999</v>
      </c>
      <c r="C86" s="102">
        <f>INDEX('Tabl. 1'!$C$8:$AO$313,206+$AB81,MATCH($C$7,$AA$7:$AA$45))</f>
        <v>9999999</v>
      </c>
      <c r="I86" s="99"/>
      <c r="P86" s="91"/>
      <c r="Q86" s="91"/>
      <c r="R86" s="91"/>
      <c r="S86" s="91"/>
      <c r="T86" s="91"/>
      <c r="U86" s="91"/>
      <c r="V86" s="90"/>
      <c r="W86" s="90"/>
      <c r="X86" s="90"/>
      <c r="Y86" s="90"/>
      <c r="Z86" s="90"/>
      <c r="AA86" s="96"/>
      <c r="AB86" s="96">
        <v>79</v>
      </c>
      <c r="AC86" s="96"/>
      <c r="AD86" s="100">
        <f t="shared" si="4"/>
        <v>-9999999</v>
      </c>
      <c r="AE86" s="101">
        <f t="shared" si="5"/>
        <v>9999999</v>
      </c>
      <c r="AF86" s="96">
        <f t="shared" si="6"/>
        <v>0</v>
      </c>
      <c r="AG86" s="101">
        <f t="shared" si="7"/>
        <v>0</v>
      </c>
      <c r="AH86" s="120"/>
      <c r="AI86" s="120"/>
      <c r="AJ86" s="121"/>
      <c r="AK86" s="121"/>
      <c r="AL86" s="121"/>
      <c r="AM86" s="121"/>
    </row>
    <row r="87" spans="1:39" x14ac:dyDescent="0.25">
      <c r="A87" s="103">
        <v>75</v>
      </c>
      <c r="B87" s="102">
        <f>INDEX('Tabl. 1'!$C$8:$AO$313,104+$AB82,MATCH($C$7,$AA$7:$AA$45))</f>
        <v>9999999</v>
      </c>
      <c r="C87" s="102">
        <f>INDEX('Tabl. 1'!$C$8:$AO$313,206+$AB82,MATCH($C$7,$AA$7:$AA$45))</f>
        <v>9999999</v>
      </c>
      <c r="I87" s="99"/>
      <c r="P87" s="91"/>
      <c r="Q87" s="91"/>
      <c r="R87" s="91"/>
      <c r="S87" s="91"/>
      <c r="T87" s="91"/>
      <c r="U87" s="91"/>
      <c r="V87" s="90"/>
      <c r="W87" s="90"/>
      <c r="X87" s="90"/>
      <c r="Y87" s="90"/>
      <c r="Z87" s="90"/>
      <c r="AA87" s="96"/>
      <c r="AB87" s="96">
        <v>80</v>
      </c>
      <c r="AC87" s="96"/>
      <c r="AD87" s="100">
        <f t="shared" si="4"/>
        <v>-9999999</v>
      </c>
      <c r="AE87" s="101">
        <f t="shared" si="5"/>
        <v>9999999</v>
      </c>
      <c r="AF87" s="96">
        <f t="shared" si="6"/>
        <v>0</v>
      </c>
      <c r="AG87" s="101">
        <f t="shared" si="7"/>
        <v>0</v>
      </c>
      <c r="AH87" s="120"/>
      <c r="AI87" s="120"/>
      <c r="AJ87" s="121"/>
      <c r="AK87" s="121"/>
      <c r="AL87" s="121"/>
      <c r="AM87" s="121"/>
    </row>
    <row r="88" spans="1:39" x14ac:dyDescent="0.25">
      <c r="A88" s="103">
        <v>76</v>
      </c>
      <c r="B88" s="102">
        <f>INDEX('Tabl. 1'!$C$8:$AO$313,104+$AB83,MATCH($C$7,$AA$7:$AA$45))</f>
        <v>9999999</v>
      </c>
      <c r="C88" s="102">
        <f>INDEX('Tabl. 1'!$C$8:$AO$313,206+$AB83,MATCH($C$7,$AA$7:$AA$45))</f>
        <v>9999999</v>
      </c>
      <c r="I88" s="99"/>
      <c r="P88" s="91"/>
      <c r="Q88" s="91"/>
      <c r="R88" s="91"/>
      <c r="S88" s="91"/>
      <c r="T88" s="91"/>
      <c r="U88" s="91"/>
      <c r="V88" s="90"/>
      <c r="W88" s="90"/>
      <c r="X88" s="90"/>
      <c r="Y88" s="90"/>
      <c r="Z88" s="90"/>
      <c r="AA88" s="96"/>
      <c r="AB88" s="96">
        <v>81</v>
      </c>
      <c r="AC88" s="96"/>
      <c r="AD88" s="100">
        <f t="shared" si="4"/>
        <v>-9999999</v>
      </c>
      <c r="AE88" s="101">
        <f t="shared" si="5"/>
        <v>9999999</v>
      </c>
      <c r="AF88" s="96">
        <f t="shared" si="6"/>
        <v>0</v>
      </c>
      <c r="AG88" s="101">
        <f t="shared" si="7"/>
        <v>0</v>
      </c>
      <c r="AH88" s="120"/>
      <c r="AI88" s="120"/>
      <c r="AJ88" s="121"/>
      <c r="AK88" s="121"/>
      <c r="AL88" s="121"/>
      <c r="AM88" s="121"/>
    </row>
    <row r="89" spans="1:39" x14ac:dyDescent="0.25">
      <c r="A89" s="103">
        <v>77</v>
      </c>
      <c r="B89" s="102">
        <f>INDEX('Tabl. 1'!$C$8:$AO$313,104+$AB84,MATCH($C$7,$AA$7:$AA$45))</f>
        <v>9999999</v>
      </c>
      <c r="C89" s="102">
        <f>INDEX('Tabl. 1'!$C$8:$AO$313,206+$AB84,MATCH($C$7,$AA$7:$AA$45))</f>
        <v>9999999</v>
      </c>
      <c r="I89" s="99"/>
      <c r="P89" s="91"/>
      <c r="Q89" s="91"/>
      <c r="R89" s="91"/>
      <c r="S89" s="91"/>
      <c r="T89" s="91"/>
      <c r="U89" s="91"/>
      <c r="V89" s="90"/>
      <c r="W89" s="90"/>
      <c r="X89" s="90"/>
      <c r="Y89" s="90"/>
      <c r="Z89" s="90"/>
      <c r="AA89" s="96"/>
      <c r="AB89" s="96">
        <v>82</v>
      </c>
      <c r="AC89" s="96"/>
      <c r="AD89" s="100">
        <f t="shared" si="4"/>
        <v>-9999999</v>
      </c>
      <c r="AE89" s="101">
        <f t="shared" si="5"/>
        <v>9999999</v>
      </c>
      <c r="AF89" s="96">
        <f t="shared" si="6"/>
        <v>0</v>
      </c>
      <c r="AG89" s="101">
        <f t="shared" si="7"/>
        <v>0</v>
      </c>
      <c r="AH89" s="120"/>
      <c r="AI89" s="120"/>
      <c r="AJ89" s="121"/>
      <c r="AK89" s="121"/>
      <c r="AL89" s="121"/>
      <c r="AM89" s="121"/>
    </row>
    <row r="90" spans="1:39" x14ac:dyDescent="0.25">
      <c r="A90" s="103">
        <v>78</v>
      </c>
      <c r="B90" s="102">
        <f>INDEX('Tabl. 1'!$C$8:$AO$313,104+$AB85,MATCH($C$7,$AA$7:$AA$45))</f>
        <v>9999999</v>
      </c>
      <c r="C90" s="102">
        <f>INDEX('Tabl. 1'!$C$8:$AO$313,206+$AB85,MATCH($C$7,$AA$7:$AA$45))</f>
        <v>9999999</v>
      </c>
      <c r="I90" s="99"/>
      <c r="P90" s="91"/>
      <c r="Q90" s="91"/>
      <c r="R90" s="91"/>
      <c r="S90" s="91"/>
      <c r="T90" s="91"/>
      <c r="U90" s="91"/>
      <c r="V90" s="90"/>
      <c r="W90" s="90"/>
      <c r="X90" s="90"/>
      <c r="Y90" s="90"/>
      <c r="Z90" s="90"/>
      <c r="AA90" s="96"/>
      <c r="AB90" s="96">
        <v>83</v>
      </c>
      <c r="AC90" s="96"/>
      <c r="AD90" s="100">
        <f t="shared" si="4"/>
        <v>-9999999</v>
      </c>
      <c r="AE90" s="101">
        <f t="shared" si="5"/>
        <v>9999999</v>
      </c>
      <c r="AF90" s="96">
        <f t="shared" si="6"/>
        <v>0</v>
      </c>
      <c r="AG90" s="101">
        <f t="shared" si="7"/>
        <v>0</v>
      </c>
      <c r="AH90" s="120"/>
      <c r="AI90" s="120"/>
      <c r="AJ90" s="121"/>
      <c r="AK90" s="121"/>
      <c r="AL90" s="121"/>
      <c r="AM90" s="121"/>
    </row>
    <row r="91" spans="1:39" x14ac:dyDescent="0.25">
      <c r="A91" s="103">
        <v>79</v>
      </c>
      <c r="B91" s="102">
        <f>INDEX('Tabl. 1'!$C$8:$AO$313,104+$AB86,MATCH($C$7,$AA$7:$AA$45))</f>
        <v>9999999</v>
      </c>
      <c r="C91" s="102">
        <f>INDEX('Tabl. 1'!$C$8:$AO$313,206+$AB86,MATCH($C$7,$AA$7:$AA$45))</f>
        <v>9999999</v>
      </c>
      <c r="I91" s="99"/>
      <c r="P91" s="91"/>
      <c r="Q91" s="91"/>
      <c r="R91" s="91"/>
      <c r="S91" s="91"/>
      <c r="T91" s="91"/>
      <c r="U91" s="91"/>
      <c r="V91" s="90"/>
      <c r="W91" s="90"/>
      <c r="X91" s="90"/>
      <c r="Y91" s="90"/>
      <c r="Z91" s="90"/>
      <c r="AA91" s="96"/>
      <c r="AB91" s="96">
        <v>84</v>
      </c>
      <c r="AC91" s="96"/>
      <c r="AD91" s="100">
        <f t="shared" si="4"/>
        <v>-9999999</v>
      </c>
      <c r="AE91" s="101">
        <f t="shared" si="5"/>
        <v>9999999</v>
      </c>
      <c r="AF91" s="96">
        <f t="shared" si="6"/>
        <v>0</v>
      </c>
      <c r="AG91" s="101">
        <f t="shared" si="7"/>
        <v>0</v>
      </c>
      <c r="AH91" s="120"/>
      <c r="AI91" s="120"/>
      <c r="AJ91" s="121"/>
      <c r="AK91" s="121"/>
      <c r="AL91" s="121"/>
      <c r="AM91" s="121"/>
    </row>
    <row r="92" spans="1:39" x14ac:dyDescent="0.25">
      <c r="A92" s="103">
        <v>80</v>
      </c>
      <c r="B92" s="102">
        <f>INDEX('Tabl. 1'!$C$8:$AO$313,104+$AB87,MATCH($C$7,$AA$7:$AA$45))</f>
        <v>9999999</v>
      </c>
      <c r="C92" s="102">
        <f>INDEX('Tabl. 1'!$C$8:$AO$313,206+$AB87,MATCH($C$7,$AA$7:$AA$45))</f>
        <v>9999999</v>
      </c>
      <c r="I92" s="99"/>
      <c r="P92" s="91"/>
      <c r="Q92" s="91"/>
      <c r="R92" s="91"/>
      <c r="S92" s="91"/>
      <c r="T92" s="91"/>
      <c r="U92" s="91"/>
      <c r="V92" s="90"/>
      <c r="W92" s="90"/>
      <c r="X92" s="90"/>
      <c r="Y92" s="90"/>
      <c r="Z92" s="90"/>
      <c r="AA92" s="96"/>
      <c r="AB92" s="96">
        <v>85</v>
      </c>
      <c r="AC92" s="96"/>
      <c r="AD92" s="100">
        <f t="shared" si="4"/>
        <v>-9999999</v>
      </c>
      <c r="AE92" s="101">
        <f t="shared" si="5"/>
        <v>9999999</v>
      </c>
      <c r="AF92" s="96">
        <f t="shared" si="6"/>
        <v>0</v>
      </c>
      <c r="AG92" s="101">
        <f t="shared" si="7"/>
        <v>0</v>
      </c>
      <c r="AH92" s="120"/>
      <c r="AI92" s="120"/>
      <c r="AJ92" s="121"/>
      <c r="AK92" s="121"/>
      <c r="AL92" s="121"/>
      <c r="AM92" s="121"/>
    </row>
    <row r="93" spans="1:39" x14ac:dyDescent="0.25">
      <c r="A93" s="103">
        <v>81</v>
      </c>
      <c r="B93" s="102">
        <f>INDEX('Tabl. 1'!$C$8:$AO$313,104+$AB88,MATCH($C$7,$AA$7:$AA$45))</f>
        <v>9999999</v>
      </c>
      <c r="C93" s="102">
        <f>INDEX('Tabl. 1'!$C$8:$AO$313,206+$AB88,MATCH($C$7,$AA$7:$AA$45))</f>
        <v>9999999</v>
      </c>
      <c r="I93" s="99"/>
      <c r="P93" s="91"/>
      <c r="Q93" s="91"/>
      <c r="R93" s="91"/>
      <c r="S93" s="91"/>
      <c r="T93" s="91"/>
      <c r="U93" s="91"/>
      <c r="V93" s="90"/>
      <c r="W93" s="90"/>
      <c r="X93" s="90"/>
      <c r="Y93" s="90"/>
      <c r="Z93" s="90"/>
      <c r="AA93" s="96"/>
      <c r="AB93" s="96">
        <v>86</v>
      </c>
      <c r="AC93" s="96"/>
      <c r="AD93" s="100">
        <f t="shared" si="4"/>
        <v>-9999999</v>
      </c>
      <c r="AE93" s="101">
        <f t="shared" si="5"/>
        <v>9999999</v>
      </c>
      <c r="AF93" s="96">
        <f t="shared" si="6"/>
        <v>0</v>
      </c>
      <c r="AG93" s="101">
        <f t="shared" si="7"/>
        <v>0</v>
      </c>
      <c r="AH93" s="120"/>
      <c r="AI93" s="120"/>
      <c r="AJ93" s="121"/>
      <c r="AK93" s="121"/>
      <c r="AL93" s="121"/>
      <c r="AM93" s="121"/>
    </row>
    <row r="94" spans="1:39" x14ac:dyDescent="0.25">
      <c r="A94" s="103">
        <v>82</v>
      </c>
      <c r="B94" s="102">
        <f>INDEX('Tabl. 1'!$C$8:$AO$313,104+$AB89,MATCH($C$7,$AA$7:$AA$45))</f>
        <v>9999999</v>
      </c>
      <c r="C94" s="102">
        <f>INDEX('Tabl. 1'!$C$8:$AO$313,206+$AB89,MATCH($C$7,$AA$7:$AA$45))</f>
        <v>9999999</v>
      </c>
      <c r="I94" s="99"/>
      <c r="P94" s="91"/>
      <c r="Q94" s="91"/>
      <c r="R94" s="91"/>
      <c r="S94" s="91"/>
      <c r="T94" s="91"/>
      <c r="U94" s="91"/>
      <c r="V94" s="90"/>
      <c r="W94" s="90"/>
      <c r="X94" s="90"/>
      <c r="Y94" s="90"/>
      <c r="Z94" s="90"/>
      <c r="AA94" s="96"/>
      <c r="AB94" s="96">
        <v>87</v>
      </c>
      <c r="AC94" s="96"/>
      <c r="AD94" s="100">
        <f t="shared" si="4"/>
        <v>-9999999</v>
      </c>
      <c r="AE94" s="101">
        <f t="shared" si="5"/>
        <v>9999999</v>
      </c>
      <c r="AF94" s="96">
        <f t="shared" si="6"/>
        <v>0</v>
      </c>
      <c r="AG94" s="101">
        <f t="shared" si="7"/>
        <v>0</v>
      </c>
      <c r="AH94" s="120"/>
      <c r="AI94" s="120"/>
      <c r="AJ94" s="121"/>
      <c r="AK94" s="121"/>
      <c r="AL94" s="121"/>
      <c r="AM94" s="121"/>
    </row>
    <row r="95" spans="1:39" x14ac:dyDescent="0.25">
      <c r="A95" s="103">
        <v>83</v>
      </c>
      <c r="B95" s="102">
        <f>INDEX('Tabl. 1'!$C$8:$AO$313,104+$AB90,MATCH($C$7,$AA$7:$AA$45))</f>
        <v>9999999</v>
      </c>
      <c r="C95" s="102">
        <f>INDEX('Tabl. 1'!$C$8:$AO$313,206+$AB90,MATCH($C$7,$AA$7:$AA$45))</f>
        <v>9999999</v>
      </c>
      <c r="I95" s="99"/>
      <c r="P95" s="91"/>
      <c r="Q95" s="91"/>
      <c r="R95" s="91"/>
      <c r="S95" s="91"/>
      <c r="T95" s="91"/>
      <c r="U95" s="91"/>
      <c r="V95" s="90"/>
      <c r="W95" s="90"/>
      <c r="X95" s="90"/>
      <c r="Y95" s="90"/>
      <c r="Z95" s="90"/>
      <c r="AA95" s="96"/>
      <c r="AB95" s="96">
        <v>88</v>
      </c>
      <c r="AC95" s="96"/>
      <c r="AD95" s="100">
        <f t="shared" si="4"/>
        <v>-9999999</v>
      </c>
      <c r="AE95" s="101">
        <f t="shared" si="5"/>
        <v>9999999</v>
      </c>
      <c r="AF95" s="96">
        <f t="shared" si="6"/>
        <v>0</v>
      </c>
      <c r="AG95" s="101">
        <f t="shared" si="7"/>
        <v>0</v>
      </c>
      <c r="AH95" s="120"/>
      <c r="AI95" s="120"/>
      <c r="AJ95" s="121"/>
      <c r="AK95" s="121"/>
      <c r="AL95" s="121"/>
      <c r="AM95" s="121"/>
    </row>
    <row r="96" spans="1:39" x14ac:dyDescent="0.25">
      <c r="A96" s="103">
        <v>84</v>
      </c>
      <c r="B96" s="102">
        <f>INDEX('Tabl. 1'!$C$8:$AO$313,104+$AB91,MATCH($C$7,$AA$7:$AA$45))</f>
        <v>9999999</v>
      </c>
      <c r="C96" s="102">
        <f>INDEX('Tabl. 1'!$C$8:$AO$313,206+$AB91,MATCH($C$7,$AA$7:$AA$45))</f>
        <v>9999999</v>
      </c>
      <c r="I96" s="99"/>
      <c r="P96" s="91"/>
      <c r="Q96" s="91"/>
      <c r="R96" s="91"/>
      <c r="S96" s="91"/>
      <c r="T96" s="91"/>
      <c r="U96" s="91"/>
      <c r="V96" s="90"/>
      <c r="W96" s="90"/>
      <c r="X96" s="90"/>
      <c r="Y96" s="90"/>
      <c r="Z96" s="90"/>
      <c r="AA96" s="96"/>
      <c r="AB96" s="96">
        <v>89</v>
      </c>
      <c r="AC96" s="96"/>
      <c r="AD96" s="100">
        <f t="shared" si="4"/>
        <v>-9999999</v>
      </c>
      <c r="AE96" s="101">
        <f t="shared" si="5"/>
        <v>9999999</v>
      </c>
      <c r="AF96" s="96">
        <f t="shared" si="6"/>
        <v>0</v>
      </c>
      <c r="AG96" s="101">
        <f t="shared" si="7"/>
        <v>0</v>
      </c>
      <c r="AH96" s="120"/>
      <c r="AI96" s="120"/>
      <c r="AJ96" s="121"/>
      <c r="AK96" s="121"/>
      <c r="AL96" s="121"/>
      <c r="AM96" s="121"/>
    </row>
    <row r="97" spans="1:39" x14ac:dyDescent="0.25">
      <c r="A97" s="103">
        <v>85</v>
      </c>
      <c r="B97" s="102">
        <f>INDEX('Tabl. 1'!$C$8:$AO$313,104+$AB92,MATCH($C$7,$AA$7:$AA$45))</f>
        <v>9999999</v>
      </c>
      <c r="C97" s="102">
        <f>INDEX('Tabl. 1'!$C$8:$AO$313,206+$AB92,MATCH($C$7,$AA$7:$AA$45))</f>
        <v>9999999</v>
      </c>
      <c r="I97" s="99"/>
      <c r="P97" s="91"/>
      <c r="Q97" s="91"/>
      <c r="R97" s="91"/>
      <c r="S97" s="91"/>
      <c r="T97" s="91"/>
      <c r="U97" s="91"/>
      <c r="V97" s="90"/>
      <c r="W97" s="90"/>
      <c r="X97" s="90"/>
      <c r="Y97" s="90"/>
      <c r="Z97" s="90"/>
      <c r="AA97" s="96"/>
      <c r="AB97" s="96">
        <v>90</v>
      </c>
      <c r="AC97" s="96"/>
      <c r="AD97" s="100">
        <f t="shared" si="4"/>
        <v>-9999999</v>
      </c>
      <c r="AE97" s="101">
        <f t="shared" si="5"/>
        <v>9999999</v>
      </c>
      <c r="AF97" s="96">
        <f t="shared" si="6"/>
        <v>0</v>
      </c>
      <c r="AG97" s="101">
        <f t="shared" si="7"/>
        <v>0</v>
      </c>
      <c r="AH97" s="120"/>
      <c r="AI97" s="120"/>
      <c r="AJ97" s="121"/>
      <c r="AK97" s="121"/>
      <c r="AL97" s="121"/>
      <c r="AM97" s="121"/>
    </row>
    <row r="98" spans="1:39" x14ac:dyDescent="0.25">
      <c r="A98" s="103">
        <v>86</v>
      </c>
      <c r="B98" s="102">
        <f>INDEX('Tabl. 1'!$C$8:$AO$313,104+$AB93,MATCH($C$7,$AA$7:$AA$45))</f>
        <v>9999999</v>
      </c>
      <c r="C98" s="102">
        <f>INDEX('Tabl. 1'!$C$8:$AO$313,206+$AB93,MATCH($C$7,$AA$7:$AA$45))</f>
        <v>9999999</v>
      </c>
      <c r="I98" s="99"/>
      <c r="P98" s="91"/>
      <c r="Q98" s="91"/>
      <c r="R98" s="91"/>
      <c r="S98" s="91"/>
      <c r="T98" s="91"/>
      <c r="U98" s="91"/>
      <c r="V98" s="90"/>
      <c r="W98" s="90"/>
      <c r="X98" s="90"/>
      <c r="Y98" s="90"/>
      <c r="Z98" s="90"/>
      <c r="AA98" s="96"/>
      <c r="AB98" s="96">
        <v>91</v>
      </c>
      <c r="AC98" s="96"/>
      <c r="AD98" s="100">
        <f t="shared" si="4"/>
        <v>-9999999</v>
      </c>
      <c r="AE98" s="101">
        <f t="shared" si="5"/>
        <v>9999999</v>
      </c>
      <c r="AF98" s="96">
        <f t="shared" si="6"/>
        <v>0</v>
      </c>
      <c r="AG98" s="101">
        <f t="shared" si="7"/>
        <v>0</v>
      </c>
      <c r="AH98" s="120"/>
      <c r="AI98" s="120"/>
      <c r="AJ98" s="121"/>
      <c r="AK98" s="121"/>
      <c r="AL98" s="121"/>
      <c r="AM98" s="121"/>
    </row>
    <row r="99" spans="1:39" x14ac:dyDescent="0.25">
      <c r="A99" s="103">
        <v>87</v>
      </c>
      <c r="B99" s="102">
        <f>INDEX('Tabl. 1'!$C$8:$AO$313,104+$AB94,MATCH($C$7,$AA$7:$AA$45))</f>
        <v>9999999</v>
      </c>
      <c r="C99" s="102">
        <f>INDEX('Tabl. 1'!$C$8:$AO$313,206+$AB94,MATCH($C$7,$AA$7:$AA$45))</f>
        <v>9999999</v>
      </c>
      <c r="I99" s="99"/>
      <c r="P99" s="91"/>
      <c r="Q99" s="91"/>
      <c r="R99" s="91"/>
      <c r="S99" s="91"/>
      <c r="T99" s="91"/>
      <c r="U99" s="91"/>
      <c r="V99" s="90"/>
      <c r="W99" s="90"/>
      <c r="X99" s="90"/>
      <c r="Y99" s="90"/>
      <c r="Z99" s="90"/>
      <c r="AA99" s="96"/>
      <c r="AB99" s="96">
        <v>92</v>
      </c>
      <c r="AC99" s="96"/>
      <c r="AD99" s="100">
        <f t="shared" si="4"/>
        <v>-9999999</v>
      </c>
      <c r="AE99" s="101">
        <f t="shared" si="5"/>
        <v>9999999</v>
      </c>
      <c r="AF99" s="96">
        <f t="shared" si="6"/>
        <v>0</v>
      </c>
      <c r="AG99" s="101">
        <f t="shared" si="7"/>
        <v>0</v>
      </c>
      <c r="AH99" s="120"/>
      <c r="AI99" s="120"/>
      <c r="AJ99" s="121"/>
      <c r="AK99" s="121"/>
      <c r="AL99" s="121"/>
      <c r="AM99" s="121"/>
    </row>
    <row r="100" spans="1:39" x14ac:dyDescent="0.25">
      <c r="A100" s="103">
        <v>88</v>
      </c>
      <c r="B100" s="102">
        <f>INDEX('Tabl. 1'!$C$8:$AO$313,104+$AB95,MATCH($C$7,$AA$7:$AA$45))</f>
        <v>9999999</v>
      </c>
      <c r="C100" s="102">
        <f>INDEX('Tabl. 1'!$C$8:$AO$313,206+$AB95,MATCH($C$7,$AA$7:$AA$45))</f>
        <v>9999999</v>
      </c>
      <c r="I100" s="99"/>
      <c r="P100" s="91"/>
      <c r="Q100" s="91"/>
      <c r="R100" s="91"/>
      <c r="S100" s="91"/>
      <c r="T100" s="91"/>
      <c r="U100" s="91"/>
      <c r="V100" s="90"/>
      <c r="W100" s="90"/>
      <c r="X100" s="90"/>
      <c r="Y100" s="90"/>
      <c r="Z100" s="90"/>
      <c r="AA100" s="96"/>
      <c r="AB100" s="96">
        <v>93</v>
      </c>
      <c r="AC100" s="96"/>
      <c r="AD100" s="100">
        <f t="shared" si="4"/>
        <v>-9999999</v>
      </c>
      <c r="AE100" s="101">
        <f t="shared" si="5"/>
        <v>9999999</v>
      </c>
      <c r="AF100" s="96">
        <f t="shared" si="6"/>
        <v>0</v>
      </c>
      <c r="AG100" s="101">
        <f t="shared" si="7"/>
        <v>0</v>
      </c>
      <c r="AH100" s="120"/>
      <c r="AI100" s="120"/>
      <c r="AJ100" s="121"/>
      <c r="AK100" s="121"/>
      <c r="AL100" s="121"/>
      <c r="AM100" s="121"/>
    </row>
    <row r="101" spans="1:39" x14ac:dyDescent="0.25">
      <c r="A101" s="103">
        <v>89</v>
      </c>
      <c r="B101" s="102">
        <f>INDEX('Tabl. 1'!$C$8:$AO$313,104+$AB96,MATCH($C$7,$AA$7:$AA$45))</f>
        <v>9999999</v>
      </c>
      <c r="C101" s="102">
        <f>INDEX('Tabl. 1'!$C$8:$AO$313,206+$AB96,MATCH($C$7,$AA$7:$AA$45))</f>
        <v>9999999</v>
      </c>
      <c r="I101" s="99"/>
      <c r="P101" s="91"/>
      <c r="Q101" s="91"/>
      <c r="R101" s="91"/>
      <c r="S101" s="91"/>
      <c r="T101" s="91"/>
      <c r="U101" s="91"/>
      <c r="V101" s="90"/>
      <c r="W101" s="90"/>
      <c r="X101" s="90"/>
      <c r="Y101" s="90"/>
      <c r="Z101" s="90"/>
      <c r="AA101" s="96"/>
      <c r="AB101" s="96">
        <v>94</v>
      </c>
      <c r="AC101" s="96"/>
      <c r="AD101" s="100">
        <f t="shared" si="4"/>
        <v>-9999999</v>
      </c>
      <c r="AE101" s="101">
        <f t="shared" si="5"/>
        <v>9999999</v>
      </c>
      <c r="AF101" s="96">
        <f t="shared" si="6"/>
        <v>0</v>
      </c>
      <c r="AG101" s="101">
        <f t="shared" si="7"/>
        <v>0</v>
      </c>
      <c r="AH101" s="120"/>
      <c r="AI101" s="120"/>
      <c r="AJ101" s="121"/>
      <c r="AK101" s="121"/>
      <c r="AL101" s="121"/>
      <c r="AM101" s="121"/>
    </row>
    <row r="102" spans="1:39" x14ac:dyDescent="0.25">
      <c r="A102" s="103">
        <v>90</v>
      </c>
      <c r="B102" s="102">
        <f>INDEX('Tabl. 1'!$C$8:$AO$313,104+$AB97,MATCH($C$7,$AA$7:$AA$45))</f>
        <v>9999999</v>
      </c>
      <c r="C102" s="102">
        <f>INDEX('Tabl. 1'!$C$8:$AO$313,206+$AB97,MATCH($C$7,$AA$7:$AA$45))</f>
        <v>9999999</v>
      </c>
      <c r="I102" s="99"/>
      <c r="P102" s="91"/>
      <c r="Q102" s="91"/>
      <c r="R102" s="91"/>
      <c r="S102" s="91"/>
      <c r="T102" s="91"/>
      <c r="U102" s="91"/>
      <c r="V102" s="90"/>
      <c r="W102" s="90"/>
      <c r="X102" s="90"/>
      <c r="Y102" s="90"/>
      <c r="Z102" s="90"/>
      <c r="AA102" s="96"/>
      <c r="AB102" s="96">
        <v>95</v>
      </c>
      <c r="AC102" s="96"/>
      <c r="AD102" s="100">
        <f t="shared" si="4"/>
        <v>-9999999</v>
      </c>
      <c r="AE102" s="101">
        <f t="shared" si="5"/>
        <v>9999999</v>
      </c>
      <c r="AF102" s="96">
        <f t="shared" si="6"/>
        <v>0</v>
      </c>
      <c r="AG102" s="101">
        <f t="shared" si="7"/>
        <v>0</v>
      </c>
      <c r="AH102" s="120"/>
      <c r="AI102" s="120"/>
      <c r="AJ102" s="121"/>
      <c r="AK102" s="121"/>
      <c r="AL102" s="121"/>
      <c r="AM102" s="121"/>
    </row>
    <row r="103" spans="1:39" x14ac:dyDescent="0.25">
      <c r="A103" s="103">
        <v>91</v>
      </c>
      <c r="B103" s="102">
        <f>INDEX('Tabl. 1'!$C$8:$AO$313,104+$AB98,MATCH($C$7,$AA$7:$AA$45))</f>
        <v>9999999</v>
      </c>
      <c r="C103" s="102">
        <f>INDEX('Tabl. 1'!$C$8:$AO$313,206+$AB98,MATCH($C$7,$AA$7:$AA$45))</f>
        <v>9999999</v>
      </c>
      <c r="I103" s="99"/>
      <c r="P103" s="91"/>
      <c r="Q103" s="91"/>
      <c r="R103" s="91"/>
      <c r="S103" s="91"/>
      <c r="T103" s="91"/>
      <c r="U103" s="91"/>
      <c r="V103" s="90"/>
      <c r="W103" s="90"/>
      <c r="X103" s="90"/>
      <c r="Y103" s="90"/>
      <c r="Z103" s="90"/>
      <c r="AA103" s="96"/>
      <c r="AB103" s="96">
        <v>96</v>
      </c>
      <c r="AC103" s="96"/>
      <c r="AD103" s="100">
        <f t="shared" si="4"/>
        <v>-9999999</v>
      </c>
      <c r="AE103" s="101">
        <f t="shared" si="5"/>
        <v>9999999</v>
      </c>
      <c r="AF103" s="96">
        <f t="shared" si="6"/>
        <v>0</v>
      </c>
      <c r="AG103" s="101">
        <f t="shared" si="7"/>
        <v>0</v>
      </c>
      <c r="AH103" s="120"/>
      <c r="AI103" s="120"/>
      <c r="AJ103" s="121"/>
      <c r="AK103" s="121"/>
      <c r="AL103" s="121"/>
      <c r="AM103" s="121"/>
    </row>
    <row r="104" spans="1:39" x14ac:dyDescent="0.25">
      <c r="A104" s="103">
        <v>92</v>
      </c>
      <c r="B104" s="102">
        <f>INDEX('Tabl. 1'!$C$8:$AO$313,104+$AB99,MATCH($C$7,$AA$7:$AA$45))</f>
        <v>9999999</v>
      </c>
      <c r="C104" s="102">
        <f>INDEX('Tabl. 1'!$C$8:$AO$313,206+$AB99,MATCH($C$7,$AA$7:$AA$45))</f>
        <v>9999999</v>
      </c>
      <c r="I104" s="99"/>
      <c r="P104" s="91"/>
      <c r="Q104" s="91"/>
      <c r="R104" s="91"/>
      <c r="S104" s="91"/>
      <c r="T104" s="91"/>
      <c r="U104" s="91"/>
      <c r="V104" s="90"/>
      <c r="W104" s="90"/>
      <c r="X104" s="90"/>
      <c r="Y104" s="90"/>
      <c r="Z104" s="90"/>
      <c r="AA104" s="96"/>
      <c r="AB104" s="96">
        <v>97</v>
      </c>
      <c r="AC104" s="96"/>
      <c r="AD104" s="100">
        <f t="shared" si="4"/>
        <v>-9999999</v>
      </c>
      <c r="AE104" s="101">
        <f t="shared" si="5"/>
        <v>9999999</v>
      </c>
      <c r="AF104" s="96">
        <f t="shared" si="6"/>
        <v>0</v>
      </c>
      <c r="AG104" s="101">
        <f t="shared" si="7"/>
        <v>0</v>
      </c>
      <c r="AH104" s="120"/>
      <c r="AI104" s="120"/>
      <c r="AJ104" s="121"/>
      <c r="AK104" s="121"/>
      <c r="AL104" s="121"/>
      <c r="AM104" s="121"/>
    </row>
    <row r="105" spans="1:39" x14ac:dyDescent="0.25">
      <c r="A105" s="103">
        <v>93</v>
      </c>
      <c r="B105" s="102">
        <f>INDEX('Tabl. 1'!$C$8:$AO$313,104+$AB100,MATCH($C$7,$AA$7:$AA$45))</f>
        <v>9999999</v>
      </c>
      <c r="C105" s="102">
        <f>INDEX('Tabl. 1'!$C$8:$AO$313,206+$AB100,MATCH($C$7,$AA$7:$AA$45))</f>
        <v>9999999</v>
      </c>
      <c r="I105" s="99"/>
      <c r="P105" s="91"/>
      <c r="Q105" s="91"/>
      <c r="R105" s="91"/>
      <c r="S105" s="91"/>
      <c r="T105" s="91"/>
      <c r="U105" s="91"/>
      <c r="V105" s="90"/>
      <c r="W105" s="90"/>
      <c r="X105" s="90"/>
      <c r="Y105" s="90"/>
      <c r="Z105" s="90"/>
      <c r="AA105" s="96"/>
      <c r="AB105" s="96">
        <v>98</v>
      </c>
      <c r="AC105" s="96"/>
      <c r="AD105" s="100">
        <f t="shared" si="4"/>
        <v>-9999999</v>
      </c>
      <c r="AE105" s="101">
        <f t="shared" si="5"/>
        <v>9999999</v>
      </c>
      <c r="AF105" s="96">
        <f t="shared" si="6"/>
        <v>0</v>
      </c>
      <c r="AG105" s="101">
        <f t="shared" si="7"/>
        <v>0</v>
      </c>
      <c r="AH105" s="120"/>
      <c r="AI105" s="120"/>
      <c r="AJ105" s="121"/>
      <c r="AK105" s="121"/>
      <c r="AL105" s="121"/>
      <c r="AM105" s="121"/>
    </row>
    <row r="106" spans="1:39" x14ac:dyDescent="0.25">
      <c r="A106" s="103">
        <v>94</v>
      </c>
      <c r="B106" s="102">
        <f>INDEX('Tabl. 1'!$C$8:$AO$313,104+$AB101,MATCH($C$7,$AA$7:$AA$45))</f>
        <v>9999999</v>
      </c>
      <c r="C106" s="102">
        <f>INDEX('Tabl. 1'!$C$8:$AO$313,206+$AB101,MATCH($C$7,$AA$7:$AA$45))</f>
        <v>9999999</v>
      </c>
      <c r="I106" s="99"/>
      <c r="P106" s="91"/>
      <c r="Q106" s="91"/>
      <c r="R106" s="91"/>
      <c r="S106" s="91"/>
      <c r="T106" s="91"/>
      <c r="U106" s="91"/>
      <c r="V106" s="90"/>
      <c r="W106" s="90"/>
      <c r="X106" s="90"/>
      <c r="Y106" s="90"/>
      <c r="Z106" s="90"/>
      <c r="AA106" s="96"/>
      <c r="AB106" s="96">
        <v>99</v>
      </c>
      <c r="AC106" s="96"/>
      <c r="AD106" s="100">
        <f t="shared" si="4"/>
        <v>-9999999</v>
      </c>
      <c r="AE106" s="101">
        <f t="shared" si="5"/>
        <v>9999999</v>
      </c>
      <c r="AF106" s="96">
        <f t="shared" si="6"/>
        <v>0</v>
      </c>
      <c r="AG106" s="101">
        <f t="shared" si="7"/>
        <v>0</v>
      </c>
      <c r="AH106" s="120"/>
      <c r="AI106" s="120"/>
      <c r="AJ106" s="121"/>
      <c r="AK106" s="121"/>
      <c r="AL106" s="121"/>
      <c r="AM106" s="121"/>
    </row>
    <row r="107" spans="1:39" x14ac:dyDescent="0.25">
      <c r="A107" s="103">
        <v>95</v>
      </c>
      <c r="B107" s="102">
        <f>INDEX('Tabl. 1'!$C$8:$AO$313,104+$AB102,MATCH($C$7,$AA$7:$AA$45))</f>
        <v>9999999</v>
      </c>
      <c r="C107" s="102">
        <f>INDEX('Tabl. 1'!$C$8:$AO$313,206+$AB102,MATCH($C$7,$AA$7:$AA$45))</f>
        <v>9999999</v>
      </c>
      <c r="I107" s="99"/>
      <c r="P107" s="91"/>
      <c r="Q107" s="91"/>
      <c r="R107" s="91"/>
      <c r="S107" s="91"/>
      <c r="T107" s="91"/>
      <c r="U107" s="91"/>
      <c r="V107" s="90"/>
      <c r="W107" s="90"/>
      <c r="X107" s="90"/>
      <c r="Y107" s="90"/>
      <c r="Z107" s="90"/>
      <c r="AA107" s="96"/>
      <c r="AB107" s="96">
        <v>100</v>
      </c>
      <c r="AC107" s="96"/>
      <c r="AD107" s="100">
        <f t="shared" si="4"/>
        <v>-9999999</v>
      </c>
      <c r="AE107" s="101">
        <f t="shared" si="5"/>
        <v>9999999</v>
      </c>
      <c r="AF107" s="96">
        <f t="shared" si="6"/>
        <v>0</v>
      </c>
      <c r="AG107" s="101">
        <f t="shared" si="7"/>
        <v>0</v>
      </c>
      <c r="AH107" s="120"/>
      <c r="AI107" s="120"/>
      <c r="AJ107" s="121"/>
      <c r="AK107" s="121"/>
      <c r="AL107" s="121"/>
      <c r="AM107" s="121"/>
    </row>
    <row r="108" spans="1:39" x14ac:dyDescent="0.25">
      <c r="A108" s="103">
        <v>96</v>
      </c>
      <c r="B108" s="102">
        <f>INDEX('Tabl. 1'!$C$8:$AO$313,104+$AB103,MATCH($C$7,$AA$7:$AA$45))</f>
        <v>9999999</v>
      </c>
      <c r="C108" s="102">
        <f>INDEX('Tabl. 1'!$C$8:$AO$313,206+$AB103,MATCH($C$7,$AA$7:$AA$45))</f>
        <v>9999999</v>
      </c>
      <c r="I108" s="99"/>
      <c r="P108" s="91"/>
      <c r="Q108" s="91"/>
      <c r="R108" s="91"/>
      <c r="S108" s="91"/>
      <c r="T108" s="91"/>
      <c r="U108" s="91"/>
      <c r="V108" s="90"/>
      <c r="W108" s="90"/>
      <c r="X108" s="90"/>
      <c r="Y108" s="90"/>
      <c r="Z108" s="90"/>
      <c r="AA108" s="96"/>
      <c r="AB108" s="96">
        <v>101</v>
      </c>
      <c r="AC108" s="96"/>
      <c r="AD108" s="100">
        <f t="shared" si="4"/>
        <v>-9999999</v>
      </c>
      <c r="AE108" s="101">
        <f t="shared" si="5"/>
        <v>9999999</v>
      </c>
      <c r="AF108" s="96">
        <f t="shared" si="6"/>
        <v>0</v>
      </c>
      <c r="AG108" s="101">
        <f t="shared" si="7"/>
        <v>0</v>
      </c>
      <c r="AH108" s="120"/>
      <c r="AI108" s="120"/>
      <c r="AJ108" s="121"/>
      <c r="AK108" s="121"/>
      <c r="AL108" s="121"/>
      <c r="AM108" s="121"/>
    </row>
    <row r="109" spans="1:39" x14ac:dyDescent="0.25">
      <c r="A109" s="103">
        <v>97</v>
      </c>
      <c r="B109" s="102">
        <f>INDEX('Tabl. 1'!$C$8:$AO$313,104+$AB104,MATCH($C$7,$AA$7:$AA$45))</f>
        <v>9999999</v>
      </c>
      <c r="C109" s="102">
        <f>INDEX('Tabl. 1'!$C$8:$AO$313,206+$AB104,MATCH($C$7,$AA$7:$AA$45))</f>
        <v>9999999</v>
      </c>
      <c r="AA109" s="96"/>
      <c r="AB109" s="96"/>
      <c r="AC109" s="96"/>
      <c r="AD109" s="100">
        <f>MAX('Tabl. 1'!C111:C211)*-1</f>
        <v>-9999999</v>
      </c>
      <c r="AE109" s="101">
        <f>MAX('Tabl. 1'!C213:C313)</f>
        <v>9999999</v>
      </c>
      <c r="AF109" s="96">
        <f t="shared" si="6"/>
        <v>0</v>
      </c>
      <c r="AG109" s="101">
        <f t="shared" si="7"/>
        <v>0</v>
      </c>
      <c r="AH109" s="120"/>
      <c r="AI109" s="120"/>
      <c r="AJ109" s="121"/>
      <c r="AK109" s="121"/>
      <c r="AL109" s="121"/>
      <c r="AM109" s="121"/>
    </row>
    <row r="110" spans="1:39" x14ac:dyDescent="0.25">
      <c r="A110" s="103">
        <v>98</v>
      </c>
      <c r="B110" s="102">
        <f>INDEX('Tabl. 1'!$C$8:$AO$313,104+$AB105,MATCH($C$7,$AA$7:$AA$45))</f>
        <v>9999999</v>
      </c>
      <c r="C110" s="102">
        <f>INDEX('Tabl. 1'!$C$8:$AO$313,206+$AB105,MATCH($C$7,$AA$7:$AA$45))</f>
        <v>9999999</v>
      </c>
      <c r="AA110" s="96"/>
      <c r="AB110" s="96"/>
      <c r="AC110" s="96"/>
      <c r="AD110" s="96"/>
      <c r="AE110" s="96"/>
      <c r="AF110" s="96"/>
      <c r="AG110" s="119"/>
      <c r="AH110" s="120"/>
      <c r="AI110" s="120"/>
      <c r="AJ110" s="121"/>
      <c r="AK110" s="121"/>
      <c r="AL110" s="121"/>
      <c r="AM110" s="121"/>
    </row>
    <row r="111" spans="1:39" x14ac:dyDescent="0.25">
      <c r="A111" s="103">
        <v>99</v>
      </c>
      <c r="B111" s="102">
        <f>INDEX('Tabl. 1'!$C$8:$AO$313,104+$AB106,MATCH($C$7,$AA$7:$AA$45))</f>
        <v>9999999</v>
      </c>
      <c r="C111" s="102">
        <f>INDEX('Tabl. 1'!$C$8:$AO$313,206+$AB106,MATCH($C$7,$AA$7:$AA$45))</f>
        <v>9999999</v>
      </c>
      <c r="AA111" s="96"/>
      <c r="AB111" s="96"/>
      <c r="AC111" s="96"/>
      <c r="AD111" s="96"/>
      <c r="AE111" s="96"/>
      <c r="AF111" s="96"/>
      <c r="AG111" s="119"/>
      <c r="AH111" s="120"/>
      <c r="AI111" s="120"/>
      <c r="AJ111" s="121"/>
      <c r="AK111" s="121"/>
      <c r="AL111" s="121"/>
      <c r="AM111" s="121"/>
    </row>
    <row r="112" spans="1:39" x14ac:dyDescent="0.25">
      <c r="A112" s="104" t="s">
        <v>79</v>
      </c>
      <c r="B112" s="105">
        <f>INDEX('Tabl. 1'!$C$8:$AO$313,104+$AB107,MATCH($C$7,$AA$7:$AA$45))</f>
        <v>9999999</v>
      </c>
      <c r="C112" s="105">
        <f>INDEX('Tabl. 1'!$C$8:$AO$313,206+$AB107,MATCH($C$7,$AA$7:$AA$45))</f>
        <v>9999999</v>
      </c>
      <c r="AA112" s="96"/>
      <c r="AB112" s="96"/>
      <c r="AC112" s="96"/>
      <c r="AD112" s="96"/>
      <c r="AE112" s="96"/>
      <c r="AF112" s="96"/>
      <c r="AG112" s="119"/>
      <c r="AH112" s="120"/>
      <c r="AI112" s="120"/>
      <c r="AJ112" s="121"/>
      <c r="AK112" s="121"/>
      <c r="AL112" s="121"/>
      <c r="AM112" s="121"/>
    </row>
  </sheetData>
  <sheetCalcPr fullCalcOnLoad="true"/>
  <sheetProtection algorithmName="SHA-512" hashValue="f5mu+x1wghhwmLGO+qvKH7ADzajypIRc3azxhCaHpa8LPvoybaFnJL8A6k11vihk3BNPcBp2gg7nNBAmwlKL9g==" saltValue="FfqZ96TnCU/TbAblA3TjDw==" spinCount="100000" sheet="1" objects="1" scenarios="1" selectLockedCells="1"/>
  <mergeCells count="3">
    <mergeCell ref="A4:C4"/>
    <mergeCell ref="B1:C1"/>
    <mergeCell ref="B2:C3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drawing r:id="rId2"/>
  <legacyDrawing r:id="rId3"/>
  <mc:AlternateContent>
    <mc:Choice Requires="x14">
      <controls>
        <mc:AlternateContent>
          <mc:Choice Requires="x14">
            <control shapeId="1025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2023-08-29T13:53:36Z</dcterms:modified>
</cp:coreProperties>
</file>