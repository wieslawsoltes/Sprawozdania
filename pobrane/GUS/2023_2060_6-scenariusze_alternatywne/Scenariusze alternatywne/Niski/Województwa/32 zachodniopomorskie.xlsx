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  <sheet name="Wykres 1 Chart 1" sheetId="16" r:id="rId6"/>
  </sheets>
  <calcPr calcId="152511"/>
</workbook>
</file>

<file path=xl/calcChain.xml><?xml version="1.0" encoding="utf-8"?>
<calcChain xmlns="http://schemas.openxmlformats.org/spreadsheetml/2006/main">
  <c r="B13" i="16" l="1"/>
  <c r="C13" i="16"/>
  <c r="B14" i="16"/>
  <c r="C14" i="16"/>
  <c r="B15" i="16"/>
  <c r="C15" i="16"/>
  <c r="B16" i="16"/>
  <c r="C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B23" i="16"/>
  <c r="C23" i="16"/>
  <c r="B24" i="16"/>
  <c r="C24" i="16"/>
  <c r="B25" i="16"/>
  <c r="C25" i="16"/>
  <c r="B26" i="16"/>
  <c r="C26" i="16"/>
  <c r="B27" i="16"/>
  <c r="C27" i="16"/>
  <c r="B28" i="16"/>
  <c r="C28" i="16"/>
  <c r="B29" i="16"/>
  <c r="C29" i="16"/>
  <c r="B30" i="16"/>
  <c r="C30" i="16"/>
  <c r="B31" i="16"/>
  <c r="C31" i="16"/>
  <c r="B32" i="16"/>
  <c r="C32" i="16"/>
  <c r="B33" i="16"/>
  <c r="C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B41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B50" i="16"/>
  <c r="C50" i="16"/>
  <c r="B51" i="16"/>
  <c r="C51" i="16"/>
  <c r="B52" i="16"/>
  <c r="C52" i="16"/>
  <c r="B53" i="16"/>
  <c r="C53" i="16"/>
  <c r="B54" i="16"/>
  <c r="C54" i="16"/>
  <c r="B55" i="16"/>
  <c r="C55" i="16"/>
  <c r="B56" i="16"/>
  <c r="C56" i="16"/>
  <c r="B57" i="16"/>
  <c r="C57" i="16"/>
  <c r="B58" i="16"/>
  <c r="C58" i="16"/>
  <c r="B59" i="16"/>
  <c r="C59" i="16"/>
  <c r="B60" i="16"/>
  <c r="C60" i="16"/>
  <c r="B61" i="16"/>
  <c r="C61" i="16"/>
  <c r="B62" i="16"/>
  <c r="C62" i="16"/>
  <c r="B63" i="16"/>
  <c r="C63" i="16"/>
  <c r="B64" i="16"/>
  <c r="C64" i="16"/>
  <c r="B65" i="16"/>
  <c r="C65" i="16"/>
  <c r="B66" i="16"/>
  <c r="C66" i="16"/>
  <c r="B67" i="16"/>
  <c r="C67" i="16"/>
  <c r="B68" i="16"/>
  <c r="C68" i="16"/>
  <c r="B69" i="16"/>
  <c r="C69" i="16"/>
  <c r="B70" i="16"/>
  <c r="C70" i="16"/>
  <c r="B71" i="16"/>
  <c r="C71" i="16"/>
  <c r="B72" i="16"/>
  <c r="C72" i="16"/>
  <c r="B73" i="16"/>
  <c r="C73" i="16"/>
  <c r="B74" i="16"/>
  <c r="C74" i="16"/>
  <c r="B75" i="16"/>
  <c r="C75" i="16"/>
  <c r="B76" i="16"/>
  <c r="C76" i="16"/>
  <c r="B77" i="16"/>
  <c r="C77" i="16"/>
  <c r="B78" i="16"/>
  <c r="C78" i="16"/>
  <c r="B79" i="16"/>
  <c r="C79" i="16"/>
  <c r="B80" i="16"/>
  <c r="C80" i="16"/>
  <c r="B81" i="16"/>
  <c r="C81" i="16"/>
  <c r="B82" i="16"/>
  <c r="C82" i="16"/>
  <c r="B83" i="16"/>
  <c r="C83" i="16"/>
  <c r="B84" i="16"/>
  <c r="C84" i="16"/>
  <c r="B85" i="16"/>
  <c r="C85" i="16"/>
  <c r="B86" i="16"/>
  <c r="C86" i="16"/>
  <c r="B87" i="16"/>
  <c r="C87" i="16"/>
  <c r="B88" i="16"/>
  <c r="C88" i="16"/>
  <c r="B89" i="16"/>
  <c r="C89" i="16"/>
  <c r="B90" i="16"/>
  <c r="C90" i="16"/>
  <c r="B91" i="16"/>
  <c r="C91" i="16"/>
  <c r="B92" i="16"/>
  <c r="C92" i="16"/>
  <c r="B93" i="16"/>
  <c r="C93" i="16"/>
  <c r="B94" i="16"/>
  <c r="C94" i="16"/>
  <c r="B95" i="16"/>
  <c r="C95" i="16"/>
  <c r="B96" i="16"/>
  <c r="C96" i="16"/>
  <c r="B97" i="16"/>
  <c r="C97" i="16"/>
  <c r="B98" i="16"/>
  <c r="C98" i="16"/>
  <c r="B99" i="16"/>
  <c r="C99" i="16"/>
  <c r="B100" i="16"/>
  <c r="C100" i="16"/>
  <c r="B101" i="16"/>
  <c r="C101" i="16"/>
  <c r="B102" i="16"/>
  <c r="C102" i="16"/>
  <c r="B103" i="16"/>
  <c r="C103" i="16"/>
  <c r="B104" i="16"/>
  <c r="C104" i="16"/>
  <c r="B105" i="16"/>
  <c r="C105" i="16"/>
  <c r="B106" i="16"/>
  <c r="C106" i="16"/>
  <c r="B107" i="16"/>
  <c r="C107" i="16"/>
  <c r="B108" i="16"/>
  <c r="C108" i="16"/>
  <c r="B109" i="16"/>
  <c r="C109" i="16"/>
  <c r="B110" i="16"/>
  <c r="C110" i="16"/>
  <c r="B111" i="16"/>
  <c r="C111" i="16"/>
  <c r="B112" i="16"/>
  <c r="C112" i="16"/>
  <c r="C12" i="16"/>
  <c r="B12" i="16"/>
  <c r="AE109" i="16"/>
  <c r="AD109" i="16"/>
  <c r="AG10" i="16" l="1"/>
  <c r="AE10" i="16" s="1"/>
  <c r="AF10" i="16"/>
  <c r="AD10" i="16" s="1"/>
  <c r="AF108" i="16"/>
  <c r="AD108" i="16" s="1"/>
  <c r="AF107" i="16"/>
  <c r="AF106" i="16"/>
  <c r="AD106" i="16" s="1"/>
  <c r="AG109" i="16"/>
  <c r="AF109" i="16"/>
  <c r="AF105" i="16"/>
  <c r="AG108" i="16"/>
  <c r="AE108" i="16" s="1"/>
  <c r="AF104" i="16"/>
  <c r="AD104" i="16" s="1"/>
  <c r="AG106" i="16"/>
  <c r="AE106" i="16" s="1"/>
  <c r="AG104" i="16"/>
  <c r="AF100" i="16"/>
  <c r="AD100" i="16" s="1"/>
  <c r="AG103" i="16"/>
  <c r="AF98" i="16"/>
  <c r="AD98" i="16" s="1"/>
  <c r="AG101" i="16"/>
  <c r="AF101" i="16"/>
  <c r="AF97" i="16"/>
  <c r="AG100" i="16"/>
  <c r="AE100" i="16" s="1"/>
  <c r="AG96" i="16"/>
  <c r="AE96" i="16" s="1"/>
  <c r="AF99" i="16"/>
  <c r="AG98" i="16"/>
  <c r="AE98" i="16" s="1"/>
  <c r="AF93" i="16"/>
  <c r="AF92" i="16"/>
  <c r="AD92" i="16" s="1"/>
  <c r="AG95" i="16"/>
  <c r="AF91" i="16"/>
  <c r="AF90" i="16"/>
  <c r="AD90" i="16" s="1"/>
  <c r="AG93" i="16"/>
  <c r="AF89" i="16"/>
  <c r="AG92" i="16"/>
  <c r="AG90" i="16"/>
  <c r="AF85" i="16"/>
  <c r="AG88" i="16"/>
  <c r="AE88" i="16" s="1"/>
  <c r="AF84" i="16"/>
  <c r="AD84" i="16" s="1"/>
  <c r="AG87" i="16"/>
  <c r="AF83" i="16"/>
  <c r="AF82" i="16"/>
  <c r="AD82" i="16" s="1"/>
  <c r="AG85" i="16"/>
  <c r="AG84" i="16"/>
  <c r="AG80" i="16"/>
  <c r="AG82" i="16"/>
  <c r="AF77" i="16"/>
  <c r="AF76" i="16"/>
  <c r="AD76" i="16" s="1"/>
  <c r="AG79" i="16"/>
  <c r="AF75" i="16"/>
  <c r="AF74" i="16"/>
  <c r="AD74" i="16" s="1"/>
  <c r="AG77" i="16"/>
  <c r="AG76" i="16"/>
  <c r="AG74" i="16"/>
  <c r="AF69" i="16"/>
  <c r="AG72" i="16"/>
  <c r="AF68" i="16"/>
  <c r="AD68" i="16" s="1"/>
  <c r="AG71" i="16"/>
  <c r="AF67" i="16"/>
  <c r="AF66" i="16"/>
  <c r="AD66" i="16" s="1"/>
  <c r="AG69" i="16"/>
  <c r="AF65" i="16"/>
  <c r="AG68" i="16"/>
  <c r="AG66" i="16"/>
  <c r="AF61" i="16"/>
  <c r="AG64" i="16"/>
  <c r="AF60" i="16"/>
  <c r="AD60" i="16" s="1"/>
  <c r="AG63" i="16"/>
  <c r="AG59" i="16"/>
  <c r="AF58" i="16"/>
  <c r="AD58" i="16" s="1"/>
  <c r="AG61" i="16"/>
  <c r="AG60" i="16"/>
  <c r="AF59" i="16"/>
  <c r="AG55" i="16"/>
  <c r="AF54" i="16"/>
  <c r="AD54" i="16" s="1"/>
  <c r="AF57" i="16"/>
  <c r="AG53" i="16"/>
  <c r="AF53" i="16"/>
  <c r="AG54" i="16"/>
  <c r="AG50" i="16"/>
  <c r="AE50" i="16" s="1"/>
  <c r="AF49" i="16"/>
  <c r="AF48" i="16"/>
  <c r="AD48" i="16" s="1"/>
  <c r="AG51" i="16"/>
  <c r="AF51" i="16"/>
  <c r="AG47" i="16"/>
  <c r="AG46" i="16"/>
  <c r="AE46" i="16" s="1"/>
  <c r="AG45" i="16"/>
  <c r="AF44" i="16"/>
  <c r="AD44" i="16" s="1"/>
  <c r="AG43" i="16"/>
  <c r="AF42" i="16"/>
  <c r="AD42" i="16" s="1"/>
  <c r="AF43" i="16"/>
  <c r="AF41" i="16"/>
  <c r="AG37" i="16"/>
  <c r="AG40" i="16"/>
  <c r="AE40" i="16" s="1"/>
  <c r="AF40" i="16"/>
  <c r="AD40" i="16" s="1"/>
  <c r="AG36" i="16"/>
  <c r="AE36" i="16" s="1"/>
  <c r="AF36" i="16"/>
  <c r="AD36" i="16" s="1"/>
  <c r="AG38" i="16"/>
  <c r="AE38" i="16" s="1"/>
  <c r="AF38" i="16"/>
  <c r="AD38" i="16" s="1"/>
  <c r="AG34" i="16"/>
  <c r="AE34" i="16" s="1"/>
  <c r="AF34" i="16"/>
  <c r="AD34" i="16" s="1"/>
  <c r="AF37" i="16"/>
  <c r="AG33" i="16"/>
  <c r="AF33" i="16"/>
  <c r="AG29" i="16"/>
  <c r="AG32" i="16"/>
  <c r="AE32" i="16" s="1"/>
  <c r="AF32" i="16"/>
  <c r="AD32" i="16" s="1"/>
  <c r="AG28" i="16"/>
  <c r="AE28" i="16" s="1"/>
  <c r="AF28" i="16"/>
  <c r="AD28" i="16" s="1"/>
  <c r="AG30" i="16"/>
  <c r="AE30" i="16" s="1"/>
  <c r="AF30" i="16"/>
  <c r="AD30" i="16" s="1"/>
  <c r="AG26" i="16"/>
  <c r="AE26" i="16" s="1"/>
  <c r="AF26" i="16"/>
  <c r="AD26" i="16" s="1"/>
  <c r="AF29" i="16"/>
  <c r="AG25" i="16"/>
  <c r="AF25" i="16"/>
  <c r="AG21" i="16"/>
  <c r="AG24" i="16"/>
  <c r="AE24" i="16" s="1"/>
  <c r="AF24" i="16"/>
  <c r="AD24" i="16" s="1"/>
  <c r="AG20" i="16"/>
  <c r="AE20" i="16" s="1"/>
  <c r="AF20" i="16"/>
  <c r="AD20" i="16" s="1"/>
  <c r="AG22" i="16"/>
  <c r="AE22" i="16" s="1"/>
  <c r="AF22" i="16"/>
  <c r="AD22" i="16" s="1"/>
  <c r="AG18" i="16"/>
  <c r="AE18" i="16" s="1"/>
  <c r="AF21" i="16"/>
  <c r="AG19" i="16"/>
  <c r="AG13" i="16"/>
  <c r="AG16" i="16"/>
  <c r="AE16" i="16" s="1"/>
  <c r="AF16" i="16"/>
  <c r="AD16" i="16" s="1"/>
  <c r="AG15" i="16"/>
  <c r="AG11" i="16"/>
  <c r="AG14" i="16"/>
  <c r="AE14" i="16" s="1"/>
  <c r="AF14" i="16"/>
  <c r="AD14" i="16" s="1"/>
  <c r="AG12" i="16"/>
  <c r="AE12" i="16" s="1"/>
  <c r="AF12" i="16"/>
  <c r="AD12" i="16" s="1"/>
  <c r="AG8" i="16"/>
  <c r="AF8" i="16"/>
  <c r="AD8" i="16" s="1"/>
  <c r="AG9" i="16"/>
  <c r="AF18" i="16" l="1"/>
  <c r="AD18" i="16" s="1"/>
  <c r="AG17" i="16"/>
  <c r="AE17" i="16" s="1"/>
  <c r="AG42" i="16"/>
  <c r="AE42" i="16" s="1"/>
  <c r="AF45" i="16"/>
  <c r="AD45" i="16" s="1"/>
  <c r="AF50" i="16"/>
  <c r="AD50" i="16" s="1"/>
  <c r="AF52" i="16"/>
  <c r="AD52" i="16" s="1"/>
  <c r="AF56" i="16"/>
  <c r="AD56" i="16" s="1"/>
  <c r="AG62" i="16"/>
  <c r="AE62" i="16" s="1"/>
  <c r="AF62" i="16"/>
  <c r="AD62" i="16" s="1"/>
  <c r="AF64" i="16"/>
  <c r="AD64" i="16" s="1"/>
  <c r="AG70" i="16"/>
  <c r="AE70" i="16" s="1"/>
  <c r="AF70" i="16"/>
  <c r="AD70" i="16" s="1"/>
  <c r="AF72" i="16"/>
  <c r="AD72" i="16" s="1"/>
  <c r="AG73" i="16"/>
  <c r="AE73" i="16" s="1"/>
  <c r="AG78" i="16"/>
  <c r="AE78" i="16" s="1"/>
  <c r="AF78" i="16"/>
  <c r="AD78" i="16" s="1"/>
  <c r="AF80" i="16"/>
  <c r="AD80" i="16" s="1"/>
  <c r="AG81" i="16"/>
  <c r="AE81" i="16" s="1"/>
  <c r="AG86" i="16"/>
  <c r="AE86" i="16" s="1"/>
  <c r="AF86" i="16"/>
  <c r="AD86" i="16" s="1"/>
  <c r="AF88" i="16"/>
  <c r="AD88" i="16" s="1"/>
  <c r="AG89" i="16"/>
  <c r="AE89" i="16" s="1"/>
  <c r="AG94" i="16"/>
  <c r="AE94" i="16" s="1"/>
  <c r="AF94" i="16"/>
  <c r="AD94" i="16" s="1"/>
  <c r="AF96" i="16"/>
  <c r="AD96" i="16" s="1"/>
  <c r="AG102" i="16"/>
  <c r="AE102" i="16" s="1"/>
  <c r="AF102" i="16"/>
  <c r="AD102" i="16" s="1"/>
  <c r="AG44" i="16"/>
  <c r="AE44" i="16" s="1"/>
  <c r="AG48" i="16"/>
  <c r="AE48" i="16" s="1"/>
  <c r="AE8" i="16"/>
  <c r="AG41" i="16"/>
  <c r="AE41" i="16" s="1"/>
  <c r="AF46" i="16"/>
  <c r="AD46" i="16" s="1"/>
  <c r="AG52" i="16"/>
  <c r="AE52" i="16" s="1"/>
  <c r="AE54" i="16"/>
  <c r="AG56" i="16"/>
  <c r="AE56" i="16" s="1"/>
  <c r="AG58" i="16"/>
  <c r="AE58" i="16" s="1"/>
  <c r="AE60" i="16"/>
  <c r="AE64" i="16"/>
  <c r="AE66" i="16"/>
  <c r="AE68" i="16"/>
  <c r="AE72" i="16"/>
  <c r="AF73" i="16"/>
  <c r="AD73" i="16" s="1"/>
  <c r="AE74" i="16"/>
  <c r="AE76" i="16"/>
  <c r="AE80" i="16"/>
  <c r="AF81" i="16"/>
  <c r="AD81" i="16" s="1"/>
  <c r="AE82" i="16"/>
  <c r="AE84" i="16"/>
  <c r="AE90" i="16"/>
  <c r="AE92" i="16"/>
  <c r="AE104" i="16"/>
  <c r="AE9" i="16"/>
  <c r="AF13" i="16"/>
  <c r="AD13" i="16" s="1"/>
  <c r="AF17" i="16"/>
  <c r="AD17" i="16" s="1"/>
  <c r="AD49" i="16"/>
  <c r="AD57" i="16"/>
  <c r="AD65" i="16"/>
  <c r="AE71" i="16"/>
  <c r="AE87" i="16"/>
  <c r="AD97" i="16"/>
  <c r="AE103" i="16"/>
  <c r="AD105" i="16"/>
  <c r="AE11" i="16"/>
  <c r="AE15" i="16"/>
  <c r="AE19" i="16"/>
  <c r="AD43" i="16"/>
  <c r="AG49" i="16"/>
  <c r="AE49" i="16" s="1"/>
  <c r="AD51" i="16"/>
  <c r="AG57" i="16"/>
  <c r="AE57" i="16" s="1"/>
  <c r="AD59" i="16"/>
  <c r="AG65" i="16"/>
  <c r="AE65" i="16" s="1"/>
  <c r="AD67" i="16"/>
  <c r="AD75" i="16"/>
  <c r="AD83" i="16"/>
  <c r="AD91" i="16"/>
  <c r="AG97" i="16"/>
  <c r="AE97" i="16" s="1"/>
  <c r="AD99" i="16"/>
  <c r="AG105" i="16"/>
  <c r="AE105" i="16" s="1"/>
  <c r="AE13" i="16"/>
  <c r="AD41" i="16"/>
  <c r="AE47" i="16"/>
  <c r="AE55" i="16"/>
  <c r="AE63" i="16"/>
  <c r="AE79" i="16"/>
  <c r="AD89" i="16"/>
  <c r="AE95" i="16"/>
  <c r="AD107" i="16"/>
  <c r="AF9" i="16"/>
  <c r="AD9" i="16" s="1"/>
  <c r="AF11" i="16"/>
  <c r="AD11" i="16" s="1"/>
  <c r="AF15" i="16"/>
  <c r="AD15" i="16" s="1"/>
  <c r="AF19" i="16"/>
  <c r="AD19" i="16" s="1"/>
  <c r="AF23" i="16"/>
  <c r="AD23" i="16" s="1"/>
  <c r="AD21" i="16"/>
  <c r="AF27" i="16"/>
  <c r="AD27" i="16" s="1"/>
  <c r="AD25" i="16"/>
  <c r="AF31" i="16"/>
  <c r="AD31" i="16" s="1"/>
  <c r="AD29" i="16"/>
  <c r="AF35" i="16"/>
  <c r="AD35" i="16" s="1"/>
  <c r="AD33" i="16"/>
  <c r="AF39" i="16"/>
  <c r="AD39" i="16" s="1"/>
  <c r="AD37" i="16"/>
  <c r="AE43" i="16"/>
  <c r="AE51" i="16"/>
  <c r="AD53" i="16"/>
  <c r="AE59" i="16"/>
  <c r="AD61" i="16"/>
  <c r="AG67" i="16"/>
  <c r="AE67" i="16" s="1"/>
  <c r="AD69" i="16"/>
  <c r="AG75" i="16"/>
  <c r="AE75" i="16" s="1"/>
  <c r="AD77" i="16"/>
  <c r="AG83" i="16"/>
  <c r="AE83" i="16" s="1"/>
  <c r="AD85" i="16"/>
  <c r="AG91" i="16"/>
  <c r="AE91" i="16" s="1"/>
  <c r="AD93" i="16"/>
  <c r="AG99" i="16"/>
  <c r="AE99" i="16" s="1"/>
  <c r="AD101" i="16"/>
  <c r="AG107" i="16"/>
  <c r="AE107" i="16" s="1"/>
  <c r="AG23" i="16"/>
  <c r="AE23" i="16" s="1"/>
  <c r="AE21" i="16"/>
  <c r="AG27" i="16"/>
  <c r="AE27" i="16" s="1"/>
  <c r="AE25" i="16"/>
  <c r="AG31" i="16"/>
  <c r="AE31" i="16" s="1"/>
  <c r="AE29" i="16"/>
  <c r="AG35" i="16"/>
  <c r="AE35" i="16" s="1"/>
  <c r="AE33" i="16"/>
  <c r="AG39" i="16"/>
  <c r="AE39" i="16" s="1"/>
  <c r="AE37" i="16"/>
  <c r="AF47" i="16"/>
  <c r="AD47" i="16" s="1"/>
  <c r="AE45" i="16"/>
  <c r="AF55" i="16"/>
  <c r="AD55" i="16" s="1"/>
  <c r="AE53" i="16"/>
  <c r="AF63" i="16"/>
  <c r="AD63" i="16" s="1"/>
  <c r="AE61" i="16"/>
  <c r="AF71" i="16"/>
  <c r="AD71" i="16" s="1"/>
  <c r="AE69" i="16"/>
  <c r="AF79" i="16"/>
  <c r="AD79" i="16" s="1"/>
  <c r="AE77" i="16"/>
  <c r="AF87" i="16"/>
  <c r="AD87" i="16" s="1"/>
  <c r="AE85" i="16"/>
  <c r="AF95" i="16"/>
  <c r="AD95" i="16" s="1"/>
  <c r="AE93" i="16"/>
  <c r="AF103" i="16"/>
  <c r="AD103" i="16" s="1"/>
  <c r="AE101" i="16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<sst xmlns="http://schemas.openxmlformats.org/spreadsheetml/2006/main" count="223" uniqueCount="106">
  <si>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</si>
  <si>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</si>
  <si>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</si>
  <si>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</si>
  <si>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</si>
  <si>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</si>
  <si>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</si>
  <si>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</si>
  <si>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</si>
  <si>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</si>
  <si>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</si>
  <si>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</si>
  <si>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</si>
  <si>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</si>
  <si>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</si>
  <si>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</si>
  <si>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</si>
  <si>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</si>
  <si>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</si>
  <si>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</si>
  <si>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</si>
  <si>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</si>
  <si>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</si>
  <si>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</si>
  <si>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</si>
  <si>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</si>
  <si>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</si>
  <si>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</si>
  <si>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</si>
  <si>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</si>
  <si>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</si>
  <si>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</si>
  <si>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</si>
  <si>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</si>
  <si>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</si>
  <si>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</si>
  <si>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</si>
  <si>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</si>
  <si>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</si>
  <si>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</si>
  <si>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</si>
  <si>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</si>
  <si>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</si>
  <si>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</si>
  <si>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</si>
  <si>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</si>
  <si>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</si>
  <si>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</si>
  <si>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</si>
  <si>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</si>
  <si>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</si>
  <si>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</si>
  <si>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</si>
  <si>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</si>
  <si>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</si>
  <si>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</si>
  <si>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</si>
  <si>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</si>
  <si>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</si>
  <si>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</si>
  <si>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</si>
  <si>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</si>
  <si>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</si>
  <si>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</si>
  <si>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</si>
  <si>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</si>
  <si>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</si>
  <si>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</si>
  <si>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</si>
  <si>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</si>
  <si>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</si>
  <si>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</si>
  <si>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</si>
  <si>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</si>
  <si>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</si>
  <si>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</si>
  <si>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</si>
  <si>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</si>
  <si>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</si>
  <si>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</si>
  <si>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</si>
  <si>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</si>
  <si>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</si>
  <si>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</si>
  <si>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</si>
  <si>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</si>
  <si>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</si>
  <si>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</si>
  <si>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t>WYKRES 1. PIRAMIDA LUDNOŚCI</t>
  </si>
  <si>
    <t>CHART 1. POPULATION PYRAMID</t>
  </si>
  <si>
    <t>M</t>
  </si>
  <si>
    <t>K</t>
  </si>
  <si>
    <t>WYKRES 1.</t>
  </si>
  <si>
    <t>PIRAMIDA LUDNOŚCI</t>
  </si>
  <si>
    <t>POPULATION PYRAMID</t>
  </si>
  <si>
    <t>CHART 1.</t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</si>
  <si>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</si>
  <si>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</si>
  <si>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</si>
  <si>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</si>
  <si>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</si>
  <si>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</si>
  <si>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</si>
  <si>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</si>
  <si>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</si>
  <si>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zachodniopomorskie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</si>
</sst>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u/>
      <sz val="11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b/>
      <sz val="16"/>
      <name val="Arial"/>
      <family val="2"/>
      <charset val="238"/>
    </font>
    <font>
      <sz val="11"/>
      <color theme="0"/>
      <name val="Calibri"/>
      <family val="2"/>
      <scheme val="minor"/>
    </font>
    <font>
      <i/>
      <sz val="10"/>
      <color theme="0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7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23" fillId="4" borderId="35" xfId="26" applyFont="1" applyFill="1" applyBorder="1" applyAlignment="1">
      <alignment horizontal="left" vertical="top"/>
    </xf>
    <xf numFmtId="0" fontId="8" fillId="3" borderId="0" xfId="0" applyFont="1" applyFill="1" applyBorder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31" fillId="4" borderId="0" xfId="0" applyFont="1" applyFill="1"/>
    <xf numFmtId="0" fontId="32" fillId="4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  <xf numFmtId="0" fontId="16" fillId="4" borderId="0" xfId="24" applyFont="1" applyFill="1" applyBorder="1" applyAlignment="1" applyProtection="1">
      <alignment vertical="top" wrapText="1"/>
      <protection locked="0"/>
    </xf>
    <xf numFmtId="0" fontId="2" fillId="4" borderId="0" xfId="25" applyFill="1"/>
    <xf numFmtId="0" fontId="2" fillId="4" borderId="0" xfId="25" applyFill="1" applyProtection="1"/>
    <xf numFmtId="0" fontId="2" fillId="4" borderId="0" xfId="25" applyFill="1" applyProtection="1">
      <protection hidden="1"/>
    </xf>
    <xf numFmtId="0" fontId="0" fillId="4" borderId="0" xfId="0" applyFill="1"/>
    <xf numFmtId="0" fontId="2" fillId="4" borderId="0" xfId="25" applyFill="1" applyBorder="1"/>
    <xf numFmtId="0" fontId="2" fillId="4" borderId="0" xfId="25" applyFont="1" applyFill="1" applyProtection="1"/>
    <xf numFmtId="0" fontId="2" fillId="4" borderId="0" xfId="25" applyFont="1" applyFill="1"/>
    <xf numFmtId="0" fontId="2" fillId="4" borderId="36" xfId="25" applyFill="1" applyBorder="1"/>
    <xf numFmtId="0" fontId="2" fillId="4" borderId="37" xfId="25" applyFill="1" applyBorder="1"/>
    <xf numFmtId="0" fontId="2" fillId="4" borderId="18" xfId="25" applyFont="1" applyFill="1" applyBorder="1" applyProtection="1">
      <protection locked="0"/>
    </xf>
    <xf numFmtId="0" fontId="2" fillId="4" borderId="0" xfId="25" applyFill="1" applyProtection="1">
      <protection locked="0" hidden="1"/>
    </xf>
    <xf numFmtId="0" fontId="33" fillId="4" borderId="0" xfId="25" applyFont="1" applyFill="1" applyProtection="1">
      <protection hidden="1"/>
    </xf>
    <xf numFmtId="0" fontId="2" fillId="4" borderId="18" xfId="25" applyFill="1" applyBorder="1" applyProtection="1">
      <protection locked="0" hidden="1"/>
    </xf>
    <xf numFmtId="0" fontId="2" fillId="4" borderId="0" xfId="25" applyFill="1" applyBorder="1" applyProtection="1">
      <protection locked="0" hidden="1"/>
    </xf>
    <xf numFmtId="3" fontId="2" fillId="4" borderId="0" xfId="25" applyNumberFormat="1" applyFont="1" applyFill="1" applyProtection="1">
      <protection locked="0" hidden="1"/>
    </xf>
    <xf numFmtId="1" fontId="33" fillId="4" borderId="0" xfId="25" applyNumberFormat="1" applyFont="1" applyFill="1" applyProtection="1">
      <protection hidden="1"/>
    </xf>
    <xf numFmtId="165" fontId="33" fillId="4" borderId="0" xfId="25" applyNumberFormat="1" applyFont="1" applyFill="1" applyProtection="1">
      <protection hidden="1"/>
    </xf>
    <xf numFmtId="165" fontId="2" fillId="4" borderId="13" xfId="25" applyNumberFormat="1" applyFill="1" applyBorder="1" applyAlignment="1" applyProtection="1">
      <alignment vertical="center"/>
      <protection locked="0" hidden="1"/>
    </xf>
    <xf numFmtId="49" fontId="24" fillId="4" borderId="13" xfId="53" applyNumberFormat="1" applyFont="1" applyFill="1" applyBorder="1" applyAlignment="1" applyProtection="1">
      <alignment horizontal="right" vertical="center"/>
      <protection locked="0"/>
    </xf>
    <xf numFmtId="49" fontId="24" fillId="4" borderId="14" xfId="53" applyNumberFormat="1" applyFont="1" applyFill="1" applyBorder="1" applyAlignment="1" applyProtection="1">
      <alignment horizontal="right" vertical="center"/>
      <protection locked="0"/>
    </xf>
    <xf numFmtId="165" fontId="2" fillId="4" borderId="14" xfId="25" applyNumberFormat="1" applyFill="1" applyBorder="1" applyAlignment="1" applyProtection="1">
      <alignment vertical="center"/>
      <protection locked="0" hidden="1"/>
    </xf>
    <xf numFmtId="0" fontId="8" fillId="4" borderId="38" xfId="0" applyFont="1" applyFill="1" applyBorder="1"/>
    <xf numFmtId="0" fontId="16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>
      <alignment vertical="center" wrapText="1"/>
    </xf>
    <xf numFmtId="0" fontId="30" fillId="4" borderId="0" xfId="0" applyFont="1" applyFill="1" applyBorder="1" applyAlignment="1" applyProtection="1">
      <alignment horizontal="left"/>
      <protection locked="0"/>
    </xf>
    <xf numFmtId="0" fontId="31" fillId="4" borderId="0" xfId="0" applyFont="1" applyFill="1" applyBorder="1" applyAlignment="1" applyProtection="1">
      <alignment horizontal="left"/>
      <protection locked="0"/>
    </xf>
    <xf numFmtId="0" fontId="2" fillId="4" borderId="4" xfId="25" applyFill="1" applyBorder="1"/>
    <xf numFmtId="0" fontId="34" fillId="4" borderId="4" xfId="24" applyNumberFormat="1" applyFont="1" applyFill="1" applyBorder="1" applyAlignment="1" applyProtection="1">
      <alignment vertical="center" wrapText="1"/>
      <protection locked="0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1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0" xfId="25" applyNumberFormat="1" applyFill="1" applyBorder="1" applyAlignment="1" applyProtection="1">
      <alignment vertical="center"/>
      <protection locked="0" hidden="1"/>
    </xf>
    <xf numFmtId="0" fontId="33" fillId="4" borderId="0" xfId="25" applyFont="1" applyFill="1" applyProtection="1"/>
    <xf numFmtId="0" fontId="33" fillId="4" borderId="0" xfId="25" applyFont="1" applyFill="1"/>
    <xf numFmtId="0" fontId="35" fillId="4" borderId="0" xfId="0" applyFont="1" applyFill="1"/>
    <xf numFmtId="0" fontId="37" fillId="5" borderId="42" xfId="24" applyNumberFormat="1" applyFont="1" applyFill="1" applyBorder="1" applyAlignment="1" applyProtection="1">
      <alignment horizontal="center" vertical="center" wrapText="1"/>
      <protection locked="0"/>
    </xf>
    <xf numFmtId="0" fontId="37" fillId="4" borderId="0" xfId="25" applyFont="1" applyFill="1" applyBorder="1" applyAlignment="1" applyProtection="1">
      <alignment horizontal="center"/>
      <protection locked="0" hidden="1"/>
    </xf>
    <xf numFmtId="0" fontId="11" fillId="0" borderId="0" xfId="0" applyFont="1" applyAlignment="1">
      <alignment vertical="center"/>
    </xf>
    <xf numFmtId="0" fontId="3" fillId="3" borderId="0" xfId="24" applyFont="1" applyFill="1" applyBorder="1" applyAlignment="1" applyProtection="1">
      <alignment vertical="center" wrapText="1"/>
      <protection locked="0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4" borderId="0" xfId="0" applyFont="1" applyFill="1" applyAlignment="1">
      <alignment horizontal="left"/>
    </xf>
    <xf numFmtId="0" fontId="31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  <xf numFmtId="0" fontId="11" fillId="4" borderId="1" xfId="0" applyFont="1" applyFill="1" applyBorder="1" applyAlignment="1" applyProtection="1">
      <alignment horizontal="left" vertical="center"/>
      <protection locked="0"/>
    </xf>
    <xf numFmtId="0" fontId="11" fillId="4" borderId="15" xfId="0" applyFont="1" applyFill="1" applyBorder="1" applyAlignment="1" applyProtection="1">
      <alignment horizontal="left" vertical="center"/>
      <protection locked="0"/>
    </xf>
    <xf numFmtId="0" fontId="11" fillId="4" borderId="17" xfId="0" applyFont="1" applyFill="1" applyBorder="1" applyAlignment="1" applyProtection="1">
      <alignment horizontal="left" vertical="center"/>
      <protection locked="0"/>
    </xf>
    <xf numFmtId="0" fontId="13" fillId="3" borderId="0" xfId="24" applyFont="1" applyFill="1" applyBorder="1" applyAlignment="1" applyProtection="1">
      <alignment horizontal="left" vertical="center" wrapText="1"/>
      <protection locked="0"/>
    </xf>
    <xf numFmtId="0" fontId="13" fillId="3" borderId="4" xfId="24" applyFont="1" applyFill="1" applyBorder="1" applyAlignment="1" applyProtection="1">
      <alignment horizontal="left" vertical="center" wrapText="1"/>
      <protection locked="0"/>
    </xf>
    <xf numFmtId="0" fontId="16" fillId="4" borderId="0" xfId="24" applyFont="1" applyFill="1" applyBorder="1" applyAlignment="1" applyProtection="1">
      <alignment horizontal="left" vertical="center" wrapText="1"/>
      <protection locked="0"/>
    </xf>
    <xf numFmtId="0" fontId="16" fillId="4" borderId="4" xfId="24" applyFont="1" applyFill="1" applyBorder="1" applyAlignment="1" applyProtection="1">
      <alignment horizontal="left" vertical="center" wrapText="1"/>
      <protection locked="0"/>
    </xf>
    <xf numFmtId="0" fontId="16" fillId="4" borderId="39" xfId="24" applyFont="1" applyFill="1" applyBorder="1" applyAlignment="1" applyProtection="1">
      <alignment horizontal="left" vertical="center" wrapText="1"/>
      <protection locked="0"/>
    </xf>
    <xf numFmtId="0" fontId="16" fillId="4" borderId="16" xfId="24" applyFont="1" applyFill="1" applyBorder="1" applyAlignment="1" applyProtection="1">
      <alignment horizontal="left" vertical="center" wrapText="1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BB8091"/>
      <color rgb="FF001D77"/>
      <color rgb="FF99A4C8"/>
      <color rgb="FFCCD1E3"/>
      <color rgb="FFD1AAB5"/>
      <color rgb="FF001D6E"/>
      <color rgb="FF6677AD"/>
      <color rgb="FFFFCDCC"/>
      <color rgb="FF334A92"/>
      <color rgb="FF66C2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</c:v>
                </c:pt>
                <c:pt idx="1">
                  <c:v>-9999999</c:v>
                </c:pt>
                <c:pt idx="2">
                  <c:v>-9999999</c:v>
                </c:pt>
                <c:pt idx="3">
                  <c:v>-9999999</c:v>
                </c:pt>
                <c:pt idx="4">
                  <c:v>-9999999</c:v>
                </c:pt>
                <c:pt idx="5">
                  <c:v>-9999999</c:v>
                </c:pt>
                <c:pt idx="6">
                  <c:v>-9999999</c:v>
                </c:pt>
                <c:pt idx="7">
                  <c:v>-9999999</c:v>
                </c:pt>
                <c:pt idx="8">
                  <c:v>-9999999</c:v>
                </c:pt>
                <c:pt idx="9">
                  <c:v>-9999999</c:v>
                </c:pt>
                <c:pt idx="10">
                  <c:v>-9999999</c:v>
                </c:pt>
                <c:pt idx="11">
                  <c:v>-9999999</c:v>
                </c:pt>
                <c:pt idx="12">
                  <c:v>-9999999</c:v>
                </c:pt>
                <c:pt idx="13">
                  <c:v>-9999999</c:v>
                </c:pt>
                <c:pt idx="14">
                  <c:v>-9999999</c:v>
                </c:pt>
                <c:pt idx="15">
                  <c:v>-9999999</c:v>
                </c:pt>
                <c:pt idx="16">
                  <c:v>-9999999</c:v>
                </c:pt>
                <c:pt idx="17">
                  <c:v>-9999999</c:v>
                </c:pt>
                <c:pt idx="18">
                  <c:v>-9999999</c:v>
                </c:pt>
                <c:pt idx="19">
                  <c:v>-9999999</c:v>
                </c:pt>
                <c:pt idx="20">
                  <c:v>-9999999</c:v>
                </c:pt>
                <c:pt idx="21">
                  <c:v>-9999999</c:v>
                </c:pt>
                <c:pt idx="22">
                  <c:v>-9999999</c:v>
                </c:pt>
                <c:pt idx="23">
                  <c:v>-9999999</c:v>
                </c:pt>
                <c:pt idx="24">
                  <c:v>-9999999</c:v>
                </c:pt>
                <c:pt idx="25">
                  <c:v>-9999999</c:v>
                </c:pt>
                <c:pt idx="26">
                  <c:v>-9999999</c:v>
                </c:pt>
                <c:pt idx="27">
                  <c:v>-9999999</c:v>
                </c:pt>
                <c:pt idx="28">
                  <c:v>-9999999</c:v>
                </c:pt>
                <c:pt idx="29">
                  <c:v>-9999999</c:v>
                </c:pt>
                <c:pt idx="30">
                  <c:v>-9999999</c:v>
                </c:pt>
                <c:pt idx="31">
                  <c:v>-9999999</c:v>
                </c:pt>
                <c:pt idx="32">
                  <c:v>-9999999</c:v>
                </c:pt>
                <c:pt idx="33">
                  <c:v>-9999999</c:v>
                </c:pt>
                <c:pt idx="34">
                  <c:v>-9999999</c:v>
                </c:pt>
                <c:pt idx="35">
                  <c:v>-9999999</c:v>
                </c:pt>
                <c:pt idx="36">
                  <c:v>-9999999</c:v>
                </c:pt>
                <c:pt idx="37">
                  <c:v>-9999999</c:v>
                </c:pt>
                <c:pt idx="38">
                  <c:v>-9999999</c:v>
                </c:pt>
                <c:pt idx="39">
                  <c:v>-9999999</c:v>
                </c:pt>
                <c:pt idx="40">
                  <c:v>-9999999</c:v>
                </c:pt>
                <c:pt idx="41">
                  <c:v>-9999999</c:v>
                </c:pt>
                <c:pt idx="42">
                  <c:v>-9999999</c:v>
                </c:pt>
                <c:pt idx="43">
                  <c:v>-9999999</c:v>
                </c:pt>
                <c:pt idx="44">
                  <c:v>-9999999</c:v>
                </c:pt>
                <c:pt idx="45">
                  <c:v>-9999999</c:v>
                </c:pt>
                <c:pt idx="46">
                  <c:v>-9999999</c:v>
                </c:pt>
                <c:pt idx="47">
                  <c:v>-9999999</c:v>
                </c:pt>
                <c:pt idx="48">
                  <c:v>-9999999</c:v>
                </c:pt>
                <c:pt idx="49">
                  <c:v>-9999999</c:v>
                </c:pt>
                <c:pt idx="50">
                  <c:v>-9999999</c:v>
                </c:pt>
                <c:pt idx="51">
                  <c:v>-9999999</c:v>
                </c:pt>
                <c:pt idx="52">
                  <c:v>-9999999</c:v>
                </c:pt>
                <c:pt idx="53">
                  <c:v>-9999999</c:v>
                </c:pt>
                <c:pt idx="54">
                  <c:v>-9999999</c:v>
                </c:pt>
                <c:pt idx="55">
                  <c:v>-9999999</c:v>
                </c:pt>
                <c:pt idx="56">
                  <c:v>-9999999</c:v>
                </c:pt>
                <c:pt idx="57">
                  <c:v>-9999999</c:v>
                </c:pt>
                <c:pt idx="58">
                  <c:v>-9999999</c:v>
                </c:pt>
                <c:pt idx="59">
                  <c:v>-9999999</c:v>
                </c:pt>
                <c:pt idx="60">
                  <c:v>-9999999</c:v>
                </c:pt>
                <c:pt idx="61">
                  <c:v>-9999999</c:v>
                </c:pt>
                <c:pt idx="62">
                  <c:v>-9999999</c:v>
                </c:pt>
                <c:pt idx="63">
                  <c:v>-9999999</c:v>
                </c:pt>
                <c:pt idx="64">
                  <c:v>-9999999</c:v>
                </c:pt>
                <c:pt idx="65">
                  <c:v>-9999999</c:v>
                </c:pt>
                <c:pt idx="66">
                  <c:v>-9999999</c:v>
                </c:pt>
                <c:pt idx="67">
                  <c:v>-9999999</c:v>
                </c:pt>
                <c:pt idx="68">
                  <c:v>-9999999</c:v>
                </c:pt>
                <c:pt idx="69">
                  <c:v>-9999999</c:v>
                </c:pt>
                <c:pt idx="70">
                  <c:v>-9999999</c:v>
                </c:pt>
                <c:pt idx="71">
                  <c:v>-9999999</c:v>
                </c:pt>
                <c:pt idx="72">
                  <c:v>-9999999</c:v>
                </c:pt>
                <c:pt idx="73">
                  <c:v>-9999999</c:v>
                </c:pt>
                <c:pt idx="74">
                  <c:v>-9999999</c:v>
                </c:pt>
                <c:pt idx="75">
                  <c:v>-9999999</c:v>
                </c:pt>
                <c:pt idx="76">
                  <c:v>-9999999</c:v>
                </c:pt>
                <c:pt idx="77">
                  <c:v>-9999999</c:v>
                </c:pt>
                <c:pt idx="78">
                  <c:v>-9999999</c:v>
                </c:pt>
                <c:pt idx="79">
                  <c:v>-9999999</c:v>
                </c:pt>
                <c:pt idx="80">
                  <c:v>-9999999</c:v>
                </c:pt>
                <c:pt idx="81">
                  <c:v>-9999999</c:v>
                </c:pt>
                <c:pt idx="82">
                  <c:v>-9999999</c:v>
                </c:pt>
                <c:pt idx="83">
                  <c:v>-9999999</c:v>
                </c:pt>
                <c:pt idx="84">
                  <c:v>-9999999</c:v>
                </c:pt>
                <c:pt idx="85">
                  <c:v>-9999999</c:v>
                </c:pt>
                <c:pt idx="86">
                  <c:v>-9999999</c:v>
                </c:pt>
                <c:pt idx="87">
                  <c:v>-9999999</c:v>
                </c:pt>
                <c:pt idx="88">
                  <c:v>-9999999</c:v>
                </c:pt>
                <c:pt idx="89">
                  <c:v>-9999999</c:v>
                </c:pt>
                <c:pt idx="90">
                  <c:v>-9999999</c:v>
                </c:pt>
                <c:pt idx="91">
                  <c:v>-9999999</c:v>
                </c:pt>
                <c:pt idx="92">
                  <c:v>-9999999</c:v>
                </c:pt>
                <c:pt idx="93">
                  <c:v>-9999999</c:v>
                </c:pt>
                <c:pt idx="94">
                  <c:v>-9999999</c:v>
                </c:pt>
                <c:pt idx="95">
                  <c:v>-9999999</c:v>
                </c:pt>
                <c:pt idx="96">
                  <c:v>-9999999</c:v>
                </c:pt>
                <c:pt idx="97">
                  <c:v>-9999999</c:v>
                </c:pt>
                <c:pt idx="98">
                  <c:v>-9999999</c:v>
                </c:pt>
                <c:pt idx="99">
                  <c:v>-9999999</c:v>
                </c:pt>
                <c:pt idx="100">
                  <c:v>-9999999</c:v>
                </c:pt>
                <c:pt idx="101">
                  <c:v>-9999999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</c:v>
                </c:pt>
                <c:pt idx="1">
                  <c:v>9999999</c:v>
                </c:pt>
                <c:pt idx="2">
                  <c:v>9999999</c:v>
                </c:pt>
                <c:pt idx="3">
                  <c:v>9999999</c:v>
                </c:pt>
                <c:pt idx="4">
                  <c:v>9999999</c:v>
                </c:pt>
                <c:pt idx="5">
                  <c:v>9999999</c:v>
                </c:pt>
                <c:pt idx="6">
                  <c:v>9999999</c:v>
                </c:pt>
                <c:pt idx="7">
                  <c:v>9999999</c:v>
                </c:pt>
                <c:pt idx="8">
                  <c:v>9999999</c:v>
                </c:pt>
                <c:pt idx="9">
                  <c:v>9999999</c:v>
                </c:pt>
                <c:pt idx="10">
                  <c:v>9999999</c:v>
                </c:pt>
                <c:pt idx="11">
                  <c:v>9999999</c:v>
                </c:pt>
                <c:pt idx="12">
                  <c:v>9999999</c:v>
                </c:pt>
                <c:pt idx="13">
                  <c:v>9999999</c:v>
                </c:pt>
                <c:pt idx="14">
                  <c:v>9999999</c:v>
                </c:pt>
                <c:pt idx="15">
                  <c:v>9999999</c:v>
                </c:pt>
                <c:pt idx="16">
                  <c:v>9999999</c:v>
                </c:pt>
                <c:pt idx="17">
                  <c:v>9999999</c:v>
                </c:pt>
                <c:pt idx="18">
                  <c:v>9999999</c:v>
                </c:pt>
                <c:pt idx="19">
                  <c:v>9999999</c:v>
                </c:pt>
                <c:pt idx="20">
                  <c:v>9999999</c:v>
                </c:pt>
                <c:pt idx="21">
                  <c:v>9999999</c:v>
                </c:pt>
                <c:pt idx="22">
                  <c:v>9999999</c:v>
                </c:pt>
                <c:pt idx="23">
                  <c:v>9999999</c:v>
                </c:pt>
                <c:pt idx="24">
                  <c:v>9999999</c:v>
                </c:pt>
                <c:pt idx="25">
                  <c:v>9999999</c:v>
                </c:pt>
                <c:pt idx="26">
                  <c:v>9999999</c:v>
                </c:pt>
                <c:pt idx="27">
                  <c:v>9999999</c:v>
                </c:pt>
                <c:pt idx="28">
                  <c:v>9999999</c:v>
                </c:pt>
                <c:pt idx="29">
                  <c:v>9999999</c:v>
                </c:pt>
                <c:pt idx="30">
                  <c:v>9999999</c:v>
                </c:pt>
                <c:pt idx="31">
                  <c:v>9999999</c:v>
                </c:pt>
                <c:pt idx="32">
                  <c:v>9999999</c:v>
                </c:pt>
                <c:pt idx="33">
                  <c:v>9999999</c:v>
                </c:pt>
                <c:pt idx="34">
                  <c:v>9999999</c:v>
                </c:pt>
                <c:pt idx="35">
                  <c:v>9999999</c:v>
                </c:pt>
                <c:pt idx="36">
                  <c:v>9999999</c:v>
                </c:pt>
                <c:pt idx="37">
                  <c:v>9999999</c:v>
                </c:pt>
                <c:pt idx="38">
                  <c:v>9999999</c:v>
                </c:pt>
                <c:pt idx="39">
                  <c:v>9999999</c:v>
                </c:pt>
                <c:pt idx="40">
                  <c:v>9999999</c:v>
                </c:pt>
                <c:pt idx="41">
                  <c:v>9999999</c:v>
                </c:pt>
                <c:pt idx="42">
                  <c:v>9999999</c:v>
                </c:pt>
                <c:pt idx="43">
                  <c:v>9999999</c:v>
                </c:pt>
                <c:pt idx="44">
                  <c:v>9999999</c:v>
                </c:pt>
                <c:pt idx="45">
                  <c:v>9999999</c:v>
                </c:pt>
                <c:pt idx="46">
                  <c:v>9999999</c:v>
                </c:pt>
                <c:pt idx="47">
                  <c:v>9999999</c:v>
                </c:pt>
                <c:pt idx="48">
                  <c:v>9999999</c:v>
                </c:pt>
                <c:pt idx="49">
                  <c:v>9999999</c:v>
                </c:pt>
                <c:pt idx="50">
                  <c:v>9999999</c:v>
                </c:pt>
                <c:pt idx="51">
                  <c:v>9999999</c:v>
                </c:pt>
                <c:pt idx="52">
                  <c:v>9999999</c:v>
                </c:pt>
                <c:pt idx="53">
                  <c:v>9999999</c:v>
                </c:pt>
                <c:pt idx="54">
                  <c:v>9999999</c:v>
                </c:pt>
                <c:pt idx="55">
                  <c:v>9999999</c:v>
                </c:pt>
                <c:pt idx="56">
                  <c:v>9999999</c:v>
                </c:pt>
                <c:pt idx="57">
                  <c:v>9999999</c:v>
                </c:pt>
                <c:pt idx="58">
                  <c:v>9999999</c:v>
                </c:pt>
                <c:pt idx="59">
                  <c:v>9999999</c:v>
                </c:pt>
                <c:pt idx="60">
                  <c:v>9999999</c:v>
                </c:pt>
                <c:pt idx="61">
                  <c:v>9999999</c:v>
                </c:pt>
                <c:pt idx="62">
                  <c:v>9999999</c:v>
                </c:pt>
                <c:pt idx="63">
                  <c:v>9999999</c:v>
                </c:pt>
                <c:pt idx="64">
                  <c:v>9999999</c:v>
                </c:pt>
                <c:pt idx="65">
                  <c:v>9999999</c:v>
                </c:pt>
                <c:pt idx="66">
                  <c:v>9999999</c:v>
                </c:pt>
                <c:pt idx="67">
                  <c:v>9999999</c:v>
                </c:pt>
                <c:pt idx="68">
                  <c:v>9999999</c:v>
                </c:pt>
                <c:pt idx="69">
                  <c:v>9999999</c:v>
                </c:pt>
                <c:pt idx="70">
                  <c:v>9999999</c:v>
                </c:pt>
                <c:pt idx="71">
                  <c:v>9999999</c:v>
                </c:pt>
                <c:pt idx="72">
                  <c:v>9999999</c:v>
                </c:pt>
                <c:pt idx="73">
                  <c:v>9999999</c:v>
                </c:pt>
                <c:pt idx="74">
                  <c:v>9999999</c:v>
                </c:pt>
                <c:pt idx="75">
                  <c:v>9999999</c:v>
                </c:pt>
                <c:pt idx="76">
                  <c:v>9999999</c:v>
                </c:pt>
                <c:pt idx="77">
                  <c:v>9999999</c:v>
                </c:pt>
                <c:pt idx="78">
                  <c:v>9999999</c:v>
                </c:pt>
                <c:pt idx="79">
                  <c:v>9999999</c:v>
                </c:pt>
                <c:pt idx="80">
                  <c:v>9999999</c:v>
                </c:pt>
                <c:pt idx="81">
                  <c:v>9999999</c:v>
                </c:pt>
                <c:pt idx="82">
                  <c:v>9999999</c:v>
                </c:pt>
                <c:pt idx="83">
                  <c:v>9999999</c:v>
                </c:pt>
                <c:pt idx="84">
                  <c:v>9999999</c:v>
                </c:pt>
                <c:pt idx="85">
                  <c:v>9999999</c:v>
                </c:pt>
                <c:pt idx="86">
                  <c:v>9999999</c:v>
                </c:pt>
                <c:pt idx="87">
                  <c:v>9999999</c:v>
                </c:pt>
                <c:pt idx="88">
                  <c:v>9999999</c:v>
                </c:pt>
                <c:pt idx="89">
                  <c:v>9999999</c:v>
                </c:pt>
                <c:pt idx="90">
                  <c:v>9999999</c:v>
                </c:pt>
                <c:pt idx="91">
                  <c:v>9999999</c:v>
                </c:pt>
                <c:pt idx="92">
                  <c:v>9999999</c:v>
                </c:pt>
                <c:pt idx="93">
                  <c:v>9999999</c:v>
                </c:pt>
                <c:pt idx="94">
                  <c:v>9999999</c:v>
                </c:pt>
                <c:pt idx="95">
                  <c:v>9999999</c:v>
                </c:pt>
                <c:pt idx="96">
                  <c:v>9999999</c:v>
                </c:pt>
                <c:pt idx="97">
                  <c:v>9999999</c:v>
                </c:pt>
                <c:pt idx="98">
                  <c:v>9999999</c:v>
                </c:pt>
                <c:pt idx="99">
                  <c:v>9999999</c:v>
                </c:pt>
                <c:pt idx="100">
                  <c:v>9999999</c:v>
                </c:pt>
                <c:pt idx="101">
                  <c:v>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00391536"/>
        <c:axId val="1500396976"/>
      </c:barChart>
      <c:catAx>
        <c:axId val="1500391536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697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0039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1536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0.78006</cdr:x>
      <cdr:y>0.13336</cdr:y>
    </cdr:from>
    <cdr:to>
      <cdr:x>0.97386</cdr:x>
      <cdr:y>0.22256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15616" y="66004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0.23551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569253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FFCDCC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3.9" customHeight="1" x14ac:dyDescent="0.2">
      <c r="A1" s="7" t="s">
        <v>38</v>
      </c>
    </row>
    <row r="2" spans="1:18" ht="18" customHeight="1" x14ac:dyDescent="0.25">
      <c r="B2" s="67" t="s">
        <v>69</v>
      </c>
    </row>
    <row r="3" spans="1:18" ht="13.9" customHeight="1" x14ac:dyDescent="0.2">
      <c r="B3" s="72" t="s">
        <v>70</v>
      </c>
    </row>
    <row r="4" spans="1:18" ht="13.9" customHeight="1" x14ac:dyDescent="0.2">
      <c r="B4" s="72"/>
    </row>
    <row r="5" spans="1:18" ht="13.9" customHeight="1" x14ac:dyDescent="0.2">
      <c r="B5" s="7" t="s">
        <v>84</v>
      </c>
    </row>
    <row r="6" spans="1:18" ht="13.9" customHeight="1" x14ac:dyDescent="0.2">
      <c r="B6" s="73" t="s">
        <v>85</v>
      </c>
    </row>
    <row r="7" spans="1:18" ht="13.9" customHeight="1" x14ac:dyDescent="0.3">
      <c r="B7" s="68"/>
    </row>
    <row r="8" spans="1:18" ht="13.9" customHeight="1" x14ac:dyDescent="0.25">
      <c r="B8" s="71" t="s">
        <v>71</v>
      </c>
    </row>
    <row r="9" spans="1:18" ht="13.9" customHeight="1" x14ac:dyDescent="0.2">
      <c r="B9" s="73" t="s">
        <v>72</v>
      </c>
    </row>
    <row r="10" spans="1:18" ht="13.9" customHeight="1" thickBot="1" x14ac:dyDescent="0.25">
      <c r="B10" s="69"/>
    </row>
    <row r="11" spans="1:18" ht="13.9" customHeight="1" thickTop="1" x14ac:dyDescent="0.2"/>
    <row r="12" spans="1:18" ht="13.9" customHeight="1" x14ac:dyDescent="0.25">
      <c r="B12" s="7" t="s">
        <v>73</v>
      </c>
      <c r="C12" s="70"/>
      <c r="D12" s="126" t="s">
        <v>42</v>
      </c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1:18" ht="13.9" customHeight="1" x14ac:dyDescent="0.2">
      <c r="C13" s="70"/>
      <c r="D13" s="127" t="s">
        <v>43</v>
      </c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</row>
    <row r="14" spans="1:18" ht="13.9" customHeight="1" x14ac:dyDescent="0.2">
      <c r="C14" s="70"/>
    </row>
    <row r="15" spans="1:18" ht="13.9" customHeight="1" x14ac:dyDescent="0.25">
      <c r="B15" s="7" t="s">
        <v>74</v>
      </c>
      <c r="C15" s="70"/>
      <c r="D15" s="126" t="s">
        <v>87</v>
      </c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</row>
    <row r="16" spans="1:18" ht="13.9" customHeight="1" x14ac:dyDescent="0.2">
      <c r="C16" s="70"/>
      <c r="D16" s="127" t="s">
        <v>68</v>
      </c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</row>
    <row r="17" spans="2:18" ht="13.9" customHeight="1" x14ac:dyDescent="0.2">
      <c r="C17" s="70"/>
    </row>
    <row r="18" spans="2:18" ht="13.9" customHeight="1" x14ac:dyDescent="0.25">
      <c r="B18" s="7" t="s">
        <v>75</v>
      </c>
      <c r="C18" s="70"/>
      <c r="D18" s="126" t="s">
        <v>77</v>
      </c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</row>
    <row r="19" spans="2:18" ht="13.9" customHeight="1" x14ac:dyDescent="0.2">
      <c r="C19" s="70"/>
      <c r="D19" s="127" t="s">
        <v>67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</row>
    <row r="20" spans="2:18" ht="13.9" customHeight="1" x14ac:dyDescent="0.2">
      <c r="C20" s="70"/>
    </row>
    <row r="21" spans="2:18" ht="13.9" customHeight="1" x14ac:dyDescent="0.25">
      <c r="B21" s="7" t="s">
        <v>76</v>
      </c>
      <c r="C21" s="70"/>
      <c r="D21" s="126" t="s">
        <v>54</v>
      </c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</row>
    <row r="22" spans="2:18" ht="13.9" customHeight="1" x14ac:dyDescent="0.2">
      <c r="C22" s="70"/>
      <c r="D22" s="127" t="s">
        <v>56</v>
      </c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</row>
    <row r="23" spans="2:18" ht="13.9" customHeight="1" x14ac:dyDescent="0.2">
      <c r="B23" s="106"/>
      <c r="K23" s="7" t="s">
        <v>38</v>
      </c>
    </row>
    <row r="24" spans="2:18" ht="13.9" customHeight="1" x14ac:dyDescent="0.25">
      <c r="B24" s="7" t="s">
        <v>92</v>
      </c>
      <c r="C24" s="70"/>
      <c r="D24" s="126" t="s">
        <v>93</v>
      </c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</row>
    <row r="25" spans="2:18" ht="13.9" customHeight="1" x14ac:dyDescent="0.2">
      <c r="B25" s="73" t="s">
        <v>95</v>
      </c>
      <c r="C25" s="70"/>
      <c r="D25" s="127" t="s">
        <v>94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B25" location="' Wykres 1 Chart 1'!A1" display="CHART 1"/>
    <hyperlink ref="D25:R25" location="' Wykres 1 Chart 1'!A1" display="POPULATION PYRAMID"/>
    <hyperlink ref="D24:R24" location="' Wykres 1 Chart 1'!A1" display="PIRAMIDA LUDNOŚCI"/>
    <hyperlink ref="B24" location="' Wykres 1 Chart 1'!A1" display="WYKRES 1."/>
    <hyperlink ref="B24:B25" location="'Wykres 1'!A1" display="WYKRES 1."/>
    <hyperlink ref="D24:R25" location="'Wykres 1'!A1" display="PIRAMIDA LUDNOŚCI"/>
    <hyperlink ref="B21" location="'Tabl. 4'!A1" display="TABL. 4."/>
    <hyperlink ref="D22" location="'Tabl. 4'!A1" display="VITAL STATISTICS"/>
    <hyperlink ref="D21" location="'Tabl. 4'!A1" display="RUCH NATURALNY I MIGRACYJNY LUDNOŚCI"/>
    <hyperlink ref="B18" location="'Tabl. 3'!A1" display="TABL. 3."/>
    <hyperlink ref="D19" location="'Tabl. 3'!A1" display="POPULATION BY SEX AND SELECTED GROUPS OF AGE"/>
    <hyperlink ref="D18" location="'Tabl. 3'!A1" display="LUDNOŚĆ WEDŁUG PŁCI I WYBRANYCH GRUP WIEKU"/>
    <hyperlink ref="B15" location="'Tabl. 2'!A1" display="TABL. 2."/>
    <hyperlink ref="D16" location="'Tabl. 2'!A1" display="POPULATION BY SEX AND 5-YEAR AGE GROUPS"/>
    <hyperlink ref="D15" location="'Tabl. 2'!A1" display="LUDNOŚĆ WEDŁUG PŁCI I PIECIOLETNICH GRUP WIEKU"/>
    <hyperlink ref="B12" location="'Tabl. 1'!A1" display="TABL. 1."/>
    <hyperlink ref="D13" location="'Tabl. 1'!A1" display="POPULATION BY SEX AND SINGLE YEAR OF AGE"/>
    <hyperlink ref="D12" location="'Tabl. 1'!A1" display="LUDNOŚĆ WEDŁUG PŁCI I POJEDYNCZYCH ROCZNIKÓW WIEKU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FF6966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9" customFormat="1" ht="22.9" customHeight="1" x14ac:dyDescent="0.2">
      <c r="A1" s="75"/>
      <c r="B1" s="75"/>
      <c r="C1" s="76" t="s">
        <v>44</v>
      </c>
      <c r="D1" s="77"/>
      <c r="E1" s="77"/>
      <c r="F1" s="77"/>
      <c r="G1" s="77"/>
      <c r="H1" s="77"/>
      <c r="I1" s="77"/>
      <c r="J1" s="77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80"/>
    </row>
    <row r="2" spans="1:41" ht="12" customHeight="1" x14ac:dyDescent="0.2">
      <c r="A2" s="130" t="s">
        <v>82</v>
      </c>
      <c r="B2" s="130"/>
      <c r="D2" s="33" t="s">
        <v>40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131" t="s">
        <v>83</v>
      </c>
      <c r="B3" s="131"/>
      <c r="D3" s="29" t="s">
        <v>43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41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 t="s">
        <v>38</v>
      </c>
      <c r="D5" s="33" t="s">
        <v>49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105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0" t="s">
        <v>46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8" t="s">
        <v>47</v>
      </c>
      <c r="B8" s="14" t="s">
        <v>48</v>
      </c>
      <c r="C8" s="15" t="n">
        <v>1640622.0</v>
      </c>
      <c r="D8" s="15" t="n">
        <v>1631393.0</v>
      </c>
      <c r="E8" s="15" t="n">
        <v>1621542.0</v>
      </c>
      <c r="F8" s="15" t="n">
        <v>1611085.0</v>
      </c>
      <c r="G8" s="15" t="n">
        <v>1600205.0</v>
      </c>
      <c r="H8" s="15" t="n">
        <v>1590763.0</v>
      </c>
      <c r="I8" s="15" t="n">
        <v>1581517.0</v>
      </c>
      <c r="J8" s="15" t="n">
        <v>1570383.0</v>
      </c>
      <c r="K8" s="15" t="n">
        <v>1558073.0</v>
      </c>
      <c r="L8" s="15" t="n">
        <v>1545067.0</v>
      </c>
      <c r="M8" s="15" t="n">
        <v>1531468.0</v>
      </c>
      <c r="N8" s="15" t="n">
        <v>1517308.0</v>
      </c>
      <c r="O8" s="15" t="n">
        <v>1502766.0</v>
      </c>
      <c r="P8" s="15" t="n">
        <v>1487737.0</v>
      </c>
      <c r="Q8" s="15" t="n">
        <v>1472511.0</v>
      </c>
      <c r="R8" s="15" t="n">
        <v>1456837.0</v>
      </c>
      <c r="S8" s="15" t="n">
        <v>1440943.0</v>
      </c>
      <c r="T8" s="15" t="n">
        <v>1424644.0</v>
      </c>
      <c r="U8" s="15" t="n">
        <v>1408257.0</v>
      </c>
      <c r="V8" s="15" t="n">
        <v>1391643.0</v>
      </c>
      <c r="W8" s="15" t="n">
        <v>1374933.0</v>
      </c>
      <c r="X8" s="15" t="n">
        <v>1358068.0</v>
      </c>
      <c r="Y8" s="15" t="n">
        <v>1341105.0</v>
      </c>
      <c r="Z8" s="15" t="n">
        <v>1324059.0</v>
      </c>
      <c r="AA8" s="15" t="n">
        <v>1306967.0</v>
      </c>
      <c r="AB8" s="15" t="n">
        <v>1289932.0</v>
      </c>
      <c r="AC8" s="15" t="n">
        <v>1272864.0</v>
      </c>
      <c r="AD8" s="15" t="n">
        <v>1255677.0</v>
      </c>
      <c r="AE8" s="15" t="n">
        <v>1238650.0</v>
      </c>
      <c r="AF8" s="15" t="n">
        <v>1221549.0</v>
      </c>
      <c r="AG8" s="15" t="n">
        <v>1204439.0</v>
      </c>
      <c r="AH8" s="15" t="n">
        <v>1187393.0</v>
      </c>
      <c r="AI8" s="15" t="n">
        <v>1170215.0</v>
      </c>
      <c r="AJ8" s="15" t="n">
        <v>1152981.0</v>
      </c>
      <c r="AK8" s="15" t="n">
        <v>1135709.0</v>
      </c>
      <c r="AL8" s="15" t="n">
        <v>1118314.0</v>
      </c>
      <c r="AM8" s="15" t="n">
        <v>1100800.0</v>
      </c>
      <c r="AN8" s="15" t="n">
        <v>1083149.0</v>
      </c>
      <c r="AO8" s="15" t="n">
        <v>1065474.0</v>
      </c>
    </row>
    <row r="9" spans="1:41" x14ac:dyDescent="0.2">
      <c r="A9" s="128"/>
      <c r="B9" s="9">
        <v>0</v>
      </c>
      <c r="C9" s="3" t="n">
        <v>11420.0</v>
      </c>
      <c r="D9" s="3" t="n">
        <v>10814.0</v>
      </c>
      <c r="E9" s="3" t="n">
        <v>10401.0</v>
      </c>
      <c r="F9" s="3" t="n">
        <v>10034.0</v>
      </c>
      <c r="G9" s="3" t="n">
        <v>9741.0</v>
      </c>
      <c r="H9" s="3" t="n">
        <v>9454.0</v>
      </c>
      <c r="I9" s="3" t="n">
        <v>9248.0</v>
      </c>
      <c r="J9" s="3" t="n">
        <v>9050.0</v>
      </c>
      <c r="K9" s="3" t="n">
        <v>8874.0</v>
      </c>
      <c r="L9" s="3" t="n">
        <v>8725.0</v>
      </c>
      <c r="M9" s="3" t="n">
        <v>8589.0</v>
      </c>
      <c r="N9" s="3" t="n">
        <v>8484.0</v>
      </c>
      <c r="O9" s="3" t="n">
        <v>8406.0</v>
      </c>
      <c r="P9" s="3" t="n">
        <v>8330.0</v>
      </c>
      <c r="Q9" s="3" t="n">
        <v>8304.0</v>
      </c>
      <c r="R9" s="3" t="n">
        <v>8274.0</v>
      </c>
      <c r="S9" s="3" t="n">
        <v>8261.0</v>
      </c>
      <c r="T9" s="3" t="n">
        <v>8246.0</v>
      </c>
      <c r="U9" s="3" t="n">
        <v>8222.0</v>
      </c>
      <c r="V9" s="3" t="n">
        <v>8177.0</v>
      </c>
      <c r="W9" s="3" t="n">
        <v>8141.0</v>
      </c>
      <c r="X9" s="3" t="n">
        <v>8082.0</v>
      </c>
      <c r="Y9" s="3" t="n">
        <v>8001.0</v>
      </c>
      <c r="Z9" s="3" t="n">
        <v>7897.0</v>
      </c>
      <c r="AA9" s="3" t="n">
        <v>7777.0</v>
      </c>
      <c r="AB9" s="3" t="n">
        <v>7617.0</v>
      </c>
      <c r="AC9" s="3" t="n">
        <v>7451.0</v>
      </c>
      <c r="AD9" s="3" t="n">
        <v>7243.0</v>
      </c>
      <c r="AE9" s="3" t="n">
        <v>7057.0</v>
      </c>
      <c r="AF9" s="3" t="n">
        <v>6852.0</v>
      </c>
      <c r="AG9" s="3" t="n">
        <v>6625.0</v>
      </c>
      <c r="AH9" s="3" t="n">
        <v>6416.0</v>
      </c>
      <c r="AI9" s="3" t="n">
        <v>6190.0</v>
      </c>
      <c r="AJ9" s="3" t="n">
        <v>5969.0</v>
      </c>
      <c r="AK9" s="3" t="n">
        <v>5763.0</v>
      </c>
      <c r="AL9" s="3" t="n">
        <v>5565.0</v>
      </c>
      <c r="AM9" s="3" t="n">
        <v>5371.0</v>
      </c>
      <c r="AN9" s="3" t="n">
        <v>5195.0</v>
      </c>
      <c r="AO9" s="3" t="n">
        <v>5047.0</v>
      </c>
    </row>
    <row r="10" spans="1:41" x14ac:dyDescent="0.2">
      <c r="A10" s="128"/>
      <c r="B10" s="9">
        <v>1</v>
      </c>
      <c r="C10" s="3" t="n">
        <v>12795.0</v>
      </c>
      <c r="D10" s="3" t="n">
        <v>11464.0</v>
      </c>
      <c r="E10" s="3" t="n">
        <v>10869.0</v>
      </c>
      <c r="F10" s="3" t="n">
        <v>10451.0</v>
      </c>
      <c r="G10" s="3" t="n">
        <v>10080.0</v>
      </c>
      <c r="H10" s="3" t="n">
        <v>9815.0</v>
      </c>
      <c r="I10" s="3" t="n">
        <v>9533.0</v>
      </c>
      <c r="J10" s="3" t="n">
        <v>9310.0</v>
      </c>
      <c r="K10" s="3" t="n">
        <v>9108.0</v>
      </c>
      <c r="L10" s="3" t="n">
        <v>8926.0</v>
      </c>
      <c r="M10" s="3" t="n">
        <v>8776.0</v>
      </c>
      <c r="N10" s="3" t="n">
        <v>8638.0</v>
      </c>
      <c r="O10" s="3" t="n">
        <v>8529.0</v>
      </c>
      <c r="P10" s="3" t="n">
        <v>8447.0</v>
      </c>
      <c r="Q10" s="3" t="n">
        <v>8369.0</v>
      </c>
      <c r="R10" s="3" t="n">
        <v>8342.0</v>
      </c>
      <c r="S10" s="3" t="n">
        <v>8310.0</v>
      </c>
      <c r="T10" s="3" t="n">
        <v>8297.0</v>
      </c>
      <c r="U10" s="3" t="n">
        <v>8282.0</v>
      </c>
      <c r="V10" s="3" t="n">
        <v>8257.0</v>
      </c>
      <c r="W10" s="3" t="n">
        <v>8213.0</v>
      </c>
      <c r="X10" s="3" t="n">
        <v>8183.0</v>
      </c>
      <c r="Y10" s="3" t="n">
        <v>8125.0</v>
      </c>
      <c r="Z10" s="3" t="n">
        <v>8047.0</v>
      </c>
      <c r="AA10" s="3" t="n">
        <v>7941.0</v>
      </c>
      <c r="AB10" s="3" t="n">
        <v>7821.0</v>
      </c>
      <c r="AC10" s="3" t="n">
        <v>7663.0</v>
      </c>
      <c r="AD10" s="3" t="n">
        <v>7502.0</v>
      </c>
      <c r="AE10" s="3" t="n">
        <v>7297.0</v>
      </c>
      <c r="AF10" s="3" t="n">
        <v>7107.0</v>
      </c>
      <c r="AG10" s="3" t="n">
        <v>6902.0</v>
      </c>
      <c r="AH10" s="3" t="n">
        <v>6673.0</v>
      </c>
      <c r="AI10" s="3" t="n">
        <v>6463.0</v>
      </c>
      <c r="AJ10" s="3" t="n">
        <v>6241.0</v>
      </c>
      <c r="AK10" s="3" t="n">
        <v>6021.0</v>
      </c>
      <c r="AL10" s="3" t="n">
        <v>5815.0</v>
      </c>
      <c r="AM10" s="3" t="n">
        <v>5620.0</v>
      </c>
      <c r="AN10" s="3" t="n">
        <v>5427.0</v>
      </c>
      <c r="AO10" s="3" t="n">
        <v>5252.0</v>
      </c>
    </row>
    <row r="11" spans="1:41" x14ac:dyDescent="0.2">
      <c r="A11" s="128"/>
      <c r="B11" s="9">
        <v>2</v>
      </c>
      <c r="C11" s="3" t="n">
        <v>13454.0</v>
      </c>
      <c r="D11" s="3" t="n">
        <v>12822.0</v>
      </c>
      <c r="E11" s="3" t="n">
        <v>11501.0</v>
      </c>
      <c r="F11" s="3" t="n">
        <v>10903.0</v>
      </c>
      <c r="G11" s="3" t="n">
        <v>10494.0</v>
      </c>
      <c r="H11" s="3" t="n">
        <v>10165.0</v>
      </c>
      <c r="I11" s="3" t="n">
        <v>9903.0</v>
      </c>
      <c r="J11" s="3" t="n">
        <v>9599.0</v>
      </c>
      <c r="K11" s="3" t="n">
        <v>9351.0</v>
      </c>
      <c r="L11" s="3" t="n">
        <v>9145.0</v>
      </c>
      <c r="M11" s="3" t="n">
        <v>8961.0</v>
      </c>
      <c r="N11" s="3" t="n">
        <v>8809.0</v>
      </c>
      <c r="O11" s="3" t="n">
        <v>8669.0</v>
      </c>
      <c r="P11" s="3" t="n">
        <v>8562.0</v>
      </c>
      <c r="Q11" s="3" t="n">
        <v>8477.0</v>
      </c>
      <c r="R11" s="3" t="n">
        <v>8401.0</v>
      </c>
      <c r="S11" s="3" t="n">
        <v>8372.0</v>
      </c>
      <c r="T11" s="3" t="n">
        <v>8340.0</v>
      </c>
      <c r="U11" s="3" t="n">
        <v>8326.0</v>
      </c>
      <c r="V11" s="3" t="n">
        <v>8312.0</v>
      </c>
      <c r="W11" s="3" t="n">
        <v>8287.0</v>
      </c>
      <c r="X11" s="3" t="n">
        <v>8245.0</v>
      </c>
      <c r="Y11" s="3" t="n">
        <v>8218.0</v>
      </c>
      <c r="Z11" s="3" t="n">
        <v>8160.0</v>
      </c>
      <c r="AA11" s="3" t="n">
        <v>8082.0</v>
      </c>
      <c r="AB11" s="3" t="n">
        <v>7978.0</v>
      </c>
      <c r="AC11" s="3" t="n">
        <v>7858.0</v>
      </c>
      <c r="AD11" s="3" t="n">
        <v>7704.0</v>
      </c>
      <c r="AE11" s="3" t="n">
        <v>7544.0</v>
      </c>
      <c r="AF11" s="3" t="n">
        <v>7338.0</v>
      </c>
      <c r="AG11" s="3" t="n">
        <v>7147.0</v>
      </c>
      <c r="AH11" s="3" t="n">
        <v>6942.0</v>
      </c>
      <c r="AI11" s="3" t="n">
        <v>6708.0</v>
      </c>
      <c r="AJ11" s="3" t="n">
        <v>6495.0</v>
      </c>
      <c r="AK11" s="3" t="n">
        <v>6278.0</v>
      </c>
      <c r="AL11" s="3" t="n">
        <v>6060.0</v>
      </c>
      <c r="AM11" s="3" t="n">
        <v>5854.0</v>
      </c>
      <c r="AN11" s="3" t="n">
        <v>5659.0</v>
      </c>
      <c r="AO11" s="3" t="n">
        <v>5467.0</v>
      </c>
    </row>
    <row r="12" spans="1:41" x14ac:dyDescent="0.2">
      <c r="A12" s="128"/>
      <c r="B12" s="9">
        <v>3</v>
      </c>
      <c r="C12" s="3" t="n">
        <v>14511.0</v>
      </c>
      <c r="D12" s="3" t="n">
        <v>13488.0</v>
      </c>
      <c r="E12" s="3" t="n">
        <v>12849.0</v>
      </c>
      <c r="F12" s="3" t="n">
        <v>11538.0</v>
      </c>
      <c r="G12" s="3" t="n">
        <v>10945.0</v>
      </c>
      <c r="H12" s="3" t="n">
        <v>10570.0</v>
      </c>
      <c r="I12" s="3" t="n">
        <v>10260.0</v>
      </c>
      <c r="J12" s="3" t="n">
        <v>9966.0</v>
      </c>
      <c r="K12" s="3" t="n">
        <v>9652.0</v>
      </c>
      <c r="L12" s="3" t="n">
        <v>9396.0</v>
      </c>
      <c r="M12" s="3" t="n">
        <v>9190.0</v>
      </c>
      <c r="N12" s="3" t="n">
        <v>9003.0</v>
      </c>
      <c r="O12" s="3" t="n">
        <v>8844.0</v>
      </c>
      <c r="P12" s="3" t="n">
        <v>8701.0</v>
      </c>
      <c r="Q12" s="3" t="n">
        <v>8592.0</v>
      </c>
      <c r="R12" s="3" t="n">
        <v>8508.0</v>
      </c>
      <c r="S12" s="3" t="n">
        <v>8431.0</v>
      </c>
      <c r="T12" s="3" t="n">
        <v>8399.0</v>
      </c>
      <c r="U12" s="3" t="n">
        <v>8368.0</v>
      </c>
      <c r="V12" s="3" t="n">
        <v>8353.0</v>
      </c>
      <c r="W12" s="3" t="n">
        <v>8339.0</v>
      </c>
      <c r="X12" s="3" t="n">
        <v>8313.0</v>
      </c>
      <c r="Y12" s="3" t="n">
        <v>8272.0</v>
      </c>
      <c r="Z12" s="3" t="n">
        <v>8247.0</v>
      </c>
      <c r="AA12" s="3" t="n">
        <v>8188.0</v>
      </c>
      <c r="AB12" s="3" t="n">
        <v>8110.0</v>
      </c>
      <c r="AC12" s="3" t="n">
        <v>8007.0</v>
      </c>
      <c r="AD12" s="3" t="n">
        <v>7894.0</v>
      </c>
      <c r="AE12" s="3" t="n">
        <v>7742.0</v>
      </c>
      <c r="AF12" s="3" t="n">
        <v>7583.0</v>
      </c>
      <c r="AG12" s="3" t="n">
        <v>7379.0</v>
      </c>
      <c r="AH12" s="3" t="n">
        <v>7189.0</v>
      </c>
      <c r="AI12" s="3" t="n">
        <v>6984.0</v>
      </c>
      <c r="AJ12" s="3" t="n">
        <v>6750.0</v>
      </c>
      <c r="AK12" s="3" t="n">
        <v>6539.0</v>
      </c>
      <c r="AL12" s="3" t="n">
        <v>6320.0</v>
      </c>
      <c r="AM12" s="3" t="n">
        <v>6100.0</v>
      </c>
      <c r="AN12" s="3" t="n">
        <v>5898.0</v>
      </c>
      <c r="AO12" s="3" t="n">
        <v>5696.0</v>
      </c>
    </row>
    <row r="13" spans="1:41" x14ac:dyDescent="0.2">
      <c r="A13" s="128"/>
      <c r="B13" s="9">
        <v>4</v>
      </c>
      <c r="C13" s="3" t="n">
        <v>15416.0</v>
      </c>
      <c r="D13" s="3" t="n">
        <v>14537.0</v>
      </c>
      <c r="E13" s="3" t="n">
        <v>13518.0</v>
      </c>
      <c r="F13" s="3" t="n">
        <v>12873.0</v>
      </c>
      <c r="G13" s="3" t="n">
        <v>11566.0</v>
      </c>
      <c r="H13" s="3" t="n">
        <v>11019.0</v>
      </c>
      <c r="I13" s="3" t="n">
        <v>10663.0</v>
      </c>
      <c r="J13" s="3" t="n">
        <v>10329.0</v>
      </c>
      <c r="K13" s="3" t="n">
        <v>10017.0</v>
      </c>
      <c r="L13" s="3" t="n">
        <v>9689.0</v>
      </c>
      <c r="M13" s="3" t="n">
        <v>9432.0</v>
      </c>
      <c r="N13" s="3" t="n">
        <v>9224.0</v>
      </c>
      <c r="O13" s="3" t="n">
        <v>9035.0</v>
      </c>
      <c r="P13" s="3" t="n">
        <v>8873.0</v>
      </c>
      <c r="Q13" s="3" t="n">
        <v>8728.0</v>
      </c>
      <c r="R13" s="3" t="n">
        <v>8618.0</v>
      </c>
      <c r="S13" s="3" t="n">
        <v>8534.0</v>
      </c>
      <c r="T13" s="3" t="n">
        <v>8455.0</v>
      </c>
      <c r="U13" s="3" t="n">
        <v>8423.0</v>
      </c>
      <c r="V13" s="3" t="n">
        <v>8393.0</v>
      </c>
      <c r="W13" s="3" t="n">
        <v>8377.0</v>
      </c>
      <c r="X13" s="3" t="n">
        <v>8365.0</v>
      </c>
      <c r="Y13" s="3" t="n">
        <v>8339.0</v>
      </c>
      <c r="Z13" s="3" t="n">
        <v>8297.0</v>
      </c>
      <c r="AA13" s="3" t="n">
        <v>8272.0</v>
      </c>
      <c r="AB13" s="3" t="n">
        <v>8214.0</v>
      </c>
      <c r="AC13" s="3" t="n">
        <v>8135.0</v>
      </c>
      <c r="AD13" s="3" t="n">
        <v>8035.0</v>
      </c>
      <c r="AE13" s="3" t="n">
        <v>7926.0</v>
      </c>
      <c r="AF13" s="3" t="n">
        <v>7775.0</v>
      </c>
      <c r="AG13" s="3" t="n">
        <v>7614.0</v>
      </c>
      <c r="AH13" s="3" t="n">
        <v>7414.0</v>
      </c>
      <c r="AI13" s="3" t="n">
        <v>7220.0</v>
      </c>
      <c r="AJ13" s="3" t="n">
        <v>7016.0</v>
      </c>
      <c r="AK13" s="3" t="n">
        <v>6784.0</v>
      </c>
      <c r="AL13" s="3" t="n">
        <v>6574.0</v>
      </c>
      <c r="AM13" s="3" t="n">
        <v>6355.0</v>
      </c>
      <c r="AN13" s="3" t="n">
        <v>6141.0</v>
      </c>
      <c r="AO13" s="3" t="n">
        <v>5935.0</v>
      </c>
    </row>
    <row r="14" spans="1:41" x14ac:dyDescent="0.2">
      <c r="A14" s="128"/>
      <c r="B14" s="9">
        <v>5</v>
      </c>
      <c r="C14" s="3" t="n">
        <v>16594.0</v>
      </c>
      <c r="D14" s="3" t="n">
        <v>15431.0</v>
      </c>
      <c r="E14" s="3" t="n">
        <v>14558.0</v>
      </c>
      <c r="F14" s="3" t="n">
        <v>13538.0</v>
      </c>
      <c r="G14" s="3" t="n">
        <v>12910.0</v>
      </c>
      <c r="H14" s="3" t="n">
        <v>11645.0</v>
      </c>
      <c r="I14" s="3" t="n">
        <v>11111.0</v>
      </c>
      <c r="J14" s="3" t="n">
        <v>10721.0</v>
      </c>
      <c r="K14" s="3" t="n">
        <v>10369.0</v>
      </c>
      <c r="L14" s="3" t="n">
        <v>10057.0</v>
      </c>
      <c r="M14" s="3" t="n">
        <v>9724.0</v>
      </c>
      <c r="N14" s="3" t="n">
        <v>9467.0</v>
      </c>
      <c r="O14" s="3" t="n">
        <v>9252.0</v>
      </c>
      <c r="P14" s="3" t="n">
        <v>9061.0</v>
      </c>
      <c r="Q14" s="3" t="n">
        <v>8901.0</v>
      </c>
      <c r="R14" s="3" t="n">
        <v>8756.0</v>
      </c>
      <c r="S14" s="3" t="n">
        <v>8645.0</v>
      </c>
      <c r="T14" s="3" t="n">
        <v>8557.0</v>
      </c>
      <c r="U14" s="3" t="n">
        <v>8478.0</v>
      </c>
      <c r="V14" s="3" t="n">
        <v>8446.0</v>
      </c>
      <c r="W14" s="3" t="n">
        <v>8415.0</v>
      </c>
      <c r="X14" s="3" t="n">
        <v>8398.0</v>
      </c>
      <c r="Y14" s="3" t="n">
        <v>8386.0</v>
      </c>
      <c r="Z14" s="3" t="n">
        <v>8359.0</v>
      </c>
      <c r="AA14" s="3" t="n">
        <v>8318.0</v>
      </c>
      <c r="AB14" s="3" t="n">
        <v>8293.0</v>
      </c>
      <c r="AC14" s="3" t="n">
        <v>8236.0</v>
      </c>
      <c r="AD14" s="3" t="n">
        <v>8156.0</v>
      </c>
      <c r="AE14" s="3" t="n">
        <v>8059.0</v>
      </c>
      <c r="AF14" s="3" t="n">
        <v>7950.0</v>
      </c>
      <c r="AG14" s="3" t="n">
        <v>7801.0</v>
      </c>
      <c r="AH14" s="3" t="n">
        <v>7643.0</v>
      </c>
      <c r="AI14" s="3" t="n">
        <v>7444.0</v>
      </c>
      <c r="AJ14" s="3" t="n">
        <v>7249.0</v>
      </c>
      <c r="AK14" s="3" t="n">
        <v>7043.0</v>
      </c>
      <c r="AL14" s="3" t="n">
        <v>6813.0</v>
      </c>
      <c r="AM14" s="3" t="n">
        <v>6602.0</v>
      </c>
      <c r="AN14" s="3" t="n">
        <v>6384.0</v>
      </c>
      <c r="AO14" s="3" t="n">
        <v>6169.0</v>
      </c>
    </row>
    <row r="15" spans="1:41" x14ac:dyDescent="0.2">
      <c r="A15" s="128"/>
      <c r="B15" s="9">
        <v>6</v>
      </c>
      <c r="C15" s="3" t="n">
        <v>16158.0</v>
      </c>
      <c r="D15" s="3" t="n">
        <v>16622.0</v>
      </c>
      <c r="E15" s="3" t="n">
        <v>15461.0</v>
      </c>
      <c r="F15" s="3" t="n">
        <v>14590.0</v>
      </c>
      <c r="G15" s="3" t="n">
        <v>13562.0</v>
      </c>
      <c r="H15" s="3" t="n">
        <v>12982.0</v>
      </c>
      <c r="I15" s="3" t="n">
        <v>11741.0</v>
      </c>
      <c r="J15" s="3" t="n">
        <v>11175.0</v>
      </c>
      <c r="K15" s="3" t="n">
        <v>10763.0</v>
      </c>
      <c r="L15" s="3" t="n">
        <v>10401.0</v>
      </c>
      <c r="M15" s="3" t="n">
        <v>10092.0</v>
      </c>
      <c r="N15" s="3" t="n">
        <v>9757.0</v>
      </c>
      <c r="O15" s="3" t="n">
        <v>9498.0</v>
      </c>
      <c r="P15" s="3" t="n">
        <v>9276.0</v>
      </c>
      <c r="Q15" s="3" t="n">
        <v>9085.0</v>
      </c>
      <c r="R15" s="3" t="n">
        <v>8925.0</v>
      </c>
      <c r="S15" s="3" t="n">
        <v>8777.0</v>
      </c>
      <c r="T15" s="3" t="n">
        <v>8666.0</v>
      </c>
      <c r="U15" s="3" t="n">
        <v>8577.0</v>
      </c>
      <c r="V15" s="3" t="n">
        <v>8497.0</v>
      </c>
      <c r="W15" s="3" t="n">
        <v>8466.0</v>
      </c>
      <c r="X15" s="3" t="n">
        <v>8433.0</v>
      </c>
      <c r="Y15" s="3" t="n">
        <v>8416.0</v>
      </c>
      <c r="Z15" s="3" t="n">
        <v>8406.0</v>
      </c>
      <c r="AA15" s="3" t="n">
        <v>8380.0</v>
      </c>
      <c r="AB15" s="3" t="n">
        <v>8341.0</v>
      </c>
      <c r="AC15" s="3" t="n">
        <v>8317.0</v>
      </c>
      <c r="AD15" s="3" t="n">
        <v>8260.0</v>
      </c>
      <c r="AE15" s="3" t="n">
        <v>8179.0</v>
      </c>
      <c r="AF15" s="3" t="n">
        <v>8086.0</v>
      </c>
      <c r="AG15" s="3" t="n">
        <v>7981.0</v>
      </c>
      <c r="AH15" s="3" t="n">
        <v>7833.0</v>
      </c>
      <c r="AI15" s="3" t="n">
        <v>7674.0</v>
      </c>
      <c r="AJ15" s="3" t="n">
        <v>7477.0</v>
      </c>
      <c r="AK15" s="3" t="n">
        <v>7280.0</v>
      </c>
      <c r="AL15" s="3" t="n">
        <v>7071.0</v>
      </c>
      <c r="AM15" s="3" t="n">
        <v>6840.0</v>
      </c>
      <c r="AN15" s="3" t="n">
        <v>6629.0</v>
      </c>
      <c r="AO15" s="3" t="n">
        <v>6412.0</v>
      </c>
    </row>
    <row r="16" spans="1:41" x14ac:dyDescent="0.2">
      <c r="A16" s="128"/>
      <c r="B16" s="9">
        <v>7</v>
      </c>
      <c r="C16" s="3" t="n">
        <v>15837.0</v>
      </c>
      <c r="D16" s="3" t="n">
        <v>16167.0</v>
      </c>
      <c r="E16" s="3" t="n">
        <v>16633.0</v>
      </c>
      <c r="F16" s="3" t="n">
        <v>15477.0</v>
      </c>
      <c r="G16" s="3" t="n">
        <v>14611.0</v>
      </c>
      <c r="H16" s="3" t="n">
        <v>13624.0</v>
      </c>
      <c r="I16" s="3" t="n">
        <v>13065.0</v>
      </c>
      <c r="J16" s="3" t="n">
        <v>11788.0</v>
      </c>
      <c r="K16" s="3" t="n">
        <v>11211.0</v>
      </c>
      <c r="L16" s="3" t="n">
        <v>10799.0</v>
      </c>
      <c r="M16" s="3" t="n">
        <v>10430.0</v>
      </c>
      <c r="N16" s="3" t="n">
        <v>10126.0</v>
      </c>
      <c r="O16" s="3" t="n">
        <v>9786.0</v>
      </c>
      <c r="P16" s="3" t="n">
        <v>9524.0</v>
      </c>
      <c r="Q16" s="3" t="n">
        <v>9303.0</v>
      </c>
      <c r="R16" s="3" t="n">
        <v>9108.0</v>
      </c>
      <c r="S16" s="3" t="n">
        <v>8946.0</v>
      </c>
      <c r="T16" s="3" t="n">
        <v>8793.0</v>
      </c>
      <c r="U16" s="3" t="n">
        <v>8682.0</v>
      </c>
      <c r="V16" s="3" t="n">
        <v>8593.0</v>
      </c>
      <c r="W16" s="3" t="n">
        <v>8515.0</v>
      </c>
      <c r="X16" s="3" t="n">
        <v>8482.0</v>
      </c>
      <c r="Y16" s="3" t="n">
        <v>8447.0</v>
      </c>
      <c r="Z16" s="3" t="n">
        <v>8429.0</v>
      </c>
      <c r="AA16" s="3" t="n">
        <v>8420.0</v>
      </c>
      <c r="AB16" s="3" t="n">
        <v>8394.0</v>
      </c>
      <c r="AC16" s="3" t="n">
        <v>8354.0</v>
      </c>
      <c r="AD16" s="3" t="n">
        <v>8330.0</v>
      </c>
      <c r="AE16" s="3" t="n">
        <v>8272.0</v>
      </c>
      <c r="AF16" s="3" t="n">
        <v>8191.0</v>
      </c>
      <c r="AG16" s="3" t="n">
        <v>8097.0</v>
      </c>
      <c r="AH16" s="3" t="n">
        <v>7993.0</v>
      </c>
      <c r="AI16" s="3" t="n">
        <v>7844.0</v>
      </c>
      <c r="AJ16" s="3" t="n">
        <v>7688.0</v>
      </c>
      <c r="AK16" s="3" t="n">
        <v>7490.0</v>
      </c>
      <c r="AL16" s="3" t="n">
        <v>7292.0</v>
      </c>
      <c r="AM16" s="3" t="n">
        <v>7086.0</v>
      </c>
      <c r="AN16" s="3" t="n">
        <v>6857.0</v>
      </c>
      <c r="AO16" s="3" t="n">
        <v>6643.0</v>
      </c>
    </row>
    <row r="17" spans="1:41" x14ac:dyDescent="0.2">
      <c r="A17" s="128"/>
      <c r="B17" s="9">
        <v>8</v>
      </c>
      <c r="C17" s="3" t="n">
        <v>16150.0</v>
      </c>
      <c r="D17" s="3" t="n">
        <v>15831.0</v>
      </c>
      <c r="E17" s="3" t="n">
        <v>16162.0</v>
      </c>
      <c r="F17" s="3" t="n">
        <v>16630.0</v>
      </c>
      <c r="G17" s="3" t="n">
        <v>15478.0</v>
      </c>
      <c r="H17" s="3" t="n">
        <v>14682.0</v>
      </c>
      <c r="I17" s="3" t="n">
        <v>13714.0</v>
      </c>
      <c r="J17" s="3" t="n">
        <v>13111.0</v>
      </c>
      <c r="K17" s="3" t="n">
        <v>11808.0</v>
      </c>
      <c r="L17" s="3" t="n">
        <v>11228.0</v>
      </c>
      <c r="M17" s="3" t="n">
        <v>10821.0</v>
      </c>
      <c r="N17" s="3" t="n">
        <v>10444.0</v>
      </c>
      <c r="O17" s="3" t="n">
        <v>10135.0</v>
      </c>
      <c r="P17" s="3" t="n">
        <v>9795.0</v>
      </c>
      <c r="Q17" s="3" t="n">
        <v>9535.0</v>
      </c>
      <c r="R17" s="3" t="n">
        <v>9313.0</v>
      </c>
      <c r="S17" s="3" t="n">
        <v>9117.0</v>
      </c>
      <c r="T17" s="3" t="n">
        <v>8954.0</v>
      </c>
      <c r="U17" s="3" t="n">
        <v>8801.0</v>
      </c>
      <c r="V17" s="3" t="n">
        <v>8688.0</v>
      </c>
      <c r="W17" s="3" t="n">
        <v>8599.0</v>
      </c>
      <c r="X17" s="3" t="n">
        <v>8520.0</v>
      </c>
      <c r="Y17" s="3" t="n">
        <v>8485.0</v>
      </c>
      <c r="Z17" s="3" t="n">
        <v>8451.0</v>
      </c>
      <c r="AA17" s="3" t="n">
        <v>8433.0</v>
      </c>
      <c r="AB17" s="3" t="n">
        <v>8423.0</v>
      </c>
      <c r="AC17" s="3" t="n">
        <v>8395.0</v>
      </c>
      <c r="AD17" s="3" t="n">
        <v>8356.0</v>
      </c>
      <c r="AE17" s="3" t="n">
        <v>8332.0</v>
      </c>
      <c r="AF17" s="3" t="n">
        <v>8275.0</v>
      </c>
      <c r="AG17" s="3" t="n">
        <v>8195.0</v>
      </c>
      <c r="AH17" s="3" t="n">
        <v>8101.0</v>
      </c>
      <c r="AI17" s="3" t="n">
        <v>7996.0</v>
      </c>
      <c r="AJ17" s="3" t="n">
        <v>7850.0</v>
      </c>
      <c r="AK17" s="3" t="n">
        <v>7693.0</v>
      </c>
      <c r="AL17" s="3" t="n">
        <v>7497.0</v>
      </c>
      <c r="AM17" s="3" t="n">
        <v>7299.0</v>
      </c>
      <c r="AN17" s="3" t="n">
        <v>7093.0</v>
      </c>
      <c r="AO17" s="3" t="n">
        <v>6867.0</v>
      </c>
    </row>
    <row r="18" spans="1:41" x14ac:dyDescent="0.2">
      <c r="A18" s="128"/>
      <c r="B18" s="9">
        <v>9</v>
      </c>
      <c r="C18" s="3" t="n">
        <v>15926.0</v>
      </c>
      <c r="D18" s="3" t="n">
        <v>16150.0</v>
      </c>
      <c r="E18" s="3" t="n">
        <v>15835.0</v>
      </c>
      <c r="F18" s="3" t="n">
        <v>16166.0</v>
      </c>
      <c r="G18" s="3" t="n">
        <v>16637.0</v>
      </c>
      <c r="H18" s="3" t="n">
        <v>15545.0</v>
      </c>
      <c r="I18" s="3" t="n">
        <v>14773.0</v>
      </c>
      <c r="J18" s="3" t="n">
        <v>13763.0</v>
      </c>
      <c r="K18" s="3" t="n">
        <v>13132.0</v>
      </c>
      <c r="L18" s="3" t="n">
        <v>11825.0</v>
      </c>
      <c r="M18" s="3" t="n">
        <v>11247.0</v>
      </c>
      <c r="N18" s="3" t="n">
        <v>10830.0</v>
      </c>
      <c r="O18" s="3" t="n">
        <v>10450.0</v>
      </c>
      <c r="P18" s="3" t="n">
        <v>10143.0</v>
      </c>
      <c r="Q18" s="3" t="n">
        <v>9810.0</v>
      </c>
      <c r="R18" s="3" t="n">
        <v>9554.0</v>
      </c>
      <c r="S18" s="3" t="n">
        <v>9331.0</v>
      </c>
      <c r="T18" s="3" t="n">
        <v>9132.0</v>
      </c>
      <c r="U18" s="3" t="n">
        <v>8966.0</v>
      </c>
      <c r="V18" s="3" t="n">
        <v>8812.0</v>
      </c>
      <c r="W18" s="3" t="n">
        <v>8696.0</v>
      </c>
      <c r="X18" s="3" t="n">
        <v>8610.0</v>
      </c>
      <c r="Y18" s="3" t="n">
        <v>8532.0</v>
      </c>
      <c r="Z18" s="3" t="n">
        <v>8496.0</v>
      </c>
      <c r="AA18" s="3" t="n">
        <v>8462.0</v>
      </c>
      <c r="AB18" s="3" t="n">
        <v>8445.0</v>
      </c>
      <c r="AC18" s="3" t="n">
        <v>8434.0</v>
      </c>
      <c r="AD18" s="3" t="n">
        <v>8405.0</v>
      </c>
      <c r="AE18" s="3" t="n">
        <v>8367.0</v>
      </c>
      <c r="AF18" s="3" t="n">
        <v>8342.0</v>
      </c>
      <c r="AG18" s="3" t="n">
        <v>8285.0</v>
      </c>
      <c r="AH18" s="3" t="n">
        <v>8205.0</v>
      </c>
      <c r="AI18" s="3" t="n">
        <v>8112.0</v>
      </c>
      <c r="AJ18" s="3" t="n">
        <v>8007.0</v>
      </c>
      <c r="AK18" s="3" t="n">
        <v>7860.0</v>
      </c>
      <c r="AL18" s="3" t="n">
        <v>7701.0</v>
      </c>
      <c r="AM18" s="3" t="n">
        <v>7505.0</v>
      </c>
      <c r="AN18" s="3" t="n">
        <v>7308.0</v>
      </c>
      <c r="AO18" s="3" t="n">
        <v>7104.0</v>
      </c>
    </row>
    <row r="19" spans="1:41" x14ac:dyDescent="0.2">
      <c r="A19" s="128"/>
      <c r="B19" s="9">
        <v>10</v>
      </c>
      <c r="C19" s="3" t="n">
        <v>16553.0</v>
      </c>
      <c r="D19" s="3" t="n">
        <v>15919.0</v>
      </c>
      <c r="E19" s="3" t="n">
        <v>16138.0</v>
      </c>
      <c r="F19" s="3" t="n">
        <v>15824.0</v>
      </c>
      <c r="G19" s="3" t="n">
        <v>16163.0</v>
      </c>
      <c r="H19" s="3" t="n">
        <v>16689.0</v>
      </c>
      <c r="I19" s="3" t="n">
        <v>15617.0</v>
      </c>
      <c r="J19" s="3" t="n">
        <v>14809.0</v>
      </c>
      <c r="K19" s="3" t="n">
        <v>13779.0</v>
      </c>
      <c r="L19" s="3" t="n">
        <v>13140.0</v>
      </c>
      <c r="M19" s="3" t="n">
        <v>11843.0</v>
      </c>
      <c r="N19" s="3" t="n">
        <v>11255.0</v>
      </c>
      <c r="O19" s="3" t="n">
        <v>10836.0</v>
      </c>
      <c r="P19" s="3" t="n">
        <v>10453.0</v>
      </c>
      <c r="Q19" s="3" t="n">
        <v>10147.0</v>
      </c>
      <c r="R19" s="3" t="n">
        <v>9812.0</v>
      </c>
      <c r="S19" s="3" t="n">
        <v>9558.0</v>
      </c>
      <c r="T19" s="3" t="n">
        <v>9333.0</v>
      </c>
      <c r="U19" s="3" t="n">
        <v>9136.0</v>
      </c>
      <c r="V19" s="3" t="n">
        <v>8970.0</v>
      </c>
      <c r="W19" s="3" t="n">
        <v>8814.0</v>
      </c>
      <c r="X19" s="3" t="n">
        <v>8698.0</v>
      </c>
      <c r="Y19" s="3" t="n">
        <v>8611.0</v>
      </c>
      <c r="Z19" s="3" t="n">
        <v>8533.0</v>
      </c>
      <c r="AA19" s="3" t="n">
        <v>8496.0</v>
      </c>
      <c r="AB19" s="3" t="n">
        <v>8461.0</v>
      </c>
      <c r="AC19" s="3" t="n">
        <v>8441.0</v>
      </c>
      <c r="AD19" s="3" t="n">
        <v>8429.0</v>
      </c>
      <c r="AE19" s="3" t="n">
        <v>8400.0</v>
      </c>
      <c r="AF19" s="3" t="n">
        <v>8361.0</v>
      </c>
      <c r="AG19" s="3" t="n">
        <v>8337.0</v>
      </c>
      <c r="AH19" s="3" t="n">
        <v>8280.0</v>
      </c>
      <c r="AI19" s="3" t="n">
        <v>8201.0</v>
      </c>
      <c r="AJ19" s="3" t="n">
        <v>8107.0</v>
      </c>
      <c r="AK19" s="3" t="n">
        <v>8004.0</v>
      </c>
      <c r="AL19" s="3" t="n">
        <v>7858.0</v>
      </c>
      <c r="AM19" s="3" t="n">
        <v>7699.0</v>
      </c>
      <c r="AN19" s="3" t="n">
        <v>7503.0</v>
      </c>
      <c r="AO19" s="3" t="n">
        <v>7309.0</v>
      </c>
    </row>
    <row r="20" spans="1:41" x14ac:dyDescent="0.2">
      <c r="A20" s="128"/>
      <c r="B20" s="9">
        <v>11</v>
      </c>
      <c r="C20" s="3" t="n">
        <v>16388.0</v>
      </c>
      <c r="D20" s="3" t="n">
        <v>16558.0</v>
      </c>
      <c r="E20" s="3" t="n">
        <v>15920.0</v>
      </c>
      <c r="F20" s="3" t="n">
        <v>16138.0</v>
      </c>
      <c r="G20" s="3" t="n">
        <v>15827.0</v>
      </c>
      <c r="H20" s="3" t="n">
        <v>16220.0</v>
      </c>
      <c r="I20" s="3" t="n">
        <v>16770.0</v>
      </c>
      <c r="J20" s="3" t="n">
        <v>15655.0</v>
      </c>
      <c r="K20" s="3" t="n">
        <v>14830.0</v>
      </c>
      <c r="L20" s="3" t="n">
        <v>13789.0</v>
      </c>
      <c r="M20" s="3" t="n">
        <v>13151.0</v>
      </c>
      <c r="N20" s="3" t="n">
        <v>11851.0</v>
      </c>
      <c r="O20" s="3" t="n">
        <v>11268.0</v>
      </c>
      <c r="P20" s="3" t="n">
        <v>10847.0</v>
      </c>
      <c r="Q20" s="3" t="n">
        <v>10463.0</v>
      </c>
      <c r="R20" s="3" t="n">
        <v>10161.0</v>
      </c>
      <c r="S20" s="3" t="n">
        <v>9826.0</v>
      </c>
      <c r="T20" s="3" t="n">
        <v>9568.0</v>
      </c>
      <c r="U20" s="3" t="n">
        <v>9347.0</v>
      </c>
      <c r="V20" s="3" t="n">
        <v>9152.0</v>
      </c>
      <c r="W20" s="3" t="n">
        <v>8987.0</v>
      </c>
      <c r="X20" s="3" t="n">
        <v>8825.0</v>
      </c>
      <c r="Y20" s="3" t="n">
        <v>8710.0</v>
      </c>
      <c r="Z20" s="3" t="n">
        <v>8623.0</v>
      </c>
      <c r="AA20" s="3" t="n">
        <v>8543.0</v>
      </c>
      <c r="AB20" s="3" t="n">
        <v>8503.0</v>
      </c>
      <c r="AC20" s="3" t="n">
        <v>8464.0</v>
      </c>
      <c r="AD20" s="3" t="n">
        <v>8447.0</v>
      </c>
      <c r="AE20" s="3" t="n">
        <v>8434.0</v>
      </c>
      <c r="AF20" s="3" t="n">
        <v>8407.0</v>
      </c>
      <c r="AG20" s="3" t="n">
        <v>8367.0</v>
      </c>
      <c r="AH20" s="3" t="n">
        <v>8342.0</v>
      </c>
      <c r="AI20" s="3" t="n">
        <v>8285.0</v>
      </c>
      <c r="AJ20" s="3" t="n">
        <v>8203.0</v>
      </c>
      <c r="AK20" s="3" t="n">
        <v>8110.0</v>
      </c>
      <c r="AL20" s="3" t="n">
        <v>8009.0</v>
      </c>
      <c r="AM20" s="3" t="n">
        <v>7859.0</v>
      </c>
      <c r="AN20" s="3" t="n">
        <v>7703.0</v>
      </c>
      <c r="AO20" s="3" t="n">
        <v>7511.0</v>
      </c>
    </row>
    <row r="21" spans="1:41" x14ac:dyDescent="0.2">
      <c r="A21" s="128"/>
      <c r="B21" s="9">
        <v>12</v>
      </c>
      <c r="C21" s="3" t="n">
        <v>17740.0</v>
      </c>
      <c r="D21" s="3" t="n">
        <v>16383.0</v>
      </c>
      <c r="E21" s="3" t="n">
        <v>16559.0</v>
      </c>
      <c r="F21" s="3" t="n">
        <v>15917.0</v>
      </c>
      <c r="G21" s="3" t="n">
        <v>16142.0</v>
      </c>
      <c r="H21" s="3" t="n">
        <v>15889.0</v>
      </c>
      <c r="I21" s="3" t="n">
        <v>16293.0</v>
      </c>
      <c r="J21" s="3" t="n">
        <v>16806.0</v>
      </c>
      <c r="K21" s="3" t="n">
        <v>15675.0</v>
      </c>
      <c r="L21" s="3" t="n">
        <v>14843.0</v>
      </c>
      <c r="M21" s="3" t="n">
        <v>13799.0</v>
      </c>
      <c r="N21" s="3" t="n">
        <v>13147.0</v>
      </c>
      <c r="O21" s="3" t="n">
        <v>11849.0</v>
      </c>
      <c r="P21" s="3" t="n">
        <v>11266.0</v>
      </c>
      <c r="Q21" s="3" t="n">
        <v>10849.0</v>
      </c>
      <c r="R21" s="3" t="n">
        <v>10461.0</v>
      </c>
      <c r="S21" s="3" t="n">
        <v>10163.0</v>
      </c>
      <c r="T21" s="3" t="n">
        <v>9830.0</v>
      </c>
      <c r="U21" s="3" t="n">
        <v>9569.0</v>
      </c>
      <c r="V21" s="3" t="n">
        <v>9346.0</v>
      </c>
      <c r="W21" s="3" t="n">
        <v>9151.0</v>
      </c>
      <c r="X21" s="3" t="n">
        <v>8985.0</v>
      </c>
      <c r="Y21" s="3" t="n">
        <v>8822.0</v>
      </c>
      <c r="Z21" s="3" t="n">
        <v>8708.0</v>
      </c>
      <c r="AA21" s="3" t="n">
        <v>8621.0</v>
      </c>
      <c r="AB21" s="3" t="n">
        <v>8542.0</v>
      </c>
      <c r="AC21" s="3" t="n">
        <v>8501.0</v>
      </c>
      <c r="AD21" s="3" t="n">
        <v>8461.0</v>
      </c>
      <c r="AE21" s="3" t="n">
        <v>8444.0</v>
      </c>
      <c r="AF21" s="3" t="n">
        <v>8432.0</v>
      </c>
      <c r="AG21" s="3" t="n">
        <v>8405.0</v>
      </c>
      <c r="AH21" s="3" t="n">
        <v>8365.0</v>
      </c>
      <c r="AI21" s="3" t="n">
        <v>8341.0</v>
      </c>
      <c r="AJ21" s="3" t="n">
        <v>8282.0</v>
      </c>
      <c r="AK21" s="3" t="n">
        <v>8199.0</v>
      </c>
      <c r="AL21" s="3" t="n">
        <v>8105.0</v>
      </c>
      <c r="AM21" s="3" t="n">
        <v>8003.0</v>
      </c>
      <c r="AN21" s="3" t="n">
        <v>7852.0</v>
      </c>
      <c r="AO21" s="3" t="n">
        <v>7698.0</v>
      </c>
    </row>
    <row r="22" spans="1:41" x14ac:dyDescent="0.2">
      <c r="A22" s="128"/>
      <c r="B22" s="9">
        <v>13</v>
      </c>
      <c r="C22" s="3" t="n">
        <v>18128.0</v>
      </c>
      <c r="D22" s="3" t="n">
        <v>17734.0</v>
      </c>
      <c r="E22" s="3" t="n">
        <v>16377.0</v>
      </c>
      <c r="F22" s="3" t="n">
        <v>16549.0</v>
      </c>
      <c r="G22" s="3" t="n">
        <v>15915.0</v>
      </c>
      <c r="H22" s="3" t="n">
        <v>16188.0</v>
      </c>
      <c r="I22" s="3" t="n">
        <v>15952.0</v>
      </c>
      <c r="J22" s="3" t="n">
        <v>16323.0</v>
      </c>
      <c r="K22" s="3" t="n">
        <v>16821.0</v>
      </c>
      <c r="L22" s="3" t="n">
        <v>15681.0</v>
      </c>
      <c r="M22" s="3" t="n">
        <v>14844.0</v>
      </c>
      <c r="N22" s="3" t="n">
        <v>13803.0</v>
      </c>
      <c r="O22" s="3" t="n">
        <v>13150.0</v>
      </c>
      <c r="P22" s="3" t="n">
        <v>11855.0</v>
      </c>
      <c r="Q22" s="3" t="n">
        <v>11268.0</v>
      </c>
      <c r="R22" s="3" t="n">
        <v>10852.0</v>
      </c>
      <c r="S22" s="3" t="n">
        <v>10463.0</v>
      </c>
      <c r="T22" s="3" t="n">
        <v>10158.0</v>
      </c>
      <c r="U22" s="3" t="n">
        <v>9823.0</v>
      </c>
      <c r="V22" s="3" t="n">
        <v>9560.0</v>
      </c>
      <c r="W22" s="3" t="n">
        <v>9337.0</v>
      </c>
      <c r="X22" s="3" t="n">
        <v>9140.0</v>
      </c>
      <c r="Y22" s="3" t="n">
        <v>8976.0</v>
      </c>
      <c r="Z22" s="3" t="n">
        <v>8813.0</v>
      </c>
      <c r="AA22" s="3" t="n">
        <v>8699.0</v>
      </c>
      <c r="AB22" s="3" t="n">
        <v>8612.0</v>
      </c>
      <c r="AC22" s="3" t="n">
        <v>8534.0</v>
      </c>
      <c r="AD22" s="3" t="n">
        <v>8493.0</v>
      </c>
      <c r="AE22" s="3" t="n">
        <v>8454.0</v>
      </c>
      <c r="AF22" s="3" t="n">
        <v>8436.0</v>
      </c>
      <c r="AG22" s="3" t="n">
        <v>8425.0</v>
      </c>
      <c r="AH22" s="3" t="n">
        <v>8398.0</v>
      </c>
      <c r="AI22" s="3" t="n">
        <v>8358.0</v>
      </c>
      <c r="AJ22" s="3" t="n">
        <v>8334.0</v>
      </c>
      <c r="AK22" s="3" t="n">
        <v>8275.0</v>
      </c>
      <c r="AL22" s="3" t="n">
        <v>8193.0</v>
      </c>
      <c r="AM22" s="3" t="n">
        <v>8100.0</v>
      </c>
      <c r="AN22" s="3" t="n">
        <v>7999.0</v>
      </c>
      <c r="AO22" s="3" t="n">
        <v>7850.0</v>
      </c>
    </row>
    <row r="23" spans="1:41" x14ac:dyDescent="0.2">
      <c r="A23" s="128"/>
      <c r="B23" s="9">
        <v>14</v>
      </c>
      <c r="C23" s="3" t="n">
        <v>18280.0</v>
      </c>
      <c r="D23" s="3" t="n">
        <v>18125.0</v>
      </c>
      <c r="E23" s="3" t="n">
        <v>17731.0</v>
      </c>
      <c r="F23" s="3" t="n">
        <v>16376.0</v>
      </c>
      <c r="G23" s="3" t="n">
        <v>16545.0</v>
      </c>
      <c r="H23" s="3" t="n">
        <v>15962.0</v>
      </c>
      <c r="I23" s="3" t="n">
        <v>16257.0</v>
      </c>
      <c r="J23" s="3" t="n">
        <v>15984.0</v>
      </c>
      <c r="K23" s="3" t="n">
        <v>16336.0</v>
      </c>
      <c r="L23" s="3" t="n">
        <v>16823.0</v>
      </c>
      <c r="M23" s="3" t="n">
        <v>15681.0</v>
      </c>
      <c r="N23" s="3" t="n">
        <v>14840.0</v>
      </c>
      <c r="O23" s="3" t="n">
        <v>13794.0</v>
      </c>
      <c r="P23" s="3" t="n">
        <v>13149.0</v>
      </c>
      <c r="Q23" s="3" t="n">
        <v>11859.0</v>
      </c>
      <c r="R23" s="3" t="n">
        <v>11278.0</v>
      </c>
      <c r="S23" s="3" t="n">
        <v>10864.0</v>
      </c>
      <c r="T23" s="3" t="n">
        <v>10471.0</v>
      </c>
      <c r="U23" s="3" t="n">
        <v>10158.0</v>
      </c>
      <c r="V23" s="3" t="n">
        <v>9825.0</v>
      </c>
      <c r="W23" s="3" t="n">
        <v>9559.0</v>
      </c>
      <c r="X23" s="3" t="n">
        <v>9338.0</v>
      </c>
      <c r="Y23" s="3" t="n">
        <v>9138.0</v>
      </c>
      <c r="Z23" s="3" t="n">
        <v>8975.0</v>
      </c>
      <c r="AA23" s="3" t="n">
        <v>8811.0</v>
      </c>
      <c r="AB23" s="3" t="n">
        <v>8697.0</v>
      </c>
      <c r="AC23" s="3" t="n">
        <v>8610.0</v>
      </c>
      <c r="AD23" s="3" t="n">
        <v>8532.0</v>
      </c>
      <c r="AE23" s="3" t="n">
        <v>8491.0</v>
      </c>
      <c r="AF23" s="3" t="n">
        <v>8452.0</v>
      </c>
      <c r="AG23" s="3" t="n">
        <v>8434.0</v>
      </c>
      <c r="AH23" s="3" t="n">
        <v>8423.0</v>
      </c>
      <c r="AI23" s="3" t="n">
        <v>8395.0</v>
      </c>
      <c r="AJ23" s="3" t="n">
        <v>8354.0</v>
      </c>
      <c r="AK23" s="3" t="n">
        <v>8330.0</v>
      </c>
      <c r="AL23" s="3" t="n">
        <v>8272.0</v>
      </c>
      <c r="AM23" s="3" t="n">
        <v>8190.0</v>
      </c>
      <c r="AN23" s="3" t="n">
        <v>8096.0</v>
      </c>
      <c r="AO23" s="3" t="n">
        <v>7996.0</v>
      </c>
    </row>
    <row r="24" spans="1:41" x14ac:dyDescent="0.2">
      <c r="A24" s="128"/>
      <c r="B24" s="9">
        <v>15</v>
      </c>
      <c r="C24" s="3" t="n">
        <v>17049.0</v>
      </c>
      <c r="D24" s="3" t="n">
        <v>18280.0</v>
      </c>
      <c r="E24" s="3" t="n">
        <v>18119.0</v>
      </c>
      <c r="F24" s="3" t="n">
        <v>17736.0</v>
      </c>
      <c r="G24" s="3" t="n">
        <v>16384.0</v>
      </c>
      <c r="H24" s="3" t="n">
        <v>16598.0</v>
      </c>
      <c r="I24" s="3" t="n">
        <v>16036.0</v>
      </c>
      <c r="J24" s="3" t="n">
        <v>16292.0</v>
      </c>
      <c r="K24" s="3" t="n">
        <v>15997.0</v>
      </c>
      <c r="L24" s="3" t="n">
        <v>16335.0</v>
      </c>
      <c r="M24" s="3" t="n">
        <v>16819.0</v>
      </c>
      <c r="N24" s="3" t="n">
        <v>15680.0</v>
      </c>
      <c r="O24" s="3" t="n">
        <v>14844.0</v>
      </c>
      <c r="P24" s="3" t="n">
        <v>13797.0</v>
      </c>
      <c r="Q24" s="3" t="n">
        <v>13153.0</v>
      </c>
      <c r="R24" s="3" t="n">
        <v>11863.0</v>
      </c>
      <c r="S24" s="3" t="n">
        <v>11288.0</v>
      </c>
      <c r="T24" s="3" t="n">
        <v>10871.0</v>
      </c>
      <c r="U24" s="3" t="n">
        <v>10481.0</v>
      </c>
      <c r="V24" s="3" t="n">
        <v>10168.0</v>
      </c>
      <c r="W24" s="3" t="n">
        <v>9830.0</v>
      </c>
      <c r="X24" s="3" t="n">
        <v>9563.0</v>
      </c>
      <c r="Y24" s="3" t="n">
        <v>9337.0</v>
      </c>
      <c r="Z24" s="3" t="n">
        <v>9135.0</v>
      </c>
      <c r="AA24" s="3" t="n">
        <v>8973.0</v>
      </c>
      <c r="AB24" s="3" t="n">
        <v>8810.0</v>
      </c>
      <c r="AC24" s="3" t="n">
        <v>8698.0</v>
      </c>
      <c r="AD24" s="3" t="n">
        <v>8611.0</v>
      </c>
      <c r="AE24" s="3" t="n">
        <v>8530.0</v>
      </c>
      <c r="AF24" s="3" t="n">
        <v>8486.0</v>
      </c>
      <c r="AG24" s="3" t="n">
        <v>8443.0</v>
      </c>
      <c r="AH24" s="3" t="n">
        <v>8425.0</v>
      </c>
      <c r="AI24" s="3" t="n">
        <v>8413.0</v>
      </c>
      <c r="AJ24" s="3" t="n">
        <v>8384.0</v>
      </c>
      <c r="AK24" s="3" t="n">
        <v>8343.0</v>
      </c>
      <c r="AL24" s="3" t="n">
        <v>8318.0</v>
      </c>
      <c r="AM24" s="3" t="n">
        <v>8264.0</v>
      </c>
      <c r="AN24" s="3" t="n">
        <v>8181.0</v>
      </c>
      <c r="AO24" s="3" t="n">
        <v>8087.0</v>
      </c>
    </row>
    <row r="25" spans="1:41" x14ac:dyDescent="0.2">
      <c r="A25" s="128"/>
      <c r="B25" s="9">
        <v>16</v>
      </c>
      <c r="C25" s="3" t="n">
        <v>15906.0</v>
      </c>
      <c r="D25" s="3" t="n">
        <v>17046.0</v>
      </c>
      <c r="E25" s="3" t="n">
        <v>18273.0</v>
      </c>
      <c r="F25" s="3" t="n">
        <v>18111.0</v>
      </c>
      <c r="G25" s="3" t="n">
        <v>17732.0</v>
      </c>
      <c r="H25" s="3" t="n">
        <v>16418.0</v>
      </c>
      <c r="I25" s="3" t="n">
        <v>16653.0</v>
      </c>
      <c r="J25" s="3" t="n">
        <v>16057.0</v>
      </c>
      <c r="K25" s="3" t="n">
        <v>16294.0</v>
      </c>
      <c r="L25" s="3" t="n">
        <v>16000.0</v>
      </c>
      <c r="M25" s="3" t="n">
        <v>16331.0</v>
      </c>
      <c r="N25" s="3" t="n">
        <v>16810.0</v>
      </c>
      <c r="O25" s="3" t="n">
        <v>15673.0</v>
      </c>
      <c r="P25" s="3" t="n">
        <v>14835.0</v>
      </c>
      <c r="Q25" s="3" t="n">
        <v>13799.0</v>
      </c>
      <c r="R25" s="3" t="n">
        <v>13159.0</v>
      </c>
      <c r="S25" s="3" t="n">
        <v>11870.0</v>
      </c>
      <c r="T25" s="3" t="n">
        <v>11294.0</v>
      </c>
      <c r="U25" s="3" t="n">
        <v>10876.0</v>
      </c>
      <c r="V25" s="3" t="n">
        <v>10486.0</v>
      </c>
      <c r="W25" s="3" t="n">
        <v>10178.0</v>
      </c>
      <c r="X25" s="3" t="n">
        <v>9839.0</v>
      </c>
      <c r="Y25" s="3" t="n">
        <v>9571.0</v>
      </c>
      <c r="Z25" s="3" t="n">
        <v>9347.0</v>
      </c>
      <c r="AA25" s="3" t="n">
        <v>9142.0</v>
      </c>
      <c r="AB25" s="3" t="n">
        <v>8979.0</v>
      </c>
      <c r="AC25" s="3" t="n">
        <v>8813.0</v>
      </c>
      <c r="AD25" s="3" t="n">
        <v>8699.0</v>
      </c>
      <c r="AE25" s="3" t="n">
        <v>8611.0</v>
      </c>
      <c r="AF25" s="3" t="n">
        <v>8530.0</v>
      </c>
      <c r="AG25" s="3" t="n">
        <v>8486.0</v>
      </c>
      <c r="AH25" s="3" t="n">
        <v>8442.0</v>
      </c>
      <c r="AI25" s="3" t="n">
        <v>8424.0</v>
      </c>
      <c r="AJ25" s="3" t="n">
        <v>8411.0</v>
      </c>
      <c r="AK25" s="3" t="n">
        <v>8380.0</v>
      </c>
      <c r="AL25" s="3" t="n">
        <v>8338.0</v>
      </c>
      <c r="AM25" s="3" t="n">
        <v>8311.0</v>
      </c>
      <c r="AN25" s="3" t="n">
        <v>8259.0</v>
      </c>
      <c r="AO25" s="3" t="n">
        <v>8175.0</v>
      </c>
    </row>
    <row r="26" spans="1:41" x14ac:dyDescent="0.2">
      <c r="A26" s="128"/>
      <c r="B26" s="9">
        <v>17</v>
      </c>
      <c r="C26" s="3" t="n">
        <v>15390.0</v>
      </c>
      <c r="D26" s="3" t="n">
        <v>15884.0</v>
      </c>
      <c r="E26" s="3" t="n">
        <v>17022.0</v>
      </c>
      <c r="F26" s="3" t="n">
        <v>18240.0</v>
      </c>
      <c r="G26" s="3" t="n">
        <v>18079.0</v>
      </c>
      <c r="H26" s="3" t="n">
        <v>17747.0</v>
      </c>
      <c r="I26" s="3" t="n">
        <v>16455.0</v>
      </c>
      <c r="J26" s="3" t="n">
        <v>16656.0</v>
      </c>
      <c r="K26" s="3" t="n">
        <v>16040.0</v>
      </c>
      <c r="L26" s="3" t="n">
        <v>16272.0</v>
      </c>
      <c r="M26" s="3" t="n">
        <v>15972.0</v>
      </c>
      <c r="N26" s="3" t="n">
        <v>16305.0</v>
      </c>
      <c r="O26" s="3" t="n">
        <v>16779.0</v>
      </c>
      <c r="P26" s="3" t="n">
        <v>15647.0</v>
      </c>
      <c r="Q26" s="3" t="n">
        <v>14807.0</v>
      </c>
      <c r="R26" s="3" t="n">
        <v>13777.0</v>
      </c>
      <c r="S26" s="3" t="n">
        <v>13137.0</v>
      </c>
      <c r="T26" s="3" t="n">
        <v>11847.0</v>
      </c>
      <c r="U26" s="3" t="n">
        <v>11271.0</v>
      </c>
      <c r="V26" s="3" t="n">
        <v>10853.0</v>
      </c>
      <c r="W26" s="3" t="n">
        <v>10461.0</v>
      </c>
      <c r="X26" s="3" t="n">
        <v>10151.0</v>
      </c>
      <c r="Y26" s="3" t="n">
        <v>9813.0</v>
      </c>
      <c r="Z26" s="3" t="n">
        <v>9545.0</v>
      </c>
      <c r="AA26" s="3" t="n">
        <v>9324.0</v>
      </c>
      <c r="AB26" s="3" t="n">
        <v>9118.0</v>
      </c>
      <c r="AC26" s="3" t="n">
        <v>8952.0</v>
      </c>
      <c r="AD26" s="3" t="n">
        <v>8784.0</v>
      </c>
      <c r="AE26" s="3" t="n">
        <v>8670.0</v>
      </c>
      <c r="AF26" s="3" t="n">
        <v>8582.0</v>
      </c>
      <c r="AG26" s="3" t="n">
        <v>8501.0</v>
      </c>
      <c r="AH26" s="3" t="n">
        <v>8456.0</v>
      </c>
      <c r="AI26" s="3" t="n">
        <v>8411.0</v>
      </c>
      <c r="AJ26" s="3" t="n">
        <v>8393.0</v>
      </c>
      <c r="AK26" s="3" t="n">
        <v>8380.0</v>
      </c>
      <c r="AL26" s="3" t="n">
        <v>8351.0</v>
      </c>
      <c r="AM26" s="3" t="n">
        <v>8309.0</v>
      </c>
      <c r="AN26" s="3" t="n">
        <v>8281.0</v>
      </c>
      <c r="AO26" s="3" t="n">
        <v>8229.0</v>
      </c>
    </row>
    <row r="27" spans="1:41" x14ac:dyDescent="0.2">
      <c r="A27" s="128"/>
      <c r="B27" s="9">
        <v>18</v>
      </c>
      <c r="C27" s="3" t="n">
        <v>14989.0</v>
      </c>
      <c r="D27" s="3" t="n">
        <v>15354.0</v>
      </c>
      <c r="E27" s="3" t="n">
        <v>15851.0</v>
      </c>
      <c r="F27" s="3" t="n">
        <v>16983.0</v>
      </c>
      <c r="G27" s="3" t="n">
        <v>18192.0</v>
      </c>
      <c r="H27" s="3" t="n">
        <v>18081.0</v>
      </c>
      <c r="I27" s="3" t="n">
        <v>17767.0</v>
      </c>
      <c r="J27" s="3" t="n">
        <v>16441.0</v>
      </c>
      <c r="K27" s="3" t="n">
        <v>16625.0</v>
      </c>
      <c r="L27" s="3" t="n">
        <v>15996.0</v>
      </c>
      <c r="M27" s="3" t="n">
        <v>16225.0</v>
      </c>
      <c r="N27" s="3" t="n">
        <v>15921.0</v>
      </c>
      <c r="O27" s="3" t="n">
        <v>16251.0</v>
      </c>
      <c r="P27" s="3" t="n">
        <v>16726.0</v>
      </c>
      <c r="Q27" s="3" t="n">
        <v>15594.0</v>
      </c>
      <c r="R27" s="3" t="n">
        <v>14757.0</v>
      </c>
      <c r="S27" s="3" t="n">
        <v>13732.0</v>
      </c>
      <c r="T27" s="3" t="n">
        <v>13093.0</v>
      </c>
      <c r="U27" s="3" t="n">
        <v>11801.0</v>
      </c>
      <c r="V27" s="3" t="n">
        <v>11233.0</v>
      </c>
      <c r="W27" s="3" t="n">
        <v>10813.0</v>
      </c>
      <c r="X27" s="3" t="n">
        <v>10424.0</v>
      </c>
      <c r="Y27" s="3" t="n">
        <v>10115.0</v>
      </c>
      <c r="Z27" s="3" t="n">
        <v>9779.0</v>
      </c>
      <c r="AA27" s="3" t="n">
        <v>9513.0</v>
      </c>
      <c r="AB27" s="3" t="n">
        <v>9290.0</v>
      </c>
      <c r="AC27" s="3" t="n">
        <v>9080.0</v>
      </c>
      <c r="AD27" s="3" t="n">
        <v>8913.0</v>
      </c>
      <c r="AE27" s="3" t="n">
        <v>8742.0</v>
      </c>
      <c r="AF27" s="3" t="n">
        <v>8629.0</v>
      </c>
      <c r="AG27" s="3" t="n">
        <v>8541.0</v>
      </c>
      <c r="AH27" s="3" t="n">
        <v>8460.0</v>
      </c>
      <c r="AI27" s="3" t="n">
        <v>8415.0</v>
      </c>
      <c r="AJ27" s="3" t="n">
        <v>8368.0</v>
      </c>
      <c r="AK27" s="3" t="n">
        <v>8348.0</v>
      </c>
      <c r="AL27" s="3" t="n">
        <v>8335.0</v>
      </c>
      <c r="AM27" s="3" t="n">
        <v>8305.0</v>
      </c>
      <c r="AN27" s="3" t="n">
        <v>8264.0</v>
      </c>
      <c r="AO27" s="3" t="n">
        <v>8235.0</v>
      </c>
    </row>
    <row r="28" spans="1:41" x14ac:dyDescent="0.2">
      <c r="A28" s="128"/>
      <c r="B28" s="9">
        <v>19</v>
      </c>
      <c r="C28" s="3" t="n">
        <v>14653.0</v>
      </c>
      <c r="D28" s="3" t="n">
        <v>14953.0</v>
      </c>
      <c r="E28" s="3" t="n">
        <v>15312.0</v>
      </c>
      <c r="F28" s="3" t="n">
        <v>15798.0</v>
      </c>
      <c r="G28" s="3" t="n">
        <v>16937.0</v>
      </c>
      <c r="H28" s="3" t="n">
        <v>18168.0</v>
      </c>
      <c r="I28" s="3" t="n">
        <v>18066.0</v>
      </c>
      <c r="J28" s="3" t="n">
        <v>17726.0</v>
      </c>
      <c r="K28" s="3" t="n">
        <v>16388.0</v>
      </c>
      <c r="L28" s="3" t="n">
        <v>16571.0</v>
      </c>
      <c r="M28" s="3" t="n">
        <v>15930.0</v>
      </c>
      <c r="N28" s="3" t="n">
        <v>16155.0</v>
      </c>
      <c r="O28" s="3" t="n">
        <v>15850.0</v>
      </c>
      <c r="P28" s="3" t="n">
        <v>16179.0</v>
      </c>
      <c r="Q28" s="3" t="n">
        <v>16653.0</v>
      </c>
      <c r="R28" s="3" t="n">
        <v>15526.0</v>
      </c>
      <c r="S28" s="3" t="n">
        <v>14695.0</v>
      </c>
      <c r="T28" s="3" t="n">
        <v>13676.0</v>
      </c>
      <c r="U28" s="3" t="n">
        <v>13043.0</v>
      </c>
      <c r="V28" s="3" t="n">
        <v>11753.0</v>
      </c>
      <c r="W28" s="3" t="n">
        <v>11185.0</v>
      </c>
      <c r="X28" s="3" t="n">
        <v>10767.0</v>
      </c>
      <c r="Y28" s="3" t="n">
        <v>10379.0</v>
      </c>
      <c r="Z28" s="3" t="n">
        <v>10070.0</v>
      </c>
      <c r="AA28" s="3" t="n">
        <v>9736.0</v>
      </c>
      <c r="AB28" s="3" t="n">
        <v>9468.0</v>
      </c>
      <c r="AC28" s="3" t="n">
        <v>9245.0</v>
      </c>
      <c r="AD28" s="3" t="n">
        <v>9032.0</v>
      </c>
      <c r="AE28" s="3" t="n">
        <v>8863.0</v>
      </c>
      <c r="AF28" s="3" t="n">
        <v>8692.0</v>
      </c>
      <c r="AG28" s="3" t="n">
        <v>8579.0</v>
      </c>
      <c r="AH28" s="3" t="n">
        <v>8489.0</v>
      </c>
      <c r="AI28" s="3" t="n">
        <v>8406.0</v>
      </c>
      <c r="AJ28" s="3" t="n">
        <v>8362.0</v>
      </c>
      <c r="AK28" s="3" t="n">
        <v>8314.0</v>
      </c>
      <c r="AL28" s="3" t="n">
        <v>8294.0</v>
      </c>
      <c r="AM28" s="3" t="n">
        <v>8280.0</v>
      </c>
      <c r="AN28" s="3" t="n">
        <v>8245.0</v>
      </c>
      <c r="AO28" s="3" t="n">
        <v>8203.0</v>
      </c>
    </row>
    <row r="29" spans="1:41" x14ac:dyDescent="0.2">
      <c r="A29" s="128"/>
      <c r="B29" s="9">
        <v>20</v>
      </c>
      <c r="C29" s="3" t="n">
        <v>14767.0</v>
      </c>
      <c r="D29" s="3" t="n">
        <v>14598.0</v>
      </c>
      <c r="E29" s="3" t="n">
        <v>14896.0</v>
      </c>
      <c r="F29" s="3" t="n">
        <v>15253.0</v>
      </c>
      <c r="G29" s="3" t="n">
        <v>15735.0</v>
      </c>
      <c r="H29" s="3" t="n">
        <v>16889.0</v>
      </c>
      <c r="I29" s="3" t="n">
        <v>18123.0</v>
      </c>
      <c r="J29" s="3" t="n">
        <v>18010.0</v>
      </c>
      <c r="K29" s="3" t="n">
        <v>17659.0</v>
      </c>
      <c r="L29" s="3" t="n">
        <v>16320.0</v>
      </c>
      <c r="M29" s="3" t="n">
        <v>16502.0</v>
      </c>
      <c r="N29" s="3" t="n">
        <v>15863.0</v>
      </c>
      <c r="O29" s="3" t="n">
        <v>16089.0</v>
      </c>
      <c r="P29" s="3" t="n">
        <v>15782.0</v>
      </c>
      <c r="Q29" s="3" t="n">
        <v>16107.0</v>
      </c>
      <c r="R29" s="3" t="n">
        <v>16574.0</v>
      </c>
      <c r="S29" s="3" t="n">
        <v>15453.0</v>
      </c>
      <c r="T29" s="3" t="n">
        <v>14626.0</v>
      </c>
      <c r="U29" s="3" t="n">
        <v>13615.0</v>
      </c>
      <c r="V29" s="3" t="n">
        <v>12982.0</v>
      </c>
      <c r="W29" s="3" t="n">
        <v>11693.0</v>
      </c>
      <c r="X29" s="3" t="n">
        <v>11133.0</v>
      </c>
      <c r="Y29" s="3" t="n">
        <v>10715.0</v>
      </c>
      <c r="Z29" s="3" t="n">
        <v>10322.0</v>
      </c>
      <c r="AA29" s="3" t="n">
        <v>10014.0</v>
      </c>
      <c r="AB29" s="3" t="n">
        <v>9680.0</v>
      </c>
      <c r="AC29" s="3" t="n">
        <v>9413.0</v>
      </c>
      <c r="AD29" s="3" t="n">
        <v>9189.0</v>
      </c>
      <c r="AE29" s="3" t="n">
        <v>8978.0</v>
      </c>
      <c r="AF29" s="3" t="n">
        <v>8811.0</v>
      </c>
      <c r="AG29" s="3" t="n">
        <v>8640.0</v>
      </c>
      <c r="AH29" s="3" t="n">
        <v>8526.0</v>
      </c>
      <c r="AI29" s="3" t="n">
        <v>8436.0</v>
      </c>
      <c r="AJ29" s="3" t="n">
        <v>8353.0</v>
      </c>
      <c r="AK29" s="3" t="n">
        <v>8309.0</v>
      </c>
      <c r="AL29" s="3" t="n">
        <v>8259.0</v>
      </c>
      <c r="AM29" s="3" t="n">
        <v>8239.0</v>
      </c>
      <c r="AN29" s="3" t="n">
        <v>8224.0</v>
      </c>
      <c r="AO29" s="3" t="n">
        <v>8187.0</v>
      </c>
    </row>
    <row r="30" spans="1:41" x14ac:dyDescent="0.2">
      <c r="A30" s="128"/>
      <c r="B30" s="9">
        <v>21</v>
      </c>
      <c r="C30" s="3" t="n">
        <v>15107.0</v>
      </c>
      <c r="D30" s="3" t="n">
        <v>14732.0</v>
      </c>
      <c r="E30" s="3" t="n">
        <v>14563.0</v>
      </c>
      <c r="F30" s="3" t="n">
        <v>14863.0</v>
      </c>
      <c r="G30" s="3" t="n">
        <v>15217.0</v>
      </c>
      <c r="H30" s="3" t="n">
        <v>15716.0</v>
      </c>
      <c r="I30" s="3" t="n">
        <v>16873.0</v>
      </c>
      <c r="J30" s="3" t="n">
        <v>18087.0</v>
      </c>
      <c r="K30" s="3" t="n">
        <v>17969.0</v>
      </c>
      <c r="L30" s="3" t="n">
        <v>17615.0</v>
      </c>
      <c r="M30" s="3" t="n">
        <v>16277.0</v>
      </c>
      <c r="N30" s="3" t="n">
        <v>16454.0</v>
      </c>
      <c r="O30" s="3" t="n">
        <v>15814.0</v>
      </c>
      <c r="P30" s="3" t="n">
        <v>16041.0</v>
      </c>
      <c r="Q30" s="3" t="n">
        <v>15728.0</v>
      </c>
      <c r="R30" s="3" t="n">
        <v>16059.0</v>
      </c>
      <c r="S30" s="3" t="n">
        <v>16527.0</v>
      </c>
      <c r="T30" s="3" t="n">
        <v>15407.0</v>
      </c>
      <c r="U30" s="3" t="n">
        <v>14585.0</v>
      </c>
      <c r="V30" s="3" t="n">
        <v>13576.0</v>
      </c>
      <c r="W30" s="3" t="n">
        <v>12944.0</v>
      </c>
      <c r="X30" s="3" t="n">
        <v>11662.0</v>
      </c>
      <c r="Y30" s="3" t="n">
        <v>11106.0</v>
      </c>
      <c r="Z30" s="3" t="n">
        <v>10693.0</v>
      </c>
      <c r="AA30" s="3" t="n">
        <v>10305.0</v>
      </c>
      <c r="AB30" s="3" t="n">
        <v>9998.0</v>
      </c>
      <c r="AC30" s="3" t="n">
        <v>9661.0</v>
      </c>
      <c r="AD30" s="3" t="n">
        <v>9392.0</v>
      </c>
      <c r="AE30" s="3" t="n">
        <v>9167.0</v>
      </c>
      <c r="AF30" s="3" t="n">
        <v>8955.0</v>
      </c>
      <c r="AG30" s="3" t="n">
        <v>8787.0</v>
      </c>
      <c r="AH30" s="3" t="n">
        <v>8614.0</v>
      </c>
      <c r="AI30" s="3" t="n">
        <v>8500.0</v>
      </c>
      <c r="AJ30" s="3" t="n">
        <v>8411.0</v>
      </c>
      <c r="AK30" s="3" t="n">
        <v>8325.0</v>
      </c>
      <c r="AL30" s="3" t="n">
        <v>8280.0</v>
      </c>
      <c r="AM30" s="3" t="n">
        <v>8229.0</v>
      </c>
      <c r="AN30" s="3" t="n">
        <v>8208.0</v>
      </c>
      <c r="AO30" s="3" t="n">
        <v>8193.0</v>
      </c>
    </row>
    <row r="31" spans="1:41" x14ac:dyDescent="0.2">
      <c r="A31" s="128"/>
      <c r="B31" s="9">
        <v>22</v>
      </c>
      <c r="C31" s="3" t="n">
        <v>15308.0</v>
      </c>
      <c r="D31" s="3" t="n">
        <v>15079.0</v>
      </c>
      <c r="E31" s="3" t="n">
        <v>14694.0</v>
      </c>
      <c r="F31" s="3" t="n">
        <v>14521.0</v>
      </c>
      <c r="G31" s="3" t="n">
        <v>14825.0</v>
      </c>
      <c r="H31" s="3" t="n">
        <v>15201.0</v>
      </c>
      <c r="I31" s="3" t="n">
        <v>15710.0</v>
      </c>
      <c r="J31" s="3" t="n">
        <v>16845.0</v>
      </c>
      <c r="K31" s="3" t="n">
        <v>18040.0</v>
      </c>
      <c r="L31" s="3" t="n">
        <v>17923.0</v>
      </c>
      <c r="M31" s="3" t="n">
        <v>17571.0</v>
      </c>
      <c r="N31" s="3" t="n">
        <v>16244.0</v>
      </c>
      <c r="O31" s="3" t="n">
        <v>16423.0</v>
      </c>
      <c r="P31" s="3" t="n">
        <v>15777.0</v>
      </c>
      <c r="Q31" s="3" t="n">
        <v>16003.0</v>
      </c>
      <c r="R31" s="3" t="n">
        <v>15692.0</v>
      </c>
      <c r="S31" s="3" t="n">
        <v>16019.0</v>
      </c>
      <c r="T31" s="3" t="n">
        <v>16489.0</v>
      </c>
      <c r="U31" s="3" t="n">
        <v>15377.0</v>
      </c>
      <c r="V31" s="3" t="n">
        <v>14557.0</v>
      </c>
      <c r="W31" s="3" t="n">
        <v>13547.0</v>
      </c>
      <c r="X31" s="3" t="n">
        <v>12912.0</v>
      </c>
      <c r="Y31" s="3" t="n">
        <v>11637.0</v>
      </c>
      <c r="Z31" s="3" t="n">
        <v>11085.0</v>
      </c>
      <c r="AA31" s="3" t="n">
        <v>10677.0</v>
      </c>
      <c r="AB31" s="3" t="n">
        <v>10287.0</v>
      </c>
      <c r="AC31" s="3" t="n">
        <v>9982.0</v>
      </c>
      <c r="AD31" s="3" t="n">
        <v>9643.0</v>
      </c>
      <c r="AE31" s="3" t="n">
        <v>9375.0</v>
      </c>
      <c r="AF31" s="3" t="n">
        <v>9153.0</v>
      </c>
      <c r="AG31" s="3" t="n">
        <v>8938.0</v>
      </c>
      <c r="AH31" s="3" t="n">
        <v>8768.0</v>
      </c>
      <c r="AI31" s="3" t="n">
        <v>8593.0</v>
      </c>
      <c r="AJ31" s="3" t="n">
        <v>8481.0</v>
      </c>
      <c r="AK31" s="3" t="n">
        <v>8389.0</v>
      </c>
      <c r="AL31" s="3" t="n">
        <v>8303.0</v>
      </c>
      <c r="AM31" s="3" t="n">
        <v>8258.0</v>
      </c>
      <c r="AN31" s="3" t="n">
        <v>8208.0</v>
      </c>
      <c r="AO31" s="3" t="n">
        <v>8186.0</v>
      </c>
    </row>
    <row r="32" spans="1:41" x14ac:dyDescent="0.2">
      <c r="A32" s="128"/>
      <c r="B32" s="9">
        <v>23</v>
      </c>
      <c r="C32" s="3" t="n">
        <v>15377.0</v>
      </c>
      <c r="D32" s="3" t="n">
        <v>15282.0</v>
      </c>
      <c r="E32" s="3" t="n">
        <v>15058.0</v>
      </c>
      <c r="F32" s="3" t="n">
        <v>14666.0</v>
      </c>
      <c r="G32" s="3" t="n">
        <v>14495.0</v>
      </c>
      <c r="H32" s="3" t="n">
        <v>14816.0</v>
      </c>
      <c r="I32" s="3" t="n">
        <v>15187.0</v>
      </c>
      <c r="J32" s="3" t="n">
        <v>15685.0</v>
      </c>
      <c r="K32" s="3" t="n">
        <v>16817.0</v>
      </c>
      <c r="L32" s="3" t="n">
        <v>17993.0</v>
      </c>
      <c r="M32" s="3" t="n">
        <v>17885.0</v>
      </c>
      <c r="N32" s="3" t="n">
        <v>17536.0</v>
      </c>
      <c r="O32" s="3" t="n">
        <v>16208.0</v>
      </c>
      <c r="P32" s="3" t="n">
        <v>16385.0</v>
      </c>
      <c r="Q32" s="3" t="n">
        <v>15739.0</v>
      </c>
      <c r="R32" s="3" t="n">
        <v>15968.0</v>
      </c>
      <c r="S32" s="3" t="n">
        <v>15656.0</v>
      </c>
      <c r="T32" s="3" t="n">
        <v>15984.0</v>
      </c>
      <c r="U32" s="3" t="n">
        <v>16452.0</v>
      </c>
      <c r="V32" s="3" t="n">
        <v>15350.0</v>
      </c>
      <c r="W32" s="3" t="n">
        <v>14534.0</v>
      </c>
      <c r="X32" s="3" t="n">
        <v>13525.0</v>
      </c>
      <c r="Y32" s="3" t="n">
        <v>12895.0</v>
      </c>
      <c r="Z32" s="3" t="n">
        <v>11621.0</v>
      </c>
      <c r="AA32" s="3" t="n">
        <v>11072.0</v>
      </c>
      <c r="AB32" s="3" t="n">
        <v>10666.0</v>
      </c>
      <c r="AC32" s="3" t="n">
        <v>10280.0</v>
      </c>
      <c r="AD32" s="3" t="n">
        <v>9973.0</v>
      </c>
      <c r="AE32" s="3" t="n">
        <v>9633.0</v>
      </c>
      <c r="AF32" s="3" t="n">
        <v>9363.0</v>
      </c>
      <c r="AG32" s="3" t="n">
        <v>9142.0</v>
      </c>
      <c r="AH32" s="3" t="n">
        <v>8923.0</v>
      </c>
      <c r="AI32" s="3" t="n">
        <v>8753.0</v>
      </c>
      <c r="AJ32" s="3" t="n">
        <v>8577.0</v>
      </c>
      <c r="AK32" s="3" t="n">
        <v>8467.0</v>
      </c>
      <c r="AL32" s="3" t="n">
        <v>8374.0</v>
      </c>
      <c r="AM32" s="3" t="n">
        <v>8288.0</v>
      </c>
      <c r="AN32" s="3" t="n">
        <v>8243.0</v>
      </c>
      <c r="AO32" s="3" t="n">
        <v>8193.0</v>
      </c>
    </row>
    <row r="33" spans="1:41" x14ac:dyDescent="0.2">
      <c r="A33" s="128"/>
      <c r="B33" s="9">
        <v>24</v>
      </c>
      <c r="C33" s="3" t="n">
        <v>15682.0</v>
      </c>
      <c r="D33" s="3" t="n">
        <v>15358.0</v>
      </c>
      <c r="E33" s="3" t="n">
        <v>15262.0</v>
      </c>
      <c r="F33" s="3" t="n">
        <v>15037.0</v>
      </c>
      <c r="G33" s="3" t="n">
        <v>14639.0</v>
      </c>
      <c r="H33" s="3" t="n">
        <v>14487.0</v>
      </c>
      <c r="I33" s="3" t="n">
        <v>14812.0</v>
      </c>
      <c r="J33" s="3" t="n">
        <v>15162.0</v>
      </c>
      <c r="K33" s="3" t="n">
        <v>15647.0</v>
      </c>
      <c r="L33" s="3" t="n">
        <v>16772.0</v>
      </c>
      <c r="M33" s="3" t="n">
        <v>17942.0</v>
      </c>
      <c r="N33" s="3" t="n">
        <v>17836.0</v>
      </c>
      <c r="O33" s="3" t="n">
        <v>17491.0</v>
      </c>
      <c r="P33" s="3" t="n">
        <v>16169.0</v>
      </c>
      <c r="Q33" s="3" t="n">
        <v>16347.0</v>
      </c>
      <c r="R33" s="3" t="n">
        <v>15702.0</v>
      </c>
      <c r="S33" s="3" t="n">
        <v>15923.0</v>
      </c>
      <c r="T33" s="3" t="n">
        <v>15613.0</v>
      </c>
      <c r="U33" s="3" t="n">
        <v>15940.0</v>
      </c>
      <c r="V33" s="3" t="n">
        <v>16410.0</v>
      </c>
      <c r="W33" s="3" t="n">
        <v>15310.0</v>
      </c>
      <c r="X33" s="3" t="n">
        <v>14501.0</v>
      </c>
      <c r="Y33" s="3" t="n">
        <v>13505.0</v>
      </c>
      <c r="Z33" s="3" t="n">
        <v>12871.0</v>
      </c>
      <c r="AA33" s="3" t="n">
        <v>11593.0</v>
      </c>
      <c r="AB33" s="3" t="n">
        <v>11053.0</v>
      </c>
      <c r="AC33" s="3" t="n">
        <v>10645.0</v>
      </c>
      <c r="AD33" s="3" t="n">
        <v>10263.0</v>
      </c>
      <c r="AE33" s="3" t="n">
        <v>9955.0</v>
      </c>
      <c r="AF33" s="3" t="n">
        <v>9620.0</v>
      </c>
      <c r="AG33" s="3" t="n">
        <v>9346.0</v>
      </c>
      <c r="AH33" s="3" t="n">
        <v>9125.0</v>
      </c>
      <c r="AI33" s="3" t="n">
        <v>8905.0</v>
      </c>
      <c r="AJ33" s="3" t="n">
        <v>8733.0</v>
      </c>
      <c r="AK33" s="3" t="n">
        <v>8557.0</v>
      </c>
      <c r="AL33" s="3" t="n">
        <v>8448.0</v>
      </c>
      <c r="AM33" s="3" t="n">
        <v>8357.0</v>
      </c>
      <c r="AN33" s="3" t="n">
        <v>8272.0</v>
      </c>
      <c r="AO33" s="3" t="n">
        <v>8225.0</v>
      </c>
    </row>
    <row r="34" spans="1:41" x14ac:dyDescent="0.2">
      <c r="A34" s="128"/>
      <c r="B34" s="9">
        <v>25</v>
      </c>
      <c r="C34" s="3" t="n">
        <v>16277.0</v>
      </c>
      <c r="D34" s="3" t="n">
        <v>15651.0</v>
      </c>
      <c r="E34" s="3" t="n">
        <v>15322.0</v>
      </c>
      <c r="F34" s="3" t="n">
        <v>15230.0</v>
      </c>
      <c r="G34" s="3" t="n">
        <v>15002.0</v>
      </c>
      <c r="H34" s="3" t="n">
        <v>14616.0</v>
      </c>
      <c r="I34" s="3" t="n">
        <v>14473.0</v>
      </c>
      <c r="J34" s="3" t="n">
        <v>14779.0</v>
      </c>
      <c r="K34" s="3" t="n">
        <v>15124.0</v>
      </c>
      <c r="L34" s="3" t="n">
        <v>15595.0</v>
      </c>
      <c r="M34" s="3" t="n">
        <v>16726.0</v>
      </c>
      <c r="N34" s="3" t="n">
        <v>17890.0</v>
      </c>
      <c r="O34" s="3" t="n">
        <v>17785.0</v>
      </c>
      <c r="P34" s="3" t="n">
        <v>17441.0</v>
      </c>
      <c r="Q34" s="3" t="n">
        <v>16128.0</v>
      </c>
      <c r="R34" s="3" t="n">
        <v>16303.0</v>
      </c>
      <c r="S34" s="3" t="n">
        <v>15650.0</v>
      </c>
      <c r="T34" s="3" t="n">
        <v>15875.0</v>
      </c>
      <c r="U34" s="3" t="n">
        <v>15564.0</v>
      </c>
      <c r="V34" s="3" t="n">
        <v>15894.0</v>
      </c>
      <c r="W34" s="3" t="n">
        <v>16371.0</v>
      </c>
      <c r="X34" s="3" t="n">
        <v>15277.0</v>
      </c>
      <c r="Y34" s="3" t="n">
        <v>14468.0</v>
      </c>
      <c r="Z34" s="3" t="n">
        <v>13479.0</v>
      </c>
      <c r="AA34" s="3" t="n">
        <v>12852.0</v>
      </c>
      <c r="AB34" s="3" t="n">
        <v>11577.0</v>
      </c>
      <c r="AC34" s="3" t="n">
        <v>11037.0</v>
      </c>
      <c r="AD34" s="3" t="n">
        <v>10629.0</v>
      </c>
      <c r="AE34" s="3" t="n">
        <v>10247.0</v>
      </c>
      <c r="AF34" s="3" t="n">
        <v>9937.0</v>
      </c>
      <c r="AG34" s="3" t="n">
        <v>9606.0</v>
      </c>
      <c r="AH34" s="3" t="n">
        <v>9335.0</v>
      </c>
      <c r="AI34" s="3" t="n">
        <v>9115.0</v>
      </c>
      <c r="AJ34" s="3" t="n">
        <v>8898.0</v>
      </c>
      <c r="AK34" s="3" t="n">
        <v>8724.0</v>
      </c>
      <c r="AL34" s="3" t="n">
        <v>8544.0</v>
      </c>
      <c r="AM34" s="3" t="n">
        <v>8434.0</v>
      </c>
      <c r="AN34" s="3" t="n">
        <v>8342.0</v>
      </c>
      <c r="AO34" s="3" t="n">
        <v>8256.0</v>
      </c>
    </row>
    <row r="35" spans="1:41" x14ac:dyDescent="0.2">
      <c r="A35" s="128"/>
      <c r="B35" s="9">
        <v>26</v>
      </c>
      <c r="C35" s="3" t="n">
        <v>17104.0</v>
      </c>
      <c r="D35" s="3" t="n">
        <v>16241.0</v>
      </c>
      <c r="E35" s="3" t="n">
        <v>15611.0</v>
      </c>
      <c r="F35" s="3" t="n">
        <v>15273.0</v>
      </c>
      <c r="G35" s="3" t="n">
        <v>15176.0</v>
      </c>
      <c r="H35" s="3" t="n">
        <v>14971.0</v>
      </c>
      <c r="I35" s="3" t="n">
        <v>14592.0</v>
      </c>
      <c r="J35" s="3" t="n">
        <v>14437.0</v>
      </c>
      <c r="K35" s="3" t="n">
        <v>14726.0</v>
      </c>
      <c r="L35" s="3" t="n">
        <v>15068.0</v>
      </c>
      <c r="M35" s="3" t="n">
        <v>15531.0</v>
      </c>
      <c r="N35" s="3" t="n">
        <v>16657.0</v>
      </c>
      <c r="O35" s="3" t="n">
        <v>17825.0</v>
      </c>
      <c r="P35" s="3" t="n">
        <v>17712.0</v>
      </c>
      <c r="Q35" s="3" t="n">
        <v>17379.0</v>
      </c>
      <c r="R35" s="3" t="n">
        <v>16075.0</v>
      </c>
      <c r="S35" s="3" t="n">
        <v>16244.0</v>
      </c>
      <c r="T35" s="3" t="n">
        <v>15589.0</v>
      </c>
      <c r="U35" s="3" t="n">
        <v>15817.0</v>
      </c>
      <c r="V35" s="3" t="n">
        <v>15509.0</v>
      </c>
      <c r="W35" s="3" t="n">
        <v>15835.0</v>
      </c>
      <c r="X35" s="3" t="n">
        <v>16320.0</v>
      </c>
      <c r="Y35" s="3" t="n">
        <v>15230.0</v>
      </c>
      <c r="Z35" s="3" t="n">
        <v>14417.0</v>
      </c>
      <c r="AA35" s="3" t="n">
        <v>13431.0</v>
      </c>
      <c r="AB35" s="3" t="n">
        <v>12814.0</v>
      </c>
      <c r="AC35" s="3" t="n">
        <v>11547.0</v>
      </c>
      <c r="AD35" s="3" t="n">
        <v>11010.0</v>
      </c>
      <c r="AE35" s="3" t="n">
        <v>10603.0</v>
      </c>
      <c r="AF35" s="3" t="n">
        <v>10222.0</v>
      </c>
      <c r="AG35" s="3" t="n">
        <v>9904.0</v>
      </c>
      <c r="AH35" s="3" t="n">
        <v>9583.0</v>
      </c>
      <c r="AI35" s="3" t="n">
        <v>9311.0</v>
      </c>
      <c r="AJ35" s="3" t="n">
        <v>9090.0</v>
      </c>
      <c r="AK35" s="3" t="n">
        <v>8876.0</v>
      </c>
      <c r="AL35" s="3" t="n">
        <v>8706.0</v>
      </c>
      <c r="AM35" s="3" t="n">
        <v>8524.0</v>
      </c>
      <c r="AN35" s="3" t="n">
        <v>8416.0</v>
      </c>
      <c r="AO35" s="3" t="n">
        <v>8322.0</v>
      </c>
    </row>
    <row r="36" spans="1:41" x14ac:dyDescent="0.2">
      <c r="A36" s="128"/>
      <c r="B36" s="9">
        <v>27</v>
      </c>
      <c r="C36" s="3" t="n">
        <v>18068.0</v>
      </c>
      <c r="D36" s="3" t="n">
        <v>17057.0</v>
      </c>
      <c r="E36" s="3" t="n">
        <v>16202.0</v>
      </c>
      <c r="F36" s="3" t="n">
        <v>15570.0</v>
      </c>
      <c r="G36" s="3" t="n">
        <v>15230.0</v>
      </c>
      <c r="H36" s="3" t="n">
        <v>15151.0</v>
      </c>
      <c r="I36" s="3" t="n">
        <v>14958.0</v>
      </c>
      <c r="J36" s="3" t="n">
        <v>14558.0</v>
      </c>
      <c r="K36" s="3" t="n">
        <v>14397.0</v>
      </c>
      <c r="L36" s="3" t="n">
        <v>14679.0</v>
      </c>
      <c r="M36" s="3" t="n">
        <v>15010.0</v>
      </c>
      <c r="N36" s="3" t="n">
        <v>15465.0</v>
      </c>
      <c r="O36" s="3" t="n">
        <v>16580.0</v>
      </c>
      <c r="P36" s="3" t="n">
        <v>17750.0</v>
      </c>
      <c r="Q36" s="3" t="n">
        <v>17643.0</v>
      </c>
      <c r="R36" s="3" t="n">
        <v>17311.0</v>
      </c>
      <c r="S36" s="3" t="n">
        <v>16015.0</v>
      </c>
      <c r="T36" s="3" t="n">
        <v>16191.0</v>
      </c>
      <c r="U36" s="3" t="n">
        <v>15528.0</v>
      </c>
      <c r="V36" s="3" t="n">
        <v>15759.0</v>
      </c>
      <c r="W36" s="3" t="n">
        <v>15449.0</v>
      </c>
      <c r="X36" s="3" t="n">
        <v>15768.0</v>
      </c>
      <c r="Y36" s="3" t="n">
        <v>16261.0</v>
      </c>
      <c r="Z36" s="3" t="n">
        <v>15178.0</v>
      </c>
      <c r="AA36" s="3" t="n">
        <v>14378.0</v>
      </c>
      <c r="AB36" s="3" t="n">
        <v>13397.0</v>
      </c>
      <c r="AC36" s="3" t="n">
        <v>12786.0</v>
      </c>
      <c r="AD36" s="3" t="n">
        <v>11516.0</v>
      </c>
      <c r="AE36" s="3" t="n">
        <v>10985.0</v>
      </c>
      <c r="AF36" s="3" t="n">
        <v>10581.0</v>
      </c>
      <c r="AG36" s="3" t="n">
        <v>10194.0</v>
      </c>
      <c r="AH36" s="3" t="n">
        <v>9879.0</v>
      </c>
      <c r="AI36" s="3" t="n">
        <v>9554.0</v>
      </c>
      <c r="AJ36" s="3" t="n">
        <v>9284.0</v>
      </c>
      <c r="AK36" s="3" t="n">
        <v>9063.0</v>
      </c>
      <c r="AL36" s="3" t="n">
        <v>8849.0</v>
      </c>
      <c r="AM36" s="3" t="n">
        <v>8679.0</v>
      </c>
      <c r="AN36" s="3" t="n">
        <v>8496.0</v>
      </c>
      <c r="AO36" s="3" t="n">
        <v>8388.0</v>
      </c>
    </row>
    <row r="37" spans="1:41" x14ac:dyDescent="0.2">
      <c r="A37" s="128"/>
      <c r="B37" s="9">
        <v>28</v>
      </c>
      <c r="C37" s="3" t="n">
        <v>19193.0</v>
      </c>
      <c r="D37" s="3" t="n">
        <v>17992.0</v>
      </c>
      <c r="E37" s="3" t="n">
        <v>16992.0</v>
      </c>
      <c r="F37" s="3" t="n">
        <v>16150.0</v>
      </c>
      <c r="G37" s="3" t="n">
        <v>15518.0</v>
      </c>
      <c r="H37" s="3" t="n">
        <v>15203.0</v>
      </c>
      <c r="I37" s="3" t="n">
        <v>15128.0</v>
      </c>
      <c r="J37" s="3" t="n">
        <v>14915.0</v>
      </c>
      <c r="K37" s="3" t="n">
        <v>14502.0</v>
      </c>
      <c r="L37" s="3" t="n">
        <v>14336.0</v>
      </c>
      <c r="M37" s="3" t="n">
        <v>14613.0</v>
      </c>
      <c r="N37" s="3" t="n">
        <v>14958.0</v>
      </c>
      <c r="O37" s="3" t="n">
        <v>15401.0</v>
      </c>
      <c r="P37" s="3" t="n">
        <v>16508.0</v>
      </c>
      <c r="Q37" s="3" t="n">
        <v>17670.0</v>
      </c>
      <c r="R37" s="3" t="n">
        <v>17565.0</v>
      </c>
      <c r="S37" s="3" t="n">
        <v>17243.0</v>
      </c>
      <c r="T37" s="3" t="n">
        <v>15951.0</v>
      </c>
      <c r="U37" s="3" t="n">
        <v>16130.0</v>
      </c>
      <c r="V37" s="3" t="n">
        <v>15458.0</v>
      </c>
      <c r="W37" s="3" t="n">
        <v>15693.0</v>
      </c>
      <c r="X37" s="3" t="n">
        <v>15386.0</v>
      </c>
      <c r="Y37" s="3" t="n">
        <v>15705.0</v>
      </c>
      <c r="Z37" s="3" t="n">
        <v>16196.0</v>
      </c>
      <c r="AA37" s="3" t="n">
        <v>15123.0</v>
      </c>
      <c r="AB37" s="3" t="n">
        <v>14326.0</v>
      </c>
      <c r="AC37" s="3" t="n">
        <v>13344.0</v>
      </c>
      <c r="AD37" s="3" t="n">
        <v>12746.0</v>
      </c>
      <c r="AE37" s="3" t="n">
        <v>11479.0</v>
      </c>
      <c r="AF37" s="3" t="n">
        <v>10947.0</v>
      </c>
      <c r="AG37" s="3" t="n">
        <v>10544.0</v>
      </c>
      <c r="AH37" s="3" t="n">
        <v>10158.0</v>
      </c>
      <c r="AI37" s="3" t="n">
        <v>9844.0</v>
      </c>
      <c r="AJ37" s="3" t="n">
        <v>9524.0</v>
      </c>
      <c r="AK37" s="3" t="n">
        <v>9253.0</v>
      </c>
      <c r="AL37" s="3" t="n">
        <v>9036.0</v>
      </c>
      <c r="AM37" s="3" t="n">
        <v>8825.0</v>
      </c>
      <c r="AN37" s="3" t="n">
        <v>8653.0</v>
      </c>
      <c r="AO37" s="3" t="n">
        <v>8466.0</v>
      </c>
    </row>
    <row r="38" spans="1:41" x14ac:dyDescent="0.2">
      <c r="A38" s="128"/>
      <c r="B38" s="9">
        <v>29</v>
      </c>
      <c r="C38" s="3" t="n">
        <v>19893.0</v>
      </c>
      <c r="D38" s="3" t="n">
        <v>19105.0</v>
      </c>
      <c r="E38" s="3" t="n">
        <v>17903.0</v>
      </c>
      <c r="F38" s="3" t="n">
        <v>16916.0</v>
      </c>
      <c r="G38" s="3" t="n">
        <v>16080.0</v>
      </c>
      <c r="H38" s="3" t="n">
        <v>15472.0</v>
      </c>
      <c r="I38" s="3" t="n">
        <v>15168.0</v>
      </c>
      <c r="J38" s="3" t="n">
        <v>15076.0</v>
      </c>
      <c r="K38" s="3" t="n">
        <v>14857.0</v>
      </c>
      <c r="L38" s="3" t="n">
        <v>14438.0</v>
      </c>
      <c r="M38" s="3" t="n">
        <v>14267.0</v>
      </c>
      <c r="N38" s="3" t="n">
        <v>14532.0</v>
      </c>
      <c r="O38" s="3" t="n">
        <v>14878.0</v>
      </c>
      <c r="P38" s="3" t="n">
        <v>15319.0</v>
      </c>
      <c r="Q38" s="3" t="n">
        <v>16419.0</v>
      </c>
      <c r="R38" s="3" t="n">
        <v>17573.0</v>
      </c>
      <c r="S38" s="3" t="n">
        <v>17473.0</v>
      </c>
      <c r="T38" s="3" t="n">
        <v>17155.0</v>
      </c>
      <c r="U38" s="3" t="n">
        <v>15873.0</v>
      </c>
      <c r="V38" s="3" t="n">
        <v>16044.0</v>
      </c>
      <c r="W38" s="3" t="n">
        <v>15372.0</v>
      </c>
      <c r="X38" s="3" t="n">
        <v>15607.0</v>
      </c>
      <c r="Y38" s="3" t="n">
        <v>15300.0</v>
      </c>
      <c r="Z38" s="3" t="n">
        <v>15624.0</v>
      </c>
      <c r="AA38" s="3" t="n">
        <v>16113.0</v>
      </c>
      <c r="AB38" s="3" t="n">
        <v>15050.0</v>
      </c>
      <c r="AC38" s="3" t="n">
        <v>14259.0</v>
      </c>
      <c r="AD38" s="3" t="n">
        <v>13285.0</v>
      </c>
      <c r="AE38" s="3" t="n">
        <v>12698.0</v>
      </c>
      <c r="AF38" s="3" t="n">
        <v>11431.0</v>
      </c>
      <c r="AG38" s="3" t="n">
        <v>10913.0</v>
      </c>
      <c r="AH38" s="3" t="n">
        <v>10514.0</v>
      </c>
      <c r="AI38" s="3" t="n">
        <v>10119.0</v>
      </c>
      <c r="AJ38" s="3" t="n">
        <v>9808.0</v>
      </c>
      <c r="AK38" s="3" t="n">
        <v>9485.0</v>
      </c>
      <c r="AL38" s="3" t="n">
        <v>9215.0</v>
      </c>
      <c r="AM38" s="3" t="n">
        <v>8996.0</v>
      </c>
      <c r="AN38" s="3" t="n">
        <v>8788.0</v>
      </c>
      <c r="AO38" s="3" t="n">
        <v>8615.0</v>
      </c>
    </row>
    <row r="39" spans="1:41" x14ac:dyDescent="0.2">
      <c r="A39" s="128"/>
      <c r="B39" s="9">
        <v>30</v>
      </c>
      <c r="C39" s="3" t="n">
        <v>20267.0</v>
      </c>
      <c r="D39" s="3" t="n">
        <v>19817.0</v>
      </c>
      <c r="E39" s="3" t="n">
        <v>19021.0</v>
      </c>
      <c r="F39" s="3" t="n">
        <v>17827.0</v>
      </c>
      <c r="G39" s="3" t="n">
        <v>16856.0</v>
      </c>
      <c r="H39" s="3" t="n">
        <v>16050.0</v>
      </c>
      <c r="I39" s="3" t="n">
        <v>15450.0</v>
      </c>
      <c r="J39" s="3" t="n">
        <v>15131.0</v>
      </c>
      <c r="K39" s="3" t="n">
        <v>15024.0</v>
      </c>
      <c r="L39" s="3" t="n">
        <v>14798.0</v>
      </c>
      <c r="M39" s="3" t="n">
        <v>14375.0</v>
      </c>
      <c r="N39" s="3" t="n">
        <v>14199.0</v>
      </c>
      <c r="O39" s="3" t="n">
        <v>14466.0</v>
      </c>
      <c r="P39" s="3" t="n">
        <v>14810.0</v>
      </c>
      <c r="Q39" s="3" t="n">
        <v>15252.0</v>
      </c>
      <c r="R39" s="3" t="n">
        <v>16334.0</v>
      </c>
      <c r="S39" s="3" t="n">
        <v>17484.0</v>
      </c>
      <c r="T39" s="3" t="n">
        <v>17389.0</v>
      </c>
      <c r="U39" s="3" t="n">
        <v>17073.0</v>
      </c>
      <c r="V39" s="3" t="n">
        <v>15800.0</v>
      </c>
      <c r="W39" s="3" t="n">
        <v>15966.0</v>
      </c>
      <c r="X39" s="3" t="n">
        <v>15294.0</v>
      </c>
      <c r="Y39" s="3" t="n">
        <v>15531.0</v>
      </c>
      <c r="Z39" s="3" t="n">
        <v>15228.0</v>
      </c>
      <c r="AA39" s="3" t="n">
        <v>15542.0</v>
      </c>
      <c r="AB39" s="3" t="n">
        <v>16034.0</v>
      </c>
      <c r="AC39" s="3" t="n">
        <v>14983.0</v>
      </c>
      <c r="AD39" s="3" t="n">
        <v>14197.0</v>
      </c>
      <c r="AE39" s="3" t="n">
        <v>13228.0</v>
      </c>
      <c r="AF39" s="3" t="n">
        <v>12648.0</v>
      </c>
      <c r="AG39" s="3" t="n">
        <v>11379.0</v>
      </c>
      <c r="AH39" s="3" t="n">
        <v>10872.0</v>
      </c>
      <c r="AI39" s="3" t="n">
        <v>10477.0</v>
      </c>
      <c r="AJ39" s="3" t="n">
        <v>10084.0</v>
      </c>
      <c r="AK39" s="3" t="n">
        <v>9770.0</v>
      </c>
      <c r="AL39" s="3" t="n">
        <v>9448.0</v>
      </c>
      <c r="AM39" s="3" t="n">
        <v>9173.0</v>
      </c>
      <c r="AN39" s="3" t="n">
        <v>8959.0</v>
      </c>
      <c r="AO39" s="3" t="n">
        <v>8751.0</v>
      </c>
    </row>
    <row r="40" spans="1:41" x14ac:dyDescent="0.2">
      <c r="A40" s="128"/>
      <c r="B40" s="9">
        <v>31</v>
      </c>
      <c r="C40" s="3" t="n">
        <v>21426.0</v>
      </c>
      <c r="D40" s="3" t="n">
        <v>20187.0</v>
      </c>
      <c r="E40" s="3" t="n">
        <v>19740.0</v>
      </c>
      <c r="F40" s="3" t="n">
        <v>18942.0</v>
      </c>
      <c r="G40" s="3" t="n">
        <v>17753.0</v>
      </c>
      <c r="H40" s="3" t="n">
        <v>16824.0</v>
      </c>
      <c r="I40" s="3" t="n">
        <v>16041.0</v>
      </c>
      <c r="J40" s="3" t="n">
        <v>15417.0</v>
      </c>
      <c r="K40" s="3" t="n">
        <v>15083.0</v>
      </c>
      <c r="L40" s="3" t="n">
        <v>14966.0</v>
      </c>
      <c r="M40" s="3" t="n">
        <v>14725.0</v>
      </c>
      <c r="N40" s="3" t="n">
        <v>14305.0</v>
      </c>
      <c r="O40" s="3" t="n">
        <v>14134.0</v>
      </c>
      <c r="P40" s="3" t="n">
        <v>14402.0</v>
      </c>
      <c r="Q40" s="3" t="n">
        <v>14742.0</v>
      </c>
      <c r="R40" s="3" t="n">
        <v>15184.0</v>
      </c>
      <c r="S40" s="3" t="n">
        <v>16258.0</v>
      </c>
      <c r="T40" s="3" t="n">
        <v>17397.0</v>
      </c>
      <c r="U40" s="3" t="n">
        <v>17306.0</v>
      </c>
      <c r="V40" s="3" t="n">
        <v>16997.0</v>
      </c>
      <c r="W40" s="3" t="n">
        <v>15732.0</v>
      </c>
      <c r="X40" s="3" t="n">
        <v>15899.0</v>
      </c>
      <c r="Y40" s="3" t="n">
        <v>15225.0</v>
      </c>
      <c r="Z40" s="3" t="n">
        <v>15466.0</v>
      </c>
      <c r="AA40" s="3" t="n">
        <v>15163.0</v>
      </c>
      <c r="AB40" s="3" t="n">
        <v>15476.0</v>
      </c>
      <c r="AC40" s="3" t="n">
        <v>15972.0</v>
      </c>
      <c r="AD40" s="3" t="n">
        <v>14926.0</v>
      </c>
      <c r="AE40" s="3" t="n">
        <v>14137.0</v>
      </c>
      <c r="AF40" s="3" t="n">
        <v>13177.0</v>
      </c>
      <c r="AG40" s="3" t="n">
        <v>12606.0</v>
      </c>
      <c r="AH40" s="3" t="n">
        <v>11332.0</v>
      </c>
      <c r="AI40" s="3" t="n">
        <v>10822.0</v>
      </c>
      <c r="AJ40" s="3" t="n">
        <v>10432.0</v>
      </c>
      <c r="AK40" s="3" t="n">
        <v>10047.0</v>
      </c>
      <c r="AL40" s="3" t="n">
        <v>9735.0</v>
      </c>
      <c r="AM40" s="3" t="n">
        <v>9415.0</v>
      </c>
      <c r="AN40" s="3" t="n">
        <v>9141.0</v>
      </c>
      <c r="AO40" s="3" t="n">
        <v>8920.0</v>
      </c>
    </row>
    <row r="41" spans="1:41" x14ac:dyDescent="0.2">
      <c r="A41" s="128"/>
      <c r="B41" s="9">
        <v>32</v>
      </c>
      <c r="C41" s="3" t="n">
        <v>22231.0</v>
      </c>
      <c r="D41" s="3" t="n">
        <v>21362.0</v>
      </c>
      <c r="E41" s="3" t="n">
        <v>20123.0</v>
      </c>
      <c r="F41" s="3" t="n">
        <v>19672.0</v>
      </c>
      <c r="G41" s="3" t="n">
        <v>18873.0</v>
      </c>
      <c r="H41" s="3" t="n">
        <v>17719.0</v>
      </c>
      <c r="I41" s="3" t="n">
        <v>16805.0</v>
      </c>
      <c r="J41" s="3" t="n">
        <v>16005.0</v>
      </c>
      <c r="K41" s="3" t="n">
        <v>15366.0</v>
      </c>
      <c r="L41" s="3" t="n">
        <v>15036.0</v>
      </c>
      <c r="M41" s="3" t="n">
        <v>14920.0</v>
      </c>
      <c r="N41" s="3" t="n">
        <v>14674.0</v>
      </c>
      <c r="O41" s="3" t="n">
        <v>14248.0</v>
      </c>
      <c r="P41" s="3" t="n">
        <v>14075.0</v>
      </c>
      <c r="Q41" s="3" t="n">
        <v>14343.0</v>
      </c>
      <c r="R41" s="3" t="n">
        <v>14686.0</v>
      </c>
      <c r="S41" s="3" t="n">
        <v>15118.0</v>
      </c>
      <c r="T41" s="3" t="n">
        <v>16187.0</v>
      </c>
      <c r="U41" s="3" t="n">
        <v>17324.0</v>
      </c>
      <c r="V41" s="3" t="n">
        <v>17233.0</v>
      </c>
      <c r="W41" s="3" t="n">
        <v>16932.0</v>
      </c>
      <c r="X41" s="3" t="n">
        <v>15670.0</v>
      </c>
      <c r="Y41" s="3" t="n">
        <v>15835.0</v>
      </c>
      <c r="Z41" s="3" t="n">
        <v>15155.0</v>
      </c>
      <c r="AA41" s="3" t="n">
        <v>15397.0</v>
      </c>
      <c r="AB41" s="3" t="n">
        <v>15091.0</v>
      </c>
      <c r="AC41" s="3" t="n">
        <v>15407.0</v>
      </c>
      <c r="AD41" s="3" t="n">
        <v>15908.0</v>
      </c>
      <c r="AE41" s="3" t="n">
        <v>14862.0</v>
      </c>
      <c r="AF41" s="3" t="n">
        <v>14080.0</v>
      </c>
      <c r="AG41" s="3" t="n">
        <v>13130.0</v>
      </c>
      <c r="AH41" s="3" t="n">
        <v>12565.0</v>
      </c>
      <c r="AI41" s="3" t="n">
        <v>11291.0</v>
      </c>
      <c r="AJ41" s="3" t="n">
        <v>10784.0</v>
      </c>
      <c r="AK41" s="3" t="n">
        <v>10396.0</v>
      </c>
      <c r="AL41" s="3" t="n">
        <v>10010.0</v>
      </c>
      <c r="AM41" s="3" t="n">
        <v>9696.0</v>
      </c>
      <c r="AN41" s="3" t="n">
        <v>9374.0</v>
      </c>
      <c r="AO41" s="3" t="n">
        <v>9101.0</v>
      </c>
    </row>
    <row r="42" spans="1:41" x14ac:dyDescent="0.2">
      <c r="A42" s="128"/>
      <c r="B42" s="9">
        <v>33</v>
      </c>
      <c r="C42" s="3" t="n">
        <v>22255.0</v>
      </c>
      <c r="D42" s="3" t="n">
        <v>22166.0</v>
      </c>
      <c r="E42" s="3" t="n">
        <v>21300.0</v>
      </c>
      <c r="F42" s="3" t="n">
        <v>20067.0</v>
      </c>
      <c r="G42" s="3" t="n">
        <v>19613.0</v>
      </c>
      <c r="H42" s="3" t="n">
        <v>18843.0</v>
      </c>
      <c r="I42" s="3" t="n">
        <v>17701.0</v>
      </c>
      <c r="J42" s="3" t="n">
        <v>16774.0</v>
      </c>
      <c r="K42" s="3" t="n">
        <v>15964.0</v>
      </c>
      <c r="L42" s="3" t="n">
        <v>15320.0</v>
      </c>
      <c r="M42" s="3" t="n">
        <v>14982.0</v>
      </c>
      <c r="N42" s="3" t="n">
        <v>14862.0</v>
      </c>
      <c r="O42" s="3" t="n">
        <v>14610.0</v>
      </c>
      <c r="P42" s="3" t="n">
        <v>14180.0</v>
      </c>
      <c r="Q42" s="3" t="n">
        <v>14013.0</v>
      </c>
      <c r="R42" s="3" t="n">
        <v>14276.0</v>
      </c>
      <c r="S42" s="3" t="n">
        <v>14617.0</v>
      </c>
      <c r="T42" s="3" t="n">
        <v>15044.0</v>
      </c>
      <c r="U42" s="3" t="n">
        <v>16103.0</v>
      </c>
      <c r="V42" s="3" t="n">
        <v>17239.0</v>
      </c>
      <c r="W42" s="3" t="n">
        <v>17156.0</v>
      </c>
      <c r="X42" s="3" t="n">
        <v>16856.0</v>
      </c>
      <c r="Y42" s="3" t="n">
        <v>15597.0</v>
      </c>
      <c r="Z42" s="3" t="n">
        <v>15765.0</v>
      </c>
      <c r="AA42" s="3" t="n">
        <v>15087.0</v>
      </c>
      <c r="AB42" s="3" t="n">
        <v>15318.0</v>
      </c>
      <c r="AC42" s="3" t="n">
        <v>15018.0</v>
      </c>
      <c r="AD42" s="3" t="n">
        <v>15335.0</v>
      </c>
      <c r="AE42" s="3" t="n">
        <v>15837.0</v>
      </c>
      <c r="AF42" s="3" t="n">
        <v>14802.0</v>
      </c>
      <c r="AG42" s="3" t="n">
        <v>14028.0</v>
      </c>
      <c r="AH42" s="3" t="n">
        <v>13080.0</v>
      </c>
      <c r="AI42" s="3" t="n">
        <v>12526.0</v>
      </c>
      <c r="AJ42" s="3" t="n">
        <v>11246.0</v>
      </c>
      <c r="AK42" s="3" t="n">
        <v>10747.0</v>
      </c>
      <c r="AL42" s="3" t="n">
        <v>10366.0</v>
      </c>
      <c r="AM42" s="3" t="n">
        <v>9976.0</v>
      </c>
      <c r="AN42" s="3" t="n">
        <v>9660.0</v>
      </c>
      <c r="AO42" s="3" t="n">
        <v>9345.0</v>
      </c>
    </row>
    <row r="43" spans="1:41" x14ac:dyDescent="0.2">
      <c r="A43" s="128"/>
      <c r="B43" s="9">
        <v>34</v>
      </c>
      <c r="C43" s="3" t="n">
        <v>23094.0</v>
      </c>
      <c r="D43" s="3" t="n">
        <v>22205.0</v>
      </c>
      <c r="E43" s="3" t="n">
        <v>22117.0</v>
      </c>
      <c r="F43" s="3" t="n">
        <v>21254.0</v>
      </c>
      <c r="G43" s="3" t="n">
        <v>20026.0</v>
      </c>
      <c r="H43" s="3" t="n">
        <v>19592.0</v>
      </c>
      <c r="I43" s="3" t="n">
        <v>18836.0</v>
      </c>
      <c r="J43" s="3" t="n">
        <v>17673.0</v>
      </c>
      <c r="K43" s="3" t="n">
        <v>16739.0</v>
      </c>
      <c r="L43" s="3" t="n">
        <v>15928.0</v>
      </c>
      <c r="M43" s="3" t="n">
        <v>15281.0</v>
      </c>
      <c r="N43" s="3" t="n">
        <v>14947.0</v>
      </c>
      <c r="O43" s="3" t="n">
        <v>14819.0</v>
      </c>
      <c r="P43" s="3" t="n">
        <v>14569.0</v>
      </c>
      <c r="Q43" s="3" t="n">
        <v>14139.0</v>
      </c>
      <c r="R43" s="3" t="n">
        <v>13970.0</v>
      </c>
      <c r="S43" s="3" t="n">
        <v>14231.0</v>
      </c>
      <c r="T43" s="3" t="n">
        <v>14572.0</v>
      </c>
      <c r="U43" s="3" t="n">
        <v>14996.0</v>
      </c>
      <c r="V43" s="3" t="n">
        <v>16041.0</v>
      </c>
      <c r="W43" s="3" t="n">
        <v>17172.0</v>
      </c>
      <c r="X43" s="3" t="n">
        <v>17086.0</v>
      </c>
      <c r="Y43" s="3" t="n">
        <v>16795.0</v>
      </c>
      <c r="Z43" s="3" t="n">
        <v>15546.0</v>
      </c>
      <c r="AA43" s="3" t="n">
        <v>15706.0</v>
      </c>
      <c r="AB43" s="3" t="n">
        <v>15024.0</v>
      </c>
      <c r="AC43" s="3" t="n">
        <v>15260.0</v>
      </c>
      <c r="AD43" s="3" t="n">
        <v>14960.0</v>
      </c>
      <c r="AE43" s="3" t="n">
        <v>15281.0</v>
      </c>
      <c r="AF43" s="3" t="n">
        <v>15782.0</v>
      </c>
      <c r="AG43" s="3" t="n">
        <v>14753.0</v>
      </c>
      <c r="AH43" s="3" t="n">
        <v>13979.0</v>
      </c>
      <c r="AI43" s="3" t="n">
        <v>13043.0</v>
      </c>
      <c r="AJ43" s="3" t="n">
        <v>12490.0</v>
      </c>
      <c r="AK43" s="3" t="n">
        <v>11210.0</v>
      </c>
      <c r="AL43" s="3" t="n">
        <v>10706.0</v>
      </c>
      <c r="AM43" s="3" t="n">
        <v>10332.0</v>
      </c>
      <c r="AN43" s="3" t="n">
        <v>9939.0</v>
      </c>
      <c r="AO43" s="3" t="n">
        <v>9626.0</v>
      </c>
    </row>
    <row r="44" spans="1:41" x14ac:dyDescent="0.2">
      <c r="A44" s="128"/>
      <c r="B44" s="9">
        <v>35</v>
      </c>
      <c r="C44" s="3" t="n">
        <v>24118.0</v>
      </c>
      <c r="D44" s="3" t="n">
        <v>23026.0</v>
      </c>
      <c r="E44" s="3" t="n">
        <v>22142.0</v>
      </c>
      <c r="F44" s="3" t="n">
        <v>22050.0</v>
      </c>
      <c r="G44" s="3" t="n">
        <v>21191.0</v>
      </c>
      <c r="H44" s="3" t="n">
        <v>19996.0</v>
      </c>
      <c r="I44" s="3" t="n">
        <v>19584.0</v>
      </c>
      <c r="J44" s="3" t="n">
        <v>18796.0</v>
      </c>
      <c r="K44" s="3" t="n">
        <v>17623.0</v>
      </c>
      <c r="L44" s="3" t="n">
        <v>16693.0</v>
      </c>
      <c r="M44" s="3" t="n">
        <v>15882.0</v>
      </c>
      <c r="N44" s="3" t="n">
        <v>15231.0</v>
      </c>
      <c r="O44" s="3" t="n">
        <v>14892.0</v>
      </c>
      <c r="P44" s="3" t="n">
        <v>14760.0</v>
      </c>
      <c r="Q44" s="3" t="n">
        <v>14507.0</v>
      </c>
      <c r="R44" s="3" t="n">
        <v>14081.0</v>
      </c>
      <c r="S44" s="3" t="n">
        <v>13912.0</v>
      </c>
      <c r="T44" s="3" t="n">
        <v>14169.0</v>
      </c>
      <c r="U44" s="3" t="n">
        <v>14510.0</v>
      </c>
      <c r="V44" s="3" t="n">
        <v>14926.0</v>
      </c>
      <c r="W44" s="3" t="n">
        <v>15968.0</v>
      </c>
      <c r="X44" s="3" t="n">
        <v>17096.0</v>
      </c>
      <c r="Y44" s="3" t="n">
        <v>17006.0</v>
      </c>
      <c r="Z44" s="3" t="n">
        <v>16722.0</v>
      </c>
      <c r="AA44" s="3" t="n">
        <v>15480.0</v>
      </c>
      <c r="AB44" s="3" t="n">
        <v>15635.0</v>
      </c>
      <c r="AC44" s="3" t="n">
        <v>14950.0</v>
      </c>
      <c r="AD44" s="3" t="n">
        <v>15189.0</v>
      </c>
      <c r="AE44" s="3" t="n">
        <v>14890.0</v>
      </c>
      <c r="AF44" s="3" t="n">
        <v>15217.0</v>
      </c>
      <c r="AG44" s="3" t="n">
        <v>15714.0</v>
      </c>
      <c r="AH44" s="3" t="n">
        <v>14692.0</v>
      </c>
      <c r="AI44" s="3" t="n">
        <v>13925.0</v>
      </c>
      <c r="AJ44" s="3" t="n">
        <v>12994.0</v>
      </c>
      <c r="AK44" s="3" t="n">
        <v>12438.0</v>
      </c>
      <c r="AL44" s="3" t="n">
        <v>11170.0</v>
      </c>
      <c r="AM44" s="3" t="n">
        <v>10667.0</v>
      </c>
      <c r="AN44" s="3" t="n">
        <v>10302.0</v>
      </c>
      <c r="AO44" s="3" t="n">
        <v>9907.0</v>
      </c>
    </row>
    <row r="45" spans="1:41" x14ac:dyDescent="0.2">
      <c r="A45" s="128"/>
      <c r="B45" s="9">
        <v>36</v>
      </c>
      <c r="C45" s="3" t="n">
        <v>24895.0</v>
      </c>
      <c r="D45" s="3" t="n">
        <v>24067.0</v>
      </c>
      <c r="E45" s="3" t="n">
        <v>22981.0</v>
      </c>
      <c r="F45" s="3" t="n">
        <v>22103.0</v>
      </c>
      <c r="G45" s="3" t="n">
        <v>22006.0</v>
      </c>
      <c r="H45" s="3" t="n">
        <v>21192.0</v>
      </c>
      <c r="I45" s="3" t="n">
        <v>20005.0</v>
      </c>
      <c r="J45" s="3" t="n">
        <v>19567.0</v>
      </c>
      <c r="K45" s="3" t="n">
        <v>18765.0</v>
      </c>
      <c r="L45" s="3" t="n">
        <v>17601.0</v>
      </c>
      <c r="M45" s="3" t="n">
        <v>16665.0</v>
      </c>
      <c r="N45" s="3" t="n">
        <v>15862.0</v>
      </c>
      <c r="O45" s="3" t="n">
        <v>15207.0</v>
      </c>
      <c r="P45" s="3" t="n">
        <v>14863.0</v>
      </c>
      <c r="Q45" s="3" t="n">
        <v>14730.0</v>
      </c>
      <c r="R45" s="3" t="n">
        <v>14477.0</v>
      </c>
      <c r="S45" s="3" t="n">
        <v>14054.0</v>
      </c>
      <c r="T45" s="3" t="n">
        <v>13878.0</v>
      </c>
      <c r="U45" s="3" t="n">
        <v>14137.0</v>
      </c>
      <c r="V45" s="3" t="n">
        <v>14480.0</v>
      </c>
      <c r="W45" s="3" t="n">
        <v>14888.0</v>
      </c>
      <c r="X45" s="3" t="n">
        <v>15923.0</v>
      </c>
      <c r="Y45" s="3" t="n">
        <v>17040.0</v>
      </c>
      <c r="Z45" s="3" t="n">
        <v>16961.0</v>
      </c>
      <c r="AA45" s="3" t="n">
        <v>16677.0</v>
      </c>
      <c r="AB45" s="3" t="n">
        <v>15442.0</v>
      </c>
      <c r="AC45" s="3" t="n">
        <v>15591.0</v>
      </c>
      <c r="AD45" s="3" t="n">
        <v>14903.0</v>
      </c>
      <c r="AE45" s="3" t="n">
        <v>15145.0</v>
      </c>
      <c r="AF45" s="3" t="n">
        <v>14847.0</v>
      </c>
      <c r="AG45" s="3" t="n">
        <v>15177.0</v>
      </c>
      <c r="AH45" s="3" t="n">
        <v>15670.0</v>
      </c>
      <c r="AI45" s="3" t="n">
        <v>14658.0</v>
      </c>
      <c r="AJ45" s="3" t="n">
        <v>13897.0</v>
      </c>
      <c r="AK45" s="3" t="n">
        <v>12962.0</v>
      </c>
      <c r="AL45" s="3" t="n">
        <v>12407.0</v>
      </c>
      <c r="AM45" s="3" t="n">
        <v>11136.0</v>
      </c>
      <c r="AN45" s="3" t="n">
        <v>10638.0</v>
      </c>
      <c r="AO45" s="3" t="n">
        <v>10279.0</v>
      </c>
    </row>
    <row r="46" spans="1:41" x14ac:dyDescent="0.2">
      <c r="A46" s="128"/>
      <c r="B46" s="9">
        <v>37</v>
      </c>
      <c r="C46" s="3" t="n">
        <v>26983.0</v>
      </c>
      <c r="D46" s="3" t="n">
        <v>24836.0</v>
      </c>
      <c r="E46" s="3" t="n">
        <v>24010.0</v>
      </c>
      <c r="F46" s="3" t="n">
        <v>22933.0</v>
      </c>
      <c r="G46" s="3" t="n">
        <v>22062.0</v>
      </c>
      <c r="H46" s="3" t="n">
        <v>22003.0</v>
      </c>
      <c r="I46" s="3" t="n">
        <v>21200.0</v>
      </c>
      <c r="J46" s="3" t="n">
        <v>19986.0</v>
      </c>
      <c r="K46" s="3" t="n">
        <v>19540.0</v>
      </c>
      <c r="L46" s="3" t="n">
        <v>18724.0</v>
      </c>
      <c r="M46" s="3" t="n">
        <v>17561.0</v>
      </c>
      <c r="N46" s="3" t="n">
        <v>16631.0</v>
      </c>
      <c r="O46" s="3" t="n">
        <v>15831.0</v>
      </c>
      <c r="P46" s="3" t="n">
        <v>15180.0</v>
      </c>
      <c r="Q46" s="3" t="n">
        <v>14838.0</v>
      </c>
      <c r="R46" s="3" t="n">
        <v>14703.0</v>
      </c>
      <c r="S46" s="3" t="n">
        <v>14439.0</v>
      </c>
      <c r="T46" s="3" t="n">
        <v>14023.0</v>
      </c>
      <c r="U46" s="3" t="n">
        <v>13842.0</v>
      </c>
      <c r="V46" s="3" t="n">
        <v>14099.0</v>
      </c>
      <c r="W46" s="3" t="n">
        <v>14444.0</v>
      </c>
      <c r="X46" s="3" t="n">
        <v>14848.0</v>
      </c>
      <c r="Y46" s="3" t="n">
        <v>15878.0</v>
      </c>
      <c r="Z46" s="3" t="n">
        <v>16990.0</v>
      </c>
      <c r="AA46" s="3" t="n">
        <v>16913.0</v>
      </c>
      <c r="AB46" s="3" t="n">
        <v>16633.0</v>
      </c>
      <c r="AC46" s="3" t="n">
        <v>15406.0</v>
      </c>
      <c r="AD46" s="3" t="n">
        <v>15551.0</v>
      </c>
      <c r="AE46" s="3" t="n">
        <v>14865.0</v>
      </c>
      <c r="AF46" s="3" t="n">
        <v>15099.0</v>
      </c>
      <c r="AG46" s="3" t="n">
        <v>14800.0</v>
      </c>
      <c r="AH46" s="3" t="n">
        <v>15135.0</v>
      </c>
      <c r="AI46" s="3" t="n">
        <v>15624.0</v>
      </c>
      <c r="AJ46" s="3" t="n">
        <v>14616.0</v>
      </c>
      <c r="AK46" s="3" t="n">
        <v>13860.0</v>
      </c>
      <c r="AL46" s="3" t="n">
        <v>12931.0</v>
      </c>
      <c r="AM46" s="3" t="n">
        <v>12376.0</v>
      </c>
      <c r="AN46" s="3" t="n">
        <v>11105.0</v>
      </c>
      <c r="AO46" s="3" t="n">
        <v>10609.0</v>
      </c>
    </row>
    <row r="47" spans="1:41" x14ac:dyDescent="0.2">
      <c r="A47" s="128"/>
      <c r="B47" s="9">
        <v>38</v>
      </c>
      <c r="C47" s="3" t="n">
        <v>28312.0</v>
      </c>
      <c r="D47" s="3" t="n">
        <v>26889.0</v>
      </c>
      <c r="E47" s="3" t="n">
        <v>24748.0</v>
      </c>
      <c r="F47" s="3" t="n">
        <v>23925.0</v>
      </c>
      <c r="G47" s="3" t="n">
        <v>22861.0</v>
      </c>
      <c r="H47" s="3" t="n">
        <v>22029.0</v>
      </c>
      <c r="I47" s="3" t="n">
        <v>21979.0</v>
      </c>
      <c r="J47" s="3" t="n">
        <v>21156.0</v>
      </c>
      <c r="K47" s="3" t="n">
        <v>19928.0</v>
      </c>
      <c r="L47" s="3" t="n">
        <v>19479.0</v>
      </c>
      <c r="M47" s="3" t="n">
        <v>18657.0</v>
      </c>
      <c r="N47" s="3" t="n">
        <v>17504.0</v>
      </c>
      <c r="O47" s="3" t="n">
        <v>16578.0</v>
      </c>
      <c r="P47" s="3" t="n">
        <v>15781.0</v>
      </c>
      <c r="Q47" s="3" t="n">
        <v>15126.0</v>
      </c>
      <c r="R47" s="3" t="n">
        <v>14786.0</v>
      </c>
      <c r="S47" s="3" t="n">
        <v>14650.0</v>
      </c>
      <c r="T47" s="3" t="n">
        <v>14385.0</v>
      </c>
      <c r="U47" s="3" t="n">
        <v>13966.0</v>
      </c>
      <c r="V47" s="3" t="n">
        <v>13783.0</v>
      </c>
      <c r="W47" s="3" t="n">
        <v>14036.0</v>
      </c>
      <c r="X47" s="3" t="n">
        <v>14385.0</v>
      </c>
      <c r="Y47" s="3" t="n">
        <v>14784.0</v>
      </c>
      <c r="Z47" s="3" t="n">
        <v>15802.0</v>
      </c>
      <c r="AA47" s="3" t="n">
        <v>16907.0</v>
      </c>
      <c r="AB47" s="3" t="n">
        <v>16833.0</v>
      </c>
      <c r="AC47" s="3" t="n">
        <v>16558.0</v>
      </c>
      <c r="AD47" s="3" t="n">
        <v>15339.0</v>
      </c>
      <c r="AE47" s="3" t="n">
        <v>15482.0</v>
      </c>
      <c r="AF47" s="3" t="n">
        <v>14798.0</v>
      </c>
      <c r="AG47" s="3" t="n">
        <v>15024.0</v>
      </c>
      <c r="AH47" s="3" t="n">
        <v>14734.0</v>
      </c>
      <c r="AI47" s="3" t="n">
        <v>15066.0</v>
      </c>
      <c r="AJ47" s="3" t="n">
        <v>15554.0</v>
      </c>
      <c r="AK47" s="3" t="n">
        <v>14549.0</v>
      </c>
      <c r="AL47" s="3" t="n">
        <v>13793.0</v>
      </c>
      <c r="AM47" s="3" t="n">
        <v>12870.0</v>
      </c>
      <c r="AN47" s="3" t="n">
        <v>12319.0</v>
      </c>
      <c r="AO47" s="3" t="n">
        <v>11060.0</v>
      </c>
    </row>
    <row r="48" spans="1:41" x14ac:dyDescent="0.2">
      <c r="A48" s="128"/>
      <c r="B48" s="9">
        <v>39</v>
      </c>
      <c r="C48" s="3" t="n">
        <v>29207.0</v>
      </c>
      <c r="D48" s="3" t="n">
        <v>28232.0</v>
      </c>
      <c r="E48" s="3" t="n">
        <v>26819.0</v>
      </c>
      <c r="F48" s="3" t="n">
        <v>24671.0</v>
      </c>
      <c r="G48" s="3" t="n">
        <v>23851.0</v>
      </c>
      <c r="H48" s="3" t="n">
        <v>22832.0</v>
      </c>
      <c r="I48" s="3" t="n">
        <v>22017.0</v>
      </c>
      <c r="J48" s="3" t="n">
        <v>21948.0</v>
      </c>
      <c r="K48" s="3" t="n">
        <v>21119.0</v>
      </c>
      <c r="L48" s="3" t="n">
        <v>19887.0</v>
      </c>
      <c r="M48" s="3" t="n">
        <v>19433.0</v>
      </c>
      <c r="N48" s="3" t="n">
        <v>18605.0</v>
      </c>
      <c r="O48" s="3" t="n">
        <v>17459.0</v>
      </c>
      <c r="P48" s="3" t="n">
        <v>16535.0</v>
      </c>
      <c r="Q48" s="3" t="n">
        <v>15736.0</v>
      </c>
      <c r="R48" s="3" t="n">
        <v>15085.0</v>
      </c>
      <c r="S48" s="3" t="n">
        <v>14739.0</v>
      </c>
      <c r="T48" s="3" t="n">
        <v>14596.0</v>
      </c>
      <c r="U48" s="3" t="n">
        <v>14330.0</v>
      </c>
      <c r="V48" s="3" t="n">
        <v>13919.0</v>
      </c>
      <c r="W48" s="3" t="n">
        <v>13734.0</v>
      </c>
      <c r="X48" s="3" t="n">
        <v>13981.0</v>
      </c>
      <c r="Y48" s="3" t="n">
        <v>14331.0</v>
      </c>
      <c r="Z48" s="3" t="n">
        <v>14729.0</v>
      </c>
      <c r="AA48" s="3" t="n">
        <v>15743.0</v>
      </c>
      <c r="AB48" s="3" t="n">
        <v>16851.0</v>
      </c>
      <c r="AC48" s="3" t="n">
        <v>16777.0</v>
      </c>
      <c r="AD48" s="3" t="n">
        <v>16498.0</v>
      </c>
      <c r="AE48" s="3" t="n">
        <v>15281.0</v>
      </c>
      <c r="AF48" s="3" t="n">
        <v>15419.0</v>
      </c>
      <c r="AG48" s="3" t="n">
        <v>14737.0</v>
      </c>
      <c r="AH48" s="3" t="n">
        <v>14963.0</v>
      </c>
      <c r="AI48" s="3" t="n">
        <v>14674.0</v>
      </c>
      <c r="AJ48" s="3" t="n">
        <v>15003.0</v>
      </c>
      <c r="AK48" s="3" t="n">
        <v>15493.0</v>
      </c>
      <c r="AL48" s="3" t="n">
        <v>14495.0</v>
      </c>
      <c r="AM48" s="3" t="n">
        <v>13742.0</v>
      </c>
      <c r="AN48" s="3" t="n">
        <v>12824.0</v>
      </c>
      <c r="AO48" s="3" t="n">
        <v>12272.0</v>
      </c>
    </row>
    <row r="49" spans="1:41" x14ac:dyDescent="0.2">
      <c r="A49" s="128"/>
      <c r="B49" s="9">
        <v>40</v>
      </c>
      <c r="C49" s="3" t="n">
        <v>28673.0</v>
      </c>
      <c r="D49" s="3" t="n">
        <v>29127.0</v>
      </c>
      <c r="E49" s="3" t="n">
        <v>28150.0</v>
      </c>
      <c r="F49" s="3" t="n">
        <v>26742.0</v>
      </c>
      <c r="G49" s="3" t="n">
        <v>24609.0</v>
      </c>
      <c r="H49" s="3" t="n">
        <v>23829.0</v>
      </c>
      <c r="I49" s="3" t="n">
        <v>22826.0</v>
      </c>
      <c r="J49" s="3" t="n">
        <v>21994.0</v>
      </c>
      <c r="K49" s="3" t="n">
        <v>21912.0</v>
      </c>
      <c r="L49" s="3" t="n">
        <v>21084.0</v>
      </c>
      <c r="M49" s="3" t="n">
        <v>19851.0</v>
      </c>
      <c r="N49" s="3" t="n">
        <v>19390.0</v>
      </c>
      <c r="O49" s="3" t="n">
        <v>18557.0</v>
      </c>
      <c r="P49" s="3" t="n">
        <v>17420.0</v>
      </c>
      <c r="Q49" s="3" t="n">
        <v>16497.0</v>
      </c>
      <c r="R49" s="3" t="n">
        <v>15706.0</v>
      </c>
      <c r="S49" s="3" t="n">
        <v>15050.0</v>
      </c>
      <c r="T49" s="3" t="n">
        <v>14696.0</v>
      </c>
      <c r="U49" s="3" t="n">
        <v>14557.0</v>
      </c>
      <c r="V49" s="3" t="n">
        <v>14286.0</v>
      </c>
      <c r="W49" s="3" t="n">
        <v>13880.0</v>
      </c>
      <c r="X49" s="3" t="n">
        <v>13692.0</v>
      </c>
      <c r="Y49" s="3" t="n">
        <v>13933.0</v>
      </c>
      <c r="Z49" s="3" t="n">
        <v>14287.0</v>
      </c>
      <c r="AA49" s="3" t="n">
        <v>14682.0</v>
      </c>
      <c r="AB49" s="3" t="n">
        <v>15693.0</v>
      </c>
      <c r="AC49" s="3" t="n">
        <v>16793.0</v>
      </c>
      <c r="AD49" s="3" t="n">
        <v>16718.0</v>
      </c>
      <c r="AE49" s="3" t="n">
        <v>16447.0</v>
      </c>
      <c r="AF49" s="3" t="n">
        <v>15237.0</v>
      </c>
      <c r="AG49" s="3" t="n">
        <v>15373.0</v>
      </c>
      <c r="AH49" s="3" t="n">
        <v>14688.0</v>
      </c>
      <c r="AI49" s="3" t="n">
        <v>14914.0</v>
      </c>
      <c r="AJ49" s="3" t="n">
        <v>14626.0</v>
      </c>
      <c r="AK49" s="3" t="n">
        <v>14952.0</v>
      </c>
      <c r="AL49" s="3" t="n">
        <v>15441.0</v>
      </c>
      <c r="AM49" s="3" t="n">
        <v>14445.0</v>
      </c>
      <c r="AN49" s="3" t="n">
        <v>13692.0</v>
      </c>
      <c r="AO49" s="3" t="n">
        <v>12782.0</v>
      </c>
    </row>
    <row r="50" spans="1:41" x14ac:dyDescent="0.2">
      <c r="A50" s="128"/>
      <c r="B50" s="9">
        <v>41</v>
      </c>
      <c r="C50" s="3" t="n">
        <v>27520.0</v>
      </c>
      <c r="D50" s="3" t="n">
        <v>28598.0</v>
      </c>
      <c r="E50" s="3" t="n">
        <v>29062.0</v>
      </c>
      <c r="F50" s="3" t="n">
        <v>28085.0</v>
      </c>
      <c r="G50" s="3" t="n">
        <v>26679.0</v>
      </c>
      <c r="H50" s="3" t="n">
        <v>24582.0</v>
      </c>
      <c r="I50" s="3" t="n">
        <v>23817.0</v>
      </c>
      <c r="J50" s="3" t="n">
        <v>22792.0</v>
      </c>
      <c r="K50" s="3" t="n">
        <v>21944.0</v>
      </c>
      <c r="L50" s="3" t="n">
        <v>21860.0</v>
      </c>
      <c r="M50" s="3" t="n">
        <v>21035.0</v>
      </c>
      <c r="N50" s="3" t="n">
        <v>19811.0</v>
      </c>
      <c r="O50" s="3" t="n">
        <v>19344.0</v>
      </c>
      <c r="P50" s="3" t="n">
        <v>18523.0</v>
      </c>
      <c r="Q50" s="3" t="n">
        <v>17387.0</v>
      </c>
      <c r="R50" s="3" t="n">
        <v>16464.0</v>
      </c>
      <c r="S50" s="3" t="n">
        <v>15684.0</v>
      </c>
      <c r="T50" s="3" t="n">
        <v>15019.0</v>
      </c>
      <c r="U50" s="3" t="n">
        <v>14664.0</v>
      </c>
      <c r="V50" s="3" t="n">
        <v>14528.0</v>
      </c>
      <c r="W50" s="3" t="n">
        <v>14262.0</v>
      </c>
      <c r="X50" s="3" t="n">
        <v>13854.0</v>
      </c>
      <c r="Y50" s="3" t="n">
        <v>13664.0</v>
      </c>
      <c r="Z50" s="3" t="n">
        <v>13900.0</v>
      </c>
      <c r="AA50" s="3" t="n">
        <v>14250.0</v>
      </c>
      <c r="AB50" s="3" t="n">
        <v>14648.0</v>
      </c>
      <c r="AC50" s="3" t="n">
        <v>15653.0</v>
      </c>
      <c r="AD50" s="3" t="n">
        <v>16752.0</v>
      </c>
      <c r="AE50" s="3" t="n">
        <v>16671.0</v>
      </c>
      <c r="AF50" s="3" t="n">
        <v>16405.0</v>
      </c>
      <c r="AG50" s="3" t="n">
        <v>15203.0</v>
      </c>
      <c r="AH50" s="3" t="n">
        <v>15335.0</v>
      </c>
      <c r="AI50" s="3" t="n">
        <v>14651.0</v>
      </c>
      <c r="AJ50" s="3" t="n">
        <v>14874.0</v>
      </c>
      <c r="AK50" s="3" t="n">
        <v>14584.0</v>
      </c>
      <c r="AL50" s="3" t="n">
        <v>14910.0</v>
      </c>
      <c r="AM50" s="3" t="n">
        <v>15403.0</v>
      </c>
      <c r="AN50" s="3" t="n">
        <v>14407.0</v>
      </c>
      <c r="AO50" s="3" t="n">
        <v>13662.0</v>
      </c>
    </row>
    <row r="51" spans="1:41" x14ac:dyDescent="0.2">
      <c r="A51" s="128"/>
      <c r="B51" s="9">
        <v>42</v>
      </c>
      <c r="C51" s="3" t="n">
        <v>28280.0</v>
      </c>
      <c r="D51" s="3" t="n">
        <v>27441.0</v>
      </c>
      <c r="E51" s="3" t="n">
        <v>28512.0</v>
      </c>
      <c r="F51" s="3" t="n">
        <v>28978.0</v>
      </c>
      <c r="G51" s="3" t="n">
        <v>28010.0</v>
      </c>
      <c r="H51" s="3" t="n">
        <v>26638.0</v>
      </c>
      <c r="I51" s="3" t="n">
        <v>24559.0</v>
      </c>
      <c r="J51" s="3" t="n">
        <v>23781.0</v>
      </c>
      <c r="K51" s="3" t="n">
        <v>22752.0</v>
      </c>
      <c r="L51" s="3" t="n">
        <v>21901.0</v>
      </c>
      <c r="M51" s="3" t="n">
        <v>21822.0</v>
      </c>
      <c r="N51" s="3" t="n">
        <v>20993.0</v>
      </c>
      <c r="O51" s="3" t="n">
        <v>19769.0</v>
      </c>
      <c r="P51" s="3" t="n">
        <v>19302.0</v>
      </c>
      <c r="Q51" s="3" t="n">
        <v>18477.0</v>
      </c>
      <c r="R51" s="3" t="n">
        <v>17345.0</v>
      </c>
      <c r="S51" s="3" t="n">
        <v>16425.0</v>
      </c>
      <c r="T51" s="3" t="n">
        <v>15647.0</v>
      </c>
      <c r="U51" s="3" t="n">
        <v>14981.0</v>
      </c>
      <c r="V51" s="3" t="n">
        <v>14624.0</v>
      </c>
      <c r="W51" s="3" t="n">
        <v>14486.0</v>
      </c>
      <c r="X51" s="3" t="n">
        <v>14211.0</v>
      </c>
      <c r="Y51" s="3" t="n">
        <v>13803.0</v>
      </c>
      <c r="Z51" s="3" t="n">
        <v>13614.0</v>
      </c>
      <c r="AA51" s="3" t="n">
        <v>13854.0</v>
      </c>
      <c r="AB51" s="3" t="n">
        <v>14202.0</v>
      </c>
      <c r="AC51" s="3" t="n">
        <v>14598.0</v>
      </c>
      <c r="AD51" s="3" t="n">
        <v>15597.0</v>
      </c>
      <c r="AE51" s="3" t="n">
        <v>16699.0</v>
      </c>
      <c r="AF51" s="3" t="n">
        <v>16617.0</v>
      </c>
      <c r="AG51" s="3" t="n">
        <v>16349.0</v>
      </c>
      <c r="AH51" s="3" t="n">
        <v>15155.0</v>
      </c>
      <c r="AI51" s="3" t="n">
        <v>15280.0</v>
      </c>
      <c r="AJ51" s="3" t="n">
        <v>14601.0</v>
      </c>
      <c r="AK51" s="3" t="n">
        <v>14819.0</v>
      </c>
      <c r="AL51" s="3" t="n">
        <v>14531.0</v>
      </c>
      <c r="AM51" s="3" t="n">
        <v>14850.0</v>
      </c>
      <c r="AN51" s="3" t="n">
        <v>15349.0</v>
      </c>
      <c r="AO51" s="3" t="n">
        <v>14362.0</v>
      </c>
    </row>
    <row r="52" spans="1:41" x14ac:dyDescent="0.2">
      <c r="A52" s="128"/>
      <c r="B52" s="9">
        <v>43</v>
      </c>
      <c r="C52" s="3" t="n">
        <v>27939.0</v>
      </c>
      <c r="D52" s="3" t="n">
        <v>28203.0</v>
      </c>
      <c r="E52" s="3" t="n">
        <v>27362.0</v>
      </c>
      <c r="F52" s="3" t="n">
        <v>28434.0</v>
      </c>
      <c r="G52" s="3" t="n">
        <v>28896.0</v>
      </c>
      <c r="H52" s="3" t="n">
        <v>27961.0</v>
      </c>
      <c r="I52" s="3" t="n">
        <v>26597.0</v>
      </c>
      <c r="J52" s="3" t="n">
        <v>24511.0</v>
      </c>
      <c r="K52" s="3" t="n">
        <v>23730.0</v>
      </c>
      <c r="L52" s="3" t="n">
        <v>22705.0</v>
      </c>
      <c r="M52" s="3" t="n">
        <v>21852.0</v>
      </c>
      <c r="N52" s="3" t="n">
        <v>21770.0</v>
      </c>
      <c r="O52" s="3" t="n">
        <v>20945.0</v>
      </c>
      <c r="P52" s="3" t="n">
        <v>19722.0</v>
      </c>
      <c r="Q52" s="3" t="n">
        <v>19255.0</v>
      </c>
      <c r="R52" s="3" t="n">
        <v>18428.0</v>
      </c>
      <c r="S52" s="3" t="n">
        <v>17295.0</v>
      </c>
      <c r="T52" s="3" t="n">
        <v>16384.0</v>
      </c>
      <c r="U52" s="3" t="n">
        <v>15609.0</v>
      </c>
      <c r="V52" s="3" t="n">
        <v>14945.0</v>
      </c>
      <c r="W52" s="3" t="n">
        <v>14585.0</v>
      </c>
      <c r="X52" s="3" t="n">
        <v>14447.0</v>
      </c>
      <c r="Y52" s="3" t="n">
        <v>14169.0</v>
      </c>
      <c r="Z52" s="3" t="n">
        <v>13761.0</v>
      </c>
      <c r="AA52" s="3" t="n">
        <v>13570.0</v>
      </c>
      <c r="AB52" s="3" t="n">
        <v>13812.0</v>
      </c>
      <c r="AC52" s="3" t="n">
        <v>14157.0</v>
      </c>
      <c r="AD52" s="3" t="n">
        <v>14554.0</v>
      </c>
      <c r="AE52" s="3" t="n">
        <v>15540.0</v>
      </c>
      <c r="AF52" s="3" t="n">
        <v>16644.0</v>
      </c>
      <c r="AG52" s="3" t="n">
        <v>16559.0</v>
      </c>
      <c r="AH52" s="3" t="n">
        <v>16290.0</v>
      </c>
      <c r="AI52" s="3" t="n">
        <v>15100.0</v>
      </c>
      <c r="AJ52" s="3" t="n">
        <v>15226.0</v>
      </c>
      <c r="AK52" s="3" t="n">
        <v>14544.0</v>
      </c>
      <c r="AL52" s="3" t="n">
        <v>14766.0</v>
      </c>
      <c r="AM52" s="3" t="n">
        <v>14477.0</v>
      </c>
      <c r="AN52" s="3" t="n">
        <v>14790.0</v>
      </c>
      <c r="AO52" s="3" t="n">
        <v>15286.0</v>
      </c>
    </row>
    <row r="53" spans="1:41" x14ac:dyDescent="0.2">
      <c r="A53" s="128"/>
      <c r="B53" s="9">
        <v>44</v>
      </c>
      <c r="C53" s="3" t="n">
        <v>26748.0</v>
      </c>
      <c r="D53" s="3" t="n">
        <v>27860.0</v>
      </c>
      <c r="E53" s="3" t="n">
        <v>28116.0</v>
      </c>
      <c r="F53" s="3" t="n">
        <v>27285.0</v>
      </c>
      <c r="G53" s="3" t="n">
        <v>28351.0</v>
      </c>
      <c r="H53" s="3" t="n">
        <v>28834.0</v>
      </c>
      <c r="I53" s="3" t="n">
        <v>27913.0</v>
      </c>
      <c r="J53" s="3" t="n">
        <v>26542.0</v>
      </c>
      <c r="K53" s="3" t="n">
        <v>24449.0</v>
      </c>
      <c r="L53" s="3" t="n">
        <v>23670.0</v>
      </c>
      <c r="M53" s="3" t="n">
        <v>22648.0</v>
      </c>
      <c r="N53" s="3" t="n">
        <v>21793.0</v>
      </c>
      <c r="O53" s="3" t="n">
        <v>21714.0</v>
      </c>
      <c r="P53" s="3" t="n">
        <v>20896.0</v>
      </c>
      <c r="Q53" s="3" t="n">
        <v>19671.0</v>
      </c>
      <c r="R53" s="3" t="n">
        <v>19210.0</v>
      </c>
      <c r="S53" s="3" t="n">
        <v>18385.0</v>
      </c>
      <c r="T53" s="3" t="n">
        <v>17253.0</v>
      </c>
      <c r="U53" s="3" t="n">
        <v>16347.0</v>
      </c>
      <c r="V53" s="3" t="n">
        <v>15574.0</v>
      </c>
      <c r="W53" s="3" t="n">
        <v>14912.0</v>
      </c>
      <c r="X53" s="3" t="n">
        <v>14546.0</v>
      </c>
      <c r="Y53" s="3" t="n">
        <v>14408.0</v>
      </c>
      <c r="Z53" s="3" t="n">
        <v>14127.0</v>
      </c>
      <c r="AA53" s="3" t="n">
        <v>13718.0</v>
      </c>
      <c r="AB53" s="3" t="n">
        <v>13527.0</v>
      </c>
      <c r="AC53" s="3" t="n">
        <v>13769.0</v>
      </c>
      <c r="AD53" s="3" t="n">
        <v>14108.0</v>
      </c>
      <c r="AE53" s="3" t="n">
        <v>14511.0</v>
      </c>
      <c r="AF53" s="3" t="n">
        <v>15491.0</v>
      </c>
      <c r="AG53" s="3" t="n">
        <v>16595.0</v>
      </c>
      <c r="AH53" s="3" t="n">
        <v>16506.0</v>
      </c>
      <c r="AI53" s="3" t="n">
        <v>16240.0</v>
      </c>
      <c r="AJ53" s="3" t="n">
        <v>15053.0</v>
      </c>
      <c r="AK53" s="3" t="n">
        <v>15178.0</v>
      </c>
      <c r="AL53" s="3" t="n">
        <v>14492.0</v>
      </c>
      <c r="AM53" s="3" t="n">
        <v>14714.0</v>
      </c>
      <c r="AN53" s="3" t="n">
        <v>14424.0</v>
      </c>
      <c r="AO53" s="3" t="n">
        <v>14736.0</v>
      </c>
    </row>
    <row r="54" spans="1:41" x14ac:dyDescent="0.2">
      <c r="A54" s="128"/>
      <c r="B54" s="9">
        <v>45</v>
      </c>
      <c r="C54" s="3" t="n">
        <v>26535.0</v>
      </c>
      <c r="D54" s="3" t="n">
        <v>26666.0</v>
      </c>
      <c r="E54" s="3" t="n">
        <v>27766.0</v>
      </c>
      <c r="F54" s="3" t="n">
        <v>28018.0</v>
      </c>
      <c r="G54" s="3" t="n">
        <v>27194.0</v>
      </c>
      <c r="H54" s="3" t="n">
        <v>28278.0</v>
      </c>
      <c r="I54" s="3" t="n">
        <v>28774.0</v>
      </c>
      <c r="J54" s="3" t="n">
        <v>27838.0</v>
      </c>
      <c r="K54" s="3" t="n">
        <v>26469.0</v>
      </c>
      <c r="L54" s="3" t="n">
        <v>24384.0</v>
      </c>
      <c r="M54" s="3" t="n">
        <v>23603.0</v>
      </c>
      <c r="N54" s="3" t="n">
        <v>22583.0</v>
      </c>
      <c r="O54" s="3" t="n">
        <v>21742.0</v>
      </c>
      <c r="P54" s="3" t="n">
        <v>21659.0</v>
      </c>
      <c r="Q54" s="3" t="n">
        <v>20849.0</v>
      </c>
      <c r="R54" s="3" t="n">
        <v>19633.0</v>
      </c>
      <c r="S54" s="3" t="n">
        <v>19165.0</v>
      </c>
      <c r="T54" s="3" t="n">
        <v>18338.0</v>
      </c>
      <c r="U54" s="3" t="n">
        <v>17211.0</v>
      </c>
      <c r="V54" s="3" t="n">
        <v>16312.0</v>
      </c>
      <c r="W54" s="3" t="n">
        <v>15542.0</v>
      </c>
      <c r="X54" s="3" t="n">
        <v>14883.0</v>
      </c>
      <c r="Y54" s="3" t="n">
        <v>14516.0</v>
      </c>
      <c r="Z54" s="3" t="n">
        <v>14377.0</v>
      </c>
      <c r="AA54" s="3" t="n">
        <v>14093.0</v>
      </c>
      <c r="AB54" s="3" t="n">
        <v>13684.0</v>
      </c>
      <c r="AC54" s="3" t="n">
        <v>13494.0</v>
      </c>
      <c r="AD54" s="3" t="n">
        <v>13736.0</v>
      </c>
      <c r="AE54" s="3" t="n">
        <v>14073.0</v>
      </c>
      <c r="AF54" s="3" t="n">
        <v>14475.0</v>
      </c>
      <c r="AG54" s="3" t="n">
        <v>15452.0</v>
      </c>
      <c r="AH54" s="3" t="n">
        <v>16549.0</v>
      </c>
      <c r="AI54" s="3" t="n">
        <v>16457.0</v>
      </c>
      <c r="AJ54" s="3" t="n">
        <v>16198.0</v>
      </c>
      <c r="AK54" s="3" t="n">
        <v>15014.0</v>
      </c>
      <c r="AL54" s="3" t="n">
        <v>15142.0</v>
      </c>
      <c r="AM54" s="3" t="n">
        <v>14454.0</v>
      </c>
      <c r="AN54" s="3" t="n">
        <v>14675.0</v>
      </c>
      <c r="AO54" s="3" t="n">
        <v>14384.0</v>
      </c>
    </row>
    <row r="55" spans="1:41" x14ac:dyDescent="0.2">
      <c r="A55" s="128"/>
      <c r="B55" s="9">
        <v>46</v>
      </c>
      <c r="C55" s="3" t="n">
        <v>26808.0</v>
      </c>
      <c r="D55" s="3" t="n">
        <v>26456.0</v>
      </c>
      <c r="E55" s="3" t="n">
        <v>26582.0</v>
      </c>
      <c r="F55" s="3" t="n">
        <v>27677.0</v>
      </c>
      <c r="G55" s="3" t="n">
        <v>27928.0</v>
      </c>
      <c r="H55" s="3" t="n">
        <v>27127.0</v>
      </c>
      <c r="I55" s="3" t="n">
        <v>28213.0</v>
      </c>
      <c r="J55" s="3" t="n">
        <v>28692.0</v>
      </c>
      <c r="K55" s="3" t="n">
        <v>27749.0</v>
      </c>
      <c r="L55" s="3" t="n">
        <v>26381.0</v>
      </c>
      <c r="M55" s="3" t="n">
        <v>24304.0</v>
      </c>
      <c r="N55" s="3" t="n">
        <v>23520.0</v>
      </c>
      <c r="O55" s="3" t="n">
        <v>22507.0</v>
      </c>
      <c r="P55" s="3" t="n">
        <v>21675.0</v>
      </c>
      <c r="Q55" s="3" t="n">
        <v>21596.0</v>
      </c>
      <c r="R55" s="3" t="n">
        <v>20791.0</v>
      </c>
      <c r="S55" s="3" t="n">
        <v>19580.0</v>
      </c>
      <c r="T55" s="3" t="n">
        <v>19107.0</v>
      </c>
      <c r="U55" s="3" t="n">
        <v>18279.0</v>
      </c>
      <c r="V55" s="3" t="n">
        <v>17157.0</v>
      </c>
      <c r="W55" s="3" t="n">
        <v>16273.0</v>
      </c>
      <c r="X55" s="3" t="n">
        <v>15495.0</v>
      </c>
      <c r="Y55" s="3" t="n">
        <v>14836.0</v>
      </c>
      <c r="Z55" s="3" t="n">
        <v>14471.0</v>
      </c>
      <c r="AA55" s="3" t="n">
        <v>14331.0</v>
      </c>
      <c r="AB55" s="3" t="n">
        <v>14050.0</v>
      </c>
      <c r="AC55" s="3" t="n">
        <v>13638.0</v>
      </c>
      <c r="AD55" s="3" t="n">
        <v>13445.0</v>
      </c>
      <c r="AE55" s="3" t="n">
        <v>13686.0</v>
      </c>
      <c r="AF55" s="3" t="n">
        <v>14017.0</v>
      </c>
      <c r="AG55" s="3" t="n">
        <v>14422.0</v>
      </c>
      <c r="AH55" s="3" t="n">
        <v>15389.0</v>
      </c>
      <c r="AI55" s="3" t="n">
        <v>16486.0</v>
      </c>
      <c r="AJ55" s="3" t="n">
        <v>16395.0</v>
      </c>
      <c r="AK55" s="3" t="n">
        <v>16137.0</v>
      </c>
      <c r="AL55" s="3" t="n">
        <v>14953.0</v>
      </c>
      <c r="AM55" s="3" t="n">
        <v>15083.0</v>
      </c>
      <c r="AN55" s="3" t="n">
        <v>14396.0</v>
      </c>
      <c r="AO55" s="3" t="n">
        <v>14617.0</v>
      </c>
    </row>
    <row r="56" spans="1:41" x14ac:dyDescent="0.2">
      <c r="A56" s="128"/>
      <c r="B56" s="9">
        <v>47</v>
      </c>
      <c r="C56" s="3" t="n">
        <v>26662.0</v>
      </c>
      <c r="D56" s="3" t="n">
        <v>26726.0</v>
      </c>
      <c r="E56" s="3" t="n">
        <v>26373.0</v>
      </c>
      <c r="F56" s="3" t="n">
        <v>26504.0</v>
      </c>
      <c r="G56" s="3" t="n">
        <v>27588.0</v>
      </c>
      <c r="H56" s="3" t="n">
        <v>27856.0</v>
      </c>
      <c r="I56" s="3" t="n">
        <v>27067.0</v>
      </c>
      <c r="J56" s="3" t="n">
        <v>28132.0</v>
      </c>
      <c r="K56" s="3" t="n">
        <v>28608.0</v>
      </c>
      <c r="L56" s="3" t="n">
        <v>27667.0</v>
      </c>
      <c r="M56" s="3" t="n">
        <v>26311.0</v>
      </c>
      <c r="N56" s="3" t="n">
        <v>24239.0</v>
      </c>
      <c r="O56" s="3" t="n">
        <v>23462.0</v>
      </c>
      <c r="P56" s="3" t="n">
        <v>22454.0</v>
      </c>
      <c r="Q56" s="3" t="n">
        <v>21624.0</v>
      </c>
      <c r="R56" s="3" t="n">
        <v>21547.0</v>
      </c>
      <c r="S56" s="3" t="n">
        <v>20743.0</v>
      </c>
      <c r="T56" s="3" t="n">
        <v>19529.0</v>
      </c>
      <c r="U56" s="3" t="n">
        <v>19055.0</v>
      </c>
      <c r="V56" s="3" t="n">
        <v>18230.0</v>
      </c>
      <c r="W56" s="3" t="n">
        <v>17109.0</v>
      </c>
      <c r="X56" s="3" t="n">
        <v>16232.0</v>
      </c>
      <c r="Y56" s="3" t="n">
        <v>15458.0</v>
      </c>
      <c r="Z56" s="3" t="n">
        <v>14801.0</v>
      </c>
      <c r="AA56" s="3" t="n">
        <v>14430.0</v>
      </c>
      <c r="AB56" s="3" t="n">
        <v>14290.0</v>
      </c>
      <c r="AC56" s="3" t="n">
        <v>14011.0</v>
      </c>
      <c r="AD56" s="3" t="n">
        <v>13597.0</v>
      </c>
      <c r="AE56" s="3" t="n">
        <v>13403.0</v>
      </c>
      <c r="AF56" s="3" t="n">
        <v>13646.0</v>
      </c>
      <c r="AG56" s="3" t="n">
        <v>13974.0</v>
      </c>
      <c r="AH56" s="3" t="n">
        <v>14381.0</v>
      </c>
      <c r="AI56" s="3" t="n">
        <v>15341.0</v>
      </c>
      <c r="AJ56" s="3" t="n">
        <v>16434.0</v>
      </c>
      <c r="AK56" s="3" t="n">
        <v>16341.0</v>
      </c>
      <c r="AL56" s="3" t="n">
        <v>16083.0</v>
      </c>
      <c r="AM56" s="3" t="n">
        <v>14908.0</v>
      </c>
      <c r="AN56" s="3" t="n">
        <v>15040.0</v>
      </c>
      <c r="AO56" s="3" t="n">
        <v>14355.0</v>
      </c>
    </row>
    <row r="57" spans="1:41" x14ac:dyDescent="0.2">
      <c r="A57" s="128"/>
      <c r="B57" s="9">
        <v>48</v>
      </c>
      <c r="C57" s="3" t="n">
        <v>24980.0</v>
      </c>
      <c r="D57" s="3" t="n">
        <v>26563.0</v>
      </c>
      <c r="E57" s="3" t="n">
        <v>26626.0</v>
      </c>
      <c r="F57" s="3" t="n">
        <v>26278.0</v>
      </c>
      <c r="G57" s="3" t="n">
        <v>26402.0</v>
      </c>
      <c r="H57" s="3" t="n">
        <v>27495.0</v>
      </c>
      <c r="I57" s="3" t="n">
        <v>27768.0</v>
      </c>
      <c r="J57" s="3" t="n">
        <v>26971.0</v>
      </c>
      <c r="K57" s="3" t="n">
        <v>28032.0</v>
      </c>
      <c r="L57" s="3" t="n">
        <v>28497.0</v>
      </c>
      <c r="M57" s="3" t="n">
        <v>27565.0</v>
      </c>
      <c r="N57" s="3" t="n">
        <v>26218.0</v>
      </c>
      <c r="O57" s="3" t="n">
        <v>24157.0</v>
      </c>
      <c r="P57" s="3" t="n">
        <v>23384.0</v>
      </c>
      <c r="Q57" s="3" t="n">
        <v>22380.0</v>
      </c>
      <c r="R57" s="3" t="n">
        <v>21548.0</v>
      </c>
      <c r="S57" s="3" t="n">
        <v>21482.0</v>
      </c>
      <c r="T57" s="3" t="n">
        <v>20679.0</v>
      </c>
      <c r="U57" s="3" t="n">
        <v>19467.0</v>
      </c>
      <c r="V57" s="3" t="n">
        <v>18996.0</v>
      </c>
      <c r="W57" s="3" t="n">
        <v>18171.0</v>
      </c>
      <c r="X57" s="3" t="n">
        <v>17061.0</v>
      </c>
      <c r="Y57" s="3" t="n">
        <v>16185.0</v>
      </c>
      <c r="Z57" s="3" t="n">
        <v>15414.0</v>
      </c>
      <c r="AA57" s="3" t="n">
        <v>14757.0</v>
      </c>
      <c r="AB57" s="3" t="n">
        <v>14384.0</v>
      </c>
      <c r="AC57" s="3" t="n">
        <v>14246.0</v>
      </c>
      <c r="AD57" s="3" t="n">
        <v>13966.0</v>
      </c>
      <c r="AE57" s="3" t="n">
        <v>13551.0</v>
      </c>
      <c r="AF57" s="3" t="n">
        <v>13358.0</v>
      </c>
      <c r="AG57" s="3" t="n">
        <v>13600.0</v>
      </c>
      <c r="AH57" s="3" t="n">
        <v>13928.0</v>
      </c>
      <c r="AI57" s="3" t="n">
        <v>14334.0</v>
      </c>
      <c r="AJ57" s="3" t="n">
        <v>15289.0</v>
      </c>
      <c r="AK57" s="3" t="n">
        <v>16379.0</v>
      </c>
      <c r="AL57" s="3" t="n">
        <v>16289.0</v>
      </c>
      <c r="AM57" s="3" t="n">
        <v>16035.0</v>
      </c>
      <c r="AN57" s="3" t="n">
        <v>14860.0</v>
      </c>
      <c r="AO57" s="3" t="n">
        <v>14992.0</v>
      </c>
    </row>
    <row r="58" spans="1:41" x14ac:dyDescent="0.2">
      <c r="A58" s="128"/>
      <c r="B58" s="9">
        <v>49</v>
      </c>
      <c r="C58" s="3" t="n">
        <v>23400.0</v>
      </c>
      <c r="D58" s="3" t="n">
        <v>24851.0</v>
      </c>
      <c r="E58" s="3" t="n">
        <v>26429.0</v>
      </c>
      <c r="F58" s="3" t="n">
        <v>26496.0</v>
      </c>
      <c r="G58" s="3" t="n">
        <v>26154.0</v>
      </c>
      <c r="H58" s="3" t="n">
        <v>26298.0</v>
      </c>
      <c r="I58" s="3" t="n">
        <v>27389.0</v>
      </c>
      <c r="J58" s="3" t="n">
        <v>27645.0</v>
      </c>
      <c r="K58" s="3" t="n">
        <v>26845.0</v>
      </c>
      <c r="L58" s="3" t="n">
        <v>27905.0</v>
      </c>
      <c r="M58" s="3" t="n">
        <v>28369.0</v>
      </c>
      <c r="N58" s="3" t="n">
        <v>27442.0</v>
      </c>
      <c r="O58" s="3" t="n">
        <v>26104.0</v>
      </c>
      <c r="P58" s="3" t="n">
        <v>24050.0</v>
      </c>
      <c r="Q58" s="3" t="n">
        <v>23280.0</v>
      </c>
      <c r="R58" s="3" t="n">
        <v>22274.0</v>
      </c>
      <c r="S58" s="3" t="n">
        <v>21447.0</v>
      </c>
      <c r="T58" s="3" t="n">
        <v>21385.0</v>
      </c>
      <c r="U58" s="3" t="n">
        <v>20585.0</v>
      </c>
      <c r="V58" s="3" t="n">
        <v>19383.0</v>
      </c>
      <c r="W58" s="3" t="n">
        <v>18911.0</v>
      </c>
      <c r="X58" s="3" t="n">
        <v>18082.0</v>
      </c>
      <c r="Y58" s="3" t="n">
        <v>16977.0</v>
      </c>
      <c r="Z58" s="3" t="n">
        <v>16105.0</v>
      </c>
      <c r="AA58" s="3" t="n">
        <v>15336.0</v>
      </c>
      <c r="AB58" s="3" t="n">
        <v>14685.0</v>
      </c>
      <c r="AC58" s="3" t="n">
        <v>14311.0</v>
      </c>
      <c r="AD58" s="3" t="n">
        <v>14170.0</v>
      </c>
      <c r="AE58" s="3" t="n">
        <v>13892.0</v>
      </c>
      <c r="AF58" s="3" t="n">
        <v>13479.0</v>
      </c>
      <c r="AG58" s="3" t="n">
        <v>13283.0</v>
      </c>
      <c r="AH58" s="3" t="n">
        <v>13526.0</v>
      </c>
      <c r="AI58" s="3" t="n">
        <v>13852.0</v>
      </c>
      <c r="AJ58" s="3" t="n">
        <v>14253.0</v>
      </c>
      <c r="AK58" s="3" t="n">
        <v>15202.0</v>
      </c>
      <c r="AL58" s="3" t="n">
        <v>16290.0</v>
      </c>
      <c r="AM58" s="3" t="n">
        <v>16203.0</v>
      </c>
      <c r="AN58" s="3" t="n">
        <v>15954.0</v>
      </c>
      <c r="AO58" s="3" t="n">
        <v>14779.0</v>
      </c>
    </row>
    <row r="59" spans="1:41" x14ac:dyDescent="0.2">
      <c r="A59" s="128"/>
      <c r="B59" s="9">
        <v>50</v>
      </c>
      <c r="C59" s="3" t="n">
        <v>22434.0</v>
      </c>
      <c r="D59" s="3" t="n">
        <v>23300.0</v>
      </c>
      <c r="E59" s="3" t="n">
        <v>24737.0</v>
      </c>
      <c r="F59" s="3" t="n">
        <v>26296.0</v>
      </c>
      <c r="G59" s="3" t="n">
        <v>26367.0</v>
      </c>
      <c r="H59" s="3" t="n">
        <v>26048.0</v>
      </c>
      <c r="I59" s="3" t="n">
        <v>26196.0</v>
      </c>
      <c r="J59" s="3" t="n">
        <v>27271.0</v>
      </c>
      <c r="K59" s="3" t="n">
        <v>27513.0</v>
      </c>
      <c r="L59" s="3" t="n">
        <v>26717.0</v>
      </c>
      <c r="M59" s="3" t="n">
        <v>27768.0</v>
      </c>
      <c r="N59" s="3" t="n">
        <v>28234.0</v>
      </c>
      <c r="O59" s="3" t="n">
        <v>27319.0</v>
      </c>
      <c r="P59" s="3" t="n">
        <v>25993.0</v>
      </c>
      <c r="Q59" s="3" t="n">
        <v>23954.0</v>
      </c>
      <c r="R59" s="3" t="n">
        <v>23180.0</v>
      </c>
      <c r="S59" s="3" t="n">
        <v>22180.0</v>
      </c>
      <c r="T59" s="3" t="n">
        <v>21356.0</v>
      </c>
      <c r="U59" s="3" t="n">
        <v>21299.0</v>
      </c>
      <c r="V59" s="3" t="n">
        <v>20501.0</v>
      </c>
      <c r="W59" s="3" t="n">
        <v>19299.0</v>
      </c>
      <c r="X59" s="3" t="n">
        <v>18827.0</v>
      </c>
      <c r="Y59" s="3" t="n">
        <v>17999.0</v>
      </c>
      <c r="Z59" s="3" t="n">
        <v>16893.0</v>
      </c>
      <c r="AA59" s="3" t="n">
        <v>16032.0</v>
      </c>
      <c r="AB59" s="3" t="n">
        <v>15271.0</v>
      </c>
      <c r="AC59" s="3" t="n">
        <v>14622.0</v>
      </c>
      <c r="AD59" s="3" t="n">
        <v>14249.0</v>
      </c>
      <c r="AE59" s="3" t="n">
        <v>14111.0</v>
      </c>
      <c r="AF59" s="3" t="n">
        <v>13830.0</v>
      </c>
      <c r="AG59" s="3" t="n">
        <v>13418.0</v>
      </c>
      <c r="AH59" s="3" t="n">
        <v>13225.0</v>
      </c>
      <c r="AI59" s="3" t="n">
        <v>13466.0</v>
      </c>
      <c r="AJ59" s="3" t="n">
        <v>13791.0</v>
      </c>
      <c r="AK59" s="3" t="n">
        <v>14188.0</v>
      </c>
      <c r="AL59" s="3" t="n">
        <v>15130.0</v>
      </c>
      <c r="AM59" s="3" t="n">
        <v>16210.0</v>
      </c>
      <c r="AN59" s="3" t="n">
        <v>16119.0</v>
      </c>
      <c r="AO59" s="3" t="n">
        <v>15875.0</v>
      </c>
    </row>
    <row r="60" spans="1:41" x14ac:dyDescent="0.2">
      <c r="A60" s="128"/>
      <c r="B60" s="9">
        <v>51</v>
      </c>
      <c r="C60" s="3" t="n">
        <v>21254.0</v>
      </c>
      <c r="D60" s="3" t="n">
        <v>22330.0</v>
      </c>
      <c r="E60" s="3" t="n">
        <v>23187.0</v>
      </c>
      <c r="F60" s="3" t="n">
        <v>24613.0</v>
      </c>
      <c r="G60" s="3" t="n">
        <v>26162.0</v>
      </c>
      <c r="H60" s="3" t="n">
        <v>26242.0</v>
      </c>
      <c r="I60" s="3" t="n">
        <v>25935.0</v>
      </c>
      <c r="J60" s="3" t="n">
        <v>26077.0</v>
      </c>
      <c r="K60" s="3" t="n">
        <v>27146.0</v>
      </c>
      <c r="L60" s="3" t="n">
        <v>27383.0</v>
      </c>
      <c r="M60" s="3" t="n">
        <v>26586.0</v>
      </c>
      <c r="N60" s="3" t="n">
        <v>27637.0</v>
      </c>
      <c r="O60" s="3" t="n">
        <v>28100.0</v>
      </c>
      <c r="P60" s="3" t="n">
        <v>27190.0</v>
      </c>
      <c r="Q60" s="3" t="n">
        <v>25870.0</v>
      </c>
      <c r="R60" s="3" t="n">
        <v>23841.0</v>
      </c>
      <c r="S60" s="3" t="n">
        <v>23077.0</v>
      </c>
      <c r="T60" s="3" t="n">
        <v>22082.0</v>
      </c>
      <c r="U60" s="3" t="n">
        <v>21263.0</v>
      </c>
      <c r="V60" s="3" t="n">
        <v>21206.0</v>
      </c>
      <c r="W60" s="3" t="n">
        <v>20420.0</v>
      </c>
      <c r="X60" s="3" t="n">
        <v>19222.0</v>
      </c>
      <c r="Y60" s="3" t="n">
        <v>18751.0</v>
      </c>
      <c r="Z60" s="3" t="n">
        <v>17927.0</v>
      </c>
      <c r="AA60" s="3" t="n">
        <v>16827.0</v>
      </c>
      <c r="AB60" s="3" t="n">
        <v>15973.0</v>
      </c>
      <c r="AC60" s="3" t="n">
        <v>15216.0</v>
      </c>
      <c r="AD60" s="3" t="n">
        <v>14571.0</v>
      </c>
      <c r="AE60" s="3" t="n">
        <v>14197.0</v>
      </c>
      <c r="AF60" s="3" t="n">
        <v>14061.0</v>
      </c>
      <c r="AG60" s="3" t="n">
        <v>13781.0</v>
      </c>
      <c r="AH60" s="3" t="n">
        <v>13370.0</v>
      </c>
      <c r="AI60" s="3" t="n">
        <v>13171.0</v>
      </c>
      <c r="AJ60" s="3" t="n">
        <v>13414.0</v>
      </c>
      <c r="AK60" s="3" t="n">
        <v>13740.0</v>
      </c>
      <c r="AL60" s="3" t="n">
        <v>14134.0</v>
      </c>
      <c r="AM60" s="3" t="n">
        <v>15068.0</v>
      </c>
      <c r="AN60" s="3" t="n">
        <v>16139.0</v>
      </c>
      <c r="AO60" s="3" t="n">
        <v>16054.0</v>
      </c>
    </row>
    <row r="61" spans="1:41" x14ac:dyDescent="0.2">
      <c r="A61" s="128"/>
      <c r="B61" s="9">
        <v>52</v>
      </c>
      <c r="C61" s="3" t="n">
        <v>20598.0</v>
      </c>
      <c r="D61" s="3" t="n">
        <v>21145.0</v>
      </c>
      <c r="E61" s="3" t="n">
        <v>22222.0</v>
      </c>
      <c r="F61" s="3" t="n">
        <v>23067.0</v>
      </c>
      <c r="G61" s="3" t="n">
        <v>24484.0</v>
      </c>
      <c r="H61" s="3" t="n">
        <v>26037.0</v>
      </c>
      <c r="I61" s="3" t="n">
        <v>26131.0</v>
      </c>
      <c r="J61" s="3" t="n">
        <v>25810.0</v>
      </c>
      <c r="K61" s="3" t="n">
        <v>25948.0</v>
      </c>
      <c r="L61" s="3" t="n">
        <v>27010.0</v>
      </c>
      <c r="M61" s="3" t="n">
        <v>27244.0</v>
      </c>
      <c r="N61" s="3" t="n">
        <v>26451.0</v>
      </c>
      <c r="O61" s="3" t="n">
        <v>27504.0</v>
      </c>
      <c r="P61" s="3" t="n">
        <v>27957.0</v>
      </c>
      <c r="Q61" s="3" t="n">
        <v>27053.0</v>
      </c>
      <c r="R61" s="3" t="n">
        <v>25740.0</v>
      </c>
      <c r="S61" s="3" t="n">
        <v>23726.0</v>
      </c>
      <c r="T61" s="3" t="n">
        <v>22967.0</v>
      </c>
      <c r="U61" s="3" t="n">
        <v>21976.0</v>
      </c>
      <c r="V61" s="3" t="n">
        <v>21170.0</v>
      </c>
      <c r="W61" s="3" t="n">
        <v>21114.0</v>
      </c>
      <c r="X61" s="3" t="n">
        <v>20330.0</v>
      </c>
      <c r="Y61" s="3" t="n">
        <v>19143.0</v>
      </c>
      <c r="Z61" s="3" t="n">
        <v>18669.0</v>
      </c>
      <c r="AA61" s="3" t="n">
        <v>17847.0</v>
      </c>
      <c r="AB61" s="3" t="n">
        <v>16752.0</v>
      </c>
      <c r="AC61" s="3" t="n">
        <v>15906.0</v>
      </c>
      <c r="AD61" s="3" t="n">
        <v>15151.0</v>
      </c>
      <c r="AE61" s="3" t="n">
        <v>14512.0</v>
      </c>
      <c r="AF61" s="3" t="n">
        <v>14139.0</v>
      </c>
      <c r="AG61" s="3" t="n">
        <v>14003.0</v>
      </c>
      <c r="AH61" s="3" t="n">
        <v>13721.0</v>
      </c>
      <c r="AI61" s="3" t="n">
        <v>13308.0</v>
      </c>
      <c r="AJ61" s="3" t="n">
        <v>13115.0</v>
      </c>
      <c r="AK61" s="3" t="n">
        <v>13358.0</v>
      </c>
      <c r="AL61" s="3" t="n">
        <v>13681.0</v>
      </c>
      <c r="AM61" s="3" t="n">
        <v>14074.0</v>
      </c>
      <c r="AN61" s="3" t="n">
        <v>15001.0</v>
      </c>
      <c r="AO61" s="3" t="n">
        <v>16069.0</v>
      </c>
    </row>
    <row r="62" spans="1:41" x14ac:dyDescent="0.2">
      <c r="A62" s="128"/>
      <c r="B62" s="9">
        <v>53</v>
      </c>
      <c r="C62" s="3" t="n">
        <v>19475.0</v>
      </c>
      <c r="D62" s="3" t="n">
        <v>20482.0</v>
      </c>
      <c r="E62" s="3" t="n">
        <v>21028.0</v>
      </c>
      <c r="F62" s="3" t="n">
        <v>22104.0</v>
      </c>
      <c r="G62" s="3" t="n">
        <v>22950.0</v>
      </c>
      <c r="H62" s="3" t="n">
        <v>24364.0</v>
      </c>
      <c r="I62" s="3" t="n">
        <v>25906.0</v>
      </c>
      <c r="J62" s="3" t="n">
        <v>25989.0</v>
      </c>
      <c r="K62" s="3" t="n">
        <v>25667.0</v>
      </c>
      <c r="L62" s="3" t="n">
        <v>25806.0</v>
      </c>
      <c r="M62" s="3" t="n">
        <v>26856.0</v>
      </c>
      <c r="N62" s="3" t="n">
        <v>27084.0</v>
      </c>
      <c r="O62" s="3" t="n">
        <v>26302.0</v>
      </c>
      <c r="P62" s="3" t="n">
        <v>27351.0</v>
      </c>
      <c r="Q62" s="3" t="n">
        <v>27808.0</v>
      </c>
      <c r="R62" s="3" t="n">
        <v>26908.0</v>
      </c>
      <c r="S62" s="3" t="n">
        <v>25601.0</v>
      </c>
      <c r="T62" s="3" t="n">
        <v>23603.0</v>
      </c>
      <c r="U62" s="3" t="n">
        <v>22855.0</v>
      </c>
      <c r="V62" s="3" t="n">
        <v>21867.0</v>
      </c>
      <c r="W62" s="3" t="n">
        <v>21071.0</v>
      </c>
      <c r="X62" s="3" t="n">
        <v>21017.0</v>
      </c>
      <c r="Y62" s="3" t="n">
        <v>20236.0</v>
      </c>
      <c r="Z62" s="3" t="n">
        <v>19066.0</v>
      </c>
      <c r="AA62" s="3" t="n">
        <v>18583.0</v>
      </c>
      <c r="AB62" s="3" t="n">
        <v>17769.0</v>
      </c>
      <c r="AC62" s="3" t="n">
        <v>16680.0</v>
      </c>
      <c r="AD62" s="3" t="n">
        <v>15844.0</v>
      </c>
      <c r="AE62" s="3" t="n">
        <v>15094.0</v>
      </c>
      <c r="AF62" s="3" t="n">
        <v>14457.0</v>
      </c>
      <c r="AG62" s="3" t="n">
        <v>14085.0</v>
      </c>
      <c r="AH62" s="3" t="n">
        <v>13948.0</v>
      </c>
      <c r="AI62" s="3" t="n">
        <v>13660.0</v>
      </c>
      <c r="AJ62" s="3" t="n">
        <v>13244.0</v>
      </c>
      <c r="AK62" s="3" t="n">
        <v>13055.0</v>
      </c>
      <c r="AL62" s="3" t="n">
        <v>13296.0</v>
      </c>
      <c r="AM62" s="3" t="n">
        <v>13623.0</v>
      </c>
      <c r="AN62" s="3" t="n">
        <v>14018.0</v>
      </c>
      <c r="AO62" s="3" t="n">
        <v>14937.0</v>
      </c>
    </row>
    <row r="63" spans="1:41" x14ac:dyDescent="0.2">
      <c r="A63" s="128"/>
      <c r="B63" s="9">
        <v>54</v>
      </c>
      <c r="C63" s="3" t="n">
        <v>19010.0</v>
      </c>
      <c r="D63" s="3" t="n">
        <v>19353.0</v>
      </c>
      <c r="E63" s="3" t="n">
        <v>20349.0</v>
      </c>
      <c r="F63" s="3" t="n">
        <v>20887.0</v>
      </c>
      <c r="G63" s="3" t="n">
        <v>21964.0</v>
      </c>
      <c r="H63" s="3" t="n">
        <v>22820.0</v>
      </c>
      <c r="I63" s="3" t="n">
        <v>24229.0</v>
      </c>
      <c r="J63" s="3" t="n">
        <v>25747.0</v>
      </c>
      <c r="K63" s="3" t="n">
        <v>25829.0</v>
      </c>
      <c r="L63" s="3" t="n">
        <v>25507.0</v>
      </c>
      <c r="M63" s="3" t="n">
        <v>25644.0</v>
      </c>
      <c r="N63" s="3" t="n">
        <v>26686.0</v>
      </c>
      <c r="O63" s="3" t="n">
        <v>26914.0</v>
      </c>
      <c r="P63" s="3" t="n">
        <v>26136.0</v>
      </c>
      <c r="Q63" s="3" t="n">
        <v>27182.0</v>
      </c>
      <c r="R63" s="3" t="n">
        <v>27639.0</v>
      </c>
      <c r="S63" s="3" t="n">
        <v>26744.0</v>
      </c>
      <c r="T63" s="3" t="n">
        <v>25449.0</v>
      </c>
      <c r="U63" s="3" t="n">
        <v>23466.0</v>
      </c>
      <c r="V63" s="3" t="n">
        <v>22726.0</v>
      </c>
      <c r="W63" s="3" t="n">
        <v>21740.0</v>
      </c>
      <c r="X63" s="3" t="n">
        <v>20959.0</v>
      </c>
      <c r="Y63" s="3" t="n">
        <v>20905.0</v>
      </c>
      <c r="Z63" s="3" t="n">
        <v>20131.0</v>
      </c>
      <c r="AA63" s="3" t="n">
        <v>18963.0</v>
      </c>
      <c r="AB63" s="3" t="n">
        <v>18483.0</v>
      </c>
      <c r="AC63" s="3" t="n">
        <v>17670.0</v>
      </c>
      <c r="AD63" s="3" t="n">
        <v>16585.0</v>
      </c>
      <c r="AE63" s="3" t="n">
        <v>15751.0</v>
      </c>
      <c r="AF63" s="3" t="n">
        <v>15006.0</v>
      </c>
      <c r="AG63" s="3" t="n">
        <v>14376.0</v>
      </c>
      <c r="AH63" s="3" t="n">
        <v>14007.0</v>
      </c>
      <c r="AI63" s="3" t="n">
        <v>13869.0</v>
      </c>
      <c r="AJ63" s="3" t="n">
        <v>13577.0</v>
      </c>
      <c r="AK63" s="3" t="n">
        <v>13165.0</v>
      </c>
      <c r="AL63" s="3" t="n">
        <v>12985.0</v>
      </c>
      <c r="AM63" s="3" t="n">
        <v>13226.0</v>
      </c>
      <c r="AN63" s="3" t="n">
        <v>13549.0</v>
      </c>
      <c r="AO63" s="3" t="n">
        <v>13938.0</v>
      </c>
    </row>
    <row r="64" spans="1:41" x14ac:dyDescent="0.2">
      <c r="A64" s="128"/>
      <c r="B64" s="9">
        <v>55</v>
      </c>
      <c r="C64" s="3" t="n">
        <v>18760.0</v>
      </c>
      <c r="D64" s="3" t="n">
        <v>18870.0</v>
      </c>
      <c r="E64" s="3" t="n">
        <v>19210.0</v>
      </c>
      <c r="F64" s="3" t="n">
        <v>20202.0</v>
      </c>
      <c r="G64" s="3" t="n">
        <v>20736.0</v>
      </c>
      <c r="H64" s="3" t="n">
        <v>21820.0</v>
      </c>
      <c r="I64" s="3" t="n">
        <v>22685.0</v>
      </c>
      <c r="J64" s="3" t="n">
        <v>24073.0</v>
      </c>
      <c r="K64" s="3" t="n">
        <v>25574.0</v>
      </c>
      <c r="L64" s="3" t="n">
        <v>25658.0</v>
      </c>
      <c r="M64" s="3" t="n">
        <v>25336.0</v>
      </c>
      <c r="N64" s="3" t="n">
        <v>25474.0</v>
      </c>
      <c r="O64" s="3" t="n">
        <v>26508.0</v>
      </c>
      <c r="P64" s="3" t="n">
        <v>26741.0</v>
      </c>
      <c r="Q64" s="3" t="n">
        <v>25960.0</v>
      </c>
      <c r="R64" s="3" t="n">
        <v>27005.0</v>
      </c>
      <c r="S64" s="3" t="n">
        <v>27456.0</v>
      </c>
      <c r="T64" s="3" t="n">
        <v>26565.0</v>
      </c>
      <c r="U64" s="3" t="n">
        <v>25286.0</v>
      </c>
      <c r="V64" s="3" t="n">
        <v>23313.0</v>
      </c>
      <c r="W64" s="3" t="n">
        <v>22578.0</v>
      </c>
      <c r="X64" s="3" t="n">
        <v>21601.0</v>
      </c>
      <c r="Y64" s="3" t="n">
        <v>20821.0</v>
      </c>
      <c r="Z64" s="3" t="n">
        <v>20773.0</v>
      </c>
      <c r="AA64" s="3" t="n">
        <v>20011.0</v>
      </c>
      <c r="AB64" s="3" t="n">
        <v>18843.0</v>
      </c>
      <c r="AC64" s="3" t="n">
        <v>18371.0</v>
      </c>
      <c r="AD64" s="3" t="n">
        <v>17565.0</v>
      </c>
      <c r="AE64" s="3" t="n">
        <v>16492.0</v>
      </c>
      <c r="AF64" s="3" t="n">
        <v>15661.0</v>
      </c>
      <c r="AG64" s="3" t="n">
        <v>14919.0</v>
      </c>
      <c r="AH64" s="3" t="n">
        <v>14301.0</v>
      </c>
      <c r="AI64" s="3" t="n">
        <v>13929.0</v>
      </c>
      <c r="AJ64" s="3" t="n">
        <v>13788.0</v>
      </c>
      <c r="AK64" s="3" t="n">
        <v>13501.0</v>
      </c>
      <c r="AL64" s="3" t="n">
        <v>13088.0</v>
      </c>
      <c r="AM64" s="3" t="n">
        <v>12912.0</v>
      </c>
      <c r="AN64" s="3" t="n">
        <v>13150.0</v>
      </c>
      <c r="AO64" s="3" t="n">
        <v>13472.0</v>
      </c>
    </row>
    <row r="65" spans="1:41" x14ac:dyDescent="0.2">
      <c r="A65" s="128"/>
      <c r="B65" s="9">
        <v>56</v>
      </c>
      <c r="C65" s="3" t="n">
        <v>18647.0</v>
      </c>
      <c r="D65" s="3" t="n">
        <v>18610.0</v>
      </c>
      <c r="E65" s="3" t="n">
        <v>18723.0</v>
      </c>
      <c r="F65" s="3" t="n">
        <v>19063.0</v>
      </c>
      <c r="G65" s="3" t="n">
        <v>20049.0</v>
      </c>
      <c r="H65" s="3" t="n">
        <v>20602.0</v>
      </c>
      <c r="I65" s="3" t="n">
        <v>21682.0</v>
      </c>
      <c r="J65" s="3" t="n">
        <v>22528.0</v>
      </c>
      <c r="K65" s="3" t="n">
        <v>23898.0</v>
      </c>
      <c r="L65" s="3" t="n">
        <v>25384.0</v>
      </c>
      <c r="M65" s="3" t="n">
        <v>25461.0</v>
      </c>
      <c r="N65" s="3" t="n">
        <v>25148.0</v>
      </c>
      <c r="O65" s="3" t="n">
        <v>25280.0</v>
      </c>
      <c r="P65" s="3" t="n">
        <v>26308.0</v>
      </c>
      <c r="Q65" s="3" t="n">
        <v>26540.0</v>
      </c>
      <c r="R65" s="3" t="n">
        <v>25769.0</v>
      </c>
      <c r="S65" s="3" t="n">
        <v>26806.0</v>
      </c>
      <c r="T65" s="3" t="n">
        <v>27251.0</v>
      </c>
      <c r="U65" s="3" t="n">
        <v>26376.0</v>
      </c>
      <c r="V65" s="3" t="n">
        <v>25111.0</v>
      </c>
      <c r="W65" s="3" t="n">
        <v>23156.0</v>
      </c>
      <c r="X65" s="3" t="n">
        <v>22421.0</v>
      </c>
      <c r="Y65" s="3" t="n">
        <v>21449.0</v>
      </c>
      <c r="Z65" s="3" t="n">
        <v>20674.0</v>
      </c>
      <c r="AA65" s="3" t="n">
        <v>20627.0</v>
      </c>
      <c r="AB65" s="3" t="n">
        <v>19871.0</v>
      </c>
      <c r="AC65" s="3" t="n">
        <v>18714.0</v>
      </c>
      <c r="AD65" s="3" t="n">
        <v>18234.0</v>
      </c>
      <c r="AE65" s="3" t="n">
        <v>17431.0</v>
      </c>
      <c r="AF65" s="3" t="n">
        <v>16364.0</v>
      </c>
      <c r="AG65" s="3" t="n">
        <v>15541.0</v>
      </c>
      <c r="AH65" s="3" t="n">
        <v>14805.0</v>
      </c>
      <c r="AI65" s="3" t="n">
        <v>14191.0</v>
      </c>
      <c r="AJ65" s="3" t="n">
        <v>13822.0</v>
      </c>
      <c r="AK65" s="3" t="n">
        <v>13681.0</v>
      </c>
      <c r="AL65" s="3" t="n">
        <v>13399.0</v>
      </c>
      <c r="AM65" s="3" t="n">
        <v>12985.0</v>
      </c>
      <c r="AN65" s="3" t="n">
        <v>12809.0</v>
      </c>
      <c r="AO65" s="3" t="n">
        <v>13045.0</v>
      </c>
    </row>
    <row r="66" spans="1:41" x14ac:dyDescent="0.2">
      <c r="A66" s="128"/>
      <c r="B66" s="9">
        <v>57</v>
      </c>
      <c r="C66" s="3" t="n">
        <v>18851.0</v>
      </c>
      <c r="D66" s="3" t="n">
        <v>18500.0</v>
      </c>
      <c r="E66" s="3" t="n">
        <v>18460.0</v>
      </c>
      <c r="F66" s="3" t="n">
        <v>18572.0</v>
      </c>
      <c r="G66" s="3" t="n">
        <v>18914.0</v>
      </c>
      <c r="H66" s="3" t="n">
        <v>19902.0</v>
      </c>
      <c r="I66" s="3" t="n">
        <v>20454.0</v>
      </c>
      <c r="J66" s="3" t="n">
        <v>21508.0</v>
      </c>
      <c r="K66" s="3" t="n">
        <v>22339.0</v>
      </c>
      <c r="L66" s="3" t="n">
        <v>23702.0</v>
      </c>
      <c r="M66" s="3" t="n">
        <v>25178.0</v>
      </c>
      <c r="N66" s="3" t="n">
        <v>25249.0</v>
      </c>
      <c r="O66" s="3" t="n">
        <v>24943.0</v>
      </c>
      <c r="P66" s="3" t="n">
        <v>25074.0</v>
      </c>
      <c r="Q66" s="3" t="n">
        <v>26093.0</v>
      </c>
      <c r="R66" s="3" t="n">
        <v>26321.0</v>
      </c>
      <c r="S66" s="3" t="n">
        <v>25561.0</v>
      </c>
      <c r="T66" s="3" t="n">
        <v>26591.0</v>
      </c>
      <c r="U66" s="3" t="n">
        <v>27036.0</v>
      </c>
      <c r="V66" s="3" t="n">
        <v>26165.0</v>
      </c>
      <c r="W66" s="3" t="n">
        <v>24909.0</v>
      </c>
      <c r="X66" s="3" t="n">
        <v>22982.0</v>
      </c>
      <c r="Y66" s="3" t="n">
        <v>22250.0</v>
      </c>
      <c r="Z66" s="3" t="n">
        <v>21289.0</v>
      </c>
      <c r="AA66" s="3" t="n">
        <v>20526.0</v>
      </c>
      <c r="AB66" s="3" t="n">
        <v>20480.0</v>
      </c>
      <c r="AC66" s="3" t="n">
        <v>19738.0</v>
      </c>
      <c r="AD66" s="3" t="n">
        <v>18590.0</v>
      </c>
      <c r="AE66" s="3" t="n">
        <v>18112.0</v>
      </c>
      <c r="AF66" s="3" t="n">
        <v>17311.0</v>
      </c>
      <c r="AG66" s="3" t="n">
        <v>16251.0</v>
      </c>
      <c r="AH66" s="3" t="n">
        <v>15438.0</v>
      </c>
      <c r="AI66" s="3" t="n">
        <v>14703.0</v>
      </c>
      <c r="AJ66" s="3" t="n">
        <v>14096.0</v>
      </c>
      <c r="AK66" s="3" t="n">
        <v>13729.0</v>
      </c>
      <c r="AL66" s="3" t="n">
        <v>13584.0</v>
      </c>
      <c r="AM66" s="3" t="n">
        <v>13305.0</v>
      </c>
      <c r="AN66" s="3" t="n">
        <v>12893.0</v>
      </c>
      <c r="AO66" s="3" t="n">
        <v>12720.0</v>
      </c>
    </row>
    <row r="67" spans="1:41" x14ac:dyDescent="0.2">
      <c r="A67" s="128"/>
      <c r="B67" s="9">
        <v>58</v>
      </c>
      <c r="C67" s="3" t="n">
        <v>19358.0</v>
      </c>
      <c r="D67" s="3" t="n">
        <v>18680.0</v>
      </c>
      <c r="E67" s="3" t="n">
        <v>18339.0</v>
      </c>
      <c r="F67" s="3" t="n">
        <v>18299.0</v>
      </c>
      <c r="G67" s="3" t="n">
        <v>18411.0</v>
      </c>
      <c r="H67" s="3" t="n">
        <v>18760.0</v>
      </c>
      <c r="I67" s="3" t="n">
        <v>19746.0</v>
      </c>
      <c r="J67" s="3" t="n">
        <v>20276.0</v>
      </c>
      <c r="K67" s="3" t="n">
        <v>21321.0</v>
      </c>
      <c r="L67" s="3" t="n">
        <v>22148.0</v>
      </c>
      <c r="M67" s="3" t="n">
        <v>23499.0</v>
      </c>
      <c r="N67" s="3" t="n">
        <v>24965.0</v>
      </c>
      <c r="O67" s="3" t="n">
        <v>25039.0</v>
      </c>
      <c r="P67" s="3" t="n">
        <v>24735.0</v>
      </c>
      <c r="Q67" s="3" t="n">
        <v>24864.0</v>
      </c>
      <c r="R67" s="3" t="n">
        <v>25876.0</v>
      </c>
      <c r="S67" s="3" t="n">
        <v>26105.0</v>
      </c>
      <c r="T67" s="3" t="n">
        <v>25346.0</v>
      </c>
      <c r="U67" s="3" t="n">
        <v>26369.0</v>
      </c>
      <c r="V67" s="3" t="n">
        <v>26808.0</v>
      </c>
      <c r="W67" s="3" t="n">
        <v>25949.0</v>
      </c>
      <c r="X67" s="3" t="n">
        <v>24710.0</v>
      </c>
      <c r="Y67" s="3" t="n">
        <v>22802.0</v>
      </c>
      <c r="Z67" s="3" t="n">
        <v>22076.0</v>
      </c>
      <c r="AA67" s="3" t="n">
        <v>21124.0</v>
      </c>
      <c r="AB67" s="3" t="n">
        <v>20361.0</v>
      </c>
      <c r="AC67" s="3" t="n">
        <v>20312.0</v>
      </c>
      <c r="AD67" s="3" t="n">
        <v>19574.0</v>
      </c>
      <c r="AE67" s="3" t="n">
        <v>18441.0</v>
      </c>
      <c r="AF67" s="3" t="n">
        <v>17966.0</v>
      </c>
      <c r="AG67" s="3" t="n">
        <v>17182.0</v>
      </c>
      <c r="AH67" s="3" t="n">
        <v>16135.0</v>
      </c>
      <c r="AI67" s="3" t="n">
        <v>15326.0</v>
      </c>
      <c r="AJ67" s="3" t="n">
        <v>14594.0</v>
      </c>
      <c r="AK67" s="3" t="n">
        <v>13993.0</v>
      </c>
      <c r="AL67" s="3" t="n">
        <v>13629.0</v>
      </c>
      <c r="AM67" s="3" t="n">
        <v>13479.0</v>
      </c>
      <c r="AN67" s="3" t="n">
        <v>13201.0</v>
      </c>
      <c r="AO67" s="3" t="n">
        <v>12797.0</v>
      </c>
    </row>
    <row r="68" spans="1:41" x14ac:dyDescent="0.2">
      <c r="A68" s="128"/>
      <c r="B68" s="9">
        <v>59</v>
      </c>
      <c r="C68" s="3" t="n">
        <v>20222.0</v>
      </c>
      <c r="D68" s="3" t="n">
        <v>19174.0</v>
      </c>
      <c r="E68" s="3" t="n">
        <v>18508.0</v>
      </c>
      <c r="F68" s="3" t="n">
        <v>18179.0</v>
      </c>
      <c r="G68" s="3" t="n">
        <v>18131.0</v>
      </c>
      <c r="H68" s="3" t="n">
        <v>18256.0</v>
      </c>
      <c r="I68" s="3" t="n">
        <v>18605.0</v>
      </c>
      <c r="J68" s="3" t="n">
        <v>19569.0</v>
      </c>
      <c r="K68" s="3" t="n">
        <v>20096.0</v>
      </c>
      <c r="L68" s="3" t="n">
        <v>21121.0</v>
      </c>
      <c r="M68" s="3" t="n">
        <v>21942.0</v>
      </c>
      <c r="N68" s="3" t="n">
        <v>23275.0</v>
      </c>
      <c r="O68" s="3" t="n">
        <v>24727.0</v>
      </c>
      <c r="P68" s="3" t="n">
        <v>24806.0</v>
      </c>
      <c r="Q68" s="3" t="n">
        <v>24507.0</v>
      </c>
      <c r="R68" s="3" t="n">
        <v>24630.0</v>
      </c>
      <c r="S68" s="3" t="n">
        <v>25632.0</v>
      </c>
      <c r="T68" s="3" t="n">
        <v>25860.0</v>
      </c>
      <c r="U68" s="3" t="n">
        <v>25108.0</v>
      </c>
      <c r="V68" s="3" t="n">
        <v>26127.0</v>
      </c>
      <c r="W68" s="3" t="n">
        <v>26562.0</v>
      </c>
      <c r="X68" s="3" t="n">
        <v>25713.0</v>
      </c>
      <c r="Y68" s="3" t="n">
        <v>24484.0</v>
      </c>
      <c r="Z68" s="3" t="n">
        <v>22599.0</v>
      </c>
      <c r="AA68" s="3" t="n">
        <v>21881.0</v>
      </c>
      <c r="AB68" s="3" t="n">
        <v>20949.0</v>
      </c>
      <c r="AC68" s="3" t="n">
        <v>20193.0</v>
      </c>
      <c r="AD68" s="3" t="n">
        <v>20140.0</v>
      </c>
      <c r="AE68" s="3" t="n">
        <v>19412.0</v>
      </c>
      <c r="AF68" s="3" t="n">
        <v>18282.0</v>
      </c>
      <c r="AG68" s="3" t="n">
        <v>17810.0</v>
      </c>
      <c r="AH68" s="3" t="n">
        <v>17030.0</v>
      </c>
      <c r="AI68" s="3" t="n">
        <v>15993.0</v>
      </c>
      <c r="AJ68" s="3" t="n">
        <v>15192.0</v>
      </c>
      <c r="AK68" s="3" t="n">
        <v>14476.0</v>
      </c>
      <c r="AL68" s="3" t="n">
        <v>13877.0</v>
      </c>
      <c r="AM68" s="3" t="n">
        <v>13512.0</v>
      </c>
      <c r="AN68" s="3" t="n">
        <v>13359.0</v>
      </c>
      <c r="AO68" s="3" t="n">
        <v>13082.0</v>
      </c>
    </row>
    <row r="69" spans="1:41" x14ac:dyDescent="0.2">
      <c r="A69" s="128"/>
      <c r="B69" s="9">
        <v>60</v>
      </c>
      <c r="C69" s="3" t="n">
        <v>19883.0</v>
      </c>
      <c r="D69" s="3" t="n">
        <v>20014.0</v>
      </c>
      <c r="E69" s="3" t="n">
        <v>18983.0</v>
      </c>
      <c r="F69" s="3" t="n">
        <v>18326.0</v>
      </c>
      <c r="G69" s="3" t="n">
        <v>18003.0</v>
      </c>
      <c r="H69" s="3" t="n">
        <v>17960.0</v>
      </c>
      <c r="I69" s="3" t="n">
        <v>18086.0</v>
      </c>
      <c r="J69" s="3" t="n">
        <v>18431.0</v>
      </c>
      <c r="K69" s="3" t="n">
        <v>19373.0</v>
      </c>
      <c r="L69" s="3" t="n">
        <v>19899.0</v>
      </c>
      <c r="M69" s="3" t="n">
        <v>20916.0</v>
      </c>
      <c r="N69" s="3" t="n">
        <v>21730.0</v>
      </c>
      <c r="O69" s="3" t="n">
        <v>23040.0</v>
      </c>
      <c r="P69" s="3" t="n">
        <v>24479.0</v>
      </c>
      <c r="Q69" s="3" t="n">
        <v>24567.0</v>
      </c>
      <c r="R69" s="3" t="n">
        <v>24269.0</v>
      </c>
      <c r="S69" s="3" t="n">
        <v>24390.0</v>
      </c>
      <c r="T69" s="3" t="n">
        <v>25384.0</v>
      </c>
      <c r="U69" s="3" t="n">
        <v>25608.0</v>
      </c>
      <c r="V69" s="3" t="n">
        <v>24865.0</v>
      </c>
      <c r="W69" s="3" t="n">
        <v>25884.0</v>
      </c>
      <c r="X69" s="3" t="n">
        <v>26311.0</v>
      </c>
      <c r="Y69" s="3" t="n">
        <v>25471.0</v>
      </c>
      <c r="Z69" s="3" t="n">
        <v>24253.0</v>
      </c>
      <c r="AA69" s="3" t="n">
        <v>22392.0</v>
      </c>
      <c r="AB69" s="3" t="n">
        <v>21686.0</v>
      </c>
      <c r="AC69" s="3" t="n">
        <v>20766.0</v>
      </c>
      <c r="AD69" s="3" t="n">
        <v>20010.0</v>
      </c>
      <c r="AE69" s="3" t="n">
        <v>19955.0</v>
      </c>
      <c r="AF69" s="3" t="n">
        <v>19236.0</v>
      </c>
      <c r="AG69" s="3" t="n">
        <v>18113.0</v>
      </c>
      <c r="AH69" s="3" t="n">
        <v>17650.0</v>
      </c>
      <c r="AI69" s="3" t="n">
        <v>16876.0</v>
      </c>
      <c r="AJ69" s="3" t="n">
        <v>15853.0</v>
      </c>
      <c r="AK69" s="3" t="n">
        <v>15058.0</v>
      </c>
      <c r="AL69" s="3" t="n">
        <v>14351.0</v>
      </c>
      <c r="AM69" s="3" t="n">
        <v>13760.0</v>
      </c>
      <c r="AN69" s="3" t="n">
        <v>13397.0</v>
      </c>
      <c r="AO69" s="3" t="n">
        <v>13245.0</v>
      </c>
    </row>
    <row r="70" spans="1:41" x14ac:dyDescent="0.2">
      <c r="A70" s="128"/>
      <c r="B70" s="9">
        <v>61</v>
      </c>
      <c r="C70" s="3" t="n">
        <v>21215.0</v>
      </c>
      <c r="D70" s="3" t="n">
        <v>19649.0</v>
      </c>
      <c r="E70" s="3" t="n">
        <v>19785.0</v>
      </c>
      <c r="F70" s="3" t="n">
        <v>18767.0</v>
      </c>
      <c r="G70" s="3" t="n">
        <v>18118.0</v>
      </c>
      <c r="H70" s="3" t="n">
        <v>17814.0</v>
      </c>
      <c r="I70" s="3" t="n">
        <v>17779.0</v>
      </c>
      <c r="J70" s="3" t="n">
        <v>17895.0</v>
      </c>
      <c r="K70" s="3" t="n">
        <v>18232.0</v>
      </c>
      <c r="L70" s="3" t="n">
        <v>19157.0</v>
      </c>
      <c r="M70" s="3" t="n">
        <v>19677.0</v>
      </c>
      <c r="N70" s="3" t="n">
        <v>20678.0</v>
      </c>
      <c r="O70" s="3" t="n">
        <v>21491.0</v>
      </c>
      <c r="P70" s="3" t="n">
        <v>22779.0</v>
      </c>
      <c r="Q70" s="3" t="n">
        <v>24206.0</v>
      </c>
      <c r="R70" s="3" t="n">
        <v>24293.0</v>
      </c>
      <c r="S70" s="3" t="n">
        <v>24005.0</v>
      </c>
      <c r="T70" s="3" t="n">
        <v>24123.0</v>
      </c>
      <c r="U70" s="3" t="n">
        <v>25107.0</v>
      </c>
      <c r="V70" s="3" t="n">
        <v>25327.0</v>
      </c>
      <c r="W70" s="3" t="n">
        <v>24601.0</v>
      </c>
      <c r="X70" s="3" t="n">
        <v>25604.0</v>
      </c>
      <c r="Y70" s="3" t="n">
        <v>26027.0</v>
      </c>
      <c r="Z70" s="3" t="n">
        <v>25198.0</v>
      </c>
      <c r="AA70" s="3" t="n">
        <v>23998.0</v>
      </c>
      <c r="AB70" s="3" t="n">
        <v>22158.0</v>
      </c>
      <c r="AC70" s="3" t="n">
        <v>21458.0</v>
      </c>
      <c r="AD70" s="3" t="n">
        <v>20548.0</v>
      </c>
      <c r="AE70" s="3" t="n">
        <v>19805.0</v>
      </c>
      <c r="AF70" s="3" t="n">
        <v>19749.0</v>
      </c>
      <c r="AG70" s="3" t="n">
        <v>19042.0</v>
      </c>
      <c r="AH70" s="3" t="n">
        <v>17932.0</v>
      </c>
      <c r="AI70" s="3" t="n">
        <v>17479.0</v>
      </c>
      <c r="AJ70" s="3" t="n">
        <v>16707.0</v>
      </c>
      <c r="AK70" s="3" t="n">
        <v>15694.0</v>
      </c>
      <c r="AL70" s="3" t="n">
        <v>14911.0</v>
      </c>
      <c r="AM70" s="3" t="n">
        <v>14210.0</v>
      </c>
      <c r="AN70" s="3" t="n">
        <v>13625.0</v>
      </c>
      <c r="AO70" s="3" t="n">
        <v>13266.0</v>
      </c>
    </row>
    <row r="71" spans="1:41" x14ac:dyDescent="0.2">
      <c r="A71" s="128"/>
      <c r="B71" s="9">
        <v>62</v>
      </c>
      <c r="C71" s="3" t="n">
        <v>22468.0</v>
      </c>
      <c r="D71" s="3" t="n">
        <v>20950.0</v>
      </c>
      <c r="E71" s="3" t="n">
        <v>19409.0</v>
      </c>
      <c r="F71" s="3" t="n">
        <v>19538.0</v>
      </c>
      <c r="G71" s="3" t="n">
        <v>18534.0</v>
      </c>
      <c r="H71" s="3" t="n">
        <v>17907.0</v>
      </c>
      <c r="I71" s="3" t="n">
        <v>17607.0</v>
      </c>
      <c r="J71" s="3" t="n">
        <v>17563.0</v>
      </c>
      <c r="K71" s="3" t="n">
        <v>17679.0</v>
      </c>
      <c r="L71" s="3" t="n">
        <v>18008.0</v>
      </c>
      <c r="M71" s="3" t="n">
        <v>18932.0</v>
      </c>
      <c r="N71" s="3" t="n">
        <v>19442.0</v>
      </c>
      <c r="O71" s="3" t="n">
        <v>20434.0</v>
      </c>
      <c r="P71" s="3" t="n">
        <v>21235.0</v>
      </c>
      <c r="Q71" s="3" t="n">
        <v>22505.0</v>
      </c>
      <c r="R71" s="3" t="n">
        <v>23915.0</v>
      </c>
      <c r="S71" s="3" t="n">
        <v>24008.0</v>
      </c>
      <c r="T71" s="3" t="n">
        <v>23717.0</v>
      </c>
      <c r="U71" s="3" t="n">
        <v>23836.0</v>
      </c>
      <c r="V71" s="3" t="n">
        <v>24811.0</v>
      </c>
      <c r="W71" s="3" t="n">
        <v>25031.0</v>
      </c>
      <c r="X71" s="3" t="n">
        <v>24307.0</v>
      </c>
      <c r="Y71" s="3" t="n">
        <v>25313.0</v>
      </c>
      <c r="Z71" s="3" t="n">
        <v>25724.0</v>
      </c>
      <c r="AA71" s="3" t="n">
        <v>24902.0</v>
      </c>
      <c r="AB71" s="3" t="n">
        <v>23722.0</v>
      </c>
      <c r="AC71" s="3" t="n">
        <v>21904.0</v>
      </c>
      <c r="AD71" s="3" t="n">
        <v>21208.0</v>
      </c>
      <c r="AE71" s="3" t="n">
        <v>20319.0</v>
      </c>
      <c r="AF71" s="3" t="n">
        <v>19581.0</v>
      </c>
      <c r="AG71" s="3" t="n">
        <v>19529.0</v>
      </c>
      <c r="AH71" s="3" t="n">
        <v>18833.0</v>
      </c>
      <c r="AI71" s="3" t="n">
        <v>17733.0</v>
      </c>
      <c r="AJ71" s="3" t="n">
        <v>17284.0</v>
      </c>
      <c r="AK71" s="3" t="n">
        <v>16524.0</v>
      </c>
      <c r="AL71" s="3" t="n">
        <v>15528.0</v>
      </c>
      <c r="AM71" s="3" t="n">
        <v>14759.0</v>
      </c>
      <c r="AN71" s="3" t="n">
        <v>14060.0</v>
      </c>
      <c r="AO71" s="3" t="n">
        <v>13480.0</v>
      </c>
    </row>
    <row r="72" spans="1:41" x14ac:dyDescent="0.2">
      <c r="A72" s="128"/>
      <c r="B72" s="9">
        <v>63</v>
      </c>
      <c r="C72" s="3" t="n">
        <v>24384.0</v>
      </c>
      <c r="D72" s="3" t="n">
        <v>22140.0</v>
      </c>
      <c r="E72" s="3" t="n">
        <v>20649.0</v>
      </c>
      <c r="F72" s="3" t="n">
        <v>19143.0</v>
      </c>
      <c r="G72" s="3" t="n">
        <v>19263.0</v>
      </c>
      <c r="H72" s="3" t="n">
        <v>18294.0</v>
      </c>
      <c r="I72" s="3" t="n">
        <v>17684.0</v>
      </c>
      <c r="J72" s="3" t="n">
        <v>17376.0</v>
      </c>
      <c r="K72" s="3" t="n">
        <v>17331.0</v>
      </c>
      <c r="L72" s="3" t="n">
        <v>17445.0</v>
      </c>
      <c r="M72" s="3" t="n">
        <v>17769.0</v>
      </c>
      <c r="N72" s="3" t="n">
        <v>18686.0</v>
      </c>
      <c r="O72" s="3" t="n">
        <v>19187.0</v>
      </c>
      <c r="P72" s="3" t="n">
        <v>20165.0</v>
      </c>
      <c r="Q72" s="3" t="n">
        <v>20956.0</v>
      </c>
      <c r="R72" s="3" t="n">
        <v>22209.0</v>
      </c>
      <c r="S72" s="3" t="n">
        <v>23594.0</v>
      </c>
      <c r="T72" s="3" t="n">
        <v>23698.0</v>
      </c>
      <c r="U72" s="3" t="n">
        <v>23413.0</v>
      </c>
      <c r="V72" s="3" t="n">
        <v>23527.0</v>
      </c>
      <c r="W72" s="3" t="n">
        <v>24488.0</v>
      </c>
      <c r="X72" s="3" t="n">
        <v>24710.0</v>
      </c>
      <c r="Y72" s="3" t="n">
        <v>23992.0</v>
      </c>
      <c r="Z72" s="3" t="n">
        <v>24987.0</v>
      </c>
      <c r="AA72" s="3" t="n">
        <v>25395.0</v>
      </c>
      <c r="AB72" s="3" t="n">
        <v>24592.0</v>
      </c>
      <c r="AC72" s="3" t="n">
        <v>23428.0</v>
      </c>
      <c r="AD72" s="3" t="n">
        <v>21636.0</v>
      </c>
      <c r="AE72" s="3" t="n">
        <v>20949.0</v>
      </c>
      <c r="AF72" s="3" t="n">
        <v>20071.0</v>
      </c>
      <c r="AG72" s="3" t="n">
        <v>19341.0</v>
      </c>
      <c r="AH72" s="3" t="n">
        <v>19291.0</v>
      </c>
      <c r="AI72" s="3" t="n">
        <v>18602.0</v>
      </c>
      <c r="AJ72" s="3" t="n">
        <v>17515.0</v>
      </c>
      <c r="AK72" s="3" t="n">
        <v>17074.0</v>
      </c>
      <c r="AL72" s="3" t="n">
        <v>16321.0</v>
      </c>
      <c r="AM72" s="3" t="n">
        <v>15338.0</v>
      </c>
      <c r="AN72" s="3" t="n">
        <v>14584.0</v>
      </c>
      <c r="AO72" s="3" t="n">
        <v>13892.0</v>
      </c>
    </row>
    <row r="73" spans="1:41" x14ac:dyDescent="0.2">
      <c r="A73" s="128"/>
      <c r="B73" s="9">
        <v>64</v>
      </c>
      <c r="C73" s="3" t="n">
        <v>25327.0</v>
      </c>
      <c r="D73" s="3" t="n">
        <v>24003.0</v>
      </c>
      <c r="E73" s="3" t="n">
        <v>21795.0</v>
      </c>
      <c r="F73" s="3" t="n">
        <v>20326.0</v>
      </c>
      <c r="G73" s="3" t="n">
        <v>18847.0</v>
      </c>
      <c r="H73" s="3" t="n">
        <v>18983.0</v>
      </c>
      <c r="I73" s="3" t="n">
        <v>18038.0</v>
      </c>
      <c r="J73" s="3" t="n">
        <v>17433.0</v>
      </c>
      <c r="K73" s="3" t="n">
        <v>17128.0</v>
      </c>
      <c r="L73" s="3" t="n">
        <v>17082.0</v>
      </c>
      <c r="M73" s="3" t="n">
        <v>17196.0</v>
      </c>
      <c r="N73" s="3" t="n">
        <v>17509.0</v>
      </c>
      <c r="O73" s="3" t="n">
        <v>18417.0</v>
      </c>
      <c r="P73" s="3" t="n">
        <v>18917.0</v>
      </c>
      <c r="Q73" s="3" t="n">
        <v>19880.0</v>
      </c>
      <c r="R73" s="3" t="n">
        <v>20658.0</v>
      </c>
      <c r="S73" s="3" t="n">
        <v>21892.0</v>
      </c>
      <c r="T73" s="3" t="n">
        <v>23249.0</v>
      </c>
      <c r="U73" s="3" t="n">
        <v>23359.0</v>
      </c>
      <c r="V73" s="3" t="n">
        <v>23079.0</v>
      </c>
      <c r="W73" s="3" t="n">
        <v>23189.0</v>
      </c>
      <c r="X73" s="3" t="n">
        <v>24128.0</v>
      </c>
      <c r="Y73" s="3" t="n">
        <v>24347.0</v>
      </c>
      <c r="Z73" s="3" t="n">
        <v>23650.0</v>
      </c>
      <c r="AA73" s="3" t="n">
        <v>24628.0</v>
      </c>
      <c r="AB73" s="3" t="n">
        <v>25029.0</v>
      </c>
      <c r="AC73" s="3" t="n">
        <v>24245.0</v>
      </c>
      <c r="AD73" s="3" t="n">
        <v>23098.0</v>
      </c>
      <c r="AE73" s="3" t="n">
        <v>21341.0</v>
      </c>
      <c r="AF73" s="3" t="n">
        <v>20669.0</v>
      </c>
      <c r="AG73" s="3" t="n">
        <v>19809.0</v>
      </c>
      <c r="AH73" s="3" t="n">
        <v>19087.0</v>
      </c>
      <c r="AI73" s="3" t="n">
        <v>19036.0</v>
      </c>
      <c r="AJ73" s="3" t="n">
        <v>18355.0</v>
      </c>
      <c r="AK73" s="3" t="n">
        <v>17284.0</v>
      </c>
      <c r="AL73" s="3" t="n">
        <v>16846.0</v>
      </c>
      <c r="AM73" s="3" t="n">
        <v>16106.0</v>
      </c>
      <c r="AN73" s="3" t="n">
        <v>15137.0</v>
      </c>
      <c r="AO73" s="3" t="n">
        <v>14392.0</v>
      </c>
    </row>
    <row r="74" spans="1:41" x14ac:dyDescent="0.2">
      <c r="A74" s="128"/>
      <c r="B74" s="9">
        <v>65</v>
      </c>
      <c r="C74" s="3" t="n">
        <v>25466.0</v>
      </c>
      <c r="D74" s="3" t="n">
        <v>24898.0</v>
      </c>
      <c r="E74" s="3" t="n">
        <v>23602.0</v>
      </c>
      <c r="F74" s="3" t="n">
        <v>21427.0</v>
      </c>
      <c r="G74" s="3" t="n">
        <v>19987.0</v>
      </c>
      <c r="H74" s="3" t="n">
        <v>18546.0</v>
      </c>
      <c r="I74" s="3" t="n">
        <v>18682.0</v>
      </c>
      <c r="J74" s="3" t="n">
        <v>17753.0</v>
      </c>
      <c r="K74" s="3" t="n">
        <v>17151.0</v>
      </c>
      <c r="L74" s="3" t="n">
        <v>16854.0</v>
      </c>
      <c r="M74" s="3" t="n">
        <v>16810.0</v>
      </c>
      <c r="N74" s="3" t="n">
        <v>16923.0</v>
      </c>
      <c r="O74" s="3" t="n">
        <v>17233.0</v>
      </c>
      <c r="P74" s="3" t="n">
        <v>18123.0</v>
      </c>
      <c r="Q74" s="3" t="n">
        <v>18619.0</v>
      </c>
      <c r="R74" s="3" t="n">
        <v>19568.0</v>
      </c>
      <c r="S74" s="3" t="n">
        <v>20334.0</v>
      </c>
      <c r="T74" s="3" t="n">
        <v>21553.0</v>
      </c>
      <c r="U74" s="3" t="n">
        <v>22893.0</v>
      </c>
      <c r="V74" s="3" t="n">
        <v>23003.0</v>
      </c>
      <c r="W74" s="3" t="n">
        <v>22732.0</v>
      </c>
      <c r="X74" s="3" t="n">
        <v>22844.0</v>
      </c>
      <c r="Y74" s="3" t="n">
        <v>23760.0</v>
      </c>
      <c r="Z74" s="3" t="n">
        <v>23981.0</v>
      </c>
      <c r="AA74" s="3" t="n">
        <v>23295.0</v>
      </c>
      <c r="AB74" s="3" t="n">
        <v>24257.0</v>
      </c>
      <c r="AC74" s="3" t="n">
        <v>24653.0</v>
      </c>
      <c r="AD74" s="3" t="n">
        <v>23885.0</v>
      </c>
      <c r="AE74" s="3" t="n">
        <v>22761.0</v>
      </c>
      <c r="AF74" s="3" t="n">
        <v>21024.0</v>
      </c>
      <c r="AG74" s="3" t="n">
        <v>20365.0</v>
      </c>
      <c r="AH74" s="3" t="n">
        <v>19518.0</v>
      </c>
      <c r="AI74" s="3" t="n">
        <v>18818.0</v>
      </c>
      <c r="AJ74" s="3" t="n">
        <v>18766.0</v>
      </c>
      <c r="AK74" s="3" t="n">
        <v>18100.0</v>
      </c>
      <c r="AL74" s="3" t="n">
        <v>17044.0</v>
      </c>
      <c r="AM74" s="3" t="n">
        <v>16615.0</v>
      </c>
      <c r="AN74" s="3" t="n">
        <v>15879.0</v>
      </c>
      <c r="AO74" s="3" t="n">
        <v>14918.0</v>
      </c>
    </row>
    <row r="75" spans="1:41" x14ac:dyDescent="0.2">
      <c r="A75" s="128"/>
      <c r="B75" s="9">
        <v>66</v>
      </c>
      <c r="C75" s="3" t="n">
        <v>25385.0</v>
      </c>
      <c r="D75" s="3" t="n">
        <v>25001.0</v>
      </c>
      <c r="E75" s="3" t="n">
        <v>24449.0</v>
      </c>
      <c r="F75" s="3" t="n">
        <v>23178.0</v>
      </c>
      <c r="G75" s="3" t="n">
        <v>21048.0</v>
      </c>
      <c r="H75" s="3" t="n">
        <v>19643.0</v>
      </c>
      <c r="I75" s="3" t="n">
        <v>18234.0</v>
      </c>
      <c r="J75" s="3" t="n">
        <v>18364.0</v>
      </c>
      <c r="K75" s="3" t="n">
        <v>17453.0</v>
      </c>
      <c r="L75" s="3" t="n">
        <v>16861.0</v>
      </c>
      <c r="M75" s="3" t="n">
        <v>16575.0</v>
      </c>
      <c r="N75" s="3" t="n">
        <v>16527.0</v>
      </c>
      <c r="O75" s="3" t="n">
        <v>16640.0</v>
      </c>
      <c r="P75" s="3" t="n">
        <v>16947.0</v>
      </c>
      <c r="Q75" s="3" t="n">
        <v>17832.0</v>
      </c>
      <c r="R75" s="3" t="n">
        <v>18312.0</v>
      </c>
      <c r="S75" s="3" t="n">
        <v>19249.0</v>
      </c>
      <c r="T75" s="3" t="n">
        <v>20004.0</v>
      </c>
      <c r="U75" s="3" t="n">
        <v>21210.0</v>
      </c>
      <c r="V75" s="3" t="n">
        <v>22519.0</v>
      </c>
      <c r="W75" s="3" t="n">
        <v>22630.0</v>
      </c>
      <c r="X75" s="3" t="n">
        <v>22371.0</v>
      </c>
      <c r="Y75" s="3" t="n">
        <v>22480.0</v>
      </c>
      <c r="Z75" s="3" t="n">
        <v>23381.0</v>
      </c>
      <c r="AA75" s="3" t="n">
        <v>23598.0</v>
      </c>
      <c r="AB75" s="3" t="n">
        <v>22928.0</v>
      </c>
      <c r="AC75" s="3" t="n">
        <v>23874.0</v>
      </c>
      <c r="AD75" s="3" t="n">
        <v>24262.0</v>
      </c>
      <c r="AE75" s="3" t="n">
        <v>23518.0</v>
      </c>
      <c r="AF75" s="3" t="n">
        <v>22411.0</v>
      </c>
      <c r="AG75" s="3" t="n">
        <v>20703.0</v>
      </c>
      <c r="AH75" s="3" t="n">
        <v>20057.0</v>
      </c>
      <c r="AI75" s="3" t="n">
        <v>19226.0</v>
      </c>
      <c r="AJ75" s="3" t="n">
        <v>18534.0</v>
      </c>
      <c r="AK75" s="3" t="n">
        <v>18483.0</v>
      </c>
      <c r="AL75" s="3" t="n">
        <v>17826.0</v>
      </c>
      <c r="AM75" s="3" t="n">
        <v>16780.0</v>
      </c>
      <c r="AN75" s="3" t="n">
        <v>16360.0</v>
      </c>
      <c r="AO75" s="3" t="n">
        <v>15646.0</v>
      </c>
    </row>
    <row r="76" spans="1:41" x14ac:dyDescent="0.2">
      <c r="A76" s="128"/>
      <c r="B76" s="9">
        <v>67</v>
      </c>
      <c r="C76" s="3" t="n">
        <v>25028.0</v>
      </c>
      <c r="D76" s="3" t="n">
        <v>24879.0</v>
      </c>
      <c r="E76" s="3" t="n">
        <v>24510.0</v>
      </c>
      <c r="F76" s="3" t="n">
        <v>23978.0</v>
      </c>
      <c r="G76" s="3" t="n">
        <v>22738.0</v>
      </c>
      <c r="H76" s="3" t="n">
        <v>20655.0</v>
      </c>
      <c r="I76" s="3" t="n">
        <v>19279.0</v>
      </c>
      <c r="J76" s="3" t="n">
        <v>17894.0</v>
      </c>
      <c r="K76" s="3" t="n">
        <v>18017.0</v>
      </c>
      <c r="L76" s="3" t="n">
        <v>17135.0</v>
      </c>
      <c r="M76" s="3" t="n">
        <v>16554.0</v>
      </c>
      <c r="N76" s="3" t="n">
        <v>16272.0</v>
      </c>
      <c r="O76" s="3" t="n">
        <v>16223.0</v>
      </c>
      <c r="P76" s="3" t="n">
        <v>16335.0</v>
      </c>
      <c r="Q76" s="3" t="n">
        <v>16643.0</v>
      </c>
      <c r="R76" s="3" t="n">
        <v>17521.0</v>
      </c>
      <c r="S76" s="3" t="n">
        <v>17983.0</v>
      </c>
      <c r="T76" s="3" t="n">
        <v>18902.0</v>
      </c>
      <c r="U76" s="3" t="n">
        <v>19646.0</v>
      </c>
      <c r="V76" s="3" t="n">
        <v>20832.0</v>
      </c>
      <c r="W76" s="3" t="n">
        <v>22117.0</v>
      </c>
      <c r="X76" s="3" t="n">
        <v>22231.0</v>
      </c>
      <c r="Y76" s="3" t="n">
        <v>21974.0</v>
      </c>
      <c r="Z76" s="3" t="n">
        <v>22082.0</v>
      </c>
      <c r="AA76" s="3" t="n">
        <v>22969.0</v>
      </c>
      <c r="AB76" s="3" t="n">
        <v>23183.0</v>
      </c>
      <c r="AC76" s="3" t="n">
        <v>22525.0</v>
      </c>
      <c r="AD76" s="3" t="n">
        <v>23460.0</v>
      </c>
      <c r="AE76" s="3" t="n">
        <v>23843.0</v>
      </c>
      <c r="AF76" s="3" t="n">
        <v>23108.0</v>
      </c>
      <c r="AG76" s="3" t="n">
        <v>22023.0</v>
      </c>
      <c r="AH76" s="3" t="n">
        <v>20354.0</v>
      </c>
      <c r="AI76" s="3" t="n">
        <v>19715.0</v>
      </c>
      <c r="AJ76" s="3" t="n">
        <v>18906.0</v>
      </c>
      <c r="AK76" s="3" t="n">
        <v>18228.0</v>
      </c>
      <c r="AL76" s="3" t="n">
        <v>18173.0</v>
      </c>
      <c r="AM76" s="3" t="n">
        <v>17532.0</v>
      </c>
      <c r="AN76" s="3" t="n">
        <v>16506.0</v>
      </c>
      <c r="AO76" s="3" t="n">
        <v>16085.0</v>
      </c>
    </row>
    <row r="77" spans="1:41" x14ac:dyDescent="0.2">
      <c r="A77" s="128"/>
      <c r="B77" s="9">
        <v>68</v>
      </c>
      <c r="C77" s="3" t="n">
        <v>23359.0</v>
      </c>
      <c r="D77" s="3" t="n">
        <v>24501.0</v>
      </c>
      <c r="E77" s="3" t="n">
        <v>24358.0</v>
      </c>
      <c r="F77" s="3" t="n">
        <v>23998.0</v>
      </c>
      <c r="G77" s="3" t="n">
        <v>23478.0</v>
      </c>
      <c r="H77" s="3" t="n">
        <v>22274.0</v>
      </c>
      <c r="I77" s="3" t="n">
        <v>20239.0</v>
      </c>
      <c r="J77" s="3" t="n">
        <v>18893.0</v>
      </c>
      <c r="K77" s="3" t="n">
        <v>17543.0</v>
      </c>
      <c r="L77" s="3" t="n">
        <v>17661.0</v>
      </c>
      <c r="M77" s="3" t="n">
        <v>16805.0</v>
      </c>
      <c r="N77" s="3" t="n">
        <v>16233.0</v>
      </c>
      <c r="O77" s="3" t="n">
        <v>15963.0</v>
      </c>
      <c r="P77" s="3" t="n">
        <v>15909.0</v>
      </c>
      <c r="Q77" s="3" t="n">
        <v>16024.0</v>
      </c>
      <c r="R77" s="3" t="n">
        <v>16328.0</v>
      </c>
      <c r="S77" s="3" t="n">
        <v>17191.0</v>
      </c>
      <c r="T77" s="3" t="n">
        <v>17641.0</v>
      </c>
      <c r="U77" s="3" t="n">
        <v>18543.0</v>
      </c>
      <c r="V77" s="3" t="n">
        <v>19272.0</v>
      </c>
      <c r="W77" s="3" t="n">
        <v>20439.0</v>
      </c>
      <c r="X77" s="3" t="n">
        <v>21700.0</v>
      </c>
      <c r="Y77" s="3" t="n">
        <v>21814.0</v>
      </c>
      <c r="Z77" s="3" t="n">
        <v>21566.0</v>
      </c>
      <c r="AA77" s="3" t="n">
        <v>21671.0</v>
      </c>
      <c r="AB77" s="3" t="n">
        <v>22545.0</v>
      </c>
      <c r="AC77" s="3" t="n">
        <v>22752.0</v>
      </c>
      <c r="AD77" s="3" t="n">
        <v>22112.0</v>
      </c>
      <c r="AE77" s="3" t="n">
        <v>23031.0</v>
      </c>
      <c r="AF77" s="3" t="n">
        <v>23409.0</v>
      </c>
      <c r="AG77" s="3" t="n">
        <v>22686.0</v>
      </c>
      <c r="AH77" s="3" t="n">
        <v>21629.0</v>
      </c>
      <c r="AI77" s="3" t="n">
        <v>19995.0</v>
      </c>
      <c r="AJ77" s="3" t="n">
        <v>19358.0</v>
      </c>
      <c r="AK77" s="3" t="n">
        <v>18576.0</v>
      </c>
      <c r="AL77" s="3" t="n">
        <v>17915.0</v>
      </c>
      <c r="AM77" s="3" t="n">
        <v>17856.0</v>
      </c>
      <c r="AN77" s="3" t="n">
        <v>17231.0</v>
      </c>
      <c r="AO77" s="3" t="n">
        <v>16220.0</v>
      </c>
    </row>
    <row r="78" spans="1:41" x14ac:dyDescent="0.2">
      <c r="A78" s="128"/>
      <c r="B78" s="9">
        <v>69</v>
      </c>
      <c r="C78" s="3" t="n">
        <v>22737.0</v>
      </c>
      <c r="D78" s="3" t="n">
        <v>22817.0</v>
      </c>
      <c r="E78" s="3" t="n">
        <v>23939.0</v>
      </c>
      <c r="F78" s="3" t="n">
        <v>23798.0</v>
      </c>
      <c r="G78" s="3" t="n">
        <v>23457.0</v>
      </c>
      <c r="H78" s="3" t="n">
        <v>22961.0</v>
      </c>
      <c r="I78" s="3" t="n">
        <v>21793.0</v>
      </c>
      <c r="J78" s="3" t="n">
        <v>19800.0</v>
      </c>
      <c r="K78" s="3" t="n">
        <v>18488.0</v>
      </c>
      <c r="L78" s="3" t="n">
        <v>17168.0</v>
      </c>
      <c r="M78" s="3" t="n">
        <v>17285.0</v>
      </c>
      <c r="N78" s="3" t="n">
        <v>16447.0</v>
      </c>
      <c r="O78" s="3" t="n">
        <v>15889.0</v>
      </c>
      <c r="P78" s="3" t="n">
        <v>15630.0</v>
      </c>
      <c r="Q78" s="3" t="n">
        <v>15583.0</v>
      </c>
      <c r="R78" s="3" t="n">
        <v>15689.0</v>
      </c>
      <c r="S78" s="3" t="n">
        <v>15994.0</v>
      </c>
      <c r="T78" s="3" t="n">
        <v>16842.0</v>
      </c>
      <c r="U78" s="3" t="n">
        <v>17280.0</v>
      </c>
      <c r="V78" s="3" t="n">
        <v>18158.0</v>
      </c>
      <c r="W78" s="3" t="n">
        <v>18880.0</v>
      </c>
      <c r="X78" s="3" t="n">
        <v>20029.0</v>
      </c>
      <c r="Y78" s="3" t="n">
        <v>21266.0</v>
      </c>
      <c r="Z78" s="3" t="n">
        <v>21382.0</v>
      </c>
      <c r="AA78" s="3" t="n">
        <v>21134.0</v>
      </c>
      <c r="AB78" s="3" t="n">
        <v>21241.0</v>
      </c>
      <c r="AC78" s="3" t="n">
        <v>22096.0</v>
      </c>
      <c r="AD78" s="3" t="n">
        <v>22302.0</v>
      </c>
      <c r="AE78" s="3" t="n">
        <v>21676.0</v>
      </c>
      <c r="AF78" s="3" t="n">
        <v>22577.0</v>
      </c>
      <c r="AG78" s="3" t="n">
        <v>22944.0</v>
      </c>
      <c r="AH78" s="3" t="n">
        <v>22245.0</v>
      </c>
      <c r="AI78" s="3" t="n">
        <v>21204.0</v>
      </c>
      <c r="AJ78" s="3" t="n">
        <v>19607.0</v>
      </c>
      <c r="AK78" s="3" t="n">
        <v>18988.0</v>
      </c>
      <c r="AL78" s="3" t="n">
        <v>18225.0</v>
      </c>
      <c r="AM78" s="3" t="n">
        <v>17575.0</v>
      </c>
      <c r="AN78" s="3" t="n">
        <v>17517.0</v>
      </c>
      <c r="AO78" s="3" t="n">
        <v>16909.0</v>
      </c>
    </row>
    <row r="79" spans="1:41" x14ac:dyDescent="0.2">
      <c r="A79" s="128"/>
      <c r="B79" s="9">
        <v>70</v>
      </c>
      <c r="C79" s="3" t="n">
        <v>22140.0</v>
      </c>
      <c r="D79" s="3" t="n">
        <v>22196.0</v>
      </c>
      <c r="E79" s="3" t="n">
        <v>22276.0</v>
      </c>
      <c r="F79" s="3" t="n">
        <v>23375.0</v>
      </c>
      <c r="G79" s="3" t="n">
        <v>23245.0</v>
      </c>
      <c r="H79" s="3" t="n">
        <v>22924.0</v>
      </c>
      <c r="I79" s="3" t="n">
        <v>22437.0</v>
      </c>
      <c r="J79" s="3" t="n">
        <v>21296.0</v>
      </c>
      <c r="K79" s="3" t="n">
        <v>19347.0</v>
      </c>
      <c r="L79" s="3" t="n">
        <v>18069.0</v>
      </c>
      <c r="M79" s="3" t="n">
        <v>16781.0</v>
      </c>
      <c r="N79" s="3" t="n">
        <v>16896.0</v>
      </c>
      <c r="O79" s="3" t="n">
        <v>16075.0</v>
      </c>
      <c r="P79" s="3" t="n">
        <v>15538.0</v>
      </c>
      <c r="Q79" s="3" t="n">
        <v>15288.0</v>
      </c>
      <c r="R79" s="3" t="n">
        <v>15237.0</v>
      </c>
      <c r="S79" s="3" t="n">
        <v>15346.0</v>
      </c>
      <c r="T79" s="3" t="n">
        <v>15645.0</v>
      </c>
      <c r="U79" s="3" t="n">
        <v>16476.0</v>
      </c>
      <c r="V79" s="3" t="n">
        <v>16909.0</v>
      </c>
      <c r="W79" s="3" t="n">
        <v>17773.0</v>
      </c>
      <c r="X79" s="3" t="n">
        <v>18479.0</v>
      </c>
      <c r="Y79" s="3" t="n">
        <v>19608.0</v>
      </c>
      <c r="Z79" s="3" t="n">
        <v>20811.0</v>
      </c>
      <c r="AA79" s="3" t="n">
        <v>20933.0</v>
      </c>
      <c r="AB79" s="3" t="n">
        <v>20691.0</v>
      </c>
      <c r="AC79" s="3" t="n">
        <v>20798.0</v>
      </c>
      <c r="AD79" s="3" t="n">
        <v>21633.0</v>
      </c>
      <c r="AE79" s="3" t="n">
        <v>21842.0</v>
      </c>
      <c r="AF79" s="3" t="n">
        <v>21228.0</v>
      </c>
      <c r="AG79" s="3" t="n">
        <v>22114.0</v>
      </c>
      <c r="AH79" s="3" t="n">
        <v>22473.0</v>
      </c>
      <c r="AI79" s="3" t="n">
        <v>21790.0</v>
      </c>
      <c r="AJ79" s="3" t="n">
        <v>20780.0</v>
      </c>
      <c r="AK79" s="3" t="n">
        <v>19220.0</v>
      </c>
      <c r="AL79" s="3" t="n">
        <v>18599.0</v>
      </c>
      <c r="AM79" s="3" t="n">
        <v>17857.0</v>
      </c>
      <c r="AN79" s="3" t="n">
        <v>17223.0</v>
      </c>
      <c r="AO79" s="3" t="n">
        <v>17165.0</v>
      </c>
    </row>
    <row r="80" spans="1:41" x14ac:dyDescent="0.2">
      <c r="A80" s="128"/>
      <c r="B80" s="9">
        <v>71</v>
      </c>
      <c r="C80" s="3" t="n">
        <v>21518.0</v>
      </c>
      <c r="D80" s="3" t="n">
        <v>21562.0</v>
      </c>
      <c r="E80" s="3" t="n">
        <v>21619.0</v>
      </c>
      <c r="F80" s="3" t="n">
        <v>21702.0</v>
      </c>
      <c r="G80" s="3" t="n">
        <v>22771.0</v>
      </c>
      <c r="H80" s="3" t="n">
        <v>22653.0</v>
      </c>
      <c r="I80" s="3" t="n">
        <v>22347.0</v>
      </c>
      <c r="J80" s="3" t="n">
        <v>21872.0</v>
      </c>
      <c r="K80" s="3" t="n">
        <v>20766.0</v>
      </c>
      <c r="L80" s="3" t="n">
        <v>18868.0</v>
      </c>
      <c r="M80" s="3" t="n">
        <v>17632.0</v>
      </c>
      <c r="N80" s="3" t="n">
        <v>16378.0</v>
      </c>
      <c r="O80" s="3" t="n">
        <v>16487.0</v>
      </c>
      <c r="P80" s="3" t="n">
        <v>15692.0</v>
      </c>
      <c r="Q80" s="3" t="n">
        <v>15171.0</v>
      </c>
      <c r="R80" s="3" t="n">
        <v>14922.0</v>
      </c>
      <c r="S80" s="3" t="n">
        <v>14877.0</v>
      </c>
      <c r="T80" s="3" t="n">
        <v>14986.0</v>
      </c>
      <c r="U80" s="3" t="n">
        <v>15288.0</v>
      </c>
      <c r="V80" s="3" t="n">
        <v>16089.0</v>
      </c>
      <c r="W80" s="3" t="n">
        <v>16517.0</v>
      </c>
      <c r="X80" s="3" t="n">
        <v>17359.0</v>
      </c>
      <c r="Y80" s="3" t="n">
        <v>18056.0</v>
      </c>
      <c r="Z80" s="3" t="n">
        <v>19154.0</v>
      </c>
      <c r="AA80" s="3" t="n">
        <v>20331.0</v>
      </c>
      <c r="AB80" s="3" t="n">
        <v>20457.0</v>
      </c>
      <c r="AC80" s="3" t="n">
        <v>20224.0</v>
      </c>
      <c r="AD80" s="3" t="n">
        <v>20322.0</v>
      </c>
      <c r="AE80" s="3" t="n">
        <v>21151.0</v>
      </c>
      <c r="AF80" s="3" t="n">
        <v>21354.0</v>
      </c>
      <c r="AG80" s="3" t="n">
        <v>20753.0</v>
      </c>
      <c r="AH80" s="3" t="n">
        <v>21624.0</v>
      </c>
      <c r="AI80" s="3" t="n">
        <v>21973.0</v>
      </c>
      <c r="AJ80" s="3" t="n">
        <v>21311.0</v>
      </c>
      <c r="AK80" s="3" t="n">
        <v>20325.0</v>
      </c>
      <c r="AL80" s="3" t="n">
        <v>18801.0</v>
      </c>
      <c r="AM80" s="3" t="n">
        <v>18189.0</v>
      </c>
      <c r="AN80" s="3" t="n">
        <v>17465.0</v>
      </c>
      <c r="AO80" s="3" t="n">
        <v>16848.0</v>
      </c>
    </row>
    <row r="81" spans="1:41" x14ac:dyDescent="0.2">
      <c r="A81" s="128"/>
      <c r="B81" s="9">
        <v>72</v>
      </c>
      <c r="C81" s="3" t="n">
        <v>20246.0</v>
      </c>
      <c r="D81" s="3" t="n">
        <v>20925.0</v>
      </c>
      <c r="E81" s="3" t="n">
        <v>20977.0</v>
      </c>
      <c r="F81" s="3" t="n">
        <v>21039.0</v>
      </c>
      <c r="G81" s="3" t="n">
        <v>21119.0</v>
      </c>
      <c r="H81" s="3" t="n">
        <v>22163.0</v>
      </c>
      <c r="I81" s="3" t="n">
        <v>22058.0</v>
      </c>
      <c r="J81" s="3" t="n">
        <v>21760.0</v>
      </c>
      <c r="K81" s="3" t="n">
        <v>21303.0</v>
      </c>
      <c r="L81" s="3" t="n">
        <v>20236.0</v>
      </c>
      <c r="M81" s="3" t="n">
        <v>18379.0</v>
      </c>
      <c r="N81" s="3" t="n">
        <v>17178.0</v>
      </c>
      <c r="O81" s="3" t="n">
        <v>15969.0</v>
      </c>
      <c r="P81" s="3" t="n">
        <v>16079.0</v>
      </c>
      <c r="Q81" s="3" t="n">
        <v>15304.0</v>
      </c>
      <c r="R81" s="3" t="n">
        <v>14798.0</v>
      </c>
      <c r="S81" s="3" t="n">
        <v>14562.0</v>
      </c>
      <c r="T81" s="3" t="n">
        <v>14514.0</v>
      </c>
      <c r="U81" s="3" t="n">
        <v>14624.0</v>
      </c>
      <c r="V81" s="3" t="n">
        <v>14921.0</v>
      </c>
      <c r="W81" s="3" t="n">
        <v>15701.0</v>
      </c>
      <c r="X81" s="3" t="n">
        <v>16119.0</v>
      </c>
      <c r="Y81" s="3" t="n">
        <v>16940.0</v>
      </c>
      <c r="Z81" s="3" t="n">
        <v>17625.0</v>
      </c>
      <c r="AA81" s="3" t="n">
        <v>18687.0</v>
      </c>
      <c r="AB81" s="3" t="n">
        <v>19839.0</v>
      </c>
      <c r="AC81" s="3" t="n">
        <v>19969.0</v>
      </c>
      <c r="AD81" s="3" t="n">
        <v>19740.0</v>
      </c>
      <c r="AE81" s="3" t="n">
        <v>19832.0</v>
      </c>
      <c r="AF81" s="3" t="n">
        <v>20643.0</v>
      </c>
      <c r="AG81" s="3" t="n">
        <v>20845.0</v>
      </c>
      <c r="AH81" s="3" t="n">
        <v>20259.0</v>
      </c>
      <c r="AI81" s="3" t="n">
        <v>21113.0</v>
      </c>
      <c r="AJ81" s="3" t="n">
        <v>21458.0</v>
      </c>
      <c r="AK81" s="3" t="n">
        <v>20817.0</v>
      </c>
      <c r="AL81" s="3" t="n">
        <v>19856.0</v>
      </c>
      <c r="AM81" s="3" t="n">
        <v>18366.0</v>
      </c>
      <c r="AN81" s="3" t="n">
        <v>17771.0</v>
      </c>
      <c r="AO81" s="3" t="n">
        <v>17066.0</v>
      </c>
    </row>
    <row r="82" spans="1:41" x14ac:dyDescent="0.2">
      <c r="A82" s="128"/>
      <c r="B82" s="9">
        <v>73</v>
      </c>
      <c r="C82" s="3" t="n">
        <v>18954.0</v>
      </c>
      <c r="D82" s="3" t="n">
        <v>19643.0</v>
      </c>
      <c r="E82" s="3" t="n">
        <v>20316.0</v>
      </c>
      <c r="F82" s="3" t="n">
        <v>20370.0</v>
      </c>
      <c r="G82" s="3" t="n">
        <v>20432.0</v>
      </c>
      <c r="H82" s="3" t="n">
        <v>20524.0</v>
      </c>
      <c r="I82" s="3" t="n">
        <v>21529.0</v>
      </c>
      <c r="J82" s="3" t="n">
        <v>21431.0</v>
      </c>
      <c r="K82" s="3" t="n">
        <v>21143.0</v>
      </c>
      <c r="L82" s="3" t="n">
        <v>20709.0</v>
      </c>
      <c r="M82" s="3" t="n">
        <v>19680.0</v>
      </c>
      <c r="N82" s="3" t="n">
        <v>17877.0</v>
      </c>
      <c r="O82" s="3" t="n">
        <v>16721.0</v>
      </c>
      <c r="P82" s="3" t="n">
        <v>15544.0</v>
      </c>
      <c r="Q82" s="3" t="n">
        <v>15663.0</v>
      </c>
      <c r="R82" s="3" t="n">
        <v>14907.0</v>
      </c>
      <c r="S82" s="3" t="n">
        <v>14414.0</v>
      </c>
      <c r="T82" s="3" t="n">
        <v>14194.0</v>
      </c>
      <c r="U82" s="3" t="n">
        <v>14148.0</v>
      </c>
      <c r="V82" s="3" t="n">
        <v>14255.0</v>
      </c>
      <c r="W82" s="3" t="n">
        <v>14548.0</v>
      </c>
      <c r="X82" s="3" t="n">
        <v>15305.0</v>
      </c>
      <c r="Y82" s="3" t="n">
        <v>15712.0</v>
      </c>
      <c r="Z82" s="3" t="n">
        <v>16510.0</v>
      </c>
      <c r="AA82" s="3" t="n">
        <v>17182.0</v>
      </c>
      <c r="AB82" s="3" t="n">
        <v>18208.0</v>
      </c>
      <c r="AC82" s="3" t="n">
        <v>19331.0</v>
      </c>
      <c r="AD82" s="3" t="n">
        <v>19462.0</v>
      </c>
      <c r="AE82" s="3" t="n">
        <v>19241.0</v>
      </c>
      <c r="AF82" s="3" t="n">
        <v>19330.0</v>
      </c>
      <c r="AG82" s="3" t="n">
        <v>20123.0</v>
      </c>
      <c r="AH82" s="3" t="n">
        <v>20321.0</v>
      </c>
      <c r="AI82" s="3" t="n">
        <v>19752.0</v>
      </c>
      <c r="AJ82" s="3" t="n">
        <v>20589.0</v>
      </c>
      <c r="AK82" s="3" t="n">
        <v>20922.0</v>
      </c>
      <c r="AL82" s="3" t="n">
        <v>20302.0</v>
      </c>
      <c r="AM82" s="3" t="n">
        <v>19367.0</v>
      </c>
      <c r="AN82" s="3" t="n">
        <v>17918.0</v>
      </c>
      <c r="AO82" s="3" t="n">
        <v>17338.0</v>
      </c>
    </row>
    <row r="83" spans="1:41" x14ac:dyDescent="0.2">
      <c r="A83" s="128"/>
      <c r="B83" s="9">
        <v>74</v>
      </c>
      <c r="C83" s="3" t="n">
        <v>17493.0</v>
      </c>
      <c r="D83" s="3" t="n">
        <v>18358.0</v>
      </c>
      <c r="E83" s="3" t="n">
        <v>19025.0</v>
      </c>
      <c r="F83" s="3" t="n">
        <v>19682.0</v>
      </c>
      <c r="G83" s="3" t="n">
        <v>19740.0</v>
      </c>
      <c r="H83" s="3" t="n">
        <v>19807.0</v>
      </c>
      <c r="I83" s="3" t="n">
        <v>19898.0</v>
      </c>
      <c r="J83" s="3" t="n">
        <v>20874.0</v>
      </c>
      <c r="K83" s="3" t="n">
        <v>20784.0</v>
      </c>
      <c r="L83" s="3" t="n">
        <v>20508.0</v>
      </c>
      <c r="M83" s="3" t="n">
        <v>20092.0</v>
      </c>
      <c r="N83" s="3" t="n">
        <v>19097.0</v>
      </c>
      <c r="O83" s="3" t="n">
        <v>17349.0</v>
      </c>
      <c r="P83" s="3" t="n">
        <v>16229.0</v>
      </c>
      <c r="Q83" s="3" t="n">
        <v>15099.0</v>
      </c>
      <c r="R83" s="3" t="n">
        <v>15211.0</v>
      </c>
      <c r="S83" s="3" t="n">
        <v>14482.0</v>
      </c>
      <c r="T83" s="3" t="n">
        <v>14005.0</v>
      </c>
      <c r="U83" s="3" t="n">
        <v>13800.0</v>
      </c>
      <c r="V83" s="3" t="n">
        <v>13752.0</v>
      </c>
      <c r="W83" s="3" t="n">
        <v>13865.0</v>
      </c>
      <c r="X83" s="3" t="n">
        <v>14144.0</v>
      </c>
      <c r="Y83" s="3" t="n">
        <v>14880.0</v>
      </c>
      <c r="Z83" s="3" t="n">
        <v>15279.0</v>
      </c>
      <c r="AA83" s="3" t="n">
        <v>16059.0</v>
      </c>
      <c r="AB83" s="3" t="n">
        <v>16717.0</v>
      </c>
      <c r="AC83" s="3" t="n">
        <v>17705.0</v>
      </c>
      <c r="AD83" s="3" t="n">
        <v>18787.0</v>
      </c>
      <c r="AE83" s="3" t="n">
        <v>18924.0</v>
      </c>
      <c r="AF83" s="3" t="n">
        <v>18707.0</v>
      </c>
      <c r="AG83" s="3" t="n">
        <v>18798.0</v>
      </c>
      <c r="AH83" s="3" t="n">
        <v>19576.0</v>
      </c>
      <c r="AI83" s="3" t="n">
        <v>19770.0</v>
      </c>
      <c r="AJ83" s="3" t="n">
        <v>19212.0</v>
      </c>
      <c r="AK83" s="3" t="n">
        <v>20034.0</v>
      </c>
      <c r="AL83" s="3" t="n">
        <v>20359.0</v>
      </c>
      <c r="AM83" s="3" t="n">
        <v>19760.0</v>
      </c>
      <c r="AN83" s="3" t="n">
        <v>18842.0</v>
      </c>
      <c r="AO83" s="3" t="n">
        <v>17440.0</v>
      </c>
    </row>
    <row r="84" spans="1:41" x14ac:dyDescent="0.2">
      <c r="A84" s="128"/>
      <c r="B84" s="9">
        <v>75</v>
      </c>
      <c r="C84" s="3" t="n">
        <v>15088.0</v>
      </c>
      <c r="D84" s="3" t="n">
        <v>16881.0</v>
      </c>
      <c r="E84" s="3" t="n">
        <v>17721.0</v>
      </c>
      <c r="F84" s="3" t="n">
        <v>18379.0</v>
      </c>
      <c r="G84" s="3" t="n">
        <v>19019.0</v>
      </c>
      <c r="H84" s="3" t="n">
        <v>19086.0</v>
      </c>
      <c r="I84" s="3" t="n">
        <v>19155.0</v>
      </c>
      <c r="J84" s="3" t="n">
        <v>19247.0</v>
      </c>
      <c r="K84" s="3" t="n">
        <v>20189.0</v>
      </c>
      <c r="L84" s="3" t="n">
        <v>20106.0</v>
      </c>
      <c r="M84" s="3" t="n">
        <v>19844.0</v>
      </c>
      <c r="N84" s="3" t="n">
        <v>19445.0</v>
      </c>
      <c r="O84" s="3" t="n">
        <v>18491.0</v>
      </c>
      <c r="P84" s="3" t="n">
        <v>16793.0</v>
      </c>
      <c r="Q84" s="3" t="n">
        <v>15717.0</v>
      </c>
      <c r="R84" s="3" t="n">
        <v>14624.0</v>
      </c>
      <c r="S84" s="3" t="n">
        <v>14736.0</v>
      </c>
      <c r="T84" s="3" t="n">
        <v>14031.0</v>
      </c>
      <c r="U84" s="3" t="n">
        <v>13573.0</v>
      </c>
      <c r="V84" s="3" t="n">
        <v>13375.0</v>
      </c>
      <c r="W84" s="3" t="n">
        <v>13328.0</v>
      </c>
      <c r="X84" s="3" t="n">
        <v>13438.0</v>
      </c>
      <c r="Y84" s="3" t="n">
        <v>13714.0</v>
      </c>
      <c r="Z84" s="3" t="n">
        <v>14422.0</v>
      </c>
      <c r="AA84" s="3" t="n">
        <v>14811.0</v>
      </c>
      <c r="AB84" s="3" t="n">
        <v>15571.0</v>
      </c>
      <c r="AC84" s="3" t="n">
        <v>16210.0</v>
      </c>
      <c r="AD84" s="3" t="n">
        <v>17172.0</v>
      </c>
      <c r="AE84" s="3" t="n">
        <v>18223.0</v>
      </c>
      <c r="AF84" s="3" t="n">
        <v>18357.0</v>
      </c>
      <c r="AG84" s="3" t="n">
        <v>18145.0</v>
      </c>
      <c r="AH84" s="3" t="n">
        <v>18238.0</v>
      </c>
      <c r="AI84" s="3" t="n">
        <v>18994.0</v>
      </c>
      <c r="AJ84" s="3" t="n">
        <v>19185.0</v>
      </c>
      <c r="AK84" s="3" t="n">
        <v>18646.0</v>
      </c>
      <c r="AL84" s="3" t="n">
        <v>19440.0</v>
      </c>
      <c r="AM84" s="3" t="n">
        <v>19754.0</v>
      </c>
      <c r="AN84" s="3" t="n">
        <v>19184.0</v>
      </c>
      <c r="AO84" s="3" t="n">
        <v>18294.0</v>
      </c>
    </row>
    <row r="85" spans="1:41" x14ac:dyDescent="0.2">
      <c r="A85" s="128"/>
      <c r="B85" s="9">
        <v>76</v>
      </c>
      <c r="C85" s="3" t="n">
        <v>12957.0</v>
      </c>
      <c r="D85" s="3" t="n">
        <v>14525.0</v>
      </c>
      <c r="E85" s="3" t="n">
        <v>16252.0</v>
      </c>
      <c r="F85" s="3" t="n">
        <v>17062.0</v>
      </c>
      <c r="G85" s="3" t="n">
        <v>17698.0</v>
      </c>
      <c r="H85" s="3" t="n">
        <v>18334.0</v>
      </c>
      <c r="I85" s="3" t="n">
        <v>18400.0</v>
      </c>
      <c r="J85" s="3" t="n">
        <v>18471.0</v>
      </c>
      <c r="K85" s="3" t="n">
        <v>18561.0</v>
      </c>
      <c r="L85" s="3" t="n">
        <v>19469.0</v>
      </c>
      <c r="M85" s="3" t="n">
        <v>19402.0</v>
      </c>
      <c r="N85" s="3" t="n">
        <v>19152.0</v>
      </c>
      <c r="O85" s="3" t="n">
        <v>18768.0</v>
      </c>
      <c r="P85" s="3" t="n">
        <v>17850.0</v>
      </c>
      <c r="Q85" s="3" t="n">
        <v>16213.0</v>
      </c>
      <c r="R85" s="3" t="n">
        <v>15178.0</v>
      </c>
      <c r="S85" s="3" t="n">
        <v>14128.0</v>
      </c>
      <c r="T85" s="3" t="n">
        <v>14238.0</v>
      </c>
      <c r="U85" s="3" t="n">
        <v>13557.0</v>
      </c>
      <c r="V85" s="3" t="n">
        <v>13117.0</v>
      </c>
      <c r="W85" s="3" t="n">
        <v>12932.0</v>
      </c>
      <c r="X85" s="3" t="n">
        <v>12886.0</v>
      </c>
      <c r="Y85" s="3" t="n">
        <v>12994.0</v>
      </c>
      <c r="Z85" s="3" t="n">
        <v>13264.0</v>
      </c>
      <c r="AA85" s="3" t="n">
        <v>13944.0</v>
      </c>
      <c r="AB85" s="3" t="n">
        <v>14327.0</v>
      </c>
      <c r="AC85" s="3" t="n">
        <v>15061.0</v>
      </c>
      <c r="AD85" s="3" t="n">
        <v>15682.0</v>
      </c>
      <c r="AE85" s="3" t="n">
        <v>16610.0</v>
      </c>
      <c r="AF85" s="3" t="n">
        <v>17631.0</v>
      </c>
      <c r="AG85" s="3" t="n">
        <v>17770.0</v>
      </c>
      <c r="AH85" s="3" t="n">
        <v>17565.0</v>
      </c>
      <c r="AI85" s="3" t="n">
        <v>17656.0</v>
      </c>
      <c r="AJ85" s="3" t="n">
        <v>18389.0</v>
      </c>
      <c r="AK85" s="3" t="n">
        <v>18580.0</v>
      </c>
      <c r="AL85" s="3" t="n">
        <v>18055.0</v>
      </c>
      <c r="AM85" s="3" t="n">
        <v>18831.0</v>
      </c>
      <c r="AN85" s="3" t="n">
        <v>19132.0</v>
      </c>
      <c r="AO85" s="3" t="n">
        <v>18588.0</v>
      </c>
    </row>
    <row r="86" spans="1:41" x14ac:dyDescent="0.2">
      <c r="A86" s="128"/>
      <c r="B86" s="9">
        <v>77</v>
      </c>
      <c r="C86" s="3" t="n">
        <v>8054.0</v>
      </c>
      <c r="D86" s="3" t="n">
        <v>12436.0</v>
      </c>
      <c r="E86" s="3" t="n">
        <v>13941.0</v>
      </c>
      <c r="F86" s="3" t="n">
        <v>15599.0</v>
      </c>
      <c r="G86" s="3" t="n">
        <v>16377.0</v>
      </c>
      <c r="H86" s="3" t="n">
        <v>17004.0</v>
      </c>
      <c r="I86" s="3" t="n">
        <v>17618.0</v>
      </c>
      <c r="J86" s="3" t="n">
        <v>17693.0</v>
      </c>
      <c r="K86" s="3" t="n">
        <v>17767.0</v>
      </c>
      <c r="L86" s="3" t="n">
        <v>17854.0</v>
      </c>
      <c r="M86" s="3" t="n">
        <v>18728.0</v>
      </c>
      <c r="N86" s="3" t="n">
        <v>18667.0</v>
      </c>
      <c r="O86" s="3" t="n">
        <v>18434.0</v>
      </c>
      <c r="P86" s="3" t="n">
        <v>18064.0</v>
      </c>
      <c r="Q86" s="3" t="n">
        <v>17190.0</v>
      </c>
      <c r="R86" s="3" t="n">
        <v>15606.0</v>
      </c>
      <c r="S86" s="3" t="n">
        <v>14614.0</v>
      </c>
      <c r="T86" s="3" t="n">
        <v>13606.0</v>
      </c>
      <c r="U86" s="3" t="n">
        <v>13719.0</v>
      </c>
      <c r="V86" s="3" t="n">
        <v>13064.0</v>
      </c>
      <c r="W86" s="3" t="n">
        <v>12642.0</v>
      </c>
      <c r="X86" s="3" t="n">
        <v>12464.0</v>
      </c>
      <c r="Y86" s="3" t="n">
        <v>12418.0</v>
      </c>
      <c r="Z86" s="3" t="n">
        <v>12531.0</v>
      </c>
      <c r="AA86" s="3" t="n">
        <v>12785.0</v>
      </c>
      <c r="AB86" s="3" t="n">
        <v>13446.0</v>
      </c>
      <c r="AC86" s="3" t="n">
        <v>13818.0</v>
      </c>
      <c r="AD86" s="3" t="n">
        <v>14528.0</v>
      </c>
      <c r="AE86" s="3" t="n">
        <v>15125.0</v>
      </c>
      <c r="AF86" s="3" t="n">
        <v>16026.0</v>
      </c>
      <c r="AG86" s="3" t="n">
        <v>17014.0</v>
      </c>
      <c r="AH86" s="3" t="n">
        <v>17151.0</v>
      </c>
      <c r="AI86" s="3" t="n">
        <v>16950.0</v>
      </c>
      <c r="AJ86" s="3" t="n">
        <v>17045.0</v>
      </c>
      <c r="AK86" s="3" t="n">
        <v>17750.0</v>
      </c>
      <c r="AL86" s="3" t="n">
        <v>17937.0</v>
      </c>
      <c r="AM86" s="3" t="n">
        <v>17433.0</v>
      </c>
      <c r="AN86" s="3" t="n">
        <v>18186.0</v>
      </c>
      <c r="AO86" s="3" t="n">
        <v>18473.0</v>
      </c>
    </row>
    <row r="87" spans="1:41" x14ac:dyDescent="0.2">
      <c r="A87" s="128"/>
      <c r="B87" s="9">
        <v>78</v>
      </c>
      <c r="C87" s="3" t="n">
        <v>7595.0</v>
      </c>
      <c r="D87" s="3" t="n">
        <v>7699.0</v>
      </c>
      <c r="E87" s="3" t="n">
        <v>11891.0</v>
      </c>
      <c r="F87" s="3" t="n">
        <v>13335.0</v>
      </c>
      <c r="G87" s="3" t="n">
        <v>14929.0</v>
      </c>
      <c r="H87" s="3" t="n">
        <v>15682.0</v>
      </c>
      <c r="I87" s="3" t="n">
        <v>16283.0</v>
      </c>
      <c r="J87" s="3" t="n">
        <v>16877.0</v>
      </c>
      <c r="K87" s="3" t="n">
        <v>16959.0</v>
      </c>
      <c r="L87" s="3" t="n">
        <v>17038.0</v>
      </c>
      <c r="M87" s="3" t="n">
        <v>17122.0</v>
      </c>
      <c r="N87" s="3" t="n">
        <v>17959.0</v>
      </c>
      <c r="O87" s="3" t="n">
        <v>17911.0</v>
      </c>
      <c r="P87" s="3" t="n">
        <v>17694.0</v>
      </c>
      <c r="Q87" s="3" t="n">
        <v>17343.0</v>
      </c>
      <c r="R87" s="3" t="n">
        <v>16508.0</v>
      </c>
      <c r="S87" s="3" t="n">
        <v>14982.0</v>
      </c>
      <c r="T87" s="3" t="n">
        <v>14037.0</v>
      </c>
      <c r="U87" s="3" t="n">
        <v>13068.0</v>
      </c>
      <c r="V87" s="3" t="n">
        <v>13185.0</v>
      </c>
      <c r="W87" s="3" t="n">
        <v>12554.0</v>
      </c>
      <c r="X87" s="3" t="n">
        <v>12150.0</v>
      </c>
      <c r="Y87" s="3" t="n">
        <v>11986.0</v>
      </c>
      <c r="Z87" s="3" t="n">
        <v>11936.0</v>
      </c>
      <c r="AA87" s="3" t="n">
        <v>12048.0</v>
      </c>
      <c r="AB87" s="3" t="n">
        <v>12295.0</v>
      </c>
      <c r="AC87" s="3" t="n">
        <v>12929.0</v>
      </c>
      <c r="AD87" s="3" t="n">
        <v>13287.0</v>
      </c>
      <c r="AE87" s="3" t="n">
        <v>13979.0</v>
      </c>
      <c r="AF87" s="3" t="n">
        <v>14550.0</v>
      </c>
      <c r="AG87" s="3" t="n">
        <v>15415.0</v>
      </c>
      <c r="AH87" s="3" t="n">
        <v>16370.0</v>
      </c>
      <c r="AI87" s="3" t="n">
        <v>16500.0</v>
      </c>
      <c r="AJ87" s="3" t="n">
        <v>16317.0</v>
      </c>
      <c r="AK87" s="3" t="n">
        <v>16401.0</v>
      </c>
      <c r="AL87" s="3" t="n">
        <v>17093.0</v>
      </c>
      <c r="AM87" s="3" t="n">
        <v>17270.0</v>
      </c>
      <c r="AN87" s="3" t="n">
        <v>16792.0</v>
      </c>
      <c r="AO87" s="3" t="n">
        <v>17518.0</v>
      </c>
    </row>
    <row r="88" spans="1:41" x14ac:dyDescent="0.2">
      <c r="A88" s="128"/>
      <c r="B88" s="9">
        <v>79</v>
      </c>
      <c r="C88" s="3" t="n">
        <v>7077.0</v>
      </c>
      <c r="D88" s="3" t="n">
        <v>7239.0</v>
      </c>
      <c r="E88" s="3" t="n">
        <v>7353.0</v>
      </c>
      <c r="F88" s="3" t="n">
        <v>11347.0</v>
      </c>
      <c r="G88" s="3" t="n">
        <v>12722.0</v>
      </c>
      <c r="H88" s="3" t="n">
        <v>14247.0</v>
      </c>
      <c r="I88" s="3" t="n">
        <v>14973.0</v>
      </c>
      <c r="J88" s="3" t="n">
        <v>15547.0</v>
      </c>
      <c r="K88" s="3" t="n">
        <v>16125.0</v>
      </c>
      <c r="L88" s="3" t="n">
        <v>16208.0</v>
      </c>
      <c r="M88" s="3" t="n">
        <v>16282.0</v>
      </c>
      <c r="N88" s="3" t="n">
        <v>16372.0</v>
      </c>
      <c r="O88" s="3" t="n">
        <v>17173.0</v>
      </c>
      <c r="P88" s="3" t="n">
        <v>17131.0</v>
      </c>
      <c r="Q88" s="3" t="n">
        <v>16934.0</v>
      </c>
      <c r="R88" s="3" t="n">
        <v>16593.0</v>
      </c>
      <c r="S88" s="3" t="n">
        <v>15808.0</v>
      </c>
      <c r="T88" s="3" t="n">
        <v>14343.0</v>
      </c>
      <c r="U88" s="3" t="n">
        <v>13445.0</v>
      </c>
      <c r="V88" s="3" t="n">
        <v>12521.0</v>
      </c>
      <c r="W88" s="3" t="n">
        <v>12631.0</v>
      </c>
      <c r="X88" s="3" t="n">
        <v>12033.0</v>
      </c>
      <c r="Y88" s="3" t="n">
        <v>11646.0</v>
      </c>
      <c r="Z88" s="3" t="n">
        <v>11493.0</v>
      </c>
      <c r="AA88" s="3" t="n">
        <v>11443.0</v>
      </c>
      <c r="AB88" s="3" t="n">
        <v>11556.0</v>
      </c>
      <c r="AC88" s="3" t="n">
        <v>11795.0</v>
      </c>
      <c r="AD88" s="3" t="n">
        <v>12400.0</v>
      </c>
      <c r="AE88" s="3" t="n">
        <v>12746.0</v>
      </c>
      <c r="AF88" s="3" t="n">
        <v>13403.0</v>
      </c>
      <c r="AG88" s="3" t="n">
        <v>13957.0</v>
      </c>
      <c r="AH88" s="3" t="n">
        <v>14793.0</v>
      </c>
      <c r="AI88" s="3" t="n">
        <v>15711.0</v>
      </c>
      <c r="AJ88" s="3" t="n">
        <v>15837.0</v>
      </c>
      <c r="AK88" s="3" t="n">
        <v>15664.0</v>
      </c>
      <c r="AL88" s="3" t="n">
        <v>15745.0</v>
      </c>
      <c r="AM88" s="3" t="n">
        <v>16413.0</v>
      </c>
      <c r="AN88" s="3" t="n">
        <v>16582.0</v>
      </c>
      <c r="AO88" s="3" t="n">
        <v>16127.0</v>
      </c>
    </row>
    <row r="89" spans="1:41" x14ac:dyDescent="0.2">
      <c r="A89" s="128"/>
      <c r="B89" s="9">
        <v>80</v>
      </c>
      <c r="C89" s="3" t="n">
        <v>6762.0</v>
      </c>
      <c r="D89" s="3" t="n">
        <v>6716.0</v>
      </c>
      <c r="E89" s="3" t="n">
        <v>6875.0</v>
      </c>
      <c r="F89" s="3" t="n">
        <v>6990.0</v>
      </c>
      <c r="G89" s="3" t="n">
        <v>10771.0</v>
      </c>
      <c r="H89" s="3" t="n">
        <v>12085.0</v>
      </c>
      <c r="I89" s="3" t="n">
        <v>13537.0</v>
      </c>
      <c r="J89" s="3" t="n">
        <v>14229.0</v>
      </c>
      <c r="K89" s="3" t="n">
        <v>14779.0</v>
      </c>
      <c r="L89" s="3" t="n">
        <v>15336.0</v>
      </c>
      <c r="M89" s="3" t="n">
        <v>15422.0</v>
      </c>
      <c r="N89" s="3" t="n">
        <v>15494.0</v>
      </c>
      <c r="O89" s="3" t="n">
        <v>15580.0</v>
      </c>
      <c r="P89" s="3" t="n">
        <v>16344.0</v>
      </c>
      <c r="Q89" s="3" t="n">
        <v>16312.0</v>
      </c>
      <c r="R89" s="3" t="n">
        <v>16129.0</v>
      </c>
      <c r="S89" s="3" t="n">
        <v>15810.0</v>
      </c>
      <c r="T89" s="3" t="n">
        <v>15064.0</v>
      </c>
      <c r="U89" s="3" t="n">
        <v>13676.0</v>
      </c>
      <c r="V89" s="3" t="n">
        <v>12817.0</v>
      </c>
      <c r="W89" s="3" t="n">
        <v>11946.0</v>
      </c>
      <c r="X89" s="3" t="n">
        <v>12046.0</v>
      </c>
      <c r="Y89" s="3" t="n">
        <v>11483.0</v>
      </c>
      <c r="Z89" s="3" t="n">
        <v>11116.0</v>
      </c>
      <c r="AA89" s="3" t="n">
        <v>10976.0</v>
      </c>
      <c r="AB89" s="3" t="n">
        <v>10928.0</v>
      </c>
      <c r="AC89" s="3" t="n">
        <v>11037.0</v>
      </c>
      <c r="AD89" s="3" t="n">
        <v>11264.0</v>
      </c>
      <c r="AE89" s="3" t="n">
        <v>11842.0</v>
      </c>
      <c r="AF89" s="3" t="n">
        <v>12175.0</v>
      </c>
      <c r="AG89" s="3" t="n">
        <v>12801.0</v>
      </c>
      <c r="AH89" s="3" t="n">
        <v>13339.0</v>
      </c>
      <c r="AI89" s="3" t="n">
        <v>14132.0</v>
      </c>
      <c r="AJ89" s="3" t="n">
        <v>15011.0</v>
      </c>
      <c r="AK89" s="3" t="n">
        <v>15130.0</v>
      </c>
      <c r="AL89" s="3" t="n">
        <v>14974.0</v>
      </c>
      <c r="AM89" s="3" t="n">
        <v>15054.0</v>
      </c>
      <c r="AN89" s="3" t="n">
        <v>15688.0</v>
      </c>
      <c r="AO89" s="3" t="n">
        <v>15852.0</v>
      </c>
    </row>
    <row r="90" spans="1:41" x14ac:dyDescent="0.2">
      <c r="A90" s="128"/>
      <c r="B90" s="9">
        <v>81</v>
      </c>
      <c r="C90" s="3" t="n">
        <v>6646.0</v>
      </c>
      <c r="D90" s="3" t="n">
        <v>6376.0</v>
      </c>
      <c r="E90" s="3" t="n">
        <v>6344.0</v>
      </c>
      <c r="F90" s="3" t="n">
        <v>6489.0</v>
      </c>
      <c r="G90" s="3" t="n">
        <v>6606.0</v>
      </c>
      <c r="H90" s="3" t="n">
        <v>10171.0</v>
      </c>
      <c r="I90" s="3" t="n">
        <v>11417.0</v>
      </c>
      <c r="J90" s="3" t="n">
        <v>12790.0</v>
      </c>
      <c r="K90" s="3" t="n">
        <v>13442.0</v>
      </c>
      <c r="L90" s="3" t="n">
        <v>13972.0</v>
      </c>
      <c r="M90" s="3" t="n">
        <v>14498.0</v>
      </c>
      <c r="N90" s="3" t="n">
        <v>14585.0</v>
      </c>
      <c r="O90" s="3" t="n">
        <v>14664.0</v>
      </c>
      <c r="P90" s="3" t="n">
        <v>14748.0</v>
      </c>
      <c r="Q90" s="3" t="n">
        <v>15469.0</v>
      </c>
      <c r="R90" s="3" t="n">
        <v>15443.0</v>
      </c>
      <c r="S90" s="3" t="n">
        <v>15283.0</v>
      </c>
      <c r="T90" s="3" t="n">
        <v>14978.0</v>
      </c>
      <c r="U90" s="3" t="n">
        <v>14280.0</v>
      </c>
      <c r="V90" s="3" t="n">
        <v>12966.0</v>
      </c>
      <c r="W90" s="3" t="n">
        <v>12157.0</v>
      </c>
      <c r="X90" s="3" t="n">
        <v>11329.0</v>
      </c>
      <c r="Y90" s="3" t="n">
        <v>11429.0</v>
      </c>
      <c r="Z90" s="3" t="n">
        <v>10897.0</v>
      </c>
      <c r="AA90" s="3" t="n">
        <v>10545.0</v>
      </c>
      <c r="AB90" s="3" t="n">
        <v>10419.0</v>
      </c>
      <c r="AC90" s="3" t="n">
        <v>10371.0</v>
      </c>
      <c r="AD90" s="3" t="n">
        <v>10475.0</v>
      </c>
      <c r="AE90" s="3" t="n">
        <v>10696.0</v>
      </c>
      <c r="AF90" s="3" t="n">
        <v>11251.0</v>
      </c>
      <c r="AG90" s="3" t="n">
        <v>11566.0</v>
      </c>
      <c r="AH90" s="3" t="n">
        <v>12163.0</v>
      </c>
      <c r="AI90" s="3" t="n">
        <v>12677.0</v>
      </c>
      <c r="AJ90" s="3" t="n">
        <v>13434.0</v>
      </c>
      <c r="AK90" s="3" t="n">
        <v>14268.0</v>
      </c>
      <c r="AL90" s="3" t="n">
        <v>14377.0</v>
      </c>
      <c r="AM90" s="3" t="n">
        <v>14232.0</v>
      </c>
      <c r="AN90" s="3" t="n">
        <v>14308.0</v>
      </c>
      <c r="AO90" s="3" t="n">
        <v>14916.0</v>
      </c>
    </row>
    <row r="91" spans="1:41" x14ac:dyDescent="0.2">
      <c r="A91" s="128"/>
      <c r="B91" s="9">
        <v>82</v>
      </c>
      <c r="C91" s="3" t="n">
        <v>6701.0</v>
      </c>
      <c r="D91" s="3" t="n">
        <v>6216.0</v>
      </c>
      <c r="E91" s="3" t="n">
        <v>5969.0</v>
      </c>
      <c r="F91" s="3" t="n">
        <v>5939.0</v>
      </c>
      <c r="G91" s="3" t="n">
        <v>6073.0</v>
      </c>
      <c r="H91" s="3" t="n">
        <v>6193.0</v>
      </c>
      <c r="I91" s="3" t="n">
        <v>9527.0</v>
      </c>
      <c r="J91" s="3" t="n">
        <v>10706.0</v>
      </c>
      <c r="K91" s="3" t="n">
        <v>11996.0</v>
      </c>
      <c r="L91" s="3" t="n">
        <v>12612.0</v>
      </c>
      <c r="M91" s="3" t="n">
        <v>13113.0</v>
      </c>
      <c r="N91" s="3" t="n">
        <v>13619.0</v>
      </c>
      <c r="O91" s="3" t="n">
        <v>13707.0</v>
      </c>
      <c r="P91" s="3" t="n">
        <v>13778.0</v>
      </c>
      <c r="Q91" s="3" t="n">
        <v>13870.0</v>
      </c>
      <c r="R91" s="3" t="n">
        <v>14539.0</v>
      </c>
      <c r="S91" s="3" t="n">
        <v>14528.0</v>
      </c>
      <c r="T91" s="3" t="n">
        <v>14376.0</v>
      </c>
      <c r="U91" s="3" t="n">
        <v>14098.0</v>
      </c>
      <c r="V91" s="3" t="n">
        <v>13450.0</v>
      </c>
      <c r="W91" s="3" t="n">
        <v>12210.0</v>
      </c>
      <c r="X91" s="3" t="n">
        <v>11452.0</v>
      </c>
      <c r="Y91" s="3" t="n">
        <v>10673.0</v>
      </c>
      <c r="Z91" s="3" t="n">
        <v>10772.0</v>
      </c>
      <c r="AA91" s="3" t="n">
        <v>10264.0</v>
      </c>
      <c r="AB91" s="3" t="n">
        <v>9935.0</v>
      </c>
      <c r="AC91" s="3" t="n">
        <v>9817.0</v>
      </c>
      <c r="AD91" s="3" t="n">
        <v>9774.0</v>
      </c>
      <c r="AE91" s="3" t="n">
        <v>9883.0</v>
      </c>
      <c r="AF91" s="3" t="n">
        <v>10086.0</v>
      </c>
      <c r="AG91" s="3" t="n">
        <v>10617.0</v>
      </c>
      <c r="AH91" s="3" t="n">
        <v>10915.0</v>
      </c>
      <c r="AI91" s="3" t="n">
        <v>11477.0</v>
      </c>
      <c r="AJ91" s="3" t="n">
        <v>11965.0</v>
      </c>
      <c r="AK91" s="3" t="n">
        <v>12691.0</v>
      </c>
      <c r="AL91" s="3" t="n">
        <v>13477.0</v>
      </c>
      <c r="AM91" s="3" t="n">
        <v>13593.0</v>
      </c>
      <c r="AN91" s="3" t="n">
        <v>13454.0</v>
      </c>
      <c r="AO91" s="3" t="n">
        <v>13524.0</v>
      </c>
    </row>
    <row r="92" spans="1:41" x14ac:dyDescent="0.2">
      <c r="A92" s="128"/>
      <c r="B92" s="9">
        <v>83</v>
      </c>
      <c r="C92" s="3" t="n">
        <v>6056.0</v>
      </c>
      <c r="D92" s="3" t="n">
        <v>6216.0</v>
      </c>
      <c r="E92" s="3" t="n">
        <v>5764.0</v>
      </c>
      <c r="F92" s="3" t="n">
        <v>5541.0</v>
      </c>
      <c r="G92" s="3" t="n">
        <v>5514.0</v>
      </c>
      <c r="H92" s="3" t="n">
        <v>5642.0</v>
      </c>
      <c r="I92" s="3" t="n">
        <v>5756.0</v>
      </c>
      <c r="J92" s="3" t="n">
        <v>8849.0</v>
      </c>
      <c r="K92" s="3" t="n">
        <v>9947.0</v>
      </c>
      <c r="L92" s="3" t="n">
        <v>11159.0</v>
      </c>
      <c r="M92" s="3" t="n">
        <v>11733.0</v>
      </c>
      <c r="N92" s="3" t="n">
        <v>12200.0</v>
      </c>
      <c r="O92" s="3" t="n">
        <v>12681.0</v>
      </c>
      <c r="P92" s="3" t="n">
        <v>12770.0</v>
      </c>
      <c r="Q92" s="3" t="n">
        <v>12839.0</v>
      </c>
      <c r="R92" s="3" t="n">
        <v>12921.0</v>
      </c>
      <c r="S92" s="3" t="n">
        <v>13553.0</v>
      </c>
      <c r="T92" s="3" t="n">
        <v>13547.0</v>
      </c>
      <c r="U92" s="3" t="n">
        <v>13413.0</v>
      </c>
      <c r="V92" s="3" t="n">
        <v>13159.0</v>
      </c>
      <c r="W92" s="3" t="n">
        <v>12560.0</v>
      </c>
      <c r="X92" s="3" t="n">
        <v>11396.0</v>
      </c>
      <c r="Y92" s="3" t="n">
        <v>10698.0</v>
      </c>
      <c r="Z92" s="3" t="n">
        <v>9967.0</v>
      </c>
      <c r="AA92" s="3" t="n">
        <v>10066.0</v>
      </c>
      <c r="AB92" s="3" t="n">
        <v>9595.0</v>
      </c>
      <c r="AC92" s="3" t="n">
        <v>9287.0</v>
      </c>
      <c r="AD92" s="3" t="n">
        <v>9180.0</v>
      </c>
      <c r="AE92" s="3" t="n">
        <v>9142.0</v>
      </c>
      <c r="AF92" s="3" t="n">
        <v>9243.0</v>
      </c>
      <c r="AG92" s="3" t="n">
        <v>9433.0</v>
      </c>
      <c r="AH92" s="3" t="n">
        <v>9935.0</v>
      </c>
      <c r="AI92" s="3" t="n">
        <v>10215.0</v>
      </c>
      <c r="AJ92" s="3" t="n">
        <v>10743.0</v>
      </c>
      <c r="AK92" s="3" t="n">
        <v>11204.0</v>
      </c>
      <c r="AL92" s="3" t="n">
        <v>11884.0</v>
      </c>
      <c r="AM92" s="3" t="n">
        <v>12622.0</v>
      </c>
      <c r="AN92" s="3" t="n">
        <v>12730.0</v>
      </c>
      <c r="AO92" s="3" t="n">
        <v>12609.0</v>
      </c>
    </row>
    <row r="93" spans="1:41" x14ac:dyDescent="0.2">
      <c r="A93" s="128"/>
      <c r="B93" s="9">
        <v>84</v>
      </c>
      <c r="C93" s="3" t="n">
        <v>5803.0</v>
      </c>
      <c r="D93" s="3" t="n">
        <v>5564.0</v>
      </c>
      <c r="E93" s="3" t="n">
        <v>5717.0</v>
      </c>
      <c r="F93" s="3" t="n">
        <v>5306.0</v>
      </c>
      <c r="G93" s="3" t="n">
        <v>5104.0</v>
      </c>
      <c r="H93" s="3" t="n">
        <v>5081.0</v>
      </c>
      <c r="I93" s="3" t="n">
        <v>5196.0</v>
      </c>
      <c r="J93" s="3" t="n">
        <v>5305.0</v>
      </c>
      <c r="K93" s="3" t="n">
        <v>8160.0</v>
      </c>
      <c r="L93" s="3" t="n">
        <v>9165.0</v>
      </c>
      <c r="M93" s="3" t="n">
        <v>10281.0</v>
      </c>
      <c r="N93" s="3" t="n">
        <v>10819.0</v>
      </c>
      <c r="O93" s="3" t="n">
        <v>11255.0</v>
      </c>
      <c r="P93" s="3" t="n">
        <v>11703.0</v>
      </c>
      <c r="Q93" s="3" t="n">
        <v>11799.0</v>
      </c>
      <c r="R93" s="3" t="n">
        <v>11864.0</v>
      </c>
      <c r="S93" s="3" t="n">
        <v>11946.0</v>
      </c>
      <c r="T93" s="3" t="n">
        <v>12519.0</v>
      </c>
      <c r="U93" s="3" t="n">
        <v>12531.0</v>
      </c>
      <c r="V93" s="3" t="n">
        <v>12407.0</v>
      </c>
      <c r="W93" s="3" t="n">
        <v>12176.0</v>
      </c>
      <c r="X93" s="3" t="n">
        <v>11631.0</v>
      </c>
      <c r="Y93" s="3" t="n">
        <v>10555.0</v>
      </c>
      <c r="Z93" s="3" t="n">
        <v>9910.0</v>
      </c>
      <c r="AA93" s="3" t="n">
        <v>9234.0</v>
      </c>
      <c r="AB93" s="3" t="n">
        <v>9332.0</v>
      </c>
      <c r="AC93" s="3" t="n">
        <v>8903.0</v>
      </c>
      <c r="AD93" s="3" t="n">
        <v>8611.0</v>
      </c>
      <c r="AE93" s="3" t="n">
        <v>8521.0</v>
      </c>
      <c r="AF93" s="3" t="n">
        <v>8481.0</v>
      </c>
      <c r="AG93" s="3" t="n">
        <v>8582.0</v>
      </c>
      <c r="AH93" s="3" t="n">
        <v>8759.0</v>
      </c>
      <c r="AI93" s="3" t="n">
        <v>9225.0</v>
      </c>
      <c r="AJ93" s="3" t="n">
        <v>9486.0</v>
      </c>
      <c r="AK93" s="3" t="n">
        <v>9977.0</v>
      </c>
      <c r="AL93" s="3" t="n">
        <v>10408.0</v>
      </c>
      <c r="AM93" s="3" t="n">
        <v>11040.0</v>
      </c>
      <c r="AN93" s="3" t="n">
        <v>11727.0</v>
      </c>
      <c r="AO93" s="3" t="n">
        <v>11831.0</v>
      </c>
    </row>
    <row r="94" spans="1:41" x14ac:dyDescent="0.2">
      <c r="A94" s="128"/>
      <c r="B94" s="9">
        <v>85</v>
      </c>
      <c r="C94" s="3" t="n">
        <v>5368.0</v>
      </c>
      <c r="D94" s="3" t="n">
        <v>5270.0</v>
      </c>
      <c r="E94" s="3" t="n">
        <v>5058.0</v>
      </c>
      <c r="F94" s="3" t="n">
        <v>5209.0</v>
      </c>
      <c r="G94" s="3" t="n">
        <v>4836.0</v>
      </c>
      <c r="H94" s="3" t="n">
        <v>4654.0</v>
      </c>
      <c r="I94" s="3" t="n">
        <v>4635.0</v>
      </c>
      <c r="J94" s="3" t="n">
        <v>4742.0</v>
      </c>
      <c r="K94" s="3" t="n">
        <v>4843.0</v>
      </c>
      <c r="L94" s="3" t="n">
        <v>7444.0</v>
      </c>
      <c r="M94" s="3" t="n">
        <v>8361.0</v>
      </c>
      <c r="N94" s="3" t="n">
        <v>9384.0</v>
      </c>
      <c r="O94" s="3" t="n">
        <v>9882.0</v>
      </c>
      <c r="P94" s="3" t="n">
        <v>10281.0</v>
      </c>
      <c r="Q94" s="3" t="n">
        <v>10703.0</v>
      </c>
      <c r="R94" s="3" t="n">
        <v>10790.0</v>
      </c>
      <c r="S94" s="3" t="n">
        <v>10859.0</v>
      </c>
      <c r="T94" s="3" t="n">
        <v>10926.0</v>
      </c>
      <c r="U94" s="3" t="n">
        <v>11460.0</v>
      </c>
      <c r="V94" s="3" t="n">
        <v>11475.0</v>
      </c>
      <c r="W94" s="3" t="n">
        <v>11366.0</v>
      </c>
      <c r="X94" s="3" t="n">
        <v>11167.0</v>
      </c>
      <c r="Y94" s="3" t="n">
        <v>10668.0</v>
      </c>
      <c r="Z94" s="3" t="n">
        <v>9682.0</v>
      </c>
      <c r="AA94" s="3" t="n">
        <v>9098.0</v>
      </c>
      <c r="AB94" s="3" t="n">
        <v>8483.0</v>
      </c>
      <c r="AC94" s="3" t="n">
        <v>8571.0</v>
      </c>
      <c r="AD94" s="3" t="n">
        <v>8174.0</v>
      </c>
      <c r="AE94" s="3" t="n">
        <v>7916.0</v>
      </c>
      <c r="AF94" s="3" t="n">
        <v>7833.0</v>
      </c>
      <c r="AG94" s="3" t="n">
        <v>7799.0</v>
      </c>
      <c r="AH94" s="3" t="n">
        <v>7897.0</v>
      </c>
      <c r="AI94" s="3" t="n">
        <v>8061.0</v>
      </c>
      <c r="AJ94" s="3" t="n">
        <v>8490.0</v>
      </c>
      <c r="AK94" s="3" t="n">
        <v>8733.0</v>
      </c>
      <c r="AL94" s="3" t="n">
        <v>9184.0</v>
      </c>
      <c r="AM94" s="3" t="n">
        <v>9578.0</v>
      </c>
      <c r="AN94" s="3" t="n">
        <v>10158.0</v>
      </c>
      <c r="AO94" s="3" t="n">
        <v>10799.0</v>
      </c>
    </row>
    <row r="95" spans="1:41" x14ac:dyDescent="0.2">
      <c r="A95" s="128"/>
      <c r="B95" s="9">
        <v>86</v>
      </c>
      <c r="C95" s="3" t="n">
        <v>5137.0</v>
      </c>
      <c r="D95" s="3" t="n">
        <v>4821.0</v>
      </c>
      <c r="E95" s="3" t="n">
        <v>4735.0</v>
      </c>
      <c r="F95" s="3" t="n">
        <v>4547.0</v>
      </c>
      <c r="G95" s="3" t="n">
        <v>4686.0</v>
      </c>
      <c r="H95" s="3" t="n">
        <v>4359.0</v>
      </c>
      <c r="I95" s="3" t="n">
        <v>4193.0</v>
      </c>
      <c r="J95" s="3" t="n">
        <v>4178.0</v>
      </c>
      <c r="K95" s="3" t="n">
        <v>4277.0</v>
      </c>
      <c r="L95" s="3" t="n">
        <v>4371.0</v>
      </c>
      <c r="M95" s="3" t="n">
        <v>6722.0</v>
      </c>
      <c r="N95" s="3" t="n">
        <v>7548.0</v>
      </c>
      <c r="O95" s="3" t="n">
        <v>8477.0</v>
      </c>
      <c r="P95" s="3" t="n">
        <v>8925.0</v>
      </c>
      <c r="Q95" s="3" t="n">
        <v>9289.0</v>
      </c>
      <c r="R95" s="3" t="n">
        <v>9674.0</v>
      </c>
      <c r="S95" s="3" t="n">
        <v>9763.0</v>
      </c>
      <c r="T95" s="3" t="n">
        <v>9828.0</v>
      </c>
      <c r="U95" s="3" t="n">
        <v>9892.0</v>
      </c>
      <c r="V95" s="3" t="n">
        <v>10387.0</v>
      </c>
      <c r="W95" s="3" t="n">
        <v>10408.0</v>
      </c>
      <c r="X95" s="3" t="n">
        <v>10306.0</v>
      </c>
      <c r="Y95" s="3" t="n">
        <v>10130.0</v>
      </c>
      <c r="Z95" s="3" t="n">
        <v>9679.0</v>
      </c>
      <c r="AA95" s="3" t="n">
        <v>8782.0</v>
      </c>
      <c r="AB95" s="3" t="n">
        <v>8260.0</v>
      </c>
      <c r="AC95" s="3" t="n">
        <v>7705.0</v>
      </c>
      <c r="AD95" s="3" t="n">
        <v>7780.0</v>
      </c>
      <c r="AE95" s="3" t="n">
        <v>7429.0</v>
      </c>
      <c r="AF95" s="3" t="n">
        <v>7196.0</v>
      </c>
      <c r="AG95" s="3" t="n">
        <v>7119.0</v>
      </c>
      <c r="AH95" s="3" t="n">
        <v>7095.0</v>
      </c>
      <c r="AI95" s="3" t="n">
        <v>7185.0</v>
      </c>
      <c r="AJ95" s="3" t="n">
        <v>7331.0</v>
      </c>
      <c r="AK95" s="3" t="n">
        <v>7731.0</v>
      </c>
      <c r="AL95" s="3" t="n">
        <v>7951.0</v>
      </c>
      <c r="AM95" s="3" t="n">
        <v>8364.0</v>
      </c>
      <c r="AN95" s="3" t="n">
        <v>8729.0</v>
      </c>
      <c r="AO95" s="3" t="n">
        <v>9260.0</v>
      </c>
    </row>
    <row r="96" spans="1:41" x14ac:dyDescent="0.2">
      <c r="A96" s="128"/>
      <c r="B96" s="9">
        <v>87</v>
      </c>
      <c r="C96" s="3" t="n">
        <v>4374.0</v>
      </c>
      <c r="D96" s="3" t="n">
        <v>4566.0</v>
      </c>
      <c r="E96" s="3" t="n">
        <v>4285.0</v>
      </c>
      <c r="F96" s="3" t="n">
        <v>4212.0</v>
      </c>
      <c r="G96" s="3" t="n">
        <v>4042.0</v>
      </c>
      <c r="H96" s="3" t="n">
        <v>4174.0</v>
      </c>
      <c r="I96" s="3" t="n">
        <v>3883.0</v>
      </c>
      <c r="J96" s="3" t="n">
        <v>3739.0</v>
      </c>
      <c r="K96" s="3" t="n">
        <v>3728.0</v>
      </c>
      <c r="L96" s="3" t="n">
        <v>3822.0</v>
      </c>
      <c r="M96" s="3" t="n">
        <v>3908.0</v>
      </c>
      <c r="N96" s="3" t="n">
        <v>6008.0</v>
      </c>
      <c r="O96" s="3" t="n">
        <v>6748.0</v>
      </c>
      <c r="P96" s="3" t="n">
        <v>7577.0</v>
      </c>
      <c r="Q96" s="3" t="n">
        <v>7990.0</v>
      </c>
      <c r="R96" s="3" t="n">
        <v>8316.0</v>
      </c>
      <c r="S96" s="3" t="n">
        <v>8668.0</v>
      </c>
      <c r="T96" s="3" t="n">
        <v>8750.0</v>
      </c>
      <c r="U96" s="3" t="n">
        <v>8816.0</v>
      </c>
      <c r="V96" s="3" t="n">
        <v>8877.0</v>
      </c>
      <c r="W96" s="3" t="n">
        <v>9326.0</v>
      </c>
      <c r="X96" s="3" t="n">
        <v>9348.0</v>
      </c>
      <c r="Y96" s="3" t="n">
        <v>9261.0</v>
      </c>
      <c r="Z96" s="3" t="n">
        <v>9099.0</v>
      </c>
      <c r="AA96" s="3" t="n">
        <v>8704.0</v>
      </c>
      <c r="AB96" s="3" t="n">
        <v>7895.0</v>
      </c>
      <c r="AC96" s="3" t="n">
        <v>7435.0</v>
      </c>
      <c r="AD96" s="3" t="n">
        <v>6928.0</v>
      </c>
      <c r="AE96" s="3" t="n">
        <v>7009.0</v>
      </c>
      <c r="AF96" s="3" t="n">
        <v>6693.0</v>
      </c>
      <c r="AG96" s="3" t="n">
        <v>6487.0</v>
      </c>
      <c r="AH96" s="3" t="n">
        <v>6415.0</v>
      </c>
      <c r="AI96" s="3" t="n">
        <v>6396.0</v>
      </c>
      <c r="AJ96" s="3" t="n">
        <v>6481.0</v>
      </c>
      <c r="AK96" s="3" t="n">
        <v>6617.0</v>
      </c>
      <c r="AL96" s="3" t="n">
        <v>6975.0</v>
      </c>
      <c r="AM96" s="3" t="n">
        <v>7176.0</v>
      </c>
      <c r="AN96" s="3" t="n">
        <v>7551.0</v>
      </c>
      <c r="AO96" s="3" t="n">
        <v>7883.0</v>
      </c>
    </row>
    <row r="97" spans="1:41" x14ac:dyDescent="0.2">
      <c r="A97" s="128"/>
      <c r="B97" s="9">
        <v>88</v>
      </c>
      <c r="C97" s="3" t="n">
        <v>3799.0</v>
      </c>
      <c r="D97" s="3" t="n">
        <v>3844.0</v>
      </c>
      <c r="E97" s="3" t="n">
        <v>4013.0</v>
      </c>
      <c r="F97" s="3" t="n">
        <v>3772.0</v>
      </c>
      <c r="G97" s="3" t="n">
        <v>3718.0</v>
      </c>
      <c r="H97" s="3" t="n">
        <v>3567.0</v>
      </c>
      <c r="I97" s="3" t="n">
        <v>3684.0</v>
      </c>
      <c r="J97" s="3" t="n">
        <v>3431.0</v>
      </c>
      <c r="K97" s="3" t="n">
        <v>3305.0</v>
      </c>
      <c r="L97" s="3" t="n">
        <v>3300.0</v>
      </c>
      <c r="M97" s="3" t="n">
        <v>3381.0</v>
      </c>
      <c r="N97" s="3" t="n">
        <v>3458.0</v>
      </c>
      <c r="O97" s="3" t="n">
        <v>5321.0</v>
      </c>
      <c r="P97" s="3" t="n">
        <v>5973.0</v>
      </c>
      <c r="Q97" s="3" t="n">
        <v>6712.0</v>
      </c>
      <c r="R97" s="3" t="n">
        <v>7077.0</v>
      </c>
      <c r="S97" s="3" t="n">
        <v>7374.0</v>
      </c>
      <c r="T97" s="3" t="n">
        <v>7683.0</v>
      </c>
      <c r="U97" s="3" t="n">
        <v>7766.0</v>
      </c>
      <c r="V97" s="3" t="n">
        <v>7832.0</v>
      </c>
      <c r="W97" s="3" t="n">
        <v>7892.0</v>
      </c>
      <c r="X97" s="3" t="n">
        <v>8288.0</v>
      </c>
      <c r="Y97" s="3" t="n">
        <v>8315.0</v>
      </c>
      <c r="Z97" s="3" t="n">
        <v>8243.0</v>
      </c>
      <c r="AA97" s="3" t="n">
        <v>8099.0</v>
      </c>
      <c r="AB97" s="3" t="n">
        <v>7746.0</v>
      </c>
      <c r="AC97" s="3" t="n">
        <v>7032.0</v>
      </c>
      <c r="AD97" s="3" t="n">
        <v>6620.0</v>
      </c>
      <c r="AE97" s="3" t="n">
        <v>6178.0</v>
      </c>
      <c r="AF97" s="3" t="n">
        <v>6249.0</v>
      </c>
      <c r="AG97" s="3" t="n">
        <v>5976.0</v>
      </c>
      <c r="AH97" s="3" t="n">
        <v>5789.0</v>
      </c>
      <c r="AI97" s="3" t="n">
        <v>5731.0</v>
      </c>
      <c r="AJ97" s="3" t="n">
        <v>5710.0</v>
      </c>
      <c r="AK97" s="3" t="n">
        <v>5792.0</v>
      </c>
      <c r="AL97" s="3" t="n">
        <v>5914.0</v>
      </c>
      <c r="AM97" s="3" t="n">
        <v>6238.0</v>
      </c>
      <c r="AN97" s="3" t="n">
        <v>6411.0</v>
      </c>
      <c r="AO97" s="3" t="n">
        <v>6752.0</v>
      </c>
    </row>
    <row r="98" spans="1:41" x14ac:dyDescent="0.2">
      <c r="A98" s="128"/>
      <c r="B98" s="9">
        <v>89</v>
      </c>
      <c r="C98" s="3" t="n">
        <v>3156.0</v>
      </c>
      <c r="D98" s="3" t="n">
        <v>3296.0</v>
      </c>
      <c r="E98" s="3" t="n">
        <v>3342.0</v>
      </c>
      <c r="F98" s="3" t="n">
        <v>3488.0</v>
      </c>
      <c r="G98" s="3" t="n">
        <v>3285.0</v>
      </c>
      <c r="H98" s="3" t="n">
        <v>3238.0</v>
      </c>
      <c r="I98" s="3" t="n">
        <v>3112.0</v>
      </c>
      <c r="J98" s="3" t="n">
        <v>3210.0</v>
      </c>
      <c r="K98" s="3" t="n">
        <v>2997.0</v>
      </c>
      <c r="L98" s="3" t="n">
        <v>2893.0</v>
      </c>
      <c r="M98" s="3" t="n">
        <v>2889.0</v>
      </c>
      <c r="N98" s="3" t="n">
        <v>2961.0</v>
      </c>
      <c r="O98" s="3" t="n">
        <v>3028.0</v>
      </c>
      <c r="P98" s="3" t="n">
        <v>4661.0</v>
      </c>
      <c r="Q98" s="3" t="n">
        <v>5233.0</v>
      </c>
      <c r="R98" s="3" t="n">
        <v>5882.0</v>
      </c>
      <c r="S98" s="3" t="n">
        <v>6208.0</v>
      </c>
      <c r="T98" s="3" t="n">
        <v>6471.0</v>
      </c>
      <c r="U98" s="3" t="n">
        <v>6752.0</v>
      </c>
      <c r="V98" s="3" t="n">
        <v>6829.0</v>
      </c>
      <c r="W98" s="3" t="n">
        <v>6888.0</v>
      </c>
      <c r="X98" s="3" t="n">
        <v>6944.0</v>
      </c>
      <c r="Y98" s="3" t="n">
        <v>7292.0</v>
      </c>
      <c r="Z98" s="3" t="n">
        <v>7320.0</v>
      </c>
      <c r="AA98" s="3" t="n">
        <v>7262.0</v>
      </c>
      <c r="AB98" s="3" t="n">
        <v>7139.0</v>
      </c>
      <c r="AC98" s="3" t="n">
        <v>6831.0</v>
      </c>
      <c r="AD98" s="3" t="n">
        <v>6199.0</v>
      </c>
      <c r="AE98" s="3" t="n">
        <v>5842.0</v>
      </c>
      <c r="AF98" s="3" t="n">
        <v>5459.0</v>
      </c>
      <c r="AG98" s="3" t="n">
        <v>5521.0</v>
      </c>
      <c r="AH98" s="3" t="n">
        <v>5282.0</v>
      </c>
      <c r="AI98" s="3" t="n">
        <v>5111.0</v>
      </c>
      <c r="AJ98" s="3" t="n">
        <v>5066.0</v>
      </c>
      <c r="AK98" s="3" t="n">
        <v>5053.0</v>
      </c>
      <c r="AL98" s="3" t="n">
        <v>5124.0</v>
      </c>
      <c r="AM98" s="3" t="n">
        <v>5235.0</v>
      </c>
      <c r="AN98" s="3" t="n">
        <v>5522.0</v>
      </c>
      <c r="AO98" s="3" t="n">
        <v>5680.0</v>
      </c>
    </row>
    <row r="99" spans="1:41" x14ac:dyDescent="0.2">
      <c r="A99" s="128"/>
      <c r="B99" s="9">
        <v>90</v>
      </c>
      <c r="C99" s="3" t="n">
        <v>2715.0</v>
      </c>
      <c r="D99" s="3" t="n">
        <v>2693.0</v>
      </c>
      <c r="E99" s="3" t="n">
        <v>2815.0</v>
      </c>
      <c r="F99" s="3" t="n">
        <v>2859.0</v>
      </c>
      <c r="G99" s="3" t="n">
        <v>2985.0</v>
      </c>
      <c r="H99" s="3" t="n">
        <v>2821.0</v>
      </c>
      <c r="I99" s="3" t="n">
        <v>2775.0</v>
      </c>
      <c r="J99" s="3" t="n">
        <v>2669.0</v>
      </c>
      <c r="K99" s="3" t="n">
        <v>2754.0</v>
      </c>
      <c r="L99" s="3" t="n">
        <v>2574.0</v>
      </c>
      <c r="M99" s="3" t="n">
        <v>2485.0</v>
      </c>
      <c r="N99" s="3" t="n">
        <v>2491.0</v>
      </c>
      <c r="O99" s="3" t="n">
        <v>2550.0</v>
      </c>
      <c r="P99" s="3" t="n">
        <v>2610.0</v>
      </c>
      <c r="Q99" s="3" t="n">
        <v>4023.0</v>
      </c>
      <c r="R99" s="3" t="n">
        <v>4515.0</v>
      </c>
      <c r="S99" s="3" t="n">
        <v>5077.0</v>
      </c>
      <c r="T99" s="3" t="n">
        <v>5361.0</v>
      </c>
      <c r="U99" s="3" t="n">
        <v>5598.0</v>
      </c>
      <c r="V99" s="3" t="n">
        <v>5847.0</v>
      </c>
      <c r="W99" s="3" t="n">
        <v>5920.0</v>
      </c>
      <c r="X99" s="3" t="n">
        <v>5968.0</v>
      </c>
      <c r="Y99" s="3" t="n">
        <v>6026.0</v>
      </c>
      <c r="Z99" s="3" t="n">
        <v>6328.0</v>
      </c>
      <c r="AA99" s="3" t="n">
        <v>6356.0</v>
      </c>
      <c r="AB99" s="3" t="n">
        <v>6311.0</v>
      </c>
      <c r="AC99" s="3" t="n">
        <v>6207.0</v>
      </c>
      <c r="AD99" s="3" t="n">
        <v>5937.0</v>
      </c>
      <c r="AE99" s="3" t="n">
        <v>5400.0</v>
      </c>
      <c r="AF99" s="3" t="n">
        <v>5081.0</v>
      </c>
      <c r="AG99" s="3" t="n">
        <v>4750.0</v>
      </c>
      <c r="AH99" s="3" t="n">
        <v>4802.0</v>
      </c>
      <c r="AI99" s="3" t="n">
        <v>4606.0</v>
      </c>
      <c r="AJ99" s="3" t="n">
        <v>4451.0</v>
      </c>
      <c r="AK99" s="3" t="n">
        <v>4421.0</v>
      </c>
      <c r="AL99" s="3" t="n">
        <v>4405.0</v>
      </c>
      <c r="AM99" s="3" t="n">
        <v>4472.0</v>
      </c>
      <c r="AN99" s="3" t="n">
        <v>4564.0</v>
      </c>
      <c r="AO99" s="3" t="n">
        <v>4824.0</v>
      </c>
    </row>
    <row r="100" spans="1:41" x14ac:dyDescent="0.2">
      <c r="A100" s="128"/>
      <c r="B100" s="9">
        <v>91</v>
      </c>
      <c r="C100" s="3" t="n">
        <v>2212.0</v>
      </c>
      <c r="D100" s="3" t="n">
        <v>2275.0</v>
      </c>
      <c r="E100" s="3" t="n">
        <v>2262.0</v>
      </c>
      <c r="F100" s="3" t="n">
        <v>2365.0</v>
      </c>
      <c r="G100" s="3" t="n">
        <v>2405.0</v>
      </c>
      <c r="H100" s="3" t="n">
        <v>2516.0</v>
      </c>
      <c r="I100" s="3" t="n">
        <v>2380.0</v>
      </c>
      <c r="J100" s="3" t="n">
        <v>2339.0</v>
      </c>
      <c r="K100" s="3" t="n">
        <v>2254.0</v>
      </c>
      <c r="L100" s="3" t="n">
        <v>2324.0</v>
      </c>
      <c r="M100" s="3" t="n">
        <v>2178.0</v>
      </c>
      <c r="N100" s="3" t="n">
        <v>2097.0</v>
      </c>
      <c r="O100" s="3" t="n">
        <v>2110.0</v>
      </c>
      <c r="P100" s="3" t="n">
        <v>2159.0</v>
      </c>
      <c r="Q100" s="3" t="n">
        <v>2214.0</v>
      </c>
      <c r="R100" s="3" t="n">
        <v>3416.0</v>
      </c>
      <c r="S100" s="3" t="n">
        <v>3842.0</v>
      </c>
      <c r="T100" s="3" t="n">
        <v>4323.0</v>
      </c>
      <c r="U100" s="3" t="n">
        <v>4573.0</v>
      </c>
      <c r="V100" s="3" t="n">
        <v>4769.0</v>
      </c>
      <c r="W100" s="3" t="n">
        <v>4987.0</v>
      </c>
      <c r="X100" s="3" t="n">
        <v>5049.0</v>
      </c>
      <c r="Y100" s="3" t="n">
        <v>5096.0</v>
      </c>
      <c r="Z100" s="3" t="n">
        <v>5149.0</v>
      </c>
      <c r="AA100" s="3" t="n">
        <v>5409.0</v>
      </c>
      <c r="AB100" s="3" t="n">
        <v>5437.0</v>
      </c>
      <c r="AC100" s="3" t="n">
        <v>5396.0</v>
      </c>
      <c r="AD100" s="3" t="n">
        <v>5315.0</v>
      </c>
      <c r="AE100" s="3" t="n">
        <v>5089.0</v>
      </c>
      <c r="AF100" s="3" t="n">
        <v>4627.0</v>
      </c>
      <c r="AG100" s="3" t="n">
        <v>4355.0</v>
      </c>
      <c r="AH100" s="3" t="n">
        <v>4078.0</v>
      </c>
      <c r="AI100" s="3" t="n">
        <v>4124.0</v>
      </c>
      <c r="AJ100" s="3" t="n">
        <v>3952.0</v>
      </c>
      <c r="AK100" s="3" t="n">
        <v>3828.0</v>
      </c>
      <c r="AL100" s="3" t="n">
        <v>3799.0</v>
      </c>
      <c r="AM100" s="3" t="n">
        <v>3784.0</v>
      </c>
      <c r="AN100" s="3" t="n">
        <v>3841.0</v>
      </c>
      <c r="AO100" s="3" t="n">
        <v>3931.0</v>
      </c>
    </row>
    <row r="101" spans="1:41" x14ac:dyDescent="0.2">
      <c r="A101" s="128"/>
      <c r="B101" s="9">
        <v>92</v>
      </c>
      <c r="C101" s="3" t="n">
        <v>1858.0</v>
      </c>
      <c r="D101" s="3" t="n">
        <v>1832.0</v>
      </c>
      <c r="E101" s="3" t="n">
        <v>1885.0</v>
      </c>
      <c r="F101" s="3" t="n">
        <v>1869.0</v>
      </c>
      <c r="G101" s="3" t="n">
        <v>1960.0</v>
      </c>
      <c r="H101" s="3" t="n">
        <v>1998.0</v>
      </c>
      <c r="I101" s="3" t="n">
        <v>2089.0</v>
      </c>
      <c r="J101" s="3" t="n">
        <v>1977.0</v>
      </c>
      <c r="K101" s="3" t="n">
        <v>1945.0</v>
      </c>
      <c r="L101" s="3" t="n">
        <v>1877.0</v>
      </c>
      <c r="M101" s="3" t="n">
        <v>1937.0</v>
      </c>
      <c r="N101" s="3" t="n">
        <v>1820.0</v>
      </c>
      <c r="O101" s="3" t="n">
        <v>1753.0</v>
      </c>
      <c r="P101" s="3" t="n">
        <v>1763.0</v>
      </c>
      <c r="Q101" s="3" t="n">
        <v>1812.0</v>
      </c>
      <c r="R101" s="3" t="n">
        <v>1855.0</v>
      </c>
      <c r="S101" s="3" t="n">
        <v>2862.0</v>
      </c>
      <c r="T101" s="3" t="n">
        <v>3228.0</v>
      </c>
      <c r="U101" s="3" t="n">
        <v>3635.0</v>
      </c>
      <c r="V101" s="3" t="n">
        <v>3848.0</v>
      </c>
      <c r="W101" s="3" t="n">
        <v>4016.0</v>
      </c>
      <c r="X101" s="3" t="n">
        <v>4205.0</v>
      </c>
      <c r="Y101" s="3" t="n">
        <v>4262.0</v>
      </c>
      <c r="Z101" s="3" t="n">
        <v>4299.0</v>
      </c>
      <c r="AA101" s="3" t="n">
        <v>4345.0</v>
      </c>
      <c r="AB101" s="3" t="n">
        <v>4569.0</v>
      </c>
      <c r="AC101" s="3" t="n">
        <v>4594.0</v>
      </c>
      <c r="AD101" s="3" t="n">
        <v>4555.0</v>
      </c>
      <c r="AE101" s="3" t="n">
        <v>4502.0</v>
      </c>
      <c r="AF101" s="3" t="n">
        <v>4307.0</v>
      </c>
      <c r="AG101" s="3" t="n">
        <v>3915.0</v>
      </c>
      <c r="AH101" s="3" t="n">
        <v>3694.0</v>
      </c>
      <c r="AI101" s="3" t="n">
        <v>3455.0</v>
      </c>
      <c r="AJ101" s="3" t="n">
        <v>3498.0</v>
      </c>
      <c r="AK101" s="3" t="n">
        <v>3356.0</v>
      </c>
      <c r="AL101" s="3" t="n">
        <v>3253.0</v>
      </c>
      <c r="AM101" s="3" t="n">
        <v>3226.0</v>
      </c>
      <c r="AN101" s="3" t="n">
        <v>3218.0</v>
      </c>
      <c r="AO101" s="3" t="n">
        <v>3269.0</v>
      </c>
    </row>
    <row r="102" spans="1:41" x14ac:dyDescent="0.2">
      <c r="A102" s="128"/>
      <c r="B102" s="9">
        <v>93</v>
      </c>
      <c r="C102" s="3" t="n">
        <v>1347.0</v>
      </c>
      <c r="D102" s="3" t="n">
        <v>1519.0</v>
      </c>
      <c r="E102" s="3" t="n">
        <v>1494.0</v>
      </c>
      <c r="F102" s="3" t="n">
        <v>1542.0</v>
      </c>
      <c r="G102" s="3" t="n">
        <v>1535.0</v>
      </c>
      <c r="H102" s="3" t="n">
        <v>1609.0</v>
      </c>
      <c r="I102" s="3" t="n">
        <v>1640.0</v>
      </c>
      <c r="J102" s="3" t="n">
        <v>1713.0</v>
      </c>
      <c r="K102" s="3" t="n">
        <v>1625.0</v>
      </c>
      <c r="L102" s="3" t="n">
        <v>1610.0</v>
      </c>
      <c r="M102" s="3" t="n">
        <v>1548.0</v>
      </c>
      <c r="N102" s="3" t="n">
        <v>1600.0</v>
      </c>
      <c r="O102" s="3" t="n">
        <v>1505.0</v>
      </c>
      <c r="P102" s="3" t="n">
        <v>1451.0</v>
      </c>
      <c r="Q102" s="3" t="n">
        <v>1463.0</v>
      </c>
      <c r="R102" s="3" t="n">
        <v>1503.0</v>
      </c>
      <c r="S102" s="3" t="n">
        <v>1546.0</v>
      </c>
      <c r="T102" s="3" t="n">
        <v>2380.0</v>
      </c>
      <c r="U102" s="3" t="n">
        <v>2676.0</v>
      </c>
      <c r="V102" s="3" t="n">
        <v>3014.0</v>
      </c>
      <c r="W102" s="3" t="n">
        <v>3188.0</v>
      </c>
      <c r="X102" s="3" t="n">
        <v>3331.0</v>
      </c>
      <c r="Y102" s="3" t="n">
        <v>3485.0</v>
      </c>
      <c r="Z102" s="3" t="n">
        <v>3535.0</v>
      </c>
      <c r="AA102" s="3" t="n">
        <v>3572.0</v>
      </c>
      <c r="AB102" s="3" t="n">
        <v>3617.0</v>
      </c>
      <c r="AC102" s="3" t="n">
        <v>3802.0</v>
      </c>
      <c r="AD102" s="3" t="n">
        <v>3825.0</v>
      </c>
      <c r="AE102" s="3" t="n">
        <v>3789.0</v>
      </c>
      <c r="AF102" s="3" t="n">
        <v>3758.0</v>
      </c>
      <c r="AG102" s="3" t="n">
        <v>3596.0</v>
      </c>
      <c r="AH102" s="3" t="n">
        <v>3267.0</v>
      </c>
      <c r="AI102" s="3" t="n">
        <v>3092.0</v>
      </c>
      <c r="AJ102" s="3" t="n">
        <v>2895.0</v>
      </c>
      <c r="AK102" s="3" t="n">
        <v>2928.0</v>
      </c>
      <c r="AL102" s="3" t="n">
        <v>2810.0</v>
      </c>
      <c r="AM102" s="3" t="n">
        <v>2728.0</v>
      </c>
      <c r="AN102" s="3" t="n">
        <v>2707.0</v>
      </c>
      <c r="AO102" s="3" t="n">
        <v>2703.0</v>
      </c>
    </row>
    <row r="103" spans="1:41" x14ac:dyDescent="0.2">
      <c r="A103" s="128"/>
      <c r="B103" s="9">
        <v>94</v>
      </c>
      <c r="C103" s="3" t="n">
        <v>1024.0</v>
      </c>
      <c r="D103" s="3" t="n">
        <v>1070.0</v>
      </c>
      <c r="E103" s="3" t="n">
        <v>1207.0</v>
      </c>
      <c r="F103" s="3" t="n">
        <v>1181.0</v>
      </c>
      <c r="G103" s="3" t="n">
        <v>1230.0</v>
      </c>
      <c r="H103" s="3" t="n">
        <v>1219.0</v>
      </c>
      <c r="I103" s="3" t="n">
        <v>1282.0</v>
      </c>
      <c r="J103" s="3" t="n">
        <v>1313.0</v>
      </c>
      <c r="K103" s="3" t="n">
        <v>1369.0</v>
      </c>
      <c r="L103" s="3" t="n">
        <v>1305.0</v>
      </c>
      <c r="M103" s="3" t="n">
        <v>1294.0</v>
      </c>
      <c r="N103" s="3" t="n">
        <v>1246.0</v>
      </c>
      <c r="O103" s="3" t="n">
        <v>1292.0</v>
      </c>
      <c r="P103" s="3" t="n">
        <v>1214.0</v>
      </c>
      <c r="Q103" s="3" t="n">
        <v>1173.0</v>
      </c>
      <c r="R103" s="3" t="n">
        <v>1180.0</v>
      </c>
      <c r="S103" s="3" t="n">
        <v>1216.0</v>
      </c>
      <c r="T103" s="3" t="n">
        <v>1254.0</v>
      </c>
      <c r="U103" s="3" t="n">
        <v>1931.0</v>
      </c>
      <c r="V103" s="3" t="n">
        <v>2164.0</v>
      </c>
      <c r="W103" s="3" t="n">
        <v>2438.0</v>
      </c>
      <c r="X103" s="3" t="n">
        <v>2586.0</v>
      </c>
      <c r="Y103" s="3" t="n">
        <v>2705.0</v>
      </c>
      <c r="Z103" s="3" t="n">
        <v>2832.0</v>
      </c>
      <c r="AA103" s="3" t="n">
        <v>2875.0</v>
      </c>
      <c r="AB103" s="3" t="n">
        <v>2910.0</v>
      </c>
      <c r="AC103" s="3" t="n">
        <v>2948.0</v>
      </c>
      <c r="AD103" s="3" t="n">
        <v>3098.0</v>
      </c>
      <c r="AE103" s="3" t="n">
        <v>3125.0</v>
      </c>
      <c r="AF103" s="3" t="n">
        <v>3089.0</v>
      </c>
      <c r="AG103" s="3" t="n">
        <v>3067.0</v>
      </c>
      <c r="AH103" s="3" t="n">
        <v>2935.0</v>
      </c>
      <c r="AI103" s="3" t="n">
        <v>2668.0</v>
      </c>
      <c r="AJ103" s="3" t="n">
        <v>2529.0</v>
      </c>
      <c r="AK103" s="3" t="n">
        <v>2365.0</v>
      </c>
      <c r="AL103" s="3" t="n">
        <v>2397.0</v>
      </c>
      <c r="AM103" s="3" t="n">
        <v>2299.0</v>
      </c>
      <c r="AN103" s="3" t="n">
        <v>2233.0</v>
      </c>
      <c r="AO103" s="3" t="n">
        <v>2222.0</v>
      </c>
    </row>
    <row r="104" spans="1:41" x14ac:dyDescent="0.2">
      <c r="A104" s="128"/>
      <c r="B104" s="9">
        <v>95</v>
      </c>
      <c r="C104" s="3" t="n">
        <v>721.0</v>
      </c>
      <c r="D104" s="3" t="n">
        <v>800.0</v>
      </c>
      <c r="E104" s="3" t="n">
        <v>833.0</v>
      </c>
      <c r="F104" s="3" t="n">
        <v>943.0</v>
      </c>
      <c r="G104" s="3" t="n">
        <v>926.0</v>
      </c>
      <c r="H104" s="3" t="n">
        <v>967.0</v>
      </c>
      <c r="I104" s="3" t="n">
        <v>956.0</v>
      </c>
      <c r="J104" s="3" t="n">
        <v>1009.0</v>
      </c>
      <c r="K104" s="3" t="n">
        <v>1037.0</v>
      </c>
      <c r="L104" s="3" t="n">
        <v>1082.0</v>
      </c>
      <c r="M104" s="3" t="n">
        <v>1032.0</v>
      </c>
      <c r="N104" s="3" t="n">
        <v>1026.0</v>
      </c>
      <c r="O104" s="3" t="n">
        <v>994.0</v>
      </c>
      <c r="P104" s="3" t="n">
        <v>1029.0</v>
      </c>
      <c r="Q104" s="3" t="n">
        <v>969.0</v>
      </c>
      <c r="R104" s="3" t="n">
        <v>938.0</v>
      </c>
      <c r="S104" s="3" t="n">
        <v>939.0</v>
      </c>
      <c r="T104" s="3" t="n">
        <v>968.0</v>
      </c>
      <c r="U104" s="3" t="n">
        <v>1001.0</v>
      </c>
      <c r="V104" s="3" t="n">
        <v>1540.0</v>
      </c>
      <c r="W104" s="3" t="n">
        <v>1731.0</v>
      </c>
      <c r="X104" s="3" t="n">
        <v>1954.0</v>
      </c>
      <c r="Y104" s="3" t="n">
        <v>2071.0</v>
      </c>
      <c r="Z104" s="3" t="n">
        <v>2162.0</v>
      </c>
      <c r="AA104" s="3" t="n">
        <v>2270.0</v>
      </c>
      <c r="AB104" s="3" t="n">
        <v>2308.0</v>
      </c>
      <c r="AC104" s="3" t="n">
        <v>2335.0</v>
      </c>
      <c r="AD104" s="3" t="n">
        <v>2368.0</v>
      </c>
      <c r="AE104" s="3" t="n">
        <v>2483.0</v>
      </c>
      <c r="AF104" s="3" t="n">
        <v>2505.0</v>
      </c>
      <c r="AG104" s="3" t="n">
        <v>2485.0</v>
      </c>
      <c r="AH104" s="3" t="n">
        <v>2466.0</v>
      </c>
      <c r="AI104" s="3" t="n">
        <v>2365.0</v>
      </c>
      <c r="AJ104" s="3" t="n">
        <v>2154.0</v>
      </c>
      <c r="AK104" s="3" t="n">
        <v>2043.0</v>
      </c>
      <c r="AL104" s="3" t="n">
        <v>1911.0</v>
      </c>
      <c r="AM104" s="3" t="n">
        <v>1937.0</v>
      </c>
      <c r="AN104" s="3" t="n">
        <v>1858.0</v>
      </c>
      <c r="AO104" s="3" t="n">
        <v>1809.0</v>
      </c>
    </row>
    <row r="105" spans="1:41" x14ac:dyDescent="0.2">
      <c r="A105" s="128"/>
      <c r="B105" s="9">
        <v>96</v>
      </c>
      <c r="C105" s="3" t="n">
        <v>486.0</v>
      </c>
      <c r="D105" s="3" t="n">
        <v>549.0</v>
      </c>
      <c r="E105" s="3" t="n">
        <v>607.0</v>
      </c>
      <c r="F105" s="3" t="n">
        <v>639.0</v>
      </c>
      <c r="G105" s="3" t="n">
        <v>721.0</v>
      </c>
      <c r="H105" s="3" t="n">
        <v>713.0</v>
      </c>
      <c r="I105" s="3" t="n">
        <v>741.0</v>
      </c>
      <c r="J105" s="3" t="n">
        <v>736.0</v>
      </c>
      <c r="K105" s="3" t="n">
        <v>772.0</v>
      </c>
      <c r="L105" s="3" t="n">
        <v>804.0</v>
      </c>
      <c r="M105" s="3" t="n">
        <v>838.0</v>
      </c>
      <c r="N105" s="3" t="n">
        <v>801.0</v>
      </c>
      <c r="O105" s="3" t="n">
        <v>801.0</v>
      </c>
      <c r="P105" s="3" t="n">
        <v>770.0</v>
      </c>
      <c r="Q105" s="3" t="n">
        <v>803.0</v>
      </c>
      <c r="R105" s="3" t="n">
        <v>757.0</v>
      </c>
      <c r="S105" s="3" t="n">
        <v>725.0</v>
      </c>
      <c r="T105" s="3" t="n">
        <v>734.0</v>
      </c>
      <c r="U105" s="3" t="n">
        <v>760.0</v>
      </c>
      <c r="V105" s="3" t="n">
        <v>788.0</v>
      </c>
      <c r="W105" s="3" t="n">
        <v>1204.0</v>
      </c>
      <c r="X105" s="3" t="n">
        <v>1356.0</v>
      </c>
      <c r="Y105" s="3" t="n">
        <v>1530.0</v>
      </c>
      <c r="Z105" s="3" t="n">
        <v>1622.0</v>
      </c>
      <c r="AA105" s="3" t="n">
        <v>1695.0</v>
      </c>
      <c r="AB105" s="3" t="n">
        <v>1784.0</v>
      </c>
      <c r="AC105" s="3" t="n">
        <v>1813.0</v>
      </c>
      <c r="AD105" s="3" t="n">
        <v>1836.0</v>
      </c>
      <c r="AE105" s="3" t="n">
        <v>1859.0</v>
      </c>
      <c r="AF105" s="3" t="n">
        <v>1953.0</v>
      </c>
      <c r="AG105" s="3" t="n">
        <v>1972.0</v>
      </c>
      <c r="AH105" s="3" t="n">
        <v>1956.0</v>
      </c>
      <c r="AI105" s="3" t="n">
        <v>1947.0</v>
      </c>
      <c r="AJ105" s="3" t="n">
        <v>1868.0</v>
      </c>
      <c r="AK105" s="3" t="n">
        <v>1702.0</v>
      </c>
      <c r="AL105" s="3" t="n">
        <v>1615.0</v>
      </c>
      <c r="AM105" s="3" t="n">
        <v>1516.0</v>
      </c>
      <c r="AN105" s="3" t="n">
        <v>1531.0</v>
      </c>
      <c r="AO105" s="3" t="n">
        <v>1472.0</v>
      </c>
    </row>
    <row r="106" spans="1:41" x14ac:dyDescent="0.2">
      <c r="A106" s="128"/>
      <c r="B106" s="9">
        <v>97</v>
      </c>
      <c r="C106" s="3" t="n">
        <v>355.0</v>
      </c>
      <c r="D106" s="3" t="n">
        <v>365.0</v>
      </c>
      <c r="E106" s="3" t="n">
        <v>409.0</v>
      </c>
      <c r="F106" s="3" t="n">
        <v>454.0</v>
      </c>
      <c r="G106" s="3" t="n">
        <v>486.0</v>
      </c>
      <c r="H106" s="3" t="n">
        <v>535.0</v>
      </c>
      <c r="I106" s="3" t="n">
        <v>538.0</v>
      </c>
      <c r="J106" s="3" t="n">
        <v>557.0</v>
      </c>
      <c r="K106" s="3" t="n">
        <v>555.0</v>
      </c>
      <c r="L106" s="3" t="n">
        <v>579.0</v>
      </c>
      <c r="M106" s="3" t="n">
        <v>606.0</v>
      </c>
      <c r="N106" s="3" t="n">
        <v>629.0</v>
      </c>
      <c r="O106" s="3" t="n">
        <v>611.0</v>
      </c>
      <c r="P106" s="3" t="n">
        <v>604.0</v>
      </c>
      <c r="Q106" s="3" t="n">
        <v>584.0</v>
      </c>
      <c r="R106" s="3" t="n">
        <v>613.0</v>
      </c>
      <c r="S106" s="3" t="n">
        <v>583.0</v>
      </c>
      <c r="T106" s="3" t="n">
        <v>549.0</v>
      </c>
      <c r="U106" s="3" t="n">
        <v>561.0</v>
      </c>
      <c r="V106" s="3" t="n">
        <v>584.0</v>
      </c>
      <c r="W106" s="3" t="n">
        <v>603.0</v>
      </c>
      <c r="X106" s="3" t="n">
        <v>921.0</v>
      </c>
      <c r="Y106" s="3" t="n">
        <v>1041.0</v>
      </c>
      <c r="Z106" s="3" t="n">
        <v>1168.0</v>
      </c>
      <c r="AA106" s="3" t="n">
        <v>1244.0</v>
      </c>
      <c r="AB106" s="3" t="n">
        <v>1298.0</v>
      </c>
      <c r="AC106" s="3" t="n">
        <v>1367.0</v>
      </c>
      <c r="AD106" s="3" t="n">
        <v>1392.0</v>
      </c>
      <c r="AE106" s="3" t="n">
        <v>1411.0</v>
      </c>
      <c r="AF106" s="3" t="n">
        <v>1425.0</v>
      </c>
      <c r="AG106" s="3" t="n">
        <v>1501.0</v>
      </c>
      <c r="AH106" s="3" t="n">
        <v>1519.0</v>
      </c>
      <c r="AI106" s="3" t="n">
        <v>1502.0</v>
      </c>
      <c r="AJ106" s="3" t="n">
        <v>1505.0</v>
      </c>
      <c r="AK106" s="3" t="n">
        <v>1440.0</v>
      </c>
      <c r="AL106" s="3" t="n">
        <v>1312.0</v>
      </c>
      <c r="AM106" s="3" t="n">
        <v>1249.0</v>
      </c>
      <c r="AN106" s="3" t="n">
        <v>1179.0</v>
      </c>
      <c r="AO106" s="3" t="n">
        <v>1192.0</v>
      </c>
    </row>
    <row r="107" spans="1:41" x14ac:dyDescent="0.2">
      <c r="A107" s="128"/>
      <c r="B107" s="9">
        <v>98</v>
      </c>
      <c r="C107" s="3" t="n">
        <v>267.0</v>
      </c>
      <c r="D107" s="3" t="n">
        <v>260.0</v>
      </c>
      <c r="E107" s="3" t="n">
        <v>264.0</v>
      </c>
      <c r="F107" s="3" t="n">
        <v>292.0</v>
      </c>
      <c r="G107" s="3" t="n">
        <v>327.0</v>
      </c>
      <c r="H107" s="3" t="n">
        <v>354.0</v>
      </c>
      <c r="I107" s="3" t="n">
        <v>390.0</v>
      </c>
      <c r="J107" s="3" t="n">
        <v>390.0</v>
      </c>
      <c r="K107" s="3" t="n">
        <v>404.0</v>
      </c>
      <c r="L107" s="3" t="n">
        <v>403.0</v>
      </c>
      <c r="M107" s="3" t="n">
        <v>426.0</v>
      </c>
      <c r="N107" s="3" t="n">
        <v>441.0</v>
      </c>
      <c r="O107" s="3" t="n">
        <v>460.0</v>
      </c>
      <c r="P107" s="3" t="n">
        <v>448.0</v>
      </c>
      <c r="Q107" s="3" t="n">
        <v>445.0</v>
      </c>
      <c r="R107" s="3" t="n">
        <v>426.0</v>
      </c>
      <c r="S107" s="3" t="n">
        <v>456.0</v>
      </c>
      <c r="T107" s="3" t="n">
        <v>430.0</v>
      </c>
      <c r="U107" s="3" t="n">
        <v>406.0</v>
      </c>
      <c r="V107" s="3" t="n">
        <v>415.0</v>
      </c>
      <c r="W107" s="3" t="n">
        <v>434.0</v>
      </c>
      <c r="X107" s="3" t="n">
        <v>452.0</v>
      </c>
      <c r="Y107" s="3" t="n">
        <v>685.0</v>
      </c>
      <c r="Z107" s="3" t="n">
        <v>768.0</v>
      </c>
      <c r="AA107" s="3" t="n">
        <v>875.0</v>
      </c>
      <c r="AB107" s="3" t="n">
        <v>931.0</v>
      </c>
      <c r="AC107" s="3" t="n">
        <v>973.0</v>
      </c>
      <c r="AD107" s="3" t="n">
        <v>1021.0</v>
      </c>
      <c r="AE107" s="3" t="n">
        <v>1042.0</v>
      </c>
      <c r="AF107" s="3" t="n">
        <v>1059.0</v>
      </c>
      <c r="AG107" s="3" t="n">
        <v>1066.0</v>
      </c>
      <c r="AH107" s="3" t="n">
        <v>1127.0</v>
      </c>
      <c r="AI107" s="3" t="n">
        <v>1144.0</v>
      </c>
      <c r="AJ107" s="3" t="n">
        <v>1130.0</v>
      </c>
      <c r="AK107" s="3" t="n">
        <v>1134.0</v>
      </c>
      <c r="AL107" s="3" t="n">
        <v>1087.0</v>
      </c>
      <c r="AM107" s="3" t="n">
        <v>988.0</v>
      </c>
      <c r="AN107" s="3" t="n">
        <v>944.0</v>
      </c>
      <c r="AO107" s="3" t="n">
        <v>894.0</v>
      </c>
    </row>
    <row r="108" spans="1:41" x14ac:dyDescent="0.2">
      <c r="A108" s="128"/>
      <c r="B108" s="9">
        <v>99</v>
      </c>
      <c r="C108" s="3" t="n">
        <v>173.0</v>
      </c>
      <c r="D108" s="3" t="n">
        <v>182.0</v>
      </c>
      <c r="E108" s="3" t="n">
        <v>184.0</v>
      </c>
      <c r="F108" s="3" t="n">
        <v>189.0</v>
      </c>
      <c r="G108" s="3" t="n">
        <v>203.0</v>
      </c>
      <c r="H108" s="3" t="n">
        <v>236.0</v>
      </c>
      <c r="I108" s="3" t="n">
        <v>257.0</v>
      </c>
      <c r="J108" s="3" t="n">
        <v>281.0</v>
      </c>
      <c r="K108" s="3" t="n">
        <v>281.0</v>
      </c>
      <c r="L108" s="3" t="n">
        <v>287.0</v>
      </c>
      <c r="M108" s="3" t="n">
        <v>289.0</v>
      </c>
      <c r="N108" s="3" t="n">
        <v>302.0</v>
      </c>
      <c r="O108" s="3" t="n">
        <v>316.0</v>
      </c>
      <c r="P108" s="3" t="n">
        <v>329.0</v>
      </c>
      <c r="Q108" s="3" t="n">
        <v>323.0</v>
      </c>
      <c r="R108" s="3" t="n">
        <v>323.0</v>
      </c>
      <c r="S108" s="3" t="n">
        <v>309.0</v>
      </c>
      <c r="T108" s="3" t="n">
        <v>325.0</v>
      </c>
      <c r="U108" s="3" t="n">
        <v>308.0</v>
      </c>
      <c r="V108" s="3" t="n">
        <v>293.0</v>
      </c>
      <c r="W108" s="3" t="n">
        <v>300.0</v>
      </c>
      <c r="X108" s="3" t="n">
        <v>318.0</v>
      </c>
      <c r="Y108" s="3" t="n">
        <v>331.0</v>
      </c>
      <c r="Z108" s="3" t="n">
        <v>496.0</v>
      </c>
      <c r="AA108" s="3" t="n">
        <v>556.0</v>
      </c>
      <c r="AB108" s="3" t="n">
        <v>641.0</v>
      </c>
      <c r="AC108" s="3" t="n">
        <v>681.0</v>
      </c>
      <c r="AD108" s="3" t="n">
        <v>716.0</v>
      </c>
      <c r="AE108" s="3" t="n">
        <v>749.0</v>
      </c>
      <c r="AF108" s="3" t="n">
        <v>770.0</v>
      </c>
      <c r="AG108" s="3" t="n">
        <v>775.0</v>
      </c>
      <c r="AH108" s="3" t="n">
        <v>786.0</v>
      </c>
      <c r="AI108" s="3" t="n">
        <v>831.0</v>
      </c>
      <c r="AJ108" s="3" t="n">
        <v>843.0</v>
      </c>
      <c r="AK108" s="3" t="n">
        <v>831.0</v>
      </c>
      <c r="AL108" s="3" t="n">
        <v>833.0</v>
      </c>
      <c r="AM108" s="3" t="n">
        <v>804.0</v>
      </c>
      <c r="AN108" s="3" t="n">
        <v>733.0</v>
      </c>
      <c r="AO108" s="3" t="n">
        <v>702.0</v>
      </c>
    </row>
    <row r="109" spans="1:41" x14ac:dyDescent="0.2">
      <c r="A109" s="128"/>
      <c r="B109" s="9" t="s">
        <v>79</v>
      </c>
      <c r="C109" s="4" t="n">
        <v>233.0</v>
      </c>
      <c r="D109" s="4" t="n">
        <v>268.0</v>
      </c>
      <c r="E109" s="4" t="n">
        <v>296.0</v>
      </c>
      <c r="F109" s="4" t="n">
        <v>316.0</v>
      </c>
      <c r="G109" s="4" t="n">
        <v>339.0</v>
      </c>
      <c r="H109" s="4" t="n">
        <v>358.0</v>
      </c>
      <c r="I109" s="4" t="n">
        <v>399.0</v>
      </c>
      <c r="J109" s="4" t="n">
        <v>436.0</v>
      </c>
      <c r="K109" s="4" t="n">
        <v>484.0</v>
      </c>
      <c r="L109" s="4" t="n">
        <v>511.0</v>
      </c>
      <c r="M109" s="4" t="n">
        <v>530.0</v>
      </c>
      <c r="N109" s="4" t="n">
        <v>545.0</v>
      </c>
      <c r="O109" s="4" t="n">
        <v>563.0</v>
      </c>
      <c r="P109" s="4" t="n">
        <v>586.0</v>
      </c>
      <c r="Q109" s="4" t="n">
        <v>617.0</v>
      </c>
      <c r="R109" s="4" t="n">
        <v>626.0</v>
      </c>
      <c r="S109" s="4" t="n">
        <v>638.0</v>
      </c>
      <c r="T109" s="4" t="n">
        <v>631.0</v>
      </c>
      <c r="U109" s="4" t="n">
        <v>644.0</v>
      </c>
      <c r="V109" s="4" t="n">
        <v>642.0</v>
      </c>
      <c r="W109" s="4" t="n">
        <v>633.0</v>
      </c>
      <c r="X109" s="4" t="n">
        <v>634.0</v>
      </c>
      <c r="Y109" s="4" t="n">
        <v>645.0</v>
      </c>
      <c r="Z109" s="4" t="n">
        <v>665.0</v>
      </c>
      <c r="AA109" s="4" t="n">
        <v>789.0</v>
      </c>
      <c r="AB109" s="4" t="n">
        <v>918.0</v>
      </c>
      <c r="AC109" s="4" t="n">
        <v>1062.0</v>
      </c>
      <c r="AD109" s="4" t="n">
        <v>1191.0</v>
      </c>
      <c r="AE109" s="4" t="n">
        <v>1304.0</v>
      </c>
      <c r="AF109" s="4" t="n">
        <v>1404.0</v>
      </c>
      <c r="AG109" s="4" t="n">
        <v>1485.0</v>
      </c>
      <c r="AH109" s="4" t="n">
        <v>1545.0</v>
      </c>
      <c r="AI109" s="4" t="n">
        <v>1587.0</v>
      </c>
      <c r="AJ109" s="4" t="n">
        <v>1650.0</v>
      </c>
      <c r="AK109" s="4" t="n">
        <v>1707.0</v>
      </c>
      <c r="AL109" s="4" t="n">
        <v>1741.0</v>
      </c>
      <c r="AM109" s="4" t="n">
        <v>1764.0</v>
      </c>
      <c r="AN109" s="4" t="n">
        <v>1762.0</v>
      </c>
      <c r="AO109" s="3" t="n">
        <v>1710.0</v>
      </c>
    </row>
    <row r="110" spans="1:41" x14ac:dyDescent="0.2">
      <c r="A110" s="129" t="s">
        <v>50</v>
      </c>
      <c r="B110" s="14" t="s">
        <v>47</v>
      </c>
      <c r="C110" s="16" t="n">
        <v>796189.0</v>
      </c>
      <c r="D110" s="16" t="n">
        <v>791353.0</v>
      </c>
      <c r="E110" s="16" t="n">
        <v>786184.0</v>
      </c>
      <c r="F110" s="16" t="n">
        <v>780693.0</v>
      </c>
      <c r="G110" s="16" t="n">
        <v>774961.0</v>
      </c>
      <c r="H110" s="16" t="n">
        <v>769572.0</v>
      </c>
      <c r="I110" s="16" t="n">
        <v>764149.0</v>
      </c>
      <c r="J110" s="16" t="n">
        <v>758030.0</v>
      </c>
      <c r="K110" s="16" t="n">
        <v>751442.0</v>
      </c>
      <c r="L110" s="16" t="n">
        <v>744554.0</v>
      </c>
      <c r="M110" s="16" t="n">
        <v>737440.0</v>
      </c>
      <c r="N110" s="16" t="n">
        <v>730012.0</v>
      </c>
      <c r="O110" s="16" t="n">
        <v>722449.0</v>
      </c>
      <c r="P110" s="16" t="n">
        <v>714740.0</v>
      </c>
      <c r="Q110" s="16" t="n">
        <v>706920.0</v>
      </c>
      <c r="R110" s="16" t="n">
        <v>698950.0</v>
      </c>
      <c r="S110" s="16" t="n">
        <v>690941.0</v>
      </c>
      <c r="T110" s="16" t="n">
        <v>682772.0</v>
      </c>
      <c r="U110" s="16" t="n">
        <v>674607.0</v>
      </c>
      <c r="V110" s="16" t="n">
        <v>666398.0</v>
      </c>
      <c r="W110" s="16" t="n">
        <v>658141.0</v>
      </c>
      <c r="X110" s="16" t="n">
        <v>649909.0</v>
      </c>
      <c r="Y110" s="16" t="n">
        <v>641587.0</v>
      </c>
      <c r="Z110" s="16" t="n">
        <v>633235.0</v>
      </c>
      <c r="AA110" s="16" t="n">
        <v>624902.0</v>
      </c>
      <c r="AB110" s="16" t="n">
        <v>616543.0</v>
      </c>
      <c r="AC110" s="16" t="n">
        <v>608249.0</v>
      </c>
      <c r="AD110" s="16" t="n">
        <v>599844.0</v>
      </c>
      <c r="AE110" s="16" t="n">
        <v>591488.0</v>
      </c>
      <c r="AF110" s="16" t="n">
        <v>583050.0</v>
      </c>
      <c r="AG110" s="16" t="n">
        <v>574639.0</v>
      </c>
      <c r="AH110" s="16" t="n">
        <v>566180.0</v>
      </c>
      <c r="AI110" s="16" t="n">
        <v>557631.0</v>
      </c>
      <c r="AJ110" s="16" t="n">
        <v>549068.0</v>
      </c>
      <c r="AK110" s="16" t="n">
        <v>540415.0</v>
      </c>
      <c r="AL110" s="16" t="n">
        <v>531701.0</v>
      </c>
      <c r="AM110" s="16" t="n">
        <v>522978.0</v>
      </c>
      <c r="AN110" s="16" t="n">
        <v>514182.0</v>
      </c>
      <c r="AO110" s="15" t="n">
        <v>505325.0</v>
      </c>
    </row>
    <row r="111" spans="1:41" x14ac:dyDescent="0.2">
      <c r="A111" s="128"/>
      <c r="B111" s="9">
        <v>0</v>
      </c>
      <c r="C111" s="3" t="n">
        <v>5791.0</v>
      </c>
      <c r="D111" s="3" t="n">
        <v>5556.0</v>
      </c>
      <c r="E111" s="3" t="n">
        <v>5340.0</v>
      </c>
      <c r="F111" s="3" t="n">
        <v>5153.0</v>
      </c>
      <c r="G111" s="3" t="n">
        <v>5004.0</v>
      </c>
      <c r="H111" s="3" t="n">
        <v>4855.0</v>
      </c>
      <c r="I111" s="3" t="n">
        <v>4749.0</v>
      </c>
      <c r="J111" s="3" t="n">
        <v>4648.0</v>
      </c>
      <c r="K111" s="3" t="n">
        <v>4560.0</v>
      </c>
      <c r="L111" s="3" t="n">
        <v>4481.0</v>
      </c>
      <c r="M111" s="3" t="n">
        <v>4414.0</v>
      </c>
      <c r="N111" s="3" t="n">
        <v>4358.0</v>
      </c>
      <c r="O111" s="3" t="n">
        <v>4314.0</v>
      </c>
      <c r="P111" s="3" t="n">
        <v>4277.0</v>
      </c>
      <c r="Q111" s="3" t="n">
        <v>4265.0</v>
      </c>
      <c r="R111" s="3" t="n">
        <v>4250.0</v>
      </c>
      <c r="S111" s="3" t="n">
        <v>4242.0</v>
      </c>
      <c r="T111" s="3" t="n">
        <v>4235.0</v>
      </c>
      <c r="U111" s="3" t="n">
        <v>4222.0</v>
      </c>
      <c r="V111" s="3" t="n">
        <v>4197.0</v>
      </c>
      <c r="W111" s="3" t="n">
        <v>4179.0</v>
      </c>
      <c r="X111" s="3" t="n">
        <v>4150.0</v>
      </c>
      <c r="Y111" s="3" t="n">
        <v>4109.0</v>
      </c>
      <c r="Z111" s="3" t="n">
        <v>4055.0</v>
      </c>
      <c r="AA111" s="3" t="n">
        <v>3993.0</v>
      </c>
      <c r="AB111" s="3" t="n">
        <v>3911.0</v>
      </c>
      <c r="AC111" s="3" t="n">
        <v>3824.0</v>
      </c>
      <c r="AD111" s="3" t="n">
        <v>3718.0</v>
      </c>
      <c r="AE111" s="3" t="n">
        <v>3620.0</v>
      </c>
      <c r="AF111" s="3" t="n">
        <v>3517.0</v>
      </c>
      <c r="AG111" s="3" t="n">
        <v>3400.0</v>
      </c>
      <c r="AH111" s="3" t="n">
        <v>3291.0</v>
      </c>
      <c r="AI111" s="3" t="n">
        <v>3180.0</v>
      </c>
      <c r="AJ111" s="3" t="n">
        <v>3063.0</v>
      </c>
      <c r="AK111" s="3" t="n">
        <v>2958.0</v>
      </c>
      <c r="AL111" s="3" t="n">
        <v>2855.0</v>
      </c>
      <c r="AM111" s="3" t="n">
        <v>2755.0</v>
      </c>
      <c r="AN111" s="3" t="n">
        <v>2666.0</v>
      </c>
      <c r="AO111" s="3" t="n">
        <v>2588.0</v>
      </c>
    </row>
    <row r="112" spans="1:41" x14ac:dyDescent="0.2">
      <c r="A112" s="128"/>
      <c r="B112" s="9">
        <v>1</v>
      </c>
      <c r="C112" s="3" t="n">
        <v>6609.0</v>
      </c>
      <c r="D112" s="3" t="n">
        <v>5815.0</v>
      </c>
      <c r="E112" s="3" t="n">
        <v>5583.0</v>
      </c>
      <c r="F112" s="3" t="n">
        <v>5361.0</v>
      </c>
      <c r="G112" s="3" t="n">
        <v>5176.0</v>
      </c>
      <c r="H112" s="3" t="n">
        <v>5040.0</v>
      </c>
      <c r="I112" s="3" t="n">
        <v>4895.0</v>
      </c>
      <c r="J112" s="3" t="n">
        <v>4779.0</v>
      </c>
      <c r="K112" s="3" t="n">
        <v>4676.0</v>
      </c>
      <c r="L112" s="3" t="n">
        <v>4585.0</v>
      </c>
      <c r="M112" s="3" t="n">
        <v>4501.0</v>
      </c>
      <c r="N112" s="3" t="n">
        <v>4435.0</v>
      </c>
      <c r="O112" s="3" t="n">
        <v>4376.0</v>
      </c>
      <c r="P112" s="3" t="n">
        <v>4331.0</v>
      </c>
      <c r="Q112" s="3" t="n">
        <v>4294.0</v>
      </c>
      <c r="R112" s="3" t="n">
        <v>4282.0</v>
      </c>
      <c r="S112" s="3" t="n">
        <v>4266.0</v>
      </c>
      <c r="T112" s="3" t="n">
        <v>4258.0</v>
      </c>
      <c r="U112" s="3" t="n">
        <v>4251.0</v>
      </c>
      <c r="V112" s="3" t="n">
        <v>4238.0</v>
      </c>
      <c r="W112" s="3" t="n">
        <v>4213.0</v>
      </c>
      <c r="X112" s="3" t="n">
        <v>4200.0</v>
      </c>
      <c r="Y112" s="3" t="n">
        <v>4172.0</v>
      </c>
      <c r="Z112" s="3" t="n">
        <v>4133.0</v>
      </c>
      <c r="AA112" s="3" t="n">
        <v>4080.0</v>
      </c>
      <c r="AB112" s="3" t="n">
        <v>4016.0</v>
      </c>
      <c r="AC112" s="3" t="n">
        <v>3935.0</v>
      </c>
      <c r="AD112" s="3" t="n">
        <v>3851.0</v>
      </c>
      <c r="AE112" s="3" t="n">
        <v>3747.0</v>
      </c>
      <c r="AF112" s="3" t="n">
        <v>3644.0</v>
      </c>
      <c r="AG112" s="3" t="n">
        <v>3542.0</v>
      </c>
      <c r="AH112" s="3" t="n">
        <v>3422.0</v>
      </c>
      <c r="AI112" s="3" t="n">
        <v>3311.0</v>
      </c>
      <c r="AJ112" s="3" t="n">
        <v>3202.0</v>
      </c>
      <c r="AK112" s="3" t="n">
        <v>3087.0</v>
      </c>
      <c r="AL112" s="3" t="n">
        <v>2981.0</v>
      </c>
      <c r="AM112" s="3" t="n">
        <v>2880.0</v>
      </c>
      <c r="AN112" s="3" t="n">
        <v>2782.0</v>
      </c>
      <c r="AO112" s="3" t="n">
        <v>2694.0</v>
      </c>
    </row>
    <row r="113" spans="1:41" x14ac:dyDescent="0.2">
      <c r="A113" s="128"/>
      <c r="B113" s="9">
        <v>2</v>
      </c>
      <c r="C113" s="3" t="n">
        <v>6909.0</v>
      </c>
      <c r="D113" s="3" t="n">
        <v>6625.0</v>
      </c>
      <c r="E113" s="3" t="n">
        <v>5836.0</v>
      </c>
      <c r="F113" s="3" t="n">
        <v>5603.0</v>
      </c>
      <c r="G113" s="3" t="n">
        <v>5384.0</v>
      </c>
      <c r="H113" s="3" t="n">
        <v>5227.0</v>
      </c>
      <c r="I113" s="3" t="n">
        <v>5092.0</v>
      </c>
      <c r="J113" s="3" t="n">
        <v>4932.0</v>
      </c>
      <c r="K113" s="3" t="n">
        <v>4803.0</v>
      </c>
      <c r="L113" s="3" t="n">
        <v>4697.0</v>
      </c>
      <c r="M113" s="3" t="n">
        <v>4602.0</v>
      </c>
      <c r="N113" s="3" t="n">
        <v>4517.0</v>
      </c>
      <c r="O113" s="3" t="n">
        <v>4449.0</v>
      </c>
      <c r="P113" s="3" t="n">
        <v>4391.0</v>
      </c>
      <c r="Q113" s="3" t="n">
        <v>4345.0</v>
      </c>
      <c r="R113" s="3" t="n">
        <v>4309.0</v>
      </c>
      <c r="S113" s="3" t="n">
        <v>4297.0</v>
      </c>
      <c r="T113" s="3" t="n">
        <v>4280.0</v>
      </c>
      <c r="U113" s="3" t="n">
        <v>4272.0</v>
      </c>
      <c r="V113" s="3" t="n">
        <v>4266.0</v>
      </c>
      <c r="W113" s="3" t="n">
        <v>4253.0</v>
      </c>
      <c r="X113" s="3" t="n">
        <v>4229.0</v>
      </c>
      <c r="Y113" s="3" t="n">
        <v>4218.0</v>
      </c>
      <c r="Z113" s="3" t="n">
        <v>4190.0</v>
      </c>
      <c r="AA113" s="3" t="n">
        <v>4151.0</v>
      </c>
      <c r="AB113" s="3" t="n">
        <v>4099.0</v>
      </c>
      <c r="AC113" s="3" t="n">
        <v>4034.0</v>
      </c>
      <c r="AD113" s="3" t="n">
        <v>3955.0</v>
      </c>
      <c r="AE113" s="3" t="n">
        <v>3872.0</v>
      </c>
      <c r="AF113" s="3" t="n">
        <v>3768.0</v>
      </c>
      <c r="AG113" s="3" t="n">
        <v>3664.0</v>
      </c>
      <c r="AH113" s="3" t="n">
        <v>3563.0</v>
      </c>
      <c r="AI113" s="3" t="n">
        <v>3440.0</v>
      </c>
      <c r="AJ113" s="3" t="n">
        <v>3327.0</v>
      </c>
      <c r="AK113" s="3" t="n">
        <v>3224.0</v>
      </c>
      <c r="AL113" s="3" t="n">
        <v>3109.0</v>
      </c>
      <c r="AM113" s="3" t="n">
        <v>3002.0</v>
      </c>
      <c r="AN113" s="3" t="n">
        <v>2902.0</v>
      </c>
      <c r="AO113" s="3" t="n">
        <v>2804.0</v>
      </c>
    </row>
    <row r="114" spans="1:41" x14ac:dyDescent="0.2">
      <c r="A114" s="128"/>
      <c r="B114" s="9">
        <v>3</v>
      </c>
      <c r="C114" s="3" t="n">
        <v>7489.0</v>
      </c>
      <c r="D114" s="3" t="n">
        <v>6928.0</v>
      </c>
      <c r="E114" s="3" t="n">
        <v>6634.0</v>
      </c>
      <c r="F114" s="3" t="n">
        <v>5854.0</v>
      </c>
      <c r="G114" s="3" t="n">
        <v>5627.0</v>
      </c>
      <c r="H114" s="3" t="n">
        <v>5424.0</v>
      </c>
      <c r="I114" s="3" t="n">
        <v>5276.0</v>
      </c>
      <c r="J114" s="3" t="n">
        <v>5127.0</v>
      </c>
      <c r="K114" s="3" t="n">
        <v>4961.0</v>
      </c>
      <c r="L114" s="3" t="n">
        <v>4829.0</v>
      </c>
      <c r="M114" s="3" t="n">
        <v>4718.0</v>
      </c>
      <c r="N114" s="3" t="n">
        <v>4622.0</v>
      </c>
      <c r="O114" s="3" t="n">
        <v>4533.0</v>
      </c>
      <c r="P114" s="3" t="n">
        <v>4462.0</v>
      </c>
      <c r="Q114" s="3" t="n">
        <v>4403.0</v>
      </c>
      <c r="R114" s="3" t="n">
        <v>4358.0</v>
      </c>
      <c r="S114" s="3" t="n">
        <v>4322.0</v>
      </c>
      <c r="T114" s="3" t="n">
        <v>4309.0</v>
      </c>
      <c r="U114" s="3" t="n">
        <v>4292.0</v>
      </c>
      <c r="V114" s="3" t="n">
        <v>4284.0</v>
      </c>
      <c r="W114" s="3" t="n">
        <v>4278.0</v>
      </c>
      <c r="X114" s="3" t="n">
        <v>4264.0</v>
      </c>
      <c r="Y114" s="3" t="n">
        <v>4240.0</v>
      </c>
      <c r="Z114" s="3" t="n">
        <v>4230.0</v>
      </c>
      <c r="AA114" s="3" t="n">
        <v>4201.0</v>
      </c>
      <c r="AB114" s="3" t="n">
        <v>4161.0</v>
      </c>
      <c r="AC114" s="3" t="n">
        <v>4110.0</v>
      </c>
      <c r="AD114" s="3" t="n">
        <v>4051.0</v>
      </c>
      <c r="AE114" s="3" t="n">
        <v>3973.0</v>
      </c>
      <c r="AF114" s="3" t="n">
        <v>3891.0</v>
      </c>
      <c r="AG114" s="3" t="n">
        <v>3787.0</v>
      </c>
      <c r="AH114" s="3" t="n">
        <v>3682.0</v>
      </c>
      <c r="AI114" s="3" t="n">
        <v>3581.0</v>
      </c>
      <c r="AJ114" s="3" t="n">
        <v>3458.0</v>
      </c>
      <c r="AK114" s="3" t="n">
        <v>3347.0</v>
      </c>
      <c r="AL114" s="3" t="n">
        <v>3244.0</v>
      </c>
      <c r="AM114" s="3" t="n">
        <v>3128.0</v>
      </c>
      <c r="AN114" s="3" t="n">
        <v>3023.0</v>
      </c>
      <c r="AO114" s="3" t="n">
        <v>2922.0</v>
      </c>
    </row>
    <row r="115" spans="1:41" x14ac:dyDescent="0.2">
      <c r="A115" s="128"/>
      <c r="B115" s="9">
        <v>4</v>
      </c>
      <c r="C115" s="3" t="n">
        <v>7938.0</v>
      </c>
      <c r="D115" s="3" t="n">
        <v>7499.0</v>
      </c>
      <c r="E115" s="3" t="n">
        <v>6941.0</v>
      </c>
      <c r="F115" s="3" t="n">
        <v>6643.0</v>
      </c>
      <c r="G115" s="3" t="n">
        <v>5867.0</v>
      </c>
      <c r="H115" s="3" t="n">
        <v>5664.0</v>
      </c>
      <c r="I115" s="3" t="n">
        <v>5468.0</v>
      </c>
      <c r="J115" s="3" t="n">
        <v>5308.0</v>
      </c>
      <c r="K115" s="3" t="n">
        <v>5148.0</v>
      </c>
      <c r="L115" s="3" t="n">
        <v>4976.0</v>
      </c>
      <c r="M115" s="3" t="n">
        <v>4845.0</v>
      </c>
      <c r="N115" s="3" t="n">
        <v>4734.0</v>
      </c>
      <c r="O115" s="3" t="n">
        <v>4637.0</v>
      </c>
      <c r="P115" s="3" t="n">
        <v>4549.0</v>
      </c>
      <c r="Q115" s="3" t="n">
        <v>4476.0</v>
      </c>
      <c r="R115" s="3" t="n">
        <v>4416.0</v>
      </c>
      <c r="S115" s="3" t="n">
        <v>4371.0</v>
      </c>
      <c r="T115" s="3" t="n">
        <v>4333.0</v>
      </c>
      <c r="U115" s="3" t="n">
        <v>4321.0</v>
      </c>
      <c r="V115" s="3" t="n">
        <v>4305.0</v>
      </c>
      <c r="W115" s="3" t="n">
        <v>4296.0</v>
      </c>
      <c r="X115" s="3" t="n">
        <v>4291.0</v>
      </c>
      <c r="Y115" s="3" t="n">
        <v>4277.0</v>
      </c>
      <c r="Z115" s="3" t="n">
        <v>4251.0</v>
      </c>
      <c r="AA115" s="3" t="n">
        <v>4242.0</v>
      </c>
      <c r="AB115" s="3" t="n">
        <v>4214.0</v>
      </c>
      <c r="AC115" s="3" t="n">
        <v>4172.0</v>
      </c>
      <c r="AD115" s="3" t="n">
        <v>4124.0</v>
      </c>
      <c r="AE115" s="3" t="n">
        <v>4064.0</v>
      </c>
      <c r="AF115" s="3" t="n">
        <v>3987.0</v>
      </c>
      <c r="AG115" s="3" t="n">
        <v>3904.0</v>
      </c>
      <c r="AH115" s="3" t="n">
        <v>3804.0</v>
      </c>
      <c r="AI115" s="3" t="n">
        <v>3697.0</v>
      </c>
      <c r="AJ115" s="3" t="n">
        <v>3595.0</v>
      </c>
      <c r="AK115" s="3" t="n">
        <v>3472.0</v>
      </c>
      <c r="AL115" s="3" t="n">
        <v>3362.0</v>
      </c>
      <c r="AM115" s="3" t="n">
        <v>3260.0</v>
      </c>
      <c r="AN115" s="3" t="n">
        <v>3145.0</v>
      </c>
      <c r="AO115" s="3" t="n">
        <v>3038.0</v>
      </c>
    </row>
    <row r="116" spans="1:41" x14ac:dyDescent="0.2">
      <c r="A116" s="128"/>
      <c r="B116" s="9">
        <v>5</v>
      </c>
      <c r="C116" s="3" t="n">
        <v>8487.0</v>
      </c>
      <c r="D116" s="3" t="n">
        <v>7947.0</v>
      </c>
      <c r="E116" s="3" t="n">
        <v>7508.0</v>
      </c>
      <c r="F116" s="3" t="n">
        <v>6948.0</v>
      </c>
      <c r="G116" s="3" t="n">
        <v>6661.0</v>
      </c>
      <c r="H116" s="3" t="n">
        <v>5907.0</v>
      </c>
      <c r="I116" s="3" t="n">
        <v>5710.0</v>
      </c>
      <c r="J116" s="3" t="n">
        <v>5496.0</v>
      </c>
      <c r="K116" s="3" t="n">
        <v>5328.0</v>
      </c>
      <c r="L116" s="3" t="n">
        <v>5167.0</v>
      </c>
      <c r="M116" s="3" t="n">
        <v>4992.0</v>
      </c>
      <c r="N116" s="3" t="n">
        <v>4861.0</v>
      </c>
      <c r="O116" s="3" t="n">
        <v>4747.0</v>
      </c>
      <c r="P116" s="3" t="n">
        <v>4651.0</v>
      </c>
      <c r="Q116" s="3" t="n">
        <v>4563.0</v>
      </c>
      <c r="R116" s="3" t="n">
        <v>4490.0</v>
      </c>
      <c r="S116" s="3" t="n">
        <v>4430.0</v>
      </c>
      <c r="T116" s="3" t="n">
        <v>4381.0</v>
      </c>
      <c r="U116" s="3" t="n">
        <v>4343.0</v>
      </c>
      <c r="V116" s="3" t="n">
        <v>4331.0</v>
      </c>
      <c r="W116" s="3" t="n">
        <v>4315.0</v>
      </c>
      <c r="X116" s="3" t="n">
        <v>4306.0</v>
      </c>
      <c r="Y116" s="3" t="n">
        <v>4300.0</v>
      </c>
      <c r="Z116" s="3" t="n">
        <v>4286.0</v>
      </c>
      <c r="AA116" s="3" t="n">
        <v>4262.0</v>
      </c>
      <c r="AB116" s="3" t="n">
        <v>4253.0</v>
      </c>
      <c r="AC116" s="3" t="n">
        <v>4226.0</v>
      </c>
      <c r="AD116" s="3" t="n">
        <v>4184.0</v>
      </c>
      <c r="AE116" s="3" t="n">
        <v>4138.0</v>
      </c>
      <c r="AF116" s="3" t="n">
        <v>4079.0</v>
      </c>
      <c r="AG116" s="3" t="n">
        <v>4003.0</v>
      </c>
      <c r="AH116" s="3" t="n">
        <v>3921.0</v>
      </c>
      <c r="AI116" s="3" t="n">
        <v>3820.0</v>
      </c>
      <c r="AJ116" s="3" t="n">
        <v>3712.0</v>
      </c>
      <c r="AK116" s="3" t="n">
        <v>3609.0</v>
      </c>
      <c r="AL116" s="3" t="n">
        <v>3488.0</v>
      </c>
      <c r="AM116" s="3" t="n">
        <v>3380.0</v>
      </c>
      <c r="AN116" s="3" t="n">
        <v>3276.0</v>
      </c>
      <c r="AO116" s="3" t="n">
        <v>3162.0</v>
      </c>
    </row>
    <row r="117" spans="1:41" x14ac:dyDescent="0.2">
      <c r="A117" s="128"/>
      <c r="B117" s="9">
        <v>6</v>
      </c>
      <c r="C117" s="3" t="n">
        <v>8288.0</v>
      </c>
      <c r="D117" s="3" t="n">
        <v>8501.0</v>
      </c>
      <c r="E117" s="3" t="n">
        <v>7960.0</v>
      </c>
      <c r="F117" s="3" t="n">
        <v>7522.0</v>
      </c>
      <c r="G117" s="3" t="n">
        <v>6959.0</v>
      </c>
      <c r="H117" s="3" t="n">
        <v>6698.0</v>
      </c>
      <c r="I117" s="3" t="n">
        <v>5952.0</v>
      </c>
      <c r="J117" s="3" t="n">
        <v>5739.0</v>
      </c>
      <c r="K117" s="3" t="n">
        <v>5515.0</v>
      </c>
      <c r="L117" s="3" t="n">
        <v>5342.0</v>
      </c>
      <c r="M117" s="3" t="n">
        <v>5183.0</v>
      </c>
      <c r="N117" s="3" t="n">
        <v>5006.0</v>
      </c>
      <c r="O117" s="3" t="n">
        <v>4874.0</v>
      </c>
      <c r="P117" s="3" t="n">
        <v>4758.0</v>
      </c>
      <c r="Q117" s="3" t="n">
        <v>4662.0</v>
      </c>
      <c r="R117" s="3" t="n">
        <v>4572.0</v>
      </c>
      <c r="S117" s="3" t="n">
        <v>4498.0</v>
      </c>
      <c r="T117" s="3" t="n">
        <v>4438.0</v>
      </c>
      <c r="U117" s="3" t="n">
        <v>4389.0</v>
      </c>
      <c r="V117" s="3" t="n">
        <v>4350.0</v>
      </c>
      <c r="W117" s="3" t="n">
        <v>4339.0</v>
      </c>
      <c r="X117" s="3" t="n">
        <v>4322.0</v>
      </c>
      <c r="Y117" s="3" t="n">
        <v>4313.0</v>
      </c>
      <c r="Z117" s="3" t="n">
        <v>4308.0</v>
      </c>
      <c r="AA117" s="3" t="n">
        <v>4294.0</v>
      </c>
      <c r="AB117" s="3" t="n">
        <v>4272.0</v>
      </c>
      <c r="AC117" s="3" t="n">
        <v>4262.0</v>
      </c>
      <c r="AD117" s="3" t="n">
        <v>4235.0</v>
      </c>
      <c r="AE117" s="3" t="n">
        <v>4193.0</v>
      </c>
      <c r="AF117" s="3" t="n">
        <v>4149.0</v>
      </c>
      <c r="AG117" s="3" t="n">
        <v>4091.0</v>
      </c>
      <c r="AH117" s="3" t="n">
        <v>4016.0</v>
      </c>
      <c r="AI117" s="3" t="n">
        <v>3934.0</v>
      </c>
      <c r="AJ117" s="3" t="n">
        <v>3834.0</v>
      </c>
      <c r="AK117" s="3" t="n">
        <v>3727.0</v>
      </c>
      <c r="AL117" s="3" t="n">
        <v>3619.0</v>
      </c>
      <c r="AM117" s="3" t="n">
        <v>3498.0</v>
      </c>
      <c r="AN117" s="3" t="n">
        <v>3392.0</v>
      </c>
      <c r="AO117" s="3" t="n">
        <v>3289.0</v>
      </c>
    </row>
    <row r="118" spans="1:41" x14ac:dyDescent="0.2">
      <c r="A118" s="128"/>
      <c r="B118" s="9">
        <v>7</v>
      </c>
      <c r="C118" s="3" t="n">
        <v>8034.0</v>
      </c>
      <c r="D118" s="3" t="n">
        <v>8292.0</v>
      </c>
      <c r="E118" s="3" t="n">
        <v>8510.0</v>
      </c>
      <c r="F118" s="3" t="n">
        <v>7972.0</v>
      </c>
      <c r="G118" s="3" t="n">
        <v>7533.0</v>
      </c>
      <c r="H118" s="3" t="n">
        <v>6990.0</v>
      </c>
      <c r="I118" s="3" t="n">
        <v>6737.0</v>
      </c>
      <c r="J118" s="3" t="n">
        <v>5973.0</v>
      </c>
      <c r="K118" s="3" t="n">
        <v>5756.0</v>
      </c>
      <c r="L118" s="3" t="n">
        <v>5533.0</v>
      </c>
      <c r="M118" s="3" t="n">
        <v>5355.0</v>
      </c>
      <c r="N118" s="3" t="n">
        <v>5202.0</v>
      </c>
      <c r="O118" s="3" t="n">
        <v>5019.0</v>
      </c>
      <c r="P118" s="3" t="n">
        <v>4885.0</v>
      </c>
      <c r="Q118" s="3" t="n">
        <v>4768.0</v>
      </c>
      <c r="R118" s="3" t="n">
        <v>4670.0</v>
      </c>
      <c r="S118" s="3" t="n">
        <v>4582.0</v>
      </c>
      <c r="T118" s="3" t="n">
        <v>4506.0</v>
      </c>
      <c r="U118" s="3" t="n">
        <v>4445.0</v>
      </c>
      <c r="V118" s="3" t="n">
        <v>4395.0</v>
      </c>
      <c r="W118" s="3" t="n">
        <v>4357.0</v>
      </c>
      <c r="X118" s="3" t="n">
        <v>4345.0</v>
      </c>
      <c r="Y118" s="3" t="n">
        <v>4328.0</v>
      </c>
      <c r="Z118" s="3" t="n">
        <v>4318.0</v>
      </c>
      <c r="AA118" s="3" t="n">
        <v>4313.0</v>
      </c>
      <c r="AB118" s="3" t="n">
        <v>4299.0</v>
      </c>
      <c r="AC118" s="3" t="n">
        <v>4276.0</v>
      </c>
      <c r="AD118" s="3" t="n">
        <v>4266.0</v>
      </c>
      <c r="AE118" s="3" t="n">
        <v>4238.0</v>
      </c>
      <c r="AF118" s="3" t="n">
        <v>4195.0</v>
      </c>
      <c r="AG118" s="3" t="n">
        <v>4151.0</v>
      </c>
      <c r="AH118" s="3" t="n">
        <v>4094.0</v>
      </c>
      <c r="AI118" s="3" t="n">
        <v>4021.0</v>
      </c>
      <c r="AJ118" s="3" t="n">
        <v>3942.0</v>
      </c>
      <c r="AK118" s="3" t="n">
        <v>3841.0</v>
      </c>
      <c r="AL118" s="3" t="n">
        <v>3732.0</v>
      </c>
      <c r="AM118" s="3" t="n">
        <v>3626.0</v>
      </c>
      <c r="AN118" s="3" t="n">
        <v>3505.0</v>
      </c>
      <c r="AO118" s="3" t="n">
        <v>3396.0</v>
      </c>
    </row>
    <row r="119" spans="1:41" x14ac:dyDescent="0.2">
      <c r="A119" s="128"/>
      <c r="B119" s="9">
        <v>8</v>
      </c>
      <c r="C119" s="3" t="n">
        <v>8212.0</v>
      </c>
      <c r="D119" s="3" t="n">
        <v>8032.0</v>
      </c>
      <c r="E119" s="3" t="n">
        <v>8293.0</v>
      </c>
      <c r="F119" s="3" t="n">
        <v>8509.0</v>
      </c>
      <c r="G119" s="3" t="n">
        <v>7974.0</v>
      </c>
      <c r="H119" s="3" t="n">
        <v>7566.0</v>
      </c>
      <c r="I119" s="3" t="n">
        <v>7034.0</v>
      </c>
      <c r="J119" s="3" t="n">
        <v>6759.0</v>
      </c>
      <c r="K119" s="3" t="n">
        <v>5982.0</v>
      </c>
      <c r="L119" s="3" t="n">
        <v>5766.0</v>
      </c>
      <c r="M119" s="3" t="n">
        <v>5546.0</v>
      </c>
      <c r="N119" s="3" t="n">
        <v>5364.0</v>
      </c>
      <c r="O119" s="3" t="n">
        <v>5207.0</v>
      </c>
      <c r="P119" s="3" t="n">
        <v>5023.0</v>
      </c>
      <c r="Q119" s="3" t="n">
        <v>4890.0</v>
      </c>
      <c r="R119" s="3" t="n">
        <v>4772.0</v>
      </c>
      <c r="S119" s="3" t="n">
        <v>4673.0</v>
      </c>
      <c r="T119" s="3" t="n">
        <v>4585.0</v>
      </c>
      <c r="U119" s="3" t="n">
        <v>4510.0</v>
      </c>
      <c r="V119" s="3" t="n">
        <v>4448.0</v>
      </c>
      <c r="W119" s="3" t="n">
        <v>4398.0</v>
      </c>
      <c r="X119" s="3" t="n">
        <v>4360.0</v>
      </c>
      <c r="Y119" s="3" t="n">
        <v>4347.0</v>
      </c>
      <c r="Z119" s="3" t="n">
        <v>4330.0</v>
      </c>
      <c r="AA119" s="3" t="n">
        <v>4321.0</v>
      </c>
      <c r="AB119" s="3" t="n">
        <v>4316.0</v>
      </c>
      <c r="AC119" s="3" t="n">
        <v>4301.0</v>
      </c>
      <c r="AD119" s="3" t="n">
        <v>4278.0</v>
      </c>
      <c r="AE119" s="3" t="n">
        <v>4269.0</v>
      </c>
      <c r="AF119" s="3" t="n">
        <v>4240.0</v>
      </c>
      <c r="AG119" s="3" t="n">
        <v>4198.0</v>
      </c>
      <c r="AH119" s="3" t="n">
        <v>4156.0</v>
      </c>
      <c r="AI119" s="3" t="n">
        <v>4099.0</v>
      </c>
      <c r="AJ119" s="3" t="n">
        <v>4027.0</v>
      </c>
      <c r="AK119" s="3" t="n">
        <v>3947.0</v>
      </c>
      <c r="AL119" s="3" t="n">
        <v>3844.0</v>
      </c>
      <c r="AM119" s="3" t="n">
        <v>3734.0</v>
      </c>
      <c r="AN119" s="3" t="n">
        <v>3626.0</v>
      </c>
      <c r="AO119" s="3" t="n">
        <v>3505.0</v>
      </c>
    </row>
    <row r="120" spans="1:41" x14ac:dyDescent="0.2">
      <c r="A120" s="128"/>
      <c r="B120" s="9">
        <v>9</v>
      </c>
      <c r="C120" s="3" t="n">
        <v>8220.0</v>
      </c>
      <c r="D120" s="3" t="n">
        <v>8212.0</v>
      </c>
      <c r="E120" s="3" t="n">
        <v>8035.0</v>
      </c>
      <c r="F120" s="3" t="n">
        <v>8295.0</v>
      </c>
      <c r="G120" s="3" t="n">
        <v>8514.0</v>
      </c>
      <c r="H120" s="3" t="n">
        <v>8010.0</v>
      </c>
      <c r="I120" s="3" t="n">
        <v>7614.0</v>
      </c>
      <c r="J120" s="3" t="n">
        <v>7059.0</v>
      </c>
      <c r="K120" s="3" t="n">
        <v>6766.0</v>
      </c>
      <c r="L120" s="3" t="n">
        <v>5992.0</v>
      </c>
      <c r="M120" s="3" t="n">
        <v>5776.0</v>
      </c>
      <c r="N120" s="3" t="n">
        <v>5547.0</v>
      </c>
      <c r="O120" s="3" t="n">
        <v>5365.0</v>
      </c>
      <c r="P120" s="3" t="n">
        <v>5210.0</v>
      </c>
      <c r="Q120" s="3" t="n">
        <v>5030.0</v>
      </c>
      <c r="R120" s="3" t="n">
        <v>4902.0</v>
      </c>
      <c r="S120" s="3" t="n">
        <v>4785.0</v>
      </c>
      <c r="T120" s="3" t="n">
        <v>4684.0</v>
      </c>
      <c r="U120" s="3" t="n">
        <v>4594.0</v>
      </c>
      <c r="V120" s="3" t="n">
        <v>4518.0</v>
      </c>
      <c r="W120" s="3" t="n">
        <v>4452.0</v>
      </c>
      <c r="X120" s="3" t="n">
        <v>4406.0</v>
      </c>
      <c r="Y120" s="3" t="n">
        <v>4368.0</v>
      </c>
      <c r="Z120" s="3" t="n">
        <v>4354.0</v>
      </c>
      <c r="AA120" s="3" t="n">
        <v>4337.0</v>
      </c>
      <c r="AB120" s="3" t="n">
        <v>4329.0</v>
      </c>
      <c r="AC120" s="3" t="n">
        <v>4324.0</v>
      </c>
      <c r="AD120" s="3" t="n">
        <v>4308.0</v>
      </c>
      <c r="AE120" s="3" t="n">
        <v>4284.0</v>
      </c>
      <c r="AF120" s="3" t="n">
        <v>4274.0</v>
      </c>
      <c r="AG120" s="3" t="n">
        <v>4245.0</v>
      </c>
      <c r="AH120" s="3" t="n">
        <v>4204.0</v>
      </c>
      <c r="AI120" s="3" t="n">
        <v>4163.0</v>
      </c>
      <c r="AJ120" s="3" t="n">
        <v>4106.0</v>
      </c>
      <c r="AK120" s="3" t="n">
        <v>4033.0</v>
      </c>
      <c r="AL120" s="3" t="n">
        <v>3952.0</v>
      </c>
      <c r="AM120" s="3" t="n">
        <v>3848.0</v>
      </c>
      <c r="AN120" s="3" t="n">
        <v>3738.0</v>
      </c>
      <c r="AO120" s="3" t="n">
        <v>3634.0</v>
      </c>
    </row>
    <row r="121" spans="1:41" x14ac:dyDescent="0.2">
      <c r="A121" s="128"/>
      <c r="B121" s="9">
        <v>10</v>
      </c>
      <c r="C121" s="3" t="n">
        <v>8498.0</v>
      </c>
      <c r="D121" s="3" t="n">
        <v>8209.0</v>
      </c>
      <c r="E121" s="3" t="n">
        <v>8199.0</v>
      </c>
      <c r="F121" s="3" t="n">
        <v>8022.0</v>
      </c>
      <c r="G121" s="3" t="n">
        <v>8287.0</v>
      </c>
      <c r="H121" s="3" t="n">
        <v>8535.0</v>
      </c>
      <c r="I121" s="3" t="n">
        <v>8044.0</v>
      </c>
      <c r="J121" s="3" t="n">
        <v>7629.0</v>
      </c>
      <c r="K121" s="3" t="n">
        <v>7066.0</v>
      </c>
      <c r="L121" s="3" t="n">
        <v>6770.0</v>
      </c>
      <c r="M121" s="3" t="n">
        <v>6001.0</v>
      </c>
      <c r="N121" s="3" t="n">
        <v>5777.0</v>
      </c>
      <c r="O121" s="3" t="n">
        <v>5549.0</v>
      </c>
      <c r="P121" s="3" t="n">
        <v>5362.0</v>
      </c>
      <c r="Q121" s="3" t="n">
        <v>5208.0</v>
      </c>
      <c r="R121" s="3" t="n">
        <v>5027.0</v>
      </c>
      <c r="S121" s="3" t="n">
        <v>4901.0</v>
      </c>
      <c r="T121" s="3" t="n">
        <v>4782.0</v>
      </c>
      <c r="U121" s="3" t="n">
        <v>4681.0</v>
      </c>
      <c r="V121" s="3" t="n">
        <v>4589.0</v>
      </c>
      <c r="W121" s="3" t="n">
        <v>4513.0</v>
      </c>
      <c r="X121" s="3" t="n">
        <v>4448.0</v>
      </c>
      <c r="Y121" s="3" t="n">
        <v>4401.0</v>
      </c>
      <c r="Z121" s="3" t="n">
        <v>4363.0</v>
      </c>
      <c r="AA121" s="3" t="n">
        <v>4349.0</v>
      </c>
      <c r="AB121" s="3" t="n">
        <v>4332.0</v>
      </c>
      <c r="AC121" s="3" t="n">
        <v>4323.0</v>
      </c>
      <c r="AD121" s="3" t="n">
        <v>4318.0</v>
      </c>
      <c r="AE121" s="3" t="n">
        <v>4302.0</v>
      </c>
      <c r="AF121" s="3" t="n">
        <v>4277.0</v>
      </c>
      <c r="AG121" s="3" t="n">
        <v>4268.0</v>
      </c>
      <c r="AH121" s="3" t="n">
        <v>4239.0</v>
      </c>
      <c r="AI121" s="3" t="n">
        <v>4199.0</v>
      </c>
      <c r="AJ121" s="3" t="n">
        <v>4155.0</v>
      </c>
      <c r="AK121" s="3" t="n">
        <v>4099.0</v>
      </c>
      <c r="AL121" s="3" t="n">
        <v>4026.0</v>
      </c>
      <c r="AM121" s="3" t="n">
        <v>3945.0</v>
      </c>
      <c r="AN121" s="3" t="n">
        <v>3842.0</v>
      </c>
      <c r="AO121" s="3" t="n">
        <v>3734.0</v>
      </c>
    </row>
    <row r="122" spans="1:41" x14ac:dyDescent="0.2">
      <c r="A122" s="128"/>
      <c r="B122" s="9">
        <v>11</v>
      </c>
      <c r="C122" s="3" t="n">
        <v>8252.0</v>
      </c>
      <c r="D122" s="3" t="n">
        <v>8497.0</v>
      </c>
      <c r="E122" s="3" t="n">
        <v>8204.0</v>
      </c>
      <c r="F122" s="3" t="n">
        <v>8196.0</v>
      </c>
      <c r="G122" s="3" t="n">
        <v>8020.0</v>
      </c>
      <c r="H122" s="3" t="n">
        <v>8308.0</v>
      </c>
      <c r="I122" s="3" t="n">
        <v>8568.0</v>
      </c>
      <c r="J122" s="3" t="n">
        <v>8057.0</v>
      </c>
      <c r="K122" s="3" t="n">
        <v>7633.0</v>
      </c>
      <c r="L122" s="3" t="n">
        <v>7064.0</v>
      </c>
      <c r="M122" s="3" t="n">
        <v>6775.0</v>
      </c>
      <c r="N122" s="3" t="n">
        <v>6002.0</v>
      </c>
      <c r="O122" s="3" t="n">
        <v>5781.0</v>
      </c>
      <c r="P122" s="3" t="n">
        <v>5553.0</v>
      </c>
      <c r="Q122" s="3" t="n">
        <v>5363.0</v>
      </c>
      <c r="R122" s="3" t="n">
        <v>5216.0</v>
      </c>
      <c r="S122" s="3" t="n">
        <v>5035.0</v>
      </c>
      <c r="T122" s="3" t="n">
        <v>4908.0</v>
      </c>
      <c r="U122" s="3" t="n">
        <v>4791.0</v>
      </c>
      <c r="V122" s="3" t="n">
        <v>4692.0</v>
      </c>
      <c r="W122" s="3" t="n">
        <v>4601.0</v>
      </c>
      <c r="X122" s="3" t="n">
        <v>4520.0</v>
      </c>
      <c r="Y122" s="3" t="n">
        <v>4455.0</v>
      </c>
      <c r="Z122" s="3" t="n">
        <v>4408.0</v>
      </c>
      <c r="AA122" s="3" t="n">
        <v>4369.0</v>
      </c>
      <c r="AB122" s="3" t="n">
        <v>4353.0</v>
      </c>
      <c r="AC122" s="3" t="n">
        <v>4333.0</v>
      </c>
      <c r="AD122" s="3" t="n">
        <v>4326.0</v>
      </c>
      <c r="AE122" s="3" t="n">
        <v>4320.0</v>
      </c>
      <c r="AF122" s="3" t="n">
        <v>4306.0</v>
      </c>
      <c r="AG122" s="3" t="n">
        <v>4281.0</v>
      </c>
      <c r="AH122" s="3" t="n">
        <v>4272.0</v>
      </c>
      <c r="AI122" s="3" t="n">
        <v>4243.0</v>
      </c>
      <c r="AJ122" s="3" t="n">
        <v>4201.0</v>
      </c>
      <c r="AK122" s="3" t="n">
        <v>4158.0</v>
      </c>
      <c r="AL122" s="3" t="n">
        <v>4103.0</v>
      </c>
      <c r="AM122" s="3" t="n">
        <v>4029.0</v>
      </c>
      <c r="AN122" s="3" t="n">
        <v>3948.0</v>
      </c>
      <c r="AO122" s="3" t="n">
        <v>3846.0</v>
      </c>
    </row>
    <row r="123" spans="1:41" x14ac:dyDescent="0.2">
      <c r="A123" s="128"/>
      <c r="B123" s="9">
        <v>12</v>
      </c>
      <c r="C123" s="3" t="n">
        <v>9208.0</v>
      </c>
      <c r="D123" s="3" t="n">
        <v>8252.0</v>
      </c>
      <c r="E123" s="3" t="n">
        <v>8500.0</v>
      </c>
      <c r="F123" s="3" t="n">
        <v>8206.0</v>
      </c>
      <c r="G123" s="3" t="n">
        <v>8201.0</v>
      </c>
      <c r="H123" s="3" t="n">
        <v>8056.0</v>
      </c>
      <c r="I123" s="3" t="n">
        <v>8348.0</v>
      </c>
      <c r="J123" s="3" t="n">
        <v>8590.0</v>
      </c>
      <c r="K123" s="3" t="n">
        <v>8073.0</v>
      </c>
      <c r="L123" s="3" t="n">
        <v>7641.0</v>
      </c>
      <c r="M123" s="3" t="n">
        <v>7071.0</v>
      </c>
      <c r="N123" s="3" t="n">
        <v>6778.0</v>
      </c>
      <c r="O123" s="3" t="n">
        <v>6003.0</v>
      </c>
      <c r="P123" s="3" t="n">
        <v>5782.0</v>
      </c>
      <c r="Q123" s="3" t="n">
        <v>5555.0</v>
      </c>
      <c r="R123" s="3" t="n">
        <v>5362.0</v>
      </c>
      <c r="S123" s="3" t="n">
        <v>5217.0</v>
      </c>
      <c r="T123" s="3" t="n">
        <v>5040.0</v>
      </c>
      <c r="U123" s="3" t="n">
        <v>4910.0</v>
      </c>
      <c r="V123" s="3" t="n">
        <v>4791.0</v>
      </c>
      <c r="W123" s="3" t="n">
        <v>4692.0</v>
      </c>
      <c r="X123" s="3" t="n">
        <v>4600.0</v>
      </c>
      <c r="Y123" s="3" t="n">
        <v>4521.0</v>
      </c>
      <c r="Z123" s="3" t="n">
        <v>4456.0</v>
      </c>
      <c r="AA123" s="3" t="n">
        <v>4409.0</v>
      </c>
      <c r="AB123" s="3" t="n">
        <v>4370.0</v>
      </c>
      <c r="AC123" s="3" t="n">
        <v>4353.0</v>
      </c>
      <c r="AD123" s="3" t="n">
        <v>4331.0</v>
      </c>
      <c r="AE123" s="3" t="n">
        <v>4324.0</v>
      </c>
      <c r="AF123" s="3" t="n">
        <v>4318.0</v>
      </c>
      <c r="AG123" s="3" t="n">
        <v>4304.0</v>
      </c>
      <c r="AH123" s="3" t="n">
        <v>4279.0</v>
      </c>
      <c r="AI123" s="3" t="n">
        <v>4270.0</v>
      </c>
      <c r="AJ123" s="3" t="n">
        <v>4240.0</v>
      </c>
      <c r="AK123" s="3" t="n">
        <v>4198.0</v>
      </c>
      <c r="AL123" s="3" t="n">
        <v>4155.0</v>
      </c>
      <c r="AM123" s="3" t="n">
        <v>4101.0</v>
      </c>
      <c r="AN123" s="3" t="n">
        <v>4027.0</v>
      </c>
      <c r="AO123" s="3" t="n">
        <v>3948.0</v>
      </c>
    </row>
    <row r="124" spans="1:41" x14ac:dyDescent="0.2">
      <c r="A124" s="128"/>
      <c r="B124" s="9">
        <v>13</v>
      </c>
      <c r="C124" s="3" t="n">
        <v>9300.0</v>
      </c>
      <c r="D124" s="3" t="n">
        <v>9205.0</v>
      </c>
      <c r="E124" s="3" t="n">
        <v>8248.0</v>
      </c>
      <c r="F124" s="3" t="n">
        <v>8494.0</v>
      </c>
      <c r="G124" s="3" t="n">
        <v>8204.0</v>
      </c>
      <c r="H124" s="3" t="n">
        <v>8221.0</v>
      </c>
      <c r="I124" s="3" t="n">
        <v>8086.0</v>
      </c>
      <c r="J124" s="3" t="n">
        <v>8364.0</v>
      </c>
      <c r="K124" s="3" t="n">
        <v>8596.0</v>
      </c>
      <c r="L124" s="3" t="n">
        <v>8075.0</v>
      </c>
      <c r="M124" s="3" t="n">
        <v>7638.0</v>
      </c>
      <c r="N124" s="3" t="n">
        <v>7071.0</v>
      </c>
      <c r="O124" s="3" t="n">
        <v>6776.0</v>
      </c>
      <c r="P124" s="3" t="n">
        <v>6004.0</v>
      </c>
      <c r="Q124" s="3" t="n">
        <v>5782.0</v>
      </c>
      <c r="R124" s="3" t="n">
        <v>5555.0</v>
      </c>
      <c r="S124" s="3" t="n">
        <v>5362.0</v>
      </c>
      <c r="T124" s="3" t="n">
        <v>5217.0</v>
      </c>
      <c r="U124" s="3" t="n">
        <v>5039.0</v>
      </c>
      <c r="V124" s="3" t="n">
        <v>4907.0</v>
      </c>
      <c r="W124" s="3" t="n">
        <v>4786.0</v>
      </c>
      <c r="X124" s="3" t="n">
        <v>4687.0</v>
      </c>
      <c r="Y124" s="3" t="n">
        <v>4596.0</v>
      </c>
      <c r="Z124" s="3" t="n">
        <v>4517.0</v>
      </c>
      <c r="AA124" s="3" t="n">
        <v>4451.0</v>
      </c>
      <c r="AB124" s="3" t="n">
        <v>4405.0</v>
      </c>
      <c r="AC124" s="3" t="n">
        <v>4366.0</v>
      </c>
      <c r="AD124" s="3" t="n">
        <v>4349.0</v>
      </c>
      <c r="AE124" s="3" t="n">
        <v>4327.0</v>
      </c>
      <c r="AF124" s="3" t="n">
        <v>4320.0</v>
      </c>
      <c r="AG124" s="3" t="n">
        <v>4315.0</v>
      </c>
      <c r="AH124" s="3" t="n">
        <v>4301.0</v>
      </c>
      <c r="AI124" s="3" t="n">
        <v>4276.0</v>
      </c>
      <c r="AJ124" s="3" t="n">
        <v>4267.0</v>
      </c>
      <c r="AK124" s="3" t="n">
        <v>4237.0</v>
      </c>
      <c r="AL124" s="3" t="n">
        <v>4196.0</v>
      </c>
      <c r="AM124" s="3" t="n">
        <v>4153.0</v>
      </c>
      <c r="AN124" s="3" t="n">
        <v>4099.0</v>
      </c>
      <c r="AO124" s="3" t="n">
        <v>4025.0</v>
      </c>
    </row>
    <row r="125" spans="1:41" x14ac:dyDescent="0.2">
      <c r="A125" s="128"/>
      <c r="B125" s="9">
        <v>14</v>
      </c>
      <c r="C125" s="3" t="n">
        <v>9226.0</v>
      </c>
      <c r="D125" s="3" t="n">
        <v>9296.0</v>
      </c>
      <c r="E125" s="3" t="n">
        <v>9200.0</v>
      </c>
      <c r="F125" s="3" t="n">
        <v>8246.0</v>
      </c>
      <c r="G125" s="3" t="n">
        <v>8491.0</v>
      </c>
      <c r="H125" s="3" t="n">
        <v>8226.0</v>
      </c>
      <c r="I125" s="3" t="n">
        <v>8251.0</v>
      </c>
      <c r="J125" s="3" t="n">
        <v>8098.0</v>
      </c>
      <c r="K125" s="3" t="n">
        <v>8368.0</v>
      </c>
      <c r="L125" s="3" t="n">
        <v>8596.0</v>
      </c>
      <c r="M125" s="3" t="n">
        <v>8072.0</v>
      </c>
      <c r="N125" s="3" t="n">
        <v>7633.0</v>
      </c>
      <c r="O125" s="3" t="n">
        <v>7064.0</v>
      </c>
      <c r="P125" s="3" t="n">
        <v>6774.0</v>
      </c>
      <c r="Q125" s="3" t="n">
        <v>6006.0</v>
      </c>
      <c r="R125" s="3" t="n">
        <v>5784.0</v>
      </c>
      <c r="S125" s="3" t="n">
        <v>5560.0</v>
      </c>
      <c r="T125" s="3" t="n">
        <v>5365.0</v>
      </c>
      <c r="U125" s="3" t="n">
        <v>5213.0</v>
      </c>
      <c r="V125" s="3" t="n">
        <v>5036.0</v>
      </c>
      <c r="W125" s="3" t="n">
        <v>4903.0</v>
      </c>
      <c r="X125" s="3" t="n">
        <v>4784.0</v>
      </c>
      <c r="Y125" s="3" t="n">
        <v>4684.0</v>
      </c>
      <c r="Z125" s="3" t="n">
        <v>4594.0</v>
      </c>
      <c r="AA125" s="3" t="n">
        <v>4514.0</v>
      </c>
      <c r="AB125" s="3" t="n">
        <v>4449.0</v>
      </c>
      <c r="AC125" s="3" t="n">
        <v>4402.0</v>
      </c>
      <c r="AD125" s="3" t="n">
        <v>4364.0</v>
      </c>
      <c r="AE125" s="3" t="n">
        <v>4347.0</v>
      </c>
      <c r="AF125" s="3" t="n">
        <v>4325.0</v>
      </c>
      <c r="AG125" s="3" t="n">
        <v>4318.0</v>
      </c>
      <c r="AH125" s="3" t="n">
        <v>4313.0</v>
      </c>
      <c r="AI125" s="3" t="n">
        <v>4299.0</v>
      </c>
      <c r="AJ125" s="3" t="n">
        <v>4274.0</v>
      </c>
      <c r="AK125" s="3" t="n">
        <v>4265.0</v>
      </c>
      <c r="AL125" s="3" t="n">
        <v>4234.0</v>
      </c>
      <c r="AM125" s="3" t="n">
        <v>4193.0</v>
      </c>
      <c r="AN125" s="3" t="n">
        <v>4149.0</v>
      </c>
      <c r="AO125" s="3" t="n">
        <v>4093.0</v>
      </c>
    </row>
    <row r="126" spans="1:41" x14ac:dyDescent="0.2">
      <c r="A126" s="128"/>
      <c r="B126" s="9">
        <v>15</v>
      </c>
      <c r="C126" s="3" t="n">
        <v>8667.0</v>
      </c>
      <c r="D126" s="3" t="n">
        <v>9223.0</v>
      </c>
      <c r="E126" s="3" t="n">
        <v>9288.0</v>
      </c>
      <c r="F126" s="3" t="n">
        <v>9197.0</v>
      </c>
      <c r="G126" s="3" t="n">
        <v>8242.0</v>
      </c>
      <c r="H126" s="3" t="n">
        <v>8513.0</v>
      </c>
      <c r="I126" s="3" t="n">
        <v>8259.0</v>
      </c>
      <c r="J126" s="3" t="n">
        <v>8263.0</v>
      </c>
      <c r="K126" s="3" t="n">
        <v>8096.0</v>
      </c>
      <c r="L126" s="3" t="n">
        <v>8361.0</v>
      </c>
      <c r="M126" s="3" t="n">
        <v>8584.0</v>
      </c>
      <c r="N126" s="3" t="n">
        <v>8061.0</v>
      </c>
      <c r="O126" s="3" t="n">
        <v>7629.0</v>
      </c>
      <c r="P126" s="3" t="n">
        <v>7064.0</v>
      </c>
      <c r="Q126" s="3" t="n">
        <v>6773.0</v>
      </c>
      <c r="R126" s="3" t="n">
        <v>6006.0</v>
      </c>
      <c r="S126" s="3" t="n">
        <v>5787.0</v>
      </c>
      <c r="T126" s="3" t="n">
        <v>5561.0</v>
      </c>
      <c r="U126" s="3" t="n">
        <v>5367.0</v>
      </c>
      <c r="V126" s="3" t="n">
        <v>5213.0</v>
      </c>
      <c r="W126" s="3" t="n">
        <v>5035.0</v>
      </c>
      <c r="X126" s="3" t="n">
        <v>4902.0</v>
      </c>
      <c r="Y126" s="3" t="n">
        <v>4780.0</v>
      </c>
      <c r="Z126" s="3" t="n">
        <v>4677.0</v>
      </c>
      <c r="AA126" s="3" t="n">
        <v>4588.0</v>
      </c>
      <c r="AB126" s="3" t="n">
        <v>4507.0</v>
      </c>
      <c r="AC126" s="3" t="n">
        <v>4445.0</v>
      </c>
      <c r="AD126" s="3" t="n">
        <v>4399.0</v>
      </c>
      <c r="AE126" s="3" t="n">
        <v>4359.0</v>
      </c>
      <c r="AF126" s="3" t="n">
        <v>4341.0</v>
      </c>
      <c r="AG126" s="3" t="n">
        <v>4317.0</v>
      </c>
      <c r="AH126" s="3" t="n">
        <v>4310.0</v>
      </c>
      <c r="AI126" s="3" t="n">
        <v>4304.0</v>
      </c>
      <c r="AJ126" s="3" t="n">
        <v>4289.0</v>
      </c>
      <c r="AK126" s="3" t="n">
        <v>4264.0</v>
      </c>
      <c r="AL126" s="3" t="n">
        <v>4254.0</v>
      </c>
      <c r="AM126" s="3" t="n">
        <v>4225.0</v>
      </c>
      <c r="AN126" s="3" t="n">
        <v>4183.0</v>
      </c>
      <c r="AO126" s="3" t="n">
        <v>4140.0</v>
      </c>
    </row>
    <row r="127" spans="1:41" x14ac:dyDescent="0.2">
      <c r="A127" s="128"/>
      <c r="B127" s="9">
        <v>16</v>
      </c>
      <c r="C127" s="3" t="n">
        <v>8178.0</v>
      </c>
      <c r="D127" s="3" t="n">
        <v>8670.0</v>
      </c>
      <c r="E127" s="3" t="n">
        <v>9227.0</v>
      </c>
      <c r="F127" s="3" t="n">
        <v>9289.0</v>
      </c>
      <c r="G127" s="3" t="n">
        <v>9198.0</v>
      </c>
      <c r="H127" s="3" t="n">
        <v>8259.0</v>
      </c>
      <c r="I127" s="3" t="n">
        <v>8539.0</v>
      </c>
      <c r="J127" s="3" t="n">
        <v>8272.0</v>
      </c>
      <c r="K127" s="3" t="n">
        <v>8264.0</v>
      </c>
      <c r="L127" s="3" t="n">
        <v>8099.0</v>
      </c>
      <c r="M127" s="3" t="n">
        <v>8361.0</v>
      </c>
      <c r="N127" s="3" t="n">
        <v>8583.0</v>
      </c>
      <c r="O127" s="3" t="n">
        <v>8060.0</v>
      </c>
      <c r="P127" s="3" t="n">
        <v>7627.0</v>
      </c>
      <c r="Q127" s="3" t="n">
        <v>7065.0</v>
      </c>
      <c r="R127" s="3" t="n">
        <v>6776.0</v>
      </c>
      <c r="S127" s="3" t="n">
        <v>6009.0</v>
      </c>
      <c r="T127" s="3" t="n">
        <v>5791.0</v>
      </c>
      <c r="U127" s="3" t="n">
        <v>5564.0</v>
      </c>
      <c r="V127" s="3" t="n">
        <v>5367.0</v>
      </c>
      <c r="W127" s="3" t="n">
        <v>5216.0</v>
      </c>
      <c r="X127" s="3" t="n">
        <v>5034.0</v>
      </c>
      <c r="Y127" s="3" t="n">
        <v>4904.0</v>
      </c>
      <c r="Z127" s="3" t="n">
        <v>4782.0</v>
      </c>
      <c r="AA127" s="3" t="n">
        <v>4679.0</v>
      </c>
      <c r="AB127" s="3" t="n">
        <v>4590.0</v>
      </c>
      <c r="AC127" s="3" t="n">
        <v>4507.0</v>
      </c>
      <c r="AD127" s="3" t="n">
        <v>4446.0</v>
      </c>
      <c r="AE127" s="3" t="n">
        <v>4400.0</v>
      </c>
      <c r="AF127" s="3" t="n">
        <v>4360.0</v>
      </c>
      <c r="AG127" s="3" t="n">
        <v>4342.0</v>
      </c>
      <c r="AH127" s="3" t="n">
        <v>4317.0</v>
      </c>
      <c r="AI127" s="3" t="n">
        <v>4310.0</v>
      </c>
      <c r="AJ127" s="3" t="n">
        <v>4304.0</v>
      </c>
      <c r="AK127" s="3" t="n">
        <v>4288.0</v>
      </c>
      <c r="AL127" s="3" t="n">
        <v>4262.0</v>
      </c>
      <c r="AM127" s="3" t="n">
        <v>4251.0</v>
      </c>
      <c r="AN127" s="3" t="n">
        <v>4223.0</v>
      </c>
      <c r="AO127" s="3" t="n">
        <v>4181.0</v>
      </c>
    </row>
    <row r="128" spans="1:41" x14ac:dyDescent="0.2">
      <c r="A128" s="128"/>
      <c r="B128" s="9">
        <v>17</v>
      </c>
      <c r="C128" s="3" t="n">
        <v>7951.0</v>
      </c>
      <c r="D128" s="3" t="n">
        <v>8156.0</v>
      </c>
      <c r="E128" s="3" t="n">
        <v>8650.0</v>
      </c>
      <c r="F128" s="3" t="n">
        <v>9202.0</v>
      </c>
      <c r="G128" s="3" t="n">
        <v>9263.0</v>
      </c>
      <c r="H128" s="3" t="n">
        <v>9197.0</v>
      </c>
      <c r="I128" s="3" t="n">
        <v>8270.0</v>
      </c>
      <c r="J128" s="3" t="n">
        <v>8530.0</v>
      </c>
      <c r="K128" s="3" t="n">
        <v>8251.0</v>
      </c>
      <c r="L128" s="3" t="n">
        <v>8240.0</v>
      </c>
      <c r="M128" s="3" t="n">
        <v>8074.0</v>
      </c>
      <c r="N128" s="3" t="n">
        <v>8337.0</v>
      </c>
      <c r="O128" s="3" t="n">
        <v>8557.0</v>
      </c>
      <c r="P128" s="3" t="n">
        <v>8033.0</v>
      </c>
      <c r="Q128" s="3" t="n">
        <v>7600.0</v>
      </c>
      <c r="R128" s="3" t="n">
        <v>7042.0</v>
      </c>
      <c r="S128" s="3" t="n">
        <v>6753.0</v>
      </c>
      <c r="T128" s="3" t="n">
        <v>5985.0</v>
      </c>
      <c r="U128" s="3" t="n">
        <v>5769.0</v>
      </c>
      <c r="V128" s="3" t="n">
        <v>5542.0</v>
      </c>
      <c r="W128" s="3" t="n">
        <v>5343.0</v>
      </c>
      <c r="X128" s="3" t="n">
        <v>5191.0</v>
      </c>
      <c r="Y128" s="3" t="n">
        <v>5009.0</v>
      </c>
      <c r="Z128" s="3" t="n">
        <v>4878.0</v>
      </c>
      <c r="AA128" s="3" t="n">
        <v>4758.0</v>
      </c>
      <c r="AB128" s="3" t="n">
        <v>4655.0</v>
      </c>
      <c r="AC128" s="3" t="n">
        <v>4564.0</v>
      </c>
      <c r="AD128" s="3" t="n">
        <v>4479.0</v>
      </c>
      <c r="AE128" s="3" t="n">
        <v>4419.0</v>
      </c>
      <c r="AF128" s="3" t="n">
        <v>4373.0</v>
      </c>
      <c r="AG128" s="3" t="n">
        <v>4333.0</v>
      </c>
      <c r="AH128" s="3" t="n">
        <v>4315.0</v>
      </c>
      <c r="AI128" s="3" t="n">
        <v>4290.0</v>
      </c>
      <c r="AJ128" s="3" t="n">
        <v>4283.0</v>
      </c>
      <c r="AK128" s="3" t="n">
        <v>4277.0</v>
      </c>
      <c r="AL128" s="3" t="n">
        <v>4262.0</v>
      </c>
      <c r="AM128" s="3" t="n">
        <v>4237.0</v>
      </c>
      <c r="AN128" s="3" t="n">
        <v>4224.0</v>
      </c>
      <c r="AO128" s="3" t="n">
        <v>4196.0</v>
      </c>
    </row>
    <row r="129" spans="1:41" x14ac:dyDescent="0.2">
      <c r="A129" s="128"/>
      <c r="B129" s="9">
        <v>18</v>
      </c>
      <c r="C129" s="3" t="n">
        <v>7774.0</v>
      </c>
      <c r="D129" s="3" t="n">
        <v>7920.0</v>
      </c>
      <c r="E129" s="3" t="n">
        <v>8124.0</v>
      </c>
      <c r="F129" s="3" t="n">
        <v>8613.0</v>
      </c>
      <c r="G129" s="3" t="n">
        <v>9161.0</v>
      </c>
      <c r="H129" s="3" t="n">
        <v>9251.0</v>
      </c>
      <c r="I129" s="3" t="n">
        <v>9190.0</v>
      </c>
      <c r="J129" s="3" t="n">
        <v>8247.0</v>
      </c>
      <c r="K129" s="3" t="n">
        <v>8496.0</v>
      </c>
      <c r="L129" s="3" t="n">
        <v>8208.0</v>
      </c>
      <c r="M129" s="3" t="n">
        <v>8196.0</v>
      </c>
      <c r="N129" s="3" t="n">
        <v>8028.0</v>
      </c>
      <c r="O129" s="3" t="n">
        <v>8290.0</v>
      </c>
      <c r="P129" s="3" t="n">
        <v>8510.0</v>
      </c>
      <c r="Q129" s="3" t="n">
        <v>7986.0</v>
      </c>
      <c r="R129" s="3" t="n">
        <v>7553.0</v>
      </c>
      <c r="S129" s="3" t="n">
        <v>6996.0</v>
      </c>
      <c r="T129" s="3" t="n">
        <v>6708.0</v>
      </c>
      <c r="U129" s="3" t="n">
        <v>5942.0</v>
      </c>
      <c r="V129" s="3" t="n">
        <v>5732.0</v>
      </c>
      <c r="W129" s="3" t="n">
        <v>5503.0</v>
      </c>
      <c r="X129" s="3" t="n">
        <v>5306.0</v>
      </c>
      <c r="Y129" s="3" t="n">
        <v>5157.0</v>
      </c>
      <c r="Z129" s="3" t="n">
        <v>4975.0</v>
      </c>
      <c r="AA129" s="3" t="n">
        <v>4845.0</v>
      </c>
      <c r="AB129" s="3" t="n">
        <v>4724.0</v>
      </c>
      <c r="AC129" s="3" t="n">
        <v>4617.0</v>
      </c>
      <c r="AD129" s="3" t="n">
        <v>4525.0</v>
      </c>
      <c r="AE129" s="3" t="n">
        <v>4437.0</v>
      </c>
      <c r="AF129" s="3" t="n">
        <v>4377.0</v>
      </c>
      <c r="AG129" s="3" t="n">
        <v>4331.0</v>
      </c>
      <c r="AH129" s="3" t="n">
        <v>4291.0</v>
      </c>
      <c r="AI129" s="3" t="n">
        <v>4273.0</v>
      </c>
      <c r="AJ129" s="3" t="n">
        <v>4246.0</v>
      </c>
      <c r="AK129" s="3" t="n">
        <v>4237.0</v>
      </c>
      <c r="AL129" s="3" t="n">
        <v>4231.0</v>
      </c>
      <c r="AM129" s="3" t="n">
        <v>4215.0</v>
      </c>
      <c r="AN129" s="3" t="n">
        <v>4190.0</v>
      </c>
      <c r="AO129" s="3" t="n">
        <v>4177.0</v>
      </c>
    </row>
    <row r="130" spans="1:41" x14ac:dyDescent="0.2">
      <c r="A130" s="128"/>
      <c r="B130" s="9">
        <v>19</v>
      </c>
      <c r="C130" s="3" t="n">
        <v>7556.0</v>
      </c>
      <c r="D130" s="3" t="n">
        <v>7744.0</v>
      </c>
      <c r="E130" s="3" t="n">
        <v>7886.0</v>
      </c>
      <c r="F130" s="3" t="n">
        <v>8083.0</v>
      </c>
      <c r="G130" s="3" t="n">
        <v>8572.0</v>
      </c>
      <c r="H130" s="3" t="n">
        <v>9129.0</v>
      </c>
      <c r="I130" s="3" t="n">
        <v>9223.0</v>
      </c>
      <c r="J130" s="3" t="n">
        <v>9147.0</v>
      </c>
      <c r="K130" s="3" t="n">
        <v>8204.0</v>
      </c>
      <c r="L130" s="3" t="n">
        <v>8449.0</v>
      </c>
      <c r="M130" s="3" t="n">
        <v>8156.0</v>
      </c>
      <c r="N130" s="3" t="n">
        <v>8142.0</v>
      </c>
      <c r="O130" s="3" t="n">
        <v>7972.0</v>
      </c>
      <c r="P130" s="3" t="n">
        <v>8231.0</v>
      </c>
      <c r="Q130" s="3" t="n">
        <v>8449.0</v>
      </c>
      <c r="R130" s="3" t="n">
        <v>7929.0</v>
      </c>
      <c r="S130" s="3" t="n">
        <v>7499.0</v>
      </c>
      <c r="T130" s="3" t="n">
        <v>6948.0</v>
      </c>
      <c r="U130" s="3" t="n">
        <v>6661.0</v>
      </c>
      <c r="V130" s="3" t="n">
        <v>5899.0</v>
      </c>
      <c r="W130" s="3" t="n">
        <v>5686.0</v>
      </c>
      <c r="X130" s="3" t="n">
        <v>5457.0</v>
      </c>
      <c r="Y130" s="3" t="n">
        <v>5261.0</v>
      </c>
      <c r="Z130" s="3" t="n">
        <v>5112.0</v>
      </c>
      <c r="AA130" s="3" t="n">
        <v>4933.0</v>
      </c>
      <c r="AB130" s="3" t="n">
        <v>4803.0</v>
      </c>
      <c r="AC130" s="3" t="n">
        <v>4681.0</v>
      </c>
      <c r="AD130" s="3" t="n">
        <v>4573.0</v>
      </c>
      <c r="AE130" s="3" t="n">
        <v>4481.0</v>
      </c>
      <c r="AF130" s="3" t="n">
        <v>4393.0</v>
      </c>
      <c r="AG130" s="3" t="n">
        <v>4334.0</v>
      </c>
      <c r="AH130" s="3" t="n">
        <v>4286.0</v>
      </c>
      <c r="AI130" s="3" t="n">
        <v>4244.0</v>
      </c>
      <c r="AJ130" s="3" t="n">
        <v>4226.0</v>
      </c>
      <c r="AK130" s="3" t="n">
        <v>4198.0</v>
      </c>
      <c r="AL130" s="3" t="n">
        <v>4189.0</v>
      </c>
      <c r="AM130" s="3" t="n">
        <v>4181.0</v>
      </c>
      <c r="AN130" s="3" t="n">
        <v>4162.0</v>
      </c>
      <c r="AO130" s="3" t="n">
        <v>4136.0</v>
      </c>
    </row>
    <row r="131" spans="1:41" x14ac:dyDescent="0.2">
      <c r="A131" s="128"/>
      <c r="B131" s="9">
        <v>20</v>
      </c>
      <c r="C131" s="3" t="n">
        <v>7530.0</v>
      </c>
      <c r="D131" s="3" t="n">
        <v>7518.0</v>
      </c>
      <c r="E131" s="3" t="n">
        <v>7706.0</v>
      </c>
      <c r="F131" s="3" t="n">
        <v>7845.0</v>
      </c>
      <c r="G131" s="3" t="n">
        <v>8039.0</v>
      </c>
      <c r="H131" s="3" t="n">
        <v>8530.0</v>
      </c>
      <c r="I131" s="3" t="n">
        <v>9083.0</v>
      </c>
      <c r="J131" s="3" t="n">
        <v>9173.0</v>
      </c>
      <c r="K131" s="3" t="n">
        <v>9094.0</v>
      </c>
      <c r="L131" s="3" t="n">
        <v>8153.0</v>
      </c>
      <c r="M131" s="3" t="n">
        <v>8397.0</v>
      </c>
      <c r="N131" s="3" t="n">
        <v>8106.0</v>
      </c>
      <c r="O131" s="3" t="n">
        <v>8092.0</v>
      </c>
      <c r="P131" s="3" t="n">
        <v>7924.0</v>
      </c>
      <c r="Q131" s="3" t="n">
        <v>8179.0</v>
      </c>
      <c r="R131" s="3" t="n">
        <v>8390.0</v>
      </c>
      <c r="S131" s="3" t="n">
        <v>7874.0</v>
      </c>
      <c r="T131" s="3" t="n">
        <v>7448.0</v>
      </c>
      <c r="U131" s="3" t="n">
        <v>6899.0</v>
      </c>
      <c r="V131" s="3" t="n">
        <v>6611.0</v>
      </c>
      <c r="W131" s="3" t="n">
        <v>5848.0</v>
      </c>
      <c r="X131" s="3" t="n">
        <v>5641.0</v>
      </c>
      <c r="Y131" s="3" t="n">
        <v>5411.0</v>
      </c>
      <c r="Z131" s="3" t="n">
        <v>5213.0</v>
      </c>
      <c r="AA131" s="3" t="n">
        <v>5062.0</v>
      </c>
      <c r="AB131" s="3" t="n">
        <v>4885.0</v>
      </c>
      <c r="AC131" s="3" t="n">
        <v>4758.0</v>
      </c>
      <c r="AD131" s="3" t="n">
        <v>4635.0</v>
      </c>
      <c r="AE131" s="3" t="n">
        <v>4529.0</v>
      </c>
      <c r="AF131" s="3" t="n">
        <v>4439.0</v>
      </c>
      <c r="AG131" s="3" t="n">
        <v>4350.0</v>
      </c>
      <c r="AH131" s="3" t="n">
        <v>4291.0</v>
      </c>
      <c r="AI131" s="3" t="n">
        <v>4244.0</v>
      </c>
      <c r="AJ131" s="3" t="n">
        <v>4201.0</v>
      </c>
      <c r="AK131" s="3" t="n">
        <v>4182.0</v>
      </c>
      <c r="AL131" s="3" t="n">
        <v>4152.0</v>
      </c>
      <c r="AM131" s="3" t="n">
        <v>4143.0</v>
      </c>
      <c r="AN131" s="3" t="n">
        <v>4135.0</v>
      </c>
      <c r="AO131" s="3" t="n">
        <v>4115.0</v>
      </c>
    </row>
    <row r="132" spans="1:41" x14ac:dyDescent="0.2">
      <c r="A132" s="128"/>
      <c r="B132" s="9">
        <v>21</v>
      </c>
      <c r="C132" s="3" t="n">
        <v>7778.0</v>
      </c>
      <c r="D132" s="3" t="n">
        <v>7507.0</v>
      </c>
      <c r="E132" s="3" t="n">
        <v>7492.0</v>
      </c>
      <c r="F132" s="3" t="n">
        <v>7680.0</v>
      </c>
      <c r="G132" s="3" t="n">
        <v>7819.0</v>
      </c>
      <c r="H132" s="3" t="n">
        <v>8013.0</v>
      </c>
      <c r="I132" s="3" t="n">
        <v>8504.0</v>
      </c>
      <c r="J132" s="3" t="n">
        <v>9053.0</v>
      </c>
      <c r="K132" s="3" t="n">
        <v>9141.0</v>
      </c>
      <c r="L132" s="3" t="n">
        <v>9058.0</v>
      </c>
      <c r="M132" s="3" t="n">
        <v>8122.0</v>
      </c>
      <c r="N132" s="3" t="n">
        <v>8361.0</v>
      </c>
      <c r="O132" s="3" t="n">
        <v>8067.0</v>
      </c>
      <c r="P132" s="3" t="n">
        <v>8054.0</v>
      </c>
      <c r="Q132" s="3" t="n">
        <v>7886.0</v>
      </c>
      <c r="R132" s="3" t="n">
        <v>8143.0</v>
      </c>
      <c r="S132" s="3" t="n">
        <v>8355.0</v>
      </c>
      <c r="T132" s="3" t="n">
        <v>7837.0</v>
      </c>
      <c r="U132" s="3" t="n">
        <v>7415.0</v>
      </c>
      <c r="V132" s="3" t="n">
        <v>6871.0</v>
      </c>
      <c r="W132" s="3" t="n">
        <v>6583.0</v>
      </c>
      <c r="X132" s="3" t="n">
        <v>5824.0</v>
      </c>
      <c r="Y132" s="3" t="n">
        <v>5617.0</v>
      </c>
      <c r="Z132" s="3" t="n">
        <v>5387.0</v>
      </c>
      <c r="AA132" s="3" t="n">
        <v>5192.0</v>
      </c>
      <c r="AB132" s="3" t="n">
        <v>5042.0</v>
      </c>
      <c r="AC132" s="3" t="n">
        <v>4863.0</v>
      </c>
      <c r="AD132" s="3" t="n">
        <v>4736.0</v>
      </c>
      <c r="AE132" s="3" t="n">
        <v>4612.0</v>
      </c>
      <c r="AF132" s="3" t="n">
        <v>4507.0</v>
      </c>
      <c r="AG132" s="3" t="n">
        <v>4415.0</v>
      </c>
      <c r="AH132" s="3" t="n">
        <v>4326.0</v>
      </c>
      <c r="AI132" s="3" t="n">
        <v>4268.0</v>
      </c>
      <c r="AJ132" s="3" t="n">
        <v>4221.0</v>
      </c>
      <c r="AK132" s="3" t="n">
        <v>4176.0</v>
      </c>
      <c r="AL132" s="3" t="n">
        <v>4157.0</v>
      </c>
      <c r="AM132" s="3" t="n">
        <v>4127.0</v>
      </c>
      <c r="AN132" s="3" t="n">
        <v>4118.0</v>
      </c>
      <c r="AO132" s="3" t="n">
        <v>4110.0</v>
      </c>
    </row>
    <row r="133" spans="1:41" x14ac:dyDescent="0.2">
      <c r="A133" s="128"/>
      <c r="B133" s="9">
        <v>22</v>
      </c>
      <c r="C133" s="3" t="n">
        <v>7862.0</v>
      </c>
      <c r="D133" s="3" t="n">
        <v>7754.0</v>
      </c>
      <c r="E133" s="3" t="n">
        <v>7479.0</v>
      </c>
      <c r="F133" s="3" t="n">
        <v>7464.0</v>
      </c>
      <c r="G133" s="3" t="n">
        <v>7650.0</v>
      </c>
      <c r="H133" s="3" t="n">
        <v>7795.0</v>
      </c>
      <c r="I133" s="3" t="n">
        <v>7992.0</v>
      </c>
      <c r="J133" s="3" t="n">
        <v>8476.0</v>
      </c>
      <c r="K133" s="3" t="n">
        <v>9017.0</v>
      </c>
      <c r="L133" s="3" t="n">
        <v>9106.0</v>
      </c>
      <c r="M133" s="3" t="n">
        <v>9020.0</v>
      </c>
      <c r="N133" s="3" t="n">
        <v>8092.0</v>
      </c>
      <c r="O133" s="3" t="n">
        <v>8335.0</v>
      </c>
      <c r="P133" s="3" t="n">
        <v>8037.0</v>
      </c>
      <c r="Q133" s="3" t="n">
        <v>8025.0</v>
      </c>
      <c r="R133" s="3" t="n">
        <v>7858.0</v>
      </c>
      <c r="S133" s="3" t="n">
        <v>8111.0</v>
      </c>
      <c r="T133" s="3" t="n">
        <v>8323.0</v>
      </c>
      <c r="U133" s="3" t="n">
        <v>7811.0</v>
      </c>
      <c r="V133" s="3" t="n">
        <v>7390.0</v>
      </c>
      <c r="W133" s="3" t="n">
        <v>6846.0</v>
      </c>
      <c r="X133" s="3" t="n">
        <v>6558.0</v>
      </c>
      <c r="Y133" s="3" t="n">
        <v>5805.0</v>
      </c>
      <c r="Z133" s="3" t="n">
        <v>5602.0</v>
      </c>
      <c r="AA133" s="3" t="n">
        <v>5373.0</v>
      </c>
      <c r="AB133" s="3" t="n">
        <v>5177.0</v>
      </c>
      <c r="AC133" s="3" t="n">
        <v>5028.0</v>
      </c>
      <c r="AD133" s="3" t="n">
        <v>4848.0</v>
      </c>
      <c r="AE133" s="3" t="n">
        <v>4720.0</v>
      </c>
      <c r="AF133" s="3" t="n">
        <v>4597.0</v>
      </c>
      <c r="AG133" s="3" t="n">
        <v>4489.0</v>
      </c>
      <c r="AH133" s="3" t="n">
        <v>4397.0</v>
      </c>
      <c r="AI133" s="3" t="n">
        <v>4307.0</v>
      </c>
      <c r="AJ133" s="3" t="n">
        <v>4250.0</v>
      </c>
      <c r="AK133" s="3" t="n">
        <v>4202.0</v>
      </c>
      <c r="AL133" s="3" t="n">
        <v>4156.0</v>
      </c>
      <c r="AM133" s="3" t="n">
        <v>4137.0</v>
      </c>
      <c r="AN133" s="3" t="n">
        <v>4108.0</v>
      </c>
      <c r="AO133" s="3" t="n">
        <v>4098.0</v>
      </c>
    </row>
    <row r="134" spans="1:41" x14ac:dyDescent="0.2">
      <c r="A134" s="128"/>
      <c r="B134" s="9">
        <v>23</v>
      </c>
      <c r="C134" s="3" t="n">
        <v>7866.0</v>
      </c>
      <c r="D134" s="3" t="n">
        <v>7844.0</v>
      </c>
      <c r="E134" s="3" t="n">
        <v>7739.0</v>
      </c>
      <c r="F134" s="3" t="n">
        <v>7459.0</v>
      </c>
      <c r="G134" s="3" t="n">
        <v>7444.0</v>
      </c>
      <c r="H134" s="3" t="n">
        <v>7634.0</v>
      </c>
      <c r="I134" s="3" t="n">
        <v>7777.0</v>
      </c>
      <c r="J134" s="3" t="n">
        <v>7975.0</v>
      </c>
      <c r="K134" s="3" t="n">
        <v>8459.0</v>
      </c>
      <c r="L134" s="3" t="n">
        <v>8993.0</v>
      </c>
      <c r="M134" s="3" t="n">
        <v>9084.0</v>
      </c>
      <c r="N134" s="3" t="n">
        <v>9000.0</v>
      </c>
      <c r="O134" s="3" t="n">
        <v>8073.0</v>
      </c>
      <c r="P134" s="3" t="n">
        <v>8315.0</v>
      </c>
      <c r="Q134" s="3" t="n">
        <v>8015.0</v>
      </c>
      <c r="R134" s="3" t="n">
        <v>8004.0</v>
      </c>
      <c r="S134" s="3" t="n">
        <v>7838.0</v>
      </c>
      <c r="T134" s="3" t="n">
        <v>8090.0</v>
      </c>
      <c r="U134" s="3" t="n">
        <v>8301.0</v>
      </c>
      <c r="V134" s="3" t="n">
        <v>7792.0</v>
      </c>
      <c r="W134" s="3" t="n">
        <v>7374.0</v>
      </c>
      <c r="X134" s="3" t="n">
        <v>6828.0</v>
      </c>
      <c r="Y134" s="3" t="n">
        <v>6546.0</v>
      </c>
      <c r="Z134" s="3" t="n">
        <v>5791.0</v>
      </c>
      <c r="AA134" s="3" t="n">
        <v>5591.0</v>
      </c>
      <c r="AB134" s="3" t="n">
        <v>5361.0</v>
      </c>
      <c r="AC134" s="3" t="n">
        <v>5168.0</v>
      </c>
      <c r="AD134" s="3" t="n">
        <v>5019.0</v>
      </c>
      <c r="AE134" s="3" t="n">
        <v>4836.0</v>
      </c>
      <c r="AF134" s="3" t="n">
        <v>4706.0</v>
      </c>
      <c r="AG134" s="3" t="n">
        <v>4583.0</v>
      </c>
      <c r="AH134" s="3" t="n">
        <v>4474.0</v>
      </c>
      <c r="AI134" s="3" t="n">
        <v>4382.0</v>
      </c>
      <c r="AJ134" s="3" t="n">
        <v>4293.0</v>
      </c>
      <c r="AK134" s="3" t="n">
        <v>4239.0</v>
      </c>
      <c r="AL134" s="3" t="n">
        <v>4189.0</v>
      </c>
      <c r="AM134" s="3" t="n">
        <v>4141.0</v>
      </c>
      <c r="AN134" s="3" t="n">
        <v>4122.0</v>
      </c>
      <c r="AO134" s="3" t="n">
        <v>4093.0</v>
      </c>
    </row>
    <row r="135" spans="1:41" x14ac:dyDescent="0.2">
      <c r="A135" s="128"/>
      <c r="B135" s="9">
        <v>24</v>
      </c>
      <c r="C135" s="3" t="n">
        <v>8030.0</v>
      </c>
      <c r="D135" s="3" t="n">
        <v>7853.0</v>
      </c>
      <c r="E135" s="3" t="n">
        <v>7830.0</v>
      </c>
      <c r="F135" s="3" t="n">
        <v>7729.0</v>
      </c>
      <c r="G135" s="3" t="n">
        <v>7445.0</v>
      </c>
      <c r="H135" s="3" t="n">
        <v>7434.0</v>
      </c>
      <c r="I135" s="3" t="n">
        <v>7622.0</v>
      </c>
      <c r="J135" s="3" t="n">
        <v>7761.0</v>
      </c>
      <c r="K135" s="3" t="n">
        <v>7956.0</v>
      </c>
      <c r="L135" s="3" t="n">
        <v>8436.0</v>
      </c>
      <c r="M135" s="3" t="n">
        <v>8970.0</v>
      </c>
      <c r="N135" s="3" t="n">
        <v>9062.0</v>
      </c>
      <c r="O135" s="3" t="n">
        <v>8976.0</v>
      </c>
      <c r="P135" s="3" t="n">
        <v>8054.0</v>
      </c>
      <c r="Q135" s="3" t="n">
        <v>8296.0</v>
      </c>
      <c r="R135" s="3" t="n">
        <v>7995.0</v>
      </c>
      <c r="S135" s="3" t="n">
        <v>7980.0</v>
      </c>
      <c r="T135" s="3" t="n">
        <v>7817.0</v>
      </c>
      <c r="U135" s="3" t="n">
        <v>8068.0</v>
      </c>
      <c r="V135" s="3" t="n">
        <v>8280.0</v>
      </c>
      <c r="W135" s="3" t="n">
        <v>7773.0</v>
      </c>
      <c r="X135" s="3" t="n">
        <v>7355.0</v>
      </c>
      <c r="Y135" s="3" t="n">
        <v>6816.0</v>
      </c>
      <c r="Z135" s="3" t="n">
        <v>6532.0</v>
      </c>
      <c r="AA135" s="3" t="n">
        <v>5776.0</v>
      </c>
      <c r="AB135" s="3" t="n">
        <v>5582.0</v>
      </c>
      <c r="AC135" s="3" t="n">
        <v>5352.0</v>
      </c>
      <c r="AD135" s="3" t="n">
        <v>5159.0</v>
      </c>
      <c r="AE135" s="3" t="n">
        <v>5007.0</v>
      </c>
      <c r="AF135" s="3" t="n">
        <v>4824.0</v>
      </c>
      <c r="AG135" s="3" t="n">
        <v>4692.0</v>
      </c>
      <c r="AH135" s="3" t="n">
        <v>4570.0</v>
      </c>
      <c r="AI135" s="3" t="n">
        <v>4462.0</v>
      </c>
      <c r="AJ135" s="3" t="n">
        <v>4368.0</v>
      </c>
      <c r="AK135" s="3" t="n">
        <v>4281.0</v>
      </c>
      <c r="AL135" s="3" t="n">
        <v>4227.0</v>
      </c>
      <c r="AM135" s="3" t="n">
        <v>4178.0</v>
      </c>
      <c r="AN135" s="3" t="n">
        <v>4130.0</v>
      </c>
      <c r="AO135" s="3" t="n">
        <v>4110.0</v>
      </c>
    </row>
    <row r="136" spans="1:41" x14ac:dyDescent="0.2">
      <c r="A136" s="128"/>
      <c r="B136" s="9">
        <v>25</v>
      </c>
      <c r="C136" s="3" t="n">
        <v>8296.0</v>
      </c>
      <c r="D136" s="3" t="n">
        <v>8012.0</v>
      </c>
      <c r="E136" s="3" t="n">
        <v>7834.0</v>
      </c>
      <c r="F136" s="3" t="n">
        <v>7812.0</v>
      </c>
      <c r="G136" s="3" t="n">
        <v>7711.0</v>
      </c>
      <c r="H136" s="3" t="n">
        <v>7428.0</v>
      </c>
      <c r="I136" s="3" t="n">
        <v>7421.0</v>
      </c>
      <c r="J136" s="3" t="n">
        <v>7602.0</v>
      </c>
      <c r="K136" s="3" t="n">
        <v>7738.0</v>
      </c>
      <c r="L136" s="3" t="n">
        <v>7931.0</v>
      </c>
      <c r="M136" s="3" t="n">
        <v>8416.0</v>
      </c>
      <c r="N136" s="3" t="n">
        <v>8945.0</v>
      </c>
      <c r="O136" s="3" t="n">
        <v>9036.0</v>
      </c>
      <c r="P136" s="3" t="n">
        <v>8948.0</v>
      </c>
      <c r="Q136" s="3" t="n">
        <v>8032.0</v>
      </c>
      <c r="R136" s="3" t="n">
        <v>8276.0</v>
      </c>
      <c r="S136" s="3" t="n">
        <v>7971.0</v>
      </c>
      <c r="T136" s="3" t="n">
        <v>7958.0</v>
      </c>
      <c r="U136" s="3" t="n">
        <v>7796.0</v>
      </c>
      <c r="V136" s="3" t="n">
        <v>8044.0</v>
      </c>
      <c r="W136" s="3" t="n">
        <v>8258.0</v>
      </c>
      <c r="X136" s="3" t="n">
        <v>7756.0</v>
      </c>
      <c r="Y136" s="3" t="n">
        <v>7342.0</v>
      </c>
      <c r="Z136" s="3" t="n">
        <v>6803.0</v>
      </c>
      <c r="AA136" s="3" t="n">
        <v>6520.0</v>
      </c>
      <c r="AB136" s="3" t="n">
        <v>5771.0</v>
      </c>
      <c r="AC136" s="3" t="n">
        <v>5572.0</v>
      </c>
      <c r="AD136" s="3" t="n">
        <v>5344.0</v>
      </c>
      <c r="AE136" s="3" t="n">
        <v>5152.0</v>
      </c>
      <c r="AF136" s="3" t="n">
        <v>4999.0</v>
      </c>
      <c r="AG136" s="3" t="n">
        <v>4819.0</v>
      </c>
      <c r="AH136" s="3" t="n">
        <v>4686.0</v>
      </c>
      <c r="AI136" s="3" t="n">
        <v>4562.0</v>
      </c>
      <c r="AJ136" s="3" t="n">
        <v>4458.0</v>
      </c>
      <c r="AK136" s="3" t="n">
        <v>4363.0</v>
      </c>
      <c r="AL136" s="3" t="n">
        <v>4273.0</v>
      </c>
      <c r="AM136" s="3" t="n">
        <v>4218.0</v>
      </c>
      <c r="AN136" s="3" t="n">
        <v>4170.0</v>
      </c>
      <c r="AO136" s="3" t="n">
        <v>4122.0</v>
      </c>
    </row>
    <row r="137" spans="1:41" x14ac:dyDescent="0.2">
      <c r="A137" s="128"/>
      <c r="B137" s="9">
        <v>26</v>
      </c>
      <c r="C137" s="3" t="n">
        <v>8733.0</v>
      </c>
      <c r="D137" s="3" t="n">
        <v>8278.0</v>
      </c>
      <c r="E137" s="3" t="n">
        <v>7988.0</v>
      </c>
      <c r="F137" s="3" t="n">
        <v>7806.0</v>
      </c>
      <c r="G137" s="3" t="n">
        <v>7781.0</v>
      </c>
      <c r="H137" s="3" t="n">
        <v>7684.0</v>
      </c>
      <c r="I137" s="3" t="n">
        <v>7403.0</v>
      </c>
      <c r="J137" s="3" t="n">
        <v>7396.0</v>
      </c>
      <c r="K137" s="3" t="n">
        <v>7568.0</v>
      </c>
      <c r="L137" s="3" t="n">
        <v>7703.0</v>
      </c>
      <c r="M137" s="3" t="n">
        <v>7897.0</v>
      </c>
      <c r="N137" s="3" t="n">
        <v>8381.0</v>
      </c>
      <c r="O137" s="3" t="n">
        <v>8916.0</v>
      </c>
      <c r="P137" s="3" t="n">
        <v>9001.0</v>
      </c>
      <c r="Q137" s="3" t="n">
        <v>8914.0</v>
      </c>
      <c r="R137" s="3" t="n">
        <v>8002.0</v>
      </c>
      <c r="S137" s="3" t="n">
        <v>8245.0</v>
      </c>
      <c r="T137" s="3" t="n">
        <v>7938.0</v>
      </c>
      <c r="U137" s="3" t="n">
        <v>7927.0</v>
      </c>
      <c r="V137" s="3" t="n">
        <v>7767.0</v>
      </c>
      <c r="W137" s="3" t="n">
        <v>8012.0</v>
      </c>
      <c r="X137" s="3" t="n">
        <v>8233.0</v>
      </c>
      <c r="Y137" s="3" t="n">
        <v>7729.0</v>
      </c>
      <c r="Z137" s="3" t="n">
        <v>7311.0</v>
      </c>
      <c r="AA137" s="3" t="n">
        <v>6775.0</v>
      </c>
      <c r="AB137" s="3" t="n">
        <v>6498.0</v>
      </c>
      <c r="AC137" s="3" t="n">
        <v>5755.0</v>
      </c>
      <c r="AD137" s="3" t="n">
        <v>5555.0</v>
      </c>
      <c r="AE137" s="3" t="n">
        <v>5328.0</v>
      </c>
      <c r="AF137" s="3" t="n">
        <v>5135.0</v>
      </c>
      <c r="AG137" s="3" t="n">
        <v>4980.0</v>
      </c>
      <c r="AH137" s="3" t="n">
        <v>4802.0</v>
      </c>
      <c r="AI137" s="3" t="n">
        <v>4670.0</v>
      </c>
      <c r="AJ137" s="3" t="n">
        <v>4545.0</v>
      </c>
      <c r="AK137" s="3" t="n">
        <v>4440.0</v>
      </c>
      <c r="AL137" s="3" t="n">
        <v>4351.0</v>
      </c>
      <c r="AM137" s="3" t="n">
        <v>4262.0</v>
      </c>
      <c r="AN137" s="3" t="n">
        <v>4207.0</v>
      </c>
      <c r="AO137" s="3" t="n">
        <v>4158.0</v>
      </c>
    </row>
    <row r="138" spans="1:41" x14ac:dyDescent="0.2">
      <c r="A138" s="128"/>
      <c r="B138" s="9">
        <v>27</v>
      </c>
      <c r="C138" s="3" t="n">
        <v>9204.0</v>
      </c>
      <c r="D138" s="3" t="n">
        <v>8707.0</v>
      </c>
      <c r="E138" s="3" t="n">
        <v>8258.0</v>
      </c>
      <c r="F138" s="3" t="n">
        <v>7967.0</v>
      </c>
      <c r="G138" s="3" t="n">
        <v>7784.0</v>
      </c>
      <c r="H138" s="3" t="n">
        <v>7758.0</v>
      </c>
      <c r="I138" s="3" t="n">
        <v>7665.0</v>
      </c>
      <c r="J138" s="3" t="n">
        <v>7382.0</v>
      </c>
      <c r="K138" s="3" t="n">
        <v>7376.0</v>
      </c>
      <c r="L138" s="3" t="n">
        <v>7543.0</v>
      </c>
      <c r="M138" s="3" t="n">
        <v>7673.0</v>
      </c>
      <c r="N138" s="3" t="n">
        <v>7861.0</v>
      </c>
      <c r="O138" s="3" t="n">
        <v>8346.0</v>
      </c>
      <c r="P138" s="3" t="n">
        <v>8883.0</v>
      </c>
      <c r="Q138" s="3" t="n">
        <v>8968.0</v>
      </c>
      <c r="R138" s="3" t="n">
        <v>8880.0</v>
      </c>
      <c r="S138" s="3" t="n">
        <v>7973.0</v>
      </c>
      <c r="T138" s="3" t="n">
        <v>8221.0</v>
      </c>
      <c r="U138" s="3" t="n">
        <v>7909.0</v>
      </c>
      <c r="V138" s="3" t="n">
        <v>7899.0</v>
      </c>
      <c r="W138" s="3" t="n">
        <v>7739.0</v>
      </c>
      <c r="X138" s="3" t="n">
        <v>7979.0</v>
      </c>
      <c r="Y138" s="3" t="n">
        <v>8203.0</v>
      </c>
      <c r="Z138" s="3" t="n">
        <v>7704.0</v>
      </c>
      <c r="AA138" s="3" t="n">
        <v>7292.0</v>
      </c>
      <c r="AB138" s="3" t="n">
        <v>6755.0</v>
      </c>
      <c r="AC138" s="3" t="n">
        <v>6486.0</v>
      </c>
      <c r="AD138" s="3" t="n">
        <v>5742.0</v>
      </c>
      <c r="AE138" s="3" t="n">
        <v>5546.0</v>
      </c>
      <c r="AF138" s="3" t="n">
        <v>5318.0</v>
      </c>
      <c r="AG138" s="3" t="n">
        <v>5124.0</v>
      </c>
      <c r="AH138" s="3" t="n">
        <v>4969.0</v>
      </c>
      <c r="AI138" s="3" t="n">
        <v>4787.0</v>
      </c>
      <c r="AJ138" s="3" t="n">
        <v>4654.0</v>
      </c>
      <c r="AK138" s="3" t="n">
        <v>4531.0</v>
      </c>
      <c r="AL138" s="3" t="n">
        <v>4425.0</v>
      </c>
      <c r="AM138" s="3" t="n">
        <v>4337.0</v>
      </c>
      <c r="AN138" s="3" t="n">
        <v>4249.0</v>
      </c>
      <c r="AO138" s="3" t="n">
        <v>4193.0</v>
      </c>
    </row>
    <row r="139" spans="1:41" x14ac:dyDescent="0.2">
      <c r="A139" s="128"/>
      <c r="B139" s="9">
        <v>28</v>
      </c>
      <c r="C139" s="3" t="n">
        <v>9816.0</v>
      </c>
      <c r="D139" s="3" t="n">
        <v>9167.0</v>
      </c>
      <c r="E139" s="3" t="n">
        <v>8676.0</v>
      </c>
      <c r="F139" s="3" t="n">
        <v>8230.0</v>
      </c>
      <c r="G139" s="3" t="n">
        <v>7941.0</v>
      </c>
      <c r="H139" s="3" t="n">
        <v>7761.0</v>
      </c>
      <c r="I139" s="3" t="n">
        <v>7736.0</v>
      </c>
      <c r="J139" s="3" t="n">
        <v>7636.0</v>
      </c>
      <c r="K139" s="3" t="n">
        <v>7350.0</v>
      </c>
      <c r="L139" s="3" t="n">
        <v>7343.0</v>
      </c>
      <c r="M139" s="3" t="n">
        <v>7510.0</v>
      </c>
      <c r="N139" s="3" t="n">
        <v>7644.0</v>
      </c>
      <c r="O139" s="3" t="n">
        <v>7831.0</v>
      </c>
      <c r="P139" s="3" t="n">
        <v>8313.0</v>
      </c>
      <c r="Q139" s="3" t="n">
        <v>8848.0</v>
      </c>
      <c r="R139" s="3" t="n">
        <v>8929.0</v>
      </c>
      <c r="S139" s="3" t="n">
        <v>8848.0</v>
      </c>
      <c r="T139" s="3" t="n">
        <v>7945.0</v>
      </c>
      <c r="U139" s="3" t="n">
        <v>8190.0</v>
      </c>
      <c r="V139" s="3" t="n">
        <v>7875.0</v>
      </c>
      <c r="W139" s="3" t="n">
        <v>7867.0</v>
      </c>
      <c r="X139" s="3" t="n">
        <v>7708.0</v>
      </c>
      <c r="Y139" s="3" t="n">
        <v>7949.0</v>
      </c>
      <c r="Z139" s="3" t="n">
        <v>8174.0</v>
      </c>
      <c r="AA139" s="3" t="n">
        <v>7675.0</v>
      </c>
      <c r="AB139" s="3" t="n">
        <v>7263.0</v>
      </c>
      <c r="AC139" s="3" t="n">
        <v>6730.0</v>
      </c>
      <c r="AD139" s="3" t="n">
        <v>6463.0</v>
      </c>
      <c r="AE139" s="3" t="n">
        <v>5723.0</v>
      </c>
      <c r="AF139" s="3" t="n">
        <v>5523.0</v>
      </c>
      <c r="AG139" s="3" t="n">
        <v>5297.0</v>
      </c>
      <c r="AH139" s="3" t="n">
        <v>5105.0</v>
      </c>
      <c r="AI139" s="3" t="n">
        <v>4954.0</v>
      </c>
      <c r="AJ139" s="3" t="n">
        <v>4775.0</v>
      </c>
      <c r="AK139" s="3" t="n">
        <v>4642.0</v>
      </c>
      <c r="AL139" s="3" t="n">
        <v>4521.0</v>
      </c>
      <c r="AM139" s="3" t="n">
        <v>4416.0</v>
      </c>
      <c r="AN139" s="3" t="n">
        <v>4326.0</v>
      </c>
      <c r="AO139" s="3" t="n">
        <v>4236.0</v>
      </c>
    </row>
    <row r="140" spans="1:41" x14ac:dyDescent="0.2">
      <c r="A140" s="128"/>
      <c r="B140" s="9">
        <v>29</v>
      </c>
      <c r="C140" s="3" t="n">
        <v>10246.0</v>
      </c>
      <c r="D140" s="3" t="n">
        <v>9770.0</v>
      </c>
      <c r="E140" s="3" t="n">
        <v>9124.0</v>
      </c>
      <c r="F140" s="3" t="n">
        <v>8638.0</v>
      </c>
      <c r="G140" s="3" t="n">
        <v>8191.0</v>
      </c>
      <c r="H140" s="3" t="n">
        <v>7907.0</v>
      </c>
      <c r="I140" s="3" t="n">
        <v>7730.0</v>
      </c>
      <c r="J140" s="3" t="n">
        <v>7700.0</v>
      </c>
      <c r="K140" s="3" t="n">
        <v>7601.0</v>
      </c>
      <c r="L140" s="3" t="n">
        <v>7314.0</v>
      </c>
      <c r="M140" s="3" t="n">
        <v>7307.0</v>
      </c>
      <c r="N140" s="3" t="n">
        <v>7469.0</v>
      </c>
      <c r="O140" s="3" t="n">
        <v>7602.0</v>
      </c>
      <c r="P140" s="3" t="n">
        <v>7792.0</v>
      </c>
      <c r="Q140" s="3" t="n">
        <v>8269.0</v>
      </c>
      <c r="R140" s="3" t="n">
        <v>8801.0</v>
      </c>
      <c r="S140" s="3" t="n">
        <v>8884.0</v>
      </c>
      <c r="T140" s="3" t="n">
        <v>8805.0</v>
      </c>
      <c r="U140" s="3" t="n">
        <v>7907.0</v>
      </c>
      <c r="V140" s="3" t="n">
        <v>8148.0</v>
      </c>
      <c r="W140" s="3" t="n">
        <v>7831.0</v>
      </c>
      <c r="X140" s="3" t="n">
        <v>7828.0</v>
      </c>
      <c r="Y140" s="3" t="n">
        <v>7668.0</v>
      </c>
      <c r="Z140" s="3" t="n">
        <v>7908.0</v>
      </c>
      <c r="AA140" s="3" t="n">
        <v>8134.0</v>
      </c>
      <c r="AB140" s="3" t="n">
        <v>7640.0</v>
      </c>
      <c r="AC140" s="3" t="n">
        <v>7228.0</v>
      </c>
      <c r="AD140" s="3" t="n">
        <v>6701.0</v>
      </c>
      <c r="AE140" s="3" t="n">
        <v>6439.0</v>
      </c>
      <c r="AF140" s="3" t="n">
        <v>5704.0</v>
      </c>
      <c r="AG140" s="3" t="n">
        <v>5511.0</v>
      </c>
      <c r="AH140" s="3" t="n">
        <v>5287.0</v>
      </c>
      <c r="AI140" s="3" t="n">
        <v>5090.0</v>
      </c>
      <c r="AJ140" s="3" t="n">
        <v>4939.0</v>
      </c>
      <c r="AK140" s="3" t="n">
        <v>4757.0</v>
      </c>
      <c r="AL140" s="3" t="n">
        <v>4623.0</v>
      </c>
      <c r="AM140" s="3" t="n">
        <v>4505.0</v>
      </c>
      <c r="AN140" s="3" t="n">
        <v>4400.0</v>
      </c>
      <c r="AO140" s="3" t="n">
        <v>4309.0</v>
      </c>
    </row>
    <row r="141" spans="1:41" x14ac:dyDescent="0.2">
      <c r="A141" s="128"/>
      <c r="B141" s="9">
        <v>30</v>
      </c>
      <c r="C141" s="3" t="n">
        <v>10382.0</v>
      </c>
      <c r="D141" s="3" t="n">
        <v>10201.0</v>
      </c>
      <c r="E141" s="3" t="n">
        <v>9724.0</v>
      </c>
      <c r="F141" s="3" t="n">
        <v>9084.0</v>
      </c>
      <c r="G141" s="3" t="n">
        <v>8607.0</v>
      </c>
      <c r="H141" s="3" t="n">
        <v>8169.0</v>
      </c>
      <c r="I141" s="3" t="n">
        <v>7884.0</v>
      </c>
      <c r="J141" s="3" t="n">
        <v>7705.0</v>
      </c>
      <c r="K141" s="3" t="n">
        <v>7669.0</v>
      </c>
      <c r="L141" s="3" t="n">
        <v>7569.0</v>
      </c>
      <c r="M141" s="3" t="n">
        <v>7281.0</v>
      </c>
      <c r="N141" s="3" t="n">
        <v>7274.0</v>
      </c>
      <c r="O141" s="3" t="n">
        <v>7435.0</v>
      </c>
      <c r="P141" s="3" t="n">
        <v>7567.0</v>
      </c>
      <c r="Q141" s="3" t="n">
        <v>7762.0</v>
      </c>
      <c r="R141" s="3" t="n">
        <v>8229.0</v>
      </c>
      <c r="S141" s="3" t="n">
        <v>8762.0</v>
      </c>
      <c r="T141" s="3" t="n">
        <v>8843.0</v>
      </c>
      <c r="U141" s="3" t="n">
        <v>8768.0</v>
      </c>
      <c r="V141" s="3" t="n">
        <v>7876.0</v>
      </c>
      <c r="W141" s="3" t="n">
        <v>8110.0</v>
      </c>
      <c r="X141" s="3" t="n">
        <v>7795.0</v>
      </c>
      <c r="Y141" s="3" t="n">
        <v>7795.0</v>
      </c>
      <c r="Z141" s="3" t="n">
        <v>7637.0</v>
      </c>
      <c r="AA141" s="3" t="n">
        <v>7872.0</v>
      </c>
      <c r="AB141" s="3" t="n">
        <v>8098.0</v>
      </c>
      <c r="AC141" s="3" t="n">
        <v>7609.0</v>
      </c>
      <c r="AD141" s="3" t="n">
        <v>7197.0</v>
      </c>
      <c r="AE141" s="3" t="n">
        <v>6672.0</v>
      </c>
      <c r="AF141" s="3" t="n">
        <v>6414.0</v>
      </c>
      <c r="AG141" s="3" t="n">
        <v>5680.0</v>
      </c>
      <c r="AH141" s="3" t="n">
        <v>5491.0</v>
      </c>
      <c r="AI141" s="3" t="n">
        <v>5269.0</v>
      </c>
      <c r="AJ141" s="3" t="n">
        <v>5074.0</v>
      </c>
      <c r="AK141" s="3" t="n">
        <v>4920.0</v>
      </c>
      <c r="AL141" s="3" t="n">
        <v>4742.0</v>
      </c>
      <c r="AM141" s="3" t="n">
        <v>4606.0</v>
      </c>
      <c r="AN141" s="3" t="n">
        <v>4489.0</v>
      </c>
      <c r="AO141" s="3" t="n">
        <v>4385.0</v>
      </c>
    </row>
    <row r="142" spans="1:41" x14ac:dyDescent="0.2">
      <c r="A142" s="128"/>
      <c r="B142" s="9">
        <v>31</v>
      </c>
      <c r="C142" s="3" t="n">
        <v>10892.0</v>
      </c>
      <c r="D142" s="3" t="n">
        <v>10345.0</v>
      </c>
      <c r="E142" s="3" t="n">
        <v>10163.0</v>
      </c>
      <c r="F142" s="3" t="n">
        <v>9688.0</v>
      </c>
      <c r="G142" s="3" t="n">
        <v>9055.0</v>
      </c>
      <c r="H142" s="3" t="n">
        <v>8587.0</v>
      </c>
      <c r="I142" s="3" t="n">
        <v>8156.0</v>
      </c>
      <c r="J142" s="3" t="n">
        <v>7863.0</v>
      </c>
      <c r="K142" s="3" t="n">
        <v>7682.0</v>
      </c>
      <c r="L142" s="3" t="n">
        <v>7644.0</v>
      </c>
      <c r="M142" s="3" t="n">
        <v>7537.0</v>
      </c>
      <c r="N142" s="3" t="n">
        <v>7251.0</v>
      </c>
      <c r="O142" s="3" t="n">
        <v>7245.0</v>
      </c>
      <c r="P142" s="3" t="n">
        <v>7409.0</v>
      </c>
      <c r="Q142" s="3" t="n">
        <v>7537.0</v>
      </c>
      <c r="R142" s="3" t="n">
        <v>7734.0</v>
      </c>
      <c r="S142" s="3" t="n">
        <v>8198.0</v>
      </c>
      <c r="T142" s="3" t="n">
        <v>8731.0</v>
      </c>
      <c r="U142" s="3" t="n">
        <v>8809.0</v>
      </c>
      <c r="V142" s="3" t="n">
        <v>8738.0</v>
      </c>
      <c r="W142" s="3" t="n">
        <v>7851.0</v>
      </c>
      <c r="X142" s="3" t="n">
        <v>8086.0</v>
      </c>
      <c r="Y142" s="3" t="n">
        <v>7767.0</v>
      </c>
      <c r="Z142" s="3" t="n">
        <v>7770.0</v>
      </c>
      <c r="AA142" s="3" t="n">
        <v>7610.0</v>
      </c>
      <c r="AB142" s="3" t="n">
        <v>7845.0</v>
      </c>
      <c r="AC142" s="3" t="n">
        <v>8075.0</v>
      </c>
      <c r="AD142" s="3" t="n">
        <v>7587.0</v>
      </c>
      <c r="AE142" s="3" t="n">
        <v>7174.0</v>
      </c>
      <c r="AF142" s="3" t="n">
        <v>6651.0</v>
      </c>
      <c r="AG142" s="3" t="n">
        <v>6398.0</v>
      </c>
      <c r="AH142" s="3" t="n">
        <v>5666.0</v>
      </c>
      <c r="AI142" s="3" t="n">
        <v>5473.0</v>
      </c>
      <c r="AJ142" s="3" t="n">
        <v>5251.0</v>
      </c>
      <c r="AK142" s="3" t="n">
        <v>5058.0</v>
      </c>
      <c r="AL142" s="3" t="n">
        <v>4904.0</v>
      </c>
      <c r="AM142" s="3" t="n">
        <v>4730.0</v>
      </c>
      <c r="AN142" s="3" t="n">
        <v>4592.0</v>
      </c>
      <c r="AO142" s="3" t="n">
        <v>4473.0</v>
      </c>
    </row>
    <row r="143" spans="1:41" x14ac:dyDescent="0.2">
      <c r="A143" s="128"/>
      <c r="B143" s="9">
        <v>32</v>
      </c>
      <c r="C143" s="3" t="n">
        <v>11366.0</v>
      </c>
      <c r="D143" s="3" t="n">
        <v>10862.0</v>
      </c>
      <c r="E143" s="3" t="n">
        <v>10315.0</v>
      </c>
      <c r="F143" s="3" t="n">
        <v>10132.0</v>
      </c>
      <c r="G143" s="3" t="n">
        <v>9653.0</v>
      </c>
      <c r="H143" s="3" t="n">
        <v>9029.0</v>
      </c>
      <c r="I143" s="3" t="n">
        <v>8567.0</v>
      </c>
      <c r="J143" s="3" t="n">
        <v>8136.0</v>
      </c>
      <c r="K143" s="3" t="n">
        <v>7842.0</v>
      </c>
      <c r="L143" s="3" t="n">
        <v>7660.0</v>
      </c>
      <c r="M143" s="3" t="n">
        <v>7622.0</v>
      </c>
      <c r="N143" s="3" t="n">
        <v>7513.0</v>
      </c>
      <c r="O143" s="3" t="n">
        <v>7223.0</v>
      </c>
      <c r="P143" s="3" t="n">
        <v>7217.0</v>
      </c>
      <c r="Q143" s="3" t="n">
        <v>7381.0</v>
      </c>
      <c r="R143" s="3" t="n">
        <v>7513.0</v>
      </c>
      <c r="S143" s="3" t="n">
        <v>7705.0</v>
      </c>
      <c r="T143" s="3" t="n">
        <v>8165.0</v>
      </c>
      <c r="U143" s="3" t="n">
        <v>8696.0</v>
      </c>
      <c r="V143" s="3" t="n">
        <v>8773.0</v>
      </c>
      <c r="W143" s="3" t="n">
        <v>8708.0</v>
      </c>
      <c r="X143" s="3" t="n">
        <v>7824.0</v>
      </c>
      <c r="Y143" s="3" t="n">
        <v>8056.0</v>
      </c>
      <c r="Z143" s="3" t="n">
        <v>7736.0</v>
      </c>
      <c r="AA143" s="3" t="n">
        <v>7742.0</v>
      </c>
      <c r="AB143" s="3" t="n">
        <v>7581.0</v>
      </c>
      <c r="AC143" s="3" t="n">
        <v>7819.0</v>
      </c>
      <c r="AD143" s="3" t="n">
        <v>8048.0</v>
      </c>
      <c r="AE143" s="3" t="n">
        <v>7560.0</v>
      </c>
      <c r="AF143" s="3" t="n">
        <v>7149.0</v>
      </c>
      <c r="AG143" s="3" t="n">
        <v>6633.0</v>
      </c>
      <c r="AH143" s="3" t="n">
        <v>6383.0</v>
      </c>
      <c r="AI143" s="3" t="n">
        <v>5649.0</v>
      </c>
      <c r="AJ143" s="3" t="n">
        <v>5457.0</v>
      </c>
      <c r="AK143" s="3" t="n">
        <v>5237.0</v>
      </c>
      <c r="AL143" s="3" t="n">
        <v>5043.0</v>
      </c>
      <c r="AM143" s="3" t="n">
        <v>4888.0</v>
      </c>
      <c r="AN143" s="3" t="n">
        <v>4714.0</v>
      </c>
      <c r="AO143" s="3" t="n">
        <v>4576.0</v>
      </c>
    </row>
    <row r="144" spans="1:41" x14ac:dyDescent="0.2">
      <c r="A144" s="128"/>
      <c r="B144" s="9">
        <v>33</v>
      </c>
      <c r="C144" s="3" t="n">
        <v>11370.0</v>
      </c>
      <c r="D144" s="3" t="n">
        <v>11338.0</v>
      </c>
      <c r="E144" s="3" t="n">
        <v>10834.0</v>
      </c>
      <c r="F144" s="3" t="n">
        <v>10289.0</v>
      </c>
      <c r="G144" s="3" t="n">
        <v>10103.0</v>
      </c>
      <c r="H144" s="3" t="n">
        <v>9630.0</v>
      </c>
      <c r="I144" s="3" t="n">
        <v>9011.0</v>
      </c>
      <c r="J144" s="3" t="n">
        <v>8544.0</v>
      </c>
      <c r="K144" s="3" t="n">
        <v>8114.0</v>
      </c>
      <c r="L144" s="3" t="n">
        <v>7820.0</v>
      </c>
      <c r="M144" s="3" t="n">
        <v>7632.0</v>
      </c>
      <c r="N144" s="3" t="n">
        <v>7596.0</v>
      </c>
      <c r="O144" s="3" t="n">
        <v>7483.0</v>
      </c>
      <c r="P144" s="3" t="n">
        <v>7191.0</v>
      </c>
      <c r="Q144" s="3" t="n">
        <v>7184.0</v>
      </c>
      <c r="R144" s="3" t="n">
        <v>7349.0</v>
      </c>
      <c r="S144" s="3" t="n">
        <v>7481.0</v>
      </c>
      <c r="T144" s="3" t="n">
        <v>7676.0</v>
      </c>
      <c r="U144" s="3" t="n">
        <v>8130.0</v>
      </c>
      <c r="V144" s="3" t="n">
        <v>8661.0</v>
      </c>
      <c r="W144" s="3" t="n">
        <v>8743.0</v>
      </c>
      <c r="X144" s="3" t="n">
        <v>8676.0</v>
      </c>
      <c r="Y144" s="3" t="n">
        <v>7796.0</v>
      </c>
      <c r="Z144" s="3" t="n">
        <v>8031.0</v>
      </c>
      <c r="AA144" s="3" t="n">
        <v>7709.0</v>
      </c>
      <c r="AB144" s="3" t="n">
        <v>7711.0</v>
      </c>
      <c r="AC144" s="3" t="n">
        <v>7554.0</v>
      </c>
      <c r="AD144" s="3" t="n">
        <v>7790.0</v>
      </c>
      <c r="AE144" s="3" t="n">
        <v>8023.0</v>
      </c>
      <c r="AF144" s="3" t="n">
        <v>7539.0</v>
      </c>
      <c r="AG144" s="3" t="n">
        <v>7132.0</v>
      </c>
      <c r="AH144" s="3" t="n">
        <v>6612.0</v>
      </c>
      <c r="AI144" s="3" t="n">
        <v>6373.0</v>
      </c>
      <c r="AJ144" s="3" t="n">
        <v>5632.0</v>
      </c>
      <c r="AK144" s="3" t="n">
        <v>5445.0</v>
      </c>
      <c r="AL144" s="3" t="n">
        <v>5226.0</v>
      </c>
      <c r="AM144" s="3" t="n">
        <v>5034.0</v>
      </c>
      <c r="AN144" s="3" t="n">
        <v>4879.0</v>
      </c>
      <c r="AO144" s="3" t="n">
        <v>4709.0</v>
      </c>
    </row>
    <row r="145" spans="1:41" x14ac:dyDescent="0.2">
      <c r="A145" s="128"/>
      <c r="B145" s="9">
        <v>34</v>
      </c>
      <c r="C145" s="3" t="n">
        <v>11779.0</v>
      </c>
      <c r="D145" s="3" t="n">
        <v>11343.0</v>
      </c>
      <c r="E145" s="3" t="n">
        <v>11315.0</v>
      </c>
      <c r="F145" s="3" t="n">
        <v>10813.0</v>
      </c>
      <c r="G145" s="3" t="n">
        <v>10265.0</v>
      </c>
      <c r="H145" s="3" t="n">
        <v>10081.0</v>
      </c>
      <c r="I145" s="3" t="n">
        <v>9613.0</v>
      </c>
      <c r="J145" s="3" t="n">
        <v>8989.0</v>
      </c>
      <c r="K145" s="3" t="n">
        <v>8522.0</v>
      </c>
      <c r="L145" s="3" t="n">
        <v>8095.0</v>
      </c>
      <c r="M145" s="3" t="n">
        <v>7796.0</v>
      </c>
      <c r="N145" s="3" t="n">
        <v>7612.0</v>
      </c>
      <c r="O145" s="3" t="n">
        <v>7575.0</v>
      </c>
      <c r="P145" s="3" t="n">
        <v>7460.0</v>
      </c>
      <c r="Q145" s="3" t="n">
        <v>7172.0</v>
      </c>
      <c r="R145" s="3" t="n">
        <v>7164.0</v>
      </c>
      <c r="S145" s="3" t="n">
        <v>7328.0</v>
      </c>
      <c r="T145" s="3" t="n">
        <v>7458.0</v>
      </c>
      <c r="U145" s="3" t="n">
        <v>7649.0</v>
      </c>
      <c r="V145" s="3" t="n">
        <v>8098.0</v>
      </c>
      <c r="W145" s="3" t="n">
        <v>8627.0</v>
      </c>
      <c r="X145" s="3" t="n">
        <v>8707.0</v>
      </c>
      <c r="Y145" s="3" t="n">
        <v>8644.0</v>
      </c>
      <c r="Z145" s="3" t="n">
        <v>7773.0</v>
      </c>
      <c r="AA145" s="3" t="n">
        <v>8002.0</v>
      </c>
      <c r="AB145" s="3" t="n">
        <v>7677.0</v>
      </c>
      <c r="AC145" s="3" t="n">
        <v>7685.0</v>
      </c>
      <c r="AD145" s="3" t="n">
        <v>7527.0</v>
      </c>
      <c r="AE145" s="3" t="n">
        <v>7766.0</v>
      </c>
      <c r="AF145" s="3" t="n">
        <v>7995.0</v>
      </c>
      <c r="AG145" s="3" t="n">
        <v>7516.0</v>
      </c>
      <c r="AH145" s="3" t="n">
        <v>7106.0</v>
      </c>
      <c r="AI145" s="3" t="n">
        <v>6594.0</v>
      </c>
      <c r="AJ145" s="3" t="n">
        <v>6360.0</v>
      </c>
      <c r="AK145" s="3" t="n">
        <v>5620.0</v>
      </c>
      <c r="AL145" s="3" t="n">
        <v>5428.0</v>
      </c>
      <c r="AM145" s="3" t="n">
        <v>5216.0</v>
      </c>
      <c r="AN145" s="3" t="n">
        <v>5024.0</v>
      </c>
      <c r="AO145" s="3" t="n">
        <v>4871.0</v>
      </c>
    </row>
    <row r="146" spans="1:41" x14ac:dyDescent="0.2">
      <c r="A146" s="128"/>
      <c r="B146" s="9">
        <v>35</v>
      </c>
      <c r="C146" s="3" t="n">
        <v>12426.0</v>
      </c>
      <c r="D146" s="3" t="n">
        <v>11739.0</v>
      </c>
      <c r="E146" s="3" t="n">
        <v>11301.0</v>
      </c>
      <c r="F146" s="3" t="n">
        <v>11273.0</v>
      </c>
      <c r="G146" s="3" t="n">
        <v>10768.0</v>
      </c>
      <c r="H146" s="3" t="n">
        <v>10228.0</v>
      </c>
      <c r="I146" s="3" t="n">
        <v>10051.0</v>
      </c>
      <c r="J146" s="3" t="n">
        <v>9577.0</v>
      </c>
      <c r="K146" s="3" t="n">
        <v>8954.0</v>
      </c>
      <c r="L146" s="3" t="n">
        <v>8488.0</v>
      </c>
      <c r="M146" s="3" t="n">
        <v>8066.0</v>
      </c>
      <c r="N146" s="3" t="n">
        <v>7766.0</v>
      </c>
      <c r="O146" s="3" t="n">
        <v>7580.0</v>
      </c>
      <c r="P146" s="3" t="n">
        <v>7541.0</v>
      </c>
      <c r="Q146" s="3" t="n">
        <v>7424.0</v>
      </c>
      <c r="R146" s="3" t="n">
        <v>7141.0</v>
      </c>
      <c r="S146" s="3" t="n">
        <v>7132.0</v>
      </c>
      <c r="T146" s="3" t="n">
        <v>7294.0</v>
      </c>
      <c r="U146" s="3" t="n">
        <v>7425.0</v>
      </c>
      <c r="V146" s="3" t="n">
        <v>7612.0</v>
      </c>
      <c r="W146" s="3" t="n">
        <v>8060.0</v>
      </c>
      <c r="X146" s="3" t="n">
        <v>8587.0</v>
      </c>
      <c r="Y146" s="3" t="n">
        <v>8662.0</v>
      </c>
      <c r="Z146" s="3" t="n">
        <v>8601.0</v>
      </c>
      <c r="AA146" s="3" t="n">
        <v>7739.0</v>
      </c>
      <c r="AB146" s="3" t="n">
        <v>7966.0</v>
      </c>
      <c r="AC146" s="3" t="n">
        <v>7639.0</v>
      </c>
      <c r="AD146" s="3" t="n">
        <v>7650.0</v>
      </c>
      <c r="AE146" s="3" t="n">
        <v>7494.0</v>
      </c>
      <c r="AF146" s="3" t="n">
        <v>7731.0</v>
      </c>
      <c r="AG146" s="3" t="n">
        <v>7957.0</v>
      </c>
      <c r="AH146" s="3" t="n">
        <v>7485.0</v>
      </c>
      <c r="AI146" s="3" t="n">
        <v>7081.0</v>
      </c>
      <c r="AJ146" s="3" t="n">
        <v>6570.0</v>
      </c>
      <c r="AK146" s="3" t="n">
        <v>6335.0</v>
      </c>
      <c r="AL146" s="3" t="n">
        <v>5602.0</v>
      </c>
      <c r="AM146" s="3" t="n">
        <v>5410.0</v>
      </c>
      <c r="AN146" s="3" t="n">
        <v>5200.0</v>
      </c>
      <c r="AO146" s="3" t="n">
        <v>5007.0</v>
      </c>
    </row>
    <row r="147" spans="1:41" x14ac:dyDescent="0.2">
      <c r="A147" s="128"/>
      <c r="B147" s="9">
        <v>36</v>
      </c>
      <c r="C147" s="3" t="n">
        <v>12596.0</v>
      </c>
      <c r="D147" s="3" t="n">
        <v>12389.0</v>
      </c>
      <c r="E147" s="3" t="n">
        <v>11706.0</v>
      </c>
      <c r="F147" s="3" t="n">
        <v>11277.0</v>
      </c>
      <c r="G147" s="3" t="n">
        <v>11249.0</v>
      </c>
      <c r="H147" s="3" t="n">
        <v>10751.0</v>
      </c>
      <c r="I147" s="3" t="n">
        <v>10208.0</v>
      </c>
      <c r="J147" s="3" t="n">
        <v>10027.0</v>
      </c>
      <c r="K147" s="3" t="n">
        <v>9554.0</v>
      </c>
      <c r="L147" s="3" t="n">
        <v>8938.0</v>
      </c>
      <c r="M147" s="3" t="n">
        <v>8472.0</v>
      </c>
      <c r="N147" s="3" t="n">
        <v>8051.0</v>
      </c>
      <c r="O147" s="3" t="n">
        <v>7750.0</v>
      </c>
      <c r="P147" s="3" t="n">
        <v>7563.0</v>
      </c>
      <c r="Q147" s="3" t="n">
        <v>7522.0</v>
      </c>
      <c r="R147" s="3" t="n">
        <v>7405.0</v>
      </c>
      <c r="S147" s="3" t="n">
        <v>7126.0</v>
      </c>
      <c r="T147" s="3" t="n">
        <v>7111.0</v>
      </c>
      <c r="U147" s="3" t="n">
        <v>7275.0</v>
      </c>
      <c r="V147" s="3" t="n">
        <v>7408.0</v>
      </c>
      <c r="W147" s="3" t="n">
        <v>7590.0</v>
      </c>
      <c r="X147" s="3" t="n">
        <v>8039.0</v>
      </c>
      <c r="Y147" s="3" t="n">
        <v>8559.0</v>
      </c>
      <c r="Z147" s="3" t="n">
        <v>8638.0</v>
      </c>
      <c r="AA147" s="3" t="n">
        <v>8577.0</v>
      </c>
      <c r="AB147" s="3" t="n">
        <v>7719.0</v>
      </c>
      <c r="AC147" s="3" t="n">
        <v>7940.0</v>
      </c>
      <c r="AD147" s="3" t="n">
        <v>7613.0</v>
      </c>
      <c r="AE147" s="3" t="n">
        <v>7627.0</v>
      </c>
      <c r="AF147" s="3" t="n">
        <v>7474.0</v>
      </c>
      <c r="AG147" s="3" t="n">
        <v>7711.0</v>
      </c>
      <c r="AH147" s="3" t="n">
        <v>7933.0</v>
      </c>
      <c r="AI147" s="3" t="n">
        <v>7467.0</v>
      </c>
      <c r="AJ147" s="3" t="n">
        <v>7068.0</v>
      </c>
      <c r="AK147" s="3" t="n">
        <v>6556.0</v>
      </c>
      <c r="AL147" s="3" t="n">
        <v>6322.0</v>
      </c>
      <c r="AM147" s="3" t="n">
        <v>5586.0</v>
      </c>
      <c r="AN147" s="3" t="n">
        <v>5396.0</v>
      </c>
      <c r="AO147" s="3" t="n">
        <v>5190.0</v>
      </c>
    </row>
    <row r="148" spans="1:41" x14ac:dyDescent="0.2">
      <c r="A148" s="128"/>
      <c r="B148" s="9">
        <v>37</v>
      </c>
      <c r="C148" s="3" t="n">
        <v>13737.0</v>
      </c>
      <c r="D148" s="3" t="n">
        <v>12557.0</v>
      </c>
      <c r="E148" s="3" t="n">
        <v>12352.0</v>
      </c>
      <c r="F148" s="3" t="n">
        <v>11671.0</v>
      </c>
      <c r="G148" s="3" t="n">
        <v>11247.0</v>
      </c>
      <c r="H148" s="3" t="n">
        <v>11229.0</v>
      </c>
      <c r="I148" s="3" t="n">
        <v>10738.0</v>
      </c>
      <c r="J148" s="3" t="n">
        <v>10187.0</v>
      </c>
      <c r="K148" s="3" t="n">
        <v>10002.0</v>
      </c>
      <c r="L148" s="3" t="n">
        <v>9524.0</v>
      </c>
      <c r="M148" s="3" t="n">
        <v>8909.0</v>
      </c>
      <c r="N148" s="3" t="n">
        <v>8449.0</v>
      </c>
      <c r="O148" s="3" t="n">
        <v>8030.0</v>
      </c>
      <c r="P148" s="3" t="n">
        <v>7732.0</v>
      </c>
      <c r="Q148" s="3" t="n">
        <v>7545.0</v>
      </c>
      <c r="R148" s="3" t="n">
        <v>7503.0</v>
      </c>
      <c r="S148" s="3" t="n">
        <v>7385.0</v>
      </c>
      <c r="T148" s="3" t="n">
        <v>7109.0</v>
      </c>
      <c r="U148" s="3" t="n">
        <v>7089.0</v>
      </c>
      <c r="V148" s="3" t="n">
        <v>7252.0</v>
      </c>
      <c r="W148" s="3" t="n">
        <v>7386.0</v>
      </c>
      <c r="X148" s="3" t="n">
        <v>7572.0</v>
      </c>
      <c r="Y148" s="3" t="n">
        <v>8014.0</v>
      </c>
      <c r="Z148" s="3" t="n">
        <v>8533.0</v>
      </c>
      <c r="AA148" s="3" t="n">
        <v>8614.0</v>
      </c>
      <c r="AB148" s="3" t="n">
        <v>8553.0</v>
      </c>
      <c r="AC148" s="3" t="n">
        <v>7703.0</v>
      </c>
      <c r="AD148" s="3" t="n">
        <v>7921.0</v>
      </c>
      <c r="AE148" s="3" t="n">
        <v>7593.0</v>
      </c>
      <c r="AF148" s="3" t="n">
        <v>7604.0</v>
      </c>
      <c r="AG148" s="3" t="n">
        <v>7452.0</v>
      </c>
      <c r="AH148" s="3" t="n">
        <v>7690.0</v>
      </c>
      <c r="AI148" s="3" t="n">
        <v>7910.0</v>
      </c>
      <c r="AJ148" s="3" t="n">
        <v>7448.0</v>
      </c>
      <c r="AK148" s="3" t="n">
        <v>7052.0</v>
      </c>
      <c r="AL148" s="3" t="n">
        <v>6544.0</v>
      </c>
      <c r="AM148" s="3" t="n">
        <v>6313.0</v>
      </c>
      <c r="AN148" s="3" t="n">
        <v>5573.0</v>
      </c>
      <c r="AO148" s="3" t="n">
        <v>5385.0</v>
      </c>
    </row>
    <row r="149" spans="1:41" x14ac:dyDescent="0.2">
      <c r="A149" s="128"/>
      <c r="B149" s="9">
        <v>38</v>
      </c>
      <c r="C149" s="3" t="n">
        <v>14445.0</v>
      </c>
      <c r="D149" s="3" t="n">
        <v>13684.0</v>
      </c>
      <c r="E149" s="3" t="n">
        <v>12507.0</v>
      </c>
      <c r="F149" s="3" t="n">
        <v>12301.0</v>
      </c>
      <c r="G149" s="3" t="n">
        <v>11630.0</v>
      </c>
      <c r="H149" s="3" t="n">
        <v>11215.0</v>
      </c>
      <c r="I149" s="3" t="n">
        <v>11197.0</v>
      </c>
      <c r="J149" s="3" t="n">
        <v>10708.0</v>
      </c>
      <c r="K149" s="3" t="n">
        <v>10153.0</v>
      </c>
      <c r="L149" s="3" t="n">
        <v>9967.0</v>
      </c>
      <c r="M149" s="3" t="n">
        <v>9489.0</v>
      </c>
      <c r="N149" s="3" t="n">
        <v>8881.0</v>
      </c>
      <c r="O149" s="3" t="n">
        <v>8420.0</v>
      </c>
      <c r="P149" s="3" t="n">
        <v>8003.0</v>
      </c>
      <c r="Q149" s="3" t="n">
        <v>7705.0</v>
      </c>
      <c r="R149" s="3" t="n">
        <v>7517.0</v>
      </c>
      <c r="S149" s="3" t="n">
        <v>7476.0</v>
      </c>
      <c r="T149" s="3" t="n">
        <v>7360.0</v>
      </c>
      <c r="U149" s="3" t="n">
        <v>7080.0</v>
      </c>
      <c r="V149" s="3" t="n">
        <v>7058.0</v>
      </c>
      <c r="W149" s="3" t="n">
        <v>7220.0</v>
      </c>
      <c r="X149" s="3" t="n">
        <v>7357.0</v>
      </c>
      <c r="Y149" s="3" t="n">
        <v>7539.0</v>
      </c>
      <c r="Z149" s="3" t="n">
        <v>7979.0</v>
      </c>
      <c r="AA149" s="3" t="n">
        <v>8494.0</v>
      </c>
      <c r="AB149" s="3" t="n">
        <v>8575.0</v>
      </c>
      <c r="AC149" s="3" t="n">
        <v>8517.0</v>
      </c>
      <c r="AD149" s="3" t="n">
        <v>7669.0</v>
      </c>
      <c r="AE149" s="3" t="n">
        <v>7887.0</v>
      </c>
      <c r="AF149" s="3" t="n">
        <v>7559.0</v>
      </c>
      <c r="AG149" s="3" t="n">
        <v>7568.0</v>
      </c>
      <c r="AH149" s="3" t="n">
        <v>7420.0</v>
      </c>
      <c r="AI149" s="3" t="n">
        <v>7657.0</v>
      </c>
      <c r="AJ149" s="3" t="n">
        <v>7876.0</v>
      </c>
      <c r="AK149" s="3" t="n">
        <v>7415.0</v>
      </c>
      <c r="AL149" s="3" t="n">
        <v>7019.0</v>
      </c>
      <c r="AM149" s="3" t="n">
        <v>6517.0</v>
      </c>
      <c r="AN149" s="3" t="n">
        <v>6287.0</v>
      </c>
      <c r="AO149" s="3" t="n">
        <v>5554.0</v>
      </c>
    </row>
    <row r="150" spans="1:41" x14ac:dyDescent="0.2">
      <c r="A150" s="128"/>
      <c r="B150" s="9">
        <v>39</v>
      </c>
      <c r="C150" s="3" t="n">
        <v>14950.0</v>
      </c>
      <c r="D150" s="3" t="n">
        <v>14400.0</v>
      </c>
      <c r="E150" s="3" t="n">
        <v>13646.0</v>
      </c>
      <c r="F150" s="3" t="n">
        <v>12465.0</v>
      </c>
      <c r="G150" s="3" t="n">
        <v>12262.0</v>
      </c>
      <c r="H150" s="3" t="n">
        <v>11605.0</v>
      </c>
      <c r="I150" s="3" t="n">
        <v>11190.0</v>
      </c>
      <c r="J150" s="3" t="n">
        <v>11174.0</v>
      </c>
      <c r="K150" s="3" t="n">
        <v>10688.0</v>
      </c>
      <c r="L150" s="3" t="n">
        <v>10133.0</v>
      </c>
      <c r="M150" s="3" t="n">
        <v>9946.0</v>
      </c>
      <c r="N150" s="3" t="n">
        <v>9466.0</v>
      </c>
      <c r="O150" s="3" t="n">
        <v>8866.0</v>
      </c>
      <c r="P150" s="3" t="n">
        <v>8403.0</v>
      </c>
      <c r="Q150" s="3" t="n">
        <v>7982.0</v>
      </c>
      <c r="R150" s="3" t="n">
        <v>7686.0</v>
      </c>
      <c r="S150" s="3" t="n">
        <v>7496.0</v>
      </c>
      <c r="T150" s="3" t="n">
        <v>7452.0</v>
      </c>
      <c r="U150" s="3" t="n">
        <v>7336.0</v>
      </c>
      <c r="V150" s="3" t="n">
        <v>7061.0</v>
      </c>
      <c r="W150" s="3" t="n">
        <v>7035.0</v>
      </c>
      <c r="X150" s="3" t="n">
        <v>7194.0</v>
      </c>
      <c r="Y150" s="3" t="n">
        <v>7334.0</v>
      </c>
      <c r="Z150" s="3" t="n">
        <v>7515.0</v>
      </c>
      <c r="AA150" s="3" t="n">
        <v>7955.0</v>
      </c>
      <c r="AB150" s="3" t="n">
        <v>8471.0</v>
      </c>
      <c r="AC150" s="3" t="n">
        <v>8551.0</v>
      </c>
      <c r="AD150" s="3" t="n">
        <v>8492.0</v>
      </c>
      <c r="AE150" s="3" t="n">
        <v>7644.0</v>
      </c>
      <c r="AF150" s="3" t="n">
        <v>7859.0</v>
      </c>
      <c r="AG150" s="3" t="n">
        <v>7533.0</v>
      </c>
      <c r="AH150" s="3" t="n">
        <v>7542.0</v>
      </c>
      <c r="AI150" s="3" t="n">
        <v>7395.0</v>
      </c>
      <c r="AJ150" s="3" t="n">
        <v>7631.0</v>
      </c>
      <c r="AK150" s="3" t="n">
        <v>7851.0</v>
      </c>
      <c r="AL150" s="3" t="n">
        <v>7393.0</v>
      </c>
      <c r="AM150" s="3" t="n">
        <v>7000.0</v>
      </c>
      <c r="AN150" s="3" t="n">
        <v>6500.0</v>
      </c>
      <c r="AO150" s="3" t="n">
        <v>6267.0</v>
      </c>
    </row>
    <row r="151" spans="1:41" x14ac:dyDescent="0.2">
      <c r="A151" s="128"/>
      <c r="B151" s="9">
        <v>40</v>
      </c>
      <c r="C151" s="3" t="n">
        <v>14564.0</v>
      </c>
      <c r="D151" s="3" t="n">
        <v>14899.0</v>
      </c>
      <c r="E151" s="3" t="n">
        <v>14346.0</v>
      </c>
      <c r="F151" s="3" t="n">
        <v>13595.0</v>
      </c>
      <c r="G151" s="3" t="n">
        <v>12428.0</v>
      </c>
      <c r="H151" s="3" t="n">
        <v>12232.0</v>
      </c>
      <c r="I151" s="3" t="n">
        <v>11579.0</v>
      </c>
      <c r="J151" s="3" t="n">
        <v>11168.0</v>
      </c>
      <c r="K151" s="3" t="n">
        <v>11149.0</v>
      </c>
      <c r="L151" s="3" t="n">
        <v>10665.0</v>
      </c>
      <c r="M151" s="3" t="n">
        <v>10110.0</v>
      </c>
      <c r="N151" s="3" t="n">
        <v>9922.0</v>
      </c>
      <c r="O151" s="3" t="n">
        <v>9438.0</v>
      </c>
      <c r="P151" s="3" t="n">
        <v>8845.0</v>
      </c>
      <c r="Q151" s="3" t="n">
        <v>8382.0</v>
      </c>
      <c r="R151" s="3" t="n">
        <v>7966.0</v>
      </c>
      <c r="S151" s="3" t="n">
        <v>7665.0</v>
      </c>
      <c r="T151" s="3" t="n">
        <v>7472.0</v>
      </c>
      <c r="U151" s="3" t="n">
        <v>7431.0</v>
      </c>
      <c r="V151" s="3" t="n">
        <v>7312.0</v>
      </c>
      <c r="W151" s="3" t="n">
        <v>7041.0</v>
      </c>
      <c r="X151" s="3" t="n">
        <v>7012.0</v>
      </c>
      <c r="Y151" s="3" t="n">
        <v>7167.0</v>
      </c>
      <c r="Z151" s="3" t="n">
        <v>7310.0</v>
      </c>
      <c r="AA151" s="3" t="n">
        <v>7490.0</v>
      </c>
      <c r="AB151" s="3" t="n">
        <v>7927.0</v>
      </c>
      <c r="AC151" s="3" t="n">
        <v>8444.0</v>
      </c>
      <c r="AD151" s="3" t="n">
        <v>8520.0</v>
      </c>
      <c r="AE151" s="3" t="n">
        <v>8464.0</v>
      </c>
      <c r="AF151" s="3" t="n">
        <v>7622.0</v>
      </c>
      <c r="AG151" s="3" t="n">
        <v>7834.0</v>
      </c>
      <c r="AH151" s="3" t="n">
        <v>7509.0</v>
      </c>
      <c r="AI151" s="3" t="n">
        <v>7519.0</v>
      </c>
      <c r="AJ151" s="3" t="n">
        <v>7375.0</v>
      </c>
      <c r="AK151" s="3" t="n">
        <v>7606.0</v>
      </c>
      <c r="AL151" s="3" t="n">
        <v>7822.0</v>
      </c>
      <c r="AM151" s="3" t="n">
        <v>7370.0</v>
      </c>
      <c r="AN151" s="3" t="n">
        <v>6979.0</v>
      </c>
      <c r="AO151" s="3" t="n">
        <v>6479.0</v>
      </c>
    </row>
    <row r="152" spans="1:41" x14ac:dyDescent="0.2">
      <c r="A152" s="128"/>
      <c r="B152" s="9">
        <v>41</v>
      </c>
      <c r="C152" s="3" t="n">
        <v>13927.0</v>
      </c>
      <c r="D152" s="3" t="n">
        <v>14510.0</v>
      </c>
      <c r="E152" s="3" t="n">
        <v>14851.0</v>
      </c>
      <c r="F152" s="3" t="n">
        <v>14302.0</v>
      </c>
      <c r="G152" s="3" t="n">
        <v>13555.0</v>
      </c>
      <c r="H152" s="3" t="n">
        <v>12396.0</v>
      </c>
      <c r="I152" s="3" t="n">
        <v>12205.0</v>
      </c>
      <c r="J152" s="3" t="n">
        <v>11551.0</v>
      </c>
      <c r="K152" s="3" t="n">
        <v>11137.0</v>
      </c>
      <c r="L152" s="3" t="n">
        <v>11115.0</v>
      </c>
      <c r="M152" s="3" t="n">
        <v>10634.0</v>
      </c>
      <c r="N152" s="3" t="n">
        <v>10079.0</v>
      </c>
      <c r="O152" s="3" t="n">
        <v>9890.0</v>
      </c>
      <c r="P152" s="3" t="n">
        <v>9417.0</v>
      </c>
      <c r="Q152" s="3" t="n">
        <v>8823.0</v>
      </c>
      <c r="R152" s="3" t="n">
        <v>8361.0</v>
      </c>
      <c r="S152" s="3" t="n">
        <v>7949.0</v>
      </c>
      <c r="T152" s="3" t="n">
        <v>7642.0</v>
      </c>
      <c r="U152" s="3" t="n">
        <v>7448.0</v>
      </c>
      <c r="V152" s="3" t="n">
        <v>7408.0</v>
      </c>
      <c r="W152" s="3" t="n">
        <v>7291.0</v>
      </c>
      <c r="X152" s="3" t="n">
        <v>7026.0</v>
      </c>
      <c r="Y152" s="3" t="n">
        <v>6995.0</v>
      </c>
      <c r="Z152" s="3" t="n">
        <v>7143.0</v>
      </c>
      <c r="AA152" s="3" t="n">
        <v>7287.0</v>
      </c>
      <c r="AB152" s="3" t="n">
        <v>7467.0</v>
      </c>
      <c r="AC152" s="3" t="n">
        <v>7901.0</v>
      </c>
      <c r="AD152" s="3" t="n">
        <v>8421.0</v>
      </c>
      <c r="AE152" s="3" t="n">
        <v>8493.0</v>
      </c>
      <c r="AF152" s="3" t="n">
        <v>8437.0</v>
      </c>
      <c r="AG152" s="3" t="n">
        <v>7600.0</v>
      </c>
      <c r="AH152" s="3" t="n">
        <v>7809.0</v>
      </c>
      <c r="AI152" s="3" t="n">
        <v>7486.0</v>
      </c>
      <c r="AJ152" s="3" t="n">
        <v>7495.0</v>
      </c>
      <c r="AK152" s="3" t="n">
        <v>7351.0</v>
      </c>
      <c r="AL152" s="3" t="n">
        <v>7580.0</v>
      </c>
      <c r="AM152" s="3" t="n">
        <v>7797.0</v>
      </c>
      <c r="AN152" s="3" t="n">
        <v>7347.0</v>
      </c>
      <c r="AO152" s="3" t="n">
        <v>6956.0</v>
      </c>
    </row>
    <row r="153" spans="1:41" x14ac:dyDescent="0.2">
      <c r="A153" s="128"/>
      <c r="B153" s="9">
        <v>42</v>
      </c>
      <c r="C153" s="3" t="n">
        <v>14335.0</v>
      </c>
      <c r="D153" s="3" t="n">
        <v>13872.0</v>
      </c>
      <c r="E153" s="3" t="n">
        <v>14450.0</v>
      </c>
      <c r="F153" s="3" t="n">
        <v>14789.0</v>
      </c>
      <c r="G153" s="3" t="n">
        <v>14248.0</v>
      </c>
      <c r="H153" s="3" t="n">
        <v>13514.0</v>
      </c>
      <c r="I153" s="3" t="n">
        <v>12362.0</v>
      </c>
      <c r="J153" s="3" t="n">
        <v>12168.0</v>
      </c>
      <c r="K153" s="3" t="n">
        <v>11517.0</v>
      </c>
      <c r="L153" s="3" t="n">
        <v>11106.0</v>
      </c>
      <c r="M153" s="3" t="n">
        <v>11088.0</v>
      </c>
      <c r="N153" s="3" t="n">
        <v>10602.0</v>
      </c>
      <c r="O153" s="3" t="n">
        <v>10043.0</v>
      </c>
      <c r="P153" s="3" t="n">
        <v>9852.0</v>
      </c>
      <c r="Q153" s="3" t="n">
        <v>9382.0</v>
      </c>
      <c r="R153" s="3" t="n">
        <v>8793.0</v>
      </c>
      <c r="S153" s="3" t="n">
        <v>8333.0</v>
      </c>
      <c r="T153" s="3" t="n">
        <v>7921.0</v>
      </c>
      <c r="U153" s="3" t="n">
        <v>7613.0</v>
      </c>
      <c r="V153" s="3" t="n">
        <v>7417.0</v>
      </c>
      <c r="W153" s="3" t="n">
        <v>7377.0</v>
      </c>
      <c r="X153" s="3" t="n">
        <v>7254.0</v>
      </c>
      <c r="Y153" s="3" t="n">
        <v>6990.0</v>
      </c>
      <c r="Z153" s="3" t="n">
        <v>6960.0</v>
      </c>
      <c r="AA153" s="3" t="n">
        <v>7108.0</v>
      </c>
      <c r="AB153" s="3" t="n">
        <v>7251.0</v>
      </c>
      <c r="AC153" s="3" t="n">
        <v>7436.0</v>
      </c>
      <c r="AD153" s="3" t="n">
        <v>7863.0</v>
      </c>
      <c r="AE153" s="3" t="n">
        <v>8385.0</v>
      </c>
      <c r="AF153" s="3" t="n">
        <v>8453.0</v>
      </c>
      <c r="AG153" s="3" t="n">
        <v>8401.0</v>
      </c>
      <c r="AH153" s="3" t="n">
        <v>7570.0</v>
      </c>
      <c r="AI153" s="3" t="n">
        <v>7772.0</v>
      </c>
      <c r="AJ153" s="3" t="n">
        <v>7452.0</v>
      </c>
      <c r="AK153" s="3" t="n">
        <v>7458.0</v>
      </c>
      <c r="AL153" s="3" t="n">
        <v>7317.0</v>
      </c>
      <c r="AM153" s="3" t="n">
        <v>7541.0</v>
      </c>
      <c r="AN153" s="3" t="n">
        <v>7763.0</v>
      </c>
      <c r="AO153" s="3" t="n">
        <v>7318.0</v>
      </c>
    </row>
    <row r="154" spans="1:41" x14ac:dyDescent="0.2">
      <c r="A154" s="128"/>
      <c r="B154" s="9">
        <v>43</v>
      </c>
      <c r="C154" s="3" t="n">
        <v>14274.0</v>
      </c>
      <c r="D154" s="3" t="n">
        <v>14281.0</v>
      </c>
      <c r="E154" s="3" t="n">
        <v>13818.0</v>
      </c>
      <c r="F154" s="3" t="n">
        <v>14394.0</v>
      </c>
      <c r="G154" s="3" t="n">
        <v>14731.0</v>
      </c>
      <c r="H154" s="3" t="n">
        <v>14199.0</v>
      </c>
      <c r="I154" s="3" t="n">
        <v>13471.0</v>
      </c>
      <c r="J154" s="3" t="n">
        <v>12324.0</v>
      </c>
      <c r="K154" s="3" t="n">
        <v>12131.0</v>
      </c>
      <c r="L154" s="3" t="n">
        <v>11483.0</v>
      </c>
      <c r="M154" s="3" t="n">
        <v>11072.0</v>
      </c>
      <c r="N154" s="3" t="n">
        <v>11051.0</v>
      </c>
      <c r="O154" s="3" t="n">
        <v>10573.0</v>
      </c>
      <c r="P154" s="3" t="n">
        <v>10012.0</v>
      </c>
      <c r="Q154" s="3" t="n">
        <v>9816.0</v>
      </c>
      <c r="R154" s="3" t="n">
        <v>9346.0</v>
      </c>
      <c r="S154" s="3" t="n">
        <v>8757.0</v>
      </c>
      <c r="T154" s="3" t="n">
        <v>8304.0</v>
      </c>
      <c r="U154" s="3" t="n">
        <v>7896.0</v>
      </c>
      <c r="V154" s="3" t="n">
        <v>7589.0</v>
      </c>
      <c r="W154" s="3" t="n">
        <v>7391.0</v>
      </c>
      <c r="X154" s="3" t="n">
        <v>7351.0</v>
      </c>
      <c r="Y154" s="3" t="n">
        <v>7227.0</v>
      </c>
      <c r="Z154" s="3" t="n">
        <v>6966.0</v>
      </c>
      <c r="AA154" s="3" t="n">
        <v>6932.0</v>
      </c>
      <c r="AB154" s="3" t="n">
        <v>7082.0</v>
      </c>
      <c r="AC154" s="3" t="n">
        <v>7220.0</v>
      </c>
      <c r="AD154" s="3" t="n">
        <v>7408.0</v>
      </c>
      <c r="AE154" s="3" t="n">
        <v>7828.0</v>
      </c>
      <c r="AF154" s="3" t="n">
        <v>8349.0</v>
      </c>
      <c r="AG154" s="3" t="n">
        <v>8414.0</v>
      </c>
      <c r="AH154" s="3" t="n">
        <v>8364.0</v>
      </c>
      <c r="AI154" s="3" t="n">
        <v>7536.0</v>
      </c>
      <c r="AJ154" s="3" t="n">
        <v>7740.0</v>
      </c>
      <c r="AK154" s="3" t="n">
        <v>7416.0</v>
      </c>
      <c r="AL154" s="3" t="n">
        <v>7426.0</v>
      </c>
      <c r="AM154" s="3" t="n">
        <v>7285.0</v>
      </c>
      <c r="AN154" s="3" t="n">
        <v>7504.0</v>
      </c>
      <c r="AO154" s="3" t="n">
        <v>7726.0</v>
      </c>
    </row>
    <row r="155" spans="1:41" x14ac:dyDescent="0.2">
      <c r="A155" s="128"/>
      <c r="B155" s="9">
        <v>44</v>
      </c>
      <c r="C155" s="3" t="n">
        <v>13499.0</v>
      </c>
      <c r="D155" s="3" t="n">
        <v>14216.0</v>
      </c>
      <c r="E155" s="3" t="n">
        <v>14219.0</v>
      </c>
      <c r="F155" s="3" t="n">
        <v>13763.0</v>
      </c>
      <c r="G155" s="3" t="n">
        <v>14337.0</v>
      </c>
      <c r="H155" s="3" t="n">
        <v>14672.0</v>
      </c>
      <c r="I155" s="3" t="n">
        <v>14145.0</v>
      </c>
      <c r="J155" s="3" t="n">
        <v>13422.0</v>
      </c>
      <c r="K155" s="3" t="n">
        <v>12279.0</v>
      </c>
      <c r="L155" s="3" t="n">
        <v>12088.0</v>
      </c>
      <c r="M155" s="3" t="n">
        <v>11439.0</v>
      </c>
      <c r="N155" s="3" t="n">
        <v>11028.0</v>
      </c>
      <c r="O155" s="3" t="n">
        <v>11009.0</v>
      </c>
      <c r="P155" s="3" t="n">
        <v>10537.0</v>
      </c>
      <c r="Q155" s="3" t="n">
        <v>9975.0</v>
      </c>
      <c r="R155" s="3" t="n">
        <v>9782.0</v>
      </c>
      <c r="S155" s="3" t="n">
        <v>9310.0</v>
      </c>
      <c r="T155" s="3" t="n">
        <v>8725.0</v>
      </c>
      <c r="U155" s="3" t="n">
        <v>8274.0</v>
      </c>
      <c r="V155" s="3" t="n">
        <v>7868.0</v>
      </c>
      <c r="W155" s="3" t="n">
        <v>7564.0</v>
      </c>
      <c r="X155" s="3" t="n">
        <v>7364.0</v>
      </c>
      <c r="Y155" s="3" t="n">
        <v>7323.0</v>
      </c>
      <c r="Z155" s="3" t="n">
        <v>7194.0</v>
      </c>
      <c r="AA155" s="3" t="n">
        <v>6932.0</v>
      </c>
      <c r="AB155" s="3" t="n">
        <v>6898.0</v>
      </c>
      <c r="AC155" s="3" t="n">
        <v>7049.0</v>
      </c>
      <c r="AD155" s="3" t="n">
        <v>7183.0</v>
      </c>
      <c r="AE155" s="3" t="n">
        <v>7379.0</v>
      </c>
      <c r="AF155" s="3" t="n">
        <v>7795.0</v>
      </c>
      <c r="AG155" s="3" t="n">
        <v>8316.0</v>
      </c>
      <c r="AH155" s="3" t="n">
        <v>8374.0</v>
      </c>
      <c r="AI155" s="3" t="n">
        <v>8328.0</v>
      </c>
      <c r="AJ155" s="3" t="n">
        <v>7504.0</v>
      </c>
      <c r="AK155" s="3" t="n">
        <v>7708.0</v>
      </c>
      <c r="AL155" s="3" t="n">
        <v>7383.0</v>
      </c>
      <c r="AM155" s="3" t="n">
        <v>7393.0</v>
      </c>
      <c r="AN155" s="3" t="n">
        <v>7250.0</v>
      </c>
      <c r="AO155" s="3" t="n">
        <v>7466.0</v>
      </c>
    </row>
    <row r="156" spans="1:41" x14ac:dyDescent="0.2">
      <c r="A156" s="128"/>
      <c r="B156" s="9">
        <v>45</v>
      </c>
      <c r="C156" s="3" t="n">
        <v>13386.0</v>
      </c>
      <c r="D156" s="3" t="n">
        <v>13443.0</v>
      </c>
      <c r="E156" s="3" t="n">
        <v>14152.0</v>
      </c>
      <c r="F156" s="3" t="n">
        <v>14153.0</v>
      </c>
      <c r="G156" s="3" t="n">
        <v>13701.0</v>
      </c>
      <c r="H156" s="3" t="n">
        <v>14278.0</v>
      </c>
      <c r="I156" s="3" t="n">
        <v>14612.0</v>
      </c>
      <c r="J156" s="3" t="n">
        <v>14084.0</v>
      </c>
      <c r="K156" s="3" t="n">
        <v>13369.0</v>
      </c>
      <c r="L156" s="3" t="n">
        <v>12231.0</v>
      </c>
      <c r="M156" s="3" t="n">
        <v>12037.0</v>
      </c>
      <c r="N156" s="3" t="n">
        <v>11390.0</v>
      </c>
      <c r="O156" s="3" t="n">
        <v>10985.0</v>
      </c>
      <c r="P156" s="3" t="n">
        <v>10963.0</v>
      </c>
      <c r="Q156" s="3" t="n">
        <v>10497.0</v>
      </c>
      <c r="R156" s="3" t="n">
        <v>9941.0</v>
      </c>
      <c r="S156" s="3" t="n">
        <v>9746.0</v>
      </c>
      <c r="T156" s="3" t="n">
        <v>9276.0</v>
      </c>
      <c r="U156" s="3" t="n">
        <v>8695.0</v>
      </c>
      <c r="V156" s="3" t="n">
        <v>8248.0</v>
      </c>
      <c r="W156" s="3" t="n">
        <v>7843.0</v>
      </c>
      <c r="X156" s="3" t="n">
        <v>7543.0</v>
      </c>
      <c r="Y156" s="3" t="n">
        <v>7339.0</v>
      </c>
      <c r="Z156" s="3" t="n">
        <v>7299.0</v>
      </c>
      <c r="AA156" s="3" t="n">
        <v>7171.0</v>
      </c>
      <c r="AB156" s="3" t="n">
        <v>6911.0</v>
      </c>
      <c r="AC156" s="3" t="n">
        <v>6877.0</v>
      </c>
      <c r="AD156" s="3" t="n">
        <v>7028.0</v>
      </c>
      <c r="AE156" s="3" t="n">
        <v>7158.0</v>
      </c>
      <c r="AF156" s="3" t="n">
        <v>7353.0</v>
      </c>
      <c r="AG156" s="3" t="n">
        <v>7767.0</v>
      </c>
      <c r="AH156" s="3" t="n">
        <v>8283.0</v>
      </c>
      <c r="AI156" s="3" t="n">
        <v>8341.0</v>
      </c>
      <c r="AJ156" s="3" t="n">
        <v>8298.0</v>
      </c>
      <c r="AK156" s="3" t="n">
        <v>7477.0</v>
      </c>
      <c r="AL156" s="3" t="n">
        <v>7682.0</v>
      </c>
      <c r="AM156" s="3" t="n">
        <v>7355.0</v>
      </c>
      <c r="AN156" s="3" t="n">
        <v>7366.0</v>
      </c>
      <c r="AO156" s="3" t="n">
        <v>7222.0</v>
      </c>
    </row>
    <row r="157" spans="1:41" x14ac:dyDescent="0.2">
      <c r="A157" s="128"/>
      <c r="B157" s="9">
        <v>46</v>
      </c>
      <c r="C157" s="3" t="n">
        <v>13442.0</v>
      </c>
      <c r="D157" s="3" t="n">
        <v>13328.0</v>
      </c>
      <c r="E157" s="3" t="n">
        <v>13380.0</v>
      </c>
      <c r="F157" s="3" t="n">
        <v>14086.0</v>
      </c>
      <c r="G157" s="3" t="n">
        <v>14087.0</v>
      </c>
      <c r="H157" s="3" t="n">
        <v>13640.0</v>
      </c>
      <c r="I157" s="3" t="n">
        <v>14215.0</v>
      </c>
      <c r="J157" s="3" t="n">
        <v>14548.0</v>
      </c>
      <c r="K157" s="3" t="n">
        <v>14022.0</v>
      </c>
      <c r="L157" s="3" t="n">
        <v>13310.0</v>
      </c>
      <c r="M157" s="3" t="n">
        <v>12181.0</v>
      </c>
      <c r="N157" s="3" t="n">
        <v>11983.0</v>
      </c>
      <c r="O157" s="3" t="n">
        <v>11341.0</v>
      </c>
      <c r="P157" s="3" t="n">
        <v>10939.0</v>
      </c>
      <c r="Q157" s="3" t="n">
        <v>10921.0</v>
      </c>
      <c r="R157" s="3" t="n">
        <v>10460.0</v>
      </c>
      <c r="S157" s="3" t="n">
        <v>9908.0</v>
      </c>
      <c r="T157" s="3" t="n">
        <v>9708.0</v>
      </c>
      <c r="U157" s="3" t="n">
        <v>9239.0</v>
      </c>
      <c r="V157" s="3" t="n">
        <v>8662.0</v>
      </c>
      <c r="W157" s="3" t="n">
        <v>8222.0</v>
      </c>
      <c r="X157" s="3" t="n">
        <v>7816.0</v>
      </c>
      <c r="Y157" s="3" t="n">
        <v>7516.0</v>
      </c>
      <c r="Z157" s="3" t="n">
        <v>7313.0</v>
      </c>
      <c r="AA157" s="3" t="n">
        <v>7271.0</v>
      </c>
      <c r="AB157" s="3" t="n">
        <v>7143.0</v>
      </c>
      <c r="AC157" s="3" t="n">
        <v>6884.0</v>
      </c>
      <c r="AD157" s="3" t="n">
        <v>6850.0</v>
      </c>
      <c r="AE157" s="3" t="n">
        <v>7001.0</v>
      </c>
      <c r="AF157" s="3" t="n">
        <v>7128.0</v>
      </c>
      <c r="AG157" s="3" t="n">
        <v>7324.0</v>
      </c>
      <c r="AH157" s="3" t="n">
        <v>7733.0</v>
      </c>
      <c r="AI157" s="3" t="n">
        <v>8248.0</v>
      </c>
      <c r="AJ157" s="3" t="n">
        <v>8306.0</v>
      </c>
      <c r="AK157" s="3" t="n">
        <v>8264.0</v>
      </c>
      <c r="AL157" s="3" t="n">
        <v>7444.0</v>
      </c>
      <c r="AM157" s="3" t="n">
        <v>7651.0</v>
      </c>
      <c r="AN157" s="3" t="n">
        <v>7325.0</v>
      </c>
      <c r="AO157" s="3" t="n">
        <v>7336.0</v>
      </c>
    </row>
    <row r="158" spans="1:41" x14ac:dyDescent="0.2">
      <c r="A158" s="128"/>
      <c r="B158" s="9">
        <v>47</v>
      </c>
      <c r="C158" s="3" t="n">
        <v>13469.0</v>
      </c>
      <c r="D158" s="3" t="n">
        <v>13387.0</v>
      </c>
      <c r="E158" s="3" t="n">
        <v>13273.0</v>
      </c>
      <c r="F158" s="3" t="n">
        <v>13329.0</v>
      </c>
      <c r="G158" s="3" t="n">
        <v>14026.0</v>
      </c>
      <c r="H158" s="3" t="n">
        <v>14033.0</v>
      </c>
      <c r="I158" s="3" t="n">
        <v>13587.0</v>
      </c>
      <c r="J158" s="3" t="n">
        <v>14154.0</v>
      </c>
      <c r="K158" s="3" t="n">
        <v>14492.0</v>
      </c>
      <c r="L158" s="3" t="n">
        <v>13971.0</v>
      </c>
      <c r="M158" s="3" t="n">
        <v>13265.0</v>
      </c>
      <c r="N158" s="3" t="n">
        <v>12135.0</v>
      </c>
      <c r="O158" s="3" t="n">
        <v>11941.0</v>
      </c>
      <c r="P158" s="3" t="n">
        <v>11305.0</v>
      </c>
      <c r="Q158" s="3" t="n">
        <v>10904.0</v>
      </c>
      <c r="R158" s="3" t="n">
        <v>10889.0</v>
      </c>
      <c r="S158" s="3" t="n">
        <v>10426.0</v>
      </c>
      <c r="T158" s="3" t="n">
        <v>9872.0</v>
      </c>
      <c r="U158" s="3" t="n">
        <v>9672.0</v>
      </c>
      <c r="V158" s="3" t="n">
        <v>9203.0</v>
      </c>
      <c r="W158" s="3" t="n">
        <v>8628.0</v>
      </c>
      <c r="X158" s="3" t="n">
        <v>8190.0</v>
      </c>
      <c r="Y158" s="3" t="n">
        <v>7790.0</v>
      </c>
      <c r="Z158" s="3" t="n">
        <v>7493.0</v>
      </c>
      <c r="AA158" s="3" t="n">
        <v>7285.0</v>
      </c>
      <c r="AB158" s="3" t="n">
        <v>7241.0</v>
      </c>
      <c r="AC158" s="3" t="n">
        <v>7116.0</v>
      </c>
      <c r="AD158" s="3" t="n">
        <v>6857.0</v>
      </c>
      <c r="AE158" s="3" t="n">
        <v>6822.0</v>
      </c>
      <c r="AF158" s="3" t="n">
        <v>6975.0</v>
      </c>
      <c r="AG158" s="3" t="n">
        <v>7101.0</v>
      </c>
      <c r="AH158" s="3" t="n">
        <v>7298.0</v>
      </c>
      <c r="AI158" s="3" t="n">
        <v>7702.0</v>
      </c>
      <c r="AJ158" s="3" t="n">
        <v>8216.0</v>
      </c>
      <c r="AK158" s="3" t="n">
        <v>8271.0</v>
      </c>
      <c r="AL158" s="3" t="n">
        <v>8230.0</v>
      </c>
      <c r="AM158" s="3" t="n">
        <v>7419.0</v>
      </c>
      <c r="AN158" s="3" t="n">
        <v>7627.0</v>
      </c>
      <c r="AO158" s="3" t="n">
        <v>7300.0</v>
      </c>
    </row>
    <row r="159" spans="1:41" x14ac:dyDescent="0.2">
      <c r="A159" s="128"/>
      <c r="B159" s="9">
        <v>48</v>
      </c>
      <c r="C159" s="3" t="n">
        <v>12652.0</v>
      </c>
      <c r="D159" s="3" t="n">
        <v>13404.0</v>
      </c>
      <c r="E159" s="3" t="n">
        <v>13324.0</v>
      </c>
      <c r="F159" s="3" t="n">
        <v>13215.0</v>
      </c>
      <c r="G159" s="3" t="n">
        <v>13267.0</v>
      </c>
      <c r="H159" s="3" t="n">
        <v>13958.0</v>
      </c>
      <c r="I159" s="3" t="n">
        <v>13967.0</v>
      </c>
      <c r="J159" s="3" t="n">
        <v>13522.0</v>
      </c>
      <c r="K159" s="3" t="n">
        <v>14088.0</v>
      </c>
      <c r="L159" s="3" t="n">
        <v>14422.0</v>
      </c>
      <c r="M159" s="3" t="n">
        <v>13910.0</v>
      </c>
      <c r="N159" s="3" t="n">
        <v>13209.0</v>
      </c>
      <c r="O159" s="3" t="n">
        <v>12088.0</v>
      </c>
      <c r="P159" s="3" t="n">
        <v>11897.0</v>
      </c>
      <c r="Q159" s="3" t="n">
        <v>11263.0</v>
      </c>
      <c r="R159" s="3" t="n">
        <v>10862.0</v>
      </c>
      <c r="S159" s="3" t="n">
        <v>10853.0</v>
      </c>
      <c r="T159" s="3" t="n">
        <v>10389.0</v>
      </c>
      <c r="U159" s="3" t="n">
        <v>9836.0</v>
      </c>
      <c r="V159" s="3" t="n">
        <v>9637.0</v>
      </c>
      <c r="W159" s="3" t="n">
        <v>9167.0</v>
      </c>
      <c r="X159" s="3" t="n">
        <v>8601.0</v>
      </c>
      <c r="Y159" s="3" t="n">
        <v>8165.0</v>
      </c>
      <c r="Z159" s="3" t="n">
        <v>7765.0</v>
      </c>
      <c r="AA159" s="3" t="n">
        <v>7469.0</v>
      </c>
      <c r="AB159" s="3" t="n">
        <v>7257.0</v>
      </c>
      <c r="AC159" s="3" t="n">
        <v>7215.0</v>
      </c>
      <c r="AD159" s="3" t="n">
        <v>7090.0</v>
      </c>
      <c r="AE159" s="3" t="n">
        <v>6831.0</v>
      </c>
      <c r="AF159" s="3" t="n">
        <v>6798.0</v>
      </c>
      <c r="AG159" s="3" t="n">
        <v>6951.0</v>
      </c>
      <c r="AH159" s="3" t="n">
        <v>7075.0</v>
      </c>
      <c r="AI159" s="3" t="n">
        <v>7271.0</v>
      </c>
      <c r="AJ159" s="3" t="n">
        <v>7670.0</v>
      </c>
      <c r="AK159" s="3" t="n">
        <v>8184.0</v>
      </c>
      <c r="AL159" s="3" t="n">
        <v>8243.0</v>
      </c>
      <c r="AM159" s="3" t="n">
        <v>8205.0</v>
      </c>
      <c r="AN159" s="3" t="n">
        <v>7392.0</v>
      </c>
      <c r="AO159" s="3" t="n">
        <v>7600.0</v>
      </c>
    </row>
    <row r="160" spans="1:41" x14ac:dyDescent="0.2">
      <c r="A160" s="128"/>
      <c r="B160" s="9">
        <v>49</v>
      </c>
      <c r="C160" s="3" t="n">
        <v>11733.0</v>
      </c>
      <c r="D160" s="3" t="n">
        <v>12567.0</v>
      </c>
      <c r="E160" s="3" t="n">
        <v>13321.0</v>
      </c>
      <c r="F160" s="3" t="n">
        <v>13243.0</v>
      </c>
      <c r="G160" s="3" t="n">
        <v>13137.0</v>
      </c>
      <c r="H160" s="3" t="n">
        <v>13193.0</v>
      </c>
      <c r="I160" s="3" t="n">
        <v>13878.0</v>
      </c>
      <c r="J160" s="3" t="n">
        <v>13884.0</v>
      </c>
      <c r="K160" s="3" t="n">
        <v>13439.0</v>
      </c>
      <c r="L160" s="3" t="n">
        <v>14006.0</v>
      </c>
      <c r="M160" s="3" t="n">
        <v>14337.0</v>
      </c>
      <c r="N160" s="3" t="n">
        <v>13830.0</v>
      </c>
      <c r="O160" s="3" t="n">
        <v>13139.0</v>
      </c>
      <c r="P160" s="3" t="n">
        <v>12023.0</v>
      </c>
      <c r="Q160" s="3" t="n">
        <v>11831.0</v>
      </c>
      <c r="R160" s="3" t="n">
        <v>11198.0</v>
      </c>
      <c r="S160" s="3" t="n">
        <v>10802.0</v>
      </c>
      <c r="T160" s="3" t="n">
        <v>10795.0</v>
      </c>
      <c r="U160" s="3" t="n">
        <v>10332.0</v>
      </c>
      <c r="V160" s="3" t="n">
        <v>9783.0</v>
      </c>
      <c r="W160" s="3" t="n">
        <v>9582.0</v>
      </c>
      <c r="X160" s="3" t="n">
        <v>9112.0</v>
      </c>
      <c r="Y160" s="3" t="n">
        <v>8546.0</v>
      </c>
      <c r="Z160" s="3" t="n">
        <v>8115.0</v>
      </c>
      <c r="AA160" s="3" t="n">
        <v>7717.0</v>
      </c>
      <c r="AB160" s="3" t="n">
        <v>7423.0</v>
      </c>
      <c r="AC160" s="3" t="n">
        <v>7209.0</v>
      </c>
      <c r="AD160" s="3" t="n">
        <v>7164.0</v>
      </c>
      <c r="AE160" s="3" t="n">
        <v>7044.0</v>
      </c>
      <c r="AF160" s="3" t="n">
        <v>6787.0</v>
      </c>
      <c r="AG160" s="3" t="n">
        <v>6752.0</v>
      </c>
      <c r="AH160" s="3" t="n">
        <v>6904.0</v>
      </c>
      <c r="AI160" s="3" t="n">
        <v>7026.0</v>
      </c>
      <c r="AJ160" s="3" t="n">
        <v>7222.0</v>
      </c>
      <c r="AK160" s="3" t="n">
        <v>7620.0</v>
      </c>
      <c r="AL160" s="3" t="n">
        <v>8132.0</v>
      </c>
      <c r="AM160" s="3" t="n">
        <v>8190.0</v>
      </c>
      <c r="AN160" s="3" t="n">
        <v>8157.0</v>
      </c>
      <c r="AO160" s="3" t="n">
        <v>7346.0</v>
      </c>
    </row>
    <row r="161" spans="1:41" x14ac:dyDescent="0.2">
      <c r="A161" s="128"/>
      <c r="B161" s="9">
        <v>50</v>
      </c>
      <c r="C161" s="3" t="n">
        <v>11304.0</v>
      </c>
      <c r="D161" s="3" t="n">
        <v>11668.0</v>
      </c>
      <c r="E161" s="3" t="n">
        <v>12492.0</v>
      </c>
      <c r="F161" s="3" t="n">
        <v>13238.0</v>
      </c>
      <c r="G161" s="3" t="n">
        <v>13163.0</v>
      </c>
      <c r="H161" s="3" t="n">
        <v>13060.0</v>
      </c>
      <c r="I161" s="3" t="n">
        <v>13115.0</v>
      </c>
      <c r="J161" s="3" t="n">
        <v>13795.0</v>
      </c>
      <c r="K161" s="3" t="n">
        <v>13801.0</v>
      </c>
      <c r="L161" s="3" t="n">
        <v>13357.0</v>
      </c>
      <c r="M161" s="3" t="n">
        <v>13920.0</v>
      </c>
      <c r="N161" s="3" t="n">
        <v>14256.0</v>
      </c>
      <c r="O161" s="3" t="n">
        <v>13754.0</v>
      </c>
      <c r="P161" s="3" t="n">
        <v>13068.0</v>
      </c>
      <c r="Q161" s="3" t="n">
        <v>11958.0</v>
      </c>
      <c r="R161" s="3" t="n">
        <v>11767.0</v>
      </c>
      <c r="S161" s="3" t="n">
        <v>11138.0</v>
      </c>
      <c r="T161" s="3" t="n">
        <v>10743.0</v>
      </c>
      <c r="U161" s="3" t="n">
        <v>10740.0</v>
      </c>
      <c r="V161" s="3" t="n">
        <v>10280.0</v>
      </c>
      <c r="W161" s="3" t="n">
        <v>9736.0</v>
      </c>
      <c r="X161" s="3" t="n">
        <v>9535.0</v>
      </c>
      <c r="Y161" s="3" t="n">
        <v>9065.0</v>
      </c>
      <c r="Z161" s="3" t="n">
        <v>8498.0</v>
      </c>
      <c r="AA161" s="3" t="n">
        <v>8076.0</v>
      </c>
      <c r="AB161" s="3" t="n">
        <v>7682.0</v>
      </c>
      <c r="AC161" s="3" t="n">
        <v>7390.0</v>
      </c>
      <c r="AD161" s="3" t="n">
        <v>7177.0</v>
      </c>
      <c r="AE161" s="3" t="n">
        <v>7133.0</v>
      </c>
      <c r="AF161" s="3" t="n">
        <v>7009.0</v>
      </c>
      <c r="AG161" s="3" t="n">
        <v>6755.0</v>
      </c>
      <c r="AH161" s="3" t="n">
        <v>6722.0</v>
      </c>
      <c r="AI161" s="3" t="n">
        <v>6872.0</v>
      </c>
      <c r="AJ161" s="3" t="n">
        <v>6993.0</v>
      </c>
      <c r="AK161" s="3" t="n">
        <v>7188.0</v>
      </c>
      <c r="AL161" s="3" t="n">
        <v>7581.0</v>
      </c>
      <c r="AM161" s="3" t="n">
        <v>8091.0</v>
      </c>
      <c r="AN161" s="3" t="n">
        <v>8146.0</v>
      </c>
      <c r="AO161" s="3" t="n">
        <v>8114.0</v>
      </c>
    </row>
    <row r="162" spans="1:41" x14ac:dyDescent="0.2">
      <c r="A162" s="128"/>
      <c r="B162" s="9">
        <v>51</v>
      </c>
      <c r="C162" s="3" t="n">
        <v>10710.0</v>
      </c>
      <c r="D162" s="3" t="n">
        <v>11230.0</v>
      </c>
      <c r="E162" s="3" t="n">
        <v>11590.0</v>
      </c>
      <c r="F162" s="3" t="n">
        <v>12408.0</v>
      </c>
      <c r="G162" s="3" t="n">
        <v>13151.0</v>
      </c>
      <c r="H162" s="3" t="n">
        <v>13076.0</v>
      </c>
      <c r="I162" s="3" t="n">
        <v>12978.0</v>
      </c>
      <c r="J162" s="3" t="n">
        <v>13031.0</v>
      </c>
      <c r="K162" s="3" t="n">
        <v>13709.0</v>
      </c>
      <c r="L162" s="3" t="n">
        <v>13715.0</v>
      </c>
      <c r="M162" s="3" t="n">
        <v>13272.0</v>
      </c>
      <c r="N162" s="3" t="n">
        <v>13835.0</v>
      </c>
      <c r="O162" s="3" t="n">
        <v>14170.0</v>
      </c>
      <c r="P162" s="3" t="n">
        <v>13670.0</v>
      </c>
      <c r="Q162" s="3" t="n">
        <v>12991.0</v>
      </c>
      <c r="R162" s="3" t="n">
        <v>11887.0</v>
      </c>
      <c r="S162" s="3" t="n">
        <v>11698.0</v>
      </c>
      <c r="T162" s="3" t="n">
        <v>11072.0</v>
      </c>
      <c r="U162" s="3" t="n">
        <v>10678.0</v>
      </c>
      <c r="V162" s="3" t="n">
        <v>10679.0</v>
      </c>
      <c r="W162" s="3" t="n">
        <v>10222.0</v>
      </c>
      <c r="X162" s="3" t="n">
        <v>9682.0</v>
      </c>
      <c r="Y162" s="3" t="n">
        <v>9483.0</v>
      </c>
      <c r="Z162" s="3" t="n">
        <v>9018.0</v>
      </c>
      <c r="AA162" s="3" t="n">
        <v>8454.0</v>
      </c>
      <c r="AB162" s="3" t="n">
        <v>8033.0</v>
      </c>
      <c r="AC162" s="3" t="n">
        <v>7646.0</v>
      </c>
      <c r="AD162" s="3" t="n">
        <v>7353.0</v>
      </c>
      <c r="AE162" s="3" t="n">
        <v>7139.0</v>
      </c>
      <c r="AF162" s="3" t="n">
        <v>7098.0</v>
      </c>
      <c r="AG162" s="3" t="n">
        <v>6974.0</v>
      </c>
      <c r="AH162" s="3" t="n">
        <v>6721.0</v>
      </c>
      <c r="AI162" s="3" t="n">
        <v>6683.0</v>
      </c>
      <c r="AJ162" s="3" t="n">
        <v>6836.0</v>
      </c>
      <c r="AK162" s="3" t="n">
        <v>6958.0</v>
      </c>
      <c r="AL162" s="3" t="n">
        <v>7149.0</v>
      </c>
      <c r="AM162" s="3" t="n">
        <v>7540.0</v>
      </c>
      <c r="AN162" s="3" t="n">
        <v>8046.0</v>
      </c>
      <c r="AO162" s="3" t="n">
        <v>8104.0</v>
      </c>
    </row>
    <row r="163" spans="1:41" x14ac:dyDescent="0.2">
      <c r="A163" s="128"/>
      <c r="B163" s="9">
        <v>52</v>
      </c>
      <c r="C163" s="3" t="n">
        <v>10308.0</v>
      </c>
      <c r="D163" s="3" t="n">
        <v>10631.0</v>
      </c>
      <c r="E163" s="3" t="n">
        <v>11151.0</v>
      </c>
      <c r="F163" s="3" t="n">
        <v>11503.0</v>
      </c>
      <c r="G163" s="3" t="n">
        <v>12313.0</v>
      </c>
      <c r="H163" s="3" t="n">
        <v>13055.0</v>
      </c>
      <c r="I163" s="3" t="n">
        <v>12984.0</v>
      </c>
      <c r="J163" s="3" t="n">
        <v>12884.0</v>
      </c>
      <c r="K163" s="3" t="n">
        <v>12939.0</v>
      </c>
      <c r="L163" s="3" t="n">
        <v>13611.0</v>
      </c>
      <c r="M163" s="3" t="n">
        <v>13615.0</v>
      </c>
      <c r="N163" s="3" t="n">
        <v>13177.0</v>
      </c>
      <c r="O163" s="3" t="n">
        <v>13741.0</v>
      </c>
      <c r="P163" s="3" t="n">
        <v>14066.0</v>
      </c>
      <c r="Q163" s="3" t="n">
        <v>13573.0</v>
      </c>
      <c r="R163" s="3" t="n">
        <v>12901.0</v>
      </c>
      <c r="S163" s="3" t="n">
        <v>11805.0</v>
      </c>
      <c r="T163" s="3" t="n">
        <v>11620.0</v>
      </c>
      <c r="U163" s="3" t="n">
        <v>10998.0</v>
      </c>
      <c r="V163" s="3" t="n">
        <v>10611.0</v>
      </c>
      <c r="W163" s="3" t="n">
        <v>10612.0</v>
      </c>
      <c r="X163" s="3" t="n">
        <v>10158.0</v>
      </c>
      <c r="Y163" s="3" t="n">
        <v>9620.0</v>
      </c>
      <c r="Z163" s="3" t="n">
        <v>9420.0</v>
      </c>
      <c r="AA163" s="3" t="n">
        <v>8957.0</v>
      </c>
      <c r="AB163" s="3" t="n">
        <v>8397.0</v>
      </c>
      <c r="AC163" s="3" t="n">
        <v>7982.0</v>
      </c>
      <c r="AD163" s="3" t="n">
        <v>7595.0</v>
      </c>
      <c r="AE163" s="3" t="n">
        <v>7311.0</v>
      </c>
      <c r="AF163" s="3" t="n">
        <v>7099.0</v>
      </c>
      <c r="AG163" s="3" t="n">
        <v>7059.0</v>
      </c>
      <c r="AH163" s="3" t="n">
        <v>6934.0</v>
      </c>
      <c r="AI163" s="3" t="n">
        <v>6679.0</v>
      </c>
      <c r="AJ163" s="3" t="n">
        <v>6644.0</v>
      </c>
      <c r="AK163" s="3" t="n">
        <v>6797.0</v>
      </c>
      <c r="AL163" s="3" t="n">
        <v>6917.0</v>
      </c>
      <c r="AM163" s="3" t="n">
        <v>7107.0</v>
      </c>
      <c r="AN163" s="3" t="n">
        <v>7494.0</v>
      </c>
      <c r="AO163" s="3" t="n">
        <v>7995.0</v>
      </c>
    </row>
    <row r="164" spans="1:41" x14ac:dyDescent="0.2">
      <c r="A164" s="128"/>
      <c r="B164" s="9">
        <v>53</v>
      </c>
      <c r="C164" s="3" t="n">
        <v>9711.0</v>
      </c>
      <c r="D164" s="3" t="n">
        <v>10224.0</v>
      </c>
      <c r="E164" s="3" t="n">
        <v>10545.0</v>
      </c>
      <c r="F164" s="3" t="n">
        <v>11066.0</v>
      </c>
      <c r="G164" s="3" t="n">
        <v>11414.0</v>
      </c>
      <c r="H164" s="3" t="n">
        <v>12215.0</v>
      </c>
      <c r="I164" s="3" t="n">
        <v>12950.0</v>
      </c>
      <c r="J164" s="3" t="n">
        <v>12880.0</v>
      </c>
      <c r="K164" s="3" t="n">
        <v>12783.0</v>
      </c>
      <c r="L164" s="3" t="n">
        <v>12842.0</v>
      </c>
      <c r="M164" s="3" t="n">
        <v>13504.0</v>
      </c>
      <c r="N164" s="3" t="n">
        <v>13506.0</v>
      </c>
      <c r="O164" s="3" t="n">
        <v>13077.0</v>
      </c>
      <c r="P164" s="3" t="n">
        <v>13639.0</v>
      </c>
      <c r="Q164" s="3" t="n">
        <v>13961.0</v>
      </c>
      <c r="R164" s="3" t="n">
        <v>13470.0</v>
      </c>
      <c r="S164" s="3" t="n">
        <v>12803.0</v>
      </c>
      <c r="T164" s="3" t="n">
        <v>11718.0</v>
      </c>
      <c r="U164" s="3" t="n">
        <v>11538.0</v>
      </c>
      <c r="V164" s="3" t="n">
        <v>10919.0</v>
      </c>
      <c r="W164" s="3" t="n">
        <v>10538.0</v>
      </c>
      <c r="X164" s="3" t="n">
        <v>10539.0</v>
      </c>
      <c r="Y164" s="3" t="n">
        <v>10088.0</v>
      </c>
      <c r="Z164" s="3" t="n">
        <v>9563.0</v>
      </c>
      <c r="AA164" s="3" t="n">
        <v>9356.0</v>
      </c>
      <c r="AB164" s="3" t="n">
        <v>8900.0</v>
      </c>
      <c r="AC164" s="3" t="n">
        <v>8347.0</v>
      </c>
      <c r="AD164" s="3" t="n">
        <v>7934.0</v>
      </c>
      <c r="AE164" s="3" t="n">
        <v>7552.0</v>
      </c>
      <c r="AF164" s="3" t="n">
        <v>7268.0</v>
      </c>
      <c r="AG164" s="3" t="n">
        <v>7056.0</v>
      </c>
      <c r="AH164" s="3" t="n">
        <v>7017.0</v>
      </c>
      <c r="AI164" s="3" t="n">
        <v>6890.0</v>
      </c>
      <c r="AJ164" s="3" t="n">
        <v>6631.0</v>
      </c>
      <c r="AK164" s="3" t="n">
        <v>6601.0</v>
      </c>
      <c r="AL164" s="3" t="n">
        <v>6752.0</v>
      </c>
      <c r="AM164" s="3" t="n">
        <v>6872.0</v>
      </c>
      <c r="AN164" s="3" t="n">
        <v>7065.0</v>
      </c>
      <c r="AO164" s="3" t="n">
        <v>7450.0</v>
      </c>
    </row>
    <row r="165" spans="1:41" x14ac:dyDescent="0.2">
      <c r="A165" s="128"/>
      <c r="B165" s="9">
        <v>54</v>
      </c>
      <c r="C165" s="3" t="n">
        <v>9463.0</v>
      </c>
      <c r="D165" s="3" t="n">
        <v>9619.0</v>
      </c>
      <c r="E165" s="3" t="n">
        <v>10128.0</v>
      </c>
      <c r="F165" s="3" t="n">
        <v>10447.0</v>
      </c>
      <c r="G165" s="3" t="n">
        <v>10968.0</v>
      </c>
      <c r="H165" s="3" t="n">
        <v>11314.0</v>
      </c>
      <c r="I165" s="3" t="n">
        <v>12107.0</v>
      </c>
      <c r="J165" s="3" t="n">
        <v>12829.0</v>
      </c>
      <c r="K165" s="3" t="n">
        <v>12765.0</v>
      </c>
      <c r="L165" s="3" t="n">
        <v>12667.0</v>
      </c>
      <c r="M165" s="3" t="n">
        <v>12724.0</v>
      </c>
      <c r="N165" s="3" t="n">
        <v>13378.0</v>
      </c>
      <c r="O165" s="3" t="n">
        <v>13380.0</v>
      </c>
      <c r="P165" s="3" t="n">
        <v>12955.0</v>
      </c>
      <c r="Q165" s="3" t="n">
        <v>13517.0</v>
      </c>
      <c r="R165" s="3" t="n">
        <v>13838.0</v>
      </c>
      <c r="S165" s="3" t="n">
        <v>13351.0</v>
      </c>
      <c r="T165" s="3" t="n">
        <v>12691.0</v>
      </c>
      <c r="U165" s="3" t="n">
        <v>11617.0</v>
      </c>
      <c r="V165" s="3" t="n">
        <v>11447.0</v>
      </c>
      <c r="W165" s="3" t="n">
        <v>10832.0</v>
      </c>
      <c r="X165" s="3" t="n">
        <v>10459.0</v>
      </c>
      <c r="Y165" s="3" t="n">
        <v>10460.0</v>
      </c>
      <c r="Z165" s="3" t="n">
        <v>10010.0</v>
      </c>
      <c r="AA165" s="3" t="n">
        <v>9491.0</v>
      </c>
      <c r="AB165" s="3" t="n">
        <v>9283.0</v>
      </c>
      <c r="AC165" s="3" t="n">
        <v>8825.0</v>
      </c>
      <c r="AD165" s="3" t="n">
        <v>8275.0</v>
      </c>
      <c r="AE165" s="3" t="n">
        <v>7864.0</v>
      </c>
      <c r="AF165" s="3" t="n">
        <v>7488.0</v>
      </c>
      <c r="AG165" s="3" t="n">
        <v>7210.0</v>
      </c>
      <c r="AH165" s="3" t="n">
        <v>6999.0</v>
      </c>
      <c r="AI165" s="3" t="n">
        <v>6956.0</v>
      </c>
      <c r="AJ165" s="3" t="n">
        <v>6830.0</v>
      </c>
      <c r="AK165" s="3" t="n">
        <v>6573.0</v>
      </c>
      <c r="AL165" s="3" t="n">
        <v>6549.0</v>
      </c>
      <c r="AM165" s="3" t="n">
        <v>6699.0</v>
      </c>
      <c r="AN165" s="3" t="n">
        <v>6815.0</v>
      </c>
      <c r="AO165" s="3" t="n">
        <v>7008.0</v>
      </c>
    </row>
    <row r="166" spans="1:41" x14ac:dyDescent="0.2">
      <c r="A166" s="128"/>
      <c r="B166" s="9">
        <v>55</v>
      </c>
      <c r="C166" s="3" t="n">
        <v>9425.0</v>
      </c>
      <c r="D166" s="3" t="n">
        <v>9370.0</v>
      </c>
      <c r="E166" s="3" t="n">
        <v>9524.0</v>
      </c>
      <c r="F166" s="3" t="n">
        <v>10030.0</v>
      </c>
      <c r="G166" s="3" t="n">
        <v>10342.0</v>
      </c>
      <c r="H166" s="3" t="n">
        <v>10860.0</v>
      </c>
      <c r="I166" s="3" t="n">
        <v>11211.0</v>
      </c>
      <c r="J166" s="3" t="n">
        <v>11993.0</v>
      </c>
      <c r="K166" s="3" t="n">
        <v>12710.0</v>
      </c>
      <c r="L166" s="3" t="n">
        <v>12645.0</v>
      </c>
      <c r="M166" s="3" t="n">
        <v>12548.0</v>
      </c>
      <c r="N166" s="3" t="n">
        <v>12607.0</v>
      </c>
      <c r="O166" s="3" t="n">
        <v>13254.0</v>
      </c>
      <c r="P166" s="3" t="n">
        <v>13261.0</v>
      </c>
      <c r="Q166" s="3" t="n">
        <v>12835.0</v>
      </c>
      <c r="R166" s="3" t="n">
        <v>13397.0</v>
      </c>
      <c r="S166" s="3" t="n">
        <v>13715.0</v>
      </c>
      <c r="T166" s="3" t="n">
        <v>13231.0</v>
      </c>
      <c r="U166" s="3" t="n">
        <v>12582.0</v>
      </c>
      <c r="V166" s="3" t="n">
        <v>11515.0</v>
      </c>
      <c r="W166" s="3" t="n">
        <v>11348.0</v>
      </c>
      <c r="X166" s="3" t="n">
        <v>10737.0</v>
      </c>
      <c r="Y166" s="3" t="n">
        <v>10365.0</v>
      </c>
      <c r="Z166" s="3" t="n">
        <v>10372.0</v>
      </c>
      <c r="AA166" s="3" t="n">
        <v>9927.0</v>
      </c>
      <c r="AB166" s="3" t="n">
        <v>9408.0</v>
      </c>
      <c r="AC166" s="3" t="n">
        <v>9207.0</v>
      </c>
      <c r="AD166" s="3" t="n">
        <v>8755.0</v>
      </c>
      <c r="AE166" s="3" t="n">
        <v>8212.0</v>
      </c>
      <c r="AF166" s="3" t="n">
        <v>7802.0</v>
      </c>
      <c r="AG166" s="3" t="n">
        <v>7427.0</v>
      </c>
      <c r="AH166" s="3" t="n">
        <v>7153.0</v>
      </c>
      <c r="AI166" s="3" t="n">
        <v>6939.0</v>
      </c>
      <c r="AJ166" s="3" t="n">
        <v>6897.0</v>
      </c>
      <c r="AK166" s="3" t="n">
        <v>6772.0</v>
      </c>
      <c r="AL166" s="3" t="n">
        <v>6516.0</v>
      </c>
      <c r="AM166" s="3" t="n">
        <v>6493.0</v>
      </c>
      <c r="AN166" s="3" t="n">
        <v>6639.0</v>
      </c>
      <c r="AO166" s="3" t="n">
        <v>6756.0</v>
      </c>
    </row>
    <row r="167" spans="1:41" x14ac:dyDescent="0.2">
      <c r="A167" s="128"/>
      <c r="B167" s="9">
        <v>56</v>
      </c>
      <c r="C167" s="3" t="n">
        <v>9125.0</v>
      </c>
      <c r="D167" s="3" t="n">
        <v>9316.0</v>
      </c>
      <c r="E167" s="3" t="n">
        <v>9265.0</v>
      </c>
      <c r="F167" s="3" t="n">
        <v>9420.0</v>
      </c>
      <c r="G167" s="3" t="n">
        <v>9922.0</v>
      </c>
      <c r="H167" s="3" t="n">
        <v>10236.0</v>
      </c>
      <c r="I167" s="3" t="n">
        <v>10750.0</v>
      </c>
      <c r="J167" s="3" t="n">
        <v>11091.0</v>
      </c>
      <c r="K167" s="3" t="n">
        <v>11865.0</v>
      </c>
      <c r="L167" s="3" t="n">
        <v>12573.0</v>
      </c>
      <c r="M167" s="3" t="n">
        <v>12505.0</v>
      </c>
      <c r="N167" s="3" t="n">
        <v>12412.0</v>
      </c>
      <c r="O167" s="3" t="n">
        <v>12469.0</v>
      </c>
      <c r="P167" s="3" t="n">
        <v>13113.0</v>
      </c>
      <c r="Q167" s="3" t="n">
        <v>13121.0</v>
      </c>
      <c r="R167" s="3" t="n">
        <v>12702.0</v>
      </c>
      <c r="S167" s="3" t="n">
        <v>13256.0</v>
      </c>
      <c r="T167" s="3" t="n">
        <v>13570.0</v>
      </c>
      <c r="U167" s="3" t="n">
        <v>13094.0</v>
      </c>
      <c r="V167" s="3" t="n">
        <v>12456.0</v>
      </c>
      <c r="W167" s="3" t="n">
        <v>11403.0</v>
      </c>
      <c r="X167" s="3" t="n">
        <v>11236.0</v>
      </c>
      <c r="Y167" s="3" t="n">
        <v>10629.0</v>
      </c>
      <c r="Z167" s="3" t="n">
        <v>10260.0</v>
      </c>
      <c r="AA167" s="3" t="n">
        <v>10268.0</v>
      </c>
      <c r="AB167" s="3" t="n">
        <v>9827.0</v>
      </c>
      <c r="AC167" s="3" t="n">
        <v>9318.0</v>
      </c>
      <c r="AD167" s="3" t="n">
        <v>9111.0</v>
      </c>
      <c r="AE167" s="3" t="n">
        <v>8663.0</v>
      </c>
      <c r="AF167" s="3" t="n">
        <v>8125.0</v>
      </c>
      <c r="AG167" s="3" t="n">
        <v>7723.0</v>
      </c>
      <c r="AH167" s="3" t="n">
        <v>7352.0</v>
      </c>
      <c r="AI167" s="3" t="n">
        <v>7082.0</v>
      </c>
      <c r="AJ167" s="3" t="n">
        <v>6872.0</v>
      </c>
      <c r="AK167" s="3" t="n">
        <v>6829.0</v>
      </c>
      <c r="AL167" s="3" t="n">
        <v>6707.0</v>
      </c>
      <c r="AM167" s="3" t="n">
        <v>6449.0</v>
      </c>
      <c r="AN167" s="3" t="n">
        <v>6427.0</v>
      </c>
      <c r="AO167" s="3" t="n">
        <v>6573.0</v>
      </c>
    </row>
    <row r="168" spans="1:41" x14ac:dyDescent="0.2">
      <c r="A168" s="128"/>
      <c r="B168" s="9">
        <v>57</v>
      </c>
      <c r="C168" s="3" t="n">
        <v>9381.0</v>
      </c>
      <c r="D168" s="3" t="n">
        <v>9021.0</v>
      </c>
      <c r="E168" s="3" t="n">
        <v>9210.0</v>
      </c>
      <c r="F168" s="3" t="n">
        <v>9158.0</v>
      </c>
      <c r="G168" s="3" t="n">
        <v>9313.0</v>
      </c>
      <c r="H168" s="3" t="n">
        <v>9812.0</v>
      </c>
      <c r="I168" s="3" t="n">
        <v>10123.0</v>
      </c>
      <c r="J168" s="3" t="n">
        <v>10627.0</v>
      </c>
      <c r="K168" s="3" t="n">
        <v>10959.0</v>
      </c>
      <c r="L168" s="3" t="n">
        <v>11728.0</v>
      </c>
      <c r="M168" s="3" t="n">
        <v>12435.0</v>
      </c>
      <c r="N168" s="3" t="n">
        <v>12363.0</v>
      </c>
      <c r="O168" s="3" t="n">
        <v>12276.0</v>
      </c>
      <c r="P168" s="3" t="n">
        <v>12333.0</v>
      </c>
      <c r="Q168" s="3" t="n">
        <v>12970.0</v>
      </c>
      <c r="R168" s="3" t="n">
        <v>12975.0</v>
      </c>
      <c r="S168" s="3" t="n">
        <v>12563.0</v>
      </c>
      <c r="T168" s="3" t="n">
        <v>13114.0</v>
      </c>
      <c r="U168" s="3" t="n">
        <v>13430.0</v>
      </c>
      <c r="V168" s="3" t="n">
        <v>12956.0</v>
      </c>
      <c r="W168" s="3" t="n">
        <v>12318.0</v>
      </c>
      <c r="X168" s="3" t="n">
        <v>11288.0</v>
      </c>
      <c r="Y168" s="3" t="n">
        <v>11119.0</v>
      </c>
      <c r="Z168" s="3" t="n">
        <v>10518.0</v>
      </c>
      <c r="AA168" s="3" t="n">
        <v>10159.0</v>
      </c>
      <c r="AB168" s="3" t="n">
        <v>10166.0</v>
      </c>
      <c r="AC168" s="3" t="n">
        <v>9735.0</v>
      </c>
      <c r="AD168" s="3" t="n">
        <v>9229.0</v>
      </c>
      <c r="AE168" s="3" t="n">
        <v>9025.0</v>
      </c>
      <c r="AF168" s="3" t="n">
        <v>8578.0</v>
      </c>
      <c r="AG168" s="3" t="n">
        <v>8045.0</v>
      </c>
      <c r="AH168" s="3" t="n">
        <v>7650.0</v>
      </c>
      <c r="AI168" s="3" t="n">
        <v>7278.0</v>
      </c>
      <c r="AJ168" s="3" t="n">
        <v>7012.0</v>
      </c>
      <c r="AK168" s="3" t="n">
        <v>6805.0</v>
      </c>
      <c r="AL168" s="3" t="n">
        <v>6761.0</v>
      </c>
      <c r="AM168" s="3" t="n">
        <v>6639.0</v>
      </c>
      <c r="AN168" s="3" t="n">
        <v>6385.0</v>
      </c>
      <c r="AO168" s="3" t="n">
        <v>6366.0</v>
      </c>
    </row>
    <row r="169" spans="1:41" x14ac:dyDescent="0.2">
      <c r="A169" s="128"/>
      <c r="B169" s="9">
        <v>58</v>
      </c>
      <c r="C169" s="3" t="n">
        <v>9466.0</v>
      </c>
      <c r="D169" s="3" t="n">
        <v>9257.0</v>
      </c>
      <c r="E169" s="3" t="n">
        <v>8906.0</v>
      </c>
      <c r="F169" s="3" t="n">
        <v>9095.0</v>
      </c>
      <c r="G169" s="3" t="n">
        <v>9046.0</v>
      </c>
      <c r="H169" s="3" t="n">
        <v>9200.0</v>
      </c>
      <c r="I169" s="3" t="n">
        <v>9692.0</v>
      </c>
      <c r="J169" s="3" t="n">
        <v>9996.0</v>
      </c>
      <c r="K169" s="3" t="n">
        <v>10496.0</v>
      </c>
      <c r="L169" s="3" t="n">
        <v>10827.0</v>
      </c>
      <c r="M169" s="3" t="n">
        <v>11588.0</v>
      </c>
      <c r="N169" s="3" t="n">
        <v>12287.0</v>
      </c>
      <c r="O169" s="3" t="n">
        <v>12219.0</v>
      </c>
      <c r="P169" s="3" t="n">
        <v>12133.0</v>
      </c>
      <c r="Q169" s="3" t="n">
        <v>12190.0</v>
      </c>
      <c r="R169" s="3" t="n">
        <v>12820.0</v>
      </c>
      <c r="S169" s="3" t="n">
        <v>12826.0</v>
      </c>
      <c r="T169" s="3" t="n">
        <v>12417.0</v>
      </c>
      <c r="U169" s="3" t="n">
        <v>12961.0</v>
      </c>
      <c r="V169" s="3" t="n">
        <v>13271.0</v>
      </c>
      <c r="W169" s="3" t="n">
        <v>12808.0</v>
      </c>
      <c r="X169" s="3" t="n">
        <v>12181.0</v>
      </c>
      <c r="Y169" s="3" t="n">
        <v>11163.0</v>
      </c>
      <c r="Z169" s="3" t="n">
        <v>10994.0</v>
      </c>
      <c r="AA169" s="3" t="n">
        <v>10402.0</v>
      </c>
      <c r="AB169" s="3" t="n">
        <v>10044.0</v>
      </c>
      <c r="AC169" s="3" t="n">
        <v>10052.0</v>
      </c>
      <c r="AD169" s="3" t="n">
        <v>9627.0</v>
      </c>
      <c r="AE169" s="3" t="n">
        <v>9125.0</v>
      </c>
      <c r="AF169" s="3" t="n">
        <v>8925.0</v>
      </c>
      <c r="AG169" s="3" t="n">
        <v>8488.0</v>
      </c>
      <c r="AH169" s="3" t="n">
        <v>7963.0</v>
      </c>
      <c r="AI169" s="3" t="n">
        <v>7571.0</v>
      </c>
      <c r="AJ169" s="3" t="n">
        <v>7202.0</v>
      </c>
      <c r="AK169" s="3" t="n">
        <v>6938.0</v>
      </c>
      <c r="AL169" s="3" t="n">
        <v>6731.0</v>
      </c>
      <c r="AM169" s="3" t="n">
        <v>6687.0</v>
      </c>
      <c r="AN169" s="3" t="n">
        <v>6564.0</v>
      </c>
      <c r="AO169" s="3" t="n">
        <v>6317.0</v>
      </c>
    </row>
    <row r="170" spans="1:41" x14ac:dyDescent="0.2">
      <c r="A170" s="128"/>
      <c r="B170" s="9">
        <v>59</v>
      </c>
      <c r="C170" s="3" t="n">
        <v>9764.0</v>
      </c>
      <c r="D170" s="3" t="n">
        <v>9335.0</v>
      </c>
      <c r="E170" s="3" t="n">
        <v>9131.0</v>
      </c>
      <c r="F170" s="3" t="n">
        <v>8792.0</v>
      </c>
      <c r="G170" s="3" t="n">
        <v>8977.0</v>
      </c>
      <c r="H170" s="3" t="n">
        <v>8929.0</v>
      </c>
      <c r="I170" s="3" t="n">
        <v>9082.0</v>
      </c>
      <c r="J170" s="3" t="n">
        <v>9565.0</v>
      </c>
      <c r="K170" s="3" t="n">
        <v>9864.0</v>
      </c>
      <c r="L170" s="3" t="n">
        <v>10354.0</v>
      </c>
      <c r="M170" s="3" t="n">
        <v>10684.0</v>
      </c>
      <c r="N170" s="3" t="n">
        <v>11431.0</v>
      </c>
      <c r="O170" s="3" t="n">
        <v>12124.0</v>
      </c>
      <c r="P170" s="3" t="n">
        <v>12058.0</v>
      </c>
      <c r="Q170" s="3" t="n">
        <v>11975.0</v>
      </c>
      <c r="R170" s="3" t="n">
        <v>12030.0</v>
      </c>
      <c r="S170" s="3" t="n">
        <v>12653.0</v>
      </c>
      <c r="T170" s="3" t="n">
        <v>12659.0</v>
      </c>
      <c r="U170" s="3" t="n">
        <v>12256.0</v>
      </c>
      <c r="V170" s="3" t="n">
        <v>12797.0</v>
      </c>
      <c r="W170" s="3" t="n">
        <v>13104.0</v>
      </c>
      <c r="X170" s="3" t="n">
        <v>12647.0</v>
      </c>
      <c r="Y170" s="3" t="n">
        <v>12025.0</v>
      </c>
      <c r="Z170" s="3" t="n">
        <v>11020.0</v>
      </c>
      <c r="AA170" s="3" t="n">
        <v>10857.0</v>
      </c>
      <c r="AB170" s="3" t="n">
        <v>10277.0</v>
      </c>
      <c r="AC170" s="3" t="n">
        <v>9929.0</v>
      </c>
      <c r="AD170" s="3" t="n">
        <v>9933.0</v>
      </c>
      <c r="AE170" s="3" t="n">
        <v>9514.0</v>
      </c>
      <c r="AF170" s="3" t="n">
        <v>9016.0</v>
      </c>
      <c r="AG170" s="3" t="n">
        <v>8815.0</v>
      </c>
      <c r="AH170" s="3" t="n">
        <v>8386.0</v>
      </c>
      <c r="AI170" s="3" t="n">
        <v>7870.0</v>
      </c>
      <c r="AJ170" s="3" t="n">
        <v>7477.0</v>
      </c>
      <c r="AK170" s="3" t="n">
        <v>7120.0</v>
      </c>
      <c r="AL170" s="3" t="n">
        <v>6860.0</v>
      </c>
      <c r="AM170" s="3" t="n">
        <v>6653.0</v>
      </c>
      <c r="AN170" s="3" t="n">
        <v>6606.0</v>
      </c>
      <c r="AO170" s="3" t="n">
        <v>6484.0</v>
      </c>
    </row>
    <row r="171" spans="1:41" x14ac:dyDescent="0.2">
      <c r="A171" s="128"/>
      <c r="B171" s="9">
        <v>60</v>
      </c>
      <c r="C171" s="3" t="n">
        <v>9579.0</v>
      </c>
      <c r="D171" s="3" t="n">
        <v>9613.0</v>
      </c>
      <c r="E171" s="3" t="n">
        <v>9194.0</v>
      </c>
      <c r="F171" s="3" t="n">
        <v>8995.0</v>
      </c>
      <c r="G171" s="3" t="n">
        <v>8664.0</v>
      </c>
      <c r="H171" s="3" t="n">
        <v>8848.0</v>
      </c>
      <c r="I171" s="3" t="n">
        <v>8800.0</v>
      </c>
      <c r="J171" s="3" t="n">
        <v>8953.0</v>
      </c>
      <c r="K171" s="3" t="n">
        <v>9424.0</v>
      </c>
      <c r="L171" s="3" t="n">
        <v>9721.0</v>
      </c>
      <c r="M171" s="3" t="n">
        <v>10207.0</v>
      </c>
      <c r="N171" s="3" t="n">
        <v>10532.0</v>
      </c>
      <c r="O171" s="3" t="n">
        <v>11261.0</v>
      </c>
      <c r="P171" s="3" t="n">
        <v>11949.0</v>
      </c>
      <c r="Q171" s="3" t="n">
        <v>11888.0</v>
      </c>
      <c r="R171" s="3" t="n">
        <v>11806.0</v>
      </c>
      <c r="S171" s="3" t="n">
        <v>11860.0</v>
      </c>
      <c r="T171" s="3" t="n">
        <v>12475.0</v>
      </c>
      <c r="U171" s="3" t="n">
        <v>12481.0</v>
      </c>
      <c r="V171" s="3" t="n">
        <v>12086.0</v>
      </c>
      <c r="W171" s="3" t="n">
        <v>12627.0</v>
      </c>
      <c r="X171" s="3" t="n">
        <v>12928.0</v>
      </c>
      <c r="Y171" s="3" t="n">
        <v>12477.0</v>
      </c>
      <c r="Z171" s="3" t="n">
        <v>11864.0</v>
      </c>
      <c r="AA171" s="3" t="n">
        <v>10870.0</v>
      </c>
      <c r="AB171" s="3" t="n">
        <v>10713.0</v>
      </c>
      <c r="AC171" s="3" t="n">
        <v>10142.0</v>
      </c>
      <c r="AD171" s="3" t="n">
        <v>9797.0</v>
      </c>
      <c r="AE171" s="3" t="n">
        <v>9800.0</v>
      </c>
      <c r="AF171" s="3" t="n">
        <v>9385.0</v>
      </c>
      <c r="AG171" s="3" t="n">
        <v>8893.0</v>
      </c>
      <c r="AH171" s="3" t="n">
        <v>8698.0</v>
      </c>
      <c r="AI171" s="3" t="n">
        <v>8277.0</v>
      </c>
      <c r="AJ171" s="3" t="n">
        <v>7770.0</v>
      </c>
      <c r="AK171" s="3" t="n">
        <v>7380.0</v>
      </c>
      <c r="AL171" s="3" t="n">
        <v>7030.0</v>
      </c>
      <c r="AM171" s="3" t="n">
        <v>6773.0</v>
      </c>
      <c r="AN171" s="3" t="n">
        <v>6568.0</v>
      </c>
      <c r="AO171" s="3" t="n">
        <v>6520.0</v>
      </c>
    </row>
    <row r="172" spans="1:41" x14ac:dyDescent="0.2">
      <c r="A172" s="128"/>
      <c r="B172" s="9">
        <v>61</v>
      </c>
      <c r="C172" s="3" t="n">
        <v>10238.0</v>
      </c>
      <c r="D172" s="3" t="n">
        <v>9413.0</v>
      </c>
      <c r="E172" s="3" t="n">
        <v>9451.0</v>
      </c>
      <c r="F172" s="3" t="n">
        <v>9043.0</v>
      </c>
      <c r="G172" s="3" t="n">
        <v>8850.0</v>
      </c>
      <c r="H172" s="3" t="n">
        <v>8528.0</v>
      </c>
      <c r="I172" s="3" t="n">
        <v>8715.0</v>
      </c>
      <c r="J172" s="3" t="n">
        <v>8663.0</v>
      </c>
      <c r="K172" s="3" t="n">
        <v>8816.0</v>
      </c>
      <c r="L172" s="3" t="n">
        <v>9276.0</v>
      </c>
      <c r="M172" s="3" t="n">
        <v>9568.0</v>
      </c>
      <c r="N172" s="3" t="n">
        <v>10044.0</v>
      </c>
      <c r="O172" s="3" t="n">
        <v>10369.0</v>
      </c>
      <c r="P172" s="3" t="n">
        <v>11081.0</v>
      </c>
      <c r="Q172" s="3" t="n">
        <v>11759.0</v>
      </c>
      <c r="R172" s="3" t="n">
        <v>11699.0</v>
      </c>
      <c r="S172" s="3" t="n">
        <v>11625.0</v>
      </c>
      <c r="T172" s="3" t="n">
        <v>11676.0</v>
      </c>
      <c r="U172" s="3" t="n">
        <v>12282.0</v>
      </c>
      <c r="V172" s="3" t="n">
        <v>12287.0</v>
      </c>
      <c r="W172" s="3" t="n">
        <v>11907.0</v>
      </c>
      <c r="X172" s="3" t="n">
        <v>12436.0</v>
      </c>
      <c r="Y172" s="3" t="n">
        <v>12732.0</v>
      </c>
      <c r="Z172" s="3" t="n">
        <v>12289.0</v>
      </c>
      <c r="AA172" s="3" t="n">
        <v>11688.0</v>
      </c>
      <c r="AB172" s="3" t="n">
        <v>10709.0</v>
      </c>
      <c r="AC172" s="3" t="n">
        <v>10556.0</v>
      </c>
      <c r="AD172" s="3" t="n">
        <v>9992.0</v>
      </c>
      <c r="AE172" s="3" t="n">
        <v>9657.0</v>
      </c>
      <c r="AF172" s="3" t="n">
        <v>9659.0</v>
      </c>
      <c r="AG172" s="3" t="n">
        <v>9251.0</v>
      </c>
      <c r="AH172" s="3" t="n">
        <v>8768.0</v>
      </c>
      <c r="AI172" s="3" t="n">
        <v>8579.0</v>
      </c>
      <c r="AJ172" s="3" t="n">
        <v>8162.0</v>
      </c>
      <c r="AK172" s="3" t="n">
        <v>7663.0</v>
      </c>
      <c r="AL172" s="3" t="n">
        <v>7278.0</v>
      </c>
      <c r="AM172" s="3" t="n">
        <v>6932.0</v>
      </c>
      <c r="AN172" s="3" t="n">
        <v>6678.0</v>
      </c>
      <c r="AO172" s="3" t="n">
        <v>6478.0</v>
      </c>
    </row>
    <row r="173" spans="1:41" x14ac:dyDescent="0.2">
      <c r="A173" s="128"/>
      <c r="B173" s="9">
        <v>62</v>
      </c>
      <c r="C173" s="3" t="n">
        <v>10808.0</v>
      </c>
      <c r="D173" s="3" t="n">
        <v>10050.0</v>
      </c>
      <c r="E173" s="3" t="n">
        <v>9246.0</v>
      </c>
      <c r="F173" s="3" t="n">
        <v>9281.0</v>
      </c>
      <c r="G173" s="3" t="n">
        <v>8881.0</v>
      </c>
      <c r="H173" s="3" t="n">
        <v>8699.0</v>
      </c>
      <c r="I173" s="3" t="n">
        <v>8379.0</v>
      </c>
      <c r="J173" s="3" t="n">
        <v>8562.0</v>
      </c>
      <c r="K173" s="3" t="n">
        <v>8508.0</v>
      </c>
      <c r="L173" s="3" t="n">
        <v>8660.0</v>
      </c>
      <c r="M173" s="3" t="n">
        <v>9118.0</v>
      </c>
      <c r="N173" s="3" t="n">
        <v>9405.0</v>
      </c>
      <c r="O173" s="3" t="n">
        <v>9875.0</v>
      </c>
      <c r="P173" s="3" t="n">
        <v>10194.0</v>
      </c>
      <c r="Q173" s="3" t="n">
        <v>10894.0</v>
      </c>
      <c r="R173" s="3" t="n">
        <v>11557.0</v>
      </c>
      <c r="S173" s="3" t="n">
        <v>11504.0</v>
      </c>
      <c r="T173" s="3" t="n">
        <v>11428.0</v>
      </c>
      <c r="U173" s="3" t="n">
        <v>11480.0</v>
      </c>
      <c r="V173" s="3" t="n">
        <v>12077.0</v>
      </c>
      <c r="W173" s="3" t="n">
        <v>12085.0</v>
      </c>
      <c r="X173" s="3" t="n">
        <v>11709.0</v>
      </c>
      <c r="Y173" s="3" t="n">
        <v>12238.0</v>
      </c>
      <c r="Z173" s="3" t="n">
        <v>12521.0</v>
      </c>
      <c r="AA173" s="3" t="n">
        <v>12084.0</v>
      </c>
      <c r="AB173" s="3" t="n">
        <v>11499.0</v>
      </c>
      <c r="AC173" s="3" t="n">
        <v>10537.0</v>
      </c>
      <c r="AD173" s="3" t="n">
        <v>10385.0</v>
      </c>
      <c r="AE173" s="3" t="n">
        <v>9832.0</v>
      </c>
      <c r="AF173" s="3" t="n">
        <v>9506.0</v>
      </c>
      <c r="AG173" s="3" t="n">
        <v>9510.0</v>
      </c>
      <c r="AH173" s="3" t="n">
        <v>9110.0</v>
      </c>
      <c r="AI173" s="3" t="n">
        <v>8632.0</v>
      </c>
      <c r="AJ173" s="3" t="n">
        <v>8445.0</v>
      </c>
      <c r="AK173" s="3" t="n">
        <v>8034.0</v>
      </c>
      <c r="AL173" s="3" t="n">
        <v>7545.0</v>
      </c>
      <c r="AM173" s="3" t="n">
        <v>7171.0</v>
      </c>
      <c r="AN173" s="3" t="n">
        <v>6826.0</v>
      </c>
      <c r="AO173" s="3" t="n">
        <v>6573.0</v>
      </c>
    </row>
    <row r="174" spans="1:41" x14ac:dyDescent="0.2">
      <c r="A174" s="128"/>
      <c r="B174" s="9">
        <v>63</v>
      </c>
      <c r="C174" s="3" t="n">
        <v>11284.0</v>
      </c>
      <c r="D174" s="3" t="n">
        <v>10590.0</v>
      </c>
      <c r="E174" s="3" t="n">
        <v>9850.0</v>
      </c>
      <c r="F174" s="3" t="n">
        <v>9070.0</v>
      </c>
      <c r="G174" s="3" t="n">
        <v>9102.0</v>
      </c>
      <c r="H174" s="3" t="n">
        <v>8711.0</v>
      </c>
      <c r="I174" s="3" t="n">
        <v>8539.0</v>
      </c>
      <c r="J174" s="3" t="n">
        <v>8223.0</v>
      </c>
      <c r="K174" s="3" t="n">
        <v>8406.0</v>
      </c>
      <c r="L174" s="3" t="n">
        <v>8353.0</v>
      </c>
      <c r="M174" s="3" t="n">
        <v>8500.0</v>
      </c>
      <c r="N174" s="3" t="n">
        <v>8951.0</v>
      </c>
      <c r="O174" s="3" t="n">
        <v>9233.0</v>
      </c>
      <c r="P174" s="3" t="n">
        <v>9698.0</v>
      </c>
      <c r="Q174" s="3" t="n">
        <v>10007.0</v>
      </c>
      <c r="R174" s="3" t="n">
        <v>10697.0</v>
      </c>
      <c r="S174" s="3" t="n">
        <v>11345.0</v>
      </c>
      <c r="T174" s="3" t="n">
        <v>11298.0</v>
      </c>
      <c r="U174" s="3" t="n">
        <v>11227.0</v>
      </c>
      <c r="V174" s="3" t="n">
        <v>11276.0</v>
      </c>
      <c r="W174" s="3" t="n">
        <v>11864.0</v>
      </c>
      <c r="X174" s="3" t="n">
        <v>11872.0</v>
      </c>
      <c r="Y174" s="3" t="n">
        <v>11503.0</v>
      </c>
      <c r="Z174" s="3" t="n">
        <v>12021.0</v>
      </c>
      <c r="AA174" s="3" t="n">
        <v>12304.0</v>
      </c>
      <c r="AB174" s="3" t="n">
        <v>11880.0</v>
      </c>
      <c r="AC174" s="3" t="n">
        <v>11304.0</v>
      </c>
      <c r="AD174" s="3" t="n">
        <v>10361.0</v>
      </c>
      <c r="AE174" s="3" t="n">
        <v>10209.0</v>
      </c>
      <c r="AF174" s="3" t="n">
        <v>9667.0</v>
      </c>
      <c r="AG174" s="3" t="n">
        <v>9345.0</v>
      </c>
      <c r="AH174" s="3" t="n">
        <v>9351.0</v>
      </c>
      <c r="AI174" s="3" t="n">
        <v>8955.0</v>
      </c>
      <c r="AJ174" s="3" t="n">
        <v>8488.0</v>
      </c>
      <c r="AK174" s="3" t="n">
        <v>8308.0</v>
      </c>
      <c r="AL174" s="3" t="n">
        <v>7904.0</v>
      </c>
      <c r="AM174" s="3" t="n">
        <v>7424.0</v>
      </c>
      <c r="AN174" s="3" t="n">
        <v>7060.0</v>
      </c>
      <c r="AO174" s="3" t="n">
        <v>6721.0</v>
      </c>
    </row>
    <row r="175" spans="1:41" x14ac:dyDescent="0.2">
      <c r="A175" s="128"/>
      <c r="B175" s="9">
        <v>64</v>
      </c>
      <c r="C175" s="3" t="n">
        <v>11834.0</v>
      </c>
      <c r="D175" s="3" t="n">
        <v>11032.0</v>
      </c>
      <c r="E175" s="3" t="n">
        <v>10360.0</v>
      </c>
      <c r="F175" s="3" t="n">
        <v>9633.0</v>
      </c>
      <c r="G175" s="3" t="n">
        <v>8873.0</v>
      </c>
      <c r="H175" s="3" t="n">
        <v>8908.0</v>
      </c>
      <c r="I175" s="3" t="n">
        <v>8532.0</v>
      </c>
      <c r="J175" s="3" t="n">
        <v>8364.0</v>
      </c>
      <c r="K175" s="3" t="n">
        <v>8054.0</v>
      </c>
      <c r="L175" s="3" t="n">
        <v>8237.0</v>
      </c>
      <c r="M175" s="3" t="n">
        <v>8184.0</v>
      </c>
      <c r="N175" s="3" t="n">
        <v>8325.0</v>
      </c>
      <c r="O175" s="3" t="n">
        <v>8771.0</v>
      </c>
      <c r="P175" s="3" t="n">
        <v>9051.0</v>
      </c>
      <c r="Q175" s="3" t="n">
        <v>9507.0</v>
      </c>
      <c r="R175" s="3" t="n">
        <v>9807.0</v>
      </c>
      <c r="S175" s="3" t="n">
        <v>10481.0</v>
      </c>
      <c r="T175" s="3" t="n">
        <v>11113.0</v>
      </c>
      <c r="U175" s="3" t="n">
        <v>11073.0</v>
      </c>
      <c r="V175" s="3" t="n">
        <v>11006.0</v>
      </c>
      <c r="W175" s="3" t="n">
        <v>11050.0</v>
      </c>
      <c r="X175" s="3" t="n">
        <v>11625.0</v>
      </c>
      <c r="Y175" s="3" t="n">
        <v>11629.0</v>
      </c>
      <c r="Z175" s="3" t="n">
        <v>11276.0</v>
      </c>
      <c r="AA175" s="3" t="n">
        <v>11784.0</v>
      </c>
      <c r="AB175" s="3" t="n">
        <v>12059.0</v>
      </c>
      <c r="AC175" s="3" t="n">
        <v>11648.0</v>
      </c>
      <c r="AD175" s="3" t="n">
        <v>11084.0</v>
      </c>
      <c r="AE175" s="3" t="n">
        <v>10163.0</v>
      </c>
      <c r="AF175" s="3" t="n">
        <v>10018.0</v>
      </c>
      <c r="AG175" s="3" t="n">
        <v>9492.0</v>
      </c>
      <c r="AH175" s="3" t="n">
        <v>9175.0</v>
      </c>
      <c r="AI175" s="3" t="n">
        <v>9182.0</v>
      </c>
      <c r="AJ175" s="3" t="n">
        <v>8789.0</v>
      </c>
      <c r="AK175" s="3" t="n">
        <v>8332.0</v>
      </c>
      <c r="AL175" s="3" t="n">
        <v>8153.0</v>
      </c>
      <c r="AM175" s="3" t="n">
        <v>7759.0</v>
      </c>
      <c r="AN175" s="3" t="n">
        <v>7286.0</v>
      </c>
      <c r="AO175" s="3" t="n">
        <v>6929.0</v>
      </c>
    </row>
    <row r="176" spans="1:41" x14ac:dyDescent="0.2">
      <c r="A176" s="128"/>
      <c r="B176" s="9">
        <v>65</v>
      </c>
      <c r="C176" s="3" t="n">
        <v>11644.0</v>
      </c>
      <c r="D176" s="3" t="n">
        <v>11541.0</v>
      </c>
      <c r="E176" s="3" t="n">
        <v>10765.0</v>
      </c>
      <c r="F176" s="3" t="n">
        <v>10111.0</v>
      </c>
      <c r="G176" s="3" t="n">
        <v>9406.0</v>
      </c>
      <c r="H176" s="3" t="n">
        <v>8669.0</v>
      </c>
      <c r="I176" s="3" t="n">
        <v>8703.0</v>
      </c>
      <c r="J176" s="3" t="n">
        <v>8340.0</v>
      </c>
      <c r="K176" s="3" t="n">
        <v>8173.0</v>
      </c>
      <c r="L176" s="3" t="n">
        <v>7870.0</v>
      </c>
      <c r="M176" s="3" t="n">
        <v>8053.0</v>
      </c>
      <c r="N176" s="3" t="n">
        <v>7999.0</v>
      </c>
      <c r="O176" s="3" t="n">
        <v>8141.0</v>
      </c>
      <c r="P176" s="3" t="n">
        <v>8574.0</v>
      </c>
      <c r="Q176" s="3" t="n">
        <v>8851.0</v>
      </c>
      <c r="R176" s="3" t="n">
        <v>9297.0</v>
      </c>
      <c r="S176" s="3" t="n">
        <v>9593.0</v>
      </c>
      <c r="T176" s="3" t="n">
        <v>10252.0</v>
      </c>
      <c r="U176" s="3" t="n">
        <v>10875.0</v>
      </c>
      <c r="V176" s="3" t="n">
        <v>10835.0</v>
      </c>
      <c r="W176" s="3" t="n">
        <v>10769.0</v>
      </c>
      <c r="X176" s="3" t="n">
        <v>10815.0</v>
      </c>
      <c r="Y176" s="3" t="n">
        <v>11372.0</v>
      </c>
      <c r="Z176" s="3" t="n">
        <v>11379.0</v>
      </c>
      <c r="AA176" s="3" t="n">
        <v>11036.0</v>
      </c>
      <c r="AB176" s="3" t="n">
        <v>11531.0</v>
      </c>
      <c r="AC176" s="3" t="n">
        <v>11802.0</v>
      </c>
      <c r="AD176" s="3" t="n">
        <v>11400.0</v>
      </c>
      <c r="AE176" s="3" t="n">
        <v>10856.0</v>
      </c>
      <c r="AF176" s="3" t="n">
        <v>9950.0</v>
      </c>
      <c r="AG176" s="3" t="n">
        <v>9813.0</v>
      </c>
      <c r="AH176" s="3" t="n">
        <v>9297.0</v>
      </c>
      <c r="AI176" s="3" t="n">
        <v>8992.0</v>
      </c>
      <c r="AJ176" s="3" t="n">
        <v>8997.0</v>
      </c>
      <c r="AK176" s="3" t="n">
        <v>8611.0</v>
      </c>
      <c r="AL176" s="3" t="n">
        <v>8163.0</v>
      </c>
      <c r="AM176" s="3" t="n">
        <v>7990.0</v>
      </c>
      <c r="AN176" s="3" t="n">
        <v>7599.0</v>
      </c>
      <c r="AO176" s="3" t="n">
        <v>7133.0</v>
      </c>
    </row>
    <row r="177" spans="1:41" x14ac:dyDescent="0.2">
      <c r="A177" s="128"/>
      <c r="B177" s="9">
        <v>66</v>
      </c>
      <c r="C177" s="3" t="n">
        <v>11626.0</v>
      </c>
      <c r="D177" s="3" t="n">
        <v>11345.0</v>
      </c>
      <c r="E177" s="3" t="n">
        <v>11248.0</v>
      </c>
      <c r="F177" s="3" t="n">
        <v>10493.0</v>
      </c>
      <c r="G177" s="3" t="n">
        <v>9862.0</v>
      </c>
      <c r="H177" s="3" t="n">
        <v>9170.0</v>
      </c>
      <c r="I177" s="3" t="n">
        <v>8454.0</v>
      </c>
      <c r="J177" s="3" t="n">
        <v>8491.0</v>
      </c>
      <c r="K177" s="3" t="n">
        <v>8139.0</v>
      </c>
      <c r="L177" s="3" t="n">
        <v>7981.0</v>
      </c>
      <c r="M177" s="3" t="n">
        <v>7687.0</v>
      </c>
      <c r="N177" s="3" t="n">
        <v>7866.0</v>
      </c>
      <c r="O177" s="3" t="n">
        <v>7813.0</v>
      </c>
      <c r="P177" s="3" t="n">
        <v>7953.0</v>
      </c>
      <c r="Q177" s="3" t="n">
        <v>8380.0</v>
      </c>
      <c r="R177" s="3" t="n">
        <v>8645.0</v>
      </c>
      <c r="S177" s="3" t="n">
        <v>9083.0</v>
      </c>
      <c r="T177" s="3" t="n">
        <v>9372.0</v>
      </c>
      <c r="U177" s="3" t="n">
        <v>10022.0</v>
      </c>
      <c r="V177" s="3" t="n">
        <v>10626.0</v>
      </c>
      <c r="W177" s="3" t="n">
        <v>10586.0</v>
      </c>
      <c r="X177" s="3" t="n">
        <v>10529.0</v>
      </c>
      <c r="Y177" s="3" t="n">
        <v>10572.0</v>
      </c>
      <c r="Z177" s="3" t="n">
        <v>11119.0</v>
      </c>
      <c r="AA177" s="3" t="n">
        <v>11125.0</v>
      </c>
      <c r="AB177" s="3" t="n">
        <v>10793.0</v>
      </c>
      <c r="AC177" s="3" t="n">
        <v>11276.0</v>
      </c>
      <c r="AD177" s="3" t="n">
        <v>11541.0</v>
      </c>
      <c r="AE177" s="3" t="n">
        <v>11154.0</v>
      </c>
      <c r="AF177" s="3" t="n">
        <v>10623.0</v>
      </c>
      <c r="AG177" s="3" t="n">
        <v>9734.0</v>
      </c>
      <c r="AH177" s="3" t="n">
        <v>9604.0</v>
      </c>
      <c r="AI177" s="3" t="n">
        <v>9103.0</v>
      </c>
      <c r="AJ177" s="3" t="n">
        <v>8801.0</v>
      </c>
      <c r="AK177" s="3" t="n">
        <v>8806.0</v>
      </c>
      <c r="AL177" s="3" t="n">
        <v>8426.0</v>
      </c>
      <c r="AM177" s="3" t="n">
        <v>7985.0</v>
      </c>
      <c r="AN177" s="3" t="n">
        <v>7815.0</v>
      </c>
      <c r="AO177" s="3" t="n">
        <v>7439.0</v>
      </c>
    </row>
    <row r="178" spans="1:41" x14ac:dyDescent="0.2">
      <c r="A178" s="128"/>
      <c r="B178" s="9">
        <v>67</v>
      </c>
      <c r="C178" s="3" t="n">
        <v>11475.0</v>
      </c>
      <c r="D178" s="3" t="n">
        <v>11301.0</v>
      </c>
      <c r="E178" s="3" t="n">
        <v>11034.0</v>
      </c>
      <c r="F178" s="3" t="n">
        <v>10947.0</v>
      </c>
      <c r="G178" s="3" t="n">
        <v>10212.0</v>
      </c>
      <c r="H178" s="3" t="n">
        <v>9600.0</v>
      </c>
      <c r="I178" s="3" t="n">
        <v>8929.0</v>
      </c>
      <c r="J178" s="3" t="n">
        <v>8232.0</v>
      </c>
      <c r="K178" s="3" t="n">
        <v>8267.0</v>
      </c>
      <c r="L178" s="3" t="n">
        <v>7932.0</v>
      </c>
      <c r="M178" s="3" t="n">
        <v>7779.0</v>
      </c>
      <c r="N178" s="3" t="n">
        <v>7489.0</v>
      </c>
      <c r="O178" s="3" t="n">
        <v>7663.0</v>
      </c>
      <c r="P178" s="3" t="n">
        <v>7613.0</v>
      </c>
      <c r="Q178" s="3" t="n">
        <v>7754.0</v>
      </c>
      <c r="R178" s="3" t="n">
        <v>8175.0</v>
      </c>
      <c r="S178" s="3" t="n">
        <v>8430.0</v>
      </c>
      <c r="T178" s="3" t="n">
        <v>8859.0</v>
      </c>
      <c r="U178" s="3" t="n">
        <v>9141.0</v>
      </c>
      <c r="V178" s="3" t="n">
        <v>9776.0</v>
      </c>
      <c r="W178" s="3" t="n">
        <v>10364.0</v>
      </c>
      <c r="X178" s="3" t="n">
        <v>10326.0</v>
      </c>
      <c r="Y178" s="3" t="n">
        <v>10273.0</v>
      </c>
      <c r="Z178" s="3" t="n">
        <v>10313.0</v>
      </c>
      <c r="AA178" s="3" t="n">
        <v>10848.0</v>
      </c>
      <c r="AB178" s="3" t="n">
        <v>10852.0</v>
      </c>
      <c r="AC178" s="3" t="n">
        <v>10531.0</v>
      </c>
      <c r="AD178" s="3" t="n">
        <v>11002.0</v>
      </c>
      <c r="AE178" s="3" t="n">
        <v>11262.0</v>
      </c>
      <c r="AF178" s="3" t="n">
        <v>10884.0</v>
      </c>
      <c r="AG178" s="3" t="n">
        <v>10373.0</v>
      </c>
      <c r="AH178" s="3" t="n">
        <v>9508.0</v>
      </c>
      <c r="AI178" s="3" t="n">
        <v>9379.0</v>
      </c>
      <c r="AJ178" s="3" t="n">
        <v>8893.0</v>
      </c>
      <c r="AK178" s="3" t="n">
        <v>8598.0</v>
      </c>
      <c r="AL178" s="3" t="n">
        <v>8598.0</v>
      </c>
      <c r="AM178" s="3" t="n">
        <v>8231.0</v>
      </c>
      <c r="AN178" s="3" t="n">
        <v>7801.0</v>
      </c>
      <c r="AO178" s="3" t="n">
        <v>7631.0</v>
      </c>
    </row>
    <row r="179" spans="1:41" x14ac:dyDescent="0.2">
      <c r="A179" s="128"/>
      <c r="B179" s="9">
        <v>68</v>
      </c>
      <c r="C179" s="3" t="n">
        <v>10376.0</v>
      </c>
      <c r="D179" s="3" t="n">
        <v>11130.0</v>
      </c>
      <c r="E179" s="3" t="n">
        <v>10965.0</v>
      </c>
      <c r="F179" s="3" t="n">
        <v>10707.0</v>
      </c>
      <c r="G179" s="3" t="n">
        <v>10627.0</v>
      </c>
      <c r="H179" s="3" t="n">
        <v>9917.0</v>
      </c>
      <c r="I179" s="3" t="n">
        <v>9329.0</v>
      </c>
      <c r="J179" s="3" t="n">
        <v>8675.0</v>
      </c>
      <c r="K179" s="3" t="n">
        <v>8004.0</v>
      </c>
      <c r="L179" s="3" t="n">
        <v>8036.0</v>
      </c>
      <c r="M179" s="3" t="n">
        <v>7715.0</v>
      </c>
      <c r="N179" s="3" t="n">
        <v>7563.0</v>
      </c>
      <c r="O179" s="3" t="n">
        <v>7284.0</v>
      </c>
      <c r="P179" s="3" t="n">
        <v>7452.0</v>
      </c>
      <c r="Q179" s="3" t="n">
        <v>7407.0</v>
      </c>
      <c r="R179" s="3" t="n">
        <v>7548.0</v>
      </c>
      <c r="S179" s="3" t="n">
        <v>7956.0</v>
      </c>
      <c r="T179" s="3" t="n">
        <v>8203.0</v>
      </c>
      <c r="U179" s="3" t="n">
        <v>8620.0</v>
      </c>
      <c r="V179" s="3" t="n">
        <v>8897.0</v>
      </c>
      <c r="W179" s="3" t="n">
        <v>9517.0</v>
      </c>
      <c r="X179" s="3" t="n">
        <v>10090.0</v>
      </c>
      <c r="Y179" s="3" t="n">
        <v>10053.0</v>
      </c>
      <c r="Z179" s="3" t="n">
        <v>10003.0</v>
      </c>
      <c r="AA179" s="3" t="n">
        <v>10046.0</v>
      </c>
      <c r="AB179" s="3" t="n">
        <v>10568.0</v>
      </c>
      <c r="AC179" s="3" t="n">
        <v>10572.0</v>
      </c>
      <c r="AD179" s="3" t="n">
        <v>10262.0</v>
      </c>
      <c r="AE179" s="3" t="n">
        <v>10721.0</v>
      </c>
      <c r="AF179" s="3" t="n">
        <v>10978.0</v>
      </c>
      <c r="AG179" s="3" t="n">
        <v>10611.0</v>
      </c>
      <c r="AH179" s="3" t="n">
        <v>10114.0</v>
      </c>
      <c r="AI179" s="3" t="n">
        <v>9273.0</v>
      </c>
      <c r="AJ179" s="3" t="n">
        <v>9142.0</v>
      </c>
      <c r="AK179" s="3" t="n">
        <v>8671.0</v>
      </c>
      <c r="AL179" s="3" t="n">
        <v>8388.0</v>
      </c>
      <c r="AM179" s="3" t="n">
        <v>8385.0</v>
      </c>
      <c r="AN179" s="3" t="n">
        <v>8032.0</v>
      </c>
      <c r="AO179" s="3" t="n">
        <v>7609.0</v>
      </c>
    </row>
    <row r="180" spans="1:41" x14ac:dyDescent="0.2">
      <c r="A180" s="128"/>
      <c r="B180" s="9">
        <v>69</v>
      </c>
      <c r="C180" s="3" t="n">
        <v>10041.0</v>
      </c>
      <c r="D180" s="3" t="n">
        <v>10040.0</v>
      </c>
      <c r="E180" s="3" t="n">
        <v>10778.0</v>
      </c>
      <c r="F180" s="3" t="n">
        <v>10616.0</v>
      </c>
      <c r="G180" s="3" t="n">
        <v>10372.0</v>
      </c>
      <c r="H180" s="3" t="n">
        <v>10302.0</v>
      </c>
      <c r="I180" s="3" t="n">
        <v>9614.0</v>
      </c>
      <c r="J180" s="3" t="n">
        <v>9047.0</v>
      </c>
      <c r="K180" s="3" t="n">
        <v>8413.0</v>
      </c>
      <c r="L180" s="3" t="n">
        <v>7765.0</v>
      </c>
      <c r="M180" s="3" t="n">
        <v>7797.0</v>
      </c>
      <c r="N180" s="3" t="n">
        <v>7487.0</v>
      </c>
      <c r="O180" s="3" t="n">
        <v>7341.0</v>
      </c>
      <c r="P180" s="3" t="n">
        <v>7074.0</v>
      </c>
      <c r="Q180" s="3" t="n">
        <v>7238.0</v>
      </c>
      <c r="R180" s="3" t="n">
        <v>7195.0</v>
      </c>
      <c r="S180" s="3" t="n">
        <v>7337.0</v>
      </c>
      <c r="T180" s="3" t="n">
        <v>7732.0</v>
      </c>
      <c r="U180" s="3" t="n">
        <v>7973.0</v>
      </c>
      <c r="V180" s="3" t="n">
        <v>8374.0</v>
      </c>
      <c r="W180" s="3" t="n">
        <v>8647.0</v>
      </c>
      <c r="X180" s="3" t="n">
        <v>9253.0</v>
      </c>
      <c r="Y180" s="3" t="n">
        <v>9807.0</v>
      </c>
      <c r="Z180" s="3" t="n">
        <v>9772.0</v>
      </c>
      <c r="AA180" s="3" t="n">
        <v>9721.0</v>
      </c>
      <c r="AB180" s="3" t="n">
        <v>9767.0</v>
      </c>
      <c r="AC180" s="3" t="n">
        <v>10277.0</v>
      </c>
      <c r="AD180" s="3" t="n">
        <v>10282.0</v>
      </c>
      <c r="AE180" s="3" t="n">
        <v>9982.0</v>
      </c>
      <c r="AF180" s="3" t="n">
        <v>10427.0</v>
      </c>
      <c r="AG180" s="3" t="n">
        <v>10680.0</v>
      </c>
      <c r="AH180" s="3" t="n">
        <v>10324.0</v>
      </c>
      <c r="AI180" s="3" t="n">
        <v>9839.0</v>
      </c>
      <c r="AJ180" s="3" t="n">
        <v>9024.0</v>
      </c>
      <c r="AK180" s="3" t="n">
        <v>8902.0</v>
      </c>
      <c r="AL180" s="3" t="n">
        <v>8448.0</v>
      </c>
      <c r="AM180" s="3" t="n">
        <v>8169.0</v>
      </c>
      <c r="AN180" s="3" t="n">
        <v>8166.0</v>
      </c>
      <c r="AO180" s="3" t="n">
        <v>7824.0</v>
      </c>
    </row>
    <row r="181" spans="1:41" x14ac:dyDescent="0.2">
      <c r="A181" s="128"/>
      <c r="B181" s="9">
        <v>70</v>
      </c>
      <c r="C181" s="3" t="n">
        <v>9622.0</v>
      </c>
      <c r="D181" s="3" t="n">
        <v>9705.0</v>
      </c>
      <c r="E181" s="3" t="n">
        <v>9706.0</v>
      </c>
      <c r="F181" s="3" t="n">
        <v>10426.0</v>
      </c>
      <c r="G181" s="3" t="n">
        <v>10275.0</v>
      </c>
      <c r="H181" s="3" t="n">
        <v>10041.0</v>
      </c>
      <c r="I181" s="3" t="n">
        <v>9975.0</v>
      </c>
      <c r="J181" s="3" t="n">
        <v>9307.0</v>
      </c>
      <c r="K181" s="3" t="n">
        <v>8761.0</v>
      </c>
      <c r="L181" s="3" t="n">
        <v>8150.0</v>
      </c>
      <c r="M181" s="3" t="n">
        <v>7522.0</v>
      </c>
      <c r="N181" s="3" t="n">
        <v>7555.0</v>
      </c>
      <c r="O181" s="3" t="n">
        <v>7256.0</v>
      </c>
      <c r="P181" s="3" t="n">
        <v>7119.0</v>
      </c>
      <c r="Q181" s="3" t="n">
        <v>6858.0</v>
      </c>
      <c r="R181" s="3" t="n">
        <v>7017.0</v>
      </c>
      <c r="S181" s="3" t="n">
        <v>6976.0</v>
      </c>
      <c r="T181" s="3" t="n">
        <v>7114.0</v>
      </c>
      <c r="U181" s="3" t="n">
        <v>7501.0</v>
      </c>
      <c r="V181" s="3" t="n">
        <v>7739.0</v>
      </c>
      <c r="W181" s="3" t="n">
        <v>8128.0</v>
      </c>
      <c r="X181" s="3" t="n">
        <v>8394.0</v>
      </c>
      <c r="Y181" s="3" t="n">
        <v>8986.0</v>
      </c>
      <c r="Z181" s="3" t="n">
        <v>9516.0</v>
      </c>
      <c r="AA181" s="3" t="n">
        <v>9492.0</v>
      </c>
      <c r="AB181" s="3" t="n">
        <v>9442.0</v>
      </c>
      <c r="AC181" s="3" t="n">
        <v>9488.0</v>
      </c>
      <c r="AD181" s="3" t="n">
        <v>9983.0</v>
      </c>
      <c r="AE181" s="3" t="n">
        <v>9993.0</v>
      </c>
      <c r="AF181" s="3" t="n">
        <v>9698.0</v>
      </c>
      <c r="AG181" s="3" t="n">
        <v>10134.0</v>
      </c>
      <c r="AH181" s="3" t="n">
        <v>10382.0</v>
      </c>
      <c r="AI181" s="3" t="n">
        <v>10034.0</v>
      </c>
      <c r="AJ181" s="3" t="n">
        <v>9569.0</v>
      </c>
      <c r="AK181" s="3" t="n">
        <v>8774.0</v>
      </c>
      <c r="AL181" s="3" t="n">
        <v>8649.0</v>
      </c>
      <c r="AM181" s="3" t="n">
        <v>8209.0</v>
      </c>
      <c r="AN181" s="3" t="n">
        <v>7941.0</v>
      </c>
      <c r="AO181" s="3" t="n">
        <v>7936.0</v>
      </c>
    </row>
    <row r="182" spans="1:41" x14ac:dyDescent="0.2">
      <c r="A182" s="128"/>
      <c r="B182" s="9">
        <v>71</v>
      </c>
      <c r="C182" s="3" t="n">
        <v>9293.0</v>
      </c>
      <c r="D182" s="3" t="n">
        <v>9279.0</v>
      </c>
      <c r="E182" s="3" t="n">
        <v>9362.0</v>
      </c>
      <c r="F182" s="3" t="n">
        <v>9364.0</v>
      </c>
      <c r="G182" s="3" t="n">
        <v>10060.0</v>
      </c>
      <c r="H182" s="3" t="n">
        <v>9916.0</v>
      </c>
      <c r="I182" s="3" t="n">
        <v>9693.0</v>
      </c>
      <c r="J182" s="3" t="n">
        <v>9633.0</v>
      </c>
      <c r="K182" s="3" t="n">
        <v>8989.0</v>
      </c>
      <c r="L182" s="3" t="n">
        <v>8470.0</v>
      </c>
      <c r="M182" s="3" t="n">
        <v>7883.0</v>
      </c>
      <c r="N182" s="3" t="n">
        <v>7274.0</v>
      </c>
      <c r="O182" s="3" t="n">
        <v>7308.0</v>
      </c>
      <c r="P182" s="3" t="n">
        <v>7023.0</v>
      </c>
      <c r="Q182" s="3" t="n">
        <v>6893.0</v>
      </c>
      <c r="R182" s="3" t="n">
        <v>6637.0</v>
      </c>
      <c r="S182" s="3" t="n">
        <v>6796.0</v>
      </c>
      <c r="T182" s="3" t="n">
        <v>6756.0</v>
      </c>
      <c r="U182" s="3" t="n">
        <v>6894.0</v>
      </c>
      <c r="V182" s="3" t="n">
        <v>7265.0</v>
      </c>
      <c r="W182" s="3" t="n">
        <v>7500.0</v>
      </c>
      <c r="X182" s="3" t="n">
        <v>7873.0</v>
      </c>
      <c r="Y182" s="3" t="n">
        <v>8132.0</v>
      </c>
      <c r="Z182" s="3" t="n">
        <v>8706.0</v>
      </c>
      <c r="AA182" s="3" t="n">
        <v>9223.0</v>
      </c>
      <c r="AB182" s="3" t="n">
        <v>9197.0</v>
      </c>
      <c r="AC182" s="3" t="n">
        <v>9154.0</v>
      </c>
      <c r="AD182" s="3" t="n">
        <v>9195.0</v>
      </c>
      <c r="AE182" s="3" t="n">
        <v>9685.0</v>
      </c>
      <c r="AF182" s="3" t="n">
        <v>9691.0</v>
      </c>
      <c r="AG182" s="3" t="n">
        <v>9409.0</v>
      </c>
      <c r="AH182" s="3" t="n">
        <v>9834.0</v>
      </c>
      <c r="AI182" s="3" t="n">
        <v>10071.0</v>
      </c>
      <c r="AJ182" s="3" t="n">
        <v>9740.0</v>
      </c>
      <c r="AK182" s="3" t="n">
        <v>9289.0</v>
      </c>
      <c r="AL182" s="3" t="n">
        <v>8513.0</v>
      </c>
      <c r="AM182" s="3" t="n">
        <v>8392.0</v>
      </c>
      <c r="AN182" s="3" t="n">
        <v>7966.0</v>
      </c>
      <c r="AO182" s="3" t="n">
        <v>7708.0</v>
      </c>
    </row>
    <row r="183" spans="1:41" x14ac:dyDescent="0.2">
      <c r="A183" s="128"/>
      <c r="B183" s="9">
        <v>72</v>
      </c>
      <c r="C183" s="3" t="n">
        <v>8779.0</v>
      </c>
      <c r="D183" s="3" t="n">
        <v>8939.0</v>
      </c>
      <c r="E183" s="3" t="n">
        <v>8933.0</v>
      </c>
      <c r="F183" s="3" t="n">
        <v>9018.0</v>
      </c>
      <c r="G183" s="3" t="n">
        <v>9017.0</v>
      </c>
      <c r="H183" s="3" t="n">
        <v>9690.0</v>
      </c>
      <c r="I183" s="3" t="n">
        <v>9556.0</v>
      </c>
      <c r="J183" s="3" t="n">
        <v>9344.0</v>
      </c>
      <c r="K183" s="3" t="n">
        <v>9289.0</v>
      </c>
      <c r="L183" s="3" t="n">
        <v>8675.0</v>
      </c>
      <c r="M183" s="3" t="n">
        <v>8174.0</v>
      </c>
      <c r="N183" s="3" t="n">
        <v>7607.0</v>
      </c>
      <c r="O183" s="3" t="n">
        <v>7026.0</v>
      </c>
      <c r="P183" s="3" t="n">
        <v>7060.0</v>
      </c>
      <c r="Q183" s="3" t="n">
        <v>6786.0</v>
      </c>
      <c r="R183" s="3" t="n">
        <v>6660.0</v>
      </c>
      <c r="S183" s="3" t="n">
        <v>6418.0</v>
      </c>
      <c r="T183" s="3" t="n">
        <v>6573.0</v>
      </c>
      <c r="U183" s="3" t="n">
        <v>6531.0</v>
      </c>
      <c r="V183" s="3" t="n">
        <v>6670.0</v>
      </c>
      <c r="W183" s="3" t="n">
        <v>7026.0</v>
      </c>
      <c r="X183" s="3" t="n">
        <v>7257.0</v>
      </c>
      <c r="Y183" s="3" t="n">
        <v>7616.0</v>
      </c>
      <c r="Z183" s="3" t="n">
        <v>7869.0</v>
      </c>
      <c r="AA183" s="3" t="n">
        <v>8420.0</v>
      </c>
      <c r="AB183" s="3" t="n">
        <v>8924.0</v>
      </c>
      <c r="AC183" s="3" t="n">
        <v>8899.0</v>
      </c>
      <c r="AD183" s="3" t="n">
        <v>8856.0</v>
      </c>
      <c r="AE183" s="3" t="n">
        <v>8895.0</v>
      </c>
      <c r="AF183" s="3" t="n">
        <v>9370.0</v>
      </c>
      <c r="AG183" s="3" t="n">
        <v>9381.0</v>
      </c>
      <c r="AH183" s="3" t="n">
        <v>9109.0</v>
      </c>
      <c r="AI183" s="3" t="n">
        <v>9518.0</v>
      </c>
      <c r="AJ183" s="3" t="n">
        <v>9750.0</v>
      </c>
      <c r="AK183" s="3" t="n">
        <v>9434.0</v>
      </c>
      <c r="AL183" s="3" t="n">
        <v>8998.0</v>
      </c>
      <c r="AM183" s="3" t="n">
        <v>8247.0</v>
      </c>
      <c r="AN183" s="3" t="n">
        <v>8132.0</v>
      </c>
      <c r="AO183" s="3" t="n">
        <v>7719.0</v>
      </c>
    </row>
    <row r="184" spans="1:41" x14ac:dyDescent="0.2">
      <c r="A184" s="128"/>
      <c r="B184" s="9">
        <v>73</v>
      </c>
      <c r="C184" s="3" t="n">
        <v>8088.0</v>
      </c>
      <c r="D184" s="3" t="n">
        <v>8418.0</v>
      </c>
      <c r="E184" s="3" t="n">
        <v>8580.0</v>
      </c>
      <c r="F184" s="3" t="n">
        <v>8580.0</v>
      </c>
      <c r="G184" s="3" t="n">
        <v>8662.0</v>
      </c>
      <c r="H184" s="3" t="n">
        <v>8666.0</v>
      </c>
      <c r="I184" s="3" t="n">
        <v>9315.0</v>
      </c>
      <c r="J184" s="3" t="n">
        <v>9189.0</v>
      </c>
      <c r="K184" s="3" t="n">
        <v>8983.0</v>
      </c>
      <c r="L184" s="3" t="n">
        <v>8936.0</v>
      </c>
      <c r="M184" s="3" t="n">
        <v>8349.0</v>
      </c>
      <c r="N184" s="3" t="n">
        <v>7864.0</v>
      </c>
      <c r="O184" s="3" t="n">
        <v>7326.0</v>
      </c>
      <c r="P184" s="3" t="n">
        <v>6771.0</v>
      </c>
      <c r="Q184" s="3" t="n">
        <v>6811.0</v>
      </c>
      <c r="R184" s="3" t="n">
        <v>6545.0</v>
      </c>
      <c r="S184" s="3" t="n">
        <v>6425.0</v>
      </c>
      <c r="T184" s="3" t="n">
        <v>6196.0</v>
      </c>
      <c r="U184" s="3" t="n">
        <v>6348.0</v>
      </c>
      <c r="V184" s="3" t="n">
        <v>6307.0</v>
      </c>
      <c r="W184" s="3" t="n">
        <v>6442.0</v>
      </c>
      <c r="X184" s="3" t="n">
        <v>6786.0</v>
      </c>
      <c r="Y184" s="3" t="n">
        <v>7006.0</v>
      </c>
      <c r="Z184" s="3" t="n">
        <v>7352.0</v>
      </c>
      <c r="AA184" s="3" t="n">
        <v>7599.0</v>
      </c>
      <c r="AB184" s="3" t="n">
        <v>8124.0</v>
      </c>
      <c r="AC184" s="3" t="n">
        <v>8611.0</v>
      </c>
      <c r="AD184" s="3" t="n">
        <v>8588.0</v>
      </c>
      <c r="AE184" s="3" t="n">
        <v>8549.0</v>
      </c>
      <c r="AF184" s="3" t="n">
        <v>8587.0</v>
      </c>
      <c r="AG184" s="3" t="n">
        <v>9048.0</v>
      </c>
      <c r="AH184" s="3" t="n">
        <v>9057.0</v>
      </c>
      <c r="AI184" s="3" t="n">
        <v>8795.0</v>
      </c>
      <c r="AJ184" s="3" t="n">
        <v>9194.0</v>
      </c>
      <c r="AK184" s="3" t="n">
        <v>9417.0</v>
      </c>
      <c r="AL184" s="3" t="n">
        <v>9116.0</v>
      </c>
      <c r="AM184" s="3" t="n">
        <v>8694.0</v>
      </c>
      <c r="AN184" s="3" t="n">
        <v>7972.0</v>
      </c>
      <c r="AO184" s="3" t="n">
        <v>7859.0</v>
      </c>
    </row>
    <row r="185" spans="1:41" x14ac:dyDescent="0.2">
      <c r="A185" s="128"/>
      <c r="B185" s="9">
        <v>74</v>
      </c>
      <c r="C185" s="3" t="n">
        <v>7453.0</v>
      </c>
      <c r="D185" s="3" t="n">
        <v>7746.0</v>
      </c>
      <c r="E185" s="3" t="n">
        <v>8062.0</v>
      </c>
      <c r="F185" s="3" t="n">
        <v>8220.0</v>
      </c>
      <c r="G185" s="3" t="n">
        <v>8222.0</v>
      </c>
      <c r="H185" s="3" t="n">
        <v>8301.0</v>
      </c>
      <c r="I185" s="3" t="n">
        <v>8309.0</v>
      </c>
      <c r="J185" s="3" t="n">
        <v>8933.0</v>
      </c>
      <c r="K185" s="3" t="n">
        <v>8815.0</v>
      </c>
      <c r="L185" s="3" t="n">
        <v>8619.0</v>
      </c>
      <c r="M185" s="3" t="n">
        <v>8577.0</v>
      </c>
      <c r="N185" s="3" t="n">
        <v>8014.0</v>
      </c>
      <c r="O185" s="3" t="n">
        <v>7555.0</v>
      </c>
      <c r="P185" s="3" t="n">
        <v>7038.0</v>
      </c>
      <c r="Q185" s="3" t="n">
        <v>6515.0</v>
      </c>
      <c r="R185" s="3" t="n">
        <v>6550.0</v>
      </c>
      <c r="S185" s="3" t="n">
        <v>6296.0</v>
      </c>
      <c r="T185" s="3" t="n">
        <v>6180.0</v>
      </c>
      <c r="U185" s="3" t="n">
        <v>5966.0</v>
      </c>
      <c r="V185" s="3" t="n">
        <v>6111.0</v>
      </c>
      <c r="W185" s="3" t="n">
        <v>6078.0</v>
      </c>
      <c r="X185" s="3" t="n">
        <v>6204.0</v>
      </c>
      <c r="Y185" s="3" t="n">
        <v>6535.0</v>
      </c>
      <c r="Z185" s="3" t="n">
        <v>6748.0</v>
      </c>
      <c r="AA185" s="3" t="n">
        <v>7085.0</v>
      </c>
      <c r="AB185" s="3" t="n">
        <v>7322.0</v>
      </c>
      <c r="AC185" s="3" t="n">
        <v>7824.0</v>
      </c>
      <c r="AD185" s="3" t="n">
        <v>8289.0</v>
      </c>
      <c r="AE185" s="3" t="n">
        <v>8272.0</v>
      </c>
      <c r="AF185" s="3" t="n">
        <v>8236.0</v>
      </c>
      <c r="AG185" s="3" t="n">
        <v>8273.0</v>
      </c>
      <c r="AH185" s="3" t="n">
        <v>8721.0</v>
      </c>
      <c r="AI185" s="3" t="n">
        <v>8731.0</v>
      </c>
      <c r="AJ185" s="3" t="n">
        <v>8476.0</v>
      </c>
      <c r="AK185" s="3" t="n">
        <v>8863.0</v>
      </c>
      <c r="AL185" s="3" t="n">
        <v>9082.0</v>
      </c>
      <c r="AM185" s="3" t="n">
        <v>8795.0</v>
      </c>
      <c r="AN185" s="3" t="n">
        <v>8381.0</v>
      </c>
      <c r="AO185" s="3" t="n">
        <v>7685.0</v>
      </c>
    </row>
    <row r="186" spans="1:41" x14ac:dyDescent="0.2">
      <c r="A186" s="128"/>
      <c r="B186" s="9">
        <v>75</v>
      </c>
      <c r="C186" s="3" t="n">
        <v>6295.0</v>
      </c>
      <c r="D186" s="3" t="n">
        <v>7107.0</v>
      </c>
      <c r="E186" s="3" t="n">
        <v>7393.0</v>
      </c>
      <c r="F186" s="3" t="n">
        <v>7700.0</v>
      </c>
      <c r="G186" s="3" t="n">
        <v>7852.0</v>
      </c>
      <c r="H186" s="3" t="n">
        <v>7859.0</v>
      </c>
      <c r="I186" s="3" t="n">
        <v>7938.0</v>
      </c>
      <c r="J186" s="3" t="n">
        <v>7950.0</v>
      </c>
      <c r="K186" s="3" t="n">
        <v>8545.0</v>
      </c>
      <c r="L186" s="3" t="n">
        <v>8435.0</v>
      </c>
      <c r="M186" s="3" t="n">
        <v>8251.0</v>
      </c>
      <c r="N186" s="3" t="n">
        <v>8212.0</v>
      </c>
      <c r="O186" s="3" t="n">
        <v>7676.0</v>
      </c>
      <c r="P186" s="3" t="n">
        <v>7237.0</v>
      </c>
      <c r="Q186" s="3" t="n">
        <v>6745.0</v>
      </c>
      <c r="R186" s="3" t="n">
        <v>6246.0</v>
      </c>
      <c r="S186" s="3" t="n">
        <v>6281.0</v>
      </c>
      <c r="T186" s="3" t="n">
        <v>6038.0</v>
      </c>
      <c r="U186" s="3" t="n">
        <v>5930.0</v>
      </c>
      <c r="V186" s="3" t="n">
        <v>5724.0</v>
      </c>
      <c r="W186" s="3" t="n">
        <v>5864.0</v>
      </c>
      <c r="X186" s="3" t="n">
        <v>5832.0</v>
      </c>
      <c r="Y186" s="3" t="n">
        <v>5954.0</v>
      </c>
      <c r="Z186" s="3" t="n">
        <v>6271.0</v>
      </c>
      <c r="AA186" s="3" t="n">
        <v>6477.0</v>
      </c>
      <c r="AB186" s="3" t="n">
        <v>6805.0</v>
      </c>
      <c r="AC186" s="3" t="n">
        <v>7036.0</v>
      </c>
      <c r="AD186" s="3" t="n">
        <v>7517.0</v>
      </c>
      <c r="AE186" s="3" t="n">
        <v>7961.0</v>
      </c>
      <c r="AF186" s="3" t="n">
        <v>7945.0</v>
      </c>
      <c r="AG186" s="3" t="n">
        <v>7911.0</v>
      </c>
      <c r="AH186" s="3" t="n">
        <v>7949.0</v>
      </c>
      <c r="AI186" s="3" t="n">
        <v>8380.0</v>
      </c>
      <c r="AJ186" s="3" t="n">
        <v>8394.0</v>
      </c>
      <c r="AK186" s="3" t="n">
        <v>8147.0</v>
      </c>
      <c r="AL186" s="3" t="n">
        <v>8516.0</v>
      </c>
      <c r="AM186" s="3" t="n">
        <v>8730.0</v>
      </c>
      <c r="AN186" s="3" t="n">
        <v>8458.0</v>
      </c>
      <c r="AO186" s="3" t="n">
        <v>8062.0</v>
      </c>
    </row>
    <row r="187" spans="1:41" x14ac:dyDescent="0.2">
      <c r="A187" s="128"/>
      <c r="B187" s="9">
        <v>76</v>
      </c>
      <c r="C187" s="3" t="n">
        <v>5366.0</v>
      </c>
      <c r="D187" s="3" t="n">
        <v>5977.0</v>
      </c>
      <c r="E187" s="3" t="n">
        <v>6752.0</v>
      </c>
      <c r="F187" s="3" t="n">
        <v>7021.0</v>
      </c>
      <c r="G187" s="3" t="n">
        <v>7314.0</v>
      </c>
      <c r="H187" s="3" t="n">
        <v>7469.0</v>
      </c>
      <c r="I187" s="3" t="n">
        <v>7474.0</v>
      </c>
      <c r="J187" s="3" t="n">
        <v>7555.0</v>
      </c>
      <c r="K187" s="3" t="n">
        <v>7565.0</v>
      </c>
      <c r="L187" s="3" t="n">
        <v>8137.0</v>
      </c>
      <c r="M187" s="3" t="n">
        <v>8039.0</v>
      </c>
      <c r="N187" s="3" t="n">
        <v>7862.0</v>
      </c>
      <c r="O187" s="3" t="n">
        <v>7827.0</v>
      </c>
      <c r="P187" s="3" t="n">
        <v>7319.0</v>
      </c>
      <c r="Q187" s="3" t="n">
        <v>6900.0</v>
      </c>
      <c r="R187" s="3" t="n">
        <v>6433.0</v>
      </c>
      <c r="S187" s="3" t="n">
        <v>5960.0</v>
      </c>
      <c r="T187" s="3" t="n">
        <v>5995.0</v>
      </c>
      <c r="U187" s="3" t="n">
        <v>5762.0</v>
      </c>
      <c r="V187" s="3" t="n">
        <v>5661.0</v>
      </c>
      <c r="W187" s="3" t="n">
        <v>5467.0</v>
      </c>
      <c r="X187" s="3" t="n">
        <v>5604.0</v>
      </c>
      <c r="Y187" s="3" t="n">
        <v>5571.0</v>
      </c>
      <c r="Z187" s="3" t="n">
        <v>5691.0</v>
      </c>
      <c r="AA187" s="3" t="n">
        <v>5993.0</v>
      </c>
      <c r="AB187" s="3" t="n">
        <v>6192.0</v>
      </c>
      <c r="AC187" s="3" t="n">
        <v>6508.0</v>
      </c>
      <c r="AD187" s="3" t="n">
        <v>6732.0</v>
      </c>
      <c r="AE187" s="3" t="n">
        <v>7192.0</v>
      </c>
      <c r="AF187" s="3" t="n">
        <v>7616.0</v>
      </c>
      <c r="AG187" s="3" t="n">
        <v>7607.0</v>
      </c>
      <c r="AH187" s="3" t="n">
        <v>7574.0</v>
      </c>
      <c r="AI187" s="3" t="n">
        <v>7611.0</v>
      </c>
      <c r="AJ187" s="3" t="n">
        <v>8026.0</v>
      </c>
      <c r="AK187" s="3" t="n">
        <v>8038.0</v>
      </c>
      <c r="AL187" s="3" t="n">
        <v>7803.0</v>
      </c>
      <c r="AM187" s="3" t="n">
        <v>8158.0</v>
      </c>
      <c r="AN187" s="3" t="n">
        <v>8365.0</v>
      </c>
      <c r="AO187" s="3" t="n">
        <v>8106.0</v>
      </c>
    </row>
    <row r="188" spans="1:41" x14ac:dyDescent="0.2">
      <c r="A188" s="128"/>
      <c r="B188" s="9">
        <v>77</v>
      </c>
      <c r="C188" s="3" t="n">
        <v>3249.0</v>
      </c>
      <c r="D188" s="3" t="n">
        <v>5075.0</v>
      </c>
      <c r="E188" s="3" t="n">
        <v>5654.0</v>
      </c>
      <c r="F188" s="3" t="n">
        <v>6389.0</v>
      </c>
      <c r="G188" s="3" t="n">
        <v>6642.0</v>
      </c>
      <c r="H188" s="3" t="n">
        <v>6926.0</v>
      </c>
      <c r="I188" s="3" t="n">
        <v>7075.0</v>
      </c>
      <c r="J188" s="3" t="n">
        <v>7088.0</v>
      </c>
      <c r="K188" s="3" t="n">
        <v>7169.0</v>
      </c>
      <c r="L188" s="3" t="n">
        <v>7178.0</v>
      </c>
      <c r="M188" s="3" t="n">
        <v>7723.0</v>
      </c>
      <c r="N188" s="3" t="n">
        <v>7631.0</v>
      </c>
      <c r="O188" s="3" t="n">
        <v>7467.0</v>
      </c>
      <c r="P188" s="3" t="n">
        <v>7433.0</v>
      </c>
      <c r="Q188" s="3" t="n">
        <v>6952.0</v>
      </c>
      <c r="R188" s="3" t="n">
        <v>6553.0</v>
      </c>
      <c r="S188" s="3" t="n">
        <v>6114.0</v>
      </c>
      <c r="T188" s="3" t="n">
        <v>5662.0</v>
      </c>
      <c r="U188" s="3" t="n">
        <v>5702.0</v>
      </c>
      <c r="V188" s="3" t="n">
        <v>5480.0</v>
      </c>
      <c r="W188" s="3" t="n">
        <v>5387.0</v>
      </c>
      <c r="X188" s="3" t="n">
        <v>5200.0</v>
      </c>
      <c r="Y188" s="3" t="n">
        <v>5333.0</v>
      </c>
      <c r="Z188" s="3" t="n">
        <v>5304.0</v>
      </c>
      <c r="AA188" s="3" t="n">
        <v>5414.0</v>
      </c>
      <c r="AB188" s="3" t="n">
        <v>5706.0</v>
      </c>
      <c r="AC188" s="3" t="n">
        <v>5897.0</v>
      </c>
      <c r="AD188" s="3" t="n">
        <v>6199.0</v>
      </c>
      <c r="AE188" s="3" t="n">
        <v>6411.0</v>
      </c>
      <c r="AF188" s="3" t="n">
        <v>6855.0</v>
      </c>
      <c r="AG188" s="3" t="n">
        <v>7262.0</v>
      </c>
      <c r="AH188" s="3" t="n">
        <v>7250.0</v>
      </c>
      <c r="AI188" s="3" t="n">
        <v>7217.0</v>
      </c>
      <c r="AJ188" s="3" t="n">
        <v>7261.0</v>
      </c>
      <c r="AK188" s="3" t="n">
        <v>7654.0</v>
      </c>
      <c r="AL188" s="3" t="n">
        <v>7668.0</v>
      </c>
      <c r="AM188" s="3" t="n">
        <v>7447.0</v>
      </c>
      <c r="AN188" s="3" t="n">
        <v>7786.0</v>
      </c>
      <c r="AO188" s="3" t="n">
        <v>7979.0</v>
      </c>
    </row>
    <row r="189" spans="1:41" x14ac:dyDescent="0.2">
      <c r="A189" s="128"/>
      <c r="B189" s="9">
        <v>78</v>
      </c>
      <c r="C189" s="3" t="n">
        <v>3026.0</v>
      </c>
      <c r="D189" s="3" t="n">
        <v>3061.0</v>
      </c>
      <c r="E189" s="3" t="n">
        <v>4785.0</v>
      </c>
      <c r="F189" s="3" t="n">
        <v>5331.0</v>
      </c>
      <c r="G189" s="3" t="n">
        <v>6028.0</v>
      </c>
      <c r="H189" s="3" t="n">
        <v>6267.0</v>
      </c>
      <c r="I189" s="3" t="n">
        <v>6539.0</v>
      </c>
      <c r="J189" s="3" t="n">
        <v>6685.0</v>
      </c>
      <c r="K189" s="3" t="n">
        <v>6701.0</v>
      </c>
      <c r="L189" s="3" t="n">
        <v>6780.0</v>
      </c>
      <c r="M189" s="3" t="n">
        <v>6788.0</v>
      </c>
      <c r="N189" s="3" t="n">
        <v>7307.0</v>
      </c>
      <c r="O189" s="3" t="n">
        <v>7224.0</v>
      </c>
      <c r="P189" s="3" t="n">
        <v>7074.0</v>
      </c>
      <c r="Q189" s="3" t="n">
        <v>7046.0</v>
      </c>
      <c r="R189" s="3" t="n">
        <v>6588.0</v>
      </c>
      <c r="S189" s="3" t="n">
        <v>6212.0</v>
      </c>
      <c r="T189" s="3" t="n">
        <v>5800.0</v>
      </c>
      <c r="U189" s="3" t="n">
        <v>5371.0</v>
      </c>
      <c r="V189" s="3" t="n">
        <v>5412.0</v>
      </c>
      <c r="W189" s="3" t="n">
        <v>5199.0</v>
      </c>
      <c r="X189" s="3" t="n">
        <v>5118.0</v>
      </c>
      <c r="Y189" s="3" t="n">
        <v>4938.0</v>
      </c>
      <c r="Z189" s="3" t="n">
        <v>5065.0</v>
      </c>
      <c r="AA189" s="3" t="n">
        <v>5040.0</v>
      </c>
      <c r="AB189" s="3" t="n">
        <v>5142.0</v>
      </c>
      <c r="AC189" s="3" t="n">
        <v>5422.0</v>
      </c>
      <c r="AD189" s="3" t="n">
        <v>5601.0</v>
      </c>
      <c r="AE189" s="3" t="n">
        <v>5894.0</v>
      </c>
      <c r="AF189" s="3" t="n">
        <v>6092.0</v>
      </c>
      <c r="AG189" s="3" t="n">
        <v>6518.0</v>
      </c>
      <c r="AH189" s="3" t="n">
        <v>6904.0</v>
      </c>
      <c r="AI189" s="3" t="n">
        <v>6888.0</v>
      </c>
      <c r="AJ189" s="3" t="n">
        <v>6865.0</v>
      </c>
      <c r="AK189" s="3" t="n">
        <v>6903.0</v>
      </c>
      <c r="AL189" s="3" t="n">
        <v>7282.0</v>
      </c>
      <c r="AM189" s="3" t="n">
        <v>7294.0</v>
      </c>
      <c r="AN189" s="3" t="n">
        <v>7088.0</v>
      </c>
      <c r="AO189" s="3" t="n">
        <v>7409.0</v>
      </c>
    </row>
    <row r="190" spans="1:41" x14ac:dyDescent="0.2">
      <c r="A190" s="128"/>
      <c r="B190" s="9">
        <v>79</v>
      </c>
      <c r="C190" s="3" t="n">
        <v>2714.0</v>
      </c>
      <c r="D190" s="3" t="n">
        <v>2838.0</v>
      </c>
      <c r="E190" s="3" t="n">
        <v>2877.0</v>
      </c>
      <c r="F190" s="3" t="n">
        <v>4492.0</v>
      </c>
      <c r="G190" s="3" t="n">
        <v>5004.0</v>
      </c>
      <c r="H190" s="3" t="n">
        <v>5661.0</v>
      </c>
      <c r="I190" s="3" t="n">
        <v>5888.0</v>
      </c>
      <c r="J190" s="3" t="n">
        <v>6144.0</v>
      </c>
      <c r="K190" s="3" t="n">
        <v>6288.0</v>
      </c>
      <c r="L190" s="3" t="n">
        <v>6305.0</v>
      </c>
      <c r="M190" s="3" t="n">
        <v>6381.0</v>
      </c>
      <c r="N190" s="3" t="n">
        <v>6389.0</v>
      </c>
      <c r="O190" s="3" t="n">
        <v>6883.0</v>
      </c>
      <c r="P190" s="3" t="n">
        <v>6804.0</v>
      </c>
      <c r="Q190" s="3" t="n">
        <v>6671.0</v>
      </c>
      <c r="R190" s="3" t="n">
        <v>6639.0</v>
      </c>
      <c r="S190" s="3" t="n">
        <v>6217.0</v>
      </c>
      <c r="T190" s="3" t="n">
        <v>5863.0</v>
      </c>
      <c r="U190" s="3" t="n">
        <v>5475.0</v>
      </c>
      <c r="V190" s="3" t="n">
        <v>5073.0</v>
      </c>
      <c r="W190" s="3" t="n">
        <v>5112.0</v>
      </c>
      <c r="X190" s="3" t="n">
        <v>4914.0</v>
      </c>
      <c r="Y190" s="3" t="n">
        <v>4836.0</v>
      </c>
      <c r="Z190" s="3" t="n">
        <v>4667.0</v>
      </c>
      <c r="AA190" s="3" t="n">
        <v>4790.0</v>
      </c>
      <c r="AB190" s="3" t="n">
        <v>4767.0</v>
      </c>
      <c r="AC190" s="3" t="n">
        <v>4866.0</v>
      </c>
      <c r="AD190" s="3" t="n">
        <v>5127.0</v>
      </c>
      <c r="AE190" s="3" t="n">
        <v>5298.0</v>
      </c>
      <c r="AF190" s="3" t="n">
        <v>5573.0</v>
      </c>
      <c r="AG190" s="3" t="n">
        <v>5762.0</v>
      </c>
      <c r="AH190" s="3" t="n">
        <v>6168.0</v>
      </c>
      <c r="AI190" s="3" t="n">
        <v>6538.0</v>
      </c>
      <c r="AJ190" s="3" t="n">
        <v>6521.0</v>
      </c>
      <c r="AK190" s="3" t="n">
        <v>6498.0</v>
      </c>
      <c r="AL190" s="3" t="n">
        <v>6537.0</v>
      </c>
      <c r="AM190" s="3" t="n">
        <v>6899.0</v>
      </c>
      <c r="AN190" s="3" t="n">
        <v>6909.0</v>
      </c>
      <c r="AO190" s="3" t="n">
        <v>6713.0</v>
      </c>
    </row>
    <row r="191" spans="1:41" x14ac:dyDescent="0.2">
      <c r="A191" s="128"/>
      <c r="B191" s="9">
        <v>80</v>
      </c>
      <c r="C191" s="3" t="n">
        <v>2502.0</v>
      </c>
      <c r="D191" s="3" t="n">
        <v>2528.0</v>
      </c>
      <c r="E191" s="3" t="n">
        <v>2645.0</v>
      </c>
      <c r="F191" s="3" t="n">
        <v>2684.0</v>
      </c>
      <c r="G191" s="3" t="n">
        <v>4185.0</v>
      </c>
      <c r="H191" s="3" t="n">
        <v>4666.0</v>
      </c>
      <c r="I191" s="3" t="n">
        <v>5285.0</v>
      </c>
      <c r="J191" s="3" t="n">
        <v>5499.0</v>
      </c>
      <c r="K191" s="3" t="n">
        <v>5737.0</v>
      </c>
      <c r="L191" s="3" t="n">
        <v>5874.0</v>
      </c>
      <c r="M191" s="3" t="n">
        <v>5894.0</v>
      </c>
      <c r="N191" s="3" t="n">
        <v>5965.0</v>
      </c>
      <c r="O191" s="3" t="n">
        <v>5972.0</v>
      </c>
      <c r="P191" s="3" t="n">
        <v>6442.0</v>
      </c>
      <c r="Q191" s="3" t="n">
        <v>6370.0</v>
      </c>
      <c r="R191" s="3" t="n">
        <v>6245.0</v>
      </c>
      <c r="S191" s="3" t="n">
        <v>6221.0</v>
      </c>
      <c r="T191" s="3" t="n">
        <v>5825.0</v>
      </c>
      <c r="U191" s="3" t="n">
        <v>5496.0</v>
      </c>
      <c r="V191" s="3" t="n">
        <v>5134.0</v>
      </c>
      <c r="W191" s="3" t="n">
        <v>4762.0</v>
      </c>
      <c r="X191" s="3" t="n">
        <v>4797.0</v>
      </c>
      <c r="Y191" s="3" t="n">
        <v>4616.0</v>
      </c>
      <c r="Z191" s="3" t="n">
        <v>4543.0</v>
      </c>
      <c r="AA191" s="3" t="n">
        <v>4383.0</v>
      </c>
      <c r="AB191" s="3" t="n">
        <v>4502.0</v>
      </c>
      <c r="AC191" s="3" t="n">
        <v>4483.0</v>
      </c>
      <c r="AD191" s="3" t="n">
        <v>4575.0</v>
      </c>
      <c r="AE191" s="3" t="n">
        <v>4819.0</v>
      </c>
      <c r="AF191" s="3" t="n">
        <v>4981.0</v>
      </c>
      <c r="AG191" s="3" t="n">
        <v>5241.0</v>
      </c>
      <c r="AH191" s="3" t="n">
        <v>5422.0</v>
      </c>
      <c r="AI191" s="3" t="n">
        <v>5800.0</v>
      </c>
      <c r="AJ191" s="3" t="n">
        <v>6150.0</v>
      </c>
      <c r="AK191" s="3" t="n">
        <v>6133.0</v>
      </c>
      <c r="AL191" s="3" t="n">
        <v>6115.0</v>
      </c>
      <c r="AM191" s="3" t="n">
        <v>6156.0</v>
      </c>
      <c r="AN191" s="3" t="n">
        <v>6495.0</v>
      </c>
      <c r="AO191" s="3" t="n">
        <v>6504.0</v>
      </c>
    </row>
    <row r="192" spans="1:41" x14ac:dyDescent="0.2">
      <c r="A192" s="128"/>
      <c r="B192" s="9">
        <v>81</v>
      </c>
      <c r="C192" s="3" t="n">
        <v>2331.0</v>
      </c>
      <c r="D192" s="3" t="n">
        <v>2315.0</v>
      </c>
      <c r="E192" s="3" t="n">
        <v>2343.0</v>
      </c>
      <c r="F192" s="3" t="n">
        <v>2449.0</v>
      </c>
      <c r="G192" s="3" t="n">
        <v>2490.0</v>
      </c>
      <c r="H192" s="3" t="n">
        <v>3878.0</v>
      </c>
      <c r="I192" s="3" t="n">
        <v>4326.0</v>
      </c>
      <c r="J192" s="3" t="n">
        <v>4903.0</v>
      </c>
      <c r="K192" s="3" t="n">
        <v>5099.0</v>
      </c>
      <c r="L192" s="3" t="n">
        <v>5328.0</v>
      </c>
      <c r="M192" s="3" t="n">
        <v>5458.0</v>
      </c>
      <c r="N192" s="3" t="n">
        <v>5476.0</v>
      </c>
      <c r="O192" s="3" t="n">
        <v>5551.0</v>
      </c>
      <c r="P192" s="3" t="n">
        <v>5559.0</v>
      </c>
      <c r="Q192" s="3" t="n">
        <v>5997.0</v>
      </c>
      <c r="R192" s="3" t="n">
        <v>5931.0</v>
      </c>
      <c r="S192" s="3" t="n">
        <v>5820.0</v>
      </c>
      <c r="T192" s="3" t="n">
        <v>5796.0</v>
      </c>
      <c r="U192" s="3" t="n">
        <v>5428.0</v>
      </c>
      <c r="V192" s="3" t="n">
        <v>5128.0</v>
      </c>
      <c r="W192" s="3" t="n">
        <v>4791.0</v>
      </c>
      <c r="X192" s="3" t="n">
        <v>4441.0</v>
      </c>
      <c r="Y192" s="3" t="n">
        <v>4476.0</v>
      </c>
      <c r="Z192" s="3" t="n">
        <v>4309.0</v>
      </c>
      <c r="AA192" s="3" t="n">
        <v>4243.0</v>
      </c>
      <c r="AB192" s="3" t="n">
        <v>4098.0</v>
      </c>
      <c r="AC192" s="3" t="n">
        <v>4207.0</v>
      </c>
      <c r="AD192" s="3" t="n">
        <v>4189.0</v>
      </c>
      <c r="AE192" s="3" t="n">
        <v>4277.0</v>
      </c>
      <c r="AF192" s="3" t="n">
        <v>4507.0</v>
      </c>
      <c r="AG192" s="3" t="n">
        <v>4659.0</v>
      </c>
      <c r="AH192" s="3" t="n">
        <v>4905.0</v>
      </c>
      <c r="AI192" s="3" t="n">
        <v>5074.0</v>
      </c>
      <c r="AJ192" s="3" t="n">
        <v>5432.0</v>
      </c>
      <c r="AK192" s="3" t="n">
        <v>5755.0</v>
      </c>
      <c r="AL192" s="3" t="n">
        <v>5739.0</v>
      </c>
      <c r="AM192" s="3" t="n">
        <v>5725.0</v>
      </c>
      <c r="AN192" s="3" t="n">
        <v>5763.0</v>
      </c>
      <c r="AO192" s="3" t="n">
        <v>6084.0</v>
      </c>
    </row>
    <row r="193" spans="1:41" x14ac:dyDescent="0.2">
      <c r="A193" s="128"/>
      <c r="B193" s="9">
        <v>82</v>
      </c>
      <c r="C193" s="3" t="n">
        <v>2258.0</v>
      </c>
      <c r="D193" s="3" t="n">
        <v>2141.0</v>
      </c>
      <c r="E193" s="3" t="n">
        <v>2130.0</v>
      </c>
      <c r="F193" s="3" t="n">
        <v>2153.0</v>
      </c>
      <c r="G193" s="3" t="n">
        <v>2247.0</v>
      </c>
      <c r="H193" s="3" t="n">
        <v>2293.0</v>
      </c>
      <c r="I193" s="3" t="n">
        <v>3566.0</v>
      </c>
      <c r="J193" s="3" t="n">
        <v>3979.0</v>
      </c>
      <c r="K193" s="3" t="n">
        <v>4513.0</v>
      </c>
      <c r="L193" s="3" t="n">
        <v>4693.0</v>
      </c>
      <c r="M193" s="3" t="n">
        <v>4905.0</v>
      </c>
      <c r="N193" s="3" t="n">
        <v>5030.0</v>
      </c>
      <c r="O193" s="3" t="n">
        <v>5048.0</v>
      </c>
      <c r="P193" s="3" t="n">
        <v>5121.0</v>
      </c>
      <c r="Q193" s="3" t="n">
        <v>5132.0</v>
      </c>
      <c r="R193" s="3" t="n">
        <v>5536.0</v>
      </c>
      <c r="S193" s="3" t="n">
        <v>5479.0</v>
      </c>
      <c r="T193" s="3" t="n">
        <v>5377.0</v>
      </c>
      <c r="U193" s="3" t="n">
        <v>5362.0</v>
      </c>
      <c r="V193" s="3" t="n">
        <v>5021.0</v>
      </c>
      <c r="W193" s="3" t="n">
        <v>4744.0</v>
      </c>
      <c r="X193" s="3" t="n">
        <v>4433.0</v>
      </c>
      <c r="Y193" s="3" t="n">
        <v>4110.0</v>
      </c>
      <c r="Z193" s="3" t="n">
        <v>4144.0</v>
      </c>
      <c r="AA193" s="3" t="n">
        <v>3985.0</v>
      </c>
      <c r="AB193" s="3" t="n">
        <v>3928.0</v>
      </c>
      <c r="AC193" s="3" t="n">
        <v>3795.0</v>
      </c>
      <c r="AD193" s="3" t="n">
        <v>3897.0</v>
      </c>
      <c r="AE193" s="3" t="n">
        <v>3885.0</v>
      </c>
      <c r="AF193" s="3" t="n">
        <v>3964.0</v>
      </c>
      <c r="AG193" s="3" t="n">
        <v>4181.0</v>
      </c>
      <c r="AH193" s="3" t="n">
        <v>4324.0</v>
      </c>
      <c r="AI193" s="3" t="n">
        <v>4551.0</v>
      </c>
      <c r="AJ193" s="3" t="n">
        <v>4710.0</v>
      </c>
      <c r="AK193" s="3" t="n">
        <v>5047.0</v>
      </c>
      <c r="AL193" s="3" t="n">
        <v>5349.0</v>
      </c>
      <c r="AM193" s="3" t="n">
        <v>5340.0</v>
      </c>
      <c r="AN193" s="3" t="n">
        <v>5325.0</v>
      </c>
      <c r="AO193" s="3" t="n">
        <v>5358.0</v>
      </c>
    </row>
    <row r="194" spans="1:41" x14ac:dyDescent="0.2">
      <c r="A194" s="128"/>
      <c r="B194" s="9">
        <v>83</v>
      </c>
      <c r="C194" s="3" t="n">
        <v>2019.0</v>
      </c>
      <c r="D194" s="3" t="n">
        <v>2051.0</v>
      </c>
      <c r="E194" s="3" t="n">
        <v>1944.0</v>
      </c>
      <c r="F194" s="3" t="n">
        <v>1939.0</v>
      </c>
      <c r="G194" s="3" t="n">
        <v>1957.0</v>
      </c>
      <c r="H194" s="3" t="n">
        <v>2046.0</v>
      </c>
      <c r="I194" s="3" t="n">
        <v>2090.0</v>
      </c>
      <c r="J194" s="3" t="n">
        <v>3251.0</v>
      </c>
      <c r="K194" s="3" t="n">
        <v>3625.0</v>
      </c>
      <c r="L194" s="3" t="n">
        <v>4116.0</v>
      </c>
      <c r="M194" s="3" t="n">
        <v>4280.0</v>
      </c>
      <c r="N194" s="3" t="n">
        <v>4474.0</v>
      </c>
      <c r="O194" s="3" t="n">
        <v>4589.0</v>
      </c>
      <c r="P194" s="3" t="n">
        <v>4616.0</v>
      </c>
      <c r="Q194" s="3" t="n">
        <v>4682.0</v>
      </c>
      <c r="R194" s="3" t="n">
        <v>4692.0</v>
      </c>
      <c r="S194" s="3" t="n">
        <v>5063.0</v>
      </c>
      <c r="T194" s="3" t="n">
        <v>5011.0</v>
      </c>
      <c r="U194" s="3" t="n">
        <v>4923.0</v>
      </c>
      <c r="V194" s="3" t="n">
        <v>4914.0</v>
      </c>
      <c r="W194" s="3" t="n">
        <v>4601.0</v>
      </c>
      <c r="X194" s="3" t="n">
        <v>4349.0</v>
      </c>
      <c r="Y194" s="3" t="n">
        <v>4068.0</v>
      </c>
      <c r="Z194" s="3" t="n">
        <v>3768.0</v>
      </c>
      <c r="AA194" s="3" t="n">
        <v>3803.0</v>
      </c>
      <c r="AB194" s="3" t="n">
        <v>3661.0</v>
      </c>
      <c r="AC194" s="3" t="n">
        <v>3609.0</v>
      </c>
      <c r="AD194" s="3" t="n">
        <v>3485.0</v>
      </c>
      <c r="AE194" s="3" t="n">
        <v>3583.0</v>
      </c>
      <c r="AF194" s="3" t="n">
        <v>3571.0</v>
      </c>
      <c r="AG194" s="3" t="n">
        <v>3643.0</v>
      </c>
      <c r="AH194" s="3" t="n">
        <v>3843.0</v>
      </c>
      <c r="AI194" s="3" t="n">
        <v>3977.0</v>
      </c>
      <c r="AJ194" s="3" t="n">
        <v>4187.0</v>
      </c>
      <c r="AK194" s="3" t="n">
        <v>4333.0</v>
      </c>
      <c r="AL194" s="3" t="n">
        <v>4643.0</v>
      </c>
      <c r="AM194" s="3" t="n">
        <v>4927.0</v>
      </c>
      <c r="AN194" s="3" t="n">
        <v>4915.0</v>
      </c>
      <c r="AO194" s="3" t="n">
        <v>4906.0</v>
      </c>
    </row>
    <row r="195" spans="1:41" x14ac:dyDescent="0.2">
      <c r="A195" s="128"/>
      <c r="B195" s="9">
        <v>84</v>
      </c>
      <c r="C195" s="3" t="n">
        <v>1787.0</v>
      </c>
      <c r="D195" s="3" t="n">
        <v>1813.0</v>
      </c>
      <c r="E195" s="3" t="n">
        <v>1846.0</v>
      </c>
      <c r="F195" s="3" t="n">
        <v>1750.0</v>
      </c>
      <c r="G195" s="3" t="n">
        <v>1748.0</v>
      </c>
      <c r="H195" s="3" t="n">
        <v>1765.0</v>
      </c>
      <c r="I195" s="3" t="n">
        <v>1843.0</v>
      </c>
      <c r="J195" s="3" t="n">
        <v>1888.0</v>
      </c>
      <c r="K195" s="3" t="n">
        <v>2941.0</v>
      </c>
      <c r="L195" s="3" t="n">
        <v>3272.0</v>
      </c>
      <c r="M195" s="3" t="n">
        <v>3720.0</v>
      </c>
      <c r="N195" s="3" t="n">
        <v>3866.0</v>
      </c>
      <c r="O195" s="3" t="n">
        <v>4045.0</v>
      </c>
      <c r="P195" s="3" t="n">
        <v>4150.0</v>
      </c>
      <c r="Q195" s="3" t="n">
        <v>4181.0</v>
      </c>
      <c r="R195" s="3" t="n">
        <v>4244.0</v>
      </c>
      <c r="S195" s="3" t="n">
        <v>4255.0</v>
      </c>
      <c r="T195" s="3" t="n">
        <v>4585.0</v>
      </c>
      <c r="U195" s="3" t="n">
        <v>4543.0</v>
      </c>
      <c r="V195" s="3" t="n">
        <v>4468.0</v>
      </c>
      <c r="W195" s="3" t="n">
        <v>4464.0</v>
      </c>
      <c r="X195" s="3" t="n">
        <v>4182.0</v>
      </c>
      <c r="Y195" s="3" t="n">
        <v>3953.0</v>
      </c>
      <c r="Z195" s="3" t="n">
        <v>3700.0</v>
      </c>
      <c r="AA195" s="3" t="n">
        <v>3430.0</v>
      </c>
      <c r="AB195" s="3" t="n">
        <v>3464.0</v>
      </c>
      <c r="AC195" s="3" t="n">
        <v>3336.0</v>
      </c>
      <c r="AD195" s="3" t="n">
        <v>3287.0</v>
      </c>
      <c r="AE195" s="3" t="n">
        <v>3178.0</v>
      </c>
      <c r="AF195" s="3" t="n">
        <v>3264.0</v>
      </c>
      <c r="AG195" s="3" t="n">
        <v>3257.0</v>
      </c>
      <c r="AH195" s="3" t="n">
        <v>3325.0</v>
      </c>
      <c r="AI195" s="3" t="n">
        <v>3504.0</v>
      </c>
      <c r="AJ195" s="3" t="n">
        <v>3631.0</v>
      </c>
      <c r="AK195" s="3" t="n">
        <v>3819.0</v>
      </c>
      <c r="AL195" s="3" t="n">
        <v>3956.0</v>
      </c>
      <c r="AM195" s="3" t="n">
        <v>4240.0</v>
      </c>
      <c r="AN195" s="3" t="n">
        <v>4496.0</v>
      </c>
      <c r="AO195" s="3" t="n">
        <v>4484.0</v>
      </c>
    </row>
    <row r="196" spans="1:41" x14ac:dyDescent="0.2">
      <c r="A196" s="128"/>
      <c r="B196" s="9">
        <v>85</v>
      </c>
      <c r="C196" s="3" t="n">
        <v>1558.0</v>
      </c>
      <c r="D196" s="3" t="n">
        <v>1583.0</v>
      </c>
      <c r="E196" s="3" t="n">
        <v>1609.0</v>
      </c>
      <c r="F196" s="3" t="n">
        <v>1642.0</v>
      </c>
      <c r="G196" s="3" t="n">
        <v>1561.0</v>
      </c>
      <c r="H196" s="3" t="n">
        <v>1559.0</v>
      </c>
      <c r="I196" s="3" t="n">
        <v>1574.0</v>
      </c>
      <c r="J196" s="3" t="n">
        <v>1646.0</v>
      </c>
      <c r="K196" s="3" t="n">
        <v>1686.0</v>
      </c>
      <c r="L196" s="3" t="n">
        <v>2626.0</v>
      </c>
      <c r="M196" s="3" t="n">
        <v>2925.0</v>
      </c>
      <c r="N196" s="3" t="n">
        <v>3326.0</v>
      </c>
      <c r="O196" s="3" t="n">
        <v>3458.0</v>
      </c>
      <c r="P196" s="3" t="n">
        <v>3624.0</v>
      </c>
      <c r="Q196" s="3" t="n">
        <v>3721.0</v>
      </c>
      <c r="R196" s="3" t="n">
        <v>3749.0</v>
      </c>
      <c r="S196" s="3" t="n">
        <v>3807.0</v>
      </c>
      <c r="T196" s="3" t="n">
        <v>3814.0</v>
      </c>
      <c r="U196" s="3" t="n">
        <v>4117.0</v>
      </c>
      <c r="V196" s="3" t="n">
        <v>4080.0</v>
      </c>
      <c r="W196" s="3" t="n">
        <v>4013.0</v>
      </c>
      <c r="X196" s="3" t="n">
        <v>4017.0</v>
      </c>
      <c r="Y196" s="3" t="n">
        <v>3760.0</v>
      </c>
      <c r="Z196" s="3" t="n">
        <v>3557.0</v>
      </c>
      <c r="AA196" s="3" t="n">
        <v>3332.0</v>
      </c>
      <c r="AB196" s="3" t="n">
        <v>3089.0</v>
      </c>
      <c r="AC196" s="3" t="n">
        <v>3120.0</v>
      </c>
      <c r="AD196" s="3" t="n">
        <v>3004.0</v>
      </c>
      <c r="AE196" s="3" t="n">
        <v>2967.0</v>
      </c>
      <c r="AF196" s="3" t="n">
        <v>2867.0</v>
      </c>
      <c r="AG196" s="3" t="n">
        <v>2948.0</v>
      </c>
      <c r="AH196" s="3" t="n">
        <v>2940.0</v>
      </c>
      <c r="AI196" s="3" t="n">
        <v>3003.0</v>
      </c>
      <c r="AJ196" s="3" t="n">
        <v>3168.0</v>
      </c>
      <c r="AK196" s="3" t="n">
        <v>3281.0</v>
      </c>
      <c r="AL196" s="3" t="n">
        <v>3451.0</v>
      </c>
      <c r="AM196" s="3" t="n">
        <v>3574.0</v>
      </c>
      <c r="AN196" s="3" t="n">
        <v>3830.0</v>
      </c>
      <c r="AO196" s="3" t="n">
        <v>4066.0</v>
      </c>
    </row>
    <row r="197" spans="1:41" x14ac:dyDescent="0.2">
      <c r="A197" s="128"/>
      <c r="B197" s="9">
        <v>86</v>
      </c>
      <c r="C197" s="3" t="n">
        <v>1473.0</v>
      </c>
      <c r="D197" s="3" t="n">
        <v>1364.0</v>
      </c>
      <c r="E197" s="3" t="n">
        <v>1388.0</v>
      </c>
      <c r="F197" s="3" t="n">
        <v>1410.0</v>
      </c>
      <c r="G197" s="3" t="n">
        <v>1439.0</v>
      </c>
      <c r="H197" s="3" t="n">
        <v>1372.0</v>
      </c>
      <c r="I197" s="3" t="n">
        <v>1368.0</v>
      </c>
      <c r="J197" s="3" t="n">
        <v>1383.0</v>
      </c>
      <c r="K197" s="3" t="n">
        <v>1450.0</v>
      </c>
      <c r="L197" s="3" t="n">
        <v>1485.0</v>
      </c>
      <c r="M197" s="3" t="n">
        <v>2319.0</v>
      </c>
      <c r="N197" s="3" t="n">
        <v>2581.0</v>
      </c>
      <c r="O197" s="3" t="n">
        <v>2940.0</v>
      </c>
      <c r="P197" s="3" t="n">
        <v>3059.0</v>
      </c>
      <c r="Q197" s="3" t="n">
        <v>3206.0</v>
      </c>
      <c r="R197" s="3" t="n">
        <v>3291.0</v>
      </c>
      <c r="S197" s="3" t="n">
        <v>3321.0</v>
      </c>
      <c r="T197" s="3" t="n">
        <v>3370.0</v>
      </c>
      <c r="U197" s="3" t="n">
        <v>3378.0</v>
      </c>
      <c r="V197" s="3" t="n">
        <v>3657.0</v>
      </c>
      <c r="W197" s="3" t="n">
        <v>3627.0</v>
      </c>
      <c r="X197" s="3" t="n">
        <v>3562.0</v>
      </c>
      <c r="Y197" s="3" t="n">
        <v>3568.0</v>
      </c>
      <c r="Z197" s="3" t="n">
        <v>3341.0</v>
      </c>
      <c r="AA197" s="3" t="n">
        <v>3160.0</v>
      </c>
      <c r="AB197" s="3" t="n">
        <v>2961.0</v>
      </c>
      <c r="AC197" s="3" t="n">
        <v>2746.0</v>
      </c>
      <c r="AD197" s="3" t="n">
        <v>2776.0</v>
      </c>
      <c r="AE197" s="3" t="n">
        <v>2675.0</v>
      </c>
      <c r="AF197" s="3" t="n">
        <v>2644.0</v>
      </c>
      <c r="AG197" s="3" t="n">
        <v>2555.0</v>
      </c>
      <c r="AH197" s="3" t="n">
        <v>2629.0</v>
      </c>
      <c r="AI197" s="3" t="n">
        <v>2622.0</v>
      </c>
      <c r="AJ197" s="3" t="n">
        <v>2678.0</v>
      </c>
      <c r="AK197" s="3" t="n">
        <v>2826.0</v>
      </c>
      <c r="AL197" s="3" t="n">
        <v>2927.0</v>
      </c>
      <c r="AM197" s="3" t="n">
        <v>3081.0</v>
      </c>
      <c r="AN197" s="3" t="n">
        <v>3196.0</v>
      </c>
      <c r="AO197" s="3" t="n">
        <v>3422.0</v>
      </c>
    </row>
    <row r="198" spans="1:41" x14ac:dyDescent="0.2">
      <c r="A198" s="128"/>
      <c r="B198" s="9">
        <v>87</v>
      </c>
      <c r="C198" s="3" t="n">
        <v>1182.0</v>
      </c>
      <c r="D198" s="3" t="n">
        <v>1280.0</v>
      </c>
      <c r="E198" s="3" t="n">
        <v>1183.0</v>
      </c>
      <c r="F198" s="3" t="n">
        <v>1207.0</v>
      </c>
      <c r="G198" s="3" t="n">
        <v>1224.0</v>
      </c>
      <c r="H198" s="3" t="n">
        <v>1250.0</v>
      </c>
      <c r="I198" s="3" t="n">
        <v>1193.0</v>
      </c>
      <c r="J198" s="3" t="n">
        <v>1190.0</v>
      </c>
      <c r="K198" s="3" t="n">
        <v>1207.0</v>
      </c>
      <c r="L198" s="3" t="n">
        <v>1269.0</v>
      </c>
      <c r="M198" s="3" t="n">
        <v>1300.0</v>
      </c>
      <c r="N198" s="3" t="n">
        <v>2030.0</v>
      </c>
      <c r="O198" s="3" t="n">
        <v>2260.0</v>
      </c>
      <c r="P198" s="3" t="n">
        <v>2572.0</v>
      </c>
      <c r="Q198" s="3" t="n">
        <v>2678.0</v>
      </c>
      <c r="R198" s="3" t="n">
        <v>2806.0</v>
      </c>
      <c r="S198" s="3" t="n">
        <v>2885.0</v>
      </c>
      <c r="T198" s="3" t="n">
        <v>2914.0</v>
      </c>
      <c r="U198" s="3" t="n">
        <v>2957.0</v>
      </c>
      <c r="V198" s="3" t="n">
        <v>2966.0</v>
      </c>
      <c r="W198" s="3" t="n">
        <v>3213.0</v>
      </c>
      <c r="X198" s="3" t="n">
        <v>3189.0</v>
      </c>
      <c r="Y198" s="3" t="n">
        <v>3134.0</v>
      </c>
      <c r="Z198" s="3" t="n">
        <v>3139.0</v>
      </c>
      <c r="AA198" s="3" t="n">
        <v>2941.0</v>
      </c>
      <c r="AB198" s="3" t="n">
        <v>2781.0</v>
      </c>
      <c r="AC198" s="3" t="n">
        <v>2612.0</v>
      </c>
      <c r="AD198" s="3" t="n">
        <v>2418.0</v>
      </c>
      <c r="AE198" s="3" t="n">
        <v>2451.0</v>
      </c>
      <c r="AF198" s="3" t="n">
        <v>2363.0</v>
      </c>
      <c r="AG198" s="3" t="n">
        <v>2338.0</v>
      </c>
      <c r="AH198" s="3" t="n">
        <v>2255.0</v>
      </c>
      <c r="AI198" s="3" t="n">
        <v>2325.0</v>
      </c>
      <c r="AJ198" s="3" t="n">
        <v>2320.0</v>
      </c>
      <c r="AK198" s="3" t="n">
        <v>2370.0</v>
      </c>
      <c r="AL198" s="3" t="n">
        <v>2498.0</v>
      </c>
      <c r="AM198" s="3" t="n">
        <v>2590.0</v>
      </c>
      <c r="AN198" s="3" t="n">
        <v>2728.0</v>
      </c>
      <c r="AO198" s="3" t="n">
        <v>2827.0</v>
      </c>
    </row>
    <row r="199" spans="1:41" x14ac:dyDescent="0.2">
      <c r="A199" s="128"/>
      <c r="B199" s="9">
        <v>88</v>
      </c>
      <c r="C199" s="3" t="n">
        <v>1060.0</v>
      </c>
      <c r="D199" s="3" t="n">
        <v>1014.0</v>
      </c>
      <c r="E199" s="3" t="n">
        <v>1100.0</v>
      </c>
      <c r="F199" s="3" t="n">
        <v>1020.0</v>
      </c>
      <c r="G199" s="3" t="n">
        <v>1045.0</v>
      </c>
      <c r="H199" s="3" t="n">
        <v>1058.0</v>
      </c>
      <c r="I199" s="3" t="n">
        <v>1080.0</v>
      </c>
      <c r="J199" s="3" t="n">
        <v>1033.0</v>
      </c>
      <c r="K199" s="3" t="n">
        <v>1032.0</v>
      </c>
      <c r="L199" s="3" t="n">
        <v>1049.0</v>
      </c>
      <c r="M199" s="3" t="n">
        <v>1103.0</v>
      </c>
      <c r="N199" s="3" t="n">
        <v>1127.0</v>
      </c>
      <c r="O199" s="3" t="n">
        <v>1766.0</v>
      </c>
      <c r="P199" s="3" t="n">
        <v>1964.0</v>
      </c>
      <c r="Q199" s="3" t="n">
        <v>2238.0</v>
      </c>
      <c r="R199" s="3" t="n">
        <v>2332.0</v>
      </c>
      <c r="S199" s="3" t="n">
        <v>2443.0</v>
      </c>
      <c r="T199" s="3" t="n">
        <v>2510.0</v>
      </c>
      <c r="U199" s="3" t="n">
        <v>2541.0</v>
      </c>
      <c r="V199" s="3" t="n">
        <v>2582.0</v>
      </c>
      <c r="W199" s="3" t="n">
        <v>2589.0</v>
      </c>
      <c r="X199" s="3" t="n">
        <v>2808.0</v>
      </c>
      <c r="Y199" s="3" t="n">
        <v>2786.0</v>
      </c>
      <c r="Z199" s="3" t="n">
        <v>2738.0</v>
      </c>
      <c r="AA199" s="3" t="n">
        <v>2746.0</v>
      </c>
      <c r="AB199" s="3" t="n">
        <v>2569.0</v>
      </c>
      <c r="AC199" s="3" t="n">
        <v>2435.0</v>
      </c>
      <c r="AD199" s="3" t="n">
        <v>2287.0</v>
      </c>
      <c r="AE199" s="3" t="n">
        <v>2119.0</v>
      </c>
      <c r="AF199" s="3" t="n">
        <v>2148.0</v>
      </c>
      <c r="AG199" s="3" t="n">
        <v>2074.0</v>
      </c>
      <c r="AH199" s="3" t="n">
        <v>2051.0</v>
      </c>
      <c r="AI199" s="3" t="n">
        <v>1981.0</v>
      </c>
      <c r="AJ199" s="3" t="n">
        <v>2043.0</v>
      </c>
      <c r="AK199" s="3" t="n">
        <v>2036.0</v>
      </c>
      <c r="AL199" s="3" t="n">
        <v>2082.0</v>
      </c>
      <c r="AM199" s="3" t="n">
        <v>2199.0</v>
      </c>
      <c r="AN199" s="3" t="n">
        <v>2276.0</v>
      </c>
      <c r="AO199" s="3" t="n">
        <v>2399.0</v>
      </c>
    </row>
    <row r="200" spans="1:41" x14ac:dyDescent="0.2">
      <c r="A200" s="128"/>
      <c r="B200" s="9">
        <v>89</v>
      </c>
      <c r="C200" s="3" t="n">
        <v>843.0</v>
      </c>
      <c r="D200" s="3" t="n">
        <v>905.0</v>
      </c>
      <c r="E200" s="3" t="n">
        <v>865.0</v>
      </c>
      <c r="F200" s="3" t="n">
        <v>941.0</v>
      </c>
      <c r="G200" s="3" t="n">
        <v>877.0</v>
      </c>
      <c r="H200" s="3" t="n">
        <v>897.0</v>
      </c>
      <c r="I200" s="3" t="n">
        <v>910.0</v>
      </c>
      <c r="J200" s="3" t="n">
        <v>927.0</v>
      </c>
      <c r="K200" s="3" t="n">
        <v>890.0</v>
      </c>
      <c r="L200" s="3" t="n">
        <v>892.0</v>
      </c>
      <c r="M200" s="3" t="n">
        <v>906.0</v>
      </c>
      <c r="N200" s="3" t="n">
        <v>952.0</v>
      </c>
      <c r="O200" s="3" t="n">
        <v>973.0</v>
      </c>
      <c r="P200" s="3" t="n">
        <v>1522.0</v>
      </c>
      <c r="Q200" s="3" t="n">
        <v>1691.0</v>
      </c>
      <c r="R200" s="3" t="n">
        <v>1928.0</v>
      </c>
      <c r="S200" s="3" t="n">
        <v>2010.0</v>
      </c>
      <c r="T200" s="3" t="n">
        <v>2107.0</v>
      </c>
      <c r="U200" s="3" t="n">
        <v>2169.0</v>
      </c>
      <c r="V200" s="3" t="n">
        <v>2198.0</v>
      </c>
      <c r="W200" s="3" t="n">
        <v>2231.0</v>
      </c>
      <c r="X200" s="3" t="n">
        <v>2242.0</v>
      </c>
      <c r="Y200" s="3" t="n">
        <v>2428.0</v>
      </c>
      <c r="Z200" s="3" t="n">
        <v>2410.0</v>
      </c>
      <c r="AA200" s="3" t="n">
        <v>2375.0</v>
      </c>
      <c r="AB200" s="3" t="n">
        <v>2380.0</v>
      </c>
      <c r="AC200" s="3" t="n">
        <v>2228.0</v>
      </c>
      <c r="AD200" s="3" t="n">
        <v>2111.0</v>
      </c>
      <c r="AE200" s="3" t="n">
        <v>1987.0</v>
      </c>
      <c r="AF200" s="3" t="n">
        <v>1843.0</v>
      </c>
      <c r="AG200" s="3" t="n">
        <v>1870.0</v>
      </c>
      <c r="AH200" s="3" t="n">
        <v>1803.0</v>
      </c>
      <c r="AI200" s="3" t="n">
        <v>1782.0</v>
      </c>
      <c r="AJ200" s="3" t="n">
        <v>1723.0</v>
      </c>
      <c r="AK200" s="3" t="n">
        <v>1782.0</v>
      </c>
      <c r="AL200" s="3" t="n">
        <v>1774.0</v>
      </c>
      <c r="AM200" s="3" t="n">
        <v>1815.0</v>
      </c>
      <c r="AN200" s="3" t="n">
        <v>1917.0</v>
      </c>
      <c r="AO200" s="3" t="n">
        <v>1984.0</v>
      </c>
    </row>
    <row r="201" spans="1:41" x14ac:dyDescent="0.2">
      <c r="A201" s="128"/>
      <c r="B201" s="9">
        <v>90</v>
      </c>
      <c r="C201" s="3" t="n">
        <v>715.0</v>
      </c>
      <c r="D201" s="3" t="n">
        <v>705.0</v>
      </c>
      <c r="E201" s="3" t="n">
        <v>756.0</v>
      </c>
      <c r="F201" s="3" t="n">
        <v>722.0</v>
      </c>
      <c r="G201" s="3" t="n">
        <v>786.0</v>
      </c>
      <c r="H201" s="3" t="n">
        <v>736.0</v>
      </c>
      <c r="I201" s="3" t="n">
        <v>747.0</v>
      </c>
      <c r="J201" s="3" t="n">
        <v>762.0</v>
      </c>
      <c r="K201" s="3" t="n">
        <v>776.0</v>
      </c>
      <c r="L201" s="3" t="n">
        <v>745.0</v>
      </c>
      <c r="M201" s="3" t="n">
        <v>749.0</v>
      </c>
      <c r="N201" s="3" t="n">
        <v>765.0</v>
      </c>
      <c r="O201" s="3" t="n">
        <v>801.0</v>
      </c>
      <c r="P201" s="3" t="n">
        <v>822.0</v>
      </c>
      <c r="Q201" s="3" t="n">
        <v>1285.0</v>
      </c>
      <c r="R201" s="3" t="n">
        <v>1426.0</v>
      </c>
      <c r="S201" s="3" t="n">
        <v>1627.0</v>
      </c>
      <c r="T201" s="3" t="n">
        <v>1699.0</v>
      </c>
      <c r="U201" s="3" t="n">
        <v>1787.0</v>
      </c>
      <c r="V201" s="3" t="n">
        <v>1845.0</v>
      </c>
      <c r="W201" s="3" t="n">
        <v>1865.0</v>
      </c>
      <c r="X201" s="3" t="n">
        <v>1896.0</v>
      </c>
      <c r="Y201" s="3" t="n">
        <v>1906.0</v>
      </c>
      <c r="Z201" s="3" t="n">
        <v>2067.0</v>
      </c>
      <c r="AA201" s="3" t="n">
        <v>2052.0</v>
      </c>
      <c r="AB201" s="3" t="n">
        <v>2024.0</v>
      </c>
      <c r="AC201" s="3" t="n">
        <v>2031.0</v>
      </c>
      <c r="AD201" s="3" t="n">
        <v>1900.0</v>
      </c>
      <c r="AE201" s="3" t="n">
        <v>1804.0</v>
      </c>
      <c r="AF201" s="3" t="n">
        <v>1696.0</v>
      </c>
      <c r="AG201" s="3" t="n">
        <v>1573.0</v>
      </c>
      <c r="AH201" s="3" t="n">
        <v>1595.0</v>
      </c>
      <c r="AI201" s="3" t="n">
        <v>1540.0</v>
      </c>
      <c r="AJ201" s="3" t="n">
        <v>1522.0</v>
      </c>
      <c r="AK201" s="3" t="n">
        <v>1474.0</v>
      </c>
      <c r="AL201" s="3" t="n">
        <v>1524.0</v>
      </c>
      <c r="AM201" s="3" t="n">
        <v>1518.0</v>
      </c>
      <c r="AN201" s="3" t="n">
        <v>1553.0</v>
      </c>
      <c r="AO201" s="3" t="n">
        <v>1643.0</v>
      </c>
    </row>
    <row r="202" spans="1:41" x14ac:dyDescent="0.2">
      <c r="A202" s="128"/>
      <c r="B202" s="9">
        <v>91</v>
      </c>
      <c r="C202" s="3" t="n">
        <v>534.0</v>
      </c>
      <c r="D202" s="3" t="n">
        <v>581.0</v>
      </c>
      <c r="E202" s="3" t="n">
        <v>574.0</v>
      </c>
      <c r="F202" s="3" t="n">
        <v>617.0</v>
      </c>
      <c r="G202" s="3" t="n">
        <v>586.0</v>
      </c>
      <c r="H202" s="3" t="n">
        <v>642.0</v>
      </c>
      <c r="I202" s="3" t="n">
        <v>603.0</v>
      </c>
      <c r="J202" s="3" t="n">
        <v>609.0</v>
      </c>
      <c r="K202" s="3" t="n">
        <v>626.0</v>
      </c>
      <c r="L202" s="3" t="n">
        <v>633.0</v>
      </c>
      <c r="M202" s="3" t="n">
        <v>613.0</v>
      </c>
      <c r="N202" s="3" t="n">
        <v>613.0</v>
      </c>
      <c r="O202" s="3" t="n">
        <v>628.0</v>
      </c>
      <c r="P202" s="3" t="n">
        <v>659.0</v>
      </c>
      <c r="Q202" s="3" t="n">
        <v>676.0</v>
      </c>
      <c r="R202" s="3" t="n">
        <v>1061.0</v>
      </c>
      <c r="S202" s="3" t="n">
        <v>1183.0</v>
      </c>
      <c r="T202" s="3" t="n">
        <v>1351.0</v>
      </c>
      <c r="U202" s="3" t="n">
        <v>1413.0</v>
      </c>
      <c r="V202" s="3" t="n">
        <v>1485.0</v>
      </c>
      <c r="W202" s="3" t="n">
        <v>1535.0</v>
      </c>
      <c r="X202" s="3" t="n">
        <v>1553.0</v>
      </c>
      <c r="Y202" s="3" t="n">
        <v>1581.0</v>
      </c>
      <c r="Z202" s="3" t="n">
        <v>1590.0</v>
      </c>
      <c r="AA202" s="3" t="n">
        <v>1728.0</v>
      </c>
      <c r="AB202" s="3" t="n">
        <v>1713.0</v>
      </c>
      <c r="AC202" s="3" t="n">
        <v>1693.0</v>
      </c>
      <c r="AD202" s="3" t="n">
        <v>1700.0</v>
      </c>
      <c r="AE202" s="3" t="n">
        <v>1590.0</v>
      </c>
      <c r="AF202" s="3" t="n">
        <v>1510.0</v>
      </c>
      <c r="AG202" s="3" t="n">
        <v>1421.0</v>
      </c>
      <c r="AH202" s="3" t="n">
        <v>1318.0</v>
      </c>
      <c r="AI202" s="3" t="n">
        <v>1335.0</v>
      </c>
      <c r="AJ202" s="3" t="n">
        <v>1292.0</v>
      </c>
      <c r="AK202" s="3" t="n">
        <v>1280.0</v>
      </c>
      <c r="AL202" s="3" t="n">
        <v>1238.0</v>
      </c>
      <c r="AM202" s="3" t="n">
        <v>1280.0</v>
      </c>
      <c r="AN202" s="3" t="n">
        <v>1275.0</v>
      </c>
      <c r="AO202" s="3" t="n">
        <v>1306.0</v>
      </c>
    </row>
    <row r="203" spans="1:41" x14ac:dyDescent="0.2">
      <c r="A203" s="128"/>
      <c r="B203" s="9">
        <v>92</v>
      </c>
      <c r="C203" s="3" t="n">
        <v>413.0</v>
      </c>
      <c r="D203" s="3" t="n">
        <v>433.0</v>
      </c>
      <c r="E203" s="3" t="n">
        <v>471.0</v>
      </c>
      <c r="F203" s="3" t="n">
        <v>458.0</v>
      </c>
      <c r="G203" s="3" t="n">
        <v>498.0</v>
      </c>
      <c r="H203" s="3" t="n">
        <v>476.0</v>
      </c>
      <c r="I203" s="3" t="n">
        <v>519.0</v>
      </c>
      <c r="J203" s="3" t="n">
        <v>488.0</v>
      </c>
      <c r="K203" s="3" t="n">
        <v>494.0</v>
      </c>
      <c r="L203" s="3" t="n">
        <v>508.0</v>
      </c>
      <c r="M203" s="3" t="n">
        <v>515.0</v>
      </c>
      <c r="N203" s="3" t="n">
        <v>495.0</v>
      </c>
      <c r="O203" s="3" t="n">
        <v>498.0</v>
      </c>
      <c r="P203" s="3" t="n">
        <v>511.0</v>
      </c>
      <c r="Q203" s="3" t="n">
        <v>540.0</v>
      </c>
      <c r="R203" s="3" t="n">
        <v>554.0</v>
      </c>
      <c r="S203" s="3" t="n">
        <v>869.0</v>
      </c>
      <c r="T203" s="3" t="n">
        <v>970.0</v>
      </c>
      <c r="U203" s="3" t="n">
        <v>1112.0</v>
      </c>
      <c r="V203" s="3" t="n">
        <v>1164.0</v>
      </c>
      <c r="W203" s="3" t="n">
        <v>1224.0</v>
      </c>
      <c r="X203" s="3" t="n">
        <v>1266.0</v>
      </c>
      <c r="Y203" s="3" t="n">
        <v>1282.0</v>
      </c>
      <c r="Z203" s="3" t="n">
        <v>1305.0</v>
      </c>
      <c r="AA203" s="3" t="n">
        <v>1311.0</v>
      </c>
      <c r="AB203" s="3" t="n">
        <v>1427.0</v>
      </c>
      <c r="AC203" s="3" t="n">
        <v>1416.0</v>
      </c>
      <c r="AD203" s="3" t="n">
        <v>1397.0</v>
      </c>
      <c r="AE203" s="3" t="n">
        <v>1409.0</v>
      </c>
      <c r="AF203" s="3" t="n">
        <v>1316.0</v>
      </c>
      <c r="AG203" s="3" t="n">
        <v>1251.0</v>
      </c>
      <c r="AH203" s="3" t="n">
        <v>1179.0</v>
      </c>
      <c r="AI203" s="3" t="n">
        <v>1094.0</v>
      </c>
      <c r="AJ203" s="3" t="n">
        <v>1110.0</v>
      </c>
      <c r="AK203" s="3" t="n">
        <v>1073.0</v>
      </c>
      <c r="AL203" s="3" t="n">
        <v>1066.0</v>
      </c>
      <c r="AM203" s="3" t="n">
        <v>1030.0</v>
      </c>
      <c r="AN203" s="3" t="n">
        <v>1069.0</v>
      </c>
      <c r="AO203" s="3" t="n">
        <v>1061.0</v>
      </c>
    </row>
    <row r="204" spans="1:41" x14ac:dyDescent="0.2">
      <c r="A204" s="128"/>
      <c r="B204" s="9">
        <v>93</v>
      </c>
      <c r="C204" s="3" t="n">
        <v>273.0</v>
      </c>
      <c r="D204" s="3" t="n">
        <v>333.0</v>
      </c>
      <c r="E204" s="3" t="n">
        <v>342.0</v>
      </c>
      <c r="F204" s="3" t="n">
        <v>377.0</v>
      </c>
      <c r="G204" s="3" t="n">
        <v>371.0</v>
      </c>
      <c r="H204" s="3" t="n">
        <v>401.0</v>
      </c>
      <c r="I204" s="3" t="n">
        <v>383.0</v>
      </c>
      <c r="J204" s="3" t="n">
        <v>416.0</v>
      </c>
      <c r="K204" s="3" t="n">
        <v>393.0</v>
      </c>
      <c r="L204" s="3" t="n">
        <v>402.0</v>
      </c>
      <c r="M204" s="3" t="n">
        <v>412.0</v>
      </c>
      <c r="N204" s="3" t="n">
        <v>416.0</v>
      </c>
      <c r="O204" s="3" t="n">
        <v>400.0</v>
      </c>
      <c r="P204" s="3" t="n">
        <v>405.0</v>
      </c>
      <c r="Q204" s="3" t="n">
        <v>418.0</v>
      </c>
      <c r="R204" s="3" t="n">
        <v>440.0</v>
      </c>
      <c r="S204" s="3" t="n">
        <v>455.0</v>
      </c>
      <c r="T204" s="3" t="n">
        <v>708.0</v>
      </c>
      <c r="U204" s="3" t="n">
        <v>787.0</v>
      </c>
      <c r="V204" s="3" t="n">
        <v>904.0</v>
      </c>
      <c r="W204" s="3" t="n">
        <v>942.0</v>
      </c>
      <c r="X204" s="3" t="n">
        <v>995.0</v>
      </c>
      <c r="Y204" s="3" t="n">
        <v>1026.0</v>
      </c>
      <c r="Z204" s="3" t="n">
        <v>1040.0</v>
      </c>
      <c r="AA204" s="3" t="n">
        <v>1061.0</v>
      </c>
      <c r="AB204" s="3" t="n">
        <v>1067.0</v>
      </c>
      <c r="AC204" s="3" t="n">
        <v>1161.0</v>
      </c>
      <c r="AD204" s="3" t="n">
        <v>1158.0</v>
      </c>
      <c r="AE204" s="3" t="n">
        <v>1135.0</v>
      </c>
      <c r="AF204" s="3" t="n">
        <v>1152.0</v>
      </c>
      <c r="AG204" s="3" t="n">
        <v>1080.0</v>
      </c>
      <c r="AH204" s="3" t="n">
        <v>1023.0</v>
      </c>
      <c r="AI204" s="3" t="n">
        <v>967.0</v>
      </c>
      <c r="AJ204" s="3" t="n">
        <v>900.0</v>
      </c>
      <c r="AK204" s="3" t="n">
        <v>912.0</v>
      </c>
      <c r="AL204" s="3" t="n">
        <v>884.0</v>
      </c>
      <c r="AM204" s="3" t="n">
        <v>877.0</v>
      </c>
      <c r="AN204" s="3" t="n">
        <v>849.0</v>
      </c>
      <c r="AO204" s="3" t="n">
        <v>881.0</v>
      </c>
    </row>
    <row r="205" spans="1:41" x14ac:dyDescent="0.2">
      <c r="A205" s="128"/>
      <c r="B205" s="9">
        <v>94</v>
      </c>
      <c r="C205" s="3" t="n">
        <v>223.0</v>
      </c>
      <c r="D205" s="3" t="n">
        <v>214.0</v>
      </c>
      <c r="E205" s="3" t="n">
        <v>260.0</v>
      </c>
      <c r="F205" s="3" t="n">
        <v>262.0</v>
      </c>
      <c r="G205" s="3" t="n">
        <v>297.0</v>
      </c>
      <c r="H205" s="3" t="n">
        <v>289.0</v>
      </c>
      <c r="I205" s="3" t="n">
        <v>312.0</v>
      </c>
      <c r="J205" s="3" t="n">
        <v>304.0</v>
      </c>
      <c r="K205" s="3" t="n">
        <v>326.0</v>
      </c>
      <c r="L205" s="3" t="n">
        <v>309.0</v>
      </c>
      <c r="M205" s="3" t="n">
        <v>320.0</v>
      </c>
      <c r="N205" s="3" t="n">
        <v>326.0</v>
      </c>
      <c r="O205" s="3" t="n">
        <v>331.0</v>
      </c>
      <c r="P205" s="3" t="n">
        <v>318.0</v>
      </c>
      <c r="Q205" s="3" t="n">
        <v>322.0</v>
      </c>
      <c r="R205" s="3" t="n">
        <v>334.0</v>
      </c>
      <c r="S205" s="3" t="n">
        <v>350.0</v>
      </c>
      <c r="T205" s="3" t="n">
        <v>365.0</v>
      </c>
      <c r="U205" s="3" t="n">
        <v>566.0</v>
      </c>
      <c r="V205" s="3" t="n">
        <v>624.0</v>
      </c>
      <c r="W205" s="3" t="n">
        <v>719.0</v>
      </c>
      <c r="X205" s="3" t="n">
        <v>751.0</v>
      </c>
      <c r="Y205" s="3" t="n">
        <v>794.0</v>
      </c>
      <c r="Z205" s="3" t="n">
        <v>816.0</v>
      </c>
      <c r="AA205" s="3" t="n">
        <v>831.0</v>
      </c>
      <c r="AB205" s="3" t="n">
        <v>848.0</v>
      </c>
      <c r="AC205" s="3" t="n">
        <v>856.0</v>
      </c>
      <c r="AD205" s="3" t="n">
        <v>929.0</v>
      </c>
      <c r="AE205" s="3" t="n">
        <v>929.0</v>
      </c>
      <c r="AF205" s="3" t="n">
        <v>908.0</v>
      </c>
      <c r="AG205" s="3" t="n">
        <v>925.0</v>
      </c>
      <c r="AH205" s="3" t="n">
        <v>868.0</v>
      </c>
      <c r="AI205" s="3" t="n">
        <v>823.0</v>
      </c>
      <c r="AJ205" s="3" t="n">
        <v>778.0</v>
      </c>
      <c r="AK205" s="3" t="n">
        <v>721.0</v>
      </c>
      <c r="AL205" s="3" t="n">
        <v>734.0</v>
      </c>
      <c r="AM205" s="3" t="n">
        <v>713.0</v>
      </c>
      <c r="AN205" s="3" t="n">
        <v>709.0</v>
      </c>
      <c r="AO205" s="3" t="n">
        <v>687.0</v>
      </c>
    </row>
    <row r="206" spans="1:41" x14ac:dyDescent="0.2">
      <c r="A206" s="128"/>
      <c r="B206" s="9">
        <v>95</v>
      </c>
      <c r="C206" s="3" t="n">
        <v>125.0</v>
      </c>
      <c r="D206" s="3" t="n">
        <v>174.0</v>
      </c>
      <c r="E206" s="3" t="n">
        <v>165.0</v>
      </c>
      <c r="F206" s="3" t="n">
        <v>199.0</v>
      </c>
      <c r="G206" s="3" t="n">
        <v>203.0</v>
      </c>
      <c r="H206" s="3" t="n">
        <v>230.0</v>
      </c>
      <c r="I206" s="3" t="n">
        <v>225.0</v>
      </c>
      <c r="J206" s="3" t="n">
        <v>244.0</v>
      </c>
      <c r="K206" s="3" t="n">
        <v>240.0</v>
      </c>
      <c r="L206" s="3" t="n">
        <v>255.0</v>
      </c>
      <c r="M206" s="3" t="n">
        <v>242.0</v>
      </c>
      <c r="N206" s="3" t="n">
        <v>253.0</v>
      </c>
      <c r="O206" s="3" t="n">
        <v>257.0</v>
      </c>
      <c r="P206" s="3" t="n">
        <v>260.0</v>
      </c>
      <c r="Q206" s="3" t="n">
        <v>251.0</v>
      </c>
      <c r="R206" s="3" t="n">
        <v>256.0</v>
      </c>
      <c r="S206" s="3" t="n">
        <v>265.0</v>
      </c>
      <c r="T206" s="3" t="n">
        <v>277.0</v>
      </c>
      <c r="U206" s="3" t="n">
        <v>291.0</v>
      </c>
      <c r="V206" s="3" t="n">
        <v>445.0</v>
      </c>
      <c r="W206" s="3" t="n">
        <v>490.0</v>
      </c>
      <c r="X206" s="3" t="n">
        <v>568.0</v>
      </c>
      <c r="Y206" s="3" t="n">
        <v>591.0</v>
      </c>
      <c r="Z206" s="3" t="n">
        <v>624.0</v>
      </c>
      <c r="AA206" s="3" t="n">
        <v>644.0</v>
      </c>
      <c r="AB206" s="3" t="n">
        <v>655.0</v>
      </c>
      <c r="AC206" s="3" t="n">
        <v>668.0</v>
      </c>
      <c r="AD206" s="3" t="n">
        <v>677.0</v>
      </c>
      <c r="AE206" s="3" t="n">
        <v>730.0</v>
      </c>
      <c r="AF206" s="3" t="n">
        <v>731.0</v>
      </c>
      <c r="AG206" s="3" t="n">
        <v>719.0</v>
      </c>
      <c r="AH206" s="3" t="n">
        <v>728.0</v>
      </c>
      <c r="AI206" s="3" t="n">
        <v>687.0</v>
      </c>
      <c r="AJ206" s="3" t="n">
        <v>654.0</v>
      </c>
      <c r="AK206" s="3" t="n">
        <v>617.0</v>
      </c>
      <c r="AL206" s="3" t="n">
        <v>571.0</v>
      </c>
      <c r="AM206" s="3" t="n">
        <v>582.0</v>
      </c>
      <c r="AN206" s="3" t="n">
        <v>568.0</v>
      </c>
      <c r="AO206" s="3" t="n">
        <v>564.0</v>
      </c>
    </row>
    <row r="207" spans="1:41" x14ac:dyDescent="0.2">
      <c r="A207" s="128"/>
      <c r="B207" s="9">
        <v>96</v>
      </c>
      <c r="C207" s="3" t="n">
        <v>87.0</v>
      </c>
      <c r="D207" s="3" t="n">
        <v>96.0</v>
      </c>
      <c r="E207" s="3" t="n">
        <v>131.0</v>
      </c>
      <c r="F207" s="3" t="n">
        <v>127.0</v>
      </c>
      <c r="G207" s="3" t="n">
        <v>153.0</v>
      </c>
      <c r="H207" s="3" t="n">
        <v>159.0</v>
      </c>
      <c r="I207" s="3" t="n">
        <v>175.0</v>
      </c>
      <c r="J207" s="3" t="n">
        <v>172.0</v>
      </c>
      <c r="K207" s="3" t="n">
        <v>183.0</v>
      </c>
      <c r="L207" s="3" t="n">
        <v>186.0</v>
      </c>
      <c r="M207" s="3" t="n">
        <v>197.0</v>
      </c>
      <c r="N207" s="3" t="n">
        <v>188.0</v>
      </c>
      <c r="O207" s="3" t="n">
        <v>199.0</v>
      </c>
      <c r="P207" s="3" t="n">
        <v>198.0</v>
      </c>
      <c r="Q207" s="3" t="n">
        <v>201.0</v>
      </c>
      <c r="R207" s="3" t="n">
        <v>194.0</v>
      </c>
      <c r="S207" s="3" t="n">
        <v>195.0</v>
      </c>
      <c r="T207" s="3" t="n">
        <v>209.0</v>
      </c>
      <c r="U207" s="3" t="n">
        <v>219.0</v>
      </c>
      <c r="V207" s="3" t="n">
        <v>231.0</v>
      </c>
      <c r="W207" s="3" t="n">
        <v>344.0</v>
      </c>
      <c r="X207" s="3" t="n">
        <v>380.0</v>
      </c>
      <c r="Y207" s="3" t="n">
        <v>444.0</v>
      </c>
      <c r="Z207" s="3" t="n">
        <v>459.0</v>
      </c>
      <c r="AA207" s="3" t="n">
        <v>485.0</v>
      </c>
      <c r="AB207" s="3" t="n">
        <v>500.0</v>
      </c>
      <c r="AC207" s="3" t="n">
        <v>511.0</v>
      </c>
      <c r="AD207" s="3" t="n">
        <v>525.0</v>
      </c>
      <c r="AE207" s="3" t="n">
        <v>527.0</v>
      </c>
      <c r="AF207" s="3" t="n">
        <v>568.0</v>
      </c>
      <c r="AG207" s="3" t="n">
        <v>571.0</v>
      </c>
      <c r="AH207" s="3" t="n">
        <v>560.0</v>
      </c>
      <c r="AI207" s="3" t="n">
        <v>568.0</v>
      </c>
      <c r="AJ207" s="3" t="n">
        <v>537.0</v>
      </c>
      <c r="AK207" s="3" t="n">
        <v>511.0</v>
      </c>
      <c r="AL207" s="3" t="n">
        <v>481.0</v>
      </c>
      <c r="AM207" s="3" t="n">
        <v>449.0</v>
      </c>
      <c r="AN207" s="3" t="n">
        <v>456.0</v>
      </c>
      <c r="AO207" s="3" t="n">
        <v>446.0</v>
      </c>
    </row>
    <row r="208" spans="1:41" x14ac:dyDescent="0.2">
      <c r="A208" s="128"/>
      <c r="B208" s="9">
        <v>97</v>
      </c>
      <c r="C208" s="3" t="n">
        <v>54.0</v>
      </c>
      <c r="D208" s="3" t="n">
        <v>65.0</v>
      </c>
      <c r="E208" s="3" t="n">
        <v>70.0</v>
      </c>
      <c r="F208" s="3" t="n">
        <v>97.0</v>
      </c>
      <c r="G208" s="3" t="n">
        <v>96.0</v>
      </c>
      <c r="H208" s="3" t="n">
        <v>108.0</v>
      </c>
      <c r="I208" s="3" t="n">
        <v>117.0</v>
      </c>
      <c r="J208" s="3" t="n">
        <v>131.0</v>
      </c>
      <c r="K208" s="3" t="n">
        <v>127.0</v>
      </c>
      <c r="L208" s="3" t="n">
        <v>131.0</v>
      </c>
      <c r="M208" s="3" t="n">
        <v>138.0</v>
      </c>
      <c r="N208" s="3" t="n">
        <v>144.0</v>
      </c>
      <c r="O208" s="3" t="n">
        <v>140.0</v>
      </c>
      <c r="P208" s="3" t="n">
        <v>146.0</v>
      </c>
      <c r="Q208" s="3" t="n">
        <v>144.0</v>
      </c>
      <c r="R208" s="3" t="n">
        <v>150.0</v>
      </c>
      <c r="S208" s="3" t="n">
        <v>148.0</v>
      </c>
      <c r="T208" s="3" t="n">
        <v>142.0</v>
      </c>
      <c r="U208" s="3" t="n">
        <v>154.0</v>
      </c>
      <c r="V208" s="3" t="n">
        <v>162.0</v>
      </c>
      <c r="W208" s="3" t="n">
        <v>172.0</v>
      </c>
      <c r="X208" s="3" t="n">
        <v>259.0</v>
      </c>
      <c r="Y208" s="3" t="n">
        <v>287.0</v>
      </c>
      <c r="Z208" s="3" t="n">
        <v>333.0</v>
      </c>
      <c r="AA208" s="3" t="n">
        <v>348.0</v>
      </c>
      <c r="AB208" s="3" t="n">
        <v>363.0</v>
      </c>
      <c r="AC208" s="3" t="n">
        <v>376.0</v>
      </c>
      <c r="AD208" s="3" t="n">
        <v>384.0</v>
      </c>
      <c r="AE208" s="3" t="n">
        <v>396.0</v>
      </c>
      <c r="AF208" s="3" t="n">
        <v>396.0</v>
      </c>
      <c r="AG208" s="3" t="n">
        <v>427.0</v>
      </c>
      <c r="AH208" s="3" t="n">
        <v>432.0</v>
      </c>
      <c r="AI208" s="3" t="n">
        <v>421.0</v>
      </c>
      <c r="AJ208" s="3" t="n">
        <v>431.0</v>
      </c>
      <c r="AK208" s="3" t="n">
        <v>403.0</v>
      </c>
      <c r="AL208" s="3" t="n">
        <v>384.0</v>
      </c>
      <c r="AM208" s="3" t="n">
        <v>365.0</v>
      </c>
      <c r="AN208" s="3" t="n">
        <v>344.0</v>
      </c>
      <c r="AO208" s="3" t="n">
        <v>350.0</v>
      </c>
    </row>
    <row r="209" spans="1:41" x14ac:dyDescent="0.2">
      <c r="A209" s="128"/>
      <c r="B209" s="9">
        <v>98</v>
      </c>
      <c r="C209" s="3" t="n">
        <v>50.0</v>
      </c>
      <c r="D209" s="3" t="n">
        <v>37.0</v>
      </c>
      <c r="E209" s="3" t="n">
        <v>43.0</v>
      </c>
      <c r="F209" s="3" t="n">
        <v>48.0</v>
      </c>
      <c r="G209" s="3" t="n">
        <v>64.0</v>
      </c>
      <c r="H209" s="3" t="n">
        <v>65.0</v>
      </c>
      <c r="I209" s="3" t="n">
        <v>75.0</v>
      </c>
      <c r="J209" s="3" t="n">
        <v>81.0</v>
      </c>
      <c r="K209" s="3" t="n">
        <v>88.0</v>
      </c>
      <c r="L209" s="3" t="n">
        <v>86.0</v>
      </c>
      <c r="M209" s="3" t="n">
        <v>91.0</v>
      </c>
      <c r="N209" s="3" t="n">
        <v>96.0</v>
      </c>
      <c r="O209" s="3" t="n">
        <v>100.0</v>
      </c>
      <c r="P209" s="3" t="n">
        <v>99.0</v>
      </c>
      <c r="Q209" s="3" t="n">
        <v>99.0</v>
      </c>
      <c r="R209" s="3" t="n">
        <v>97.0</v>
      </c>
      <c r="S209" s="3" t="n">
        <v>108.0</v>
      </c>
      <c r="T209" s="3" t="n">
        <v>104.0</v>
      </c>
      <c r="U209" s="3" t="n">
        <v>99.0</v>
      </c>
      <c r="V209" s="3" t="n">
        <v>109.0</v>
      </c>
      <c r="W209" s="3" t="n">
        <v>114.0</v>
      </c>
      <c r="X209" s="3" t="n">
        <v>124.0</v>
      </c>
      <c r="Y209" s="3" t="n">
        <v>183.0</v>
      </c>
      <c r="Z209" s="3" t="n">
        <v>205.0</v>
      </c>
      <c r="AA209" s="3" t="n">
        <v>245.0</v>
      </c>
      <c r="AB209" s="3" t="n">
        <v>254.0</v>
      </c>
      <c r="AC209" s="3" t="n">
        <v>270.0</v>
      </c>
      <c r="AD209" s="3" t="n">
        <v>275.0</v>
      </c>
      <c r="AE209" s="3" t="n">
        <v>284.0</v>
      </c>
      <c r="AF209" s="3" t="n">
        <v>293.0</v>
      </c>
      <c r="AG209" s="3" t="n">
        <v>291.0</v>
      </c>
      <c r="AH209" s="3" t="n">
        <v>313.0</v>
      </c>
      <c r="AI209" s="3" t="n">
        <v>319.0</v>
      </c>
      <c r="AJ209" s="3" t="n">
        <v>311.0</v>
      </c>
      <c r="AK209" s="3" t="n">
        <v>320.0</v>
      </c>
      <c r="AL209" s="3" t="n">
        <v>300.0</v>
      </c>
      <c r="AM209" s="3" t="n">
        <v>283.0</v>
      </c>
      <c r="AN209" s="3" t="n">
        <v>271.0</v>
      </c>
      <c r="AO209" s="3" t="n">
        <v>254.0</v>
      </c>
    </row>
    <row r="210" spans="1:41" x14ac:dyDescent="0.2">
      <c r="A210" s="128"/>
      <c r="B210" s="9">
        <v>99</v>
      </c>
      <c r="C210" s="3" t="n">
        <v>36.0</v>
      </c>
      <c r="D210" s="3" t="n">
        <v>39.0</v>
      </c>
      <c r="E210" s="3" t="n">
        <v>28.0</v>
      </c>
      <c r="F210" s="3" t="n">
        <v>33.0</v>
      </c>
      <c r="G210" s="3" t="n">
        <v>34.0</v>
      </c>
      <c r="H210" s="3" t="n">
        <v>50.0</v>
      </c>
      <c r="I210" s="3" t="n">
        <v>51.0</v>
      </c>
      <c r="J210" s="3" t="n">
        <v>57.0</v>
      </c>
      <c r="K210" s="3" t="n">
        <v>62.0</v>
      </c>
      <c r="L210" s="3" t="n">
        <v>62.0</v>
      </c>
      <c r="M210" s="3" t="n">
        <v>64.0</v>
      </c>
      <c r="N210" s="3" t="n">
        <v>66.0</v>
      </c>
      <c r="O210" s="3" t="n">
        <v>69.0</v>
      </c>
      <c r="P210" s="3" t="n">
        <v>70.0</v>
      </c>
      <c r="Q210" s="3" t="n">
        <v>70.0</v>
      </c>
      <c r="R210" s="3" t="n">
        <v>71.0</v>
      </c>
      <c r="S210" s="3" t="n">
        <v>70.0</v>
      </c>
      <c r="T210" s="3" t="n">
        <v>74.0</v>
      </c>
      <c r="U210" s="3" t="n">
        <v>74.0</v>
      </c>
      <c r="V210" s="3" t="n">
        <v>72.0</v>
      </c>
      <c r="W210" s="3" t="n">
        <v>79.0</v>
      </c>
      <c r="X210" s="3" t="n">
        <v>85.0</v>
      </c>
      <c r="Y210" s="3" t="n">
        <v>92.0</v>
      </c>
      <c r="Z210" s="3" t="n">
        <v>131.0</v>
      </c>
      <c r="AA210" s="3" t="n">
        <v>146.0</v>
      </c>
      <c r="AB210" s="3" t="n">
        <v>177.0</v>
      </c>
      <c r="AC210" s="3" t="n">
        <v>186.0</v>
      </c>
      <c r="AD210" s="3" t="n">
        <v>199.0</v>
      </c>
      <c r="AE210" s="3" t="n">
        <v>204.0</v>
      </c>
      <c r="AF210" s="3" t="n">
        <v>212.0</v>
      </c>
      <c r="AG210" s="3" t="n">
        <v>216.0</v>
      </c>
      <c r="AH210" s="3" t="n">
        <v>214.0</v>
      </c>
      <c r="AI210" s="3" t="n">
        <v>231.0</v>
      </c>
      <c r="AJ210" s="3" t="n">
        <v>236.0</v>
      </c>
      <c r="AK210" s="3" t="n">
        <v>228.0</v>
      </c>
      <c r="AL210" s="3" t="n">
        <v>235.0</v>
      </c>
      <c r="AM210" s="3" t="n">
        <v>221.0</v>
      </c>
      <c r="AN210" s="3" t="n">
        <v>211.0</v>
      </c>
      <c r="AO210" s="3" t="n">
        <v>200.0</v>
      </c>
    </row>
    <row r="211" spans="1:41" x14ac:dyDescent="0.2">
      <c r="A211" s="128"/>
      <c r="B211" s="9" t="s">
        <v>79</v>
      </c>
      <c r="C211" s="3" t="n">
        <v>47.0</v>
      </c>
      <c r="D211" s="3" t="n">
        <v>57.0</v>
      </c>
      <c r="E211" s="3" t="n">
        <v>65.0</v>
      </c>
      <c r="F211" s="3" t="n">
        <v>64.0</v>
      </c>
      <c r="G211" s="3" t="n">
        <v>67.0</v>
      </c>
      <c r="H211" s="3" t="n">
        <v>68.0</v>
      </c>
      <c r="I211" s="3" t="n">
        <v>85.0</v>
      </c>
      <c r="J211" s="3" t="n">
        <v>92.0</v>
      </c>
      <c r="K211" s="3" t="n">
        <v>102.0</v>
      </c>
      <c r="L211" s="3" t="n">
        <v>112.0</v>
      </c>
      <c r="M211" s="3" t="n">
        <v>120.0</v>
      </c>
      <c r="N211" s="3" t="n">
        <v>128.0</v>
      </c>
      <c r="O211" s="3" t="n">
        <v>131.0</v>
      </c>
      <c r="P211" s="3" t="n">
        <v>136.0</v>
      </c>
      <c r="Q211" s="3" t="n">
        <v>142.0</v>
      </c>
      <c r="R211" s="3" t="n">
        <v>144.0</v>
      </c>
      <c r="S211" s="3" t="n">
        <v>148.0</v>
      </c>
      <c r="T211" s="3" t="n">
        <v>145.0</v>
      </c>
      <c r="U211" s="3" t="n">
        <v>151.0</v>
      </c>
      <c r="V211" s="3" t="n">
        <v>155.0</v>
      </c>
      <c r="W211" s="3" t="n">
        <v>157.0</v>
      </c>
      <c r="X211" s="3" t="n">
        <v>167.0</v>
      </c>
      <c r="Y211" s="3" t="n">
        <v>172.0</v>
      </c>
      <c r="Z211" s="3" t="n">
        <v>184.0</v>
      </c>
      <c r="AA211" s="3" t="n">
        <v>212.0</v>
      </c>
      <c r="AB211" s="3" t="n">
        <v>245.0</v>
      </c>
      <c r="AC211" s="3" t="n">
        <v>291.0</v>
      </c>
      <c r="AD211" s="3" t="n">
        <v>329.0</v>
      </c>
      <c r="AE211" s="3" t="n">
        <v>364.0</v>
      </c>
      <c r="AF211" s="3" t="n">
        <v>390.0</v>
      </c>
      <c r="AG211" s="3" t="n">
        <v>412.0</v>
      </c>
      <c r="AH211" s="3" t="n">
        <v>429.0</v>
      </c>
      <c r="AI211" s="3" t="n">
        <v>436.0</v>
      </c>
      <c r="AJ211" s="3" t="n">
        <v>454.0</v>
      </c>
      <c r="AK211" s="3" t="n">
        <v>468.0</v>
      </c>
      <c r="AL211" s="3" t="n">
        <v>476.0</v>
      </c>
      <c r="AM211" s="3" t="n">
        <v>488.0</v>
      </c>
      <c r="AN211" s="3" t="n">
        <v>489.0</v>
      </c>
      <c r="AO211" s="3" t="n">
        <v>481.0</v>
      </c>
    </row>
    <row r="212" spans="1:41" x14ac:dyDescent="0.2">
      <c r="A212" s="128" t="s">
        <v>51</v>
      </c>
      <c r="B212" s="14" t="s">
        <v>52</v>
      </c>
      <c r="C212" s="15" t="n">
        <v>844433.0</v>
      </c>
      <c r="D212" s="15" t="n">
        <v>840040.0</v>
      </c>
      <c r="E212" s="15" t="n">
        <v>835358.0</v>
      </c>
      <c r="F212" s="15" t="n">
        <v>830392.0</v>
      </c>
      <c r="G212" s="15" t="n">
        <v>825244.0</v>
      </c>
      <c r="H212" s="15" t="n">
        <v>821191.0</v>
      </c>
      <c r="I212" s="15" t="n">
        <v>817368.0</v>
      </c>
      <c r="J212" s="15" t="n">
        <v>812353.0</v>
      </c>
      <c r="K212" s="15" t="n">
        <v>806631.0</v>
      </c>
      <c r="L212" s="15" t="n">
        <v>800513.0</v>
      </c>
      <c r="M212" s="15" t="n">
        <v>794028.0</v>
      </c>
      <c r="N212" s="15" t="n">
        <v>787296.0</v>
      </c>
      <c r="O212" s="15" t="n">
        <v>780317.0</v>
      </c>
      <c r="P212" s="15" t="n">
        <v>772997.0</v>
      </c>
      <c r="Q212" s="15" t="n">
        <v>765591.0</v>
      </c>
      <c r="R212" s="15" t="n">
        <v>757887.0</v>
      </c>
      <c r="S212" s="15" t="n">
        <v>750002.0</v>
      </c>
      <c r="T212" s="15" t="n">
        <v>741872.0</v>
      </c>
      <c r="U212" s="15" t="n">
        <v>733650.0</v>
      </c>
      <c r="V212" s="15" t="n">
        <v>725245.0</v>
      </c>
      <c r="W212" s="15" t="n">
        <v>716792.0</v>
      </c>
      <c r="X212" s="15" t="n">
        <v>708159.0</v>
      </c>
      <c r="Y212" s="15" t="n">
        <v>699518.0</v>
      </c>
      <c r="Z212" s="15" t="n">
        <v>690824.0</v>
      </c>
      <c r="AA212" s="15" t="n">
        <v>682065.0</v>
      </c>
      <c r="AB212" s="15" t="n">
        <v>673389.0</v>
      </c>
      <c r="AC212" s="15" t="n">
        <v>664615.0</v>
      </c>
      <c r="AD212" s="15" t="n">
        <v>655833.0</v>
      </c>
      <c r="AE212" s="15" t="n">
        <v>647162.0</v>
      </c>
      <c r="AF212" s="15" t="n">
        <v>638499.0</v>
      </c>
      <c r="AG212" s="15" t="n">
        <v>629800.0</v>
      </c>
      <c r="AH212" s="15" t="n">
        <v>621213.0</v>
      </c>
      <c r="AI212" s="15" t="n">
        <v>612584.0</v>
      </c>
      <c r="AJ212" s="15" t="n">
        <v>603913.0</v>
      </c>
      <c r="AK212" s="15" t="n">
        <v>595294.0</v>
      </c>
      <c r="AL212" s="15" t="n">
        <v>586613.0</v>
      </c>
      <c r="AM212" s="15" t="n">
        <v>577822.0</v>
      </c>
      <c r="AN212" s="15" t="n">
        <v>568967.0</v>
      </c>
      <c r="AO212" s="15" t="n">
        <v>560149.0</v>
      </c>
    </row>
    <row r="213" spans="1:41" x14ac:dyDescent="0.2">
      <c r="A213" s="128"/>
      <c r="B213" s="9">
        <v>0</v>
      </c>
      <c r="C213" s="3" t="n">
        <v>5629.0</v>
      </c>
      <c r="D213" s="3" t="n">
        <v>5258.0</v>
      </c>
      <c r="E213" s="3" t="n">
        <v>5061.0</v>
      </c>
      <c r="F213" s="3" t="n">
        <v>4881.0</v>
      </c>
      <c r="G213" s="3" t="n">
        <v>4737.0</v>
      </c>
      <c r="H213" s="3" t="n">
        <v>4599.0</v>
      </c>
      <c r="I213" s="3" t="n">
        <v>4499.0</v>
      </c>
      <c r="J213" s="3" t="n">
        <v>4402.0</v>
      </c>
      <c r="K213" s="3" t="n">
        <v>4314.0</v>
      </c>
      <c r="L213" s="3" t="n">
        <v>4244.0</v>
      </c>
      <c r="M213" s="3" t="n">
        <v>4175.0</v>
      </c>
      <c r="N213" s="3" t="n">
        <v>4126.0</v>
      </c>
      <c r="O213" s="3" t="n">
        <v>4092.0</v>
      </c>
      <c r="P213" s="3" t="n">
        <v>4053.0</v>
      </c>
      <c r="Q213" s="3" t="n">
        <v>4039.0</v>
      </c>
      <c r="R213" s="3" t="n">
        <v>4024.0</v>
      </c>
      <c r="S213" s="3" t="n">
        <v>4019.0</v>
      </c>
      <c r="T213" s="3" t="n">
        <v>4011.0</v>
      </c>
      <c r="U213" s="3" t="n">
        <v>4000.0</v>
      </c>
      <c r="V213" s="3" t="n">
        <v>3980.0</v>
      </c>
      <c r="W213" s="3" t="n">
        <v>3962.0</v>
      </c>
      <c r="X213" s="3" t="n">
        <v>3932.0</v>
      </c>
      <c r="Y213" s="3" t="n">
        <v>3892.0</v>
      </c>
      <c r="Z213" s="3" t="n">
        <v>3842.0</v>
      </c>
      <c r="AA213" s="3" t="n">
        <v>3784.0</v>
      </c>
      <c r="AB213" s="3" t="n">
        <v>3706.0</v>
      </c>
      <c r="AC213" s="3" t="n">
        <v>3627.0</v>
      </c>
      <c r="AD213" s="3" t="n">
        <v>3525.0</v>
      </c>
      <c r="AE213" s="3" t="n">
        <v>3437.0</v>
      </c>
      <c r="AF213" s="3" t="n">
        <v>3335.0</v>
      </c>
      <c r="AG213" s="3" t="n">
        <v>3225.0</v>
      </c>
      <c r="AH213" s="3" t="n">
        <v>3125.0</v>
      </c>
      <c r="AI213" s="3" t="n">
        <v>3010.0</v>
      </c>
      <c r="AJ213" s="3" t="n">
        <v>2906.0</v>
      </c>
      <c r="AK213" s="3" t="n">
        <v>2805.0</v>
      </c>
      <c r="AL213" s="3" t="n">
        <v>2710.0</v>
      </c>
      <c r="AM213" s="3" t="n">
        <v>2616.0</v>
      </c>
      <c r="AN213" s="3" t="n">
        <v>2529.0</v>
      </c>
      <c r="AO213" s="3" t="n">
        <v>2459.0</v>
      </c>
    </row>
    <row r="214" spans="1:41" x14ac:dyDescent="0.2">
      <c r="A214" s="128"/>
      <c r="B214" s="9">
        <v>1</v>
      </c>
      <c r="C214" s="3" t="n">
        <v>6186.0</v>
      </c>
      <c r="D214" s="3" t="n">
        <v>5649.0</v>
      </c>
      <c r="E214" s="3" t="n">
        <v>5286.0</v>
      </c>
      <c r="F214" s="3" t="n">
        <v>5090.0</v>
      </c>
      <c r="G214" s="3" t="n">
        <v>4904.0</v>
      </c>
      <c r="H214" s="3" t="n">
        <v>4775.0</v>
      </c>
      <c r="I214" s="3" t="n">
        <v>4638.0</v>
      </c>
      <c r="J214" s="3" t="n">
        <v>4531.0</v>
      </c>
      <c r="K214" s="3" t="n">
        <v>4432.0</v>
      </c>
      <c r="L214" s="3" t="n">
        <v>4341.0</v>
      </c>
      <c r="M214" s="3" t="n">
        <v>4275.0</v>
      </c>
      <c r="N214" s="3" t="n">
        <v>4203.0</v>
      </c>
      <c r="O214" s="3" t="n">
        <v>4153.0</v>
      </c>
      <c r="P214" s="3" t="n">
        <v>4116.0</v>
      </c>
      <c r="Q214" s="3" t="n">
        <v>4075.0</v>
      </c>
      <c r="R214" s="3" t="n">
        <v>4060.0</v>
      </c>
      <c r="S214" s="3" t="n">
        <v>4044.0</v>
      </c>
      <c r="T214" s="3" t="n">
        <v>4039.0</v>
      </c>
      <c r="U214" s="3" t="n">
        <v>4031.0</v>
      </c>
      <c r="V214" s="3" t="n">
        <v>4019.0</v>
      </c>
      <c r="W214" s="3" t="n">
        <v>4000.0</v>
      </c>
      <c r="X214" s="3" t="n">
        <v>3983.0</v>
      </c>
      <c r="Y214" s="3" t="n">
        <v>3953.0</v>
      </c>
      <c r="Z214" s="3" t="n">
        <v>3914.0</v>
      </c>
      <c r="AA214" s="3" t="n">
        <v>3861.0</v>
      </c>
      <c r="AB214" s="3" t="n">
        <v>3805.0</v>
      </c>
      <c r="AC214" s="3" t="n">
        <v>3728.0</v>
      </c>
      <c r="AD214" s="3" t="n">
        <v>3651.0</v>
      </c>
      <c r="AE214" s="3" t="n">
        <v>3550.0</v>
      </c>
      <c r="AF214" s="3" t="n">
        <v>3463.0</v>
      </c>
      <c r="AG214" s="3" t="n">
        <v>3360.0</v>
      </c>
      <c r="AH214" s="3" t="n">
        <v>3251.0</v>
      </c>
      <c r="AI214" s="3" t="n">
        <v>3152.0</v>
      </c>
      <c r="AJ214" s="3" t="n">
        <v>3039.0</v>
      </c>
      <c r="AK214" s="3" t="n">
        <v>2934.0</v>
      </c>
      <c r="AL214" s="3" t="n">
        <v>2834.0</v>
      </c>
      <c r="AM214" s="3" t="n">
        <v>2740.0</v>
      </c>
      <c r="AN214" s="3" t="n">
        <v>2645.0</v>
      </c>
      <c r="AO214" s="3" t="n">
        <v>2558.0</v>
      </c>
    </row>
    <row r="215" spans="1:41" x14ac:dyDescent="0.2">
      <c r="A215" s="128"/>
      <c r="B215" s="9">
        <v>2</v>
      </c>
      <c r="C215" s="3" t="n">
        <v>6545.0</v>
      </c>
      <c r="D215" s="3" t="n">
        <v>6197.0</v>
      </c>
      <c r="E215" s="3" t="n">
        <v>5665.0</v>
      </c>
      <c r="F215" s="3" t="n">
        <v>5300.0</v>
      </c>
      <c r="G215" s="3" t="n">
        <v>5110.0</v>
      </c>
      <c r="H215" s="3" t="n">
        <v>4938.0</v>
      </c>
      <c r="I215" s="3" t="n">
        <v>4811.0</v>
      </c>
      <c r="J215" s="3" t="n">
        <v>4667.0</v>
      </c>
      <c r="K215" s="3" t="n">
        <v>4548.0</v>
      </c>
      <c r="L215" s="3" t="n">
        <v>4448.0</v>
      </c>
      <c r="M215" s="3" t="n">
        <v>4359.0</v>
      </c>
      <c r="N215" s="3" t="n">
        <v>4292.0</v>
      </c>
      <c r="O215" s="3" t="n">
        <v>4220.0</v>
      </c>
      <c r="P215" s="3" t="n">
        <v>4171.0</v>
      </c>
      <c r="Q215" s="3" t="n">
        <v>4132.0</v>
      </c>
      <c r="R215" s="3" t="n">
        <v>4092.0</v>
      </c>
      <c r="S215" s="3" t="n">
        <v>4075.0</v>
      </c>
      <c r="T215" s="3" t="n">
        <v>4060.0</v>
      </c>
      <c r="U215" s="3" t="n">
        <v>4054.0</v>
      </c>
      <c r="V215" s="3" t="n">
        <v>4046.0</v>
      </c>
      <c r="W215" s="3" t="n">
        <v>4034.0</v>
      </c>
      <c r="X215" s="3" t="n">
        <v>4016.0</v>
      </c>
      <c r="Y215" s="3" t="n">
        <v>4000.0</v>
      </c>
      <c r="Z215" s="3" t="n">
        <v>3970.0</v>
      </c>
      <c r="AA215" s="3" t="n">
        <v>3931.0</v>
      </c>
      <c r="AB215" s="3" t="n">
        <v>3879.0</v>
      </c>
      <c r="AC215" s="3" t="n">
        <v>3824.0</v>
      </c>
      <c r="AD215" s="3" t="n">
        <v>3749.0</v>
      </c>
      <c r="AE215" s="3" t="n">
        <v>3672.0</v>
      </c>
      <c r="AF215" s="3" t="n">
        <v>3570.0</v>
      </c>
      <c r="AG215" s="3" t="n">
        <v>3483.0</v>
      </c>
      <c r="AH215" s="3" t="n">
        <v>3379.0</v>
      </c>
      <c r="AI215" s="3" t="n">
        <v>3268.0</v>
      </c>
      <c r="AJ215" s="3" t="n">
        <v>3168.0</v>
      </c>
      <c r="AK215" s="3" t="n">
        <v>3054.0</v>
      </c>
      <c r="AL215" s="3" t="n">
        <v>2951.0</v>
      </c>
      <c r="AM215" s="3" t="n">
        <v>2852.0</v>
      </c>
      <c r="AN215" s="3" t="n">
        <v>2757.0</v>
      </c>
      <c r="AO215" s="3" t="n">
        <v>2663.0</v>
      </c>
    </row>
    <row r="216" spans="1:41" x14ac:dyDescent="0.2">
      <c r="A216" s="128"/>
      <c r="B216" s="9">
        <v>3</v>
      </c>
      <c r="C216" s="3" t="n">
        <v>7022.0</v>
      </c>
      <c r="D216" s="3" t="n">
        <v>6560.0</v>
      </c>
      <c r="E216" s="3" t="n">
        <v>6215.0</v>
      </c>
      <c r="F216" s="3" t="n">
        <v>5684.0</v>
      </c>
      <c r="G216" s="3" t="n">
        <v>5318.0</v>
      </c>
      <c r="H216" s="3" t="n">
        <v>5146.0</v>
      </c>
      <c r="I216" s="3" t="n">
        <v>4984.0</v>
      </c>
      <c r="J216" s="3" t="n">
        <v>4839.0</v>
      </c>
      <c r="K216" s="3" t="n">
        <v>4691.0</v>
      </c>
      <c r="L216" s="3" t="n">
        <v>4567.0</v>
      </c>
      <c r="M216" s="3" t="n">
        <v>4472.0</v>
      </c>
      <c r="N216" s="3" t="n">
        <v>4381.0</v>
      </c>
      <c r="O216" s="3" t="n">
        <v>4311.0</v>
      </c>
      <c r="P216" s="3" t="n">
        <v>4239.0</v>
      </c>
      <c r="Q216" s="3" t="n">
        <v>4189.0</v>
      </c>
      <c r="R216" s="3" t="n">
        <v>4150.0</v>
      </c>
      <c r="S216" s="3" t="n">
        <v>4109.0</v>
      </c>
      <c r="T216" s="3" t="n">
        <v>4090.0</v>
      </c>
      <c r="U216" s="3" t="n">
        <v>4076.0</v>
      </c>
      <c r="V216" s="3" t="n">
        <v>4069.0</v>
      </c>
      <c r="W216" s="3" t="n">
        <v>4061.0</v>
      </c>
      <c r="X216" s="3" t="n">
        <v>4049.0</v>
      </c>
      <c r="Y216" s="3" t="n">
        <v>4032.0</v>
      </c>
      <c r="Z216" s="3" t="n">
        <v>4017.0</v>
      </c>
      <c r="AA216" s="3" t="n">
        <v>3987.0</v>
      </c>
      <c r="AB216" s="3" t="n">
        <v>3949.0</v>
      </c>
      <c r="AC216" s="3" t="n">
        <v>3897.0</v>
      </c>
      <c r="AD216" s="3" t="n">
        <v>3843.0</v>
      </c>
      <c r="AE216" s="3" t="n">
        <v>3769.0</v>
      </c>
      <c r="AF216" s="3" t="n">
        <v>3692.0</v>
      </c>
      <c r="AG216" s="3" t="n">
        <v>3592.0</v>
      </c>
      <c r="AH216" s="3" t="n">
        <v>3507.0</v>
      </c>
      <c r="AI216" s="3" t="n">
        <v>3403.0</v>
      </c>
      <c r="AJ216" s="3" t="n">
        <v>3292.0</v>
      </c>
      <c r="AK216" s="3" t="n">
        <v>3192.0</v>
      </c>
      <c r="AL216" s="3" t="n">
        <v>3076.0</v>
      </c>
      <c r="AM216" s="3" t="n">
        <v>2972.0</v>
      </c>
      <c r="AN216" s="3" t="n">
        <v>2875.0</v>
      </c>
      <c r="AO216" s="3" t="n">
        <v>2774.0</v>
      </c>
    </row>
    <row r="217" spans="1:41" x14ac:dyDescent="0.2">
      <c r="A217" s="128"/>
      <c r="B217" s="9">
        <v>4</v>
      </c>
      <c r="C217" s="3" t="n">
        <v>7478.0</v>
      </c>
      <c r="D217" s="3" t="n">
        <v>7038.0</v>
      </c>
      <c r="E217" s="3" t="n">
        <v>6577.0</v>
      </c>
      <c r="F217" s="3" t="n">
        <v>6230.0</v>
      </c>
      <c r="G217" s="3" t="n">
        <v>5699.0</v>
      </c>
      <c r="H217" s="3" t="n">
        <v>5355.0</v>
      </c>
      <c r="I217" s="3" t="n">
        <v>5195.0</v>
      </c>
      <c r="J217" s="3" t="n">
        <v>5021.0</v>
      </c>
      <c r="K217" s="3" t="n">
        <v>4869.0</v>
      </c>
      <c r="L217" s="3" t="n">
        <v>4713.0</v>
      </c>
      <c r="M217" s="3" t="n">
        <v>4587.0</v>
      </c>
      <c r="N217" s="3" t="n">
        <v>4490.0</v>
      </c>
      <c r="O217" s="3" t="n">
        <v>4398.0</v>
      </c>
      <c r="P217" s="3" t="n">
        <v>4324.0</v>
      </c>
      <c r="Q217" s="3" t="n">
        <v>4252.0</v>
      </c>
      <c r="R217" s="3" t="n">
        <v>4202.0</v>
      </c>
      <c r="S217" s="3" t="n">
        <v>4163.0</v>
      </c>
      <c r="T217" s="3" t="n">
        <v>4122.0</v>
      </c>
      <c r="U217" s="3" t="n">
        <v>4102.0</v>
      </c>
      <c r="V217" s="3" t="n">
        <v>4088.0</v>
      </c>
      <c r="W217" s="3" t="n">
        <v>4081.0</v>
      </c>
      <c r="X217" s="3" t="n">
        <v>4074.0</v>
      </c>
      <c r="Y217" s="3" t="n">
        <v>4062.0</v>
      </c>
      <c r="Z217" s="3" t="n">
        <v>4046.0</v>
      </c>
      <c r="AA217" s="3" t="n">
        <v>4030.0</v>
      </c>
      <c r="AB217" s="3" t="n">
        <v>4000.0</v>
      </c>
      <c r="AC217" s="3" t="n">
        <v>3963.0</v>
      </c>
      <c r="AD217" s="3" t="n">
        <v>3911.0</v>
      </c>
      <c r="AE217" s="3" t="n">
        <v>3862.0</v>
      </c>
      <c r="AF217" s="3" t="n">
        <v>3788.0</v>
      </c>
      <c r="AG217" s="3" t="n">
        <v>3710.0</v>
      </c>
      <c r="AH217" s="3" t="n">
        <v>3610.0</v>
      </c>
      <c r="AI217" s="3" t="n">
        <v>3523.0</v>
      </c>
      <c r="AJ217" s="3" t="n">
        <v>3421.0</v>
      </c>
      <c r="AK217" s="3" t="n">
        <v>3312.0</v>
      </c>
      <c r="AL217" s="3" t="n">
        <v>3212.0</v>
      </c>
      <c r="AM217" s="3" t="n">
        <v>3095.0</v>
      </c>
      <c r="AN217" s="3" t="n">
        <v>2996.0</v>
      </c>
      <c r="AO217" s="3" t="n">
        <v>2897.0</v>
      </c>
    </row>
    <row r="218" spans="1:41" x14ac:dyDescent="0.2">
      <c r="A218" s="128"/>
      <c r="B218" s="9">
        <v>5</v>
      </c>
      <c r="C218" s="3" t="n">
        <v>8107.0</v>
      </c>
      <c r="D218" s="3" t="n">
        <v>7484.0</v>
      </c>
      <c r="E218" s="3" t="n">
        <v>7050.0</v>
      </c>
      <c r="F218" s="3" t="n">
        <v>6590.0</v>
      </c>
      <c r="G218" s="3" t="n">
        <v>6249.0</v>
      </c>
      <c r="H218" s="3" t="n">
        <v>5738.0</v>
      </c>
      <c r="I218" s="3" t="n">
        <v>5401.0</v>
      </c>
      <c r="J218" s="3" t="n">
        <v>5225.0</v>
      </c>
      <c r="K218" s="3" t="n">
        <v>5041.0</v>
      </c>
      <c r="L218" s="3" t="n">
        <v>4890.0</v>
      </c>
      <c r="M218" s="3" t="n">
        <v>4732.0</v>
      </c>
      <c r="N218" s="3" t="n">
        <v>4606.0</v>
      </c>
      <c r="O218" s="3" t="n">
        <v>4505.0</v>
      </c>
      <c r="P218" s="3" t="n">
        <v>4410.0</v>
      </c>
      <c r="Q218" s="3" t="n">
        <v>4338.0</v>
      </c>
      <c r="R218" s="3" t="n">
        <v>4266.0</v>
      </c>
      <c r="S218" s="3" t="n">
        <v>4215.0</v>
      </c>
      <c r="T218" s="3" t="n">
        <v>4176.0</v>
      </c>
      <c r="U218" s="3" t="n">
        <v>4135.0</v>
      </c>
      <c r="V218" s="3" t="n">
        <v>4115.0</v>
      </c>
      <c r="W218" s="3" t="n">
        <v>4100.0</v>
      </c>
      <c r="X218" s="3" t="n">
        <v>4092.0</v>
      </c>
      <c r="Y218" s="3" t="n">
        <v>4086.0</v>
      </c>
      <c r="Z218" s="3" t="n">
        <v>4073.0</v>
      </c>
      <c r="AA218" s="3" t="n">
        <v>4056.0</v>
      </c>
      <c r="AB218" s="3" t="n">
        <v>4040.0</v>
      </c>
      <c r="AC218" s="3" t="n">
        <v>4010.0</v>
      </c>
      <c r="AD218" s="3" t="n">
        <v>3972.0</v>
      </c>
      <c r="AE218" s="3" t="n">
        <v>3921.0</v>
      </c>
      <c r="AF218" s="3" t="n">
        <v>3871.0</v>
      </c>
      <c r="AG218" s="3" t="n">
        <v>3798.0</v>
      </c>
      <c r="AH218" s="3" t="n">
        <v>3722.0</v>
      </c>
      <c r="AI218" s="3" t="n">
        <v>3624.0</v>
      </c>
      <c r="AJ218" s="3" t="n">
        <v>3537.0</v>
      </c>
      <c r="AK218" s="3" t="n">
        <v>3434.0</v>
      </c>
      <c r="AL218" s="3" t="n">
        <v>3325.0</v>
      </c>
      <c r="AM218" s="3" t="n">
        <v>3222.0</v>
      </c>
      <c r="AN218" s="3" t="n">
        <v>3108.0</v>
      </c>
      <c r="AO218" s="3" t="n">
        <v>3007.0</v>
      </c>
    </row>
    <row r="219" spans="1:41" x14ac:dyDescent="0.2">
      <c r="A219" s="128"/>
      <c r="B219" s="9">
        <v>6</v>
      </c>
      <c r="C219" s="3" t="n">
        <v>7870.0</v>
      </c>
      <c r="D219" s="3" t="n">
        <v>8121.0</v>
      </c>
      <c r="E219" s="3" t="n">
        <v>7501.0</v>
      </c>
      <c r="F219" s="3" t="n">
        <v>7068.0</v>
      </c>
      <c r="G219" s="3" t="n">
        <v>6603.0</v>
      </c>
      <c r="H219" s="3" t="n">
        <v>6284.0</v>
      </c>
      <c r="I219" s="3" t="n">
        <v>5789.0</v>
      </c>
      <c r="J219" s="3" t="n">
        <v>5436.0</v>
      </c>
      <c r="K219" s="3" t="n">
        <v>5248.0</v>
      </c>
      <c r="L219" s="3" t="n">
        <v>5059.0</v>
      </c>
      <c r="M219" s="3" t="n">
        <v>4909.0</v>
      </c>
      <c r="N219" s="3" t="n">
        <v>4751.0</v>
      </c>
      <c r="O219" s="3" t="n">
        <v>4624.0</v>
      </c>
      <c r="P219" s="3" t="n">
        <v>4518.0</v>
      </c>
      <c r="Q219" s="3" t="n">
        <v>4423.0</v>
      </c>
      <c r="R219" s="3" t="n">
        <v>4353.0</v>
      </c>
      <c r="S219" s="3" t="n">
        <v>4279.0</v>
      </c>
      <c r="T219" s="3" t="n">
        <v>4228.0</v>
      </c>
      <c r="U219" s="3" t="n">
        <v>4188.0</v>
      </c>
      <c r="V219" s="3" t="n">
        <v>4147.0</v>
      </c>
      <c r="W219" s="3" t="n">
        <v>4127.0</v>
      </c>
      <c r="X219" s="3" t="n">
        <v>4111.0</v>
      </c>
      <c r="Y219" s="3" t="n">
        <v>4103.0</v>
      </c>
      <c r="Z219" s="3" t="n">
        <v>4098.0</v>
      </c>
      <c r="AA219" s="3" t="n">
        <v>4086.0</v>
      </c>
      <c r="AB219" s="3" t="n">
        <v>4069.0</v>
      </c>
      <c r="AC219" s="3" t="n">
        <v>4055.0</v>
      </c>
      <c r="AD219" s="3" t="n">
        <v>4025.0</v>
      </c>
      <c r="AE219" s="3" t="n">
        <v>3986.0</v>
      </c>
      <c r="AF219" s="3" t="n">
        <v>3937.0</v>
      </c>
      <c r="AG219" s="3" t="n">
        <v>3890.0</v>
      </c>
      <c r="AH219" s="3" t="n">
        <v>3817.0</v>
      </c>
      <c r="AI219" s="3" t="n">
        <v>3740.0</v>
      </c>
      <c r="AJ219" s="3" t="n">
        <v>3643.0</v>
      </c>
      <c r="AK219" s="3" t="n">
        <v>3553.0</v>
      </c>
      <c r="AL219" s="3" t="n">
        <v>3452.0</v>
      </c>
      <c r="AM219" s="3" t="n">
        <v>3342.0</v>
      </c>
      <c r="AN219" s="3" t="n">
        <v>3237.0</v>
      </c>
      <c r="AO219" s="3" t="n">
        <v>3123.0</v>
      </c>
    </row>
    <row r="220" spans="1:41" x14ac:dyDescent="0.2">
      <c r="A220" s="128"/>
      <c r="B220" s="9">
        <v>7</v>
      </c>
      <c r="C220" s="3" t="n">
        <v>7803.0</v>
      </c>
      <c r="D220" s="3" t="n">
        <v>7875.0</v>
      </c>
      <c r="E220" s="3" t="n">
        <v>8123.0</v>
      </c>
      <c r="F220" s="3" t="n">
        <v>7505.0</v>
      </c>
      <c r="G220" s="3" t="n">
        <v>7078.0</v>
      </c>
      <c r="H220" s="3" t="n">
        <v>6634.0</v>
      </c>
      <c r="I220" s="3" t="n">
        <v>6328.0</v>
      </c>
      <c r="J220" s="3" t="n">
        <v>5815.0</v>
      </c>
      <c r="K220" s="3" t="n">
        <v>5455.0</v>
      </c>
      <c r="L220" s="3" t="n">
        <v>5266.0</v>
      </c>
      <c r="M220" s="3" t="n">
        <v>5075.0</v>
      </c>
      <c r="N220" s="3" t="n">
        <v>4924.0</v>
      </c>
      <c r="O220" s="3" t="n">
        <v>4767.0</v>
      </c>
      <c r="P220" s="3" t="n">
        <v>4639.0</v>
      </c>
      <c r="Q220" s="3" t="n">
        <v>4535.0</v>
      </c>
      <c r="R220" s="3" t="n">
        <v>4438.0</v>
      </c>
      <c r="S220" s="3" t="n">
        <v>4364.0</v>
      </c>
      <c r="T220" s="3" t="n">
        <v>4287.0</v>
      </c>
      <c r="U220" s="3" t="n">
        <v>4237.0</v>
      </c>
      <c r="V220" s="3" t="n">
        <v>4198.0</v>
      </c>
      <c r="W220" s="3" t="n">
        <v>4158.0</v>
      </c>
      <c r="X220" s="3" t="n">
        <v>4137.0</v>
      </c>
      <c r="Y220" s="3" t="n">
        <v>4119.0</v>
      </c>
      <c r="Z220" s="3" t="n">
        <v>4111.0</v>
      </c>
      <c r="AA220" s="3" t="n">
        <v>4107.0</v>
      </c>
      <c r="AB220" s="3" t="n">
        <v>4095.0</v>
      </c>
      <c r="AC220" s="3" t="n">
        <v>4078.0</v>
      </c>
      <c r="AD220" s="3" t="n">
        <v>4064.0</v>
      </c>
      <c r="AE220" s="3" t="n">
        <v>4034.0</v>
      </c>
      <c r="AF220" s="3" t="n">
        <v>3996.0</v>
      </c>
      <c r="AG220" s="3" t="n">
        <v>3946.0</v>
      </c>
      <c r="AH220" s="3" t="n">
        <v>3899.0</v>
      </c>
      <c r="AI220" s="3" t="n">
        <v>3823.0</v>
      </c>
      <c r="AJ220" s="3" t="n">
        <v>3746.0</v>
      </c>
      <c r="AK220" s="3" t="n">
        <v>3649.0</v>
      </c>
      <c r="AL220" s="3" t="n">
        <v>3560.0</v>
      </c>
      <c r="AM220" s="3" t="n">
        <v>3460.0</v>
      </c>
      <c r="AN220" s="3" t="n">
        <v>3352.0</v>
      </c>
      <c r="AO220" s="3" t="n">
        <v>3247.0</v>
      </c>
    </row>
    <row r="221" spans="1:41" x14ac:dyDescent="0.2">
      <c r="A221" s="128"/>
      <c r="B221" s="9">
        <v>8</v>
      </c>
      <c r="C221" s="3" t="n">
        <v>7938.0</v>
      </c>
      <c r="D221" s="3" t="n">
        <v>7799.0</v>
      </c>
      <c r="E221" s="3" t="n">
        <v>7869.0</v>
      </c>
      <c r="F221" s="3" t="n">
        <v>8121.0</v>
      </c>
      <c r="G221" s="3" t="n">
        <v>7504.0</v>
      </c>
      <c r="H221" s="3" t="n">
        <v>7116.0</v>
      </c>
      <c r="I221" s="3" t="n">
        <v>6680.0</v>
      </c>
      <c r="J221" s="3" t="n">
        <v>6352.0</v>
      </c>
      <c r="K221" s="3" t="n">
        <v>5826.0</v>
      </c>
      <c r="L221" s="3" t="n">
        <v>5462.0</v>
      </c>
      <c r="M221" s="3" t="n">
        <v>5275.0</v>
      </c>
      <c r="N221" s="3" t="n">
        <v>5080.0</v>
      </c>
      <c r="O221" s="3" t="n">
        <v>4928.0</v>
      </c>
      <c r="P221" s="3" t="n">
        <v>4772.0</v>
      </c>
      <c r="Q221" s="3" t="n">
        <v>4645.0</v>
      </c>
      <c r="R221" s="3" t="n">
        <v>4541.0</v>
      </c>
      <c r="S221" s="3" t="n">
        <v>4444.0</v>
      </c>
      <c r="T221" s="3" t="n">
        <v>4369.0</v>
      </c>
      <c r="U221" s="3" t="n">
        <v>4291.0</v>
      </c>
      <c r="V221" s="3" t="n">
        <v>4240.0</v>
      </c>
      <c r="W221" s="3" t="n">
        <v>4201.0</v>
      </c>
      <c r="X221" s="3" t="n">
        <v>4160.0</v>
      </c>
      <c r="Y221" s="3" t="n">
        <v>4138.0</v>
      </c>
      <c r="Z221" s="3" t="n">
        <v>4121.0</v>
      </c>
      <c r="AA221" s="3" t="n">
        <v>4112.0</v>
      </c>
      <c r="AB221" s="3" t="n">
        <v>4107.0</v>
      </c>
      <c r="AC221" s="3" t="n">
        <v>4094.0</v>
      </c>
      <c r="AD221" s="3" t="n">
        <v>4078.0</v>
      </c>
      <c r="AE221" s="3" t="n">
        <v>4063.0</v>
      </c>
      <c r="AF221" s="3" t="n">
        <v>4035.0</v>
      </c>
      <c r="AG221" s="3" t="n">
        <v>3997.0</v>
      </c>
      <c r="AH221" s="3" t="n">
        <v>3945.0</v>
      </c>
      <c r="AI221" s="3" t="n">
        <v>3897.0</v>
      </c>
      <c r="AJ221" s="3" t="n">
        <v>3823.0</v>
      </c>
      <c r="AK221" s="3" t="n">
        <v>3746.0</v>
      </c>
      <c r="AL221" s="3" t="n">
        <v>3653.0</v>
      </c>
      <c r="AM221" s="3" t="n">
        <v>3565.0</v>
      </c>
      <c r="AN221" s="3" t="n">
        <v>3467.0</v>
      </c>
      <c r="AO221" s="3" t="n">
        <v>3362.0</v>
      </c>
    </row>
    <row r="222" spans="1:41" x14ac:dyDescent="0.2">
      <c r="A222" s="128"/>
      <c r="B222" s="9">
        <v>9</v>
      </c>
      <c r="C222" s="3" t="n">
        <v>7706.0</v>
      </c>
      <c r="D222" s="3" t="n">
        <v>7938.0</v>
      </c>
      <c r="E222" s="3" t="n">
        <v>7800.0</v>
      </c>
      <c r="F222" s="3" t="n">
        <v>7871.0</v>
      </c>
      <c r="G222" s="3" t="n">
        <v>8123.0</v>
      </c>
      <c r="H222" s="3" t="n">
        <v>7535.0</v>
      </c>
      <c r="I222" s="3" t="n">
        <v>7159.0</v>
      </c>
      <c r="J222" s="3" t="n">
        <v>6704.0</v>
      </c>
      <c r="K222" s="3" t="n">
        <v>6366.0</v>
      </c>
      <c r="L222" s="3" t="n">
        <v>5833.0</v>
      </c>
      <c r="M222" s="3" t="n">
        <v>5471.0</v>
      </c>
      <c r="N222" s="3" t="n">
        <v>5283.0</v>
      </c>
      <c r="O222" s="3" t="n">
        <v>5085.0</v>
      </c>
      <c r="P222" s="3" t="n">
        <v>4933.0</v>
      </c>
      <c r="Q222" s="3" t="n">
        <v>4780.0</v>
      </c>
      <c r="R222" s="3" t="n">
        <v>4652.0</v>
      </c>
      <c r="S222" s="3" t="n">
        <v>4546.0</v>
      </c>
      <c r="T222" s="3" t="n">
        <v>4448.0</v>
      </c>
      <c r="U222" s="3" t="n">
        <v>4372.0</v>
      </c>
      <c r="V222" s="3" t="n">
        <v>4294.0</v>
      </c>
      <c r="W222" s="3" t="n">
        <v>4244.0</v>
      </c>
      <c r="X222" s="3" t="n">
        <v>4204.0</v>
      </c>
      <c r="Y222" s="3" t="n">
        <v>4164.0</v>
      </c>
      <c r="Z222" s="3" t="n">
        <v>4142.0</v>
      </c>
      <c r="AA222" s="3" t="n">
        <v>4125.0</v>
      </c>
      <c r="AB222" s="3" t="n">
        <v>4116.0</v>
      </c>
      <c r="AC222" s="3" t="n">
        <v>4110.0</v>
      </c>
      <c r="AD222" s="3" t="n">
        <v>4097.0</v>
      </c>
      <c r="AE222" s="3" t="n">
        <v>4083.0</v>
      </c>
      <c r="AF222" s="3" t="n">
        <v>4068.0</v>
      </c>
      <c r="AG222" s="3" t="n">
        <v>4040.0</v>
      </c>
      <c r="AH222" s="3" t="n">
        <v>4001.0</v>
      </c>
      <c r="AI222" s="3" t="n">
        <v>3949.0</v>
      </c>
      <c r="AJ222" s="3" t="n">
        <v>3901.0</v>
      </c>
      <c r="AK222" s="3" t="n">
        <v>3827.0</v>
      </c>
      <c r="AL222" s="3" t="n">
        <v>3749.0</v>
      </c>
      <c r="AM222" s="3" t="n">
        <v>3657.0</v>
      </c>
      <c r="AN222" s="3" t="n">
        <v>3570.0</v>
      </c>
      <c r="AO222" s="3" t="n">
        <v>3470.0</v>
      </c>
    </row>
    <row r="223" spans="1:41" x14ac:dyDescent="0.2">
      <c r="A223" s="128"/>
      <c r="B223" s="9">
        <v>10</v>
      </c>
      <c r="C223" s="3" t="n">
        <v>8055.0</v>
      </c>
      <c r="D223" s="3" t="n">
        <v>7710.0</v>
      </c>
      <c r="E223" s="3" t="n">
        <v>7939.0</v>
      </c>
      <c r="F223" s="3" t="n">
        <v>7802.0</v>
      </c>
      <c r="G223" s="3" t="n">
        <v>7876.0</v>
      </c>
      <c r="H223" s="3" t="n">
        <v>8154.0</v>
      </c>
      <c r="I223" s="3" t="n">
        <v>7573.0</v>
      </c>
      <c r="J223" s="3" t="n">
        <v>7180.0</v>
      </c>
      <c r="K223" s="3" t="n">
        <v>6713.0</v>
      </c>
      <c r="L223" s="3" t="n">
        <v>6370.0</v>
      </c>
      <c r="M223" s="3" t="n">
        <v>5842.0</v>
      </c>
      <c r="N223" s="3" t="n">
        <v>5478.0</v>
      </c>
      <c r="O223" s="3" t="n">
        <v>5287.0</v>
      </c>
      <c r="P223" s="3" t="n">
        <v>5091.0</v>
      </c>
      <c r="Q223" s="3" t="n">
        <v>4939.0</v>
      </c>
      <c r="R223" s="3" t="n">
        <v>4785.0</v>
      </c>
      <c r="S223" s="3" t="n">
        <v>4657.0</v>
      </c>
      <c r="T223" s="3" t="n">
        <v>4551.0</v>
      </c>
      <c r="U223" s="3" t="n">
        <v>4455.0</v>
      </c>
      <c r="V223" s="3" t="n">
        <v>4381.0</v>
      </c>
      <c r="W223" s="3" t="n">
        <v>4301.0</v>
      </c>
      <c r="X223" s="3" t="n">
        <v>4250.0</v>
      </c>
      <c r="Y223" s="3" t="n">
        <v>4210.0</v>
      </c>
      <c r="Z223" s="3" t="n">
        <v>4170.0</v>
      </c>
      <c r="AA223" s="3" t="n">
        <v>4147.0</v>
      </c>
      <c r="AB223" s="3" t="n">
        <v>4129.0</v>
      </c>
      <c r="AC223" s="3" t="n">
        <v>4118.0</v>
      </c>
      <c r="AD223" s="3" t="n">
        <v>4111.0</v>
      </c>
      <c r="AE223" s="3" t="n">
        <v>4098.0</v>
      </c>
      <c r="AF223" s="3" t="n">
        <v>4084.0</v>
      </c>
      <c r="AG223" s="3" t="n">
        <v>4069.0</v>
      </c>
      <c r="AH223" s="3" t="n">
        <v>4041.0</v>
      </c>
      <c r="AI223" s="3" t="n">
        <v>4002.0</v>
      </c>
      <c r="AJ223" s="3" t="n">
        <v>3952.0</v>
      </c>
      <c r="AK223" s="3" t="n">
        <v>3905.0</v>
      </c>
      <c r="AL223" s="3" t="n">
        <v>3832.0</v>
      </c>
      <c r="AM223" s="3" t="n">
        <v>3754.0</v>
      </c>
      <c r="AN223" s="3" t="n">
        <v>3661.0</v>
      </c>
      <c r="AO223" s="3" t="n">
        <v>3575.0</v>
      </c>
    </row>
    <row r="224" spans="1:41" x14ac:dyDescent="0.2">
      <c r="A224" s="128"/>
      <c r="B224" s="9">
        <v>11</v>
      </c>
      <c r="C224" s="3" t="n">
        <v>8136.0</v>
      </c>
      <c r="D224" s="3" t="n">
        <v>8061.0</v>
      </c>
      <c r="E224" s="3" t="n">
        <v>7716.0</v>
      </c>
      <c r="F224" s="3" t="n">
        <v>7942.0</v>
      </c>
      <c r="G224" s="3" t="n">
        <v>7807.0</v>
      </c>
      <c r="H224" s="3" t="n">
        <v>7912.0</v>
      </c>
      <c r="I224" s="3" t="n">
        <v>8202.0</v>
      </c>
      <c r="J224" s="3" t="n">
        <v>7598.0</v>
      </c>
      <c r="K224" s="3" t="n">
        <v>7197.0</v>
      </c>
      <c r="L224" s="3" t="n">
        <v>6725.0</v>
      </c>
      <c r="M224" s="3" t="n">
        <v>6376.0</v>
      </c>
      <c r="N224" s="3" t="n">
        <v>5849.0</v>
      </c>
      <c r="O224" s="3" t="n">
        <v>5487.0</v>
      </c>
      <c r="P224" s="3" t="n">
        <v>5294.0</v>
      </c>
      <c r="Q224" s="3" t="n">
        <v>5100.0</v>
      </c>
      <c r="R224" s="3" t="n">
        <v>4945.0</v>
      </c>
      <c r="S224" s="3" t="n">
        <v>4791.0</v>
      </c>
      <c r="T224" s="3" t="n">
        <v>4660.0</v>
      </c>
      <c r="U224" s="3" t="n">
        <v>4556.0</v>
      </c>
      <c r="V224" s="3" t="n">
        <v>4460.0</v>
      </c>
      <c r="W224" s="3" t="n">
        <v>4386.0</v>
      </c>
      <c r="X224" s="3" t="n">
        <v>4305.0</v>
      </c>
      <c r="Y224" s="3" t="n">
        <v>4255.0</v>
      </c>
      <c r="Z224" s="3" t="n">
        <v>4215.0</v>
      </c>
      <c r="AA224" s="3" t="n">
        <v>4174.0</v>
      </c>
      <c r="AB224" s="3" t="n">
        <v>4150.0</v>
      </c>
      <c r="AC224" s="3" t="n">
        <v>4131.0</v>
      </c>
      <c r="AD224" s="3" t="n">
        <v>4121.0</v>
      </c>
      <c r="AE224" s="3" t="n">
        <v>4114.0</v>
      </c>
      <c r="AF224" s="3" t="n">
        <v>4101.0</v>
      </c>
      <c r="AG224" s="3" t="n">
        <v>4086.0</v>
      </c>
      <c r="AH224" s="3" t="n">
        <v>4070.0</v>
      </c>
      <c r="AI224" s="3" t="n">
        <v>4042.0</v>
      </c>
      <c r="AJ224" s="3" t="n">
        <v>4002.0</v>
      </c>
      <c r="AK224" s="3" t="n">
        <v>3952.0</v>
      </c>
      <c r="AL224" s="3" t="n">
        <v>3906.0</v>
      </c>
      <c r="AM224" s="3" t="n">
        <v>3830.0</v>
      </c>
      <c r="AN224" s="3" t="n">
        <v>3755.0</v>
      </c>
      <c r="AO224" s="3" t="n">
        <v>3665.0</v>
      </c>
    </row>
    <row r="225" spans="1:41" x14ac:dyDescent="0.2">
      <c r="A225" s="128"/>
      <c r="B225" s="9">
        <v>12</v>
      </c>
      <c r="C225" s="3" t="n">
        <v>8532.0</v>
      </c>
      <c r="D225" s="3" t="n">
        <v>8131.0</v>
      </c>
      <c r="E225" s="3" t="n">
        <v>8059.0</v>
      </c>
      <c r="F225" s="3" t="n">
        <v>7711.0</v>
      </c>
      <c r="G225" s="3" t="n">
        <v>7941.0</v>
      </c>
      <c r="H225" s="3" t="n">
        <v>7833.0</v>
      </c>
      <c r="I225" s="3" t="n">
        <v>7945.0</v>
      </c>
      <c r="J225" s="3" t="n">
        <v>8216.0</v>
      </c>
      <c r="K225" s="3" t="n">
        <v>7602.0</v>
      </c>
      <c r="L225" s="3" t="n">
        <v>7202.0</v>
      </c>
      <c r="M225" s="3" t="n">
        <v>6728.0</v>
      </c>
      <c r="N225" s="3" t="n">
        <v>6369.0</v>
      </c>
      <c r="O225" s="3" t="n">
        <v>5846.0</v>
      </c>
      <c r="P225" s="3" t="n">
        <v>5484.0</v>
      </c>
      <c r="Q225" s="3" t="n">
        <v>5294.0</v>
      </c>
      <c r="R225" s="3" t="n">
        <v>5099.0</v>
      </c>
      <c r="S225" s="3" t="n">
        <v>4946.0</v>
      </c>
      <c r="T225" s="3" t="n">
        <v>4790.0</v>
      </c>
      <c r="U225" s="3" t="n">
        <v>4659.0</v>
      </c>
      <c r="V225" s="3" t="n">
        <v>4555.0</v>
      </c>
      <c r="W225" s="3" t="n">
        <v>4459.0</v>
      </c>
      <c r="X225" s="3" t="n">
        <v>4385.0</v>
      </c>
      <c r="Y225" s="3" t="n">
        <v>4301.0</v>
      </c>
      <c r="Z225" s="3" t="n">
        <v>4252.0</v>
      </c>
      <c r="AA225" s="3" t="n">
        <v>4212.0</v>
      </c>
      <c r="AB225" s="3" t="n">
        <v>4172.0</v>
      </c>
      <c r="AC225" s="3" t="n">
        <v>4148.0</v>
      </c>
      <c r="AD225" s="3" t="n">
        <v>4130.0</v>
      </c>
      <c r="AE225" s="3" t="n">
        <v>4120.0</v>
      </c>
      <c r="AF225" s="3" t="n">
        <v>4114.0</v>
      </c>
      <c r="AG225" s="3" t="n">
        <v>4101.0</v>
      </c>
      <c r="AH225" s="3" t="n">
        <v>4086.0</v>
      </c>
      <c r="AI225" s="3" t="n">
        <v>4071.0</v>
      </c>
      <c r="AJ225" s="3" t="n">
        <v>4042.0</v>
      </c>
      <c r="AK225" s="3" t="n">
        <v>4001.0</v>
      </c>
      <c r="AL225" s="3" t="n">
        <v>3950.0</v>
      </c>
      <c r="AM225" s="3" t="n">
        <v>3902.0</v>
      </c>
      <c r="AN225" s="3" t="n">
        <v>3825.0</v>
      </c>
      <c r="AO225" s="3" t="n">
        <v>3750.0</v>
      </c>
    </row>
    <row r="226" spans="1:41" x14ac:dyDescent="0.2">
      <c r="A226" s="128"/>
      <c r="B226" s="9">
        <v>13</v>
      </c>
      <c r="C226" s="3" t="n">
        <v>8828.0</v>
      </c>
      <c r="D226" s="3" t="n">
        <v>8529.0</v>
      </c>
      <c r="E226" s="3" t="n">
        <v>8129.0</v>
      </c>
      <c r="F226" s="3" t="n">
        <v>8055.0</v>
      </c>
      <c r="G226" s="3" t="n">
        <v>7711.0</v>
      </c>
      <c r="H226" s="3" t="n">
        <v>7967.0</v>
      </c>
      <c r="I226" s="3" t="n">
        <v>7866.0</v>
      </c>
      <c r="J226" s="3" t="n">
        <v>7959.0</v>
      </c>
      <c r="K226" s="3" t="n">
        <v>8225.0</v>
      </c>
      <c r="L226" s="3" t="n">
        <v>7606.0</v>
      </c>
      <c r="M226" s="3" t="n">
        <v>7206.0</v>
      </c>
      <c r="N226" s="3" t="n">
        <v>6732.0</v>
      </c>
      <c r="O226" s="3" t="n">
        <v>6374.0</v>
      </c>
      <c r="P226" s="3" t="n">
        <v>5851.0</v>
      </c>
      <c r="Q226" s="3" t="n">
        <v>5486.0</v>
      </c>
      <c r="R226" s="3" t="n">
        <v>5297.0</v>
      </c>
      <c r="S226" s="3" t="n">
        <v>5101.0</v>
      </c>
      <c r="T226" s="3" t="n">
        <v>4941.0</v>
      </c>
      <c r="U226" s="3" t="n">
        <v>4784.0</v>
      </c>
      <c r="V226" s="3" t="n">
        <v>4653.0</v>
      </c>
      <c r="W226" s="3" t="n">
        <v>4551.0</v>
      </c>
      <c r="X226" s="3" t="n">
        <v>4453.0</v>
      </c>
      <c r="Y226" s="3" t="n">
        <v>4380.0</v>
      </c>
      <c r="Z226" s="3" t="n">
        <v>4296.0</v>
      </c>
      <c r="AA226" s="3" t="n">
        <v>4248.0</v>
      </c>
      <c r="AB226" s="3" t="n">
        <v>4207.0</v>
      </c>
      <c r="AC226" s="3" t="n">
        <v>4168.0</v>
      </c>
      <c r="AD226" s="3" t="n">
        <v>4144.0</v>
      </c>
      <c r="AE226" s="3" t="n">
        <v>4127.0</v>
      </c>
      <c r="AF226" s="3" t="n">
        <v>4116.0</v>
      </c>
      <c r="AG226" s="3" t="n">
        <v>4110.0</v>
      </c>
      <c r="AH226" s="3" t="n">
        <v>4097.0</v>
      </c>
      <c r="AI226" s="3" t="n">
        <v>4082.0</v>
      </c>
      <c r="AJ226" s="3" t="n">
        <v>4067.0</v>
      </c>
      <c r="AK226" s="3" t="n">
        <v>4038.0</v>
      </c>
      <c r="AL226" s="3" t="n">
        <v>3997.0</v>
      </c>
      <c r="AM226" s="3" t="n">
        <v>3947.0</v>
      </c>
      <c r="AN226" s="3" t="n">
        <v>3900.0</v>
      </c>
      <c r="AO226" s="3" t="n">
        <v>3825.0</v>
      </c>
    </row>
    <row r="227" spans="1:41" x14ac:dyDescent="0.2">
      <c r="A227" s="128"/>
      <c r="B227" s="9">
        <v>14</v>
      </c>
      <c r="C227" s="3" t="n">
        <v>9054.0</v>
      </c>
      <c r="D227" s="3" t="n">
        <v>8829.0</v>
      </c>
      <c r="E227" s="3" t="n">
        <v>8531.0</v>
      </c>
      <c r="F227" s="3" t="n">
        <v>8130.0</v>
      </c>
      <c r="G227" s="3" t="n">
        <v>8054.0</v>
      </c>
      <c r="H227" s="3" t="n">
        <v>7736.0</v>
      </c>
      <c r="I227" s="3" t="n">
        <v>8006.0</v>
      </c>
      <c r="J227" s="3" t="n">
        <v>7886.0</v>
      </c>
      <c r="K227" s="3" t="n">
        <v>7968.0</v>
      </c>
      <c r="L227" s="3" t="n">
        <v>8227.0</v>
      </c>
      <c r="M227" s="3" t="n">
        <v>7609.0</v>
      </c>
      <c r="N227" s="3" t="n">
        <v>7207.0</v>
      </c>
      <c r="O227" s="3" t="n">
        <v>6730.0</v>
      </c>
      <c r="P227" s="3" t="n">
        <v>6375.0</v>
      </c>
      <c r="Q227" s="3" t="n">
        <v>5853.0</v>
      </c>
      <c r="R227" s="3" t="n">
        <v>5494.0</v>
      </c>
      <c r="S227" s="3" t="n">
        <v>5304.0</v>
      </c>
      <c r="T227" s="3" t="n">
        <v>5106.0</v>
      </c>
      <c r="U227" s="3" t="n">
        <v>4945.0</v>
      </c>
      <c r="V227" s="3" t="n">
        <v>4789.0</v>
      </c>
      <c r="W227" s="3" t="n">
        <v>4656.0</v>
      </c>
      <c r="X227" s="3" t="n">
        <v>4554.0</v>
      </c>
      <c r="Y227" s="3" t="n">
        <v>4454.0</v>
      </c>
      <c r="Z227" s="3" t="n">
        <v>4381.0</v>
      </c>
      <c r="AA227" s="3" t="n">
        <v>4297.0</v>
      </c>
      <c r="AB227" s="3" t="n">
        <v>4248.0</v>
      </c>
      <c r="AC227" s="3" t="n">
        <v>4208.0</v>
      </c>
      <c r="AD227" s="3" t="n">
        <v>4168.0</v>
      </c>
      <c r="AE227" s="3" t="n">
        <v>4144.0</v>
      </c>
      <c r="AF227" s="3" t="n">
        <v>4127.0</v>
      </c>
      <c r="AG227" s="3" t="n">
        <v>4116.0</v>
      </c>
      <c r="AH227" s="3" t="n">
        <v>4110.0</v>
      </c>
      <c r="AI227" s="3" t="n">
        <v>4096.0</v>
      </c>
      <c r="AJ227" s="3" t="n">
        <v>4080.0</v>
      </c>
      <c r="AK227" s="3" t="n">
        <v>4065.0</v>
      </c>
      <c r="AL227" s="3" t="n">
        <v>4038.0</v>
      </c>
      <c r="AM227" s="3" t="n">
        <v>3997.0</v>
      </c>
      <c r="AN227" s="3" t="n">
        <v>3947.0</v>
      </c>
      <c r="AO227" s="3" t="n">
        <v>3903.0</v>
      </c>
    </row>
    <row r="228" spans="1:41" x14ac:dyDescent="0.2">
      <c r="A228" s="128"/>
      <c r="B228" s="9">
        <v>15</v>
      </c>
      <c r="C228" s="3" t="n">
        <v>8382.0</v>
      </c>
      <c r="D228" s="3" t="n">
        <v>9057.0</v>
      </c>
      <c r="E228" s="3" t="n">
        <v>8831.0</v>
      </c>
      <c r="F228" s="3" t="n">
        <v>8539.0</v>
      </c>
      <c r="G228" s="3" t="n">
        <v>8142.0</v>
      </c>
      <c r="H228" s="3" t="n">
        <v>8085.0</v>
      </c>
      <c r="I228" s="3" t="n">
        <v>7777.0</v>
      </c>
      <c r="J228" s="3" t="n">
        <v>8029.0</v>
      </c>
      <c r="K228" s="3" t="n">
        <v>7901.0</v>
      </c>
      <c r="L228" s="3" t="n">
        <v>7974.0</v>
      </c>
      <c r="M228" s="3" t="n">
        <v>8235.0</v>
      </c>
      <c r="N228" s="3" t="n">
        <v>7619.0</v>
      </c>
      <c r="O228" s="3" t="n">
        <v>7215.0</v>
      </c>
      <c r="P228" s="3" t="n">
        <v>6733.0</v>
      </c>
      <c r="Q228" s="3" t="n">
        <v>6380.0</v>
      </c>
      <c r="R228" s="3" t="n">
        <v>5857.0</v>
      </c>
      <c r="S228" s="3" t="n">
        <v>5501.0</v>
      </c>
      <c r="T228" s="3" t="n">
        <v>5310.0</v>
      </c>
      <c r="U228" s="3" t="n">
        <v>5114.0</v>
      </c>
      <c r="V228" s="3" t="n">
        <v>4955.0</v>
      </c>
      <c r="W228" s="3" t="n">
        <v>4795.0</v>
      </c>
      <c r="X228" s="3" t="n">
        <v>4661.0</v>
      </c>
      <c r="Y228" s="3" t="n">
        <v>4557.0</v>
      </c>
      <c r="Z228" s="3" t="n">
        <v>4458.0</v>
      </c>
      <c r="AA228" s="3" t="n">
        <v>4385.0</v>
      </c>
      <c r="AB228" s="3" t="n">
        <v>4303.0</v>
      </c>
      <c r="AC228" s="3" t="n">
        <v>4253.0</v>
      </c>
      <c r="AD228" s="3" t="n">
        <v>4212.0</v>
      </c>
      <c r="AE228" s="3" t="n">
        <v>4171.0</v>
      </c>
      <c r="AF228" s="3" t="n">
        <v>4145.0</v>
      </c>
      <c r="AG228" s="3" t="n">
        <v>4126.0</v>
      </c>
      <c r="AH228" s="3" t="n">
        <v>4115.0</v>
      </c>
      <c r="AI228" s="3" t="n">
        <v>4109.0</v>
      </c>
      <c r="AJ228" s="3" t="n">
        <v>4095.0</v>
      </c>
      <c r="AK228" s="3" t="n">
        <v>4079.0</v>
      </c>
      <c r="AL228" s="3" t="n">
        <v>4064.0</v>
      </c>
      <c r="AM228" s="3" t="n">
        <v>4039.0</v>
      </c>
      <c r="AN228" s="3" t="n">
        <v>3998.0</v>
      </c>
      <c r="AO228" s="3" t="n">
        <v>3947.0</v>
      </c>
    </row>
    <row r="229" spans="1:41" x14ac:dyDescent="0.2">
      <c r="A229" s="128"/>
      <c r="B229" s="9">
        <v>16</v>
      </c>
      <c r="C229" s="3" t="n">
        <v>7728.0</v>
      </c>
      <c r="D229" s="3" t="n">
        <v>8376.0</v>
      </c>
      <c r="E229" s="3" t="n">
        <v>9046.0</v>
      </c>
      <c r="F229" s="3" t="n">
        <v>8822.0</v>
      </c>
      <c r="G229" s="3" t="n">
        <v>8534.0</v>
      </c>
      <c r="H229" s="3" t="n">
        <v>8159.0</v>
      </c>
      <c r="I229" s="3" t="n">
        <v>8114.0</v>
      </c>
      <c r="J229" s="3" t="n">
        <v>7785.0</v>
      </c>
      <c r="K229" s="3" t="n">
        <v>8030.0</v>
      </c>
      <c r="L229" s="3" t="n">
        <v>7901.0</v>
      </c>
      <c r="M229" s="3" t="n">
        <v>7970.0</v>
      </c>
      <c r="N229" s="3" t="n">
        <v>8227.0</v>
      </c>
      <c r="O229" s="3" t="n">
        <v>7613.0</v>
      </c>
      <c r="P229" s="3" t="n">
        <v>7208.0</v>
      </c>
      <c r="Q229" s="3" t="n">
        <v>6734.0</v>
      </c>
      <c r="R229" s="3" t="n">
        <v>6383.0</v>
      </c>
      <c r="S229" s="3" t="n">
        <v>5861.0</v>
      </c>
      <c r="T229" s="3" t="n">
        <v>5503.0</v>
      </c>
      <c r="U229" s="3" t="n">
        <v>5312.0</v>
      </c>
      <c r="V229" s="3" t="n">
        <v>5119.0</v>
      </c>
      <c r="W229" s="3" t="n">
        <v>4962.0</v>
      </c>
      <c r="X229" s="3" t="n">
        <v>4805.0</v>
      </c>
      <c r="Y229" s="3" t="n">
        <v>4667.0</v>
      </c>
      <c r="Z229" s="3" t="n">
        <v>4565.0</v>
      </c>
      <c r="AA229" s="3" t="n">
        <v>4463.0</v>
      </c>
      <c r="AB229" s="3" t="n">
        <v>4389.0</v>
      </c>
      <c r="AC229" s="3" t="n">
        <v>4306.0</v>
      </c>
      <c r="AD229" s="3" t="n">
        <v>4253.0</v>
      </c>
      <c r="AE229" s="3" t="n">
        <v>4211.0</v>
      </c>
      <c r="AF229" s="3" t="n">
        <v>4170.0</v>
      </c>
      <c r="AG229" s="3" t="n">
        <v>4144.0</v>
      </c>
      <c r="AH229" s="3" t="n">
        <v>4125.0</v>
      </c>
      <c r="AI229" s="3" t="n">
        <v>4114.0</v>
      </c>
      <c r="AJ229" s="3" t="n">
        <v>4107.0</v>
      </c>
      <c r="AK229" s="3" t="n">
        <v>4092.0</v>
      </c>
      <c r="AL229" s="3" t="n">
        <v>4076.0</v>
      </c>
      <c r="AM229" s="3" t="n">
        <v>4060.0</v>
      </c>
      <c r="AN229" s="3" t="n">
        <v>4036.0</v>
      </c>
      <c r="AO229" s="3" t="n">
        <v>3994.0</v>
      </c>
    </row>
    <row r="230" spans="1:41" x14ac:dyDescent="0.2">
      <c r="A230" s="128"/>
      <c r="B230" s="9">
        <v>17</v>
      </c>
      <c r="C230" s="3" t="n">
        <v>7439.0</v>
      </c>
      <c r="D230" s="3" t="n">
        <v>7728.0</v>
      </c>
      <c r="E230" s="3" t="n">
        <v>8372.0</v>
      </c>
      <c r="F230" s="3" t="n">
        <v>9038.0</v>
      </c>
      <c r="G230" s="3" t="n">
        <v>8816.0</v>
      </c>
      <c r="H230" s="3" t="n">
        <v>8550.0</v>
      </c>
      <c r="I230" s="3" t="n">
        <v>8185.0</v>
      </c>
      <c r="J230" s="3" t="n">
        <v>8126.0</v>
      </c>
      <c r="K230" s="3" t="n">
        <v>7789.0</v>
      </c>
      <c r="L230" s="3" t="n">
        <v>8032.0</v>
      </c>
      <c r="M230" s="3" t="n">
        <v>7898.0</v>
      </c>
      <c r="N230" s="3" t="n">
        <v>7968.0</v>
      </c>
      <c r="O230" s="3" t="n">
        <v>8222.0</v>
      </c>
      <c r="P230" s="3" t="n">
        <v>7614.0</v>
      </c>
      <c r="Q230" s="3" t="n">
        <v>7207.0</v>
      </c>
      <c r="R230" s="3" t="n">
        <v>6735.0</v>
      </c>
      <c r="S230" s="3" t="n">
        <v>6384.0</v>
      </c>
      <c r="T230" s="3" t="n">
        <v>5862.0</v>
      </c>
      <c r="U230" s="3" t="n">
        <v>5502.0</v>
      </c>
      <c r="V230" s="3" t="n">
        <v>5311.0</v>
      </c>
      <c r="W230" s="3" t="n">
        <v>5118.0</v>
      </c>
      <c r="X230" s="3" t="n">
        <v>4960.0</v>
      </c>
      <c r="Y230" s="3" t="n">
        <v>4804.0</v>
      </c>
      <c r="Z230" s="3" t="n">
        <v>4667.0</v>
      </c>
      <c r="AA230" s="3" t="n">
        <v>4566.0</v>
      </c>
      <c r="AB230" s="3" t="n">
        <v>4463.0</v>
      </c>
      <c r="AC230" s="3" t="n">
        <v>4388.0</v>
      </c>
      <c r="AD230" s="3" t="n">
        <v>4305.0</v>
      </c>
      <c r="AE230" s="3" t="n">
        <v>4251.0</v>
      </c>
      <c r="AF230" s="3" t="n">
        <v>4209.0</v>
      </c>
      <c r="AG230" s="3" t="n">
        <v>4168.0</v>
      </c>
      <c r="AH230" s="3" t="n">
        <v>4141.0</v>
      </c>
      <c r="AI230" s="3" t="n">
        <v>4121.0</v>
      </c>
      <c r="AJ230" s="3" t="n">
        <v>4110.0</v>
      </c>
      <c r="AK230" s="3" t="n">
        <v>4103.0</v>
      </c>
      <c r="AL230" s="3" t="n">
        <v>4089.0</v>
      </c>
      <c r="AM230" s="3" t="n">
        <v>4072.0</v>
      </c>
      <c r="AN230" s="3" t="n">
        <v>4057.0</v>
      </c>
      <c r="AO230" s="3" t="n">
        <v>4033.0</v>
      </c>
    </row>
    <row r="231" spans="1:41" x14ac:dyDescent="0.2">
      <c r="A231" s="128"/>
      <c r="B231" s="9">
        <v>18</v>
      </c>
      <c r="C231" s="3" t="n">
        <v>7215.0</v>
      </c>
      <c r="D231" s="3" t="n">
        <v>7434.0</v>
      </c>
      <c r="E231" s="3" t="n">
        <v>7727.0</v>
      </c>
      <c r="F231" s="3" t="n">
        <v>8370.0</v>
      </c>
      <c r="G231" s="3" t="n">
        <v>9031.0</v>
      </c>
      <c r="H231" s="3" t="n">
        <v>8830.0</v>
      </c>
      <c r="I231" s="3" t="n">
        <v>8577.0</v>
      </c>
      <c r="J231" s="3" t="n">
        <v>8194.0</v>
      </c>
      <c r="K231" s="3" t="n">
        <v>8129.0</v>
      </c>
      <c r="L231" s="3" t="n">
        <v>7788.0</v>
      </c>
      <c r="M231" s="3" t="n">
        <v>8029.0</v>
      </c>
      <c r="N231" s="3" t="n">
        <v>7893.0</v>
      </c>
      <c r="O231" s="3" t="n">
        <v>7961.0</v>
      </c>
      <c r="P231" s="3" t="n">
        <v>8216.0</v>
      </c>
      <c r="Q231" s="3" t="n">
        <v>7608.0</v>
      </c>
      <c r="R231" s="3" t="n">
        <v>7204.0</v>
      </c>
      <c r="S231" s="3" t="n">
        <v>6736.0</v>
      </c>
      <c r="T231" s="3" t="n">
        <v>6385.0</v>
      </c>
      <c r="U231" s="3" t="n">
        <v>5859.0</v>
      </c>
      <c r="V231" s="3" t="n">
        <v>5501.0</v>
      </c>
      <c r="W231" s="3" t="n">
        <v>5310.0</v>
      </c>
      <c r="X231" s="3" t="n">
        <v>5118.0</v>
      </c>
      <c r="Y231" s="3" t="n">
        <v>4958.0</v>
      </c>
      <c r="Z231" s="3" t="n">
        <v>4804.0</v>
      </c>
      <c r="AA231" s="3" t="n">
        <v>4668.0</v>
      </c>
      <c r="AB231" s="3" t="n">
        <v>4566.0</v>
      </c>
      <c r="AC231" s="3" t="n">
        <v>4463.0</v>
      </c>
      <c r="AD231" s="3" t="n">
        <v>4388.0</v>
      </c>
      <c r="AE231" s="3" t="n">
        <v>4305.0</v>
      </c>
      <c r="AF231" s="3" t="n">
        <v>4252.0</v>
      </c>
      <c r="AG231" s="3" t="n">
        <v>4210.0</v>
      </c>
      <c r="AH231" s="3" t="n">
        <v>4169.0</v>
      </c>
      <c r="AI231" s="3" t="n">
        <v>4142.0</v>
      </c>
      <c r="AJ231" s="3" t="n">
        <v>4122.0</v>
      </c>
      <c r="AK231" s="3" t="n">
        <v>4111.0</v>
      </c>
      <c r="AL231" s="3" t="n">
        <v>4104.0</v>
      </c>
      <c r="AM231" s="3" t="n">
        <v>4090.0</v>
      </c>
      <c r="AN231" s="3" t="n">
        <v>4074.0</v>
      </c>
      <c r="AO231" s="3" t="n">
        <v>4058.0</v>
      </c>
    </row>
    <row r="232" spans="1:41" x14ac:dyDescent="0.2">
      <c r="A232" s="128"/>
      <c r="B232" s="9">
        <v>19</v>
      </c>
      <c r="C232" s="3" t="n">
        <v>7097.0</v>
      </c>
      <c r="D232" s="3" t="n">
        <v>7209.0</v>
      </c>
      <c r="E232" s="3" t="n">
        <v>7426.0</v>
      </c>
      <c r="F232" s="3" t="n">
        <v>7715.0</v>
      </c>
      <c r="G232" s="3" t="n">
        <v>8365.0</v>
      </c>
      <c r="H232" s="3" t="n">
        <v>9039.0</v>
      </c>
      <c r="I232" s="3" t="n">
        <v>8843.0</v>
      </c>
      <c r="J232" s="3" t="n">
        <v>8579.0</v>
      </c>
      <c r="K232" s="3" t="n">
        <v>8184.0</v>
      </c>
      <c r="L232" s="3" t="n">
        <v>8122.0</v>
      </c>
      <c r="M232" s="3" t="n">
        <v>7774.0</v>
      </c>
      <c r="N232" s="3" t="n">
        <v>8013.0</v>
      </c>
      <c r="O232" s="3" t="n">
        <v>7878.0</v>
      </c>
      <c r="P232" s="3" t="n">
        <v>7948.0</v>
      </c>
      <c r="Q232" s="3" t="n">
        <v>8204.0</v>
      </c>
      <c r="R232" s="3" t="n">
        <v>7597.0</v>
      </c>
      <c r="S232" s="3" t="n">
        <v>7196.0</v>
      </c>
      <c r="T232" s="3" t="n">
        <v>6728.0</v>
      </c>
      <c r="U232" s="3" t="n">
        <v>6382.0</v>
      </c>
      <c r="V232" s="3" t="n">
        <v>5854.0</v>
      </c>
      <c r="W232" s="3" t="n">
        <v>5499.0</v>
      </c>
      <c r="X232" s="3" t="n">
        <v>5310.0</v>
      </c>
      <c r="Y232" s="3" t="n">
        <v>5118.0</v>
      </c>
      <c r="Z232" s="3" t="n">
        <v>4958.0</v>
      </c>
      <c r="AA232" s="3" t="n">
        <v>4803.0</v>
      </c>
      <c r="AB232" s="3" t="n">
        <v>4665.0</v>
      </c>
      <c r="AC232" s="3" t="n">
        <v>4564.0</v>
      </c>
      <c r="AD232" s="3" t="n">
        <v>4459.0</v>
      </c>
      <c r="AE232" s="3" t="n">
        <v>4382.0</v>
      </c>
      <c r="AF232" s="3" t="n">
        <v>4299.0</v>
      </c>
      <c r="AG232" s="3" t="n">
        <v>4245.0</v>
      </c>
      <c r="AH232" s="3" t="n">
        <v>4203.0</v>
      </c>
      <c r="AI232" s="3" t="n">
        <v>4162.0</v>
      </c>
      <c r="AJ232" s="3" t="n">
        <v>4136.0</v>
      </c>
      <c r="AK232" s="3" t="n">
        <v>4116.0</v>
      </c>
      <c r="AL232" s="3" t="n">
        <v>4105.0</v>
      </c>
      <c r="AM232" s="3" t="n">
        <v>4099.0</v>
      </c>
      <c r="AN232" s="3" t="n">
        <v>4083.0</v>
      </c>
      <c r="AO232" s="3" t="n">
        <v>4067.0</v>
      </c>
    </row>
    <row r="233" spans="1:41" x14ac:dyDescent="0.2">
      <c r="A233" s="128"/>
      <c r="B233" s="9">
        <v>20</v>
      </c>
      <c r="C233" s="3" t="n">
        <v>7237.0</v>
      </c>
      <c r="D233" s="3" t="n">
        <v>7080.0</v>
      </c>
      <c r="E233" s="3" t="n">
        <v>7190.0</v>
      </c>
      <c r="F233" s="3" t="n">
        <v>7408.0</v>
      </c>
      <c r="G233" s="3" t="n">
        <v>7696.0</v>
      </c>
      <c r="H233" s="3" t="n">
        <v>8359.0</v>
      </c>
      <c r="I233" s="3" t="n">
        <v>9040.0</v>
      </c>
      <c r="J233" s="3" t="n">
        <v>8837.0</v>
      </c>
      <c r="K233" s="3" t="n">
        <v>8565.0</v>
      </c>
      <c r="L233" s="3" t="n">
        <v>8167.0</v>
      </c>
      <c r="M233" s="3" t="n">
        <v>8105.0</v>
      </c>
      <c r="N233" s="3" t="n">
        <v>7757.0</v>
      </c>
      <c r="O233" s="3" t="n">
        <v>7997.0</v>
      </c>
      <c r="P233" s="3" t="n">
        <v>7858.0</v>
      </c>
      <c r="Q233" s="3" t="n">
        <v>7928.0</v>
      </c>
      <c r="R233" s="3" t="n">
        <v>8184.0</v>
      </c>
      <c r="S233" s="3" t="n">
        <v>7579.0</v>
      </c>
      <c r="T233" s="3" t="n">
        <v>7178.0</v>
      </c>
      <c r="U233" s="3" t="n">
        <v>6716.0</v>
      </c>
      <c r="V233" s="3" t="n">
        <v>6371.0</v>
      </c>
      <c r="W233" s="3" t="n">
        <v>5845.0</v>
      </c>
      <c r="X233" s="3" t="n">
        <v>5492.0</v>
      </c>
      <c r="Y233" s="3" t="n">
        <v>5304.0</v>
      </c>
      <c r="Z233" s="3" t="n">
        <v>5109.0</v>
      </c>
      <c r="AA233" s="3" t="n">
        <v>4952.0</v>
      </c>
      <c r="AB233" s="3" t="n">
        <v>4795.0</v>
      </c>
      <c r="AC233" s="3" t="n">
        <v>4655.0</v>
      </c>
      <c r="AD233" s="3" t="n">
        <v>4554.0</v>
      </c>
      <c r="AE233" s="3" t="n">
        <v>4449.0</v>
      </c>
      <c r="AF233" s="3" t="n">
        <v>4372.0</v>
      </c>
      <c r="AG233" s="3" t="n">
        <v>4290.0</v>
      </c>
      <c r="AH233" s="3" t="n">
        <v>4235.0</v>
      </c>
      <c r="AI233" s="3" t="n">
        <v>4192.0</v>
      </c>
      <c r="AJ233" s="3" t="n">
        <v>4152.0</v>
      </c>
      <c r="AK233" s="3" t="n">
        <v>4127.0</v>
      </c>
      <c r="AL233" s="3" t="n">
        <v>4107.0</v>
      </c>
      <c r="AM233" s="3" t="n">
        <v>4096.0</v>
      </c>
      <c r="AN233" s="3" t="n">
        <v>4089.0</v>
      </c>
      <c r="AO233" s="3" t="n">
        <v>4072.0</v>
      </c>
    </row>
    <row r="234" spans="1:41" x14ac:dyDescent="0.2">
      <c r="A234" s="128"/>
      <c r="B234" s="9">
        <v>21</v>
      </c>
      <c r="C234" s="3" t="n">
        <v>7329.0</v>
      </c>
      <c r="D234" s="3" t="n">
        <v>7225.0</v>
      </c>
      <c r="E234" s="3" t="n">
        <v>7071.0</v>
      </c>
      <c r="F234" s="3" t="n">
        <v>7183.0</v>
      </c>
      <c r="G234" s="3" t="n">
        <v>7398.0</v>
      </c>
      <c r="H234" s="3" t="n">
        <v>7703.0</v>
      </c>
      <c r="I234" s="3" t="n">
        <v>8369.0</v>
      </c>
      <c r="J234" s="3" t="n">
        <v>9034.0</v>
      </c>
      <c r="K234" s="3" t="n">
        <v>8828.0</v>
      </c>
      <c r="L234" s="3" t="n">
        <v>8557.0</v>
      </c>
      <c r="M234" s="3" t="n">
        <v>8155.0</v>
      </c>
      <c r="N234" s="3" t="n">
        <v>8093.0</v>
      </c>
      <c r="O234" s="3" t="n">
        <v>7747.0</v>
      </c>
      <c r="P234" s="3" t="n">
        <v>7987.0</v>
      </c>
      <c r="Q234" s="3" t="n">
        <v>7842.0</v>
      </c>
      <c r="R234" s="3" t="n">
        <v>7916.0</v>
      </c>
      <c r="S234" s="3" t="n">
        <v>8172.0</v>
      </c>
      <c r="T234" s="3" t="n">
        <v>7570.0</v>
      </c>
      <c r="U234" s="3" t="n">
        <v>7170.0</v>
      </c>
      <c r="V234" s="3" t="n">
        <v>6705.0</v>
      </c>
      <c r="W234" s="3" t="n">
        <v>6361.0</v>
      </c>
      <c r="X234" s="3" t="n">
        <v>5838.0</v>
      </c>
      <c r="Y234" s="3" t="n">
        <v>5489.0</v>
      </c>
      <c r="Z234" s="3" t="n">
        <v>5306.0</v>
      </c>
      <c r="AA234" s="3" t="n">
        <v>5113.0</v>
      </c>
      <c r="AB234" s="3" t="n">
        <v>4956.0</v>
      </c>
      <c r="AC234" s="3" t="n">
        <v>4798.0</v>
      </c>
      <c r="AD234" s="3" t="n">
        <v>4656.0</v>
      </c>
      <c r="AE234" s="3" t="n">
        <v>4555.0</v>
      </c>
      <c r="AF234" s="3" t="n">
        <v>4448.0</v>
      </c>
      <c r="AG234" s="3" t="n">
        <v>4372.0</v>
      </c>
      <c r="AH234" s="3" t="n">
        <v>4288.0</v>
      </c>
      <c r="AI234" s="3" t="n">
        <v>4232.0</v>
      </c>
      <c r="AJ234" s="3" t="n">
        <v>4190.0</v>
      </c>
      <c r="AK234" s="3" t="n">
        <v>4149.0</v>
      </c>
      <c r="AL234" s="3" t="n">
        <v>4123.0</v>
      </c>
      <c r="AM234" s="3" t="n">
        <v>4102.0</v>
      </c>
      <c r="AN234" s="3" t="n">
        <v>4090.0</v>
      </c>
      <c r="AO234" s="3" t="n">
        <v>4083.0</v>
      </c>
    </row>
    <row r="235" spans="1:41" x14ac:dyDescent="0.2">
      <c r="A235" s="128"/>
      <c r="B235" s="9">
        <v>22</v>
      </c>
      <c r="C235" s="3" t="n">
        <v>7446.0</v>
      </c>
      <c r="D235" s="3" t="n">
        <v>7325.0</v>
      </c>
      <c r="E235" s="3" t="n">
        <v>7215.0</v>
      </c>
      <c r="F235" s="3" t="n">
        <v>7057.0</v>
      </c>
      <c r="G235" s="3" t="n">
        <v>7175.0</v>
      </c>
      <c r="H235" s="3" t="n">
        <v>7406.0</v>
      </c>
      <c r="I235" s="3" t="n">
        <v>7718.0</v>
      </c>
      <c r="J235" s="3" t="n">
        <v>8369.0</v>
      </c>
      <c r="K235" s="3" t="n">
        <v>9023.0</v>
      </c>
      <c r="L235" s="3" t="n">
        <v>8817.0</v>
      </c>
      <c r="M235" s="3" t="n">
        <v>8551.0</v>
      </c>
      <c r="N235" s="3" t="n">
        <v>8152.0</v>
      </c>
      <c r="O235" s="3" t="n">
        <v>8088.0</v>
      </c>
      <c r="P235" s="3" t="n">
        <v>7740.0</v>
      </c>
      <c r="Q235" s="3" t="n">
        <v>7978.0</v>
      </c>
      <c r="R235" s="3" t="n">
        <v>7834.0</v>
      </c>
      <c r="S235" s="3" t="n">
        <v>7908.0</v>
      </c>
      <c r="T235" s="3" t="n">
        <v>8166.0</v>
      </c>
      <c r="U235" s="3" t="n">
        <v>7566.0</v>
      </c>
      <c r="V235" s="3" t="n">
        <v>7167.0</v>
      </c>
      <c r="W235" s="3" t="n">
        <v>6701.0</v>
      </c>
      <c r="X235" s="3" t="n">
        <v>6354.0</v>
      </c>
      <c r="Y235" s="3" t="n">
        <v>5832.0</v>
      </c>
      <c r="Z235" s="3" t="n">
        <v>5483.0</v>
      </c>
      <c r="AA235" s="3" t="n">
        <v>5304.0</v>
      </c>
      <c r="AB235" s="3" t="n">
        <v>5110.0</v>
      </c>
      <c r="AC235" s="3" t="n">
        <v>4954.0</v>
      </c>
      <c r="AD235" s="3" t="n">
        <v>4795.0</v>
      </c>
      <c r="AE235" s="3" t="n">
        <v>4655.0</v>
      </c>
      <c r="AF235" s="3" t="n">
        <v>4556.0</v>
      </c>
      <c r="AG235" s="3" t="n">
        <v>4449.0</v>
      </c>
      <c r="AH235" s="3" t="n">
        <v>4371.0</v>
      </c>
      <c r="AI235" s="3" t="n">
        <v>4286.0</v>
      </c>
      <c r="AJ235" s="3" t="n">
        <v>4231.0</v>
      </c>
      <c r="AK235" s="3" t="n">
        <v>4187.0</v>
      </c>
      <c r="AL235" s="3" t="n">
        <v>4147.0</v>
      </c>
      <c r="AM235" s="3" t="n">
        <v>4121.0</v>
      </c>
      <c r="AN235" s="3" t="n">
        <v>4100.0</v>
      </c>
      <c r="AO235" s="3" t="n">
        <v>4088.0</v>
      </c>
    </row>
    <row r="236" spans="1:41" x14ac:dyDescent="0.2">
      <c r="A236" s="128"/>
      <c r="B236" s="9">
        <v>23</v>
      </c>
      <c r="C236" s="3" t="n">
        <v>7511.0</v>
      </c>
      <c r="D236" s="3" t="n">
        <v>7438.0</v>
      </c>
      <c r="E236" s="3" t="n">
        <v>7319.0</v>
      </c>
      <c r="F236" s="3" t="n">
        <v>7207.0</v>
      </c>
      <c r="G236" s="3" t="n">
        <v>7051.0</v>
      </c>
      <c r="H236" s="3" t="n">
        <v>7182.0</v>
      </c>
      <c r="I236" s="3" t="n">
        <v>7410.0</v>
      </c>
      <c r="J236" s="3" t="n">
        <v>7710.0</v>
      </c>
      <c r="K236" s="3" t="n">
        <v>8358.0</v>
      </c>
      <c r="L236" s="3" t="n">
        <v>9000.0</v>
      </c>
      <c r="M236" s="3" t="n">
        <v>8801.0</v>
      </c>
      <c r="N236" s="3" t="n">
        <v>8536.0</v>
      </c>
      <c r="O236" s="3" t="n">
        <v>8135.0</v>
      </c>
      <c r="P236" s="3" t="n">
        <v>8070.0</v>
      </c>
      <c r="Q236" s="3" t="n">
        <v>7724.0</v>
      </c>
      <c r="R236" s="3" t="n">
        <v>7964.0</v>
      </c>
      <c r="S236" s="3" t="n">
        <v>7818.0</v>
      </c>
      <c r="T236" s="3" t="n">
        <v>7894.0</v>
      </c>
      <c r="U236" s="3" t="n">
        <v>8151.0</v>
      </c>
      <c r="V236" s="3" t="n">
        <v>7558.0</v>
      </c>
      <c r="W236" s="3" t="n">
        <v>7160.0</v>
      </c>
      <c r="X236" s="3" t="n">
        <v>6697.0</v>
      </c>
      <c r="Y236" s="3" t="n">
        <v>6349.0</v>
      </c>
      <c r="Z236" s="3" t="n">
        <v>5830.0</v>
      </c>
      <c r="AA236" s="3" t="n">
        <v>5481.0</v>
      </c>
      <c r="AB236" s="3" t="n">
        <v>5305.0</v>
      </c>
      <c r="AC236" s="3" t="n">
        <v>5112.0</v>
      </c>
      <c r="AD236" s="3" t="n">
        <v>4954.0</v>
      </c>
      <c r="AE236" s="3" t="n">
        <v>4797.0</v>
      </c>
      <c r="AF236" s="3" t="n">
        <v>4657.0</v>
      </c>
      <c r="AG236" s="3" t="n">
        <v>4559.0</v>
      </c>
      <c r="AH236" s="3" t="n">
        <v>4449.0</v>
      </c>
      <c r="AI236" s="3" t="n">
        <v>4371.0</v>
      </c>
      <c r="AJ236" s="3" t="n">
        <v>4284.0</v>
      </c>
      <c r="AK236" s="3" t="n">
        <v>4228.0</v>
      </c>
      <c r="AL236" s="3" t="n">
        <v>4185.0</v>
      </c>
      <c r="AM236" s="3" t="n">
        <v>4147.0</v>
      </c>
      <c r="AN236" s="3" t="n">
        <v>4121.0</v>
      </c>
      <c r="AO236" s="3" t="n">
        <v>4100.0</v>
      </c>
    </row>
    <row r="237" spans="1:41" x14ac:dyDescent="0.2">
      <c r="A237" s="128"/>
      <c r="B237" s="9">
        <v>24</v>
      </c>
      <c r="C237" s="3" t="n">
        <v>7652.0</v>
      </c>
      <c r="D237" s="3" t="n">
        <v>7505.0</v>
      </c>
      <c r="E237" s="3" t="n">
        <v>7432.0</v>
      </c>
      <c r="F237" s="3" t="n">
        <v>7308.0</v>
      </c>
      <c r="G237" s="3" t="n">
        <v>7194.0</v>
      </c>
      <c r="H237" s="3" t="n">
        <v>7053.0</v>
      </c>
      <c r="I237" s="3" t="n">
        <v>7190.0</v>
      </c>
      <c r="J237" s="3" t="n">
        <v>7401.0</v>
      </c>
      <c r="K237" s="3" t="n">
        <v>7691.0</v>
      </c>
      <c r="L237" s="3" t="n">
        <v>8336.0</v>
      </c>
      <c r="M237" s="3" t="n">
        <v>8972.0</v>
      </c>
      <c r="N237" s="3" t="n">
        <v>8774.0</v>
      </c>
      <c r="O237" s="3" t="n">
        <v>8515.0</v>
      </c>
      <c r="P237" s="3" t="n">
        <v>8115.0</v>
      </c>
      <c r="Q237" s="3" t="n">
        <v>8051.0</v>
      </c>
      <c r="R237" s="3" t="n">
        <v>7707.0</v>
      </c>
      <c r="S237" s="3" t="n">
        <v>7943.0</v>
      </c>
      <c r="T237" s="3" t="n">
        <v>7796.0</v>
      </c>
      <c r="U237" s="3" t="n">
        <v>7872.0</v>
      </c>
      <c r="V237" s="3" t="n">
        <v>8130.0</v>
      </c>
      <c r="W237" s="3" t="n">
        <v>7537.0</v>
      </c>
      <c r="X237" s="3" t="n">
        <v>7146.0</v>
      </c>
      <c r="Y237" s="3" t="n">
        <v>6689.0</v>
      </c>
      <c r="Z237" s="3" t="n">
        <v>6339.0</v>
      </c>
      <c r="AA237" s="3" t="n">
        <v>5817.0</v>
      </c>
      <c r="AB237" s="3" t="n">
        <v>5471.0</v>
      </c>
      <c r="AC237" s="3" t="n">
        <v>5293.0</v>
      </c>
      <c r="AD237" s="3" t="n">
        <v>5104.0</v>
      </c>
      <c r="AE237" s="3" t="n">
        <v>4948.0</v>
      </c>
      <c r="AF237" s="3" t="n">
        <v>4796.0</v>
      </c>
      <c r="AG237" s="3" t="n">
        <v>4654.0</v>
      </c>
      <c r="AH237" s="3" t="n">
        <v>4555.0</v>
      </c>
      <c r="AI237" s="3" t="n">
        <v>4443.0</v>
      </c>
      <c r="AJ237" s="3" t="n">
        <v>4365.0</v>
      </c>
      <c r="AK237" s="3" t="n">
        <v>4276.0</v>
      </c>
      <c r="AL237" s="3" t="n">
        <v>4221.0</v>
      </c>
      <c r="AM237" s="3" t="n">
        <v>4179.0</v>
      </c>
      <c r="AN237" s="3" t="n">
        <v>4142.0</v>
      </c>
      <c r="AO237" s="3" t="n">
        <v>4115.0</v>
      </c>
    </row>
    <row r="238" spans="1:41" x14ac:dyDescent="0.2">
      <c r="A238" s="128"/>
      <c r="B238" s="9">
        <v>25</v>
      </c>
      <c r="C238" s="3" t="n">
        <v>7981.0</v>
      </c>
      <c r="D238" s="3" t="n">
        <v>7639.0</v>
      </c>
      <c r="E238" s="3" t="n">
        <v>7488.0</v>
      </c>
      <c r="F238" s="3" t="n">
        <v>7418.0</v>
      </c>
      <c r="G238" s="3" t="n">
        <v>7291.0</v>
      </c>
      <c r="H238" s="3" t="n">
        <v>7188.0</v>
      </c>
      <c r="I238" s="3" t="n">
        <v>7052.0</v>
      </c>
      <c r="J238" s="3" t="n">
        <v>7177.0</v>
      </c>
      <c r="K238" s="3" t="n">
        <v>7386.0</v>
      </c>
      <c r="L238" s="3" t="n">
        <v>7664.0</v>
      </c>
      <c r="M238" s="3" t="n">
        <v>8310.0</v>
      </c>
      <c r="N238" s="3" t="n">
        <v>8945.0</v>
      </c>
      <c r="O238" s="3" t="n">
        <v>8749.0</v>
      </c>
      <c r="P238" s="3" t="n">
        <v>8493.0</v>
      </c>
      <c r="Q238" s="3" t="n">
        <v>8096.0</v>
      </c>
      <c r="R238" s="3" t="n">
        <v>8027.0</v>
      </c>
      <c r="S238" s="3" t="n">
        <v>7679.0</v>
      </c>
      <c r="T238" s="3" t="n">
        <v>7917.0</v>
      </c>
      <c r="U238" s="3" t="n">
        <v>7768.0</v>
      </c>
      <c r="V238" s="3" t="n">
        <v>7850.0</v>
      </c>
      <c r="W238" s="3" t="n">
        <v>8113.0</v>
      </c>
      <c r="X238" s="3" t="n">
        <v>7521.0</v>
      </c>
      <c r="Y238" s="3" t="n">
        <v>7126.0</v>
      </c>
      <c r="Z238" s="3" t="n">
        <v>6676.0</v>
      </c>
      <c r="AA238" s="3" t="n">
        <v>6332.0</v>
      </c>
      <c r="AB238" s="3" t="n">
        <v>5806.0</v>
      </c>
      <c r="AC238" s="3" t="n">
        <v>5465.0</v>
      </c>
      <c r="AD238" s="3" t="n">
        <v>5285.0</v>
      </c>
      <c r="AE238" s="3" t="n">
        <v>5095.0</v>
      </c>
      <c r="AF238" s="3" t="n">
        <v>4938.0</v>
      </c>
      <c r="AG238" s="3" t="n">
        <v>4787.0</v>
      </c>
      <c r="AH238" s="3" t="n">
        <v>4649.0</v>
      </c>
      <c r="AI238" s="3" t="n">
        <v>4553.0</v>
      </c>
      <c r="AJ238" s="3" t="n">
        <v>4440.0</v>
      </c>
      <c r="AK238" s="3" t="n">
        <v>4361.0</v>
      </c>
      <c r="AL238" s="3" t="n">
        <v>4271.0</v>
      </c>
      <c r="AM238" s="3" t="n">
        <v>4216.0</v>
      </c>
      <c r="AN238" s="3" t="n">
        <v>4172.0</v>
      </c>
      <c r="AO238" s="3" t="n">
        <v>4134.0</v>
      </c>
    </row>
    <row r="239" spans="1:41" x14ac:dyDescent="0.2">
      <c r="A239" s="128"/>
      <c r="B239" s="9">
        <v>26</v>
      </c>
      <c r="C239" s="3" t="n">
        <v>8371.0</v>
      </c>
      <c r="D239" s="3" t="n">
        <v>7963.0</v>
      </c>
      <c r="E239" s="3" t="n">
        <v>7623.0</v>
      </c>
      <c r="F239" s="3" t="n">
        <v>7467.0</v>
      </c>
      <c r="G239" s="3" t="n">
        <v>7395.0</v>
      </c>
      <c r="H239" s="3" t="n">
        <v>7287.0</v>
      </c>
      <c r="I239" s="3" t="n">
        <v>7189.0</v>
      </c>
      <c r="J239" s="3" t="n">
        <v>7041.0</v>
      </c>
      <c r="K239" s="3" t="n">
        <v>7158.0</v>
      </c>
      <c r="L239" s="3" t="n">
        <v>7365.0</v>
      </c>
      <c r="M239" s="3" t="n">
        <v>7634.0</v>
      </c>
      <c r="N239" s="3" t="n">
        <v>8276.0</v>
      </c>
      <c r="O239" s="3" t="n">
        <v>8909.0</v>
      </c>
      <c r="P239" s="3" t="n">
        <v>8711.0</v>
      </c>
      <c r="Q239" s="3" t="n">
        <v>8465.0</v>
      </c>
      <c r="R239" s="3" t="n">
        <v>8073.0</v>
      </c>
      <c r="S239" s="3" t="n">
        <v>7999.0</v>
      </c>
      <c r="T239" s="3" t="n">
        <v>7651.0</v>
      </c>
      <c r="U239" s="3" t="n">
        <v>7890.0</v>
      </c>
      <c r="V239" s="3" t="n">
        <v>7742.0</v>
      </c>
      <c r="W239" s="3" t="n">
        <v>7823.0</v>
      </c>
      <c r="X239" s="3" t="n">
        <v>8087.0</v>
      </c>
      <c r="Y239" s="3" t="n">
        <v>7501.0</v>
      </c>
      <c r="Z239" s="3" t="n">
        <v>7106.0</v>
      </c>
      <c r="AA239" s="3" t="n">
        <v>6656.0</v>
      </c>
      <c r="AB239" s="3" t="n">
        <v>6316.0</v>
      </c>
      <c r="AC239" s="3" t="n">
        <v>5792.0</v>
      </c>
      <c r="AD239" s="3" t="n">
        <v>5455.0</v>
      </c>
      <c r="AE239" s="3" t="n">
        <v>5275.0</v>
      </c>
      <c r="AF239" s="3" t="n">
        <v>5087.0</v>
      </c>
      <c r="AG239" s="3" t="n">
        <v>4924.0</v>
      </c>
      <c r="AH239" s="3" t="n">
        <v>4781.0</v>
      </c>
      <c r="AI239" s="3" t="n">
        <v>4641.0</v>
      </c>
      <c r="AJ239" s="3" t="n">
        <v>4545.0</v>
      </c>
      <c r="AK239" s="3" t="n">
        <v>4436.0</v>
      </c>
      <c r="AL239" s="3" t="n">
        <v>4355.0</v>
      </c>
      <c r="AM239" s="3" t="n">
        <v>4262.0</v>
      </c>
      <c r="AN239" s="3" t="n">
        <v>4209.0</v>
      </c>
      <c r="AO239" s="3" t="n">
        <v>4164.0</v>
      </c>
    </row>
    <row r="240" spans="1:41" x14ac:dyDescent="0.2">
      <c r="A240" s="128"/>
      <c r="B240" s="9">
        <v>27</v>
      </c>
      <c r="C240" s="3" t="n">
        <v>8864.0</v>
      </c>
      <c r="D240" s="3" t="n">
        <v>8350.0</v>
      </c>
      <c r="E240" s="3" t="n">
        <v>7944.0</v>
      </c>
      <c r="F240" s="3" t="n">
        <v>7603.0</v>
      </c>
      <c r="G240" s="3" t="n">
        <v>7446.0</v>
      </c>
      <c r="H240" s="3" t="n">
        <v>7393.0</v>
      </c>
      <c r="I240" s="3" t="n">
        <v>7293.0</v>
      </c>
      <c r="J240" s="3" t="n">
        <v>7176.0</v>
      </c>
      <c r="K240" s="3" t="n">
        <v>7021.0</v>
      </c>
      <c r="L240" s="3" t="n">
        <v>7136.0</v>
      </c>
      <c r="M240" s="3" t="n">
        <v>7337.0</v>
      </c>
      <c r="N240" s="3" t="n">
        <v>7604.0</v>
      </c>
      <c r="O240" s="3" t="n">
        <v>8234.0</v>
      </c>
      <c r="P240" s="3" t="n">
        <v>8867.0</v>
      </c>
      <c r="Q240" s="3" t="n">
        <v>8675.0</v>
      </c>
      <c r="R240" s="3" t="n">
        <v>8431.0</v>
      </c>
      <c r="S240" s="3" t="n">
        <v>8042.0</v>
      </c>
      <c r="T240" s="3" t="n">
        <v>7970.0</v>
      </c>
      <c r="U240" s="3" t="n">
        <v>7619.0</v>
      </c>
      <c r="V240" s="3" t="n">
        <v>7860.0</v>
      </c>
      <c r="W240" s="3" t="n">
        <v>7710.0</v>
      </c>
      <c r="X240" s="3" t="n">
        <v>7789.0</v>
      </c>
      <c r="Y240" s="3" t="n">
        <v>8058.0</v>
      </c>
      <c r="Z240" s="3" t="n">
        <v>7474.0</v>
      </c>
      <c r="AA240" s="3" t="n">
        <v>7086.0</v>
      </c>
      <c r="AB240" s="3" t="n">
        <v>6642.0</v>
      </c>
      <c r="AC240" s="3" t="n">
        <v>6300.0</v>
      </c>
      <c r="AD240" s="3" t="n">
        <v>5774.0</v>
      </c>
      <c r="AE240" s="3" t="n">
        <v>5439.0</v>
      </c>
      <c r="AF240" s="3" t="n">
        <v>5263.0</v>
      </c>
      <c r="AG240" s="3" t="n">
        <v>5070.0</v>
      </c>
      <c r="AH240" s="3" t="n">
        <v>4910.0</v>
      </c>
      <c r="AI240" s="3" t="n">
        <v>4767.0</v>
      </c>
      <c r="AJ240" s="3" t="n">
        <v>4630.0</v>
      </c>
      <c r="AK240" s="3" t="n">
        <v>4532.0</v>
      </c>
      <c r="AL240" s="3" t="n">
        <v>4424.0</v>
      </c>
      <c r="AM240" s="3" t="n">
        <v>4342.0</v>
      </c>
      <c r="AN240" s="3" t="n">
        <v>4247.0</v>
      </c>
      <c r="AO240" s="3" t="n">
        <v>4195.0</v>
      </c>
    </row>
    <row r="241" spans="1:41" x14ac:dyDescent="0.2">
      <c r="A241" s="128"/>
      <c r="B241" s="9">
        <v>28</v>
      </c>
      <c r="C241" s="3" t="n">
        <v>9377.0</v>
      </c>
      <c r="D241" s="3" t="n">
        <v>8825.0</v>
      </c>
      <c r="E241" s="3" t="n">
        <v>8316.0</v>
      </c>
      <c r="F241" s="3" t="n">
        <v>7920.0</v>
      </c>
      <c r="G241" s="3" t="n">
        <v>7577.0</v>
      </c>
      <c r="H241" s="3" t="n">
        <v>7442.0</v>
      </c>
      <c r="I241" s="3" t="n">
        <v>7392.0</v>
      </c>
      <c r="J241" s="3" t="n">
        <v>7279.0</v>
      </c>
      <c r="K241" s="3" t="n">
        <v>7152.0</v>
      </c>
      <c r="L241" s="3" t="n">
        <v>6993.0</v>
      </c>
      <c r="M241" s="3" t="n">
        <v>7103.0</v>
      </c>
      <c r="N241" s="3" t="n">
        <v>7314.0</v>
      </c>
      <c r="O241" s="3" t="n">
        <v>7570.0</v>
      </c>
      <c r="P241" s="3" t="n">
        <v>8195.0</v>
      </c>
      <c r="Q241" s="3" t="n">
        <v>8822.0</v>
      </c>
      <c r="R241" s="3" t="n">
        <v>8636.0</v>
      </c>
      <c r="S241" s="3" t="n">
        <v>8395.0</v>
      </c>
      <c r="T241" s="3" t="n">
        <v>8006.0</v>
      </c>
      <c r="U241" s="3" t="n">
        <v>7940.0</v>
      </c>
      <c r="V241" s="3" t="n">
        <v>7583.0</v>
      </c>
      <c r="W241" s="3" t="n">
        <v>7826.0</v>
      </c>
      <c r="X241" s="3" t="n">
        <v>7678.0</v>
      </c>
      <c r="Y241" s="3" t="n">
        <v>7756.0</v>
      </c>
      <c r="Z241" s="3" t="n">
        <v>8022.0</v>
      </c>
      <c r="AA241" s="3" t="n">
        <v>7448.0</v>
      </c>
      <c r="AB241" s="3" t="n">
        <v>7063.0</v>
      </c>
      <c r="AC241" s="3" t="n">
        <v>6614.0</v>
      </c>
      <c r="AD241" s="3" t="n">
        <v>6283.0</v>
      </c>
      <c r="AE241" s="3" t="n">
        <v>5756.0</v>
      </c>
      <c r="AF241" s="3" t="n">
        <v>5424.0</v>
      </c>
      <c r="AG241" s="3" t="n">
        <v>5247.0</v>
      </c>
      <c r="AH241" s="3" t="n">
        <v>5053.0</v>
      </c>
      <c r="AI241" s="3" t="n">
        <v>4890.0</v>
      </c>
      <c r="AJ241" s="3" t="n">
        <v>4749.0</v>
      </c>
      <c r="AK241" s="3" t="n">
        <v>4611.0</v>
      </c>
      <c r="AL241" s="3" t="n">
        <v>4515.0</v>
      </c>
      <c r="AM241" s="3" t="n">
        <v>4409.0</v>
      </c>
      <c r="AN241" s="3" t="n">
        <v>4327.0</v>
      </c>
      <c r="AO241" s="3" t="n">
        <v>4230.0</v>
      </c>
    </row>
    <row r="242" spans="1:41" x14ac:dyDescent="0.2">
      <c r="A242" s="128"/>
      <c r="B242" s="9">
        <v>29</v>
      </c>
      <c r="C242" s="3" t="n">
        <v>9647.0</v>
      </c>
      <c r="D242" s="3" t="n">
        <v>9335.0</v>
      </c>
      <c r="E242" s="3" t="n">
        <v>8779.0</v>
      </c>
      <c r="F242" s="3" t="n">
        <v>8278.0</v>
      </c>
      <c r="G242" s="3" t="n">
        <v>7889.0</v>
      </c>
      <c r="H242" s="3" t="n">
        <v>7565.0</v>
      </c>
      <c r="I242" s="3" t="n">
        <v>7438.0</v>
      </c>
      <c r="J242" s="3" t="n">
        <v>7376.0</v>
      </c>
      <c r="K242" s="3" t="n">
        <v>7256.0</v>
      </c>
      <c r="L242" s="3" t="n">
        <v>7124.0</v>
      </c>
      <c r="M242" s="3" t="n">
        <v>6960.0</v>
      </c>
      <c r="N242" s="3" t="n">
        <v>7063.0</v>
      </c>
      <c r="O242" s="3" t="n">
        <v>7276.0</v>
      </c>
      <c r="P242" s="3" t="n">
        <v>7527.0</v>
      </c>
      <c r="Q242" s="3" t="n">
        <v>8150.0</v>
      </c>
      <c r="R242" s="3" t="n">
        <v>8772.0</v>
      </c>
      <c r="S242" s="3" t="n">
        <v>8589.0</v>
      </c>
      <c r="T242" s="3" t="n">
        <v>8350.0</v>
      </c>
      <c r="U242" s="3" t="n">
        <v>7966.0</v>
      </c>
      <c r="V242" s="3" t="n">
        <v>7896.0</v>
      </c>
      <c r="W242" s="3" t="n">
        <v>7541.0</v>
      </c>
      <c r="X242" s="3" t="n">
        <v>7779.0</v>
      </c>
      <c r="Y242" s="3" t="n">
        <v>7632.0</v>
      </c>
      <c r="Z242" s="3" t="n">
        <v>7716.0</v>
      </c>
      <c r="AA242" s="3" t="n">
        <v>7979.0</v>
      </c>
      <c r="AB242" s="3" t="n">
        <v>7410.0</v>
      </c>
      <c r="AC242" s="3" t="n">
        <v>7031.0</v>
      </c>
      <c r="AD242" s="3" t="n">
        <v>6584.0</v>
      </c>
      <c r="AE242" s="3" t="n">
        <v>6259.0</v>
      </c>
      <c r="AF242" s="3" t="n">
        <v>5727.0</v>
      </c>
      <c r="AG242" s="3" t="n">
        <v>5402.0</v>
      </c>
      <c r="AH242" s="3" t="n">
        <v>5227.0</v>
      </c>
      <c r="AI242" s="3" t="n">
        <v>5029.0</v>
      </c>
      <c r="AJ242" s="3" t="n">
        <v>4869.0</v>
      </c>
      <c r="AK242" s="3" t="n">
        <v>4728.0</v>
      </c>
      <c r="AL242" s="3" t="n">
        <v>4592.0</v>
      </c>
      <c r="AM242" s="3" t="n">
        <v>4491.0</v>
      </c>
      <c r="AN242" s="3" t="n">
        <v>4388.0</v>
      </c>
      <c r="AO242" s="3" t="n">
        <v>4306.0</v>
      </c>
    </row>
    <row r="243" spans="1:41" x14ac:dyDescent="0.2">
      <c r="A243" s="128"/>
      <c r="B243" s="9">
        <v>30</v>
      </c>
      <c r="C243" s="3" t="n">
        <v>9885.0</v>
      </c>
      <c r="D243" s="3" t="n">
        <v>9616.0</v>
      </c>
      <c r="E243" s="3" t="n">
        <v>9297.0</v>
      </c>
      <c r="F243" s="3" t="n">
        <v>8743.0</v>
      </c>
      <c r="G243" s="3" t="n">
        <v>8249.0</v>
      </c>
      <c r="H243" s="3" t="n">
        <v>7881.0</v>
      </c>
      <c r="I243" s="3" t="n">
        <v>7566.0</v>
      </c>
      <c r="J243" s="3" t="n">
        <v>7426.0</v>
      </c>
      <c r="K243" s="3" t="n">
        <v>7355.0</v>
      </c>
      <c r="L243" s="3" t="n">
        <v>7229.0</v>
      </c>
      <c r="M243" s="3" t="n">
        <v>7094.0</v>
      </c>
      <c r="N243" s="3" t="n">
        <v>6925.0</v>
      </c>
      <c r="O243" s="3" t="n">
        <v>7031.0</v>
      </c>
      <c r="P243" s="3" t="n">
        <v>7243.0</v>
      </c>
      <c r="Q243" s="3" t="n">
        <v>7490.0</v>
      </c>
      <c r="R243" s="3" t="n">
        <v>8105.0</v>
      </c>
      <c r="S243" s="3" t="n">
        <v>8722.0</v>
      </c>
      <c r="T243" s="3" t="n">
        <v>8546.0</v>
      </c>
      <c r="U243" s="3" t="n">
        <v>8305.0</v>
      </c>
      <c r="V243" s="3" t="n">
        <v>7924.0</v>
      </c>
      <c r="W243" s="3" t="n">
        <v>7856.0</v>
      </c>
      <c r="X243" s="3" t="n">
        <v>7499.0</v>
      </c>
      <c r="Y243" s="3" t="n">
        <v>7736.0</v>
      </c>
      <c r="Z243" s="3" t="n">
        <v>7591.0</v>
      </c>
      <c r="AA243" s="3" t="n">
        <v>7670.0</v>
      </c>
      <c r="AB243" s="3" t="n">
        <v>7936.0</v>
      </c>
      <c r="AC243" s="3" t="n">
        <v>7374.0</v>
      </c>
      <c r="AD243" s="3" t="n">
        <v>7000.0</v>
      </c>
      <c r="AE243" s="3" t="n">
        <v>6556.0</v>
      </c>
      <c r="AF243" s="3" t="n">
        <v>6234.0</v>
      </c>
      <c r="AG243" s="3" t="n">
        <v>5699.0</v>
      </c>
      <c r="AH243" s="3" t="n">
        <v>5381.0</v>
      </c>
      <c r="AI243" s="3" t="n">
        <v>5208.0</v>
      </c>
      <c r="AJ243" s="3" t="n">
        <v>5010.0</v>
      </c>
      <c r="AK243" s="3" t="n">
        <v>4850.0</v>
      </c>
      <c r="AL243" s="3" t="n">
        <v>4706.0</v>
      </c>
      <c r="AM243" s="3" t="n">
        <v>4567.0</v>
      </c>
      <c r="AN243" s="3" t="n">
        <v>4470.0</v>
      </c>
      <c r="AO243" s="3" t="n">
        <v>4366.0</v>
      </c>
    </row>
    <row r="244" spans="1:41" x14ac:dyDescent="0.2">
      <c r="A244" s="128"/>
      <c r="B244" s="9">
        <v>31</v>
      </c>
      <c r="C244" s="3" t="n">
        <v>10534.0</v>
      </c>
      <c r="D244" s="3" t="n">
        <v>9842.0</v>
      </c>
      <c r="E244" s="3" t="n">
        <v>9577.0</v>
      </c>
      <c r="F244" s="3" t="n">
        <v>9254.0</v>
      </c>
      <c r="G244" s="3" t="n">
        <v>8698.0</v>
      </c>
      <c r="H244" s="3" t="n">
        <v>8237.0</v>
      </c>
      <c r="I244" s="3" t="n">
        <v>7885.0</v>
      </c>
      <c r="J244" s="3" t="n">
        <v>7554.0</v>
      </c>
      <c r="K244" s="3" t="n">
        <v>7401.0</v>
      </c>
      <c r="L244" s="3" t="n">
        <v>7322.0</v>
      </c>
      <c r="M244" s="3" t="n">
        <v>7188.0</v>
      </c>
      <c r="N244" s="3" t="n">
        <v>7054.0</v>
      </c>
      <c r="O244" s="3" t="n">
        <v>6889.0</v>
      </c>
      <c r="P244" s="3" t="n">
        <v>6993.0</v>
      </c>
      <c r="Q244" s="3" t="n">
        <v>7205.0</v>
      </c>
      <c r="R244" s="3" t="n">
        <v>7450.0</v>
      </c>
      <c r="S244" s="3" t="n">
        <v>8060.0</v>
      </c>
      <c r="T244" s="3" t="n">
        <v>8666.0</v>
      </c>
      <c r="U244" s="3" t="n">
        <v>8497.0</v>
      </c>
      <c r="V244" s="3" t="n">
        <v>8259.0</v>
      </c>
      <c r="W244" s="3" t="n">
        <v>7881.0</v>
      </c>
      <c r="X244" s="3" t="n">
        <v>7813.0</v>
      </c>
      <c r="Y244" s="3" t="n">
        <v>7458.0</v>
      </c>
      <c r="Z244" s="3" t="n">
        <v>7696.0</v>
      </c>
      <c r="AA244" s="3" t="n">
        <v>7553.0</v>
      </c>
      <c r="AB244" s="3" t="n">
        <v>7631.0</v>
      </c>
      <c r="AC244" s="3" t="n">
        <v>7897.0</v>
      </c>
      <c r="AD244" s="3" t="n">
        <v>7339.0</v>
      </c>
      <c r="AE244" s="3" t="n">
        <v>6963.0</v>
      </c>
      <c r="AF244" s="3" t="n">
        <v>6526.0</v>
      </c>
      <c r="AG244" s="3" t="n">
        <v>6208.0</v>
      </c>
      <c r="AH244" s="3" t="n">
        <v>5666.0</v>
      </c>
      <c r="AI244" s="3" t="n">
        <v>5349.0</v>
      </c>
      <c r="AJ244" s="3" t="n">
        <v>5181.0</v>
      </c>
      <c r="AK244" s="3" t="n">
        <v>4989.0</v>
      </c>
      <c r="AL244" s="3" t="n">
        <v>4831.0</v>
      </c>
      <c r="AM244" s="3" t="n">
        <v>4685.0</v>
      </c>
      <c r="AN244" s="3" t="n">
        <v>4549.0</v>
      </c>
      <c r="AO244" s="3" t="n">
        <v>4447.0</v>
      </c>
    </row>
    <row r="245" spans="1:41" x14ac:dyDescent="0.2">
      <c r="A245" s="128"/>
      <c r="B245" s="9">
        <v>32</v>
      </c>
      <c r="C245" s="3" t="n">
        <v>10865.0</v>
      </c>
      <c r="D245" s="3" t="n">
        <v>10500.0</v>
      </c>
      <c r="E245" s="3" t="n">
        <v>9808.0</v>
      </c>
      <c r="F245" s="3" t="n">
        <v>9540.0</v>
      </c>
      <c r="G245" s="3" t="n">
        <v>9220.0</v>
      </c>
      <c r="H245" s="3" t="n">
        <v>8690.0</v>
      </c>
      <c r="I245" s="3" t="n">
        <v>8238.0</v>
      </c>
      <c r="J245" s="3" t="n">
        <v>7869.0</v>
      </c>
      <c r="K245" s="3" t="n">
        <v>7524.0</v>
      </c>
      <c r="L245" s="3" t="n">
        <v>7376.0</v>
      </c>
      <c r="M245" s="3" t="n">
        <v>7298.0</v>
      </c>
      <c r="N245" s="3" t="n">
        <v>7161.0</v>
      </c>
      <c r="O245" s="3" t="n">
        <v>7025.0</v>
      </c>
      <c r="P245" s="3" t="n">
        <v>6858.0</v>
      </c>
      <c r="Q245" s="3" t="n">
        <v>6962.0</v>
      </c>
      <c r="R245" s="3" t="n">
        <v>7173.0</v>
      </c>
      <c r="S245" s="3" t="n">
        <v>7413.0</v>
      </c>
      <c r="T245" s="3" t="n">
        <v>8022.0</v>
      </c>
      <c r="U245" s="3" t="n">
        <v>8628.0</v>
      </c>
      <c r="V245" s="3" t="n">
        <v>8460.0</v>
      </c>
      <c r="W245" s="3" t="n">
        <v>8224.0</v>
      </c>
      <c r="X245" s="3" t="n">
        <v>7846.0</v>
      </c>
      <c r="Y245" s="3" t="n">
        <v>7779.0</v>
      </c>
      <c r="Z245" s="3" t="n">
        <v>7419.0</v>
      </c>
      <c r="AA245" s="3" t="n">
        <v>7655.0</v>
      </c>
      <c r="AB245" s="3" t="n">
        <v>7510.0</v>
      </c>
      <c r="AC245" s="3" t="n">
        <v>7588.0</v>
      </c>
      <c r="AD245" s="3" t="n">
        <v>7860.0</v>
      </c>
      <c r="AE245" s="3" t="n">
        <v>7302.0</v>
      </c>
      <c r="AF245" s="3" t="n">
        <v>6931.0</v>
      </c>
      <c r="AG245" s="3" t="n">
        <v>6497.0</v>
      </c>
      <c r="AH245" s="3" t="n">
        <v>6182.0</v>
      </c>
      <c r="AI245" s="3" t="n">
        <v>5642.0</v>
      </c>
      <c r="AJ245" s="3" t="n">
        <v>5327.0</v>
      </c>
      <c r="AK245" s="3" t="n">
        <v>5159.0</v>
      </c>
      <c r="AL245" s="3" t="n">
        <v>4967.0</v>
      </c>
      <c r="AM245" s="3" t="n">
        <v>4808.0</v>
      </c>
      <c r="AN245" s="3" t="n">
        <v>4660.0</v>
      </c>
      <c r="AO245" s="3" t="n">
        <v>4525.0</v>
      </c>
    </row>
    <row r="246" spans="1:41" x14ac:dyDescent="0.2">
      <c r="A246" s="128"/>
      <c r="B246" s="9">
        <v>33</v>
      </c>
      <c r="C246" s="3" t="n">
        <v>10885.0</v>
      </c>
      <c r="D246" s="3" t="n">
        <v>10828.0</v>
      </c>
      <c r="E246" s="3" t="n">
        <v>10466.0</v>
      </c>
      <c r="F246" s="3" t="n">
        <v>9778.0</v>
      </c>
      <c r="G246" s="3" t="n">
        <v>9510.0</v>
      </c>
      <c r="H246" s="3" t="n">
        <v>9213.0</v>
      </c>
      <c r="I246" s="3" t="n">
        <v>8690.0</v>
      </c>
      <c r="J246" s="3" t="n">
        <v>8230.0</v>
      </c>
      <c r="K246" s="3" t="n">
        <v>7850.0</v>
      </c>
      <c r="L246" s="3" t="n">
        <v>7500.0</v>
      </c>
      <c r="M246" s="3" t="n">
        <v>7350.0</v>
      </c>
      <c r="N246" s="3" t="n">
        <v>7266.0</v>
      </c>
      <c r="O246" s="3" t="n">
        <v>7127.0</v>
      </c>
      <c r="P246" s="3" t="n">
        <v>6989.0</v>
      </c>
      <c r="Q246" s="3" t="n">
        <v>6829.0</v>
      </c>
      <c r="R246" s="3" t="n">
        <v>6927.0</v>
      </c>
      <c r="S246" s="3" t="n">
        <v>7136.0</v>
      </c>
      <c r="T246" s="3" t="n">
        <v>7368.0</v>
      </c>
      <c r="U246" s="3" t="n">
        <v>7973.0</v>
      </c>
      <c r="V246" s="3" t="n">
        <v>8578.0</v>
      </c>
      <c r="W246" s="3" t="n">
        <v>8413.0</v>
      </c>
      <c r="X246" s="3" t="n">
        <v>8180.0</v>
      </c>
      <c r="Y246" s="3" t="n">
        <v>7801.0</v>
      </c>
      <c r="Z246" s="3" t="n">
        <v>7734.0</v>
      </c>
      <c r="AA246" s="3" t="n">
        <v>7378.0</v>
      </c>
      <c r="AB246" s="3" t="n">
        <v>7607.0</v>
      </c>
      <c r="AC246" s="3" t="n">
        <v>7464.0</v>
      </c>
      <c r="AD246" s="3" t="n">
        <v>7545.0</v>
      </c>
      <c r="AE246" s="3" t="n">
        <v>7814.0</v>
      </c>
      <c r="AF246" s="3" t="n">
        <v>7263.0</v>
      </c>
      <c r="AG246" s="3" t="n">
        <v>6896.0</v>
      </c>
      <c r="AH246" s="3" t="n">
        <v>6468.0</v>
      </c>
      <c r="AI246" s="3" t="n">
        <v>6153.0</v>
      </c>
      <c r="AJ246" s="3" t="n">
        <v>5614.0</v>
      </c>
      <c r="AK246" s="3" t="n">
        <v>5302.0</v>
      </c>
      <c r="AL246" s="3" t="n">
        <v>5140.0</v>
      </c>
      <c r="AM246" s="3" t="n">
        <v>4942.0</v>
      </c>
      <c r="AN246" s="3" t="n">
        <v>4781.0</v>
      </c>
      <c r="AO246" s="3" t="n">
        <v>4636.0</v>
      </c>
    </row>
    <row r="247" spans="1:41" x14ac:dyDescent="0.2">
      <c r="A247" s="128"/>
      <c r="B247" s="9">
        <v>34</v>
      </c>
      <c r="C247" s="3" t="n">
        <v>11315.0</v>
      </c>
      <c r="D247" s="3" t="n">
        <v>10862.0</v>
      </c>
      <c r="E247" s="3" t="n">
        <v>10802.0</v>
      </c>
      <c r="F247" s="3" t="n">
        <v>10441.0</v>
      </c>
      <c r="G247" s="3" t="n">
        <v>9761.0</v>
      </c>
      <c r="H247" s="3" t="n">
        <v>9511.0</v>
      </c>
      <c r="I247" s="3" t="n">
        <v>9223.0</v>
      </c>
      <c r="J247" s="3" t="n">
        <v>8684.0</v>
      </c>
      <c r="K247" s="3" t="n">
        <v>8217.0</v>
      </c>
      <c r="L247" s="3" t="n">
        <v>7833.0</v>
      </c>
      <c r="M247" s="3" t="n">
        <v>7485.0</v>
      </c>
      <c r="N247" s="3" t="n">
        <v>7335.0</v>
      </c>
      <c r="O247" s="3" t="n">
        <v>7244.0</v>
      </c>
      <c r="P247" s="3" t="n">
        <v>7109.0</v>
      </c>
      <c r="Q247" s="3" t="n">
        <v>6967.0</v>
      </c>
      <c r="R247" s="3" t="n">
        <v>6806.0</v>
      </c>
      <c r="S247" s="3" t="n">
        <v>6903.0</v>
      </c>
      <c r="T247" s="3" t="n">
        <v>7114.0</v>
      </c>
      <c r="U247" s="3" t="n">
        <v>7347.0</v>
      </c>
      <c r="V247" s="3" t="n">
        <v>7943.0</v>
      </c>
      <c r="W247" s="3" t="n">
        <v>8545.0</v>
      </c>
      <c r="X247" s="3" t="n">
        <v>8379.0</v>
      </c>
      <c r="Y247" s="3" t="n">
        <v>8151.0</v>
      </c>
      <c r="Z247" s="3" t="n">
        <v>7773.0</v>
      </c>
      <c r="AA247" s="3" t="n">
        <v>7704.0</v>
      </c>
      <c r="AB247" s="3" t="n">
        <v>7347.0</v>
      </c>
      <c r="AC247" s="3" t="n">
        <v>7575.0</v>
      </c>
      <c r="AD247" s="3" t="n">
        <v>7433.0</v>
      </c>
      <c r="AE247" s="3" t="n">
        <v>7515.0</v>
      </c>
      <c r="AF247" s="3" t="n">
        <v>7787.0</v>
      </c>
      <c r="AG247" s="3" t="n">
        <v>7237.0</v>
      </c>
      <c r="AH247" s="3" t="n">
        <v>6873.0</v>
      </c>
      <c r="AI247" s="3" t="n">
        <v>6449.0</v>
      </c>
      <c r="AJ247" s="3" t="n">
        <v>6130.0</v>
      </c>
      <c r="AK247" s="3" t="n">
        <v>5590.0</v>
      </c>
      <c r="AL247" s="3" t="n">
        <v>5278.0</v>
      </c>
      <c r="AM247" s="3" t="n">
        <v>5116.0</v>
      </c>
      <c r="AN247" s="3" t="n">
        <v>4915.0</v>
      </c>
      <c r="AO247" s="3" t="n">
        <v>4755.0</v>
      </c>
    </row>
    <row r="248" spans="1:41" x14ac:dyDescent="0.2">
      <c r="A248" s="128"/>
      <c r="B248" s="9">
        <v>35</v>
      </c>
      <c r="C248" s="3" t="n">
        <v>11692.0</v>
      </c>
      <c r="D248" s="3" t="n">
        <v>11287.0</v>
      </c>
      <c r="E248" s="3" t="n">
        <v>10841.0</v>
      </c>
      <c r="F248" s="3" t="n">
        <v>10777.0</v>
      </c>
      <c r="G248" s="3" t="n">
        <v>10423.0</v>
      </c>
      <c r="H248" s="3" t="n">
        <v>9768.0</v>
      </c>
      <c r="I248" s="3" t="n">
        <v>9533.0</v>
      </c>
      <c r="J248" s="3" t="n">
        <v>9219.0</v>
      </c>
      <c r="K248" s="3" t="n">
        <v>8669.0</v>
      </c>
      <c r="L248" s="3" t="n">
        <v>8205.0</v>
      </c>
      <c r="M248" s="3" t="n">
        <v>7816.0</v>
      </c>
      <c r="N248" s="3" t="n">
        <v>7465.0</v>
      </c>
      <c r="O248" s="3" t="n">
        <v>7312.0</v>
      </c>
      <c r="P248" s="3" t="n">
        <v>7219.0</v>
      </c>
      <c r="Q248" s="3" t="n">
        <v>7083.0</v>
      </c>
      <c r="R248" s="3" t="n">
        <v>6940.0</v>
      </c>
      <c r="S248" s="3" t="n">
        <v>6780.0</v>
      </c>
      <c r="T248" s="3" t="n">
        <v>6875.0</v>
      </c>
      <c r="U248" s="3" t="n">
        <v>7085.0</v>
      </c>
      <c r="V248" s="3" t="n">
        <v>7314.0</v>
      </c>
      <c r="W248" s="3" t="n">
        <v>7908.0</v>
      </c>
      <c r="X248" s="3" t="n">
        <v>8509.0</v>
      </c>
      <c r="Y248" s="3" t="n">
        <v>8344.0</v>
      </c>
      <c r="Z248" s="3" t="n">
        <v>8121.0</v>
      </c>
      <c r="AA248" s="3" t="n">
        <v>7741.0</v>
      </c>
      <c r="AB248" s="3" t="n">
        <v>7669.0</v>
      </c>
      <c r="AC248" s="3" t="n">
        <v>7311.0</v>
      </c>
      <c r="AD248" s="3" t="n">
        <v>7539.0</v>
      </c>
      <c r="AE248" s="3" t="n">
        <v>7396.0</v>
      </c>
      <c r="AF248" s="3" t="n">
        <v>7486.0</v>
      </c>
      <c r="AG248" s="3" t="n">
        <v>7757.0</v>
      </c>
      <c r="AH248" s="3" t="n">
        <v>7207.0</v>
      </c>
      <c r="AI248" s="3" t="n">
        <v>6844.0</v>
      </c>
      <c r="AJ248" s="3" t="n">
        <v>6424.0</v>
      </c>
      <c r="AK248" s="3" t="n">
        <v>6103.0</v>
      </c>
      <c r="AL248" s="3" t="n">
        <v>5568.0</v>
      </c>
      <c r="AM248" s="3" t="n">
        <v>5257.0</v>
      </c>
      <c r="AN248" s="3" t="n">
        <v>5102.0</v>
      </c>
      <c r="AO248" s="3" t="n">
        <v>4900.0</v>
      </c>
    </row>
    <row r="249" spans="1:41" x14ac:dyDescent="0.2">
      <c r="A249" s="128"/>
      <c r="B249" s="9">
        <v>36</v>
      </c>
      <c r="C249" s="3" t="n">
        <v>12299.0</v>
      </c>
      <c r="D249" s="3" t="n">
        <v>11678.0</v>
      </c>
      <c r="E249" s="3" t="n">
        <v>11275.0</v>
      </c>
      <c r="F249" s="3" t="n">
        <v>10826.0</v>
      </c>
      <c r="G249" s="3" t="n">
        <v>10757.0</v>
      </c>
      <c r="H249" s="3" t="n">
        <v>10441.0</v>
      </c>
      <c r="I249" s="3" t="n">
        <v>9797.0</v>
      </c>
      <c r="J249" s="3" t="n">
        <v>9540.0</v>
      </c>
      <c r="K249" s="3" t="n">
        <v>9211.0</v>
      </c>
      <c r="L249" s="3" t="n">
        <v>8663.0</v>
      </c>
      <c r="M249" s="3" t="n">
        <v>8193.0</v>
      </c>
      <c r="N249" s="3" t="n">
        <v>7811.0</v>
      </c>
      <c r="O249" s="3" t="n">
        <v>7457.0</v>
      </c>
      <c r="P249" s="3" t="n">
        <v>7300.0</v>
      </c>
      <c r="Q249" s="3" t="n">
        <v>7208.0</v>
      </c>
      <c r="R249" s="3" t="n">
        <v>7072.0</v>
      </c>
      <c r="S249" s="3" t="n">
        <v>6928.0</v>
      </c>
      <c r="T249" s="3" t="n">
        <v>6767.0</v>
      </c>
      <c r="U249" s="3" t="n">
        <v>6862.0</v>
      </c>
      <c r="V249" s="3" t="n">
        <v>7072.0</v>
      </c>
      <c r="W249" s="3" t="n">
        <v>7298.0</v>
      </c>
      <c r="X249" s="3" t="n">
        <v>7884.0</v>
      </c>
      <c r="Y249" s="3" t="n">
        <v>8481.0</v>
      </c>
      <c r="Z249" s="3" t="n">
        <v>8323.0</v>
      </c>
      <c r="AA249" s="3" t="n">
        <v>8100.0</v>
      </c>
      <c r="AB249" s="3" t="n">
        <v>7723.0</v>
      </c>
      <c r="AC249" s="3" t="n">
        <v>7651.0</v>
      </c>
      <c r="AD249" s="3" t="n">
        <v>7290.0</v>
      </c>
      <c r="AE249" s="3" t="n">
        <v>7518.0</v>
      </c>
      <c r="AF249" s="3" t="n">
        <v>7373.0</v>
      </c>
      <c r="AG249" s="3" t="n">
        <v>7466.0</v>
      </c>
      <c r="AH249" s="3" t="n">
        <v>7737.0</v>
      </c>
      <c r="AI249" s="3" t="n">
        <v>7191.0</v>
      </c>
      <c r="AJ249" s="3" t="n">
        <v>6829.0</v>
      </c>
      <c r="AK249" s="3" t="n">
        <v>6406.0</v>
      </c>
      <c r="AL249" s="3" t="n">
        <v>6085.0</v>
      </c>
      <c r="AM249" s="3" t="n">
        <v>5550.0</v>
      </c>
      <c r="AN249" s="3" t="n">
        <v>5242.0</v>
      </c>
      <c r="AO249" s="3" t="n">
        <v>5089.0</v>
      </c>
    </row>
    <row r="250" spans="1:41" x14ac:dyDescent="0.2">
      <c r="A250" s="128"/>
      <c r="B250" s="9">
        <v>37</v>
      </c>
      <c r="C250" s="3" t="n">
        <v>13246.0</v>
      </c>
      <c r="D250" s="3" t="n">
        <v>12279.0</v>
      </c>
      <c r="E250" s="3" t="n">
        <v>11658.0</v>
      </c>
      <c r="F250" s="3" t="n">
        <v>11262.0</v>
      </c>
      <c r="G250" s="3" t="n">
        <v>10815.0</v>
      </c>
      <c r="H250" s="3" t="n">
        <v>10774.0</v>
      </c>
      <c r="I250" s="3" t="n">
        <v>10462.0</v>
      </c>
      <c r="J250" s="3" t="n">
        <v>9799.0</v>
      </c>
      <c r="K250" s="3" t="n">
        <v>9538.0</v>
      </c>
      <c r="L250" s="3" t="n">
        <v>9200.0</v>
      </c>
      <c r="M250" s="3" t="n">
        <v>8652.0</v>
      </c>
      <c r="N250" s="3" t="n">
        <v>8182.0</v>
      </c>
      <c r="O250" s="3" t="n">
        <v>7801.0</v>
      </c>
      <c r="P250" s="3" t="n">
        <v>7448.0</v>
      </c>
      <c r="Q250" s="3" t="n">
        <v>7293.0</v>
      </c>
      <c r="R250" s="3" t="n">
        <v>7200.0</v>
      </c>
      <c r="S250" s="3" t="n">
        <v>7054.0</v>
      </c>
      <c r="T250" s="3" t="n">
        <v>6914.0</v>
      </c>
      <c r="U250" s="3" t="n">
        <v>6753.0</v>
      </c>
      <c r="V250" s="3" t="n">
        <v>6847.0</v>
      </c>
      <c r="W250" s="3" t="n">
        <v>7058.0</v>
      </c>
      <c r="X250" s="3" t="n">
        <v>7276.0</v>
      </c>
      <c r="Y250" s="3" t="n">
        <v>7864.0</v>
      </c>
      <c r="Z250" s="3" t="n">
        <v>8457.0</v>
      </c>
      <c r="AA250" s="3" t="n">
        <v>8299.0</v>
      </c>
      <c r="AB250" s="3" t="n">
        <v>8080.0</v>
      </c>
      <c r="AC250" s="3" t="n">
        <v>7703.0</v>
      </c>
      <c r="AD250" s="3" t="n">
        <v>7630.0</v>
      </c>
      <c r="AE250" s="3" t="n">
        <v>7272.0</v>
      </c>
      <c r="AF250" s="3" t="n">
        <v>7495.0</v>
      </c>
      <c r="AG250" s="3" t="n">
        <v>7348.0</v>
      </c>
      <c r="AH250" s="3" t="n">
        <v>7445.0</v>
      </c>
      <c r="AI250" s="3" t="n">
        <v>7714.0</v>
      </c>
      <c r="AJ250" s="3" t="n">
        <v>7168.0</v>
      </c>
      <c r="AK250" s="3" t="n">
        <v>6808.0</v>
      </c>
      <c r="AL250" s="3" t="n">
        <v>6387.0</v>
      </c>
      <c r="AM250" s="3" t="n">
        <v>6063.0</v>
      </c>
      <c r="AN250" s="3" t="n">
        <v>5532.0</v>
      </c>
      <c r="AO250" s="3" t="n">
        <v>5224.0</v>
      </c>
    </row>
    <row r="251" spans="1:41" x14ac:dyDescent="0.2">
      <c r="A251" s="128"/>
      <c r="B251" s="9">
        <v>38</v>
      </c>
      <c r="C251" s="3" t="n">
        <v>13867.0</v>
      </c>
      <c r="D251" s="3" t="n">
        <v>13205.0</v>
      </c>
      <c r="E251" s="3" t="n">
        <v>12241.0</v>
      </c>
      <c r="F251" s="3" t="n">
        <v>11624.0</v>
      </c>
      <c r="G251" s="3" t="n">
        <v>11231.0</v>
      </c>
      <c r="H251" s="3" t="n">
        <v>10814.0</v>
      </c>
      <c r="I251" s="3" t="n">
        <v>10782.0</v>
      </c>
      <c r="J251" s="3" t="n">
        <v>10448.0</v>
      </c>
      <c r="K251" s="3" t="n">
        <v>9775.0</v>
      </c>
      <c r="L251" s="3" t="n">
        <v>9512.0</v>
      </c>
      <c r="M251" s="3" t="n">
        <v>9168.0</v>
      </c>
      <c r="N251" s="3" t="n">
        <v>8623.0</v>
      </c>
      <c r="O251" s="3" t="n">
        <v>8158.0</v>
      </c>
      <c r="P251" s="3" t="n">
        <v>7778.0</v>
      </c>
      <c r="Q251" s="3" t="n">
        <v>7421.0</v>
      </c>
      <c r="R251" s="3" t="n">
        <v>7269.0</v>
      </c>
      <c r="S251" s="3" t="n">
        <v>7174.0</v>
      </c>
      <c r="T251" s="3" t="n">
        <v>7025.0</v>
      </c>
      <c r="U251" s="3" t="n">
        <v>6886.0</v>
      </c>
      <c r="V251" s="3" t="n">
        <v>6725.0</v>
      </c>
      <c r="W251" s="3" t="n">
        <v>6816.0</v>
      </c>
      <c r="X251" s="3" t="n">
        <v>7028.0</v>
      </c>
      <c r="Y251" s="3" t="n">
        <v>7245.0</v>
      </c>
      <c r="Z251" s="3" t="n">
        <v>7823.0</v>
      </c>
      <c r="AA251" s="3" t="n">
        <v>8413.0</v>
      </c>
      <c r="AB251" s="3" t="n">
        <v>8258.0</v>
      </c>
      <c r="AC251" s="3" t="n">
        <v>8041.0</v>
      </c>
      <c r="AD251" s="3" t="n">
        <v>7670.0</v>
      </c>
      <c r="AE251" s="3" t="n">
        <v>7595.0</v>
      </c>
      <c r="AF251" s="3" t="n">
        <v>7239.0</v>
      </c>
      <c r="AG251" s="3" t="n">
        <v>7456.0</v>
      </c>
      <c r="AH251" s="3" t="n">
        <v>7314.0</v>
      </c>
      <c r="AI251" s="3" t="n">
        <v>7409.0</v>
      </c>
      <c r="AJ251" s="3" t="n">
        <v>7678.0</v>
      </c>
      <c r="AK251" s="3" t="n">
        <v>7134.0</v>
      </c>
      <c r="AL251" s="3" t="n">
        <v>6774.0</v>
      </c>
      <c r="AM251" s="3" t="n">
        <v>6353.0</v>
      </c>
      <c r="AN251" s="3" t="n">
        <v>6032.0</v>
      </c>
      <c r="AO251" s="3" t="n">
        <v>5506.0</v>
      </c>
    </row>
    <row r="252" spans="1:41" x14ac:dyDescent="0.2">
      <c r="A252" s="128"/>
      <c r="B252" s="9">
        <v>39</v>
      </c>
      <c r="C252" s="3" t="n">
        <v>14257.0</v>
      </c>
      <c r="D252" s="3" t="n">
        <v>13832.0</v>
      </c>
      <c r="E252" s="3" t="n">
        <v>13173.0</v>
      </c>
      <c r="F252" s="3" t="n">
        <v>12206.0</v>
      </c>
      <c r="G252" s="3" t="n">
        <v>11589.0</v>
      </c>
      <c r="H252" s="3" t="n">
        <v>11227.0</v>
      </c>
      <c r="I252" s="3" t="n">
        <v>10827.0</v>
      </c>
      <c r="J252" s="3" t="n">
        <v>10774.0</v>
      </c>
      <c r="K252" s="3" t="n">
        <v>10431.0</v>
      </c>
      <c r="L252" s="3" t="n">
        <v>9754.0</v>
      </c>
      <c r="M252" s="3" t="n">
        <v>9487.0</v>
      </c>
      <c r="N252" s="3" t="n">
        <v>9139.0</v>
      </c>
      <c r="O252" s="3" t="n">
        <v>8593.0</v>
      </c>
      <c r="P252" s="3" t="n">
        <v>8132.0</v>
      </c>
      <c r="Q252" s="3" t="n">
        <v>7754.0</v>
      </c>
      <c r="R252" s="3" t="n">
        <v>7399.0</v>
      </c>
      <c r="S252" s="3" t="n">
        <v>7243.0</v>
      </c>
      <c r="T252" s="3" t="n">
        <v>7144.0</v>
      </c>
      <c r="U252" s="3" t="n">
        <v>6994.0</v>
      </c>
      <c r="V252" s="3" t="n">
        <v>6858.0</v>
      </c>
      <c r="W252" s="3" t="n">
        <v>6699.0</v>
      </c>
      <c r="X252" s="3" t="n">
        <v>6787.0</v>
      </c>
      <c r="Y252" s="3" t="n">
        <v>6997.0</v>
      </c>
      <c r="Z252" s="3" t="n">
        <v>7214.0</v>
      </c>
      <c r="AA252" s="3" t="n">
        <v>7788.0</v>
      </c>
      <c r="AB252" s="3" t="n">
        <v>8380.0</v>
      </c>
      <c r="AC252" s="3" t="n">
        <v>8226.0</v>
      </c>
      <c r="AD252" s="3" t="n">
        <v>8006.0</v>
      </c>
      <c r="AE252" s="3" t="n">
        <v>7637.0</v>
      </c>
      <c r="AF252" s="3" t="n">
        <v>7560.0</v>
      </c>
      <c r="AG252" s="3" t="n">
        <v>7204.0</v>
      </c>
      <c r="AH252" s="3" t="n">
        <v>7421.0</v>
      </c>
      <c r="AI252" s="3" t="n">
        <v>7279.0</v>
      </c>
      <c r="AJ252" s="3" t="n">
        <v>7372.0</v>
      </c>
      <c r="AK252" s="3" t="n">
        <v>7642.0</v>
      </c>
      <c r="AL252" s="3" t="n">
        <v>7102.0</v>
      </c>
      <c r="AM252" s="3" t="n">
        <v>6742.0</v>
      </c>
      <c r="AN252" s="3" t="n">
        <v>6324.0</v>
      </c>
      <c r="AO252" s="3" t="n">
        <v>6005.0</v>
      </c>
    </row>
    <row r="253" spans="1:41" x14ac:dyDescent="0.2">
      <c r="A253" s="128"/>
      <c r="B253" s="9">
        <v>40</v>
      </c>
      <c r="C253" s="3" t="n">
        <v>14109.0</v>
      </c>
      <c r="D253" s="3" t="n">
        <v>14228.0</v>
      </c>
      <c r="E253" s="3" t="n">
        <v>13804.0</v>
      </c>
      <c r="F253" s="3" t="n">
        <v>13147.0</v>
      </c>
      <c r="G253" s="3" t="n">
        <v>12181.0</v>
      </c>
      <c r="H253" s="3" t="n">
        <v>11597.0</v>
      </c>
      <c r="I253" s="3" t="n">
        <v>11247.0</v>
      </c>
      <c r="J253" s="3" t="n">
        <v>10826.0</v>
      </c>
      <c r="K253" s="3" t="n">
        <v>10763.0</v>
      </c>
      <c r="L253" s="3" t="n">
        <v>10419.0</v>
      </c>
      <c r="M253" s="3" t="n">
        <v>9741.0</v>
      </c>
      <c r="N253" s="3" t="n">
        <v>9468.0</v>
      </c>
      <c r="O253" s="3" t="n">
        <v>9119.0</v>
      </c>
      <c r="P253" s="3" t="n">
        <v>8575.0</v>
      </c>
      <c r="Q253" s="3" t="n">
        <v>8115.0</v>
      </c>
      <c r="R253" s="3" t="n">
        <v>7740.0</v>
      </c>
      <c r="S253" s="3" t="n">
        <v>7385.0</v>
      </c>
      <c r="T253" s="3" t="n">
        <v>7224.0</v>
      </c>
      <c r="U253" s="3" t="n">
        <v>7126.0</v>
      </c>
      <c r="V253" s="3" t="n">
        <v>6974.0</v>
      </c>
      <c r="W253" s="3" t="n">
        <v>6839.0</v>
      </c>
      <c r="X253" s="3" t="n">
        <v>6680.0</v>
      </c>
      <c r="Y253" s="3" t="n">
        <v>6766.0</v>
      </c>
      <c r="Z253" s="3" t="n">
        <v>6977.0</v>
      </c>
      <c r="AA253" s="3" t="n">
        <v>7192.0</v>
      </c>
      <c r="AB253" s="3" t="n">
        <v>7766.0</v>
      </c>
      <c r="AC253" s="3" t="n">
        <v>8349.0</v>
      </c>
      <c r="AD253" s="3" t="n">
        <v>8198.0</v>
      </c>
      <c r="AE253" s="3" t="n">
        <v>7983.0</v>
      </c>
      <c r="AF253" s="3" t="n">
        <v>7615.0</v>
      </c>
      <c r="AG253" s="3" t="n">
        <v>7539.0</v>
      </c>
      <c r="AH253" s="3" t="n">
        <v>7179.0</v>
      </c>
      <c r="AI253" s="3" t="n">
        <v>7395.0</v>
      </c>
      <c r="AJ253" s="3" t="n">
        <v>7251.0</v>
      </c>
      <c r="AK253" s="3" t="n">
        <v>7346.0</v>
      </c>
      <c r="AL253" s="3" t="n">
        <v>7619.0</v>
      </c>
      <c r="AM253" s="3" t="n">
        <v>7075.0</v>
      </c>
      <c r="AN253" s="3" t="n">
        <v>6713.0</v>
      </c>
      <c r="AO253" s="3" t="n">
        <v>6303.0</v>
      </c>
    </row>
    <row r="254" spans="1:41" x14ac:dyDescent="0.2">
      <c r="A254" s="128"/>
      <c r="B254" s="9">
        <v>41</v>
      </c>
      <c r="C254" s="3" t="n">
        <v>13593.0</v>
      </c>
      <c r="D254" s="3" t="n">
        <v>14088.0</v>
      </c>
      <c r="E254" s="3" t="n">
        <v>14211.0</v>
      </c>
      <c r="F254" s="3" t="n">
        <v>13783.0</v>
      </c>
      <c r="G254" s="3" t="n">
        <v>13124.0</v>
      </c>
      <c r="H254" s="3" t="n">
        <v>12186.0</v>
      </c>
      <c r="I254" s="3" t="n">
        <v>11612.0</v>
      </c>
      <c r="J254" s="3" t="n">
        <v>11241.0</v>
      </c>
      <c r="K254" s="3" t="n">
        <v>10807.0</v>
      </c>
      <c r="L254" s="3" t="n">
        <v>10745.0</v>
      </c>
      <c r="M254" s="3" t="n">
        <v>10401.0</v>
      </c>
      <c r="N254" s="3" t="n">
        <v>9732.0</v>
      </c>
      <c r="O254" s="3" t="n">
        <v>9454.0</v>
      </c>
      <c r="P254" s="3" t="n">
        <v>9106.0</v>
      </c>
      <c r="Q254" s="3" t="n">
        <v>8564.0</v>
      </c>
      <c r="R254" s="3" t="n">
        <v>8103.0</v>
      </c>
      <c r="S254" s="3" t="n">
        <v>7735.0</v>
      </c>
      <c r="T254" s="3" t="n">
        <v>7377.0</v>
      </c>
      <c r="U254" s="3" t="n">
        <v>7216.0</v>
      </c>
      <c r="V254" s="3" t="n">
        <v>7120.0</v>
      </c>
      <c r="W254" s="3" t="n">
        <v>6971.0</v>
      </c>
      <c r="X254" s="3" t="n">
        <v>6828.0</v>
      </c>
      <c r="Y254" s="3" t="n">
        <v>6669.0</v>
      </c>
      <c r="Z254" s="3" t="n">
        <v>6757.0</v>
      </c>
      <c r="AA254" s="3" t="n">
        <v>6963.0</v>
      </c>
      <c r="AB254" s="3" t="n">
        <v>7181.0</v>
      </c>
      <c r="AC254" s="3" t="n">
        <v>7752.0</v>
      </c>
      <c r="AD254" s="3" t="n">
        <v>8331.0</v>
      </c>
      <c r="AE254" s="3" t="n">
        <v>8178.0</v>
      </c>
      <c r="AF254" s="3" t="n">
        <v>7968.0</v>
      </c>
      <c r="AG254" s="3" t="n">
        <v>7603.0</v>
      </c>
      <c r="AH254" s="3" t="n">
        <v>7526.0</v>
      </c>
      <c r="AI254" s="3" t="n">
        <v>7165.0</v>
      </c>
      <c r="AJ254" s="3" t="n">
        <v>7379.0</v>
      </c>
      <c r="AK254" s="3" t="n">
        <v>7233.0</v>
      </c>
      <c r="AL254" s="3" t="n">
        <v>7330.0</v>
      </c>
      <c r="AM254" s="3" t="n">
        <v>7606.0</v>
      </c>
      <c r="AN254" s="3" t="n">
        <v>7060.0</v>
      </c>
      <c r="AO254" s="3" t="n">
        <v>6706.0</v>
      </c>
    </row>
    <row r="255" spans="1:41" x14ac:dyDescent="0.2">
      <c r="A255" s="128"/>
      <c r="B255" s="9">
        <v>42</v>
      </c>
      <c r="C255" s="3" t="n">
        <v>13945.0</v>
      </c>
      <c r="D255" s="3" t="n">
        <v>13569.0</v>
      </c>
      <c r="E255" s="3" t="n">
        <v>14062.0</v>
      </c>
      <c r="F255" s="3" t="n">
        <v>14189.0</v>
      </c>
      <c r="G255" s="3" t="n">
        <v>13762.0</v>
      </c>
      <c r="H255" s="3" t="n">
        <v>13124.0</v>
      </c>
      <c r="I255" s="3" t="n">
        <v>12197.0</v>
      </c>
      <c r="J255" s="3" t="n">
        <v>11613.0</v>
      </c>
      <c r="K255" s="3" t="n">
        <v>11235.0</v>
      </c>
      <c r="L255" s="3" t="n">
        <v>10795.0</v>
      </c>
      <c r="M255" s="3" t="n">
        <v>10734.0</v>
      </c>
      <c r="N255" s="3" t="n">
        <v>10391.0</v>
      </c>
      <c r="O255" s="3" t="n">
        <v>9726.0</v>
      </c>
      <c r="P255" s="3" t="n">
        <v>9450.0</v>
      </c>
      <c r="Q255" s="3" t="n">
        <v>9095.0</v>
      </c>
      <c r="R255" s="3" t="n">
        <v>8552.0</v>
      </c>
      <c r="S255" s="3" t="n">
        <v>8092.0</v>
      </c>
      <c r="T255" s="3" t="n">
        <v>7726.0</v>
      </c>
      <c r="U255" s="3" t="n">
        <v>7368.0</v>
      </c>
      <c r="V255" s="3" t="n">
        <v>7207.0</v>
      </c>
      <c r="W255" s="3" t="n">
        <v>7109.0</v>
      </c>
      <c r="X255" s="3" t="n">
        <v>6957.0</v>
      </c>
      <c r="Y255" s="3" t="n">
        <v>6813.0</v>
      </c>
      <c r="Z255" s="3" t="n">
        <v>6654.0</v>
      </c>
      <c r="AA255" s="3" t="n">
        <v>6746.0</v>
      </c>
      <c r="AB255" s="3" t="n">
        <v>6951.0</v>
      </c>
      <c r="AC255" s="3" t="n">
        <v>7162.0</v>
      </c>
      <c r="AD255" s="3" t="n">
        <v>7734.0</v>
      </c>
      <c r="AE255" s="3" t="n">
        <v>8314.0</v>
      </c>
      <c r="AF255" s="3" t="n">
        <v>8164.0</v>
      </c>
      <c r="AG255" s="3" t="n">
        <v>7948.0</v>
      </c>
      <c r="AH255" s="3" t="n">
        <v>7585.0</v>
      </c>
      <c r="AI255" s="3" t="n">
        <v>7508.0</v>
      </c>
      <c r="AJ255" s="3" t="n">
        <v>7149.0</v>
      </c>
      <c r="AK255" s="3" t="n">
        <v>7361.0</v>
      </c>
      <c r="AL255" s="3" t="n">
        <v>7214.0</v>
      </c>
      <c r="AM255" s="3" t="n">
        <v>7309.0</v>
      </c>
      <c r="AN255" s="3" t="n">
        <v>7586.0</v>
      </c>
      <c r="AO255" s="3" t="n">
        <v>7044.0</v>
      </c>
    </row>
    <row r="256" spans="1:41" x14ac:dyDescent="0.2">
      <c r="A256" s="128"/>
      <c r="B256" s="9">
        <v>43</v>
      </c>
      <c r="C256" s="3" t="n">
        <v>13665.0</v>
      </c>
      <c r="D256" s="3" t="n">
        <v>13922.0</v>
      </c>
      <c r="E256" s="3" t="n">
        <v>13544.0</v>
      </c>
      <c r="F256" s="3" t="n">
        <v>14040.0</v>
      </c>
      <c r="G256" s="3" t="n">
        <v>14165.0</v>
      </c>
      <c r="H256" s="3" t="n">
        <v>13762.0</v>
      </c>
      <c r="I256" s="3" t="n">
        <v>13126.0</v>
      </c>
      <c r="J256" s="3" t="n">
        <v>12187.0</v>
      </c>
      <c r="K256" s="3" t="n">
        <v>11599.0</v>
      </c>
      <c r="L256" s="3" t="n">
        <v>11222.0</v>
      </c>
      <c r="M256" s="3" t="n">
        <v>10780.0</v>
      </c>
      <c r="N256" s="3" t="n">
        <v>10719.0</v>
      </c>
      <c r="O256" s="3" t="n">
        <v>10372.0</v>
      </c>
      <c r="P256" s="3" t="n">
        <v>9710.0</v>
      </c>
      <c r="Q256" s="3" t="n">
        <v>9439.0</v>
      </c>
      <c r="R256" s="3" t="n">
        <v>9082.0</v>
      </c>
      <c r="S256" s="3" t="n">
        <v>8538.0</v>
      </c>
      <c r="T256" s="3" t="n">
        <v>8080.0</v>
      </c>
      <c r="U256" s="3" t="n">
        <v>7713.0</v>
      </c>
      <c r="V256" s="3" t="n">
        <v>7356.0</v>
      </c>
      <c r="W256" s="3" t="n">
        <v>7194.0</v>
      </c>
      <c r="X256" s="3" t="n">
        <v>7096.0</v>
      </c>
      <c r="Y256" s="3" t="n">
        <v>6942.0</v>
      </c>
      <c r="Z256" s="3" t="n">
        <v>6795.0</v>
      </c>
      <c r="AA256" s="3" t="n">
        <v>6638.0</v>
      </c>
      <c r="AB256" s="3" t="n">
        <v>6730.0</v>
      </c>
      <c r="AC256" s="3" t="n">
        <v>6937.0</v>
      </c>
      <c r="AD256" s="3" t="n">
        <v>7146.0</v>
      </c>
      <c r="AE256" s="3" t="n">
        <v>7712.0</v>
      </c>
      <c r="AF256" s="3" t="n">
        <v>8295.0</v>
      </c>
      <c r="AG256" s="3" t="n">
        <v>8145.0</v>
      </c>
      <c r="AH256" s="3" t="n">
        <v>7926.0</v>
      </c>
      <c r="AI256" s="3" t="n">
        <v>7564.0</v>
      </c>
      <c r="AJ256" s="3" t="n">
        <v>7486.0</v>
      </c>
      <c r="AK256" s="3" t="n">
        <v>7128.0</v>
      </c>
      <c r="AL256" s="3" t="n">
        <v>7340.0</v>
      </c>
      <c r="AM256" s="3" t="n">
        <v>7192.0</v>
      </c>
      <c r="AN256" s="3" t="n">
        <v>7286.0</v>
      </c>
      <c r="AO256" s="3" t="n">
        <v>7560.0</v>
      </c>
    </row>
    <row r="257" spans="1:41" x14ac:dyDescent="0.2">
      <c r="A257" s="128"/>
      <c r="B257" s="9">
        <v>44</v>
      </c>
      <c r="C257" s="3" t="n">
        <v>13249.0</v>
      </c>
      <c r="D257" s="3" t="n">
        <v>13644.0</v>
      </c>
      <c r="E257" s="3" t="n">
        <v>13897.0</v>
      </c>
      <c r="F257" s="3" t="n">
        <v>13522.0</v>
      </c>
      <c r="G257" s="3" t="n">
        <v>14014.0</v>
      </c>
      <c r="H257" s="3" t="n">
        <v>14162.0</v>
      </c>
      <c r="I257" s="3" t="n">
        <v>13768.0</v>
      </c>
      <c r="J257" s="3" t="n">
        <v>13120.0</v>
      </c>
      <c r="K257" s="3" t="n">
        <v>12170.0</v>
      </c>
      <c r="L257" s="3" t="n">
        <v>11582.0</v>
      </c>
      <c r="M257" s="3" t="n">
        <v>11209.0</v>
      </c>
      <c r="N257" s="3" t="n">
        <v>10765.0</v>
      </c>
      <c r="O257" s="3" t="n">
        <v>10705.0</v>
      </c>
      <c r="P257" s="3" t="n">
        <v>10359.0</v>
      </c>
      <c r="Q257" s="3" t="n">
        <v>9696.0</v>
      </c>
      <c r="R257" s="3" t="n">
        <v>9428.0</v>
      </c>
      <c r="S257" s="3" t="n">
        <v>9075.0</v>
      </c>
      <c r="T257" s="3" t="n">
        <v>8528.0</v>
      </c>
      <c r="U257" s="3" t="n">
        <v>8073.0</v>
      </c>
      <c r="V257" s="3" t="n">
        <v>7706.0</v>
      </c>
      <c r="W257" s="3" t="n">
        <v>7348.0</v>
      </c>
      <c r="X257" s="3" t="n">
        <v>7182.0</v>
      </c>
      <c r="Y257" s="3" t="n">
        <v>7085.0</v>
      </c>
      <c r="Z257" s="3" t="n">
        <v>6933.0</v>
      </c>
      <c r="AA257" s="3" t="n">
        <v>6786.0</v>
      </c>
      <c r="AB257" s="3" t="n">
        <v>6629.0</v>
      </c>
      <c r="AC257" s="3" t="n">
        <v>6720.0</v>
      </c>
      <c r="AD257" s="3" t="n">
        <v>6925.0</v>
      </c>
      <c r="AE257" s="3" t="n">
        <v>7132.0</v>
      </c>
      <c r="AF257" s="3" t="n">
        <v>7696.0</v>
      </c>
      <c r="AG257" s="3" t="n">
        <v>8279.0</v>
      </c>
      <c r="AH257" s="3" t="n">
        <v>8132.0</v>
      </c>
      <c r="AI257" s="3" t="n">
        <v>7912.0</v>
      </c>
      <c r="AJ257" s="3" t="n">
        <v>7549.0</v>
      </c>
      <c r="AK257" s="3" t="n">
        <v>7470.0</v>
      </c>
      <c r="AL257" s="3" t="n">
        <v>7109.0</v>
      </c>
      <c r="AM257" s="3" t="n">
        <v>7321.0</v>
      </c>
      <c r="AN257" s="3" t="n">
        <v>7174.0</v>
      </c>
      <c r="AO257" s="3" t="n">
        <v>7270.0</v>
      </c>
    </row>
    <row r="258" spans="1:41" x14ac:dyDescent="0.2">
      <c r="A258" s="128"/>
      <c r="B258" s="9">
        <v>45</v>
      </c>
      <c r="C258" s="3" t="n">
        <v>13149.0</v>
      </c>
      <c r="D258" s="3" t="n">
        <v>13223.0</v>
      </c>
      <c r="E258" s="3" t="n">
        <v>13614.0</v>
      </c>
      <c r="F258" s="3" t="n">
        <v>13865.0</v>
      </c>
      <c r="G258" s="3" t="n">
        <v>13493.0</v>
      </c>
      <c r="H258" s="3" t="n">
        <v>14000.0</v>
      </c>
      <c r="I258" s="3" t="n">
        <v>14162.0</v>
      </c>
      <c r="J258" s="3" t="n">
        <v>13754.0</v>
      </c>
      <c r="K258" s="3" t="n">
        <v>13100.0</v>
      </c>
      <c r="L258" s="3" t="n">
        <v>12153.0</v>
      </c>
      <c r="M258" s="3" t="n">
        <v>11566.0</v>
      </c>
      <c r="N258" s="3" t="n">
        <v>11193.0</v>
      </c>
      <c r="O258" s="3" t="n">
        <v>10757.0</v>
      </c>
      <c r="P258" s="3" t="n">
        <v>10696.0</v>
      </c>
      <c r="Q258" s="3" t="n">
        <v>10352.0</v>
      </c>
      <c r="R258" s="3" t="n">
        <v>9692.0</v>
      </c>
      <c r="S258" s="3" t="n">
        <v>9419.0</v>
      </c>
      <c r="T258" s="3" t="n">
        <v>9062.0</v>
      </c>
      <c r="U258" s="3" t="n">
        <v>8516.0</v>
      </c>
      <c r="V258" s="3" t="n">
        <v>8064.0</v>
      </c>
      <c r="W258" s="3" t="n">
        <v>7699.0</v>
      </c>
      <c r="X258" s="3" t="n">
        <v>7340.0</v>
      </c>
      <c r="Y258" s="3" t="n">
        <v>7177.0</v>
      </c>
      <c r="Z258" s="3" t="n">
        <v>7078.0</v>
      </c>
      <c r="AA258" s="3" t="n">
        <v>6922.0</v>
      </c>
      <c r="AB258" s="3" t="n">
        <v>6773.0</v>
      </c>
      <c r="AC258" s="3" t="n">
        <v>6617.0</v>
      </c>
      <c r="AD258" s="3" t="n">
        <v>6708.0</v>
      </c>
      <c r="AE258" s="3" t="n">
        <v>6915.0</v>
      </c>
      <c r="AF258" s="3" t="n">
        <v>7122.0</v>
      </c>
      <c r="AG258" s="3" t="n">
        <v>7685.0</v>
      </c>
      <c r="AH258" s="3" t="n">
        <v>8266.0</v>
      </c>
      <c r="AI258" s="3" t="n">
        <v>8116.0</v>
      </c>
      <c r="AJ258" s="3" t="n">
        <v>7900.0</v>
      </c>
      <c r="AK258" s="3" t="n">
        <v>7537.0</v>
      </c>
      <c r="AL258" s="3" t="n">
        <v>7460.0</v>
      </c>
      <c r="AM258" s="3" t="n">
        <v>7099.0</v>
      </c>
      <c r="AN258" s="3" t="n">
        <v>7309.0</v>
      </c>
      <c r="AO258" s="3" t="n">
        <v>7162.0</v>
      </c>
    </row>
    <row r="259" spans="1:41" x14ac:dyDescent="0.2">
      <c r="A259" s="128"/>
      <c r="B259" s="9">
        <v>46</v>
      </c>
      <c r="C259" s="3" t="n">
        <v>13366.0</v>
      </c>
      <c r="D259" s="3" t="n">
        <v>13128.0</v>
      </c>
      <c r="E259" s="3" t="n">
        <v>13202.0</v>
      </c>
      <c r="F259" s="3" t="n">
        <v>13591.0</v>
      </c>
      <c r="G259" s="3" t="n">
        <v>13841.0</v>
      </c>
      <c r="H259" s="3" t="n">
        <v>13487.0</v>
      </c>
      <c r="I259" s="3" t="n">
        <v>13998.0</v>
      </c>
      <c r="J259" s="3" t="n">
        <v>14144.0</v>
      </c>
      <c r="K259" s="3" t="n">
        <v>13727.0</v>
      </c>
      <c r="L259" s="3" t="n">
        <v>13071.0</v>
      </c>
      <c r="M259" s="3" t="n">
        <v>12123.0</v>
      </c>
      <c r="N259" s="3" t="n">
        <v>11537.0</v>
      </c>
      <c r="O259" s="3" t="n">
        <v>11166.0</v>
      </c>
      <c r="P259" s="3" t="n">
        <v>10736.0</v>
      </c>
      <c r="Q259" s="3" t="n">
        <v>10675.0</v>
      </c>
      <c r="R259" s="3" t="n">
        <v>10331.0</v>
      </c>
      <c r="S259" s="3" t="n">
        <v>9672.0</v>
      </c>
      <c r="T259" s="3" t="n">
        <v>9399.0</v>
      </c>
      <c r="U259" s="3" t="n">
        <v>9040.0</v>
      </c>
      <c r="V259" s="3" t="n">
        <v>8495.0</v>
      </c>
      <c r="W259" s="3" t="n">
        <v>8051.0</v>
      </c>
      <c r="X259" s="3" t="n">
        <v>7679.0</v>
      </c>
      <c r="Y259" s="3" t="n">
        <v>7320.0</v>
      </c>
      <c r="Z259" s="3" t="n">
        <v>7158.0</v>
      </c>
      <c r="AA259" s="3" t="n">
        <v>7060.0</v>
      </c>
      <c r="AB259" s="3" t="n">
        <v>6907.0</v>
      </c>
      <c r="AC259" s="3" t="n">
        <v>6754.0</v>
      </c>
      <c r="AD259" s="3" t="n">
        <v>6595.0</v>
      </c>
      <c r="AE259" s="3" t="n">
        <v>6685.0</v>
      </c>
      <c r="AF259" s="3" t="n">
        <v>6889.0</v>
      </c>
      <c r="AG259" s="3" t="n">
        <v>7098.0</v>
      </c>
      <c r="AH259" s="3" t="n">
        <v>7656.0</v>
      </c>
      <c r="AI259" s="3" t="n">
        <v>8238.0</v>
      </c>
      <c r="AJ259" s="3" t="n">
        <v>8089.0</v>
      </c>
      <c r="AK259" s="3" t="n">
        <v>7873.0</v>
      </c>
      <c r="AL259" s="3" t="n">
        <v>7509.0</v>
      </c>
      <c r="AM259" s="3" t="n">
        <v>7432.0</v>
      </c>
      <c r="AN259" s="3" t="n">
        <v>7071.0</v>
      </c>
      <c r="AO259" s="3" t="n">
        <v>7281.0</v>
      </c>
    </row>
    <row r="260" spans="1:41" x14ac:dyDescent="0.2">
      <c r="A260" s="128"/>
      <c r="B260" s="9">
        <v>47</v>
      </c>
      <c r="C260" s="3" t="n">
        <v>13193.0</v>
      </c>
      <c r="D260" s="3" t="n">
        <v>13339.0</v>
      </c>
      <c r="E260" s="3" t="n">
        <v>13100.0</v>
      </c>
      <c r="F260" s="3" t="n">
        <v>13175.0</v>
      </c>
      <c r="G260" s="3" t="n">
        <v>13562.0</v>
      </c>
      <c r="H260" s="3" t="n">
        <v>13823.0</v>
      </c>
      <c r="I260" s="3" t="n">
        <v>13480.0</v>
      </c>
      <c r="J260" s="3" t="n">
        <v>13978.0</v>
      </c>
      <c r="K260" s="3" t="n">
        <v>14116.0</v>
      </c>
      <c r="L260" s="3" t="n">
        <v>13696.0</v>
      </c>
      <c r="M260" s="3" t="n">
        <v>13046.0</v>
      </c>
      <c r="N260" s="3" t="n">
        <v>12104.0</v>
      </c>
      <c r="O260" s="3" t="n">
        <v>11521.0</v>
      </c>
      <c r="P260" s="3" t="n">
        <v>11149.0</v>
      </c>
      <c r="Q260" s="3" t="n">
        <v>10720.0</v>
      </c>
      <c r="R260" s="3" t="n">
        <v>10658.0</v>
      </c>
      <c r="S260" s="3" t="n">
        <v>10317.0</v>
      </c>
      <c r="T260" s="3" t="n">
        <v>9657.0</v>
      </c>
      <c r="U260" s="3" t="n">
        <v>9383.0</v>
      </c>
      <c r="V260" s="3" t="n">
        <v>9027.0</v>
      </c>
      <c r="W260" s="3" t="n">
        <v>8481.0</v>
      </c>
      <c r="X260" s="3" t="n">
        <v>8042.0</v>
      </c>
      <c r="Y260" s="3" t="n">
        <v>7668.0</v>
      </c>
      <c r="Z260" s="3" t="n">
        <v>7308.0</v>
      </c>
      <c r="AA260" s="3" t="n">
        <v>7145.0</v>
      </c>
      <c r="AB260" s="3" t="n">
        <v>7049.0</v>
      </c>
      <c r="AC260" s="3" t="n">
        <v>6895.0</v>
      </c>
      <c r="AD260" s="3" t="n">
        <v>6740.0</v>
      </c>
      <c r="AE260" s="3" t="n">
        <v>6581.0</v>
      </c>
      <c r="AF260" s="3" t="n">
        <v>6671.0</v>
      </c>
      <c r="AG260" s="3" t="n">
        <v>6873.0</v>
      </c>
      <c r="AH260" s="3" t="n">
        <v>7083.0</v>
      </c>
      <c r="AI260" s="3" t="n">
        <v>7639.0</v>
      </c>
      <c r="AJ260" s="3" t="n">
        <v>8218.0</v>
      </c>
      <c r="AK260" s="3" t="n">
        <v>8070.0</v>
      </c>
      <c r="AL260" s="3" t="n">
        <v>7853.0</v>
      </c>
      <c r="AM260" s="3" t="n">
        <v>7489.0</v>
      </c>
      <c r="AN260" s="3" t="n">
        <v>7413.0</v>
      </c>
      <c r="AO260" s="3" t="n">
        <v>7055.0</v>
      </c>
    </row>
    <row r="261" spans="1:41" x14ac:dyDescent="0.2">
      <c r="A261" s="128"/>
      <c r="B261" s="9">
        <v>48</v>
      </c>
      <c r="C261" s="3" t="n">
        <v>12328.0</v>
      </c>
      <c r="D261" s="3" t="n">
        <v>13159.0</v>
      </c>
      <c r="E261" s="3" t="n">
        <v>13302.0</v>
      </c>
      <c r="F261" s="3" t="n">
        <v>13063.0</v>
      </c>
      <c r="G261" s="3" t="n">
        <v>13135.0</v>
      </c>
      <c r="H261" s="3" t="n">
        <v>13537.0</v>
      </c>
      <c r="I261" s="3" t="n">
        <v>13801.0</v>
      </c>
      <c r="J261" s="3" t="n">
        <v>13449.0</v>
      </c>
      <c r="K261" s="3" t="n">
        <v>13944.0</v>
      </c>
      <c r="L261" s="3" t="n">
        <v>14075.0</v>
      </c>
      <c r="M261" s="3" t="n">
        <v>13655.0</v>
      </c>
      <c r="N261" s="3" t="n">
        <v>13009.0</v>
      </c>
      <c r="O261" s="3" t="n">
        <v>12069.0</v>
      </c>
      <c r="P261" s="3" t="n">
        <v>11487.0</v>
      </c>
      <c r="Q261" s="3" t="n">
        <v>11117.0</v>
      </c>
      <c r="R261" s="3" t="n">
        <v>10686.0</v>
      </c>
      <c r="S261" s="3" t="n">
        <v>10629.0</v>
      </c>
      <c r="T261" s="3" t="n">
        <v>10290.0</v>
      </c>
      <c r="U261" s="3" t="n">
        <v>9631.0</v>
      </c>
      <c r="V261" s="3" t="n">
        <v>9359.0</v>
      </c>
      <c r="W261" s="3" t="n">
        <v>9004.0</v>
      </c>
      <c r="X261" s="3" t="n">
        <v>8460.0</v>
      </c>
      <c r="Y261" s="3" t="n">
        <v>8020.0</v>
      </c>
      <c r="Z261" s="3" t="n">
        <v>7649.0</v>
      </c>
      <c r="AA261" s="3" t="n">
        <v>7288.0</v>
      </c>
      <c r="AB261" s="3" t="n">
        <v>7127.0</v>
      </c>
      <c r="AC261" s="3" t="n">
        <v>7031.0</v>
      </c>
      <c r="AD261" s="3" t="n">
        <v>6876.0</v>
      </c>
      <c r="AE261" s="3" t="n">
        <v>6720.0</v>
      </c>
      <c r="AF261" s="3" t="n">
        <v>6560.0</v>
      </c>
      <c r="AG261" s="3" t="n">
        <v>6649.0</v>
      </c>
      <c r="AH261" s="3" t="n">
        <v>6853.0</v>
      </c>
      <c r="AI261" s="3" t="n">
        <v>7063.0</v>
      </c>
      <c r="AJ261" s="3" t="n">
        <v>7619.0</v>
      </c>
      <c r="AK261" s="3" t="n">
        <v>8195.0</v>
      </c>
      <c r="AL261" s="3" t="n">
        <v>8046.0</v>
      </c>
      <c r="AM261" s="3" t="n">
        <v>7830.0</v>
      </c>
      <c r="AN261" s="3" t="n">
        <v>7468.0</v>
      </c>
      <c r="AO261" s="3" t="n">
        <v>7392.0</v>
      </c>
    </row>
    <row r="262" spans="1:41" x14ac:dyDescent="0.2">
      <c r="A262" s="128"/>
      <c r="B262" s="9">
        <v>49</v>
      </c>
      <c r="C262" s="3" t="n">
        <v>11667.0</v>
      </c>
      <c r="D262" s="3" t="n">
        <v>12284.0</v>
      </c>
      <c r="E262" s="3" t="n">
        <v>13108.0</v>
      </c>
      <c r="F262" s="3" t="n">
        <v>13253.0</v>
      </c>
      <c r="G262" s="3" t="n">
        <v>13017.0</v>
      </c>
      <c r="H262" s="3" t="n">
        <v>13105.0</v>
      </c>
      <c r="I262" s="3" t="n">
        <v>13511.0</v>
      </c>
      <c r="J262" s="3" t="n">
        <v>13761.0</v>
      </c>
      <c r="K262" s="3" t="n">
        <v>13406.0</v>
      </c>
      <c r="L262" s="3" t="n">
        <v>13899.0</v>
      </c>
      <c r="M262" s="3" t="n">
        <v>14032.0</v>
      </c>
      <c r="N262" s="3" t="n">
        <v>13612.0</v>
      </c>
      <c r="O262" s="3" t="n">
        <v>12965.0</v>
      </c>
      <c r="P262" s="3" t="n">
        <v>12027.0</v>
      </c>
      <c r="Q262" s="3" t="n">
        <v>11449.0</v>
      </c>
      <c r="R262" s="3" t="n">
        <v>11076.0</v>
      </c>
      <c r="S262" s="3" t="n">
        <v>10645.0</v>
      </c>
      <c r="T262" s="3" t="n">
        <v>10590.0</v>
      </c>
      <c r="U262" s="3" t="n">
        <v>10253.0</v>
      </c>
      <c r="V262" s="3" t="n">
        <v>9600.0</v>
      </c>
      <c r="W262" s="3" t="n">
        <v>9329.0</v>
      </c>
      <c r="X262" s="3" t="n">
        <v>8970.0</v>
      </c>
      <c r="Y262" s="3" t="n">
        <v>8431.0</v>
      </c>
      <c r="Z262" s="3" t="n">
        <v>7990.0</v>
      </c>
      <c r="AA262" s="3" t="n">
        <v>7619.0</v>
      </c>
      <c r="AB262" s="3" t="n">
        <v>7262.0</v>
      </c>
      <c r="AC262" s="3" t="n">
        <v>7102.0</v>
      </c>
      <c r="AD262" s="3" t="n">
        <v>7006.0</v>
      </c>
      <c r="AE262" s="3" t="n">
        <v>6848.0</v>
      </c>
      <c r="AF262" s="3" t="n">
        <v>6692.0</v>
      </c>
      <c r="AG262" s="3" t="n">
        <v>6531.0</v>
      </c>
      <c r="AH262" s="3" t="n">
        <v>6622.0</v>
      </c>
      <c r="AI262" s="3" t="n">
        <v>6826.0</v>
      </c>
      <c r="AJ262" s="3" t="n">
        <v>7031.0</v>
      </c>
      <c r="AK262" s="3" t="n">
        <v>7582.0</v>
      </c>
      <c r="AL262" s="3" t="n">
        <v>8158.0</v>
      </c>
      <c r="AM262" s="3" t="n">
        <v>8013.0</v>
      </c>
      <c r="AN262" s="3" t="n">
        <v>7797.0</v>
      </c>
      <c r="AO262" s="3" t="n">
        <v>7433.0</v>
      </c>
    </row>
    <row r="263" spans="1:41" x14ac:dyDescent="0.2">
      <c r="A263" s="128"/>
      <c r="B263" s="9">
        <v>50</v>
      </c>
      <c r="C263" s="3" t="n">
        <v>11130.0</v>
      </c>
      <c r="D263" s="3" t="n">
        <v>11632.0</v>
      </c>
      <c r="E263" s="3" t="n">
        <v>12245.0</v>
      </c>
      <c r="F263" s="3" t="n">
        <v>13058.0</v>
      </c>
      <c r="G263" s="3" t="n">
        <v>13204.0</v>
      </c>
      <c r="H263" s="3" t="n">
        <v>12988.0</v>
      </c>
      <c r="I263" s="3" t="n">
        <v>13081.0</v>
      </c>
      <c r="J263" s="3" t="n">
        <v>13476.0</v>
      </c>
      <c r="K263" s="3" t="n">
        <v>13712.0</v>
      </c>
      <c r="L263" s="3" t="n">
        <v>13360.0</v>
      </c>
      <c r="M263" s="3" t="n">
        <v>13848.0</v>
      </c>
      <c r="N263" s="3" t="n">
        <v>13978.0</v>
      </c>
      <c r="O263" s="3" t="n">
        <v>13565.0</v>
      </c>
      <c r="P263" s="3" t="n">
        <v>12925.0</v>
      </c>
      <c r="Q263" s="3" t="n">
        <v>11996.0</v>
      </c>
      <c r="R263" s="3" t="n">
        <v>11413.0</v>
      </c>
      <c r="S263" s="3" t="n">
        <v>11042.0</v>
      </c>
      <c r="T263" s="3" t="n">
        <v>10613.0</v>
      </c>
      <c r="U263" s="3" t="n">
        <v>10559.0</v>
      </c>
      <c r="V263" s="3" t="n">
        <v>10221.0</v>
      </c>
      <c r="W263" s="3" t="n">
        <v>9563.0</v>
      </c>
      <c r="X263" s="3" t="n">
        <v>9292.0</v>
      </c>
      <c r="Y263" s="3" t="n">
        <v>8934.0</v>
      </c>
      <c r="Z263" s="3" t="n">
        <v>8395.0</v>
      </c>
      <c r="AA263" s="3" t="n">
        <v>7956.0</v>
      </c>
      <c r="AB263" s="3" t="n">
        <v>7589.0</v>
      </c>
      <c r="AC263" s="3" t="n">
        <v>7232.0</v>
      </c>
      <c r="AD263" s="3" t="n">
        <v>7072.0</v>
      </c>
      <c r="AE263" s="3" t="n">
        <v>6978.0</v>
      </c>
      <c r="AF263" s="3" t="n">
        <v>6821.0</v>
      </c>
      <c r="AG263" s="3" t="n">
        <v>6663.0</v>
      </c>
      <c r="AH263" s="3" t="n">
        <v>6503.0</v>
      </c>
      <c r="AI263" s="3" t="n">
        <v>6594.0</v>
      </c>
      <c r="AJ263" s="3" t="n">
        <v>6798.0</v>
      </c>
      <c r="AK263" s="3" t="n">
        <v>7000.0</v>
      </c>
      <c r="AL263" s="3" t="n">
        <v>7549.0</v>
      </c>
      <c r="AM263" s="3" t="n">
        <v>8119.0</v>
      </c>
      <c r="AN263" s="3" t="n">
        <v>7973.0</v>
      </c>
      <c r="AO263" s="3" t="n">
        <v>7761.0</v>
      </c>
    </row>
    <row r="264" spans="1:41" x14ac:dyDescent="0.2">
      <c r="A264" s="128"/>
      <c r="B264" s="9">
        <v>51</v>
      </c>
      <c r="C264" s="3" t="n">
        <v>10544.0</v>
      </c>
      <c r="D264" s="3" t="n">
        <v>11100.0</v>
      </c>
      <c r="E264" s="3" t="n">
        <v>11597.0</v>
      </c>
      <c r="F264" s="3" t="n">
        <v>12205.0</v>
      </c>
      <c r="G264" s="3" t="n">
        <v>13011.0</v>
      </c>
      <c r="H264" s="3" t="n">
        <v>13166.0</v>
      </c>
      <c r="I264" s="3" t="n">
        <v>12957.0</v>
      </c>
      <c r="J264" s="3" t="n">
        <v>13046.0</v>
      </c>
      <c r="K264" s="3" t="n">
        <v>13437.0</v>
      </c>
      <c r="L264" s="3" t="n">
        <v>13668.0</v>
      </c>
      <c r="M264" s="3" t="n">
        <v>13314.0</v>
      </c>
      <c r="N264" s="3" t="n">
        <v>13802.0</v>
      </c>
      <c r="O264" s="3" t="n">
        <v>13930.0</v>
      </c>
      <c r="P264" s="3" t="n">
        <v>13520.0</v>
      </c>
      <c r="Q264" s="3" t="n">
        <v>12879.0</v>
      </c>
      <c r="R264" s="3" t="n">
        <v>11954.0</v>
      </c>
      <c r="S264" s="3" t="n">
        <v>11379.0</v>
      </c>
      <c r="T264" s="3" t="n">
        <v>11010.0</v>
      </c>
      <c r="U264" s="3" t="n">
        <v>10585.0</v>
      </c>
      <c r="V264" s="3" t="n">
        <v>10527.0</v>
      </c>
      <c r="W264" s="3" t="n">
        <v>10198.0</v>
      </c>
      <c r="X264" s="3" t="n">
        <v>9540.0</v>
      </c>
      <c r="Y264" s="3" t="n">
        <v>9268.0</v>
      </c>
      <c r="Z264" s="3" t="n">
        <v>8909.0</v>
      </c>
      <c r="AA264" s="3" t="n">
        <v>8373.0</v>
      </c>
      <c r="AB264" s="3" t="n">
        <v>7940.0</v>
      </c>
      <c r="AC264" s="3" t="n">
        <v>7570.0</v>
      </c>
      <c r="AD264" s="3" t="n">
        <v>7218.0</v>
      </c>
      <c r="AE264" s="3" t="n">
        <v>7058.0</v>
      </c>
      <c r="AF264" s="3" t="n">
        <v>6963.0</v>
      </c>
      <c r="AG264" s="3" t="n">
        <v>6807.0</v>
      </c>
      <c r="AH264" s="3" t="n">
        <v>6649.0</v>
      </c>
      <c r="AI264" s="3" t="n">
        <v>6488.0</v>
      </c>
      <c r="AJ264" s="3" t="n">
        <v>6578.0</v>
      </c>
      <c r="AK264" s="3" t="n">
        <v>6782.0</v>
      </c>
      <c r="AL264" s="3" t="n">
        <v>6985.0</v>
      </c>
      <c r="AM264" s="3" t="n">
        <v>7528.0</v>
      </c>
      <c r="AN264" s="3" t="n">
        <v>8093.0</v>
      </c>
      <c r="AO264" s="3" t="n">
        <v>7950.0</v>
      </c>
    </row>
    <row r="265" spans="1:41" x14ac:dyDescent="0.2">
      <c r="A265" s="128"/>
      <c r="B265" s="9">
        <v>52</v>
      </c>
      <c r="C265" s="3" t="n">
        <v>10290.0</v>
      </c>
      <c r="D265" s="3" t="n">
        <v>10514.0</v>
      </c>
      <c r="E265" s="3" t="n">
        <v>11071.0</v>
      </c>
      <c r="F265" s="3" t="n">
        <v>11564.0</v>
      </c>
      <c r="G265" s="3" t="n">
        <v>12171.0</v>
      </c>
      <c r="H265" s="3" t="n">
        <v>12982.0</v>
      </c>
      <c r="I265" s="3" t="n">
        <v>13147.0</v>
      </c>
      <c r="J265" s="3" t="n">
        <v>12926.0</v>
      </c>
      <c r="K265" s="3" t="n">
        <v>13009.0</v>
      </c>
      <c r="L265" s="3" t="n">
        <v>13399.0</v>
      </c>
      <c r="M265" s="3" t="n">
        <v>13629.0</v>
      </c>
      <c r="N265" s="3" t="n">
        <v>13274.0</v>
      </c>
      <c r="O265" s="3" t="n">
        <v>13763.0</v>
      </c>
      <c r="P265" s="3" t="n">
        <v>13891.0</v>
      </c>
      <c r="Q265" s="3" t="n">
        <v>13480.0</v>
      </c>
      <c r="R265" s="3" t="n">
        <v>12839.0</v>
      </c>
      <c r="S265" s="3" t="n">
        <v>11921.0</v>
      </c>
      <c r="T265" s="3" t="n">
        <v>11347.0</v>
      </c>
      <c r="U265" s="3" t="n">
        <v>10978.0</v>
      </c>
      <c r="V265" s="3" t="n">
        <v>10559.0</v>
      </c>
      <c r="W265" s="3" t="n">
        <v>10502.0</v>
      </c>
      <c r="X265" s="3" t="n">
        <v>10172.0</v>
      </c>
      <c r="Y265" s="3" t="n">
        <v>9523.0</v>
      </c>
      <c r="Z265" s="3" t="n">
        <v>9249.0</v>
      </c>
      <c r="AA265" s="3" t="n">
        <v>8890.0</v>
      </c>
      <c r="AB265" s="3" t="n">
        <v>8355.0</v>
      </c>
      <c r="AC265" s="3" t="n">
        <v>7924.0</v>
      </c>
      <c r="AD265" s="3" t="n">
        <v>7556.0</v>
      </c>
      <c r="AE265" s="3" t="n">
        <v>7201.0</v>
      </c>
      <c r="AF265" s="3" t="n">
        <v>7040.0</v>
      </c>
      <c r="AG265" s="3" t="n">
        <v>6944.0</v>
      </c>
      <c r="AH265" s="3" t="n">
        <v>6787.0</v>
      </c>
      <c r="AI265" s="3" t="n">
        <v>6629.0</v>
      </c>
      <c r="AJ265" s="3" t="n">
        <v>6471.0</v>
      </c>
      <c r="AK265" s="3" t="n">
        <v>6561.0</v>
      </c>
      <c r="AL265" s="3" t="n">
        <v>6764.0</v>
      </c>
      <c r="AM265" s="3" t="n">
        <v>6967.0</v>
      </c>
      <c r="AN265" s="3" t="n">
        <v>7507.0</v>
      </c>
      <c r="AO265" s="3" t="n">
        <v>8074.0</v>
      </c>
    </row>
    <row r="266" spans="1:41" x14ac:dyDescent="0.2">
      <c r="A266" s="128"/>
      <c r="B266" s="9">
        <v>53</v>
      </c>
      <c r="C266" s="3" t="n">
        <v>9764.0</v>
      </c>
      <c r="D266" s="3" t="n">
        <v>10258.0</v>
      </c>
      <c r="E266" s="3" t="n">
        <v>10483.0</v>
      </c>
      <c r="F266" s="3" t="n">
        <v>11038.0</v>
      </c>
      <c r="G266" s="3" t="n">
        <v>11536.0</v>
      </c>
      <c r="H266" s="3" t="n">
        <v>12149.0</v>
      </c>
      <c r="I266" s="3" t="n">
        <v>12956.0</v>
      </c>
      <c r="J266" s="3" t="n">
        <v>13109.0</v>
      </c>
      <c r="K266" s="3" t="n">
        <v>12884.0</v>
      </c>
      <c r="L266" s="3" t="n">
        <v>12964.0</v>
      </c>
      <c r="M266" s="3" t="n">
        <v>13352.0</v>
      </c>
      <c r="N266" s="3" t="n">
        <v>13578.0</v>
      </c>
      <c r="O266" s="3" t="n">
        <v>13225.0</v>
      </c>
      <c r="P266" s="3" t="n">
        <v>13712.0</v>
      </c>
      <c r="Q266" s="3" t="n">
        <v>13847.0</v>
      </c>
      <c r="R266" s="3" t="n">
        <v>13438.0</v>
      </c>
      <c r="S266" s="3" t="n">
        <v>12798.0</v>
      </c>
      <c r="T266" s="3" t="n">
        <v>11885.0</v>
      </c>
      <c r="U266" s="3" t="n">
        <v>11317.0</v>
      </c>
      <c r="V266" s="3" t="n">
        <v>10948.0</v>
      </c>
      <c r="W266" s="3" t="n">
        <v>10533.0</v>
      </c>
      <c r="X266" s="3" t="n">
        <v>10478.0</v>
      </c>
      <c r="Y266" s="3" t="n">
        <v>10148.0</v>
      </c>
      <c r="Z266" s="3" t="n">
        <v>9503.0</v>
      </c>
      <c r="AA266" s="3" t="n">
        <v>9227.0</v>
      </c>
      <c r="AB266" s="3" t="n">
        <v>8869.0</v>
      </c>
      <c r="AC266" s="3" t="n">
        <v>8333.0</v>
      </c>
      <c r="AD266" s="3" t="n">
        <v>7910.0</v>
      </c>
      <c r="AE266" s="3" t="n">
        <v>7542.0</v>
      </c>
      <c r="AF266" s="3" t="n">
        <v>7189.0</v>
      </c>
      <c r="AG266" s="3" t="n">
        <v>7029.0</v>
      </c>
      <c r="AH266" s="3" t="n">
        <v>6931.0</v>
      </c>
      <c r="AI266" s="3" t="n">
        <v>6770.0</v>
      </c>
      <c r="AJ266" s="3" t="n">
        <v>6613.0</v>
      </c>
      <c r="AK266" s="3" t="n">
        <v>6454.0</v>
      </c>
      <c r="AL266" s="3" t="n">
        <v>6544.0</v>
      </c>
      <c r="AM266" s="3" t="n">
        <v>6751.0</v>
      </c>
      <c r="AN266" s="3" t="n">
        <v>6953.0</v>
      </c>
      <c r="AO266" s="3" t="n">
        <v>7487.0</v>
      </c>
    </row>
    <row r="267" spans="1:41" x14ac:dyDescent="0.2">
      <c r="A267" s="128"/>
      <c r="B267" s="9">
        <v>54</v>
      </c>
      <c r="C267" s="3" t="n">
        <v>9547.0</v>
      </c>
      <c r="D267" s="3" t="n">
        <v>9734.0</v>
      </c>
      <c r="E267" s="3" t="n">
        <v>10221.0</v>
      </c>
      <c r="F267" s="3" t="n">
        <v>10440.0</v>
      </c>
      <c r="G267" s="3" t="n">
        <v>10996.0</v>
      </c>
      <c r="H267" s="3" t="n">
        <v>11506.0</v>
      </c>
      <c r="I267" s="3" t="n">
        <v>12122.0</v>
      </c>
      <c r="J267" s="3" t="n">
        <v>12918.0</v>
      </c>
      <c r="K267" s="3" t="n">
        <v>13064.0</v>
      </c>
      <c r="L267" s="3" t="n">
        <v>12840.0</v>
      </c>
      <c r="M267" s="3" t="n">
        <v>12920.0</v>
      </c>
      <c r="N267" s="3" t="n">
        <v>13308.0</v>
      </c>
      <c r="O267" s="3" t="n">
        <v>13534.0</v>
      </c>
      <c r="P267" s="3" t="n">
        <v>13181.0</v>
      </c>
      <c r="Q267" s="3" t="n">
        <v>13665.0</v>
      </c>
      <c r="R267" s="3" t="n">
        <v>13801.0</v>
      </c>
      <c r="S267" s="3" t="n">
        <v>13393.0</v>
      </c>
      <c r="T267" s="3" t="n">
        <v>12758.0</v>
      </c>
      <c r="U267" s="3" t="n">
        <v>11849.0</v>
      </c>
      <c r="V267" s="3" t="n">
        <v>11279.0</v>
      </c>
      <c r="W267" s="3" t="n">
        <v>10908.0</v>
      </c>
      <c r="X267" s="3" t="n">
        <v>10500.0</v>
      </c>
      <c r="Y267" s="3" t="n">
        <v>10445.0</v>
      </c>
      <c r="Z267" s="3" t="n">
        <v>10121.0</v>
      </c>
      <c r="AA267" s="3" t="n">
        <v>9472.0</v>
      </c>
      <c r="AB267" s="3" t="n">
        <v>9200.0</v>
      </c>
      <c r="AC267" s="3" t="n">
        <v>8845.0</v>
      </c>
      <c r="AD267" s="3" t="n">
        <v>8310.0</v>
      </c>
      <c r="AE267" s="3" t="n">
        <v>7887.0</v>
      </c>
      <c r="AF267" s="3" t="n">
        <v>7518.0</v>
      </c>
      <c r="AG267" s="3" t="n">
        <v>7166.0</v>
      </c>
      <c r="AH267" s="3" t="n">
        <v>7008.0</v>
      </c>
      <c r="AI267" s="3" t="n">
        <v>6913.0</v>
      </c>
      <c r="AJ267" s="3" t="n">
        <v>6747.0</v>
      </c>
      <c r="AK267" s="3" t="n">
        <v>6592.0</v>
      </c>
      <c r="AL267" s="3" t="n">
        <v>6436.0</v>
      </c>
      <c r="AM267" s="3" t="n">
        <v>6527.0</v>
      </c>
      <c r="AN267" s="3" t="n">
        <v>6734.0</v>
      </c>
      <c r="AO267" s="3" t="n">
        <v>6930.0</v>
      </c>
    </row>
    <row r="268" spans="1:41" x14ac:dyDescent="0.2">
      <c r="A268" s="128"/>
      <c r="B268" s="9">
        <v>55</v>
      </c>
      <c r="C268" s="3" t="n">
        <v>9335.0</v>
      </c>
      <c r="D268" s="3" t="n">
        <v>9500.0</v>
      </c>
      <c r="E268" s="3" t="n">
        <v>9686.0</v>
      </c>
      <c r="F268" s="3" t="n">
        <v>10172.0</v>
      </c>
      <c r="G268" s="3" t="n">
        <v>10394.0</v>
      </c>
      <c r="H268" s="3" t="n">
        <v>10960.0</v>
      </c>
      <c r="I268" s="3" t="n">
        <v>11474.0</v>
      </c>
      <c r="J268" s="3" t="n">
        <v>12080.0</v>
      </c>
      <c r="K268" s="3" t="n">
        <v>12864.0</v>
      </c>
      <c r="L268" s="3" t="n">
        <v>13013.0</v>
      </c>
      <c r="M268" s="3" t="n">
        <v>12788.0</v>
      </c>
      <c r="N268" s="3" t="n">
        <v>12867.0</v>
      </c>
      <c r="O268" s="3" t="n">
        <v>13254.0</v>
      </c>
      <c r="P268" s="3" t="n">
        <v>13480.0</v>
      </c>
      <c r="Q268" s="3" t="n">
        <v>13125.0</v>
      </c>
      <c r="R268" s="3" t="n">
        <v>13608.0</v>
      </c>
      <c r="S268" s="3" t="n">
        <v>13741.0</v>
      </c>
      <c r="T268" s="3" t="n">
        <v>13334.0</v>
      </c>
      <c r="U268" s="3" t="n">
        <v>12704.0</v>
      </c>
      <c r="V268" s="3" t="n">
        <v>11798.0</v>
      </c>
      <c r="W268" s="3" t="n">
        <v>11230.0</v>
      </c>
      <c r="X268" s="3" t="n">
        <v>10864.0</v>
      </c>
      <c r="Y268" s="3" t="n">
        <v>10456.0</v>
      </c>
      <c r="Z268" s="3" t="n">
        <v>10401.0</v>
      </c>
      <c r="AA268" s="3" t="n">
        <v>10084.0</v>
      </c>
      <c r="AB268" s="3" t="n">
        <v>9435.0</v>
      </c>
      <c r="AC268" s="3" t="n">
        <v>9164.0</v>
      </c>
      <c r="AD268" s="3" t="n">
        <v>8810.0</v>
      </c>
      <c r="AE268" s="3" t="n">
        <v>8280.0</v>
      </c>
      <c r="AF268" s="3" t="n">
        <v>7859.0</v>
      </c>
      <c r="AG268" s="3" t="n">
        <v>7492.0</v>
      </c>
      <c r="AH268" s="3" t="n">
        <v>7148.0</v>
      </c>
      <c r="AI268" s="3" t="n">
        <v>6990.0</v>
      </c>
      <c r="AJ268" s="3" t="n">
        <v>6891.0</v>
      </c>
      <c r="AK268" s="3" t="n">
        <v>6729.0</v>
      </c>
      <c r="AL268" s="3" t="n">
        <v>6572.0</v>
      </c>
      <c r="AM268" s="3" t="n">
        <v>6419.0</v>
      </c>
      <c r="AN268" s="3" t="n">
        <v>6511.0</v>
      </c>
      <c r="AO268" s="3" t="n">
        <v>6716.0</v>
      </c>
    </row>
    <row r="269" spans="1:41" x14ac:dyDescent="0.2">
      <c r="A269" s="128"/>
      <c r="B269" s="9">
        <v>56</v>
      </c>
      <c r="C269" s="3" t="n">
        <v>9522.0</v>
      </c>
      <c r="D269" s="3" t="n">
        <v>9294.0</v>
      </c>
      <c r="E269" s="3" t="n">
        <v>9458.0</v>
      </c>
      <c r="F269" s="3" t="n">
        <v>9643.0</v>
      </c>
      <c r="G269" s="3" t="n">
        <v>10127.0</v>
      </c>
      <c r="H269" s="3" t="n">
        <v>10366.0</v>
      </c>
      <c r="I269" s="3" t="n">
        <v>10932.0</v>
      </c>
      <c r="J269" s="3" t="n">
        <v>11437.0</v>
      </c>
      <c r="K269" s="3" t="n">
        <v>12033.0</v>
      </c>
      <c r="L269" s="3" t="n">
        <v>12811.0</v>
      </c>
      <c r="M269" s="3" t="n">
        <v>12956.0</v>
      </c>
      <c r="N269" s="3" t="n">
        <v>12736.0</v>
      </c>
      <c r="O269" s="3" t="n">
        <v>12811.0</v>
      </c>
      <c r="P269" s="3" t="n">
        <v>13195.0</v>
      </c>
      <c r="Q269" s="3" t="n">
        <v>13419.0</v>
      </c>
      <c r="R269" s="3" t="n">
        <v>13067.0</v>
      </c>
      <c r="S269" s="3" t="n">
        <v>13550.0</v>
      </c>
      <c r="T269" s="3" t="n">
        <v>13681.0</v>
      </c>
      <c r="U269" s="3" t="n">
        <v>13282.0</v>
      </c>
      <c r="V269" s="3" t="n">
        <v>12655.0</v>
      </c>
      <c r="W269" s="3" t="n">
        <v>11753.0</v>
      </c>
      <c r="X269" s="3" t="n">
        <v>11185.0</v>
      </c>
      <c r="Y269" s="3" t="n">
        <v>10820.0</v>
      </c>
      <c r="Z269" s="3" t="n">
        <v>10414.0</v>
      </c>
      <c r="AA269" s="3" t="n">
        <v>10359.0</v>
      </c>
      <c r="AB269" s="3" t="n">
        <v>10044.0</v>
      </c>
      <c r="AC269" s="3" t="n">
        <v>9396.0</v>
      </c>
      <c r="AD269" s="3" t="n">
        <v>9123.0</v>
      </c>
      <c r="AE269" s="3" t="n">
        <v>8768.0</v>
      </c>
      <c r="AF269" s="3" t="n">
        <v>8239.0</v>
      </c>
      <c r="AG269" s="3" t="n">
        <v>7818.0</v>
      </c>
      <c r="AH269" s="3" t="n">
        <v>7453.0</v>
      </c>
      <c r="AI269" s="3" t="n">
        <v>7109.0</v>
      </c>
      <c r="AJ269" s="3" t="n">
        <v>6950.0</v>
      </c>
      <c r="AK269" s="3" t="n">
        <v>6852.0</v>
      </c>
      <c r="AL269" s="3" t="n">
        <v>6692.0</v>
      </c>
      <c r="AM269" s="3" t="n">
        <v>6536.0</v>
      </c>
      <c r="AN269" s="3" t="n">
        <v>6382.0</v>
      </c>
      <c r="AO269" s="3" t="n">
        <v>6472.0</v>
      </c>
    </row>
    <row r="270" spans="1:41" x14ac:dyDescent="0.2">
      <c r="A270" s="128"/>
      <c r="B270" s="9">
        <v>57</v>
      </c>
      <c r="C270" s="3" t="n">
        <v>9470.0</v>
      </c>
      <c r="D270" s="3" t="n">
        <v>9479.0</v>
      </c>
      <c r="E270" s="3" t="n">
        <v>9250.0</v>
      </c>
      <c r="F270" s="3" t="n">
        <v>9414.0</v>
      </c>
      <c r="G270" s="3" t="n">
        <v>9601.0</v>
      </c>
      <c r="H270" s="3" t="n">
        <v>10090.0</v>
      </c>
      <c r="I270" s="3" t="n">
        <v>10331.0</v>
      </c>
      <c r="J270" s="3" t="n">
        <v>10881.0</v>
      </c>
      <c r="K270" s="3" t="n">
        <v>11380.0</v>
      </c>
      <c r="L270" s="3" t="n">
        <v>11974.0</v>
      </c>
      <c r="M270" s="3" t="n">
        <v>12743.0</v>
      </c>
      <c r="N270" s="3" t="n">
        <v>12886.0</v>
      </c>
      <c r="O270" s="3" t="n">
        <v>12667.0</v>
      </c>
      <c r="P270" s="3" t="n">
        <v>12741.0</v>
      </c>
      <c r="Q270" s="3" t="n">
        <v>13123.0</v>
      </c>
      <c r="R270" s="3" t="n">
        <v>13346.0</v>
      </c>
      <c r="S270" s="3" t="n">
        <v>12998.0</v>
      </c>
      <c r="T270" s="3" t="n">
        <v>13477.0</v>
      </c>
      <c r="U270" s="3" t="n">
        <v>13606.0</v>
      </c>
      <c r="V270" s="3" t="n">
        <v>13209.0</v>
      </c>
      <c r="W270" s="3" t="n">
        <v>12591.0</v>
      </c>
      <c r="X270" s="3" t="n">
        <v>11694.0</v>
      </c>
      <c r="Y270" s="3" t="n">
        <v>11131.0</v>
      </c>
      <c r="Z270" s="3" t="n">
        <v>10771.0</v>
      </c>
      <c r="AA270" s="3" t="n">
        <v>10367.0</v>
      </c>
      <c r="AB270" s="3" t="n">
        <v>10314.0</v>
      </c>
      <c r="AC270" s="3" t="n">
        <v>10003.0</v>
      </c>
      <c r="AD270" s="3" t="n">
        <v>9361.0</v>
      </c>
      <c r="AE270" s="3" t="n">
        <v>9087.0</v>
      </c>
      <c r="AF270" s="3" t="n">
        <v>8733.0</v>
      </c>
      <c r="AG270" s="3" t="n">
        <v>8206.0</v>
      </c>
      <c r="AH270" s="3" t="n">
        <v>7788.0</v>
      </c>
      <c r="AI270" s="3" t="n">
        <v>7425.0</v>
      </c>
      <c r="AJ270" s="3" t="n">
        <v>7084.0</v>
      </c>
      <c r="AK270" s="3" t="n">
        <v>6924.0</v>
      </c>
      <c r="AL270" s="3" t="n">
        <v>6823.0</v>
      </c>
      <c r="AM270" s="3" t="n">
        <v>6666.0</v>
      </c>
      <c r="AN270" s="3" t="n">
        <v>6508.0</v>
      </c>
      <c r="AO270" s="3" t="n">
        <v>6354.0</v>
      </c>
    </row>
    <row r="271" spans="1:41" x14ac:dyDescent="0.2">
      <c r="A271" s="128"/>
      <c r="B271" s="9">
        <v>58</v>
      </c>
      <c r="C271" s="3" t="n">
        <v>9892.0</v>
      </c>
      <c r="D271" s="3" t="n">
        <v>9423.0</v>
      </c>
      <c r="E271" s="3" t="n">
        <v>9433.0</v>
      </c>
      <c r="F271" s="3" t="n">
        <v>9204.0</v>
      </c>
      <c r="G271" s="3" t="n">
        <v>9365.0</v>
      </c>
      <c r="H271" s="3" t="n">
        <v>9560.0</v>
      </c>
      <c r="I271" s="3" t="n">
        <v>10054.0</v>
      </c>
      <c r="J271" s="3" t="n">
        <v>10280.0</v>
      </c>
      <c r="K271" s="3" t="n">
        <v>10825.0</v>
      </c>
      <c r="L271" s="3" t="n">
        <v>11321.0</v>
      </c>
      <c r="M271" s="3" t="n">
        <v>11911.0</v>
      </c>
      <c r="N271" s="3" t="n">
        <v>12678.0</v>
      </c>
      <c r="O271" s="3" t="n">
        <v>12820.0</v>
      </c>
      <c r="P271" s="3" t="n">
        <v>12602.0</v>
      </c>
      <c r="Q271" s="3" t="n">
        <v>12674.0</v>
      </c>
      <c r="R271" s="3" t="n">
        <v>13056.0</v>
      </c>
      <c r="S271" s="3" t="n">
        <v>13279.0</v>
      </c>
      <c r="T271" s="3" t="n">
        <v>12929.0</v>
      </c>
      <c r="U271" s="3" t="n">
        <v>13408.0</v>
      </c>
      <c r="V271" s="3" t="n">
        <v>13537.0</v>
      </c>
      <c r="W271" s="3" t="n">
        <v>13141.0</v>
      </c>
      <c r="X271" s="3" t="n">
        <v>12529.0</v>
      </c>
      <c r="Y271" s="3" t="n">
        <v>11639.0</v>
      </c>
      <c r="Z271" s="3" t="n">
        <v>11082.0</v>
      </c>
      <c r="AA271" s="3" t="n">
        <v>10722.0</v>
      </c>
      <c r="AB271" s="3" t="n">
        <v>10317.0</v>
      </c>
      <c r="AC271" s="3" t="n">
        <v>10260.0</v>
      </c>
      <c r="AD271" s="3" t="n">
        <v>9947.0</v>
      </c>
      <c r="AE271" s="3" t="n">
        <v>9316.0</v>
      </c>
      <c r="AF271" s="3" t="n">
        <v>9041.0</v>
      </c>
      <c r="AG271" s="3" t="n">
        <v>8694.0</v>
      </c>
      <c r="AH271" s="3" t="n">
        <v>8172.0</v>
      </c>
      <c r="AI271" s="3" t="n">
        <v>7755.0</v>
      </c>
      <c r="AJ271" s="3" t="n">
        <v>7392.0</v>
      </c>
      <c r="AK271" s="3" t="n">
        <v>7055.0</v>
      </c>
      <c r="AL271" s="3" t="n">
        <v>6898.0</v>
      </c>
      <c r="AM271" s="3" t="n">
        <v>6792.0</v>
      </c>
      <c r="AN271" s="3" t="n">
        <v>6637.0</v>
      </c>
      <c r="AO271" s="3" t="n">
        <v>6480.0</v>
      </c>
    </row>
    <row r="272" spans="1:41" x14ac:dyDescent="0.2">
      <c r="A272" s="128"/>
      <c r="B272" s="9">
        <v>59</v>
      </c>
      <c r="C272" s="3" t="n">
        <v>10458.0</v>
      </c>
      <c r="D272" s="3" t="n">
        <v>9839.0</v>
      </c>
      <c r="E272" s="3" t="n">
        <v>9377.0</v>
      </c>
      <c r="F272" s="3" t="n">
        <v>9387.0</v>
      </c>
      <c r="G272" s="3" t="n">
        <v>9154.0</v>
      </c>
      <c r="H272" s="3" t="n">
        <v>9327.0</v>
      </c>
      <c r="I272" s="3" t="n">
        <v>9523.0</v>
      </c>
      <c r="J272" s="3" t="n">
        <v>10004.0</v>
      </c>
      <c r="K272" s="3" t="n">
        <v>10232.0</v>
      </c>
      <c r="L272" s="3" t="n">
        <v>10767.0</v>
      </c>
      <c r="M272" s="3" t="n">
        <v>11258.0</v>
      </c>
      <c r="N272" s="3" t="n">
        <v>11844.0</v>
      </c>
      <c r="O272" s="3" t="n">
        <v>12603.0</v>
      </c>
      <c r="P272" s="3" t="n">
        <v>12748.0</v>
      </c>
      <c r="Q272" s="3" t="n">
        <v>12532.0</v>
      </c>
      <c r="R272" s="3" t="n">
        <v>12600.0</v>
      </c>
      <c r="S272" s="3" t="n">
        <v>12979.0</v>
      </c>
      <c r="T272" s="3" t="n">
        <v>13201.0</v>
      </c>
      <c r="U272" s="3" t="n">
        <v>12852.0</v>
      </c>
      <c r="V272" s="3" t="n">
        <v>13330.0</v>
      </c>
      <c r="W272" s="3" t="n">
        <v>13458.0</v>
      </c>
      <c r="X272" s="3" t="n">
        <v>13066.0</v>
      </c>
      <c r="Y272" s="3" t="n">
        <v>12459.0</v>
      </c>
      <c r="Z272" s="3" t="n">
        <v>11579.0</v>
      </c>
      <c r="AA272" s="3" t="n">
        <v>11024.0</v>
      </c>
      <c r="AB272" s="3" t="n">
        <v>10672.0</v>
      </c>
      <c r="AC272" s="3" t="n">
        <v>10264.0</v>
      </c>
      <c r="AD272" s="3" t="n">
        <v>10207.0</v>
      </c>
      <c r="AE272" s="3" t="n">
        <v>9898.0</v>
      </c>
      <c r="AF272" s="3" t="n">
        <v>9266.0</v>
      </c>
      <c r="AG272" s="3" t="n">
        <v>8995.0</v>
      </c>
      <c r="AH272" s="3" t="n">
        <v>8644.0</v>
      </c>
      <c r="AI272" s="3" t="n">
        <v>8123.0</v>
      </c>
      <c r="AJ272" s="3" t="n">
        <v>7715.0</v>
      </c>
      <c r="AK272" s="3" t="n">
        <v>7356.0</v>
      </c>
      <c r="AL272" s="3" t="n">
        <v>7017.0</v>
      </c>
      <c r="AM272" s="3" t="n">
        <v>6859.0</v>
      </c>
      <c r="AN272" s="3" t="n">
        <v>6753.0</v>
      </c>
      <c r="AO272" s="3" t="n">
        <v>6598.0</v>
      </c>
    </row>
    <row r="273" spans="1:41" x14ac:dyDescent="0.2">
      <c r="A273" s="128"/>
      <c r="B273" s="9">
        <v>60</v>
      </c>
      <c r="C273" s="3" t="n">
        <v>10304.0</v>
      </c>
      <c r="D273" s="3" t="n">
        <v>10401.0</v>
      </c>
      <c r="E273" s="3" t="n">
        <v>9789.0</v>
      </c>
      <c r="F273" s="3" t="n">
        <v>9331.0</v>
      </c>
      <c r="G273" s="3" t="n">
        <v>9339.0</v>
      </c>
      <c r="H273" s="3" t="n">
        <v>9112.0</v>
      </c>
      <c r="I273" s="3" t="n">
        <v>9286.0</v>
      </c>
      <c r="J273" s="3" t="n">
        <v>9478.0</v>
      </c>
      <c r="K273" s="3" t="n">
        <v>9949.0</v>
      </c>
      <c r="L273" s="3" t="n">
        <v>10178.0</v>
      </c>
      <c r="M273" s="3" t="n">
        <v>10709.0</v>
      </c>
      <c r="N273" s="3" t="n">
        <v>11198.0</v>
      </c>
      <c r="O273" s="3" t="n">
        <v>11779.0</v>
      </c>
      <c r="P273" s="3" t="n">
        <v>12530.0</v>
      </c>
      <c r="Q273" s="3" t="n">
        <v>12679.0</v>
      </c>
      <c r="R273" s="3" t="n">
        <v>12463.0</v>
      </c>
      <c r="S273" s="3" t="n">
        <v>12530.0</v>
      </c>
      <c r="T273" s="3" t="n">
        <v>12909.0</v>
      </c>
      <c r="U273" s="3" t="n">
        <v>13127.0</v>
      </c>
      <c r="V273" s="3" t="n">
        <v>12779.0</v>
      </c>
      <c r="W273" s="3" t="n">
        <v>13257.0</v>
      </c>
      <c r="X273" s="3" t="n">
        <v>13383.0</v>
      </c>
      <c r="Y273" s="3" t="n">
        <v>12994.0</v>
      </c>
      <c r="Z273" s="3" t="n">
        <v>12389.0</v>
      </c>
      <c r="AA273" s="3" t="n">
        <v>11522.0</v>
      </c>
      <c r="AB273" s="3" t="n">
        <v>10973.0</v>
      </c>
      <c r="AC273" s="3" t="n">
        <v>10624.0</v>
      </c>
      <c r="AD273" s="3" t="n">
        <v>10213.0</v>
      </c>
      <c r="AE273" s="3" t="n">
        <v>10155.0</v>
      </c>
      <c r="AF273" s="3" t="n">
        <v>9851.0</v>
      </c>
      <c r="AG273" s="3" t="n">
        <v>9220.0</v>
      </c>
      <c r="AH273" s="3" t="n">
        <v>8952.0</v>
      </c>
      <c r="AI273" s="3" t="n">
        <v>8599.0</v>
      </c>
      <c r="AJ273" s="3" t="n">
        <v>8083.0</v>
      </c>
      <c r="AK273" s="3" t="n">
        <v>7678.0</v>
      </c>
      <c r="AL273" s="3" t="n">
        <v>7321.0</v>
      </c>
      <c r="AM273" s="3" t="n">
        <v>6987.0</v>
      </c>
      <c r="AN273" s="3" t="n">
        <v>6829.0</v>
      </c>
      <c r="AO273" s="3" t="n">
        <v>6725.0</v>
      </c>
    </row>
    <row r="274" spans="1:41" x14ac:dyDescent="0.2">
      <c r="A274" s="128"/>
      <c r="B274" s="9">
        <v>61</v>
      </c>
      <c r="C274" s="3" t="n">
        <v>10977.0</v>
      </c>
      <c r="D274" s="3" t="n">
        <v>10236.0</v>
      </c>
      <c r="E274" s="3" t="n">
        <v>10334.0</v>
      </c>
      <c r="F274" s="3" t="n">
        <v>9724.0</v>
      </c>
      <c r="G274" s="3" t="n">
        <v>9268.0</v>
      </c>
      <c r="H274" s="3" t="n">
        <v>9286.0</v>
      </c>
      <c r="I274" s="3" t="n">
        <v>9064.0</v>
      </c>
      <c r="J274" s="3" t="n">
        <v>9232.0</v>
      </c>
      <c r="K274" s="3" t="n">
        <v>9416.0</v>
      </c>
      <c r="L274" s="3" t="n">
        <v>9881.0</v>
      </c>
      <c r="M274" s="3" t="n">
        <v>10109.0</v>
      </c>
      <c r="N274" s="3" t="n">
        <v>10634.0</v>
      </c>
      <c r="O274" s="3" t="n">
        <v>11122.0</v>
      </c>
      <c r="P274" s="3" t="n">
        <v>11698.0</v>
      </c>
      <c r="Q274" s="3" t="n">
        <v>12447.0</v>
      </c>
      <c r="R274" s="3" t="n">
        <v>12594.0</v>
      </c>
      <c r="S274" s="3" t="n">
        <v>12380.0</v>
      </c>
      <c r="T274" s="3" t="n">
        <v>12447.0</v>
      </c>
      <c r="U274" s="3" t="n">
        <v>12825.0</v>
      </c>
      <c r="V274" s="3" t="n">
        <v>13040.0</v>
      </c>
      <c r="W274" s="3" t="n">
        <v>12694.0</v>
      </c>
      <c r="X274" s="3" t="n">
        <v>13168.0</v>
      </c>
      <c r="Y274" s="3" t="n">
        <v>13295.0</v>
      </c>
      <c r="Z274" s="3" t="n">
        <v>12909.0</v>
      </c>
      <c r="AA274" s="3" t="n">
        <v>12310.0</v>
      </c>
      <c r="AB274" s="3" t="n">
        <v>11449.0</v>
      </c>
      <c r="AC274" s="3" t="n">
        <v>10902.0</v>
      </c>
      <c r="AD274" s="3" t="n">
        <v>10556.0</v>
      </c>
      <c r="AE274" s="3" t="n">
        <v>10148.0</v>
      </c>
      <c r="AF274" s="3" t="n">
        <v>10090.0</v>
      </c>
      <c r="AG274" s="3" t="n">
        <v>9791.0</v>
      </c>
      <c r="AH274" s="3" t="n">
        <v>9164.0</v>
      </c>
      <c r="AI274" s="3" t="n">
        <v>8900.0</v>
      </c>
      <c r="AJ274" s="3" t="n">
        <v>8545.0</v>
      </c>
      <c r="AK274" s="3" t="n">
        <v>8031.0</v>
      </c>
      <c r="AL274" s="3" t="n">
        <v>7633.0</v>
      </c>
      <c r="AM274" s="3" t="n">
        <v>7278.0</v>
      </c>
      <c r="AN274" s="3" t="n">
        <v>6947.0</v>
      </c>
      <c r="AO274" s="3" t="n">
        <v>6788.0</v>
      </c>
    </row>
    <row r="275" spans="1:41" x14ac:dyDescent="0.2">
      <c r="A275" s="128"/>
      <c r="B275" s="9">
        <v>62</v>
      </c>
      <c r="C275" s="3" t="n">
        <v>11660.0</v>
      </c>
      <c r="D275" s="3" t="n">
        <v>10900.0</v>
      </c>
      <c r="E275" s="3" t="n">
        <v>10163.0</v>
      </c>
      <c r="F275" s="3" t="n">
        <v>10257.0</v>
      </c>
      <c r="G275" s="3" t="n">
        <v>9653.0</v>
      </c>
      <c r="H275" s="3" t="n">
        <v>9208.0</v>
      </c>
      <c r="I275" s="3" t="n">
        <v>9228.0</v>
      </c>
      <c r="J275" s="3" t="n">
        <v>9001.0</v>
      </c>
      <c r="K275" s="3" t="n">
        <v>9171.0</v>
      </c>
      <c r="L275" s="3" t="n">
        <v>9348.0</v>
      </c>
      <c r="M275" s="3" t="n">
        <v>9814.0</v>
      </c>
      <c r="N275" s="3" t="n">
        <v>10037.0</v>
      </c>
      <c r="O275" s="3" t="n">
        <v>10559.0</v>
      </c>
      <c r="P275" s="3" t="n">
        <v>11041.0</v>
      </c>
      <c r="Q275" s="3" t="n">
        <v>11611.0</v>
      </c>
      <c r="R275" s="3" t="n">
        <v>12358.0</v>
      </c>
      <c r="S275" s="3" t="n">
        <v>12504.0</v>
      </c>
      <c r="T275" s="3" t="n">
        <v>12289.0</v>
      </c>
      <c r="U275" s="3" t="n">
        <v>12356.0</v>
      </c>
      <c r="V275" s="3" t="n">
        <v>12734.0</v>
      </c>
      <c r="W275" s="3" t="n">
        <v>12946.0</v>
      </c>
      <c r="X275" s="3" t="n">
        <v>12598.0</v>
      </c>
      <c r="Y275" s="3" t="n">
        <v>13075.0</v>
      </c>
      <c r="Z275" s="3" t="n">
        <v>13203.0</v>
      </c>
      <c r="AA275" s="3" t="n">
        <v>12818.0</v>
      </c>
      <c r="AB275" s="3" t="n">
        <v>12223.0</v>
      </c>
      <c r="AC275" s="3" t="n">
        <v>11367.0</v>
      </c>
      <c r="AD275" s="3" t="n">
        <v>10823.0</v>
      </c>
      <c r="AE275" s="3" t="n">
        <v>10487.0</v>
      </c>
      <c r="AF275" s="3" t="n">
        <v>10075.0</v>
      </c>
      <c r="AG275" s="3" t="n">
        <v>10019.0</v>
      </c>
      <c r="AH275" s="3" t="n">
        <v>9723.0</v>
      </c>
      <c r="AI275" s="3" t="n">
        <v>9101.0</v>
      </c>
      <c r="AJ275" s="3" t="n">
        <v>8839.0</v>
      </c>
      <c r="AK275" s="3" t="n">
        <v>8490.0</v>
      </c>
      <c r="AL275" s="3" t="n">
        <v>7983.0</v>
      </c>
      <c r="AM275" s="3" t="n">
        <v>7588.0</v>
      </c>
      <c r="AN275" s="3" t="n">
        <v>7234.0</v>
      </c>
      <c r="AO275" s="3" t="n">
        <v>6907.0</v>
      </c>
    </row>
    <row r="276" spans="1:41" x14ac:dyDescent="0.2">
      <c r="A276" s="128"/>
      <c r="B276" s="9">
        <v>63</v>
      </c>
      <c r="C276" s="3" t="n">
        <v>13100.0</v>
      </c>
      <c r="D276" s="3" t="n">
        <v>11550.0</v>
      </c>
      <c r="E276" s="3" t="n">
        <v>10799.0</v>
      </c>
      <c r="F276" s="3" t="n">
        <v>10073.0</v>
      </c>
      <c r="G276" s="3" t="n">
        <v>10161.0</v>
      </c>
      <c r="H276" s="3" t="n">
        <v>9583.0</v>
      </c>
      <c r="I276" s="3" t="n">
        <v>9145.0</v>
      </c>
      <c r="J276" s="3" t="n">
        <v>9153.0</v>
      </c>
      <c r="K276" s="3" t="n">
        <v>8925.0</v>
      </c>
      <c r="L276" s="3" t="n">
        <v>9092.0</v>
      </c>
      <c r="M276" s="3" t="n">
        <v>9269.0</v>
      </c>
      <c r="N276" s="3" t="n">
        <v>9735.0</v>
      </c>
      <c r="O276" s="3" t="n">
        <v>9954.0</v>
      </c>
      <c r="P276" s="3" t="n">
        <v>10467.0</v>
      </c>
      <c r="Q276" s="3" t="n">
        <v>10949.0</v>
      </c>
      <c r="R276" s="3" t="n">
        <v>11512.0</v>
      </c>
      <c r="S276" s="3" t="n">
        <v>12249.0</v>
      </c>
      <c r="T276" s="3" t="n">
        <v>12400.0</v>
      </c>
      <c r="U276" s="3" t="n">
        <v>12186.0</v>
      </c>
      <c r="V276" s="3" t="n">
        <v>12251.0</v>
      </c>
      <c r="W276" s="3" t="n">
        <v>12624.0</v>
      </c>
      <c r="X276" s="3" t="n">
        <v>12838.0</v>
      </c>
      <c r="Y276" s="3" t="n">
        <v>12489.0</v>
      </c>
      <c r="Z276" s="3" t="n">
        <v>12966.0</v>
      </c>
      <c r="AA276" s="3" t="n">
        <v>13091.0</v>
      </c>
      <c r="AB276" s="3" t="n">
        <v>12712.0</v>
      </c>
      <c r="AC276" s="3" t="n">
        <v>12124.0</v>
      </c>
      <c r="AD276" s="3" t="n">
        <v>11275.0</v>
      </c>
      <c r="AE276" s="3" t="n">
        <v>10740.0</v>
      </c>
      <c r="AF276" s="3" t="n">
        <v>10404.0</v>
      </c>
      <c r="AG276" s="3" t="n">
        <v>9996.0</v>
      </c>
      <c r="AH276" s="3" t="n">
        <v>9940.0</v>
      </c>
      <c r="AI276" s="3" t="n">
        <v>9647.0</v>
      </c>
      <c r="AJ276" s="3" t="n">
        <v>9027.0</v>
      </c>
      <c r="AK276" s="3" t="n">
        <v>8766.0</v>
      </c>
      <c r="AL276" s="3" t="n">
        <v>8417.0</v>
      </c>
      <c r="AM276" s="3" t="n">
        <v>7914.0</v>
      </c>
      <c r="AN276" s="3" t="n">
        <v>7524.0</v>
      </c>
      <c r="AO276" s="3" t="n">
        <v>7171.0</v>
      </c>
    </row>
    <row r="277" spans="1:41" x14ac:dyDescent="0.2">
      <c r="A277" s="128"/>
      <c r="B277" s="9">
        <v>64</v>
      </c>
      <c r="C277" s="3" t="n">
        <v>13493.0</v>
      </c>
      <c r="D277" s="3" t="n">
        <v>12971.0</v>
      </c>
      <c r="E277" s="3" t="n">
        <v>11435.0</v>
      </c>
      <c r="F277" s="3" t="n">
        <v>10693.0</v>
      </c>
      <c r="G277" s="3" t="n">
        <v>9974.0</v>
      </c>
      <c r="H277" s="3" t="n">
        <v>10075.0</v>
      </c>
      <c r="I277" s="3" t="n">
        <v>9506.0</v>
      </c>
      <c r="J277" s="3" t="n">
        <v>9069.0</v>
      </c>
      <c r="K277" s="3" t="n">
        <v>9074.0</v>
      </c>
      <c r="L277" s="3" t="n">
        <v>8845.0</v>
      </c>
      <c r="M277" s="3" t="n">
        <v>9012.0</v>
      </c>
      <c r="N277" s="3" t="n">
        <v>9184.0</v>
      </c>
      <c r="O277" s="3" t="n">
        <v>9646.0</v>
      </c>
      <c r="P277" s="3" t="n">
        <v>9866.0</v>
      </c>
      <c r="Q277" s="3" t="n">
        <v>10373.0</v>
      </c>
      <c r="R277" s="3" t="n">
        <v>10851.0</v>
      </c>
      <c r="S277" s="3" t="n">
        <v>11411.0</v>
      </c>
      <c r="T277" s="3" t="n">
        <v>12136.0</v>
      </c>
      <c r="U277" s="3" t="n">
        <v>12286.0</v>
      </c>
      <c r="V277" s="3" t="n">
        <v>12073.0</v>
      </c>
      <c r="W277" s="3" t="n">
        <v>12139.0</v>
      </c>
      <c r="X277" s="3" t="n">
        <v>12503.0</v>
      </c>
      <c r="Y277" s="3" t="n">
        <v>12718.0</v>
      </c>
      <c r="Z277" s="3" t="n">
        <v>12374.0</v>
      </c>
      <c r="AA277" s="3" t="n">
        <v>12844.0</v>
      </c>
      <c r="AB277" s="3" t="n">
        <v>12970.0</v>
      </c>
      <c r="AC277" s="3" t="n">
        <v>12597.0</v>
      </c>
      <c r="AD277" s="3" t="n">
        <v>12014.0</v>
      </c>
      <c r="AE277" s="3" t="n">
        <v>11178.0</v>
      </c>
      <c r="AF277" s="3" t="n">
        <v>10651.0</v>
      </c>
      <c r="AG277" s="3" t="n">
        <v>10317.0</v>
      </c>
      <c r="AH277" s="3" t="n">
        <v>9912.0</v>
      </c>
      <c r="AI277" s="3" t="n">
        <v>9854.0</v>
      </c>
      <c r="AJ277" s="3" t="n">
        <v>9566.0</v>
      </c>
      <c r="AK277" s="3" t="n">
        <v>8952.0</v>
      </c>
      <c r="AL277" s="3" t="n">
        <v>8693.0</v>
      </c>
      <c r="AM277" s="3" t="n">
        <v>8347.0</v>
      </c>
      <c r="AN277" s="3" t="n">
        <v>7851.0</v>
      </c>
      <c r="AO277" s="3" t="n">
        <v>7463.0</v>
      </c>
    </row>
    <row r="278" spans="1:41" x14ac:dyDescent="0.2">
      <c r="A278" s="128"/>
      <c r="B278" s="9">
        <v>65</v>
      </c>
      <c r="C278" s="3" t="n">
        <v>13822.0</v>
      </c>
      <c r="D278" s="3" t="n">
        <v>13357.0</v>
      </c>
      <c r="E278" s="3" t="n">
        <v>12837.0</v>
      </c>
      <c r="F278" s="3" t="n">
        <v>11316.0</v>
      </c>
      <c r="G278" s="3" t="n">
        <v>10581.0</v>
      </c>
      <c r="H278" s="3" t="n">
        <v>9877.0</v>
      </c>
      <c r="I278" s="3" t="n">
        <v>9979.0</v>
      </c>
      <c r="J278" s="3" t="n">
        <v>9413.0</v>
      </c>
      <c r="K278" s="3" t="n">
        <v>8978.0</v>
      </c>
      <c r="L278" s="3" t="n">
        <v>8984.0</v>
      </c>
      <c r="M278" s="3" t="n">
        <v>8757.0</v>
      </c>
      <c r="N278" s="3" t="n">
        <v>8924.0</v>
      </c>
      <c r="O278" s="3" t="n">
        <v>9092.0</v>
      </c>
      <c r="P278" s="3" t="n">
        <v>9549.0</v>
      </c>
      <c r="Q278" s="3" t="n">
        <v>9768.0</v>
      </c>
      <c r="R278" s="3" t="n">
        <v>10271.0</v>
      </c>
      <c r="S278" s="3" t="n">
        <v>10741.0</v>
      </c>
      <c r="T278" s="3" t="n">
        <v>11301.0</v>
      </c>
      <c r="U278" s="3" t="n">
        <v>12018.0</v>
      </c>
      <c r="V278" s="3" t="n">
        <v>12168.0</v>
      </c>
      <c r="W278" s="3" t="n">
        <v>11963.0</v>
      </c>
      <c r="X278" s="3" t="n">
        <v>12029.0</v>
      </c>
      <c r="Y278" s="3" t="n">
        <v>12388.0</v>
      </c>
      <c r="Z278" s="3" t="n">
        <v>12602.0</v>
      </c>
      <c r="AA278" s="3" t="n">
        <v>12259.0</v>
      </c>
      <c r="AB278" s="3" t="n">
        <v>12726.0</v>
      </c>
      <c r="AC278" s="3" t="n">
        <v>12851.0</v>
      </c>
      <c r="AD278" s="3" t="n">
        <v>12485.0</v>
      </c>
      <c r="AE278" s="3" t="n">
        <v>11905.0</v>
      </c>
      <c r="AF278" s="3" t="n">
        <v>11074.0</v>
      </c>
      <c r="AG278" s="3" t="n">
        <v>10552.0</v>
      </c>
      <c r="AH278" s="3" t="n">
        <v>10221.0</v>
      </c>
      <c r="AI278" s="3" t="n">
        <v>9826.0</v>
      </c>
      <c r="AJ278" s="3" t="n">
        <v>9769.0</v>
      </c>
      <c r="AK278" s="3" t="n">
        <v>9489.0</v>
      </c>
      <c r="AL278" s="3" t="n">
        <v>8881.0</v>
      </c>
      <c r="AM278" s="3" t="n">
        <v>8625.0</v>
      </c>
      <c r="AN278" s="3" t="n">
        <v>8280.0</v>
      </c>
      <c r="AO278" s="3" t="n">
        <v>7785.0</v>
      </c>
    </row>
    <row r="279" spans="1:41" x14ac:dyDescent="0.2">
      <c r="A279" s="128"/>
      <c r="B279" s="9">
        <v>66</v>
      </c>
      <c r="C279" s="3" t="n">
        <v>13759.0</v>
      </c>
      <c r="D279" s="3" t="n">
        <v>13656.0</v>
      </c>
      <c r="E279" s="3" t="n">
        <v>13201.0</v>
      </c>
      <c r="F279" s="3" t="n">
        <v>12685.0</v>
      </c>
      <c r="G279" s="3" t="n">
        <v>11186.0</v>
      </c>
      <c r="H279" s="3" t="n">
        <v>10473.0</v>
      </c>
      <c r="I279" s="3" t="n">
        <v>9780.0</v>
      </c>
      <c r="J279" s="3" t="n">
        <v>9873.0</v>
      </c>
      <c r="K279" s="3" t="n">
        <v>9314.0</v>
      </c>
      <c r="L279" s="3" t="n">
        <v>8880.0</v>
      </c>
      <c r="M279" s="3" t="n">
        <v>8888.0</v>
      </c>
      <c r="N279" s="3" t="n">
        <v>8661.0</v>
      </c>
      <c r="O279" s="3" t="n">
        <v>8827.0</v>
      </c>
      <c r="P279" s="3" t="n">
        <v>8994.0</v>
      </c>
      <c r="Q279" s="3" t="n">
        <v>9452.0</v>
      </c>
      <c r="R279" s="3" t="n">
        <v>9667.0</v>
      </c>
      <c r="S279" s="3" t="n">
        <v>10166.0</v>
      </c>
      <c r="T279" s="3" t="n">
        <v>10632.0</v>
      </c>
      <c r="U279" s="3" t="n">
        <v>11188.0</v>
      </c>
      <c r="V279" s="3" t="n">
        <v>11893.0</v>
      </c>
      <c r="W279" s="3" t="n">
        <v>12044.0</v>
      </c>
      <c r="X279" s="3" t="n">
        <v>11842.0</v>
      </c>
      <c r="Y279" s="3" t="n">
        <v>11908.0</v>
      </c>
      <c r="Z279" s="3" t="n">
        <v>12262.0</v>
      </c>
      <c r="AA279" s="3" t="n">
        <v>12473.0</v>
      </c>
      <c r="AB279" s="3" t="n">
        <v>12135.0</v>
      </c>
      <c r="AC279" s="3" t="n">
        <v>12598.0</v>
      </c>
      <c r="AD279" s="3" t="n">
        <v>12721.0</v>
      </c>
      <c r="AE279" s="3" t="n">
        <v>12364.0</v>
      </c>
      <c r="AF279" s="3" t="n">
        <v>11788.0</v>
      </c>
      <c r="AG279" s="3" t="n">
        <v>10969.0</v>
      </c>
      <c r="AH279" s="3" t="n">
        <v>10453.0</v>
      </c>
      <c r="AI279" s="3" t="n">
        <v>10123.0</v>
      </c>
      <c r="AJ279" s="3" t="n">
        <v>9733.0</v>
      </c>
      <c r="AK279" s="3" t="n">
        <v>9677.0</v>
      </c>
      <c r="AL279" s="3" t="n">
        <v>9400.0</v>
      </c>
      <c r="AM279" s="3" t="n">
        <v>8795.0</v>
      </c>
      <c r="AN279" s="3" t="n">
        <v>8545.0</v>
      </c>
      <c r="AO279" s="3" t="n">
        <v>8207.0</v>
      </c>
    </row>
    <row r="280" spans="1:41" x14ac:dyDescent="0.2">
      <c r="A280" s="128"/>
      <c r="B280" s="9">
        <v>67</v>
      </c>
      <c r="C280" s="3" t="n">
        <v>13553.0</v>
      </c>
      <c r="D280" s="3" t="n">
        <v>13578.0</v>
      </c>
      <c r="E280" s="3" t="n">
        <v>13476.0</v>
      </c>
      <c r="F280" s="3" t="n">
        <v>13031.0</v>
      </c>
      <c r="G280" s="3" t="n">
        <v>12526.0</v>
      </c>
      <c r="H280" s="3" t="n">
        <v>11055.0</v>
      </c>
      <c r="I280" s="3" t="n">
        <v>10350.0</v>
      </c>
      <c r="J280" s="3" t="n">
        <v>9662.0</v>
      </c>
      <c r="K280" s="3" t="n">
        <v>9750.0</v>
      </c>
      <c r="L280" s="3" t="n">
        <v>9203.0</v>
      </c>
      <c r="M280" s="3" t="n">
        <v>8775.0</v>
      </c>
      <c r="N280" s="3" t="n">
        <v>8783.0</v>
      </c>
      <c r="O280" s="3" t="n">
        <v>8560.0</v>
      </c>
      <c r="P280" s="3" t="n">
        <v>8722.0</v>
      </c>
      <c r="Q280" s="3" t="n">
        <v>8889.0</v>
      </c>
      <c r="R280" s="3" t="n">
        <v>9346.0</v>
      </c>
      <c r="S280" s="3" t="n">
        <v>9553.0</v>
      </c>
      <c r="T280" s="3" t="n">
        <v>10043.0</v>
      </c>
      <c r="U280" s="3" t="n">
        <v>10505.0</v>
      </c>
      <c r="V280" s="3" t="n">
        <v>11056.0</v>
      </c>
      <c r="W280" s="3" t="n">
        <v>11753.0</v>
      </c>
      <c r="X280" s="3" t="n">
        <v>11905.0</v>
      </c>
      <c r="Y280" s="3" t="n">
        <v>11701.0</v>
      </c>
      <c r="Z280" s="3" t="n">
        <v>11769.0</v>
      </c>
      <c r="AA280" s="3" t="n">
        <v>12121.0</v>
      </c>
      <c r="AB280" s="3" t="n">
        <v>12331.0</v>
      </c>
      <c r="AC280" s="3" t="n">
        <v>11994.0</v>
      </c>
      <c r="AD280" s="3" t="n">
        <v>12458.0</v>
      </c>
      <c r="AE280" s="3" t="n">
        <v>12581.0</v>
      </c>
      <c r="AF280" s="3" t="n">
        <v>12224.0</v>
      </c>
      <c r="AG280" s="3" t="n">
        <v>11650.0</v>
      </c>
      <c r="AH280" s="3" t="n">
        <v>10846.0</v>
      </c>
      <c r="AI280" s="3" t="n">
        <v>10336.0</v>
      </c>
      <c r="AJ280" s="3" t="n">
        <v>10013.0</v>
      </c>
      <c r="AK280" s="3" t="n">
        <v>9630.0</v>
      </c>
      <c r="AL280" s="3" t="n">
        <v>9575.0</v>
      </c>
      <c r="AM280" s="3" t="n">
        <v>9301.0</v>
      </c>
      <c r="AN280" s="3" t="n">
        <v>8705.0</v>
      </c>
      <c r="AO280" s="3" t="n">
        <v>8454.0</v>
      </c>
    </row>
    <row r="281" spans="1:41" x14ac:dyDescent="0.2">
      <c r="A281" s="128"/>
      <c r="B281" s="9">
        <v>68</v>
      </c>
      <c r="C281" s="3" t="n">
        <v>12983.0</v>
      </c>
      <c r="D281" s="3" t="n">
        <v>13371.0</v>
      </c>
      <c r="E281" s="3" t="n">
        <v>13393.0</v>
      </c>
      <c r="F281" s="3" t="n">
        <v>13291.0</v>
      </c>
      <c r="G281" s="3" t="n">
        <v>12851.0</v>
      </c>
      <c r="H281" s="3" t="n">
        <v>12357.0</v>
      </c>
      <c r="I281" s="3" t="n">
        <v>10910.0</v>
      </c>
      <c r="J281" s="3" t="n">
        <v>10218.0</v>
      </c>
      <c r="K281" s="3" t="n">
        <v>9539.0</v>
      </c>
      <c r="L281" s="3" t="n">
        <v>9625.0</v>
      </c>
      <c r="M281" s="3" t="n">
        <v>9090.0</v>
      </c>
      <c r="N281" s="3" t="n">
        <v>8670.0</v>
      </c>
      <c r="O281" s="3" t="n">
        <v>8679.0</v>
      </c>
      <c r="P281" s="3" t="n">
        <v>8457.0</v>
      </c>
      <c r="Q281" s="3" t="n">
        <v>8617.0</v>
      </c>
      <c r="R281" s="3" t="n">
        <v>8780.0</v>
      </c>
      <c r="S281" s="3" t="n">
        <v>9235.0</v>
      </c>
      <c r="T281" s="3" t="n">
        <v>9438.0</v>
      </c>
      <c r="U281" s="3" t="n">
        <v>9923.0</v>
      </c>
      <c r="V281" s="3" t="n">
        <v>10375.0</v>
      </c>
      <c r="W281" s="3" t="n">
        <v>10922.0</v>
      </c>
      <c r="X281" s="3" t="n">
        <v>11610.0</v>
      </c>
      <c r="Y281" s="3" t="n">
        <v>11761.0</v>
      </c>
      <c r="Z281" s="3" t="n">
        <v>11563.0</v>
      </c>
      <c r="AA281" s="3" t="n">
        <v>11625.0</v>
      </c>
      <c r="AB281" s="3" t="n">
        <v>11977.0</v>
      </c>
      <c r="AC281" s="3" t="n">
        <v>12180.0</v>
      </c>
      <c r="AD281" s="3" t="n">
        <v>11850.0</v>
      </c>
      <c r="AE281" s="3" t="n">
        <v>12310.0</v>
      </c>
      <c r="AF281" s="3" t="n">
        <v>12431.0</v>
      </c>
      <c r="AG281" s="3" t="n">
        <v>12075.0</v>
      </c>
      <c r="AH281" s="3" t="n">
        <v>11515.0</v>
      </c>
      <c r="AI281" s="3" t="n">
        <v>10722.0</v>
      </c>
      <c r="AJ281" s="3" t="n">
        <v>10216.0</v>
      </c>
      <c r="AK281" s="3" t="n">
        <v>9905.0</v>
      </c>
      <c r="AL281" s="3" t="n">
        <v>9527.0</v>
      </c>
      <c r="AM281" s="3" t="n">
        <v>9471.0</v>
      </c>
      <c r="AN281" s="3" t="n">
        <v>9199.0</v>
      </c>
      <c r="AO281" s="3" t="n">
        <v>8611.0</v>
      </c>
    </row>
    <row r="282" spans="1:41" x14ac:dyDescent="0.2">
      <c r="A282" s="128"/>
      <c r="B282" s="9">
        <v>69</v>
      </c>
      <c r="C282" s="3" t="n">
        <v>12696.0</v>
      </c>
      <c r="D282" s="3" t="n">
        <v>12777.0</v>
      </c>
      <c r="E282" s="3" t="n">
        <v>13161.0</v>
      </c>
      <c r="F282" s="3" t="n">
        <v>13182.0</v>
      </c>
      <c r="G282" s="3" t="n">
        <v>13085.0</v>
      </c>
      <c r="H282" s="3" t="n">
        <v>12659.0</v>
      </c>
      <c r="I282" s="3" t="n">
        <v>12179.0</v>
      </c>
      <c r="J282" s="3" t="n">
        <v>10753.0</v>
      </c>
      <c r="K282" s="3" t="n">
        <v>10075.0</v>
      </c>
      <c r="L282" s="3" t="n">
        <v>9403.0</v>
      </c>
      <c r="M282" s="3" t="n">
        <v>9488.0</v>
      </c>
      <c r="N282" s="3" t="n">
        <v>8960.0</v>
      </c>
      <c r="O282" s="3" t="n">
        <v>8548.0</v>
      </c>
      <c r="P282" s="3" t="n">
        <v>8556.0</v>
      </c>
      <c r="Q282" s="3" t="n">
        <v>8345.0</v>
      </c>
      <c r="R282" s="3" t="n">
        <v>8494.0</v>
      </c>
      <c r="S282" s="3" t="n">
        <v>8657.0</v>
      </c>
      <c r="T282" s="3" t="n">
        <v>9110.0</v>
      </c>
      <c r="U282" s="3" t="n">
        <v>9307.0</v>
      </c>
      <c r="V282" s="3" t="n">
        <v>9784.0</v>
      </c>
      <c r="W282" s="3" t="n">
        <v>10233.0</v>
      </c>
      <c r="X282" s="3" t="n">
        <v>10776.0</v>
      </c>
      <c r="Y282" s="3" t="n">
        <v>11459.0</v>
      </c>
      <c r="Z282" s="3" t="n">
        <v>11610.0</v>
      </c>
      <c r="AA282" s="3" t="n">
        <v>11413.0</v>
      </c>
      <c r="AB282" s="3" t="n">
        <v>11474.0</v>
      </c>
      <c r="AC282" s="3" t="n">
        <v>11819.0</v>
      </c>
      <c r="AD282" s="3" t="n">
        <v>12020.0</v>
      </c>
      <c r="AE282" s="3" t="n">
        <v>11694.0</v>
      </c>
      <c r="AF282" s="3" t="n">
        <v>12150.0</v>
      </c>
      <c r="AG282" s="3" t="n">
        <v>12264.0</v>
      </c>
      <c r="AH282" s="3" t="n">
        <v>11921.0</v>
      </c>
      <c r="AI282" s="3" t="n">
        <v>11365.0</v>
      </c>
      <c r="AJ282" s="3" t="n">
        <v>10583.0</v>
      </c>
      <c r="AK282" s="3" t="n">
        <v>10086.0</v>
      </c>
      <c r="AL282" s="3" t="n">
        <v>9777.0</v>
      </c>
      <c r="AM282" s="3" t="n">
        <v>9406.0</v>
      </c>
      <c r="AN282" s="3" t="n">
        <v>9351.0</v>
      </c>
      <c r="AO282" s="3" t="n">
        <v>9085.0</v>
      </c>
    </row>
    <row r="283" spans="1:41" x14ac:dyDescent="0.2">
      <c r="A283" s="128"/>
      <c r="B283" s="9">
        <v>70</v>
      </c>
      <c r="C283" s="3" t="n">
        <v>12518.0</v>
      </c>
      <c r="D283" s="3" t="n">
        <v>12491.0</v>
      </c>
      <c r="E283" s="3" t="n">
        <v>12570.0</v>
      </c>
      <c r="F283" s="3" t="n">
        <v>12949.0</v>
      </c>
      <c r="G283" s="3" t="n">
        <v>12970.0</v>
      </c>
      <c r="H283" s="3" t="n">
        <v>12883.0</v>
      </c>
      <c r="I283" s="3" t="n">
        <v>12462.0</v>
      </c>
      <c r="J283" s="3" t="n">
        <v>11989.0</v>
      </c>
      <c r="K283" s="3" t="n">
        <v>10586.0</v>
      </c>
      <c r="L283" s="3" t="n">
        <v>9919.0</v>
      </c>
      <c r="M283" s="3" t="n">
        <v>9259.0</v>
      </c>
      <c r="N283" s="3" t="n">
        <v>9341.0</v>
      </c>
      <c r="O283" s="3" t="n">
        <v>8819.0</v>
      </c>
      <c r="P283" s="3" t="n">
        <v>8419.0</v>
      </c>
      <c r="Q283" s="3" t="n">
        <v>8430.0</v>
      </c>
      <c r="R283" s="3" t="n">
        <v>8220.0</v>
      </c>
      <c r="S283" s="3" t="n">
        <v>8370.0</v>
      </c>
      <c r="T283" s="3" t="n">
        <v>8531.0</v>
      </c>
      <c r="U283" s="3" t="n">
        <v>8975.0</v>
      </c>
      <c r="V283" s="3" t="n">
        <v>9170.0</v>
      </c>
      <c r="W283" s="3" t="n">
        <v>9645.0</v>
      </c>
      <c r="X283" s="3" t="n">
        <v>10085.0</v>
      </c>
      <c r="Y283" s="3" t="n">
        <v>10622.0</v>
      </c>
      <c r="Z283" s="3" t="n">
        <v>11295.0</v>
      </c>
      <c r="AA283" s="3" t="n">
        <v>11441.0</v>
      </c>
      <c r="AB283" s="3" t="n">
        <v>11249.0</v>
      </c>
      <c r="AC283" s="3" t="n">
        <v>11310.0</v>
      </c>
      <c r="AD283" s="3" t="n">
        <v>11650.0</v>
      </c>
      <c r="AE283" s="3" t="n">
        <v>11849.0</v>
      </c>
      <c r="AF283" s="3" t="n">
        <v>11530.0</v>
      </c>
      <c r="AG283" s="3" t="n">
        <v>11980.0</v>
      </c>
      <c r="AH283" s="3" t="n">
        <v>12091.0</v>
      </c>
      <c r="AI283" s="3" t="n">
        <v>11756.0</v>
      </c>
      <c r="AJ283" s="3" t="n">
        <v>11211.0</v>
      </c>
      <c r="AK283" s="3" t="n">
        <v>10446.0</v>
      </c>
      <c r="AL283" s="3" t="n">
        <v>9950.0</v>
      </c>
      <c r="AM283" s="3" t="n">
        <v>9648.0</v>
      </c>
      <c r="AN283" s="3" t="n">
        <v>9282.0</v>
      </c>
      <c r="AO283" s="3" t="n">
        <v>9229.0</v>
      </c>
    </row>
    <row r="284" spans="1:41" x14ac:dyDescent="0.2">
      <c r="A284" s="128"/>
      <c r="B284" s="9">
        <v>71</v>
      </c>
      <c r="C284" s="3" t="n">
        <v>12225.0</v>
      </c>
      <c r="D284" s="3" t="n">
        <v>12283.0</v>
      </c>
      <c r="E284" s="3" t="n">
        <v>12257.0</v>
      </c>
      <c r="F284" s="3" t="n">
        <v>12338.0</v>
      </c>
      <c r="G284" s="3" t="n">
        <v>12711.0</v>
      </c>
      <c r="H284" s="3" t="n">
        <v>12737.0</v>
      </c>
      <c r="I284" s="3" t="n">
        <v>12654.0</v>
      </c>
      <c r="J284" s="3" t="n">
        <v>12239.0</v>
      </c>
      <c r="K284" s="3" t="n">
        <v>11777.0</v>
      </c>
      <c r="L284" s="3" t="n">
        <v>10398.0</v>
      </c>
      <c r="M284" s="3" t="n">
        <v>9749.0</v>
      </c>
      <c r="N284" s="3" t="n">
        <v>9104.0</v>
      </c>
      <c r="O284" s="3" t="n">
        <v>9179.0</v>
      </c>
      <c r="P284" s="3" t="n">
        <v>8669.0</v>
      </c>
      <c r="Q284" s="3" t="n">
        <v>8278.0</v>
      </c>
      <c r="R284" s="3" t="n">
        <v>8285.0</v>
      </c>
      <c r="S284" s="3" t="n">
        <v>8081.0</v>
      </c>
      <c r="T284" s="3" t="n">
        <v>8230.0</v>
      </c>
      <c r="U284" s="3" t="n">
        <v>8394.0</v>
      </c>
      <c r="V284" s="3" t="n">
        <v>8824.0</v>
      </c>
      <c r="W284" s="3" t="n">
        <v>9017.0</v>
      </c>
      <c r="X284" s="3" t="n">
        <v>9486.0</v>
      </c>
      <c r="Y284" s="3" t="n">
        <v>9924.0</v>
      </c>
      <c r="Z284" s="3" t="n">
        <v>10448.0</v>
      </c>
      <c r="AA284" s="3" t="n">
        <v>11108.0</v>
      </c>
      <c r="AB284" s="3" t="n">
        <v>11260.0</v>
      </c>
      <c r="AC284" s="3" t="n">
        <v>11070.0</v>
      </c>
      <c r="AD284" s="3" t="n">
        <v>11127.0</v>
      </c>
      <c r="AE284" s="3" t="n">
        <v>11466.0</v>
      </c>
      <c r="AF284" s="3" t="n">
        <v>11663.0</v>
      </c>
      <c r="AG284" s="3" t="n">
        <v>11344.0</v>
      </c>
      <c r="AH284" s="3" t="n">
        <v>11790.0</v>
      </c>
      <c r="AI284" s="3" t="n">
        <v>11902.0</v>
      </c>
      <c r="AJ284" s="3" t="n">
        <v>11571.0</v>
      </c>
      <c r="AK284" s="3" t="n">
        <v>11036.0</v>
      </c>
      <c r="AL284" s="3" t="n">
        <v>10288.0</v>
      </c>
      <c r="AM284" s="3" t="n">
        <v>9797.0</v>
      </c>
      <c r="AN284" s="3" t="n">
        <v>9499.0</v>
      </c>
      <c r="AO284" s="3" t="n">
        <v>9140.0</v>
      </c>
    </row>
    <row r="285" spans="1:41" x14ac:dyDescent="0.2">
      <c r="A285" s="128"/>
      <c r="B285" s="9">
        <v>72</v>
      </c>
      <c r="C285" s="3" t="n">
        <v>11467.0</v>
      </c>
      <c r="D285" s="3" t="n">
        <v>11986.0</v>
      </c>
      <c r="E285" s="3" t="n">
        <v>12044.0</v>
      </c>
      <c r="F285" s="3" t="n">
        <v>12021.0</v>
      </c>
      <c r="G285" s="3" t="n">
        <v>12102.0</v>
      </c>
      <c r="H285" s="3" t="n">
        <v>12473.0</v>
      </c>
      <c r="I285" s="3" t="n">
        <v>12502.0</v>
      </c>
      <c r="J285" s="3" t="n">
        <v>12416.0</v>
      </c>
      <c r="K285" s="3" t="n">
        <v>12014.0</v>
      </c>
      <c r="L285" s="3" t="n">
        <v>11561.0</v>
      </c>
      <c r="M285" s="3" t="n">
        <v>10205.0</v>
      </c>
      <c r="N285" s="3" t="n">
        <v>9571.0</v>
      </c>
      <c r="O285" s="3" t="n">
        <v>8943.0</v>
      </c>
      <c r="P285" s="3" t="n">
        <v>9019.0</v>
      </c>
      <c r="Q285" s="3" t="n">
        <v>8518.0</v>
      </c>
      <c r="R285" s="3" t="n">
        <v>8138.0</v>
      </c>
      <c r="S285" s="3" t="n">
        <v>8144.0</v>
      </c>
      <c r="T285" s="3" t="n">
        <v>7941.0</v>
      </c>
      <c r="U285" s="3" t="n">
        <v>8093.0</v>
      </c>
      <c r="V285" s="3" t="n">
        <v>8251.0</v>
      </c>
      <c r="W285" s="3" t="n">
        <v>8675.0</v>
      </c>
      <c r="X285" s="3" t="n">
        <v>8862.0</v>
      </c>
      <c r="Y285" s="3" t="n">
        <v>9324.0</v>
      </c>
      <c r="Z285" s="3" t="n">
        <v>9756.0</v>
      </c>
      <c r="AA285" s="3" t="n">
        <v>10267.0</v>
      </c>
      <c r="AB285" s="3" t="n">
        <v>10915.0</v>
      </c>
      <c r="AC285" s="3" t="n">
        <v>11070.0</v>
      </c>
      <c r="AD285" s="3" t="n">
        <v>10884.0</v>
      </c>
      <c r="AE285" s="3" t="n">
        <v>10937.0</v>
      </c>
      <c r="AF285" s="3" t="n">
        <v>11273.0</v>
      </c>
      <c r="AG285" s="3" t="n">
        <v>11464.0</v>
      </c>
      <c r="AH285" s="3" t="n">
        <v>11150.0</v>
      </c>
      <c r="AI285" s="3" t="n">
        <v>11595.0</v>
      </c>
      <c r="AJ285" s="3" t="n">
        <v>11708.0</v>
      </c>
      <c r="AK285" s="3" t="n">
        <v>11383.0</v>
      </c>
      <c r="AL285" s="3" t="n">
        <v>10858.0</v>
      </c>
      <c r="AM285" s="3" t="n">
        <v>10119.0</v>
      </c>
      <c r="AN285" s="3" t="n">
        <v>9639.0</v>
      </c>
      <c r="AO285" s="3" t="n">
        <v>9347.0</v>
      </c>
    </row>
    <row r="286" spans="1:41" x14ac:dyDescent="0.2">
      <c r="A286" s="128"/>
      <c r="B286" s="9">
        <v>73</v>
      </c>
      <c r="C286" s="3" t="n">
        <v>10866.0</v>
      </c>
      <c r="D286" s="3" t="n">
        <v>11225.0</v>
      </c>
      <c r="E286" s="3" t="n">
        <v>11736.0</v>
      </c>
      <c r="F286" s="3" t="n">
        <v>11790.0</v>
      </c>
      <c r="G286" s="3" t="n">
        <v>11770.0</v>
      </c>
      <c r="H286" s="3" t="n">
        <v>11858.0</v>
      </c>
      <c r="I286" s="3" t="n">
        <v>12214.0</v>
      </c>
      <c r="J286" s="3" t="n">
        <v>12242.0</v>
      </c>
      <c r="K286" s="3" t="n">
        <v>12160.0</v>
      </c>
      <c r="L286" s="3" t="n">
        <v>11773.0</v>
      </c>
      <c r="M286" s="3" t="n">
        <v>11331.0</v>
      </c>
      <c r="N286" s="3" t="n">
        <v>10013.0</v>
      </c>
      <c r="O286" s="3" t="n">
        <v>9395.0</v>
      </c>
      <c r="P286" s="3" t="n">
        <v>8773.0</v>
      </c>
      <c r="Q286" s="3" t="n">
        <v>8852.0</v>
      </c>
      <c r="R286" s="3" t="n">
        <v>8362.0</v>
      </c>
      <c r="S286" s="3" t="n">
        <v>7989.0</v>
      </c>
      <c r="T286" s="3" t="n">
        <v>7998.0</v>
      </c>
      <c r="U286" s="3" t="n">
        <v>7800.0</v>
      </c>
      <c r="V286" s="3" t="n">
        <v>7948.0</v>
      </c>
      <c r="W286" s="3" t="n">
        <v>8106.0</v>
      </c>
      <c r="X286" s="3" t="n">
        <v>8519.0</v>
      </c>
      <c r="Y286" s="3" t="n">
        <v>8706.0</v>
      </c>
      <c r="Z286" s="3" t="n">
        <v>9158.0</v>
      </c>
      <c r="AA286" s="3" t="n">
        <v>9583.0</v>
      </c>
      <c r="AB286" s="3" t="n">
        <v>10084.0</v>
      </c>
      <c r="AC286" s="3" t="n">
        <v>10720.0</v>
      </c>
      <c r="AD286" s="3" t="n">
        <v>10874.0</v>
      </c>
      <c r="AE286" s="3" t="n">
        <v>10692.0</v>
      </c>
      <c r="AF286" s="3" t="n">
        <v>10743.0</v>
      </c>
      <c r="AG286" s="3" t="n">
        <v>11075.0</v>
      </c>
      <c r="AH286" s="3" t="n">
        <v>11264.0</v>
      </c>
      <c r="AI286" s="3" t="n">
        <v>10957.0</v>
      </c>
      <c r="AJ286" s="3" t="n">
        <v>11395.0</v>
      </c>
      <c r="AK286" s="3" t="n">
        <v>11505.0</v>
      </c>
      <c r="AL286" s="3" t="n">
        <v>11186.0</v>
      </c>
      <c r="AM286" s="3" t="n">
        <v>10673.0</v>
      </c>
      <c r="AN286" s="3" t="n">
        <v>9946.0</v>
      </c>
      <c r="AO286" s="3" t="n">
        <v>9479.0</v>
      </c>
    </row>
    <row r="287" spans="1:41" x14ac:dyDescent="0.2">
      <c r="A287" s="128"/>
      <c r="B287" s="9">
        <v>74</v>
      </c>
      <c r="C287" s="3" t="n">
        <v>10040.0</v>
      </c>
      <c r="D287" s="3" t="n">
        <v>10612.0</v>
      </c>
      <c r="E287" s="3" t="n">
        <v>10963.0</v>
      </c>
      <c r="F287" s="3" t="n">
        <v>11462.0</v>
      </c>
      <c r="G287" s="3" t="n">
        <v>11518.0</v>
      </c>
      <c r="H287" s="3" t="n">
        <v>11506.0</v>
      </c>
      <c r="I287" s="3" t="n">
        <v>11589.0</v>
      </c>
      <c r="J287" s="3" t="n">
        <v>11941.0</v>
      </c>
      <c r="K287" s="3" t="n">
        <v>11969.0</v>
      </c>
      <c r="L287" s="3" t="n">
        <v>11889.0</v>
      </c>
      <c r="M287" s="3" t="n">
        <v>11515.0</v>
      </c>
      <c r="N287" s="3" t="n">
        <v>11083.0</v>
      </c>
      <c r="O287" s="3" t="n">
        <v>9794.0</v>
      </c>
      <c r="P287" s="3" t="n">
        <v>9191.0</v>
      </c>
      <c r="Q287" s="3" t="n">
        <v>8584.0</v>
      </c>
      <c r="R287" s="3" t="n">
        <v>8661.0</v>
      </c>
      <c r="S287" s="3" t="n">
        <v>8186.0</v>
      </c>
      <c r="T287" s="3" t="n">
        <v>7825.0</v>
      </c>
      <c r="U287" s="3" t="n">
        <v>7834.0</v>
      </c>
      <c r="V287" s="3" t="n">
        <v>7641.0</v>
      </c>
      <c r="W287" s="3" t="n">
        <v>7787.0</v>
      </c>
      <c r="X287" s="3" t="n">
        <v>7940.0</v>
      </c>
      <c r="Y287" s="3" t="n">
        <v>8345.0</v>
      </c>
      <c r="Z287" s="3" t="n">
        <v>8531.0</v>
      </c>
      <c r="AA287" s="3" t="n">
        <v>8974.0</v>
      </c>
      <c r="AB287" s="3" t="n">
        <v>9395.0</v>
      </c>
      <c r="AC287" s="3" t="n">
        <v>9881.0</v>
      </c>
      <c r="AD287" s="3" t="n">
        <v>10498.0</v>
      </c>
      <c r="AE287" s="3" t="n">
        <v>10652.0</v>
      </c>
      <c r="AF287" s="3" t="n">
        <v>10471.0</v>
      </c>
      <c r="AG287" s="3" t="n">
        <v>10525.0</v>
      </c>
      <c r="AH287" s="3" t="n">
        <v>10855.0</v>
      </c>
      <c r="AI287" s="3" t="n">
        <v>11039.0</v>
      </c>
      <c r="AJ287" s="3" t="n">
        <v>10736.0</v>
      </c>
      <c r="AK287" s="3" t="n">
        <v>11171.0</v>
      </c>
      <c r="AL287" s="3" t="n">
        <v>11277.0</v>
      </c>
      <c r="AM287" s="3" t="n">
        <v>10965.0</v>
      </c>
      <c r="AN287" s="3" t="n">
        <v>10461.0</v>
      </c>
      <c r="AO287" s="3" t="n">
        <v>9755.0</v>
      </c>
    </row>
    <row r="288" spans="1:41" x14ac:dyDescent="0.2">
      <c r="A288" s="128"/>
      <c r="B288" s="9">
        <v>75</v>
      </c>
      <c r="C288" s="3" t="n">
        <v>8793.0</v>
      </c>
      <c r="D288" s="3" t="n">
        <v>9774.0</v>
      </c>
      <c r="E288" s="3" t="n">
        <v>10328.0</v>
      </c>
      <c r="F288" s="3" t="n">
        <v>10679.0</v>
      </c>
      <c r="G288" s="3" t="n">
        <v>11167.0</v>
      </c>
      <c r="H288" s="3" t="n">
        <v>11227.0</v>
      </c>
      <c r="I288" s="3" t="n">
        <v>11217.0</v>
      </c>
      <c r="J288" s="3" t="n">
        <v>11297.0</v>
      </c>
      <c r="K288" s="3" t="n">
        <v>11644.0</v>
      </c>
      <c r="L288" s="3" t="n">
        <v>11671.0</v>
      </c>
      <c r="M288" s="3" t="n">
        <v>11593.0</v>
      </c>
      <c r="N288" s="3" t="n">
        <v>11233.0</v>
      </c>
      <c r="O288" s="3" t="n">
        <v>10815.0</v>
      </c>
      <c r="P288" s="3" t="n">
        <v>9556.0</v>
      </c>
      <c r="Q288" s="3" t="n">
        <v>8972.0</v>
      </c>
      <c r="R288" s="3" t="n">
        <v>8378.0</v>
      </c>
      <c r="S288" s="3" t="n">
        <v>8455.0</v>
      </c>
      <c r="T288" s="3" t="n">
        <v>7993.0</v>
      </c>
      <c r="U288" s="3" t="n">
        <v>7643.0</v>
      </c>
      <c r="V288" s="3" t="n">
        <v>7651.0</v>
      </c>
      <c r="W288" s="3" t="n">
        <v>7464.0</v>
      </c>
      <c r="X288" s="3" t="n">
        <v>7606.0</v>
      </c>
      <c r="Y288" s="3" t="n">
        <v>7760.0</v>
      </c>
      <c r="Z288" s="3" t="n">
        <v>8151.0</v>
      </c>
      <c r="AA288" s="3" t="n">
        <v>8334.0</v>
      </c>
      <c r="AB288" s="3" t="n">
        <v>8766.0</v>
      </c>
      <c r="AC288" s="3" t="n">
        <v>9174.0</v>
      </c>
      <c r="AD288" s="3" t="n">
        <v>9655.0</v>
      </c>
      <c r="AE288" s="3" t="n">
        <v>10262.0</v>
      </c>
      <c r="AF288" s="3" t="n">
        <v>10412.0</v>
      </c>
      <c r="AG288" s="3" t="n">
        <v>10234.0</v>
      </c>
      <c r="AH288" s="3" t="n">
        <v>10289.0</v>
      </c>
      <c r="AI288" s="3" t="n">
        <v>10614.0</v>
      </c>
      <c r="AJ288" s="3" t="n">
        <v>10791.0</v>
      </c>
      <c r="AK288" s="3" t="n">
        <v>10499.0</v>
      </c>
      <c r="AL288" s="3" t="n">
        <v>10924.0</v>
      </c>
      <c r="AM288" s="3" t="n">
        <v>11024.0</v>
      </c>
      <c r="AN288" s="3" t="n">
        <v>10726.0</v>
      </c>
      <c r="AO288" s="3" t="n">
        <v>10232.0</v>
      </c>
    </row>
    <row r="289" spans="1:41" x14ac:dyDescent="0.2">
      <c r="A289" s="128"/>
      <c r="B289" s="9">
        <v>76</v>
      </c>
      <c r="C289" s="3" t="n">
        <v>7591.0</v>
      </c>
      <c r="D289" s="3" t="n">
        <v>8548.0</v>
      </c>
      <c r="E289" s="3" t="n">
        <v>9500.0</v>
      </c>
      <c r="F289" s="3" t="n">
        <v>10041.0</v>
      </c>
      <c r="G289" s="3" t="n">
        <v>10384.0</v>
      </c>
      <c r="H289" s="3" t="n">
        <v>10865.0</v>
      </c>
      <c r="I289" s="3" t="n">
        <v>10926.0</v>
      </c>
      <c r="J289" s="3" t="n">
        <v>10916.0</v>
      </c>
      <c r="K289" s="3" t="n">
        <v>10996.0</v>
      </c>
      <c r="L289" s="3" t="n">
        <v>11332.0</v>
      </c>
      <c r="M289" s="3" t="n">
        <v>11363.0</v>
      </c>
      <c r="N289" s="3" t="n">
        <v>11290.0</v>
      </c>
      <c r="O289" s="3" t="n">
        <v>10941.0</v>
      </c>
      <c r="P289" s="3" t="n">
        <v>10531.0</v>
      </c>
      <c r="Q289" s="3" t="n">
        <v>9313.0</v>
      </c>
      <c r="R289" s="3" t="n">
        <v>8745.0</v>
      </c>
      <c r="S289" s="3" t="n">
        <v>8168.0</v>
      </c>
      <c r="T289" s="3" t="n">
        <v>8243.0</v>
      </c>
      <c r="U289" s="3" t="n">
        <v>7795.0</v>
      </c>
      <c r="V289" s="3" t="n">
        <v>7456.0</v>
      </c>
      <c r="W289" s="3" t="n">
        <v>7465.0</v>
      </c>
      <c r="X289" s="3" t="n">
        <v>7282.0</v>
      </c>
      <c r="Y289" s="3" t="n">
        <v>7423.0</v>
      </c>
      <c r="Z289" s="3" t="n">
        <v>7573.0</v>
      </c>
      <c r="AA289" s="3" t="n">
        <v>7951.0</v>
      </c>
      <c r="AB289" s="3" t="n">
        <v>8135.0</v>
      </c>
      <c r="AC289" s="3" t="n">
        <v>8553.0</v>
      </c>
      <c r="AD289" s="3" t="n">
        <v>8950.0</v>
      </c>
      <c r="AE289" s="3" t="n">
        <v>9418.0</v>
      </c>
      <c r="AF289" s="3" t="n">
        <v>10015.0</v>
      </c>
      <c r="AG289" s="3" t="n">
        <v>10163.0</v>
      </c>
      <c r="AH289" s="3" t="n">
        <v>9991.0</v>
      </c>
      <c r="AI289" s="3" t="n">
        <v>10045.0</v>
      </c>
      <c r="AJ289" s="3" t="n">
        <v>10363.0</v>
      </c>
      <c r="AK289" s="3" t="n">
        <v>10542.0</v>
      </c>
      <c r="AL289" s="3" t="n">
        <v>10252.0</v>
      </c>
      <c r="AM289" s="3" t="n">
        <v>10673.0</v>
      </c>
      <c r="AN289" s="3" t="n">
        <v>10767.0</v>
      </c>
      <c r="AO289" s="3" t="n">
        <v>10482.0</v>
      </c>
    </row>
    <row r="290" spans="1:41" x14ac:dyDescent="0.2">
      <c r="A290" s="128"/>
      <c r="B290" s="9">
        <v>77</v>
      </c>
      <c r="C290" s="3" t="n">
        <v>4805.0</v>
      </c>
      <c r="D290" s="3" t="n">
        <v>7361.0</v>
      </c>
      <c r="E290" s="3" t="n">
        <v>8287.0</v>
      </c>
      <c r="F290" s="3" t="n">
        <v>9210.0</v>
      </c>
      <c r="G290" s="3" t="n">
        <v>9735.0</v>
      </c>
      <c r="H290" s="3" t="n">
        <v>10078.0</v>
      </c>
      <c r="I290" s="3" t="n">
        <v>10543.0</v>
      </c>
      <c r="J290" s="3" t="n">
        <v>10605.0</v>
      </c>
      <c r="K290" s="3" t="n">
        <v>10598.0</v>
      </c>
      <c r="L290" s="3" t="n">
        <v>10676.0</v>
      </c>
      <c r="M290" s="3" t="n">
        <v>11005.0</v>
      </c>
      <c r="N290" s="3" t="n">
        <v>11036.0</v>
      </c>
      <c r="O290" s="3" t="n">
        <v>10967.0</v>
      </c>
      <c r="P290" s="3" t="n">
        <v>10631.0</v>
      </c>
      <c r="Q290" s="3" t="n">
        <v>10238.0</v>
      </c>
      <c r="R290" s="3" t="n">
        <v>9053.0</v>
      </c>
      <c r="S290" s="3" t="n">
        <v>8500.0</v>
      </c>
      <c r="T290" s="3" t="n">
        <v>7944.0</v>
      </c>
      <c r="U290" s="3" t="n">
        <v>8017.0</v>
      </c>
      <c r="V290" s="3" t="n">
        <v>7584.0</v>
      </c>
      <c r="W290" s="3" t="n">
        <v>7255.0</v>
      </c>
      <c r="X290" s="3" t="n">
        <v>7264.0</v>
      </c>
      <c r="Y290" s="3" t="n">
        <v>7085.0</v>
      </c>
      <c r="Z290" s="3" t="n">
        <v>7227.0</v>
      </c>
      <c r="AA290" s="3" t="n">
        <v>7371.0</v>
      </c>
      <c r="AB290" s="3" t="n">
        <v>7740.0</v>
      </c>
      <c r="AC290" s="3" t="n">
        <v>7921.0</v>
      </c>
      <c r="AD290" s="3" t="n">
        <v>8329.0</v>
      </c>
      <c r="AE290" s="3" t="n">
        <v>8714.0</v>
      </c>
      <c r="AF290" s="3" t="n">
        <v>9171.0</v>
      </c>
      <c r="AG290" s="3" t="n">
        <v>9752.0</v>
      </c>
      <c r="AH290" s="3" t="n">
        <v>9901.0</v>
      </c>
      <c r="AI290" s="3" t="n">
        <v>9733.0</v>
      </c>
      <c r="AJ290" s="3" t="n">
        <v>9784.0</v>
      </c>
      <c r="AK290" s="3" t="n">
        <v>10096.0</v>
      </c>
      <c r="AL290" s="3" t="n">
        <v>10269.0</v>
      </c>
      <c r="AM290" s="3" t="n">
        <v>9986.0</v>
      </c>
      <c r="AN290" s="3" t="n">
        <v>10400.0</v>
      </c>
      <c r="AO290" s="3" t="n">
        <v>10494.0</v>
      </c>
    </row>
    <row r="291" spans="1:41" x14ac:dyDescent="0.2">
      <c r="A291" s="128"/>
      <c r="B291" s="9">
        <v>78</v>
      </c>
      <c r="C291" s="3" t="n">
        <v>4569.0</v>
      </c>
      <c r="D291" s="3" t="n">
        <v>4638.0</v>
      </c>
      <c r="E291" s="3" t="n">
        <v>7106.0</v>
      </c>
      <c r="F291" s="3" t="n">
        <v>8004.0</v>
      </c>
      <c r="G291" s="3" t="n">
        <v>8901.0</v>
      </c>
      <c r="H291" s="3" t="n">
        <v>9415.0</v>
      </c>
      <c r="I291" s="3" t="n">
        <v>9744.0</v>
      </c>
      <c r="J291" s="3" t="n">
        <v>10192.0</v>
      </c>
      <c r="K291" s="3" t="n">
        <v>10258.0</v>
      </c>
      <c r="L291" s="3" t="n">
        <v>10258.0</v>
      </c>
      <c r="M291" s="3" t="n">
        <v>10334.0</v>
      </c>
      <c r="N291" s="3" t="n">
        <v>10652.0</v>
      </c>
      <c r="O291" s="3" t="n">
        <v>10687.0</v>
      </c>
      <c r="P291" s="3" t="n">
        <v>10620.0</v>
      </c>
      <c r="Q291" s="3" t="n">
        <v>10297.0</v>
      </c>
      <c r="R291" s="3" t="n">
        <v>9920.0</v>
      </c>
      <c r="S291" s="3" t="n">
        <v>8770.0</v>
      </c>
      <c r="T291" s="3" t="n">
        <v>8237.0</v>
      </c>
      <c r="U291" s="3" t="n">
        <v>7697.0</v>
      </c>
      <c r="V291" s="3" t="n">
        <v>7773.0</v>
      </c>
      <c r="W291" s="3" t="n">
        <v>7355.0</v>
      </c>
      <c r="X291" s="3" t="n">
        <v>7032.0</v>
      </c>
      <c r="Y291" s="3" t="n">
        <v>7048.0</v>
      </c>
      <c r="Z291" s="3" t="n">
        <v>6871.0</v>
      </c>
      <c r="AA291" s="3" t="n">
        <v>7008.0</v>
      </c>
      <c r="AB291" s="3" t="n">
        <v>7153.0</v>
      </c>
      <c r="AC291" s="3" t="n">
        <v>7507.0</v>
      </c>
      <c r="AD291" s="3" t="n">
        <v>7686.0</v>
      </c>
      <c r="AE291" s="3" t="n">
        <v>8085.0</v>
      </c>
      <c r="AF291" s="3" t="n">
        <v>8458.0</v>
      </c>
      <c r="AG291" s="3" t="n">
        <v>8897.0</v>
      </c>
      <c r="AH291" s="3" t="n">
        <v>9466.0</v>
      </c>
      <c r="AI291" s="3" t="n">
        <v>9612.0</v>
      </c>
      <c r="AJ291" s="3" t="n">
        <v>9452.0</v>
      </c>
      <c r="AK291" s="3" t="n">
        <v>9498.0</v>
      </c>
      <c r="AL291" s="3" t="n">
        <v>9811.0</v>
      </c>
      <c r="AM291" s="3" t="n">
        <v>9976.0</v>
      </c>
      <c r="AN291" s="3" t="n">
        <v>9704.0</v>
      </c>
      <c r="AO291" s="3" t="n">
        <v>10109.0</v>
      </c>
    </row>
    <row r="292" spans="1:41" x14ac:dyDescent="0.2">
      <c r="A292" s="128"/>
      <c r="B292" s="9">
        <v>79</v>
      </c>
      <c r="C292" s="3" t="n">
        <v>4363.0</v>
      </c>
      <c r="D292" s="3" t="n">
        <v>4401.0</v>
      </c>
      <c r="E292" s="3" t="n">
        <v>4476.0</v>
      </c>
      <c r="F292" s="3" t="n">
        <v>6855.0</v>
      </c>
      <c r="G292" s="3" t="n">
        <v>7718.0</v>
      </c>
      <c r="H292" s="3" t="n">
        <v>8586.0</v>
      </c>
      <c r="I292" s="3" t="n">
        <v>9085.0</v>
      </c>
      <c r="J292" s="3" t="n">
        <v>9403.0</v>
      </c>
      <c r="K292" s="3" t="n">
        <v>9837.0</v>
      </c>
      <c r="L292" s="3" t="n">
        <v>9903.0</v>
      </c>
      <c r="M292" s="3" t="n">
        <v>9901.0</v>
      </c>
      <c r="N292" s="3" t="n">
        <v>9983.0</v>
      </c>
      <c r="O292" s="3" t="n">
        <v>10290.0</v>
      </c>
      <c r="P292" s="3" t="n">
        <v>10327.0</v>
      </c>
      <c r="Q292" s="3" t="n">
        <v>10263.0</v>
      </c>
      <c r="R292" s="3" t="n">
        <v>9954.0</v>
      </c>
      <c r="S292" s="3" t="n">
        <v>9591.0</v>
      </c>
      <c r="T292" s="3" t="n">
        <v>8480.0</v>
      </c>
      <c r="U292" s="3" t="n">
        <v>7970.0</v>
      </c>
      <c r="V292" s="3" t="n">
        <v>7448.0</v>
      </c>
      <c r="W292" s="3" t="n">
        <v>7519.0</v>
      </c>
      <c r="X292" s="3" t="n">
        <v>7119.0</v>
      </c>
      <c r="Y292" s="3" t="n">
        <v>6810.0</v>
      </c>
      <c r="Z292" s="3" t="n">
        <v>6826.0</v>
      </c>
      <c r="AA292" s="3" t="n">
        <v>6653.0</v>
      </c>
      <c r="AB292" s="3" t="n">
        <v>6789.0</v>
      </c>
      <c r="AC292" s="3" t="n">
        <v>6929.0</v>
      </c>
      <c r="AD292" s="3" t="n">
        <v>7273.0</v>
      </c>
      <c r="AE292" s="3" t="n">
        <v>7448.0</v>
      </c>
      <c r="AF292" s="3" t="n">
        <v>7830.0</v>
      </c>
      <c r="AG292" s="3" t="n">
        <v>8195.0</v>
      </c>
      <c r="AH292" s="3" t="n">
        <v>8625.0</v>
      </c>
      <c r="AI292" s="3" t="n">
        <v>9173.0</v>
      </c>
      <c r="AJ292" s="3" t="n">
        <v>9316.0</v>
      </c>
      <c r="AK292" s="3" t="n">
        <v>9166.0</v>
      </c>
      <c r="AL292" s="3" t="n">
        <v>9208.0</v>
      </c>
      <c r="AM292" s="3" t="n">
        <v>9514.0</v>
      </c>
      <c r="AN292" s="3" t="n">
        <v>9673.0</v>
      </c>
      <c r="AO292" s="3" t="n">
        <v>9414.0</v>
      </c>
    </row>
    <row r="293" spans="1:41" x14ac:dyDescent="0.2">
      <c r="A293" s="128"/>
      <c r="B293" s="9">
        <v>80</v>
      </c>
      <c r="C293" s="3" t="n">
        <v>4260.0</v>
      </c>
      <c r="D293" s="3" t="n">
        <v>4188.0</v>
      </c>
      <c r="E293" s="3" t="n">
        <v>4230.0</v>
      </c>
      <c r="F293" s="3" t="n">
        <v>4306.0</v>
      </c>
      <c r="G293" s="3" t="n">
        <v>6586.0</v>
      </c>
      <c r="H293" s="3" t="n">
        <v>7419.0</v>
      </c>
      <c r="I293" s="3" t="n">
        <v>8252.0</v>
      </c>
      <c r="J293" s="3" t="n">
        <v>8730.0</v>
      </c>
      <c r="K293" s="3" t="n">
        <v>9042.0</v>
      </c>
      <c r="L293" s="3" t="n">
        <v>9462.0</v>
      </c>
      <c r="M293" s="3" t="n">
        <v>9528.0</v>
      </c>
      <c r="N293" s="3" t="n">
        <v>9529.0</v>
      </c>
      <c r="O293" s="3" t="n">
        <v>9608.0</v>
      </c>
      <c r="P293" s="3" t="n">
        <v>9902.0</v>
      </c>
      <c r="Q293" s="3" t="n">
        <v>9942.0</v>
      </c>
      <c r="R293" s="3" t="n">
        <v>9884.0</v>
      </c>
      <c r="S293" s="3" t="n">
        <v>9589.0</v>
      </c>
      <c r="T293" s="3" t="n">
        <v>9239.0</v>
      </c>
      <c r="U293" s="3" t="n">
        <v>8180.0</v>
      </c>
      <c r="V293" s="3" t="n">
        <v>7683.0</v>
      </c>
      <c r="W293" s="3" t="n">
        <v>7184.0</v>
      </c>
      <c r="X293" s="3" t="n">
        <v>7249.0</v>
      </c>
      <c r="Y293" s="3" t="n">
        <v>6867.0</v>
      </c>
      <c r="Z293" s="3" t="n">
        <v>6573.0</v>
      </c>
      <c r="AA293" s="3" t="n">
        <v>6593.0</v>
      </c>
      <c r="AB293" s="3" t="n">
        <v>6426.0</v>
      </c>
      <c r="AC293" s="3" t="n">
        <v>6554.0</v>
      </c>
      <c r="AD293" s="3" t="n">
        <v>6689.0</v>
      </c>
      <c r="AE293" s="3" t="n">
        <v>7023.0</v>
      </c>
      <c r="AF293" s="3" t="n">
        <v>7194.0</v>
      </c>
      <c r="AG293" s="3" t="n">
        <v>7560.0</v>
      </c>
      <c r="AH293" s="3" t="n">
        <v>7917.0</v>
      </c>
      <c r="AI293" s="3" t="n">
        <v>8332.0</v>
      </c>
      <c r="AJ293" s="3" t="n">
        <v>8861.0</v>
      </c>
      <c r="AK293" s="3" t="n">
        <v>8997.0</v>
      </c>
      <c r="AL293" s="3" t="n">
        <v>8859.0</v>
      </c>
      <c r="AM293" s="3" t="n">
        <v>8898.0</v>
      </c>
      <c r="AN293" s="3" t="n">
        <v>9193.0</v>
      </c>
      <c r="AO293" s="3" t="n">
        <v>9348.0</v>
      </c>
    </row>
    <row r="294" spans="1:41" x14ac:dyDescent="0.2">
      <c r="A294" s="128"/>
      <c r="B294" s="9">
        <v>81</v>
      </c>
      <c r="C294" s="3" t="n">
        <v>4315.0</v>
      </c>
      <c r="D294" s="3" t="n">
        <v>4061.0</v>
      </c>
      <c r="E294" s="3" t="n">
        <v>4001.0</v>
      </c>
      <c r="F294" s="3" t="n">
        <v>4040.0</v>
      </c>
      <c r="G294" s="3" t="n">
        <v>4116.0</v>
      </c>
      <c r="H294" s="3" t="n">
        <v>6293.0</v>
      </c>
      <c r="I294" s="3" t="n">
        <v>7091.0</v>
      </c>
      <c r="J294" s="3" t="n">
        <v>7887.0</v>
      </c>
      <c r="K294" s="3" t="n">
        <v>8343.0</v>
      </c>
      <c r="L294" s="3" t="n">
        <v>8644.0</v>
      </c>
      <c r="M294" s="3" t="n">
        <v>9040.0</v>
      </c>
      <c r="N294" s="3" t="n">
        <v>9109.0</v>
      </c>
      <c r="O294" s="3" t="n">
        <v>9113.0</v>
      </c>
      <c r="P294" s="3" t="n">
        <v>9189.0</v>
      </c>
      <c r="Q294" s="3" t="n">
        <v>9472.0</v>
      </c>
      <c r="R294" s="3" t="n">
        <v>9512.0</v>
      </c>
      <c r="S294" s="3" t="n">
        <v>9463.0</v>
      </c>
      <c r="T294" s="3" t="n">
        <v>9182.0</v>
      </c>
      <c r="U294" s="3" t="n">
        <v>8852.0</v>
      </c>
      <c r="V294" s="3" t="n">
        <v>7838.0</v>
      </c>
      <c r="W294" s="3" t="n">
        <v>7366.0</v>
      </c>
      <c r="X294" s="3" t="n">
        <v>6888.0</v>
      </c>
      <c r="Y294" s="3" t="n">
        <v>6953.0</v>
      </c>
      <c r="Z294" s="3" t="n">
        <v>6588.0</v>
      </c>
      <c r="AA294" s="3" t="n">
        <v>6302.0</v>
      </c>
      <c r="AB294" s="3" t="n">
        <v>6321.0</v>
      </c>
      <c r="AC294" s="3" t="n">
        <v>6164.0</v>
      </c>
      <c r="AD294" s="3" t="n">
        <v>6286.0</v>
      </c>
      <c r="AE294" s="3" t="n">
        <v>6419.0</v>
      </c>
      <c r="AF294" s="3" t="n">
        <v>6744.0</v>
      </c>
      <c r="AG294" s="3" t="n">
        <v>6907.0</v>
      </c>
      <c r="AH294" s="3" t="n">
        <v>7258.0</v>
      </c>
      <c r="AI294" s="3" t="n">
        <v>7603.0</v>
      </c>
      <c r="AJ294" s="3" t="n">
        <v>8002.0</v>
      </c>
      <c r="AK294" s="3" t="n">
        <v>8513.0</v>
      </c>
      <c r="AL294" s="3" t="n">
        <v>8638.0</v>
      </c>
      <c r="AM294" s="3" t="n">
        <v>8507.0</v>
      </c>
      <c r="AN294" s="3" t="n">
        <v>8545.0</v>
      </c>
      <c r="AO294" s="3" t="n">
        <v>8832.0</v>
      </c>
    </row>
    <row r="295" spans="1:41" x14ac:dyDescent="0.2">
      <c r="A295" s="128"/>
      <c r="B295" s="9">
        <v>82</v>
      </c>
      <c r="C295" s="3" t="n">
        <v>4443.0</v>
      </c>
      <c r="D295" s="3" t="n">
        <v>4075.0</v>
      </c>
      <c r="E295" s="3" t="n">
        <v>3839.0</v>
      </c>
      <c r="F295" s="3" t="n">
        <v>3786.0</v>
      </c>
      <c r="G295" s="3" t="n">
        <v>3826.0</v>
      </c>
      <c r="H295" s="3" t="n">
        <v>3900.0</v>
      </c>
      <c r="I295" s="3" t="n">
        <v>5961.0</v>
      </c>
      <c r="J295" s="3" t="n">
        <v>6727.0</v>
      </c>
      <c r="K295" s="3" t="n">
        <v>7483.0</v>
      </c>
      <c r="L295" s="3" t="n">
        <v>7919.0</v>
      </c>
      <c r="M295" s="3" t="n">
        <v>8208.0</v>
      </c>
      <c r="N295" s="3" t="n">
        <v>8589.0</v>
      </c>
      <c r="O295" s="3" t="n">
        <v>8659.0</v>
      </c>
      <c r="P295" s="3" t="n">
        <v>8657.0</v>
      </c>
      <c r="Q295" s="3" t="n">
        <v>8738.0</v>
      </c>
      <c r="R295" s="3" t="n">
        <v>9003.0</v>
      </c>
      <c r="S295" s="3" t="n">
        <v>9049.0</v>
      </c>
      <c r="T295" s="3" t="n">
        <v>8999.0</v>
      </c>
      <c r="U295" s="3" t="n">
        <v>8736.0</v>
      </c>
      <c r="V295" s="3" t="n">
        <v>8429.0</v>
      </c>
      <c r="W295" s="3" t="n">
        <v>7466.0</v>
      </c>
      <c r="X295" s="3" t="n">
        <v>7019.0</v>
      </c>
      <c r="Y295" s="3" t="n">
        <v>6563.0</v>
      </c>
      <c r="Z295" s="3" t="n">
        <v>6628.0</v>
      </c>
      <c r="AA295" s="3" t="n">
        <v>6279.0</v>
      </c>
      <c r="AB295" s="3" t="n">
        <v>6007.0</v>
      </c>
      <c r="AC295" s="3" t="n">
        <v>6022.0</v>
      </c>
      <c r="AD295" s="3" t="n">
        <v>5877.0</v>
      </c>
      <c r="AE295" s="3" t="n">
        <v>5998.0</v>
      </c>
      <c r="AF295" s="3" t="n">
        <v>6122.0</v>
      </c>
      <c r="AG295" s="3" t="n">
        <v>6436.0</v>
      </c>
      <c r="AH295" s="3" t="n">
        <v>6591.0</v>
      </c>
      <c r="AI295" s="3" t="n">
        <v>6926.0</v>
      </c>
      <c r="AJ295" s="3" t="n">
        <v>7255.0</v>
      </c>
      <c r="AK295" s="3" t="n">
        <v>7644.0</v>
      </c>
      <c r="AL295" s="3" t="n">
        <v>8128.0</v>
      </c>
      <c r="AM295" s="3" t="n">
        <v>8253.0</v>
      </c>
      <c r="AN295" s="3" t="n">
        <v>8129.0</v>
      </c>
      <c r="AO295" s="3" t="n">
        <v>8166.0</v>
      </c>
    </row>
    <row r="296" spans="1:41" x14ac:dyDescent="0.2">
      <c r="A296" s="128"/>
      <c r="B296" s="9">
        <v>83</v>
      </c>
      <c r="C296" s="3" t="n">
        <v>4037.0</v>
      </c>
      <c r="D296" s="3" t="n">
        <v>4165.0</v>
      </c>
      <c r="E296" s="3" t="n">
        <v>3820.0</v>
      </c>
      <c r="F296" s="3" t="n">
        <v>3602.0</v>
      </c>
      <c r="G296" s="3" t="n">
        <v>3557.0</v>
      </c>
      <c r="H296" s="3" t="n">
        <v>3596.0</v>
      </c>
      <c r="I296" s="3" t="n">
        <v>3666.0</v>
      </c>
      <c r="J296" s="3" t="n">
        <v>5598.0</v>
      </c>
      <c r="K296" s="3" t="n">
        <v>6322.0</v>
      </c>
      <c r="L296" s="3" t="n">
        <v>7043.0</v>
      </c>
      <c r="M296" s="3" t="n">
        <v>7453.0</v>
      </c>
      <c r="N296" s="3" t="n">
        <v>7726.0</v>
      </c>
      <c r="O296" s="3" t="n">
        <v>8092.0</v>
      </c>
      <c r="P296" s="3" t="n">
        <v>8154.0</v>
      </c>
      <c r="Q296" s="3" t="n">
        <v>8157.0</v>
      </c>
      <c r="R296" s="3" t="n">
        <v>8229.0</v>
      </c>
      <c r="S296" s="3" t="n">
        <v>8490.0</v>
      </c>
      <c r="T296" s="3" t="n">
        <v>8536.0</v>
      </c>
      <c r="U296" s="3" t="n">
        <v>8490.0</v>
      </c>
      <c r="V296" s="3" t="n">
        <v>8245.0</v>
      </c>
      <c r="W296" s="3" t="n">
        <v>7959.0</v>
      </c>
      <c r="X296" s="3" t="n">
        <v>7047.0</v>
      </c>
      <c r="Y296" s="3" t="n">
        <v>6630.0</v>
      </c>
      <c r="Z296" s="3" t="n">
        <v>6199.0</v>
      </c>
      <c r="AA296" s="3" t="n">
        <v>6263.0</v>
      </c>
      <c r="AB296" s="3" t="n">
        <v>5934.0</v>
      </c>
      <c r="AC296" s="3" t="n">
        <v>5678.0</v>
      </c>
      <c r="AD296" s="3" t="n">
        <v>5695.0</v>
      </c>
      <c r="AE296" s="3" t="n">
        <v>5559.0</v>
      </c>
      <c r="AF296" s="3" t="n">
        <v>5672.0</v>
      </c>
      <c r="AG296" s="3" t="n">
        <v>5790.0</v>
      </c>
      <c r="AH296" s="3" t="n">
        <v>6092.0</v>
      </c>
      <c r="AI296" s="3" t="n">
        <v>6238.0</v>
      </c>
      <c r="AJ296" s="3" t="n">
        <v>6556.0</v>
      </c>
      <c r="AK296" s="3" t="n">
        <v>6871.0</v>
      </c>
      <c r="AL296" s="3" t="n">
        <v>7241.0</v>
      </c>
      <c r="AM296" s="3" t="n">
        <v>7695.0</v>
      </c>
      <c r="AN296" s="3" t="n">
        <v>7815.0</v>
      </c>
      <c r="AO296" s="3" t="n">
        <v>7703.0</v>
      </c>
    </row>
    <row r="297" spans="1:41" x14ac:dyDescent="0.2">
      <c r="A297" s="128"/>
      <c r="B297" s="9">
        <v>84</v>
      </c>
      <c r="C297" s="3" t="n">
        <v>4016.0</v>
      </c>
      <c r="D297" s="3" t="n">
        <v>3751.0</v>
      </c>
      <c r="E297" s="3" t="n">
        <v>3871.0</v>
      </c>
      <c r="F297" s="3" t="n">
        <v>3556.0</v>
      </c>
      <c r="G297" s="3" t="n">
        <v>3356.0</v>
      </c>
      <c r="H297" s="3" t="n">
        <v>3316.0</v>
      </c>
      <c r="I297" s="3" t="n">
        <v>3353.0</v>
      </c>
      <c r="J297" s="3" t="n">
        <v>3417.0</v>
      </c>
      <c r="K297" s="3" t="n">
        <v>5219.0</v>
      </c>
      <c r="L297" s="3" t="n">
        <v>5893.0</v>
      </c>
      <c r="M297" s="3" t="n">
        <v>6561.0</v>
      </c>
      <c r="N297" s="3" t="n">
        <v>6953.0</v>
      </c>
      <c r="O297" s="3" t="n">
        <v>7210.0</v>
      </c>
      <c r="P297" s="3" t="n">
        <v>7553.0</v>
      </c>
      <c r="Q297" s="3" t="n">
        <v>7618.0</v>
      </c>
      <c r="R297" s="3" t="n">
        <v>7620.0</v>
      </c>
      <c r="S297" s="3" t="n">
        <v>7691.0</v>
      </c>
      <c r="T297" s="3" t="n">
        <v>7934.0</v>
      </c>
      <c r="U297" s="3" t="n">
        <v>7988.0</v>
      </c>
      <c r="V297" s="3" t="n">
        <v>7939.0</v>
      </c>
      <c r="W297" s="3" t="n">
        <v>7712.0</v>
      </c>
      <c r="X297" s="3" t="n">
        <v>7449.0</v>
      </c>
      <c r="Y297" s="3" t="n">
        <v>6602.0</v>
      </c>
      <c r="Z297" s="3" t="n">
        <v>6210.0</v>
      </c>
      <c r="AA297" s="3" t="n">
        <v>5804.0</v>
      </c>
      <c r="AB297" s="3" t="n">
        <v>5868.0</v>
      </c>
      <c r="AC297" s="3" t="n">
        <v>5567.0</v>
      </c>
      <c r="AD297" s="3" t="n">
        <v>5324.0</v>
      </c>
      <c r="AE297" s="3" t="n">
        <v>5343.0</v>
      </c>
      <c r="AF297" s="3" t="n">
        <v>5217.0</v>
      </c>
      <c r="AG297" s="3" t="n">
        <v>5325.0</v>
      </c>
      <c r="AH297" s="3" t="n">
        <v>5434.0</v>
      </c>
      <c r="AI297" s="3" t="n">
        <v>5721.0</v>
      </c>
      <c r="AJ297" s="3" t="n">
        <v>5855.0</v>
      </c>
      <c r="AK297" s="3" t="n">
        <v>6158.0</v>
      </c>
      <c r="AL297" s="3" t="n">
        <v>6452.0</v>
      </c>
      <c r="AM297" s="3" t="n">
        <v>6800.0</v>
      </c>
      <c r="AN297" s="3" t="n">
        <v>7231.0</v>
      </c>
      <c r="AO297" s="3" t="n">
        <v>7347.0</v>
      </c>
    </row>
    <row r="298" spans="1:41" x14ac:dyDescent="0.2">
      <c r="A298" s="128"/>
      <c r="B298" s="9">
        <v>85</v>
      </c>
      <c r="C298" s="3" t="n">
        <v>3810.0</v>
      </c>
      <c r="D298" s="3" t="n">
        <v>3687.0</v>
      </c>
      <c r="E298" s="3" t="n">
        <v>3449.0</v>
      </c>
      <c r="F298" s="3" t="n">
        <v>3567.0</v>
      </c>
      <c r="G298" s="3" t="n">
        <v>3275.0</v>
      </c>
      <c r="H298" s="3" t="n">
        <v>3095.0</v>
      </c>
      <c r="I298" s="3" t="n">
        <v>3061.0</v>
      </c>
      <c r="J298" s="3" t="n">
        <v>3096.0</v>
      </c>
      <c r="K298" s="3" t="n">
        <v>3157.0</v>
      </c>
      <c r="L298" s="3" t="n">
        <v>4818.0</v>
      </c>
      <c r="M298" s="3" t="n">
        <v>5436.0</v>
      </c>
      <c r="N298" s="3" t="n">
        <v>6058.0</v>
      </c>
      <c r="O298" s="3" t="n">
        <v>6424.0</v>
      </c>
      <c r="P298" s="3" t="n">
        <v>6657.0</v>
      </c>
      <c r="Q298" s="3" t="n">
        <v>6982.0</v>
      </c>
      <c r="R298" s="3" t="n">
        <v>7041.0</v>
      </c>
      <c r="S298" s="3" t="n">
        <v>7052.0</v>
      </c>
      <c r="T298" s="3" t="n">
        <v>7112.0</v>
      </c>
      <c r="U298" s="3" t="n">
        <v>7343.0</v>
      </c>
      <c r="V298" s="3" t="n">
        <v>7395.0</v>
      </c>
      <c r="W298" s="3" t="n">
        <v>7353.0</v>
      </c>
      <c r="X298" s="3" t="n">
        <v>7150.0</v>
      </c>
      <c r="Y298" s="3" t="n">
        <v>6908.0</v>
      </c>
      <c r="Z298" s="3" t="n">
        <v>6125.0</v>
      </c>
      <c r="AA298" s="3" t="n">
        <v>5766.0</v>
      </c>
      <c r="AB298" s="3" t="n">
        <v>5394.0</v>
      </c>
      <c r="AC298" s="3" t="n">
        <v>5451.0</v>
      </c>
      <c r="AD298" s="3" t="n">
        <v>5170.0</v>
      </c>
      <c r="AE298" s="3" t="n">
        <v>4949.0</v>
      </c>
      <c r="AF298" s="3" t="n">
        <v>4966.0</v>
      </c>
      <c r="AG298" s="3" t="n">
        <v>4851.0</v>
      </c>
      <c r="AH298" s="3" t="n">
        <v>4957.0</v>
      </c>
      <c r="AI298" s="3" t="n">
        <v>5058.0</v>
      </c>
      <c r="AJ298" s="3" t="n">
        <v>5322.0</v>
      </c>
      <c r="AK298" s="3" t="n">
        <v>5452.0</v>
      </c>
      <c r="AL298" s="3" t="n">
        <v>5733.0</v>
      </c>
      <c r="AM298" s="3" t="n">
        <v>6004.0</v>
      </c>
      <c r="AN298" s="3" t="n">
        <v>6328.0</v>
      </c>
      <c r="AO298" s="3" t="n">
        <v>6733.0</v>
      </c>
    </row>
    <row r="299" spans="1:41" x14ac:dyDescent="0.2">
      <c r="A299" s="128"/>
      <c r="B299" s="9">
        <v>86</v>
      </c>
      <c r="C299" s="3" t="n">
        <v>3664.0</v>
      </c>
      <c r="D299" s="3" t="n">
        <v>3457.0</v>
      </c>
      <c r="E299" s="3" t="n">
        <v>3347.0</v>
      </c>
      <c r="F299" s="3" t="n">
        <v>3137.0</v>
      </c>
      <c r="G299" s="3" t="n">
        <v>3247.0</v>
      </c>
      <c r="H299" s="3" t="n">
        <v>2987.0</v>
      </c>
      <c r="I299" s="3" t="n">
        <v>2825.0</v>
      </c>
      <c r="J299" s="3" t="n">
        <v>2795.0</v>
      </c>
      <c r="K299" s="3" t="n">
        <v>2827.0</v>
      </c>
      <c r="L299" s="3" t="n">
        <v>2886.0</v>
      </c>
      <c r="M299" s="3" t="n">
        <v>4403.0</v>
      </c>
      <c r="N299" s="3" t="n">
        <v>4967.0</v>
      </c>
      <c r="O299" s="3" t="n">
        <v>5537.0</v>
      </c>
      <c r="P299" s="3" t="n">
        <v>5866.0</v>
      </c>
      <c r="Q299" s="3" t="n">
        <v>6083.0</v>
      </c>
      <c r="R299" s="3" t="n">
        <v>6383.0</v>
      </c>
      <c r="S299" s="3" t="n">
        <v>6442.0</v>
      </c>
      <c r="T299" s="3" t="n">
        <v>6458.0</v>
      </c>
      <c r="U299" s="3" t="n">
        <v>6514.0</v>
      </c>
      <c r="V299" s="3" t="n">
        <v>6730.0</v>
      </c>
      <c r="W299" s="3" t="n">
        <v>6781.0</v>
      </c>
      <c r="X299" s="3" t="n">
        <v>6744.0</v>
      </c>
      <c r="Y299" s="3" t="n">
        <v>6562.0</v>
      </c>
      <c r="Z299" s="3" t="n">
        <v>6338.0</v>
      </c>
      <c r="AA299" s="3" t="n">
        <v>5622.0</v>
      </c>
      <c r="AB299" s="3" t="n">
        <v>5299.0</v>
      </c>
      <c r="AC299" s="3" t="n">
        <v>4959.0</v>
      </c>
      <c r="AD299" s="3" t="n">
        <v>5004.0</v>
      </c>
      <c r="AE299" s="3" t="n">
        <v>4754.0</v>
      </c>
      <c r="AF299" s="3" t="n">
        <v>4552.0</v>
      </c>
      <c r="AG299" s="3" t="n">
        <v>4564.0</v>
      </c>
      <c r="AH299" s="3" t="n">
        <v>4466.0</v>
      </c>
      <c r="AI299" s="3" t="n">
        <v>4563.0</v>
      </c>
      <c r="AJ299" s="3" t="n">
        <v>4653.0</v>
      </c>
      <c r="AK299" s="3" t="n">
        <v>4905.0</v>
      </c>
      <c r="AL299" s="3" t="n">
        <v>5024.0</v>
      </c>
      <c r="AM299" s="3" t="n">
        <v>5283.0</v>
      </c>
      <c r="AN299" s="3" t="n">
        <v>5533.0</v>
      </c>
      <c r="AO299" s="3" t="n">
        <v>5838.0</v>
      </c>
    </row>
    <row r="300" spans="1:41" x14ac:dyDescent="0.2">
      <c r="A300" s="128"/>
      <c r="B300" s="9">
        <v>87</v>
      </c>
      <c r="C300" s="3" t="n">
        <v>3192.0</v>
      </c>
      <c r="D300" s="3" t="n">
        <v>3286.0</v>
      </c>
      <c r="E300" s="3" t="n">
        <v>3102.0</v>
      </c>
      <c r="F300" s="3" t="n">
        <v>3005.0</v>
      </c>
      <c r="G300" s="3" t="n">
        <v>2818.0</v>
      </c>
      <c r="H300" s="3" t="n">
        <v>2924.0</v>
      </c>
      <c r="I300" s="3" t="n">
        <v>2690.0</v>
      </c>
      <c r="J300" s="3" t="n">
        <v>2549.0</v>
      </c>
      <c r="K300" s="3" t="n">
        <v>2521.0</v>
      </c>
      <c r="L300" s="3" t="n">
        <v>2553.0</v>
      </c>
      <c r="M300" s="3" t="n">
        <v>2608.0</v>
      </c>
      <c r="N300" s="3" t="n">
        <v>3978.0</v>
      </c>
      <c r="O300" s="3" t="n">
        <v>4488.0</v>
      </c>
      <c r="P300" s="3" t="n">
        <v>5005.0</v>
      </c>
      <c r="Q300" s="3" t="n">
        <v>5312.0</v>
      </c>
      <c r="R300" s="3" t="n">
        <v>5510.0</v>
      </c>
      <c r="S300" s="3" t="n">
        <v>5783.0</v>
      </c>
      <c r="T300" s="3" t="n">
        <v>5836.0</v>
      </c>
      <c r="U300" s="3" t="n">
        <v>5859.0</v>
      </c>
      <c r="V300" s="3" t="n">
        <v>5911.0</v>
      </c>
      <c r="W300" s="3" t="n">
        <v>6113.0</v>
      </c>
      <c r="X300" s="3" t="n">
        <v>6159.0</v>
      </c>
      <c r="Y300" s="3" t="n">
        <v>6127.0</v>
      </c>
      <c r="Z300" s="3" t="n">
        <v>5960.0</v>
      </c>
      <c r="AA300" s="3" t="n">
        <v>5763.0</v>
      </c>
      <c r="AB300" s="3" t="n">
        <v>5114.0</v>
      </c>
      <c r="AC300" s="3" t="n">
        <v>4823.0</v>
      </c>
      <c r="AD300" s="3" t="n">
        <v>4510.0</v>
      </c>
      <c r="AE300" s="3" t="n">
        <v>4558.0</v>
      </c>
      <c r="AF300" s="3" t="n">
        <v>4330.0</v>
      </c>
      <c r="AG300" s="3" t="n">
        <v>4149.0</v>
      </c>
      <c r="AH300" s="3" t="n">
        <v>4160.0</v>
      </c>
      <c r="AI300" s="3" t="n">
        <v>4071.0</v>
      </c>
      <c r="AJ300" s="3" t="n">
        <v>4161.0</v>
      </c>
      <c r="AK300" s="3" t="n">
        <v>4247.0</v>
      </c>
      <c r="AL300" s="3" t="n">
        <v>4477.0</v>
      </c>
      <c r="AM300" s="3" t="n">
        <v>4586.0</v>
      </c>
      <c r="AN300" s="3" t="n">
        <v>4823.0</v>
      </c>
      <c r="AO300" s="3" t="n">
        <v>5056.0</v>
      </c>
    </row>
    <row r="301" spans="1:41" x14ac:dyDescent="0.2">
      <c r="A301" s="128"/>
      <c r="B301" s="9">
        <v>88</v>
      </c>
      <c r="C301" s="3" t="n">
        <v>2739.0</v>
      </c>
      <c r="D301" s="3" t="n">
        <v>2830.0</v>
      </c>
      <c r="E301" s="3" t="n">
        <v>2913.0</v>
      </c>
      <c r="F301" s="3" t="n">
        <v>2752.0</v>
      </c>
      <c r="G301" s="3" t="n">
        <v>2673.0</v>
      </c>
      <c r="H301" s="3" t="n">
        <v>2509.0</v>
      </c>
      <c r="I301" s="3" t="n">
        <v>2604.0</v>
      </c>
      <c r="J301" s="3" t="n">
        <v>2398.0</v>
      </c>
      <c r="K301" s="3" t="n">
        <v>2273.0</v>
      </c>
      <c r="L301" s="3" t="n">
        <v>2251.0</v>
      </c>
      <c r="M301" s="3" t="n">
        <v>2278.0</v>
      </c>
      <c r="N301" s="3" t="n">
        <v>2331.0</v>
      </c>
      <c r="O301" s="3" t="n">
        <v>3555.0</v>
      </c>
      <c r="P301" s="3" t="n">
        <v>4009.0</v>
      </c>
      <c r="Q301" s="3" t="n">
        <v>4474.0</v>
      </c>
      <c r="R301" s="3" t="n">
        <v>4745.0</v>
      </c>
      <c r="S301" s="3" t="n">
        <v>4931.0</v>
      </c>
      <c r="T301" s="3" t="n">
        <v>5173.0</v>
      </c>
      <c r="U301" s="3" t="n">
        <v>5225.0</v>
      </c>
      <c r="V301" s="3" t="n">
        <v>5250.0</v>
      </c>
      <c r="W301" s="3" t="n">
        <v>5303.0</v>
      </c>
      <c r="X301" s="3" t="n">
        <v>5480.0</v>
      </c>
      <c r="Y301" s="3" t="n">
        <v>5529.0</v>
      </c>
      <c r="Z301" s="3" t="n">
        <v>5505.0</v>
      </c>
      <c r="AA301" s="3" t="n">
        <v>5353.0</v>
      </c>
      <c r="AB301" s="3" t="n">
        <v>5177.0</v>
      </c>
      <c r="AC301" s="3" t="n">
        <v>4597.0</v>
      </c>
      <c r="AD301" s="3" t="n">
        <v>4333.0</v>
      </c>
      <c r="AE301" s="3" t="n">
        <v>4059.0</v>
      </c>
      <c r="AF301" s="3" t="n">
        <v>4101.0</v>
      </c>
      <c r="AG301" s="3" t="n">
        <v>3902.0</v>
      </c>
      <c r="AH301" s="3" t="n">
        <v>3738.0</v>
      </c>
      <c r="AI301" s="3" t="n">
        <v>3750.0</v>
      </c>
      <c r="AJ301" s="3" t="n">
        <v>3667.0</v>
      </c>
      <c r="AK301" s="3" t="n">
        <v>3756.0</v>
      </c>
      <c r="AL301" s="3" t="n">
        <v>3832.0</v>
      </c>
      <c r="AM301" s="3" t="n">
        <v>4039.0</v>
      </c>
      <c r="AN301" s="3" t="n">
        <v>4135.0</v>
      </c>
      <c r="AO301" s="3" t="n">
        <v>4353.0</v>
      </c>
    </row>
    <row r="302" spans="1:41" x14ac:dyDescent="0.2">
      <c r="A302" s="128"/>
      <c r="B302" s="9">
        <v>89</v>
      </c>
      <c r="C302" s="3" t="n">
        <v>2313.0</v>
      </c>
      <c r="D302" s="3" t="n">
        <v>2391.0</v>
      </c>
      <c r="E302" s="3" t="n">
        <v>2477.0</v>
      </c>
      <c r="F302" s="3" t="n">
        <v>2547.0</v>
      </c>
      <c r="G302" s="3" t="n">
        <v>2408.0</v>
      </c>
      <c r="H302" s="3" t="n">
        <v>2341.0</v>
      </c>
      <c r="I302" s="3" t="n">
        <v>2202.0</v>
      </c>
      <c r="J302" s="3" t="n">
        <v>2283.0</v>
      </c>
      <c r="K302" s="3" t="n">
        <v>2107.0</v>
      </c>
      <c r="L302" s="3" t="n">
        <v>2001.0</v>
      </c>
      <c r="M302" s="3" t="n">
        <v>1983.0</v>
      </c>
      <c r="N302" s="3" t="n">
        <v>2009.0</v>
      </c>
      <c r="O302" s="3" t="n">
        <v>2055.0</v>
      </c>
      <c r="P302" s="3" t="n">
        <v>3139.0</v>
      </c>
      <c r="Q302" s="3" t="n">
        <v>3542.0</v>
      </c>
      <c r="R302" s="3" t="n">
        <v>3954.0</v>
      </c>
      <c r="S302" s="3" t="n">
        <v>4198.0</v>
      </c>
      <c r="T302" s="3" t="n">
        <v>4364.0</v>
      </c>
      <c r="U302" s="3" t="n">
        <v>4583.0</v>
      </c>
      <c r="V302" s="3" t="n">
        <v>4631.0</v>
      </c>
      <c r="W302" s="3" t="n">
        <v>4657.0</v>
      </c>
      <c r="X302" s="3" t="n">
        <v>4702.0</v>
      </c>
      <c r="Y302" s="3" t="n">
        <v>4864.0</v>
      </c>
      <c r="Z302" s="3" t="n">
        <v>4910.0</v>
      </c>
      <c r="AA302" s="3" t="n">
        <v>4887.0</v>
      </c>
      <c r="AB302" s="3" t="n">
        <v>4759.0</v>
      </c>
      <c r="AC302" s="3" t="n">
        <v>4603.0</v>
      </c>
      <c r="AD302" s="3" t="n">
        <v>4088.0</v>
      </c>
      <c r="AE302" s="3" t="n">
        <v>3855.0</v>
      </c>
      <c r="AF302" s="3" t="n">
        <v>3616.0</v>
      </c>
      <c r="AG302" s="3" t="n">
        <v>3651.0</v>
      </c>
      <c r="AH302" s="3" t="n">
        <v>3479.0</v>
      </c>
      <c r="AI302" s="3" t="n">
        <v>3329.0</v>
      </c>
      <c r="AJ302" s="3" t="n">
        <v>3343.0</v>
      </c>
      <c r="AK302" s="3" t="n">
        <v>3271.0</v>
      </c>
      <c r="AL302" s="3" t="n">
        <v>3350.0</v>
      </c>
      <c r="AM302" s="3" t="n">
        <v>3420.0</v>
      </c>
      <c r="AN302" s="3" t="n">
        <v>3605.0</v>
      </c>
      <c r="AO302" s="3" t="n">
        <v>3696.0</v>
      </c>
    </row>
    <row r="303" spans="1:41" x14ac:dyDescent="0.2">
      <c r="A303" s="128"/>
      <c r="B303" s="9">
        <v>90</v>
      </c>
      <c r="C303" s="3" t="n">
        <v>2000.0</v>
      </c>
      <c r="D303" s="3" t="n">
        <v>1988.0</v>
      </c>
      <c r="E303" s="3" t="n">
        <v>2059.0</v>
      </c>
      <c r="F303" s="3" t="n">
        <v>2137.0</v>
      </c>
      <c r="G303" s="3" t="n">
        <v>2199.0</v>
      </c>
      <c r="H303" s="3" t="n">
        <v>2085.0</v>
      </c>
      <c r="I303" s="3" t="n">
        <v>2028.0</v>
      </c>
      <c r="J303" s="3" t="n">
        <v>1907.0</v>
      </c>
      <c r="K303" s="3" t="n">
        <v>1978.0</v>
      </c>
      <c r="L303" s="3" t="n">
        <v>1829.0</v>
      </c>
      <c r="M303" s="3" t="n">
        <v>1736.0</v>
      </c>
      <c r="N303" s="3" t="n">
        <v>1726.0</v>
      </c>
      <c r="O303" s="3" t="n">
        <v>1749.0</v>
      </c>
      <c r="P303" s="3" t="n">
        <v>1788.0</v>
      </c>
      <c r="Q303" s="3" t="n">
        <v>2738.0</v>
      </c>
      <c r="R303" s="3" t="n">
        <v>3089.0</v>
      </c>
      <c r="S303" s="3" t="n">
        <v>3450.0</v>
      </c>
      <c r="T303" s="3" t="n">
        <v>3662.0</v>
      </c>
      <c r="U303" s="3" t="n">
        <v>3811.0</v>
      </c>
      <c r="V303" s="3" t="n">
        <v>4002.0</v>
      </c>
      <c r="W303" s="3" t="n">
        <v>4055.0</v>
      </c>
      <c r="X303" s="3" t="n">
        <v>4072.0</v>
      </c>
      <c r="Y303" s="3" t="n">
        <v>4120.0</v>
      </c>
      <c r="Z303" s="3" t="n">
        <v>4261.0</v>
      </c>
      <c r="AA303" s="3" t="n">
        <v>4304.0</v>
      </c>
      <c r="AB303" s="3" t="n">
        <v>4287.0</v>
      </c>
      <c r="AC303" s="3" t="n">
        <v>4176.0</v>
      </c>
      <c r="AD303" s="3" t="n">
        <v>4037.0</v>
      </c>
      <c r="AE303" s="3" t="n">
        <v>3596.0</v>
      </c>
      <c r="AF303" s="3" t="n">
        <v>3385.0</v>
      </c>
      <c r="AG303" s="3" t="n">
        <v>3177.0</v>
      </c>
      <c r="AH303" s="3" t="n">
        <v>3207.0</v>
      </c>
      <c r="AI303" s="3" t="n">
        <v>3066.0</v>
      </c>
      <c r="AJ303" s="3" t="n">
        <v>2929.0</v>
      </c>
      <c r="AK303" s="3" t="n">
        <v>2947.0</v>
      </c>
      <c r="AL303" s="3" t="n">
        <v>2881.0</v>
      </c>
      <c r="AM303" s="3" t="n">
        <v>2954.0</v>
      </c>
      <c r="AN303" s="3" t="n">
        <v>3011.0</v>
      </c>
      <c r="AO303" s="3" t="n">
        <v>3181.0</v>
      </c>
    </row>
    <row r="304" spans="1:41" x14ac:dyDescent="0.2">
      <c r="A304" s="128"/>
      <c r="B304" s="9">
        <v>91</v>
      </c>
      <c r="C304" s="3" t="n">
        <v>1678.0</v>
      </c>
      <c r="D304" s="3" t="n">
        <v>1694.0</v>
      </c>
      <c r="E304" s="3" t="n">
        <v>1688.0</v>
      </c>
      <c r="F304" s="3" t="n">
        <v>1748.0</v>
      </c>
      <c r="G304" s="3" t="n">
        <v>1819.0</v>
      </c>
      <c r="H304" s="3" t="n">
        <v>1874.0</v>
      </c>
      <c r="I304" s="3" t="n">
        <v>1777.0</v>
      </c>
      <c r="J304" s="3" t="n">
        <v>1730.0</v>
      </c>
      <c r="K304" s="3" t="n">
        <v>1628.0</v>
      </c>
      <c r="L304" s="3" t="n">
        <v>1691.0</v>
      </c>
      <c r="M304" s="3" t="n">
        <v>1565.0</v>
      </c>
      <c r="N304" s="3" t="n">
        <v>1484.0</v>
      </c>
      <c r="O304" s="3" t="n">
        <v>1482.0</v>
      </c>
      <c r="P304" s="3" t="n">
        <v>1500.0</v>
      </c>
      <c r="Q304" s="3" t="n">
        <v>1538.0</v>
      </c>
      <c r="R304" s="3" t="n">
        <v>2355.0</v>
      </c>
      <c r="S304" s="3" t="n">
        <v>2659.0</v>
      </c>
      <c r="T304" s="3" t="n">
        <v>2972.0</v>
      </c>
      <c r="U304" s="3" t="n">
        <v>3160.0</v>
      </c>
      <c r="V304" s="3" t="n">
        <v>3284.0</v>
      </c>
      <c r="W304" s="3" t="n">
        <v>3452.0</v>
      </c>
      <c r="X304" s="3" t="n">
        <v>3496.0</v>
      </c>
      <c r="Y304" s="3" t="n">
        <v>3515.0</v>
      </c>
      <c r="Z304" s="3" t="n">
        <v>3559.0</v>
      </c>
      <c r="AA304" s="3" t="n">
        <v>3681.0</v>
      </c>
      <c r="AB304" s="3" t="n">
        <v>3724.0</v>
      </c>
      <c r="AC304" s="3" t="n">
        <v>3703.0</v>
      </c>
      <c r="AD304" s="3" t="n">
        <v>3615.0</v>
      </c>
      <c r="AE304" s="3" t="n">
        <v>3499.0</v>
      </c>
      <c r="AF304" s="3" t="n">
        <v>3117.0</v>
      </c>
      <c r="AG304" s="3" t="n">
        <v>2934.0</v>
      </c>
      <c r="AH304" s="3" t="n">
        <v>2760.0</v>
      </c>
      <c r="AI304" s="3" t="n">
        <v>2789.0</v>
      </c>
      <c r="AJ304" s="3" t="n">
        <v>2660.0</v>
      </c>
      <c r="AK304" s="3" t="n">
        <v>2548.0</v>
      </c>
      <c r="AL304" s="3" t="n">
        <v>2561.0</v>
      </c>
      <c r="AM304" s="3" t="n">
        <v>2504.0</v>
      </c>
      <c r="AN304" s="3" t="n">
        <v>2566.0</v>
      </c>
      <c r="AO304" s="3" t="n">
        <v>2625.0</v>
      </c>
    </row>
    <row r="305" spans="1:41" x14ac:dyDescent="0.2">
      <c r="A305" s="128"/>
      <c r="B305" s="9">
        <v>92</v>
      </c>
      <c r="C305" s="3" t="n">
        <v>1445.0</v>
      </c>
      <c r="D305" s="3" t="n">
        <v>1399.0</v>
      </c>
      <c r="E305" s="3" t="n">
        <v>1414.0</v>
      </c>
      <c r="F305" s="3" t="n">
        <v>1411.0</v>
      </c>
      <c r="G305" s="3" t="n">
        <v>1462.0</v>
      </c>
      <c r="H305" s="3" t="n">
        <v>1522.0</v>
      </c>
      <c r="I305" s="3" t="n">
        <v>1570.0</v>
      </c>
      <c r="J305" s="3" t="n">
        <v>1489.0</v>
      </c>
      <c r="K305" s="3" t="n">
        <v>1451.0</v>
      </c>
      <c r="L305" s="3" t="n">
        <v>1369.0</v>
      </c>
      <c r="M305" s="3" t="n">
        <v>1422.0</v>
      </c>
      <c r="N305" s="3" t="n">
        <v>1325.0</v>
      </c>
      <c r="O305" s="3" t="n">
        <v>1255.0</v>
      </c>
      <c r="P305" s="3" t="n">
        <v>1252.0</v>
      </c>
      <c r="Q305" s="3" t="n">
        <v>1272.0</v>
      </c>
      <c r="R305" s="3" t="n">
        <v>1301.0</v>
      </c>
      <c r="S305" s="3" t="n">
        <v>1993.0</v>
      </c>
      <c r="T305" s="3" t="n">
        <v>2258.0</v>
      </c>
      <c r="U305" s="3" t="n">
        <v>2523.0</v>
      </c>
      <c r="V305" s="3" t="n">
        <v>2684.0</v>
      </c>
      <c r="W305" s="3" t="n">
        <v>2792.0</v>
      </c>
      <c r="X305" s="3" t="n">
        <v>2939.0</v>
      </c>
      <c r="Y305" s="3" t="n">
        <v>2980.0</v>
      </c>
      <c r="Z305" s="3" t="n">
        <v>2994.0</v>
      </c>
      <c r="AA305" s="3" t="n">
        <v>3034.0</v>
      </c>
      <c r="AB305" s="3" t="n">
        <v>3142.0</v>
      </c>
      <c r="AC305" s="3" t="n">
        <v>3178.0</v>
      </c>
      <c r="AD305" s="3" t="n">
        <v>3158.0</v>
      </c>
      <c r="AE305" s="3" t="n">
        <v>3093.0</v>
      </c>
      <c r="AF305" s="3" t="n">
        <v>2991.0</v>
      </c>
      <c r="AG305" s="3" t="n">
        <v>2664.0</v>
      </c>
      <c r="AH305" s="3" t="n">
        <v>2515.0</v>
      </c>
      <c r="AI305" s="3" t="n">
        <v>2361.0</v>
      </c>
      <c r="AJ305" s="3" t="n">
        <v>2388.0</v>
      </c>
      <c r="AK305" s="3" t="n">
        <v>2283.0</v>
      </c>
      <c r="AL305" s="3" t="n">
        <v>2187.0</v>
      </c>
      <c r="AM305" s="3" t="n">
        <v>2196.0</v>
      </c>
      <c r="AN305" s="3" t="n">
        <v>2149.0</v>
      </c>
      <c r="AO305" s="3" t="n">
        <v>2208.0</v>
      </c>
    </row>
    <row r="306" spans="1:41" x14ac:dyDescent="0.2">
      <c r="A306" s="128"/>
      <c r="B306" s="9">
        <v>93</v>
      </c>
      <c r="C306" s="3" t="n">
        <v>1074.0</v>
      </c>
      <c r="D306" s="3" t="n">
        <v>1186.0</v>
      </c>
      <c r="E306" s="3" t="n">
        <v>1152.0</v>
      </c>
      <c r="F306" s="3" t="n">
        <v>1165.0</v>
      </c>
      <c r="G306" s="3" t="n">
        <v>1164.0</v>
      </c>
      <c r="H306" s="3" t="n">
        <v>1208.0</v>
      </c>
      <c r="I306" s="3" t="n">
        <v>1257.0</v>
      </c>
      <c r="J306" s="3" t="n">
        <v>1297.0</v>
      </c>
      <c r="K306" s="3" t="n">
        <v>1232.0</v>
      </c>
      <c r="L306" s="3" t="n">
        <v>1208.0</v>
      </c>
      <c r="M306" s="3" t="n">
        <v>1136.0</v>
      </c>
      <c r="N306" s="3" t="n">
        <v>1184.0</v>
      </c>
      <c r="O306" s="3" t="n">
        <v>1105.0</v>
      </c>
      <c r="P306" s="3" t="n">
        <v>1046.0</v>
      </c>
      <c r="Q306" s="3" t="n">
        <v>1045.0</v>
      </c>
      <c r="R306" s="3" t="n">
        <v>1063.0</v>
      </c>
      <c r="S306" s="3" t="n">
        <v>1091.0</v>
      </c>
      <c r="T306" s="3" t="n">
        <v>1672.0</v>
      </c>
      <c r="U306" s="3" t="n">
        <v>1889.0</v>
      </c>
      <c r="V306" s="3" t="n">
        <v>2110.0</v>
      </c>
      <c r="W306" s="3" t="n">
        <v>2246.0</v>
      </c>
      <c r="X306" s="3" t="n">
        <v>2336.0</v>
      </c>
      <c r="Y306" s="3" t="n">
        <v>2459.0</v>
      </c>
      <c r="Z306" s="3" t="n">
        <v>2495.0</v>
      </c>
      <c r="AA306" s="3" t="n">
        <v>2511.0</v>
      </c>
      <c r="AB306" s="3" t="n">
        <v>2550.0</v>
      </c>
      <c r="AC306" s="3" t="n">
        <v>2641.0</v>
      </c>
      <c r="AD306" s="3" t="n">
        <v>2667.0</v>
      </c>
      <c r="AE306" s="3" t="n">
        <v>2654.0</v>
      </c>
      <c r="AF306" s="3" t="n">
        <v>2606.0</v>
      </c>
      <c r="AG306" s="3" t="n">
        <v>2516.0</v>
      </c>
      <c r="AH306" s="3" t="n">
        <v>2244.0</v>
      </c>
      <c r="AI306" s="3" t="n">
        <v>2125.0</v>
      </c>
      <c r="AJ306" s="3" t="n">
        <v>1995.0</v>
      </c>
      <c r="AK306" s="3" t="n">
        <v>2016.0</v>
      </c>
      <c r="AL306" s="3" t="n">
        <v>1926.0</v>
      </c>
      <c r="AM306" s="3" t="n">
        <v>1851.0</v>
      </c>
      <c r="AN306" s="3" t="n">
        <v>1858.0</v>
      </c>
      <c r="AO306" s="3" t="n">
        <v>1822.0</v>
      </c>
    </row>
    <row r="307" spans="1:41" x14ac:dyDescent="0.2">
      <c r="A307" s="128"/>
      <c r="B307" s="9">
        <v>94</v>
      </c>
      <c r="C307" s="3" t="n">
        <v>801.0</v>
      </c>
      <c r="D307" s="3" t="n">
        <v>856.0</v>
      </c>
      <c r="E307" s="3" t="n">
        <v>947.0</v>
      </c>
      <c r="F307" s="3" t="n">
        <v>919.0</v>
      </c>
      <c r="G307" s="3" t="n">
        <v>933.0</v>
      </c>
      <c r="H307" s="3" t="n">
        <v>930.0</v>
      </c>
      <c r="I307" s="3" t="n">
        <v>970.0</v>
      </c>
      <c r="J307" s="3" t="n">
        <v>1009.0</v>
      </c>
      <c r="K307" s="3" t="n">
        <v>1043.0</v>
      </c>
      <c r="L307" s="3" t="n">
        <v>996.0</v>
      </c>
      <c r="M307" s="3" t="n">
        <v>974.0</v>
      </c>
      <c r="N307" s="3" t="n">
        <v>920.0</v>
      </c>
      <c r="O307" s="3" t="n">
        <v>961.0</v>
      </c>
      <c r="P307" s="3" t="n">
        <v>896.0</v>
      </c>
      <c r="Q307" s="3" t="n">
        <v>851.0</v>
      </c>
      <c r="R307" s="3" t="n">
        <v>846.0</v>
      </c>
      <c r="S307" s="3" t="n">
        <v>866.0</v>
      </c>
      <c r="T307" s="3" t="n">
        <v>889.0</v>
      </c>
      <c r="U307" s="3" t="n">
        <v>1365.0</v>
      </c>
      <c r="V307" s="3" t="n">
        <v>1540.0</v>
      </c>
      <c r="W307" s="3" t="n">
        <v>1719.0</v>
      </c>
      <c r="X307" s="3" t="n">
        <v>1835.0</v>
      </c>
      <c r="Y307" s="3" t="n">
        <v>1911.0</v>
      </c>
      <c r="Z307" s="3" t="n">
        <v>2016.0</v>
      </c>
      <c r="AA307" s="3" t="n">
        <v>2044.0</v>
      </c>
      <c r="AB307" s="3" t="n">
        <v>2062.0</v>
      </c>
      <c r="AC307" s="3" t="n">
        <v>2092.0</v>
      </c>
      <c r="AD307" s="3" t="n">
        <v>2169.0</v>
      </c>
      <c r="AE307" s="3" t="n">
        <v>2196.0</v>
      </c>
      <c r="AF307" s="3" t="n">
        <v>2181.0</v>
      </c>
      <c r="AG307" s="3" t="n">
        <v>2142.0</v>
      </c>
      <c r="AH307" s="3" t="n">
        <v>2067.0</v>
      </c>
      <c r="AI307" s="3" t="n">
        <v>1845.0</v>
      </c>
      <c r="AJ307" s="3" t="n">
        <v>1751.0</v>
      </c>
      <c r="AK307" s="3" t="n">
        <v>1644.0</v>
      </c>
      <c r="AL307" s="3" t="n">
        <v>1663.0</v>
      </c>
      <c r="AM307" s="3" t="n">
        <v>1586.0</v>
      </c>
      <c r="AN307" s="3" t="n">
        <v>1524.0</v>
      </c>
      <c r="AO307" s="3" t="n">
        <v>1535.0</v>
      </c>
    </row>
    <row r="308" spans="1:41" x14ac:dyDescent="0.2">
      <c r="A308" s="128"/>
      <c r="B308" s="9">
        <v>95</v>
      </c>
      <c r="C308" s="3" t="n">
        <v>596.0</v>
      </c>
      <c r="D308" s="3" t="n">
        <v>626.0</v>
      </c>
      <c r="E308" s="3" t="n">
        <v>668.0</v>
      </c>
      <c r="F308" s="3" t="n">
        <v>744.0</v>
      </c>
      <c r="G308" s="3" t="n">
        <v>723.0</v>
      </c>
      <c r="H308" s="3" t="n">
        <v>737.0</v>
      </c>
      <c r="I308" s="3" t="n">
        <v>731.0</v>
      </c>
      <c r="J308" s="3" t="n">
        <v>765.0</v>
      </c>
      <c r="K308" s="3" t="n">
        <v>797.0</v>
      </c>
      <c r="L308" s="3" t="n">
        <v>827.0</v>
      </c>
      <c r="M308" s="3" t="n">
        <v>790.0</v>
      </c>
      <c r="N308" s="3" t="n">
        <v>773.0</v>
      </c>
      <c r="O308" s="3" t="n">
        <v>737.0</v>
      </c>
      <c r="P308" s="3" t="n">
        <v>769.0</v>
      </c>
      <c r="Q308" s="3" t="n">
        <v>718.0</v>
      </c>
      <c r="R308" s="3" t="n">
        <v>682.0</v>
      </c>
      <c r="S308" s="3" t="n">
        <v>674.0</v>
      </c>
      <c r="T308" s="3" t="n">
        <v>691.0</v>
      </c>
      <c r="U308" s="3" t="n">
        <v>710.0</v>
      </c>
      <c r="V308" s="3" t="n">
        <v>1095.0</v>
      </c>
      <c r="W308" s="3" t="n">
        <v>1241.0</v>
      </c>
      <c r="X308" s="3" t="n">
        <v>1386.0</v>
      </c>
      <c r="Y308" s="3" t="n">
        <v>1480.0</v>
      </c>
      <c r="Z308" s="3" t="n">
        <v>1538.0</v>
      </c>
      <c r="AA308" s="3" t="n">
        <v>1626.0</v>
      </c>
      <c r="AB308" s="3" t="n">
        <v>1653.0</v>
      </c>
      <c r="AC308" s="3" t="n">
        <v>1667.0</v>
      </c>
      <c r="AD308" s="3" t="n">
        <v>1691.0</v>
      </c>
      <c r="AE308" s="3" t="n">
        <v>1753.0</v>
      </c>
      <c r="AF308" s="3" t="n">
        <v>1774.0</v>
      </c>
      <c r="AG308" s="3" t="n">
        <v>1766.0</v>
      </c>
      <c r="AH308" s="3" t="n">
        <v>1738.0</v>
      </c>
      <c r="AI308" s="3" t="n">
        <v>1678.0</v>
      </c>
      <c r="AJ308" s="3" t="n">
        <v>1500.0</v>
      </c>
      <c r="AK308" s="3" t="n">
        <v>1426.0</v>
      </c>
      <c r="AL308" s="3" t="n">
        <v>1340.0</v>
      </c>
      <c r="AM308" s="3" t="n">
        <v>1355.0</v>
      </c>
      <c r="AN308" s="3" t="n">
        <v>1290.0</v>
      </c>
      <c r="AO308" s="3" t="n">
        <v>1245.0</v>
      </c>
    </row>
    <row r="309" spans="1:41" x14ac:dyDescent="0.2">
      <c r="A309" s="128"/>
      <c r="B309" s="9">
        <v>96</v>
      </c>
      <c r="C309" s="3" t="n">
        <v>399.0</v>
      </c>
      <c r="D309" s="3" t="n">
        <v>453.0</v>
      </c>
      <c r="E309" s="3" t="n">
        <v>476.0</v>
      </c>
      <c r="F309" s="3" t="n">
        <v>512.0</v>
      </c>
      <c r="G309" s="3" t="n">
        <v>568.0</v>
      </c>
      <c r="H309" s="3" t="n">
        <v>554.0</v>
      </c>
      <c r="I309" s="3" t="n">
        <v>566.0</v>
      </c>
      <c r="J309" s="3" t="n">
        <v>564.0</v>
      </c>
      <c r="K309" s="3" t="n">
        <v>589.0</v>
      </c>
      <c r="L309" s="3" t="n">
        <v>618.0</v>
      </c>
      <c r="M309" s="3" t="n">
        <v>641.0</v>
      </c>
      <c r="N309" s="3" t="n">
        <v>613.0</v>
      </c>
      <c r="O309" s="3" t="n">
        <v>602.0</v>
      </c>
      <c r="P309" s="3" t="n">
        <v>572.0</v>
      </c>
      <c r="Q309" s="3" t="n">
        <v>602.0</v>
      </c>
      <c r="R309" s="3" t="n">
        <v>563.0</v>
      </c>
      <c r="S309" s="3" t="n">
        <v>530.0</v>
      </c>
      <c r="T309" s="3" t="n">
        <v>525.0</v>
      </c>
      <c r="U309" s="3" t="n">
        <v>541.0</v>
      </c>
      <c r="V309" s="3" t="n">
        <v>557.0</v>
      </c>
      <c r="W309" s="3" t="n">
        <v>860.0</v>
      </c>
      <c r="X309" s="3" t="n">
        <v>976.0</v>
      </c>
      <c r="Y309" s="3" t="n">
        <v>1086.0</v>
      </c>
      <c r="Z309" s="3" t="n">
        <v>1163.0</v>
      </c>
      <c r="AA309" s="3" t="n">
        <v>1210.0</v>
      </c>
      <c r="AB309" s="3" t="n">
        <v>1284.0</v>
      </c>
      <c r="AC309" s="3" t="n">
        <v>1302.0</v>
      </c>
      <c r="AD309" s="3" t="n">
        <v>1311.0</v>
      </c>
      <c r="AE309" s="3" t="n">
        <v>1332.0</v>
      </c>
      <c r="AF309" s="3" t="n">
        <v>1385.0</v>
      </c>
      <c r="AG309" s="3" t="n">
        <v>1401.0</v>
      </c>
      <c r="AH309" s="3" t="n">
        <v>1396.0</v>
      </c>
      <c r="AI309" s="3" t="n">
        <v>1379.0</v>
      </c>
      <c r="AJ309" s="3" t="n">
        <v>1331.0</v>
      </c>
      <c r="AK309" s="3" t="n">
        <v>1191.0</v>
      </c>
      <c r="AL309" s="3" t="n">
        <v>1134.0</v>
      </c>
      <c r="AM309" s="3" t="n">
        <v>1067.0</v>
      </c>
      <c r="AN309" s="3" t="n">
        <v>1075.0</v>
      </c>
      <c r="AO309" s="3" t="n">
        <v>1026.0</v>
      </c>
    </row>
    <row r="310" spans="1:41" x14ac:dyDescent="0.2">
      <c r="A310" s="128"/>
      <c r="B310" s="9">
        <v>97</v>
      </c>
      <c r="C310" s="3" t="n">
        <v>301.0</v>
      </c>
      <c r="D310" s="3" t="n">
        <v>300.0</v>
      </c>
      <c r="E310" s="3" t="n">
        <v>339.0</v>
      </c>
      <c r="F310" s="3" t="n">
        <v>357.0</v>
      </c>
      <c r="G310" s="3" t="n">
        <v>390.0</v>
      </c>
      <c r="H310" s="3" t="n">
        <v>427.0</v>
      </c>
      <c r="I310" s="3" t="n">
        <v>421.0</v>
      </c>
      <c r="J310" s="3" t="n">
        <v>426.0</v>
      </c>
      <c r="K310" s="3" t="n">
        <v>428.0</v>
      </c>
      <c r="L310" s="3" t="n">
        <v>448.0</v>
      </c>
      <c r="M310" s="3" t="n">
        <v>468.0</v>
      </c>
      <c r="N310" s="3" t="n">
        <v>485.0</v>
      </c>
      <c r="O310" s="3" t="n">
        <v>471.0</v>
      </c>
      <c r="P310" s="3" t="n">
        <v>458.0</v>
      </c>
      <c r="Q310" s="3" t="n">
        <v>440.0</v>
      </c>
      <c r="R310" s="3" t="n">
        <v>463.0</v>
      </c>
      <c r="S310" s="3" t="n">
        <v>435.0</v>
      </c>
      <c r="T310" s="3" t="n">
        <v>407.0</v>
      </c>
      <c r="U310" s="3" t="n">
        <v>407.0</v>
      </c>
      <c r="V310" s="3" t="n">
        <v>422.0</v>
      </c>
      <c r="W310" s="3" t="n">
        <v>431.0</v>
      </c>
      <c r="X310" s="3" t="n">
        <v>662.0</v>
      </c>
      <c r="Y310" s="3" t="n">
        <v>754.0</v>
      </c>
      <c r="Z310" s="3" t="n">
        <v>835.0</v>
      </c>
      <c r="AA310" s="3" t="n">
        <v>896.0</v>
      </c>
      <c r="AB310" s="3" t="n">
        <v>935.0</v>
      </c>
      <c r="AC310" s="3" t="n">
        <v>991.0</v>
      </c>
      <c r="AD310" s="3" t="n">
        <v>1008.0</v>
      </c>
      <c r="AE310" s="3" t="n">
        <v>1015.0</v>
      </c>
      <c r="AF310" s="3" t="n">
        <v>1029.0</v>
      </c>
      <c r="AG310" s="3" t="n">
        <v>1074.0</v>
      </c>
      <c r="AH310" s="3" t="n">
        <v>1087.0</v>
      </c>
      <c r="AI310" s="3" t="n">
        <v>1081.0</v>
      </c>
      <c r="AJ310" s="3" t="n">
        <v>1074.0</v>
      </c>
      <c r="AK310" s="3" t="n">
        <v>1037.0</v>
      </c>
      <c r="AL310" s="3" t="n">
        <v>928.0</v>
      </c>
      <c r="AM310" s="3" t="n">
        <v>884.0</v>
      </c>
      <c r="AN310" s="3" t="n">
        <v>835.0</v>
      </c>
      <c r="AO310" s="3" t="n">
        <v>842.0</v>
      </c>
    </row>
    <row r="311" spans="1:41" x14ac:dyDescent="0.2">
      <c r="A311" s="128"/>
      <c r="B311" s="9">
        <v>98</v>
      </c>
      <c r="C311" s="3" t="n">
        <v>217.0</v>
      </c>
      <c r="D311" s="3" t="n">
        <v>223.0</v>
      </c>
      <c r="E311" s="3" t="n">
        <v>221.0</v>
      </c>
      <c r="F311" s="3" t="n">
        <v>244.0</v>
      </c>
      <c r="G311" s="3" t="n">
        <v>263.0</v>
      </c>
      <c r="H311" s="3" t="n">
        <v>289.0</v>
      </c>
      <c r="I311" s="3" t="n">
        <v>315.0</v>
      </c>
      <c r="J311" s="3" t="n">
        <v>309.0</v>
      </c>
      <c r="K311" s="3" t="n">
        <v>316.0</v>
      </c>
      <c r="L311" s="3" t="n">
        <v>317.0</v>
      </c>
      <c r="M311" s="3" t="n">
        <v>335.0</v>
      </c>
      <c r="N311" s="3" t="n">
        <v>345.0</v>
      </c>
      <c r="O311" s="3" t="n">
        <v>360.0</v>
      </c>
      <c r="P311" s="3" t="n">
        <v>349.0</v>
      </c>
      <c r="Q311" s="3" t="n">
        <v>346.0</v>
      </c>
      <c r="R311" s="3" t="n">
        <v>329.0</v>
      </c>
      <c r="S311" s="3" t="n">
        <v>348.0</v>
      </c>
      <c r="T311" s="3" t="n">
        <v>326.0</v>
      </c>
      <c r="U311" s="3" t="n">
        <v>307.0</v>
      </c>
      <c r="V311" s="3" t="n">
        <v>306.0</v>
      </c>
      <c r="W311" s="3" t="n">
        <v>320.0</v>
      </c>
      <c r="X311" s="3" t="n">
        <v>328.0</v>
      </c>
      <c r="Y311" s="3" t="n">
        <v>502.0</v>
      </c>
      <c r="Z311" s="3" t="n">
        <v>563.0</v>
      </c>
      <c r="AA311" s="3" t="n">
        <v>630.0</v>
      </c>
      <c r="AB311" s="3" t="n">
        <v>677.0</v>
      </c>
      <c r="AC311" s="3" t="n">
        <v>703.0</v>
      </c>
      <c r="AD311" s="3" t="n">
        <v>746.0</v>
      </c>
      <c r="AE311" s="3" t="n">
        <v>758.0</v>
      </c>
      <c r="AF311" s="3" t="n">
        <v>766.0</v>
      </c>
      <c r="AG311" s="3" t="n">
        <v>775.0</v>
      </c>
      <c r="AH311" s="3" t="n">
        <v>814.0</v>
      </c>
      <c r="AI311" s="3" t="n">
        <v>825.0</v>
      </c>
      <c r="AJ311" s="3" t="n">
        <v>819.0</v>
      </c>
      <c r="AK311" s="3" t="n">
        <v>814.0</v>
      </c>
      <c r="AL311" s="3" t="n">
        <v>787.0</v>
      </c>
      <c r="AM311" s="3" t="n">
        <v>705.0</v>
      </c>
      <c r="AN311" s="3" t="n">
        <v>673.0</v>
      </c>
      <c r="AO311" s="3" t="n">
        <v>640.0</v>
      </c>
    </row>
    <row r="312" spans="1:41" x14ac:dyDescent="0.2">
      <c r="A312" s="128"/>
      <c r="B312" s="9">
        <v>99</v>
      </c>
      <c r="C312" s="3" t="n">
        <v>137.0</v>
      </c>
      <c r="D312" s="3" t="n">
        <v>143.0</v>
      </c>
      <c r="E312" s="3" t="n">
        <v>156.0</v>
      </c>
      <c r="F312" s="3" t="n">
        <v>156.0</v>
      </c>
      <c r="G312" s="3" t="n">
        <v>169.0</v>
      </c>
      <c r="H312" s="3" t="n">
        <v>186.0</v>
      </c>
      <c r="I312" s="3" t="n">
        <v>206.0</v>
      </c>
      <c r="J312" s="3" t="n">
        <v>224.0</v>
      </c>
      <c r="K312" s="3" t="n">
        <v>219.0</v>
      </c>
      <c r="L312" s="3" t="n">
        <v>225.0</v>
      </c>
      <c r="M312" s="3" t="n">
        <v>225.0</v>
      </c>
      <c r="N312" s="3" t="n">
        <v>236.0</v>
      </c>
      <c r="O312" s="3" t="n">
        <v>247.0</v>
      </c>
      <c r="P312" s="3" t="n">
        <v>259.0</v>
      </c>
      <c r="Q312" s="3" t="n">
        <v>253.0</v>
      </c>
      <c r="R312" s="3" t="n">
        <v>252.0</v>
      </c>
      <c r="S312" s="3" t="n">
        <v>239.0</v>
      </c>
      <c r="T312" s="3" t="n">
        <v>251.0</v>
      </c>
      <c r="U312" s="3" t="n">
        <v>234.0</v>
      </c>
      <c r="V312" s="3" t="n">
        <v>221.0</v>
      </c>
      <c r="W312" s="3" t="n">
        <v>221.0</v>
      </c>
      <c r="X312" s="3" t="n">
        <v>233.0</v>
      </c>
      <c r="Y312" s="3" t="n">
        <v>239.0</v>
      </c>
      <c r="Z312" s="3" t="n">
        <v>365.0</v>
      </c>
      <c r="AA312" s="3" t="n">
        <v>410.0</v>
      </c>
      <c r="AB312" s="3" t="n">
        <v>464.0</v>
      </c>
      <c r="AC312" s="3" t="n">
        <v>495.0</v>
      </c>
      <c r="AD312" s="3" t="n">
        <v>517.0</v>
      </c>
      <c r="AE312" s="3" t="n">
        <v>545.0</v>
      </c>
      <c r="AF312" s="3" t="n">
        <v>558.0</v>
      </c>
      <c r="AG312" s="3" t="n">
        <v>559.0</v>
      </c>
      <c r="AH312" s="3" t="n">
        <v>572.0</v>
      </c>
      <c r="AI312" s="3" t="n">
        <v>600.0</v>
      </c>
      <c r="AJ312" s="3" t="n">
        <v>607.0</v>
      </c>
      <c r="AK312" s="3" t="n">
        <v>603.0</v>
      </c>
      <c r="AL312" s="3" t="n">
        <v>598.0</v>
      </c>
      <c r="AM312" s="3" t="n">
        <v>583.0</v>
      </c>
      <c r="AN312" s="3" t="n">
        <v>522.0</v>
      </c>
      <c r="AO312" s="3" t="n">
        <v>502.0</v>
      </c>
    </row>
    <row r="313" spans="1:41" x14ac:dyDescent="0.2">
      <c r="A313" s="128"/>
      <c r="B313" s="10" t="s">
        <v>79</v>
      </c>
      <c r="C313" s="4" t="n">
        <v>186.0</v>
      </c>
      <c r="D313" s="4" t="n">
        <v>211.0</v>
      </c>
      <c r="E313" s="4" t="n">
        <v>231.0</v>
      </c>
      <c r="F313" s="4" t="n">
        <v>252.0</v>
      </c>
      <c r="G313" s="4" t="n">
        <v>272.0</v>
      </c>
      <c r="H313" s="4" t="n">
        <v>290.0</v>
      </c>
      <c r="I313" s="4" t="n">
        <v>314.0</v>
      </c>
      <c r="J313" s="4" t="n">
        <v>344.0</v>
      </c>
      <c r="K313" s="4" t="n">
        <v>382.0</v>
      </c>
      <c r="L313" s="4" t="n">
        <v>399.0</v>
      </c>
      <c r="M313" s="4" t="n">
        <v>410.0</v>
      </c>
      <c r="N313" s="4" t="n">
        <v>417.0</v>
      </c>
      <c r="O313" s="4" t="n">
        <v>432.0</v>
      </c>
      <c r="P313" s="4" t="n">
        <v>450.0</v>
      </c>
      <c r="Q313" s="4" t="n">
        <v>475.0</v>
      </c>
      <c r="R313" s="4" t="n">
        <v>482.0</v>
      </c>
      <c r="S313" s="4" t="n">
        <v>490.0</v>
      </c>
      <c r="T313" s="4" t="n">
        <v>486.0</v>
      </c>
      <c r="U313" s="4" t="n">
        <v>493.0</v>
      </c>
      <c r="V313" s="4" t="n">
        <v>487.0</v>
      </c>
      <c r="W313" s="4" t="n">
        <v>476.0</v>
      </c>
      <c r="X313" s="4" t="n">
        <v>467.0</v>
      </c>
      <c r="Y313" s="4" t="n">
        <v>473.0</v>
      </c>
      <c r="Z313" s="4" t="n">
        <v>481.0</v>
      </c>
      <c r="AA313" s="4" t="n">
        <v>577.0</v>
      </c>
      <c r="AB313" s="4" t="n">
        <v>673.0</v>
      </c>
      <c r="AC313" s="4" t="n">
        <v>771.0</v>
      </c>
      <c r="AD313" s="4" t="n">
        <v>862.0</v>
      </c>
      <c r="AE313" s="4" t="n">
        <v>940.0</v>
      </c>
      <c r="AF313" s="4" t="n">
        <v>1014.0</v>
      </c>
      <c r="AG313" s="4" t="n">
        <v>1073.0</v>
      </c>
      <c r="AH313" s="4" t="n">
        <v>1116.0</v>
      </c>
      <c r="AI313" s="4" t="n">
        <v>1151.0</v>
      </c>
      <c r="AJ313" s="4" t="n">
        <v>1196.0</v>
      </c>
      <c r="AK313" s="4" t="n">
        <v>1239.0</v>
      </c>
      <c r="AL313" s="4" t="n">
        <v>1265.0</v>
      </c>
      <c r="AM313" s="4" t="n">
        <v>1276.0</v>
      </c>
      <c r="AN313" s="4" t="n">
        <v>1273.0</v>
      </c>
      <c r="AO313" s="4" t="n">
        <v>1229.0</v>
      </c>
    </row>
  </sheetData>
  <mergeCells count="5"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FF6966"/>
  </sheetPr>
  <dimension ref="A1:AO7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3"/>
      <c r="B1" s="83"/>
      <c r="C1" s="13" t="s">
        <v>86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D2" s="33" t="s">
        <v>40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131" t="s">
        <v>83</v>
      </c>
      <c r="B3" s="131"/>
      <c r="D3" s="24" t="s">
        <v>68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41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49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105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2" t="s">
        <v>47</v>
      </c>
      <c r="B8" s="37" t="s">
        <v>48</v>
      </c>
      <c r="C8" s="15" t="n">
        <v>1640622.0</v>
      </c>
      <c r="D8" s="15" t="n">
        <v>1631393.0</v>
      </c>
      <c r="E8" s="15" t="n">
        <v>1621542.0</v>
      </c>
      <c r="F8" s="15" t="n">
        <v>1611085.0</v>
      </c>
      <c r="G8" s="15" t="n">
        <v>1600205.0</v>
      </c>
      <c r="H8" s="15" t="n">
        <v>1590763.0</v>
      </c>
      <c r="I8" s="15" t="n">
        <v>1581517.0</v>
      </c>
      <c r="J8" s="15" t="n">
        <v>1570383.0</v>
      </c>
      <c r="K8" s="15" t="n">
        <v>1558073.0</v>
      </c>
      <c r="L8" s="15" t="n">
        <v>1545067.0</v>
      </c>
      <c r="M8" s="15" t="n">
        <v>1531468.0</v>
      </c>
      <c r="N8" s="15" t="n">
        <v>1517308.0</v>
      </c>
      <c r="O8" s="15" t="n">
        <v>1502766.0</v>
      </c>
      <c r="P8" s="15" t="n">
        <v>1487737.0</v>
      </c>
      <c r="Q8" s="15" t="n">
        <v>1472511.0</v>
      </c>
      <c r="R8" s="15" t="n">
        <v>1456837.0</v>
      </c>
      <c r="S8" s="15" t="n">
        <v>1440943.0</v>
      </c>
      <c r="T8" s="15" t="n">
        <v>1424644.0</v>
      </c>
      <c r="U8" s="15" t="n">
        <v>1408257.0</v>
      </c>
      <c r="V8" s="15" t="n">
        <v>1391643.0</v>
      </c>
      <c r="W8" s="15" t="n">
        <v>1374933.0</v>
      </c>
      <c r="X8" s="15" t="n">
        <v>1358068.0</v>
      </c>
      <c r="Y8" s="15" t="n">
        <v>1341105.0</v>
      </c>
      <c r="Z8" s="15" t="n">
        <v>1324059.0</v>
      </c>
      <c r="AA8" s="15" t="n">
        <v>1306967.0</v>
      </c>
      <c r="AB8" s="15" t="n">
        <v>1289932.0</v>
      </c>
      <c r="AC8" s="15" t="n">
        <v>1272864.0</v>
      </c>
      <c r="AD8" s="15" t="n">
        <v>1255677.0</v>
      </c>
      <c r="AE8" s="15" t="n">
        <v>1238650.0</v>
      </c>
      <c r="AF8" s="15" t="n">
        <v>1221549.0</v>
      </c>
      <c r="AG8" s="15" t="n">
        <v>1204439.0</v>
      </c>
      <c r="AH8" s="15" t="n">
        <v>1187393.0</v>
      </c>
      <c r="AI8" s="15" t="n">
        <v>1170215.0</v>
      </c>
      <c r="AJ8" s="15" t="n">
        <v>1152981.0</v>
      </c>
      <c r="AK8" s="15" t="n">
        <v>1135709.0</v>
      </c>
      <c r="AL8" s="15" t="n">
        <v>1118314.0</v>
      </c>
      <c r="AM8" s="15" t="n">
        <v>1100800.0</v>
      </c>
      <c r="AN8" s="15" t="n">
        <v>1083149.0</v>
      </c>
      <c r="AO8" s="15" t="n">
        <v>1065474.0</v>
      </c>
    </row>
    <row r="9" spans="1:41" x14ac:dyDescent="0.2">
      <c r="A9" s="133"/>
      <c r="B9" s="64" t="s">
        <v>20</v>
      </c>
      <c r="C9" s="3" t="n">
        <v>67596.0</v>
      </c>
      <c r="D9" s="3" t="n">
        <v>63125.0</v>
      </c>
      <c r="E9" s="3" t="n">
        <v>59138.0</v>
      </c>
      <c r="F9" s="3" t="n">
        <v>55799.0</v>
      </c>
      <c r="G9" s="3" t="n">
        <v>52826.0</v>
      </c>
      <c r="H9" s="3" t="n">
        <v>51023.0</v>
      </c>
      <c r="I9" s="3" t="n">
        <v>49607.0</v>
      </c>
      <c r="J9" s="3" t="n">
        <v>48254.0</v>
      </c>
      <c r="K9" s="3" t="n">
        <v>47002.0</v>
      </c>
      <c r="L9" s="3" t="n">
        <v>45881.0</v>
      </c>
      <c r="M9" s="3" t="n">
        <v>44948.0</v>
      </c>
      <c r="N9" s="3" t="n">
        <v>44158.0</v>
      </c>
      <c r="O9" s="3" t="n">
        <v>43483.0</v>
      </c>
      <c r="P9" s="3" t="n">
        <v>42913.0</v>
      </c>
      <c r="Q9" s="3" t="n">
        <v>42470.0</v>
      </c>
      <c r="R9" s="3" t="n">
        <v>42143.0</v>
      </c>
      <c r="S9" s="3" t="n">
        <v>41908.0</v>
      </c>
      <c r="T9" s="3" t="n">
        <v>41737.0</v>
      </c>
      <c r="U9" s="3" t="n">
        <v>41621.0</v>
      </c>
      <c r="V9" s="3" t="n">
        <v>41492.0</v>
      </c>
      <c r="W9" s="3" t="n">
        <v>41357.0</v>
      </c>
      <c r="X9" s="3" t="n">
        <v>41188.0</v>
      </c>
      <c r="Y9" s="3" t="n">
        <v>40955.0</v>
      </c>
      <c r="Z9" s="3" t="n">
        <v>40648.0</v>
      </c>
      <c r="AA9" s="3" t="n">
        <v>40260.0</v>
      </c>
      <c r="AB9" s="3" t="n">
        <v>39740.0</v>
      </c>
      <c r="AC9" s="3" t="n">
        <v>39114.0</v>
      </c>
      <c r="AD9" s="3" t="n">
        <v>38378.0</v>
      </c>
      <c r="AE9" s="3" t="n">
        <v>37566.0</v>
      </c>
      <c r="AF9" s="3" t="n">
        <v>36655.0</v>
      </c>
      <c r="AG9" s="3" t="n">
        <v>35667.0</v>
      </c>
      <c r="AH9" s="3" t="n">
        <v>34634.0</v>
      </c>
      <c r="AI9" s="3" t="n">
        <v>33565.0</v>
      </c>
      <c r="AJ9" s="3" t="n">
        <v>32471.0</v>
      </c>
      <c r="AK9" s="3" t="n">
        <v>31385.0</v>
      </c>
      <c r="AL9" s="3" t="n">
        <v>30334.0</v>
      </c>
      <c r="AM9" s="3" t="n">
        <v>29300.0</v>
      </c>
      <c r="AN9" s="3" t="n">
        <v>28320.0</v>
      </c>
      <c r="AO9" s="3" t="n">
        <v>27397.0</v>
      </c>
    </row>
    <row r="10" spans="1:41" x14ac:dyDescent="0.2">
      <c r="A10" s="133"/>
      <c r="B10" s="64" t="s">
        <v>21</v>
      </c>
      <c r="C10" s="3" t="n">
        <v>80665.0</v>
      </c>
      <c r="D10" s="3" t="n">
        <v>80201.0</v>
      </c>
      <c r="E10" s="3" t="n">
        <v>78649.0</v>
      </c>
      <c r="F10" s="3" t="n">
        <v>76401.0</v>
      </c>
      <c r="G10" s="3" t="n">
        <v>73198.0</v>
      </c>
      <c r="H10" s="3" t="n">
        <v>68478.0</v>
      </c>
      <c r="I10" s="3" t="n">
        <v>64404.0</v>
      </c>
      <c r="J10" s="3" t="n">
        <v>60558.0</v>
      </c>
      <c r="K10" s="3" t="n">
        <v>57283.0</v>
      </c>
      <c r="L10" s="3" t="n">
        <v>54310.0</v>
      </c>
      <c r="M10" s="3" t="n">
        <v>52314.0</v>
      </c>
      <c r="N10" s="3" t="n">
        <v>50624.0</v>
      </c>
      <c r="O10" s="3" t="n">
        <v>49121.0</v>
      </c>
      <c r="P10" s="3" t="n">
        <v>47799.0</v>
      </c>
      <c r="Q10" s="3" t="n">
        <v>46634.0</v>
      </c>
      <c r="R10" s="3" t="n">
        <v>45656.0</v>
      </c>
      <c r="S10" s="3" t="n">
        <v>44816.0</v>
      </c>
      <c r="T10" s="3" t="n">
        <v>44102.0</v>
      </c>
      <c r="U10" s="3" t="n">
        <v>43504.0</v>
      </c>
      <c r="V10" s="3" t="n">
        <v>43036.0</v>
      </c>
      <c r="W10" s="3" t="n">
        <v>42691.0</v>
      </c>
      <c r="X10" s="3" t="n">
        <v>42443.0</v>
      </c>
      <c r="Y10" s="3" t="n">
        <v>42266.0</v>
      </c>
      <c r="Z10" s="3" t="n">
        <v>42141.0</v>
      </c>
      <c r="AA10" s="3" t="n">
        <v>42013.0</v>
      </c>
      <c r="AB10" s="3" t="n">
        <v>41896.0</v>
      </c>
      <c r="AC10" s="3" t="n">
        <v>41736.0</v>
      </c>
      <c r="AD10" s="3" t="n">
        <v>41507.0</v>
      </c>
      <c r="AE10" s="3" t="n">
        <v>41209.0</v>
      </c>
      <c r="AF10" s="3" t="n">
        <v>40844.0</v>
      </c>
      <c r="AG10" s="3" t="n">
        <v>40359.0</v>
      </c>
      <c r="AH10" s="3" t="n">
        <v>39775.0</v>
      </c>
      <c r="AI10" s="3" t="n">
        <v>39070.0</v>
      </c>
      <c r="AJ10" s="3" t="n">
        <v>38271.0</v>
      </c>
      <c r="AK10" s="3" t="n">
        <v>37366.0</v>
      </c>
      <c r="AL10" s="3" t="n">
        <v>36374.0</v>
      </c>
      <c r="AM10" s="3" t="n">
        <v>35332.0</v>
      </c>
      <c r="AN10" s="3" t="n">
        <v>34271.0</v>
      </c>
      <c r="AO10" s="3" t="n">
        <v>33195.0</v>
      </c>
    </row>
    <row r="11" spans="1:41" x14ac:dyDescent="0.2">
      <c r="A11" s="133"/>
      <c r="B11" s="65" t="s">
        <v>22</v>
      </c>
      <c r="C11" s="3" t="n">
        <v>87089.0</v>
      </c>
      <c r="D11" s="3" t="n">
        <v>84719.0</v>
      </c>
      <c r="E11" s="3" t="n">
        <v>82725.0</v>
      </c>
      <c r="F11" s="3" t="n">
        <v>80804.0</v>
      </c>
      <c r="G11" s="3" t="n">
        <v>80592.0</v>
      </c>
      <c r="H11" s="3" t="n">
        <v>80948.0</v>
      </c>
      <c r="I11" s="3" t="n">
        <v>80889.0</v>
      </c>
      <c r="J11" s="3" t="n">
        <v>79577.0</v>
      </c>
      <c r="K11" s="3" t="n">
        <v>77441.0</v>
      </c>
      <c r="L11" s="3" t="n">
        <v>74276.0</v>
      </c>
      <c r="M11" s="3" t="n">
        <v>69318.0</v>
      </c>
      <c r="N11" s="3" t="n">
        <v>64896.0</v>
      </c>
      <c r="O11" s="3" t="n">
        <v>60897.0</v>
      </c>
      <c r="P11" s="3" t="n">
        <v>57570.0</v>
      </c>
      <c r="Q11" s="3" t="n">
        <v>54586.0</v>
      </c>
      <c r="R11" s="3" t="n">
        <v>52564.0</v>
      </c>
      <c r="S11" s="3" t="n">
        <v>50874.0</v>
      </c>
      <c r="T11" s="3" t="n">
        <v>49360.0</v>
      </c>
      <c r="U11" s="3" t="n">
        <v>48033.0</v>
      </c>
      <c r="V11" s="3" t="n">
        <v>46853.0</v>
      </c>
      <c r="W11" s="3" t="n">
        <v>45848.0</v>
      </c>
      <c r="X11" s="3" t="n">
        <v>44986.0</v>
      </c>
      <c r="Y11" s="3" t="n">
        <v>44257.0</v>
      </c>
      <c r="Z11" s="3" t="n">
        <v>43652.0</v>
      </c>
      <c r="AA11" s="3" t="n">
        <v>43170.0</v>
      </c>
      <c r="AB11" s="3" t="n">
        <v>42815.0</v>
      </c>
      <c r="AC11" s="3" t="n">
        <v>42550.0</v>
      </c>
      <c r="AD11" s="3" t="n">
        <v>42362.0</v>
      </c>
      <c r="AE11" s="3" t="n">
        <v>42223.0</v>
      </c>
      <c r="AF11" s="3" t="n">
        <v>42088.0</v>
      </c>
      <c r="AG11" s="3" t="n">
        <v>41968.0</v>
      </c>
      <c r="AH11" s="3" t="n">
        <v>41808.0</v>
      </c>
      <c r="AI11" s="3" t="n">
        <v>41580.0</v>
      </c>
      <c r="AJ11" s="3" t="n">
        <v>41280.0</v>
      </c>
      <c r="AK11" s="3" t="n">
        <v>40918.0</v>
      </c>
      <c r="AL11" s="3" t="n">
        <v>40437.0</v>
      </c>
      <c r="AM11" s="3" t="n">
        <v>39851.0</v>
      </c>
      <c r="AN11" s="3" t="n">
        <v>39153.0</v>
      </c>
      <c r="AO11" s="3" t="n">
        <v>38364.0</v>
      </c>
    </row>
    <row r="12" spans="1:41" x14ac:dyDescent="0.2">
      <c r="A12" s="133"/>
      <c r="B12" s="64" t="s">
        <v>23</v>
      </c>
      <c r="C12" s="3" t="n">
        <v>77987.0</v>
      </c>
      <c r="D12" s="3" t="n">
        <v>81517.0</v>
      </c>
      <c r="E12" s="3" t="n">
        <v>84577.0</v>
      </c>
      <c r="F12" s="3" t="n">
        <v>86868.0</v>
      </c>
      <c r="G12" s="3" t="n">
        <v>87324.0</v>
      </c>
      <c r="H12" s="3" t="n">
        <v>87012.0</v>
      </c>
      <c r="I12" s="3" t="n">
        <v>84977.0</v>
      </c>
      <c r="J12" s="3" t="n">
        <v>83172.0</v>
      </c>
      <c r="K12" s="3" t="n">
        <v>81344.0</v>
      </c>
      <c r="L12" s="3" t="n">
        <v>81174.0</v>
      </c>
      <c r="M12" s="3" t="n">
        <v>81277.0</v>
      </c>
      <c r="N12" s="3" t="n">
        <v>80871.0</v>
      </c>
      <c r="O12" s="3" t="n">
        <v>79397.0</v>
      </c>
      <c r="P12" s="3" t="n">
        <v>77184.0</v>
      </c>
      <c r="Q12" s="3" t="n">
        <v>74006.0</v>
      </c>
      <c r="R12" s="3" t="n">
        <v>69082.0</v>
      </c>
      <c r="S12" s="3" t="n">
        <v>64722.0</v>
      </c>
      <c r="T12" s="3" t="n">
        <v>60781.0</v>
      </c>
      <c r="U12" s="3" t="n">
        <v>57472.0</v>
      </c>
      <c r="V12" s="3" t="n">
        <v>54493.0</v>
      </c>
      <c r="W12" s="3" t="n">
        <v>52467.0</v>
      </c>
      <c r="X12" s="3" t="n">
        <v>50744.0</v>
      </c>
      <c r="Y12" s="3" t="n">
        <v>49215.0</v>
      </c>
      <c r="Z12" s="3" t="n">
        <v>47876.0</v>
      </c>
      <c r="AA12" s="3" t="n">
        <v>46688.0</v>
      </c>
      <c r="AB12" s="3" t="n">
        <v>45665.0</v>
      </c>
      <c r="AC12" s="3" t="n">
        <v>44788.0</v>
      </c>
      <c r="AD12" s="3" t="n">
        <v>44039.0</v>
      </c>
      <c r="AE12" s="3" t="n">
        <v>43416.0</v>
      </c>
      <c r="AF12" s="3" t="n">
        <v>42919.0</v>
      </c>
      <c r="AG12" s="3" t="n">
        <v>42550.0</v>
      </c>
      <c r="AH12" s="3" t="n">
        <v>42272.0</v>
      </c>
      <c r="AI12" s="3" t="n">
        <v>42069.0</v>
      </c>
      <c r="AJ12" s="3" t="n">
        <v>41918.0</v>
      </c>
      <c r="AK12" s="3" t="n">
        <v>41765.0</v>
      </c>
      <c r="AL12" s="3" t="n">
        <v>41636.0</v>
      </c>
      <c r="AM12" s="3" t="n">
        <v>41469.0</v>
      </c>
      <c r="AN12" s="3" t="n">
        <v>41230.0</v>
      </c>
      <c r="AO12" s="3" t="n">
        <v>40929.0</v>
      </c>
    </row>
    <row r="13" spans="1:41" x14ac:dyDescent="0.2">
      <c r="A13" s="133"/>
      <c r="B13" s="64" t="s">
        <v>24</v>
      </c>
      <c r="C13" s="3" t="n">
        <v>76241.0</v>
      </c>
      <c r="D13" s="3" t="n">
        <v>75049.0</v>
      </c>
      <c r="E13" s="3" t="n">
        <v>74473.0</v>
      </c>
      <c r="F13" s="3" t="n">
        <v>74340.0</v>
      </c>
      <c r="G13" s="3" t="n">
        <v>74911.0</v>
      </c>
      <c r="H13" s="3" t="n">
        <v>77109.0</v>
      </c>
      <c r="I13" s="3" t="n">
        <v>80705.0</v>
      </c>
      <c r="J13" s="3" t="n">
        <v>83789.0</v>
      </c>
      <c r="K13" s="3" t="n">
        <v>86132.0</v>
      </c>
      <c r="L13" s="3" t="n">
        <v>86623.0</v>
      </c>
      <c r="M13" s="3" t="n">
        <v>86177.0</v>
      </c>
      <c r="N13" s="3" t="n">
        <v>83933.0</v>
      </c>
      <c r="O13" s="3" t="n">
        <v>82025.0</v>
      </c>
      <c r="P13" s="3" t="n">
        <v>80154.0</v>
      </c>
      <c r="Q13" s="3" t="n">
        <v>79924.0</v>
      </c>
      <c r="R13" s="3" t="n">
        <v>79995.0</v>
      </c>
      <c r="S13" s="3" t="n">
        <v>79578.0</v>
      </c>
      <c r="T13" s="3" t="n">
        <v>78119.0</v>
      </c>
      <c r="U13" s="3" t="n">
        <v>75969.0</v>
      </c>
      <c r="V13" s="3" t="n">
        <v>72875.0</v>
      </c>
      <c r="W13" s="3" t="n">
        <v>68028.0</v>
      </c>
      <c r="X13" s="3" t="n">
        <v>63733.0</v>
      </c>
      <c r="Y13" s="3" t="n">
        <v>59858.0</v>
      </c>
      <c r="Z13" s="3" t="n">
        <v>56592.0</v>
      </c>
      <c r="AA13" s="3" t="n">
        <v>53661.0</v>
      </c>
      <c r="AB13" s="3" t="n">
        <v>51684.0</v>
      </c>
      <c r="AC13" s="3" t="n">
        <v>49981.0</v>
      </c>
      <c r="AD13" s="3" t="n">
        <v>48460.0</v>
      </c>
      <c r="AE13" s="3" t="n">
        <v>47108.0</v>
      </c>
      <c r="AF13" s="3" t="n">
        <v>45902.0</v>
      </c>
      <c r="AG13" s="3" t="n">
        <v>44853.0</v>
      </c>
      <c r="AH13" s="3" t="n">
        <v>43956.0</v>
      </c>
      <c r="AI13" s="3" t="n">
        <v>43187.0</v>
      </c>
      <c r="AJ13" s="3" t="n">
        <v>42555.0</v>
      </c>
      <c r="AK13" s="3" t="n">
        <v>42047.0</v>
      </c>
      <c r="AL13" s="3" t="n">
        <v>41664.0</v>
      </c>
      <c r="AM13" s="3" t="n">
        <v>41371.0</v>
      </c>
      <c r="AN13" s="3" t="n">
        <v>41155.0</v>
      </c>
      <c r="AO13" s="3" t="n">
        <v>40984.0</v>
      </c>
    </row>
    <row r="14" spans="1:41" x14ac:dyDescent="0.2">
      <c r="A14" s="133"/>
      <c r="B14" s="64" t="s">
        <v>25</v>
      </c>
      <c r="C14" s="3" t="n">
        <v>90535.0</v>
      </c>
      <c r="D14" s="3" t="n">
        <v>86046.0</v>
      </c>
      <c r="E14" s="3" t="n">
        <v>82030.0</v>
      </c>
      <c r="F14" s="3" t="n">
        <v>79139.0</v>
      </c>
      <c r="G14" s="3" t="n">
        <v>77006.0</v>
      </c>
      <c r="H14" s="3" t="n">
        <v>75413.0</v>
      </c>
      <c r="I14" s="3" t="n">
        <v>74319.0</v>
      </c>
      <c r="J14" s="3" t="n">
        <v>73765.0</v>
      </c>
      <c r="K14" s="3" t="n">
        <v>73606.0</v>
      </c>
      <c r="L14" s="3" t="n">
        <v>74116.0</v>
      </c>
      <c r="M14" s="3" t="n">
        <v>76147.0</v>
      </c>
      <c r="N14" s="3" t="n">
        <v>79502.0</v>
      </c>
      <c r="O14" s="3" t="n">
        <v>82469.0</v>
      </c>
      <c r="P14" s="3" t="n">
        <v>84730.0</v>
      </c>
      <c r="Q14" s="3" t="n">
        <v>85239.0</v>
      </c>
      <c r="R14" s="3" t="n">
        <v>84827.0</v>
      </c>
      <c r="S14" s="3" t="n">
        <v>82625.0</v>
      </c>
      <c r="T14" s="3" t="n">
        <v>80761.0</v>
      </c>
      <c r="U14" s="3" t="n">
        <v>78912.0</v>
      </c>
      <c r="V14" s="3" t="n">
        <v>78664.0</v>
      </c>
      <c r="W14" s="3" t="n">
        <v>78720.0</v>
      </c>
      <c r="X14" s="3" t="n">
        <v>78358.0</v>
      </c>
      <c r="Y14" s="3" t="n">
        <v>76964.0</v>
      </c>
      <c r="Z14" s="3" t="n">
        <v>74894.0</v>
      </c>
      <c r="AA14" s="3" t="n">
        <v>71897.0</v>
      </c>
      <c r="AB14" s="3" t="n">
        <v>67164.0</v>
      </c>
      <c r="AC14" s="3" t="n">
        <v>62973.0</v>
      </c>
      <c r="AD14" s="3" t="n">
        <v>59186.0</v>
      </c>
      <c r="AE14" s="3" t="n">
        <v>56012.0</v>
      </c>
      <c r="AF14" s="3" t="n">
        <v>53118.0</v>
      </c>
      <c r="AG14" s="3" t="n">
        <v>51161.0</v>
      </c>
      <c r="AH14" s="3" t="n">
        <v>49469.0</v>
      </c>
      <c r="AI14" s="3" t="n">
        <v>47943.0</v>
      </c>
      <c r="AJ14" s="3" t="n">
        <v>46604.0</v>
      </c>
      <c r="AK14" s="3" t="n">
        <v>45401.0</v>
      </c>
      <c r="AL14" s="3" t="n">
        <v>44350.0</v>
      </c>
      <c r="AM14" s="3" t="n">
        <v>43458.0</v>
      </c>
      <c r="AN14" s="3" t="n">
        <v>42695.0</v>
      </c>
      <c r="AO14" s="3" t="n">
        <v>42047.0</v>
      </c>
    </row>
    <row r="15" spans="1:41" x14ac:dyDescent="0.2">
      <c r="A15" s="133"/>
      <c r="B15" s="64" t="s">
        <v>26</v>
      </c>
      <c r="C15" s="3" t="n">
        <v>109273.0</v>
      </c>
      <c r="D15" s="3" t="n">
        <v>105737.0</v>
      </c>
      <c r="E15" s="3" t="n">
        <v>102301.0</v>
      </c>
      <c r="F15" s="3" t="n">
        <v>97762.0</v>
      </c>
      <c r="G15" s="3" t="n">
        <v>93121.0</v>
      </c>
      <c r="H15" s="3" t="n">
        <v>89028.0</v>
      </c>
      <c r="I15" s="3" t="n">
        <v>84833.0</v>
      </c>
      <c r="J15" s="3" t="n">
        <v>81000.0</v>
      </c>
      <c r="K15" s="3" t="n">
        <v>78176.0</v>
      </c>
      <c r="L15" s="3" t="n">
        <v>76048.0</v>
      </c>
      <c r="M15" s="3" t="n">
        <v>74283.0</v>
      </c>
      <c r="N15" s="3" t="n">
        <v>72987.0</v>
      </c>
      <c r="O15" s="3" t="n">
        <v>72277.0</v>
      </c>
      <c r="P15" s="3" t="n">
        <v>72036.0</v>
      </c>
      <c r="Q15" s="3" t="n">
        <v>72489.0</v>
      </c>
      <c r="R15" s="3" t="n">
        <v>74450.0</v>
      </c>
      <c r="S15" s="3" t="n">
        <v>77708.0</v>
      </c>
      <c r="T15" s="3" t="n">
        <v>80589.0</v>
      </c>
      <c r="U15" s="3" t="n">
        <v>82802.0</v>
      </c>
      <c r="V15" s="3" t="n">
        <v>83310.0</v>
      </c>
      <c r="W15" s="3" t="n">
        <v>82958.0</v>
      </c>
      <c r="X15" s="3" t="n">
        <v>80805.0</v>
      </c>
      <c r="Y15" s="3" t="n">
        <v>78983.0</v>
      </c>
      <c r="Z15" s="3" t="n">
        <v>77160.0</v>
      </c>
      <c r="AA15" s="3" t="n">
        <v>76895.0</v>
      </c>
      <c r="AB15" s="3" t="n">
        <v>76943.0</v>
      </c>
      <c r="AC15" s="3" t="n">
        <v>76640.0</v>
      </c>
      <c r="AD15" s="3" t="n">
        <v>75326.0</v>
      </c>
      <c r="AE15" s="3" t="n">
        <v>73345.0</v>
      </c>
      <c r="AF15" s="3" t="n">
        <v>70489.0</v>
      </c>
      <c r="AG15" s="3" t="n">
        <v>65896.0</v>
      </c>
      <c r="AH15" s="3" t="n">
        <v>61828.0</v>
      </c>
      <c r="AI15" s="3" t="n">
        <v>58159.0</v>
      </c>
      <c r="AJ15" s="3" t="n">
        <v>55036.0</v>
      </c>
      <c r="AK15" s="3" t="n">
        <v>52170.0</v>
      </c>
      <c r="AL15" s="3" t="n">
        <v>50265.0</v>
      </c>
      <c r="AM15" s="3" t="n">
        <v>48592.0</v>
      </c>
      <c r="AN15" s="3" t="n">
        <v>47073.0</v>
      </c>
      <c r="AO15" s="3" t="n">
        <v>45743.0</v>
      </c>
    </row>
    <row r="16" spans="1:41" x14ac:dyDescent="0.2">
      <c r="A16" s="133"/>
      <c r="B16" s="64" t="s">
        <v>27</v>
      </c>
      <c r="C16" s="3" t="n">
        <v>133515.0</v>
      </c>
      <c r="D16" s="3" t="n">
        <v>127050.0</v>
      </c>
      <c r="E16" s="3" t="n">
        <v>120700.0</v>
      </c>
      <c r="F16" s="3" t="n">
        <v>115682.0</v>
      </c>
      <c r="G16" s="3" t="n">
        <v>111971.0</v>
      </c>
      <c r="H16" s="3" t="n">
        <v>108052.0</v>
      </c>
      <c r="I16" s="3" t="n">
        <v>104785.0</v>
      </c>
      <c r="J16" s="3" t="n">
        <v>101453.0</v>
      </c>
      <c r="K16" s="3" t="n">
        <v>96975.0</v>
      </c>
      <c r="L16" s="3" t="n">
        <v>92384.0</v>
      </c>
      <c r="M16" s="3" t="n">
        <v>88198.0</v>
      </c>
      <c r="N16" s="3" t="n">
        <v>83833.0</v>
      </c>
      <c r="O16" s="3" t="n">
        <v>79967.0</v>
      </c>
      <c r="P16" s="3" t="n">
        <v>77119.0</v>
      </c>
      <c r="Q16" s="3" t="n">
        <v>74937.0</v>
      </c>
      <c r="R16" s="3" t="n">
        <v>73132.0</v>
      </c>
      <c r="S16" s="3" t="n">
        <v>71794.0</v>
      </c>
      <c r="T16" s="3" t="n">
        <v>71051.0</v>
      </c>
      <c r="U16" s="3" t="n">
        <v>70785.0</v>
      </c>
      <c r="V16" s="3" t="n">
        <v>71207.0</v>
      </c>
      <c r="W16" s="3" t="n">
        <v>73070.0</v>
      </c>
      <c r="X16" s="3" t="n">
        <v>76233.0</v>
      </c>
      <c r="Y16" s="3" t="n">
        <v>79039.0</v>
      </c>
      <c r="Z16" s="3" t="n">
        <v>81204.0</v>
      </c>
      <c r="AA16" s="3" t="n">
        <v>81720.0</v>
      </c>
      <c r="AB16" s="3" t="n">
        <v>81394.0</v>
      </c>
      <c r="AC16" s="3" t="n">
        <v>79282.0</v>
      </c>
      <c r="AD16" s="3" t="n">
        <v>77480.0</v>
      </c>
      <c r="AE16" s="3" t="n">
        <v>75663.0</v>
      </c>
      <c r="AF16" s="3" t="n">
        <v>75380.0</v>
      </c>
      <c r="AG16" s="3" t="n">
        <v>75452.0</v>
      </c>
      <c r="AH16" s="3" t="n">
        <v>75194.0</v>
      </c>
      <c r="AI16" s="3" t="n">
        <v>73947.0</v>
      </c>
      <c r="AJ16" s="3" t="n">
        <v>72064.0</v>
      </c>
      <c r="AK16" s="3" t="n">
        <v>69302.0</v>
      </c>
      <c r="AL16" s="3" t="n">
        <v>64796.0</v>
      </c>
      <c r="AM16" s="3" t="n">
        <v>60791.0</v>
      </c>
      <c r="AN16" s="3" t="n">
        <v>57188.0</v>
      </c>
      <c r="AO16" s="3" t="n">
        <v>54127.0</v>
      </c>
    </row>
    <row r="17" spans="1:41" x14ac:dyDescent="0.2">
      <c r="A17" s="133"/>
      <c r="B17" s="64" t="s">
        <v>28</v>
      </c>
      <c r="C17" s="3" t="n">
        <v>139160.0</v>
      </c>
      <c r="D17" s="3" t="n">
        <v>141229.0</v>
      </c>
      <c r="E17" s="3" t="n">
        <v>141202.0</v>
      </c>
      <c r="F17" s="3" t="n">
        <v>139524.0</v>
      </c>
      <c r="G17" s="3" t="n">
        <v>136545.0</v>
      </c>
      <c r="H17" s="3" t="n">
        <v>131844.0</v>
      </c>
      <c r="I17" s="3" t="n">
        <v>125712.0</v>
      </c>
      <c r="J17" s="3" t="n">
        <v>119620.0</v>
      </c>
      <c r="K17" s="3" t="n">
        <v>114787.0</v>
      </c>
      <c r="L17" s="3" t="n">
        <v>111220.0</v>
      </c>
      <c r="M17" s="3" t="n">
        <v>107208.0</v>
      </c>
      <c r="N17" s="3" t="n">
        <v>103757.0</v>
      </c>
      <c r="O17" s="3" t="n">
        <v>100329.0</v>
      </c>
      <c r="P17" s="3" t="n">
        <v>95863.0</v>
      </c>
      <c r="Q17" s="3" t="n">
        <v>91287.0</v>
      </c>
      <c r="R17" s="3" t="n">
        <v>87153.0</v>
      </c>
      <c r="S17" s="3" t="n">
        <v>82839.0</v>
      </c>
      <c r="T17" s="3" t="n">
        <v>78999.0</v>
      </c>
      <c r="U17" s="3" t="n">
        <v>76158.0</v>
      </c>
      <c r="V17" s="3" t="n">
        <v>73957.0</v>
      </c>
      <c r="W17" s="3" t="n">
        <v>72125.0</v>
      </c>
      <c r="X17" s="3" t="n">
        <v>70750.0</v>
      </c>
      <c r="Y17" s="3" t="n">
        <v>69977.0</v>
      </c>
      <c r="Z17" s="3" t="n">
        <v>69689.0</v>
      </c>
      <c r="AA17" s="3" t="n">
        <v>70074.0</v>
      </c>
      <c r="AB17" s="3" t="n">
        <v>71882.0</v>
      </c>
      <c r="AC17" s="3" t="n">
        <v>74970.0</v>
      </c>
      <c r="AD17" s="3" t="n">
        <v>77729.0</v>
      </c>
      <c r="AE17" s="3" t="n">
        <v>79868.0</v>
      </c>
      <c r="AF17" s="3" t="n">
        <v>80394.0</v>
      </c>
      <c r="AG17" s="3" t="n">
        <v>80079.0</v>
      </c>
      <c r="AH17" s="3" t="n">
        <v>77974.0</v>
      </c>
      <c r="AI17" s="3" t="n">
        <v>76185.0</v>
      </c>
      <c r="AJ17" s="3" t="n">
        <v>74380.0</v>
      </c>
      <c r="AK17" s="3" t="n">
        <v>74077.0</v>
      </c>
      <c r="AL17" s="3" t="n">
        <v>74140.0</v>
      </c>
      <c r="AM17" s="3" t="n">
        <v>73889.0</v>
      </c>
      <c r="AN17" s="3" t="n">
        <v>72662.0</v>
      </c>
      <c r="AO17" s="3" t="n">
        <v>70828.0</v>
      </c>
    </row>
    <row r="18" spans="1:41" x14ac:dyDescent="0.2">
      <c r="A18" s="133"/>
      <c r="B18" s="64" t="s">
        <v>29</v>
      </c>
      <c r="C18" s="3" t="n">
        <v>128385.0</v>
      </c>
      <c r="D18" s="3" t="n">
        <v>131262.0</v>
      </c>
      <c r="E18" s="3" t="n">
        <v>133776.0</v>
      </c>
      <c r="F18" s="3" t="n">
        <v>134973.0</v>
      </c>
      <c r="G18" s="3" t="n">
        <v>135266.0</v>
      </c>
      <c r="H18" s="3" t="n">
        <v>137054.0</v>
      </c>
      <c r="I18" s="3" t="n">
        <v>139211.0</v>
      </c>
      <c r="J18" s="3" t="n">
        <v>139278.0</v>
      </c>
      <c r="K18" s="3" t="n">
        <v>137703.0</v>
      </c>
      <c r="L18" s="3" t="n">
        <v>134834.0</v>
      </c>
      <c r="M18" s="3" t="n">
        <v>130152.0</v>
      </c>
      <c r="N18" s="3" t="n">
        <v>124002.0</v>
      </c>
      <c r="O18" s="3" t="n">
        <v>117972.0</v>
      </c>
      <c r="P18" s="3" t="n">
        <v>113222.0</v>
      </c>
      <c r="Q18" s="3" t="n">
        <v>109729.0</v>
      </c>
      <c r="R18" s="3" t="n">
        <v>105793.0</v>
      </c>
      <c r="S18" s="3" t="n">
        <v>102417.0</v>
      </c>
      <c r="T18" s="3" t="n">
        <v>99038.0</v>
      </c>
      <c r="U18" s="3" t="n">
        <v>94597.0</v>
      </c>
      <c r="V18" s="3" t="n">
        <v>90078.0</v>
      </c>
      <c r="W18" s="3" t="n">
        <v>86006.0</v>
      </c>
      <c r="X18" s="3" t="n">
        <v>81753.0</v>
      </c>
      <c r="Y18" s="3" t="n">
        <v>77972.0</v>
      </c>
      <c r="Z18" s="3" t="n">
        <v>75168.0</v>
      </c>
      <c r="AA18" s="3" t="n">
        <v>72947.0</v>
      </c>
      <c r="AB18" s="3" t="n">
        <v>71093.0</v>
      </c>
      <c r="AC18" s="3" t="n">
        <v>69700.0</v>
      </c>
      <c r="AD18" s="3" t="n">
        <v>68914.0</v>
      </c>
      <c r="AE18" s="3" t="n">
        <v>68605.0</v>
      </c>
      <c r="AF18" s="3" t="n">
        <v>68975.0</v>
      </c>
      <c r="AG18" s="3" t="n">
        <v>70731.0</v>
      </c>
      <c r="AH18" s="3" t="n">
        <v>73773.0</v>
      </c>
      <c r="AI18" s="3" t="n">
        <v>76470.0</v>
      </c>
      <c r="AJ18" s="3" t="n">
        <v>78569.0</v>
      </c>
      <c r="AK18" s="3" t="n">
        <v>79073.0</v>
      </c>
      <c r="AL18" s="3" t="n">
        <v>78757.0</v>
      </c>
      <c r="AM18" s="3" t="n">
        <v>76683.0</v>
      </c>
      <c r="AN18" s="3" t="n">
        <v>74925.0</v>
      </c>
      <c r="AO18" s="3" t="n">
        <v>73127.0</v>
      </c>
    </row>
    <row r="19" spans="1:41" x14ac:dyDescent="0.2">
      <c r="A19" s="133"/>
      <c r="B19" s="64" t="s">
        <v>30</v>
      </c>
      <c r="C19" s="3" t="n">
        <v>102771.0</v>
      </c>
      <c r="D19" s="3" t="n">
        <v>106610.0</v>
      </c>
      <c r="E19" s="3" t="n">
        <v>111523.0</v>
      </c>
      <c r="F19" s="3" t="n">
        <v>116967.0</v>
      </c>
      <c r="G19" s="3" t="n">
        <v>121927.0</v>
      </c>
      <c r="H19" s="3" t="n">
        <v>125511.0</v>
      </c>
      <c r="I19" s="3" t="n">
        <v>128397.0</v>
      </c>
      <c r="J19" s="3" t="n">
        <v>130894.0</v>
      </c>
      <c r="K19" s="3" t="n">
        <v>132103.0</v>
      </c>
      <c r="L19" s="3" t="n">
        <v>132423.0</v>
      </c>
      <c r="M19" s="3" t="n">
        <v>134098.0</v>
      </c>
      <c r="N19" s="3" t="n">
        <v>136092.0</v>
      </c>
      <c r="O19" s="3" t="n">
        <v>136139.0</v>
      </c>
      <c r="P19" s="3" t="n">
        <v>134627.0</v>
      </c>
      <c r="Q19" s="3" t="n">
        <v>131867.0</v>
      </c>
      <c r="R19" s="3" t="n">
        <v>127308.0</v>
      </c>
      <c r="S19" s="3" t="n">
        <v>121328.0</v>
      </c>
      <c r="T19" s="3" t="n">
        <v>115457.0</v>
      </c>
      <c r="U19" s="3" t="n">
        <v>110859.0</v>
      </c>
      <c r="V19" s="3" t="n">
        <v>107470.0</v>
      </c>
      <c r="W19" s="3" t="n">
        <v>103644.0</v>
      </c>
      <c r="X19" s="3" t="n">
        <v>100355.0</v>
      </c>
      <c r="Y19" s="3" t="n">
        <v>97034.0</v>
      </c>
      <c r="Z19" s="3" t="n">
        <v>92686.0</v>
      </c>
      <c r="AA19" s="3" t="n">
        <v>88252.0</v>
      </c>
      <c r="AB19" s="3" t="n">
        <v>84248.0</v>
      </c>
      <c r="AC19" s="3" t="n">
        <v>80094.0</v>
      </c>
      <c r="AD19" s="3" t="n">
        <v>76400.0</v>
      </c>
      <c r="AE19" s="3" t="n">
        <v>73665.0</v>
      </c>
      <c r="AF19" s="3" t="n">
        <v>71493.0</v>
      </c>
      <c r="AG19" s="3" t="n">
        <v>69663.0</v>
      </c>
      <c r="AH19" s="3" t="n">
        <v>68271.0</v>
      </c>
      <c r="AI19" s="3" t="n">
        <v>67474.0</v>
      </c>
      <c r="AJ19" s="3" t="n">
        <v>67141.0</v>
      </c>
      <c r="AK19" s="3" t="n">
        <v>67506.0</v>
      </c>
      <c r="AL19" s="3" t="n">
        <v>69226.0</v>
      </c>
      <c r="AM19" s="3" t="n">
        <v>72201.0</v>
      </c>
      <c r="AN19" s="3" t="n">
        <v>74826.0</v>
      </c>
      <c r="AO19" s="3" t="n">
        <v>76873.0</v>
      </c>
    </row>
    <row r="20" spans="1:41" x14ac:dyDescent="0.2">
      <c r="A20" s="133"/>
      <c r="B20" s="64" t="s">
        <v>31</v>
      </c>
      <c r="C20" s="3" t="n">
        <v>95838.0</v>
      </c>
      <c r="D20" s="3" t="n">
        <v>93834.0</v>
      </c>
      <c r="E20" s="3" t="n">
        <v>93240.0</v>
      </c>
      <c r="F20" s="3" t="n">
        <v>94315.0</v>
      </c>
      <c r="G20" s="3" t="n">
        <v>96241.0</v>
      </c>
      <c r="H20" s="3" t="n">
        <v>99340.0</v>
      </c>
      <c r="I20" s="3" t="n">
        <v>103172.0</v>
      </c>
      <c r="J20" s="3" t="n">
        <v>107954.0</v>
      </c>
      <c r="K20" s="3" t="n">
        <v>113228.0</v>
      </c>
      <c r="L20" s="3" t="n">
        <v>118013.0</v>
      </c>
      <c r="M20" s="3" t="n">
        <v>121416.0</v>
      </c>
      <c r="N20" s="3" t="n">
        <v>124111.0</v>
      </c>
      <c r="O20" s="3" t="n">
        <v>126497.0</v>
      </c>
      <c r="P20" s="3" t="n">
        <v>127664.0</v>
      </c>
      <c r="Q20" s="3" t="n">
        <v>127964.0</v>
      </c>
      <c r="R20" s="3" t="n">
        <v>129601.0</v>
      </c>
      <c r="S20" s="3" t="n">
        <v>131560.0</v>
      </c>
      <c r="T20" s="3" t="n">
        <v>131613.0</v>
      </c>
      <c r="U20" s="3" t="n">
        <v>130175.0</v>
      </c>
      <c r="V20" s="3" t="n">
        <v>127524.0</v>
      </c>
      <c r="W20" s="3" t="n">
        <v>123154.0</v>
      </c>
      <c r="X20" s="3" t="n">
        <v>117427.0</v>
      </c>
      <c r="Y20" s="3" t="n">
        <v>111806.0</v>
      </c>
      <c r="Z20" s="3" t="n">
        <v>107411.0</v>
      </c>
      <c r="AA20" s="3" t="n">
        <v>104169.0</v>
      </c>
      <c r="AB20" s="3" t="n">
        <v>100504.0</v>
      </c>
      <c r="AC20" s="3" t="n">
        <v>97328.0</v>
      </c>
      <c r="AD20" s="3" t="n">
        <v>94103.0</v>
      </c>
      <c r="AE20" s="3" t="n">
        <v>89888.0</v>
      </c>
      <c r="AF20" s="3" t="n">
        <v>85584.0</v>
      </c>
      <c r="AG20" s="3" t="n">
        <v>81703.0</v>
      </c>
      <c r="AH20" s="3" t="n">
        <v>77709.0</v>
      </c>
      <c r="AI20" s="3" t="n">
        <v>74142.0</v>
      </c>
      <c r="AJ20" s="3" t="n">
        <v>71492.0</v>
      </c>
      <c r="AK20" s="3" t="n">
        <v>69380.0</v>
      </c>
      <c r="AL20" s="3" t="n">
        <v>67577.0</v>
      </c>
      <c r="AM20" s="3" t="n">
        <v>66193.0</v>
      </c>
      <c r="AN20" s="3" t="n">
        <v>65412.0</v>
      </c>
      <c r="AO20" s="3" t="n">
        <v>65116.0</v>
      </c>
    </row>
    <row r="21" spans="1:41" x14ac:dyDescent="0.2">
      <c r="A21" s="133"/>
      <c r="B21" s="64" t="s">
        <v>32</v>
      </c>
      <c r="C21" s="3" t="n">
        <v>113277.0</v>
      </c>
      <c r="D21" s="3" t="n">
        <v>106756.0</v>
      </c>
      <c r="E21" s="3" t="n">
        <v>100621.0</v>
      </c>
      <c r="F21" s="3" t="n">
        <v>96100.0</v>
      </c>
      <c r="G21" s="3" t="n">
        <v>92765.0</v>
      </c>
      <c r="H21" s="3" t="n">
        <v>90958.0</v>
      </c>
      <c r="I21" s="3" t="n">
        <v>89194.0</v>
      </c>
      <c r="J21" s="3" t="n">
        <v>88698.0</v>
      </c>
      <c r="K21" s="3" t="n">
        <v>89743.0</v>
      </c>
      <c r="L21" s="3" t="n">
        <v>91591.0</v>
      </c>
      <c r="M21" s="3" t="n">
        <v>94490.0</v>
      </c>
      <c r="N21" s="3" t="n">
        <v>98045.0</v>
      </c>
      <c r="O21" s="3" t="n">
        <v>102569.0</v>
      </c>
      <c r="P21" s="3" t="n">
        <v>107575.0</v>
      </c>
      <c r="Q21" s="3" t="n">
        <v>112114.0</v>
      </c>
      <c r="R21" s="3" t="n">
        <v>115344.0</v>
      </c>
      <c r="S21" s="3" t="n">
        <v>117889.0</v>
      </c>
      <c r="T21" s="3" t="n">
        <v>120171.0</v>
      </c>
      <c r="U21" s="3" t="n">
        <v>121323.0</v>
      </c>
      <c r="V21" s="3" t="n">
        <v>121609.0</v>
      </c>
      <c r="W21" s="3" t="n">
        <v>123193.0</v>
      </c>
      <c r="X21" s="3" t="n">
        <v>125060.0</v>
      </c>
      <c r="Y21" s="3" t="n">
        <v>125150.0</v>
      </c>
      <c r="Z21" s="3" t="n">
        <v>123812.0</v>
      </c>
      <c r="AA21" s="3" t="n">
        <v>121315.0</v>
      </c>
      <c r="AB21" s="3" t="n">
        <v>117187.0</v>
      </c>
      <c r="AC21" s="3" t="n">
        <v>111801.0</v>
      </c>
      <c r="AD21" s="3" t="n">
        <v>106500.0</v>
      </c>
      <c r="AE21" s="3" t="n">
        <v>102369.0</v>
      </c>
      <c r="AF21" s="3" t="n">
        <v>99306.0</v>
      </c>
      <c r="AG21" s="3" t="n">
        <v>95834.0</v>
      </c>
      <c r="AH21" s="3" t="n">
        <v>92793.0</v>
      </c>
      <c r="AI21" s="3" t="n">
        <v>89726.0</v>
      </c>
      <c r="AJ21" s="3" t="n">
        <v>85714.0</v>
      </c>
      <c r="AK21" s="3" t="n">
        <v>81634.0</v>
      </c>
      <c r="AL21" s="3" t="n">
        <v>77957.0</v>
      </c>
      <c r="AM21" s="3" t="n">
        <v>74173.0</v>
      </c>
      <c r="AN21" s="3" t="n">
        <v>70803.0</v>
      </c>
      <c r="AO21" s="3" t="n">
        <v>68275.0</v>
      </c>
    </row>
    <row r="22" spans="1:41" x14ac:dyDescent="0.2">
      <c r="A22" s="133"/>
      <c r="B22" s="65" t="s">
        <v>33</v>
      </c>
      <c r="C22" s="3" t="n">
        <v>121975.0</v>
      </c>
      <c r="D22" s="3" t="n">
        <v>122096.0</v>
      </c>
      <c r="E22" s="3" t="n">
        <v>120858.0</v>
      </c>
      <c r="F22" s="3" t="n">
        <v>116379.0</v>
      </c>
      <c r="G22" s="3" t="n">
        <v>110708.0</v>
      </c>
      <c r="H22" s="3" t="n">
        <v>104079.0</v>
      </c>
      <c r="I22" s="3" t="n">
        <v>98227.0</v>
      </c>
      <c r="J22" s="3" t="n">
        <v>92704.0</v>
      </c>
      <c r="K22" s="3" t="n">
        <v>88652.0</v>
      </c>
      <c r="L22" s="3" t="n">
        <v>85679.0</v>
      </c>
      <c r="M22" s="3" t="n">
        <v>84029.0</v>
      </c>
      <c r="N22" s="3" t="n">
        <v>82402.0</v>
      </c>
      <c r="O22" s="3" t="n">
        <v>81948.0</v>
      </c>
      <c r="P22" s="3" t="n">
        <v>82944.0</v>
      </c>
      <c r="Q22" s="3" t="n">
        <v>84701.0</v>
      </c>
      <c r="R22" s="3" t="n">
        <v>87418.0</v>
      </c>
      <c r="S22" s="3" t="n">
        <v>90751.0</v>
      </c>
      <c r="T22" s="3" t="n">
        <v>94942.0</v>
      </c>
      <c r="U22" s="3" t="n">
        <v>99572.0</v>
      </c>
      <c r="V22" s="3" t="n">
        <v>103784.0</v>
      </c>
      <c r="W22" s="3" t="n">
        <v>106798.0</v>
      </c>
      <c r="X22" s="3" t="n">
        <v>109175.0</v>
      </c>
      <c r="Y22" s="3" t="n">
        <v>111294.0</v>
      </c>
      <c r="Z22" s="3" t="n">
        <v>112392.0</v>
      </c>
      <c r="AA22" s="3" t="n">
        <v>112667.0</v>
      </c>
      <c r="AB22" s="3" t="n">
        <v>114154.0</v>
      </c>
      <c r="AC22" s="3" t="n">
        <v>115900.0</v>
      </c>
      <c r="AD22" s="3" t="n">
        <v>116021.0</v>
      </c>
      <c r="AE22" s="3" t="n">
        <v>114829.0</v>
      </c>
      <c r="AF22" s="3" t="n">
        <v>112529.0</v>
      </c>
      <c r="AG22" s="3" t="n">
        <v>108721.0</v>
      </c>
      <c r="AH22" s="3" t="n">
        <v>103803.0</v>
      </c>
      <c r="AI22" s="3" t="n">
        <v>98958.0</v>
      </c>
      <c r="AJ22" s="3" t="n">
        <v>95171.0</v>
      </c>
      <c r="AK22" s="3" t="n">
        <v>92375.0</v>
      </c>
      <c r="AL22" s="3" t="n">
        <v>89183.0</v>
      </c>
      <c r="AM22" s="3" t="n">
        <v>86358.0</v>
      </c>
      <c r="AN22" s="3" t="n">
        <v>83493.0</v>
      </c>
      <c r="AO22" s="3" t="n">
        <v>79778.0</v>
      </c>
    </row>
    <row r="23" spans="1:41" x14ac:dyDescent="0.2">
      <c r="A23" s="133"/>
      <c r="B23" s="64" t="s">
        <v>34</v>
      </c>
      <c r="C23" s="3" t="n">
        <v>100351.0</v>
      </c>
      <c r="D23" s="3" t="n">
        <v>102684.0</v>
      </c>
      <c r="E23" s="3" t="n">
        <v>104213.0</v>
      </c>
      <c r="F23" s="3" t="n">
        <v>106168.0</v>
      </c>
      <c r="G23" s="3" t="n">
        <v>107307.0</v>
      </c>
      <c r="H23" s="3" t="n">
        <v>108071.0</v>
      </c>
      <c r="I23" s="3" t="n">
        <v>108269.0</v>
      </c>
      <c r="J23" s="3" t="n">
        <v>107233.0</v>
      </c>
      <c r="K23" s="3" t="n">
        <v>103343.0</v>
      </c>
      <c r="L23" s="3" t="n">
        <v>98390.0</v>
      </c>
      <c r="M23" s="3" t="n">
        <v>92564.0</v>
      </c>
      <c r="N23" s="3" t="n">
        <v>87426.0</v>
      </c>
      <c r="O23" s="3" t="n">
        <v>82601.0</v>
      </c>
      <c r="P23" s="3" t="n">
        <v>79082.0</v>
      </c>
      <c r="Q23" s="3" t="n">
        <v>76525.0</v>
      </c>
      <c r="R23" s="3" t="n">
        <v>75075.0</v>
      </c>
      <c r="S23" s="3" t="n">
        <v>73681.0</v>
      </c>
      <c r="T23" s="3" t="n">
        <v>73344.0</v>
      </c>
      <c r="U23" s="3" t="n">
        <v>74336.0</v>
      </c>
      <c r="V23" s="3" t="n">
        <v>75926.0</v>
      </c>
      <c r="W23" s="3" t="n">
        <v>78404.0</v>
      </c>
      <c r="X23" s="3" t="n">
        <v>81406.0</v>
      </c>
      <c r="Y23" s="3" t="n">
        <v>85196.0</v>
      </c>
      <c r="Z23" s="3" t="n">
        <v>89379.0</v>
      </c>
      <c r="AA23" s="3" t="n">
        <v>93192.0</v>
      </c>
      <c r="AB23" s="3" t="n">
        <v>95912.0</v>
      </c>
      <c r="AC23" s="3" t="n">
        <v>98027.0</v>
      </c>
      <c r="AD23" s="3" t="n">
        <v>99944.0</v>
      </c>
      <c r="AE23" s="3" t="n">
        <v>100990.0</v>
      </c>
      <c r="AF23" s="3" t="n">
        <v>101262.0</v>
      </c>
      <c r="AG23" s="3" t="n">
        <v>102633.0</v>
      </c>
      <c r="AH23" s="3" t="n">
        <v>104253.0</v>
      </c>
      <c r="AI23" s="3" t="n">
        <v>104398.0</v>
      </c>
      <c r="AJ23" s="3" t="n">
        <v>103350.0</v>
      </c>
      <c r="AK23" s="3" t="n">
        <v>101318.0</v>
      </c>
      <c r="AL23" s="3" t="n">
        <v>97917.0</v>
      </c>
      <c r="AM23" s="3" t="n">
        <v>93539.0</v>
      </c>
      <c r="AN23" s="3" t="n">
        <v>89219.0</v>
      </c>
      <c r="AO23" s="3" t="n">
        <v>85857.0</v>
      </c>
    </row>
    <row r="24" spans="1:41" x14ac:dyDescent="0.2">
      <c r="A24" s="133"/>
      <c r="B24" s="64" t="s">
        <v>35</v>
      </c>
      <c r="C24" s="3" t="n">
        <v>50771.0</v>
      </c>
      <c r="D24" s="3" t="n">
        <v>58780.0</v>
      </c>
      <c r="E24" s="3" t="n">
        <v>67158.0</v>
      </c>
      <c r="F24" s="3" t="n">
        <v>75722.0</v>
      </c>
      <c r="G24" s="3" t="n">
        <v>80745.0</v>
      </c>
      <c r="H24" s="3" t="n">
        <v>84353.0</v>
      </c>
      <c r="I24" s="3" t="n">
        <v>86429.0</v>
      </c>
      <c r="J24" s="3" t="n">
        <v>87835.0</v>
      </c>
      <c r="K24" s="3" t="n">
        <v>89601.0</v>
      </c>
      <c r="L24" s="3" t="n">
        <v>90675.0</v>
      </c>
      <c r="M24" s="3" t="n">
        <v>91378.0</v>
      </c>
      <c r="N24" s="3" t="n">
        <v>91595.0</v>
      </c>
      <c r="O24" s="3" t="n">
        <v>90777.0</v>
      </c>
      <c r="P24" s="3" t="n">
        <v>87532.0</v>
      </c>
      <c r="Q24" s="3" t="n">
        <v>83397.0</v>
      </c>
      <c r="R24" s="3" t="n">
        <v>78509.0</v>
      </c>
      <c r="S24" s="3" t="n">
        <v>74268.0</v>
      </c>
      <c r="T24" s="3" t="n">
        <v>70255.0</v>
      </c>
      <c r="U24" s="3" t="n">
        <v>67362.0</v>
      </c>
      <c r="V24" s="3" t="n">
        <v>65262.0</v>
      </c>
      <c r="W24" s="3" t="n">
        <v>64087.0</v>
      </c>
      <c r="X24" s="3" t="n">
        <v>62971.0</v>
      </c>
      <c r="Y24" s="3" t="n">
        <v>62758.0</v>
      </c>
      <c r="Z24" s="3" t="n">
        <v>63646.0</v>
      </c>
      <c r="AA24" s="3" t="n">
        <v>65031.0</v>
      </c>
      <c r="AB24" s="3" t="n">
        <v>67195.0</v>
      </c>
      <c r="AC24" s="3" t="n">
        <v>69813.0</v>
      </c>
      <c r="AD24" s="3" t="n">
        <v>73069.0</v>
      </c>
      <c r="AE24" s="3" t="n">
        <v>76683.0</v>
      </c>
      <c r="AF24" s="3" t="n">
        <v>79967.0</v>
      </c>
      <c r="AG24" s="3" t="n">
        <v>82301.0</v>
      </c>
      <c r="AH24" s="3" t="n">
        <v>84117.0</v>
      </c>
      <c r="AI24" s="3" t="n">
        <v>85811.0</v>
      </c>
      <c r="AJ24" s="3" t="n">
        <v>86773.0</v>
      </c>
      <c r="AK24" s="3" t="n">
        <v>87041.0</v>
      </c>
      <c r="AL24" s="3" t="n">
        <v>88270.0</v>
      </c>
      <c r="AM24" s="3" t="n">
        <v>89701.0</v>
      </c>
      <c r="AN24" s="3" t="n">
        <v>89876.0</v>
      </c>
      <c r="AO24" s="3" t="n">
        <v>89000.0</v>
      </c>
    </row>
    <row r="25" spans="1:41" x14ac:dyDescent="0.2">
      <c r="A25" s="133"/>
      <c r="B25" s="64" t="s">
        <v>36</v>
      </c>
      <c r="C25" s="3" t="n">
        <v>31968.0</v>
      </c>
      <c r="D25" s="3" t="n">
        <v>31088.0</v>
      </c>
      <c r="E25" s="3" t="n">
        <v>30669.0</v>
      </c>
      <c r="F25" s="3" t="n">
        <v>30265.0</v>
      </c>
      <c r="G25" s="3" t="n">
        <v>34068.0</v>
      </c>
      <c r="H25" s="3" t="n">
        <v>39172.0</v>
      </c>
      <c r="I25" s="3" t="n">
        <v>45433.0</v>
      </c>
      <c r="J25" s="3" t="n">
        <v>51879.0</v>
      </c>
      <c r="K25" s="3" t="n">
        <v>58324.0</v>
      </c>
      <c r="L25" s="3" t="n">
        <v>62244.0</v>
      </c>
      <c r="M25" s="3" t="n">
        <v>65047.0</v>
      </c>
      <c r="N25" s="3" t="n">
        <v>66717.0</v>
      </c>
      <c r="O25" s="3" t="n">
        <v>67887.0</v>
      </c>
      <c r="P25" s="3" t="n">
        <v>69343.0</v>
      </c>
      <c r="Q25" s="3" t="n">
        <v>70289.0</v>
      </c>
      <c r="R25" s="3" t="n">
        <v>70896.0</v>
      </c>
      <c r="S25" s="3" t="n">
        <v>71120.0</v>
      </c>
      <c r="T25" s="3" t="n">
        <v>70484.0</v>
      </c>
      <c r="U25" s="3" t="n">
        <v>67998.0</v>
      </c>
      <c r="V25" s="3" t="n">
        <v>64799.0</v>
      </c>
      <c r="W25" s="3" t="n">
        <v>61049.0</v>
      </c>
      <c r="X25" s="3" t="n">
        <v>57854.0</v>
      </c>
      <c r="Y25" s="3" t="n">
        <v>54838.0</v>
      </c>
      <c r="Z25" s="3" t="n">
        <v>52662.0</v>
      </c>
      <c r="AA25" s="3" t="n">
        <v>51085.0</v>
      </c>
      <c r="AB25" s="3" t="n">
        <v>50209.0</v>
      </c>
      <c r="AC25" s="3" t="n">
        <v>49415.0</v>
      </c>
      <c r="AD25" s="3" t="n">
        <v>49304.0</v>
      </c>
      <c r="AE25" s="3" t="n">
        <v>50084.0</v>
      </c>
      <c r="AF25" s="3" t="n">
        <v>51236.0</v>
      </c>
      <c r="AG25" s="3" t="n">
        <v>52999.0</v>
      </c>
      <c r="AH25" s="3" t="n">
        <v>55111.0</v>
      </c>
      <c r="AI25" s="3" t="n">
        <v>57726.0</v>
      </c>
      <c r="AJ25" s="3" t="n">
        <v>60639.0</v>
      </c>
      <c r="AK25" s="3" t="n">
        <v>63270.0</v>
      </c>
      <c r="AL25" s="3" t="n">
        <v>65120.0</v>
      </c>
      <c r="AM25" s="3" t="n">
        <v>66541.0</v>
      </c>
      <c r="AN25" s="3" t="n">
        <v>67907.0</v>
      </c>
      <c r="AO25" s="3" t="n">
        <v>68732.0</v>
      </c>
    </row>
    <row r="26" spans="1:41" x14ac:dyDescent="0.2">
      <c r="A26" s="133"/>
      <c r="B26" s="64" t="s">
        <v>37</v>
      </c>
      <c r="C26" s="3" t="n">
        <v>21834.0</v>
      </c>
      <c r="D26" s="3" t="n">
        <v>21797.0</v>
      </c>
      <c r="E26" s="3" t="n">
        <v>21433.0</v>
      </c>
      <c r="F26" s="3" t="n">
        <v>21228.0</v>
      </c>
      <c r="G26" s="3" t="n">
        <v>20567.0</v>
      </c>
      <c r="H26" s="3" t="n">
        <v>19992.0</v>
      </c>
      <c r="I26" s="3" t="n">
        <v>19507.0</v>
      </c>
      <c r="J26" s="3" t="n">
        <v>19300.0</v>
      </c>
      <c r="K26" s="3" t="n">
        <v>19150.0</v>
      </c>
      <c r="L26" s="3" t="n">
        <v>21830.0</v>
      </c>
      <c r="M26" s="3" t="n">
        <v>25261.0</v>
      </c>
      <c r="N26" s="3" t="n">
        <v>29359.0</v>
      </c>
      <c r="O26" s="3" t="n">
        <v>33456.0</v>
      </c>
      <c r="P26" s="3" t="n">
        <v>37417.0</v>
      </c>
      <c r="Q26" s="3" t="n">
        <v>39927.0</v>
      </c>
      <c r="R26" s="3" t="n">
        <v>41739.0</v>
      </c>
      <c r="S26" s="3" t="n">
        <v>42872.0</v>
      </c>
      <c r="T26" s="3" t="n">
        <v>43658.0</v>
      </c>
      <c r="U26" s="3" t="n">
        <v>44686.0</v>
      </c>
      <c r="V26" s="3" t="n">
        <v>45400.0</v>
      </c>
      <c r="W26" s="3" t="n">
        <v>45880.0</v>
      </c>
      <c r="X26" s="3" t="n">
        <v>46053.0</v>
      </c>
      <c r="Y26" s="3" t="n">
        <v>45666.0</v>
      </c>
      <c r="Z26" s="3" t="n">
        <v>44023.0</v>
      </c>
      <c r="AA26" s="3" t="n">
        <v>41945.0</v>
      </c>
      <c r="AB26" s="3" t="n">
        <v>39523.0</v>
      </c>
      <c r="AC26" s="3" t="n">
        <v>37574.0</v>
      </c>
      <c r="AD26" s="3" t="n">
        <v>35701.0</v>
      </c>
      <c r="AE26" s="3" t="n">
        <v>34374.0</v>
      </c>
      <c r="AF26" s="3" t="n">
        <v>33430.0</v>
      </c>
      <c r="AG26" s="3" t="n">
        <v>32902.0</v>
      </c>
      <c r="AH26" s="3" t="n">
        <v>32478.0</v>
      </c>
      <c r="AI26" s="3" t="n">
        <v>32484.0</v>
      </c>
      <c r="AJ26" s="3" t="n">
        <v>33078.0</v>
      </c>
      <c r="AK26" s="3" t="n">
        <v>33926.0</v>
      </c>
      <c r="AL26" s="3" t="n">
        <v>35148.0</v>
      </c>
      <c r="AM26" s="3" t="n">
        <v>36591.0</v>
      </c>
      <c r="AN26" s="3" t="n">
        <v>38371.0</v>
      </c>
      <c r="AO26" s="3" t="n">
        <v>40374.0</v>
      </c>
    </row>
    <row r="27" spans="1:41" x14ac:dyDescent="0.2">
      <c r="A27" s="133"/>
      <c r="B27" s="74" t="s">
        <v>80</v>
      </c>
      <c r="C27" s="3" t="n">
        <v>9156.0</v>
      </c>
      <c r="D27" s="3" t="n">
        <v>9389.0</v>
      </c>
      <c r="E27" s="3" t="n">
        <v>9663.0</v>
      </c>
      <c r="F27" s="3" t="n">
        <v>9816.0</v>
      </c>
      <c r="G27" s="3" t="n">
        <v>10115.0</v>
      </c>
      <c r="H27" s="3" t="n">
        <v>10163.0</v>
      </c>
      <c r="I27" s="3" t="n">
        <v>10166.0</v>
      </c>
      <c r="J27" s="3" t="n">
        <v>10011.0</v>
      </c>
      <c r="K27" s="3" t="n">
        <v>9947.0</v>
      </c>
      <c r="L27" s="3" t="n">
        <v>9690.0</v>
      </c>
      <c r="M27" s="3" t="n">
        <v>9442.0</v>
      </c>
      <c r="N27" s="3" t="n">
        <v>9254.0</v>
      </c>
      <c r="O27" s="3" t="n">
        <v>9210.0</v>
      </c>
      <c r="P27" s="3" t="n">
        <v>9197.0</v>
      </c>
      <c r="Q27" s="3" t="n">
        <v>10685.0</v>
      </c>
      <c r="R27" s="3" t="n">
        <v>12469.0</v>
      </c>
      <c r="S27" s="3" t="n">
        <v>14543.0</v>
      </c>
      <c r="T27" s="3" t="n">
        <v>16546.0</v>
      </c>
      <c r="U27" s="3" t="n">
        <v>18413.0</v>
      </c>
      <c r="V27" s="3" t="n">
        <v>19642.0</v>
      </c>
      <c r="W27" s="3" t="n">
        <v>20549.0</v>
      </c>
      <c r="X27" s="3" t="n">
        <v>21139.0</v>
      </c>
      <c r="Y27" s="3" t="n">
        <v>21574.0</v>
      </c>
      <c r="Z27" s="3" t="n">
        <v>22143.0</v>
      </c>
      <c r="AA27" s="3" t="n">
        <v>22557.0</v>
      </c>
      <c r="AB27" s="3" t="n">
        <v>22844.0</v>
      </c>
      <c r="AC27" s="3" t="n">
        <v>22947.0</v>
      </c>
      <c r="AD27" s="3" t="n">
        <v>22730.0</v>
      </c>
      <c r="AE27" s="3" t="n">
        <v>21905.0</v>
      </c>
      <c r="AF27" s="3" t="n">
        <v>20862.0</v>
      </c>
      <c r="AG27" s="3" t="n">
        <v>19683.0</v>
      </c>
      <c r="AH27" s="3" t="n">
        <v>18776.0</v>
      </c>
      <c r="AI27" s="3" t="n">
        <v>17945.0</v>
      </c>
      <c r="AJ27" s="3" t="n">
        <v>17325.0</v>
      </c>
      <c r="AK27" s="3" t="n">
        <v>16898.0</v>
      </c>
      <c r="AL27" s="3" t="n">
        <v>16664.0</v>
      </c>
      <c r="AM27" s="3" t="n">
        <v>16509.0</v>
      </c>
      <c r="AN27" s="3" t="n">
        <v>16563.0</v>
      </c>
      <c r="AO27" s="3" t="n">
        <v>16949.0</v>
      </c>
    </row>
    <row r="28" spans="1:41" x14ac:dyDescent="0.2">
      <c r="A28" s="133"/>
      <c r="B28" s="74" t="s">
        <v>81</v>
      </c>
      <c r="C28" s="3" t="n">
        <v>2002.0</v>
      </c>
      <c r="D28" s="3" t="n">
        <v>2156.0</v>
      </c>
      <c r="E28" s="3" t="n">
        <v>2297.0</v>
      </c>
      <c r="F28" s="3" t="n">
        <v>2517.0</v>
      </c>
      <c r="G28" s="3" t="n">
        <v>2663.0</v>
      </c>
      <c r="H28" s="3" t="n">
        <v>2805.0</v>
      </c>
      <c r="I28" s="3" t="n">
        <v>2882.0</v>
      </c>
      <c r="J28" s="3" t="n">
        <v>2973.0</v>
      </c>
      <c r="K28" s="3" t="n">
        <v>3049.0</v>
      </c>
      <c r="L28" s="3" t="n">
        <v>3155.0</v>
      </c>
      <c r="M28" s="3" t="n">
        <v>3191.0</v>
      </c>
      <c r="N28" s="3" t="n">
        <v>3199.0</v>
      </c>
      <c r="O28" s="3" t="n">
        <v>3182.0</v>
      </c>
      <c r="P28" s="3" t="n">
        <v>3180.0</v>
      </c>
      <c r="Q28" s="3" t="n">
        <v>3124.0</v>
      </c>
      <c r="R28" s="3" t="n">
        <v>3057.0</v>
      </c>
      <c r="S28" s="3" t="n">
        <v>3012.0</v>
      </c>
      <c r="T28" s="3" t="n">
        <v>3006.0</v>
      </c>
      <c r="U28" s="3" t="n">
        <v>3036.0</v>
      </c>
      <c r="V28" s="3" t="n">
        <v>3620.0</v>
      </c>
      <c r="W28" s="3" t="n">
        <v>4272.0</v>
      </c>
      <c r="X28" s="3" t="n">
        <v>5001.0</v>
      </c>
      <c r="Y28" s="3" t="n">
        <v>5658.0</v>
      </c>
      <c r="Z28" s="3" t="n">
        <v>6216.0</v>
      </c>
      <c r="AA28" s="3" t="n">
        <v>6640.0</v>
      </c>
      <c r="AB28" s="3" t="n">
        <v>6962.0</v>
      </c>
      <c r="AC28" s="3" t="n">
        <v>7169.0</v>
      </c>
      <c r="AD28" s="3" t="n">
        <v>7333.0</v>
      </c>
      <c r="AE28" s="3" t="n">
        <v>7544.0</v>
      </c>
      <c r="AF28" s="3" t="n">
        <v>7712.0</v>
      </c>
      <c r="AG28" s="3" t="n">
        <v>7799.0</v>
      </c>
      <c r="AH28" s="3" t="n">
        <v>7854.0</v>
      </c>
      <c r="AI28" s="3" t="n">
        <v>7789.0</v>
      </c>
      <c r="AJ28" s="3" t="n">
        <v>7500.0</v>
      </c>
      <c r="AK28" s="3" t="n">
        <v>7150.0</v>
      </c>
      <c r="AL28" s="3" t="n">
        <v>6758.0</v>
      </c>
      <c r="AM28" s="3" t="n">
        <v>6494.0</v>
      </c>
      <c r="AN28" s="3" t="n">
        <v>6245.0</v>
      </c>
      <c r="AO28" s="3" t="n">
        <v>6069.0</v>
      </c>
    </row>
    <row r="29" spans="1:41" x14ac:dyDescent="0.2">
      <c r="A29" s="134"/>
      <c r="B29" s="66" t="s">
        <v>79</v>
      </c>
      <c r="C29" s="4" t="n">
        <v>233.0</v>
      </c>
      <c r="D29" s="4" t="n">
        <v>268.0</v>
      </c>
      <c r="E29" s="4" t="n">
        <v>296.0</v>
      </c>
      <c r="F29" s="4" t="n">
        <v>316.0</v>
      </c>
      <c r="G29" s="4" t="n">
        <v>339.0</v>
      </c>
      <c r="H29" s="4" t="n">
        <v>358.0</v>
      </c>
      <c r="I29" s="4" t="n">
        <v>399.0</v>
      </c>
      <c r="J29" s="4" t="n">
        <v>436.0</v>
      </c>
      <c r="K29" s="4" t="n">
        <v>484.0</v>
      </c>
      <c r="L29" s="4" t="n">
        <v>511.0</v>
      </c>
      <c r="M29" s="4" t="n">
        <v>530.0</v>
      </c>
      <c r="N29" s="4" t="n">
        <v>545.0</v>
      </c>
      <c r="O29" s="4" t="n">
        <v>563.0</v>
      </c>
      <c r="P29" s="4" t="n">
        <v>586.0</v>
      </c>
      <c r="Q29" s="4" t="n">
        <v>617.0</v>
      </c>
      <c r="R29" s="4" t="n">
        <v>626.0</v>
      </c>
      <c r="S29" s="4" t="n">
        <v>638.0</v>
      </c>
      <c r="T29" s="4" t="n">
        <v>631.0</v>
      </c>
      <c r="U29" s="4" t="n">
        <v>644.0</v>
      </c>
      <c r="V29" s="4" t="n">
        <v>642.0</v>
      </c>
      <c r="W29" s="4" t="n">
        <v>633.0</v>
      </c>
      <c r="X29" s="4" t="n">
        <v>634.0</v>
      </c>
      <c r="Y29" s="4" t="n">
        <v>645.0</v>
      </c>
      <c r="Z29" s="4" t="n">
        <v>665.0</v>
      </c>
      <c r="AA29" s="4" t="n">
        <v>789.0</v>
      </c>
      <c r="AB29" s="4" t="n">
        <v>918.0</v>
      </c>
      <c r="AC29" s="4" t="n">
        <v>1062.0</v>
      </c>
      <c r="AD29" s="4" t="n">
        <v>1191.0</v>
      </c>
      <c r="AE29" s="4" t="n">
        <v>1304.0</v>
      </c>
      <c r="AF29" s="4" t="n">
        <v>1404.0</v>
      </c>
      <c r="AG29" s="4" t="n">
        <v>1485.0</v>
      </c>
      <c r="AH29" s="4" t="n">
        <v>1545.0</v>
      </c>
      <c r="AI29" s="4" t="n">
        <v>1587.0</v>
      </c>
      <c r="AJ29" s="4" t="n">
        <v>1650.0</v>
      </c>
      <c r="AK29" s="4" t="n">
        <v>1707.0</v>
      </c>
      <c r="AL29" s="4" t="n">
        <v>1741.0</v>
      </c>
      <c r="AM29" s="4" t="n">
        <v>1764.0</v>
      </c>
      <c r="AN29" s="4" t="n">
        <v>1762.0</v>
      </c>
      <c r="AO29" s="4" t="n">
        <v>1710.0</v>
      </c>
    </row>
    <row r="30" spans="1:41" x14ac:dyDescent="0.2">
      <c r="A30" s="133" t="s">
        <v>50</v>
      </c>
      <c r="B30" s="63" t="s">
        <v>64</v>
      </c>
      <c r="C30" s="26" t="n">
        <v>796189.0</v>
      </c>
      <c r="D30" s="16" t="n">
        <v>791353.0</v>
      </c>
      <c r="E30" s="16" t="n">
        <v>786184.0</v>
      </c>
      <c r="F30" s="16" t="n">
        <v>780693.0</v>
      </c>
      <c r="G30" s="16" t="n">
        <v>774961.0</v>
      </c>
      <c r="H30" s="16" t="n">
        <v>769572.0</v>
      </c>
      <c r="I30" s="16" t="n">
        <v>764149.0</v>
      </c>
      <c r="J30" s="16" t="n">
        <v>758030.0</v>
      </c>
      <c r="K30" s="16" t="n">
        <v>751442.0</v>
      </c>
      <c r="L30" s="16" t="n">
        <v>744554.0</v>
      </c>
      <c r="M30" s="16" t="n">
        <v>737440.0</v>
      </c>
      <c r="N30" s="16" t="n">
        <v>730012.0</v>
      </c>
      <c r="O30" s="16" t="n">
        <v>722449.0</v>
      </c>
      <c r="P30" s="16" t="n">
        <v>714740.0</v>
      </c>
      <c r="Q30" s="16" t="n">
        <v>706920.0</v>
      </c>
      <c r="R30" s="16" t="n">
        <v>698950.0</v>
      </c>
      <c r="S30" s="16" t="n">
        <v>690941.0</v>
      </c>
      <c r="T30" s="16" t="n">
        <v>682772.0</v>
      </c>
      <c r="U30" s="16" t="n">
        <v>674607.0</v>
      </c>
      <c r="V30" s="16" t="n">
        <v>666398.0</v>
      </c>
      <c r="W30" s="16" t="n">
        <v>658141.0</v>
      </c>
      <c r="X30" s="16" t="n">
        <v>649909.0</v>
      </c>
      <c r="Y30" s="16" t="n">
        <v>641587.0</v>
      </c>
      <c r="Z30" s="16" t="n">
        <v>633235.0</v>
      </c>
      <c r="AA30" s="16" t="n">
        <v>624902.0</v>
      </c>
      <c r="AB30" s="16" t="n">
        <v>616543.0</v>
      </c>
      <c r="AC30" s="16" t="n">
        <v>608249.0</v>
      </c>
      <c r="AD30" s="16" t="n">
        <v>599844.0</v>
      </c>
      <c r="AE30" s="16" t="n">
        <v>591488.0</v>
      </c>
      <c r="AF30" s="16" t="n">
        <v>583050.0</v>
      </c>
      <c r="AG30" s="16" t="n">
        <v>574639.0</v>
      </c>
      <c r="AH30" s="16" t="n">
        <v>566180.0</v>
      </c>
      <c r="AI30" s="16" t="n">
        <v>557631.0</v>
      </c>
      <c r="AJ30" s="16" t="n">
        <v>549068.0</v>
      </c>
      <c r="AK30" s="16" t="n">
        <v>540415.0</v>
      </c>
      <c r="AL30" s="16" t="n">
        <v>531701.0</v>
      </c>
      <c r="AM30" s="16" t="n">
        <v>522978.0</v>
      </c>
      <c r="AN30" s="16" t="n">
        <v>514182.0</v>
      </c>
      <c r="AO30" s="16" t="n">
        <v>505325.0</v>
      </c>
    </row>
    <row r="31" spans="1:41" x14ac:dyDescent="0.2">
      <c r="A31" s="133"/>
      <c r="B31" s="64" t="s">
        <v>20</v>
      </c>
      <c r="C31" s="11" t="n">
        <v>34736.0</v>
      </c>
      <c r="D31" s="3" t="n">
        <v>32423.0</v>
      </c>
      <c r="E31" s="3" t="n">
        <v>30334.0</v>
      </c>
      <c r="F31" s="3" t="n">
        <v>28614.0</v>
      </c>
      <c r="G31" s="3" t="n">
        <v>27058.0</v>
      </c>
      <c r="H31" s="3" t="n">
        <v>26210.0</v>
      </c>
      <c r="I31" s="3" t="n">
        <v>25480.0</v>
      </c>
      <c r="J31" s="3" t="n">
        <v>24794.0</v>
      </c>
      <c r="K31" s="3" t="n">
        <v>24148.0</v>
      </c>
      <c r="L31" s="3" t="n">
        <v>23568.0</v>
      </c>
      <c r="M31" s="3" t="n">
        <v>23080.0</v>
      </c>
      <c r="N31" s="3" t="n">
        <v>22666.0</v>
      </c>
      <c r="O31" s="3" t="n">
        <v>22309.0</v>
      </c>
      <c r="P31" s="3" t="n">
        <v>22010.0</v>
      </c>
      <c r="Q31" s="3" t="n">
        <v>21783.0</v>
      </c>
      <c r="R31" s="3" t="n">
        <v>21615.0</v>
      </c>
      <c r="S31" s="3" t="n">
        <v>21498.0</v>
      </c>
      <c r="T31" s="3" t="n">
        <v>21415.0</v>
      </c>
      <c r="U31" s="3" t="n">
        <v>21358.0</v>
      </c>
      <c r="V31" s="3" t="n">
        <v>21290.0</v>
      </c>
      <c r="W31" s="3" t="n">
        <v>21219.0</v>
      </c>
      <c r="X31" s="3" t="n">
        <v>21134.0</v>
      </c>
      <c r="Y31" s="3" t="n">
        <v>21016.0</v>
      </c>
      <c r="Z31" s="3" t="n">
        <v>20859.0</v>
      </c>
      <c r="AA31" s="3" t="n">
        <v>20667.0</v>
      </c>
      <c r="AB31" s="3" t="n">
        <v>20401.0</v>
      </c>
      <c r="AC31" s="3" t="n">
        <v>20075.0</v>
      </c>
      <c r="AD31" s="3" t="n">
        <v>19699.0</v>
      </c>
      <c r="AE31" s="3" t="n">
        <v>19276.0</v>
      </c>
      <c r="AF31" s="3" t="n">
        <v>18807.0</v>
      </c>
      <c r="AG31" s="3" t="n">
        <v>18297.0</v>
      </c>
      <c r="AH31" s="3" t="n">
        <v>17762.0</v>
      </c>
      <c r="AI31" s="3" t="n">
        <v>17209.0</v>
      </c>
      <c r="AJ31" s="3" t="n">
        <v>16645.0</v>
      </c>
      <c r="AK31" s="3" t="n">
        <v>16088.0</v>
      </c>
      <c r="AL31" s="3" t="n">
        <v>15551.0</v>
      </c>
      <c r="AM31" s="3" t="n">
        <v>15025.0</v>
      </c>
      <c r="AN31" s="3" t="n">
        <v>14518.0</v>
      </c>
      <c r="AO31" s="3" t="n">
        <v>14046.0</v>
      </c>
    </row>
    <row r="32" spans="1:41" x14ac:dyDescent="0.2">
      <c r="A32" s="133"/>
      <c r="B32" s="64" t="s">
        <v>21</v>
      </c>
      <c r="C32" s="11" t="n">
        <v>41241.0</v>
      </c>
      <c r="D32" s="3" t="n">
        <v>40984.0</v>
      </c>
      <c r="E32" s="3" t="n">
        <v>40306.0</v>
      </c>
      <c r="F32" s="3" t="n">
        <v>39246.0</v>
      </c>
      <c r="G32" s="3" t="n">
        <v>37641.0</v>
      </c>
      <c r="H32" s="3" t="n">
        <v>35171.0</v>
      </c>
      <c r="I32" s="3" t="n">
        <v>33047.0</v>
      </c>
      <c r="J32" s="3" t="n">
        <v>31026.0</v>
      </c>
      <c r="K32" s="3" t="n">
        <v>29347.0</v>
      </c>
      <c r="L32" s="3" t="n">
        <v>27800.0</v>
      </c>
      <c r="M32" s="3" t="n">
        <v>26852.0</v>
      </c>
      <c r="N32" s="3" t="n">
        <v>25980.0</v>
      </c>
      <c r="O32" s="3" t="n">
        <v>25212.0</v>
      </c>
      <c r="P32" s="3" t="n">
        <v>24527.0</v>
      </c>
      <c r="Q32" s="3" t="n">
        <v>23913.0</v>
      </c>
      <c r="R32" s="3" t="n">
        <v>23406.0</v>
      </c>
      <c r="S32" s="3" t="n">
        <v>22968.0</v>
      </c>
      <c r="T32" s="3" t="n">
        <v>22594.0</v>
      </c>
      <c r="U32" s="3" t="n">
        <v>22281.0</v>
      </c>
      <c r="V32" s="3" t="n">
        <v>22042.0</v>
      </c>
      <c r="W32" s="3" t="n">
        <v>21861.0</v>
      </c>
      <c r="X32" s="3" t="n">
        <v>21739.0</v>
      </c>
      <c r="Y32" s="3" t="n">
        <v>21656.0</v>
      </c>
      <c r="Z32" s="3" t="n">
        <v>21596.0</v>
      </c>
      <c r="AA32" s="3" t="n">
        <v>21527.0</v>
      </c>
      <c r="AB32" s="3" t="n">
        <v>21469.0</v>
      </c>
      <c r="AC32" s="3" t="n">
        <v>21389.0</v>
      </c>
      <c r="AD32" s="3" t="n">
        <v>21271.0</v>
      </c>
      <c r="AE32" s="3" t="n">
        <v>21122.0</v>
      </c>
      <c r="AF32" s="3" t="n">
        <v>20937.0</v>
      </c>
      <c r="AG32" s="3" t="n">
        <v>20688.0</v>
      </c>
      <c r="AH32" s="3" t="n">
        <v>20391.0</v>
      </c>
      <c r="AI32" s="3" t="n">
        <v>20037.0</v>
      </c>
      <c r="AJ32" s="3" t="n">
        <v>19621.0</v>
      </c>
      <c r="AK32" s="3" t="n">
        <v>19157.0</v>
      </c>
      <c r="AL32" s="3" t="n">
        <v>18635.0</v>
      </c>
      <c r="AM32" s="3" t="n">
        <v>18086.0</v>
      </c>
      <c r="AN32" s="3" t="n">
        <v>17537.0</v>
      </c>
      <c r="AO32" s="3" t="n">
        <v>16986.0</v>
      </c>
    </row>
    <row r="33" spans="1:41" x14ac:dyDescent="0.2">
      <c r="A33" s="133"/>
      <c r="B33" s="64" t="s">
        <v>22</v>
      </c>
      <c r="C33" s="11" t="n">
        <v>44484.0</v>
      </c>
      <c r="D33" s="3" t="n">
        <v>43459.0</v>
      </c>
      <c r="E33" s="3" t="n">
        <v>42351.0</v>
      </c>
      <c r="F33" s="3" t="n">
        <v>41164.0</v>
      </c>
      <c r="G33" s="3" t="n">
        <v>41203.0</v>
      </c>
      <c r="H33" s="3" t="n">
        <v>41346.0</v>
      </c>
      <c r="I33" s="3" t="n">
        <v>41297.0</v>
      </c>
      <c r="J33" s="3" t="n">
        <v>40738.0</v>
      </c>
      <c r="K33" s="3" t="n">
        <v>39736.0</v>
      </c>
      <c r="L33" s="3" t="n">
        <v>38146.0</v>
      </c>
      <c r="M33" s="3" t="n">
        <v>35557.0</v>
      </c>
      <c r="N33" s="3" t="n">
        <v>33261.0</v>
      </c>
      <c r="O33" s="3" t="n">
        <v>31173.0</v>
      </c>
      <c r="P33" s="3" t="n">
        <v>29475.0</v>
      </c>
      <c r="Q33" s="3" t="n">
        <v>27914.0</v>
      </c>
      <c r="R33" s="3" t="n">
        <v>26944.0</v>
      </c>
      <c r="S33" s="3" t="n">
        <v>26075.0</v>
      </c>
      <c r="T33" s="3" t="n">
        <v>25312.0</v>
      </c>
      <c r="U33" s="3" t="n">
        <v>24634.0</v>
      </c>
      <c r="V33" s="3" t="n">
        <v>24015.0</v>
      </c>
      <c r="W33" s="3" t="n">
        <v>23495.0</v>
      </c>
      <c r="X33" s="3" t="n">
        <v>23039.0</v>
      </c>
      <c r="Y33" s="3" t="n">
        <v>22657.0</v>
      </c>
      <c r="Z33" s="3" t="n">
        <v>22338.0</v>
      </c>
      <c r="AA33" s="3" t="n">
        <v>22092.0</v>
      </c>
      <c r="AB33" s="3" t="n">
        <v>21909.0</v>
      </c>
      <c r="AC33" s="3" t="n">
        <v>21777.0</v>
      </c>
      <c r="AD33" s="3" t="n">
        <v>21688.0</v>
      </c>
      <c r="AE33" s="3" t="n">
        <v>21620.0</v>
      </c>
      <c r="AF33" s="3" t="n">
        <v>21546.0</v>
      </c>
      <c r="AG33" s="3" t="n">
        <v>21486.0</v>
      </c>
      <c r="AH33" s="3" t="n">
        <v>21404.0</v>
      </c>
      <c r="AI33" s="3" t="n">
        <v>21287.0</v>
      </c>
      <c r="AJ33" s="3" t="n">
        <v>21137.0</v>
      </c>
      <c r="AK33" s="3" t="n">
        <v>20957.0</v>
      </c>
      <c r="AL33" s="3" t="n">
        <v>20714.0</v>
      </c>
      <c r="AM33" s="3" t="n">
        <v>20421.0</v>
      </c>
      <c r="AN33" s="3" t="n">
        <v>20065.0</v>
      </c>
      <c r="AO33" s="3" t="n">
        <v>19646.0</v>
      </c>
    </row>
    <row r="34" spans="1:41" x14ac:dyDescent="0.2">
      <c r="A34" s="133"/>
      <c r="B34" s="64" t="s">
        <v>23</v>
      </c>
      <c r="C34" s="11" t="n">
        <v>40126.0</v>
      </c>
      <c r="D34" s="3" t="n">
        <v>41713.0</v>
      </c>
      <c r="E34" s="3" t="n">
        <v>43175.0</v>
      </c>
      <c r="F34" s="3" t="n">
        <v>44384.0</v>
      </c>
      <c r="G34" s="3" t="n">
        <v>44436.0</v>
      </c>
      <c r="H34" s="3" t="n">
        <v>44349.0</v>
      </c>
      <c r="I34" s="3" t="n">
        <v>43481.0</v>
      </c>
      <c r="J34" s="3" t="n">
        <v>42459.0</v>
      </c>
      <c r="K34" s="3" t="n">
        <v>41311.0</v>
      </c>
      <c r="L34" s="3" t="n">
        <v>41357.0</v>
      </c>
      <c r="M34" s="3" t="n">
        <v>41371.0</v>
      </c>
      <c r="N34" s="3" t="n">
        <v>41151.0</v>
      </c>
      <c r="O34" s="3" t="n">
        <v>40508.0</v>
      </c>
      <c r="P34" s="3" t="n">
        <v>39465.0</v>
      </c>
      <c r="Q34" s="3" t="n">
        <v>37873.0</v>
      </c>
      <c r="R34" s="3" t="n">
        <v>35306.0</v>
      </c>
      <c r="S34" s="3" t="n">
        <v>33044.0</v>
      </c>
      <c r="T34" s="3" t="n">
        <v>30993.0</v>
      </c>
      <c r="U34" s="3" t="n">
        <v>29303.0</v>
      </c>
      <c r="V34" s="3" t="n">
        <v>27753.0</v>
      </c>
      <c r="W34" s="3" t="n">
        <v>26783.0</v>
      </c>
      <c r="X34" s="3" t="n">
        <v>25890.0</v>
      </c>
      <c r="Y34" s="3" t="n">
        <v>25111.0</v>
      </c>
      <c r="Z34" s="3" t="n">
        <v>24424.0</v>
      </c>
      <c r="AA34" s="3" t="n">
        <v>23803.0</v>
      </c>
      <c r="AB34" s="3" t="n">
        <v>23279.0</v>
      </c>
      <c r="AC34" s="3" t="n">
        <v>22814.0</v>
      </c>
      <c r="AD34" s="3" t="n">
        <v>22422.0</v>
      </c>
      <c r="AE34" s="3" t="n">
        <v>22096.0</v>
      </c>
      <c r="AF34" s="3" t="n">
        <v>21844.0</v>
      </c>
      <c r="AG34" s="3" t="n">
        <v>21657.0</v>
      </c>
      <c r="AH34" s="3" t="n">
        <v>21519.0</v>
      </c>
      <c r="AI34" s="3" t="n">
        <v>21421.0</v>
      </c>
      <c r="AJ34" s="3" t="n">
        <v>21348.0</v>
      </c>
      <c r="AK34" s="3" t="n">
        <v>21264.0</v>
      </c>
      <c r="AL34" s="3" t="n">
        <v>21198.0</v>
      </c>
      <c r="AM34" s="3" t="n">
        <v>21109.0</v>
      </c>
      <c r="AN34" s="3" t="n">
        <v>20982.0</v>
      </c>
      <c r="AO34" s="3" t="n">
        <v>20830.0</v>
      </c>
    </row>
    <row r="35" spans="1:41" x14ac:dyDescent="0.2">
      <c r="A35" s="133"/>
      <c r="B35" s="64" t="s">
        <v>24</v>
      </c>
      <c r="C35" s="11" t="n">
        <v>39066.0</v>
      </c>
      <c r="D35" s="3" t="n">
        <v>38476.0</v>
      </c>
      <c r="E35" s="3" t="n">
        <v>38246.0</v>
      </c>
      <c r="F35" s="3" t="n">
        <v>38177.0</v>
      </c>
      <c r="G35" s="3" t="n">
        <v>38397.0</v>
      </c>
      <c r="H35" s="3" t="n">
        <v>39406.0</v>
      </c>
      <c r="I35" s="3" t="n">
        <v>40978.0</v>
      </c>
      <c r="J35" s="3" t="n">
        <v>42438.0</v>
      </c>
      <c r="K35" s="3" t="n">
        <v>43667.0</v>
      </c>
      <c r="L35" s="3" t="n">
        <v>43746.0</v>
      </c>
      <c r="M35" s="3" t="n">
        <v>43593.0</v>
      </c>
      <c r="N35" s="3" t="n">
        <v>42621.0</v>
      </c>
      <c r="O35" s="3" t="n">
        <v>41543.0</v>
      </c>
      <c r="P35" s="3" t="n">
        <v>40384.0</v>
      </c>
      <c r="Q35" s="3" t="n">
        <v>40401.0</v>
      </c>
      <c r="R35" s="3" t="n">
        <v>40390.0</v>
      </c>
      <c r="S35" s="3" t="n">
        <v>40158.0</v>
      </c>
      <c r="T35" s="3" t="n">
        <v>39515.0</v>
      </c>
      <c r="U35" s="3" t="n">
        <v>38494.0</v>
      </c>
      <c r="V35" s="3" t="n">
        <v>36944.0</v>
      </c>
      <c r="W35" s="3" t="n">
        <v>34424.0</v>
      </c>
      <c r="X35" s="3" t="n">
        <v>32206.0</v>
      </c>
      <c r="Y35" s="3" t="n">
        <v>30195.0</v>
      </c>
      <c r="Z35" s="3" t="n">
        <v>28525.0</v>
      </c>
      <c r="AA35" s="3" t="n">
        <v>26994.0</v>
      </c>
      <c r="AB35" s="3" t="n">
        <v>26047.0</v>
      </c>
      <c r="AC35" s="3" t="n">
        <v>25169.0</v>
      </c>
      <c r="AD35" s="3" t="n">
        <v>24397.0</v>
      </c>
      <c r="AE35" s="3" t="n">
        <v>23704.0</v>
      </c>
      <c r="AF35" s="3" t="n">
        <v>23073.0</v>
      </c>
      <c r="AG35" s="3" t="n">
        <v>22529.0</v>
      </c>
      <c r="AH35" s="3" t="n">
        <v>22058.0</v>
      </c>
      <c r="AI35" s="3" t="n">
        <v>21663.0</v>
      </c>
      <c r="AJ35" s="3" t="n">
        <v>21333.0</v>
      </c>
      <c r="AK35" s="3" t="n">
        <v>21080.0</v>
      </c>
      <c r="AL35" s="3" t="n">
        <v>20881.0</v>
      </c>
      <c r="AM35" s="3" t="n">
        <v>20726.0</v>
      </c>
      <c r="AN35" s="3" t="n">
        <v>20613.0</v>
      </c>
      <c r="AO35" s="3" t="n">
        <v>20526.0</v>
      </c>
    </row>
    <row r="36" spans="1:41" x14ac:dyDescent="0.2">
      <c r="A36" s="133"/>
      <c r="B36" s="64" t="s">
        <v>25</v>
      </c>
      <c r="C36" s="11" t="n">
        <v>46295.0</v>
      </c>
      <c r="D36" s="3" t="n">
        <v>43934.0</v>
      </c>
      <c r="E36" s="3" t="n">
        <v>41880.0</v>
      </c>
      <c r="F36" s="3" t="n">
        <v>40453.0</v>
      </c>
      <c r="G36" s="3" t="n">
        <v>39408.0</v>
      </c>
      <c r="H36" s="3" t="n">
        <v>38538.0</v>
      </c>
      <c r="I36" s="3" t="n">
        <v>37955.0</v>
      </c>
      <c r="J36" s="3" t="n">
        <v>37716.0</v>
      </c>
      <c r="K36" s="3" t="n">
        <v>37633.0</v>
      </c>
      <c r="L36" s="3" t="n">
        <v>37834.0</v>
      </c>
      <c r="M36" s="3" t="n">
        <v>38803.0</v>
      </c>
      <c r="N36" s="3" t="n">
        <v>40300.0</v>
      </c>
      <c r="O36" s="3" t="n">
        <v>41731.0</v>
      </c>
      <c r="P36" s="3" t="n">
        <v>42937.0</v>
      </c>
      <c r="Q36" s="3" t="n">
        <v>43031.0</v>
      </c>
      <c r="R36" s="3" t="n">
        <v>42888.0</v>
      </c>
      <c r="S36" s="3" t="n">
        <v>41921.0</v>
      </c>
      <c r="T36" s="3" t="n">
        <v>40867.0</v>
      </c>
      <c r="U36" s="3" t="n">
        <v>39729.0</v>
      </c>
      <c r="V36" s="3" t="n">
        <v>39733.0</v>
      </c>
      <c r="W36" s="3" t="n">
        <v>39707.0</v>
      </c>
      <c r="X36" s="3" t="n">
        <v>39504.0</v>
      </c>
      <c r="Y36" s="3" t="n">
        <v>38891.0</v>
      </c>
      <c r="Z36" s="3" t="n">
        <v>37900.0</v>
      </c>
      <c r="AA36" s="3" t="n">
        <v>36396.0</v>
      </c>
      <c r="AB36" s="3" t="n">
        <v>33927.0</v>
      </c>
      <c r="AC36" s="3" t="n">
        <v>31771.0</v>
      </c>
      <c r="AD36" s="3" t="n">
        <v>29805.0</v>
      </c>
      <c r="AE36" s="3" t="n">
        <v>28188.0</v>
      </c>
      <c r="AF36" s="3" t="n">
        <v>26679.0</v>
      </c>
      <c r="AG36" s="3" t="n">
        <v>25731.0</v>
      </c>
      <c r="AH36" s="3" t="n">
        <v>24849.0</v>
      </c>
      <c r="AI36" s="3" t="n">
        <v>24063.0</v>
      </c>
      <c r="AJ36" s="3" t="n">
        <v>23371.0</v>
      </c>
      <c r="AK36" s="3" t="n">
        <v>22733.0</v>
      </c>
      <c r="AL36" s="3" t="n">
        <v>22193.0</v>
      </c>
      <c r="AM36" s="3" t="n">
        <v>21738.0</v>
      </c>
      <c r="AN36" s="3" t="n">
        <v>21352.0</v>
      </c>
      <c r="AO36" s="3" t="n">
        <v>21018.0</v>
      </c>
    </row>
    <row r="37" spans="1:41" x14ac:dyDescent="0.2">
      <c r="A37" s="133"/>
      <c r="B37" s="64" t="s">
        <v>26</v>
      </c>
      <c r="C37" s="11" t="n">
        <v>55789.0</v>
      </c>
      <c r="D37" s="3" t="n">
        <v>54089.0</v>
      </c>
      <c r="E37" s="3" t="n">
        <v>52351.0</v>
      </c>
      <c r="F37" s="3" t="n">
        <v>50006.0</v>
      </c>
      <c r="G37" s="3" t="n">
        <v>47683.0</v>
      </c>
      <c r="H37" s="3" t="n">
        <v>45496.0</v>
      </c>
      <c r="I37" s="3" t="n">
        <v>43231.0</v>
      </c>
      <c r="J37" s="3" t="n">
        <v>41237.0</v>
      </c>
      <c r="K37" s="3" t="n">
        <v>39829.0</v>
      </c>
      <c r="L37" s="3" t="n">
        <v>38788.0</v>
      </c>
      <c r="M37" s="3" t="n">
        <v>37868.0</v>
      </c>
      <c r="N37" s="3" t="n">
        <v>37246.0</v>
      </c>
      <c r="O37" s="3" t="n">
        <v>36961.0</v>
      </c>
      <c r="P37" s="3" t="n">
        <v>36844.0</v>
      </c>
      <c r="Q37" s="3" t="n">
        <v>37036.0</v>
      </c>
      <c r="R37" s="3" t="n">
        <v>37989.0</v>
      </c>
      <c r="S37" s="3" t="n">
        <v>39474.0</v>
      </c>
      <c r="T37" s="3" t="n">
        <v>40873.0</v>
      </c>
      <c r="U37" s="3" t="n">
        <v>42052.0</v>
      </c>
      <c r="V37" s="3" t="n">
        <v>42146.0</v>
      </c>
      <c r="W37" s="3" t="n">
        <v>42039.0</v>
      </c>
      <c r="X37" s="3" t="n">
        <v>41088.0</v>
      </c>
      <c r="Y37" s="3" t="n">
        <v>40058.0</v>
      </c>
      <c r="Z37" s="3" t="n">
        <v>38947.0</v>
      </c>
      <c r="AA37" s="3" t="n">
        <v>38935.0</v>
      </c>
      <c r="AB37" s="3" t="n">
        <v>38912.0</v>
      </c>
      <c r="AC37" s="3" t="n">
        <v>38742.0</v>
      </c>
      <c r="AD37" s="3" t="n">
        <v>38149.0</v>
      </c>
      <c r="AE37" s="3" t="n">
        <v>37195.0</v>
      </c>
      <c r="AF37" s="3" t="n">
        <v>35748.0</v>
      </c>
      <c r="AG37" s="3" t="n">
        <v>33359.0</v>
      </c>
      <c r="AH37" s="3" t="n">
        <v>31258.0</v>
      </c>
      <c r="AI37" s="3" t="n">
        <v>29358.0</v>
      </c>
      <c r="AJ37" s="3" t="n">
        <v>27774.0</v>
      </c>
      <c r="AK37" s="3" t="n">
        <v>26280.0</v>
      </c>
      <c r="AL37" s="3" t="n">
        <v>25343.0</v>
      </c>
      <c r="AM37" s="3" t="n">
        <v>24474.0</v>
      </c>
      <c r="AN37" s="3" t="n">
        <v>23698.0</v>
      </c>
      <c r="AO37" s="3" t="n">
        <v>23014.0</v>
      </c>
    </row>
    <row r="38" spans="1:41" x14ac:dyDescent="0.2">
      <c r="A38" s="133"/>
      <c r="B38" s="64" t="s">
        <v>27</v>
      </c>
      <c r="C38" s="11" t="n">
        <v>68154.0</v>
      </c>
      <c r="D38" s="3" t="n">
        <v>64769.0</v>
      </c>
      <c r="E38" s="3" t="n">
        <v>61512.0</v>
      </c>
      <c r="F38" s="3" t="n">
        <v>58987.0</v>
      </c>
      <c r="G38" s="3" t="n">
        <v>57156.0</v>
      </c>
      <c r="H38" s="3" t="n">
        <v>55028.0</v>
      </c>
      <c r="I38" s="3" t="n">
        <v>53384.0</v>
      </c>
      <c r="J38" s="3" t="n">
        <v>51673.0</v>
      </c>
      <c r="K38" s="3" t="n">
        <v>49351.0</v>
      </c>
      <c r="L38" s="3" t="n">
        <v>47050.0</v>
      </c>
      <c r="M38" s="3" t="n">
        <v>44882.0</v>
      </c>
      <c r="N38" s="3" t="n">
        <v>42613.0</v>
      </c>
      <c r="O38" s="3" t="n">
        <v>40646.0</v>
      </c>
      <c r="P38" s="3" t="n">
        <v>39242.0</v>
      </c>
      <c r="Q38" s="3" t="n">
        <v>38178.0</v>
      </c>
      <c r="R38" s="3" t="n">
        <v>37252.0</v>
      </c>
      <c r="S38" s="3" t="n">
        <v>36615.0</v>
      </c>
      <c r="T38" s="3" t="n">
        <v>36326.0</v>
      </c>
      <c r="U38" s="3" t="n">
        <v>36205.0</v>
      </c>
      <c r="V38" s="3" t="n">
        <v>36391.0</v>
      </c>
      <c r="W38" s="3" t="n">
        <v>37291.0</v>
      </c>
      <c r="X38" s="3" t="n">
        <v>38749.0</v>
      </c>
      <c r="Y38" s="3" t="n">
        <v>40108.0</v>
      </c>
      <c r="Z38" s="3" t="n">
        <v>41266.0</v>
      </c>
      <c r="AA38" s="3" t="n">
        <v>41379.0</v>
      </c>
      <c r="AB38" s="3" t="n">
        <v>41284.0</v>
      </c>
      <c r="AC38" s="3" t="n">
        <v>40350.0</v>
      </c>
      <c r="AD38" s="3" t="n">
        <v>39345.0</v>
      </c>
      <c r="AE38" s="3" t="n">
        <v>38245.0</v>
      </c>
      <c r="AF38" s="3" t="n">
        <v>38227.0</v>
      </c>
      <c r="AG38" s="3" t="n">
        <v>38221.0</v>
      </c>
      <c r="AH38" s="3" t="n">
        <v>38070.0</v>
      </c>
      <c r="AI38" s="3" t="n">
        <v>37510.0</v>
      </c>
      <c r="AJ38" s="3" t="n">
        <v>36593.0</v>
      </c>
      <c r="AK38" s="3" t="n">
        <v>35209.0</v>
      </c>
      <c r="AL38" s="3" t="n">
        <v>32880.0</v>
      </c>
      <c r="AM38" s="3" t="n">
        <v>30826.0</v>
      </c>
      <c r="AN38" s="3" t="n">
        <v>28956.0</v>
      </c>
      <c r="AO38" s="3" t="n">
        <v>27403.0</v>
      </c>
    </row>
    <row r="39" spans="1:41" x14ac:dyDescent="0.2">
      <c r="A39" s="133"/>
      <c r="B39" s="64" t="s">
        <v>28</v>
      </c>
      <c r="C39" s="11" t="n">
        <v>70599.0</v>
      </c>
      <c r="D39" s="3" t="n">
        <v>71778.0</v>
      </c>
      <c r="E39" s="3" t="n">
        <v>71684.0</v>
      </c>
      <c r="F39" s="3" t="n">
        <v>70843.0</v>
      </c>
      <c r="G39" s="3" t="n">
        <v>69299.0</v>
      </c>
      <c r="H39" s="3" t="n">
        <v>67013.0</v>
      </c>
      <c r="I39" s="3" t="n">
        <v>63762.0</v>
      </c>
      <c r="J39" s="3" t="n">
        <v>60633.0</v>
      </c>
      <c r="K39" s="3" t="n">
        <v>58213.0</v>
      </c>
      <c r="L39" s="3" t="n">
        <v>56457.0</v>
      </c>
      <c r="M39" s="3" t="n">
        <v>54343.0</v>
      </c>
      <c r="N39" s="3" t="n">
        <v>52682.0</v>
      </c>
      <c r="O39" s="3" t="n">
        <v>50953.0</v>
      </c>
      <c r="P39" s="3" t="n">
        <v>48663.0</v>
      </c>
      <c r="Q39" s="3" t="n">
        <v>46378.0</v>
      </c>
      <c r="R39" s="3" t="n">
        <v>44248.0</v>
      </c>
      <c r="S39" s="3" t="n">
        <v>42014.0</v>
      </c>
      <c r="T39" s="3" t="n">
        <v>40064.0</v>
      </c>
      <c r="U39" s="3" t="n">
        <v>38662.0</v>
      </c>
      <c r="V39" s="3" t="n">
        <v>37594.0</v>
      </c>
      <c r="W39" s="3" t="n">
        <v>36664.0</v>
      </c>
      <c r="X39" s="3" t="n">
        <v>36007.0</v>
      </c>
      <c r="Y39" s="3" t="n">
        <v>35702.0</v>
      </c>
      <c r="Z39" s="3" t="n">
        <v>35573.0</v>
      </c>
      <c r="AA39" s="3" t="n">
        <v>35749.0</v>
      </c>
      <c r="AB39" s="3" t="n">
        <v>36625.0</v>
      </c>
      <c r="AC39" s="3" t="n">
        <v>38050.0</v>
      </c>
      <c r="AD39" s="3" t="n">
        <v>39395.0</v>
      </c>
      <c r="AE39" s="3" t="n">
        <v>40549.0</v>
      </c>
      <c r="AF39" s="3" t="n">
        <v>40656.0</v>
      </c>
      <c r="AG39" s="3" t="n">
        <v>40565.0</v>
      </c>
      <c r="AH39" s="3" t="n">
        <v>39626.0</v>
      </c>
      <c r="AI39" s="3" t="n">
        <v>38641.0</v>
      </c>
      <c r="AJ39" s="3" t="n">
        <v>37566.0</v>
      </c>
      <c r="AK39" s="3" t="n">
        <v>37539.0</v>
      </c>
      <c r="AL39" s="3" t="n">
        <v>37528.0</v>
      </c>
      <c r="AM39" s="3" t="n">
        <v>37386.0</v>
      </c>
      <c r="AN39" s="3" t="n">
        <v>36843.0</v>
      </c>
      <c r="AO39" s="3" t="n">
        <v>35945.0</v>
      </c>
    </row>
    <row r="40" spans="1:41" x14ac:dyDescent="0.2">
      <c r="A40" s="133"/>
      <c r="B40" s="64" t="s">
        <v>29</v>
      </c>
      <c r="C40" s="11" t="n">
        <v>64682.0</v>
      </c>
      <c r="D40" s="3" t="n">
        <v>66129.0</v>
      </c>
      <c r="E40" s="3" t="n">
        <v>67450.0</v>
      </c>
      <c r="F40" s="3" t="n">
        <v>68026.0</v>
      </c>
      <c r="G40" s="3" t="n">
        <v>68218.0</v>
      </c>
      <c r="H40" s="3" t="n">
        <v>69102.0</v>
      </c>
      <c r="I40" s="3" t="n">
        <v>70259.0</v>
      </c>
      <c r="J40" s="3" t="n">
        <v>70192.0</v>
      </c>
      <c r="K40" s="3" t="n">
        <v>69410.0</v>
      </c>
      <c r="L40" s="3" t="n">
        <v>67940.0</v>
      </c>
      <c r="M40" s="3" t="n">
        <v>65730.0</v>
      </c>
      <c r="N40" s="3" t="n">
        <v>62547.0</v>
      </c>
      <c r="O40" s="3" t="n">
        <v>59494.0</v>
      </c>
      <c r="P40" s="3" t="n">
        <v>57127.0</v>
      </c>
      <c r="Q40" s="3" t="n">
        <v>55416.0</v>
      </c>
      <c r="R40" s="3" t="n">
        <v>53350.0</v>
      </c>
      <c r="S40" s="3" t="n">
        <v>51735.0</v>
      </c>
      <c r="T40" s="3" t="n">
        <v>50040.0</v>
      </c>
      <c r="U40" s="3" t="n">
        <v>47774.0</v>
      </c>
      <c r="V40" s="3" t="n">
        <v>45533.0</v>
      </c>
      <c r="W40" s="3" t="n">
        <v>43442.0</v>
      </c>
      <c r="X40" s="3" t="n">
        <v>41262.0</v>
      </c>
      <c r="Y40" s="3" t="n">
        <v>39356.0</v>
      </c>
      <c r="Z40" s="3" t="n">
        <v>37985.0</v>
      </c>
      <c r="AA40" s="3" t="n">
        <v>36913.0</v>
      </c>
      <c r="AB40" s="3" t="n">
        <v>35975.0</v>
      </c>
      <c r="AC40" s="3" t="n">
        <v>35301.0</v>
      </c>
      <c r="AD40" s="3" t="n">
        <v>34989.0</v>
      </c>
      <c r="AE40" s="3" t="n">
        <v>34856.0</v>
      </c>
      <c r="AF40" s="3" t="n">
        <v>35041.0</v>
      </c>
      <c r="AG40" s="3" t="n">
        <v>35895.0</v>
      </c>
      <c r="AH40" s="3" t="n">
        <v>37293.0</v>
      </c>
      <c r="AI40" s="3" t="n">
        <v>38588.0</v>
      </c>
      <c r="AJ40" s="3" t="n">
        <v>39712.0</v>
      </c>
      <c r="AK40" s="3" t="n">
        <v>39816.0</v>
      </c>
      <c r="AL40" s="3" t="n">
        <v>39731.0</v>
      </c>
      <c r="AM40" s="3" t="n">
        <v>38820.0</v>
      </c>
      <c r="AN40" s="3" t="n">
        <v>37867.0</v>
      </c>
      <c r="AO40" s="3" t="n">
        <v>36804.0</v>
      </c>
    </row>
    <row r="41" spans="1:41" x14ac:dyDescent="0.2">
      <c r="A41" s="133"/>
      <c r="B41" s="64" t="s">
        <v>30</v>
      </c>
      <c r="C41" s="11" t="n">
        <v>51496.0</v>
      </c>
      <c r="D41" s="3" t="n">
        <v>53372.0</v>
      </c>
      <c r="E41" s="3" t="n">
        <v>55906.0</v>
      </c>
      <c r="F41" s="3" t="n">
        <v>58662.0</v>
      </c>
      <c r="G41" s="3" t="n">
        <v>61009.0</v>
      </c>
      <c r="H41" s="3" t="n">
        <v>62720.0</v>
      </c>
      <c r="I41" s="3" t="n">
        <v>64134.0</v>
      </c>
      <c r="J41" s="3" t="n">
        <v>65419.0</v>
      </c>
      <c r="K41" s="3" t="n">
        <v>65997.0</v>
      </c>
      <c r="L41" s="3" t="n">
        <v>66192.0</v>
      </c>
      <c r="M41" s="3" t="n">
        <v>67035.0</v>
      </c>
      <c r="N41" s="3" t="n">
        <v>68152.0</v>
      </c>
      <c r="O41" s="3" t="n">
        <v>68122.0</v>
      </c>
      <c r="P41" s="3" t="n">
        <v>67398.0</v>
      </c>
      <c r="Q41" s="3" t="n">
        <v>66000.0</v>
      </c>
      <c r="R41" s="3" t="n">
        <v>63863.0</v>
      </c>
      <c r="S41" s="3" t="n">
        <v>60795.0</v>
      </c>
      <c r="T41" s="3" t="n">
        <v>57844.0</v>
      </c>
      <c r="U41" s="3" t="n">
        <v>55571.0</v>
      </c>
      <c r="V41" s="3" t="n">
        <v>53936.0</v>
      </c>
      <c r="W41" s="3" t="n">
        <v>51940.0</v>
      </c>
      <c r="X41" s="3" t="n">
        <v>50373.0</v>
      </c>
      <c r="Y41" s="3" t="n">
        <v>48716.0</v>
      </c>
      <c r="Z41" s="3" t="n">
        <v>46509.0</v>
      </c>
      <c r="AA41" s="3" t="n">
        <v>44334.0</v>
      </c>
      <c r="AB41" s="3" t="n">
        <v>42295.0</v>
      </c>
      <c r="AC41" s="3" t="n">
        <v>40190.0</v>
      </c>
      <c r="AD41" s="3" t="n">
        <v>38334.0</v>
      </c>
      <c r="AE41" s="3" t="n">
        <v>36999.0</v>
      </c>
      <c r="AF41" s="3" t="n">
        <v>35962.0</v>
      </c>
      <c r="AG41" s="3" t="n">
        <v>35054.0</v>
      </c>
      <c r="AH41" s="3" t="n">
        <v>34393.0</v>
      </c>
      <c r="AI41" s="3" t="n">
        <v>34080.0</v>
      </c>
      <c r="AJ41" s="3" t="n">
        <v>33934.0</v>
      </c>
      <c r="AK41" s="3" t="n">
        <v>34117.0</v>
      </c>
      <c r="AL41" s="3" t="n">
        <v>34948.0</v>
      </c>
      <c r="AM41" s="3" t="n">
        <v>36309.0</v>
      </c>
      <c r="AN41" s="3" t="n">
        <v>37566.0</v>
      </c>
      <c r="AO41" s="3" t="n">
        <v>38671.0</v>
      </c>
    </row>
    <row r="42" spans="1:41" x14ac:dyDescent="0.2">
      <c r="A42" s="133"/>
      <c r="B42" s="64" t="s">
        <v>31</v>
      </c>
      <c r="C42" s="11" t="n">
        <v>47161.0</v>
      </c>
      <c r="D42" s="3" t="n">
        <v>46299.0</v>
      </c>
      <c r="E42" s="3" t="n">
        <v>46036.0</v>
      </c>
      <c r="F42" s="3" t="n">
        <v>46495.0</v>
      </c>
      <c r="G42" s="3" t="n">
        <v>47600.0</v>
      </c>
      <c r="H42" s="3" t="n">
        <v>49037.0</v>
      </c>
      <c r="I42" s="3" t="n">
        <v>50858.0</v>
      </c>
      <c r="J42" s="3" t="n">
        <v>53272.0</v>
      </c>
      <c r="K42" s="3" t="n">
        <v>55894.0</v>
      </c>
      <c r="L42" s="3" t="n">
        <v>58127.0</v>
      </c>
      <c r="M42" s="3" t="n">
        <v>59760.0</v>
      </c>
      <c r="N42" s="3" t="n">
        <v>61100.0</v>
      </c>
      <c r="O42" s="3" t="n">
        <v>62342.0</v>
      </c>
      <c r="P42" s="3" t="n">
        <v>62898.0</v>
      </c>
      <c r="Q42" s="3" t="n">
        <v>63091.0</v>
      </c>
      <c r="R42" s="3" t="n">
        <v>63924.0</v>
      </c>
      <c r="S42" s="3" t="n">
        <v>65013.0</v>
      </c>
      <c r="T42" s="3" t="n">
        <v>64991.0</v>
      </c>
      <c r="U42" s="3" t="n">
        <v>64323.0</v>
      </c>
      <c r="V42" s="3" t="n">
        <v>62995.0</v>
      </c>
      <c r="W42" s="3" t="n">
        <v>60981.0</v>
      </c>
      <c r="X42" s="3" t="n">
        <v>58089.0</v>
      </c>
      <c r="Y42" s="3" t="n">
        <v>55301.0</v>
      </c>
      <c r="Z42" s="3" t="n">
        <v>53164.0</v>
      </c>
      <c r="AA42" s="3" t="n">
        <v>51613.0</v>
      </c>
      <c r="AB42" s="3" t="n">
        <v>49722.0</v>
      </c>
      <c r="AC42" s="3" t="n">
        <v>48241.0</v>
      </c>
      <c r="AD42" s="3" t="n">
        <v>46655.0</v>
      </c>
      <c r="AE42" s="3" t="n">
        <v>44539.0</v>
      </c>
      <c r="AF42" s="3" t="n">
        <v>42446.0</v>
      </c>
      <c r="AG42" s="3" t="n">
        <v>40498.0</v>
      </c>
      <c r="AH42" s="3" t="n">
        <v>38504.0</v>
      </c>
      <c r="AI42" s="3" t="n">
        <v>36740.0</v>
      </c>
      <c r="AJ42" s="3" t="n">
        <v>35460.0</v>
      </c>
      <c r="AK42" s="3" t="n">
        <v>34464.0</v>
      </c>
      <c r="AL42" s="3" t="n">
        <v>33575.0</v>
      </c>
      <c r="AM42" s="3" t="n">
        <v>32921.0</v>
      </c>
      <c r="AN42" s="3" t="n">
        <v>32621.0</v>
      </c>
      <c r="AO42" s="3" t="n">
        <v>32496.0</v>
      </c>
    </row>
    <row r="43" spans="1:41" x14ac:dyDescent="0.2">
      <c r="A43" s="133"/>
      <c r="B43" s="64" t="s">
        <v>32</v>
      </c>
      <c r="C43" s="3" t="n">
        <v>53743.0</v>
      </c>
      <c r="D43" s="3" t="n">
        <v>50698.0</v>
      </c>
      <c r="E43" s="3" t="n">
        <v>48101.0</v>
      </c>
      <c r="F43" s="3" t="n">
        <v>46022.0</v>
      </c>
      <c r="G43" s="3" t="n">
        <v>44370.0</v>
      </c>
      <c r="H43" s="3" t="n">
        <v>43694.0</v>
      </c>
      <c r="I43" s="3" t="n">
        <v>42965.0</v>
      </c>
      <c r="J43" s="3" t="n">
        <v>42765.0</v>
      </c>
      <c r="K43" s="3" t="n">
        <v>43208.0</v>
      </c>
      <c r="L43" s="3" t="n">
        <v>44247.0</v>
      </c>
      <c r="M43" s="3" t="n">
        <v>45577.0</v>
      </c>
      <c r="N43" s="3" t="n">
        <v>47257.0</v>
      </c>
      <c r="O43" s="3" t="n">
        <v>49509.0</v>
      </c>
      <c r="P43" s="3" t="n">
        <v>51973.0</v>
      </c>
      <c r="Q43" s="3" t="n">
        <v>54055.0</v>
      </c>
      <c r="R43" s="3" t="n">
        <v>55566.0</v>
      </c>
      <c r="S43" s="3" t="n">
        <v>56815.0</v>
      </c>
      <c r="T43" s="3" t="n">
        <v>57990.0</v>
      </c>
      <c r="U43" s="3" t="n">
        <v>58543.0</v>
      </c>
      <c r="V43" s="3" t="n">
        <v>58732.0</v>
      </c>
      <c r="W43" s="3" t="n">
        <v>59533.0</v>
      </c>
      <c r="X43" s="3" t="n">
        <v>60570.0</v>
      </c>
      <c r="Y43" s="3" t="n">
        <v>60579.0</v>
      </c>
      <c r="Z43" s="3" t="n">
        <v>59971.0</v>
      </c>
      <c r="AA43" s="3" t="n">
        <v>58730.0</v>
      </c>
      <c r="AB43" s="3" t="n">
        <v>56860.0</v>
      </c>
      <c r="AC43" s="3" t="n">
        <v>54187.0</v>
      </c>
      <c r="AD43" s="3" t="n">
        <v>51619.0</v>
      </c>
      <c r="AE43" s="3" t="n">
        <v>49661.0</v>
      </c>
      <c r="AF43" s="3" t="n">
        <v>48235.0</v>
      </c>
      <c r="AG43" s="3" t="n">
        <v>46491.0</v>
      </c>
      <c r="AH43" s="3" t="n">
        <v>45102.0</v>
      </c>
      <c r="AI43" s="3" t="n">
        <v>43625.0</v>
      </c>
      <c r="AJ43" s="3" t="n">
        <v>41654.0</v>
      </c>
      <c r="AK43" s="3" t="n">
        <v>39717.0</v>
      </c>
      <c r="AL43" s="3" t="n">
        <v>37910.0</v>
      </c>
      <c r="AM43" s="3" t="n">
        <v>36059.0</v>
      </c>
      <c r="AN43" s="3" t="n">
        <v>34418.0</v>
      </c>
      <c r="AO43" s="3" t="n">
        <v>33221.0</v>
      </c>
    </row>
    <row r="44" spans="1:41" x14ac:dyDescent="0.2">
      <c r="A44" s="133"/>
      <c r="B44" s="65" t="s">
        <v>33</v>
      </c>
      <c r="C44" s="3" t="n">
        <v>55162.0</v>
      </c>
      <c r="D44" s="3" t="n">
        <v>55357.0</v>
      </c>
      <c r="E44" s="3" t="n">
        <v>54790.0</v>
      </c>
      <c r="F44" s="3" t="n">
        <v>52874.0</v>
      </c>
      <c r="G44" s="3" t="n">
        <v>50479.0</v>
      </c>
      <c r="H44" s="3" t="n">
        <v>47658.0</v>
      </c>
      <c r="I44" s="3" t="n">
        <v>45029.0</v>
      </c>
      <c r="J44" s="3" t="n">
        <v>42785.0</v>
      </c>
      <c r="K44" s="3" t="n">
        <v>40996.0</v>
      </c>
      <c r="L44" s="3" t="n">
        <v>39584.0</v>
      </c>
      <c r="M44" s="3" t="n">
        <v>39031.0</v>
      </c>
      <c r="N44" s="3" t="n">
        <v>38404.0</v>
      </c>
      <c r="O44" s="3" t="n">
        <v>38242.0</v>
      </c>
      <c r="P44" s="3" t="n">
        <v>38666.0</v>
      </c>
      <c r="Q44" s="3" t="n">
        <v>39630.0</v>
      </c>
      <c r="R44" s="3" t="n">
        <v>40860.0</v>
      </c>
      <c r="S44" s="3" t="n">
        <v>42399.0</v>
      </c>
      <c r="T44" s="3" t="n">
        <v>44418.0</v>
      </c>
      <c r="U44" s="3" t="n">
        <v>46631.0</v>
      </c>
      <c r="V44" s="3" t="n">
        <v>48508.0</v>
      </c>
      <c r="W44" s="3" t="n">
        <v>49883.0</v>
      </c>
      <c r="X44" s="3" t="n">
        <v>51013.0</v>
      </c>
      <c r="Y44" s="3" t="n">
        <v>52077.0</v>
      </c>
      <c r="Z44" s="3" t="n">
        <v>52586.0</v>
      </c>
      <c r="AA44" s="3" t="n">
        <v>52776.0</v>
      </c>
      <c r="AB44" s="3" t="n">
        <v>53511.0</v>
      </c>
      <c r="AC44" s="3" t="n">
        <v>54458.0</v>
      </c>
      <c r="AD44" s="3" t="n">
        <v>54487.0</v>
      </c>
      <c r="AE44" s="3" t="n">
        <v>53975.0</v>
      </c>
      <c r="AF44" s="3" t="n">
        <v>52862.0</v>
      </c>
      <c r="AG44" s="3" t="n">
        <v>51211.0</v>
      </c>
      <c r="AH44" s="3" t="n">
        <v>48847.0</v>
      </c>
      <c r="AI44" s="3" t="n">
        <v>46586.0</v>
      </c>
      <c r="AJ44" s="3" t="n">
        <v>44857.0</v>
      </c>
      <c r="AK44" s="3" t="n">
        <v>43588.0</v>
      </c>
      <c r="AL44" s="3" t="n">
        <v>42023.0</v>
      </c>
      <c r="AM44" s="3" t="n">
        <v>40760.0</v>
      </c>
      <c r="AN44" s="3" t="n">
        <v>39413.0</v>
      </c>
      <c r="AO44" s="3" t="n">
        <v>37636.0</v>
      </c>
    </row>
    <row r="45" spans="1:41" x14ac:dyDescent="0.2">
      <c r="A45" s="133"/>
      <c r="B45" s="64" t="s">
        <v>34</v>
      </c>
      <c r="C45" s="3" t="n">
        <v>43235.0</v>
      </c>
      <c r="D45" s="3" t="n">
        <v>44087.0</v>
      </c>
      <c r="E45" s="3" t="n">
        <v>44643.0</v>
      </c>
      <c r="F45" s="3" t="n">
        <v>45608.0</v>
      </c>
      <c r="G45" s="3" t="n">
        <v>46236.0</v>
      </c>
      <c r="H45" s="3" t="n">
        <v>46614.0</v>
      </c>
      <c r="I45" s="3" t="n">
        <v>46848.0</v>
      </c>
      <c r="J45" s="3" t="n">
        <v>46406.0</v>
      </c>
      <c r="K45" s="3" t="n">
        <v>44837.0</v>
      </c>
      <c r="L45" s="3" t="n">
        <v>42850.0</v>
      </c>
      <c r="M45" s="3" t="n">
        <v>40505.0</v>
      </c>
      <c r="N45" s="3" t="n">
        <v>38314.0</v>
      </c>
      <c r="O45" s="3" t="n">
        <v>36471.0</v>
      </c>
      <c r="P45" s="3" t="n">
        <v>35011.0</v>
      </c>
      <c r="Q45" s="3" t="n">
        <v>33863.0</v>
      </c>
      <c r="R45" s="3" t="n">
        <v>33409.0</v>
      </c>
      <c r="S45" s="3" t="n">
        <v>32911.0</v>
      </c>
      <c r="T45" s="3" t="n">
        <v>32819.0</v>
      </c>
      <c r="U45" s="3" t="n">
        <v>33240.0</v>
      </c>
      <c r="V45" s="3" t="n">
        <v>34092.0</v>
      </c>
      <c r="W45" s="3" t="n">
        <v>35174.0</v>
      </c>
      <c r="X45" s="3" t="n">
        <v>36514.0</v>
      </c>
      <c r="Y45" s="3" t="n">
        <v>38275.0</v>
      </c>
      <c r="Z45" s="3" t="n">
        <v>40191.0</v>
      </c>
      <c r="AA45" s="3" t="n">
        <v>41819.0</v>
      </c>
      <c r="AB45" s="3" t="n">
        <v>43009.0</v>
      </c>
      <c r="AC45" s="3" t="n">
        <v>43976.0</v>
      </c>
      <c r="AD45" s="3" t="n">
        <v>44911.0</v>
      </c>
      <c r="AE45" s="3" t="n">
        <v>45394.0</v>
      </c>
      <c r="AF45" s="3" t="n">
        <v>45582.0</v>
      </c>
      <c r="AG45" s="3" t="n">
        <v>46245.0</v>
      </c>
      <c r="AH45" s="3" t="n">
        <v>47103.0</v>
      </c>
      <c r="AI45" s="3" t="n">
        <v>47149.0</v>
      </c>
      <c r="AJ45" s="3" t="n">
        <v>46729.0</v>
      </c>
      <c r="AK45" s="3" t="n">
        <v>45777.0</v>
      </c>
      <c r="AL45" s="3" t="n">
        <v>44358.0</v>
      </c>
      <c r="AM45" s="3" t="n">
        <v>42337.0</v>
      </c>
      <c r="AN45" s="3" t="n">
        <v>40392.0</v>
      </c>
      <c r="AO45" s="3" t="n">
        <v>38907.0</v>
      </c>
    </row>
    <row r="46" spans="1:41" x14ac:dyDescent="0.2">
      <c r="A46" s="133"/>
      <c r="B46" s="64" t="s">
        <v>35</v>
      </c>
      <c r="C46" s="3" t="n">
        <v>20650.0</v>
      </c>
      <c r="D46" s="3" t="n">
        <v>24058.0</v>
      </c>
      <c r="E46" s="3" t="n">
        <v>27461.0</v>
      </c>
      <c r="F46" s="3" t="n">
        <v>30933.0</v>
      </c>
      <c r="G46" s="3" t="n">
        <v>32840.0</v>
      </c>
      <c r="H46" s="3" t="n">
        <v>34182.0</v>
      </c>
      <c r="I46" s="3" t="n">
        <v>34914.0</v>
      </c>
      <c r="J46" s="3" t="n">
        <v>35422.0</v>
      </c>
      <c r="K46" s="3" t="n">
        <v>36268.0</v>
      </c>
      <c r="L46" s="3" t="n">
        <v>36835.0</v>
      </c>
      <c r="M46" s="3" t="n">
        <v>37182.0</v>
      </c>
      <c r="N46" s="3" t="n">
        <v>37401.0</v>
      </c>
      <c r="O46" s="3" t="n">
        <v>37077.0</v>
      </c>
      <c r="P46" s="3" t="n">
        <v>35867.0</v>
      </c>
      <c r="Q46" s="3" t="n">
        <v>34314.0</v>
      </c>
      <c r="R46" s="3" t="n">
        <v>32459.0</v>
      </c>
      <c r="S46" s="3" t="n">
        <v>30784.0</v>
      </c>
      <c r="T46" s="3" t="n">
        <v>29358.0</v>
      </c>
      <c r="U46" s="3" t="n">
        <v>28240.0</v>
      </c>
      <c r="V46" s="3" t="n">
        <v>27350.0</v>
      </c>
      <c r="W46" s="3" t="n">
        <v>27029.0</v>
      </c>
      <c r="X46" s="3" t="n">
        <v>26668.0</v>
      </c>
      <c r="Y46" s="3" t="n">
        <v>26632.0</v>
      </c>
      <c r="Z46" s="3" t="n">
        <v>26998.0</v>
      </c>
      <c r="AA46" s="3" t="n">
        <v>27714.0</v>
      </c>
      <c r="AB46" s="3" t="n">
        <v>28612.0</v>
      </c>
      <c r="AC46" s="3" t="n">
        <v>29729.0</v>
      </c>
      <c r="AD46" s="3" t="n">
        <v>31176.0</v>
      </c>
      <c r="AE46" s="3" t="n">
        <v>32756.0</v>
      </c>
      <c r="AF46" s="3" t="n">
        <v>34081.0</v>
      </c>
      <c r="AG46" s="3" t="n">
        <v>35060.0</v>
      </c>
      <c r="AH46" s="3" t="n">
        <v>35845.0</v>
      </c>
      <c r="AI46" s="3" t="n">
        <v>36634.0</v>
      </c>
      <c r="AJ46" s="3" t="n">
        <v>37067.0</v>
      </c>
      <c r="AK46" s="3" t="n">
        <v>37240.0</v>
      </c>
      <c r="AL46" s="3" t="n">
        <v>37806.0</v>
      </c>
      <c r="AM46" s="3" t="n">
        <v>38528.0</v>
      </c>
      <c r="AN46" s="3" t="n">
        <v>38606.0</v>
      </c>
      <c r="AO46" s="3" t="n">
        <v>38269.0</v>
      </c>
    </row>
    <row r="47" spans="1:41" x14ac:dyDescent="0.2">
      <c r="A47" s="133"/>
      <c r="B47" s="64" t="s">
        <v>36</v>
      </c>
      <c r="C47" s="3" t="n">
        <v>10897.0</v>
      </c>
      <c r="D47" s="3" t="n">
        <v>10848.0</v>
      </c>
      <c r="E47" s="3" t="n">
        <v>10908.0</v>
      </c>
      <c r="F47" s="3" t="n">
        <v>10975.0</v>
      </c>
      <c r="G47" s="3" t="n">
        <v>12627.0</v>
      </c>
      <c r="H47" s="3" t="n">
        <v>14648.0</v>
      </c>
      <c r="I47" s="3" t="n">
        <v>17110.0</v>
      </c>
      <c r="J47" s="3" t="n">
        <v>19520.0</v>
      </c>
      <c r="K47" s="3" t="n">
        <v>21915.0</v>
      </c>
      <c r="L47" s="3" t="n">
        <v>23283.0</v>
      </c>
      <c r="M47" s="3" t="n">
        <v>24257.0</v>
      </c>
      <c r="N47" s="3" t="n">
        <v>24811.0</v>
      </c>
      <c r="O47" s="3" t="n">
        <v>25205.0</v>
      </c>
      <c r="P47" s="3" t="n">
        <v>25888.0</v>
      </c>
      <c r="Q47" s="3" t="n">
        <v>26362.0</v>
      </c>
      <c r="R47" s="3" t="n">
        <v>26648.0</v>
      </c>
      <c r="S47" s="3" t="n">
        <v>26838.0</v>
      </c>
      <c r="T47" s="3" t="n">
        <v>26594.0</v>
      </c>
      <c r="U47" s="3" t="n">
        <v>25752.0</v>
      </c>
      <c r="V47" s="3" t="n">
        <v>24665.0</v>
      </c>
      <c r="W47" s="3" t="n">
        <v>23362.0</v>
      </c>
      <c r="X47" s="3" t="n">
        <v>22202.0</v>
      </c>
      <c r="Y47" s="3" t="n">
        <v>21223.0</v>
      </c>
      <c r="Z47" s="3" t="n">
        <v>20464.0</v>
      </c>
      <c r="AA47" s="3" t="n">
        <v>19844.0</v>
      </c>
      <c r="AB47" s="3" t="n">
        <v>19653.0</v>
      </c>
      <c r="AC47" s="3" t="n">
        <v>19430.0</v>
      </c>
      <c r="AD47" s="3" t="n">
        <v>19433.0</v>
      </c>
      <c r="AE47" s="3" t="n">
        <v>19742.0</v>
      </c>
      <c r="AF47" s="3" t="n">
        <v>20287.0</v>
      </c>
      <c r="AG47" s="3" t="n">
        <v>20981.0</v>
      </c>
      <c r="AH47" s="3" t="n">
        <v>21819.0</v>
      </c>
      <c r="AI47" s="3" t="n">
        <v>22906.0</v>
      </c>
      <c r="AJ47" s="3" t="n">
        <v>24110.0</v>
      </c>
      <c r="AK47" s="3" t="n">
        <v>25087.0</v>
      </c>
      <c r="AL47" s="3" t="n">
        <v>25802.0</v>
      </c>
      <c r="AM47" s="3" t="n">
        <v>26388.0</v>
      </c>
      <c r="AN47" s="3" t="n">
        <v>26994.0</v>
      </c>
      <c r="AO47" s="3" t="n">
        <v>27336.0</v>
      </c>
    </row>
    <row r="48" spans="1:41" x14ac:dyDescent="0.2">
      <c r="A48" s="133"/>
      <c r="B48" s="64" t="s">
        <v>37</v>
      </c>
      <c r="C48" s="3" t="n">
        <v>6116.0</v>
      </c>
      <c r="D48" s="3" t="n">
        <v>6146.0</v>
      </c>
      <c r="E48" s="3" t="n">
        <v>6145.0</v>
      </c>
      <c r="F48" s="3" t="n">
        <v>6220.0</v>
      </c>
      <c r="G48" s="3" t="n">
        <v>6146.0</v>
      </c>
      <c r="H48" s="3" t="n">
        <v>6136.0</v>
      </c>
      <c r="I48" s="3" t="n">
        <v>6125.0</v>
      </c>
      <c r="J48" s="3" t="n">
        <v>6179.0</v>
      </c>
      <c r="K48" s="3" t="n">
        <v>6265.0</v>
      </c>
      <c r="L48" s="3" t="n">
        <v>7321.0</v>
      </c>
      <c r="M48" s="3" t="n">
        <v>8553.0</v>
      </c>
      <c r="N48" s="3" t="n">
        <v>10016.0</v>
      </c>
      <c r="O48" s="3" t="n">
        <v>11397.0</v>
      </c>
      <c r="P48" s="3" t="n">
        <v>12741.0</v>
      </c>
      <c r="Q48" s="3" t="n">
        <v>13534.0</v>
      </c>
      <c r="R48" s="3" t="n">
        <v>14106.0</v>
      </c>
      <c r="S48" s="3" t="n">
        <v>14466.0</v>
      </c>
      <c r="T48" s="3" t="n">
        <v>14715.0</v>
      </c>
      <c r="U48" s="3" t="n">
        <v>15162.0</v>
      </c>
      <c r="V48" s="3" t="n">
        <v>15483.0</v>
      </c>
      <c r="W48" s="3" t="n">
        <v>15673.0</v>
      </c>
      <c r="X48" s="3" t="n">
        <v>15818.0</v>
      </c>
      <c r="Y48" s="3" t="n">
        <v>15676.0</v>
      </c>
      <c r="Z48" s="3" t="n">
        <v>15185.0</v>
      </c>
      <c r="AA48" s="3" t="n">
        <v>14554.0</v>
      </c>
      <c r="AB48" s="3" t="n">
        <v>13780.0</v>
      </c>
      <c r="AC48" s="3" t="n">
        <v>13141.0</v>
      </c>
      <c r="AD48" s="3" t="n">
        <v>12596.0</v>
      </c>
      <c r="AE48" s="3" t="n">
        <v>12199.0</v>
      </c>
      <c r="AF48" s="3" t="n">
        <v>11865.0</v>
      </c>
      <c r="AG48" s="3" t="n">
        <v>11785.0</v>
      </c>
      <c r="AH48" s="3" t="n">
        <v>11678.0</v>
      </c>
      <c r="AI48" s="3" t="n">
        <v>11713.0</v>
      </c>
      <c r="AJ48" s="3" t="n">
        <v>11932.0</v>
      </c>
      <c r="AK48" s="3" t="n">
        <v>12295.0</v>
      </c>
      <c r="AL48" s="3" t="n">
        <v>12732.0</v>
      </c>
      <c r="AM48" s="3" t="n">
        <v>13259.0</v>
      </c>
      <c r="AN48" s="3" t="n">
        <v>13947.0</v>
      </c>
      <c r="AO48" s="3" t="n">
        <v>14698.0</v>
      </c>
    </row>
    <row r="49" spans="1:41" x14ac:dyDescent="0.2">
      <c r="A49" s="133"/>
      <c r="B49" s="74" t="s">
        <v>80</v>
      </c>
      <c r="C49" s="3" t="n">
        <v>2158.0</v>
      </c>
      <c r="D49" s="3" t="n">
        <v>2266.0</v>
      </c>
      <c r="E49" s="3" t="n">
        <v>2403.0</v>
      </c>
      <c r="F49" s="3" t="n">
        <v>2436.0</v>
      </c>
      <c r="G49" s="3" t="n">
        <v>2538.0</v>
      </c>
      <c r="H49" s="3" t="n">
        <v>2544.0</v>
      </c>
      <c r="I49" s="3" t="n">
        <v>2564.0</v>
      </c>
      <c r="J49" s="3" t="n">
        <v>2579.0</v>
      </c>
      <c r="K49" s="3" t="n">
        <v>2615.0</v>
      </c>
      <c r="L49" s="3" t="n">
        <v>2597.0</v>
      </c>
      <c r="M49" s="3" t="n">
        <v>2609.0</v>
      </c>
      <c r="N49" s="3" t="n">
        <v>2615.0</v>
      </c>
      <c r="O49" s="3" t="n">
        <v>2658.0</v>
      </c>
      <c r="P49" s="3" t="n">
        <v>2715.0</v>
      </c>
      <c r="Q49" s="3" t="n">
        <v>3241.0</v>
      </c>
      <c r="R49" s="3" t="n">
        <v>3815.0</v>
      </c>
      <c r="S49" s="3" t="n">
        <v>4484.0</v>
      </c>
      <c r="T49" s="3" t="n">
        <v>5093.0</v>
      </c>
      <c r="U49" s="3" t="n">
        <v>5665.0</v>
      </c>
      <c r="V49" s="3" t="n">
        <v>6022.0</v>
      </c>
      <c r="W49" s="3" t="n">
        <v>6285.0</v>
      </c>
      <c r="X49" s="3" t="n">
        <v>6461.0</v>
      </c>
      <c r="Y49" s="3" t="n">
        <v>6589.0</v>
      </c>
      <c r="Z49" s="3" t="n">
        <v>6818.0</v>
      </c>
      <c r="AA49" s="3" t="n">
        <v>6983.0</v>
      </c>
      <c r="AB49" s="3" t="n">
        <v>7079.0</v>
      </c>
      <c r="AC49" s="3" t="n">
        <v>7157.0</v>
      </c>
      <c r="AD49" s="3" t="n">
        <v>7084.0</v>
      </c>
      <c r="AE49" s="3" t="n">
        <v>6867.0</v>
      </c>
      <c r="AF49" s="3" t="n">
        <v>6582.0</v>
      </c>
      <c r="AG49" s="3" t="n">
        <v>6250.0</v>
      </c>
      <c r="AH49" s="3" t="n">
        <v>5983.0</v>
      </c>
      <c r="AI49" s="3" t="n">
        <v>5759.0</v>
      </c>
      <c r="AJ49" s="3" t="n">
        <v>5602.0</v>
      </c>
      <c r="AK49" s="3" t="n">
        <v>5460.0</v>
      </c>
      <c r="AL49" s="3" t="n">
        <v>5446.0</v>
      </c>
      <c r="AM49" s="3" t="n">
        <v>5418.0</v>
      </c>
      <c r="AN49" s="3" t="n">
        <v>5455.0</v>
      </c>
      <c r="AO49" s="3" t="n">
        <v>5578.0</v>
      </c>
    </row>
    <row r="50" spans="1:41" x14ac:dyDescent="0.2">
      <c r="A50" s="133"/>
      <c r="B50" s="74" t="s">
        <v>81</v>
      </c>
      <c r="C50" s="3" t="n">
        <v>352.0</v>
      </c>
      <c r="D50" s="3" t="n">
        <v>411.0</v>
      </c>
      <c r="E50" s="3" t="n">
        <v>437.0</v>
      </c>
      <c r="F50" s="3" t="n">
        <v>504.0</v>
      </c>
      <c r="G50" s="3" t="n">
        <v>550.0</v>
      </c>
      <c r="H50" s="3" t="n">
        <v>612.0</v>
      </c>
      <c r="I50" s="3" t="n">
        <v>643.0</v>
      </c>
      <c r="J50" s="3" t="n">
        <v>685.0</v>
      </c>
      <c r="K50" s="3" t="n">
        <v>700.0</v>
      </c>
      <c r="L50" s="3" t="n">
        <v>720.0</v>
      </c>
      <c r="M50" s="3" t="n">
        <v>732.0</v>
      </c>
      <c r="N50" s="3" t="n">
        <v>747.0</v>
      </c>
      <c r="O50" s="3" t="n">
        <v>765.0</v>
      </c>
      <c r="P50" s="3" t="n">
        <v>773.0</v>
      </c>
      <c r="Q50" s="3" t="n">
        <v>765.0</v>
      </c>
      <c r="R50" s="3" t="n">
        <v>768.0</v>
      </c>
      <c r="S50" s="3" t="n">
        <v>786.0</v>
      </c>
      <c r="T50" s="3" t="n">
        <v>806.0</v>
      </c>
      <c r="U50" s="3" t="n">
        <v>837.0</v>
      </c>
      <c r="V50" s="3" t="n">
        <v>1019.0</v>
      </c>
      <c r="W50" s="3" t="n">
        <v>1199.0</v>
      </c>
      <c r="X50" s="3" t="n">
        <v>1416.0</v>
      </c>
      <c r="Y50" s="3" t="n">
        <v>1597.0</v>
      </c>
      <c r="Z50" s="3" t="n">
        <v>1752.0</v>
      </c>
      <c r="AA50" s="3" t="n">
        <v>1868.0</v>
      </c>
      <c r="AB50" s="3" t="n">
        <v>1949.0</v>
      </c>
      <c r="AC50" s="3" t="n">
        <v>2011.0</v>
      </c>
      <c r="AD50" s="3" t="n">
        <v>2060.0</v>
      </c>
      <c r="AE50" s="3" t="n">
        <v>2141.0</v>
      </c>
      <c r="AF50" s="3" t="n">
        <v>2200.0</v>
      </c>
      <c r="AG50" s="3" t="n">
        <v>2224.0</v>
      </c>
      <c r="AH50" s="3" t="n">
        <v>2247.0</v>
      </c>
      <c r="AI50" s="3" t="n">
        <v>2226.0</v>
      </c>
      <c r="AJ50" s="3" t="n">
        <v>2169.0</v>
      </c>
      <c r="AK50" s="3" t="n">
        <v>2079.0</v>
      </c>
      <c r="AL50" s="3" t="n">
        <v>1971.0</v>
      </c>
      <c r="AM50" s="3" t="n">
        <v>1900.0</v>
      </c>
      <c r="AN50" s="3" t="n">
        <v>1850.0</v>
      </c>
      <c r="AO50" s="3" t="n">
        <v>1814.0</v>
      </c>
    </row>
    <row r="51" spans="1:41" x14ac:dyDescent="0.2">
      <c r="A51" s="133"/>
      <c r="B51" s="66" t="s">
        <v>79</v>
      </c>
      <c r="C51" s="3" t="n">
        <v>47.0</v>
      </c>
      <c r="D51" s="3" t="n">
        <v>57.0</v>
      </c>
      <c r="E51" s="3" t="n">
        <v>65.0</v>
      </c>
      <c r="F51" s="3" t="n">
        <v>64.0</v>
      </c>
      <c r="G51" s="3" t="n">
        <v>67.0</v>
      </c>
      <c r="H51" s="3" t="n">
        <v>68.0</v>
      </c>
      <c r="I51" s="3" t="n">
        <v>85.0</v>
      </c>
      <c r="J51" s="3" t="n">
        <v>92.0</v>
      </c>
      <c r="K51" s="3" t="n">
        <v>102.0</v>
      </c>
      <c r="L51" s="3" t="n">
        <v>112.0</v>
      </c>
      <c r="M51" s="3" t="n">
        <v>120.0</v>
      </c>
      <c r="N51" s="3" t="n">
        <v>128.0</v>
      </c>
      <c r="O51" s="3" t="n">
        <v>131.0</v>
      </c>
      <c r="P51" s="3" t="n">
        <v>136.0</v>
      </c>
      <c r="Q51" s="3" t="n">
        <v>142.0</v>
      </c>
      <c r="R51" s="3" t="n">
        <v>144.0</v>
      </c>
      <c r="S51" s="3" t="n">
        <v>148.0</v>
      </c>
      <c r="T51" s="3" t="n">
        <v>145.0</v>
      </c>
      <c r="U51" s="3" t="n">
        <v>151.0</v>
      </c>
      <c r="V51" s="3" t="n">
        <v>155.0</v>
      </c>
      <c r="W51" s="3" t="n">
        <v>157.0</v>
      </c>
      <c r="X51" s="3" t="n">
        <v>167.0</v>
      </c>
      <c r="Y51" s="3" t="n">
        <v>172.0</v>
      </c>
      <c r="Z51" s="3" t="n">
        <v>184.0</v>
      </c>
      <c r="AA51" s="3" t="n">
        <v>212.0</v>
      </c>
      <c r="AB51" s="3" t="n">
        <v>245.0</v>
      </c>
      <c r="AC51" s="3" t="n">
        <v>291.0</v>
      </c>
      <c r="AD51" s="3" t="n">
        <v>329.0</v>
      </c>
      <c r="AE51" s="3" t="n">
        <v>364.0</v>
      </c>
      <c r="AF51" s="3" t="n">
        <v>390.0</v>
      </c>
      <c r="AG51" s="3" t="n">
        <v>412.0</v>
      </c>
      <c r="AH51" s="3" t="n">
        <v>429.0</v>
      </c>
      <c r="AI51" s="3" t="n">
        <v>436.0</v>
      </c>
      <c r="AJ51" s="3" t="n">
        <v>454.0</v>
      </c>
      <c r="AK51" s="3" t="n">
        <v>468.0</v>
      </c>
      <c r="AL51" s="3" t="n">
        <v>476.0</v>
      </c>
      <c r="AM51" s="3" t="n">
        <v>488.0</v>
      </c>
      <c r="AN51" s="3" t="n">
        <v>489.0</v>
      </c>
      <c r="AO51" s="3" t="n">
        <v>481.0</v>
      </c>
    </row>
    <row r="52" spans="1:41" x14ac:dyDescent="0.2">
      <c r="A52" s="132" t="s">
        <v>51</v>
      </c>
      <c r="B52" s="63" t="s">
        <v>64</v>
      </c>
      <c r="C52" s="15" t="n">
        <v>844433.0</v>
      </c>
      <c r="D52" s="15" t="n">
        <v>840040.0</v>
      </c>
      <c r="E52" s="15" t="n">
        <v>835358.0</v>
      </c>
      <c r="F52" s="15" t="n">
        <v>830392.0</v>
      </c>
      <c r="G52" s="15" t="n">
        <v>825244.0</v>
      </c>
      <c r="H52" s="15" t="n">
        <v>821191.0</v>
      </c>
      <c r="I52" s="15" t="n">
        <v>817368.0</v>
      </c>
      <c r="J52" s="15" t="n">
        <v>812353.0</v>
      </c>
      <c r="K52" s="15" t="n">
        <v>806631.0</v>
      </c>
      <c r="L52" s="15" t="n">
        <v>800513.0</v>
      </c>
      <c r="M52" s="15" t="n">
        <v>794028.0</v>
      </c>
      <c r="N52" s="15" t="n">
        <v>787296.0</v>
      </c>
      <c r="O52" s="15" t="n">
        <v>780317.0</v>
      </c>
      <c r="P52" s="15" t="n">
        <v>772997.0</v>
      </c>
      <c r="Q52" s="15" t="n">
        <v>765591.0</v>
      </c>
      <c r="R52" s="15" t="n">
        <v>757887.0</v>
      </c>
      <c r="S52" s="15" t="n">
        <v>750002.0</v>
      </c>
      <c r="T52" s="15" t="n">
        <v>741872.0</v>
      </c>
      <c r="U52" s="15" t="n">
        <v>733650.0</v>
      </c>
      <c r="V52" s="15" t="n">
        <v>725245.0</v>
      </c>
      <c r="W52" s="15" t="n">
        <v>716792.0</v>
      </c>
      <c r="X52" s="15" t="n">
        <v>708159.0</v>
      </c>
      <c r="Y52" s="15" t="n">
        <v>699518.0</v>
      </c>
      <c r="Z52" s="15" t="n">
        <v>690824.0</v>
      </c>
      <c r="AA52" s="15" t="n">
        <v>682065.0</v>
      </c>
      <c r="AB52" s="15" t="n">
        <v>673389.0</v>
      </c>
      <c r="AC52" s="15" t="n">
        <v>664615.0</v>
      </c>
      <c r="AD52" s="15" t="n">
        <v>655833.0</v>
      </c>
      <c r="AE52" s="15" t="n">
        <v>647162.0</v>
      </c>
      <c r="AF52" s="15" t="n">
        <v>638499.0</v>
      </c>
      <c r="AG52" s="15" t="n">
        <v>629800.0</v>
      </c>
      <c r="AH52" s="15" t="n">
        <v>621213.0</v>
      </c>
      <c r="AI52" s="15" t="n">
        <v>612584.0</v>
      </c>
      <c r="AJ52" s="15" t="n">
        <v>603913.0</v>
      </c>
      <c r="AK52" s="15" t="n">
        <v>595294.0</v>
      </c>
      <c r="AL52" s="15" t="n">
        <v>586613.0</v>
      </c>
      <c r="AM52" s="15" t="n">
        <v>577822.0</v>
      </c>
      <c r="AN52" s="15" t="n">
        <v>568967.0</v>
      </c>
      <c r="AO52" s="15" t="n">
        <v>560149.0</v>
      </c>
    </row>
    <row r="53" spans="1:41" x14ac:dyDescent="0.2">
      <c r="A53" s="133"/>
      <c r="B53" s="64" t="s">
        <v>20</v>
      </c>
      <c r="C53" s="3" t="n">
        <v>32860.0</v>
      </c>
      <c r="D53" s="3" t="n">
        <v>30702.0</v>
      </c>
      <c r="E53" s="3" t="n">
        <v>28804.0</v>
      </c>
      <c r="F53" s="3" t="n">
        <v>27185.0</v>
      </c>
      <c r="G53" s="3" t="n">
        <v>25768.0</v>
      </c>
      <c r="H53" s="3" t="n">
        <v>24813.0</v>
      </c>
      <c r="I53" s="3" t="n">
        <v>24127.0</v>
      </c>
      <c r="J53" s="3" t="n">
        <v>23460.0</v>
      </c>
      <c r="K53" s="3" t="n">
        <v>22854.0</v>
      </c>
      <c r="L53" s="3" t="n">
        <v>22313.0</v>
      </c>
      <c r="M53" s="3" t="n">
        <v>21868.0</v>
      </c>
      <c r="N53" s="3" t="n">
        <v>21492.0</v>
      </c>
      <c r="O53" s="3" t="n">
        <v>21174.0</v>
      </c>
      <c r="P53" s="3" t="n">
        <v>20903.0</v>
      </c>
      <c r="Q53" s="3" t="n">
        <v>20687.0</v>
      </c>
      <c r="R53" s="3" t="n">
        <v>20528.0</v>
      </c>
      <c r="S53" s="3" t="n">
        <v>20410.0</v>
      </c>
      <c r="T53" s="3" t="n">
        <v>20322.0</v>
      </c>
      <c r="U53" s="3" t="n">
        <v>20263.0</v>
      </c>
      <c r="V53" s="3" t="n">
        <v>20202.0</v>
      </c>
      <c r="W53" s="3" t="n">
        <v>20138.0</v>
      </c>
      <c r="X53" s="3" t="n">
        <v>20054.0</v>
      </c>
      <c r="Y53" s="3" t="n">
        <v>19939.0</v>
      </c>
      <c r="Z53" s="3" t="n">
        <v>19789.0</v>
      </c>
      <c r="AA53" s="3" t="n">
        <v>19593.0</v>
      </c>
      <c r="AB53" s="3" t="n">
        <v>19339.0</v>
      </c>
      <c r="AC53" s="3" t="n">
        <v>19039.0</v>
      </c>
      <c r="AD53" s="3" t="n">
        <v>18679.0</v>
      </c>
      <c r="AE53" s="3" t="n">
        <v>18290.0</v>
      </c>
      <c r="AF53" s="3" t="n">
        <v>17848.0</v>
      </c>
      <c r="AG53" s="3" t="n">
        <v>17370.0</v>
      </c>
      <c r="AH53" s="3" t="n">
        <v>16872.0</v>
      </c>
      <c r="AI53" s="3" t="n">
        <v>16356.0</v>
      </c>
      <c r="AJ53" s="3" t="n">
        <v>15826.0</v>
      </c>
      <c r="AK53" s="3" t="n">
        <v>15297.0</v>
      </c>
      <c r="AL53" s="3" t="n">
        <v>14783.0</v>
      </c>
      <c r="AM53" s="3" t="n">
        <v>14275.0</v>
      </c>
      <c r="AN53" s="3" t="n">
        <v>13802.0</v>
      </c>
      <c r="AO53" s="3" t="n">
        <v>13351.0</v>
      </c>
    </row>
    <row r="54" spans="1:41" x14ac:dyDescent="0.2">
      <c r="A54" s="133"/>
      <c r="B54" s="64" t="s">
        <v>21</v>
      </c>
      <c r="C54" s="3" t="n">
        <v>39424.0</v>
      </c>
      <c r="D54" s="3" t="n">
        <v>39217.0</v>
      </c>
      <c r="E54" s="3" t="n">
        <v>38343.0</v>
      </c>
      <c r="F54" s="3" t="n">
        <v>37155.0</v>
      </c>
      <c r="G54" s="3" t="n">
        <v>35557.0</v>
      </c>
      <c r="H54" s="3" t="n">
        <v>33307.0</v>
      </c>
      <c r="I54" s="3" t="n">
        <v>31357.0</v>
      </c>
      <c r="J54" s="3" t="n">
        <v>29532.0</v>
      </c>
      <c r="K54" s="3" t="n">
        <v>27936.0</v>
      </c>
      <c r="L54" s="3" t="n">
        <v>26510.0</v>
      </c>
      <c r="M54" s="3" t="n">
        <v>25462.0</v>
      </c>
      <c r="N54" s="3" t="n">
        <v>24644.0</v>
      </c>
      <c r="O54" s="3" t="n">
        <v>23909.0</v>
      </c>
      <c r="P54" s="3" t="n">
        <v>23272.0</v>
      </c>
      <c r="Q54" s="3" t="n">
        <v>22721.0</v>
      </c>
      <c r="R54" s="3" t="n">
        <v>22250.0</v>
      </c>
      <c r="S54" s="3" t="n">
        <v>21848.0</v>
      </c>
      <c r="T54" s="3" t="n">
        <v>21508.0</v>
      </c>
      <c r="U54" s="3" t="n">
        <v>21223.0</v>
      </c>
      <c r="V54" s="3" t="n">
        <v>20994.0</v>
      </c>
      <c r="W54" s="3" t="n">
        <v>20830.0</v>
      </c>
      <c r="X54" s="3" t="n">
        <v>20704.0</v>
      </c>
      <c r="Y54" s="3" t="n">
        <v>20610.0</v>
      </c>
      <c r="Z54" s="3" t="n">
        <v>20545.0</v>
      </c>
      <c r="AA54" s="3" t="n">
        <v>20486.0</v>
      </c>
      <c r="AB54" s="3" t="n">
        <v>20427.0</v>
      </c>
      <c r="AC54" s="3" t="n">
        <v>20347.0</v>
      </c>
      <c r="AD54" s="3" t="n">
        <v>20236.0</v>
      </c>
      <c r="AE54" s="3" t="n">
        <v>20087.0</v>
      </c>
      <c r="AF54" s="3" t="n">
        <v>19907.0</v>
      </c>
      <c r="AG54" s="3" t="n">
        <v>19671.0</v>
      </c>
      <c r="AH54" s="3" t="n">
        <v>19384.0</v>
      </c>
      <c r="AI54" s="3" t="n">
        <v>19033.0</v>
      </c>
      <c r="AJ54" s="3" t="n">
        <v>18650.0</v>
      </c>
      <c r="AK54" s="3" t="n">
        <v>18209.0</v>
      </c>
      <c r="AL54" s="3" t="n">
        <v>17739.0</v>
      </c>
      <c r="AM54" s="3" t="n">
        <v>17246.0</v>
      </c>
      <c r="AN54" s="3" t="n">
        <v>16734.0</v>
      </c>
      <c r="AO54" s="3" t="n">
        <v>16209.0</v>
      </c>
    </row>
    <row r="55" spans="1:41" x14ac:dyDescent="0.2">
      <c r="A55" s="133"/>
      <c r="B55" s="64" t="s">
        <v>22</v>
      </c>
      <c r="C55" s="3" t="n">
        <v>42605.0</v>
      </c>
      <c r="D55" s="3" t="n">
        <v>41260.0</v>
      </c>
      <c r="E55" s="3" t="n">
        <v>40374.0</v>
      </c>
      <c r="F55" s="3" t="n">
        <v>39640.0</v>
      </c>
      <c r="G55" s="3" t="n">
        <v>39389.0</v>
      </c>
      <c r="H55" s="3" t="n">
        <v>39602.0</v>
      </c>
      <c r="I55" s="3" t="n">
        <v>39592.0</v>
      </c>
      <c r="J55" s="3" t="n">
        <v>38839.0</v>
      </c>
      <c r="K55" s="3" t="n">
        <v>37705.0</v>
      </c>
      <c r="L55" s="3" t="n">
        <v>36130.0</v>
      </c>
      <c r="M55" s="3" t="n">
        <v>33761.0</v>
      </c>
      <c r="N55" s="3" t="n">
        <v>31635.0</v>
      </c>
      <c r="O55" s="3" t="n">
        <v>29724.0</v>
      </c>
      <c r="P55" s="3" t="n">
        <v>28095.0</v>
      </c>
      <c r="Q55" s="3" t="n">
        <v>26672.0</v>
      </c>
      <c r="R55" s="3" t="n">
        <v>25620.0</v>
      </c>
      <c r="S55" s="3" t="n">
        <v>24799.0</v>
      </c>
      <c r="T55" s="3" t="n">
        <v>24048.0</v>
      </c>
      <c r="U55" s="3" t="n">
        <v>23399.0</v>
      </c>
      <c r="V55" s="3" t="n">
        <v>22838.0</v>
      </c>
      <c r="W55" s="3" t="n">
        <v>22353.0</v>
      </c>
      <c r="X55" s="3" t="n">
        <v>21947.0</v>
      </c>
      <c r="Y55" s="3" t="n">
        <v>21600.0</v>
      </c>
      <c r="Z55" s="3" t="n">
        <v>21314.0</v>
      </c>
      <c r="AA55" s="3" t="n">
        <v>21078.0</v>
      </c>
      <c r="AB55" s="3" t="n">
        <v>20906.0</v>
      </c>
      <c r="AC55" s="3" t="n">
        <v>20773.0</v>
      </c>
      <c r="AD55" s="3" t="n">
        <v>20674.0</v>
      </c>
      <c r="AE55" s="3" t="n">
        <v>20603.0</v>
      </c>
      <c r="AF55" s="3" t="n">
        <v>20542.0</v>
      </c>
      <c r="AG55" s="3" t="n">
        <v>20482.0</v>
      </c>
      <c r="AH55" s="3" t="n">
        <v>20404.0</v>
      </c>
      <c r="AI55" s="3" t="n">
        <v>20293.0</v>
      </c>
      <c r="AJ55" s="3" t="n">
        <v>20143.0</v>
      </c>
      <c r="AK55" s="3" t="n">
        <v>19961.0</v>
      </c>
      <c r="AL55" s="3" t="n">
        <v>19723.0</v>
      </c>
      <c r="AM55" s="3" t="n">
        <v>19430.0</v>
      </c>
      <c r="AN55" s="3" t="n">
        <v>19088.0</v>
      </c>
      <c r="AO55" s="3" t="n">
        <v>18718.0</v>
      </c>
    </row>
    <row r="56" spans="1:41" x14ac:dyDescent="0.2">
      <c r="A56" s="133"/>
      <c r="B56" s="64" t="s">
        <v>23</v>
      </c>
      <c r="C56" s="3" t="n">
        <v>37861.0</v>
      </c>
      <c r="D56" s="3" t="n">
        <v>39804.0</v>
      </c>
      <c r="E56" s="3" t="n">
        <v>41402.0</v>
      </c>
      <c r="F56" s="3" t="n">
        <v>42484.0</v>
      </c>
      <c r="G56" s="3" t="n">
        <v>42888.0</v>
      </c>
      <c r="H56" s="3" t="n">
        <v>42663.0</v>
      </c>
      <c r="I56" s="3" t="n">
        <v>41496.0</v>
      </c>
      <c r="J56" s="3" t="n">
        <v>40713.0</v>
      </c>
      <c r="K56" s="3" t="n">
        <v>40033.0</v>
      </c>
      <c r="L56" s="3" t="n">
        <v>39817.0</v>
      </c>
      <c r="M56" s="3" t="n">
        <v>39906.0</v>
      </c>
      <c r="N56" s="3" t="n">
        <v>39720.0</v>
      </c>
      <c r="O56" s="3" t="n">
        <v>38889.0</v>
      </c>
      <c r="P56" s="3" t="n">
        <v>37719.0</v>
      </c>
      <c r="Q56" s="3" t="n">
        <v>36133.0</v>
      </c>
      <c r="R56" s="3" t="n">
        <v>33776.0</v>
      </c>
      <c r="S56" s="3" t="n">
        <v>31678.0</v>
      </c>
      <c r="T56" s="3" t="n">
        <v>29788.0</v>
      </c>
      <c r="U56" s="3" t="n">
        <v>28169.0</v>
      </c>
      <c r="V56" s="3" t="n">
        <v>26740.0</v>
      </c>
      <c r="W56" s="3" t="n">
        <v>25684.0</v>
      </c>
      <c r="X56" s="3" t="n">
        <v>24854.0</v>
      </c>
      <c r="Y56" s="3" t="n">
        <v>24104.0</v>
      </c>
      <c r="Z56" s="3" t="n">
        <v>23452.0</v>
      </c>
      <c r="AA56" s="3" t="n">
        <v>22885.0</v>
      </c>
      <c r="AB56" s="3" t="n">
        <v>22386.0</v>
      </c>
      <c r="AC56" s="3" t="n">
        <v>21974.0</v>
      </c>
      <c r="AD56" s="3" t="n">
        <v>21617.0</v>
      </c>
      <c r="AE56" s="3" t="n">
        <v>21320.0</v>
      </c>
      <c r="AF56" s="3" t="n">
        <v>21075.0</v>
      </c>
      <c r="AG56" s="3" t="n">
        <v>20893.0</v>
      </c>
      <c r="AH56" s="3" t="n">
        <v>20753.0</v>
      </c>
      <c r="AI56" s="3" t="n">
        <v>20648.0</v>
      </c>
      <c r="AJ56" s="3" t="n">
        <v>20570.0</v>
      </c>
      <c r="AK56" s="3" t="n">
        <v>20501.0</v>
      </c>
      <c r="AL56" s="3" t="n">
        <v>20438.0</v>
      </c>
      <c r="AM56" s="3" t="n">
        <v>20360.0</v>
      </c>
      <c r="AN56" s="3" t="n">
        <v>20248.0</v>
      </c>
      <c r="AO56" s="3" t="n">
        <v>20099.0</v>
      </c>
    </row>
    <row r="57" spans="1:41" x14ac:dyDescent="0.2">
      <c r="A57" s="133"/>
      <c r="B57" s="64" t="s">
        <v>24</v>
      </c>
      <c r="C57" s="3" t="n">
        <v>37175.0</v>
      </c>
      <c r="D57" s="3" t="n">
        <v>36573.0</v>
      </c>
      <c r="E57" s="3" t="n">
        <v>36227.0</v>
      </c>
      <c r="F57" s="3" t="n">
        <v>36163.0</v>
      </c>
      <c r="G57" s="3" t="n">
        <v>36514.0</v>
      </c>
      <c r="H57" s="3" t="n">
        <v>37703.0</v>
      </c>
      <c r="I57" s="3" t="n">
        <v>39727.0</v>
      </c>
      <c r="J57" s="3" t="n">
        <v>41351.0</v>
      </c>
      <c r="K57" s="3" t="n">
        <v>42465.0</v>
      </c>
      <c r="L57" s="3" t="n">
        <v>42877.0</v>
      </c>
      <c r="M57" s="3" t="n">
        <v>42584.0</v>
      </c>
      <c r="N57" s="3" t="n">
        <v>41312.0</v>
      </c>
      <c r="O57" s="3" t="n">
        <v>40482.0</v>
      </c>
      <c r="P57" s="3" t="n">
        <v>39770.0</v>
      </c>
      <c r="Q57" s="3" t="n">
        <v>39523.0</v>
      </c>
      <c r="R57" s="3" t="n">
        <v>39605.0</v>
      </c>
      <c r="S57" s="3" t="n">
        <v>39420.0</v>
      </c>
      <c r="T57" s="3" t="n">
        <v>38604.0</v>
      </c>
      <c r="U57" s="3" t="n">
        <v>37475.0</v>
      </c>
      <c r="V57" s="3" t="n">
        <v>35931.0</v>
      </c>
      <c r="W57" s="3" t="n">
        <v>33604.0</v>
      </c>
      <c r="X57" s="3" t="n">
        <v>31527.0</v>
      </c>
      <c r="Y57" s="3" t="n">
        <v>29663.0</v>
      </c>
      <c r="Z57" s="3" t="n">
        <v>28067.0</v>
      </c>
      <c r="AA57" s="3" t="n">
        <v>26667.0</v>
      </c>
      <c r="AB57" s="3" t="n">
        <v>25637.0</v>
      </c>
      <c r="AC57" s="3" t="n">
        <v>24812.0</v>
      </c>
      <c r="AD57" s="3" t="n">
        <v>24063.0</v>
      </c>
      <c r="AE57" s="3" t="n">
        <v>23404.0</v>
      </c>
      <c r="AF57" s="3" t="n">
        <v>22829.0</v>
      </c>
      <c r="AG57" s="3" t="n">
        <v>22324.0</v>
      </c>
      <c r="AH57" s="3" t="n">
        <v>21898.0</v>
      </c>
      <c r="AI57" s="3" t="n">
        <v>21524.0</v>
      </c>
      <c r="AJ57" s="3" t="n">
        <v>21222.0</v>
      </c>
      <c r="AK57" s="3" t="n">
        <v>20967.0</v>
      </c>
      <c r="AL57" s="3" t="n">
        <v>20783.0</v>
      </c>
      <c r="AM57" s="3" t="n">
        <v>20645.0</v>
      </c>
      <c r="AN57" s="3" t="n">
        <v>20542.0</v>
      </c>
      <c r="AO57" s="3" t="n">
        <v>20458.0</v>
      </c>
    </row>
    <row r="58" spans="1:41" x14ac:dyDescent="0.2">
      <c r="A58" s="133"/>
      <c r="B58" s="64" t="s">
        <v>25</v>
      </c>
      <c r="C58" s="3" t="n">
        <v>44240.0</v>
      </c>
      <c r="D58" s="3" t="n">
        <v>42112.0</v>
      </c>
      <c r="E58" s="3" t="n">
        <v>40150.0</v>
      </c>
      <c r="F58" s="3" t="n">
        <v>38686.0</v>
      </c>
      <c r="G58" s="3" t="n">
        <v>37598.0</v>
      </c>
      <c r="H58" s="3" t="n">
        <v>36875.0</v>
      </c>
      <c r="I58" s="3" t="n">
        <v>36364.0</v>
      </c>
      <c r="J58" s="3" t="n">
        <v>36049.0</v>
      </c>
      <c r="K58" s="3" t="n">
        <v>35973.0</v>
      </c>
      <c r="L58" s="3" t="n">
        <v>36282.0</v>
      </c>
      <c r="M58" s="3" t="n">
        <v>37344.0</v>
      </c>
      <c r="N58" s="3" t="n">
        <v>39202.0</v>
      </c>
      <c r="O58" s="3" t="n">
        <v>40738.0</v>
      </c>
      <c r="P58" s="3" t="n">
        <v>41793.0</v>
      </c>
      <c r="Q58" s="3" t="n">
        <v>42208.0</v>
      </c>
      <c r="R58" s="3" t="n">
        <v>41939.0</v>
      </c>
      <c r="S58" s="3" t="n">
        <v>40704.0</v>
      </c>
      <c r="T58" s="3" t="n">
        <v>39894.0</v>
      </c>
      <c r="U58" s="3" t="n">
        <v>39183.0</v>
      </c>
      <c r="V58" s="3" t="n">
        <v>38931.0</v>
      </c>
      <c r="W58" s="3" t="n">
        <v>39013.0</v>
      </c>
      <c r="X58" s="3" t="n">
        <v>38854.0</v>
      </c>
      <c r="Y58" s="3" t="n">
        <v>38073.0</v>
      </c>
      <c r="Z58" s="3" t="n">
        <v>36994.0</v>
      </c>
      <c r="AA58" s="3" t="n">
        <v>35501.0</v>
      </c>
      <c r="AB58" s="3" t="n">
        <v>33237.0</v>
      </c>
      <c r="AC58" s="3" t="n">
        <v>31202.0</v>
      </c>
      <c r="AD58" s="3" t="n">
        <v>29381.0</v>
      </c>
      <c r="AE58" s="3" t="n">
        <v>27824.0</v>
      </c>
      <c r="AF58" s="3" t="n">
        <v>26439.0</v>
      </c>
      <c r="AG58" s="3" t="n">
        <v>25430.0</v>
      </c>
      <c r="AH58" s="3" t="n">
        <v>24620.0</v>
      </c>
      <c r="AI58" s="3" t="n">
        <v>23880.0</v>
      </c>
      <c r="AJ58" s="3" t="n">
        <v>23233.0</v>
      </c>
      <c r="AK58" s="3" t="n">
        <v>22668.0</v>
      </c>
      <c r="AL58" s="3" t="n">
        <v>22157.0</v>
      </c>
      <c r="AM58" s="3" t="n">
        <v>21720.0</v>
      </c>
      <c r="AN58" s="3" t="n">
        <v>21343.0</v>
      </c>
      <c r="AO58" s="3" t="n">
        <v>21029.0</v>
      </c>
    </row>
    <row r="59" spans="1:41" x14ac:dyDescent="0.2">
      <c r="A59" s="133"/>
      <c r="B59" s="64" t="s">
        <v>26</v>
      </c>
      <c r="C59" s="3" t="n">
        <v>53484.0</v>
      </c>
      <c r="D59" s="3" t="n">
        <v>51648.0</v>
      </c>
      <c r="E59" s="3" t="n">
        <v>49950.0</v>
      </c>
      <c r="F59" s="3" t="n">
        <v>47756.0</v>
      </c>
      <c r="G59" s="3" t="n">
        <v>45438.0</v>
      </c>
      <c r="H59" s="3" t="n">
        <v>43532.0</v>
      </c>
      <c r="I59" s="3" t="n">
        <v>41602.0</v>
      </c>
      <c r="J59" s="3" t="n">
        <v>39763.0</v>
      </c>
      <c r="K59" s="3" t="n">
        <v>38347.0</v>
      </c>
      <c r="L59" s="3" t="n">
        <v>37260.0</v>
      </c>
      <c r="M59" s="3" t="n">
        <v>36415.0</v>
      </c>
      <c r="N59" s="3" t="n">
        <v>35741.0</v>
      </c>
      <c r="O59" s="3" t="n">
        <v>35316.0</v>
      </c>
      <c r="P59" s="3" t="n">
        <v>35192.0</v>
      </c>
      <c r="Q59" s="3" t="n">
        <v>35453.0</v>
      </c>
      <c r="R59" s="3" t="n">
        <v>36461.0</v>
      </c>
      <c r="S59" s="3" t="n">
        <v>38234.0</v>
      </c>
      <c r="T59" s="3" t="n">
        <v>39716.0</v>
      </c>
      <c r="U59" s="3" t="n">
        <v>40750.0</v>
      </c>
      <c r="V59" s="3" t="n">
        <v>41164.0</v>
      </c>
      <c r="W59" s="3" t="n">
        <v>40919.0</v>
      </c>
      <c r="X59" s="3" t="n">
        <v>39717.0</v>
      </c>
      <c r="Y59" s="3" t="n">
        <v>38925.0</v>
      </c>
      <c r="Z59" s="3" t="n">
        <v>38213.0</v>
      </c>
      <c r="AA59" s="3" t="n">
        <v>37960.0</v>
      </c>
      <c r="AB59" s="3" t="n">
        <v>38031.0</v>
      </c>
      <c r="AC59" s="3" t="n">
        <v>37898.0</v>
      </c>
      <c r="AD59" s="3" t="n">
        <v>37177.0</v>
      </c>
      <c r="AE59" s="3" t="n">
        <v>36150.0</v>
      </c>
      <c r="AF59" s="3" t="n">
        <v>34741.0</v>
      </c>
      <c r="AG59" s="3" t="n">
        <v>32537.0</v>
      </c>
      <c r="AH59" s="3" t="n">
        <v>30570.0</v>
      </c>
      <c r="AI59" s="3" t="n">
        <v>28801.0</v>
      </c>
      <c r="AJ59" s="3" t="n">
        <v>27262.0</v>
      </c>
      <c r="AK59" s="3" t="n">
        <v>25890.0</v>
      </c>
      <c r="AL59" s="3" t="n">
        <v>24922.0</v>
      </c>
      <c r="AM59" s="3" t="n">
        <v>24118.0</v>
      </c>
      <c r="AN59" s="3" t="n">
        <v>23375.0</v>
      </c>
      <c r="AO59" s="3" t="n">
        <v>22729.0</v>
      </c>
    </row>
    <row r="60" spans="1:41" x14ac:dyDescent="0.2">
      <c r="A60" s="133"/>
      <c r="B60" s="64" t="s">
        <v>27</v>
      </c>
      <c r="C60" s="3" t="n">
        <v>65361.0</v>
      </c>
      <c r="D60" s="3" t="n">
        <v>62281.0</v>
      </c>
      <c r="E60" s="3" t="n">
        <v>59188.0</v>
      </c>
      <c r="F60" s="3" t="n">
        <v>56695.0</v>
      </c>
      <c r="G60" s="3" t="n">
        <v>54815.0</v>
      </c>
      <c r="H60" s="3" t="n">
        <v>53024.0</v>
      </c>
      <c r="I60" s="3" t="n">
        <v>51401.0</v>
      </c>
      <c r="J60" s="3" t="n">
        <v>49780.0</v>
      </c>
      <c r="K60" s="3" t="n">
        <v>47624.0</v>
      </c>
      <c r="L60" s="3" t="n">
        <v>45334.0</v>
      </c>
      <c r="M60" s="3" t="n">
        <v>43316.0</v>
      </c>
      <c r="N60" s="3" t="n">
        <v>41220.0</v>
      </c>
      <c r="O60" s="3" t="n">
        <v>39321.0</v>
      </c>
      <c r="P60" s="3" t="n">
        <v>37877.0</v>
      </c>
      <c r="Q60" s="3" t="n">
        <v>36759.0</v>
      </c>
      <c r="R60" s="3" t="n">
        <v>35880.0</v>
      </c>
      <c r="S60" s="3" t="n">
        <v>35179.0</v>
      </c>
      <c r="T60" s="3" t="n">
        <v>34725.0</v>
      </c>
      <c r="U60" s="3" t="n">
        <v>34580.0</v>
      </c>
      <c r="V60" s="3" t="n">
        <v>34816.0</v>
      </c>
      <c r="W60" s="3" t="n">
        <v>35779.0</v>
      </c>
      <c r="X60" s="3" t="n">
        <v>37484.0</v>
      </c>
      <c r="Y60" s="3" t="n">
        <v>38931.0</v>
      </c>
      <c r="Z60" s="3" t="n">
        <v>39938.0</v>
      </c>
      <c r="AA60" s="3" t="n">
        <v>40341.0</v>
      </c>
      <c r="AB60" s="3" t="n">
        <v>40110.0</v>
      </c>
      <c r="AC60" s="3" t="n">
        <v>38932.0</v>
      </c>
      <c r="AD60" s="3" t="n">
        <v>38135.0</v>
      </c>
      <c r="AE60" s="3" t="n">
        <v>37418.0</v>
      </c>
      <c r="AF60" s="3" t="n">
        <v>37153.0</v>
      </c>
      <c r="AG60" s="3" t="n">
        <v>37231.0</v>
      </c>
      <c r="AH60" s="3" t="n">
        <v>37124.0</v>
      </c>
      <c r="AI60" s="3" t="n">
        <v>36437.0</v>
      </c>
      <c r="AJ60" s="3" t="n">
        <v>35471.0</v>
      </c>
      <c r="AK60" s="3" t="n">
        <v>34093.0</v>
      </c>
      <c r="AL60" s="3" t="n">
        <v>31916.0</v>
      </c>
      <c r="AM60" s="3" t="n">
        <v>29965.0</v>
      </c>
      <c r="AN60" s="3" t="n">
        <v>28232.0</v>
      </c>
      <c r="AO60" s="3" t="n">
        <v>26724.0</v>
      </c>
    </row>
    <row r="61" spans="1:41" x14ac:dyDescent="0.2">
      <c r="A61" s="133"/>
      <c r="B61" s="64" t="s">
        <v>28</v>
      </c>
      <c r="C61" s="3" t="n">
        <v>68561.0</v>
      </c>
      <c r="D61" s="3" t="n">
        <v>69451.0</v>
      </c>
      <c r="E61" s="3" t="n">
        <v>69518.0</v>
      </c>
      <c r="F61" s="3" t="n">
        <v>68681.0</v>
      </c>
      <c r="G61" s="3" t="n">
        <v>67246.0</v>
      </c>
      <c r="H61" s="3" t="n">
        <v>64831.0</v>
      </c>
      <c r="I61" s="3" t="n">
        <v>61950.0</v>
      </c>
      <c r="J61" s="3" t="n">
        <v>58987.0</v>
      </c>
      <c r="K61" s="3" t="n">
        <v>56574.0</v>
      </c>
      <c r="L61" s="3" t="n">
        <v>54763.0</v>
      </c>
      <c r="M61" s="3" t="n">
        <v>52865.0</v>
      </c>
      <c r="N61" s="3" t="n">
        <v>51075.0</v>
      </c>
      <c r="O61" s="3" t="n">
        <v>49376.0</v>
      </c>
      <c r="P61" s="3" t="n">
        <v>47200.0</v>
      </c>
      <c r="Q61" s="3" t="n">
        <v>44909.0</v>
      </c>
      <c r="R61" s="3" t="n">
        <v>42905.0</v>
      </c>
      <c r="S61" s="3" t="n">
        <v>40825.0</v>
      </c>
      <c r="T61" s="3" t="n">
        <v>38935.0</v>
      </c>
      <c r="U61" s="3" t="n">
        <v>37496.0</v>
      </c>
      <c r="V61" s="3" t="n">
        <v>36363.0</v>
      </c>
      <c r="W61" s="3" t="n">
        <v>35461.0</v>
      </c>
      <c r="X61" s="3" t="n">
        <v>34743.0</v>
      </c>
      <c r="Y61" s="3" t="n">
        <v>34275.0</v>
      </c>
      <c r="Z61" s="3" t="n">
        <v>34116.0</v>
      </c>
      <c r="AA61" s="3" t="n">
        <v>34325.0</v>
      </c>
      <c r="AB61" s="3" t="n">
        <v>35257.0</v>
      </c>
      <c r="AC61" s="3" t="n">
        <v>36920.0</v>
      </c>
      <c r="AD61" s="3" t="n">
        <v>38334.0</v>
      </c>
      <c r="AE61" s="3" t="n">
        <v>39319.0</v>
      </c>
      <c r="AF61" s="3" t="n">
        <v>39738.0</v>
      </c>
      <c r="AG61" s="3" t="n">
        <v>39514.0</v>
      </c>
      <c r="AH61" s="3" t="n">
        <v>38348.0</v>
      </c>
      <c r="AI61" s="3" t="n">
        <v>37544.0</v>
      </c>
      <c r="AJ61" s="3" t="n">
        <v>36814.0</v>
      </c>
      <c r="AK61" s="3" t="n">
        <v>36538.0</v>
      </c>
      <c r="AL61" s="3" t="n">
        <v>36612.0</v>
      </c>
      <c r="AM61" s="3" t="n">
        <v>36503.0</v>
      </c>
      <c r="AN61" s="3" t="n">
        <v>35819.0</v>
      </c>
      <c r="AO61" s="3" t="n">
        <v>34883.0</v>
      </c>
    </row>
    <row r="62" spans="1:41" x14ac:dyDescent="0.2">
      <c r="A62" s="133"/>
      <c r="B62" s="64" t="s">
        <v>29</v>
      </c>
      <c r="C62" s="3" t="n">
        <v>63703.0</v>
      </c>
      <c r="D62" s="3" t="n">
        <v>65133.0</v>
      </c>
      <c r="E62" s="3" t="n">
        <v>66326.0</v>
      </c>
      <c r="F62" s="3" t="n">
        <v>66947.0</v>
      </c>
      <c r="G62" s="3" t="n">
        <v>67048.0</v>
      </c>
      <c r="H62" s="3" t="n">
        <v>67952.0</v>
      </c>
      <c r="I62" s="3" t="n">
        <v>68952.0</v>
      </c>
      <c r="J62" s="3" t="n">
        <v>69086.0</v>
      </c>
      <c r="K62" s="3" t="n">
        <v>68293.0</v>
      </c>
      <c r="L62" s="3" t="n">
        <v>66894.0</v>
      </c>
      <c r="M62" s="3" t="n">
        <v>64422.0</v>
      </c>
      <c r="N62" s="3" t="n">
        <v>61455.0</v>
      </c>
      <c r="O62" s="3" t="n">
        <v>58478.0</v>
      </c>
      <c r="P62" s="3" t="n">
        <v>56095.0</v>
      </c>
      <c r="Q62" s="3" t="n">
        <v>54313.0</v>
      </c>
      <c r="R62" s="3" t="n">
        <v>52443.0</v>
      </c>
      <c r="S62" s="3" t="n">
        <v>50682.0</v>
      </c>
      <c r="T62" s="3" t="n">
        <v>48998.0</v>
      </c>
      <c r="U62" s="3" t="n">
        <v>46823.0</v>
      </c>
      <c r="V62" s="3" t="n">
        <v>44545.0</v>
      </c>
      <c r="W62" s="3" t="n">
        <v>42564.0</v>
      </c>
      <c r="X62" s="3" t="n">
        <v>40491.0</v>
      </c>
      <c r="Y62" s="3" t="n">
        <v>38616.0</v>
      </c>
      <c r="Z62" s="3" t="n">
        <v>37183.0</v>
      </c>
      <c r="AA62" s="3" t="n">
        <v>36034.0</v>
      </c>
      <c r="AB62" s="3" t="n">
        <v>35118.0</v>
      </c>
      <c r="AC62" s="3" t="n">
        <v>34399.0</v>
      </c>
      <c r="AD62" s="3" t="n">
        <v>33925.0</v>
      </c>
      <c r="AE62" s="3" t="n">
        <v>33749.0</v>
      </c>
      <c r="AF62" s="3" t="n">
        <v>33934.0</v>
      </c>
      <c r="AG62" s="3" t="n">
        <v>34836.0</v>
      </c>
      <c r="AH62" s="3" t="n">
        <v>36480.0</v>
      </c>
      <c r="AI62" s="3" t="n">
        <v>37882.0</v>
      </c>
      <c r="AJ62" s="3" t="n">
        <v>38857.0</v>
      </c>
      <c r="AK62" s="3" t="n">
        <v>39257.0</v>
      </c>
      <c r="AL62" s="3" t="n">
        <v>39026.0</v>
      </c>
      <c r="AM62" s="3" t="n">
        <v>37863.0</v>
      </c>
      <c r="AN62" s="3" t="n">
        <v>37058.0</v>
      </c>
      <c r="AO62" s="3" t="n">
        <v>36323.0</v>
      </c>
    </row>
    <row r="63" spans="1:41" x14ac:dyDescent="0.2">
      <c r="A63" s="133"/>
      <c r="B63" s="64" t="s">
        <v>30</v>
      </c>
      <c r="C63" s="3" t="n">
        <v>51275.0</v>
      </c>
      <c r="D63" s="3" t="n">
        <v>53238.0</v>
      </c>
      <c r="E63" s="3" t="n">
        <v>55617.0</v>
      </c>
      <c r="F63" s="3" t="n">
        <v>58305.0</v>
      </c>
      <c r="G63" s="3" t="n">
        <v>60918.0</v>
      </c>
      <c r="H63" s="3" t="n">
        <v>62791.0</v>
      </c>
      <c r="I63" s="3" t="n">
        <v>64263.0</v>
      </c>
      <c r="J63" s="3" t="n">
        <v>65475.0</v>
      </c>
      <c r="K63" s="3" t="n">
        <v>66106.0</v>
      </c>
      <c r="L63" s="3" t="n">
        <v>66231.0</v>
      </c>
      <c r="M63" s="3" t="n">
        <v>67063.0</v>
      </c>
      <c r="N63" s="3" t="n">
        <v>67940.0</v>
      </c>
      <c r="O63" s="3" t="n">
        <v>68017.0</v>
      </c>
      <c r="P63" s="3" t="n">
        <v>67229.0</v>
      </c>
      <c r="Q63" s="3" t="n">
        <v>65867.0</v>
      </c>
      <c r="R63" s="3" t="n">
        <v>63445.0</v>
      </c>
      <c r="S63" s="3" t="n">
        <v>60533.0</v>
      </c>
      <c r="T63" s="3" t="n">
        <v>57613.0</v>
      </c>
      <c r="U63" s="3" t="n">
        <v>55288.0</v>
      </c>
      <c r="V63" s="3" t="n">
        <v>53534.0</v>
      </c>
      <c r="W63" s="3" t="n">
        <v>51704.0</v>
      </c>
      <c r="X63" s="3" t="n">
        <v>49982.0</v>
      </c>
      <c r="Y63" s="3" t="n">
        <v>48318.0</v>
      </c>
      <c r="Z63" s="3" t="n">
        <v>46177.0</v>
      </c>
      <c r="AA63" s="3" t="n">
        <v>43918.0</v>
      </c>
      <c r="AB63" s="3" t="n">
        <v>41953.0</v>
      </c>
      <c r="AC63" s="3" t="n">
        <v>39904.0</v>
      </c>
      <c r="AD63" s="3" t="n">
        <v>38066.0</v>
      </c>
      <c r="AE63" s="3" t="n">
        <v>36666.0</v>
      </c>
      <c r="AF63" s="3" t="n">
        <v>35531.0</v>
      </c>
      <c r="AG63" s="3" t="n">
        <v>34609.0</v>
      </c>
      <c r="AH63" s="3" t="n">
        <v>33878.0</v>
      </c>
      <c r="AI63" s="3" t="n">
        <v>33394.0</v>
      </c>
      <c r="AJ63" s="3" t="n">
        <v>33207.0</v>
      </c>
      <c r="AK63" s="3" t="n">
        <v>33389.0</v>
      </c>
      <c r="AL63" s="3" t="n">
        <v>34278.0</v>
      </c>
      <c r="AM63" s="3" t="n">
        <v>35892.0</v>
      </c>
      <c r="AN63" s="3" t="n">
        <v>37260.0</v>
      </c>
      <c r="AO63" s="3" t="n">
        <v>38202.0</v>
      </c>
    </row>
    <row r="64" spans="1:41" x14ac:dyDescent="0.2">
      <c r="A64" s="133"/>
      <c r="B64" s="64" t="s">
        <v>31</v>
      </c>
      <c r="C64" s="3" t="n">
        <v>48677.0</v>
      </c>
      <c r="D64" s="3" t="n">
        <v>47535.0</v>
      </c>
      <c r="E64" s="3" t="n">
        <v>47204.0</v>
      </c>
      <c r="F64" s="3" t="n">
        <v>47820.0</v>
      </c>
      <c r="G64" s="3" t="n">
        <v>48641.0</v>
      </c>
      <c r="H64" s="3" t="n">
        <v>50303.0</v>
      </c>
      <c r="I64" s="3" t="n">
        <v>52314.0</v>
      </c>
      <c r="J64" s="3" t="n">
        <v>54682.0</v>
      </c>
      <c r="K64" s="3" t="n">
        <v>57334.0</v>
      </c>
      <c r="L64" s="3" t="n">
        <v>59886.0</v>
      </c>
      <c r="M64" s="3" t="n">
        <v>61656.0</v>
      </c>
      <c r="N64" s="3" t="n">
        <v>63011.0</v>
      </c>
      <c r="O64" s="3" t="n">
        <v>64155.0</v>
      </c>
      <c r="P64" s="3" t="n">
        <v>64766.0</v>
      </c>
      <c r="Q64" s="3" t="n">
        <v>64873.0</v>
      </c>
      <c r="R64" s="3" t="n">
        <v>65677.0</v>
      </c>
      <c r="S64" s="3" t="n">
        <v>66547.0</v>
      </c>
      <c r="T64" s="3" t="n">
        <v>66622.0</v>
      </c>
      <c r="U64" s="3" t="n">
        <v>65852.0</v>
      </c>
      <c r="V64" s="3" t="n">
        <v>64529.0</v>
      </c>
      <c r="W64" s="3" t="n">
        <v>62173.0</v>
      </c>
      <c r="X64" s="3" t="n">
        <v>59338.0</v>
      </c>
      <c r="Y64" s="3" t="n">
        <v>56505.0</v>
      </c>
      <c r="Z64" s="3" t="n">
        <v>54247.0</v>
      </c>
      <c r="AA64" s="3" t="n">
        <v>52556.0</v>
      </c>
      <c r="AB64" s="3" t="n">
        <v>50782.0</v>
      </c>
      <c r="AC64" s="3" t="n">
        <v>49087.0</v>
      </c>
      <c r="AD64" s="3" t="n">
        <v>47448.0</v>
      </c>
      <c r="AE64" s="3" t="n">
        <v>45349.0</v>
      </c>
      <c r="AF64" s="3" t="n">
        <v>43138.0</v>
      </c>
      <c r="AG64" s="3" t="n">
        <v>41205.0</v>
      </c>
      <c r="AH64" s="3" t="n">
        <v>39205.0</v>
      </c>
      <c r="AI64" s="3" t="n">
        <v>37402.0</v>
      </c>
      <c r="AJ64" s="3" t="n">
        <v>36032.0</v>
      </c>
      <c r="AK64" s="3" t="n">
        <v>34916.0</v>
      </c>
      <c r="AL64" s="3" t="n">
        <v>34002.0</v>
      </c>
      <c r="AM64" s="3" t="n">
        <v>33272.0</v>
      </c>
      <c r="AN64" s="3" t="n">
        <v>32791.0</v>
      </c>
      <c r="AO64" s="3" t="n">
        <v>32620.0</v>
      </c>
    </row>
    <row r="65" spans="1:41" x14ac:dyDescent="0.2">
      <c r="A65" s="133"/>
      <c r="B65" s="64" t="s">
        <v>32</v>
      </c>
      <c r="C65" s="3" t="n">
        <v>59534.0</v>
      </c>
      <c r="D65" s="3" t="n">
        <v>56058.0</v>
      </c>
      <c r="E65" s="3" t="n">
        <v>52520.0</v>
      </c>
      <c r="F65" s="3" t="n">
        <v>50078.0</v>
      </c>
      <c r="G65" s="3" t="n">
        <v>48395.0</v>
      </c>
      <c r="H65" s="3" t="n">
        <v>47264.0</v>
      </c>
      <c r="I65" s="3" t="n">
        <v>46229.0</v>
      </c>
      <c r="J65" s="3" t="n">
        <v>45933.0</v>
      </c>
      <c r="K65" s="3" t="n">
        <v>46535.0</v>
      </c>
      <c r="L65" s="3" t="n">
        <v>47344.0</v>
      </c>
      <c r="M65" s="3" t="n">
        <v>48913.0</v>
      </c>
      <c r="N65" s="3" t="n">
        <v>50788.0</v>
      </c>
      <c r="O65" s="3" t="n">
        <v>53060.0</v>
      </c>
      <c r="P65" s="3" t="n">
        <v>55602.0</v>
      </c>
      <c r="Q65" s="3" t="n">
        <v>58059.0</v>
      </c>
      <c r="R65" s="3" t="n">
        <v>59778.0</v>
      </c>
      <c r="S65" s="3" t="n">
        <v>61074.0</v>
      </c>
      <c r="T65" s="3" t="n">
        <v>62181.0</v>
      </c>
      <c r="U65" s="3" t="n">
        <v>62780.0</v>
      </c>
      <c r="V65" s="3" t="n">
        <v>62877.0</v>
      </c>
      <c r="W65" s="3" t="n">
        <v>63660.0</v>
      </c>
      <c r="X65" s="3" t="n">
        <v>64490.0</v>
      </c>
      <c r="Y65" s="3" t="n">
        <v>64571.0</v>
      </c>
      <c r="Z65" s="3" t="n">
        <v>63841.0</v>
      </c>
      <c r="AA65" s="3" t="n">
        <v>62585.0</v>
      </c>
      <c r="AB65" s="3" t="n">
        <v>60327.0</v>
      </c>
      <c r="AC65" s="3" t="n">
        <v>57614.0</v>
      </c>
      <c r="AD65" s="3" t="n">
        <v>54881.0</v>
      </c>
      <c r="AE65" s="3" t="n">
        <v>52708.0</v>
      </c>
      <c r="AF65" s="3" t="n">
        <v>51071.0</v>
      </c>
      <c r="AG65" s="3" t="n">
        <v>49343.0</v>
      </c>
      <c r="AH65" s="3" t="n">
        <v>47691.0</v>
      </c>
      <c r="AI65" s="3" t="n">
        <v>46101.0</v>
      </c>
      <c r="AJ65" s="3" t="n">
        <v>44060.0</v>
      </c>
      <c r="AK65" s="3" t="n">
        <v>41917.0</v>
      </c>
      <c r="AL65" s="3" t="n">
        <v>40047.0</v>
      </c>
      <c r="AM65" s="3" t="n">
        <v>38114.0</v>
      </c>
      <c r="AN65" s="3" t="n">
        <v>36385.0</v>
      </c>
      <c r="AO65" s="3" t="n">
        <v>35054.0</v>
      </c>
    </row>
    <row r="66" spans="1:41" x14ac:dyDescent="0.2">
      <c r="A66" s="133"/>
      <c r="B66" s="65" t="s">
        <v>33</v>
      </c>
      <c r="C66" s="3" t="n">
        <v>66813.0</v>
      </c>
      <c r="D66" s="3" t="n">
        <v>66739.0</v>
      </c>
      <c r="E66" s="3" t="n">
        <v>66068.0</v>
      </c>
      <c r="F66" s="3" t="n">
        <v>63505.0</v>
      </c>
      <c r="G66" s="3" t="n">
        <v>60229.0</v>
      </c>
      <c r="H66" s="3" t="n">
        <v>56421.0</v>
      </c>
      <c r="I66" s="3" t="n">
        <v>53198.0</v>
      </c>
      <c r="J66" s="3" t="n">
        <v>49919.0</v>
      </c>
      <c r="K66" s="3" t="n">
        <v>47656.0</v>
      </c>
      <c r="L66" s="3" t="n">
        <v>46095.0</v>
      </c>
      <c r="M66" s="3" t="n">
        <v>44998.0</v>
      </c>
      <c r="N66" s="3" t="n">
        <v>43998.0</v>
      </c>
      <c r="O66" s="3" t="n">
        <v>43706.0</v>
      </c>
      <c r="P66" s="3" t="n">
        <v>44278.0</v>
      </c>
      <c r="Q66" s="3" t="n">
        <v>45071.0</v>
      </c>
      <c r="R66" s="3" t="n">
        <v>46558.0</v>
      </c>
      <c r="S66" s="3" t="n">
        <v>48352.0</v>
      </c>
      <c r="T66" s="3" t="n">
        <v>50524.0</v>
      </c>
      <c r="U66" s="3" t="n">
        <v>52941.0</v>
      </c>
      <c r="V66" s="3" t="n">
        <v>55276.0</v>
      </c>
      <c r="W66" s="3" t="n">
        <v>56915.0</v>
      </c>
      <c r="X66" s="3" t="n">
        <v>58162.0</v>
      </c>
      <c r="Y66" s="3" t="n">
        <v>59217.0</v>
      </c>
      <c r="Z66" s="3" t="n">
        <v>59806.0</v>
      </c>
      <c r="AA66" s="3" t="n">
        <v>59891.0</v>
      </c>
      <c r="AB66" s="3" t="n">
        <v>60643.0</v>
      </c>
      <c r="AC66" s="3" t="n">
        <v>61442.0</v>
      </c>
      <c r="AD66" s="3" t="n">
        <v>61534.0</v>
      </c>
      <c r="AE66" s="3" t="n">
        <v>60854.0</v>
      </c>
      <c r="AF66" s="3" t="n">
        <v>59667.0</v>
      </c>
      <c r="AG66" s="3" t="n">
        <v>57510.0</v>
      </c>
      <c r="AH66" s="3" t="n">
        <v>54956.0</v>
      </c>
      <c r="AI66" s="3" t="n">
        <v>52372.0</v>
      </c>
      <c r="AJ66" s="3" t="n">
        <v>50314.0</v>
      </c>
      <c r="AK66" s="3" t="n">
        <v>48787.0</v>
      </c>
      <c r="AL66" s="3" t="n">
        <v>47160.0</v>
      </c>
      <c r="AM66" s="3" t="n">
        <v>45598.0</v>
      </c>
      <c r="AN66" s="3" t="n">
        <v>44080.0</v>
      </c>
      <c r="AO66" s="3" t="n">
        <v>42142.0</v>
      </c>
    </row>
    <row r="67" spans="1:41" x14ac:dyDescent="0.2">
      <c r="A67" s="133"/>
      <c r="B67" s="64" t="s">
        <v>34</v>
      </c>
      <c r="C67" s="3" t="n">
        <v>57116.0</v>
      </c>
      <c r="D67" s="3" t="n">
        <v>58597.0</v>
      </c>
      <c r="E67" s="3" t="n">
        <v>59570.0</v>
      </c>
      <c r="F67" s="3" t="n">
        <v>60560.0</v>
      </c>
      <c r="G67" s="3" t="n">
        <v>61071.0</v>
      </c>
      <c r="H67" s="3" t="n">
        <v>61457.0</v>
      </c>
      <c r="I67" s="3" t="n">
        <v>61421.0</v>
      </c>
      <c r="J67" s="3" t="n">
        <v>60827.0</v>
      </c>
      <c r="K67" s="3" t="n">
        <v>58506.0</v>
      </c>
      <c r="L67" s="3" t="n">
        <v>55540.0</v>
      </c>
      <c r="M67" s="3" t="n">
        <v>52059.0</v>
      </c>
      <c r="N67" s="3" t="n">
        <v>49112.0</v>
      </c>
      <c r="O67" s="3" t="n">
        <v>46130.0</v>
      </c>
      <c r="P67" s="3" t="n">
        <v>44071.0</v>
      </c>
      <c r="Q67" s="3" t="n">
        <v>42662.0</v>
      </c>
      <c r="R67" s="3" t="n">
        <v>41666.0</v>
      </c>
      <c r="S67" s="3" t="n">
        <v>40770.0</v>
      </c>
      <c r="T67" s="3" t="n">
        <v>40525.0</v>
      </c>
      <c r="U67" s="3" t="n">
        <v>41096.0</v>
      </c>
      <c r="V67" s="3" t="n">
        <v>41834.0</v>
      </c>
      <c r="W67" s="3" t="n">
        <v>43230.0</v>
      </c>
      <c r="X67" s="3" t="n">
        <v>44892.0</v>
      </c>
      <c r="Y67" s="3" t="n">
        <v>46921.0</v>
      </c>
      <c r="Z67" s="3" t="n">
        <v>49188.0</v>
      </c>
      <c r="AA67" s="3" t="n">
        <v>51373.0</v>
      </c>
      <c r="AB67" s="3" t="n">
        <v>52903.0</v>
      </c>
      <c r="AC67" s="3" t="n">
        <v>54051.0</v>
      </c>
      <c r="AD67" s="3" t="n">
        <v>55033.0</v>
      </c>
      <c r="AE67" s="3" t="n">
        <v>55596.0</v>
      </c>
      <c r="AF67" s="3" t="n">
        <v>55680.0</v>
      </c>
      <c r="AG67" s="3" t="n">
        <v>56388.0</v>
      </c>
      <c r="AH67" s="3" t="n">
        <v>57150.0</v>
      </c>
      <c r="AI67" s="3" t="n">
        <v>57249.0</v>
      </c>
      <c r="AJ67" s="3" t="n">
        <v>56621.0</v>
      </c>
      <c r="AK67" s="3" t="n">
        <v>55541.0</v>
      </c>
      <c r="AL67" s="3" t="n">
        <v>53559.0</v>
      </c>
      <c r="AM67" s="3" t="n">
        <v>51202.0</v>
      </c>
      <c r="AN67" s="3" t="n">
        <v>48827.0</v>
      </c>
      <c r="AO67" s="3" t="n">
        <v>46950.0</v>
      </c>
    </row>
    <row r="68" spans="1:41" x14ac:dyDescent="0.2">
      <c r="A68" s="133"/>
      <c r="B68" s="64" t="s">
        <v>35</v>
      </c>
      <c r="C68" s="3" t="n">
        <v>30121.0</v>
      </c>
      <c r="D68" s="3" t="n">
        <v>34722.0</v>
      </c>
      <c r="E68" s="3" t="n">
        <v>39697.0</v>
      </c>
      <c r="F68" s="3" t="n">
        <v>44789.0</v>
      </c>
      <c r="G68" s="3" t="n">
        <v>47905.0</v>
      </c>
      <c r="H68" s="3" t="n">
        <v>50171.0</v>
      </c>
      <c r="I68" s="3" t="n">
        <v>51515.0</v>
      </c>
      <c r="J68" s="3" t="n">
        <v>52413.0</v>
      </c>
      <c r="K68" s="3" t="n">
        <v>53333.0</v>
      </c>
      <c r="L68" s="3" t="n">
        <v>53840.0</v>
      </c>
      <c r="M68" s="3" t="n">
        <v>54196.0</v>
      </c>
      <c r="N68" s="3" t="n">
        <v>54194.0</v>
      </c>
      <c r="O68" s="3" t="n">
        <v>53700.0</v>
      </c>
      <c r="P68" s="3" t="n">
        <v>51665.0</v>
      </c>
      <c r="Q68" s="3" t="n">
        <v>49083.0</v>
      </c>
      <c r="R68" s="3" t="n">
        <v>46050.0</v>
      </c>
      <c r="S68" s="3" t="n">
        <v>43484.0</v>
      </c>
      <c r="T68" s="3" t="n">
        <v>40897.0</v>
      </c>
      <c r="U68" s="3" t="n">
        <v>39122.0</v>
      </c>
      <c r="V68" s="3" t="n">
        <v>37912.0</v>
      </c>
      <c r="W68" s="3" t="n">
        <v>37058.0</v>
      </c>
      <c r="X68" s="3" t="n">
        <v>36303.0</v>
      </c>
      <c r="Y68" s="3" t="n">
        <v>36126.0</v>
      </c>
      <c r="Z68" s="3" t="n">
        <v>36648.0</v>
      </c>
      <c r="AA68" s="3" t="n">
        <v>37317.0</v>
      </c>
      <c r="AB68" s="3" t="n">
        <v>38583.0</v>
      </c>
      <c r="AC68" s="3" t="n">
        <v>40084.0</v>
      </c>
      <c r="AD68" s="3" t="n">
        <v>41893.0</v>
      </c>
      <c r="AE68" s="3" t="n">
        <v>43927.0</v>
      </c>
      <c r="AF68" s="3" t="n">
        <v>45886.0</v>
      </c>
      <c r="AG68" s="3" t="n">
        <v>47241.0</v>
      </c>
      <c r="AH68" s="3" t="n">
        <v>48272.0</v>
      </c>
      <c r="AI68" s="3" t="n">
        <v>49177.0</v>
      </c>
      <c r="AJ68" s="3" t="n">
        <v>49706.0</v>
      </c>
      <c r="AK68" s="3" t="n">
        <v>49801.0</v>
      </c>
      <c r="AL68" s="3" t="n">
        <v>50464.0</v>
      </c>
      <c r="AM68" s="3" t="n">
        <v>51173.0</v>
      </c>
      <c r="AN68" s="3" t="n">
        <v>51270.0</v>
      </c>
      <c r="AO68" s="3" t="n">
        <v>50731.0</v>
      </c>
    </row>
    <row r="69" spans="1:41" x14ac:dyDescent="0.2">
      <c r="A69" s="133"/>
      <c r="B69" s="64" t="s">
        <v>36</v>
      </c>
      <c r="C69" s="3" t="n">
        <v>21071.0</v>
      </c>
      <c r="D69" s="3" t="n">
        <v>20240.0</v>
      </c>
      <c r="E69" s="3" t="n">
        <v>19761.0</v>
      </c>
      <c r="F69" s="3" t="n">
        <v>19290.0</v>
      </c>
      <c r="G69" s="3" t="n">
        <v>21441.0</v>
      </c>
      <c r="H69" s="3" t="n">
        <v>24524.0</v>
      </c>
      <c r="I69" s="3" t="n">
        <v>28323.0</v>
      </c>
      <c r="J69" s="3" t="n">
        <v>32359.0</v>
      </c>
      <c r="K69" s="3" t="n">
        <v>36409.0</v>
      </c>
      <c r="L69" s="3" t="n">
        <v>38961.0</v>
      </c>
      <c r="M69" s="3" t="n">
        <v>40790.0</v>
      </c>
      <c r="N69" s="3" t="n">
        <v>41906.0</v>
      </c>
      <c r="O69" s="3" t="n">
        <v>42682.0</v>
      </c>
      <c r="P69" s="3" t="n">
        <v>43455.0</v>
      </c>
      <c r="Q69" s="3" t="n">
        <v>43927.0</v>
      </c>
      <c r="R69" s="3" t="n">
        <v>44248.0</v>
      </c>
      <c r="S69" s="3" t="n">
        <v>44282.0</v>
      </c>
      <c r="T69" s="3" t="n">
        <v>43890.0</v>
      </c>
      <c r="U69" s="3" t="n">
        <v>42246.0</v>
      </c>
      <c r="V69" s="3" t="n">
        <v>40134.0</v>
      </c>
      <c r="W69" s="3" t="n">
        <v>37687.0</v>
      </c>
      <c r="X69" s="3" t="n">
        <v>35652.0</v>
      </c>
      <c r="Y69" s="3" t="n">
        <v>33615.0</v>
      </c>
      <c r="Z69" s="3" t="n">
        <v>32198.0</v>
      </c>
      <c r="AA69" s="3" t="n">
        <v>31241.0</v>
      </c>
      <c r="AB69" s="3" t="n">
        <v>30556.0</v>
      </c>
      <c r="AC69" s="3" t="n">
        <v>29985.0</v>
      </c>
      <c r="AD69" s="3" t="n">
        <v>29871.0</v>
      </c>
      <c r="AE69" s="3" t="n">
        <v>30342.0</v>
      </c>
      <c r="AF69" s="3" t="n">
        <v>30949.0</v>
      </c>
      <c r="AG69" s="3" t="n">
        <v>32018.0</v>
      </c>
      <c r="AH69" s="3" t="n">
        <v>33292.0</v>
      </c>
      <c r="AI69" s="3" t="n">
        <v>34820.0</v>
      </c>
      <c r="AJ69" s="3" t="n">
        <v>36529.0</v>
      </c>
      <c r="AK69" s="3" t="n">
        <v>38183.0</v>
      </c>
      <c r="AL69" s="3" t="n">
        <v>39318.0</v>
      </c>
      <c r="AM69" s="3" t="n">
        <v>40153.0</v>
      </c>
      <c r="AN69" s="3" t="n">
        <v>40913.0</v>
      </c>
      <c r="AO69" s="3" t="n">
        <v>41396.0</v>
      </c>
    </row>
    <row r="70" spans="1:41" x14ac:dyDescent="0.2">
      <c r="A70" s="133"/>
      <c r="B70" s="64" t="s">
        <v>37</v>
      </c>
      <c r="C70" s="3" t="n">
        <v>15718.0</v>
      </c>
      <c r="D70" s="3" t="n">
        <v>15651.0</v>
      </c>
      <c r="E70" s="3" t="n">
        <v>15288.0</v>
      </c>
      <c r="F70" s="3" t="n">
        <v>15008.0</v>
      </c>
      <c r="G70" s="3" t="n">
        <v>14421.0</v>
      </c>
      <c r="H70" s="3" t="n">
        <v>13856.0</v>
      </c>
      <c r="I70" s="3" t="n">
        <v>13382.0</v>
      </c>
      <c r="J70" s="3" t="n">
        <v>13121.0</v>
      </c>
      <c r="K70" s="3" t="n">
        <v>12885.0</v>
      </c>
      <c r="L70" s="3" t="n">
        <v>14509.0</v>
      </c>
      <c r="M70" s="3" t="n">
        <v>16708.0</v>
      </c>
      <c r="N70" s="3" t="n">
        <v>19343.0</v>
      </c>
      <c r="O70" s="3" t="n">
        <v>22059.0</v>
      </c>
      <c r="P70" s="3" t="n">
        <v>24676.0</v>
      </c>
      <c r="Q70" s="3" t="n">
        <v>26393.0</v>
      </c>
      <c r="R70" s="3" t="n">
        <v>27633.0</v>
      </c>
      <c r="S70" s="3" t="n">
        <v>28406.0</v>
      </c>
      <c r="T70" s="3" t="n">
        <v>28943.0</v>
      </c>
      <c r="U70" s="3" t="n">
        <v>29524.0</v>
      </c>
      <c r="V70" s="3" t="n">
        <v>29917.0</v>
      </c>
      <c r="W70" s="3" t="n">
        <v>30207.0</v>
      </c>
      <c r="X70" s="3" t="n">
        <v>30235.0</v>
      </c>
      <c r="Y70" s="3" t="n">
        <v>29990.0</v>
      </c>
      <c r="Z70" s="3" t="n">
        <v>28838.0</v>
      </c>
      <c r="AA70" s="3" t="n">
        <v>27391.0</v>
      </c>
      <c r="AB70" s="3" t="n">
        <v>25743.0</v>
      </c>
      <c r="AC70" s="3" t="n">
        <v>24433.0</v>
      </c>
      <c r="AD70" s="3" t="n">
        <v>23105.0</v>
      </c>
      <c r="AE70" s="3" t="n">
        <v>22175.0</v>
      </c>
      <c r="AF70" s="3" t="n">
        <v>21565.0</v>
      </c>
      <c r="AG70" s="3" t="n">
        <v>21117.0</v>
      </c>
      <c r="AH70" s="3" t="n">
        <v>20800.0</v>
      </c>
      <c r="AI70" s="3" t="n">
        <v>20771.0</v>
      </c>
      <c r="AJ70" s="3" t="n">
        <v>21146.0</v>
      </c>
      <c r="AK70" s="3" t="n">
        <v>21631.0</v>
      </c>
      <c r="AL70" s="3" t="n">
        <v>22416.0</v>
      </c>
      <c r="AM70" s="3" t="n">
        <v>23332.0</v>
      </c>
      <c r="AN70" s="3" t="n">
        <v>24424.0</v>
      </c>
      <c r="AO70" s="3" t="n">
        <v>25676.0</v>
      </c>
    </row>
    <row r="71" spans="1:41" x14ac:dyDescent="0.2">
      <c r="A71" s="133"/>
      <c r="B71" s="64" t="s">
        <v>80</v>
      </c>
      <c r="C71" s="3" t="n">
        <v>6998.0</v>
      </c>
      <c r="D71" s="3" t="n">
        <v>7123.0</v>
      </c>
      <c r="E71" s="3" t="n">
        <v>7260.0</v>
      </c>
      <c r="F71" s="3" t="n">
        <v>7380.0</v>
      </c>
      <c r="G71" s="3" t="n">
        <v>7577.0</v>
      </c>
      <c r="H71" s="3" t="n">
        <v>7619.0</v>
      </c>
      <c r="I71" s="3" t="n">
        <v>7602.0</v>
      </c>
      <c r="J71" s="3" t="n">
        <v>7432.0</v>
      </c>
      <c r="K71" s="3" t="n">
        <v>7332.0</v>
      </c>
      <c r="L71" s="3" t="n">
        <v>7093.0</v>
      </c>
      <c r="M71" s="3" t="n">
        <v>6833.0</v>
      </c>
      <c r="N71" s="3" t="n">
        <v>6639.0</v>
      </c>
      <c r="O71" s="3" t="n">
        <v>6552.0</v>
      </c>
      <c r="P71" s="3" t="n">
        <v>6482.0</v>
      </c>
      <c r="Q71" s="3" t="n">
        <v>7444.0</v>
      </c>
      <c r="R71" s="3" t="n">
        <v>8654.0</v>
      </c>
      <c r="S71" s="3" t="n">
        <v>10059.0</v>
      </c>
      <c r="T71" s="3" t="n">
        <v>11453.0</v>
      </c>
      <c r="U71" s="3" t="n">
        <v>12748.0</v>
      </c>
      <c r="V71" s="3" t="n">
        <v>13620.0</v>
      </c>
      <c r="W71" s="3" t="n">
        <v>14264.0</v>
      </c>
      <c r="X71" s="3" t="n">
        <v>14678.0</v>
      </c>
      <c r="Y71" s="3" t="n">
        <v>14985.0</v>
      </c>
      <c r="Z71" s="3" t="n">
        <v>15325.0</v>
      </c>
      <c r="AA71" s="3" t="n">
        <v>15574.0</v>
      </c>
      <c r="AB71" s="3" t="n">
        <v>15765.0</v>
      </c>
      <c r="AC71" s="3" t="n">
        <v>15790.0</v>
      </c>
      <c r="AD71" s="3" t="n">
        <v>15646.0</v>
      </c>
      <c r="AE71" s="3" t="n">
        <v>15038.0</v>
      </c>
      <c r="AF71" s="3" t="n">
        <v>14280.0</v>
      </c>
      <c r="AG71" s="3" t="n">
        <v>13433.0</v>
      </c>
      <c r="AH71" s="3" t="n">
        <v>12793.0</v>
      </c>
      <c r="AI71" s="3" t="n">
        <v>12186.0</v>
      </c>
      <c r="AJ71" s="3" t="n">
        <v>11723.0</v>
      </c>
      <c r="AK71" s="3" t="n">
        <v>11438.0</v>
      </c>
      <c r="AL71" s="3" t="n">
        <v>11218.0</v>
      </c>
      <c r="AM71" s="3" t="n">
        <v>11091.0</v>
      </c>
      <c r="AN71" s="3" t="n">
        <v>11108.0</v>
      </c>
      <c r="AO71" s="3" t="n">
        <v>11371.0</v>
      </c>
    </row>
    <row r="72" spans="1:41" x14ac:dyDescent="0.2">
      <c r="A72" s="133"/>
      <c r="B72" s="74" t="s">
        <v>81</v>
      </c>
      <c r="C72" s="3" t="n">
        <v>1650.0</v>
      </c>
      <c r="D72" s="3" t="n">
        <v>1745.0</v>
      </c>
      <c r="E72" s="3" t="n">
        <v>1860.0</v>
      </c>
      <c r="F72" s="3" t="n">
        <v>2013.0</v>
      </c>
      <c r="G72" s="3" t="n">
        <v>2113.0</v>
      </c>
      <c r="H72" s="3" t="n">
        <v>2193.0</v>
      </c>
      <c r="I72" s="3" t="n">
        <v>2239.0</v>
      </c>
      <c r="J72" s="3" t="n">
        <v>2288.0</v>
      </c>
      <c r="K72" s="3" t="n">
        <v>2349.0</v>
      </c>
      <c r="L72" s="3" t="n">
        <v>2435.0</v>
      </c>
      <c r="M72" s="3" t="n">
        <v>2459.0</v>
      </c>
      <c r="N72" s="3" t="n">
        <v>2452.0</v>
      </c>
      <c r="O72" s="3" t="n">
        <v>2417.0</v>
      </c>
      <c r="P72" s="3" t="n">
        <v>2407.0</v>
      </c>
      <c r="Q72" s="3" t="n">
        <v>2359.0</v>
      </c>
      <c r="R72" s="3" t="n">
        <v>2289.0</v>
      </c>
      <c r="S72" s="3" t="n">
        <v>2226.0</v>
      </c>
      <c r="T72" s="3" t="n">
        <v>2200.0</v>
      </c>
      <c r="U72" s="3" t="n">
        <v>2199.0</v>
      </c>
      <c r="V72" s="3" t="n">
        <v>2601.0</v>
      </c>
      <c r="W72" s="3" t="n">
        <v>3073.0</v>
      </c>
      <c r="X72" s="3" t="n">
        <v>3585.0</v>
      </c>
      <c r="Y72" s="3" t="n">
        <v>4061.0</v>
      </c>
      <c r="Z72" s="3" t="n">
        <v>4464.0</v>
      </c>
      <c r="AA72" s="3" t="n">
        <v>4772.0</v>
      </c>
      <c r="AB72" s="3" t="n">
        <v>5013.0</v>
      </c>
      <c r="AC72" s="3" t="n">
        <v>5158.0</v>
      </c>
      <c r="AD72" s="3" t="n">
        <v>5273.0</v>
      </c>
      <c r="AE72" s="3" t="n">
        <v>5403.0</v>
      </c>
      <c r="AF72" s="3" t="n">
        <v>5512.0</v>
      </c>
      <c r="AG72" s="3" t="n">
        <v>5575.0</v>
      </c>
      <c r="AH72" s="3" t="n">
        <v>5607.0</v>
      </c>
      <c r="AI72" s="3" t="n">
        <v>5563.0</v>
      </c>
      <c r="AJ72" s="3" t="n">
        <v>5331.0</v>
      </c>
      <c r="AK72" s="3" t="n">
        <v>5071.0</v>
      </c>
      <c r="AL72" s="3" t="n">
        <v>4787.0</v>
      </c>
      <c r="AM72" s="3" t="n">
        <v>4594.0</v>
      </c>
      <c r="AN72" s="3" t="n">
        <v>4395.0</v>
      </c>
      <c r="AO72" s="3" t="n">
        <v>4255.0</v>
      </c>
    </row>
    <row r="73" spans="1:41" x14ac:dyDescent="0.2">
      <c r="A73" s="134"/>
      <c r="B73" s="66" t="s">
        <v>79</v>
      </c>
      <c r="C73" s="4" t="n">
        <v>186.0</v>
      </c>
      <c r="D73" s="4" t="n">
        <v>211.0</v>
      </c>
      <c r="E73" s="4" t="n">
        <v>231.0</v>
      </c>
      <c r="F73" s="4" t="n">
        <v>252.0</v>
      </c>
      <c r="G73" s="4" t="n">
        <v>272.0</v>
      </c>
      <c r="H73" s="4" t="n">
        <v>290.0</v>
      </c>
      <c r="I73" s="4" t="n">
        <v>314.0</v>
      </c>
      <c r="J73" s="4" t="n">
        <v>344.0</v>
      </c>
      <c r="K73" s="4" t="n">
        <v>382.0</v>
      </c>
      <c r="L73" s="4" t="n">
        <v>399.0</v>
      </c>
      <c r="M73" s="4" t="n">
        <v>410.0</v>
      </c>
      <c r="N73" s="4" t="n">
        <v>417.0</v>
      </c>
      <c r="O73" s="4" t="n">
        <v>432.0</v>
      </c>
      <c r="P73" s="4" t="n">
        <v>450.0</v>
      </c>
      <c r="Q73" s="4" t="n">
        <v>475.0</v>
      </c>
      <c r="R73" s="4" t="n">
        <v>482.0</v>
      </c>
      <c r="S73" s="4" t="n">
        <v>490.0</v>
      </c>
      <c r="T73" s="4" t="n">
        <v>486.0</v>
      </c>
      <c r="U73" s="4" t="n">
        <v>493.0</v>
      </c>
      <c r="V73" s="4" t="n">
        <v>487.0</v>
      </c>
      <c r="W73" s="4" t="n">
        <v>476.0</v>
      </c>
      <c r="X73" s="4" t="n">
        <v>467.0</v>
      </c>
      <c r="Y73" s="4" t="n">
        <v>473.0</v>
      </c>
      <c r="Z73" s="4" t="n">
        <v>481.0</v>
      </c>
      <c r="AA73" s="4" t="n">
        <v>577.0</v>
      </c>
      <c r="AB73" s="4" t="n">
        <v>673.0</v>
      </c>
      <c r="AC73" s="4" t="n">
        <v>771.0</v>
      </c>
      <c r="AD73" s="4" t="n">
        <v>862.0</v>
      </c>
      <c r="AE73" s="4" t="n">
        <v>940.0</v>
      </c>
      <c r="AF73" s="4" t="n">
        <v>1014.0</v>
      </c>
      <c r="AG73" s="4" t="n">
        <v>1073.0</v>
      </c>
      <c r="AH73" s="4" t="n">
        <v>1116.0</v>
      </c>
      <c r="AI73" s="4" t="n">
        <v>1151.0</v>
      </c>
      <c r="AJ73" s="4" t="n">
        <v>1196.0</v>
      </c>
      <c r="AK73" s="4" t="n">
        <v>1239.0</v>
      </c>
      <c r="AL73" s="4" t="n">
        <v>1265.0</v>
      </c>
      <c r="AM73" s="4" t="n">
        <v>1276.0</v>
      </c>
      <c r="AN73" s="4" t="n">
        <v>1273.0</v>
      </c>
      <c r="AO73" s="4" t="n">
        <v>1229.0</v>
      </c>
    </row>
  </sheetData>
  <mergeCells count="5">
    <mergeCell ref="A8:A29"/>
    <mergeCell ref="A30:A51"/>
    <mergeCell ref="A52:A73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8"/>
      <c r="B1" s="138"/>
      <c r="C1" s="12" t="s">
        <v>66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C2" s="36"/>
      <c r="D2" s="33" t="s">
        <v>40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131" t="s">
        <v>83</v>
      </c>
      <c r="B3" s="131"/>
      <c r="D3" s="24" t="s">
        <v>67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41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49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105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5" t="s">
        <v>47</v>
      </c>
      <c r="B8" s="63" t="s">
        <v>64</v>
      </c>
      <c r="C8" s="15" t="n">
        <v>1640622.0</v>
      </c>
      <c r="D8" s="15" t="n">
        <v>1631393.0</v>
      </c>
      <c r="E8" s="15" t="n">
        <v>1621542.0</v>
      </c>
      <c r="F8" s="15" t="n">
        <v>1611085.0</v>
      </c>
      <c r="G8" s="15" t="n">
        <v>1600205.0</v>
      </c>
      <c r="H8" s="15" t="n">
        <v>1590763.0</v>
      </c>
      <c r="I8" s="15" t="n">
        <v>1581517.0</v>
      </c>
      <c r="J8" s="15" t="n">
        <v>1570383.0</v>
      </c>
      <c r="K8" s="15" t="n">
        <v>1558073.0</v>
      </c>
      <c r="L8" s="15" t="n">
        <v>1545067.0</v>
      </c>
      <c r="M8" s="15" t="n">
        <v>1531468.0</v>
      </c>
      <c r="N8" s="15" t="n">
        <v>1517308.0</v>
      </c>
      <c r="O8" s="15" t="n">
        <v>1502766.0</v>
      </c>
      <c r="P8" s="15" t="n">
        <v>1487737.0</v>
      </c>
      <c r="Q8" s="15" t="n">
        <v>1472511.0</v>
      </c>
      <c r="R8" s="15" t="n">
        <v>1456837.0</v>
      </c>
      <c r="S8" s="15" t="n">
        <v>1440943.0</v>
      </c>
      <c r="T8" s="15" t="n">
        <v>1424644.0</v>
      </c>
      <c r="U8" s="15" t="n">
        <v>1408257.0</v>
      </c>
      <c r="V8" s="15" t="n">
        <v>1391643.0</v>
      </c>
      <c r="W8" s="15" t="n">
        <v>1374933.0</v>
      </c>
      <c r="X8" s="15" t="n">
        <v>1358068.0</v>
      </c>
      <c r="Y8" s="15" t="n">
        <v>1341105.0</v>
      </c>
      <c r="Z8" s="15" t="n">
        <v>1324059.0</v>
      </c>
      <c r="AA8" s="15" t="n">
        <v>1306967.0</v>
      </c>
      <c r="AB8" s="15" t="n">
        <v>1289932.0</v>
      </c>
      <c r="AC8" s="15" t="n">
        <v>1272864.0</v>
      </c>
      <c r="AD8" s="15" t="n">
        <v>1255677.0</v>
      </c>
      <c r="AE8" s="15" t="n">
        <v>1238650.0</v>
      </c>
      <c r="AF8" s="15" t="n">
        <v>1221549.0</v>
      </c>
      <c r="AG8" s="15" t="n">
        <v>1204439.0</v>
      </c>
      <c r="AH8" s="15" t="n">
        <v>1187393.0</v>
      </c>
      <c r="AI8" s="15" t="n">
        <v>1170215.0</v>
      </c>
      <c r="AJ8" s="15" t="n">
        <v>1152981.0</v>
      </c>
      <c r="AK8" s="15" t="n">
        <v>1135709.0</v>
      </c>
      <c r="AL8" s="15" t="n">
        <v>1118314.0</v>
      </c>
      <c r="AM8" s="15" t="n">
        <v>1100800.0</v>
      </c>
      <c r="AN8" s="15" t="n">
        <v>1083149.0</v>
      </c>
      <c r="AO8" s="15" t="n">
        <v>1065474.0</v>
      </c>
    </row>
    <row r="9" spans="1:41" x14ac:dyDescent="0.2">
      <c r="A9" s="136"/>
      <c r="B9" s="64" t="s">
        <v>8</v>
      </c>
      <c r="C9" s="3" t="n">
        <v>283695.0</v>
      </c>
      <c r="D9" s="3" t="n">
        <v>279255.0</v>
      </c>
      <c r="E9" s="3" t="n">
        <v>273926.0</v>
      </c>
      <c r="F9" s="3" t="n">
        <v>267091.0</v>
      </c>
      <c r="G9" s="3" t="n">
        <v>258811.0</v>
      </c>
      <c r="H9" s="3" t="n">
        <v>251212.0</v>
      </c>
      <c r="I9" s="3" t="n">
        <v>244044.0</v>
      </c>
      <c r="J9" s="3" t="n">
        <v>237394.0</v>
      </c>
      <c r="K9" s="3" t="n">
        <v>230057.0</v>
      </c>
      <c r="L9" s="3" t="n">
        <v>223074.0</v>
      </c>
      <c r="M9" s="3" t="n">
        <v>215702.0</v>
      </c>
      <c r="N9" s="3" t="n">
        <v>208473.0</v>
      </c>
      <c r="O9" s="3" t="n">
        <v>200797.0</v>
      </c>
      <c r="P9" s="3" t="n">
        <v>192561.0</v>
      </c>
      <c r="Q9" s="3" t="n">
        <v>185449.0</v>
      </c>
      <c r="R9" s="3" t="n">
        <v>179162.0</v>
      </c>
      <c r="S9" s="3" t="n">
        <v>173893.0</v>
      </c>
      <c r="T9" s="3" t="n">
        <v>169211.0</v>
      </c>
      <c r="U9" s="3" t="n">
        <v>165786.0</v>
      </c>
      <c r="V9" s="3" t="n">
        <v>162888.0</v>
      </c>
      <c r="W9" s="3" t="n">
        <v>160365.0</v>
      </c>
      <c r="X9" s="3" t="n">
        <v>158170.0</v>
      </c>
      <c r="Y9" s="3" t="n">
        <v>156199.0</v>
      </c>
      <c r="Z9" s="3" t="n">
        <v>154468.0</v>
      </c>
      <c r="AA9" s="3" t="n">
        <v>152882.0</v>
      </c>
      <c r="AB9" s="3" t="n">
        <v>151358.0</v>
      </c>
      <c r="AC9" s="3" t="n">
        <v>149863.0</v>
      </c>
      <c r="AD9" s="3" t="n">
        <v>148341.0</v>
      </c>
      <c r="AE9" s="3" t="n">
        <v>146809.0</v>
      </c>
      <c r="AF9" s="3" t="n">
        <v>145185.0</v>
      </c>
      <c r="AG9" s="3" t="n">
        <v>143424.0</v>
      </c>
      <c r="AH9" s="3" t="n">
        <v>141540.0</v>
      </c>
      <c r="AI9" s="3" t="n">
        <v>139463.0</v>
      </c>
      <c r="AJ9" s="3" t="n">
        <v>137210.0</v>
      </c>
      <c r="AK9" s="3" t="n">
        <v>134772.0</v>
      </c>
      <c r="AL9" s="3" t="n">
        <v>132152.0</v>
      </c>
      <c r="AM9" s="3" t="n">
        <v>129367.0</v>
      </c>
      <c r="AN9" s="3" t="n">
        <v>126465.0</v>
      </c>
      <c r="AO9" s="3" t="n">
        <v>123447.0</v>
      </c>
    </row>
    <row r="10" spans="1:41" x14ac:dyDescent="0.2">
      <c r="A10" s="136"/>
      <c r="B10" s="64" t="s">
        <v>9</v>
      </c>
      <c r="C10" s="3" t="n">
        <v>959103.0</v>
      </c>
      <c r="D10" s="3" t="n">
        <v>947822.0</v>
      </c>
      <c r="E10" s="3" t="n">
        <v>938509.0</v>
      </c>
      <c r="F10" s="3" t="n">
        <v>931505.0</v>
      </c>
      <c r="G10" s="3" t="n">
        <v>926487.0</v>
      </c>
      <c r="H10" s="3" t="n">
        <v>923294.0</v>
      </c>
      <c r="I10" s="3" t="n">
        <v>919932.0</v>
      </c>
      <c r="J10" s="3" t="n">
        <v>914685.0</v>
      </c>
      <c r="K10" s="3" t="n">
        <v>908931.0</v>
      </c>
      <c r="L10" s="3" t="n">
        <v>902475.0</v>
      </c>
      <c r="M10" s="3" t="n">
        <v>895411.0</v>
      </c>
      <c r="N10" s="3" t="n">
        <v>887550.0</v>
      </c>
      <c r="O10" s="3" t="n">
        <v>879285.0</v>
      </c>
      <c r="P10" s="3" t="n">
        <v>870293.0</v>
      </c>
      <c r="Q10" s="3" t="n">
        <v>859738.0</v>
      </c>
      <c r="R10" s="3" t="n">
        <v>848108.0</v>
      </c>
      <c r="S10" s="3" t="n">
        <v>835091.0</v>
      </c>
      <c r="T10" s="3" t="n">
        <v>820386.0</v>
      </c>
      <c r="U10" s="3" t="n">
        <v>803644.0</v>
      </c>
      <c r="V10" s="3" t="n">
        <v>786803.0</v>
      </c>
      <c r="W10" s="3" t="n">
        <v>769236.0</v>
      </c>
      <c r="X10" s="3" t="n">
        <v>751175.0</v>
      </c>
      <c r="Y10" s="3" t="n">
        <v>732706.0</v>
      </c>
      <c r="Z10" s="3" t="n">
        <v>714624.0</v>
      </c>
      <c r="AA10" s="3" t="n">
        <v>697594.0</v>
      </c>
      <c r="AB10" s="3" t="n">
        <v>680530.0</v>
      </c>
      <c r="AC10" s="3" t="n">
        <v>663480.0</v>
      </c>
      <c r="AD10" s="3" t="n">
        <v>647162.0</v>
      </c>
      <c r="AE10" s="3" t="n">
        <v>631420.0</v>
      </c>
      <c r="AF10" s="3" t="n">
        <v>616891.0</v>
      </c>
      <c r="AG10" s="3" t="n">
        <v>603149.0</v>
      </c>
      <c r="AH10" s="3" t="n">
        <v>590225.0</v>
      </c>
      <c r="AI10" s="3" t="n">
        <v>577953.0</v>
      </c>
      <c r="AJ10" s="3" t="n">
        <v>566225.0</v>
      </c>
      <c r="AK10" s="3" t="n">
        <v>555335.0</v>
      </c>
      <c r="AL10" s="3" t="n">
        <v>545314.0</v>
      </c>
      <c r="AM10" s="3" t="n">
        <v>535822.0</v>
      </c>
      <c r="AN10" s="3" t="n">
        <v>526863.0</v>
      </c>
      <c r="AO10" s="3" t="n">
        <v>518504.0</v>
      </c>
    </row>
    <row r="11" spans="1:41" x14ac:dyDescent="0.2">
      <c r="A11" s="136"/>
      <c r="B11" s="64" t="s">
        <v>11</v>
      </c>
      <c r="C11" s="3" t="n">
        <v>578366.0</v>
      </c>
      <c r="D11" s="3" t="n">
        <v>565418.0</v>
      </c>
      <c r="E11" s="3" t="n">
        <v>551869.0</v>
      </c>
      <c r="F11" s="3" t="n">
        <v>539228.0</v>
      </c>
      <c r="G11" s="3" t="n">
        <v>528683.0</v>
      </c>
      <c r="H11" s="3" t="n">
        <v>517695.0</v>
      </c>
      <c r="I11" s="3" t="n">
        <v>506187.0</v>
      </c>
      <c r="J11" s="3" t="n">
        <v>493794.0</v>
      </c>
      <c r="K11" s="3" t="n">
        <v>482689.0</v>
      </c>
      <c r="L11" s="3" t="n">
        <v>472958.0</v>
      </c>
      <c r="M11" s="3" t="n">
        <v>464168.0</v>
      </c>
      <c r="N11" s="3" t="n">
        <v>456088.0</v>
      </c>
      <c r="O11" s="3" t="n">
        <v>449168.0</v>
      </c>
      <c r="P11" s="3" t="n">
        <v>442807.0</v>
      </c>
      <c r="Q11" s="3" t="n">
        <v>436123.0</v>
      </c>
      <c r="R11" s="3" t="n">
        <v>429840.0</v>
      </c>
      <c r="S11" s="3" t="n">
        <v>422971.0</v>
      </c>
      <c r="T11" s="3" t="n">
        <v>416288.0</v>
      </c>
      <c r="U11" s="3" t="n">
        <v>409470.0</v>
      </c>
      <c r="V11" s="3" t="n">
        <v>402999.0</v>
      </c>
      <c r="W11" s="3" t="n">
        <v>396899.0</v>
      </c>
      <c r="X11" s="3" t="n">
        <v>391070.0</v>
      </c>
      <c r="Y11" s="3" t="n">
        <v>385315.0</v>
      </c>
      <c r="Z11" s="3" t="n">
        <v>379388.0</v>
      </c>
      <c r="AA11" s="3" t="n">
        <v>373496.0</v>
      </c>
      <c r="AB11" s="3" t="n">
        <v>367825.0</v>
      </c>
      <c r="AC11" s="3" t="n">
        <v>362171.0</v>
      </c>
      <c r="AD11" s="3" t="n">
        <v>356126.0</v>
      </c>
      <c r="AE11" s="3" t="n">
        <v>349601.0</v>
      </c>
      <c r="AF11" s="3" t="n">
        <v>342604.0</v>
      </c>
      <c r="AG11" s="3" t="n">
        <v>334561.0</v>
      </c>
      <c r="AH11" s="3" t="n">
        <v>325370.0</v>
      </c>
      <c r="AI11" s="3" t="n">
        <v>316242.0</v>
      </c>
      <c r="AJ11" s="3" t="n">
        <v>307369.0</v>
      </c>
      <c r="AK11" s="3" t="n">
        <v>299659.0</v>
      </c>
      <c r="AL11" s="3" t="n">
        <v>291844.0</v>
      </c>
      <c r="AM11" s="3" t="n">
        <v>284686.0</v>
      </c>
      <c r="AN11" s="3" t="n">
        <v>277282.0</v>
      </c>
      <c r="AO11" s="3" t="n">
        <v>270167.0</v>
      </c>
    </row>
    <row r="12" spans="1:41" x14ac:dyDescent="0.2">
      <c r="A12" s="136"/>
      <c r="B12" s="64" t="s">
        <v>12</v>
      </c>
      <c r="C12" s="3" t="n">
        <v>380737.0</v>
      </c>
      <c r="D12" s="3" t="n">
        <v>382404.0</v>
      </c>
      <c r="E12" s="3" t="n">
        <v>386640.0</v>
      </c>
      <c r="F12" s="3" t="n">
        <v>392277.0</v>
      </c>
      <c r="G12" s="3" t="n">
        <v>397804.0</v>
      </c>
      <c r="H12" s="3" t="n">
        <v>405599.0</v>
      </c>
      <c r="I12" s="3" t="n">
        <v>413745.0</v>
      </c>
      <c r="J12" s="3" t="n">
        <v>420891.0</v>
      </c>
      <c r="K12" s="3" t="n">
        <v>426242.0</v>
      </c>
      <c r="L12" s="3" t="n">
        <v>429517.0</v>
      </c>
      <c r="M12" s="3" t="n">
        <v>431243.0</v>
      </c>
      <c r="N12" s="3" t="n">
        <v>431462.0</v>
      </c>
      <c r="O12" s="3" t="n">
        <v>430117.0</v>
      </c>
      <c r="P12" s="3" t="n">
        <v>427486.0</v>
      </c>
      <c r="Q12" s="3" t="n">
        <v>423615.0</v>
      </c>
      <c r="R12" s="3" t="n">
        <v>418268.0</v>
      </c>
      <c r="S12" s="3" t="n">
        <v>412120.0</v>
      </c>
      <c r="T12" s="3" t="n">
        <v>404098.0</v>
      </c>
      <c r="U12" s="3" t="n">
        <v>394174.0</v>
      </c>
      <c r="V12" s="3" t="n">
        <v>383804.0</v>
      </c>
      <c r="W12" s="3" t="n">
        <v>372337.0</v>
      </c>
      <c r="X12" s="3" t="n">
        <v>360105.0</v>
      </c>
      <c r="Y12" s="3" t="n">
        <v>347391.0</v>
      </c>
      <c r="Z12" s="3" t="n">
        <v>335236.0</v>
      </c>
      <c r="AA12" s="3" t="n">
        <v>324098.0</v>
      </c>
      <c r="AB12" s="3" t="n">
        <v>312705.0</v>
      </c>
      <c r="AC12" s="3" t="n">
        <v>301309.0</v>
      </c>
      <c r="AD12" s="3" t="n">
        <v>291036.0</v>
      </c>
      <c r="AE12" s="3" t="n">
        <v>281819.0</v>
      </c>
      <c r="AF12" s="3" t="n">
        <v>274287.0</v>
      </c>
      <c r="AG12" s="3" t="n">
        <v>268588.0</v>
      </c>
      <c r="AH12" s="3" t="n">
        <v>264855.0</v>
      </c>
      <c r="AI12" s="3" t="n">
        <v>261711.0</v>
      </c>
      <c r="AJ12" s="3" t="n">
        <v>258856.0</v>
      </c>
      <c r="AK12" s="3" t="n">
        <v>255676.0</v>
      </c>
      <c r="AL12" s="3" t="n">
        <v>253470.0</v>
      </c>
      <c r="AM12" s="3" t="n">
        <v>251136.0</v>
      </c>
      <c r="AN12" s="3" t="n">
        <v>249581.0</v>
      </c>
      <c r="AO12" s="3" t="n">
        <v>248337.0</v>
      </c>
    </row>
    <row r="13" spans="1:41" x14ac:dyDescent="0.2">
      <c r="A13" s="136"/>
      <c r="B13" s="64" t="s">
        <v>10</v>
      </c>
      <c r="C13" s="3" t="n">
        <v>397824.0</v>
      </c>
      <c r="D13" s="3" t="n">
        <v>404316.0</v>
      </c>
      <c r="E13" s="3" t="n">
        <v>409107.0</v>
      </c>
      <c r="F13" s="3" t="n">
        <v>412489.0</v>
      </c>
      <c r="G13" s="3" t="n">
        <v>414907.0</v>
      </c>
      <c r="H13" s="3" t="n">
        <v>416257.0</v>
      </c>
      <c r="I13" s="3" t="n">
        <v>417541.0</v>
      </c>
      <c r="J13" s="3" t="n">
        <v>418304.0</v>
      </c>
      <c r="K13" s="3" t="n">
        <v>419085.0</v>
      </c>
      <c r="L13" s="3" t="n">
        <v>419518.0</v>
      </c>
      <c r="M13" s="3" t="n">
        <v>420355.0</v>
      </c>
      <c r="N13" s="3" t="n">
        <v>421285.0</v>
      </c>
      <c r="O13" s="3" t="n">
        <v>422684.0</v>
      </c>
      <c r="P13" s="3" t="n">
        <v>424883.0</v>
      </c>
      <c r="Q13" s="3" t="n">
        <v>427324.0</v>
      </c>
      <c r="R13" s="3" t="n">
        <v>429567.0</v>
      </c>
      <c r="S13" s="3" t="n">
        <v>431959.0</v>
      </c>
      <c r="T13" s="3" t="n">
        <v>435047.0</v>
      </c>
      <c r="U13" s="3" t="n">
        <v>438827.0</v>
      </c>
      <c r="V13" s="3" t="n">
        <v>441952.0</v>
      </c>
      <c r="W13" s="3" t="n">
        <v>445332.0</v>
      </c>
      <c r="X13" s="3" t="n">
        <v>448723.0</v>
      </c>
      <c r="Y13" s="3" t="n">
        <v>452200.0</v>
      </c>
      <c r="Z13" s="3" t="n">
        <v>454967.0</v>
      </c>
      <c r="AA13" s="3" t="n">
        <v>456491.0</v>
      </c>
      <c r="AB13" s="3" t="n">
        <v>458044.0</v>
      </c>
      <c r="AC13" s="3" t="n">
        <v>459521.0</v>
      </c>
      <c r="AD13" s="3" t="n">
        <v>460174.0</v>
      </c>
      <c r="AE13" s="3" t="n">
        <v>460421.0</v>
      </c>
      <c r="AF13" s="3" t="n">
        <v>459473.0</v>
      </c>
      <c r="AG13" s="3" t="n">
        <v>457866.0</v>
      </c>
      <c r="AH13" s="3" t="n">
        <v>455628.0</v>
      </c>
      <c r="AI13" s="3" t="n">
        <v>452799.0</v>
      </c>
      <c r="AJ13" s="3" t="n">
        <v>449546.0</v>
      </c>
      <c r="AK13" s="3" t="n">
        <v>445602.0</v>
      </c>
      <c r="AL13" s="3" t="n">
        <v>440848.0</v>
      </c>
      <c r="AM13" s="3" t="n">
        <v>435611.0</v>
      </c>
      <c r="AN13" s="3" t="n">
        <v>429821.0</v>
      </c>
      <c r="AO13" s="3" t="n">
        <v>423523.0</v>
      </c>
    </row>
    <row r="14" spans="1:41" x14ac:dyDescent="0.2">
      <c r="A14" s="136"/>
      <c r="B14" s="64" t="s">
        <v>0</v>
      </c>
      <c r="C14" s="3" t="n">
        <v>37669.0</v>
      </c>
      <c r="D14" s="3" t="n">
        <v>35100.0</v>
      </c>
      <c r="E14" s="3" t="n">
        <v>32771.0</v>
      </c>
      <c r="F14" s="3" t="n">
        <v>31388.0</v>
      </c>
      <c r="G14" s="3" t="n">
        <v>30315.0</v>
      </c>
      <c r="H14" s="3" t="n">
        <v>29434.0</v>
      </c>
      <c r="I14" s="3" t="n">
        <v>28684.0</v>
      </c>
      <c r="J14" s="3" t="n">
        <v>27959.0</v>
      </c>
      <c r="K14" s="3" t="n">
        <v>27333.0</v>
      </c>
      <c r="L14" s="3" t="n">
        <v>26796.0</v>
      </c>
      <c r="M14" s="3" t="n">
        <v>26326.0</v>
      </c>
      <c r="N14" s="3" t="n">
        <v>25931.0</v>
      </c>
      <c r="O14" s="3" t="n">
        <v>25604.0</v>
      </c>
      <c r="P14" s="3" t="n">
        <v>25339.0</v>
      </c>
      <c r="Q14" s="3" t="n">
        <v>25150.0</v>
      </c>
      <c r="R14" s="3" t="n">
        <v>25017.0</v>
      </c>
      <c r="S14" s="3" t="n">
        <v>24943.0</v>
      </c>
      <c r="T14" s="3" t="n">
        <v>24883.0</v>
      </c>
      <c r="U14" s="3" t="n">
        <v>24830.0</v>
      </c>
      <c r="V14" s="3" t="n">
        <v>24746.0</v>
      </c>
      <c r="W14" s="3" t="n">
        <v>24641.0</v>
      </c>
      <c r="X14" s="3" t="n">
        <v>24510.0</v>
      </c>
      <c r="Y14" s="3" t="n">
        <v>24344.0</v>
      </c>
      <c r="Z14" s="3" t="n">
        <v>24104.0</v>
      </c>
      <c r="AA14" s="3" t="n">
        <v>23800.0</v>
      </c>
      <c r="AB14" s="3" t="n">
        <v>23416.0</v>
      </c>
      <c r="AC14" s="3" t="n">
        <v>22972.0</v>
      </c>
      <c r="AD14" s="3" t="n">
        <v>22449.0</v>
      </c>
      <c r="AE14" s="3" t="n">
        <v>21898.0</v>
      </c>
      <c r="AF14" s="3" t="n">
        <v>21297.0</v>
      </c>
      <c r="AG14" s="3" t="n">
        <v>20674.0</v>
      </c>
      <c r="AH14" s="3" t="n">
        <v>20031.0</v>
      </c>
      <c r="AI14" s="3" t="n">
        <v>19361.0</v>
      </c>
      <c r="AJ14" s="3" t="n">
        <v>18705.0</v>
      </c>
      <c r="AK14" s="3" t="n">
        <v>18062.0</v>
      </c>
      <c r="AL14" s="3" t="n">
        <v>17440.0</v>
      </c>
      <c r="AM14" s="3" t="n">
        <v>16845.0</v>
      </c>
      <c r="AN14" s="3" t="n">
        <v>16281.0</v>
      </c>
      <c r="AO14" s="3" t="n">
        <v>15766.0</v>
      </c>
    </row>
    <row r="15" spans="1:41" x14ac:dyDescent="0.2">
      <c r="A15" s="136"/>
      <c r="B15" s="64" t="s">
        <v>1</v>
      </c>
      <c r="C15" s="3" t="n">
        <v>62679.0</v>
      </c>
      <c r="D15" s="3" t="n">
        <v>60078.0</v>
      </c>
      <c r="E15" s="3" t="n">
        <v>56386.0</v>
      </c>
      <c r="F15" s="3" t="n">
        <v>52539.0</v>
      </c>
      <c r="G15" s="3" t="n">
        <v>48983.0</v>
      </c>
      <c r="H15" s="3" t="n">
        <v>46216.0</v>
      </c>
      <c r="I15" s="3" t="n">
        <v>43775.0</v>
      </c>
      <c r="J15" s="3" t="n">
        <v>42191.0</v>
      </c>
      <c r="K15" s="3" t="n">
        <v>40801.0</v>
      </c>
      <c r="L15" s="3" t="n">
        <v>39543.0</v>
      </c>
      <c r="M15" s="3" t="n">
        <v>38438.0</v>
      </c>
      <c r="N15" s="3" t="n">
        <v>37451.0</v>
      </c>
      <c r="O15" s="3" t="n">
        <v>36629.0</v>
      </c>
      <c r="P15" s="3" t="n">
        <v>35911.0</v>
      </c>
      <c r="Q15" s="3" t="n">
        <v>35306.0</v>
      </c>
      <c r="R15" s="3" t="n">
        <v>34807.0</v>
      </c>
      <c r="S15" s="3" t="n">
        <v>34387.0</v>
      </c>
      <c r="T15" s="3" t="n">
        <v>34077.0</v>
      </c>
      <c r="U15" s="3" t="n">
        <v>33846.0</v>
      </c>
      <c r="V15" s="3" t="n">
        <v>33689.0</v>
      </c>
      <c r="W15" s="3" t="n">
        <v>33597.0</v>
      </c>
      <c r="X15" s="3" t="n">
        <v>33509.0</v>
      </c>
      <c r="Y15" s="3" t="n">
        <v>33413.0</v>
      </c>
      <c r="Z15" s="3" t="n">
        <v>33309.0</v>
      </c>
      <c r="AA15" s="3" t="n">
        <v>33158.0</v>
      </c>
      <c r="AB15" s="3" t="n">
        <v>32958.0</v>
      </c>
      <c r="AC15" s="3" t="n">
        <v>32695.0</v>
      </c>
      <c r="AD15" s="3" t="n">
        <v>32345.0</v>
      </c>
      <c r="AE15" s="3" t="n">
        <v>31906.0</v>
      </c>
      <c r="AF15" s="3" t="n">
        <v>31394.0</v>
      </c>
      <c r="AG15" s="3" t="n">
        <v>30775.0</v>
      </c>
      <c r="AH15" s="3" t="n">
        <v>30079.0</v>
      </c>
      <c r="AI15" s="3" t="n">
        <v>29322.0</v>
      </c>
      <c r="AJ15" s="3" t="n">
        <v>28492.0</v>
      </c>
      <c r="AK15" s="3" t="n">
        <v>27646.0</v>
      </c>
      <c r="AL15" s="3" t="n">
        <v>26778.0</v>
      </c>
      <c r="AM15" s="3" t="n">
        <v>25897.0</v>
      </c>
      <c r="AN15" s="3" t="n">
        <v>25052.0</v>
      </c>
      <c r="AO15" s="3" t="n">
        <v>24212.0</v>
      </c>
    </row>
    <row r="16" spans="1:41" x14ac:dyDescent="0.2">
      <c r="A16" s="136"/>
      <c r="B16" s="65" t="s">
        <v>18</v>
      </c>
      <c r="C16" s="3" t="n">
        <v>135002.0</v>
      </c>
      <c r="D16" s="3" t="n">
        <v>132867.0</v>
      </c>
      <c r="E16" s="3" t="n">
        <v>131355.0</v>
      </c>
      <c r="F16" s="3" t="n">
        <v>129077.0</v>
      </c>
      <c r="G16" s="3" t="n">
        <v>127318.0</v>
      </c>
      <c r="H16" s="3" t="n">
        <v>124799.0</v>
      </c>
      <c r="I16" s="3" t="n">
        <v>122441.0</v>
      </c>
      <c r="J16" s="3" t="n">
        <v>118239.0</v>
      </c>
      <c r="K16" s="3" t="n">
        <v>113592.0</v>
      </c>
      <c r="L16" s="3" t="n">
        <v>108128.0</v>
      </c>
      <c r="M16" s="3" t="n">
        <v>101816.0</v>
      </c>
      <c r="N16" s="3" t="n">
        <v>96296.0</v>
      </c>
      <c r="O16" s="3" t="n">
        <v>91268.0</v>
      </c>
      <c r="P16" s="3" t="n">
        <v>87032.0</v>
      </c>
      <c r="Q16" s="3" t="n">
        <v>83234.0</v>
      </c>
      <c r="R16" s="3" t="n">
        <v>80539.0</v>
      </c>
      <c r="S16" s="3" t="n">
        <v>78268.0</v>
      </c>
      <c r="T16" s="3" t="n">
        <v>76239.0</v>
      </c>
      <c r="U16" s="3" t="n">
        <v>74482.0</v>
      </c>
      <c r="V16" s="3" t="n">
        <v>72946.0</v>
      </c>
      <c r="W16" s="3" t="n">
        <v>71658.0</v>
      </c>
      <c r="X16" s="3" t="n">
        <v>70598.0</v>
      </c>
      <c r="Y16" s="3" t="n">
        <v>69721.0</v>
      </c>
      <c r="Z16" s="3" t="n">
        <v>69028.0</v>
      </c>
      <c r="AA16" s="3" t="n">
        <v>68485.0</v>
      </c>
      <c r="AB16" s="3" t="n">
        <v>68077.0</v>
      </c>
      <c r="AC16" s="3" t="n">
        <v>67733.0</v>
      </c>
      <c r="AD16" s="3" t="n">
        <v>67453.0</v>
      </c>
      <c r="AE16" s="3" t="n">
        <v>67194.0</v>
      </c>
      <c r="AF16" s="3" t="n">
        <v>66896.0</v>
      </c>
      <c r="AG16" s="3" t="n">
        <v>66545.0</v>
      </c>
      <c r="AH16" s="3" t="n">
        <v>66107.0</v>
      </c>
      <c r="AI16" s="3" t="n">
        <v>65532.0</v>
      </c>
      <c r="AJ16" s="3" t="n">
        <v>64825.0</v>
      </c>
      <c r="AK16" s="3" t="n">
        <v>63961.0</v>
      </c>
      <c r="AL16" s="3" t="n">
        <v>62927.0</v>
      </c>
      <c r="AM16" s="3" t="n">
        <v>61741.0</v>
      </c>
      <c r="AN16" s="3" t="n">
        <v>60411.0</v>
      </c>
      <c r="AO16" s="3" t="n">
        <v>58978.0</v>
      </c>
    </row>
    <row r="17" spans="1:41" x14ac:dyDescent="0.2">
      <c r="A17" s="136"/>
      <c r="B17" s="64" t="s">
        <v>19</v>
      </c>
      <c r="C17" s="3" t="n">
        <v>63334.0</v>
      </c>
      <c r="D17" s="3" t="n">
        <v>66564.0</v>
      </c>
      <c r="E17" s="3" t="n">
        <v>69265.0</v>
      </c>
      <c r="F17" s="3" t="n">
        <v>71070.0</v>
      </c>
      <c r="G17" s="3" t="n">
        <v>70387.0</v>
      </c>
      <c r="H17" s="3" t="n">
        <v>68844.0</v>
      </c>
      <c r="I17" s="3" t="n">
        <v>66911.0</v>
      </c>
      <c r="J17" s="3" t="n">
        <v>65446.0</v>
      </c>
      <c r="K17" s="3" t="n">
        <v>64956.0</v>
      </c>
      <c r="L17" s="3" t="n">
        <v>64603.0</v>
      </c>
      <c r="M17" s="3" t="n">
        <v>65347.0</v>
      </c>
      <c r="N17" s="3" t="n">
        <v>64716.0</v>
      </c>
      <c r="O17" s="3" t="n">
        <v>63547.0</v>
      </c>
      <c r="P17" s="3" t="n">
        <v>61005.0</v>
      </c>
      <c r="Q17" s="3" t="n">
        <v>57353.0</v>
      </c>
      <c r="R17" s="3" t="n">
        <v>53556.0</v>
      </c>
      <c r="S17" s="3" t="n">
        <v>50027.0</v>
      </c>
      <c r="T17" s="3" t="n">
        <v>47105.0</v>
      </c>
      <c r="U17" s="3" t="n">
        <v>44429.0</v>
      </c>
      <c r="V17" s="3" t="n">
        <v>42740.0</v>
      </c>
      <c r="W17" s="3" t="n">
        <v>41282.0</v>
      </c>
      <c r="X17" s="3" t="n">
        <v>39977.0</v>
      </c>
      <c r="Y17" s="3" t="n">
        <v>38836.0</v>
      </c>
      <c r="Z17" s="3" t="n">
        <v>37806.0</v>
      </c>
      <c r="AA17" s="3" t="n">
        <v>36952.0</v>
      </c>
      <c r="AB17" s="3" t="n">
        <v>36197.0</v>
      </c>
      <c r="AC17" s="3" t="n">
        <v>35543.0</v>
      </c>
      <c r="AD17" s="3" t="n">
        <v>35007.0</v>
      </c>
      <c r="AE17" s="3" t="n">
        <v>34553.0</v>
      </c>
      <c r="AF17" s="3" t="n">
        <v>34227.0</v>
      </c>
      <c r="AG17" s="3" t="n">
        <v>33971.0</v>
      </c>
      <c r="AH17" s="3" t="n">
        <v>33783.0</v>
      </c>
      <c r="AI17" s="3" t="n">
        <v>33663.0</v>
      </c>
      <c r="AJ17" s="3" t="n">
        <v>33556.0</v>
      </c>
      <c r="AK17" s="3" t="n">
        <v>33451.0</v>
      </c>
      <c r="AL17" s="3" t="n">
        <v>33342.0</v>
      </c>
      <c r="AM17" s="3" t="n">
        <v>33189.0</v>
      </c>
      <c r="AN17" s="3" t="n">
        <v>32985.0</v>
      </c>
      <c r="AO17" s="3" t="n">
        <v>32726.0</v>
      </c>
    </row>
    <row r="18" spans="1:41" x14ac:dyDescent="0.2">
      <c r="A18" s="136"/>
      <c r="B18" s="64" t="s">
        <v>2</v>
      </c>
      <c r="C18" s="3" t="n">
        <v>90894.0</v>
      </c>
      <c r="D18" s="3" t="n">
        <v>90002.0</v>
      </c>
      <c r="E18" s="3" t="n">
        <v>89785.0</v>
      </c>
      <c r="F18" s="3" t="n">
        <v>90138.0</v>
      </c>
      <c r="G18" s="3" t="n">
        <v>91848.0</v>
      </c>
      <c r="H18" s="3" t="n">
        <v>95277.0</v>
      </c>
      <c r="I18" s="3" t="n">
        <v>98771.0</v>
      </c>
      <c r="J18" s="3" t="n">
        <v>101515.0</v>
      </c>
      <c r="K18" s="3" t="n">
        <v>102520.0</v>
      </c>
      <c r="L18" s="3" t="n">
        <v>103194.0</v>
      </c>
      <c r="M18" s="3" t="n">
        <v>102107.0</v>
      </c>
      <c r="N18" s="3" t="n">
        <v>100088.0</v>
      </c>
      <c r="O18" s="3" t="n">
        <v>97875.0</v>
      </c>
      <c r="P18" s="3" t="n">
        <v>96333.0</v>
      </c>
      <c r="Q18" s="3" t="n">
        <v>96577.0</v>
      </c>
      <c r="R18" s="3" t="n">
        <v>95521.0</v>
      </c>
      <c r="S18" s="3" t="n">
        <v>94273.0</v>
      </c>
      <c r="T18" s="3" t="n">
        <v>91795.0</v>
      </c>
      <c r="U18" s="3" t="n">
        <v>89012.0</v>
      </c>
      <c r="V18" s="3" t="n">
        <v>84628.0</v>
      </c>
      <c r="W18" s="3" t="n">
        <v>79213.0</v>
      </c>
      <c r="X18" s="3" t="n">
        <v>74500.0</v>
      </c>
      <c r="Y18" s="3" t="n">
        <v>70237.0</v>
      </c>
      <c r="Z18" s="3" t="n">
        <v>66662.0</v>
      </c>
      <c r="AA18" s="3" t="n">
        <v>63397.0</v>
      </c>
      <c r="AB18" s="3" t="n">
        <v>61152.0</v>
      </c>
      <c r="AC18" s="3" t="n">
        <v>59226.0</v>
      </c>
      <c r="AD18" s="3" t="n">
        <v>57492.0</v>
      </c>
      <c r="AE18" s="3" t="n">
        <v>55971.0</v>
      </c>
      <c r="AF18" s="3" t="n">
        <v>54594.0</v>
      </c>
      <c r="AG18" s="3" t="n">
        <v>53432.0</v>
      </c>
      <c r="AH18" s="3" t="n">
        <v>52445.0</v>
      </c>
      <c r="AI18" s="3" t="n">
        <v>51593.0</v>
      </c>
      <c r="AJ18" s="3" t="n">
        <v>50917.0</v>
      </c>
      <c r="AK18" s="3" t="n">
        <v>50361.0</v>
      </c>
      <c r="AL18" s="3" t="n">
        <v>49958.0</v>
      </c>
      <c r="AM18" s="3" t="n">
        <v>49651.0</v>
      </c>
      <c r="AN18" s="3" t="n">
        <v>49400.0</v>
      </c>
      <c r="AO18" s="3" t="n">
        <v>49187.0</v>
      </c>
    </row>
    <row r="19" spans="1:41" x14ac:dyDescent="0.2">
      <c r="A19" s="136"/>
      <c r="B19" s="64" t="s">
        <v>3</v>
      </c>
      <c r="C19" s="3" t="n">
        <v>235350.0</v>
      </c>
      <c r="D19" s="3" t="n">
        <v>228045.0</v>
      </c>
      <c r="E19" s="3" t="n">
        <v>220512.0</v>
      </c>
      <c r="F19" s="3" t="n">
        <v>213004.0</v>
      </c>
      <c r="G19" s="3" t="n">
        <v>206616.0</v>
      </c>
      <c r="H19" s="3" t="n">
        <v>200449.0</v>
      </c>
      <c r="I19" s="3" t="n">
        <v>194900.0</v>
      </c>
      <c r="J19" s="3" t="n">
        <v>188389.0</v>
      </c>
      <c r="K19" s="3" t="n">
        <v>181726.0</v>
      </c>
      <c r="L19" s="3" t="n">
        <v>174467.0</v>
      </c>
      <c r="M19" s="3" t="n">
        <v>166580.0</v>
      </c>
      <c r="N19" s="3" t="n">
        <v>159678.0</v>
      </c>
      <c r="O19" s="3" t="n">
        <v>153501.0</v>
      </c>
      <c r="P19" s="3" t="n">
        <v>148282.0</v>
      </c>
      <c r="Q19" s="3" t="n">
        <v>143690.0</v>
      </c>
      <c r="R19" s="3" t="n">
        <v>140363.0</v>
      </c>
      <c r="S19" s="3" t="n">
        <v>137598.0</v>
      </c>
      <c r="T19" s="3" t="n">
        <v>135199.0</v>
      </c>
      <c r="U19" s="3" t="n">
        <v>133158.0</v>
      </c>
      <c r="V19" s="3" t="n">
        <v>131381.0</v>
      </c>
      <c r="W19" s="3" t="n">
        <v>129896.0</v>
      </c>
      <c r="X19" s="3" t="n">
        <v>128617.0</v>
      </c>
      <c r="Y19" s="3" t="n">
        <v>127478.0</v>
      </c>
      <c r="Z19" s="3" t="n">
        <v>126441.0</v>
      </c>
      <c r="AA19" s="3" t="n">
        <v>125443.0</v>
      </c>
      <c r="AB19" s="3" t="n">
        <v>124451.0</v>
      </c>
      <c r="AC19" s="3" t="n">
        <v>123400.0</v>
      </c>
      <c r="AD19" s="3" t="n">
        <v>122247.0</v>
      </c>
      <c r="AE19" s="3" t="n">
        <v>120998.0</v>
      </c>
      <c r="AF19" s="3" t="n">
        <v>119587.0</v>
      </c>
      <c r="AG19" s="3" t="n">
        <v>117994.0</v>
      </c>
      <c r="AH19" s="3" t="n">
        <v>116217.0</v>
      </c>
      <c r="AI19" s="3" t="n">
        <v>114215.0</v>
      </c>
      <c r="AJ19" s="3" t="n">
        <v>112022.0</v>
      </c>
      <c r="AK19" s="3" t="n">
        <v>109669.0</v>
      </c>
      <c r="AL19" s="3" t="n">
        <v>107145.0</v>
      </c>
      <c r="AM19" s="3" t="n">
        <v>104483.0</v>
      </c>
      <c r="AN19" s="3" t="n">
        <v>101744.0</v>
      </c>
      <c r="AO19" s="3" t="n">
        <v>98956.0</v>
      </c>
    </row>
    <row r="20" spans="1:41" x14ac:dyDescent="0.2">
      <c r="A20" s="136"/>
      <c r="B20" s="64" t="s">
        <v>4</v>
      </c>
      <c r="C20" s="3" t="n">
        <v>1066982.0</v>
      </c>
      <c r="D20" s="3" t="n">
        <v>1055090.0</v>
      </c>
      <c r="E20" s="3" t="n">
        <v>1044443.0</v>
      </c>
      <c r="F20" s="3" t="n">
        <v>1035670.0</v>
      </c>
      <c r="G20" s="3" t="n">
        <v>1027077.0</v>
      </c>
      <c r="H20" s="3" t="n">
        <v>1021321.0</v>
      </c>
      <c r="I20" s="3" t="n">
        <v>1015305.0</v>
      </c>
      <c r="J20" s="3" t="n">
        <v>1009623.0</v>
      </c>
      <c r="K20" s="3" t="n">
        <v>1003797.0</v>
      </c>
      <c r="L20" s="3" t="n">
        <v>998426.0</v>
      </c>
      <c r="M20" s="3" t="n">
        <v>993446.0</v>
      </c>
      <c r="N20" s="3" t="n">
        <v>987133.0</v>
      </c>
      <c r="O20" s="3" t="n">
        <v>979641.0</v>
      </c>
      <c r="P20" s="3" t="n">
        <v>970174.0</v>
      </c>
      <c r="Q20" s="3" t="n">
        <v>959556.0</v>
      </c>
      <c r="R20" s="3" t="n">
        <v>946685.0</v>
      </c>
      <c r="S20" s="3" t="n">
        <v>932460.0</v>
      </c>
      <c r="T20" s="3" t="n">
        <v>916579.0</v>
      </c>
      <c r="U20" s="3" t="n">
        <v>899052.0</v>
      </c>
      <c r="V20" s="3" t="n">
        <v>881187.0</v>
      </c>
      <c r="W20" s="3" t="n">
        <v>863365.0</v>
      </c>
      <c r="X20" s="3" t="n">
        <v>845218.0</v>
      </c>
      <c r="Y20" s="3" t="n">
        <v>825998.0</v>
      </c>
      <c r="Z20" s="3" t="n">
        <v>806492.0</v>
      </c>
      <c r="AA20" s="3" t="n">
        <v>787618.0</v>
      </c>
      <c r="AB20" s="3" t="n">
        <v>767764.0</v>
      </c>
      <c r="AC20" s="3" t="n">
        <v>747557.0</v>
      </c>
      <c r="AD20" s="3" t="n">
        <v>728137.0</v>
      </c>
      <c r="AE20" s="3" t="n">
        <v>709939.0</v>
      </c>
      <c r="AF20" s="3" t="n">
        <v>693560.0</v>
      </c>
      <c r="AG20" s="3" t="n">
        <v>677922.0</v>
      </c>
      <c r="AH20" s="3" t="n">
        <v>663239.0</v>
      </c>
      <c r="AI20" s="3" t="n">
        <v>649302.0</v>
      </c>
      <c r="AJ20" s="3" t="n">
        <v>635473.0</v>
      </c>
      <c r="AK20" s="3" t="n">
        <v>622355.0</v>
      </c>
      <c r="AL20" s="3" t="n">
        <v>610368.0</v>
      </c>
      <c r="AM20" s="3" t="n">
        <v>598820.0</v>
      </c>
      <c r="AN20" s="3" t="n">
        <v>587969.0</v>
      </c>
      <c r="AO20" s="3" t="n">
        <v>578049.0</v>
      </c>
    </row>
    <row r="21" spans="1:41" x14ac:dyDescent="0.2">
      <c r="A21" s="136"/>
      <c r="B21" s="64" t="s">
        <v>5</v>
      </c>
      <c r="C21" s="3" t="n">
        <v>338290.0</v>
      </c>
      <c r="D21" s="3" t="n">
        <v>348258.0</v>
      </c>
      <c r="E21" s="3" t="n">
        <v>356587.0</v>
      </c>
      <c r="F21" s="3" t="n">
        <v>362411.0</v>
      </c>
      <c r="G21" s="3" t="n">
        <v>366512.0</v>
      </c>
      <c r="H21" s="3" t="n">
        <v>368993.0</v>
      </c>
      <c r="I21" s="3" t="n">
        <v>371312.0</v>
      </c>
      <c r="J21" s="3" t="n">
        <v>372371.0</v>
      </c>
      <c r="K21" s="3" t="n">
        <v>372550.0</v>
      </c>
      <c r="L21" s="3" t="n">
        <v>372174.0</v>
      </c>
      <c r="M21" s="3" t="n">
        <v>371442.0</v>
      </c>
      <c r="N21" s="3" t="n">
        <v>370497.0</v>
      </c>
      <c r="O21" s="3" t="n">
        <v>369624.0</v>
      </c>
      <c r="P21" s="3" t="n">
        <v>369281.0</v>
      </c>
      <c r="Q21" s="3" t="n">
        <v>369265.0</v>
      </c>
      <c r="R21" s="3" t="n">
        <v>369789.0</v>
      </c>
      <c r="S21" s="3" t="n">
        <v>370885.0</v>
      </c>
      <c r="T21" s="3" t="n">
        <v>372866.0</v>
      </c>
      <c r="U21" s="3" t="n">
        <v>376047.0</v>
      </c>
      <c r="V21" s="3" t="n">
        <v>379075.0</v>
      </c>
      <c r="W21" s="3" t="n">
        <v>381672.0</v>
      </c>
      <c r="X21" s="3" t="n">
        <v>384233.0</v>
      </c>
      <c r="Y21" s="3" t="n">
        <v>387629.0</v>
      </c>
      <c r="Z21" s="3" t="n">
        <v>391126.0</v>
      </c>
      <c r="AA21" s="3" t="n">
        <v>393906.0</v>
      </c>
      <c r="AB21" s="3" t="n">
        <v>397717.0</v>
      </c>
      <c r="AC21" s="3" t="n">
        <v>401907.0</v>
      </c>
      <c r="AD21" s="3" t="n">
        <v>405293.0</v>
      </c>
      <c r="AE21" s="3" t="n">
        <v>407713.0</v>
      </c>
      <c r="AF21" s="3" t="n">
        <v>408402.0</v>
      </c>
      <c r="AG21" s="3" t="n">
        <v>408523.0</v>
      </c>
      <c r="AH21" s="3" t="n">
        <v>407937.0</v>
      </c>
      <c r="AI21" s="3" t="n">
        <v>406698.0</v>
      </c>
      <c r="AJ21" s="3" t="n">
        <v>405486.0</v>
      </c>
      <c r="AK21" s="3" t="n">
        <v>403685.0</v>
      </c>
      <c r="AL21" s="3" t="n">
        <v>400801.0</v>
      </c>
      <c r="AM21" s="3" t="n">
        <v>397497.0</v>
      </c>
      <c r="AN21" s="3" t="n">
        <v>393436.0</v>
      </c>
      <c r="AO21" s="3" t="n">
        <v>388469.0</v>
      </c>
    </row>
    <row r="22" spans="1:41" x14ac:dyDescent="0.2">
      <c r="A22" s="137"/>
      <c r="B22" s="66" t="s">
        <v>6</v>
      </c>
      <c r="C22" s="4" t="n">
        <v>65193.0</v>
      </c>
      <c r="D22" s="4" t="n">
        <v>64698.0</v>
      </c>
      <c r="E22" s="4" t="n">
        <v>64358.0</v>
      </c>
      <c r="F22" s="4" t="n">
        <v>64142.0</v>
      </c>
      <c r="G22" s="4" t="n">
        <v>67752.0</v>
      </c>
      <c r="H22" s="4" t="n">
        <v>72490.0</v>
      </c>
      <c r="I22" s="4" t="n">
        <v>78387.0</v>
      </c>
      <c r="J22" s="4" t="n">
        <v>84599.0</v>
      </c>
      <c r="K22" s="4" t="n">
        <v>90954.0</v>
      </c>
      <c r="L22" s="4" t="n">
        <v>97430.0</v>
      </c>
      <c r="M22" s="4" t="n">
        <v>103471.0</v>
      </c>
      <c r="N22" s="4" t="n">
        <v>109074.0</v>
      </c>
      <c r="O22" s="4" t="n">
        <v>114298.0</v>
      </c>
      <c r="P22" s="4" t="n">
        <v>119723.0</v>
      </c>
      <c r="Q22" s="4" t="n">
        <v>124642.0</v>
      </c>
      <c r="R22" s="4" t="n">
        <v>128787.0</v>
      </c>
      <c r="S22" s="4" t="n">
        <v>132185.0</v>
      </c>
      <c r="T22" s="4" t="n">
        <v>134325.0</v>
      </c>
      <c r="U22" s="4" t="n">
        <v>134777.0</v>
      </c>
      <c r="V22" s="4" t="n">
        <v>134103.0</v>
      </c>
      <c r="W22" s="4" t="n">
        <v>132383.0</v>
      </c>
      <c r="X22" s="4" t="n">
        <v>130681.0</v>
      </c>
      <c r="Y22" s="4" t="n">
        <v>128381.0</v>
      </c>
      <c r="Z22" s="4" t="n">
        <v>125709.0</v>
      </c>
      <c r="AA22" s="4" t="n">
        <v>123016.0</v>
      </c>
      <c r="AB22" s="4" t="n">
        <v>120456.0</v>
      </c>
      <c r="AC22" s="4" t="n">
        <v>118167.0</v>
      </c>
      <c r="AD22" s="4" t="n">
        <v>116259.0</v>
      </c>
      <c r="AE22" s="4" t="n">
        <v>115211.0</v>
      </c>
      <c r="AF22" s="4" t="n">
        <v>114644.0</v>
      </c>
      <c r="AG22" s="4" t="n">
        <v>114868.0</v>
      </c>
      <c r="AH22" s="4" t="n">
        <v>115764.0</v>
      </c>
      <c r="AI22" s="4" t="n">
        <v>117531.0</v>
      </c>
      <c r="AJ22" s="4" t="n">
        <v>120192.0</v>
      </c>
      <c r="AK22" s="4" t="n">
        <v>122951.0</v>
      </c>
      <c r="AL22" s="4" t="n">
        <v>125431.0</v>
      </c>
      <c r="AM22" s="4" t="n">
        <v>127899.0</v>
      </c>
      <c r="AN22" s="4" t="n">
        <v>130848.0</v>
      </c>
      <c r="AO22" s="4" t="n">
        <v>133834.0</v>
      </c>
    </row>
    <row r="23" spans="1:41" x14ac:dyDescent="0.2">
      <c r="A23" s="136" t="s">
        <v>50</v>
      </c>
      <c r="B23" s="63" t="s">
        <v>64</v>
      </c>
      <c r="C23" s="26" t="n">
        <v>796189.0</v>
      </c>
      <c r="D23" s="16" t="n">
        <v>791353.0</v>
      </c>
      <c r="E23" s="16" t="n">
        <v>786184.0</v>
      </c>
      <c r="F23" s="16" t="n">
        <v>780693.0</v>
      </c>
      <c r="G23" s="16" t="n">
        <v>774961.0</v>
      </c>
      <c r="H23" s="16" t="n">
        <v>769572.0</v>
      </c>
      <c r="I23" s="16" t="n">
        <v>764149.0</v>
      </c>
      <c r="J23" s="16" t="n">
        <v>758030.0</v>
      </c>
      <c r="K23" s="16" t="n">
        <v>751442.0</v>
      </c>
      <c r="L23" s="16" t="n">
        <v>744554.0</v>
      </c>
      <c r="M23" s="16" t="n">
        <v>737440.0</v>
      </c>
      <c r="N23" s="16" t="n">
        <v>730012.0</v>
      </c>
      <c r="O23" s="16" t="n">
        <v>722449.0</v>
      </c>
      <c r="P23" s="16" t="n">
        <v>714740.0</v>
      </c>
      <c r="Q23" s="16" t="n">
        <v>706920.0</v>
      </c>
      <c r="R23" s="16" t="n">
        <v>698950.0</v>
      </c>
      <c r="S23" s="16" t="n">
        <v>690941.0</v>
      </c>
      <c r="T23" s="16" t="n">
        <v>682772.0</v>
      </c>
      <c r="U23" s="16" t="n">
        <v>674607.0</v>
      </c>
      <c r="V23" s="16" t="n">
        <v>666398.0</v>
      </c>
      <c r="W23" s="16" t="n">
        <v>658141.0</v>
      </c>
      <c r="X23" s="16" t="n">
        <v>649909.0</v>
      </c>
      <c r="Y23" s="16" t="n">
        <v>641587.0</v>
      </c>
      <c r="Z23" s="16" t="n">
        <v>633235.0</v>
      </c>
      <c r="AA23" s="16" t="n">
        <v>624902.0</v>
      </c>
      <c r="AB23" s="16" t="n">
        <v>616543.0</v>
      </c>
      <c r="AC23" s="16" t="n">
        <v>608249.0</v>
      </c>
      <c r="AD23" s="16" t="n">
        <v>599844.0</v>
      </c>
      <c r="AE23" s="16" t="n">
        <v>591488.0</v>
      </c>
      <c r="AF23" s="16" t="n">
        <v>583050.0</v>
      </c>
      <c r="AG23" s="16" t="n">
        <v>574639.0</v>
      </c>
      <c r="AH23" s="16" t="n">
        <v>566180.0</v>
      </c>
      <c r="AI23" s="16" t="n">
        <v>557631.0</v>
      </c>
      <c r="AJ23" s="16" t="n">
        <v>549068.0</v>
      </c>
      <c r="AK23" s="16" t="n">
        <v>540415.0</v>
      </c>
      <c r="AL23" s="16" t="n">
        <v>531701.0</v>
      </c>
      <c r="AM23" s="16" t="n">
        <v>522978.0</v>
      </c>
      <c r="AN23" s="16" t="n">
        <v>514182.0</v>
      </c>
      <c r="AO23" s="16" t="n">
        <v>505325.0</v>
      </c>
    </row>
    <row r="24" spans="1:41" x14ac:dyDescent="0.2">
      <c r="A24" s="136"/>
      <c r="B24" s="64" t="s">
        <v>8</v>
      </c>
      <c r="C24" s="11" t="n">
        <v>145257.0</v>
      </c>
      <c r="D24" s="3" t="n">
        <v>142915.0</v>
      </c>
      <c r="E24" s="3" t="n">
        <v>140156.0</v>
      </c>
      <c r="F24" s="3" t="n">
        <v>136712.0</v>
      </c>
      <c r="G24" s="3" t="n">
        <v>132605.0</v>
      </c>
      <c r="H24" s="3" t="n">
        <v>128696.0</v>
      </c>
      <c r="I24" s="3" t="n">
        <v>124892.0</v>
      </c>
      <c r="J24" s="3" t="n">
        <v>121623.0</v>
      </c>
      <c r="K24" s="3" t="n">
        <v>117842.0</v>
      </c>
      <c r="L24" s="3" t="n">
        <v>114214.0</v>
      </c>
      <c r="M24" s="3" t="n">
        <v>110508.0</v>
      </c>
      <c r="N24" s="3" t="n">
        <v>106888.0</v>
      </c>
      <c r="O24" s="3" t="n">
        <v>102940.0</v>
      </c>
      <c r="P24" s="3" t="n">
        <v>98736.0</v>
      </c>
      <c r="Q24" s="3" t="n">
        <v>95048.0</v>
      </c>
      <c r="R24" s="3" t="n">
        <v>91789.0</v>
      </c>
      <c r="S24" s="3" t="n">
        <v>89090.0</v>
      </c>
      <c r="T24" s="3" t="n">
        <v>86658.0</v>
      </c>
      <c r="U24" s="3" t="n">
        <v>84973.0</v>
      </c>
      <c r="V24" s="3" t="n">
        <v>83469.0</v>
      </c>
      <c r="W24" s="3" t="n">
        <v>82169.0</v>
      </c>
      <c r="X24" s="3" t="n">
        <v>81039.0</v>
      </c>
      <c r="Y24" s="3" t="n">
        <v>80022.0</v>
      </c>
      <c r="Z24" s="3" t="n">
        <v>79130.0</v>
      </c>
      <c r="AA24" s="3" t="n">
        <v>78311.0</v>
      </c>
      <c r="AB24" s="3" t="n">
        <v>77531.0</v>
      </c>
      <c r="AC24" s="3" t="n">
        <v>76757.0</v>
      </c>
      <c r="AD24" s="3" t="n">
        <v>75982.0</v>
      </c>
      <c r="AE24" s="3" t="n">
        <v>75196.0</v>
      </c>
      <c r="AF24" s="3" t="n">
        <v>74364.0</v>
      </c>
      <c r="AG24" s="3" t="n">
        <v>73463.0</v>
      </c>
      <c r="AH24" s="3" t="n">
        <v>72499.0</v>
      </c>
      <c r="AI24" s="3" t="n">
        <v>71437.0</v>
      </c>
      <c r="AJ24" s="3" t="n">
        <v>70279.0</v>
      </c>
      <c r="AK24" s="3" t="n">
        <v>69031.0</v>
      </c>
      <c r="AL24" s="3" t="n">
        <v>67678.0</v>
      </c>
      <c r="AM24" s="3" t="n">
        <v>66245.0</v>
      </c>
      <c r="AN24" s="3" t="n">
        <v>64750.0</v>
      </c>
      <c r="AO24" s="3" t="n">
        <v>63195.0</v>
      </c>
    </row>
    <row r="25" spans="1:41" x14ac:dyDescent="0.2">
      <c r="A25" s="136"/>
      <c r="B25" s="64" t="s">
        <v>14</v>
      </c>
      <c r="C25" s="11" t="n">
        <v>512315.0</v>
      </c>
      <c r="D25" s="3" t="n">
        <v>505208.0</v>
      </c>
      <c r="E25" s="3" t="n">
        <v>499176.0</v>
      </c>
      <c r="F25" s="3" t="n">
        <v>494367.0</v>
      </c>
      <c r="G25" s="3" t="n">
        <v>490873.0</v>
      </c>
      <c r="H25" s="3" t="n">
        <v>488414.0</v>
      </c>
      <c r="I25" s="3" t="n">
        <v>485939.0</v>
      </c>
      <c r="J25" s="3" t="n">
        <v>482739.0</v>
      </c>
      <c r="K25" s="3" t="n">
        <v>479902.0</v>
      </c>
      <c r="L25" s="3" t="n">
        <v>477038.0</v>
      </c>
      <c r="M25" s="3" t="n">
        <v>473943.0</v>
      </c>
      <c r="N25" s="3" t="n">
        <v>470688.0</v>
      </c>
      <c r="O25" s="3" t="n">
        <v>467563.0</v>
      </c>
      <c r="P25" s="3" t="n">
        <v>464207.0</v>
      </c>
      <c r="Q25" s="3" t="n">
        <v>460021.0</v>
      </c>
      <c r="R25" s="3" t="n">
        <v>454952.0</v>
      </c>
      <c r="S25" s="3" t="n">
        <v>449035.0</v>
      </c>
      <c r="T25" s="3" t="n">
        <v>442166.0</v>
      </c>
      <c r="U25" s="3" t="n">
        <v>433956.0</v>
      </c>
      <c r="V25" s="3" t="n">
        <v>425635.0</v>
      </c>
      <c r="W25" s="3" t="n">
        <v>417210.0</v>
      </c>
      <c r="X25" s="3" t="n">
        <v>408611.0</v>
      </c>
      <c r="Y25" s="3" t="n">
        <v>399324.0</v>
      </c>
      <c r="Z25" s="3" t="n">
        <v>389927.0</v>
      </c>
      <c r="AA25" s="3" t="n">
        <v>380821.0</v>
      </c>
      <c r="AB25" s="3" t="n">
        <v>371174.0</v>
      </c>
      <c r="AC25" s="3" t="n">
        <v>361299.0</v>
      </c>
      <c r="AD25" s="3" t="n">
        <v>351786.0</v>
      </c>
      <c r="AE25" s="3" t="n">
        <v>342854.0</v>
      </c>
      <c r="AF25" s="3" t="n">
        <v>334837.0</v>
      </c>
      <c r="AG25" s="3" t="n">
        <v>327008.0</v>
      </c>
      <c r="AH25" s="3" t="n">
        <v>319730.0</v>
      </c>
      <c r="AI25" s="3" t="n">
        <v>312785.0</v>
      </c>
      <c r="AJ25" s="3" t="n">
        <v>305869.0</v>
      </c>
      <c r="AK25" s="3" t="n">
        <v>299390.0</v>
      </c>
      <c r="AL25" s="3" t="n">
        <v>293409.0</v>
      </c>
      <c r="AM25" s="3" t="n">
        <v>287655.0</v>
      </c>
      <c r="AN25" s="3" t="n">
        <v>282286.0</v>
      </c>
      <c r="AO25" s="3" t="n">
        <v>277411.0</v>
      </c>
    </row>
    <row r="26" spans="1:41" x14ac:dyDescent="0.2">
      <c r="A26" s="136"/>
      <c r="B26" s="64" t="s">
        <v>11</v>
      </c>
      <c r="C26" s="11" t="n">
        <v>295233.0</v>
      </c>
      <c r="D26" s="3" t="n">
        <v>288710.0</v>
      </c>
      <c r="E26" s="3" t="n">
        <v>281683.0</v>
      </c>
      <c r="F26" s="3" t="n">
        <v>275162.0</v>
      </c>
      <c r="G26" s="3" t="n">
        <v>269676.0</v>
      </c>
      <c r="H26" s="3" t="n">
        <v>263861.0</v>
      </c>
      <c r="I26" s="3" t="n">
        <v>257723.0</v>
      </c>
      <c r="J26" s="3" t="n">
        <v>251091.0</v>
      </c>
      <c r="K26" s="3" t="n">
        <v>245393.0</v>
      </c>
      <c r="L26" s="3" t="n">
        <v>240532.0</v>
      </c>
      <c r="M26" s="3" t="n">
        <v>235841.0</v>
      </c>
      <c r="N26" s="3" t="n">
        <v>231632.0</v>
      </c>
      <c r="O26" s="3" t="n">
        <v>228096.0</v>
      </c>
      <c r="P26" s="3" t="n">
        <v>224811.0</v>
      </c>
      <c r="Q26" s="3" t="n">
        <v>221459.0</v>
      </c>
      <c r="R26" s="3" t="n">
        <v>218249.0</v>
      </c>
      <c r="S26" s="3" t="n">
        <v>214677.0</v>
      </c>
      <c r="T26" s="3" t="n">
        <v>211301.0</v>
      </c>
      <c r="U26" s="3" t="n">
        <v>207745.0</v>
      </c>
      <c r="V26" s="3" t="n">
        <v>204439.0</v>
      </c>
      <c r="W26" s="3" t="n">
        <v>201314.0</v>
      </c>
      <c r="X26" s="3" t="n">
        <v>198317.0</v>
      </c>
      <c r="Y26" s="3" t="n">
        <v>195372.0</v>
      </c>
      <c r="Z26" s="3" t="n">
        <v>192298.0</v>
      </c>
      <c r="AA26" s="3" t="n">
        <v>189231.0</v>
      </c>
      <c r="AB26" s="3" t="n">
        <v>186322.0</v>
      </c>
      <c r="AC26" s="3" t="n">
        <v>183380.0</v>
      </c>
      <c r="AD26" s="3" t="n">
        <v>180189.0</v>
      </c>
      <c r="AE26" s="3" t="n">
        <v>176799.0</v>
      </c>
      <c r="AF26" s="3" t="n">
        <v>173153.0</v>
      </c>
      <c r="AG26" s="3" t="n">
        <v>169070.0</v>
      </c>
      <c r="AH26" s="3" t="n">
        <v>164438.0</v>
      </c>
      <c r="AI26" s="3" t="n">
        <v>159752.0</v>
      </c>
      <c r="AJ26" s="3" t="n">
        <v>155109.0</v>
      </c>
      <c r="AK26" s="3" t="n">
        <v>151276.0</v>
      </c>
      <c r="AL26" s="3" t="n">
        <v>147245.0</v>
      </c>
      <c r="AM26" s="3" t="n">
        <v>143546.0</v>
      </c>
      <c r="AN26" s="3" t="n">
        <v>139814.0</v>
      </c>
      <c r="AO26" s="3" t="n">
        <v>136219.0</v>
      </c>
    </row>
    <row r="27" spans="1:41" x14ac:dyDescent="0.2">
      <c r="A27" s="136"/>
      <c r="B27" s="64" t="s">
        <v>13</v>
      </c>
      <c r="C27" s="11" t="n">
        <v>217082.0</v>
      </c>
      <c r="D27" s="3" t="n">
        <v>216498.0</v>
      </c>
      <c r="E27" s="3" t="n">
        <v>217493.0</v>
      </c>
      <c r="F27" s="3" t="n">
        <v>219205.0</v>
      </c>
      <c r="G27" s="3" t="n">
        <v>221197.0</v>
      </c>
      <c r="H27" s="3" t="n">
        <v>224553.0</v>
      </c>
      <c r="I27" s="3" t="n">
        <v>228216.0</v>
      </c>
      <c r="J27" s="3" t="n">
        <v>231648.0</v>
      </c>
      <c r="K27" s="3" t="n">
        <v>234509.0</v>
      </c>
      <c r="L27" s="3" t="n">
        <v>236506.0</v>
      </c>
      <c r="M27" s="3" t="n">
        <v>238102.0</v>
      </c>
      <c r="N27" s="3" t="n">
        <v>239056.0</v>
      </c>
      <c r="O27" s="3" t="n">
        <v>239467.0</v>
      </c>
      <c r="P27" s="3" t="n">
        <v>239396.0</v>
      </c>
      <c r="Q27" s="3" t="n">
        <v>238562.0</v>
      </c>
      <c r="R27" s="3" t="n">
        <v>236703.0</v>
      </c>
      <c r="S27" s="3" t="n">
        <v>234358.0</v>
      </c>
      <c r="T27" s="3" t="n">
        <v>230865.0</v>
      </c>
      <c r="U27" s="3" t="n">
        <v>226211.0</v>
      </c>
      <c r="V27" s="3" t="n">
        <v>221196.0</v>
      </c>
      <c r="W27" s="3" t="n">
        <v>215896.0</v>
      </c>
      <c r="X27" s="3" t="n">
        <v>210294.0</v>
      </c>
      <c r="Y27" s="3" t="n">
        <v>203952.0</v>
      </c>
      <c r="Z27" s="3" t="n">
        <v>197629.0</v>
      </c>
      <c r="AA27" s="3" t="n">
        <v>191590.0</v>
      </c>
      <c r="AB27" s="3" t="n">
        <v>184852.0</v>
      </c>
      <c r="AC27" s="3" t="n">
        <v>177919.0</v>
      </c>
      <c r="AD27" s="3" t="n">
        <v>171597.0</v>
      </c>
      <c r="AE27" s="3" t="n">
        <v>166055.0</v>
      </c>
      <c r="AF27" s="3" t="n">
        <v>161684.0</v>
      </c>
      <c r="AG27" s="3" t="n">
        <v>157938.0</v>
      </c>
      <c r="AH27" s="3" t="n">
        <v>155292.0</v>
      </c>
      <c r="AI27" s="3" t="n">
        <v>153033.0</v>
      </c>
      <c r="AJ27" s="3" t="n">
        <v>150760.0</v>
      </c>
      <c r="AK27" s="3" t="n">
        <v>148114.0</v>
      </c>
      <c r="AL27" s="3" t="n">
        <v>146164.0</v>
      </c>
      <c r="AM27" s="3" t="n">
        <v>144109.0</v>
      </c>
      <c r="AN27" s="3" t="n">
        <v>142472.0</v>
      </c>
      <c r="AO27" s="3" t="n">
        <v>141192.0</v>
      </c>
    </row>
    <row r="28" spans="1:41" x14ac:dyDescent="0.2">
      <c r="A28" s="136"/>
      <c r="B28" s="64" t="s">
        <v>5</v>
      </c>
      <c r="C28" s="11" t="n">
        <v>138617.0</v>
      </c>
      <c r="D28" s="3" t="n">
        <v>143230.0</v>
      </c>
      <c r="E28" s="3" t="n">
        <v>146852.0</v>
      </c>
      <c r="F28" s="3" t="n">
        <v>149614.0</v>
      </c>
      <c r="G28" s="3" t="n">
        <v>151483.0</v>
      </c>
      <c r="H28" s="3" t="n">
        <v>152462.0</v>
      </c>
      <c r="I28" s="3" t="n">
        <v>153318.0</v>
      </c>
      <c r="J28" s="3" t="n">
        <v>153668.0</v>
      </c>
      <c r="K28" s="3" t="n">
        <v>153698.0</v>
      </c>
      <c r="L28" s="3" t="n">
        <v>153302.0</v>
      </c>
      <c r="M28" s="3" t="n">
        <v>152989.0</v>
      </c>
      <c r="N28" s="3" t="n">
        <v>152436.0</v>
      </c>
      <c r="O28" s="3" t="n">
        <v>151946.0</v>
      </c>
      <c r="P28" s="3" t="n">
        <v>151797.0</v>
      </c>
      <c r="Q28" s="3" t="n">
        <v>151851.0</v>
      </c>
      <c r="R28" s="3" t="n">
        <v>152209.0</v>
      </c>
      <c r="S28" s="3" t="n">
        <v>152816.0</v>
      </c>
      <c r="T28" s="3" t="n">
        <v>153948.0</v>
      </c>
      <c r="U28" s="3" t="n">
        <v>155678.0</v>
      </c>
      <c r="V28" s="3" t="n">
        <v>157294.0</v>
      </c>
      <c r="W28" s="3" t="n">
        <v>158762.0</v>
      </c>
      <c r="X28" s="3" t="n">
        <v>160259.0</v>
      </c>
      <c r="Y28" s="3" t="n">
        <v>162241.0</v>
      </c>
      <c r="Z28" s="3" t="n">
        <v>164178.0</v>
      </c>
      <c r="AA28" s="3" t="n">
        <v>165770.0</v>
      </c>
      <c r="AB28" s="3" t="n">
        <v>167838.0</v>
      </c>
      <c r="AC28" s="3" t="n">
        <v>170193.0</v>
      </c>
      <c r="AD28" s="3" t="n">
        <v>172076.0</v>
      </c>
      <c r="AE28" s="3" t="n">
        <v>173438.0</v>
      </c>
      <c r="AF28" s="3" t="n">
        <v>173849.0</v>
      </c>
      <c r="AG28" s="3" t="n">
        <v>174168.0</v>
      </c>
      <c r="AH28" s="3" t="n">
        <v>173951.0</v>
      </c>
      <c r="AI28" s="3" t="n">
        <v>173409.0</v>
      </c>
      <c r="AJ28" s="3" t="n">
        <v>172920.0</v>
      </c>
      <c r="AK28" s="3" t="n">
        <v>171994.0</v>
      </c>
      <c r="AL28" s="3" t="n">
        <v>170614.0</v>
      </c>
      <c r="AM28" s="3" t="n">
        <v>169078.0</v>
      </c>
      <c r="AN28" s="3" t="n">
        <v>167146.0</v>
      </c>
      <c r="AO28" s="3" t="n">
        <v>164719.0</v>
      </c>
    </row>
    <row r="29" spans="1:41" x14ac:dyDescent="0.2">
      <c r="A29" s="136"/>
      <c r="B29" s="64" t="s">
        <v>0</v>
      </c>
      <c r="C29" s="3" t="n">
        <v>19309.0</v>
      </c>
      <c r="D29" s="3" t="n">
        <v>17996.0</v>
      </c>
      <c r="E29" s="3" t="n">
        <v>16759.0</v>
      </c>
      <c r="F29" s="3" t="n">
        <v>16117.0</v>
      </c>
      <c r="G29" s="3" t="n">
        <v>15564.0</v>
      </c>
      <c r="H29" s="3" t="n">
        <v>15122.0</v>
      </c>
      <c r="I29" s="3" t="n">
        <v>14736.0</v>
      </c>
      <c r="J29" s="3" t="n">
        <v>14359.0</v>
      </c>
      <c r="K29" s="3" t="n">
        <v>14039.0</v>
      </c>
      <c r="L29" s="3" t="n">
        <v>13763.0</v>
      </c>
      <c r="M29" s="3" t="n">
        <v>13517.0</v>
      </c>
      <c r="N29" s="3" t="n">
        <v>13310.0</v>
      </c>
      <c r="O29" s="3" t="n">
        <v>13139.0</v>
      </c>
      <c r="P29" s="3" t="n">
        <v>12999.0</v>
      </c>
      <c r="Q29" s="3" t="n">
        <v>12904.0</v>
      </c>
      <c r="R29" s="3" t="n">
        <v>12841.0</v>
      </c>
      <c r="S29" s="3" t="n">
        <v>12805.0</v>
      </c>
      <c r="T29" s="3" t="n">
        <v>12773.0</v>
      </c>
      <c r="U29" s="3" t="n">
        <v>12745.0</v>
      </c>
      <c r="V29" s="3" t="n">
        <v>12701.0</v>
      </c>
      <c r="W29" s="3" t="n">
        <v>12645.0</v>
      </c>
      <c r="X29" s="3" t="n">
        <v>12579.0</v>
      </c>
      <c r="Y29" s="3" t="n">
        <v>12499.0</v>
      </c>
      <c r="Z29" s="3" t="n">
        <v>12378.0</v>
      </c>
      <c r="AA29" s="3" t="n">
        <v>12224.0</v>
      </c>
      <c r="AB29" s="3" t="n">
        <v>12026.0</v>
      </c>
      <c r="AC29" s="3" t="n">
        <v>11793.0</v>
      </c>
      <c r="AD29" s="3" t="n">
        <v>11524.0</v>
      </c>
      <c r="AE29" s="3" t="n">
        <v>11239.0</v>
      </c>
      <c r="AF29" s="3" t="n">
        <v>10929.0</v>
      </c>
      <c r="AG29" s="3" t="n">
        <v>10606.0</v>
      </c>
      <c r="AH29" s="3" t="n">
        <v>10276.0</v>
      </c>
      <c r="AI29" s="3" t="n">
        <v>9931.0</v>
      </c>
      <c r="AJ29" s="3" t="n">
        <v>9592.0</v>
      </c>
      <c r="AK29" s="3" t="n">
        <v>9269.0</v>
      </c>
      <c r="AL29" s="3" t="n">
        <v>8945.0</v>
      </c>
      <c r="AM29" s="3" t="n">
        <v>8637.0</v>
      </c>
      <c r="AN29" s="3" t="n">
        <v>8350.0</v>
      </c>
      <c r="AO29" s="3" t="n">
        <v>8086.0</v>
      </c>
    </row>
    <row r="30" spans="1:41" x14ac:dyDescent="0.2">
      <c r="A30" s="136"/>
      <c r="B30" s="64" t="s">
        <v>1</v>
      </c>
      <c r="C30" s="3" t="n">
        <v>32202.0</v>
      </c>
      <c r="D30" s="3" t="n">
        <v>30875.0</v>
      </c>
      <c r="E30" s="3" t="n">
        <v>29043.0</v>
      </c>
      <c r="F30" s="3" t="n">
        <v>26967.0</v>
      </c>
      <c r="G30" s="3" t="n">
        <v>25114.0</v>
      </c>
      <c r="H30" s="3" t="n">
        <v>23693.0</v>
      </c>
      <c r="I30" s="3" t="n">
        <v>22406.0</v>
      </c>
      <c r="J30" s="3" t="n">
        <v>21670.0</v>
      </c>
      <c r="K30" s="3" t="n">
        <v>20952.0</v>
      </c>
      <c r="L30" s="3" t="n">
        <v>20314.0</v>
      </c>
      <c r="M30" s="3" t="n">
        <v>19738.0</v>
      </c>
      <c r="N30" s="3" t="n">
        <v>19223.0</v>
      </c>
      <c r="O30" s="3" t="n">
        <v>18791.0</v>
      </c>
      <c r="P30" s="3" t="n">
        <v>18420.0</v>
      </c>
      <c r="Q30" s="3" t="n">
        <v>18104.0</v>
      </c>
      <c r="R30" s="3" t="n">
        <v>17836.0</v>
      </c>
      <c r="S30" s="3" t="n">
        <v>17621.0</v>
      </c>
      <c r="T30" s="3" t="n">
        <v>17461.0</v>
      </c>
      <c r="U30" s="3" t="n">
        <v>17345.0</v>
      </c>
      <c r="V30" s="3" t="n">
        <v>17270.0</v>
      </c>
      <c r="W30" s="3" t="n">
        <v>17228.0</v>
      </c>
      <c r="X30" s="3" t="n">
        <v>17183.0</v>
      </c>
      <c r="Y30" s="3" t="n">
        <v>17130.0</v>
      </c>
      <c r="Z30" s="3" t="n">
        <v>17075.0</v>
      </c>
      <c r="AA30" s="3" t="n">
        <v>16999.0</v>
      </c>
      <c r="AB30" s="3" t="n">
        <v>16900.0</v>
      </c>
      <c r="AC30" s="3" t="n">
        <v>16770.0</v>
      </c>
      <c r="AD30" s="3" t="n">
        <v>16594.0</v>
      </c>
      <c r="AE30" s="3" t="n">
        <v>16368.0</v>
      </c>
      <c r="AF30" s="3" t="n">
        <v>16106.0</v>
      </c>
      <c r="AG30" s="3" t="n">
        <v>15785.0</v>
      </c>
      <c r="AH30" s="3" t="n">
        <v>15423.0</v>
      </c>
      <c r="AI30" s="3" t="n">
        <v>15032.0</v>
      </c>
      <c r="AJ30" s="3" t="n">
        <v>14599.0</v>
      </c>
      <c r="AK30" s="3" t="n">
        <v>14155.0</v>
      </c>
      <c r="AL30" s="3" t="n">
        <v>13713.0</v>
      </c>
      <c r="AM30" s="3" t="n">
        <v>13266.0</v>
      </c>
      <c r="AN30" s="3" t="n">
        <v>12836.0</v>
      </c>
      <c r="AO30" s="3" t="n">
        <v>12411.0</v>
      </c>
    </row>
    <row r="31" spans="1:41" x14ac:dyDescent="0.2">
      <c r="A31" s="136"/>
      <c r="B31" s="65" t="s">
        <v>18</v>
      </c>
      <c r="C31" s="3" t="n">
        <v>68950.0</v>
      </c>
      <c r="D31" s="3" t="n">
        <v>67995.0</v>
      </c>
      <c r="E31" s="3" t="n">
        <v>67189.0</v>
      </c>
      <c r="F31" s="3" t="n">
        <v>65940.0</v>
      </c>
      <c r="G31" s="3" t="n">
        <v>65224.0</v>
      </c>
      <c r="H31" s="3" t="n">
        <v>63912.0</v>
      </c>
      <c r="I31" s="3" t="n">
        <v>62682.0</v>
      </c>
      <c r="J31" s="3" t="n">
        <v>60529.0</v>
      </c>
      <c r="K31" s="3" t="n">
        <v>58240.0</v>
      </c>
      <c r="L31" s="3" t="n">
        <v>55437.0</v>
      </c>
      <c r="M31" s="3" t="n">
        <v>52234.0</v>
      </c>
      <c r="N31" s="3" t="n">
        <v>49374.0</v>
      </c>
      <c r="O31" s="3" t="n">
        <v>46764.0</v>
      </c>
      <c r="P31" s="3" t="n">
        <v>44593.0</v>
      </c>
      <c r="Q31" s="3" t="n">
        <v>42602.0</v>
      </c>
      <c r="R31" s="3" t="n">
        <v>41288.0</v>
      </c>
      <c r="S31" s="3" t="n">
        <v>40115.0</v>
      </c>
      <c r="T31" s="3" t="n">
        <v>39087.0</v>
      </c>
      <c r="U31" s="3" t="n">
        <v>38183.0</v>
      </c>
      <c r="V31" s="3" t="n">
        <v>37376.0</v>
      </c>
      <c r="W31" s="3" t="n">
        <v>36702.0</v>
      </c>
      <c r="X31" s="3" t="n">
        <v>36150.0</v>
      </c>
      <c r="Y31" s="3" t="n">
        <v>35700.0</v>
      </c>
      <c r="Z31" s="3" t="n">
        <v>35340.0</v>
      </c>
      <c r="AA31" s="3" t="n">
        <v>35063.0</v>
      </c>
      <c r="AB31" s="3" t="n">
        <v>34853.0</v>
      </c>
      <c r="AC31" s="3" t="n">
        <v>34678.0</v>
      </c>
      <c r="AD31" s="3" t="n">
        <v>34540.0</v>
      </c>
      <c r="AE31" s="3" t="n">
        <v>34411.0</v>
      </c>
      <c r="AF31" s="3" t="n">
        <v>34255.0</v>
      </c>
      <c r="AG31" s="3" t="n">
        <v>34080.0</v>
      </c>
      <c r="AH31" s="3" t="n">
        <v>33858.0</v>
      </c>
      <c r="AI31" s="3" t="n">
        <v>33570.0</v>
      </c>
      <c r="AJ31" s="3" t="n">
        <v>33212.0</v>
      </c>
      <c r="AK31" s="3" t="n">
        <v>32778.0</v>
      </c>
      <c r="AL31" s="3" t="n">
        <v>32242.0</v>
      </c>
      <c r="AM31" s="3" t="n">
        <v>31629.0</v>
      </c>
      <c r="AN31" s="3" t="n">
        <v>30934.0</v>
      </c>
      <c r="AO31" s="3" t="n">
        <v>30181.0</v>
      </c>
    </row>
    <row r="32" spans="1:41" x14ac:dyDescent="0.2">
      <c r="A32" s="136"/>
      <c r="B32" s="64" t="s">
        <v>19</v>
      </c>
      <c r="C32" s="3" t="n">
        <v>32570.0</v>
      </c>
      <c r="D32" s="3" t="n">
        <v>33969.0</v>
      </c>
      <c r="E32" s="3" t="n">
        <v>35289.0</v>
      </c>
      <c r="F32" s="3" t="n">
        <v>36301.0</v>
      </c>
      <c r="G32" s="3" t="n">
        <v>35864.0</v>
      </c>
      <c r="H32" s="3" t="n">
        <v>35220.0</v>
      </c>
      <c r="I32" s="3" t="n">
        <v>34258.0</v>
      </c>
      <c r="J32" s="3" t="n">
        <v>33312.0</v>
      </c>
      <c r="K32" s="3" t="n">
        <v>33107.0</v>
      </c>
      <c r="L32" s="3" t="n">
        <v>32908.0</v>
      </c>
      <c r="M32" s="3" t="n">
        <v>33215.0</v>
      </c>
      <c r="N32" s="3" t="n">
        <v>33009.0</v>
      </c>
      <c r="O32" s="3" t="n">
        <v>32536.0</v>
      </c>
      <c r="P32" s="3" t="n">
        <v>31234.0</v>
      </c>
      <c r="Q32" s="3" t="n">
        <v>29424.0</v>
      </c>
      <c r="R32" s="3" t="n">
        <v>27377.0</v>
      </c>
      <c r="S32" s="3" t="n">
        <v>25545.0</v>
      </c>
      <c r="T32" s="3" t="n">
        <v>24045.0</v>
      </c>
      <c r="U32" s="3" t="n">
        <v>22642.0</v>
      </c>
      <c r="V32" s="3" t="n">
        <v>21854.0</v>
      </c>
      <c r="W32" s="3" t="n">
        <v>21097.0</v>
      </c>
      <c r="X32" s="3" t="n">
        <v>20433.0</v>
      </c>
      <c r="Y32" s="3" t="n">
        <v>19850.0</v>
      </c>
      <c r="Z32" s="3" t="n">
        <v>19312.0</v>
      </c>
      <c r="AA32" s="3" t="n">
        <v>18870.0</v>
      </c>
      <c r="AB32" s="3" t="n">
        <v>18476.0</v>
      </c>
      <c r="AC32" s="3" t="n">
        <v>18133.0</v>
      </c>
      <c r="AD32" s="3" t="n">
        <v>17849.0</v>
      </c>
      <c r="AE32" s="3" t="n">
        <v>17615.0</v>
      </c>
      <c r="AF32" s="3" t="n">
        <v>17451.0</v>
      </c>
      <c r="AG32" s="3" t="n">
        <v>17323.0</v>
      </c>
      <c r="AH32" s="3" t="n">
        <v>17233.0</v>
      </c>
      <c r="AI32" s="3" t="n">
        <v>17177.0</v>
      </c>
      <c r="AJ32" s="3" t="n">
        <v>17122.0</v>
      </c>
      <c r="AK32" s="3" t="n">
        <v>17066.0</v>
      </c>
      <c r="AL32" s="3" t="n">
        <v>17009.0</v>
      </c>
      <c r="AM32" s="3" t="n">
        <v>16928.0</v>
      </c>
      <c r="AN32" s="3" t="n">
        <v>16820.0</v>
      </c>
      <c r="AO32" s="3" t="n">
        <v>16694.0</v>
      </c>
    </row>
    <row r="33" spans="1:41" x14ac:dyDescent="0.2">
      <c r="A33" s="136"/>
      <c r="B33" s="64" t="s">
        <v>2</v>
      </c>
      <c r="C33" s="3" t="n">
        <v>46622.0</v>
      </c>
      <c r="D33" s="3" t="n">
        <v>46220.0</v>
      </c>
      <c r="E33" s="3" t="n">
        <v>46132.0</v>
      </c>
      <c r="F33" s="3" t="n">
        <v>46260.0</v>
      </c>
      <c r="G33" s="3" t="n">
        <v>46969.0</v>
      </c>
      <c r="H33" s="3" t="n">
        <v>48535.0</v>
      </c>
      <c r="I33" s="3" t="n">
        <v>50201.0</v>
      </c>
      <c r="J33" s="3" t="n">
        <v>51585.0</v>
      </c>
      <c r="K33" s="3" t="n">
        <v>51871.0</v>
      </c>
      <c r="L33" s="3" t="n">
        <v>52195.0</v>
      </c>
      <c r="M33" s="3" t="n">
        <v>51749.0</v>
      </c>
      <c r="N33" s="3" t="n">
        <v>50763.0</v>
      </c>
      <c r="O33" s="3" t="n">
        <v>49515.0</v>
      </c>
      <c r="P33" s="3" t="n">
        <v>48615.0</v>
      </c>
      <c r="Q33" s="3" t="n">
        <v>48850.0</v>
      </c>
      <c r="R33" s="3" t="n">
        <v>48319.0</v>
      </c>
      <c r="S33" s="3" t="n">
        <v>47657.0</v>
      </c>
      <c r="T33" s="3" t="n">
        <v>46463.0</v>
      </c>
      <c r="U33" s="3" t="n">
        <v>45155.0</v>
      </c>
      <c r="V33" s="3" t="n">
        <v>42843.0</v>
      </c>
      <c r="W33" s="3" t="n">
        <v>40110.0</v>
      </c>
      <c r="X33" s="3" t="n">
        <v>37663.0</v>
      </c>
      <c r="Y33" s="3" t="n">
        <v>35456.0</v>
      </c>
      <c r="Z33" s="3" t="n">
        <v>33637.0</v>
      </c>
      <c r="AA33" s="3" t="n">
        <v>31927.0</v>
      </c>
      <c r="AB33" s="3" t="n">
        <v>30850.0</v>
      </c>
      <c r="AC33" s="3" t="n">
        <v>29850.0</v>
      </c>
      <c r="AD33" s="3" t="n">
        <v>28970.0</v>
      </c>
      <c r="AE33" s="3" t="n">
        <v>28185.0</v>
      </c>
      <c r="AF33" s="3" t="n">
        <v>27466.0</v>
      </c>
      <c r="AG33" s="3" t="n">
        <v>26863.0</v>
      </c>
      <c r="AH33" s="3" t="n">
        <v>26344.0</v>
      </c>
      <c r="AI33" s="3" t="n">
        <v>25907.0</v>
      </c>
      <c r="AJ33" s="3" t="n">
        <v>25559.0</v>
      </c>
      <c r="AK33" s="3" t="n">
        <v>25278.0</v>
      </c>
      <c r="AL33" s="3" t="n">
        <v>25070.0</v>
      </c>
      <c r="AM33" s="3" t="n">
        <v>24907.0</v>
      </c>
      <c r="AN33" s="3" t="n">
        <v>24775.0</v>
      </c>
      <c r="AO33" s="3" t="n">
        <v>24662.0</v>
      </c>
    </row>
    <row r="34" spans="1:41" x14ac:dyDescent="0.2">
      <c r="A34" s="136"/>
      <c r="B34" s="64" t="s">
        <v>3</v>
      </c>
      <c r="C34" s="3" t="n">
        <v>120461.0</v>
      </c>
      <c r="D34" s="3" t="n">
        <v>116866.0</v>
      </c>
      <c r="E34" s="3" t="n">
        <v>112991.0</v>
      </c>
      <c r="F34" s="3" t="n">
        <v>109024.0</v>
      </c>
      <c r="G34" s="3" t="n">
        <v>105902.0</v>
      </c>
      <c r="H34" s="3" t="n">
        <v>102727.0</v>
      </c>
      <c r="I34" s="3" t="n">
        <v>99824.0</v>
      </c>
      <c r="J34" s="3" t="n">
        <v>96558.0</v>
      </c>
      <c r="K34" s="3" t="n">
        <v>93231.0</v>
      </c>
      <c r="L34" s="3" t="n">
        <v>89514.0</v>
      </c>
      <c r="M34" s="3" t="n">
        <v>85489.0</v>
      </c>
      <c r="N34" s="3" t="n">
        <v>81907.0</v>
      </c>
      <c r="O34" s="3" t="n">
        <v>78694.0</v>
      </c>
      <c r="P34" s="3" t="n">
        <v>76012.0</v>
      </c>
      <c r="Q34" s="3" t="n">
        <v>73610.0</v>
      </c>
      <c r="R34" s="3" t="n">
        <v>71965.0</v>
      </c>
      <c r="S34" s="3" t="n">
        <v>70541.0</v>
      </c>
      <c r="T34" s="3" t="n">
        <v>69321.0</v>
      </c>
      <c r="U34" s="3" t="n">
        <v>68273.0</v>
      </c>
      <c r="V34" s="3" t="n">
        <v>67347.0</v>
      </c>
      <c r="W34" s="3" t="n">
        <v>66575.0</v>
      </c>
      <c r="X34" s="3" t="n">
        <v>65912.0</v>
      </c>
      <c r="Y34" s="3" t="n">
        <v>65329.0</v>
      </c>
      <c r="Z34" s="3" t="n">
        <v>64793.0</v>
      </c>
      <c r="AA34" s="3" t="n">
        <v>64286.0</v>
      </c>
      <c r="AB34" s="3" t="n">
        <v>63779.0</v>
      </c>
      <c r="AC34" s="3" t="n">
        <v>63241.0</v>
      </c>
      <c r="AD34" s="3" t="n">
        <v>62658.0</v>
      </c>
      <c r="AE34" s="3" t="n">
        <v>62018.0</v>
      </c>
      <c r="AF34" s="3" t="n">
        <v>61290.0</v>
      </c>
      <c r="AG34" s="3" t="n">
        <v>60471.0</v>
      </c>
      <c r="AH34" s="3" t="n">
        <v>59557.0</v>
      </c>
      <c r="AI34" s="3" t="n">
        <v>58533.0</v>
      </c>
      <c r="AJ34" s="3" t="n">
        <v>57403.0</v>
      </c>
      <c r="AK34" s="3" t="n">
        <v>56202.0</v>
      </c>
      <c r="AL34" s="3" t="n">
        <v>54900.0</v>
      </c>
      <c r="AM34" s="3" t="n">
        <v>53532.0</v>
      </c>
      <c r="AN34" s="3" t="n">
        <v>52120.0</v>
      </c>
      <c r="AO34" s="3" t="n">
        <v>50678.0</v>
      </c>
    </row>
    <row r="35" spans="1:41" x14ac:dyDescent="0.2">
      <c r="A35" s="136"/>
      <c r="B35" s="64" t="s">
        <v>4</v>
      </c>
      <c r="C35" s="3" t="n">
        <v>537111.0</v>
      </c>
      <c r="D35" s="3" t="n">
        <v>531257.0</v>
      </c>
      <c r="E35" s="3" t="n">
        <v>526341.0</v>
      </c>
      <c r="F35" s="3" t="n">
        <v>522055.0</v>
      </c>
      <c r="G35" s="3" t="n">
        <v>517576.0</v>
      </c>
      <c r="H35" s="3" t="n">
        <v>514383.0</v>
      </c>
      <c r="I35" s="3" t="n">
        <v>511007.0</v>
      </c>
      <c r="J35" s="3" t="n">
        <v>507804.0</v>
      </c>
      <c r="K35" s="3" t="n">
        <v>504513.0</v>
      </c>
      <c r="L35" s="3" t="n">
        <v>501738.0</v>
      </c>
      <c r="M35" s="3" t="n">
        <v>498962.0</v>
      </c>
      <c r="N35" s="3" t="n">
        <v>495669.0</v>
      </c>
      <c r="O35" s="3" t="n">
        <v>491809.0</v>
      </c>
      <c r="P35" s="3" t="n">
        <v>486931.0</v>
      </c>
      <c r="Q35" s="3" t="n">
        <v>481459.0</v>
      </c>
      <c r="R35" s="3" t="n">
        <v>474776.0</v>
      </c>
      <c r="S35" s="3" t="n">
        <v>467584.0</v>
      </c>
      <c r="T35" s="3" t="n">
        <v>459503.0</v>
      </c>
      <c r="U35" s="3" t="n">
        <v>450656.0</v>
      </c>
      <c r="V35" s="3" t="n">
        <v>441757.0</v>
      </c>
      <c r="W35" s="3" t="n">
        <v>432804.0</v>
      </c>
      <c r="X35" s="3" t="n">
        <v>423738.0</v>
      </c>
      <c r="Y35" s="3" t="n">
        <v>414017.0</v>
      </c>
      <c r="Z35" s="3" t="n">
        <v>404264.0</v>
      </c>
      <c r="AA35" s="3" t="n">
        <v>394846.0</v>
      </c>
      <c r="AB35" s="3" t="n">
        <v>384926.0</v>
      </c>
      <c r="AC35" s="3" t="n">
        <v>374815.0</v>
      </c>
      <c r="AD35" s="3" t="n">
        <v>365110.0</v>
      </c>
      <c r="AE35" s="3" t="n">
        <v>356032.0</v>
      </c>
      <c r="AF35" s="3" t="n">
        <v>347911.0</v>
      </c>
      <c r="AG35" s="3" t="n">
        <v>340000.0</v>
      </c>
      <c r="AH35" s="3" t="n">
        <v>332672.0</v>
      </c>
      <c r="AI35" s="3" t="n">
        <v>325689.0</v>
      </c>
      <c r="AJ35" s="3" t="n">
        <v>318745.0</v>
      </c>
      <c r="AK35" s="3" t="n">
        <v>312219.0</v>
      </c>
      <c r="AL35" s="3" t="n">
        <v>306187.0</v>
      </c>
      <c r="AM35" s="3" t="n">
        <v>300368.0</v>
      </c>
      <c r="AN35" s="3" t="n">
        <v>294916.0</v>
      </c>
      <c r="AO35" s="3" t="n">
        <v>289928.0</v>
      </c>
    </row>
    <row r="36" spans="1:41" x14ac:dyDescent="0.2">
      <c r="A36" s="136"/>
      <c r="B36" s="64" t="s">
        <v>5</v>
      </c>
      <c r="C36" s="3" t="n">
        <v>138617.0</v>
      </c>
      <c r="D36" s="3" t="n">
        <v>143230.0</v>
      </c>
      <c r="E36" s="3" t="n">
        <v>146852.0</v>
      </c>
      <c r="F36" s="3" t="n">
        <v>149614.0</v>
      </c>
      <c r="G36" s="3" t="n">
        <v>151483.0</v>
      </c>
      <c r="H36" s="3" t="n">
        <v>152462.0</v>
      </c>
      <c r="I36" s="3" t="n">
        <v>153318.0</v>
      </c>
      <c r="J36" s="3" t="n">
        <v>153668.0</v>
      </c>
      <c r="K36" s="3" t="n">
        <v>153698.0</v>
      </c>
      <c r="L36" s="3" t="n">
        <v>153302.0</v>
      </c>
      <c r="M36" s="3" t="n">
        <v>152989.0</v>
      </c>
      <c r="N36" s="3" t="n">
        <v>152436.0</v>
      </c>
      <c r="O36" s="3" t="n">
        <v>151946.0</v>
      </c>
      <c r="P36" s="3" t="n">
        <v>151797.0</v>
      </c>
      <c r="Q36" s="3" t="n">
        <v>151851.0</v>
      </c>
      <c r="R36" s="3" t="n">
        <v>152209.0</v>
      </c>
      <c r="S36" s="3" t="n">
        <v>152816.0</v>
      </c>
      <c r="T36" s="3" t="n">
        <v>153948.0</v>
      </c>
      <c r="U36" s="3" t="n">
        <v>155678.0</v>
      </c>
      <c r="V36" s="3" t="n">
        <v>157294.0</v>
      </c>
      <c r="W36" s="3" t="n">
        <v>158762.0</v>
      </c>
      <c r="X36" s="3" t="n">
        <v>160259.0</v>
      </c>
      <c r="Y36" s="3" t="n">
        <v>162241.0</v>
      </c>
      <c r="Z36" s="3" t="n">
        <v>164178.0</v>
      </c>
      <c r="AA36" s="3" t="n">
        <v>165770.0</v>
      </c>
      <c r="AB36" s="3" t="n">
        <v>167838.0</v>
      </c>
      <c r="AC36" s="3" t="n">
        <v>170193.0</v>
      </c>
      <c r="AD36" s="3" t="n">
        <v>172076.0</v>
      </c>
      <c r="AE36" s="3" t="n">
        <v>173438.0</v>
      </c>
      <c r="AF36" s="3" t="n">
        <v>173849.0</v>
      </c>
      <c r="AG36" s="3" t="n">
        <v>174168.0</v>
      </c>
      <c r="AH36" s="3" t="n">
        <v>173951.0</v>
      </c>
      <c r="AI36" s="3" t="n">
        <v>173409.0</v>
      </c>
      <c r="AJ36" s="3" t="n">
        <v>172920.0</v>
      </c>
      <c r="AK36" s="3" t="n">
        <v>171994.0</v>
      </c>
      <c r="AL36" s="3" t="n">
        <v>170614.0</v>
      </c>
      <c r="AM36" s="3" t="n">
        <v>169078.0</v>
      </c>
      <c r="AN36" s="3" t="n">
        <v>167146.0</v>
      </c>
      <c r="AO36" s="3" t="n">
        <v>164719.0</v>
      </c>
    </row>
    <row r="37" spans="1:41" x14ac:dyDescent="0.2">
      <c r="A37" s="136"/>
      <c r="B37" s="66" t="s">
        <v>6</v>
      </c>
      <c r="C37" s="3" t="n">
        <v>19570.0</v>
      </c>
      <c r="D37" s="3" t="n">
        <v>19728.0</v>
      </c>
      <c r="E37" s="3" t="n">
        <v>19958.0</v>
      </c>
      <c r="F37" s="3" t="n">
        <v>20199.0</v>
      </c>
      <c r="G37" s="3" t="n">
        <v>21928.0</v>
      </c>
      <c r="H37" s="3" t="n">
        <v>24008.0</v>
      </c>
      <c r="I37" s="3" t="n">
        <v>26527.0</v>
      </c>
      <c r="J37" s="3" t="n">
        <v>29055.0</v>
      </c>
      <c r="K37" s="3" t="n">
        <v>31597.0</v>
      </c>
      <c r="L37" s="3" t="n">
        <v>34033.0</v>
      </c>
      <c r="M37" s="3" t="n">
        <v>36271.0</v>
      </c>
      <c r="N37" s="3" t="n">
        <v>38317.0</v>
      </c>
      <c r="O37" s="3" t="n">
        <v>40156.0</v>
      </c>
      <c r="P37" s="3" t="n">
        <v>42253.0</v>
      </c>
      <c r="Q37" s="3" t="n">
        <v>44044.0</v>
      </c>
      <c r="R37" s="3" t="n">
        <v>45481.0</v>
      </c>
      <c r="S37" s="3" t="n">
        <v>46722.0</v>
      </c>
      <c r="T37" s="3" t="n">
        <v>47353.0</v>
      </c>
      <c r="U37" s="3" t="n">
        <v>47567.0</v>
      </c>
      <c r="V37" s="3" t="n">
        <v>47344.0</v>
      </c>
      <c r="W37" s="3" t="n">
        <v>46676.0</v>
      </c>
      <c r="X37" s="3" t="n">
        <v>46064.0</v>
      </c>
      <c r="Y37" s="3" t="n">
        <v>45257.0</v>
      </c>
      <c r="Z37" s="3" t="n">
        <v>44403.0</v>
      </c>
      <c r="AA37" s="3" t="n">
        <v>43461.0</v>
      </c>
      <c r="AB37" s="3" t="n">
        <v>42706.0</v>
      </c>
      <c r="AC37" s="3" t="n">
        <v>42030.0</v>
      </c>
      <c r="AD37" s="3" t="n">
        <v>41502.0</v>
      </c>
      <c r="AE37" s="3" t="n">
        <v>41313.0</v>
      </c>
      <c r="AF37" s="3" t="n">
        <v>41324.0</v>
      </c>
      <c r="AG37" s="3" t="n">
        <v>41652.0</v>
      </c>
      <c r="AH37" s="3" t="n">
        <v>42156.0</v>
      </c>
      <c r="AI37" s="3" t="n">
        <v>43040.0</v>
      </c>
      <c r="AJ37" s="3" t="n">
        <v>44267.0</v>
      </c>
      <c r="AK37" s="3" t="n">
        <v>45389.0</v>
      </c>
      <c r="AL37" s="3" t="n">
        <v>46427.0</v>
      </c>
      <c r="AM37" s="3" t="n">
        <v>47453.0</v>
      </c>
      <c r="AN37" s="3" t="n">
        <v>48735.0</v>
      </c>
      <c r="AO37" s="3" t="n">
        <v>49907.0</v>
      </c>
    </row>
    <row r="38" spans="1:41" x14ac:dyDescent="0.2">
      <c r="A38" s="135" t="s">
        <v>51</v>
      </c>
      <c r="B38" s="63" t="s">
        <v>64</v>
      </c>
      <c r="C38" s="15" t="n">
        <v>844433.0</v>
      </c>
      <c r="D38" s="15" t="n">
        <v>840040.0</v>
      </c>
      <c r="E38" s="15" t="n">
        <v>835358.0</v>
      </c>
      <c r="F38" s="15" t="n">
        <v>830392.0</v>
      </c>
      <c r="G38" s="15" t="n">
        <v>825244.0</v>
      </c>
      <c r="H38" s="15" t="n">
        <v>821191.0</v>
      </c>
      <c r="I38" s="15" t="n">
        <v>817368.0</v>
      </c>
      <c r="J38" s="15" t="n">
        <v>812353.0</v>
      </c>
      <c r="K38" s="15" t="n">
        <v>806631.0</v>
      </c>
      <c r="L38" s="15" t="n">
        <v>800513.0</v>
      </c>
      <c r="M38" s="15" t="n">
        <v>794028.0</v>
      </c>
      <c r="N38" s="15" t="n">
        <v>787296.0</v>
      </c>
      <c r="O38" s="15" t="n">
        <v>780317.0</v>
      </c>
      <c r="P38" s="15" t="n">
        <v>772997.0</v>
      </c>
      <c r="Q38" s="15" t="n">
        <v>765591.0</v>
      </c>
      <c r="R38" s="15" t="n">
        <v>757887.0</v>
      </c>
      <c r="S38" s="15" t="n">
        <v>750002.0</v>
      </c>
      <c r="T38" s="15" t="n">
        <v>741872.0</v>
      </c>
      <c r="U38" s="15" t="n">
        <v>733650.0</v>
      </c>
      <c r="V38" s="15" t="n">
        <v>725245.0</v>
      </c>
      <c r="W38" s="15" t="n">
        <v>716792.0</v>
      </c>
      <c r="X38" s="15" t="n">
        <v>708159.0</v>
      </c>
      <c r="Y38" s="15" t="n">
        <v>699518.0</v>
      </c>
      <c r="Z38" s="15" t="n">
        <v>690824.0</v>
      </c>
      <c r="AA38" s="15" t="n">
        <v>682065.0</v>
      </c>
      <c r="AB38" s="15" t="n">
        <v>673389.0</v>
      </c>
      <c r="AC38" s="15" t="n">
        <v>664615.0</v>
      </c>
      <c r="AD38" s="15" t="n">
        <v>655833.0</v>
      </c>
      <c r="AE38" s="15" t="n">
        <v>647162.0</v>
      </c>
      <c r="AF38" s="15" t="n">
        <v>638499.0</v>
      </c>
      <c r="AG38" s="15" t="n">
        <v>629800.0</v>
      </c>
      <c r="AH38" s="15" t="n">
        <v>621213.0</v>
      </c>
      <c r="AI38" s="15" t="n">
        <v>612584.0</v>
      </c>
      <c r="AJ38" s="15" t="n">
        <v>603913.0</v>
      </c>
      <c r="AK38" s="15" t="n">
        <v>595294.0</v>
      </c>
      <c r="AL38" s="15" t="n">
        <v>586613.0</v>
      </c>
      <c r="AM38" s="15" t="n">
        <v>577822.0</v>
      </c>
      <c r="AN38" s="15" t="n">
        <v>568967.0</v>
      </c>
      <c r="AO38" s="15" t="n">
        <v>560149.0</v>
      </c>
    </row>
    <row r="39" spans="1:41" x14ac:dyDescent="0.2">
      <c r="A39" s="136"/>
      <c r="B39" s="64" t="s">
        <v>8</v>
      </c>
      <c r="C39" s="3" t="n">
        <v>138438.0</v>
      </c>
      <c r="D39" s="3" t="n">
        <v>136340.0</v>
      </c>
      <c r="E39" s="3" t="n">
        <v>133770.0</v>
      </c>
      <c r="F39" s="3" t="n">
        <v>130379.0</v>
      </c>
      <c r="G39" s="3" t="n">
        <v>126206.0</v>
      </c>
      <c r="H39" s="3" t="n">
        <v>122516.0</v>
      </c>
      <c r="I39" s="3" t="n">
        <v>119152.0</v>
      </c>
      <c r="J39" s="3" t="n">
        <v>115771.0</v>
      </c>
      <c r="K39" s="3" t="n">
        <v>112215.0</v>
      </c>
      <c r="L39" s="3" t="n">
        <v>108860.0</v>
      </c>
      <c r="M39" s="3" t="n">
        <v>105194.0</v>
      </c>
      <c r="N39" s="3" t="n">
        <v>101585.0</v>
      </c>
      <c r="O39" s="3" t="n">
        <v>97857.0</v>
      </c>
      <c r="P39" s="3" t="n">
        <v>93825.0</v>
      </c>
      <c r="Q39" s="3" t="n">
        <v>90401.0</v>
      </c>
      <c r="R39" s="3" t="n">
        <v>87373.0</v>
      </c>
      <c r="S39" s="3" t="n">
        <v>84803.0</v>
      </c>
      <c r="T39" s="3" t="n">
        <v>82553.0</v>
      </c>
      <c r="U39" s="3" t="n">
        <v>80813.0</v>
      </c>
      <c r="V39" s="3" t="n">
        <v>79419.0</v>
      </c>
      <c r="W39" s="3" t="n">
        <v>78196.0</v>
      </c>
      <c r="X39" s="3" t="n">
        <v>77131.0</v>
      </c>
      <c r="Y39" s="3" t="n">
        <v>76177.0</v>
      </c>
      <c r="Z39" s="3" t="n">
        <v>75338.0</v>
      </c>
      <c r="AA39" s="3" t="n">
        <v>74571.0</v>
      </c>
      <c r="AB39" s="3" t="n">
        <v>73827.0</v>
      </c>
      <c r="AC39" s="3" t="n">
        <v>73106.0</v>
      </c>
      <c r="AD39" s="3" t="n">
        <v>72359.0</v>
      </c>
      <c r="AE39" s="3" t="n">
        <v>71613.0</v>
      </c>
      <c r="AF39" s="3" t="n">
        <v>70821.0</v>
      </c>
      <c r="AG39" s="3" t="n">
        <v>69961.0</v>
      </c>
      <c r="AH39" s="3" t="n">
        <v>69041.0</v>
      </c>
      <c r="AI39" s="3" t="n">
        <v>68026.0</v>
      </c>
      <c r="AJ39" s="3" t="n">
        <v>66931.0</v>
      </c>
      <c r="AK39" s="3" t="n">
        <v>65741.0</v>
      </c>
      <c r="AL39" s="3" t="n">
        <v>64474.0</v>
      </c>
      <c r="AM39" s="3" t="n">
        <v>63122.0</v>
      </c>
      <c r="AN39" s="3" t="n">
        <v>61715.0</v>
      </c>
      <c r="AO39" s="3" t="n">
        <v>60252.0</v>
      </c>
    </row>
    <row r="40" spans="1:41" x14ac:dyDescent="0.2">
      <c r="A40" s="136"/>
      <c r="B40" s="64" t="s">
        <v>15</v>
      </c>
      <c r="C40" s="3" t="n">
        <v>446788.0</v>
      </c>
      <c r="D40" s="3" t="n">
        <v>442614.0</v>
      </c>
      <c r="E40" s="3" t="n">
        <v>439333.0</v>
      </c>
      <c r="F40" s="3" t="n">
        <v>437138.0</v>
      </c>
      <c r="G40" s="3" t="n">
        <v>435614.0</v>
      </c>
      <c r="H40" s="3" t="n">
        <v>434880.0</v>
      </c>
      <c r="I40" s="3" t="n">
        <v>433993.0</v>
      </c>
      <c r="J40" s="3" t="n">
        <v>431946.0</v>
      </c>
      <c r="K40" s="3" t="n">
        <v>429029.0</v>
      </c>
      <c r="L40" s="3" t="n">
        <v>425437.0</v>
      </c>
      <c r="M40" s="3" t="n">
        <v>421468.0</v>
      </c>
      <c r="N40" s="3" t="n">
        <v>416862.0</v>
      </c>
      <c r="O40" s="3" t="n">
        <v>411722.0</v>
      </c>
      <c r="P40" s="3" t="n">
        <v>406086.0</v>
      </c>
      <c r="Q40" s="3" t="n">
        <v>399717.0</v>
      </c>
      <c r="R40" s="3" t="n">
        <v>393156.0</v>
      </c>
      <c r="S40" s="3" t="n">
        <v>386056.0</v>
      </c>
      <c r="T40" s="3" t="n">
        <v>378220.0</v>
      </c>
      <c r="U40" s="3" t="n">
        <v>369688.0</v>
      </c>
      <c r="V40" s="3" t="n">
        <v>361168.0</v>
      </c>
      <c r="W40" s="3" t="n">
        <v>352026.0</v>
      </c>
      <c r="X40" s="3" t="n">
        <v>342564.0</v>
      </c>
      <c r="Y40" s="3" t="n">
        <v>333382.0</v>
      </c>
      <c r="Z40" s="3" t="n">
        <v>324697.0</v>
      </c>
      <c r="AA40" s="3" t="n">
        <v>316773.0</v>
      </c>
      <c r="AB40" s="3" t="n">
        <v>309356.0</v>
      </c>
      <c r="AC40" s="3" t="n">
        <v>302181.0</v>
      </c>
      <c r="AD40" s="3" t="n">
        <v>295376.0</v>
      </c>
      <c r="AE40" s="3" t="n">
        <v>288566.0</v>
      </c>
      <c r="AF40" s="3" t="n">
        <v>282054.0</v>
      </c>
      <c r="AG40" s="3" t="n">
        <v>276141.0</v>
      </c>
      <c r="AH40" s="3" t="n">
        <v>270495.0</v>
      </c>
      <c r="AI40" s="3" t="n">
        <v>265168.0</v>
      </c>
      <c r="AJ40" s="3" t="n">
        <v>260356.0</v>
      </c>
      <c r="AK40" s="3" t="n">
        <v>255945.0</v>
      </c>
      <c r="AL40" s="3" t="n">
        <v>251905.0</v>
      </c>
      <c r="AM40" s="3" t="n">
        <v>248167.0</v>
      </c>
      <c r="AN40" s="3" t="n">
        <v>244577.0</v>
      </c>
      <c r="AO40" s="3" t="n">
        <v>241093.0</v>
      </c>
    </row>
    <row r="41" spans="1:41" x14ac:dyDescent="0.2">
      <c r="A41" s="136"/>
      <c r="B41" s="64" t="s">
        <v>11</v>
      </c>
      <c r="C41" s="3" t="n">
        <v>283133.0</v>
      </c>
      <c r="D41" s="3" t="n">
        <v>276708.0</v>
      </c>
      <c r="E41" s="3" t="n">
        <v>270186.0</v>
      </c>
      <c r="F41" s="3" t="n">
        <v>264066.0</v>
      </c>
      <c r="G41" s="3" t="n">
        <v>259007.0</v>
      </c>
      <c r="H41" s="3" t="n">
        <v>253834.0</v>
      </c>
      <c r="I41" s="3" t="n">
        <v>248464.0</v>
      </c>
      <c r="J41" s="3" t="n">
        <v>242703.0</v>
      </c>
      <c r="K41" s="3" t="n">
        <v>237296.0</v>
      </c>
      <c r="L41" s="3" t="n">
        <v>232426.0</v>
      </c>
      <c r="M41" s="3" t="n">
        <v>228327.0</v>
      </c>
      <c r="N41" s="3" t="n">
        <v>224456.0</v>
      </c>
      <c r="O41" s="3" t="n">
        <v>221072.0</v>
      </c>
      <c r="P41" s="3" t="n">
        <v>217996.0</v>
      </c>
      <c r="Q41" s="3" t="n">
        <v>214664.0</v>
      </c>
      <c r="R41" s="3" t="n">
        <v>211591.0</v>
      </c>
      <c r="S41" s="3" t="n">
        <v>208294.0</v>
      </c>
      <c r="T41" s="3" t="n">
        <v>204987.0</v>
      </c>
      <c r="U41" s="3" t="n">
        <v>201725.0</v>
      </c>
      <c r="V41" s="3" t="n">
        <v>198560.0</v>
      </c>
      <c r="W41" s="3" t="n">
        <v>195585.0</v>
      </c>
      <c r="X41" s="3" t="n">
        <v>192753.0</v>
      </c>
      <c r="Y41" s="3" t="n">
        <v>189943.0</v>
      </c>
      <c r="Z41" s="3" t="n">
        <v>187090.0</v>
      </c>
      <c r="AA41" s="3" t="n">
        <v>184265.0</v>
      </c>
      <c r="AB41" s="3" t="n">
        <v>181503.0</v>
      </c>
      <c r="AC41" s="3" t="n">
        <v>178791.0</v>
      </c>
      <c r="AD41" s="3" t="n">
        <v>175937.0</v>
      </c>
      <c r="AE41" s="3" t="n">
        <v>172802.0</v>
      </c>
      <c r="AF41" s="3" t="n">
        <v>169451.0</v>
      </c>
      <c r="AG41" s="3" t="n">
        <v>165491.0</v>
      </c>
      <c r="AH41" s="3" t="n">
        <v>160932.0</v>
      </c>
      <c r="AI41" s="3" t="n">
        <v>156490.0</v>
      </c>
      <c r="AJ41" s="3" t="n">
        <v>152260.0</v>
      </c>
      <c r="AK41" s="3" t="n">
        <v>148383.0</v>
      </c>
      <c r="AL41" s="3" t="n">
        <v>144599.0</v>
      </c>
      <c r="AM41" s="3" t="n">
        <v>141140.0</v>
      </c>
      <c r="AN41" s="3" t="n">
        <v>137468.0</v>
      </c>
      <c r="AO41" s="3" t="n">
        <v>133948.0</v>
      </c>
    </row>
    <row r="42" spans="1:41" x14ac:dyDescent="0.2">
      <c r="A42" s="136"/>
      <c r="B42" s="64" t="s">
        <v>16</v>
      </c>
      <c r="C42" s="3" t="n">
        <v>163655.0</v>
      </c>
      <c r="D42" s="3" t="n">
        <v>165906.0</v>
      </c>
      <c r="E42" s="3" t="n">
        <v>169147.0</v>
      </c>
      <c r="F42" s="3" t="n">
        <v>173072.0</v>
      </c>
      <c r="G42" s="3" t="n">
        <v>176607.0</v>
      </c>
      <c r="H42" s="3" t="n">
        <v>181046.0</v>
      </c>
      <c r="I42" s="3" t="n">
        <v>185529.0</v>
      </c>
      <c r="J42" s="3" t="n">
        <v>189243.0</v>
      </c>
      <c r="K42" s="3" t="n">
        <v>191733.0</v>
      </c>
      <c r="L42" s="3" t="n">
        <v>193011.0</v>
      </c>
      <c r="M42" s="3" t="n">
        <v>193141.0</v>
      </c>
      <c r="N42" s="3" t="n">
        <v>192406.0</v>
      </c>
      <c r="O42" s="3" t="n">
        <v>190650.0</v>
      </c>
      <c r="P42" s="3" t="n">
        <v>188090.0</v>
      </c>
      <c r="Q42" s="3" t="n">
        <v>185053.0</v>
      </c>
      <c r="R42" s="3" t="n">
        <v>181565.0</v>
      </c>
      <c r="S42" s="3" t="n">
        <v>177762.0</v>
      </c>
      <c r="T42" s="3" t="n">
        <v>173233.0</v>
      </c>
      <c r="U42" s="3" t="n">
        <v>167963.0</v>
      </c>
      <c r="V42" s="3" t="n">
        <v>162608.0</v>
      </c>
      <c r="W42" s="3" t="n">
        <v>156441.0</v>
      </c>
      <c r="X42" s="3" t="n">
        <v>149811.0</v>
      </c>
      <c r="Y42" s="3" t="n">
        <v>143439.0</v>
      </c>
      <c r="Z42" s="3" t="n">
        <v>137607.0</v>
      </c>
      <c r="AA42" s="3" t="n">
        <v>132508.0</v>
      </c>
      <c r="AB42" s="3" t="n">
        <v>127853.0</v>
      </c>
      <c r="AC42" s="3" t="n">
        <v>123390.0</v>
      </c>
      <c r="AD42" s="3" t="n">
        <v>119439.0</v>
      </c>
      <c r="AE42" s="3" t="n">
        <v>115764.0</v>
      </c>
      <c r="AF42" s="3" t="n">
        <v>112603.0</v>
      </c>
      <c r="AG42" s="3" t="n">
        <v>110650.0</v>
      </c>
      <c r="AH42" s="3" t="n">
        <v>109563.0</v>
      </c>
      <c r="AI42" s="3" t="n">
        <v>108678.0</v>
      </c>
      <c r="AJ42" s="3" t="n">
        <v>108096.0</v>
      </c>
      <c r="AK42" s="3" t="n">
        <v>107562.0</v>
      </c>
      <c r="AL42" s="3" t="n">
        <v>107306.0</v>
      </c>
      <c r="AM42" s="3" t="n">
        <v>107027.0</v>
      </c>
      <c r="AN42" s="3" t="n">
        <v>107109.0</v>
      </c>
      <c r="AO42" s="3" t="n">
        <v>107145.0</v>
      </c>
    </row>
    <row r="43" spans="1:41" x14ac:dyDescent="0.2">
      <c r="A43" s="136"/>
      <c r="B43" s="64" t="s">
        <v>17</v>
      </c>
      <c r="C43" s="3" t="n">
        <v>259207.0</v>
      </c>
      <c r="D43" s="3" t="n">
        <v>261086.0</v>
      </c>
      <c r="E43" s="3" t="n">
        <v>262255.0</v>
      </c>
      <c r="F43" s="3" t="n">
        <v>262875.0</v>
      </c>
      <c r="G43" s="3" t="n">
        <v>263424.0</v>
      </c>
      <c r="H43" s="3" t="n">
        <v>263795.0</v>
      </c>
      <c r="I43" s="3" t="n">
        <v>264223.0</v>
      </c>
      <c r="J43" s="3" t="n">
        <v>264636.0</v>
      </c>
      <c r="K43" s="3" t="n">
        <v>265387.0</v>
      </c>
      <c r="L43" s="3" t="n">
        <v>266216.0</v>
      </c>
      <c r="M43" s="3" t="n">
        <v>267366.0</v>
      </c>
      <c r="N43" s="3" t="n">
        <v>268849.0</v>
      </c>
      <c r="O43" s="3" t="n">
        <v>270738.0</v>
      </c>
      <c r="P43" s="3" t="n">
        <v>273086.0</v>
      </c>
      <c r="Q43" s="3" t="n">
        <v>275473.0</v>
      </c>
      <c r="R43" s="3" t="n">
        <v>277358.0</v>
      </c>
      <c r="S43" s="3" t="n">
        <v>279143.0</v>
      </c>
      <c r="T43" s="3" t="n">
        <v>281099.0</v>
      </c>
      <c r="U43" s="3" t="n">
        <v>283149.0</v>
      </c>
      <c r="V43" s="3" t="n">
        <v>284658.0</v>
      </c>
      <c r="W43" s="3" t="n">
        <v>286570.0</v>
      </c>
      <c r="X43" s="3" t="n">
        <v>288464.0</v>
      </c>
      <c r="Y43" s="3" t="n">
        <v>289959.0</v>
      </c>
      <c r="Z43" s="3" t="n">
        <v>290789.0</v>
      </c>
      <c r="AA43" s="3" t="n">
        <v>290721.0</v>
      </c>
      <c r="AB43" s="3" t="n">
        <v>290206.0</v>
      </c>
      <c r="AC43" s="3" t="n">
        <v>289328.0</v>
      </c>
      <c r="AD43" s="3" t="n">
        <v>288098.0</v>
      </c>
      <c r="AE43" s="3" t="n">
        <v>286983.0</v>
      </c>
      <c r="AF43" s="3" t="n">
        <v>285624.0</v>
      </c>
      <c r="AG43" s="3" t="n">
        <v>283698.0</v>
      </c>
      <c r="AH43" s="3" t="n">
        <v>281677.0</v>
      </c>
      <c r="AI43" s="3" t="n">
        <v>279390.0</v>
      </c>
      <c r="AJ43" s="3" t="n">
        <v>276626.0</v>
      </c>
      <c r="AK43" s="3" t="n">
        <v>273608.0</v>
      </c>
      <c r="AL43" s="3" t="n">
        <v>270234.0</v>
      </c>
      <c r="AM43" s="3" t="n">
        <v>266533.0</v>
      </c>
      <c r="AN43" s="3" t="n">
        <v>262675.0</v>
      </c>
      <c r="AO43" s="3" t="n">
        <v>258804.0</v>
      </c>
    </row>
    <row r="44" spans="1:41" x14ac:dyDescent="0.2">
      <c r="A44" s="136"/>
      <c r="B44" s="64" t="s">
        <v>0</v>
      </c>
      <c r="C44" s="3" t="n">
        <v>18360.0</v>
      </c>
      <c r="D44" s="3" t="n">
        <v>17104.0</v>
      </c>
      <c r="E44" s="3" t="n">
        <v>16012.0</v>
      </c>
      <c r="F44" s="3" t="n">
        <v>15271.0</v>
      </c>
      <c r="G44" s="3" t="n">
        <v>14751.0</v>
      </c>
      <c r="H44" s="3" t="n">
        <v>14312.0</v>
      </c>
      <c r="I44" s="3" t="n">
        <v>13948.0</v>
      </c>
      <c r="J44" s="3" t="n">
        <v>13600.0</v>
      </c>
      <c r="K44" s="3" t="n">
        <v>13294.0</v>
      </c>
      <c r="L44" s="3" t="n">
        <v>13033.0</v>
      </c>
      <c r="M44" s="3" t="n">
        <v>12809.0</v>
      </c>
      <c r="N44" s="3" t="n">
        <v>12621.0</v>
      </c>
      <c r="O44" s="3" t="n">
        <v>12465.0</v>
      </c>
      <c r="P44" s="3" t="n">
        <v>12340.0</v>
      </c>
      <c r="Q44" s="3" t="n">
        <v>12246.0</v>
      </c>
      <c r="R44" s="3" t="n">
        <v>12176.0</v>
      </c>
      <c r="S44" s="3" t="n">
        <v>12138.0</v>
      </c>
      <c r="T44" s="3" t="n">
        <v>12110.0</v>
      </c>
      <c r="U44" s="3" t="n">
        <v>12085.0</v>
      </c>
      <c r="V44" s="3" t="n">
        <v>12045.0</v>
      </c>
      <c r="W44" s="3" t="n">
        <v>11996.0</v>
      </c>
      <c r="X44" s="3" t="n">
        <v>11931.0</v>
      </c>
      <c r="Y44" s="3" t="n">
        <v>11845.0</v>
      </c>
      <c r="Z44" s="3" t="n">
        <v>11726.0</v>
      </c>
      <c r="AA44" s="3" t="n">
        <v>11576.0</v>
      </c>
      <c r="AB44" s="3" t="n">
        <v>11390.0</v>
      </c>
      <c r="AC44" s="3" t="n">
        <v>11179.0</v>
      </c>
      <c r="AD44" s="3" t="n">
        <v>10925.0</v>
      </c>
      <c r="AE44" s="3" t="n">
        <v>10659.0</v>
      </c>
      <c r="AF44" s="3" t="n">
        <v>10368.0</v>
      </c>
      <c r="AG44" s="3" t="n">
        <v>10068.0</v>
      </c>
      <c r="AH44" s="3" t="n">
        <v>9755.0</v>
      </c>
      <c r="AI44" s="3" t="n">
        <v>9430.0</v>
      </c>
      <c r="AJ44" s="3" t="n">
        <v>9113.0</v>
      </c>
      <c r="AK44" s="3" t="n">
        <v>8793.0</v>
      </c>
      <c r="AL44" s="3" t="n">
        <v>8495.0</v>
      </c>
      <c r="AM44" s="3" t="n">
        <v>8208.0</v>
      </c>
      <c r="AN44" s="3" t="n">
        <v>7931.0</v>
      </c>
      <c r="AO44" s="3" t="n">
        <v>7680.0</v>
      </c>
    </row>
    <row r="45" spans="1:41" x14ac:dyDescent="0.2">
      <c r="A45" s="136"/>
      <c r="B45" s="64" t="s">
        <v>1</v>
      </c>
      <c r="C45" s="3" t="n">
        <v>30477.0</v>
      </c>
      <c r="D45" s="3" t="n">
        <v>29203.0</v>
      </c>
      <c r="E45" s="3" t="n">
        <v>27343.0</v>
      </c>
      <c r="F45" s="3" t="n">
        <v>25572.0</v>
      </c>
      <c r="G45" s="3" t="n">
        <v>23869.0</v>
      </c>
      <c r="H45" s="3" t="n">
        <v>22523.0</v>
      </c>
      <c r="I45" s="3" t="n">
        <v>21369.0</v>
      </c>
      <c r="J45" s="3" t="n">
        <v>20521.0</v>
      </c>
      <c r="K45" s="3" t="n">
        <v>19849.0</v>
      </c>
      <c r="L45" s="3" t="n">
        <v>19229.0</v>
      </c>
      <c r="M45" s="3" t="n">
        <v>18700.0</v>
      </c>
      <c r="N45" s="3" t="n">
        <v>18228.0</v>
      </c>
      <c r="O45" s="3" t="n">
        <v>17838.0</v>
      </c>
      <c r="P45" s="3" t="n">
        <v>17491.0</v>
      </c>
      <c r="Q45" s="3" t="n">
        <v>17202.0</v>
      </c>
      <c r="R45" s="3" t="n">
        <v>16971.0</v>
      </c>
      <c r="S45" s="3" t="n">
        <v>16766.0</v>
      </c>
      <c r="T45" s="3" t="n">
        <v>16616.0</v>
      </c>
      <c r="U45" s="3" t="n">
        <v>16501.0</v>
      </c>
      <c r="V45" s="3" t="n">
        <v>16419.0</v>
      </c>
      <c r="W45" s="3" t="n">
        <v>16369.0</v>
      </c>
      <c r="X45" s="3" t="n">
        <v>16326.0</v>
      </c>
      <c r="Y45" s="3" t="n">
        <v>16283.0</v>
      </c>
      <c r="Z45" s="3" t="n">
        <v>16234.0</v>
      </c>
      <c r="AA45" s="3" t="n">
        <v>16159.0</v>
      </c>
      <c r="AB45" s="3" t="n">
        <v>16058.0</v>
      </c>
      <c r="AC45" s="3" t="n">
        <v>15925.0</v>
      </c>
      <c r="AD45" s="3" t="n">
        <v>15751.0</v>
      </c>
      <c r="AE45" s="3" t="n">
        <v>15538.0</v>
      </c>
      <c r="AF45" s="3" t="n">
        <v>15288.0</v>
      </c>
      <c r="AG45" s="3" t="n">
        <v>14990.0</v>
      </c>
      <c r="AH45" s="3" t="n">
        <v>14656.0</v>
      </c>
      <c r="AI45" s="3" t="n">
        <v>14290.0</v>
      </c>
      <c r="AJ45" s="3" t="n">
        <v>13893.0</v>
      </c>
      <c r="AK45" s="3" t="n">
        <v>13491.0</v>
      </c>
      <c r="AL45" s="3" t="n">
        <v>13065.0</v>
      </c>
      <c r="AM45" s="3" t="n">
        <v>12631.0</v>
      </c>
      <c r="AN45" s="3" t="n">
        <v>12216.0</v>
      </c>
      <c r="AO45" s="3" t="n">
        <v>11801.0</v>
      </c>
    </row>
    <row r="46" spans="1:41" x14ac:dyDescent="0.2">
      <c r="A46" s="136"/>
      <c r="B46" s="65" t="s">
        <v>18</v>
      </c>
      <c r="C46" s="3" t="n">
        <v>66052.0</v>
      </c>
      <c r="D46" s="3" t="n">
        <v>64872.0</v>
      </c>
      <c r="E46" s="3" t="n">
        <v>64166.0</v>
      </c>
      <c r="F46" s="3" t="n">
        <v>63137.0</v>
      </c>
      <c r="G46" s="3" t="n">
        <v>62094.0</v>
      </c>
      <c r="H46" s="3" t="n">
        <v>60887.0</v>
      </c>
      <c r="I46" s="3" t="n">
        <v>59759.0</v>
      </c>
      <c r="J46" s="3" t="n">
        <v>57710.0</v>
      </c>
      <c r="K46" s="3" t="n">
        <v>55352.0</v>
      </c>
      <c r="L46" s="3" t="n">
        <v>52691.0</v>
      </c>
      <c r="M46" s="3" t="n">
        <v>49582.0</v>
      </c>
      <c r="N46" s="3" t="n">
        <v>46922.0</v>
      </c>
      <c r="O46" s="3" t="n">
        <v>44504.0</v>
      </c>
      <c r="P46" s="3" t="n">
        <v>42439.0</v>
      </c>
      <c r="Q46" s="3" t="n">
        <v>40632.0</v>
      </c>
      <c r="R46" s="3" t="n">
        <v>39251.0</v>
      </c>
      <c r="S46" s="3" t="n">
        <v>38153.0</v>
      </c>
      <c r="T46" s="3" t="n">
        <v>37152.0</v>
      </c>
      <c r="U46" s="3" t="n">
        <v>36299.0</v>
      </c>
      <c r="V46" s="3" t="n">
        <v>35570.0</v>
      </c>
      <c r="W46" s="3" t="n">
        <v>34956.0</v>
      </c>
      <c r="X46" s="3" t="n">
        <v>34448.0</v>
      </c>
      <c r="Y46" s="3" t="n">
        <v>34021.0</v>
      </c>
      <c r="Z46" s="3" t="n">
        <v>33688.0</v>
      </c>
      <c r="AA46" s="3" t="n">
        <v>33422.0</v>
      </c>
      <c r="AB46" s="3" t="n">
        <v>33224.0</v>
      </c>
      <c r="AC46" s="3" t="n">
        <v>33055.0</v>
      </c>
      <c r="AD46" s="3" t="n">
        <v>32913.0</v>
      </c>
      <c r="AE46" s="3" t="n">
        <v>32783.0</v>
      </c>
      <c r="AF46" s="3" t="n">
        <v>32641.0</v>
      </c>
      <c r="AG46" s="3" t="n">
        <v>32465.0</v>
      </c>
      <c r="AH46" s="3" t="n">
        <v>32249.0</v>
      </c>
      <c r="AI46" s="3" t="n">
        <v>31962.0</v>
      </c>
      <c r="AJ46" s="3" t="n">
        <v>31613.0</v>
      </c>
      <c r="AK46" s="3" t="n">
        <v>31183.0</v>
      </c>
      <c r="AL46" s="3" t="n">
        <v>30685.0</v>
      </c>
      <c r="AM46" s="3" t="n">
        <v>30112.0</v>
      </c>
      <c r="AN46" s="3" t="n">
        <v>29477.0</v>
      </c>
      <c r="AO46" s="3" t="n">
        <v>28797.0</v>
      </c>
    </row>
    <row r="47" spans="1:41" x14ac:dyDescent="0.2">
      <c r="A47" s="136"/>
      <c r="B47" s="64" t="s">
        <v>19</v>
      </c>
      <c r="C47" s="3" t="n">
        <v>30764.0</v>
      </c>
      <c r="D47" s="3" t="n">
        <v>32595.0</v>
      </c>
      <c r="E47" s="3" t="n">
        <v>33976.0</v>
      </c>
      <c r="F47" s="3" t="n">
        <v>34769.0</v>
      </c>
      <c r="G47" s="3" t="n">
        <v>34523.0</v>
      </c>
      <c r="H47" s="3" t="n">
        <v>33624.0</v>
      </c>
      <c r="I47" s="3" t="n">
        <v>32653.0</v>
      </c>
      <c r="J47" s="3" t="n">
        <v>32134.0</v>
      </c>
      <c r="K47" s="3" t="n">
        <v>31849.0</v>
      </c>
      <c r="L47" s="3" t="n">
        <v>31695.0</v>
      </c>
      <c r="M47" s="3" t="n">
        <v>32132.0</v>
      </c>
      <c r="N47" s="3" t="n">
        <v>31707.0</v>
      </c>
      <c r="O47" s="3" t="n">
        <v>31011.0</v>
      </c>
      <c r="P47" s="3" t="n">
        <v>29771.0</v>
      </c>
      <c r="Q47" s="3" t="n">
        <v>27929.0</v>
      </c>
      <c r="R47" s="3" t="n">
        <v>26179.0</v>
      </c>
      <c r="S47" s="3" t="n">
        <v>24482.0</v>
      </c>
      <c r="T47" s="3" t="n">
        <v>23060.0</v>
      </c>
      <c r="U47" s="3" t="n">
        <v>21787.0</v>
      </c>
      <c r="V47" s="3" t="n">
        <v>20886.0</v>
      </c>
      <c r="W47" s="3" t="n">
        <v>20185.0</v>
      </c>
      <c r="X47" s="3" t="n">
        <v>19544.0</v>
      </c>
      <c r="Y47" s="3" t="n">
        <v>18986.0</v>
      </c>
      <c r="Z47" s="3" t="n">
        <v>18494.0</v>
      </c>
      <c r="AA47" s="3" t="n">
        <v>18082.0</v>
      </c>
      <c r="AB47" s="3" t="n">
        <v>17721.0</v>
      </c>
      <c r="AC47" s="3" t="n">
        <v>17410.0</v>
      </c>
      <c r="AD47" s="3" t="n">
        <v>17158.0</v>
      </c>
      <c r="AE47" s="3" t="n">
        <v>16938.0</v>
      </c>
      <c r="AF47" s="3" t="n">
        <v>16776.0</v>
      </c>
      <c r="AG47" s="3" t="n">
        <v>16648.0</v>
      </c>
      <c r="AH47" s="3" t="n">
        <v>16550.0</v>
      </c>
      <c r="AI47" s="3" t="n">
        <v>16486.0</v>
      </c>
      <c r="AJ47" s="3" t="n">
        <v>16434.0</v>
      </c>
      <c r="AK47" s="3" t="n">
        <v>16385.0</v>
      </c>
      <c r="AL47" s="3" t="n">
        <v>16333.0</v>
      </c>
      <c r="AM47" s="3" t="n">
        <v>16261.0</v>
      </c>
      <c r="AN47" s="3" t="n">
        <v>16165.0</v>
      </c>
      <c r="AO47" s="3" t="n">
        <v>16032.0</v>
      </c>
    </row>
    <row r="48" spans="1:41" x14ac:dyDescent="0.2">
      <c r="A48" s="136"/>
      <c r="B48" s="64" t="s">
        <v>2</v>
      </c>
      <c r="C48" s="3" t="n">
        <v>44272.0</v>
      </c>
      <c r="D48" s="3" t="n">
        <v>43782.0</v>
      </c>
      <c r="E48" s="3" t="n">
        <v>43653.0</v>
      </c>
      <c r="F48" s="3" t="n">
        <v>43878.0</v>
      </c>
      <c r="G48" s="3" t="n">
        <v>44879.0</v>
      </c>
      <c r="H48" s="3" t="n">
        <v>46742.0</v>
      </c>
      <c r="I48" s="3" t="n">
        <v>48570.0</v>
      </c>
      <c r="J48" s="3" t="n">
        <v>49930.0</v>
      </c>
      <c r="K48" s="3" t="n">
        <v>50649.0</v>
      </c>
      <c r="L48" s="3" t="n">
        <v>50999.0</v>
      </c>
      <c r="M48" s="3" t="n">
        <v>50358.0</v>
      </c>
      <c r="N48" s="3" t="n">
        <v>49325.0</v>
      </c>
      <c r="O48" s="3" t="n">
        <v>48360.0</v>
      </c>
      <c r="P48" s="3" t="n">
        <v>47718.0</v>
      </c>
      <c r="Q48" s="3" t="n">
        <v>47727.0</v>
      </c>
      <c r="R48" s="3" t="n">
        <v>47202.0</v>
      </c>
      <c r="S48" s="3" t="n">
        <v>46616.0</v>
      </c>
      <c r="T48" s="3" t="n">
        <v>45332.0</v>
      </c>
      <c r="U48" s="3" t="n">
        <v>43857.0</v>
      </c>
      <c r="V48" s="3" t="n">
        <v>41785.0</v>
      </c>
      <c r="W48" s="3" t="n">
        <v>39103.0</v>
      </c>
      <c r="X48" s="3" t="n">
        <v>36837.0</v>
      </c>
      <c r="Y48" s="3" t="n">
        <v>34781.0</v>
      </c>
      <c r="Z48" s="3" t="n">
        <v>33025.0</v>
      </c>
      <c r="AA48" s="3" t="n">
        <v>31470.0</v>
      </c>
      <c r="AB48" s="3" t="n">
        <v>30302.0</v>
      </c>
      <c r="AC48" s="3" t="n">
        <v>29376.0</v>
      </c>
      <c r="AD48" s="3" t="n">
        <v>28522.0</v>
      </c>
      <c r="AE48" s="3" t="n">
        <v>27786.0</v>
      </c>
      <c r="AF48" s="3" t="n">
        <v>27128.0</v>
      </c>
      <c r="AG48" s="3" t="n">
        <v>26569.0</v>
      </c>
      <c r="AH48" s="3" t="n">
        <v>26101.0</v>
      </c>
      <c r="AI48" s="3" t="n">
        <v>25686.0</v>
      </c>
      <c r="AJ48" s="3" t="n">
        <v>25358.0</v>
      </c>
      <c r="AK48" s="3" t="n">
        <v>25083.0</v>
      </c>
      <c r="AL48" s="3" t="n">
        <v>24888.0</v>
      </c>
      <c r="AM48" s="3" t="n">
        <v>24744.0</v>
      </c>
      <c r="AN48" s="3" t="n">
        <v>24625.0</v>
      </c>
      <c r="AO48" s="3" t="n">
        <v>24525.0</v>
      </c>
    </row>
    <row r="49" spans="1:41" x14ac:dyDescent="0.2">
      <c r="A49" s="136"/>
      <c r="B49" s="64" t="s">
        <v>3</v>
      </c>
      <c r="C49" s="3" t="n">
        <v>114889.0</v>
      </c>
      <c r="D49" s="3" t="n">
        <v>111179.0</v>
      </c>
      <c r="E49" s="3" t="n">
        <v>107521.0</v>
      </c>
      <c r="F49" s="3" t="n">
        <v>103980.0</v>
      </c>
      <c r="G49" s="3" t="n">
        <v>100714.0</v>
      </c>
      <c r="H49" s="3" t="n">
        <v>97722.0</v>
      </c>
      <c r="I49" s="3" t="n">
        <v>95076.0</v>
      </c>
      <c r="J49" s="3" t="n">
        <v>91831.0</v>
      </c>
      <c r="K49" s="3" t="n">
        <v>88495.0</v>
      </c>
      <c r="L49" s="3" t="n">
        <v>84953.0</v>
      </c>
      <c r="M49" s="3" t="n">
        <v>81091.0</v>
      </c>
      <c r="N49" s="3" t="n">
        <v>77771.0</v>
      </c>
      <c r="O49" s="3" t="n">
        <v>74807.0</v>
      </c>
      <c r="P49" s="3" t="n">
        <v>72270.0</v>
      </c>
      <c r="Q49" s="3" t="n">
        <v>70080.0</v>
      </c>
      <c r="R49" s="3" t="n">
        <v>68398.0</v>
      </c>
      <c r="S49" s="3" t="n">
        <v>67057.0</v>
      </c>
      <c r="T49" s="3" t="n">
        <v>65878.0</v>
      </c>
      <c r="U49" s="3" t="n">
        <v>64885.0</v>
      </c>
      <c r="V49" s="3" t="n">
        <v>64034.0</v>
      </c>
      <c r="W49" s="3" t="n">
        <v>63321.0</v>
      </c>
      <c r="X49" s="3" t="n">
        <v>62705.0</v>
      </c>
      <c r="Y49" s="3" t="n">
        <v>62149.0</v>
      </c>
      <c r="Z49" s="3" t="n">
        <v>61648.0</v>
      </c>
      <c r="AA49" s="3" t="n">
        <v>61157.0</v>
      </c>
      <c r="AB49" s="3" t="n">
        <v>60672.0</v>
      </c>
      <c r="AC49" s="3" t="n">
        <v>60159.0</v>
      </c>
      <c r="AD49" s="3" t="n">
        <v>59589.0</v>
      </c>
      <c r="AE49" s="3" t="n">
        <v>58980.0</v>
      </c>
      <c r="AF49" s="3" t="n">
        <v>58297.0</v>
      </c>
      <c r="AG49" s="3" t="n">
        <v>57523.0</v>
      </c>
      <c r="AH49" s="3" t="n">
        <v>56660.0</v>
      </c>
      <c r="AI49" s="3" t="n">
        <v>55682.0</v>
      </c>
      <c r="AJ49" s="3" t="n">
        <v>54619.0</v>
      </c>
      <c r="AK49" s="3" t="n">
        <v>53467.0</v>
      </c>
      <c r="AL49" s="3" t="n">
        <v>52245.0</v>
      </c>
      <c r="AM49" s="3" t="n">
        <v>50951.0</v>
      </c>
      <c r="AN49" s="3" t="n">
        <v>49624.0</v>
      </c>
      <c r="AO49" s="3" t="n">
        <v>48278.0</v>
      </c>
    </row>
    <row r="50" spans="1:41" x14ac:dyDescent="0.2">
      <c r="A50" s="136"/>
      <c r="B50" s="64" t="s">
        <v>4</v>
      </c>
      <c r="C50" s="3" t="n">
        <v>529871.0</v>
      </c>
      <c r="D50" s="3" t="n">
        <v>523833.0</v>
      </c>
      <c r="E50" s="3" t="n">
        <v>518102.0</v>
      </c>
      <c r="F50" s="3" t="n">
        <v>513615.0</v>
      </c>
      <c r="G50" s="3" t="n">
        <v>509501.0</v>
      </c>
      <c r="H50" s="3" t="n">
        <v>506938.0</v>
      </c>
      <c r="I50" s="3" t="n">
        <v>504298.0</v>
      </c>
      <c r="J50" s="3" t="n">
        <v>501819.0</v>
      </c>
      <c r="K50" s="3" t="n">
        <v>499284.0</v>
      </c>
      <c r="L50" s="3" t="n">
        <v>496688.0</v>
      </c>
      <c r="M50" s="3" t="n">
        <v>494484.0</v>
      </c>
      <c r="N50" s="3" t="n">
        <v>491464.0</v>
      </c>
      <c r="O50" s="3" t="n">
        <v>487832.0</v>
      </c>
      <c r="P50" s="3" t="n">
        <v>483243.0</v>
      </c>
      <c r="Q50" s="3" t="n">
        <v>478097.0</v>
      </c>
      <c r="R50" s="3" t="n">
        <v>471909.0</v>
      </c>
      <c r="S50" s="3" t="n">
        <v>464876.0</v>
      </c>
      <c r="T50" s="3" t="n">
        <v>457076.0</v>
      </c>
      <c r="U50" s="3" t="n">
        <v>448396.0</v>
      </c>
      <c r="V50" s="3" t="n">
        <v>439430.0</v>
      </c>
      <c r="W50" s="3" t="n">
        <v>430561.0</v>
      </c>
      <c r="X50" s="3" t="n">
        <v>421480.0</v>
      </c>
      <c r="Y50" s="3" t="n">
        <v>411981.0</v>
      </c>
      <c r="Z50" s="3" t="n">
        <v>402228.0</v>
      </c>
      <c r="AA50" s="3" t="n">
        <v>392772.0</v>
      </c>
      <c r="AB50" s="3" t="n">
        <v>382838.0</v>
      </c>
      <c r="AC50" s="3" t="n">
        <v>372742.0</v>
      </c>
      <c r="AD50" s="3" t="n">
        <v>363027.0</v>
      </c>
      <c r="AE50" s="3" t="n">
        <v>353907.0</v>
      </c>
      <c r="AF50" s="3" t="n">
        <v>345649.0</v>
      </c>
      <c r="AG50" s="3" t="n">
        <v>337922.0</v>
      </c>
      <c r="AH50" s="3" t="n">
        <v>330567.0</v>
      </c>
      <c r="AI50" s="3" t="n">
        <v>323613.0</v>
      </c>
      <c r="AJ50" s="3" t="n">
        <v>316728.0</v>
      </c>
      <c r="AK50" s="3" t="n">
        <v>310136.0</v>
      </c>
      <c r="AL50" s="3" t="n">
        <v>304181.0</v>
      </c>
      <c r="AM50" s="3" t="n">
        <v>298452.0</v>
      </c>
      <c r="AN50" s="3" t="n">
        <v>293053.0</v>
      </c>
      <c r="AO50" s="3" t="n">
        <v>288121.0</v>
      </c>
    </row>
    <row r="51" spans="1:41" x14ac:dyDescent="0.2">
      <c r="A51" s="136"/>
      <c r="B51" s="64" t="s">
        <v>5</v>
      </c>
      <c r="C51" s="3" t="n">
        <v>199673.0</v>
      </c>
      <c r="D51" s="3" t="n">
        <v>205028.0</v>
      </c>
      <c r="E51" s="3" t="n">
        <v>209735.0</v>
      </c>
      <c r="F51" s="3" t="n">
        <v>212797.0</v>
      </c>
      <c r="G51" s="3" t="n">
        <v>215029.0</v>
      </c>
      <c r="H51" s="3" t="n">
        <v>216531.0</v>
      </c>
      <c r="I51" s="3" t="n">
        <v>217994.0</v>
      </c>
      <c r="J51" s="3" t="n">
        <v>218703.0</v>
      </c>
      <c r="K51" s="3" t="n">
        <v>218852.0</v>
      </c>
      <c r="L51" s="3" t="n">
        <v>218872.0</v>
      </c>
      <c r="M51" s="3" t="n">
        <v>218453.0</v>
      </c>
      <c r="N51" s="3" t="n">
        <v>218061.0</v>
      </c>
      <c r="O51" s="3" t="n">
        <v>217678.0</v>
      </c>
      <c r="P51" s="3" t="n">
        <v>217484.0</v>
      </c>
      <c r="Q51" s="3" t="n">
        <v>217414.0</v>
      </c>
      <c r="R51" s="3" t="n">
        <v>217580.0</v>
      </c>
      <c r="S51" s="3" t="n">
        <v>218069.0</v>
      </c>
      <c r="T51" s="3" t="n">
        <v>218918.0</v>
      </c>
      <c r="U51" s="3" t="n">
        <v>220369.0</v>
      </c>
      <c r="V51" s="3" t="n">
        <v>221781.0</v>
      </c>
      <c r="W51" s="3" t="n">
        <v>222910.0</v>
      </c>
      <c r="X51" s="3" t="n">
        <v>223974.0</v>
      </c>
      <c r="Y51" s="3" t="n">
        <v>225388.0</v>
      </c>
      <c r="Z51" s="3" t="n">
        <v>226948.0</v>
      </c>
      <c r="AA51" s="3" t="n">
        <v>228136.0</v>
      </c>
      <c r="AB51" s="3" t="n">
        <v>229879.0</v>
      </c>
      <c r="AC51" s="3" t="n">
        <v>231714.0</v>
      </c>
      <c r="AD51" s="3" t="n">
        <v>233217.0</v>
      </c>
      <c r="AE51" s="3" t="n">
        <v>234275.0</v>
      </c>
      <c r="AF51" s="3" t="n">
        <v>234553.0</v>
      </c>
      <c r="AG51" s="3" t="n">
        <v>234355.0</v>
      </c>
      <c r="AH51" s="3" t="n">
        <v>233986.0</v>
      </c>
      <c r="AI51" s="3" t="n">
        <v>233289.0</v>
      </c>
      <c r="AJ51" s="3" t="n">
        <v>232566.0</v>
      </c>
      <c r="AK51" s="3" t="n">
        <v>231691.0</v>
      </c>
      <c r="AL51" s="3" t="n">
        <v>230187.0</v>
      </c>
      <c r="AM51" s="3" t="n">
        <v>228419.0</v>
      </c>
      <c r="AN51" s="3" t="n">
        <v>226290.0</v>
      </c>
      <c r="AO51" s="3" t="n">
        <v>223750.0</v>
      </c>
    </row>
    <row r="52" spans="1:41" x14ac:dyDescent="0.2">
      <c r="A52" s="136"/>
      <c r="B52" s="64" t="s">
        <v>6</v>
      </c>
      <c r="C52" s="3" t="n">
        <v>45623.0</v>
      </c>
      <c r="D52" s="3" t="n">
        <v>44970.0</v>
      </c>
      <c r="E52" s="3" t="n">
        <v>44400.0</v>
      </c>
      <c r="F52" s="3" t="n">
        <v>43943.0</v>
      </c>
      <c r="G52" s="3" t="n">
        <v>45824.0</v>
      </c>
      <c r="H52" s="3" t="n">
        <v>48482.0</v>
      </c>
      <c r="I52" s="3" t="n">
        <v>51860.0</v>
      </c>
      <c r="J52" s="3" t="n">
        <v>55544.0</v>
      </c>
      <c r="K52" s="3" t="n">
        <v>59357.0</v>
      </c>
      <c r="L52" s="3" t="n">
        <v>63397.0</v>
      </c>
      <c r="M52" s="3" t="n">
        <v>67200.0</v>
      </c>
      <c r="N52" s="3" t="n">
        <v>70757.0</v>
      </c>
      <c r="O52" s="3" t="n">
        <v>74142.0</v>
      </c>
      <c r="P52" s="3" t="n">
        <v>77470.0</v>
      </c>
      <c r="Q52" s="3" t="n">
        <v>80598.0</v>
      </c>
      <c r="R52" s="3" t="n">
        <v>83306.0</v>
      </c>
      <c r="S52" s="3" t="n">
        <v>85463.0</v>
      </c>
      <c r="T52" s="3" t="n">
        <v>86972.0</v>
      </c>
      <c r="U52" s="3" t="n">
        <v>87210.0</v>
      </c>
      <c r="V52" s="3" t="n">
        <v>86759.0</v>
      </c>
      <c r="W52" s="3" t="n">
        <v>85707.0</v>
      </c>
      <c r="X52" s="3" t="n">
        <v>84617.0</v>
      </c>
      <c r="Y52" s="3" t="n">
        <v>83124.0</v>
      </c>
      <c r="Z52" s="3" t="n">
        <v>81306.0</v>
      </c>
      <c r="AA52" s="3" t="n">
        <v>79555.0</v>
      </c>
      <c r="AB52" s="3" t="n">
        <v>77750.0</v>
      </c>
      <c r="AC52" s="3" t="n">
        <v>76137.0</v>
      </c>
      <c r="AD52" s="3" t="n">
        <v>74757.0</v>
      </c>
      <c r="AE52" s="3" t="n">
        <v>73898.0</v>
      </c>
      <c r="AF52" s="3" t="n">
        <v>73320.0</v>
      </c>
      <c r="AG52" s="3" t="n">
        <v>73216.0</v>
      </c>
      <c r="AH52" s="3" t="n">
        <v>73608.0</v>
      </c>
      <c r="AI52" s="3" t="n">
        <v>74491.0</v>
      </c>
      <c r="AJ52" s="3" t="n">
        <v>75925.0</v>
      </c>
      <c r="AK52" s="3" t="n">
        <v>77562.0</v>
      </c>
      <c r="AL52" s="3" t="n">
        <v>79004.0</v>
      </c>
      <c r="AM52" s="3" t="n">
        <v>80446.0</v>
      </c>
      <c r="AN52" s="3" t="n">
        <v>82113.0</v>
      </c>
      <c r="AO52" s="3" t="n">
        <v>83927.0</v>
      </c>
    </row>
    <row r="53" spans="1:41" x14ac:dyDescent="0.2">
      <c r="A53" s="137"/>
      <c r="B53" s="66" t="s">
        <v>7</v>
      </c>
      <c r="C53" s="4" t="n">
        <v>370385.0</v>
      </c>
      <c r="D53" s="4" t="n">
        <v>367002.0</v>
      </c>
      <c r="E53" s="4" t="n">
        <v>362761.0</v>
      </c>
      <c r="F53" s="4" t="n">
        <v>357412.0</v>
      </c>
      <c r="G53" s="4" t="n">
        <v>351547.0</v>
      </c>
      <c r="H53" s="4" t="n">
        <v>346580.0</v>
      </c>
      <c r="I53" s="4" t="n">
        <v>341492.0</v>
      </c>
      <c r="J53" s="4" t="n">
        <v>335729.0</v>
      </c>
      <c r="K53" s="4" t="n">
        <v>329309.0</v>
      </c>
      <c r="L53" s="4" t="n">
        <v>323227.0</v>
      </c>
      <c r="M53" s="4" t="n">
        <v>316852.0</v>
      </c>
      <c r="N53" s="4" t="n">
        <v>309725.0</v>
      </c>
      <c r="O53" s="4" t="n">
        <v>302600.0</v>
      </c>
      <c r="P53" s="4" t="n">
        <v>295646.0</v>
      </c>
      <c r="Q53" s="4" t="n">
        <v>289298.0</v>
      </c>
      <c r="R53" s="4" t="n">
        <v>283009.0</v>
      </c>
      <c r="S53" s="4" t="n">
        <v>276722.0</v>
      </c>
      <c r="T53" s="4" t="n">
        <v>270660.0</v>
      </c>
      <c r="U53" s="4" t="n">
        <v>264476.0</v>
      </c>
      <c r="V53" s="4" t="n">
        <v>258490.0</v>
      </c>
      <c r="W53" s="4" t="n">
        <v>253024.0</v>
      </c>
      <c r="X53" s="4" t="n">
        <v>247670.0</v>
      </c>
      <c r="Y53" s="4" t="n">
        <v>242587.0</v>
      </c>
      <c r="Z53" s="4" t="n">
        <v>237963.0</v>
      </c>
      <c r="AA53" s="4" t="n">
        <v>233713.0</v>
      </c>
      <c r="AB53" s="4" t="n">
        <v>229776.0</v>
      </c>
      <c r="AC53" s="4" t="n">
        <v>226137.0</v>
      </c>
      <c r="AD53" s="4" t="n">
        <v>222632.0</v>
      </c>
      <c r="AE53" s="4" t="n">
        <v>219184.0</v>
      </c>
      <c r="AF53" s="4" t="n">
        <v>215909.0</v>
      </c>
      <c r="AG53" s="4" t="n">
        <v>212765.0</v>
      </c>
      <c r="AH53" s="4" t="n">
        <v>209793.0</v>
      </c>
      <c r="AI53" s="4" t="n">
        <v>206716.0</v>
      </c>
      <c r="AJ53" s="4" t="n">
        <v>203429.0</v>
      </c>
      <c r="AK53" s="4" t="n">
        <v>199914.0</v>
      </c>
      <c r="AL53" s="4" t="n">
        <v>195854.0</v>
      </c>
      <c r="AM53" s="4" t="n">
        <v>191174.0</v>
      </c>
      <c r="AN53" s="4" t="n">
        <v>186617.0</v>
      </c>
      <c r="AO53" s="4" t="n">
        <v>182245.0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47" t="s">
        <v>55</v>
      </c>
      <c r="C1" s="147"/>
      <c r="D1" s="147"/>
      <c r="E1" s="40"/>
      <c r="F1" s="40"/>
      <c r="G1" s="41"/>
      <c r="H1" s="8"/>
      <c r="I1" s="8"/>
    </row>
    <row r="2" spans="1:9" ht="12" customHeight="1" x14ac:dyDescent="0.2">
      <c r="A2" s="130" t="s">
        <v>82</v>
      </c>
      <c r="B2" s="130"/>
      <c r="C2" s="45" t="s">
        <v>56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1" t="s">
        <v>83</v>
      </c>
      <c r="B3" s="82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105</v>
      </c>
      <c r="B4" s="23"/>
      <c r="C4" s="23"/>
      <c r="D4" s="23"/>
      <c r="E4" s="23"/>
      <c r="F4" s="23"/>
      <c r="G4" s="32"/>
    </row>
    <row r="5" spans="1:9" ht="31.9" customHeight="1" x14ac:dyDescent="0.2">
      <c r="A5" s="139" t="s">
        <v>65</v>
      </c>
      <c r="B5" s="141" t="s">
        <v>59</v>
      </c>
      <c r="C5" s="142"/>
      <c r="D5" s="143" t="s">
        <v>57</v>
      </c>
      <c r="E5" s="144"/>
      <c r="F5" s="145" t="s">
        <v>58</v>
      </c>
      <c r="G5" s="146"/>
    </row>
    <row r="6" spans="1:9" ht="25.15" customHeight="1" x14ac:dyDescent="0.2">
      <c r="A6" s="140"/>
      <c r="B6" s="46" t="s">
        <v>104</v>
      </c>
      <c r="C6" s="52" t="s">
        <v>60</v>
      </c>
      <c r="D6" s="57" t="s">
        <v>61</v>
      </c>
      <c r="E6" s="58" t="s">
        <v>62</v>
      </c>
      <c r="F6" s="48" t="s">
        <v>103</v>
      </c>
      <c r="G6" s="47" t="s">
        <v>63</v>
      </c>
    </row>
    <row r="7" spans="1:9" x14ac:dyDescent="0.2">
      <c r="A7" s="49">
        <v>2023</v>
      </c>
      <c r="B7" s="1" t="n">
        <v>10813.0</v>
      </c>
      <c r="C7" s="53" t="n">
        <v>19363.0</v>
      </c>
      <c r="D7" s="59" t="n">
        <v>19614.0</v>
      </c>
      <c r="E7" s="53" t="n">
        <v>19823.0</v>
      </c>
      <c r="F7" s="2" t="n">
        <v>799.0</v>
      </c>
      <c r="G7" s="2" t="n">
        <v>1272.0</v>
      </c>
    </row>
    <row r="8" spans="1:9" x14ac:dyDescent="0.2">
      <c r="A8" s="50">
        <v>2024</v>
      </c>
      <c r="B8" s="1" t="n">
        <v>10395.0</v>
      </c>
      <c r="C8" s="54" t="n">
        <v>19526.0</v>
      </c>
      <c r="D8" s="59" t="n">
        <v>19323.0</v>
      </c>
      <c r="E8" s="54" t="n">
        <v>19451.0</v>
      </c>
      <c r="F8" s="2" t="n">
        <v>788.0</v>
      </c>
      <c r="G8" s="2" t="n">
        <v>1380.0</v>
      </c>
    </row>
    <row r="9" spans="1:9" x14ac:dyDescent="0.2">
      <c r="A9" s="50">
        <v>2025</v>
      </c>
      <c r="B9" s="1" t="n">
        <v>10027.0</v>
      </c>
      <c r="C9" s="54" t="n">
        <v>19735.0</v>
      </c>
      <c r="D9" s="59" t="n">
        <v>19027.0</v>
      </c>
      <c r="E9" s="54" t="n">
        <v>19099.0</v>
      </c>
      <c r="F9" s="2" t="n">
        <v>800.0</v>
      </c>
      <c r="G9" s="2" t="n">
        <v>1477.0</v>
      </c>
    </row>
    <row r="10" spans="1:9" x14ac:dyDescent="0.2">
      <c r="A10" s="50">
        <v>2026</v>
      </c>
      <c r="B10" s="1" t="n">
        <v>9726.0</v>
      </c>
      <c r="C10" s="54" t="n">
        <v>19925.0</v>
      </c>
      <c r="D10" s="59" t="n">
        <v>18783.0</v>
      </c>
      <c r="E10" s="54" t="n">
        <v>18767.0</v>
      </c>
      <c r="F10" s="2" t="n">
        <v>854.0</v>
      </c>
      <c r="G10" s="2" t="n">
        <v>1551.0</v>
      </c>
    </row>
    <row r="11" spans="1:9" x14ac:dyDescent="0.2">
      <c r="A11" s="50">
        <v>2027</v>
      </c>
      <c r="B11" s="1" t="n">
        <v>9437.0</v>
      </c>
      <c r="C11" s="54" t="n">
        <v>20124.0</v>
      </c>
      <c r="D11" s="59" t="n">
        <v>18509.0</v>
      </c>
      <c r="E11" s="54" t="n">
        <v>18433.0</v>
      </c>
      <c r="F11" s="2" t="n">
        <v>2789.0</v>
      </c>
      <c r="G11" s="2" t="n">
        <v>1620.0</v>
      </c>
    </row>
    <row r="12" spans="1:9" x14ac:dyDescent="0.2">
      <c r="A12" s="50">
        <v>2028</v>
      </c>
      <c r="B12" s="1" t="n">
        <v>9231.0</v>
      </c>
      <c r="C12" s="54" t="n">
        <v>20458.0</v>
      </c>
      <c r="D12" s="59" t="n">
        <v>18271.0</v>
      </c>
      <c r="E12" s="54" t="n">
        <v>18135.0</v>
      </c>
      <c r="F12" s="2" t="n">
        <v>3518.0</v>
      </c>
      <c r="G12" s="2" t="n">
        <v>1673.0</v>
      </c>
    </row>
    <row r="13" spans="1:9" x14ac:dyDescent="0.2">
      <c r="A13" s="50">
        <v>2029</v>
      </c>
      <c r="B13" s="1" t="n">
        <v>9037.0</v>
      </c>
      <c r="C13" s="54" t="n">
        <v>20675.0</v>
      </c>
      <c r="D13" s="59" t="n">
        <v>18067.0</v>
      </c>
      <c r="E13" s="54" t="n">
        <v>17879.0</v>
      </c>
      <c r="F13" s="2" t="n">
        <v>2023.0</v>
      </c>
      <c r="G13" s="2" t="n">
        <v>1707.0</v>
      </c>
    </row>
    <row r="14" spans="1:9" x14ac:dyDescent="0.2">
      <c r="A14" s="50">
        <v>2030</v>
      </c>
      <c r="B14" s="1" t="n">
        <v>8867.0</v>
      </c>
      <c r="C14" s="54" t="n">
        <v>20934.0</v>
      </c>
      <c r="D14" s="59" t="n">
        <v>17837.0</v>
      </c>
      <c r="E14" s="54" t="n">
        <v>17618.0</v>
      </c>
      <c r="F14" s="2" t="n">
        <v>1280.0</v>
      </c>
      <c r="G14" s="2" t="n">
        <v>1742.0</v>
      </c>
    </row>
    <row r="15" spans="1:9" x14ac:dyDescent="0.2">
      <c r="A15" s="50">
        <v>2031</v>
      </c>
      <c r="B15" s="1" t="n">
        <v>8718.0</v>
      </c>
      <c r="C15" s="54" t="n">
        <v>21196.0</v>
      </c>
      <c r="D15" s="59" t="n">
        <v>17650.0</v>
      </c>
      <c r="E15" s="54" t="n">
        <v>17382.0</v>
      </c>
      <c r="F15" s="2" t="n">
        <v>997.0</v>
      </c>
      <c r="G15" s="2" t="n">
        <v>1793.0</v>
      </c>
    </row>
    <row r="16" spans="1:9" x14ac:dyDescent="0.2">
      <c r="A16" s="50">
        <v>2032</v>
      </c>
      <c r="B16" s="1" t="n">
        <v>8582.0</v>
      </c>
      <c r="C16" s="54" t="n">
        <v>21535.0</v>
      </c>
      <c r="D16" s="59" t="n">
        <v>17483.0</v>
      </c>
      <c r="E16" s="54" t="n">
        <v>17169.0</v>
      </c>
      <c r="F16" s="2" t="n">
        <v>862.0</v>
      </c>
      <c r="G16" s="2" t="n">
        <v>1822.0</v>
      </c>
    </row>
    <row r="17" spans="1:7" x14ac:dyDescent="0.2">
      <c r="A17" s="50">
        <v>2033</v>
      </c>
      <c r="B17" s="1" t="n">
        <v>8478.0</v>
      </c>
      <c r="C17" s="54" t="n">
        <v>21882.0</v>
      </c>
      <c r="D17" s="59" t="n">
        <v>17337.0</v>
      </c>
      <c r="E17" s="54" t="n">
        <v>16993.0</v>
      </c>
      <c r="F17" s="2" t="n">
        <v>744.0</v>
      </c>
      <c r="G17" s="2" t="n">
        <v>1844.0</v>
      </c>
    </row>
    <row r="18" spans="1:7" x14ac:dyDescent="0.2">
      <c r="A18" s="50">
        <v>2034</v>
      </c>
      <c r="B18" s="1" t="n">
        <v>8398.0</v>
      </c>
      <c r="C18" s="55" t="n">
        <v>22100.0</v>
      </c>
      <c r="D18" s="59" t="n">
        <v>17135.0</v>
      </c>
      <c r="E18" s="55" t="n">
        <v>16806.0</v>
      </c>
      <c r="F18" s="2" t="n">
        <v>713.0</v>
      </c>
      <c r="G18" s="2" t="n">
        <v>1882.0</v>
      </c>
    </row>
    <row r="19" spans="1:7" x14ac:dyDescent="0.2">
      <c r="A19" s="50">
        <v>2035</v>
      </c>
      <c r="B19" s="1" t="n">
        <v>8323.0</v>
      </c>
      <c r="C19" s="55" t="n">
        <v>22485.0</v>
      </c>
      <c r="D19" s="59" t="n">
        <v>16971.0</v>
      </c>
      <c r="E19" s="55" t="n">
        <v>16648.0</v>
      </c>
      <c r="F19" s="2" t="n">
        <v>708.0</v>
      </c>
      <c r="G19" s="2" t="n">
        <v>1898.0</v>
      </c>
    </row>
    <row r="20" spans="1:7" x14ac:dyDescent="0.2">
      <c r="A20" s="50">
        <v>2036</v>
      </c>
      <c r="B20" s="1" t="n">
        <v>8295.0</v>
      </c>
      <c r="C20" s="54" t="n">
        <v>22675.0</v>
      </c>
      <c r="D20" s="59" t="n">
        <v>16822.0</v>
      </c>
      <c r="E20" s="54" t="n">
        <v>16454.0</v>
      </c>
      <c r="F20" s="2" t="n">
        <v>705.0</v>
      </c>
      <c r="G20" s="2" t="n">
        <v>1919.0</v>
      </c>
    </row>
    <row r="21" spans="1:7" x14ac:dyDescent="0.2">
      <c r="A21" s="50">
        <v>2037</v>
      </c>
      <c r="B21" s="1" t="n">
        <v>8265.0</v>
      </c>
      <c r="C21" s="54" t="n">
        <v>23095.0</v>
      </c>
      <c r="D21" s="59" t="n">
        <v>16695.0</v>
      </c>
      <c r="E21" s="54" t="n">
        <v>16291.0</v>
      </c>
      <c r="F21" s="2" t="n">
        <v>703.0</v>
      </c>
      <c r="G21" s="2" t="n">
        <v>1951.0</v>
      </c>
    </row>
    <row r="22" spans="1:7" x14ac:dyDescent="0.2">
      <c r="A22" s="50">
        <v>2038</v>
      </c>
      <c r="B22" s="1" t="n">
        <v>8253.0</v>
      </c>
      <c r="C22" s="54" t="n">
        <v>23278.0</v>
      </c>
      <c r="D22" s="59" t="n">
        <v>16523.0</v>
      </c>
      <c r="E22" s="54" t="n">
        <v>16105.0</v>
      </c>
      <c r="F22" s="2" t="n">
        <v>696.0</v>
      </c>
      <c r="G22" s="2" t="n">
        <v>1983.0</v>
      </c>
    </row>
    <row r="23" spans="1:7" x14ac:dyDescent="0.2">
      <c r="A23" s="50">
        <v>2039</v>
      </c>
      <c r="B23" s="1" t="n">
        <v>8238.0</v>
      </c>
      <c r="C23" s="54" t="n">
        <v>23655.0</v>
      </c>
      <c r="D23" s="59" t="n">
        <v>16378.0</v>
      </c>
      <c r="E23" s="54" t="n">
        <v>15950.0</v>
      </c>
      <c r="F23" s="2" t="n">
        <v>687.0</v>
      </c>
      <c r="G23" s="2" t="n">
        <v>1997.0</v>
      </c>
    </row>
    <row r="24" spans="1:7" x14ac:dyDescent="0.2">
      <c r="A24" s="50">
        <v>2040</v>
      </c>
      <c r="B24" s="1" t="n">
        <v>8214.0</v>
      </c>
      <c r="C24" s="54" t="n">
        <v>23710.0</v>
      </c>
      <c r="D24" s="59" t="n">
        <v>16210.0</v>
      </c>
      <c r="E24" s="54" t="n">
        <v>15771.0</v>
      </c>
      <c r="F24" s="2" t="n">
        <v>684.0</v>
      </c>
      <c r="G24" s="2" t="n">
        <v>2014.0</v>
      </c>
    </row>
    <row r="25" spans="1:7" x14ac:dyDescent="0.2">
      <c r="A25" s="50">
        <v>2041</v>
      </c>
      <c r="B25" s="1" t="n">
        <v>8168.0</v>
      </c>
      <c r="C25" s="54" t="n">
        <v>23914.0</v>
      </c>
      <c r="D25" s="59" t="n">
        <v>16074.0</v>
      </c>
      <c r="E25" s="54" t="n">
        <v>15603.0</v>
      </c>
      <c r="F25" s="2" t="n">
        <v>683.0</v>
      </c>
      <c r="G25" s="2" t="n">
        <v>2022.0</v>
      </c>
    </row>
    <row r="26" spans="1:7" x14ac:dyDescent="0.2">
      <c r="A26" s="50">
        <v>2042</v>
      </c>
      <c r="B26" s="1" t="n">
        <v>8131.0</v>
      </c>
      <c r="C26" s="54" t="n">
        <v>23984.0</v>
      </c>
      <c r="D26" s="59" t="n">
        <v>15933.0</v>
      </c>
      <c r="E26" s="54" t="n">
        <v>15428.0</v>
      </c>
      <c r="F26" s="2" t="n">
        <v>680.0</v>
      </c>
      <c r="G26" s="2" t="n">
        <v>2042.0</v>
      </c>
    </row>
    <row r="27" spans="1:7" x14ac:dyDescent="0.2">
      <c r="A27" s="50">
        <v>2043</v>
      </c>
      <c r="B27" s="1" t="n">
        <v>8070.0</v>
      </c>
      <c r="C27" s="54" t="n">
        <v>24072.0</v>
      </c>
      <c r="D27" s="59" t="n">
        <v>15768.0</v>
      </c>
      <c r="E27" s="54" t="n">
        <v>15255.0</v>
      </c>
      <c r="F27" s="2" t="n">
        <v>680.0</v>
      </c>
      <c r="G27" s="2" t="n">
        <v>2056.0</v>
      </c>
    </row>
    <row r="28" spans="1:7" x14ac:dyDescent="0.2">
      <c r="A28" s="50">
        <v>2044</v>
      </c>
      <c r="B28" s="1" t="n">
        <v>7988.0</v>
      </c>
      <c r="C28" s="54" t="n">
        <v>24081.0</v>
      </c>
      <c r="D28" s="59" t="n">
        <v>15564.0</v>
      </c>
      <c r="E28" s="54" t="n">
        <v>15033.0</v>
      </c>
      <c r="F28" s="2" t="n">
        <v>678.0</v>
      </c>
      <c r="G28" s="2" t="n">
        <v>2079.0</v>
      </c>
    </row>
    <row r="29" spans="1:7" x14ac:dyDescent="0.2">
      <c r="A29" s="50">
        <v>2045</v>
      </c>
      <c r="B29" s="1" t="n">
        <v>7881.0</v>
      </c>
      <c r="C29" s="54" t="n">
        <v>24110.0</v>
      </c>
      <c r="D29" s="59" t="n">
        <v>15406.0</v>
      </c>
      <c r="E29" s="54" t="n">
        <v>14810.0</v>
      </c>
      <c r="F29" s="2" t="n">
        <v>677.0</v>
      </c>
      <c r="G29" s="2" t="n">
        <v>2090.0</v>
      </c>
    </row>
    <row r="30" spans="1:7" x14ac:dyDescent="0.2">
      <c r="A30" s="50">
        <v>2046</v>
      </c>
      <c r="B30" s="1" t="n">
        <v>7761.0</v>
      </c>
      <c r="C30" s="54" t="n">
        <v>24050.0</v>
      </c>
      <c r="D30" s="59" t="n">
        <v>15219.0</v>
      </c>
      <c r="E30" s="54" t="n">
        <v>14588.0</v>
      </c>
      <c r="F30" s="2" t="n">
        <v>671.0</v>
      </c>
      <c r="G30" s="2" t="n">
        <v>2105.0</v>
      </c>
    </row>
    <row r="31" spans="1:7" x14ac:dyDescent="0.2">
      <c r="A31" s="50">
        <v>2047</v>
      </c>
      <c r="B31" s="1" t="n">
        <v>7600.0</v>
      </c>
      <c r="C31" s="54" t="n">
        <v>23866.0</v>
      </c>
      <c r="D31" s="59" t="n">
        <v>15003.0</v>
      </c>
      <c r="E31" s="54" t="n">
        <v>14322.0</v>
      </c>
      <c r="F31" s="2" t="n">
        <v>664.0</v>
      </c>
      <c r="G31" s="2" t="n">
        <v>2114.0</v>
      </c>
    </row>
    <row r="32" spans="1:7" x14ac:dyDescent="0.2">
      <c r="A32" s="50">
        <v>2048</v>
      </c>
      <c r="B32" s="1" t="n">
        <v>7432.0</v>
      </c>
      <c r="C32" s="54" t="n">
        <v>23725.0</v>
      </c>
      <c r="D32" s="59" t="n">
        <v>14778.0</v>
      </c>
      <c r="E32" s="54" t="n">
        <v>14073.0</v>
      </c>
      <c r="F32" s="2" t="n">
        <v>662.0</v>
      </c>
      <c r="G32" s="2" t="n">
        <v>2142.0</v>
      </c>
    </row>
    <row r="33" spans="1:7" x14ac:dyDescent="0.2">
      <c r="A33" s="50">
        <v>2049</v>
      </c>
      <c r="B33" s="1" t="n">
        <v>7222.0</v>
      </c>
      <c r="C33" s="54" t="n">
        <v>23651.0</v>
      </c>
      <c r="D33" s="59" t="n">
        <v>14555.0</v>
      </c>
      <c r="E33" s="54" t="n">
        <v>13810.0</v>
      </c>
      <c r="F33" s="2" t="n">
        <v>659.0</v>
      </c>
      <c r="G33" s="2" t="n">
        <v>2162.0</v>
      </c>
    </row>
    <row r="34" spans="1:7" x14ac:dyDescent="0.2">
      <c r="A34" s="50">
        <v>2050</v>
      </c>
      <c r="B34" s="1" t="n">
        <v>7033.0</v>
      </c>
      <c r="C34" s="54" t="n">
        <v>23340.0</v>
      </c>
      <c r="D34" s="59" t="n">
        <v>14331.0</v>
      </c>
      <c r="E34" s="54" t="n">
        <v>13529.0</v>
      </c>
      <c r="F34" s="2" t="n">
        <v>656.0</v>
      </c>
      <c r="G34" s="2" t="n">
        <v>2178.0</v>
      </c>
    </row>
    <row r="35" spans="1:7" x14ac:dyDescent="0.2">
      <c r="A35" s="50">
        <v>2051</v>
      </c>
      <c r="B35" s="1" t="n">
        <v>6828.0</v>
      </c>
      <c r="C35" s="54" t="n">
        <v>23228.0</v>
      </c>
      <c r="D35" s="59" t="n">
        <v>14104.0</v>
      </c>
      <c r="E35" s="54" t="n">
        <v>13275.0</v>
      </c>
      <c r="F35" s="2" t="n">
        <v>655.0</v>
      </c>
      <c r="G35" s="2" t="n">
        <v>2185.0</v>
      </c>
    </row>
    <row r="36" spans="1:7" x14ac:dyDescent="0.2">
      <c r="A36" s="50">
        <v>2052</v>
      </c>
      <c r="B36" s="1" t="n">
        <v>6601.0</v>
      </c>
      <c r="C36" s="54" t="n">
        <v>23033.0</v>
      </c>
      <c r="D36" s="59" t="n">
        <v>13874.0</v>
      </c>
      <c r="E36" s="54" t="n">
        <v>12997.0</v>
      </c>
      <c r="F36" s="2" t="n">
        <v>652.0</v>
      </c>
      <c r="G36" s="2" t="n">
        <v>2207.0</v>
      </c>
    </row>
    <row r="37" spans="1:7" x14ac:dyDescent="0.2">
      <c r="A37" s="50">
        <v>2053</v>
      </c>
      <c r="B37" s="1" t="n">
        <v>6389.0</v>
      </c>
      <c r="C37" s="54" t="n">
        <v>22820.0</v>
      </c>
      <c r="D37" s="59" t="n">
        <v>13654.0</v>
      </c>
      <c r="E37" s="54" t="n">
        <v>12716.0</v>
      </c>
      <c r="F37" s="2" t="n">
        <v>652.0</v>
      </c>
      <c r="G37" s="2" t="n">
        <v>2205.0</v>
      </c>
    </row>
    <row r="38" spans="1:7" x14ac:dyDescent="0.2">
      <c r="A38" s="50">
        <v>2054</v>
      </c>
      <c r="B38" s="1" t="n">
        <v>6158.0</v>
      </c>
      <c r="C38" s="54" t="n">
        <v>22689.0</v>
      </c>
      <c r="D38" s="59" t="n">
        <v>13381.0</v>
      </c>
      <c r="E38" s="54" t="n">
        <v>12461.0</v>
      </c>
      <c r="F38" s="2" t="n">
        <v>652.0</v>
      </c>
      <c r="G38" s="2" t="n">
        <v>2219.0</v>
      </c>
    </row>
    <row r="39" spans="1:7" x14ac:dyDescent="0.2">
      <c r="A39" s="50">
        <v>2055</v>
      </c>
      <c r="B39" s="1" t="n">
        <v>5941.0</v>
      </c>
      <c r="C39" s="54" t="n">
        <v>22550.0</v>
      </c>
      <c r="D39" s="59" t="n">
        <v>13170.0</v>
      </c>
      <c r="E39" s="54" t="n">
        <v>12206.0</v>
      </c>
      <c r="F39" s="2" t="n">
        <v>650.0</v>
      </c>
      <c r="G39" s="2" t="n">
        <v>2239.0</v>
      </c>
    </row>
    <row r="40" spans="1:7" x14ac:dyDescent="0.2">
      <c r="A40" s="50">
        <v>2056</v>
      </c>
      <c r="B40" s="1" t="n">
        <v>5735.0</v>
      </c>
      <c r="C40" s="54" t="n">
        <v>22366.0</v>
      </c>
      <c r="D40" s="59" t="n">
        <v>12948.0</v>
      </c>
      <c r="E40" s="54" t="n">
        <v>11990.0</v>
      </c>
      <c r="F40" s="2" t="n">
        <v>644.0</v>
      </c>
      <c r="G40" s="2" t="n">
        <v>2243.0</v>
      </c>
    </row>
    <row r="41" spans="1:7" x14ac:dyDescent="0.2">
      <c r="A41" s="50">
        <v>2057</v>
      </c>
      <c r="B41" s="1" t="n">
        <v>5538.0</v>
      </c>
      <c r="C41" s="54" t="n">
        <v>22340.0</v>
      </c>
      <c r="D41" s="59" t="n">
        <v>12719.0</v>
      </c>
      <c r="E41" s="54" t="n">
        <v>11706.0</v>
      </c>
      <c r="F41" s="2" t="n">
        <v>643.0</v>
      </c>
      <c r="G41" s="2" t="n">
        <v>2249.0</v>
      </c>
    </row>
    <row r="42" spans="1:7" x14ac:dyDescent="0.2">
      <c r="A42" s="50">
        <v>2058</v>
      </c>
      <c r="B42" s="1" t="n">
        <v>5345.0</v>
      </c>
      <c r="C42" s="54" t="n">
        <v>22245.0</v>
      </c>
      <c r="D42" s="59" t="n">
        <v>12473.0</v>
      </c>
      <c r="E42" s="54" t="n">
        <v>11467.0</v>
      </c>
      <c r="F42" s="2" t="n">
        <v>643.0</v>
      </c>
      <c r="G42" s="2" t="n">
        <v>2263.0</v>
      </c>
    </row>
    <row r="43" spans="1:7" x14ac:dyDescent="0.2">
      <c r="A43" s="50">
        <v>2059</v>
      </c>
      <c r="B43" s="1" t="n">
        <v>5171.0</v>
      </c>
      <c r="C43" s="54" t="n">
        <v>22232.0</v>
      </c>
      <c r="D43" s="59" t="n">
        <v>12263.0</v>
      </c>
      <c r="E43" s="54" t="n">
        <v>11219.0</v>
      </c>
      <c r="F43" s="2" t="n">
        <v>641.0</v>
      </c>
      <c r="G43" s="2" t="n">
        <v>2275.0</v>
      </c>
    </row>
    <row r="44" spans="1:7" x14ac:dyDescent="0.2">
      <c r="A44" s="51">
        <v>2060</v>
      </c>
      <c r="B44" s="5" t="n">
        <v>5020.0</v>
      </c>
      <c r="C44" s="56" t="n">
        <v>22111.0</v>
      </c>
      <c r="D44" s="60" t="n">
        <v>12068.0</v>
      </c>
      <c r="E44" s="56" t="n">
        <v>11001.0</v>
      </c>
      <c r="F44" s="6" t="n">
        <v>639.0</v>
      </c>
      <c r="G44" s="6" t="n">
        <v>2290.0</v>
      </c>
    </row>
  </sheetData>
  <mergeCells count="6">
    <mergeCell ref="A5:A6"/>
    <mergeCell ref="B5:C5"/>
    <mergeCell ref="D5:E5"/>
    <mergeCell ref="F5:G5"/>
    <mergeCell ref="B1:D1"/>
    <mergeCell ref="A2:B2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FF6966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85" width="23.7109375"/>
    <col min="4" max="4" customWidth="true" style="85" width="11.7109375"/>
    <col min="5" max="5" style="85" width="9.140625"/>
    <col min="6" max="6" customWidth="true" style="85" width="7.28515625"/>
    <col min="7" max="8" customWidth="true" style="85" width="11.85546875"/>
    <col min="9" max="21" style="85" width="9.140625"/>
    <col min="22" max="26" style="86" width="9.140625"/>
    <col min="27" max="29" style="87" width="9.140625"/>
    <col min="30" max="32" customWidth="true" style="87" width="15.42578125"/>
    <col min="33" max="33" customWidth="true" style="86" width="15.42578125"/>
    <col min="34" max="35" style="85" width="9.140625"/>
    <col min="36" max="16384" style="88" width="9.140625"/>
  </cols>
  <sheetData>
    <row r="1" spans="1:39" ht="22.9" customHeight="1" x14ac:dyDescent="0.25">
      <c r="A1" s="125"/>
      <c r="B1" s="151" t="s">
        <v>88</v>
      </c>
      <c r="C1" s="152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8"/>
      <c r="R1" s="91"/>
      <c r="S1" s="91"/>
      <c r="T1" s="91"/>
      <c r="U1" s="91"/>
      <c r="V1" s="90"/>
      <c r="W1" s="90"/>
      <c r="X1" s="90"/>
      <c r="Y1" s="90"/>
      <c r="Z1" s="90"/>
      <c r="AA1" s="96"/>
      <c r="AB1" s="96"/>
      <c r="AC1" s="96"/>
      <c r="AD1" s="96"/>
      <c r="AE1" s="96"/>
      <c r="AF1" s="96"/>
      <c r="AG1" s="119"/>
      <c r="AH1" s="120"/>
      <c r="AI1" s="120"/>
      <c r="AJ1" s="121"/>
      <c r="AK1" s="121"/>
      <c r="AL1" s="121"/>
      <c r="AM1" s="121"/>
    </row>
    <row r="2" spans="1:39" ht="12" customHeight="1" x14ac:dyDescent="0.25">
      <c r="A2" s="110" t="s">
        <v>82</v>
      </c>
      <c r="B2" s="153" t="s">
        <v>89</v>
      </c>
      <c r="C2" s="154"/>
      <c r="D2" s="107"/>
      <c r="E2" s="107"/>
      <c r="F2" s="107"/>
      <c r="G2" s="107"/>
      <c r="H2" s="84"/>
      <c r="I2" s="84"/>
      <c r="J2" s="84"/>
      <c r="K2" s="84"/>
      <c r="L2" s="84"/>
      <c r="M2" s="84"/>
      <c r="N2" s="84"/>
      <c r="O2" s="84"/>
      <c r="P2" s="84"/>
      <c r="Q2" s="84"/>
      <c r="R2" s="91"/>
      <c r="S2" s="91"/>
      <c r="T2" s="91"/>
      <c r="U2" s="91"/>
      <c r="V2" s="90"/>
      <c r="W2" s="90"/>
      <c r="X2" s="90"/>
      <c r="Y2" s="90"/>
      <c r="Z2" s="90"/>
      <c r="AA2" s="96"/>
      <c r="AB2" s="96"/>
      <c r="AC2" s="96"/>
      <c r="AD2" s="96"/>
      <c r="AE2" s="96"/>
      <c r="AF2" s="96"/>
      <c r="AG2" s="119"/>
      <c r="AH2" s="120"/>
      <c r="AI2" s="120"/>
      <c r="AJ2" s="121"/>
      <c r="AK2" s="121"/>
      <c r="AL2" s="121"/>
      <c r="AM2" s="121"/>
    </row>
    <row r="3" spans="1:39" ht="12" customHeight="1" thickBot="1" x14ac:dyDescent="0.3">
      <c r="A3" s="111" t="s">
        <v>83</v>
      </c>
      <c r="B3" s="155"/>
      <c r="C3" s="156"/>
      <c r="D3" s="107"/>
      <c r="E3" s="107"/>
      <c r="F3" s="107"/>
      <c r="G3" s="107"/>
      <c r="H3" s="42"/>
      <c r="I3" s="42"/>
      <c r="J3" s="89"/>
      <c r="O3" s="85" t="s">
        <v>38</v>
      </c>
      <c r="P3" s="91"/>
      <c r="Q3" s="91"/>
      <c r="R3" s="91"/>
      <c r="S3" s="91"/>
      <c r="T3" s="91"/>
      <c r="U3" s="91"/>
      <c r="V3" s="90"/>
      <c r="W3" s="90"/>
      <c r="X3" s="90"/>
      <c r="Y3" s="90"/>
      <c r="Z3" s="90"/>
      <c r="AA3" s="96"/>
      <c r="AB3" s="96"/>
      <c r="AC3" s="96"/>
      <c r="AD3" s="96"/>
      <c r="AE3" s="96"/>
      <c r="AF3" s="96"/>
      <c r="AG3" s="119"/>
      <c r="AH3" s="120"/>
      <c r="AI3" s="120"/>
      <c r="AJ3" s="121"/>
      <c r="AK3" s="121"/>
      <c r="AL3" s="121"/>
      <c r="AM3" s="121"/>
    </row>
    <row r="4" spans="1:39" ht="22.9" customHeight="1" thickBot="1" x14ac:dyDescent="0.3">
      <c r="A4" s="148" t="s">
        <v>105</v>
      </c>
      <c r="B4" s="149"/>
      <c r="C4" s="150"/>
      <c r="I4" s="89"/>
      <c r="J4" s="89"/>
      <c r="P4" s="91"/>
      <c r="Q4" s="91"/>
      <c r="R4" s="91"/>
      <c r="S4" s="91"/>
      <c r="T4" s="91"/>
      <c r="U4" s="91"/>
      <c r="V4" s="90"/>
      <c r="W4" s="90"/>
      <c r="X4" s="90"/>
      <c r="Y4" s="90"/>
      <c r="Z4" s="90"/>
      <c r="AA4" s="96"/>
      <c r="AB4" s="96"/>
      <c r="AC4" s="96"/>
      <c r="AD4" s="96"/>
      <c r="AE4" s="96"/>
      <c r="AF4" s="96"/>
      <c r="AG4" s="119"/>
      <c r="AH4" s="120"/>
      <c r="AI4" s="120"/>
      <c r="AJ4" s="121"/>
      <c r="AK4" s="121"/>
      <c r="AL4" s="121"/>
      <c r="AM4" s="121"/>
    </row>
    <row r="5" spans="1:39" ht="16.899999999999999" customHeight="1" x14ac:dyDescent="0.25">
      <c r="A5" s="92"/>
      <c r="B5" s="93"/>
      <c r="C5" s="112"/>
      <c r="P5" s="91"/>
      <c r="Q5" s="91"/>
      <c r="R5" s="91"/>
      <c r="S5" s="91"/>
      <c r="T5" s="91"/>
      <c r="U5" s="91"/>
      <c r="V5" s="90"/>
      <c r="W5" s="90"/>
      <c r="X5" s="90"/>
      <c r="Y5" s="90"/>
      <c r="Z5" s="90"/>
      <c r="AA5" s="96"/>
      <c r="AB5" s="96"/>
      <c r="AC5" s="96"/>
      <c r="AD5" s="96"/>
      <c r="AE5" s="96"/>
      <c r="AF5" s="96"/>
      <c r="AG5" s="119"/>
      <c r="AH5" s="120"/>
      <c r="AI5" s="120"/>
      <c r="AJ5" s="121"/>
      <c r="AK5" s="121"/>
      <c r="AL5" s="121"/>
      <c r="AM5" s="121"/>
    </row>
    <row r="6" spans="1:39" ht="16.899999999999999" customHeight="1" thickBot="1" x14ac:dyDescent="0.3">
      <c r="A6" s="94" t="s">
        <v>38</v>
      </c>
      <c r="B6" s="124" t="s">
        <v>101</v>
      </c>
      <c r="C6" s="113"/>
      <c r="I6" s="95"/>
      <c r="P6" s="91"/>
      <c r="Q6" s="91"/>
      <c r="R6" s="91"/>
      <c r="S6" s="91"/>
      <c r="T6" s="91"/>
      <c r="U6" s="91"/>
      <c r="V6" s="90"/>
      <c r="W6" s="90"/>
      <c r="X6" s="90"/>
      <c r="Y6" s="90"/>
      <c r="Z6" s="90"/>
      <c r="AA6" s="96"/>
      <c r="AB6" s="96"/>
      <c r="AC6" s="96"/>
      <c r="AD6" s="96"/>
      <c r="AE6" s="96"/>
      <c r="AF6" s="96"/>
      <c r="AG6" s="119"/>
      <c r="AH6" s="120"/>
      <c r="AI6" s="120"/>
      <c r="AJ6" s="121"/>
      <c r="AK6" s="121"/>
      <c r="AL6" s="121"/>
      <c r="AM6" s="121"/>
    </row>
    <row r="7" spans="1:39" ht="16.899999999999999" customHeight="1" thickBot="1" x14ac:dyDescent="0.35">
      <c r="A7" s="97"/>
      <c r="B7" s="123"/>
      <c r="C7" s="122">
        <v>2022</v>
      </c>
      <c r="I7" s="95"/>
      <c r="P7" s="91"/>
      <c r="Q7" s="91"/>
      <c r="R7" s="91"/>
      <c r="S7" s="91"/>
      <c r="T7" s="91"/>
      <c r="U7" s="91"/>
      <c r="V7" s="90"/>
      <c r="W7" s="90"/>
      <c r="X7" s="90"/>
      <c r="Y7" s="90"/>
      <c r="Z7" s="90"/>
      <c r="AA7" s="96">
        <v>2022</v>
      </c>
      <c r="AB7" s="96">
        <v>0</v>
      </c>
      <c r="AC7" s="96"/>
      <c r="AD7" s="96" t="s">
        <v>90</v>
      </c>
      <c r="AE7" s="96" t="s">
        <v>91</v>
      </c>
      <c r="AF7" s="96" t="s">
        <v>99</v>
      </c>
      <c r="AG7" s="119" t="s">
        <v>100</v>
      </c>
      <c r="AH7" s="120"/>
      <c r="AI7" s="120"/>
      <c r="AJ7" s="121"/>
      <c r="AK7" s="121"/>
      <c r="AL7" s="121"/>
      <c r="AM7" s="121"/>
    </row>
    <row r="8" spans="1:39" ht="16.899999999999999" customHeight="1" x14ac:dyDescent="0.25">
      <c r="A8" s="97"/>
      <c r="B8" s="124" t="s">
        <v>102</v>
      </c>
      <c r="C8" s="113"/>
      <c r="I8" s="99"/>
      <c r="P8" s="91"/>
      <c r="Q8" s="91"/>
      <c r="R8" s="91"/>
      <c r="S8" s="91"/>
      <c r="T8" s="91"/>
      <c r="U8" s="91"/>
      <c r="V8" s="90"/>
      <c r="W8" s="90"/>
      <c r="X8" s="90"/>
      <c r="Y8" s="90"/>
      <c r="Z8" s="90"/>
      <c r="AA8" s="96">
        <v>2023</v>
      </c>
      <c r="AB8" s="96">
        <v>1</v>
      </c>
      <c r="AC8" s="96"/>
      <c r="AD8" s="100">
        <f>(-1*B12)-AF8</f>
        <v>-9999999</v>
      </c>
      <c r="AE8" s="101">
        <f>C12-AG8</f>
        <v>9999999</v>
      </c>
      <c r="AF8" s="96">
        <f>IF(B12&gt;C12,-1*(B12-C12),0)</f>
        <v>0</v>
      </c>
      <c r="AG8" s="101">
        <f>IF(C12&gt;B12,C12-B12,0)</f>
        <v>0</v>
      </c>
      <c r="AH8" s="120"/>
      <c r="AI8" s="120"/>
      <c r="AJ8" s="121"/>
      <c r="AK8" s="121"/>
      <c r="AL8" s="121"/>
      <c r="AM8" s="121"/>
    </row>
    <row r="9" spans="1:39" ht="16.899999999999999" customHeight="1" x14ac:dyDescent="0.25">
      <c r="A9" s="97"/>
      <c r="B9" s="98"/>
      <c r="C9" s="113"/>
      <c r="I9" s="99"/>
      <c r="P9" s="91"/>
      <c r="Q9" s="91"/>
      <c r="R9" s="91"/>
      <c r="S9" s="91"/>
      <c r="T9" s="91"/>
      <c r="U9" s="91"/>
      <c r="V9" s="90"/>
      <c r="W9" s="90"/>
      <c r="X9" s="90"/>
      <c r="Y9" s="90"/>
      <c r="Z9" s="90"/>
      <c r="AA9" s="96">
        <v>2024</v>
      </c>
      <c r="AB9" s="96">
        <v>2</v>
      </c>
      <c r="AC9" s="96"/>
      <c r="AD9" s="100">
        <f>(-1*B13)-AF9</f>
        <v>-9999999</v>
      </c>
      <c r="AE9" s="101">
        <f>C13-AG9</f>
        <v>9999999</v>
      </c>
      <c r="AF9" s="96">
        <f>IF(B13&gt;C13,-1*(B13-C13),0)</f>
        <v>0</v>
      </c>
      <c r="AG9" s="101">
        <f>IF(C13&gt;B13,C13-B13,0)</f>
        <v>0</v>
      </c>
      <c r="AH9" s="120"/>
      <c r="AI9" s="120"/>
      <c r="AJ9" s="121"/>
      <c r="AK9" s="121"/>
      <c r="AL9" s="121"/>
      <c r="AM9" s="121"/>
    </row>
    <row r="10" spans="1:39" ht="16.899999999999999" customHeight="1" x14ac:dyDescent="0.25">
      <c r="A10" s="98"/>
      <c r="B10" s="89"/>
      <c r="C10" s="113"/>
      <c r="I10" s="99"/>
      <c r="P10" s="91"/>
      <c r="Q10" s="91"/>
      <c r="R10" s="91"/>
      <c r="S10" s="91"/>
      <c r="T10" s="91"/>
      <c r="U10" s="91"/>
      <c r="V10" s="90"/>
      <c r="W10" s="90"/>
      <c r="X10" s="90"/>
      <c r="Y10" s="90"/>
      <c r="Z10" s="90"/>
      <c r="AA10" s="96">
        <v>2025</v>
      </c>
      <c r="AB10" s="96">
        <v>3</v>
      </c>
      <c r="AC10" s="96"/>
      <c r="AD10" s="100">
        <f t="shared" ref="AD10:AD72" si="0">(-1*B14)-AF10</f>
        <v>-9999999</v>
      </c>
      <c r="AE10" s="101">
        <f t="shared" ref="AE10:AE72" si="1">C14-AG10</f>
        <v>9999999</v>
      </c>
      <c r="AF10" s="96">
        <f t="shared" ref="AF10:AF72" si="2">IF(B14&gt;C14,-1*(B14-C14),0)</f>
        <v>0</v>
      </c>
      <c r="AG10" s="101">
        <f t="shared" ref="AG10:AG72" si="3">IF(C14&gt;B14,C14-B14,0)</f>
        <v>0</v>
      </c>
      <c r="AH10" s="120"/>
      <c r="AI10" s="120"/>
      <c r="AJ10" s="121"/>
      <c r="AK10" s="121"/>
      <c r="AL10" s="121"/>
      <c r="AM10" s="121"/>
    </row>
    <row r="11" spans="1:39" ht="16.899999999999999" customHeight="1" x14ac:dyDescent="0.25">
      <c r="A11" s="114" t="s">
        <v>96</v>
      </c>
      <c r="B11" s="114" t="s">
        <v>97</v>
      </c>
      <c r="C11" s="114" t="s">
        <v>98</v>
      </c>
      <c r="I11" s="99"/>
      <c r="P11" s="91"/>
      <c r="Q11" s="120"/>
      <c r="R11" s="91"/>
      <c r="S11" s="91"/>
      <c r="T11" s="91"/>
      <c r="U11" s="91"/>
      <c r="V11" s="90"/>
      <c r="W11" s="90"/>
      <c r="X11" s="90"/>
      <c r="Y11" s="90"/>
      <c r="Z11" s="90"/>
      <c r="AA11" s="96">
        <v>2026</v>
      </c>
      <c r="AB11" s="96">
        <v>4</v>
      </c>
      <c r="AC11" s="96"/>
      <c r="AD11" s="100">
        <f t="shared" si="0"/>
        <v>-9999999</v>
      </c>
      <c r="AE11" s="101">
        <f t="shared" si="1"/>
        <v>9999999</v>
      </c>
      <c r="AF11" s="96">
        <f t="shared" si="2"/>
        <v>0</v>
      </c>
      <c r="AG11" s="101">
        <f t="shared" si="3"/>
        <v>0</v>
      </c>
      <c r="AH11" s="120"/>
      <c r="AI11" s="120"/>
      <c r="AJ11" s="121"/>
      <c r="AK11" s="121"/>
      <c r="AL11" s="121"/>
      <c r="AM11" s="121"/>
    </row>
    <row r="12" spans="1:39" x14ac:dyDescent="0.25">
      <c r="A12" s="117">
        <v>0</v>
      </c>
      <c r="B12" s="118">
        <f>INDEX('Tabl. 1'!$C$8:$AO$313,104+$AB7,MATCH($C$7,$AA$7:$AA$45))</f>
        <v>9999999</v>
      </c>
      <c r="C12" s="118">
        <f>INDEX('Tabl. 1'!$C$8:$AO$313,206+$AB7,MATCH($C$7,$AA$7:$AA$45))</f>
        <v>9999999</v>
      </c>
      <c r="I12" s="99"/>
      <c r="P12" s="91"/>
      <c r="Q12" s="91"/>
      <c r="R12" s="91"/>
      <c r="S12" s="91"/>
      <c r="T12" s="91"/>
      <c r="U12" s="91"/>
      <c r="V12" s="90"/>
      <c r="W12" s="90"/>
      <c r="X12" s="90"/>
      <c r="Y12" s="90"/>
      <c r="Z12" s="90"/>
      <c r="AA12" s="96">
        <v>2027</v>
      </c>
      <c r="AB12" s="96">
        <v>5</v>
      </c>
      <c r="AC12" s="96"/>
      <c r="AD12" s="100">
        <f t="shared" si="0"/>
        <v>-9999999</v>
      </c>
      <c r="AE12" s="101">
        <f t="shared" si="1"/>
        <v>9999999</v>
      </c>
      <c r="AF12" s="96">
        <f t="shared" si="2"/>
        <v>0</v>
      </c>
      <c r="AG12" s="101">
        <f t="shared" si="3"/>
        <v>0</v>
      </c>
      <c r="AH12" s="120"/>
      <c r="AI12" s="120"/>
      <c r="AJ12" s="121"/>
      <c r="AK12" s="121"/>
      <c r="AL12" s="121"/>
      <c r="AM12" s="121"/>
    </row>
    <row r="13" spans="1:39" x14ac:dyDescent="0.25">
      <c r="A13" s="117">
        <v>1</v>
      </c>
      <c r="B13" s="118">
        <f>INDEX('Tabl. 1'!$C$8:$AO$313,104+$AB8,MATCH($C$7,$AA$7:$AA$45))</f>
        <v>9999999</v>
      </c>
      <c r="C13" s="118">
        <f>INDEX('Tabl. 1'!$C$8:$AO$313,206+$AB8,MATCH($C$7,$AA$7:$AA$45))</f>
        <v>9999999</v>
      </c>
      <c r="I13" s="99"/>
      <c r="P13" s="91"/>
      <c r="Q13" s="91"/>
      <c r="R13" s="91"/>
      <c r="S13" s="91"/>
      <c r="T13" s="91"/>
      <c r="U13" s="91"/>
      <c r="V13" s="90"/>
      <c r="W13" s="90"/>
      <c r="X13" s="90"/>
      <c r="Y13" s="90"/>
      <c r="Z13" s="90"/>
      <c r="AA13" s="96">
        <v>2028</v>
      </c>
      <c r="AB13" s="96">
        <v>6</v>
      </c>
      <c r="AC13" s="96"/>
      <c r="AD13" s="100">
        <f t="shared" si="0"/>
        <v>-9999999</v>
      </c>
      <c r="AE13" s="101">
        <f t="shared" si="1"/>
        <v>9999999</v>
      </c>
      <c r="AF13" s="96">
        <f t="shared" si="2"/>
        <v>0</v>
      </c>
      <c r="AG13" s="101">
        <f t="shared" si="3"/>
        <v>0</v>
      </c>
      <c r="AH13" s="120"/>
      <c r="AI13" s="120"/>
      <c r="AJ13" s="121"/>
      <c r="AK13" s="121"/>
      <c r="AL13" s="121"/>
      <c r="AM13" s="121"/>
    </row>
    <row r="14" spans="1:39" x14ac:dyDescent="0.25">
      <c r="A14" s="117">
        <v>2</v>
      </c>
      <c r="B14" s="118">
        <f>INDEX('Tabl. 1'!$C$8:$AO$313,104+$AB9,MATCH($C$7,$AA$7:$AA$45))</f>
        <v>9999999</v>
      </c>
      <c r="C14" s="118">
        <f>INDEX('Tabl. 1'!$C$8:$AO$313,206+$AB9,MATCH($C$7,$AA$7:$AA$45))</f>
        <v>9999999</v>
      </c>
      <c r="I14" s="99"/>
      <c r="P14" s="91"/>
      <c r="Q14" s="91"/>
      <c r="R14" s="91"/>
      <c r="S14" s="91"/>
      <c r="T14" s="91"/>
      <c r="U14" s="91"/>
      <c r="V14" s="90"/>
      <c r="W14" s="90"/>
      <c r="X14" s="90"/>
      <c r="Y14" s="90"/>
      <c r="Z14" s="90"/>
      <c r="AA14" s="96">
        <v>2029</v>
      </c>
      <c r="AB14" s="96">
        <v>7</v>
      </c>
      <c r="AC14" s="96"/>
      <c r="AD14" s="100">
        <f t="shared" si="0"/>
        <v>-9999999</v>
      </c>
      <c r="AE14" s="101">
        <f t="shared" si="1"/>
        <v>9999999</v>
      </c>
      <c r="AF14" s="96">
        <f t="shared" si="2"/>
        <v>0</v>
      </c>
      <c r="AG14" s="101">
        <f t="shared" si="3"/>
        <v>0</v>
      </c>
      <c r="AH14" s="120"/>
      <c r="AI14" s="120"/>
      <c r="AJ14" s="121"/>
      <c r="AK14" s="121"/>
      <c r="AL14" s="121"/>
      <c r="AM14" s="121"/>
    </row>
    <row r="15" spans="1:39" x14ac:dyDescent="0.25">
      <c r="A15" s="117">
        <v>3</v>
      </c>
      <c r="B15" s="118">
        <f>INDEX('Tabl. 1'!$C$8:$AO$313,104+$AB10,MATCH($C$7,$AA$7:$AA$45))</f>
        <v>9999999</v>
      </c>
      <c r="C15" s="118">
        <f>INDEX('Tabl. 1'!$C$8:$AO$313,206+$AB10,MATCH($C$7,$AA$7:$AA$45))</f>
        <v>9999999</v>
      </c>
      <c r="I15" s="99"/>
      <c r="P15" s="91"/>
      <c r="Q15" s="91"/>
      <c r="R15" s="91"/>
      <c r="S15" s="91"/>
      <c r="T15" s="91"/>
      <c r="U15" s="91"/>
      <c r="V15" s="90"/>
      <c r="W15" s="90"/>
      <c r="X15" s="90"/>
      <c r="Y15" s="90"/>
      <c r="Z15" s="90"/>
      <c r="AA15" s="96">
        <v>2030</v>
      </c>
      <c r="AB15" s="96">
        <v>8</v>
      </c>
      <c r="AC15" s="96"/>
      <c r="AD15" s="100">
        <f t="shared" si="0"/>
        <v>-9999999</v>
      </c>
      <c r="AE15" s="101">
        <f t="shared" si="1"/>
        <v>9999999</v>
      </c>
      <c r="AF15" s="96">
        <f t="shared" si="2"/>
        <v>0</v>
      </c>
      <c r="AG15" s="101">
        <f t="shared" si="3"/>
        <v>0</v>
      </c>
      <c r="AH15" s="120"/>
      <c r="AI15" s="120"/>
      <c r="AJ15" s="121"/>
      <c r="AK15" s="121"/>
      <c r="AL15" s="121"/>
      <c r="AM15" s="121"/>
    </row>
    <row r="16" spans="1:39" x14ac:dyDescent="0.25">
      <c r="A16" s="117">
        <v>4</v>
      </c>
      <c r="B16" s="118">
        <f>INDEX('Tabl. 1'!$C$8:$AO$313,104+$AB11,MATCH($C$7,$AA$7:$AA$45))</f>
        <v>9999999</v>
      </c>
      <c r="C16" s="118">
        <f>INDEX('Tabl. 1'!$C$8:$AO$313,206+$AB11,MATCH($C$7,$AA$7:$AA$45))</f>
        <v>9999999</v>
      </c>
      <c r="I16" s="99"/>
      <c r="P16" s="91"/>
      <c r="Q16" s="91"/>
      <c r="R16" s="91"/>
      <c r="S16" s="91"/>
      <c r="T16" s="91"/>
      <c r="U16" s="91"/>
      <c r="V16" s="90"/>
      <c r="W16" s="90"/>
      <c r="X16" s="90"/>
      <c r="Y16" s="90"/>
      <c r="Z16" s="90"/>
      <c r="AA16" s="96">
        <v>2031</v>
      </c>
      <c r="AB16" s="96">
        <v>9</v>
      </c>
      <c r="AC16" s="96"/>
      <c r="AD16" s="100">
        <f t="shared" si="0"/>
        <v>-9999999</v>
      </c>
      <c r="AE16" s="101">
        <f t="shared" si="1"/>
        <v>9999999</v>
      </c>
      <c r="AF16" s="96">
        <f t="shared" si="2"/>
        <v>0</v>
      </c>
      <c r="AG16" s="101">
        <f t="shared" si="3"/>
        <v>0</v>
      </c>
      <c r="AH16" s="120"/>
      <c r="AI16" s="120"/>
      <c r="AJ16" s="121"/>
      <c r="AK16" s="121"/>
      <c r="AL16" s="121"/>
      <c r="AM16" s="121"/>
    </row>
    <row r="17" spans="1:39" x14ac:dyDescent="0.25">
      <c r="A17" s="115">
        <v>5</v>
      </c>
      <c r="B17" s="116">
        <f>INDEX('Tabl. 1'!$C$8:$AO$313,104+$AB12,MATCH($C$7,$AA$7:$AA$45))</f>
        <v>9999999</v>
      </c>
      <c r="C17" s="116">
        <f>INDEX('Tabl. 1'!$C$8:$AO$313,206+$AB12,MATCH($C$7,$AA$7:$AA$45))</f>
        <v>9999999</v>
      </c>
      <c r="I17" s="99"/>
      <c r="P17" s="91"/>
      <c r="Q17" s="91"/>
      <c r="R17" s="91"/>
      <c r="S17" s="91"/>
      <c r="T17" s="91"/>
      <c r="U17" s="91"/>
      <c r="V17" s="90"/>
      <c r="W17" s="90"/>
      <c r="X17" s="90"/>
      <c r="Y17" s="90"/>
      <c r="Z17" s="90"/>
      <c r="AA17" s="96">
        <v>2032</v>
      </c>
      <c r="AB17" s="96">
        <v>10</v>
      </c>
      <c r="AC17" s="96"/>
      <c r="AD17" s="100">
        <f t="shared" si="0"/>
        <v>-9999999</v>
      </c>
      <c r="AE17" s="101">
        <f t="shared" si="1"/>
        <v>9999999</v>
      </c>
      <c r="AF17" s="96">
        <f t="shared" si="2"/>
        <v>0</v>
      </c>
      <c r="AG17" s="101">
        <f t="shared" si="3"/>
        <v>0</v>
      </c>
      <c r="AH17" s="120"/>
      <c r="AI17" s="120"/>
      <c r="AJ17" s="121"/>
      <c r="AK17" s="121"/>
      <c r="AL17" s="121"/>
      <c r="AM17" s="121"/>
    </row>
    <row r="18" spans="1:39" x14ac:dyDescent="0.25">
      <c r="A18" s="103">
        <v>6</v>
      </c>
      <c r="B18" s="102">
        <f>INDEX('Tabl. 1'!$C$8:$AO$313,104+$AB13,MATCH($C$7,$AA$7:$AA$45))</f>
        <v>9999999</v>
      </c>
      <c r="C18" s="102">
        <f>INDEX('Tabl. 1'!$C$8:$AO$313,206+$AB13,MATCH($C$7,$AA$7:$AA$45))</f>
        <v>9999999</v>
      </c>
      <c r="I18" s="99"/>
      <c r="P18" s="91"/>
      <c r="Q18" s="91"/>
      <c r="R18" s="91"/>
      <c r="S18" s="91"/>
      <c r="T18" s="91"/>
      <c r="U18" s="91"/>
      <c r="V18" s="90"/>
      <c r="W18" s="90"/>
      <c r="X18" s="90"/>
      <c r="Y18" s="90"/>
      <c r="Z18" s="90"/>
      <c r="AA18" s="96">
        <v>2033</v>
      </c>
      <c r="AB18" s="96">
        <v>11</v>
      </c>
      <c r="AC18" s="96"/>
      <c r="AD18" s="100">
        <f t="shared" si="0"/>
        <v>-9999999</v>
      </c>
      <c r="AE18" s="101">
        <f t="shared" si="1"/>
        <v>9999999</v>
      </c>
      <c r="AF18" s="96">
        <f t="shared" si="2"/>
        <v>0</v>
      </c>
      <c r="AG18" s="101">
        <f t="shared" si="3"/>
        <v>0</v>
      </c>
      <c r="AH18" s="120"/>
      <c r="AI18" s="120"/>
      <c r="AJ18" s="121"/>
      <c r="AK18" s="121"/>
      <c r="AL18" s="121"/>
      <c r="AM18" s="121"/>
    </row>
    <row r="19" spans="1:39" x14ac:dyDescent="0.25">
      <c r="A19" s="103">
        <v>7</v>
      </c>
      <c r="B19" s="102">
        <f>INDEX('Tabl. 1'!$C$8:$AO$313,104+$AB14,MATCH($C$7,$AA$7:$AA$45))</f>
        <v>9999999</v>
      </c>
      <c r="C19" s="102">
        <f>INDEX('Tabl. 1'!$C$8:$AO$313,206+$AB14,MATCH($C$7,$AA$7:$AA$45))</f>
        <v>9999999</v>
      </c>
      <c r="I19" s="99"/>
      <c r="P19" s="91"/>
      <c r="Q19" s="91"/>
      <c r="R19" s="91"/>
      <c r="S19" s="91"/>
      <c r="T19" s="91"/>
      <c r="U19" s="91"/>
      <c r="V19" s="90"/>
      <c r="W19" s="90"/>
      <c r="X19" s="90"/>
      <c r="Y19" s="90"/>
      <c r="Z19" s="90"/>
      <c r="AA19" s="96">
        <v>2034</v>
      </c>
      <c r="AB19" s="96">
        <v>12</v>
      </c>
      <c r="AC19" s="96"/>
      <c r="AD19" s="100">
        <f t="shared" si="0"/>
        <v>-9999999</v>
      </c>
      <c r="AE19" s="101">
        <f t="shared" si="1"/>
        <v>9999999</v>
      </c>
      <c r="AF19" s="96">
        <f t="shared" si="2"/>
        <v>0</v>
      </c>
      <c r="AG19" s="101">
        <f t="shared" si="3"/>
        <v>0</v>
      </c>
      <c r="AH19" s="120"/>
      <c r="AI19" s="120"/>
      <c r="AJ19" s="121"/>
      <c r="AK19" s="121"/>
      <c r="AL19" s="121"/>
      <c r="AM19" s="121"/>
    </row>
    <row r="20" spans="1:39" x14ac:dyDescent="0.25">
      <c r="A20" s="103">
        <v>8</v>
      </c>
      <c r="B20" s="102">
        <f>INDEX('Tabl. 1'!$C$8:$AO$313,104+$AB15,MATCH($C$7,$AA$7:$AA$45))</f>
        <v>9999999</v>
      </c>
      <c r="C20" s="102">
        <f>INDEX('Tabl. 1'!$C$8:$AO$313,206+$AB15,MATCH($C$7,$AA$7:$AA$45))</f>
        <v>9999999</v>
      </c>
      <c r="I20" s="99"/>
      <c r="P20" s="91"/>
      <c r="Q20" s="91"/>
      <c r="R20" s="91"/>
      <c r="S20" s="91"/>
      <c r="T20" s="91"/>
      <c r="U20" s="91"/>
      <c r="V20" s="90"/>
      <c r="W20" s="90"/>
      <c r="X20" s="90"/>
      <c r="Y20" s="90"/>
      <c r="Z20" s="90"/>
      <c r="AA20" s="96">
        <v>2035</v>
      </c>
      <c r="AB20" s="96">
        <v>13</v>
      </c>
      <c r="AC20" s="96"/>
      <c r="AD20" s="100">
        <f t="shared" si="0"/>
        <v>-9999999</v>
      </c>
      <c r="AE20" s="101">
        <f t="shared" si="1"/>
        <v>9999999</v>
      </c>
      <c r="AF20" s="96">
        <f t="shared" si="2"/>
        <v>0</v>
      </c>
      <c r="AG20" s="101">
        <f t="shared" si="3"/>
        <v>0</v>
      </c>
      <c r="AH20" s="120"/>
      <c r="AI20" s="120"/>
      <c r="AJ20" s="121"/>
      <c r="AK20" s="121"/>
      <c r="AL20" s="121"/>
      <c r="AM20" s="121"/>
    </row>
    <row r="21" spans="1:39" x14ac:dyDescent="0.25">
      <c r="A21" s="103">
        <v>9</v>
      </c>
      <c r="B21" s="102">
        <f>INDEX('Tabl. 1'!$C$8:$AO$313,104+$AB16,MATCH($C$7,$AA$7:$AA$45))</f>
        <v>9999999</v>
      </c>
      <c r="C21" s="102">
        <f>INDEX('Tabl. 1'!$C$8:$AO$313,206+$AB16,MATCH($C$7,$AA$7:$AA$45))</f>
        <v>9999999</v>
      </c>
      <c r="I21" s="99"/>
      <c r="P21" s="91"/>
      <c r="Q21" s="91"/>
      <c r="R21" s="91"/>
      <c r="S21" s="91"/>
      <c r="T21" s="91"/>
      <c r="U21" s="91"/>
      <c r="V21" s="90"/>
      <c r="W21" s="90"/>
      <c r="X21" s="90"/>
      <c r="Y21" s="90"/>
      <c r="Z21" s="90"/>
      <c r="AA21" s="96">
        <v>2036</v>
      </c>
      <c r="AB21" s="96">
        <v>14</v>
      </c>
      <c r="AC21" s="96"/>
      <c r="AD21" s="100">
        <f t="shared" si="0"/>
        <v>-9999999</v>
      </c>
      <c r="AE21" s="101">
        <f t="shared" si="1"/>
        <v>9999999</v>
      </c>
      <c r="AF21" s="96">
        <f t="shared" si="2"/>
        <v>0</v>
      </c>
      <c r="AG21" s="101">
        <f t="shared" si="3"/>
        <v>0</v>
      </c>
      <c r="AH21" s="120"/>
      <c r="AI21" s="120"/>
      <c r="AJ21" s="121"/>
      <c r="AK21" s="121"/>
      <c r="AL21" s="121"/>
      <c r="AM21" s="121"/>
    </row>
    <row r="22" spans="1:39" x14ac:dyDescent="0.25">
      <c r="A22" s="103">
        <v>10</v>
      </c>
      <c r="B22" s="102">
        <f>INDEX('Tabl. 1'!$C$8:$AO$313,104+$AB17,MATCH($C$7,$AA$7:$AA$45))</f>
        <v>9999999</v>
      </c>
      <c r="C22" s="102">
        <f>INDEX('Tabl. 1'!$C$8:$AO$313,206+$AB17,MATCH($C$7,$AA$7:$AA$45))</f>
        <v>9999999</v>
      </c>
      <c r="I22" s="99"/>
      <c r="P22" s="91"/>
      <c r="Q22" s="91"/>
      <c r="R22" s="91"/>
      <c r="S22" s="91"/>
      <c r="T22" s="91"/>
      <c r="U22" s="91"/>
      <c r="V22" s="90"/>
      <c r="W22" s="90"/>
      <c r="X22" s="90"/>
      <c r="Y22" s="90"/>
      <c r="Z22" s="90"/>
      <c r="AA22" s="96">
        <v>2037</v>
      </c>
      <c r="AB22" s="96">
        <v>15</v>
      </c>
      <c r="AC22" s="96"/>
      <c r="AD22" s="100">
        <f t="shared" si="0"/>
        <v>-9999999</v>
      </c>
      <c r="AE22" s="101">
        <f t="shared" si="1"/>
        <v>9999999</v>
      </c>
      <c r="AF22" s="96">
        <f t="shared" si="2"/>
        <v>0</v>
      </c>
      <c r="AG22" s="101">
        <f t="shared" si="3"/>
        <v>0</v>
      </c>
      <c r="AH22" s="120"/>
      <c r="AI22" s="120"/>
      <c r="AJ22" s="121"/>
      <c r="AK22" s="121"/>
      <c r="AL22" s="121"/>
      <c r="AM22" s="121"/>
    </row>
    <row r="23" spans="1:39" x14ac:dyDescent="0.25">
      <c r="A23" s="103">
        <v>11</v>
      </c>
      <c r="B23" s="102">
        <f>INDEX('Tabl. 1'!$C$8:$AO$313,104+$AB18,MATCH($C$7,$AA$7:$AA$45))</f>
        <v>9999999</v>
      </c>
      <c r="C23" s="102">
        <f>INDEX('Tabl. 1'!$C$8:$AO$313,206+$AB18,MATCH($C$7,$AA$7:$AA$45))</f>
        <v>9999999</v>
      </c>
      <c r="I23" s="99"/>
      <c r="P23" s="91"/>
      <c r="Q23" s="91"/>
      <c r="R23" s="91"/>
      <c r="S23" s="91"/>
      <c r="T23" s="91"/>
      <c r="U23" s="91"/>
      <c r="V23" s="90"/>
      <c r="W23" s="90"/>
      <c r="X23" s="90"/>
      <c r="Y23" s="90"/>
      <c r="Z23" s="90"/>
      <c r="AA23" s="96">
        <v>2038</v>
      </c>
      <c r="AB23" s="96">
        <v>16</v>
      </c>
      <c r="AC23" s="96"/>
      <c r="AD23" s="100">
        <f t="shared" si="0"/>
        <v>-9999999</v>
      </c>
      <c r="AE23" s="101">
        <f t="shared" si="1"/>
        <v>9999999</v>
      </c>
      <c r="AF23" s="96">
        <f t="shared" si="2"/>
        <v>0</v>
      </c>
      <c r="AG23" s="101">
        <f t="shared" si="3"/>
        <v>0</v>
      </c>
      <c r="AH23" s="120"/>
      <c r="AI23" s="120"/>
      <c r="AJ23" s="121"/>
      <c r="AK23" s="121"/>
      <c r="AL23" s="121"/>
      <c r="AM23" s="121"/>
    </row>
    <row r="24" spans="1:39" x14ac:dyDescent="0.25">
      <c r="A24" s="103">
        <v>12</v>
      </c>
      <c r="B24" s="102">
        <f>INDEX('Tabl. 1'!$C$8:$AO$313,104+$AB19,MATCH($C$7,$AA$7:$AA$45))</f>
        <v>9999999</v>
      </c>
      <c r="C24" s="102">
        <f>INDEX('Tabl. 1'!$C$8:$AO$313,206+$AB19,MATCH($C$7,$AA$7:$AA$45))</f>
        <v>9999999</v>
      </c>
      <c r="I24" s="99"/>
      <c r="P24" s="91"/>
      <c r="Q24" s="91"/>
      <c r="R24" s="91"/>
      <c r="S24" s="91"/>
      <c r="T24" s="91"/>
      <c r="U24" s="91"/>
      <c r="V24" s="90"/>
      <c r="W24" s="90"/>
      <c r="X24" s="90"/>
      <c r="Y24" s="90"/>
      <c r="Z24" s="90"/>
      <c r="AA24" s="96">
        <v>2039</v>
      </c>
      <c r="AB24" s="96">
        <v>17</v>
      </c>
      <c r="AC24" s="96"/>
      <c r="AD24" s="100">
        <f t="shared" si="0"/>
        <v>-9999999</v>
      </c>
      <c r="AE24" s="101">
        <f t="shared" si="1"/>
        <v>9999999</v>
      </c>
      <c r="AF24" s="96">
        <f t="shared" si="2"/>
        <v>0</v>
      </c>
      <c r="AG24" s="101">
        <f t="shared" si="3"/>
        <v>0</v>
      </c>
      <c r="AH24" s="120"/>
      <c r="AI24" s="120"/>
      <c r="AJ24" s="121"/>
      <c r="AK24" s="121"/>
      <c r="AL24" s="121"/>
      <c r="AM24" s="121"/>
    </row>
    <row r="25" spans="1:39" x14ac:dyDescent="0.25">
      <c r="A25" s="103">
        <v>13</v>
      </c>
      <c r="B25" s="102">
        <f>INDEX('Tabl. 1'!$C$8:$AO$313,104+$AB20,MATCH($C$7,$AA$7:$AA$45))</f>
        <v>9999999</v>
      </c>
      <c r="C25" s="102">
        <f>INDEX('Tabl. 1'!$C$8:$AO$313,206+$AB20,MATCH($C$7,$AA$7:$AA$45))</f>
        <v>9999999</v>
      </c>
      <c r="I25" s="99"/>
      <c r="P25" s="91"/>
      <c r="Q25" s="91"/>
      <c r="R25" s="91"/>
      <c r="S25" s="91"/>
      <c r="T25" s="91"/>
      <c r="U25" s="91"/>
      <c r="V25" s="90"/>
      <c r="W25" s="90"/>
      <c r="X25" s="90"/>
      <c r="Y25" s="90"/>
      <c r="Z25" s="90"/>
      <c r="AA25" s="96">
        <v>2040</v>
      </c>
      <c r="AB25" s="96">
        <v>18</v>
      </c>
      <c r="AC25" s="96"/>
      <c r="AD25" s="100">
        <f t="shared" si="0"/>
        <v>-9999999</v>
      </c>
      <c r="AE25" s="101">
        <f t="shared" si="1"/>
        <v>9999999</v>
      </c>
      <c r="AF25" s="96">
        <f t="shared" si="2"/>
        <v>0</v>
      </c>
      <c r="AG25" s="101">
        <f t="shared" si="3"/>
        <v>0</v>
      </c>
      <c r="AH25" s="120"/>
      <c r="AI25" s="120"/>
      <c r="AJ25" s="121"/>
      <c r="AK25" s="121"/>
      <c r="AL25" s="121"/>
      <c r="AM25" s="121"/>
    </row>
    <row r="26" spans="1:39" x14ac:dyDescent="0.25">
      <c r="A26" s="103">
        <v>14</v>
      </c>
      <c r="B26" s="102">
        <f>INDEX('Tabl. 1'!$C$8:$AO$313,104+$AB21,MATCH($C$7,$AA$7:$AA$45))</f>
        <v>9999999</v>
      </c>
      <c r="C26" s="102">
        <f>INDEX('Tabl. 1'!$C$8:$AO$313,206+$AB21,MATCH($C$7,$AA$7:$AA$45))</f>
        <v>9999999</v>
      </c>
      <c r="I26" s="99"/>
      <c r="P26" s="91"/>
      <c r="Q26" s="91"/>
      <c r="R26" s="91"/>
      <c r="S26" s="91"/>
      <c r="T26" s="91"/>
      <c r="U26" s="91"/>
      <c r="V26" s="90"/>
      <c r="W26" s="90"/>
      <c r="X26" s="90"/>
      <c r="Y26" s="90"/>
      <c r="Z26" s="90"/>
      <c r="AA26" s="96">
        <v>2041</v>
      </c>
      <c r="AB26" s="96">
        <v>19</v>
      </c>
      <c r="AC26" s="96"/>
      <c r="AD26" s="100">
        <f t="shared" si="0"/>
        <v>-9999999</v>
      </c>
      <c r="AE26" s="101">
        <f t="shared" si="1"/>
        <v>9999999</v>
      </c>
      <c r="AF26" s="96">
        <f t="shared" si="2"/>
        <v>0</v>
      </c>
      <c r="AG26" s="101">
        <f t="shared" si="3"/>
        <v>0</v>
      </c>
      <c r="AH26" s="120"/>
      <c r="AI26" s="120"/>
      <c r="AJ26" s="121"/>
      <c r="AK26" s="121"/>
      <c r="AL26" s="121"/>
      <c r="AM26" s="121"/>
    </row>
    <row r="27" spans="1:39" x14ac:dyDescent="0.25">
      <c r="A27" s="103">
        <v>15</v>
      </c>
      <c r="B27" s="102">
        <f>INDEX('Tabl. 1'!$C$8:$AO$313,104+$AB22,MATCH($C$7,$AA$7:$AA$45))</f>
        <v>9999999</v>
      </c>
      <c r="C27" s="102">
        <f>INDEX('Tabl. 1'!$C$8:$AO$313,206+$AB22,MATCH($C$7,$AA$7:$AA$45))</f>
        <v>9999999</v>
      </c>
      <c r="I27" s="99"/>
      <c r="P27" s="91"/>
      <c r="Q27" s="91"/>
      <c r="R27" s="91"/>
      <c r="S27" s="91"/>
      <c r="T27" s="91"/>
      <c r="U27" s="91"/>
      <c r="V27" s="90"/>
      <c r="W27" s="90"/>
      <c r="X27" s="90"/>
      <c r="Y27" s="90"/>
      <c r="Z27" s="90"/>
      <c r="AA27" s="96">
        <v>2042</v>
      </c>
      <c r="AB27" s="96">
        <v>20</v>
      </c>
      <c r="AC27" s="96"/>
      <c r="AD27" s="100">
        <f t="shared" si="0"/>
        <v>-9999999</v>
      </c>
      <c r="AE27" s="101">
        <f t="shared" si="1"/>
        <v>9999999</v>
      </c>
      <c r="AF27" s="96">
        <f t="shared" si="2"/>
        <v>0</v>
      </c>
      <c r="AG27" s="101">
        <f t="shared" si="3"/>
        <v>0</v>
      </c>
      <c r="AH27" s="120"/>
      <c r="AI27" s="120"/>
      <c r="AJ27" s="121"/>
      <c r="AK27" s="121"/>
      <c r="AL27" s="121"/>
      <c r="AM27" s="121"/>
    </row>
    <row r="28" spans="1:39" x14ac:dyDescent="0.25">
      <c r="A28" s="103">
        <v>16</v>
      </c>
      <c r="B28" s="102">
        <f>INDEX('Tabl. 1'!$C$8:$AO$313,104+$AB23,MATCH($C$7,$AA$7:$AA$45))</f>
        <v>9999999</v>
      </c>
      <c r="C28" s="102">
        <f>INDEX('Tabl. 1'!$C$8:$AO$313,206+$AB23,MATCH($C$7,$AA$7:$AA$45))</f>
        <v>9999999</v>
      </c>
      <c r="I28" s="99"/>
      <c r="P28" s="91"/>
      <c r="Q28" s="91"/>
      <c r="R28" s="91"/>
      <c r="S28" s="91"/>
      <c r="T28" s="91"/>
      <c r="U28" s="91"/>
      <c r="V28" s="90"/>
      <c r="W28" s="90"/>
      <c r="X28" s="90"/>
      <c r="Y28" s="90"/>
      <c r="Z28" s="90"/>
      <c r="AA28" s="96">
        <v>2043</v>
      </c>
      <c r="AB28" s="96">
        <v>21</v>
      </c>
      <c r="AC28" s="96"/>
      <c r="AD28" s="100">
        <f t="shared" si="0"/>
        <v>-9999999</v>
      </c>
      <c r="AE28" s="101">
        <f t="shared" si="1"/>
        <v>9999999</v>
      </c>
      <c r="AF28" s="96">
        <f t="shared" si="2"/>
        <v>0</v>
      </c>
      <c r="AG28" s="101">
        <f t="shared" si="3"/>
        <v>0</v>
      </c>
      <c r="AH28" s="120"/>
      <c r="AI28" s="120"/>
      <c r="AJ28" s="121"/>
      <c r="AK28" s="121"/>
      <c r="AL28" s="121"/>
      <c r="AM28" s="121"/>
    </row>
    <row r="29" spans="1:39" x14ac:dyDescent="0.25">
      <c r="A29" s="103">
        <v>17</v>
      </c>
      <c r="B29" s="102">
        <f>INDEX('Tabl. 1'!$C$8:$AO$313,104+$AB24,MATCH($C$7,$AA$7:$AA$45))</f>
        <v>9999999</v>
      </c>
      <c r="C29" s="102">
        <f>INDEX('Tabl. 1'!$C$8:$AO$313,206+$AB24,MATCH($C$7,$AA$7:$AA$45))</f>
        <v>9999999</v>
      </c>
      <c r="I29" s="99"/>
      <c r="P29" s="91"/>
      <c r="Q29" s="91"/>
      <c r="R29" s="91"/>
      <c r="S29" s="91"/>
      <c r="T29" s="91"/>
      <c r="U29" s="91"/>
      <c r="V29" s="90"/>
      <c r="W29" s="90"/>
      <c r="X29" s="90"/>
      <c r="Y29" s="90"/>
      <c r="Z29" s="90"/>
      <c r="AA29" s="96">
        <v>2044</v>
      </c>
      <c r="AB29" s="96">
        <v>22</v>
      </c>
      <c r="AC29" s="96"/>
      <c r="AD29" s="100">
        <f t="shared" si="0"/>
        <v>-9999999</v>
      </c>
      <c r="AE29" s="101">
        <f t="shared" si="1"/>
        <v>9999999</v>
      </c>
      <c r="AF29" s="96">
        <f t="shared" si="2"/>
        <v>0</v>
      </c>
      <c r="AG29" s="101">
        <f t="shared" si="3"/>
        <v>0</v>
      </c>
      <c r="AH29" s="120"/>
      <c r="AI29" s="120"/>
      <c r="AJ29" s="121"/>
      <c r="AK29" s="121"/>
      <c r="AL29" s="121"/>
      <c r="AM29" s="121"/>
    </row>
    <row r="30" spans="1:39" x14ac:dyDescent="0.25">
      <c r="A30" s="103">
        <v>18</v>
      </c>
      <c r="B30" s="102">
        <f>INDEX('Tabl. 1'!$C$8:$AO$313,104+$AB25,MATCH($C$7,$AA$7:$AA$45))</f>
        <v>9999999</v>
      </c>
      <c r="C30" s="102">
        <f>INDEX('Tabl. 1'!$C$8:$AO$313,206+$AB25,MATCH($C$7,$AA$7:$AA$45))</f>
        <v>9999999</v>
      </c>
      <c r="I30" s="99"/>
      <c r="P30" s="91"/>
      <c r="Q30" s="91"/>
      <c r="R30" s="91"/>
      <c r="S30" s="91"/>
      <c r="T30" s="91"/>
      <c r="U30" s="91"/>
      <c r="V30" s="90"/>
      <c r="W30" s="90"/>
      <c r="X30" s="90"/>
      <c r="Y30" s="90"/>
      <c r="Z30" s="90"/>
      <c r="AA30" s="96">
        <v>2045</v>
      </c>
      <c r="AB30" s="96">
        <v>23</v>
      </c>
      <c r="AC30" s="96"/>
      <c r="AD30" s="100">
        <f t="shared" si="0"/>
        <v>-9999999</v>
      </c>
      <c r="AE30" s="101">
        <f t="shared" si="1"/>
        <v>9999999</v>
      </c>
      <c r="AF30" s="96">
        <f t="shared" si="2"/>
        <v>0</v>
      </c>
      <c r="AG30" s="101">
        <f t="shared" si="3"/>
        <v>0</v>
      </c>
      <c r="AH30" s="120"/>
      <c r="AI30" s="120"/>
      <c r="AJ30" s="121"/>
      <c r="AK30" s="121"/>
      <c r="AL30" s="121"/>
      <c r="AM30" s="121"/>
    </row>
    <row r="31" spans="1:39" x14ac:dyDescent="0.25">
      <c r="A31" s="103">
        <v>19</v>
      </c>
      <c r="B31" s="102">
        <f>INDEX('Tabl. 1'!$C$8:$AO$313,104+$AB26,MATCH($C$7,$AA$7:$AA$45))</f>
        <v>9999999</v>
      </c>
      <c r="C31" s="102">
        <f>INDEX('Tabl. 1'!$C$8:$AO$313,206+$AB26,MATCH($C$7,$AA$7:$AA$45))</f>
        <v>9999999</v>
      </c>
      <c r="I31" s="99"/>
      <c r="P31" s="91"/>
      <c r="Q31" s="91"/>
      <c r="R31" s="91"/>
      <c r="S31" s="91"/>
      <c r="T31" s="91"/>
      <c r="U31" s="91"/>
      <c r="V31" s="90"/>
      <c r="W31" s="90"/>
      <c r="X31" s="90"/>
      <c r="Y31" s="90"/>
      <c r="Z31" s="90"/>
      <c r="AA31" s="96">
        <v>2046</v>
      </c>
      <c r="AB31" s="96">
        <v>24</v>
      </c>
      <c r="AC31" s="96"/>
      <c r="AD31" s="100">
        <f t="shared" si="0"/>
        <v>-9999999</v>
      </c>
      <c r="AE31" s="101">
        <f t="shared" si="1"/>
        <v>9999999</v>
      </c>
      <c r="AF31" s="96">
        <f t="shared" si="2"/>
        <v>0</v>
      </c>
      <c r="AG31" s="101">
        <f t="shared" si="3"/>
        <v>0</v>
      </c>
      <c r="AH31" s="120"/>
      <c r="AI31" s="120"/>
      <c r="AJ31" s="121"/>
      <c r="AK31" s="121"/>
      <c r="AL31" s="121"/>
      <c r="AM31" s="121"/>
    </row>
    <row r="32" spans="1:39" x14ac:dyDescent="0.25">
      <c r="A32" s="103">
        <v>20</v>
      </c>
      <c r="B32" s="102">
        <f>INDEX('Tabl. 1'!$C$8:$AO$313,104+$AB27,MATCH($C$7,$AA$7:$AA$45))</f>
        <v>9999999</v>
      </c>
      <c r="C32" s="102">
        <f>INDEX('Tabl. 1'!$C$8:$AO$313,206+$AB27,MATCH($C$7,$AA$7:$AA$45))</f>
        <v>9999999</v>
      </c>
      <c r="I32" s="99"/>
      <c r="P32" s="91"/>
      <c r="Q32" s="91"/>
      <c r="R32" s="91"/>
      <c r="S32" s="91"/>
      <c r="T32" s="91"/>
      <c r="U32" s="91"/>
      <c r="V32" s="90"/>
      <c r="W32" s="90"/>
      <c r="X32" s="90"/>
      <c r="Y32" s="90"/>
      <c r="Z32" s="90"/>
      <c r="AA32" s="96">
        <v>2047</v>
      </c>
      <c r="AB32" s="96">
        <v>25</v>
      </c>
      <c r="AC32" s="96"/>
      <c r="AD32" s="100">
        <f t="shared" si="0"/>
        <v>-9999999</v>
      </c>
      <c r="AE32" s="101">
        <f t="shared" si="1"/>
        <v>9999999</v>
      </c>
      <c r="AF32" s="96">
        <f t="shared" si="2"/>
        <v>0</v>
      </c>
      <c r="AG32" s="101">
        <f t="shared" si="3"/>
        <v>0</v>
      </c>
      <c r="AH32" s="120"/>
      <c r="AI32" s="120"/>
      <c r="AJ32" s="121"/>
      <c r="AK32" s="121"/>
      <c r="AL32" s="121"/>
      <c r="AM32" s="121"/>
    </row>
    <row r="33" spans="1:39" x14ac:dyDescent="0.25">
      <c r="A33" s="103">
        <v>21</v>
      </c>
      <c r="B33" s="102">
        <f>INDEX('Tabl. 1'!$C$8:$AO$313,104+$AB28,MATCH($C$7,$AA$7:$AA$45))</f>
        <v>9999999</v>
      </c>
      <c r="C33" s="102">
        <f>INDEX('Tabl. 1'!$C$8:$AO$313,206+$AB28,MATCH($C$7,$AA$7:$AA$45))</f>
        <v>9999999</v>
      </c>
      <c r="I33" s="99"/>
      <c r="P33" s="91"/>
      <c r="Q33" s="91"/>
      <c r="R33" s="91"/>
      <c r="S33" s="91"/>
      <c r="T33" s="91"/>
      <c r="U33" s="91"/>
      <c r="V33" s="90"/>
      <c r="W33" s="90"/>
      <c r="X33" s="90"/>
      <c r="Y33" s="90"/>
      <c r="Z33" s="90"/>
      <c r="AA33" s="96">
        <v>2048</v>
      </c>
      <c r="AB33" s="96">
        <v>26</v>
      </c>
      <c r="AC33" s="96"/>
      <c r="AD33" s="100">
        <f t="shared" si="0"/>
        <v>-9999999</v>
      </c>
      <c r="AE33" s="101">
        <f t="shared" si="1"/>
        <v>9999999</v>
      </c>
      <c r="AF33" s="96">
        <f t="shared" si="2"/>
        <v>0</v>
      </c>
      <c r="AG33" s="101">
        <f t="shared" si="3"/>
        <v>0</v>
      </c>
      <c r="AH33" s="120"/>
      <c r="AI33" s="120"/>
      <c r="AJ33" s="121"/>
      <c r="AK33" s="121"/>
      <c r="AL33" s="121"/>
      <c r="AM33" s="121"/>
    </row>
    <row r="34" spans="1:39" x14ac:dyDescent="0.25">
      <c r="A34" s="103">
        <v>22</v>
      </c>
      <c r="B34" s="102">
        <f>INDEX('Tabl. 1'!$C$8:$AO$313,104+$AB29,MATCH($C$7,$AA$7:$AA$45))</f>
        <v>9999999</v>
      </c>
      <c r="C34" s="102">
        <f>INDEX('Tabl. 1'!$C$8:$AO$313,206+$AB29,MATCH($C$7,$AA$7:$AA$45))</f>
        <v>9999999</v>
      </c>
      <c r="I34" s="99"/>
      <c r="P34" s="91"/>
      <c r="Q34" s="91"/>
      <c r="R34" s="91"/>
      <c r="S34" s="91"/>
      <c r="T34" s="91"/>
      <c r="U34" s="91"/>
      <c r="V34" s="90"/>
      <c r="W34" s="90"/>
      <c r="X34" s="90"/>
      <c r="Y34" s="90"/>
      <c r="Z34" s="90"/>
      <c r="AA34" s="96">
        <v>2049</v>
      </c>
      <c r="AB34" s="96">
        <v>27</v>
      </c>
      <c r="AC34" s="96"/>
      <c r="AD34" s="100">
        <f t="shared" si="0"/>
        <v>-9999999</v>
      </c>
      <c r="AE34" s="101">
        <f t="shared" si="1"/>
        <v>9999999</v>
      </c>
      <c r="AF34" s="96">
        <f t="shared" si="2"/>
        <v>0</v>
      </c>
      <c r="AG34" s="101">
        <f t="shared" si="3"/>
        <v>0</v>
      </c>
      <c r="AH34" s="120"/>
      <c r="AI34" s="120"/>
      <c r="AJ34" s="121"/>
      <c r="AK34" s="121"/>
      <c r="AL34" s="121"/>
      <c r="AM34" s="121"/>
    </row>
    <row r="35" spans="1:39" x14ac:dyDescent="0.25">
      <c r="A35" s="103">
        <v>23</v>
      </c>
      <c r="B35" s="102">
        <f>INDEX('Tabl. 1'!$C$8:$AO$313,104+$AB30,MATCH($C$7,$AA$7:$AA$45))</f>
        <v>9999999</v>
      </c>
      <c r="C35" s="102">
        <f>INDEX('Tabl. 1'!$C$8:$AO$313,206+$AB30,MATCH($C$7,$AA$7:$AA$45))</f>
        <v>9999999</v>
      </c>
      <c r="I35" s="99"/>
      <c r="P35" s="91"/>
      <c r="Q35" s="91"/>
      <c r="R35" s="91"/>
      <c r="S35" s="91"/>
      <c r="T35" s="91"/>
      <c r="U35" s="91"/>
      <c r="V35" s="90"/>
      <c r="W35" s="90"/>
      <c r="X35" s="90"/>
      <c r="Y35" s="90"/>
      <c r="Z35" s="90"/>
      <c r="AA35" s="96">
        <v>2050</v>
      </c>
      <c r="AB35" s="96">
        <v>28</v>
      </c>
      <c r="AC35" s="96"/>
      <c r="AD35" s="100">
        <f t="shared" si="0"/>
        <v>-9999999</v>
      </c>
      <c r="AE35" s="101">
        <f t="shared" si="1"/>
        <v>9999999</v>
      </c>
      <c r="AF35" s="96">
        <f t="shared" si="2"/>
        <v>0</v>
      </c>
      <c r="AG35" s="101">
        <f t="shared" si="3"/>
        <v>0</v>
      </c>
      <c r="AH35" s="120"/>
      <c r="AI35" s="120"/>
      <c r="AJ35" s="121"/>
      <c r="AK35" s="121"/>
      <c r="AL35" s="121"/>
      <c r="AM35" s="121"/>
    </row>
    <row r="36" spans="1:39" x14ac:dyDescent="0.25">
      <c r="A36" s="103">
        <v>24</v>
      </c>
      <c r="B36" s="102">
        <f>INDEX('Tabl. 1'!$C$8:$AO$313,104+$AB31,MATCH($C$7,$AA$7:$AA$45))</f>
        <v>9999999</v>
      </c>
      <c r="C36" s="102">
        <f>INDEX('Tabl. 1'!$C$8:$AO$313,206+$AB31,MATCH($C$7,$AA$7:$AA$45))</f>
        <v>9999999</v>
      </c>
      <c r="I36" s="99"/>
      <c r="P36" s="91"/>
      <c r="Q36" s="91"/>
      <c r="R36" s="91"/>
      <c r="S36" s="91"/>
      <c r="T36" s="91"/>
      <c r="U36" s="91"/>
      <c r="V36" s="90"/>
      <c r="W36" s="90"/>
      <c r="X36" s="90"/>
      <c r="Y36" s="90"/>
      <c r="Z36" s="90"/>
      <c r="AA36" s="96">
        <v>2051</v>
      </c>
      <c r="AB36" s="96">
        <v>29</v>
      </c>
      <c r="AC36" s="96"/>
      <c r="AD36" s="100">
        <f t="shared" si="0"/>
        <v>-9999999</v>
      </c>
      <c r="AE36" s="101">
        <f t="shared" si="1"/>
        <v>9999999</v>
      </c>
      <c r="AF36" s="96">
        <f t="shared" si="2"/>
        <v>0</v>
      </c>
      <c r="AG36" s="101">
        <f t="shared" si="3"/>
        <v>0</v>
      </c>
      <c r="AH36" s="120"/>
      <c r="AI36" s="120"/>
      <c r="AJ36" s="121"/>
      <c r="AK36" s="121"/>
      <c r="AL36" s="121"/>
      <c r="AM36" s="121"/>
    </row>
    <row r="37" spans="1:39" x14ac:dyDescent="0.25">
      <c r="A37" s="103">
        <v>25</v>
      </c>
      <c r="B37" s="102">
        <f>INDEX('Tabl. 1'!$C$8:$AO$313,104+$AB32,MATCH($C$7,$AA$7:$AA$45))</f>
        <v>9999999</v>
      </c>
      <c r="C37" s="102">
        <f>INDEX('Tabl. 1'!$C$8:$AO$313,206+$AB32,MATCH($C$7,$AA$7:$AA$45))</f>
        <v>9999999</v>
      </c>
      <c r="I37" s="99"/>
      <c r="P37" s="91"/>
      <c r="Q37" s="91"/>
      <c r="R37" s="91"/>
      <c r="S37" s="91"/>
      <c r="T37" s="91"/>
      <c r="U37" s="91"/>
      <c r="V37" s="90"/>
      <c r="W37" s="90"/>
      <c r="X37" s="90"/>
      <c r="Y37" s="90"/>
      <c r="Z37" s="90"/>
      <c r="AA37" s="96">
        <v>2052</v>
      </c>
      <c r="AB37" s="96">
        <v>30</v>
      </c>
      <c r="AC37" s="96"/>
      <c r="AD37" s="100">
        <f t="shared" si="0"/>
        <v>-9999999</v>
      </c>
      <c r="AE37" s="101">
        <f t="shared" si="1"/>
        <v>9999999</v>
      </c>
      <c r="AF37" s="96">
        <f t="shared" si="2"/>
        <v>0</v>
      </c>
      <c r="AG37" s="101">
        <f t="shared" si="3"/>
        <v>0</v>
      </c>
      <c r="AH37" s="120"/>
      <c r="AI37" s="120"/>
      <c r="AJ37" s="121"/>
      <c r="AK37" s="121"/>
      <c r="AL37" s="121"/>
      <c r="AM37" s="121"/>
    </row>
    <row r="38" spans="1:39" x14ac:dyDescent="0.25">
      <c r="A38" s="103">
        <v>26</v>
      </c>
      <c r="B38" s="102">
        <f>INDEX('Tabl. 1'!$C$8:$AO$313,104+$AB33,MATCH($C$7,$AA$7:$AA$45))</f>
        <v>9999999</v>
      </c>
      <c r="C38" s="102">
        <f>INDEX('Tabl. 1'!$C$8:$AO$313,206+$AB33,MATCH($C$7,$AA$7:$AA$45))</f>
        <v>9999999</v>
      </c>
      <c r="I38" s="99"/>
      <c r="P38" s="91"/>
      <c r="Q38" s="91"/>
      <c r="R38" s="91"/>
      <c r="S38" s="91"/>
      <c r="T38" s="91"/>
      <c r="U38" s="91"/>
      <c r="V38" s="90"/>
      <c r="W38" s="90"/>
      <c r="X38" s="90"/>
      <c r="Y38" s="90"/>
      <c r="Z38" s="90"/>
      <c r="AA38" s="96">
        <v>2053</v>
      </c>
      <c r="AB38" s="96">
        <v>31</v>
      </c>
      <c r="AC38" s="96"/>
      <c r="AD38" s="100">
        <f t="shared" si="0"/>
        <v>-9999999</v>
      </c>
      <c r="AE38" s="101">
        <f t="shared" si="1"/>
        <v>9999999</v>
      </c>
      <c r="AF38" s="96">
        <f t="shared" si="2"/>
        <v>0</v>
      </c>
      <c r="AG38" s="101">
        <f t="shared" si="3"/>
        <v>0</v>
      </c>
      <c r="AH38" s="120"/>
      <c r="AI38" s="120"/>
      <c r="AJ38" s="121"/>
      <c r="AK38" s="121"/>
      <c r="AL38" s="121"/>
      <c r="AM38" s="121"/>
    </row>
    <row r="39" spans="1:39" x14ac:dyDescent="0.25">
      <c r="A39" s="103">
        <v>27</v>
      </c>
      <c r="B39" s="102">
        <f>INDEX('Tabl. 1'!$C$8:$AO$313,104+$AB34,MATCH($C$7,$AA$7:$AA$45))</f>
        <v>9999999</v>
      </c>
      <c r="C39" s="102">
        <f>INDEX('Tabl. 1'!$C$8:$AO$313,206+$AB34,MATCH($C$7,$AA$7:$AA$45))</f>
        <v>9999999</v>
      </c>
      <c r="I39" s="99"/>
      <c r="P39" s="91"/>
      <c r="Q39" s="91"/>
      <c r="R39" s="91"/>
      <c r="S39" s="91"/>
      <c r="T39" s="91"/>
      <c r="U39" s="91"/>
      <c r="V39" s="90"/>
      <c r="W39" s="90"/>
      <c r="X39" s="90"/>
      <c r="Y39" s="90"/>
      <c r="Z39" s="90"/>
      <c r="AA39" s="96">
        <v>2054</v>
      </c>
      <c r="AB39" s="96">
        <v>32</v>
      </c>
      <c r="AC39" s="96"/>
      <c r="AD39" s="100">
        <f t="shared" si="0"/>
        <v>-9999999</v>
      </c>
      <c r="AE39" s="101">
        <f t="shared" si="1"/>
        <v>9999999</v>
      </c>
      <c r="AF39" s="96">
        <f t="shared" si="2"/>
        <v>0</v>
      </c>
      <c r="AG39" s="101">
        <f t="shared" si="3"/>
        <v>0</v>
      </c>
      <c r="AH39" s="120"/>
      <c r="AI39" s="120"/>
      <c r="AJ39" s="121"/>
      <c r="AK39" s="121"/>
      <c r="AL39" s="121"/>
      <c r="AM39" s="121"/>
    </row>
    <row r="40" spans="1:39" x14ac:dyDescent="0.25">
      <c r="A40" s="103">
        <v>28</v>
      </c>
      <c r="B40" s="102">
        <f>INDEX('Tabl. 1'!$C$8:$AO$313,104+$AB35,MATCH($C$7,$AA$7:$AA$45))</f>
        <v>9999999</v>
      </c>
      <c r="C40" s="102">
        <f>INDEX('Tabl. 1'!$C$8:$AO$313,206+$AB35,MATCH($C$7,$AA$7:$AA$45))</f>
        <v>9999999</v>
      </c>
      <c r="I40" s="99"/>
      <c r="P40" s="91"/>
      <c r="Q40" s="91"/>
      <c r="R40" s="91"/>
      <c r="S40" s="91"/>
      <c r="T40" s="91"/>
      <c r="U40" s="91"/>
      <c r="V40" s="90"/>
      <c r="W40" s="90"/>
      <c r="X40" s="90"/>
      <c r="Y40" s="90"/>
      <c r="Z40" s="90"/>
      <c r="AA40" s="96">
        <v>2055</v>
      </c>
      <c r="AB40" s="96">
        <v>33</v>
      </c>
      <c r="AC40" s="96"/>
      <c r="AD40" s="100">
        <f t="shared" si="0"/>
        <v>-9999999</v>
      </c>
      <c r="AE40" s="101">
        <f t="shared" si="1"/>
        <v>9999999</v>
      </c>
      <c r="AF40" s="96">
        <f t="shared" si="2"/>
        <v>0</v>
      </c>
      <c r="AG40" s="101">
        <f t="shared" si="3"/>
        <v>0</v>
      </c>
      <c r="AH40" s="120"/>
      <c r="AI40" s="120"/>
      <c r="AJ40" s="121"/>
      <c r="AK40" s="121"/>
      <c r="AL40" s="121"/>
      <c r="AM40" s="121"/>
    </row>
    <row r="41" spans="1:39" x14ac:dyDescent="0.25">
      <c r="A41" s="103">
        <v>29</v>
      </c>
      <c r="B41" s="102">
        <f>INDEX('Tabl. 1'!$C$8:$AO$313,104+$AB36,MATCH($C$7,$AA$7:$AA$45))</f>
        <v>9999999</v>
      </c>
      <c r="C41" s="102">
        <f>INDEX('Tabl. 1'!$C$8:$AO$313,206+$AB36,MATCH($C$7,$AA$7:$AA$45))</f>
        <v>9999999</v>
      </c>
      <c r="I41" s="99"/>
      <c r="P41" s="91"/>
      <c r="Q41" s="91"/>
      <c r="R41" s="91"/>
      <c r="S41" s="91"/>
      <c r="T41" s="91"/>
      <c r="U41" s="91"/>
      <c r="V41" s="90"/>
      <c r="W41" s="90"/>
      <c r="X41" s="90"/>
      <c r="Y41" s="90"/>
      <c r="Z41" s="90"/>
      <c r="AA41" s="96">
        <v>2056</v>
      </c>
      <c r="AB41" s="96">
        <v>34</v>
      </c>
      <c r="AC41" s="96"/>
      <c r="AD41" s="100">
        <f t="shared" si="0"/>
        <v>-9999999</v>
      </c>
      <c r="AE41" s="101">
        <f t="shared" si="1"/>
        <v>9999999</v>
      </c>
      <c r="AF41" s="96">
        <f t="shared" si="2"/>
        <v>0</v>
      </c>
      <c r="AG41" s="101">
        <f t="shared" si="3"/>
        <v>0</v>
      </c>
      <c r="AH41" s="120"/>
      <c r="AI41" s="120"/>
      <c r="AJ41" s="121"/>
      <c r="AK41" s="121"/>
      <c r="AL41" s="121"/>
      <c r="AM41" s="121"/>
    </row>
    <row r="42" spans="1:39" x14ac:dyDescent="0.25">
      <c r="A42" s="103">
        <v>30</v>
      </c>
      <c r="B42" s="102">
        <f>INDEX('Tabl. 1'!$C$8:$AO$313,104+$AB37,MATCH($C$7,$AA$7:$AA$45))</f>
        <v>9999999</v>
      </c>
      <c r="C42" s="102">
        <f>INDEX('Tabl. 1'!$C$8:$AO$313,206+$AB37,MATCH($C$7,$AA$7:$AA$45))</f>
        <v>9999999</v>
      </c>
      <c r="I42" s="99"/>
      <c r="P42" s="91"/>
      <c r="Q42" s="91"/>
      <c r="R42" s="91"/>
      <c r="S42" s="91"/>
      <c r="T42" s="91"/>
      <c r="U42" s="91"/>
      <c r="V42" s="90"/>
      <c r="W42" s="90"/>
      <c r="X42" s="90"/>
      <c r="Y42" s="90"/>
      <c r="Z42" s="90"/>
      <c r="AA42" s="96">
        <v>2057</v>
      </c>
      <c r="AB42" s="96">
        <v>35</v>
      </c>
      <c r="AC42" s="96"/>
      <c r="AD42" s="100">
        <f t="shared" si="0"/>
        <v>-9999999</v>
      </c>
      <c r="AE42" s="101">
        <f t="shared" si="1"/>
        <v>9999999</v>
      </c>
      <c r="AF42" s="96">
        <f t="shared" si="2"/>
        <v>0</v>
      </c>
      <c r="AG42" s="101">
        <f t="shared" si="3"/>
        <v>0</v>
      </c>
      <c r="AH42" s="120"/>
      <c r="AI42" s="120"/>
      <c r="AJ42" s="121"/>
      <c r="AK42" s="121"/>
      <c r="AL42" s="121"/>
      <c r="AM42" s="121"/>
    </row>
    <row r="43" spans="1:39" x14ac:dyDescent="0.25">
      <c r="A43" s="103">
        <v>31</v>
      </c>
      <c r="B43" s="102">
        <f>INDEX('Tabl. 1'!$C$8:$AO$313,104+$AB38,MATCH($C$7,$AA$7:$AA$45))</f>
        <v>9999999</v>
      </c>
      <c r="C43" s="102">
        <f>INDEX('Tabl. 1'!$C$8:$AO$313,206+$AB38,MATCH($C$7,$AA$7:$AA$45))</f>
        <v>9999999</v>
      </c>
      <c r="I43" s="99"/>
      <c r="P43" s="91"/>
      <c r="Q43" s="91"/>
      <c r="R43" s="91"/>
      <c r="S43" s="91"/>
      <c r="T43" s="91"/>
      <c r="U43" s="91"/>
      <c r="V43" s="90"/>
      <c r="W43" s="90"/>
      <c r="X43" s="90"/>
      <c r="Y43" s="90"/>
      <c r="Z43" s="90"/>
      <c r="AA43" s="96">
        <v>2058</v>
      </c>
      <c r="AB43" s="96">
        <v>36</v>
      </c>
      <c r="AC43" s="96"/>
      <c r="AD43" s="100">
        <f t="shared" si="0"/>
        <v>-9999999</v>
      </c>
      <c r="AE43" s="101">
        <f t="shared" si="1"/>
        <v>9999999</v>
      </c>
      <c r="AF43" s="96">
        <f t="shared" si="2"/>
        <v>0</v>
      </c>
      <c r="AG43" s="101">
        <f t="shared" si="3"/>
        <v>0</v>
      </c>
      <c r="AH43" s="120"/>
      <c r="AI43" s="120"/>
      <c r="AJ43" s="121"/>
      <c r="AK43" s="121"/>
      <c r="AL43" s="121"/>
      <c r="AM43" s="121"/>
    </row>
    <row r="44" spans="1:39" x14ac:dyDescent="0.25">
      <c r="A44" s="103">
        <v>32</v>
      </c>
      <c r="B44" s="102">
        <f>INDEX('Tabl. 1'!$C$8:$AO$313,104+$AB39,MATCH($C$7,$AA$7:$AA$45))</f>
        <v>9999999</v>
      </c>
      <c r="C44" s="102">
        <f>INDEX('Tabl. 1'!$C$8:$AO$313,206+$AB39,MATCH($C$7,$AA$7:$AA$45))</f>
        <v>9999999</v>
      </c>
      <c r="I44" s="99"/>
      <c r="P44" s="91"/>
      <c r="Q44" s="91"/>
      <c r="R44" s="91"/>
      <c r="S44" s="91"/>
      <c r="T44" s="91"/>
      <c r="U44" s="91"/>
      <c r="V44" s="90"/>
      <c r="W44" s="90"/>
      <c r="X44" s="90"/>
      <c r="Y44" s="90"/>
      <c r="Z44" s="90"/>
      <c r="AA44" s="96">
        <v>2059</v>
      </c>
      <c r="AB44" s="96">
        <v>37</v>
      </c>
      <c r="AC44" s="96"/>
      <c r="AD44" s="100">
        <f t="shared" si="0"/>
        <v>-9999999</v>
      </c>
      <c r="AE44" s="101">
        <f t="shared" si="1"/>
        <v>9999999</v>
      </c>
      <c r="AF44" s="96">
        <f t="shared" si="2"/>
        <v>0</v>
      </c>
      <c r="AG44" s="101">
        <f t="shared" si="3"/>
        <v>0</v>
      </c>
      <c r="AH44" s="120"/>
      <c r="AI44" s="120"/>
      <c r="AJ44" s="121"/>
      <c r="AK44" s="121"/>
      <c r="AL44" s="121"/>
      <c r="AM44" s="121"/>
    </row>
    <row r="45" spans="1:39" x14ac:dyDescent="0.25">
      <c r="A45" s="103">
        <v>33</v>
      </c>
      <c r="B45" s="102">
        <f>INDEX('Tabl. 1'!$C$8:$AO$313,104+$AB40,MATCH($C$7,$AA$7:$AA$45))</f>
        <v>9999999</v>
      </c>
      <c r="C45" s="102">
        <f>INDEX('Tabl. 1'!$C$8:$AO$313,206+$AB40,MATCH($C$7,$AA$7:$AA$45))</f>
        <v>9999999</v>
      </c>
      <c r="I45" s="99"/>
      <c r="P45" s="91"/>
      <c r="Q45" s="91"/>
      <c r="R45" s="91"/>
      <c r="S45" s="91"/>
      <c r="T45" s="91"/>
      <c r="U45" s="91"/>
      <c r="V45" s="90"/>
      <c r="W45" s="90"/>
      <c r="X45" s="90"/>
      <c r="Y45" s="90"/>
      <c r="Z45" s="90"/>
      <c r="AA45" s="96">
        <v>2060</v>
      </c>
      <c r="AB45" s="96">
        <v>38</v>
      </c>
      <c r="AC45" s="96"/>
      <c r="AD45" s="100">
        <f t="shared" si="0"/>
        <v>-9999999</v>
      </c>
      <c r="AE45" s="101">
        <f t="shared" si="1"/>
        <v>9999999</v>
      </c>
      <c r="AF45" s="96">
        <f t="shared" si="2"/>
        <v>0</v>
      </c>
      <c r="AG45" s="101">
        <f t="shared" si="3"/>
        <v>0</v>
      </c>
      <c r="AH45" s="120"/>
      <c r="AI45" s="120"/>
      <c r="AJ45" s="121"/>
      <c r="AK45" s="121"/>
      <c r="AL45" s="121"/>
      <c r="AM45" s="121"/>
    </row>
    <row r="46" spans="1:39" x14ac:dyDescent="0.25">
      <c r="A46" s="103">
        <v>34</v>
      </c>
      <c r="B46" s="102">
        <f>INDEX('Tabl. 1'!$C$8:$AO$313,104+$AB41,MATCH($C$7,$AA$7:$AA$45))</f>
        <v>9999999</v>
      </c>
      <c r="C46" s="102">
        <f>INDEX('Tabl. 1'!$C$8:$AO$313,206+$AB41,MATCH($C$7,$AA$7:$AA$45))</f>
        <v>9999999</v>
      </c>
      <c r="I46" s="99"/>
      <c r="P46" s="91"/>
      <c r="Q46" s="91"/>
      <c r="R46" s="91"/>
      <c r="S46" s="91"/>
      <c r="T46" s="91"/>
      <c r="U46" s="91"/>
      <c r="V46" s="90"/>
      <c r="W46" s="90"/>
      <c r="X46" s="90"/>
      <c r="Y46" s="90"/>
      <c r="Z46" s="90"/>
      <c r="AA46" s="96"/>
      <c r="AB46" s="96">
        <v>39</v>
      </c>
      <c r="AC46" s="96"/>
      <c r="AD46" s="100">
        <f t="shared" si="0"/>
        <v>-9999999</v>
      </c>
      <c r="AE46" s="101">
        <f t="shared" si="1"/>
        <v>9999999</v>
      </c>
      <c r="AF46" s="96">
        <f t="shared" si="2"/>
        <v>0</v>
      </c>
      <c r="AG46" s="101">
        <f t="shared" si="3"/>
        <v>0</v>
      </c>
      <c r="AH46" s="120"/>
      <c r="AI46" s="120"/>
      <c r="AJ46" s="121"/>
      <c r="AK46" s="121"/>
      <c r="AL46" s="121"/>
      <c r="AM46" s="121"/>
    </row>
    <row r="47" spans="1:39" x14ac:dyDescent="0.25">
      <c r="A47" s="103">
        <v>35</v>
      </c>
      <c r="B47" s="102">
        <f>INDEX('Tabl. 1'!$C$8:$AO$313,104+$AB42,MATCH($C$7,$AA$7:$AA$45))</f>
        <v>9999999</v>
      </c>
      <c r="C47" s="102">
        <f>INDEX('Tabl. 1'!$C$8:$AO$313,206+$AB42,MATCH($C$7,$AA$7:$AA$45))</f>
        <v>9999999</v>
      </c>
      <c r="I47" s="99"/>
      <c r="P47" s="91"/>
      <c r="Q47" s="91"/>
      <c r="R47" s="91"/>
      <c r="S47" s="91"/>
      <c r="T47" s="91"/>
      <c r="U47" s="91"/>
      <c r="V47" s="90"/>
      <c r="W47" s="90"/>
      <c r="X47" s="90"/>
      <c r="Y47" s="90"/>
      <c r="Z47" s="90"/>
      <c r="AA47" s="96"/>
      <c r="AB47" s="96">
        <v>40</v>
      </c>
      <c r="AC47" s="96"/>
      <c r="AD47" s="100">
        <f t="shared" si="0"/>
        <v>-9999999</v>
      </c>
      <c r="AE47" s="101">
        <f t="shared" si="1"/>
        <v>9999999</v>
      </c>
      <c r="AF47" s="96">
        <f t="shared" si="2"/>
        <v>0</v>
      </c>
      <c r="AG47" s="101">
        <f t="shared" si="3"/>
        <v>0</v>
      </c>
      <c r="AH47" s="120"/>
      <c r="AI47" s="120"/>
      <c r="AJ47" s="121"/>
      <c r="AK47" s="121"/>
      <c r="AL47" s="121"/>
      <c r="AM47" s="121"/>
    </row>
    <row r="48" spans="1:39" x14ac:dyDescent="0.25">
      <c r="A48" s="103">
        <v>36</v>
      </c>
      <c r="B48" s="102">
        <f>INDEX('Tabl. 1'!$C$8:$AO$313,104+$AB43,MATCH($C$7,$AA$7:$AA$45))</f>
        <v>9999999</v>
      </c>
      <c r="C48" s="102">
        <f>INDEX('Tabl. 1'!$C$8:$AO$313,206+$AB43,MATCH($C$7,$AA$7:$AA$45))</f>
        <v>9999999</v>
      </c>
      <c r="I48" s="99"/>
      <c r="P48" s="91"/>
      <c r="Q48" s="91"/>
      <c r="R48" s="91"/>
      <c r="S48" s="91"/>
      <c r="T48" s="91"/>
      <c r="U48" s="91"/>
      <c r="V48" s="90"/>
      <c r="W48" s="90"/>
      <c r="X48" s="90"/>
      <c r="Y48" s="90"/>
      <c r="Z48" s="90"/>
      <c r="AA48" s="96"/>
      <c r="AB48" s="96">
        <v>41</v>
      </c>
      <c r="AC48" s="96"/>
      <c r="AD48" s="100">
        <f t="shared" si="0"/>
        <v>-9999999</v>
      </c>
      <c r="AE48" s="101">
        <f t="shared" si="1"/>
        <v>9999999</v>
      </c>
      <c r="AF48" s="96">
        <f t="shared" si="2"/>
        <v>0</v>
      </c>
      <c r="AG48" s="101">
        <f t="shared" si="3"/>
        <v>0</v>
      </c>
      <c r="AH48" s="120"/>
      <c r="AI48" s="120"/>
      <c r="AJ48" s="121"/>
      <c r="AK48" s="121"/>
      <c r="AL48" s="121"/>
      <c r="AM48" s="121"/>
    </row>
    <row r="49" spans="1:39" x14ac:dyDescent="0.25">
      <c r="A49" s="103">
        <v>37</v>
      </c>
      <c r="B49" s="102">
        <f>INDEX('Tabl. 1'!$C$8:$AO$313,104+$AB44,MATCH($C$7,$AA$7:$AA$45))</f>
        <v>9999999</v>
      </c>
      <c r="C49" s="102">
        <f>INDEX('Tabl. 1'!$C$8:$AO$313,206+$AB44,MATCH($C$7,$AA$7:$AA$45))</f>
        <v>9999999</v>
      </c>
      <c r="I49" s="99"/>
      <c r="P49" s="91"/>
      <c r="Q49" s="91"/>
      <c r="R49" s="91"/>
      <c r="S49" s="91"/>
      <c r="T49" s="91"/>
      <c r="U49" s="91"/>
      <c r="V49" s="90"/>
      <c r="W49" s="90"/>
      <c r="X49" s="90"/>
      <c r="Y49" s="90"/>
      <c r="Z49" s="90"/>
      <c r="AA49" s="96"/>
      <c r="AB49" s="96">
        <v>42</v>
      </c>
      <c r="AC49" s="96"/>
      <c r="AD49" s="100">
        <f t="shared" si="0"/>
        <v>-9999999</v>
      </c>
      <c r="AE49" s="101">
        <f t="shared" si="1"/>
        <v>9999999</v>
      </c>
      <c r="AF49" s="96">
        <f t="shared" si="2"/>
        <v>0</v>
      </c>
      <c r="AG49" s="101">
        <f t="shared" si="3"/>
        <v>0</v>
      </c>
      <c r="AH49" s="120"/>
      <c r="AI49" s="120"/>
      <c r="AJ49" s="121"/>
      <c r="AK49" s="121"/>
      <c r="AL49" s="121"/>
      <c r="AM49" s="121"/>
    </row>
    <row r="50" spans="1:39" x14ac:dyDescent="0.25">
      <c r="A50" s="103">
        <v>38</v>
      </c>
      <c r="B50" s="102">
        <f>INDEX('Tabl. 1'!$C$8:$AO$313,104+$AB45,MATCH($C$7,$AA$7:$AA$45))</f>
        <v>9999999</v>
      </c>
      <c r="C50" s="102">
        <f>INDEX('Tabl. 1'!$C$8:$AO$313,206+$AB45,MATCH($C$7,$AA$7:$AA$45))</f>
        <v>9999999</v>
      </c>
      <c r="I50" s="99"/>
      <c r="P50" s="91"/>
      <c r="Q50" s="91"/>
      <c r="R50" s="91"/>
      <c r="S50" s="91"/>
      <c r="T50" s="91"/>
      <c r="U50" s="91"/>
      <c r="V50" s="90"/>
      <c r="W50" s="90"/>
      <c r="X50" s="90"/>
      <c r="Y50" s="90"/>
      <c r="Z50" s="90"/>
      <c r="AA50" s="96"/>
      <c r="AB50" s="96">
        <v>43</v>
      </c>
      <c r="AC50" s="96"/>
      <c r="AD50" s="100">
        <f t="shared" si="0"/>
        <v>-9999999</v>
      </c>
      <c r="AE50" s="101">
        <f t="shared" si="1"/>
        <v>9999999</v>
      </c>
      <c r="AF50" s="96">
        <f t="shared" si="2"/>
        <v>0</v>
      </c>
      <c r="AG50" s="101">
        <f t="shared" si="3"/>
        <v>0</v>
      </c>
      <c r="AH50" s="120"/>
      <c r="AI50" s="120"/>
      <c r="AJ50" s="121"/>
      <c r="AK50" s="121"/>
      <c r="AL50" s="121"/>
      <c r="AM50" s="121"/>
    </row>
    <row r="51" spans="1:39" x14ac:dyDescent="0.25">
      <c r="A51" s="103">
        <v>39</v>
      </c>
      <c r="B51" s="102">
        <f>INDEX('Tabl. 1'!$C$8:$AO$313,104+$AB46,MATCH($C$7,$AA$7:$AA$45))</f>
        <v>9999999</v>
      </c>
      <c r="C51" s="102">
        <f>INDEX('Tabl. 1'!$C$8:$AO$313,206+$AB46,MATCH($C$7,$AA$7:$AA$45))</f>
        <v>9999999</v>
      </c>
      <c r="I51" s="99"/>
      <c r="P51" s="91"/>
      <c r="Q51" s="91"/>
      <c r="R51" s="91"/>
      <c r="S51" s="91"/>
      <c r="T51" s="91"/>
      <c r="U51" s="91"/>
      <c r="V51" s="90"/>
      <c r="W51" s="90"/>
      <c r="X51" s="90"/>
      <c r="Y51" s="90"/>
      <c r="Z51" s="90"/>
      <c r="AA51" s="96"/>
      <c r="AB51" s="96">
        <v>44</v>
      </c>
      <c r="AC51" s="96"/>
      <c r="AD51" s="100">
        <f t="shared" si="0"/>
        <v>-9999999</v>
      </c>
      <c r="AE51" s="101">
        <f t="shared" si="1"/>
        <v>9999999</v>
      </c>
      <c r="AF51" s="96">
        <f t="shared" si="2"/>
        <v>0</v>
      </c>
      <c r="AG51" s="101">
        <f t="shared" si="3"/>
        <v>0</v>
      </c>
      <c r="AH51" s="120"/>
      <c r="AI51" s="120"/>
      <c r="AJ51" s="121"/>
      <c r="AK51" s="121"/>
      <c r="AL51" s="121"/>
      <c r="AM51" s="121"/>
    </row>
    <row r="52" spans="1:39" x14ac:dyDescent="0.25">
      <c r="A52" s="103">
        <v>40</v>
      </c>
      <c r="B52" s="102">
        <f>INDEX('Tabl. 1'!$C$8:$AO$313,104+$AB47,MATCH($C$7,$AA$7:$AA$45))</f>
        <v>9999999</v>
      </c>
      <c r="C52" s="102">
        <f>INDEX('Tabl. 1'!$C$8:$AO$313,206+$AB47,MATCH($C$7,$AA$7:$AA$45))</f>
        <v>9999999</v>
      </c>
      <c r="I52" s="99"/>
      <c r="P52" s="91"/>
      <c r="Q52" s="91"/>
      <c r="R52" s="91"/>
      <c r="S52" s="91"/>
      <c r="T52" s="91"/>
      <c r="U52" s="91"/>
      <c r="V52" s="90"/>
      <c r="W52" s="90"/>
      <c r="X52" s="90"/>
      <c r="Y52" s="90"/>
      <c r="Z52" s="90"/>
      <c r="AA52" s="96"/>
      <c r="AB52" s="96">
        <v>45</v>
      </c>
      <c r="AC52" s="96"/>
      <c r="AD52" s="100">
        <f t="shared" si="0"/>
        <v>-9999999</v>
      </c>
      <c r="AE52" s="101">
        <f t="shared" si="1"/>
        <v>9999999</v>
      </c>
      <c r="AF52" s="96">
        <f t="shared" si="2"/>
        <v>0</v>
      </c>
      <c r="AG52" s="101">
        <f t="shared" si="3"/>
        <v>0</v>
      </c>
      <c r="AH52" s="120"/>
      <c r="AI52" s="120"/>
      <c r="AJ52" s="121"/>
      <c r="AK52" s="121"/>
      <c r="AL52" s="121"/>
      <c r="AM52" s="121"/>
    </row>
    <row r="53" spans="1:39" x14ac:dyDescent="0.25">
      <c r="A53" s="103">
        <v>41</v>
      </c>
      <c r="B53" s="102">
        <f>INDEX('Tabl. 1'!$C$8:$AO$313,104+$AB48,MATCH($C$7,$AA$7:$AA$45))</f>
        <v>9999999</v>
      </c>
      <c r="C53" s="102">
        <f>INDEX('Tabl. 1'!$C$8:$AO$313,206+$AB48,MATCH($C$7,$AA$7:$AA$45))</f>
        <v>9999999</v>
      </c>
      <c r="I53" s="99"/>
      <c r="P53" s="91"/>
      <c r="Q53" s="91"/>
      <c r="R53" s="91"/>
      <c r="S53" s="91"/>
      <c r="T53" s="91"/>
      <c r="U53" s="91"/>
      <c r="V53" s="90"/>
      <c r="W53" s="90"/>
      <c r="X53" s="90"/>
      <c r="Y53" s="90"/>
      <c r="Z53" s="90"/>
      <c r="AA53" s="96"/>
      <c r="AB53" s="96">
        <v>46</v>
      </c>
      <c r="AC53" s="96"/>
      <c r="AD53" s="100">
        <f t="shared" si="0"/>
        <v>-9999999</v>
      </c>
      <c r="AE53" s="101">
        <f t="shared" si="1"/>
        <v>9999999</v>
      </c>
      <c r="AF53" s="96">
        <f t="shared" si="2"/>
        <v>0</v>
      </c>
      <c r="AG53" s="101">
        <f t="shared" si="3"/>
        <v>0</v>
      </c>
      <c r="AH53" s="120"/>
      <c r="AI53" s="120"/>
      <c r="AJ53" s="121"/>
      <c r="AK53" s="121"/>
      <c r="AL53" s="121"/>
      <c r="AM53" s="121"/>
    </row>
    <row r="54" spans="1:39" x14ac:dyDescent="0.25">
      <c r="A54" s="103">
        <v>42</v>
      </c>
      <c r="B54" s="102">
        <f>INDEX('Tabl. 1'!$C$8:$AO$313,104+$AB49,MATCH($C$7,$AA$7:$AA$45))</f>
        <v>9999999</v>
      </c>
      <c r="C54" s="102">
        <f>INDEX('Tabl. 1'!$C$8:$AO$313,206+$AB49,MATCH($C$7,$AA$7:$AA$45))</f>
        <v>9999999</v>
      </c>
      <c r="I54" s="99"/>
      <c r="P54" s="91"/>
      <c r="Q54" s="91"/>
      <c r="R54" s="91"/>
      <c r="S54" s="91"/>
      <c r="T54" s="91"/>
      <c r="U54" s="91"/>
      <c r="V54" s="90"/>
      <c r="W54" s="90"/>
      <c r="X54" s="90"/>
      <c r="Y54" s="90"/>
      <c r="Z54" s="90"/>
      <c r="AA54" s="96"/>
      <c r="AB54" s="96">
        <v>47</v>
      </c>
      <c r="AC54" s="96"/>
      <c r="AD54" s="100">
        <f t="shared" si="0"/>
        <v>-9999999</v>
      </c>
      <c r="AE54" s="101">
        <f t="shared" si="1"/>
        <v>9999999</v>
      </c>
      <c r="AF54" s="96">
        <f t="shared" si="2"/>
        <v>0</v>
      </c>
      <c r="AG54" s="101">
        <f t="shared" si="3"/>
        <v>0</v>
      </c>
      <c r="AH54" s="120"/>
      <c r="AI54" s="120"/>
      <c r="AJ54" s="121"/>
      <c r="AK54" s="121"/>
      <c r="AL54" s="121"/>
      <c r="AM54" s="121"/>
    </row>
    <row r="55" spans="1:39" x14ac:dyDescent="0.25">
      <c r="A55" s="103">
        <v>43</v>
      </c>
      <c r="B55" s="102">
        <f>INDEX('Tabl. 1'!$C$8:$AO$313,104+$AB50,MATCH($C$7,$AA$7:$AA$45))</f>
        <v>9999999</v>
      </c>
      <c r="C55" s="102">
        <f>INDEX('Tabl. 1'!$C$8:$AO$313,206+$AB50,MATCH($C$7,$AA$7:$AA$45))</f>
        <v>9999999</v>
      </c>
      <c r="I55" s="99"/>
      <c r="P55" s="91"/>
      <c r="Q55" s="91"/>
      <c r="R55" s="91"/>
      <c r="S55" s="91"/>
      <c r="T55" s="91"/>
      <c r="U55" s="91"/>
      <c r="V55" s="90"/>
      <c r="W55" s="90"/>
      <c r="X55" s="90"/>
      <c r="Y55" s="90"/>
      <c r="Z55" s="90"/>
      <c r="AA55" s="96"/>
      <c r="AB55" s="96">
        <v>48</v>
      </c>
      <c r="AC55" s="96"/>
      <c r="AD55" s="100">
        <f t="shared" si="0"/>
        <v>-9999999</v>
      </c>
      <c r="AE55" s="101">
        <f t="shared" si="1"/>
        <v>9999999</v>
      </c>
      <c r="AF55" s="96">
        <f t="shared" si="2"/>
        <v>0</v>
      </c>
      <c r="AG55" s="101">
        <f t="shared" si="3"/>
        <v>0</v>
      </c>
      <c r="AH55" s="120"/>
      <c r="AI55" s="120"/>
      <c r="AJ55" s="121"/>
      <c r="AK55" s="121"/>
      <c r="AL55" s="121"/>
      <c r="AM55" s="121"/>
    </row>
    <row r="56" spans="1:39" x14ac:dyDescent="0.25">
      <c r="A56" s="103">
        <v>44</v>
      </c>
      <c r="B56" s="102">
        <f>INDEX('Tabl. 1'!$C$8:$AO$313,104+$AB51,MATCH($C$7,$AA$7:$AA$45))</f>
        <v>9999999</v>
      </c>
      <c r="C56" s="102">
        <f>INDEX('Tabl. 1'!$C$8:$AO$313,206+$AB51,MATCH($C$7,$AA$7:$AA$45))</f>
        <v>9999999</v>
      </c>
      <c r="I56" s="99"/>
      <c r="P56" s="91"/>
      <c r="Q56" s="91"/>
      <c r="R56" s="91"/>
      <c r="S56" s="91"/>
      <c r="T56" s="91"/>
      <c r="U56" s="91"/>
      <c r="V56" s="90"/>
      <c r="W56" s="90"/>
      <c r="X56" s="90"/>
      <c r="Y56" s="90"/>
      <c r="Z56" s="90"/>
      <c r="AA56" s="96"/>
      <c r="AB56" s="96">
        <v>49</v>
      </c>
      <c r="AC56" s="96"/>
      <c r="AD56" s="100">
        <f t="shared" si="0"/>
        <v>-9999999</v>
      </c>
      <c r="AE56" s="101">
        <f t="shared" si="1"/>
        <v>9999999</v>
      </c>
      <c r="AF56" s="96">
        <f t="shared" si="2"/>
        <v>0</v>
      </c>
      <c r="AG56" s="101">
        <f t="shared" si="3"/>
        <v>0</v>
      </c>
      <c r="AH56" s="120"/>
      <c r="AI56" s="120"/>
      <c r="AJ56" s="121"/>
      <c r="AK56" s="121"/>
      <c r="AL56" s="121"/>
      <c r="AM56" s="121"/>
    </row>
    <row r="57" spans="1:39" x14ac:dyDescent="0.25">
      <c r="A57" s="103">
        <v>45</v>
      </c>
      <c r="B57" s="102">
        <f>INDEX('Tabl. 1'!$C$8:$AO$313,104+$AB52,MATCH($C$7,$AA$7:$AA$45))</f>
        <v>9999999</v>
      </c>
      <c r="C57" s="102">
        <f>INDEX('Tabl. 1'!$C$8:$AO$313,206+$AB52,MATCH($C$7,$AA$7:$AA$45))</f>
        <v>9999999</v>
      </c>
      <c r="I57" s="99"/>
      <c r="P57" s="91"/>
      <c r="Q57" s="91"/>
      <c r="R57" s="91"/>
      <c r="S57" s="91"/>
      <c r="T57" s="91"/>
      <c r="U57" s="91"/>
      <c r="V57" s="90"/>
      <c r="W57" s="90"/>
      <c r="X57" s="90"/>
      <c r="Y57" s="90"/>
      <c r="Z57" s="90"/>
      <c r="AA57" s="96"/>
      <c r="AB57" s="96">
        <v>50</v>
      </c>
      <c r="AC57" s="96"/>
      <c r="AD57" s="100">
        <f t="shared" si="0"/>
        <v>-9999999</v>
      </c>
      <c r="AE57" s="101">
        <f t="shared" si="1"/>
        <v>9999999</v>
      </c>
      <c r="AF57" s="96">
        <f t="shared" si="2"/>
        <v>0</v>
      </c>
      <c r="AG57" s="101">
        <f t="shared" si="3"/>
        <v>0</v>
      </c>
      <c r="AH57" s="120"/>
      <c r="AI57" s="120"/>
      <c r="AJ57" s="121"/>
      <c r="AK57" s="121"/>
      <c r="AL57" s="121"/>
      <c r="AM57" s="121"/>
    </row>
    <row r="58" spans="1:39" x14ac:dyDescent="0.25">
      <c r="A58" s="103">
        <v>46</v>
      </c>
      <c r="B58" s="102">
        <f>INDEX('Tabl. 1'!$C$8:$AO$313,104+$AB53,MATCH($C$7,$AA$7:$AA$45))</f>
        <v>9999999</v>
      </c>
      <c r="C58" s="102">
        <f>INDEX('Tabl. 1'!$C$8:$AO$313,206+$AB53,MATCH($C$7,$AA$7:$AA$45))</f>
        <v>9999999</v>
      </c>
      <c r="I58" s="99"/>
      <c r="P58" s="91"/>
      <c r="Q58" s="91"/>
      <c r="R58" s="91"/>
      <c r="S58" s="91"/>
      <c r="T58" s="91"/>
      <c r="U58" s="91"/>
      <c r="V58" s="90"/>
      <c r="W58" s="90"/>
      <c r="X58" s="90"/>
      <c r="Y58" s="90"/>
      <c r="Z58" s="90"/>
      <c r="AA58" s="96"/>
      <c r="AB58" s="96">
        <v>51</v>
      </c>
      <c r="AC58" s="96"/>
      <c r="AD58" s="100">
        <f t="shared" si="0"/>
        <v>-9999999</v>
      </c>
      <c r="AE58" s="101">
        <f t="shared" si="1"/>
        <v>9999999</v>
      </c>
      <c r="AF58" s="96">
        <f t="shared" si="2"/>
        <v>0</v>
      </c>
      <c r="AG58" s="101">
        <f t="shared" si="3"/>
        <v>0</v>
      </c>
      <c r="AH58" s="120"/>
      <c r="AI58" s="120"/>
      <c r="AJ58" s="121"/>
      <c r="AK58" s="121"/>
      <c r="AL58" s="121"/>
      <c r="AM58" s="121"/>
    </row>
    <row r="59" spans="1:39" x14ac:dyDescent="0.25">
      <c r="A59" s="103">
        <v>47</v>
      </c>
      <c r="B59" s="102">
        <f>INDEX('Tabl. 1'!$C$8:$AO$313,104+$AB54,MATCH($C$7,$AA$7:$AA$45))</f>
        <v>9999999</v>
      </c>
      <c r="C59" s="102">
        <f>INDEX('Tabl. 1'!$C$8:$AO$313,206+$AB54,MATCH($C$7,$AA$7:$AA$45))</f>
        <v>9999999</v>
      </c>
      <c r="I59" s="99"/>
      <c r="P59" s="91"/>
      <c r="Q59" s="91"/>
      <c r="R59" s="91"/>
      <c r="S59" s="91"/>
      <c r="T59" s="91"/>
      <c r="U59" s="91"/>
      <c r="V59" s="90"/>
      <c r="W59" s="90"/>
      <c r="X59" s="90"/>
      <c r="Y59" s="90"/>
      <c r="Z59" s="90"/>
      <c r="AA59" s="96"/>
      <c r="AB59" s="96">
        <v>52</v>
      </c>
      <c r="AC59" s="96"/>
      <c r="AD59" s="100">
        <f t="shared" si="0"/>
        <v>-9999999</v>
      </c>
      <c r="AE59" s="101">
        <f t="shared" si="1"/>
        <v>9999999</v>
      </c>
      <c r="AF59" s="96">
        <f t="shared" si="2"/>
        <v>0</v>
      </c>
      <c r="AG59" s="101">
        <f t="shared" si="3"/>
        <v>0</v>
      </c>
      <c r="AH59" s="120"/>
      <c r="AI59" s="120"/>
      <c r="AJ59" s="121"/>
      <c r="AK59" s="121"/>
      <c r="AL59" s="121"/>
      <c r="AM59" s="121"/>
    </row>
    <row r="60" spans="1:39" x14ac:dyDescent="0.25">
      <c r="A60" s="103">
        <v>48</v>
      </c>
      <c r="B60" s="102">
        <f>INDEX('Tabl. 1'!$C$8:$AO$313,104+$AB55,MATCH($C$7,$AA$7:$AA$45))</f>
        <v>9999999</v>
      </c>
      <c r="C60" s="102">
        <f>INDEX('Tabl. 1'!$C$8:$AO$313,206+$AB55,MATCH($C$7,$AA$7:$AA$45))</f>
        <v>9999999</v>
      </c>
      <c r="I60" s="99"/>
      <c r="P60" s="91"/>
      <c r="Q60" s="91"/>
      <c r="R60" s="91"/>
      <c r="S60" s="91"/>
      <c r="T60" s="91"/>
      <c r="U60" s="91"/>
      <c r="V60" s="90"/>
      <c r="W60" s="90"/>
      <c r="X60" s="90"/>
      <c r="Y60" s="90"/>
      <c r="Z60" s="90"/>
      <c r="AA60" s="96"/>
      <c r="AB60" s="96">
        <v>53</v>
      </c>
      <c r="AC60" s="96"/>
      <c r="AD60" s="100">
        <f t="shared" si="0"/>
        <v>-9999999</v>
      </c>
      <c r="AE60" s="101">
        <f t="shared" si="1"/>
        <v>9999999</v>
      </c>
      <c r="AF60" s="96">
        <f t="shared" si="2"/>
        <v>0</v>
      </c>
      <c r="AG60" s="101">
        <f t="shared" si="3"/>
        <v>0</v>
      </c>
      <c r="AH60" s="120"/>
      <c r="AI60" s="120"/>
      <c r="AJ60" s="121"/>
      <c r="AK60" s="121"/>
      <c r="AL60" s="121"/>
      <c r="AM60" s="121"/>
    </row>
    <row r="61" spans="1:39" x14ac:dyDescent="0.25">
      <c r="A61" s="103">
        <v>49</v>
      </c>
      <c r="B61" s="102">
        <f>INDEX('Tabl. 1'!$C$8:$AO$313,104+$AB56,MATCH($C$7,$AA$7:$AA$45))</f>
        <v>9999999</v>
      </c>
      <c r="C61" s="102">
        <f>INDEX('Tabl. 1'!$C$8:$AO$313,206+$AB56,MATCH($C$7,$AA$7:$AA$45))</f>
        <v>9999999</v>
      </c>
      <c r="I61" s="99"/>
      <c r="P61" s="91"/>
      <c r="Q61" s="91"/>
      <c r="R61" s="91"/>
      <c r="S61" s="91"/>
      <c r="T61" s="91"/>
      <c r="U61" s="91"/>
      <c r="V61" s="90"/>
      <c r="W61" s="90"/>
      <c r="X61" s="90"/>
      <c r="Y61" s="90"/>
      <c r="Z61" s="90"/>
      <c r="AA61" s="96"/>
      <c r="AB61" s="96">
        <v>54</v>
      </c>
      <c r="AC61" s="96"/>
      <c r="AD61" s="100">
        <f t="shared" si="0"/>
        <v>-9999999</v>
      </c>
      <c r="AE61" s="101">
        <f t="shared" si="1"/>
        <v>9999999</v>
      </c>
      <c r="AF61" s="96">
        <f t="shared" si="2"/>
        <v>0</v>
      </c>
      <c r="AG61" s="101">
        <f t="shared" si="3"/>
        <v>0</v>
      </c>
      <c r="AH61" s="120"/>
      <c r="AI61" s="120"/>
      <c r="AJ61" s="121"/>
      <c r="AK61" s="121"/>
      <c r="AL61" s="121"/>
      <c r="AM61" s="121"/>
    </row>
    <row r="62" spans="1:39" x14ac:dyDescent="0.25">
      <c r="A62" s="103">
        <v>50</v>
      </c>
      <c r="B62" s="102">
        <f>INDEX('Tabl. 1'!$C$8:$AO$313,104+$AB57,MATCH($C$7,$AA$7:$AA$45))</f>
        <v>9999999</v>
      </c>
      <c r="C62" s="102">
        <f>INDEX('Tabl. 1'!$C$8:$AO$313,206+$AB57,MATCH($C$7,$AA$7:$AA$45))</f>
        <v>9999999</v>
      </c>
      <c r="I62" s="99"/>
      <c r="P62" s="91"/>
      <c r="Q62" s="91"/>
      <c r="R62" s="91"/>
      <c r="S62" s="91"/>
      <c r="T62" s="91"/>
      <c r="U62" s="91"/>
      <c r="V62" s="90"/>
      <c r="W62" s="90"/>
      <c r="X62" s="90"/>
      <c r="Y62" s="90"/>
      <c r="Z62" s="90"/>
      <c r="AA62" s="96"/>
      <c r="AB62" s="96">
        <v>55</v>
      </c>
      <c r="AC62" s="96"/>
      <c r="AD62" s="100">
        <f t="shared" si="0"/>
        <v>-9999999</v>
      </c>
      <c r="AE62" s="101">
        <f t="shared" si="1"/>
        <v>9999999</v>
      </c>
      <c r="AF62" s="96">
        <f t="shared" si="2"/>
        <v>0</v>
      </c>
      <c r="AG62" s="101">
        <f t="shared" si="3"/>
        <v>0</v>
      </c>
      <c r="AH62" s="120"/>
      <c r="AI62" s="120"/>
      <c r="AJ62" s="121"/>
      <c r="AK62" s="121"/>
      <c r="AL62" s="121"/>
      <c r="AM62" s="121"/>
    </row>
    <row r="63" spans="1:39" x14ac:dyDescent="0.25">
      <c r="A63" s="103">
        <v>51</v>
      </c>
      <c r="B63" s="102">
        <f>INDEX('Tabl. 1'!$C$8:$AO$313,104+$AB58,MATCH($C$7,$AA$7:$AA$45))</f>
        <v>9999999</v>
      </c>
      <c r="C63" s="102">
        <f>INDEX('Tabl. 1'!$C$8:$AO$313,206+$AB58,MATCH($C$7,$AA$7:$AA$45))</f>
        <v>9999999</v>
      </c>
      <c r="I63" s="99"/>
      <c r="P63" s="91"/>
      <c r="Q63" s="91"/>
      <c r="R63" s="91"/>
      <c r="S63" s="91"/>
      <c r="T63" s="91"/>
      <c r="U63" s="91"/>
      <c r="V63" s="90"/>
      <c r="W63" s="90"/>
      <c r="X63" s="90"/>
      <c r="Y63" s="90"/>
      <c r="Z63" s="90"/>
      <c r="AA63" s="96"/>
      <c r="AB63" s="96">
        <v>56</v>
      </c>
      <c r="AC63" s="96"/>
      <c r="AD63" s="100">
        <f t="shared" si="0"/>
        <v>-9999999</v>
      </c>
      <c r="AE63" s="101">
        <f t="shared" si="1"/>
        <v>9999999</v>
      </c>
      <c r="AF63" s="96">
        <f t="shared" si="2"/>
        <v>0</v>
      </c>
      <c r="AG63" s="101">
        <f t="shared" si="3"/>
        <v>0</v>
      </c>
      <c r="AH63" s="120"/>
      <c r="AI63" s="120"/>
      <c r="AJ63" s="121"/>
      <c r="AK63" s="121"/>
      <c r="AL63" s="121"/>
      <c r="AM63" s="121"/>
    </row>
    <row r="64" spans="1:39" x14ac:dyDescent="0.25">
      <c r="A64" s="103">
        <v>52</v>
      </c>
      <c r="B64" s="102">
        <f>INDEX('Tabl. 1'!$C$8:$AO$313,104+$AB59,MATCH($C$7,$AA$7:$AA$45))</f>
        <v>9999999</v>
      </c>
      <c r="C64" s="102">
        <f>INDEX('Tabl. 1'!$C$8:$AO$313,206+$AB59,MATCH($C$7,$AA$7:$AA$45))</f>
        <v>9999999</v>
      </c>
      <c r="I64" s="99"/>
      <c r="P64" s="91"/>
      <c r="Q64" s="91"/>
      <c r="R64" s="91"/>
      <c r="S64" s="91"/>
      <c r="T64" s="91"/>
      <c r="U64" s="91"/>
      <c r="V64" s="90"/>
      <c r="W64" s="90"/>
      <c r="X64" s="90"/>
      <c r="Y64" s="90"/>
      <c r="Z64" s="90"/>
      <c r="AA64" s="96"/>
      <c r="AB64" s="96">
        <v>57</v>
      </c>
      <c r="AC64" s="96"/>
      <c r="AD64" s="100">
        <f t="shared" si="0"/>
        <v>-9999999</v>
      </c>
      <c r="AE64" s="101">
        <f t="shared" si="1"/>
        <v>9999999</v>
      </c>
      <c r="AF64" s="96">
        <f t="shared" si="2"/>
        <v>0</v>
      </c>
      <c r="AG64" s="101">
        <f t="shared" si="3"/>
        <v>0</v>
      </c>
      <c r="AH64" s="120"/>
      <c r="AI64" s="120"/>
      <c r="AJ64" s="121"/>
      <c r="AK64" s="121"/>
      <c r="AL64" s="121"/>
      <c r="AM64" s="121"/>
    </row>
    <row r="65" spans="1:39" x14ac:dyDescent="0.25">
      <c r="A65" s="103">
        <v>53</v>
      </c>
      <c r="B65" s="102">
        <f>INDEX('Tabl. 1'!$C$8:$AO$313,104+$AB60,MATCH($C$7,$AA$7:$AA$45))</f>
        <v>9999999</v>
      </c>
      <c r="C65" s="102">
        <f>INDEX('Tabl. 1'!$C$8:$AO$313,206+$AB60,MATCH($C$7,$AA$7:$AA$45))</f>
        <v>9999999</v>
      </c>
      <c r="I65" s="99"/>
      <c r="P65" s="91"/>
      <c r="Q65" s="91"/>
      <c r="R65" s="91"/>
      <c r="S65" s="91"/>
      <c r="T65" s="91"/>
      <c r="U65" s="91"/>
      <c r="V65" s="90"/>
      <c r="W65" s="90"/>
      <c r="X65" s="90"/>
      <c r="Y65" s="90"/>
      <c r="Z65" s="90"/>
      <c r="AA65" s="96"/>
      <c r="AB65" s="96">
        <v>58</v>
      </c>
      <c r="AC65" s="96"/>
      <c r="AD65" s="100">
        <f t="shared" si="0"/>
        <v>-9999999</v>
      </c>
      <c r="AE65" s="101">
        <f t="shared" si="1"/>
        <v>9999999</v>
      </c>
      <c r="AF65" s="96">
        <f t="shared" si="2"/>
        <v>0</v>
      </c>
      <c r="AG65" s="101">
        <f t="shared" si="3"/>
        <v>0</v>
      </c>
      <c r="AH65" s="120"/>
      <c r="AI65" s="120"/>
      <c r="AJ65" s="121"/>
      <c r="AK65" s="121"/>
      <c r="AL65" s="121"/>
      <c r="AM65" s="121"/>
    </row>
    <row r="66" spans="1:39" x14ac:dyDescent="0.25">
      <c r="A66" s="103">
        <v>54</v>
      </c>
      <c r="B66" s="102">
        <f>INDEX('Tabl. 1'!$C$8:$AO$313,104+$AB61,MATCH($C$7,$AA$7:$AA$45))</f>
        <v>9999999</v>
      </c>
      <c r="C66" s="102">
        <f>INDEX('Tabl. 1'!$C$8:$AO$313,206+$AB61,MATCH($C$7,$AA$7:$AA$45))</f>
        <v>9999999</v>
      </c>
      <c r="I66" s="99"/>
      <c r="P66" s="91"/>
      <c r="Q66" s="91"/>
      <c r="R66" s="91"/>
      <c r="S66" s="91"/>
      <c r="T66" s="91"/>
      <c r="U66" s="91"/>
      <c r="V66" s="90"/>
      <c r="W66" s="90"/>
      <c r="X66" s="90"/>
      <c r="Y66" s="90"/>
      <c r="Z66" s="90"/>
      <c r="AA66" s="96"/>
      <c r="AB66" s="96">
        <v>59</v>
      </c>
      <c r="AC66" s="96"/>
      <c r="AD66" s="100">
        <f t="shared" si="0"/>
        <v>-9999999</v>
      </c>
      <c r="AE66" s="101">
        <f t="shared" si="1"/>
        <v>9999999</v>
      </c>
      <c r="AF66" s="96">
        <f t="shared" si="2"/>
        <v>0</v>
      </c>
      <c r="AG66" s="101">
        <f t="shared" si="3"/>
        <v>0</v>
      </c>
      <c r="AH66" s="120"/>
      <c r="AI66" s="120"/>
      <c r="AJ66" s="121"/>
      <c r="AK66" s="121"/>
      <c r="AL66" s="121"/>
      <c r="AM66" s="121"/>
    </row>
    <row r="67" spans="1:39" x14ac:dyDescent="0.25">
      <c r="A67" s="103">
        <v>55</v>
      </c>
      <c r="B67" s="102">
        <f>INDEX('Tabl. 1'!$C$8:$AO$313,104+$AB62,MATCH($C$7,$AA$7:$AA$45))</f>
        <v>9999999</v>
      </c>
      <c r="C67" s="102">
        <f>INDEX('Tabl. 1'!$C$8:$AO$313,206+$AB62,MATCH($C$7,$AA$7:$AA$45))</f>
        <v>9999999</v>
      </c>
      <c r="I67" s="99"/>
      <c r="P67" s="91"/>
      <c r="Q67" s="91"/>
      <c r="R67" s="91"/>
      <c r="S67" s="91"/>
      <c r="T67" s="91"/>
      <c r="U67" s="91"/>
      <c r="V67" s="90"/>
      <c r="W67" s="90"/>
      <c r="X67" s="90"/>
      <c r="Y67" s="90"/>
      <c r="Z67" s="90"/>
      <c r="AA67" s="96"/>
      <c r="AB67" s="96">
        <v>60</v>
      </c>
      <c r="AC67" s="96"/>
      <c r="AD67" s="100">
        <f t="shared" si="0"/>
        <v>-9999999</v>
      </c>
      <c r="AE67" s="101">
        <f t="shared" si="1"/>
        <v>9999999</v>
      </c>
      <c r="AF67" s="96">
        <f t="shared" si="2"/>
        <v>0</v>
      </c>
      <c r="AG67" s="101">
        <f t="shared" si="3"/>
        <v>0</v>
      </c>
      <c r="AH67" s="120"/>
      <c r="AI67" s="120"/>
      <c r="AJ67" s="121"/>
      <c r="AK67" s="121"/>
      <c r="AL67" s="121"/>
      <c r="AM67" s="121"/>
    </row>
    <row r="68" spans="1:39" x14ac:dyDescent="0.25">
      <c r="A68" s="103">
        <v>56</v>
      </c>
      <c r="B68" s="102">
        <f>INDEX('Tabl. 1'!$C$8:$AO$313,104+$AB63,MATCH($C$7,$AA$7:$AA$45))</f>
        <v>9999999</v>
      </c>
      <c r="C68" s="102">
        <f>INDEX('Tabl. 1'!$C$8:$AO$313,206+$AB63,MATCH($C$7,$AA$7:$AA$45))</f>
        <v>9999999</v>
      </c>
      <c r="I68" s="99"/>
      <c r="P68" s="91"/>
      <c r="Q68" s="91"/>
      <c r="R68" s="91"/>
      <c r="S68" s="91"/>
      <c r="T68" s="91"/>
      <c r="U68" s="91"/>
      <c r="V68" s="90"/>
      <c r="W68" s="90"/>
      <c r="X68" s="90"/>
      <c r="Y68" s="90"/>
      <c r="Z68" s="90"/>
      <c r="AA68" s="96"/>
      <c r="AB68" s="96">
        <v>61</v>
      </c>
      <c r="AC68" s="96"/>
      <c r="AD68" s="100">
        <f t="shared" si="0"/>
        <v>-9999999</v>
      </c>
      <c r="AE68" s="101">
        <f t="shared" si="1"/>
        <v>9999999</v>
      </c>
      <c r="AF68" s="96">
        <f t="shared" si="2"/>
        <v>0</v>
      </c>
      <c r="AG68" s="101">
        <f t="shared" si="3"/>
        <v>0</v>
      </c>
      <c r="AH68" s="120"/>
      <c r="AI68" s="120"/>
      <c r="AJ68" s="121"/>
      <c r="AK68" s="121"/>
      <c r="AL68" s="121"/>
      <c r="AM68" s="121"/>
    </row>
    <row r="69" spans="1:39" x14ac:dyDescent="0.25">
      <c r="A69" s="103">
        <v>57</v>
      </c>
      <c r="B69" s="102">
        <f>INDEX('Tabl. 1'!$C$8:$AO$313,104+$AB64,MATCH($C$7,$AA$7:$AA$45))</f>
        <v>9999999</v>
      </c>
      <c r="C69" s="102">
        <f>INDEX('Tabl. 1'!$C$8:$AO$313,206+$AB64,MATCH($C$7,$AA$7:$AA$45))</f>
        <v>9999999</v>
      </c>
      <c r="I69" s="99"/>
      <c r="P69" s="91"/>
      <c r="Q69" s="91"/>
      <c r="R69" s="91"/>
      <c r="S69" s="91"/>
      <c r="T69" s="91"/>
      <c r="U69" s="91"/>
      <c r="V69" s="90"/>
      <c r="W69" s="90"/>
      <c r="X69" s="90"/>
      <c r="Y69" s="90"/>
      <c r="Z69" s="90"/>
      <c r="AA69" s="96"/>
      <c r="AB69" s="96">
        <v>62</v>
      </c>
      <c r="AC69" s="96"/>
      <c r="AD69" s="100">
        <f t="shared" si="0"/>
        <v>-9999999</v>
      </c>
      <c r="AE69" s="101">
        <f t="shared" si="1"/>
        <v>9999999</v>
      </c>
      <c r="AF69" s="96">
        <f t="shared" si="2"/>
        <v>0</v>
      </c>
      <c r="AG69" s="101">
        <f t="shared" si="3"/>
        <v>0</v>
      </c>
      <c r="AH69" s="120"/>
      <c r="AI69" s="120"/>
      <c r="AJ69" s="121"/>
      <c r="AK69" s="121"/>
      <c r="AL69" s="121"/>
      <c r="AM69" s="121"/>
    </row>
    <row r="70" spans="1:39" x14ac:dyDescent="0.25">
      <c r="A70" s="103">
        <v>58</v>
      </c>
      <c r="B70" s="102">
        <f>INDEX('Tabl. 1'!$C$8:$AO$313,104+$AB65,MATCH($C$7,$AA$7:$AA$45))</f>
        <v>9999999</v>
      </c>
      <c r="C70" s="102">
        <f>INDEX('Tabl. 1'!$C$8:$AO$313,206+$AB65,MATCH($C$7,$AA$7:$AA$45))</f>
        <v>9999999</v>
      </c>
      <c r="I70" s="99"/>
      <c r="P70" s="91"/>
      <c r="Q70" s="91"/>
      <c r="R70" s="91"/>
      <c r="S70" s="91"/>
      <c r="T70" s="91"/>
      <c r="U70" s="91"/>
      <c r="V70" s="90"/>
      <c r="W70" s="90"/>
      <c r="X70" s="90"/>
      <c r="Y70" s="90"/>
      <c r="Z70" s="90"/>
      <c r="AA70" s="96"/>
      <c r="AB70" s="96">
        <v>63</v>
      </c>
      <c r="AC70" s="96"/>
      <c r="AD70" s="100">
        <f t="shared" si="0"/>
        <v>-9999999</v>
      </c>
      <c r="AE70" s="101">
        <f t="shared" si="1"/>
        <v>9999999</v>
      </c>
      <c r="AF70" s="96">
        <f t="shared" si="2"/>
        <v>0</v>
      </c>
      <c r="AG70" s="101">
        <f t="shared" si="3"/>
        <v>0</v>
      </c>
      <c r="AH70" s="120"/>
      <c r="AI70" s="120"/>
      <c r="AJ70" s="121"/>
      <c r="AK70" s="121"/>
      <c r="AL70" s="121"/>
      <c r="AM70" s="121"/>
    </row>
    <row r="71" spans="1:39" x14ac:dyDescent="0.25">
      <c r="A71" s="103">
        <v>59</v>
      </c>
      <c r="B71" s="102">
        <f>INDEX('Tabl. 1'!$C$8:$AO$313,104+$AB66,MATCH($C$7,$AA$7:$AA$45))</f>
        <v>9999999</v>
      </c>
      <c r="C71" s="102">
        <f>INDEX('Tabl. 1'!$C$8:$AO$313,206+$AB66,MATCH($C$7,$AA$7:$AA$45))</f>
        <v>9999999</v>
      </c>
      <c r="I71" s="99"/>
      <c r="P71" s="91"/>
      <c r="Q71" s="91"/>
      <c r="R71" s="91"/>
      <c r="S71" s="91"/>
      <c r="T71" s="91"/>
      <c r="U71" s="91"/>
      <c r="V71" s="90"/>
      <c r="W71" s="90"/>
      <c r="X71" s="90"/>
      <c r="Y71" s="90"/>
      <c r="Z71" s="90"/>
      <c r="AA71" s="96"/>
      <c r="AB71" s="96">
        <v>64</v>
      </c>
      <c r="AC71" s="96"/>
      <c r="AD71" s="100">
        <f t="shared" si="0"/>
        <v>-9999999</v>
      </c>
      <c r="AE71" s="101">
        <f t="shared" si="1"/>
        <v>9999999</v>
      </c>
      <c r="AF71" s="96">
        <f t="shared" si="2"/>
        <v>0</v>
      </c>
      <c r="AG71" s="101">
        <f t="shared" si="3"/>
        <v>0</v>
      </c>
      <c r="AH71" s="120"/>
      <c r="AI71" s="120"/>
      <c r="AJ71" s="121"/>
      <c r="AK71" s="121"/>
      <c r="AL71" s="121"/>
      <c r="AM71" s="121"/>
    </row>
    <row r="72" spans="1:39" x14ac:dyDescent="0.25">
      <c r="A72" s="103">
        <v>60</v>
      </c>
      <c r="B72" s="102">
        <f>INDEX('Tabl. 1'!$C$8:$AO$313,104+$AB67,MATCH($C$7,$AA$7:$AA$45))</f>
        <v>9999999</v>
      </c>
      <c r="C72" s="102">
        <f>INDEX('Tabl. 1'!$C$8:$AO$313,206+$AB67,MATCH($C$7,$AA$7:$AA$45))</f>
        <v>9999999</v>
      </c>
      <c r="I72" s="99"/>
      <c r="P72" s="91"/>
      <c r="Q72" s="91"/>
      <c r="R72" s="91"/>
      <c r="S72" s="91"/>
      <c r="T72" s="91"/>
      <c r="U72" s="91"/>
      <c r="V72" s="90"/>
      <c r="W72" s="90"/>
      <c r="X72" s="90"/>
      <c r="Y72" s="90"/>
      <c r="Z72" s="90"/>
      <c r="AA72" s="96"/>
      <c r="AB72" s="96">
        <v>65</v>
      </c>
      <c r="AC72" s="96"/>
      <c r="AD72" s="100">
        <f t="shared" si="0"/>
        <v>-9999999</v>
      </c>
      <c r="AE72" s="101">
        <f t="shared" si="1"/>
        <v>9999999</v>
      </c>
      <c r="AF72" s="96">
        <f t="shared" si="2"/>
        <v>0</v>
      </c>
      <c r="AG72" s="101">
        <f t="shared" si="3"/>
        <v>0</v>
      </c>
      <c r="AH72" s="120"/>
      <c r="AI72" s="120"/>
      <c r="AJ72" s="121"/>
      <c r="AK72" s="121"/>
      <c r="AL72" s="121"/>
      <c r="AM72" s="121"/>
    </row>
    <row r="73" spans="1:39" x14ac:dyDescent="0.25">
      <c r="A73" s="103">
        <v>61</v>
      </c>
      <c r="B73" s="102">
        <f>INDEX('Tabl. 1'!$C$8:$AO$313,104+$AB68,MATCH($C$7,$AA$7:$AA$45))</f>
        <v>9999999</v>
      </c>
      <c r="C73" s="102">
        <f>INDEX('Tabl. 1'!$C$8:$AO$313,206+$AB68,MATCH($C$7,$AA$7:$AA$45))</f>
        <v>9999999</v>
      </c>
      <c r="I73" s="99"/>
      <c r="P73" s="91"/>
      <c r="Q73" s="91"/>
      <c r="R73" s="91"/>
      <c r="S73" s="91"/>
      <c r="T73" s="91"/>
      <c r="U73" s="91"/>
      <c r="V73" s="90"/>
      <c r="W73" s="90"/>
      <c r="X73" s="90"/>
      <c r="Y73" s="90"/>
      <c r="Z73" s="90"/>
      <c r="AA73" s="96"/>
      <c r="AB73" s="96">
        <v>66</v>
      </c>
      <c r="AC73" s="96"/>
      <c r="AD73" s="100">
        <f t="shared" ref="AD73:AD108" si="4">(-1*B77)-AF73</f>
        <v>-9999999</v>
      </c>
      <c r="AE73" s="101">
        <f t="shared" ref="AE73:AE108" si="5">C77-AG73</f>
        <v>9999999</v>
      </c>
      <c r="AF73" s="96">
        <f t="shared" ref="AF73:AF109" si="6">IF(B77&gt;C77,-1*(B77-C77),0)</f>
        <v>0</v>
      </c>
      <c r="AG73" s="101">
        <f t="shared" ref="AG73:AG109" si="7">IF(C77&gt;B77,C77-B77,0)</f>
        <v>0</v>
      </c>
      <c r="AH73" s="120"/>
      <c r="AI73" s="120"/>
      <c r="AJ73" s="121"/>
      <c r="AK73" s="121"/>
      <c r="AL73" s="121"/>
      <c r="AM73" s="121"/>
    </row>
    <row r="74" spans="1:39" x14ac:dyDescent="0.25">
      <c r="A74" s="103">
        <v>62</v>
      </c>
      <c r="B74" s="102">
        <f>INDEX('Tabl. 1'!$C$8:$AO$313,104+$AB69,MATCH($C$7,$AA$7:$AA$45))</f>
        <v>9999999</v>
      </c>
      <c r="C74" s="102">
        <f>INDEX('Tabl. 1'!$C$8:$AO$313,206+$AB69,MATCH($C$7,$AA$7:$AA$45))</f>
        <v>9999999</v>
      </c>
      <c r="I74" s="99"/>
      <c r="P74" s="91"/>
      <c r="Q74" s="91"/>
      <c r="R74" s="91"/>
      <c r="S74" s="91"/>
      <c r="T74" s="91"/>
      <c r="U74" s="91"/>
      <c r="V74" s="90"/>
      <c r="W74" s="90"/>
      <c r="X74" s="90"/>
      <c r="Y74" s="90"/>
      <c r="Z74" s="90"/>
      <c r="AA74" s="96"/>
      <c r="AB74" s="96">
        <v>67</v>
      </c>
      <c r="AC74" s="96"/>
      <c r="AD74" s="100">
        <f t="shared" si="4"/>
        <v>-9999999</v>
      </c>
      <c r="AE74" s="101">
        <f t="shared" si="5"/>
        <v>9999999</v>
      </c>
      <c r="AF74" s="96">
        <f t="shared" si="6"/>
        <v>0</v>
      </c>
      <c r="AG74" s="101">
        <f t="shared" si="7"/>
        <v>0</v>
      </c>
      <c r="AH74" s="120"/>
      <c r="AI74" s="120"/>
      <c r="AJ74" s="121"/>
      <c r="AK74" s="121"/>
      <c r="AL74" s="121"/>
      <c r="AM74" s="121"/>
    </row>
    <row r="75" spans="1:39" x14ac:dyDescent="0.25">
      <c r="A75" s="103">
        <v>63</v>
      </c>
      <c r="B75" s="102">
        <f>INDEX('Tabl. 1'!$C$8:$AO$313,104+$AB70,MATCH($C$7,$AA$7:$AA$45))</f>
        <v>9999999</v>
      </c>
      <c r="C75" s="102">
        <f>INDEX('Tabl. 1'!$C$8:$AO$313,206+$AB70,MATCH($C$7,$AA$7:$AA$45))</f>
        <v>9999999</v>
      </c>
      <c r="I75" s="99"/>
      <c r="P75" s="91"/>
      <c r="Q75" s="91"/>
      <c r="R75" s="91"/>
      <c r="S75" s="91"/>
      <c r="T75" s="91"/>
      <c r="U75" s="91"/>
      <c r="V75" s="90"/>
      <c r="W75" s="90"/>
      <c r="X75" s="90"/>
      <c r="Y75" s="90"/>
      <c r="Z75" s="90"/>
      <c r="AA75" s="96"/>
      <c r="AB75" s="96">
        <v>68</v>
      </c>
      <c r="AC75" s="96"/>
      <c r="AD75" s="100">
        <f t="shared" si="4"/>
        <v>-9999999</v>
      </c>
      <c r="AE75" s="101">
        <f t="shared" si="5"/>
        <v>9999999</v>
      </c>
      <c r="AF75" s="96">
        <f t="shared" si="6"/>
        <v>0</v>
      </c>
      <c r="AG75" s="101">
        <f t="shared" si="7"/>
        <v>0</v>
      </c>
      <c r="AH75" s="120"/>
      <c r="AI75" s="120"/>
      <c r="AJ75" s="121"/>
      <c r="AK75" s="121"/>
      <c r="AL75" s="121"/>
      <c r="AM75" s="121"/>
    </row>
    <row r="76" spans="1:39" x14ac:dyDescent="0.25">
      <c r="A76" s="103">
        <v>64</v>
      </c>
      <c r="B76" s="102">
        <f>INDEX('Tabl. 1'!$C$8:$AO$313,104+$AB71,MATCH($C$7,$AA$7:$AA$45))</f>
        <v>9999999</v>
      </c>
      <c r="C76" s="102">
        <f>INDEX('Tabl. 1'!$C$8:$AO$313,206+$AB71,MATCH($C$7,$AA$7:$AA$45))</f>
        <v>9999999</v>
      </c>
      <c r="I76" s="99"/>
      <c r="P76" s="91"/>
      <c r="Q76" s="91"/>
      <c r="R76" s="91"/>
      <c r="S76" s="91"/>
      <c r="T76" s="91"/>
      <c r="U76" s="91"/>
      <c r="V76" s="90"/>
      <c r="W76" s="90"/>
      <c r="X76" s="90"/>
      <c r="Y76" s="90"/>
      <c r="Z76" s="90"/>
      <c r="AA76" s="96"/>
      <c r="AB76" s="96">
        <v>69</v>
      </c>
      <c r="AC76" s="96"/>
      <c r="AD76" s="100">
        <f t="shared" si="4"/>
        <v>-9999999</v>
      </c>
      <c r="AE76" s="101">
        <f t="shared" si="5"/>
        <v>9999999</v>
      </c>
      <c r="AF76" s="96">
        <f t="shared" si="6"/>
        <v>0</v>
      </c>
      <c r="AG76" s="101">
        <f t="shared" si="7"/>
        <v>0</v>
      </c>
      <c r="AH76" s="120"/>
      <c r="AI76" s="120"/>
      <c r="AJ76" s="121"/>
      <c r="AK76" s="121"/>
      <c r="AL76" s="121"/>
      <c r="AM76" s="121"/>
    </row>
    <row r="77" spans="1:39" x14ac:dyDescent="0.25">
      <c r="A77" s="103">
        <v>65</v>
      </c>
      <c r="B77" s="102">
        <f>INDEX('Tabl. 1'!$C$8:$AO$313,104+$AB72,MATCH($C$7,$AA$7:$AA$45))</f>
        <v>9999999</v>
      </c>
      <c r="C77" s="102">
        <f>INDEX('Tabl. 1'!$C$8:$AO$313,206+$AB72,MATCH($C$7,$AA$7:$AA$45))</f>
        <v>9999999</v>
      </c>
      <c r="I77" s="99"/>
      <c r="P77" s="91"/>
      <c r="Q77" s="91"/>
      <c r="R77" s="91"/>
      <c r="S77" s="91"/>
      <c r="T77" s="91"/>
      <c r="U77" s="91"/>
      <c r="V77" s="90"/>
      <c r="W77" s="90"/>
      <c r="X77" s="90"/>
      <c r="Y77" s="90"/>
      <c r="Z77" s="90"/>
      <c r="AA77" s="96"/>
      <c r="AB77" s="96">
        <v>70</v>
      </c>
      <c r="AC77" s="96"/>
      <c r="AD77" s="100">
        <f t="shared" si="4"/>
        <v>-9999999</v>
      </c>
      <c r="AE77" s="101">
        <f t="shared" si="5"/>
        <v>9999999</v>
      </c>
      <c r="AF77" s="96">
        <f t="shared" si="6"/>
        <v>0</v>
      </c>
      <c r="AG77" s="101">
        <f t="shared" si="7"/>
        <v>0</v>
      </c>
      <c r="AH77" s="120"/>
      <c r="AI77" s="120"/>
      <c r="AJ77" s="121"/>
      <c r="AK77" s="121"/>
      <c r="AL77" s="121"/>
      <c r="AM77" s="121"/>
    </row>
    <row r="78" spans="1:39" x14ac:dyDescent="0.25">
      <c r="A78" s="103">
        <v>66</v>
      </c>
      <c r="B78" s="102">
        <f>INDEX('Tabl. 1'!$C$8:$AO$313,104+$AB73,MATCH($C$7,$AA$7:$AA$45))</f>
        <v>9999999</v>
      </c>
      <c r="C78" s="102">
        <f>INDEX('Tabl. 1'!$C$8:$AO$313,206+$AB73,MATCH($C$7,$AA$7:$AA$45))</f>
        <v>9999999</v>
      </c>
      <c r="I78" s="99"/>
      <c r="P78" s="91"/>
      <c r="Q78" s="91"/>
      <c r="R78" s="91"/>
      <c r="S78" s="91"/>
      <c r="T78" s="91"/>
      <c r="U78" s="91"/>
      <c r="V78" s="90"/>
      <c r="W78" s="90"/>
      <c r="X78" s="90"/>
      <c r="Y78" s="90"/>
      <c r="Z78" s="90"/>
      <c r="AA78" s="96"/>
      <c r="AB78" s="96">
        <v>71</v>
      </c>
      <c r="AC78" s="96"/>
      <c r="AD78" s="100">
        <f t="shared" si="4"/>
        <v>-9999999</v>
      </c>
      <c r="AE78" s="101">
        <f t="shared" si="5"/>
        <v>9999999</v>
      </c>
      <c r="AF78" s="96">
        <f t="shared" si="6"/>
        <v>0</v>
      </c>
      <c r="AG78" s="101">
        <f t="shared" si="7"/>
        <v>0</v>
      </c>
      <c r="AH78" s="120"/>
      <c r="AI78" s="120"/>
      <c r="AJ78" s="121"/>
      <c r="AK78" s="121"/>
      <c r="AL78" s="121"/>
      <c r="AM78" s="121"/>
    </row>
    <row r="79" spans="1:39" x14ac:dyDescent="0.25">
      <c r="A79" s="103">
        <v>67</v>
      </c>
      <c r="B79" s="102">
        <f>INDEX('Tabl. 1'!$C$8:$AO$313,104+$AB74,MATCH($C$7,$AA$7:$AA$45))</f>
        <v>9999999</v>
      </c>
      <c r="C79" s="102">
        <f>INDEX('Tabl. 1'!$C$8:$AO$313,206+$AB74,MATCH($C$7,$AA$7:$AA$45))</f>
        <v>9999999</v>
      </c>
      <c r="I79" s="99"/>
      <c r="P79" s="91"/>
      <c r="Q79" s="91"/>
      <c r="R79" s="91"/>
      <c r="S79" s="91"/>
      <c r="T79" s="91"/>
      <c r="U79" s="91"/>
      <c r="V79" s="90"/>
      <c r="W79" s="90"/>
      <c r="X79" s="90"/>
      <c r="Y79" s="90"/>
      <c r="Z79" s="90"/>
      <c r="AA79" s="96"/>
      <c r="AB79" s="96">
        <v>72</v>
      </c>
      <c r="AC79" s="96"/>
      <c r="AD79" s="100">
        <f t="shared" si="4"/>
        <v>-9999999</v>
      </c>
      <c r="AE79" s="101">
        <f t="shared" si="5"/>
        <v>9999999</v>
      </c>
      <c r="AF79" s="96">
        <f t="shared" si="6"/>
        <v>0</v>
      </c>
      <c r="AG79" s="101">
        <f t="shared" si="7"/>
        <v>0</v>
      </c>
      <c r="AH79" s="120"/>
      <c r="AI79" s="120"/>
      <c r="AJ79" s="121"/>
      <c r="AK79" s="121"/>
      <c r="AL79" s="121"/>
      <c r="AM79" s="121"/>
    </row>
    <row r="80" spans="1:39" x14ac:dyDescent="0.25">
      <c r="A80" s="103">
        <v>68</v>
      </c>
      <c r="B80" s="102">
        <f>INDEX('Tabl. 1'!$C$8:$AO$313,104+$AB75,MATCH($C$7,$AA$7:$AA$45))</f>
        <v>9999999</v>
      </c>
      <c r="C80" s="102">
        <f>INDEX('Tabl. 1'!$C$8:$AO$313,206+$AB75,MATCH($C$7,$AA$7:$AA$45))</f>
        <v>9999999</v>
      </c>
      <c r="I80" s="99"/>
      <c r="P80" s="91"/>
      <c r="Q80" s="91"/>
      <c r="R80" s="91"/>
      <c r="S80" s="91"/>
      <c r="T80" s="91"/>
      <c r="U80" s="91"/>
      <c r="V80" s="90"/>
      <c r="W80" s="90"/>
      <c r="X80" s="90"/>
      <c r="Y80" s="90"/>
      <c r="Z80" s="90"/>
      <c r="AA80" s="96"/>
      <c r="AB80" s="96">
        <v>73</v>
      </c>
      <c r="AC80" s="96"/>
      <c r="AD80" s="100">
        <f t="shared" si="4"/>
        <v>-9999999</v>
      </c>
      <c r="AE80" s="101">
        <f t="shared" si="5"/>
        <v>9999999</v>
      </c>
      <c r="AF80" s="96">
        <f t="shared" si="6"/>
        <v>0</v>
      </c>
      <c r="AG80" s="101">
        <f t="shared" si="7"/>
        <v>0</v>
      </c>
      <c r="AH80" s="120"/>
      <c r="AI80" s="120"/>
      <c r="AJ80" s="121"/>
      <c r="AK80" s="121"/>
      <c r="AL80" s="121"/>
      <c r="AM80" s="121"/>
    </row>
    <row r="81" spans="1:39" x14ac:dyDescent="0.25">
      <c r="A81" s="103">
        <v>69</v>
      </c>
      <c r="B81" s="102">
        <f>INDEX('Tabl. 1'!$C$8:$AO$313,104+$AB76,MATCH($C$7,$AA$7:$AA$45))</f>
        <v>9999999</v>
      </c>
      <c r="C81" s="102">
        <f>INDEX('Tabl. 1'!$C$8:$AO$313,206+$AB76,MATCH($C$7,$AA$7:$AA$45))</f>
        <v>9999999</v>
      </c>
      <c r="I81" s="99"/>
      <c r="P81" s="91"/>
      <c r="Q81" s="91"/>
      <c r="R81" s="91"/>
      <c r="S81" s="91"/>
      <c r="T81" s="91"/>
      <c r="U81" s="91"/>
      <c r="V81" s="90"/>
      <c r="W81" s="90"/>
      <c r="X81" s="90"/>
      <c r="Y81" s="90"/>
      <c r="Z81" s="90"/>
      <c r="AA81" s="96"/>
      <c r="AB81" s="96">
        <v>74</v>
      </c>
      <c r="AC81" s="96"/>
      <c r="AD81" s="100">
        <f t="shared" si="4"/>
        <v>-9999999</v>
      </c>
      <c r="AE81" s="101">
        <f t="shared" si="5"/>
        <v>9999999</v>
      </c>
      <c r="AF81" s="96">
        <f t="shared" si="6"/>
        <v>0</v>
      </c>
      <c r="AG81" s="101">
        <f t="shared" si="7"/>
        <v>0</v>
      </c>
      <c r="AH81" s="120"/>
      <c r="AI81" s="120"/>
      <c r="AJ81" s="121"/>
      <c r="AK81" s="121"/>
      <c r="AL81" s="121"/>
      <c r="AM81" s="121"/>
    </row>
    <row r="82" spans="1:39" x14ac:dyDescent="0.25">
      <c r="A82" s="103">
        <v>70</v>
      </c>
      <c r="B82" s="102">
        <f>INDEX('Tabl. 1'!$C$8:$AO$313,104+$AB77,MATCH($C$7,$AA$7:$AA$45))</f>
        <v>9999999</v>
      </c>
      <c r="C82" s="102">
        <f>INDEX('Tabl. 1'!$C$8:$AO$313,206+$AB77,MATCH($C$7,$AA$7:$AA$45))</f>
        <v>9999999</v>
      </c>
      <c r="I82" s="99"/>
      <c r="P82" s="91"/>
      <c r="Q82" s="91"/>
      <c r="R82" s="91"/>
      <c r="S82" s="91"/>
      <c r="T82" s="91"/>
      <c r="U82" s="91"/>
      <c r="V82" s="90"/>
      <c r="W82" s="90"/>
      <c r="X82" s="90"/>
      <c r="Y82" s="90"/>
      <c r="Z82" s="90"/>
      <c r="AA82" s="96"/>
      <c r="AB82" s="96">
        <v>75</v>
      </c>
      <c r="AC82" s="96"/>
      <c r="AD82" s="100">
        <f t="shared" si="4"/>
        <v>-9999999</v>
      </c>
      <c r="AE82" s="101">
        <f t="shared" si="5"/>
        <v>9999999</v>
      </c>
      <c r="AF82" s="96">
        <f t="shared" si="6"/>
        <v>0</v>
      </c>
      <c r="AG82" s="101">
        <f t="shared" si="7"/>
        <v>0</v>
      </c>
      <c r="AH82" s="120"/>
      <c r="AI82" s="120"/>
      <c r="AJ82" s="121"/>
      <c r="AK82" s="121"/>
      <c r="AL82" s="121"/>
      <c r="AM82" s="121"/>
    </row>
    <row r="83" spans="1:39" x14ac:dyDescent="0.25">
      <c r="A83" s="103">
        <v>71</v>
      </c>
      <c r="B83" s="102">
        <f>INDEX('Tabl. 1'!$C$8:$AO$313,104+$AB78,MATCH($C$7,$AA$7:$AA$45))</f>
        <v>9999999</v>
      </c>
      <c r="C83" s="102">
        <f>INDEX('Tabl. 1'!$C$8:$AO$313,206+$AB78,MATCH($C$7,$AA$7:$AA$45))</f>
        <v>9999999</v>
      </c>
      <c r="I83" s="99"/>
      <c r="P83" s="91"/>
      <c r="Q83" s="91"/>
      <c r="R83" s="91"/>
      <c r="S83" s="91"/>
      <c r="T83" s="91"/>
      <c r="U83" s="91"/>
      <c r="V83" s="90"/>
      <c r="W83" s="90"/>
      <c r="X83" s="90"/>
      <c r="Y83" s="90"/>
      <c r="Z83" s="90"/>
      <c r="AA83" s="96"/>
      <c r="AB83" s="96">
        <v>76</v>
      </c>
      <c r="AC83" s="96"/>
      <c r="AD83" s="100">
        <f t="shared" si="4"/>
        <v>-9999999</v>
      </c>
      <c r="AE83" s="101">
        <f t="shared" si="5"/>
        <v>9999999</v>
      </c>
      <c r="AF83" s="96">
        <f t="shared" si="6"/>
        <v>0</v>
      </c>
      <c r="AG83" s="101">
        <f t="shared" si="7"/>
        <v>0</v>
      </c>
      <c r="AH83" s="120"/>
      <c r="AI83" s="120"/>
      <c r="AJ83" s="121"/>
      <c r="AK83" s="121"/>
      <c r="AL83" s="121"/>
      <c r="AM83" s="121"/>
    </row>
    <row r="84" spans="1:39" x14ac:dyDescent="0.25">
      <c r="A84" s="103">
        <v>72</v>
      </c>
      <c r="B84" s="102">
        <f>INDEX('Tabl. 1'!$C$8:$AO$313,104+$AB79,MATCH($C$7,$AA$7:$AA$45))</f>
        <v>9999999</v>
      </c>
      <c r="C84" s="102">
        <f>INDEX('Tabl. 1'!$C$8:$AO$313,206+$AB79,MATCH($C$7,$AA$7:$AA$45))</f>
        <v>9999999</v>
      </c>
      <c r="I84" s="99"/>
      <c r="P84" s="91"/>
      <c r="Q84" s="91"/>
      <c r="R84" s="91"/>
      <c r="S84" s="91"/>
      <c r="T84" s="91"/>
      <c r="U84" s="91"/>
      <c r="V84" s="90"/>
      <c r="W84" s="90"/>
      <c r="X84" s="90"/>
      <c r="Y84" s="90"/>
      <c r="Z84" s="90"/>
      <c r="AA84" s="96"/>
      <c r="AB84" s="96">
        <v>77</v>
      </c>
      <c r="AC84" s="96"/>
      <c r="AD84" s="100">
        <f t="shared" si="4"/>
        <v>-9999999</v>
      </c>
      <c r="AE84" s="101">
        <f t="shared" si="5"/>
        <v>9999999</v>
      </c>
      <c r="AF84" s="96">
        <f t="shared" si="6"/>
        <v>0</v>
      </c>
      <c r="AG84" s="101">
        <f t="shared" si="7"/>
        <v>0</v>
      </c>
      <c r="AH84" s="120"/>
      <c r="AI84" s="120"/>
      <c r="AJ84" s="121"/>
      <c r="AK84" s="121"/>
      <c r="AL84" s="121"/>
      <c r="AM84" s="121"/>
    </row>
    <row r="85" spans="1:39" x14ac:dyDescent="0.25">
      <c r="A85" s="103">
        <v>73</v>
      </c>
      <c r="B85" s="102">
        <f>INDEX('Tabl. 1'!$C$8:$AO$313,104+$AB80,MATCH($C$7,$AA$7:$AA$45))</f>
        <v>9999999</v>
      </c>
      <c r="C85" s="102">
        <f>INDEX('Tabl. 1'!$C$8:$AO$313,206+$AB80,MATCH($C$7,$AA$7:$AA$45))</f>
        <v>9999999</v>
      </c>
      <c r="I85" s="99"/>
      <c r="P85" s="91"/>
      <c r="Q85" s="91"/>
      <c r="R85" s="91"/>
      <c r="S85" s="91"/>
      <c r="T85" s="91"/>
      <c r="U85" s="91"/>
      <c r="V85" s="90"/>
      <c r="W85" s="90"/>
      <c r="X85" s="90"/>
      <c r="Y85" s="90"/>
      <c r="Z85" s="90"/>
      <c r="AA85" s="96"/>
      <c r="AB85" s="96">
        <v>78</v>
      </c>
      <c r="AC85" s="96"/>
      <c r="AD85" s="100">
        <f t="shared" si="4"/>
        <v>-9999999</v>
      </c>
      <c r="AE85" s="101">
        <f t="shared" si="5"/>
        <v>9999999</v>
      </c>
      <c r="AF85" s="96">
        <f t="shared" si="6"/>
        <v>0</v>
      </c>
      <c r="AG85" s="101">
        <f t="shared" si="7"/>
        <v>0</v>
      </c>
      <c r="AH85" s="120"/>
      <c r="AI85" s="120"/>
      <c r="AJ85" s="121"/>
      <c r="AK85" s="121"/>
      <c r="AL85" s="121"/>
      <c r="AM85" s="121"/>
    </row>
    <row r="86" spans="1:39" x14ac:dyDescent="0.25">
      <c r="A86" s="103">
        <v>74</v>
      </c>
      <c r="B86" s="102">
        <f>INDEX('Tabl. 1'!$C$8:$AO$313,104+$AB81,MATCH($C$7,$AA$7:$AA$45))</f>
        <v>9999999</v>
      </c>
      <c r="C86" s="102">
        <f>INDEX('Tabl. 1'!$C$8:$AO$313,206+$AB81,MATCH($C$7,$AA$7:$AA$45))</f>
        <v>9999999</v>
      </c>
      <c r="I86" s="99"/>
      <c r="P86" s="91"/>
      <c r="Q86" s="91"/>
      <c r="R86" s="91"/>
      <c r="S86" s="91"/>
      <c r="T86" s="91"/>
      <c r="U86" s="91"/>
      <c r="V86" s="90"/>
      <c r="W86" s="90"/>
      <c r="X86" s="90"/>
      <c r="Y86" s="90"/>
      <c r="Z86" s="90"/>
      <c r="AA86" s="96"/>
      <c r="AB86" s="96">
        <v>79</v>
      </c>
      <c r="AC86" s="96"/>
      <c r="AD86" s="100">
        <f t="shared" si="4"/>
        <v>-9999999</v>
      </c>
      <c r="AE86" s="101">
        <f t="shared" si="5"/>
        <v>9999999</v>
      </c>
      <c r="AF86" s="96">
        <f t="shared" si="6"/>
        <v>0</v>
      </c>
      <c r="AG86" s="101">
        <f t="shared" si="7"/>
        <v>0</v>
      </c>
      <c r="AH86" s="120"/>
      <c r="AI86" s="120"/>
      <c r="AJ86" s="121"/>
      <c r="AK86" s="121"/>
      <c r="AL86" s="121"/>
      <c r="AM86" s="121"/>
    </row>
    <row r="87" spans="1:39" x14ac:dyDescent="0.25">
      <c r="A87" s="103">
        <v>75</v>
      </c>
      <c r="B87" s="102">
        <f>INDEX('Tabl. 1'!$C$8:$AO$313,104+$AB82,MATCH($C$7,$AA$7:$AA$45))</f>
        <v>9999999</v>
      </c>
      <c r="C87" s="102">
        <f>INDEX('Tabl. 1'!$C$8:$AO$313,206+$AB82,MATCH($C$7,$AA$7:$AA$45))</f>
        <v>9999999</v>
      </c>
      <c r="I87" s="99"/>
      <c r="P87" s="91"/>
      <c r="Q87" s="91"/>
      <c r="R87" s="91"/>
      <c r="S87" s="91"/>
      <c r="T87" s="91"/>
      <c r="U87" s="91"/>
      <c r="V87" s="90"/>
      <c r="W87" s="90"/>
      <c r="X87" s="90"/>
      <c r="Y87" s="90"/>
      <c r="Z87" s="90"/>
      <c r="AA87" s="96"/>
      <c r="AB87" s="96">
        <v>80</v>
      </c>
      <c r="AC87" s="96"/>
      <c r="AD87" s="100">
        <f t="shared" si="4"/>
        <v>-9999999</v>
      </c>
      <c r="AE87" s="101">
        <f t="shared" si="5"/>
        <v>9999999</v>
      </c>
      <c r="AF87" s="96">
        <f t="shared" si="6"/>
        <v>0</v>
      </c>
      <c r="AG87" s="101">
        <f t="shared" si="7"/>
        <v>0</v>
      </c>
      <c r="AH87" s="120"/>
      <c r="AI87" s="120"/>
      <c r="AJ87" s="121"/>
      <c r="AK87" s="121"/>
      <c r="AL87" s="121"/>
      <c r="AM87" s="121"/>
    </row>
    <row r="88" spans="1:39" x14ac:dyDescent="0.25">
      <c r="A88" s="103">
        <v>76</v>
      </c>
      <c r="B88" s="102">
        <f>INDEX('Tabl. 1'!$C$8:$AO$313,104+$AB83,MATCH($C$7,$AA$7:$AA$45))</f>
        <v>9999999</v>
      </c>
      <c r="C88" s="102">
        <f>INDEX('Tabl. 1'!$C$8:$AO$313,206+$AB83,MATCH($C$7,$AA$7:$AA$45))</f>
        <v>9999999</v>
      </c>
      <c r="I88" s="99"/>
      <c r="P88" s="91"/>
      <c r="Q88" s="91"/>
      <c r="R88" s="91"/>
      <c r="S88" s="91"/>
      <c r="T88" s="91"/>
      <c r="U88" s="91"/>
      <c r="V88" s="90"/>
      <c r="W88" s="90"/>
      <c r="X88" s="90"/>
      <c r="Y88" s="90"/>
      <c r="Z88" s="90"/>
      <c r="AA88" s="96"/>
      <c r="AB88" s="96">
        <v>81</v>
      </c>
      <c r="AC88" s="96"/>
      <c r="AD88" s="100">
        <f t="shared" si="4"/>
        <v>-9999999</v>
      </c>
      <c r="AE88" s="101">
        <f t="shared" si="5"/>
        <v>9999999</v>
      </c>
      <c r="AF88" s="96">
        <f t="shared" si="6"/>
        <v>0</v>
      </c>
      <c r="AG88" s="101">
        <f t="shared" si="7"/>
        <v>0</v>
      </c>
      <c r="AH88" s="120"/>
      <c r="AI88" s="120"/>
      <c r="AJ88" s="121"/>
      <c r="AK88" s="121"/>
      <c r="AL88" s="121"/>
      <c r="AM88" s="121"/>
    </row>
    <row r="89" spans="1:39" x14ac:dyDescent="0.25">
      <c r="A89" s="103">
        <v>77</v>
      </c>
      <c r="B89" s="102">
        <f>INDEX('Tabl. 1'!$C$8:$AO$313,104+$AB84,MATCH($C$7,$AA$7:$AA$45))</f>
        <v>9999999</v>
      </c>
      <c r="C89" s="102">
        <f>INDEX('Tabl. 1'!$C$8:$AO$313,206+$AB84,MATCH($C$7,$AA$7:$AA$45))</f>
        <v>9999999</v>
      </c>
      <c r="I89" s="99"/>
      <c r="P89" s="91"/>
      <c r="Q89" s="91"/>
      <c r="R89" s="91"/>
      <c r="S89" s="91"/>
      <c r="T89" s="91"/>
      <c r="U89" s="91"/>
      <c r="V89" s="90"/>
      <c r="W89" s="90"/>
      <c r="X89" s="90"/>
      <c r="Y89" s="90"/>
      <c r="Z89" s="90"/>
      <c r="AA89" s="96"/>
      <c r="AB89" s="96">
        <v>82</v>
      </c>
      <c r="AC89" s="96"/>
      <c r="AD89" s="100">
        <f t="shared" si="4"/>
        <v>-9999999</v>
      </c>
      <c r="AE89" s="101">
        <f t="shared" si="5"/>
        <v>9999999</v>
      </c>
      <c r="AF89" s="96">
        <f t="shared" si="6"/>
        <v>0</v>
      </c>
      <c r="AG89" s="101">
        <f t="shared" si="7"/>
        <v>0</v>
      </c>
      <c r="AH89" s="120"/>
      <c r="AI89" s="120"/>
      <c r="AJ89" s="121"/>
      <c r="AK89" s="121"/>
      <c r="AL89" s="121"/>
      <c r="AM89" s="121"/>
    </row>
    <row r="90" spans="1:39" x14ac:dyDescent="0.25">
      <c r="A90" s="103">
        <v>78</v>
      </c>
      <c r="B90" s="102">
        <f>INDEX('Tabl. 1'!$C$8:$AO$313,104+$AB85,MATCH($C$7,$AA$7:$AA$45))</f>
        <v>9999999</v>
      </c>
      <c r="C90" s="102">
        <f>INDEX('Tabl. 1'!$C$8:$AO$313,206+$AB85,MATCH($C$7,$AA$7:$AA$45))</f>
        <v>9999999</v>
      </c>
      <c r="I90" s="99"/>
      <c r="P90" s="91"/>
      <c r="Q90" s="91"/>
      <c r="R90" s="91"/>
      <c r="S90" s="91"/>
      <c r="T90" s="91"/>
      <c r="U90" s="91"/>
      <c r="V90" s="90"/>
      <c r="W90" s="90"/>
      <c r="X90" s="90"/>
      <c r="Y90" s="90"/>
      <c r="Z90" s="90"/>
      <c r="AA90" s="96"/>
      <c r="AB90" s="96">
        <v>83</v>
      </c>
      <c r="AC90" s="96"/>
      <c r="AD90" s="100">
        <f t="shared" si="4"/>
        <v>-9999999</v>
      </c>
      <c r="AE90" s="101">
        <f t="shared" si="5"/>
        <v>9999999</v>
      </c>
      <c r="AF90" s="96">
        <f t="shared" si="6"/>
        <v>0</v>
      </c>
      <c r="AG90" s="101">
        <f t="shared" si="7"/>
        <v>0</v>
      </c>
      <c r="AH90" s="120"/>
      <c r="AI90" s="120"/>
      <c r="AJ90" s="121"/>
      <c r="AK90" s="121"/>
      <c r="AL90" s="121"/>
      <c r="AM90" s="121"/>
    </row>
    <row r="91" spans="1:39" x14ac:dyDescent="0.25">
      <c r="A91" s="103">
        <v>79</v>
      </c>
      <c r="B91" s="102">
        <f>INDEX('Tabl. 1'!$C$8:$AO$313,104+$AB86,MATCH($C$7,$AA$7:$AA$45))</f>
        <v>9999999</v>
      </c>
      <c r="C91" s="102">
        <f>INDEX('Tabl. 1'!$C$8:$AO$313,206+$AB86,MATCH($C$7,$AA$7:$AA$45))</f>
        <v>9999999</v>
      </c>
      <c r="I91" s="99"/>
      <c r="P91" s="91"/>
      <c r="Q91" s="91"/>
      <c r="R91" s="91"/>
      <c r="S91" s="91"/>
      <c r="T91" s="91"/>
      <c r="U91" s="91"/>
      <c r="V91" s="90"/>
      <c r="W91" s="90"/>
      <c r="X91" s="90"/>
      <c r="Y91" s="90"/>
      <c r="Z91" s="90"/>
      <c r="AA91" s="96"/>
      <c r="AB91" s="96">
        <v>84</v>
      </c>
      <c r="AC91" s="96"/>
      <c r="AD91" s="100">
        <f t="shared" si="4"/>
        <v>-9999999</v>
      </c>
      <c r="AE91" s="101">
        <f t="shared" si="5"/>
        <v>9999999</v>
      </c>
      <c r="AF91" s="96">
        <f t="shared" si="6"/>
        <v>0</v>
      </c>
      <c r="AG91" s="101">
        <f t="shared" si="7"/>
        <v>0</v>
      </c>
      <c r="AH91" s="120"/>
      <c r="AI91" s="120"/>
      <c r="AJ91" s="121"/>
      <c r="AK91" s="121"/>
      <c r="AL91" s="121"/>
      <c r="AM91" s="121"/>
    </row>
    <row r="92" spans="1:39" x14ac:dyDescent="0.25">
      <c r="A92" s="103">
        <v>80</v>
      </c>
      <c r="B92" s="102">
        <f>INDEX('Tabl. 1'!$C$8:$AO$313,104+$AB87,MATCH($C$7,$AA$7:$AA$45))</f>
        <v>9999999</v>
      </c>
      <c r="C92" s="102">
        <f>INDEX('Tabl. 1'!$C$8:$AO$313,206+$AB87,MATCH($C$7,$AA$7:$AA$45))</f>
        <v>9999999</v>
      </c>
      <c r="I92" s="99"/>
      <c r="P92" s="91"/>
      <c r="Q92" s="91"/>
      <c r="R92" s="91"/>
      <c r="S92" s="91"/>
      <c r="T92" s="91"/>
      <c r="U92" s="91"/>
      <c r="V92" s="90"/>
      <c r="W92" s="90"/>
      <c r="X92" s="90"/>
      <c r="Y92" s="90"/>
      <c r="Z92" s="90"/>
      <c r="AA92" s="96"/>
      <c r="AB92" s="96">
        <v>85</v>
      </c>
      <c r="AC92" s="96"/>
      <c r="AD92" s="100">
        <f t="shared" si="4"/>
        <v>-9999999</v>
      </c>
      <c r="AE92" s="101">
        <f t="shared" si="5"/>
        <v>9999999</v>
      </c>
      <c r="AF92" s="96">
        <f t="shared" si="6"/>
        <v>0</v>
      </c>
      <c r="AG92" s="101">
        <f t="shared" si="7"/>
        <v>0</v>
      </c>
      <c r="AH92" s="120"/>
      <c r="AI92" s="120"/>
      <c r="AJ92" s="121"/>
      <c r="AK92" s="121"/>
      <c r="AL92" s="121"/>
      <c r="AM92" s="121"/>
    </row>
    <row r="93" spans="1:39" x14ac:dyDescent="0.25">
      <c r="A93" s="103">
        <v>81</v>
      </c>
      <c r="B93" s="102">
        <f>INDEX('Tabl. 1'!$C$8:$AO$313,104+$AB88,MATCH($C$7,$AA$7:$AA$45))</f>
        <v>9999999</v>
      </c>
      <c r="C93" s="102">
        <f>INDEX('Tabl. 1'!$C$8:$AO$313,206+$AB88,MATCH($C$7,$AA$7:$AA$45))</f>
        <v>9999999</v>
      </c>
      <c r="I93" s="99"/>
      <c r="P93" s="91"/>
      <c r="Q93" s="91"/>
      <c r="R93" s="91"/>
      <c r="S93" s="91"/>
      <c r="T93" s="91"/>
      <c r="U93" s="91"/>
      <c r="V93" s="90"/>
      <c r="W93" s="90"/>
      <c r="X93" s="90"/>
      <c r="Y93" s="90"/>
      <c r="Z93" s="90"/>
      <c r="AA93" s="96"/>
      <c r="AB93" s="96">
        <v>86</v>
      </c>
      <c r="AC93" s="96"/>
      <c r="AD93" s="100">
        <f t="shared" si="4"/>
        <v>-9999999</v>
      </c>
      <c r="AE93" s="101">
        <f t="shared" si="5"/>
        <v>9999999</v>
      </c>
      <c r="AF93" s="96">
        <f t="shared" si="6"/>
        <v>0</v>
      </c>
      <c r="AG93" s="101">
        <f t="shared" si="7"/>
        <v>0</v>
      </c>
      <c r="AH93" s="120"/>
      <c r="AI93" s="120"/>
      <c r="AJ93" s="121"/>
      <c r="AK93" s="121"/>
      <c r="AL93" s="121"/>
      <c r="AM93" s="121"/>
    </row>
    <row r="94" spans="1:39" x14ac:dyDescent="0.25">
      <c r="A94" s="103">
        <v>82</v>
      </c>
      <c r="B94" s="102">
        <f>INDEX('Tabl. 1'!$C$8:$AO$313,104+$AB89,MATCH($C$7,$AA$7:$AA$45))</f>
        <v>9999999</v>
      </c>
      <c r="C94" s="102">
        <f>INDEX('Tabl. 1'!$C$8:$AO$313,206+$AB89,MATCH($C$7,$AA$7:$AA$45))</f>
        <v>9999999</v>
      </c>
      <c r="I94" s="99"/>
      <c r="P94" s="91"/>
      <c r="Q94" s="91"/>
      <c r="R94" s="91"/>
      <c r="S94" s="91"/>
      <c r="T94" s="91"/>
      <c r="U94" s="91"/>
      <c r="V94" s="90"/>
      <c r="W94" s="90"/>
      <c r="X94" s="90"/>
      <c r="Y94" s="90"/>
      <c r="Z94" s="90"/>
      <c r="AA94" s="96"/>
      <c r="AB94" s="96">
        <v>87</v>
      </c>
      <c r="AC94" s="96"/>
      <c r="AD94" s="100">
        <f t="shared" si="4"/>
        <v>-9999999</v>
      </c>
      <c r="AE94" s="101">
        <f t="shared" si="5"/>
        <v>9999999</v>
      </c>
      <c r="AF94" s="96">
        <f t="shared" si="6"/>
        <v>0</v>
      </c>
      <c r="AG94" s="101">
        <f t="shared" si="7"/>
        <v>0</v>
      </c>
      <c r="AH94" s="120"/>
      <c r="AI94" s="120"/>
      <c r="AJ94" s="121"/>
      <c r="AK94" s="121"/>
      <c r="AL94" s="121"/>
      <c r="AM94" s="121"/>
    </row>
    <row r="95" spans="1:39" x14ac:dyDescent="0.25">
      <c r="A95" s="103">
        <v>83</v>
      </c>
      <c r="B95" s="102">
        <f>INDEX('Tabl. 1'!$C$8:$AO$313,104+$AB90,MATCH($C$7,$AA$7:$AA$45))</f>
        <v>9999999</v>
      </c>
      <c r="C95" s="102">
        <f>INDEX('Tabl. 1'!$C$8:$AO$313,206+$AB90,MATCH($C$7,$AA$7:$AA$45))</f>
        <v>9999999</v>
      </c>
      <c r="I95" s="99"/>
      <c r="P95" s="91"/>
      <c r="Q95" s="91"/>
      <c r="R95" s="91"/>
      <c r="S95" s="91"/>
      <c r="T95" s="91"/>
      <c r="U95" s="91"/>
      <c r="V95" s="90"/>
      <c r="W95" s="90"/>
      <c r="X95" s="90"/>
      <c r="Y95" s="90"/>
      <c r="Z95" s="90"/>
      <c r="AA95" s="96"/>
      <c r="AB95" s="96">
        <v>88</v>
      </c>
      <c r="AC95" s="96"/>
      <c r="AD95" s="100">
        <f t="shared" si="4"/>
        <v>-9999999</v>
      </c>
      <c r="AE95" s="101">
        <f t="shared" si="5"/>
        <v>9999999</v>
      </c>
      <c r="AF95" s="96">
        <f t="shared" si="6"/>
        <v>0</v>
      </c>
      <c r="AG95" s="101">
        <f t="shared" si="7"/>
        <v>0</v>
      </c>
      <c r="AH95" s="120"/>
      <c r="AI95" s="120"/>
      <c r="AJ95" s="121"/>
      <c r="AK95" s="121"/>
      <c r="AL95" s="121"/>
      <c r="AM95" s="121"/>
    </row>
    <row r="96" spans="1:39" x14ac:dyDescent="0.25">
      <c r="A96" s="103">
        <v>84</v>
      </c>
      <c r="B96" s="102">
        <f>INDEX('Tabl. 1'!$C$8:$AO$313,104+$AB91,MATCH($C$7,$AA$7:$AA$45))</f>
        <v>9999999</v>
      </c>
      <c r="C96" s="102">
        <f>INDEX('Tabl. 1'!$C$8:$AO$313,206+$AB91,MATCH($C$7,$AA$7:$AA$45))</f>
        <v>9999999</v>
      </c>
      <c r="I96" s="99"/>
      <c r="P96" s="91"/>
      <c r="Q96" s="91"/>
      <c r="R96" s="91"/>
      <c r="S96" s="91"/>
      <c r="T96" s="91"/>
      <c r="U96" s="91"/>
      <c r="V96" s="90"/>
      <c r="W96" s="90"/>
      <c r="X96" s="90"/>
      <c r="Y96" s="90"/>
      <c r="Z96" s="90"/>
      <c r="AA96" s="96"/>
      <c r="AB96" s="96">
        <v>89</v>
      </c>
      <c r="AC96" s="96"/>
      <c r="AD96" s="100">
        <f t="shared" si="4"/>
        <v>-9999999</v>
      </c>
      <c r="AE96" s="101">
        <f t="shared" si="5"/>
        <v>9999999</v>
      </c>
      <c r="AF96" s="96">
        <f t="shared" si="6"/>
        <v>0</v>
      </c>
      <c r="AG96" s="101">
        <f t="shared" si="7"/>
        <v>0</v>
      </c>
      <c r="AH96" s="120"/>
      <c r="AI96" s="120"/>
      <c r="AJ96" s="121"/>
      <c r="AK96" s="121"/>
      <c r="AL96" s="121"/>
      <c r="AM96" s="121"/>
    </row>
    <row r="97" spans="1:39" x14ac:dyDescent="0.25">
      <c r="A97" s="103">
        <v>85</v>
      </c>
      <c r="B97" s="102">
        <f>INDEX('Tabl. 1'!$C$8:$AO$313,104+$AB92,MATCH($C$7,$AA$7:$AA$45))</f>
        <v>9999999</v>
      </c>
      <c r="C97" s="102">
        <f>INDEX('Tabl. 1'!$C$8:$AO$313,206+$AB92,MATCH($C$7,$AA$7:$AA$45))</f>
        <v>9999999</v>
      </c>
      <c r="I97" s="99"/>
      <c r="P97" s="91"/>
      <c r="Q97" s="91"/>
      <c r="R97" s="91"/>
      <c r="S97" s="91"/>
      <c r="T97" s="91"/>
      <c r="U97" s="91"/>
      <c r="V97" s="90"/>
      <c r="W97" s="90"/>
      <c r="X97" s="90"/>
      <c r="Y97" s="90"/>
      <c r="Z97" s="90"/>
      <c r="AA97" s="96"/>
      <c r="AB97" s="96">
        <v>90</v>
      </c>
      <c r="AC97" s="96"/>
      <c r="AD97" s="100">
        <f t="shared" si="4"/>
        <v>-9999999</v>
      </c>
      <c r="AE97" s="101">
        <f t="shared" si="5"/>
        <v>9999999</v>
      </c>
      <c r="AF97" s="96">
        <f t="shared" si="6"/>
        <v>0</v>
      </c>
      <c r="AG97" s="101">
        <f t="shared" si="7"/>
        <v>0</v>
      </c>
      <c r="AH97" s="120"/>
      <c r="AI97" s="120"/>
      <c r="AJ97" s="121"/>
      <c r="AK97" s="121"/>
      <c r="AL97" s="121"/>
      <c r="AM97" s="121"/>
    </row>
    <row r="98" spans="1:39" x14ac:dyDescent="0.25">
      <c r="A98" s="103">
        <v>86</v>
      </c>
      <c r="B98" s="102">
        <f>INDEX('Tabl. 1'!$C$8:$AO$313,104+$AB93,MATCH($C$7,$AA$7:$AA$45))</f>
        <v>9999999</v>
      </c>
      <c r="C98" s="102">
        <f>INDEX('Tabl. 1'!$C$8:$AO$313,206+$AB93,MATCH($C$7,$AA$7:$AA$45))</f>
        <v>9999999</v>
      </c>
      <c r="I98" s="99"/>
      <c r="P98" s="91"/>
      <c r="Q98" s="91"/>
      <c r="R98" s="91"/>
      <c r="S98" s="91"/>
      <c r="T98" s="91"/>
      <c r="U98" s="91"/>
      <c r="V98" s="90"/>
      <c r="W98" s="90"/>
      <c r="X98" s="90"/>
      <c r="Y98" s="90"/>
      <c r="Z98" s="90"/>
      <c r="AA98" s="96"/>
      <c r="AB98" s="96">
        <v>91</v>
      </c>
      <c r="AC98" s="96"/>
      <c r="AD98" s="100">
        <f t="shared" si="4"/>
        <v>-9999999</v>
      </c>
      <c r="AE98" s="101">
        <f t="shared" si="5"/>
        <v>9999999</v>
      </c>
      <c r="AF98" s="96">
        <f t="shared" si="6"/>
        <v>0</v>
      </c>
      <c r="AG98" s="101">
        <f t="shared" si="7"/>
        <v>0</v>
      </c>
      <c r="AH98" s="120"/>
      <c r="AI98" s="120"/>
      <c r="AJ98" s="121"/>
      <c r="AK98" s="121"/>
      <c r="AL98" s="121"/>
      <c r="AM98" s="121"/>
    </row>
    <row r="99" spans="1:39" x14ac:dyDescent="0.25">
      <c r="A99" s="103">
        <v>87</v>
      </c>
      <c r="B99" s="102">
        <f>INDEX('Tabl. 1'!$C$8:$AO$313,104+$AB94,MATCH($C$7,$AA$7:$AA$45))</f>
        <v>9999999</v>
      </c>
      <c r="C99" s="102">
        <f>INDEX('Tabl. 1'!$C$8:$AO$313,206+$AB94,MATCH($C$7,$AA$7:$AA$45))</f>
        <v>9999999</v>
      </c>
      <c r="I99" s="99"/>
      <c r="P99" s="91"/>
      <c r="Q99" s="91"/>
      <c r="R99" s="91"/>
      <c r="S99" s="91"/>
      <c r="T99" s="91"/>
      <c r="U99" s="91"/>
      <c r="V99" s="90"/>
      <c r="W99" s="90"/>
      <c r="X99" s="90"/>
      <c r="Y99" s="90"/>
      <c r="Z99" s="90"/>
      <c r="AA99" s="96"/>
      <c r="AB99" s="96">
        <v>92</v>
      </c>
      <c r="AC99" s="96"/>
      <c r="AD99" s="100">
        <f t="shared" si="4"/>
        <v>-9999999</v>
      </c>
      <c r="AE99" s="101">
        <f t="shared" si="5"/>
        <v>9999999</v>
      </c>
      <c r="AF99" s="96">
        <f t="shared" si="6"/>
        <v>0</v>
      </c>
      <c r="AG99" s="101">
        <f t="shared" si="7"/>
        <v>0</v>
      </c>
      <c r="AH99" s="120"/>
      <c r="AI99" s="120"/>
      <c r="AJ99" s="121"/>
      <c r="AK99" s="121"/>
      <c r="AL99" s="121"/>
      <c r="AM99" s="121"/>
    </row>
    <row r="100" spans="1:39" x14ac:dyDescent="0.25">
      <c r="A100" s="103">
        <v>88</v>
      </c>
      <c r="B100" s="102">
        <f>INDEX('Tabl. 1'!$C$8:$AO$313,104+$AB95,MATCH($C$7,$AA$7:$AA$45))</f>
        <v>9999999</v>
      </c>
      <c r="C100" s="102">
        <f>INDEX('Tabl. 1'!$C$8:$AO$313,206+$AB95,MATCH($C$7,$AA$7:$AA$45))</f>
        <v>9999999</v>
      </c>
      <c r="I100" s="99"/>
      <c r="P100" s="91"/>
      <c r="Q100" s="91"/>
      <c r="R100" s="91"/>
      <c r="S100" s="91"/>
      <c r="T100" s="91"/>
      <c r="U100" s="91"/>
      <c r="V100" s="90"/>
      <c r="W100" s="90"/>
      <c r="X100" s="90"/>
      <c r="Y100" s="90"/>
      <c r="Z100" s="90"/>
      <c r="AA100" s="96"/>
      <c r="AB100" s="96">
        <v>93</v>
      </c>
      <c r="AC100" s="96"/>
      <c r="AD100" s="100">
        <f t="shared" si="4"/>
        <v>-9999999</v>
      </c>
      <c r="AE100" s="101">
        <f t="shared" si="5"/>
        <v>9999999</v>
      </c>
      <c r="AF100" s="96">
        <f t="shared" si="6"/>
        <v>0</v>
      </c>
      <c r="AG100" s="101">
        <f t="shared" si="7"/>
        <v>0</v>
      </c>
      <c r="AH100" s="120"/>
      <c r="AI100" s="120"/>
      <c r="AJ100" s="121"/>
      <c r="AK100" s="121"/>
      <c r="AL100" s="121"/>
      <c r="AM100" s="121"/>
    </row>
    <row r="101" spans="1:39" x14ac:dyDescent="0.25">
      <c r="A101" s="103">
        <v>89</v>
      </c>
      <c r="B101" s="102">
        <f>INDEX('Tabl. 1'!$C$8:$AO$313,104+$AB96,MATCH($C$7,$AA$7:$AA$45))</f>
        <v>9999999</v>
      </c>
      <c r="C101" s="102">
        <f>INDEX('Tabl. 1'!$C$8:$AO$313,206+$AB96,MATCH($C$7,$AA$7:$AA$45))</f>
        <v>9999999</v>
      </c>
      <c r="I101" s="99"/>
      <c r="P101" s="91"/>
      <c r="Q101" s="91"/>
      <c r="R101" s="91"/>
      <c r="S101" s="91"/>
      <c r="T101" s="91"/>
      <c r="U101" s="91"/>
      <c r="V101" s="90"/>
      <c r="W101" s="90"/>
      <c r="X101" s="90"/>
      <c r="Y101" s="90"/>
      <c r="Z101" s="90"/>
      <c r="AA101" s="96"/>
      <c r="AB101" s="96">
        <v>94</v>
      </c>
      <c r="AC101" s="96"/>
      <c r="AD101" s="100">
        <f t="shared" si="4"/>
        <v>-9999999</v>
      </c>
      <c r="AE101" s="101">
        <f t="shared" si="5"/>
        <v>9999999</v>
      </c>
      <c r="AF101" s="96">
        <f t="shared" si="6"/>
        <v>0</v>
      </c>
      <c r="AG101" s="101">
        <f t="shared" si="7"/>
        <v>0</v>
      </c>
      <c r="AH101" s="120"/>
      <c r="AI101" s="120"/>
      <c r="AJ101" s="121"/>
      <c r="AK101" s="121"/>
      <c r="AL101" s="121"/>
      <c r="AM101" s="121"/>
    </row>
    <row r="102" spans="1:39" x14ac:dyDescent="0.25">
      <c r="A102" s="103">
        <v>90</v>
      </c>
      <c r="B102" s="102">
        <f>INDEX('Tabl. 1'!$C$8:$AO$313,104+$AB97,MATCH($C$7,$AA$7:$AA$45))</f>
        <v>9999999</v>
      </c>
      <c r="C102" s="102">
        <f>INDEX('Tabl. 1'!$C$8:$AO$313,206+$AB97,MATCH($C$7,$AA$7:$AA$45))</f>
        <v>9999999</v>
      </c>
      <c r="I102" s="99"/>
      <c r="P102" s="91"/>
      <c r="Q102" s="91"/>
      <c r="R102" s="91"/>
      <c r="S102" s="91"/>
      <c r="T102" s="91"/>
      <c r="U102" s="91"/>
      <c r="V102" s="90"/>
      <c r="W102" s="90"/>
      <c r="X102" s="90"/>
      <c r="Y102" s="90"/>
      <c r="Z102" s="90"/>
      <c r="AA102" s="96"/>
      <c r="AB102" s="96">
        <v>95</v>
      </c>
      <c r="AC102" s="96"/>
      <c r="AD102" s="100">
        <f t="shared" si="4"/>
        <v>-9999999</v>
      </c>
      <c r="AE102" s="101">
        <f t="shared" si="5"/>
        <v>9999999</v>
      </c>
      <c r="AF102" s="96">
        <f t="shared" si="6"/>
        <v>0</v>
      </c>
      <c r="AG102" s="101">
        <f t="shared" si="7"/>
        <v>0</v>
      </c>
      <c r="AH102" s="120"/>
      <c r="AI102" s="120"/>
      <c r="AJ102" s="121"/>
      <c r="AK102" s="121"/>
      <c r="AL102" s="121"/>
      <c r="AM102" s="121"/>
    </row>
    <row r="103" spans="1:39" x14ac:dyDescent="0.25">
      <c r="A103" s="103">
        <v>91</v>
      </c>
      <c r="B103" s="102">
        <f>INDEX('Tabl. 1'!$C$8:$AO$313,104+$AB98,MATCH($C$7,$AA$7:$AA$45))</f>
        <v>9999999</v>
      </c>
      <c r="C103" s="102">
        <f>INDEX('Tabl. 1'!$C$8:$AO$313,206+$AB98,MATCH($C$7,$AA$7:$AA$45))</f>
        <v>9999999</v>
      </c>
      <c r="I103" s="99"/>
      <c r="P103" s="91"/>
      <c r="Q103" s="91"/>
      <c r="R103" s="91"/>
      <c r="S103" s="91"/>
      <c r="T103" s="91"/>
      <c r="U103" s="91"/>
      <c r="V103" s="90"/>
      <c r="W103" s="90"/>
      <c r="X103" s="90"/>
      <c r="Y103" s="90"/>
      <c r="Z103" s="90"/>
      <c r="AA103" s="96"/>
      <c r="AB103" s="96">
        <v>96</v>
      </c>
      <c r="AC103" s="96"/>
      <c r="AD103" s="100">
        <f t="shared" si="4"/>
        <v>-9999999</v>
      </c>
      <c r="AE103" s="101">
        <f t="shared" si="5"/>
        <v>9999999</v>
      </c>
      <c r="AF103" s="96">
        <f t="shared" si="6"/>
        <v>0</v>
      </c>
      <c r="AG103" s="101">
        <f t="shared" si="7"/>
        <v>0</v>
      </c>
      <c r="AH103" s="120"/>
      <c r="AI103" s="120"/>
      <c r="AJ103" s="121"/>
      <c r="AK103" s="121"/>
      <c r="AL103" s="121"/>
      <c r="AM103" s="121"/>
    </row>
    <row r="104" spans="1:39" x14ac:dyDescent="0.25">
      <c r="A104" s="103">
        <v>92</v>
      </c>
      <c r="B104" s="102">
        <f>INDEX('Tabl. 1'!$C$8:$AO$313,104+$AB99,MATCH($C$7,$AA$7:$AA$45))</f>
        <v>9999999</v>
      </c>
      <c r="C104" s="102">
        <f>INDEX('Tabl. 1'!$C$8:$AO$313,206+$AB99,MATCH($C$7,$AA$7:$AA$45))</f>
        <v>9999999</v>
      </c>
      <c r="I104" s="99"/>
      <c r="P104" s="91"/>
      <c r="Q104" s="91"/>
      <c r="R104" s="91"/>
      <c r="S104" s="91"/>
      <c r="T104" s="91"/>
      <c r="U104" s="91"/>
      <c r="V104" s="90"/>
      <c r="W104" s="90"/>
      <c r="X104" s="90"/>
      <c r="Y104" s="90"/>
      <c r="Z104" s="90"/>
      <c r="AA104" s="96"/>
      <c r="AB104" s="96">
        <v>97</v>
      </c>
      <c r="AC104" s="96"/>
      <c r="AD104" s="100">
        <f t="shared" si="4"/>
        <v>-9999999</v>
      </c>
      <c r="AE104" s="101">
        <f t="shared" si="5"/>
        <v>9999999</v>
      </c>
      <c r="AF104" s="96">
        <f t="shared" si="6"/>
        <v>0</v>
      </c>
      <c r="AG104" s="101">
        <f t="shared" si="7"/>
        <v>0</v>
      </c>
      <c r="AH104" s="120"/>
      <c r="AI104" s="120"/>
      <c r="AJ104" s="121"/>
      <c r="AK104" s="121"/>
      <c r="AL104" s="121"/>
      <c r="AM104" s="121"/>
    </row>
    <row r="105" spans="1:39" x14ac:dyDescent="0.25">
      <c r="A105" s="103">
        <v>93</v>
      </c>
      <c r="B105" s="102">
        <f>INDEX('Tabl. 1'!$C$8:$AO$313,104+$AB100,MATCH($C$7,$AA$7:$AA$45))</f>
        <v>9999999</v>
      </c>
      <c r="C105" s="102">
        <f>INDEX('Tabl. 1'!$C$8:$AO$313,206+$AB100,MATCH($C$7,$AA$7:$AA$45))</f>
        <v>9999999</v>
      </c>
      <c r="I105" s="99"/>
      <c r="P105" s="91"/>
      <c r="Q105" s="91"/>
      <c r="R105" s="91"/>
      <c r="S105" s="91"/>
      <c r="T105" s="91"/>
      <c r="U105" s="91"/>
      <c r="V105" s="90"/>
      <c r="W105" s="90"/>
      <c r="X105" s="90"/>
      <c r="Y105" s="90"/>
      <c r="Z105" s="90"/>
      <c r="AA105" s="96"/>
      <c r="AB105" s="96">
        <v>98</v>
      </c>
      <c r="AC105" s="96"/>
      <c r="AD105" s="100">
        <f t="shared" si="4"/>
        <v>-9999999</v>
      </c>
      <c r="AE105" s="101">
        <f t="shared" si="5"/>
        <v>9999999</v>
      </c>
      <c r="AF105" s="96">
        <f t="shared" si="6"/>
        <v>0</v>
      </c>
      <c r="AG105" s="101">
        <f t="shared" si="7"/>
        <v>0</v>
      </c>
      <c r="AH105" s="120"/>
      <c r="AI105" s="120"/>
      <c r="AJ105" s="121"/>
      <c r="AK105" s="121"/>
      <c r="AL105" s="121"/>
      <c r="AM105" s="121"/>
    </row>
    <row r="106" spans="1:39" x14ac:dyDescent="0.25">
      <c r="A106" s="103">
        <v>94</v>
      </c>
      <c r="B106" s="102">
        <f>INDEX('Tabl. 1'!$C$8:$AO$313,104+$AB101,MATCH($C$7,$AA$7:$AA$45))</f>
        <v>9999999</v>
      </c>
      <c r="C106" s="102">
        <f>INDEX('Tabl. 1'!$C$8:$AO$313,206+$AB101,MATCH($C$7,$AA$7:$AA$45))</f>
        <v>9999999</v>
      </c>
      <c r="I106" s="99"/>
      <c r="P106" s="91"/>
      <c r="Q106" s="91"/>
      <c r="R106" s="91"/>
      <c r="S106" s="91"/>
      <c r="T106" s="91"/>
      <c r="U106" s="91"/>
      <c r="V106" s="90"/>
      <c r="W106" s="90"/>
      <c r="X106" s="90"/>
      <c r="Y106" s="90"/>
      <c r="Z106" s="90"/>
      <c r="AA106" s="96"/>
      <c r="AB106" s="96">
        <v>99</v>
      </c>
      <c r="AC106" s="96"/>
      <c r="AD106" s="100">
        <f t="shared" si="4"/>
        <v>-9999999</v>
      </c>
      <c r="AE106" s="101">
        <f t="shared" si="5"/>
        <v>9999999</v>
      </c>
      <c r="AF106" s="96">
        <f t="shared" si="6"/>
        <v>0</v>
      </c>
      <c r="AG106" s="101">
        <f t="shared" si="7"/>
        <v>0</v>
      </c>
      <c r="AH106" s="120"/>
      <c r="AI106" s="120"/>
      <c r="AJ106" s="121"/>
      <c r="AK106" s="121"/>
      <c r="AL106" s="121"/>
      <c r="AM106" s="121"/>
    </row>
    <row r="107" spans="1:39" x14ac:dyDescent="0.25">
      <c r="A107" s="103">
        <v>95</v>
      </c>
      <c r="B107" s="102">
        <f>INDEX('Tabl. 1'!$C$8:$AO$313,104+$AB102,MATCH($C$7,$AA$7:$AA$45))</f>
        <v>9999999</v>
      </c>
      <c r="C107" s="102">
        <f>INDEX('Tabl. 1'!$C$8:$AO$313,206+$AB102,MATCH($C$7,$AA$7:$AA$45))</f>
        <v>9999999</v>
      </c>
      <c r="I107" s="99"/>
      <c r="P107" s="91"/>
      <c r="Q107" s="91"/>
      <c r="R107" s="91"/>
      <c r="S107" s="91"/>
      <c r="T107" s="91"/>
      <c r="U107" s="91"/>
      <c r="V107" s="90"/>
      <c r="W107" s="90"/>
      <c r="X107" s="90"/>
      <c r="Y107" s="90"/>
      <c r="Z107" s="90"/>
      <c r="AA107" s="96"/>
      <c r="AB107" s="96">
        <v>100</v>
      </c>
      <c r="AC107" s="96"/>
      <c r="AD107" s="100">
        <f t="shared" si="4"/>
        <v>-9999999</v>
      </c>
      <c r="AE107" s="101">
        <f t="shared" si="5"/>
        <v>9999999</v>
      </c>
      <c r="AF107" s="96">
        <f t="shared" si="6"/>
        <v>0</v>
      </c>
      <c r="AG107" s="101">
        <f t="shared" si="7"/>
        <v>0</v>
      </c>
      <c r="AH107" s="120"/>
      <c r="AI107" s="120"/>
      <c r="AJ107" s="121"/>
      <c r="AK107" s="121"/>
      <c r="AL107" s="121"/>
      <c r="AM107" s="121"/>
    </row>
    <row r="108" spans="1:39" x14ac:dyDescent="0.25">
      <c r="A108" s="103">
        <v>96</v>
      </c>
      <c r="B108" s="102">
        <f>INDEX('Tabl. 1'!$C$8:$AO$313,104+$AB103,MATCH($C$7,$AA$7:$AA$45))</f>
        <v>9999999</v>
      </c>
      <c r="C108" s="102">
        <f>INDEX('Tabl. 1'!$C$8:$AO$313,206+$AB103,MATCH($C$7,$AA$7:$AA$45))</f>
        <v>9999999</v>
      </c>
      <c r="I108" s="99"/>
      <c r="P108" s="91"/>
      <c r="Q108" s="91"/>
      <c r="R108" s="91"/>
      <c r="S108" s="91"/>
      <c r="T108" s="91"/>
      <c r="U108" s="91"/>
      <c r="V108" s="90"/>
      <c r="W108" s="90"/>
      <c r="X108" s="90"/>
      <c r="Y108" s="90"/>
      <c r="Z108" s="90"/>
      <c r="AA108" s="96"/>
      <c r="AB108" s="96">
        <v>101</v>
      </c>
      <c r="AC108" s="96"/>
      <c r="AD108" s="100">
        <f t="shared" si="4"/>
        <v>-9999999</v>
      </c>
      <c r="AE108" s="101">
        <f t="shared" si="5"/>
        <v>9999999</v>
      </c>
      <c r="AF108" s="96">
        <f t="shared" si="6"/>
        <v>0</v>
      </c>
      <c r="AG108" s="101">
        <f t="shared" si="7"/>
        <v>0</v>
      </c>
      <c r="AH108" s="120"/>
      <c r="AI108" s="120"/>
      <c r="AJ108" s="121"/>
      <c r="AK108" s="121"/>
      <c r="AL108" s="121"/>
      <c r="AM108" s="121"/>
    </row>
    <row r="109" spans="1:39" x14ac:dyDescent="0.25">
      <c r="A109" s="103">
        <v>97</v>
      </c>
      <c r="B109" s="102">
        <f>INDEX('Tabl. 1'!$C$8:$AO$313,104+$AB104,MATCH($C$7,$AA$7:$AA$45))</f>
        <v>9999999</v>
      </c>
      <c r="C109" s="102">
        <f>INDEX('Tabl. 1'!$C$8:$AO$313,206+$AB104,MATCH($C$7,$AA$7:$AA$45))</f>
        <v>9999999</v>
      </c>
      <c r="AA109" s="96"/>
      <c r="AB109" s="96"/>
      <c r="AC109" s="96"/>
      <c r="AD109" s="100">
        <f>MAX('Tabl. 1'!C111:C211)*-1</f>
        <v>-9999999</v>
      </c>
      <c r="AE109" s="101">
        <f>MAX('Tabl. 1'!C213:C313)</f>
        <v>9999999</v>
      </c>
      <c r="AF109" s="96">
        <f t="shared" si="6"/>
        <v>0</v>
      </c>
      <c r="AG109" s="101">
        <f t="shared" si="7"/>
        <v>0</v>
      </c>
      <c r="AH109" s="120"/>
      <c r="AI109" s="120"/>
      <c r="AJ109" s="121"/>
      <c r="AK109" s="121"/>
      <c r="AL109" s="121"/>
      <c r="AM109" s="121"/>
    </row>
    <row r="110" spans="1:39" x14ac:dyDescent="0.25">
      <c r="A110" s="103">
        <v>98</v>
      </c>
      <c r="B110" s="102">
        <f>INDEX('Tabl. 1'!$C$8:$AO$313,104+$AB105,MATCH($C$7,$AA$7:$AA$45))</f>
        <v>9999999</v>
      </c>
      <c r="C110" s="102">
        <f>INDEX('Tabl. 1'!$C$8:$AO$313,206+$AB105,MATCH($C$7,$AA$7:$AA$45))</f>
        <v>9999999</v>
      </c>
      <c r="AA110" s="96"/>
      <c r="AB110" s="96"/>
      <c r="AC110" s="96"/>
      <c r="AD110" s="96"/>
      <c r="AE110" s="96"/>
      <c r="AF110" s="96"/>
      <c r="AG110" s="119"/>
      <c r="AH110" s="120"/>
      <c r="AI110" s="120"/>
      <c r="AJ110" s="121"/>
      <c r="AK110" s="121"/>
      <c r="AL110" s="121"/>
      <c r="AM110" s="121"/>
    </row>
    <row r="111" spans="1:39" x14ac:dyDescent="0.25">
      <c r="A111" s="103">
        <v>99</v>
      </c>
      <c r="B111" s="102">
        <f>INDEX('Tabl. 1'!$C$8:$AO$313,104+$AB106,MATCH($C$7,$AA$7:$AA$45))</f>
        <v>9999999</v>
      </c>
      <c r="C111" s="102">
        <f>INDEX('Tabl. 1'!$C$8:$AO$313,206+$AB106,MATCH($C$7,$AA$7:$AA$45))</f>
        <v>9999999</v>
      </c>
      <c r="AA111" s="96"/>
      <c r="AB111" s="96"/>
      <c r="AC111" s="96"/>
      <c r="AD111" s="96"/>
      <c r="AE111" s="96"/>
      <c r="AF111" s="96"/>
      <c r="AG111" s="119"/>
      <c r="AH111" s="120"/>
      <c r="AI111" s="120"/>
      <c r="AJ111" s="121"/>
      <c r="AK111" s="121"/>
      <c r="AL111" s="121"/>
      <c r="AM111" s="121"/>
    </row>
    <row r="112" spans="1:39" x14ac:dyDescent="0.25">
      <c r="A112" s="104" t="s">
        <v>79</v>
      </c>
      <c r="B112" s="105">
        <f>INDEX('Tabl. 1'!$C$8:$AO$313,104+$AB107,MATCH($C$7,$AA$7:$AA$45))</f>
        <v>9999999</v>
      </c>
      <c r="C112" s="105">
        <f>INDEX('Tabl. 1'!$C$8:$AO$313,206+$AB107,MATCH($C$7,$AA$7:$AA$45))</f>
        <v>9999999</v>
      </c>
      <c r="AA112" s="96"/>
      <c r="AB112" s="96"/>
      <c r="AC112" s="96"/>
      <c r="AD112" s="96"/>
      <c r="AE112" s="96"/>
      <c r="AF112" s="96"/>
      <c r="AG112" s="119"/>
      <c r="AH112" s="120"/>
      <c r="AI112" s="120"/>
      <c r="AJ112" s="121"/>
      <c r="AK112" s="121"/>
      <c r="AL112" s="121"/>
      <c r="AM112" s="121"/>
    </row>
  </sheetData>
  <sheetCalcPr fullCalcOnLoad="true"/>
  <sheetProtection algorithmName="SHA-512" hashValue="f5mu+x1wghhwmLGO+qvKH7ADzajypIRc3azxhCaHpa8LPvoybaFnJL8A6k11vihk3BNPcBp2gg7nNBAmwlKL9g==" saltValue="FfqZ96TnCU/TbAblA3TjDw==" spinCount="100000" sheet="1" objects="1" scenarios="1" selectLockedCells="1"/>
  <mergeCells count="3">
    <mergeCell ref="A4:C4"/>
    <mergeCell ref="B1:C1"/>
    <mergeCell ref="B2:C3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drawing r:id="rId2"/>
  <legacyDrawing r:id="rId3"/>
  <mc:AlternateContent>
    <mc:Choice Requires="x14">
      <controls>
        <mc:AlternateContent>
          <mc:Choice Requires="x14">
            <control shapeId="1025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2023-08-29T13:53:36Z</dcterms:modified>
</cp:coreProperties>
</file>