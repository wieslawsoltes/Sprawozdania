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  <sheet name="Wykres 1 Chart 1" sheetId="16" r:id="rId6"/>
  </sheets>
  <calcPr calcId="152511"/>
</workbook>
</file>

<file path=xl/calcChain.xml><?xml version="1.0" encoding="utf-8"?>
<calcChain xmlns="http://schemas.openxmlformats.org/spreadsheetml/2006/main">
  <c r="B13" i="16" l="1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C12" i="16"/>
  <c r="B12" i="16"/>
  <c r="AE109" i="16"/>
  <c r="AD109" i="16"/>
  <c r="AG10" i="16" l="1"/>
  <c r="AE10" i="16" s="1"/>
  <c r="AF10" i="16"/>
  <c r="AD10" i="16" s="1"/>
  <c r="AF108" i="16"/>
  <c r="AD108" i="16" s="1"/>
  <c r="AF107" i="16"/>
  <c r="AF106" i="16"/>
  <c r="AD106" i="16" s="1"/>
  <c r="AG109" i="16"/>
  <c r="AF109" i="16"/>
  <c r="AF105" i="16"/>
  <c r="AG108" i="16"/>
  <c r="AE108" i="16" s="1"/>
  <c r="AF104" i="16"/>
  <c r="AD104" i="16" s="1"/>
  <c r="AG106" i="16"/>
  <c r="AE106" i="16" s="1"/>
  <c r="AG104" i="16"/>
  <c r="AF100" i="16"/>
  <c r="AD100" i="16" s="1"/>
  <c r="AG103" i="16"/>
  <c r="AF98" i="16"/>
  <c r="AD98" i="16" s="1"/>
  <c r="AG101" i="16"/>
  <c r="AF101" i="16"/>
  <c r="AF97" i="16"/>
  <c r="AG100" i="16"/>
  <c r="AE100" i="16" s="1"/>
  <c r="AG96" i="16"/>
  <c r="AE96" i="16" s="1"/>
  <c r="AF99" i="16"/>
  <c r="AG98" i="16"/>
  <c r="AE98" i="16" s="1"/>
  <c r="AF93" i="16"/>
  <c r="AF92" i="16"/>
  <c r="AD92" i="16" s="1"/>
  <c r="AG95" i="16"/>
  <c r="AF91" i="16"/>
  <c r="AF90" i="16"/>
  <c r="AD90" i="16" s="1"/>
  <c r="AG93" i="16"/>
  <c r="AF89" i="16"/>
  <c r="AG92" i="16"/>
  <c r="AG90" i="16"/>
  <c r="AF85" i="16"/>
  <c r="AG88" i="16"/>
  <c r="AE88" i="16" s="1"/>
  <c r="AF84" i="16"/>
  <c r="AD84" i="16" s="1"/>
  <c r="AG87" i="16"/>
  <c r="AF83" i="16"/>
  <c r="AF82" i="16"/>
  <c r="AD82" i="16" s="1"/>
  <c r="AG85" i="16"/>
  <c r="AG84" i="16"/>
  <c r="AG80" i="16"/>
  <c r="AG82" i="16"/>
  <c r="AF77" i="16"/>
  <c r="AF76" i="16"/>
  <c r="AD76" i="16" s="1"/>
  <c r="AG79" i="16"/>
  <c r="AF75" i="16"/>
  <c r="AF74" i="16"/>
  <c r="AD74" i="16" s="1"/>
  <c r="AG77" i="16"/>
  <c r="AG76" i="16"/>
  <c r="AG74" i="16"/>
  <c r="AF69" i="16"/>
  <c r="AG72" i="16"/>
  <c r="AF68" i="16"/>
  <c r="AD68" i="16" s="1"/>
  <c r="AG71" i="16"/>
  <c r="AF67" i="16"/>
  <c r="AF66" i="16"/>
  <c r="AD66" i="16" s="1"/>
  <c r="AG69" i="16"/>
  <c r="AF65" i="16"/>
  <c r="AG68" i="16"/>
  <c r="AG66" i="16"/>
  <c r="AF61" i="16"/>
  <c r="AG64" i="16"/>
  <c r="AF60" i="16"/>
  <c r="AD60" i="16" s="1"/>
  <c r="AG63" i="16"/>
  <c r="AG59" i="16"/>
  <c r="AF58" i="16"/>
  <c r="AD58" i="16" s="1"/>
  <c r="AG61" i="16"/>
  <c r="AG60" i="16"/>
  <c r="AF59" i="16"/>
  <c r="AG55" i="16"/>
  <c r="AF54" i="16"/>
  <c r="AD54" i="16" s="1"/>
  <c r="AF57" i="16"/>
  <c r="AG53" i="16"/>
  <c r="AF53" i="16"/>
  <c r="AG54" i="16"/>
  <c r="AG50" i="16"/>
  <c r="AE50" i="16" s="1"/>
  <c r="AF49" i="16"/>
  <c r="AF48" i="16"/>
  <c r="AD48" i="16" s="1"/>
  <c r="AG51" i="16"/>
  <c r="AF51" i="16"/>
  <c r="AG47" i="16"/>
  <c r="AG46" i="16"/>
  <c r="AE46" i="16" s="1"/>
  <c r="AG45" i="16"/>
  <c r="AF44" i="16"/>
  <c r="AD44" i="16" s="1"/>
  <c r="AG43" i="16"/>
  <c r="AF42" i="16"/>
  <c r="AD42" i="16" s="1"/>
  <c r="AF43" i="16"/>
  <c r="AF41" i="16"/>
  <c r="AG37" i="16"/>
  <c r="AG40" i="16"/>
  <c r="AE40" i="16" s="1"/>
  <c r="AF40" i="16"/>
  <c r="AD40" i="16" s="1"/>
  <c r="AG36" i="16"/>
  <c r="AE36" i="16" s="1"/>
  <c r="AF36" i="16"/>
  <c r="AD36" i="16" s="1"/>
  <c r="AG38" i="16"/>
  <c r="AE38" i="16" s="1"/>
  <c r="AF38" i="16"/>
  <c r="AD38" i="16" s="1"/>
  <c r="AG34" i="16"/>
  <c r="AE34" i="16" s="1"/>
  <c r="AF34" i="16"/>
  <c r="AD34" i="16" s="1"/>
  <c r="AF37" i="16"/>
  <c r="AG33" i="16"/>
  <c r="AF33" i="16"/>
  <c r="AG29" i="16"/>
  <c r="AG32" i="16"/>
  <c r="AE32" i="16" s="1"/>
  <c r="AF32" i="16"/>
  <c r="AD32" i="16" s="1"/>
  <c r="AG28" i="16"/>
  <c r="AE28" i="16" s="1"/>
  <c r="AF28" i="16"/>
  <c r="AD28" i="16" s="1"/>
  <c r="AG30" i="16"/>
  <c r="AE30" i="16" s="1"/>
  <c r="AF30" i="16"/>
  <c r="AD30" i="16" s="1"/>
  <c r="AG26" i="16"/>
  <c r="AE26" i="16" s="1"/>
  <c r="AF26" i="16"/>
  <c r="AD26" i="16" s="1"/>
  <c r="AF29" i="16"/>
  <c r="AG25" i="16"/>
  <c r="AF25" i="16"/>
  <c r="AG21" i="16"/>
  <c r="AG24" i="16"/>
  <c r="AE24" i="16" s="1"/>
  <c r="AF24" i="16"/>
  <c r="AD24" i="16" s="1"/>
  <c r="AG20" i="16"/>
  <c r="AE20" i="16" s="1"/>
  <c r="AF20" i="16"/>
  <c r="AD20" i="16" s="1"/>
  <c r="AG22" i="16"/>
  <c r="AE22" i="16" s="1"/>
  <c r="AF22" i="16"/>
  <c r="AD22" i="16" s="1"/>
  <c r="AG18" i="16"/>
  <c r="AE18" i="16" s="1"/>
  <c r="AF21" i="16"/>
  <c r="AG19" i="16"/>
  <c r="AG13" i="16"/>
  <c r="AG16" i="16"/>
  <c r="AE16" i="16" s="1"/>
  <c r="AF16" i="16"/>
  <c r="AD16" i="16" s="1"/>
  <c r="AG15" i="16"/>
  <c r="AG11" i="16"/>
  <c r="AG14" i="16"/>
  <c r="AE14" i="16" s="1"/>
  <c r="AF14" i="16"/>
  <c r="AD14" i="16" s="1"/>
  <c r="AG12" i="16"/>
  <c r="AE12" i="16" s="1"/>
  <c r="AF12" i="16"/>
  <c r="AD12" i="16" s="1"/>
  <c r="AG8" i="16"/>
  <c r="AF8" i="16"/>
  <c r="AD8" i="16" s="1"/>
  <c r="AG9" i="16"/>
  <c r="AF18" i="16" l="1"/>
  <c r="AD18" i="16" s="1"/>
  <c r="AG17" i="16"/>
  <c r="AE17" i="16" s="1"/>
  <c r="AG42" i="16"/>
  <c r="AE42" i="16" s="1"/>
  <c r="AF45" i="16"/>
  <c r="AD45" i="16" s="1"/>
  <c r="AF50" i="16"/>
  <c r="AD50" i="16" s="1"/>
  <c r="AF52" i="16"/>
  <c r="AD52" i="16" s="1"/>
  <c r="AF56" i="16"/>
  <c r="AD56" i="16" s="1"/>
  <c r="AG62" i="16"/>
  <c r="AE62" i="16" s="1"/>
  <c r="AF62" i="16"/>
  <c r="AD62" i="16" s="1"/>
  <c r="AF64" i="16"/>
  <c r="AD64" i="16" s="1"/>
  <c r="AG70" i="16"/>
  <c r="AE70" i="16" s="1"/>
  <c r="AF70" i="16"/>
  <c r="AD70" i="16" s="1"/>
  <c r="AF72" i="16"/>
  <c r="AD72" i="16" s="1"/>
  <c r="AG73" i="16"/>
  <c r="AE73" i="16" s="1"/>
  <c r="AG78" i="16"/>
  <c r="AE78" i="16" s="1"/>
  <c r="AF78" i="16"/>
  <c r="AD78" i="16" s="1"/>
  <c r="AF80" i="16"/>
  <c r="AD80" i="16" s="1"/>
  <c r="AG81" i="16"/>
  <c r="AE81" i="16" s="1"/>
  <c r="AG86" i="16"/>
  <c r="AE86" i="16" s="1"/>
  <c r="AF86" i="16"/>
  <c r="AD86" i="16" s="1"/>
  <c r="AF88" i="16"/>
  <c r="AD88" i="16" s="1"/>
  <c r="AG89" i="16"/>
  <c r="AE89" i="16" s="1"/>
  <c r="AG94" i="16"/>
  <c r="AE94" i="16" s="1"/>
  <c r="AF94" i="16"/>
  <c r="AD94" i="16" s="1"/>
  <c r="AF96" i="16"/>
  <c r="AD96" i="16" s="1"/>
  <c r="AG102" i="16"/>
  <c r="AE102" i="16" s="1"/>
  <c r="AF102" i="16"/>
  <c r="AD102" i="16" s="1"/>
  <c r="AG44" i="16"/>
  <c r="AE44" i="16" s="1"/>
  <c r="AG48" i="16"/>
  <c r="AE48" i="16" s="1"/>
  <c r="AE8" i="16"/>
  <c r="AG41" i="16"/>
  <c r="AE41" i="16" s="1"/>
  <c r="AF46" i="16"/>
  <c r="AD46" i="16" s="1"/>
  <c r="AG52" i="16"/>
  <c r="AE52" i="16" s="1"/>
  <c r="AE54" i="16"/>
  <c r="AG56" i="16"/>
  <c r="AE56" i="16" s="1"/>
  <c r="AG58" i="16"/>
  <c r="AE58" i="16" s="1"/>
  <c r="AE60" i="16"/>
  <c r="AE64" i="16"/>
  <c r="AE66" i="16"/>
  <c r="AE68" i="16"/>
  <c r="AE72" i="16"/>
  <c r="AF73" i="16"/>
  <c r="AD73" i="16" s="1"/>
  <c r="AE74" i="16"/>
  <c r="AE76" i="16"/>
  <c r="AE80" i="16"/>
  <c r="AF81" i="16"/>
  <c r="AD81" i="16" s="1"/>
  <c r="AE82" i="16"/>
  <c r="AE84" i="16"/>
  <c r="AE90" i="16"/>
  <c r="AE92" i="16"/>
  <c r="AE104" i="16"/>
  <c r="AE9" i="16"/>
  <c r="AF13" i="16"/>
  <c r="AD13" i="16" s="1"/>
  <c r="AF17" i="16"/>
  <c r="AD17" i="16" s="1"/>
  <c r="AD49" i="16"/>
  <c r="AD57" i="16"/>
  <c r="AD65" i="16"/>
  <c r="AE71" i="16"/>
  <c r="AE87" i="16"/>
  <c r="AD97" i="16"/>
  <c r="AE103" i="16"/>
  <c r="AD105" i="16"/>
  <c r="AE11" i="16"/>
  <c r="AE15" i="16"/>
  <c r="AE19" i="16"/>
  <c r="AD43" i="16"/>
  <c r="AG49" i="16"/>
  <c r="AE49" i="16" s="1"/>
  <c r="AD51" i="16"/>
  <c r="AG57" i="16"/>
  <c r="AE57" i="16" s="1"/>
  <c r="AD59" i="16"/>
  <c r="AG65" i="16"/>
  <c r="AE65" i="16" s="1"/>
  <c r="AD67" i="16"/>
  <c r="AD75" i="16"/>
  <c r="AD83" i="16"/>
  <c r="AD91" i="16"/>
  <c r="AG97" i="16"/>
  <c r="AE97" i="16" s="1"/>
  <c r="AD99" i="16"/>
  <c r="AG105" i="16"/>
  <c r="AE105" i="16" s="1"/>
  <c r="AE13" i="16"/>
  <c r="AD41" i="16"/>
  <c r="AE47" i="16"/>
  <c r="AE55" i="16"/>
  <c r="AE63" i="16"/>
  <c r="AE79" i="16"/>
  <c r="AD89" i="16"/>
  <c r="AE95" i="16"/>
  <c r="AD107" i="16"/>
  <c r="AF9" i="16"/>
  <c r="AD9" i="16" s="1"/>
  <c r="AF11" i="16"/>
  <c r="AD11" i="16" s="1"/>
  <c r="AF15" i="16"/>
  <c r="AD15" i="16" s="1"/>
  <c r="AF19" i="16"/>
  <c r="AD19" i="16" s="1"/>
  <c r="AF23" i="16"/>
  <c r="AD23" i="16" s="1"/>
  <c r="AD21" i="16"/>
  <c r="AF27" i="16"/>
  <c r="AD27" i="16" s="1"/>
  <c r="AD25" i="16"/>
  <c r="AF31" i="16"/>
  <c r="AD31" i="16" s="1"/>
  <c r="AD29" i="16"/>
  <c r="AF35" i="16"/>
  <c r="AD35" i="16" s="1"/>
  <c r="AD33" i="16"/>
  <c r="AF39" i="16"/>
  <c r="AD39" i="16" s="1"/>
  <c r="AD37" i="16"/>
  <c r="AE43" i="16"/>
  <c r="AE51" i="16"/>
  <c r="AD53" i="16"/>
  <c r="AE59" i="16"/>
  <c r="AD61" i="16"/>
  <c r="AG67" i="16"/>
  <c r="AE67" i="16" s="1"/>
  <c r="AD69" i="16"/>
  <c r="AG75" i="16"/>
  <c r="AE75" i="16" s="1"/>
  <c r="AD77" i="16"/>
  <c r="AG83" i="16"/>
  <c r="AE83" i="16" s="1"/>
  <c r="AD85" i="16"/>
  <c r="AG91" i="16"/>
  <c r="AE91" i="16" s="1"/>
  <c r="AD93" i="16"/>
  <c r="AG99" i="16"/>
  <c r="AE99" i="16" s="1"/>
  <c r="AD101" i="16"/>
  <c r="AG107" i="16"/>
  <c r="AE107" i="16" s="1"/>
  <c r="AG23" i="16"/>
  <c r="AE23" i="16" s="1"/>
  <c r="AE21" i="16"/>
  <c r="AG27" i="16"/>
  <c r="AE27" i="16" s="1"/>
  <c r="AE25" i="16"/>
  <c r="AG31" i="16"/>
  <c r="AE31" i="16" s="1"/>
  <c r="AE29" i="16"/>
  <c r="AG35" i="16"/>
  <c r="AE35" i="16" s="1"/>
  <c r="AE33" i="16"/>
  <c r="AG39" i="16"/>
  <c r="AE39" i="16" s="1"/>
  <c r="AE37" i="16"/>
  <c r="AF47" i="16"/>
  <c r="AD47" i="16" s="1"/>
  <c r="AE45" i="16"/>
  <c r="AF55" i="16"/>
  <c r="AD55" i="16" s="1"/>
  <c r="AE53" i="16"/>
  <c r="AF63" i="16"/>
  <c r="AD63" i="16" s="1"/>
  <c r="AE61" i="16"/>
  <c r="AF71" i="16"/>
  <c r="AD71" i="16" s="1"/>
  <c r="AE69" i="16"/>
  <c r="AF79" i="16"/>
  <c r="AD79" i="16" s="1"/>
  <c r="AE77" i="16"/>
  <c r="AF87" i="16"/>
  <c r="AD87" i="16" s="1"/>
  <c r="AE85" i="16"/>
  <c r="AF95" i="16"/>
  <c r="AD95" i="16" s="1"/>
  <c r="AE93" i="16"/>
  <c r="AF103" i="16"/>
  <c r="AD103" i="16" s="1"/>
  <c r="AE101" i="16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<sst xmlns="http://schemas.openxmlformats.org/spreadsheetml/2006/main" count="223" uniqueCount="106">
  <si>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</si>
  <si>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</si>
  <si>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</si>
  <si>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</si>
  <si>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</si>
  <si>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</si>
  <si>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</si>
  <si>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</si>
  <si>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</si>
  <si>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</si>
  <si>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</si>
  <si>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</si>
  <si>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</si>
  <si>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</si>
  <si>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</si>
  <si>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</si>
  <si>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</si>
  <si>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</si>
  <si>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</si>
  <si>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</si>
  <si>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</si>
  <si>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</si>
  <si>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</si>
  <si>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</si>
  <si>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</si>
  <si>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</si>
  <si>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</si>
  <si>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</si>
  <si>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</si>
  <si>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</si>
  <si>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</si>
  <si>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</si>
  <si>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</si>
  <si>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</si>
  <si>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</si>
  <si>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</si>
  <si>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</si>
  <si>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</si>
  <si>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</si>
  <si>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</si>
  <si>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</si>
  <si>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</si>
  <si>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</si>
  <si>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</si>
  <si>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</si>
  <si>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</si>
  <si>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</si>
  <si>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</si>
  <si>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</si>
  <si>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</si>
  <si>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</si>
  <si>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</si>
  <si>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</si>
  <si>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</si>
  <si>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</si>
  <si>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</si>
  <si>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</si>
  <si>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</si>
  <si>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</si>
  <si>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</si>
  <si>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</si>
  <si>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</si>
  <si>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</si>
  <si>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</si>
  <si>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</si>
  <si>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</si>
  <si>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</si>
  <si>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</si>
  <si>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</si>
  <si>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</si>
  <si>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</si>
  <si>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</si>
  <si>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</si>
  <si>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</si>
  <si>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</si>
  <si>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</si>
  <si>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</si>
  <si>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</si>
  <si>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</si>
  <si>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</si>
  <si>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</si>
  <si>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</si>
  <si>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</si>
  <si>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</si>
  <si>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</si>
  <si>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</si>
  <si>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</si>
  <si>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</si>
  <si>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t>WYKRES 1. PIRAMIDA LUDNOŚCI</t>
  </si>
  <si>
    <t>CHART 1. POPULATION PYRAMID</t>
  </si>
  <si>
    <t>M</t>
  </si>
  <si>
    <t>K</t>
  </si>
  <si>
    <t>WYKRES 1.</t>
  </si>
  <si>
    <t>PIRAMIDA LUDNOŚCI</t>
  </si>
  <si>
    <t>POPULATION PYRAMID</t>
  </si>
  <si>
    <t>CHART 1.</t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</si>
  <si>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</si>
  <si>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</si>
  <si>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</si>
  <si>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</si>
  <si>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</si>
  <si>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</si>
  <si>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</si>
  <si>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</si>
  <si>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</si>
  <si>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kujawsko-pomorskie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</si>
</sst>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u/>
      <sz val="11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b/>
      <sz val="16"/>
      <name val="Arial"/>
      <family val="2"/>
      <charset val="238"/>
    </font>
    <font>
      <sz val="11"/>
      <color theme="0"/>
      <name val="Calibri"/>
      <family val="2"/>
      <scheme val="minor"/>
    </font>
    <font>
      <i/>
      <sz val="10"/>
      <color theme="0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7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3" fillId="4" borderId="35" xfId="26" applyFont="1" applyFill="1" applyBorder="1" applyAlignment="1">
      <alignment horizontal="left" vertical="top"/>
    </xf>
    <xf numFmtId="0" fontId="8" fillId="3" borderId="0" xfId="0" applyFont="1" applyFill="1" applyBorder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31" fillId="4" borderId="0" xfId="0" applyFont="1" applyFill="1"/>
    <xf numFmtId="0" fontId="32" fillId="4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16" fillId="4" borderId="0" xfId="24" applyFont="1" applyFill="1" applyBorder="1" applyAlignment="1" applyProtection="1">
      <alignment vertical="top" wrapText="1"/>
      <protection locked="0"/>
    </xf>
    <xf numFmtId="0" fontId="2" fillId="4" borderId="0" xfId="25" applyFill="1"/>
    <xf numFmtId="0" fontId="2" fillId="4" borderId="0" xfId="25" applyFill="1" applyProtection="1"/>
    <xf numFmtId="0" fontId="2" fillId="4" borderId="0" xfId="25" applyFill="1" applyProtection="1">
      <protection hidden="1"/>
    </xf>
    <xf numFmtId="0" fontId="0" fillId="4" borderId="0" xfId="0" applyFill="1"/>
    <xf numFmtId="0" fontId="2" fillId="4" borderId="0" xfId="25" applyFill="1" applyBorder="1"/>
    <xf numFmtId="0" fontId="2" fillId="4" borderId="0" xfId="25" applyFont="1" applyFill="1" applyProtection="1"/>
    <xf numFmtId="0" fontId="2" fillId="4" borderId="0" xfId="25" applyFont="1" applyFill="1"/>
    <xf numFmtId="0" fontId="2" fillId="4" borderId="36" xfId="25" applyFill="1" applyBorder="1"/>
    <xf numFmtId="0" fontId="2" fillId="4" borderId="37" xfId="25" applyFill="1" applyBorder="1"/>
    <xf numFmtId="0" fontId="2" fillId="4" borderId="18" xfId="25" applyFont="1" applyFill="1" applyBorder="1" applyProtection="1">
      <protection locked="0"/>
    </xf>
    <xf numFmtId="0" fontId="2" fillId="4" borderId="0" xfId="25" applyFill="1" applyProtection="1">
      <protection locked="0" hidden="1"/>
    </xf>
    <xf numFmtId="0" fontId="33" fillId="4" borderId="0" xfId="25" applyFont="1" applyFill="1" applyProtection="1">
      <protection hidden="1"/>
    </xf>
    <xf numFmtId="0" fontId="2" fillId="4" borderId="18" xfId="25" applyFill="1" applyBorder="1" applyProtection="1">
      <protection locked="0" hidden="1"/>
    </xf>
    <xf numFmtId="0" fontId="2" fillId="4" borderId="0" xfId="25" applyFill="1" applyBorder="1" applyProtection="1">
      <protection locked="0" hidden="1"/>
    </xf>
    <xf numFmtId="3" fontId="2" fillId="4" borderId="0" xfId="25" applyNumberFormat="1" applyFont="1" applyFill="1" applyProtection="1">
      <protection locked="0" hidden="1"/>
    </xf>
    <xf numFmtId="1" fontId="33" fillId="4" borderId="0" xfId="25" applyNumberFormat="1" applyFont="1" applyFill="1" applyProtection="1">
      <protection hidden="1"/>
    </xf>
    <xf numFmtId="165" fontId="33" fillId="4" borderId="0" xfId="25" applyNumberFormat="1" applyFont="1" applyFill="1" applyProtection="1">
      <protection hidden="1"/>
    </xf>
    <xf numFmtId="165" fontId="2" fillId="4" borderId="13" xfId="25" applyNumberFormat="1" applyFill="1" applyBorder="1" applyAlignment="1" applyProtection="1">
      <alignment vertical="center"/>
      <protection locked="0" hidden="1"/>
    </xf>
    <xf numFmtId="49" fontId="24" fillId="4" borderId="13" xfId="53" applyNumberFormat="1" applyFont="1" applyFill="1" applyBorder="1" applyAlignment="1" applyProtection="1">
      <alignment horizontal="right" vertical="center"/>
      <protection locked="0"/>
    </xf>
    <xf numFmtId="49" fontId="24" fillId="4" borderId="14" xfId="53" applyNumberFormat="1" applyFont="1" applyFill="1" applyBorder="1" applyAlignment="1" applyProtection="1">
      <alignment horizontal="right" vertical="center"/>
      <protection locked="0"/>
    </xf>
    <xf numFmtId="165" fontId="2" fillId="4" borderId="14" xfId="25" applyNumberFormat="1" applyFill="1" applyBorder="1" applyAlignment="1" applyProtection="1">
      <alignment vertical="center"/>
      <protection locked="0" hidden="1"/>
    </xf>
    <xf numFmtId="0" fontId="8" fillId="4" borderId="38" xfId="0" applyFont="1" applyFill="1" applyBorder="1"/>
    <xf numFmtId="0" fontId="16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>
      <alignment vertical="center" wrapText="1"/>
    </xf>
    <xf numFmtId="0" fontId="30" fillId="4" borderId="0" xfId="0" applyFont="1" applyFill="1" applyBorder="1" applyAlignment="1" applyProtection="1">
      <alignment horizontal="left"/>
      <protection locked="0"/>
    </xf>
    <xf numFmtId="0" fontId="31" fillId="4" borderId="0" xfId="0" applyFont="1" applyFill="1" applyBorder="1" applyAlignment="1" applyProtection="1">
      <alignment horizontal="left"/>
      <protection locked="0"/>
    </xf>
    <xf numFmtId="0" fontId="2" fillId="4" borderId="4" xfId="25" applyFill="1" applyBorder="1"/>
    <xf numFmtId="0" fontId="34" fillId="4" borderId="4" xfId="24" applyNumberFormat="1" applyFont="1" applyFill="1" applyBorder="1" applyAlignment="1" applyProtection="1">
      <alignment vertical="center" wrapText="1"/>
      <protection locked="0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1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0" xfId="25" applyNumberFormat="1" applyFill="1" applyBorder="1" applyAlignment="1" applyProtection="1">
      <alignment vertical="center"/>
      <protection locked="0" hidden="1"/>
    </xf>
    <xf numFmtId="0" fontId="33" fillId="4" borderId="0" xfId="25" applyFont="1" applyFill="1" applyProtection="1"/>
    <xf numFmtId="0" fontId="33" fillId="4" borderId="0" xfId="25" applyFont="1" applyFill="1"/>
    <xf numFmtId="0" fontId="35" fillId="4" borderId="0" xfId="0" applyFont="1" applyFill="1"/>
    <xf numFmtId="0" fontId="37" fillId="5" borderId="42" xfId="24" applyNumberFormat="1" applyFont="1" applyFill="1" applyBorder="1" applyAlignment="1" applyProtection="1">
      <alignment horizontal="center" vertical="center" wrapText="1"/>
      <protection locked="0"/>
    </xf>
    <xf numFmtId="0" fontId="37" fillId="4" borderId="0" xfId="25" applyFont="1" applyFill="1" applyBorder="1" applyAlignment="1" applyProtection="1">
      <alignment horizontal="center"/>
      <protection locked="0" hidden="1"/>
    </xf>
    <xf numFmtId="0" fontId="11" fillId="0" borderId="0" xfId="0" applyFont="1" applyAlignment="1">
      <alignment vertical="center"/>
    </xf>
    <xf numFmtId="0" fontId="3" fillId="3" borderId="0" xfId="24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horizontal="left" vertical="center"/>
      <protection locked="0"/>
    </xf>
    <xf numFmtId="0" fontId="11" fillId="4" borderId="15" xfId="0" applyFont="1" applyFill="1" applyBorder="1" applyAlignment="1" applyProtection="1">
      <alignment horizontal="left"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3" fillId="3" borderId="0" xfId="24" applyFont="1" applyFill="1" applyBorder="1" applyAlignment="1" applyProtection="1">
      <alignment horizontal="left" vertical="center" wrapText="1"/>
      <protection locked="0"/>
    </xf>
    <xf numFmtId="0" fontId="13" fillId="3" borderId="4" xfId="24" applyFont="1" applyFill="1" applyBorder="1" applyAlignment="1" applyProtection="1">
      <alignment horizontal="left" vertical="center" wrapText="1"/>
      <protection locked="0"/>
    </xf>
    <xf numFmtId="0" fontId="16" fillId="4" borderId="0" xfId="24" applyFont="1" applyFill="1" applyBorder="1" applyAlignment="1" applyProtection="1">
      <alignment horizontal="left" vertical="center" wrapText="1"/>
      <protection locked="0"/>
    </xf>
    <xf numFmtId="0" fontId="16" fillId="4" borderId="4" xfId="24" applyFont="1" applyFill="1" applyBorder="1" applyAlignment="1" applyProtection="1">
      <alignment horizontal="left" vertical="center" wrapText="1"/>
      <protection locked="0"/>
    </xf>
    <xf numFmtId="0" fontId="16" fillId="4" borderId="39" xfId="24" applyFont="1" applyFill="1" applyBorder="1" applyAlignment="1" applyProtection="1">
      <alignment horizontal="left" vertical="center" wrapText="1"/>
      <protection locked="0"/>
    </xf>
    <xf numFmtId="0" fontId="16" fillId="4" borderId="16" xfId="24" applyFont="1" applyFill="1" applyBorder="1" applyAlignment="1" applyProtection="1">
      <alignment horizontal="left" vertical="center" wrapText="1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BB8091"/>
      <color rgb="FF001D77"/>
      <color rgb="FF99A4C8"/>
      <color rgb="FFCCD1E3"/>
      <color rgb="FFD1AAB5"/>
      <color rgb="FF001D6E"/>
      <color rgb="FF6677AD"/>
      <color rgb="FFFFCDCC"/>
      <color rgb="FF334A92"/>
      <color rgb="FF66C2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</c:v>
                </c:pt>
                <c:pt idx="1">
                  <c:v>-9999999</c:v>
                </c:pt>
                <c:pt idx="2">
                  <c:v>-9999999</c:v>
                </c:pt>
                <c:pt idx="3">
                  <c:v>-9999999</c:v>
                </c:pt>
                <c:pt idx="4">
                  <c:v>-9999999</c:v>
                </c:pt>
                <c:pt idx="5">
                  <c:v>-9999999</c:v>
                </c:pt>
                <c:pt idx="6">
                  <c:v>-9999999</c:v>
                </c:pt>
                <c:pt idx="7">
                  <c:v>-9999999</c:v>
                </c:pt>
                <c:pt idx="8">
                  <c:v>-9999999</c:v>
                </c:pt>
                <c:pt idx="9">
                  <c:v>-9999999</c:v>
                </c:pt>
                <c:pt idx="10">
                  <c:v>-9999999</c:v>
                </c:pt>
                <c:pt idx="11">
                  <c:v>-9999999</c:v>
                </c:pt>
                <c:pt idx="12">
                  <c:v>-9999999</c:v>
                </c:pt>
                <c:pt idx="13">
                  <c:v>-9999999</c:v>
                </c:pt>
                <c:pt idx="14">
                  <c:v>-9999999</c:v>
                </c:pt>
                <c:pt idx="15">
                  <c:v>-9999999</c:v>
                </c:pt>
                <c:pt idx="16">
                  <c:v>-9999999</c:v>
                </c:pt>
                <c:pt idx="17">
                  <c:v>-9999999</c:v>
                </c:pt>
                <c:pt idx="18">
                  <c:v>-9999999</c:v>
                </c:pt>
                <c:pt idx="19">
                  <c:v>-9999999</c:v>
                </c:pt>
                <c:pt idx="20">
                  <c:v>-9999999</c:v>
                </c:pt>
                <c:pt idx="21">
                  <c:v>-9999999</c:v>
                </c:pt>
                <c:pt idx="22">
                  <c:v>-9999999</c:v>
                </c:pt>
                <c:pt idx="23">
                  <c:v>-9999999</c:v>
                </c:pt>
                <c:pt idx="24">
                  <c:v>-9999999</c:v>
                </c:pt>
                <c:pt idx="25">
                  <c:v>-9999999</c:v>
                </c:pt>
                <c:pt idx="26">
                  <c:v>-9999999</c:v>
                </c:pt>
                <c:pt idx="27">
                  <c:v>-9999999</c:v>
                </c:pt>
                <c:pt idx="28">
                  <c:v>-9999999</c:v>
                </c:pt>
                <c:pt idx="29">
                  <c:v>-9999999</c:v>
                </c:pt>
                <c:pt idx="30">
                  <c:v>-9999999</c:v>
                </c:pt>
                <c:pt idx="31">
                  <c:v>-9999999</c:v>
                </c:pt>
                <c:pt idx="32">
                  <c:v>-9999999</c:v>
                </c:pt>
                <c:pt idx="33">
                  <c:v>-9999999</c:v>
                </c:pt>
                <c:pt idx="34">
                  <c:v>-9999999</c:v>
                </c:pt>
                <c:pt idx="35">
                  <c:v>-9999999</c:v>
                </c:pt>
                <c:pt idx="36">
                  <c:v>-9999999</c:v>
                </c:pt>
                <c:pt idx="37">
                  <c:v>-9999999</c:v>
                </c:pt>
                <c:pt idx="38">
                  <c:v>-9999999</c:v>
                </c:pt>
                <c:pt idx="39">
                  <c:v>-9999999</c:v>
                </c:pt>
                <c:pt idx="40">
                  <c:v>-9999999</c:v>
                </c:pt>
                <c:pt idx="41">
                  <c:v>-9999999</c:v>
                </c:pt>
                <c:pt idx="42">
                  <c:v>-9999999</c:v>
                </c:pt>
                <c:pt idx="43">
                  <c:v>-9999999</c:v>
                </c:pt>
                <c:pt idx="44">
                  <c:v>-9999999</c:v>
                </c:pt>
                <c:pt idx="45">
                  <c:v>-9999999</c:v>
                </c:pt>
                <c:pt idx="46">
                  <c:v>-9999999</c:v>
                </c:pt>
                <c:pt idx="47">
                  <c:v>-9999999</c:v>
                </c:pt>
                <c:pt idx="48">
                  <c:v>-9999999</c:v>
                </c:pt>
                <c:pt idx="49">
                  <c:v>-9999999</c:v>
                </c:pt>
                <c:pt idx="50">
                  <c:v>-9999999</c:v>
                </c:pt>
                <c:pt idx="51">
                  <c:v>-9999999</c:v>
                </c:pt>
                <c:pt idx="52">
                  <c:v>-9999999</c:v>
                </c:pt>
                <c:pt idx="53">
                  <c:v>-9999999</c:v>
                </c:pt>
                <c:pt idx="54">
                  <c:v>-9999999</c:v>
                </c:pt>
                <c:pt idx="55">
                  <c:v>-9999999</c:v>
                </c:pt>
                <c:pt idx="56">
                  <c:v>-9999999</c:v>
                </c:pt>
                <c:pt idx="57">
                  <c:v>-9999999</c:v>
                </c:pt>
                <c:pt idx="58">
                  <c:v>-9999999</c:v>
                </c:pt>
                <c:pt idx="59">
                  <c:v>-9999999</c:v>
                </c:pt>
                <c:pt idx="60">
                  <c:v>-9999999</c:v>
                </c:pt>
                <c:pt idx="61">
                  <c:v>-9999999</c:v>
                </c:pt>
                <c:pt idx="62">
                  <c:v>-9999999</c:v>
                </c:pt>
                <c:pt idx="63">
                  <c:v>-9999999</c:v>
                </c:pt>
                <c:pt idx="64">
                  <c:v>-9999999</c:v>
                </c:pt>
                <c:pt idx="65">
                  <c:v>-9999999</c:v>
                </c:pt>
                <c:pt idx="66">
                  <c:v>-9999999</c:v>
                </c:pt>
                <c:pt idx="67">
                  <c:v>-9999999</c:v>
                </c:pt>
                <c:pt idx="68">
                  <c:v>-9999999</c:v>
                </c:pt>
                <c:pt idx="69">
                  <c:v>-9999999</c:v>
                </c:pt>
                <c:pt idx="70">
                  <c:v>-9999999</c:v>
                </c:pt>
                <c:pt idx="71">
                  <c:v>-9999999</c:v>
                </c:pt>
                <c:pt idx="72">
                  <c:v>-9999999</c:v>
                </c:pt>
                <c:pt idx="73">
                  <c:v>-9999999</c:v>
                </c:pt>
                <c:pt idx="74">
                  <c:v>-9999999</c:v>
                </c:pt>
                <c:pt idx="75">
                  <c:v>-9999999</c:v>
                </c:pt>
                <c:pt idx="76">
                  <c:v>-9999999</c:v>
                </c:pt>
                <c:pt idx="77">
                  <c:v>-9999999</c:v>
                </c:pt>
                <c:pt idx="78">
                  <c:v>-9999999</c:v>
                </c:pt>
                <c:pt idx="79">
                  <c:v>-9999999</c:v>
                </c:pt>
                <c:pt idx="80">
                  <c:v>-9999999</c:v>
                </c:pt>
                <c:pt idx="81">
                  <c:v>-9999999</c:v>
                </c:pt>
                <c:pt idx="82">
                  <c:v>-9999999</c:v>
                </c:pt>
                <c:pt idx="83">
                  <c:v>-9999999</c:v>
                </c:pt>
                <c:pt idx="84">
                  <c:v>-9999999</c:v>
                </c:pt>
                <c:pt idx="85">
                  <c:v>-9999999</c:v>
                </c:pt>
                <c:pt idx="86">
                  <c:v>-9999999</c:v>
                </c:pt>
                <c:pt idx="87">
                  <c:v>-9999999</c:v>
                </c:pt>
                <c:pt idx="88">
                  <c:v>-9999999</c:v>
                </c:pt>
                <c:pt idx="89">
                  <c:v>-9999999</c:v>
                </c:pt>
                <c:pt idx="90">
                  <c:v>-9999999</c:v>
                </c:pt>
                <c:pt idx="91">
                  <c:v>-9999999</c:v>
                </c:pt>
                <c:pt idx="92">
                  <c:v>-9999999</c:v>
                </c:pt>
                <c:pt idx="93">
                  <c:v>-9999999</c:v>
                </c:pt>
                <c:pt idx="94">
                  <c:v>-9999999</c:v>
                </c:pt>
                <c:pt idx="95">
                  <c:v>-9999999</c:v>
                </c:pt>
                <c:pt idx="96">
                  <c:v>-9999999</c:v>
                </c:pt>
                <c:pt idx="97">
                  <c:v>-9999999</c:v>
                </c:pt>
                <c:pt idx="98">
                  <c:v>-9999999</c:v>
                </c:pt>
                <c:pt idx="99">
                  <c:v>-9999999</c:v>
                </c:pt>
                <c:pt idx="100">
                  <c:v>-9999999</c:v>
                </c:pt>
                <c:pt idx="101">
                  <c:v>-9999999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</c:v>
                </c:pt>
                <c:pt idx="1">
                  <c:v>9999999</c:v>
                </c:pt>
                <c:pt idx="2">
                  <c:v>9999999</c:v>
                </c:pt>
                <c:pt idx="3">
                  <c:v>9999999</c:v>
                </c:pt>
                <c:pt idx="4">
                  <c:v>9999999</c:v>
                </c:pt>
                <c:pt idx="5">
                  <c:v>9999999</c:v>
                </c:pt>
                <c:pt idx="6">
                  <c:v>9999999</c:v>
                </c:pt>
                <c:pt idx="7">
                  <c:v>9999999</c:v>
                </c:pt>
                <c:pt idx="8">
                  <c:v>9999999</c:v>
                </c:pt>
                <c:pt idx="9">
                  <c:v>9999999</c:v>
                </c:pt>
                <c:pt idx="10">
                  <c:v>9999999</c:v>
                </c:pt>
                <c:pt idx="11">
                  <c:v>9999999</c:v>
                </c:pt>
                <c:pt idx="12">
                  <c:v>9999999</c:v>
                </c:pt>
                <c:pt idx="13">
                  <c:v>9999999</c:v>
                </c:pt>
                <c:pt idx="14">
                  <c:v>9999999</c:v>
                </c:pt>
                <c:pt idx="15">
                  <c:v>9999999</c:v>
                </c:pt>
                <c:pt idx="16">
                  <c:v>9999999</c:v>
                </c:pt>
                <c:pt idx="17">
                  <c:v>9999999</c:v>
                </c:pt>
                <c:pt idx="18">
                  <c:v>9999999</c:v>
                </c:pt>
                <c:pt idx="19">
                  <c:v>9999999</c:v>
                </c:pt>
                <c:pt idx="20">
                  <c:v>9999999</c:v>
                </c:pt>
                <c:pt idx="21">
                  <c:v>9999999</c:v>
                </c:pt>
                <c:pt idx="22">
                  <c:v>9999999</c:v>
                </c:pt>
                <c:pt idx="23">
                  <c:v>9999999</c:v>
                </c:pt>
                <c:pt idx="24">
                  <c:v>9999999</c:v>
                </c:pt>
                <c:pt idx="25">
                  <c:v>9999999</c:v>
                </c:pt>
                <c:pt idx="26">
                  <c:v>9999999</c:v>
                </c:pt>
                <c:pt idx="27">
                  <c:v>9999999</c:v>
                </c:pt>
                <c:pt idx="28">
                  <c:v>9999999</c:v>
                </c:pt>
                <c:pt idx="29">
                  <c:v>9999999</c:v>
                </c:pt>
                <c:pt idx="30">
                  <c:v>9999999</c:v>
                </c:pt>
                <c:pt idx="31">
                  <c:v>9999999</c:v>
                </c:pt>
                <c:pt idx="32">
                  <c:v>9999999</c:v>
                </c:pt>
                <c:pt idx="33">
                  <c:v>9999999</c:v>
                </c:pt>
                <c:pt idx="34">
                  <c:v>9999999</c:v>
                </c:pt>
                <c:pt idx="35">
                  <c:v>9999999</c:v>
                </c:pt>
                <c:pt idx="36">
                  <c:v>9999999</c:v>
                </c:pt>
                <c:pt idx="37">
                  <c:v>9999999</c:v>
                </c:pt>
                <c:pt idx="38">
                  <c:v>9999999</c:v>
                </c:pt>
                <c:pt idx="39">
                  <c:v>9999999</c:v>
                </c:pt>
                <c:pt idx="40">
                  <c:v>9999999</c:v>
                </c:pt>
                <c:pt idx="41">
                  <c:v>9999999</c:v>
                </c:pt>
                <c:pt idx="42">
                  <c:v>9999999</c:v>
                </c:pt>
                <c:pt idx="43">
                  <c:v>9999999</c:v>
                </c:pt>
                <c:pt idx="44">
                  <c:v>9999999</c:v>
                </c:pt>
                <c:pt idx="45">
                  <c:v>9999999</c:v>
                </c:pt>
                <c:pt idx="46">
                  <c:v>9999999</c:v>
                </c:pt>
                <c:pt idx="47">
                  <c:v>9999999</c:v>
                </c:pt>
                <c:pt idx="48">
                  <c:v>9999999</c:v>
                </c:pt>
                <c:pt idx="49">
                  <c:v>9999999</c:v>
                </c:pt>
                <c:pt idx="50">
                  <c:v>9999999</c:v>
                </c:pt>
                <c:pt idx="51">
                  <c:v>9999999</c:v>
                </c:pt>
                <c:pt idx="52">
                  <c:v>9999999</c:v>
                </c:pt>
                <c:pt idx="53">
                  <c:v>9999999</c:v>
                </c:pt>
                <c:pt idx="54">
                  <c:v>9999999</c:v>
                </c:pt>
                <c:pt idx="55">
                  <c:v>9999999</c:v>
                </c:pt>
                <c:pt idx="56">
                  <c:v>9999999</c:v>
                </c:pt>
                <c:pt idx="57">
                  <c:v>9999999</c:v>
                </c:pt>
                <c:pt idx="58">
                  <c:v>9999999</c:v>
                </c:pt>
                <c:pt idx="59">
                  <c:v>9999999</c:v>
                </c:pt>
                <c:pt idx="60">
                  <c:v>9999999</c:v>
                </c:pt>
                <c:pt idx="61">
                  <c:v>9999999</c:v>
                </c:pt>
                <c:pt idx="62">
                  <c:v>9999999</c:v>
                </c:pt>
                <c:pt idx="63">
                  <c:v>9999999</c:v>
                </c:pt>
                <c:pt idx="64">
                  <c:v>9999999</c:v>
                </c:pt>
                <c:pt idx="65">
                  <c:v>9999999</c:v>
                </c:pt>
                <c:pt idx="66">
                  <c:v>9999999</c:v>
                </c:pt>
                <c:pt idx="67">
                  <c:v>9999999</c:v>
                </c:pt>
                <c:pt idx="68">
                  <c:v>9999999</c:v>
                </c:pt>
                <c:pt idx="69">
                  <c:v>9999999</c:v>
                </c:pt>
                <c:pt idx="70">
                  <c:v>9999999</c:v>
                </c:pt>
                <c:pt idx="71">
                  <c:v>9999999</c:v>
                </c:pt>
                <c:pt idx="72">
                  <c:v>9999999</c:v>
                </c:pt>
                <c:pt idx="73">
                  <c:v>9999999</c:v>
                </c:pt>
                <c:pt idx="74">
                  <c:v>9999999</c:v>
                </c:pt>
                <c:pt idx="75">
                  <c:v>9999999</c:v>
                </c:pt>
                <c:pt idx="76">
                  <c:v>9999999</c:v>
                </c:pt>
                <c:pt idx="77">
                  <c:v>9999999</c:v>
                </c:pt>
                <c:pt idx="78">
                  <c:v>9999999</c:v>
                </c:pt>
                <c:pt idx="79">
                  <c:v>9999999</c:v>
                </c:pt>
                <c:pt idx="80">
                  <c:v>9999999</c:v>
                </c:pt>
                <c:pt idx="81">
                  <c:v>9999999</c:v>
                </c:pt>
                <c:pt idx="82">
                  <c:v>9999999</c:v>
                </c:pt>
                <c:pt idx="83">
                  <c:v>9999999</c:v>
                </c:pt>
                <c:pt idx="84">
                  <c:v>9999999</c:v>
                </c:pt>
                <c:pt idx="85">
                  <c:v>9999999</c:v>
                </c:pt>
                <c:pt idx="86">
                  <c:v>9999999</c:v>
                </c:pt>
                <c:pt idx="87">
                  <c:v>9999999</c:v>
                </c:pt>
                <c:pt idx="88">
                  <c:v>9999999</c:v>
                </c:pt>
                <c:pt idx="89">
                  <c:v>9999999</c:v>
                </c:pt>
                <c:pt idx="90">
                  <c:v>9999999</c:v>
                </c:pt>
                <c:pt idx="91">
                  <c:v>9999999</c:v>
                </c:pt>
                <c:pt idx="92">
                  <c:v>9999999</c:v>
                </c:pt>
                <c:pt idx="93">
                  <c:v>9999999</c:v>
                </c:pt>
                <c:pt idx="94">
                  <c:v>9999999</c:v>
                </c:pt>
                <c:pt idx="95">
                  <c:v>9999999</c:v>
                </c:pt>
                <c:pt idx="96">
                  <c:v>9999999</c:v>
                </c:pt>
                <c:pt idx="97">
                  <c:v>9999999</c:v>
                </c:pt>
                <c:pt idx="98">
                  <c:v>9999999</c:v>
                </c:pt>
                <c:pt idx="99">
                  <c:v>9999999</c:v>
                </c:pt>
                <c:pt idx="100">
                  <c:v>9999999</c:v>
                </c:pt>
                <c:pt idx="101">
                  <c:v>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1536"/>
        <c:axId val="1500396976"/>
      </c:barChart>
      <c:catAx>
        <c:axId val="150039153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69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0.78006</cdr:x>
      <cdr:y>0.13336</cdr:y>
    </cdr:from>
    <cdr:to>
      <cdr:x>0.97386</cdr:x>
      <cdr:y>0.22256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15616" y="66004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0.23551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6925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FFCDCC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3.9" customHeight="1" x14ac:dyDescent="0.2">
      <c r="A1" s="7" t="s">
        <v>38</v>
      </c>
    </row>
    <row r="2" spans="1:18" ht="18" customHeight="1" x14ac:dyDescent="0.25">
      <c r="B2" s="67" t="s">
        <v>69</v>
      </c>
    </row>
    <row r="3" spans="1:18" ht="13.9" customHeight="1" x14ac:dyDescent="0.2">
      <c r="B3" s="72" t="s">
        <v>70</v>
      </c>
    </row>
    <row r="4" spans="1:18" ht="13.9" customHeight="1" x14ac:dyDescent="0.2">
      <c r="B4" s="72"/>
    </row>
    <row r="5" spans="1:18" ht="13.9" customHeight="1" x14ac:dyDescent="0.2">
      <c r="B5" s="7" t="s">
        <v>84</v>
      </c>
    </row>
    <row r="6" spans="1:18" ht="13.9" customHeight="1" x14ac:dyDescent="0.2">
      <c r="B6" s="73" t="s">
        <v>85</v>
      </c>
    </row>
    <row r="7" spans="1:18" ht="13.9" customHeight="1" x14ac:dyDescent="0.3">
      <c r="B7" s="68"/>
    </row>
    <row r="8" spans="1:18" ht="13.9" customHeight="1" x14ac:dyDescent="0.25">
      <c r="B8" s="71" t="s">
        <v>71</v>
      </c>
    </row>
    <row r="9" spans="1:18" ht="13.9" customHeight="1" x14ac:dyDescent="0.2">
      <c r="B9" s="73" t="s">
        <v>72</v>
      </c>
    </row>
    <row r="10" spans="1:18" ht="13.9" customHeight="1" thickBot="1" x14ac:dyDescent="0.25">
      <c r="B10" s="69"/>
    </row>
    <row r="11" spans="1:18" ht="13.9" customHeight="1" thickTop="1" x14ac:dyDescent="0.2"/>
    <row r="12" spans="1:18" ht="13.9" customHeight="1" x14ac:dyDescent="0.25">
      <c r="B12" s="7" t="s">
        <v>73</v>
      </c>
      <c r="C12" s="70"/>
      <c r="D12" s="126" t="s">
        <v>42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8" ht="13.9" customHeight="1" x14ac:dyDescent="0.2">
      <c r="C13" s="70"/>
      <c r="D13" s="127" t="s">
        <v>43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</row>
    <row r="14" spans="1:18" ht="13.9" customHeight="1" x14ac:dyDescent="0.2">
      <c r="C14" s="70"/>
    </row>
    <row r="15" spans="1:18" ht="13.9" customHeight="1" x14ac:dyDescent="0.25">
      <c r="B15" s="7" t="s">
        <v>74</v>
      </c>
      <c r="C15" s="70"/>
      <c r="D15" s="126" t="s">
        <v>87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</row>
    <row r="16" spans="1:18" ht="13.9" customHeight="1" x14ac:dyDescent="0.2">
      <c r="C16" s="70"/>
      <c r="D16" s="127" t="s">
        <v>68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</row>
    <row r="17" spans="2:18" ht="13.9" customHeight="1" x14ac:dyDescent="0.2">
      <c r="C17" s="70"/>
    </row>
    <row r="18" spans="2:18" ht="13.9" customHeight="1" x14ac:dyDescent="0.25">
      <c r="B18" s="7" t="s">
        <v>75</v>
      </c>
      <c r="C18" s="70"/>
      <c r="D18" s="126" t="s">
        <v>77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</row>
    <row r="19" spans="2:18" ht="13.9" customHeight="1" x14ac:dyDescent="0.2">
      <c r="C19" s="70"/>
      <c r="D19" s="127" t="s">
        <v>67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</row>
    <row r="20" spans="2:18" ht="13.9" customHeight="1" x14ac:dyDescent="0.2">
      <c r="C20" s="70"/>
    </row>
    <row r="21" spans="2:18" ht="13.9" customHeight="1" x14ac:dyDescent="0.25">
      <c r="B21" s="7" t="s">
        <v>76</v>
      </c>
      <c r="C21" s="70"/>
      <c r="D21" s="126" t="s">
        <v>54</v>
      </c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</row>
    <row r="22" spans="2:18" ht="13.9" customHeight="1" x14ac:dyDescent="0.2">
      <c r="C22" s="70"/>
      <c r="D22" s="127" t="s">
        <v>56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</row>
    <row r="23" spans="2:18" ht="13.9" customHeight="1" x14ac:dyDescent="0.2">
      <c r="B23" s="106"/>
      <c r="K23" s="7" t="s">
        <v>38</v>
      </c>
    </row>
    <row r="24" spans="2:18" ht="13.9" customHeight="1" x14ac:dyDescent="0.25">
      <c r="B24" s="7" t="s">
        <v>92</v>
      </c>
      <c r="C24" s="70"/>
      <c r="D24" s="126" t="s">
        <v>93</v>
      </c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</row>
    <row r="25" spans="2:18" ht="13.9" customHeight="1" x14ac:dyDescent="0.2">
      <c r="B25" s="73" t="s">
        <v>95</v>
      </c>
      <c r="C25" s="70"/>
      <c r="D25" s="127" t="s">
        <v>94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B25" location="' Wykres 1 Chart 1'!A1" display="CHART 1"/>
    <hyperlink ref="D25:R25" location="' Wykres 1 Chart 1'!A1" display="POPULATION PYRAMID"/>
    <hyperlink ref="D24:R24" location="' Wykres 1 Chart 1'!A1" display="PIRAMIDA LUDNOŚCI"/>
    <hyperlink ref="B24" location="' Wykres 1 Chart 1'!A1" display="WYKRES 1."/>
    <hyperlink ref="B24:B25" location="'Wykres 1'!A1" display="WYKRES 1."/>
    <hyperlink ref="D24:R25" location="'Wykres 1'!A1" display="PIRAMIDA LUDNOŚCI"/>
    <hyperlink ref="B21" location="'Tabl. 4'!A1" display="TABL. 4."/>
    <hyperlink ref="D22" location="'Tabl. 4'!A1" display="VITAL STATISTICS"/>
    <hyperlink ref="D21" location="'Tabl. 4'!A1" display="RUCH NATURALNY I MIGRACYJNY LUDNOŚCI"/>
    <hyperlink ref="B18" location="'Tabl. 3'!A1" display="TABL. 3."/>
    <hyperlink ref="D19" location="'Tabl. 3'!A1" display="POPULATION BY SEX AND SELECTED GROUPS OF AGE"/>
    <hyperlink ref="D18" location="'Tabl. 3'!A1" display="LUDNOŚĆ WEDŁUG PŁCI I WYBRANYCH GRUP WIEKU"/>
    <hyperlink ref="B15" location="'Tabl. 2'!A1" display="TABL. 2."/>
    <hyperlink ref="D16" location="'Tabl. 2'!A1" display="POPULATION BY SEX AND 5-YEAR AGE GROUPS"/>
    <hyperlink ref="D15" location="'Tabl. 2'!A1" display="LUDNOŚĆ WEDŁUG PŁCI I PIECIOLETNICH GRUP WIEKU"/>
    <hyperlink ref="B12" location="'Tabl. 1'!A1" display="TABL. 1."/>
    <hyperlink ref="D13" location="'Tabl. 1'!A1" display="POPULATION BY SEX AND SINGLE YEAR OF AGE"/>
    <hyperlink ref="D12" location="'Tabl. 1'!A1" display="LUDNOŚĆ WEDŁUG PŁCI I POJEDYNCZYCH ROCZNIKÓW WIEK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FF6966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9" customFormat="1" ht="22.9" customHeight="1" x14ac:dyDescent="0.2">
      <c r="A1" s="75"/>
      <c r="B1" s="75"/>
      <c r="C1" s="76" t="s">
        <v>44</v>
      </c>
      <c r="D1" s="77"/>
      <c r="E1" s="77"/>
      <c r="F1" s="77"/>
      <c r="G1" s="77"/>
      <c r="H1" s="77"/>
      <c r="I1" s="77"/>
      <c r="J1" s="77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80"/>
    </row>
    <row r="2" spans="1:41" ht="12" customHeight="1" x14ac:dyDescent="0.2">
      <c r="A2" s="130" t="s">
        <v>82</v>
      </c>
      <c r="B2" s="130"/>
      <c r="D2" s="33" t="s">
        <v>40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131" t="s">
        <v>83</v>
      </c>
      <c r="B3" s="131"/>
      <c r="D3" s="29" t="s">
        <v>43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 t="s">
        <v>38</v>
      </c>
      <c r="D5" s="33" t="s">
        <v>49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105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0" t="s">
        <v>46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8" t="s">
        <v>47</v>
      </c>
      <c r="B8" s="14" t="s">
        <v>48</v>
      </c>
      <c r="C8" s="15" t="n">
        <v>2006876.0</v>
      </c>
      <c r="D8" s="15" t="n">
        <v>1996240.0</v>
      </c>
      <c r="E8" s="15" t="n">
        <v>1984932.0</v>
      </c>
      <c r="F8" s="15" t="n">
        <v>1972978.0</v>
      </c>
      <c r="G8" s="15" t="n">
        <v>1960484.0</v>
      </c>
      <c r="H8" s="15" t="n">
        <v>1948820.0</v>
      </c>
      <c r="I8" s="15" t="n">
        <v>1937037.0</v>
      </c>
      <c r="J8" s="15" t="n">
        <v>1923783.0</v>
      </c>
      <c r="K8" s="15" t="n">
        <v>1909608.0</v>
      </c>
      <c r="L8" s="15" t="n">
        <v>1894795.0</v>
      </c>
      <c r="M8" s="15" t="n">
        <v>1879284.0</v>
      </c>
      <c r="N8" s="15" t="n">
        <v>1863187.0</v>
      </c>
      <c r="O8" s="15" t="n">
        <v>1846701.0</v>
      </c>
      <c r="P8" s="15" t="n">
        <v>1829754.0</v>
      </c>
      <c r="Q8" s="15" t="n">
        <v>1812544.0</v>
      </c>
      <c r="R8" s="15" t="n">
        <v>1794814.0</v>
      </c>
      <c r="S8" s="15" t="n">
        <v>1776878.0</v>
      </c>
      <c r="T8" s="15" t="n">
        <v>1758510.0</v>
      </c>
      <c r="U8" s="15" t="n">
        <v>1739970.0</v>
      </c>
      <c r="V8" s="15" t="n">
        <v>1721187.0</v>
      </c>
      <c r="W8" s="15" t="n">
        <v>1702230.0</v>
      </c>
      <c r="X8" s="15" t="n">
        <v>1683127.0</v>
      </c>
      <c r="Y8" s="15" t="n">
        <v>1663903.0</v>
      </c>
      <c r="Z8" s="15" t="n">
        <v>1644496.0</v>
      </c>
      <c r="AA8" s="15" t="n">
        <v>1624884.0</v>
      </c>
      <c r="AB8" s="15" t="n">
        <v>1605235.0</v>
      </c>
      <c r="AC8" s="15" t="n">
        <v>1585510.0</v>
      </c>
      <c r="AD8" s="15" t="n">
        <v>1565624.0</v>
      </c>
      <c r="AE8" s="15" t="n">
        <v>1545776.0</v>
      </c>
      <c r="AF8" s="15" t="n">
        <v>1525760.0</v>
      </c>
      <c r="AG8" s="15" t="n">
        <v>1505722.0</v>
      </c>
      <c r="AH8" s="15" t="n">
        <v>1485604.0</v>
      </c>
      <c r="AI8" s="15" t="n">
        <v>1465297.0</v>
      </c>
      <c r="AJ8" s="15" t="n">
        <v>1444933.0</v>
      </c>
      <c r="AK8" s="15" t="n">
        <v>1424413.0</v>
      </c>
      <c r="AL8" s="15" t="n">
        <v>1403753.0</v>
      </c>
      <c r="AM8" s="15" t="n">
        <v>1382964.0</v>
      </c>
      <c r="AN8" s="15" t="n">
        <v>1362005.0</v>
      </c>
      <c r="AO8" s="15" t="n">
        <v>1340976.0</v>
      </c>
    </row>
    <row r="9" spans="1:41" x14ac:dyDescent="0.2">
      <c r="A9" s="128"/>
      <c r="B9" s="9">
        <v>0</v>
      </c>
      <c r="C9" s="3" t="n">
        <v>14755.0</v>
      </c>
      <c r="D9" s="3" t="n">
        <v>14064.0</v>
      </c>
      <c r="E9" s="3" t="n">
        <v>13562.0</v>
      </c>
      <c r="F9" s="3" t="n">
        <v>13106.0</v>
      </c>
      <c r="G9" s="3" t="n">
        <v>12711.0</v>
      </c>
      <c r="H9" s="3" t="n">
        <v>12387.0</v>
      </c>
      <c r="I9" s="3" t="n">
        <v>12121.0</v>
      </c>
      <c r="J9" s="3" t="n">
        <v>11867.0</v>
      </c>
      <c r="K9" s="3" t="n">
        <v>11657.0</v>
      </c>
      <c r="L9" s="3" t="n">
        <v>11460.0</v>
      </c>
      <c r="M9" s="3" t="n">
        <v>11306.0</v>
      </c>
      <c r="N9" s="3" t="n">
        <v>11168.0</v>
      </c>
      <c r="O9" s="3" t="n">
        <v>11099.0</v>
      </c>
      <c r="P9" s="3" t="n">
        <v>11041.0</v>
      </c>
      <c r="Q9" s="3" t="n">
        <v>10999.0</v>
      </c>
      <c r="R9" s="3" t="n">
        <v>10978.0</v>
      </c>
      <c r="S9" s="3" t="n">
        <v>10966.0</v>
      </c>
      <c r="T9" s="3" t="n">
        <v>10946.0</v>
      </c>
      <c r="U9" s="3" t="n">
        <v>10912.0</v>
      </c>
      <c r="V9" s="3" t="n">
        <v>10871.0</v>
      </c>
      <c r="W9" s="3" t="n">
        <v>10808.0</v>
      </c>
      <c r="X9" s="3" t="n">
        <v>10730.0</v>
      </c>
      <c r="Y9" s="3" t="n">
        <v>10609.0</v>
      </c>
      <c r="Z9" s="3" t="n">
        <v>10491.0</v>
      </c>
      <c r="AA9" s="3" t="n">
        <v>10310.0</v>
      </c>
      <c r="AB9" s="3" t="n">
        <v>10101.0</v>
      </c>
      <c r="AC9" s="3" t="n">
        <v>9888.0</v>
      </c>
      <c r="AD9" s="3" t="n">
        <v>9629.0</v>
      </c>
      <c r="AE9" s="3" t="n">
        <v>9361.0</v>
      </c>
      <c r="AF9" s="3" t="n">
        <v>9093.0</v>
      </c>
      <c r="AG9" s="3" t="n">
        <v>8797.0</v>
      </c>
      <c r="AH9" s="3" t="n">
        <v>8494.0</v>
      </c>
      <c r="AI9" s="3" t="n">
        <v>8208.0</v>
      </c>
      <c r="AJ9" s="3" t="n">
        <v>7928.0</v>
      </c>
      <c r="AK9" s="3" t="n">
        <v>7656.0</v>
      </c>
      <c r="AL9" s="3" t="n">
        <v>7392.0</v>
      </c>
      <c r="AM9" s="3" t="n">
        <v>7150.0</v>
      </c>
      <c r="AN9" s="3" t="n">
        <v>6932.0</v>
      </c>
      <c r="AO9" s="3" t="n">
        <v>6722.0</v>
      </c>
    </row>
    <row r="10" spans="1:41" x14ac:dyDescent="0.2">
      <c r="A10" s="128"/>
      <c r="B10" s="9">
        <v>1</v>
      </c>
      <c r="C10" s="3" t="n">
        <v>16720.0</v>
      </c>
      <c r="D10" s="3" t="n">
        <v>14782.0</v>
      </c>
      <c r="E10" s="3" t="n">
        <v>14100.0</v>
      </c>
      <c r="F10" s="3" t="n">
        <v>13595.0</v>
      </c>
      <c r="G10" s="3" t="n">
        <v>13141.0</v>
      </c>
      <c r="H10" s="3" t="n">
        <v>12768.0</v>
      </c>
      <c r="I10" s="3" t="n">
        <v>12442.0</v>
      </c>
      <c r="J10" s="3" t="n">
        <v>12161.0</v>
      </c>
      <c r="K10" s="3" t="n">
        <v>11900.0</v>
      </c>
      <c r="L10" s="3" t="n">
        <v>11693.0</v>
      </c>
      <c r="M10" s="3" t="n">
        <v>11494.0</v>
      </c>
      <c r="N10" s="3" t="n">
        <v>11338.0</v>
      </c>
      <c r="O10" s="3" t="n">
        <v>11200.0</v>
      </c>
      <c r="P10" s="3" t="n">
        <v>11128.0</v>
      </c>
      <c r="Q10" s="3" t="n">
        <v>11068.0</v>
      </c>
      <c r="R10" s="3" t="n">
        <v>11026.0</v>
      </c>
      <c r="S10" s="3" t="n">
        <v>11006.0</v>
      </c>
      <c r="T10" s="3" t="n">
        <v>10995.0</v>
      </c>
      <c r="U10" s="3" t="n">
        <v>10977.0</v>
      </c>
      <c r="V10" s="3" t="n">
        <v>10944.0</v>
      </c>
      <c r="W10" s="3" t="n">
        <v>10905.0</v>
      </c>
      <c r="X10" s="3" t="n">
        <v>10843.0</v>
      </c>
      <c r="Y10" s="3" t="n">
        <v>10767.0</v>
      </c>
      <c r="Z10" s="3" t="n">
        <v>10645.0</v>
      </c>
      <c r="AA10" s="3" t="n">
        <v>10530.0</v>
      </c>
      <c r="AB10" s="3" t="n">
        <v>10349.0</v>
      </c>
      <c r="AC10" s="3" t="n">
        <v>10141.0</v>
      </c>
      <c r="AD10" s="3" t="n">
        <v>9929.0</v>
      </c>
      <c r="AE10" s="3" t="n">
        <v>9671.0</v>
      </c>
      <c r="AF10" s="3" t="n">
        <v>9404.0</v>
      </c>
      <c r="AG10" s="3" t="n">
        <v>9140.0</v>
      </c>
      <c r="AH10" s="3" t="n">
        <v>8849.0</v>
      </c>
      <c r="AI10" s="3" t="n">
        <v>8546.0</v>
      </c>
      <c r="AJ10" s="3" t="n">
        <v>8260.0</v>
      </c>
      <c r="AK10" s="3" t="n">
        <v>7982.0</v>
      </c>
      <c r="AL10" s="3" t="n">
        <v>7707.0</v>
      </c>
      <c r="AM10" s="3" t="n">
        <v>7438.0</v>
      </c>
      <c r="AN10" s="3" t="n">
        <v>7196.0</v>
      </c>
      <c r="AO10" s="3" t="n">
        <v>6976.0</v>
      </c>
    </row>
    <row r="11" spans="1:41" x14ac:dyDescent="0.2">
      <c r="A11" s="128"/>
      <c r="B11" s="9">
        <v>2</v>
      </c>
      <c r="C11" s="3" t="n">
        <v>18008.0</v>
      </c>
      <c r="D11" s="3" t="n">
        <v>16731.0</v>
      </c>
      <c r="E11" s="3" t="n">
        <v>14803.0</v>
      </c>
      <c r="F11" s="3" t="n">
        <v>14131.0</v>
      </c>
      <c r="G11" s="3" t="n">
        <v>13627.0</v>
      </c>
      <c r="H11" s="3" t="n">
        <v>13202.0</v>
      </c>
      <c r="I11" s="3" t="n">
        <v>12834.0</v>
      </c>
      <c r="J11" s="3" t="n">
        <v>12482.0</v>
      </c>
      <c r="K11" s="3" t="n">
        <v>12187.0</v>
      </c>
      <c r="L11" s="3" t="n">
        <v>11920.0</v>
      </c>
      <c r="M11" s="3" t="n">
        <v>11717.0</v>
      </c>
      <c r="N11" s="3" t="n">
        <v>11515.0</v>
      </c>
      <c r="O11" s="3" t="n">
        <v>11360.0</v>
      </c>
      <c r="P11" s="3" t="n">
        <v>11215.0</v>
      </c>
      <c r="Q11" s="3" t="n">
        <v>11142.0</v>
      </c>
      <c r="R11" s="3" t="n">
        <v>11079.0</v>
      </c>
      <c r="S11" s="3" t="n">
        <v>11039.0</v>
      </c>
      <c r="T11" s="3" t="n">
        <v>11019.0</v>
      </c>
      <c r="U11" s="3" t="n">
        <v>11006.0</v>
      </c>
      <c r="V11" s="3" t="n">
        <v>10992.0</v>
      </c>
      <c r="W11" s="3" t="n">
        <v>10959.0</v>
      </c>
      <c r="X11" s="3" t="n">
        <v>10920.0</v>
      </c>
      <c r="Y11" s="3" t="n">
        <v>10860.0</v>
      </c>
      <c r="Z11" s="3" t="n">
        <v>10784.0</v>
      </c>
      <c r="AA11" s="3" t="n">
        <v>10665.0</v>
      </c>
      <c r="AB11" s="3" t="n">
        <v>10554.0</v>
      </c>
      <c r="AC11" s="3" t="n">
        <v>10375.0</v>
      </c>
      <c r="AD11" s="3" t="n">
        <v>10167.0</v>
      </c>
      <c r="AE11" s="3" t="n">
        <v>9956.0</v>
      </c>
      <c r="AF11" s="3" t="n">
        <v>9702.0</v>
      </c>
      <c r="AG11" s="3" t="n">
        <v>9429.0</v>
      </c>
      <c r="AH11" s="3" t="n">
        <v>9167.0</v>
      </c>
      <c r="AI11" s="3" t="n">
        <v>8881.0</v>
      </c>
      <c r="AJ11" s="3" t="n">
        <v>8582.0</v>
      </c>
      <c r="AK11" s="3" t="n">
        <v>8298.0</v>
      </c>
      <c r="AL11" s="3" t="n">
        <v>8021.0</v>
      </c>
      <c r="AM11" s="3" t="n">
        <v>7746.0</v>
      </c>
      <c r="AN11" s="3" t="n">
        <v>7476.0</v>
      </c>
      <c r="AO11" s="3" t="n">
        <v>7237.0</v>
      </c>
    </row>
    <row r="12" spans="1:41" x14ac:dyDescent="0.2">
      <c r="A12" s="128"/>
      <c r="B12" s="9">
        <v>3</v>
      </c>
      <c r="C12" s="3" t="n">
        <v>19399.0</v>
      </c>
      <c r="D12" s="3" t="n">
        <v>18011.0</v>
      </c>
      <c r="E12" s="3" t="n">
        <v>16732.0</v>
      </c>
      <c r="F12" s="3" t="n">
        <v>14815.0</v>
      </c>
      <c r="G12" s="3" t="n">
        <v>14148.0</v>
      </c>
      <c r="H12" s="3" t="n">
        <v>13665.0</v>
      </c>
      <c r="I12" s="3" t="n">
        <v>13258.0</v>
      </c>
      <c r="J12" s="3" t="n">
        <v>12871.0</v>
      </c>
      <c r="K12" s="3" t="n">
        <v>12512.0</v>
      </c>
      <c r="L12" s="3" t="n">
        <v>12219.0</v>
      </c>
      <c r="M12" s="3" t="n">
        <v>11941.0</v>
      </c>
      <c r="N12" s="3" t="n">
        <v>11736.0</v>
      </c>
      <c r="O12" s="3" t="n">
        <v>11535.0</v>
      </c>
      <c r="P12" s="3" t="n">
        <v>11380.0</v>
      </c>
      <c r="Q12" s="3" t="n">
        <v>11236.0</v>
      </c>
      <c r="R12" s="3" t="n">
        <v>11164.0</v>
      </c>
      <c r="S12" s="3" t="n">
        <v>11099.0</v>
      </c>
      <c r="T12" s="3" t="n">
        <v>11060.0</v>
      </c>
      <c r="U12" s="3" t="n">
        <v>11039.0</v>
      </c>
      <c r="V12" s="3" t="n">
        <v>11026.0</v>
      </c>
      <c r="W12" s="3" t="n">
        <v>11011.0</v>
      </c>
      <c r="X12" s="3" t="n">
        <v>10978.0</v>
      </c>
      <c r="Y12" s="3" t="n">
        <v>10937.0</v>
      </c>
      <c r="Z12" s="3" t="n">
        <v>10878.0</v>
      </c>
      <c r="AA12" s="3" t="n">
        <v>10802.0</v>
      </c>
      <c r="AB12" s="3" t="n">
        <v>10686.0</v>
      </c>
      <c r="AC12" s="3" t="n">
        <v>10575.0</v>
      </c>
      <c r="AD12" s="3" t="n">
        <v>10394.0</v>
      </c>
      <c r="AE12" s="3" t="n">
        <v>10187.0</v>
      </c>
      <c r="AF12" s="3" t="n">
        <v>9977.0</v>
      </c>
      <c r="AG12" s="3" t="n">
        <v>9728.0</v>
      </c>
      <c r="AH12" s="3" t="n">
        <v>9456.0</v>
      </c>
      <c r="AI12" s="3" t="n">
        <v>9199.0</v>
      </c>
      <c r="AJ12" s="3" t="n">
        <v>8907.0</v>
      </c>
      <c r="AK12" s="3" t="n">
        <v>8614.0</v>
      </c>
      <c r="AL12" s="3" t="n">
        <v>8330.0</v>
      </c>
      <c r="AM12" s="3" t="n">
        <v>8050.0</v>
      </c>
      <c r="AN12" s="3" t="n">
        <v>7775.0</v>
      </c>
      <c r="AO12" s="3" t="n">
        <v>7513.0</v>
      </c>
    </row>
    <row r="13" spans="1:41" x14ac:dyDescent="0.2">
      <c r="A13" s="128"/>
      <c r="B13" s="9">
        <v>4</v>
      </c>
      <c r="C13" s="3" t="n">
        <v>20325.0</v>
      </c>
      <c r="D13" s="3" t="n">
        <v>19406.0</v>
      </c>
      <c r="E13" s="3" t="n">
        <v>18020.0</v>
      </c>
      <c r="F13" s="3" t="n">
        <v>16744.0</v>
      </c>
      <c r="G13" s="3" t="n">
        <v>14832.0</v>
      </c>
      <c r="H13" s="3" t="n">
        <v>14196.0</v>
      </c>
      <c r="I13" s="3" t="n">
        <v>13728.0</v>
      </c>
      <c r="J13" s="3" t="n">
        <v>13299.0</v>
      </c>
      <c r="K13" s="3" t="n">
        <v>12904.0</v>
      </c>
      <c r="L13" s="3" t="n">
        <v>12542.0</v>
      </c>
      <c r="M13" s="3" t="n">
        <v>12244.0</v>
      </c>
      <c r="N13" s="3" t="n">
        <v>11967.0</v>
      </c>
      <c r="O13" s="3" t="n">
        <v>11757.0</v>
      </c>
      <c r="P13" s="3" t="n">
        <v>11558.0</v>
      </c>
      <c r="Q13" s="3" t="n">
        <v>11411.0</v>
      </c>
      <c r="R13" s="3" t="n">
        <v>11264.0</v>
      </c>
      <c r="S13" s="3" t="n">
        <v>11190.0</v>
      </c>
      <c r="T13" s="3" t="n">
        <v>11121.0</v>
      </c>
      <c r="U13" s="3" t="n">
        <v>11081.0</v>
      </c>
      <c r="V13" s="3" t="n">
        <v>11061.0</v>
      </c>
      <c r="W13" s="3" t="n">
        <v>11050.0</v>
      </c>
      <c r="X13" s="3" t="n">
        <v>11035.0</v>
      </c>
      <c r="Y13" s="3" t="n">
        <v>11002.0</v>
      </c>
      <c r="Z13" s="3" t="n">
        <v>10962.0</v>
      </c>
      <c r="AA13" s="3" t="n">
        <v>10904.0</v>
      </c>
      <c r="AB13" s="3" t="n">
        <v>10828.0</v>
      </c>
      <c r="AC13" s="3" t="n">
        <v>10712.0</v>
      </c>
      <c r="AD13" s="3" t="n">
        <v>10607.0</v>
      </c>
      <c r="AE13" s="3" t="n">
        <v>10431.0</v>
      </c>
      <c r="AF13" s="3" t="n">
        <v>10222.0</v>
      </c>
      <c r="AG13" s="3" t="n">
        <v>10009.0</v>
      </c>
      <c r="AH13" s="3" t="n">
        <v>9758.0</v>
      </c>
      <c r="AI13" s="3" t="n">
        <v>9484.0</v>
      </c>
      <c r="AJ13" s="3" t="n">
        <v>9227.0</v>
      </c>
      <c r="AK13" s="3" t="n">
        <v>8936.0</v>
      </c>
      <c r="AL13" s="3" t="n">
        <v>8642.0</v>
      </c>
      <c r="AM13" s="3" t="n">
        <v>8360.0</v>
      </c>
      <c r="AN13" s="3" t="n">
        <v>8082.0</v>
      </c>
      <c r="AO13" s="3" t="n">
        <v>7809.0</v>
      </c>
    </row>
    <row r="14" spans="1:41" x14ac:dyDescent="0.2">
      <c r="A14" s="128"/>
      <c r="B14" s="9">
        <v>5</v>
      </c>
      <c r="C14" s="3" t="n">
        <v>21254.0</v>
      </c>
      <c r="D14" s="3" t="n">
        <v>20338.0</v>
      </c>
      <c r="E14" s="3" t="n">
        <v>19420.0</v>
      </c>
      <c r="F14" s="3" t="n">
        <v>18036.0</v>
      </c>
      <c r="G14" s="3" t="n">
        <v>16765.0</v>
      </c>
      <c r="H14" s="3" t="n">
        <v>14887.0</v>
      </c>
      <c r="I14" s="3" t="n">
        <v>14271.0</v>
      </c>
      <c r="J14" s="3" t="n">
        <v>13781.0</v>
      </c>
      <c r="K14" s="3" t="n">
        <v>13337.0</v>
      </c>
      <c r="L14" s="3" t="n">
        <v>12943.0</v>
      </c>
      <c r="M14" s="3" t="n">
        <v>12573.0</v>
      </c>
      <c r="N14" s="3" t="n">
        <v>12273.0</v>
      </c>
      <c r="O14" s="3" t="n">
        <v>11996.0</v>
      </c>
      <c r="P14" s="3" t="n">
        <v>11788.0</v>
      </c>
      <c r="Q14" s="3" t="n">
        <v>11588.0</v>
      </c>
      <c r="R14" s="3" t="n">
        <v>11444.0</v>
      </c>
      <c r="S14" s="3" t="n">
        <v>11295.0</v>
      </c>
      <c r="T14" s="3" t="n">
        <v>11221.0</v>
      </c>
      <c r="U14" s="3" t="n">
        <v>11148.0</v>
      </c>
      <c r="V14" s="3" t="n">
        <v>11108.0</v>
      </c>
      <c r="W14" s="3" t="n">
        <v>11088.0</v>
      </c>
      <c r="X14" s="3" t="n">
        <v>11076.0</v>
      </c>
      <c r="Y14" s="3" t="n">
        <v>11061.0</v>
      </c>
      <c r="Z14" s="3" t="n">
        <v>11029.0</v>
      </c>
      <c r="AA14" s="3" t="n">
        <v>10989.0</v>
      </c>
      <c r="AB14" s="3" t="n">
        <v>10932.0</v>
      </c>
      <c r="AC14" s="3" t="n">
        <v>10856.0</v>
      </c>
      <c r="AD14" s="3" t="n">
        <v>10738.0</v>
      </c>
      <c r="AE14" s="3" t="n">
        <v>10633.0</v>
      </c>
      <c r="AF14" s="3" t="n">
        <v>10462.0</v>
      </c>
      <c r="AG14" s="3" t="n">
        <v>10255.0</v>
      </c>
      <c r="AH14" s="3" t="n">
        <v>10036.0</v>
      </c>
      <c r="AI14" s="3" t="n">
        <v>9788.0</v>
      </c>
      <c r="AJ14" s="3" t="n">
        <v>9513.0</v>
      </c>
      <c r="AK14" s="3" t="n">
        <v>9254.0</v>
      </c>
      <c r="AL14" s="3" t="n">
        <v>8968.0</v>
      </c>
      <c r="AM14" s="3" t="n">
        <v>8671.0</v>
      </c>
      <c r="AN14" s="3" t="n">
        <v>8385.0</v>
      </c>
      <c r="AO14" s="3" t="n">
        <v>8099.0</v>
      </c>
    </row>
    <row r="15" spans="1:41" x14ac:dyDescent="0.2">
      <c r="A15" s="128"/>
      <c r="B15" s="9">
        <v>6</v>
      </c>
      <c r="C15" s="3" t="n">
        <v>20495.0</v>
      </c>
      <c r="D15" s="3" t="n">
        <v>21262.0</v>
      </c>
      <c r="E15" s="3" t="n">
        <v>20338.0</v>
      </c>
      <c r="F15" s="3" t="n">
        <v>19420.0</v>
      </c>
      <c r="G15" s="3" t="n">
        <v>18044.0</v>
      </c>
      <c r="H15" s="3" t="n">
        <v>16821.0</v>
      </c>
      <c r="I15" s="3" t="n">
        <v>14951.0</v>
      </c>
      <c r="J15" s="3" t="n">
        <v>14314.0</v>
      </c>
      <c r="K15" s="3" t="n">
        <v>13809.0</v>
      </c>
      <c r="L15" s="3" t="n">
        <v>13363.0</v>
      </c>
      <c r="M15" s="3" t="n">
        <v>12963.0</v>
      </c>
      <c r="N15" s="3" t="n">
        <v>12592.0</v>
      </c>
      <c r="O15" s="3" t="n">
        <v>12290.0</v>
      </c>
      <c r="P15" s="3" t="n">
        <v>12012.0</v>
      </c>
      <c r="Q15" s="3" t="n">
        <v>11802.0</v>
      </c>
      <c r="R15" s="3" t="n">
        <v>11603.0</v>
      </c>
      <c r="S15" s="3" t="n">
        <v>11454.0</v>
      </c>
      <c r="T15" s="3" t="n">
        <v>11302.0</v>
      </c>
      <c r="U15" s="3" t="n">
        <v>11227.0</v>
      </c>
      <c r="V15" s="3" t="n">
        <v>11153.0</v>
      </c>
      <c r="W15" s="3" t="n">
        <v>11110.0</v>
      </c>
      <c r="X15" s="3" t="n">
        <v>11090.0</v>
      </c>
      <c r="Y15" s="3" t="n">
        <v>11078.0</v>
      </c>
      <c r="Z15" s="3" t="n">
        <v>11063.0</v>
      </c>
      <c r="AA15" s="3" t="n">
        <v>11031.0</v>
      </c>
      <c r="AB15" s="3" t="n">
        <v>10991.0</v>
      </c>
      <c r="AC15" s="3" t="n">
        <v>10934.0</v>
      </c>
      <c r="AD15" s="3" t="n">
        <v>10858.0</v>
      </c>
      <c r="AE15" s="3" t="n">
        <v>10741.0</v>
      </c>
      <c r="AF15" s="3" t="n">
        <v>10637.0</v>
      </c>
      <c r="AG15" s="3" t="n">
        <v>10470.0</v>
      </c>
      <c r="AH15" s="3" t="n">
        <v>10270.0</v>
      </c>
      <c r="AI15" s="3" t="n">
        <v>10049.0</v>
      </c>
      <c r="AJ15" s="3" t="n">
        <v>9802.0</v>
      </c>
      <c r="AK15" s="3" t="n">
        <v>9530.0</v>
      </c>
      <c r="AL15" s="3" t="n">
        <v>9275.0</v>
      </c>
      <c r="AM15" s="3" t="n">
        <v>8990.0</v>
      </c>
      <c r="AN15" s="3" t="n">
        <v>8695.0</v>
      </c>
      <c r="AO15" s="3" t="n">
        <v>8411.0</v>
      </c>
    </row>
    <row r="16" spans="1:41" x14ac:dyDescent="0.2">
      <c r="A16" s="128"/>
      <c r="B16" s="9">
        <v>7</v>
      </c>
      <c r="C16" s="3" t="n">
        <v>20035.0</v>
      </c>
      <c r="D16" s="3" t="n">
        <v>20501.0</v>
      </c>
      <c r="E16" s="3" t="n">
        <v>21269.0</v>
      </c>
      <c r="F16" s="3" t="n">
        <v>20338.0</v>
      </c>
      <c r="G16" s="3" t="n">
        <v>19426.0</v>
      </c>
      <c r="H16" s="3" t="n">
        <v>18087.0</v>
      </c>
      <c r="I16" s="3" t="n">
        <v>16884.0</v>
      </c>
      <c r="J16" s="3" t="n">
        <v>14989.0</v>
      </c>
      <c r="K16" s="3" t="n">
        <v>14341.0</v>
      </c>
      <c r="L16" s="3" t="n">
        <v>13835.0</v>
      </c>
      <c r="M16" s="3" t="n">
        <v>13386.0</v>
      </c>
      <c r="N16" s="3" t="n">
        <v>12983.0</v>
      </c>
      <c r="O16" s="3" t="n">
        <v>12609.0</v>
      </c>
      <c r="P16" s="3" t="n">
        <v>12303.0</v>
      </c>
      <c r="Q16" s="3" t="n">
        <v>12028.0</v>
      </c>
      <c r="R16" s="3" t="n">
        <v>11821.0</v>
      </c>
      <c r="S16" s="3" t="n">
        <v>11618.0</v>
      </c>
      <c r="T16" s="3" t="n">
        <v>11466.0</v>
      </c>
      <c r="U16" s="3" t="n">
        <v>11312.0</v>
      </c>
      <c r="V16" s="3" t="n">
        <v>11240.0</v>
      </c>
      <c r="W16" s="3" t="n">
        <v>11166.0</v>
      </c>
      <c r="X16" s="3" t="n">
        <v>11124.0</v>
      </c>
      <c r="Y16" s="3" t="n">
        <v>11104.0</v>
      </c>
      <c r="Z16" s="3" t="n">
        <v>11093.0</v>
      </c>
      <c r="AA16" s="3" t="n">
        <v>11077.0</v>
      </c>
      <c r="AB16" s="3" t="n">
        <v>11045.0</v>
      </c>
      <c r="AC16" s="3" t="n">
        <v>11005.0</v>
      </c>
      <c r="AD16" s="3" t="n">
        <v>10950.0</v>
      </c>
      <c r="AE16" s="3" t="n">
        <v>10875.0</v>
      </c>
      <c r="AF16" s="3" t="n">
        <v>10757.0</v>
      </c>
      <c r="AG16" s="3" t="n">
        <v>10653.0</v>
      </c>
      <c r="AH16" s="3" t="n">
        <v>10484.0</v>
      </c>
      <c r="AI16" s="3" t="n">
        <v>10285.0</v>
      </c>
      <c r="AJ16" s="3" t="n">
        <v>10064.0</v>
      </c>
      <c r="AK16" s="3" t="n">
        <v>9815.0</v>
      </c>
      <c r="AL16" s="3" t="n">
        <v>9549.0</v>
      </c>
      <c r="AM16" s="3" t="n">
        <v>9293.0</v>
      </c>
      <c r="AN16" s="3" t="n">
        <v>9006.0</v>
      </c>
      <c r="AO16" s="3" t="n">
        <v>8711.0</v>
      </c>
    </row>
    <row r="17" spans="1:41" x14ac:dyDescent="0.2">
      <c r="A17" s="128"/>
      <c r="B17" s="9">
        <v>8</v>
      </c>
      <c r="C17" s="3" t="n">
        <v>20559.0</v>
      </c>
      <c r="D17" s="3" t="n">
        <v>20036.0</v>
      </c>
      <c r="E17" s="3" t="n">
        <v>20500.0</v>
      </c>
      <c r="F17" s="3" t="n">
        <v>21267.0</v>
      </c>
      <c r="G17" s="3" t="n">
        <v>20339.0</v>
      </c>
      <c r="H17" s="3" t="n">
        <v>19471.0</v>
      </c>
      <c r="I17" s="3" t="n">
        <v>18146.0</v>
      </c>
      <c r="J17" s="3" t="n">
        <v>16921.0</v>
      </c>
      <c r="K17" s="3" t="n">
        <v>15013.0</v>
      </c>
      <c r="L17" s="3" t="n">
        <v>14363.0</v>
      </c>
      <c r="M17" s="3" t="n">
        <v>13856.0</v>
      </c>
      <c r="N17" s="3" t="n">
        <v>13404.0</v>
      </c>
      <c r="O17" s="3" t="n">
        <v>13000.0</v>
      </c>
      <c r="P17" s="3" t="n">
        <v>12622.0</v>
      </c>
      <c r="Q17" s="3" t="n">
        <v>12318.0</v>
      </c>
      <c r="R17" s="3" t="n">
        <v>12040.0</v>
      </c>
      <c r="S17" s="3" t="n">
        <v>11831.0</v>
      </c>
      <c r="T17" s="3" t="n">
        <v>11631.0</v>
      </c>
      <c r="U17" s="3" t="n">
        <v>11479.0</v>
      </c>
      <c r="V17" s="3" t="n">
        <v>11319.0</v>
      </c>
      <c r="W17" s="3" t="n">
        <v>11246.0</v>
      </c>
      <c r="X17" s="3" t="n">
        <v>11170.0</v>
      </c>
      <c r="Y17" s="3" t="n">
        <v>11126.0</v>
      </c>
      <c r="Z17" s="3" t="n">
        <v>11106.0</v>
      </c>
      <c r="AA17" s="3" t="n">
        <v>11094.0</v>
      </c>
      <c r="AB17" s="3" t="n">
        <v>11079.0</v>
      </c>
      <c r="AC17" s="3" t="n">
        <v>11047.0</v>
      </c>
      <c r="AD17" s="3" t="n">
        <v>11006.0</v>
      </c>
      <c r="AE17" s="3" t="n">
        <v>10950.0</v>
      </c>
      <c r="AF17" s="3" t="n">
        <v>10880.0</v>
      </c>
      <c r="AG17" s="3" t="n">
        <v>10766.0</v>
      </c>
      <c r="AH17" s="3" t="n">
        <v>10661.0</v>
      </c>
      <c r="AI17" s="3" t="n">
        <v>10493.0</v>
      </c>
      <c r="AJ17" s="3" t="n">
        <v>10294.0</v>
      </c>
      <c r="AK17" s="3" t="n">
        <v>10079.0</v>
      </c>
      <c r="AL17" s="3" t="n">
        <v>9828.0</v>
      </c>
      <c r="AM17" s="3" t="n">
        <v>9561.0</v>
      </c>
      <c r="AN17" s="3" t="n">
        <v>9307.0</v>
      </c>
      <c r="AO17" s="3" t="n">
        <v>9015.0</v>
      </c>
    </row>
    <row r="18" spans="1:41" x14ac:dyDescent="0.2">
      <c r="A18" s="128"/>
      <c r="B18" s="9">
        <v>9</v>
      </c>
      <c r="C18" s="3" t="n">
        <v>20496.0</v>
      </c>
      <c r="D18" s="3" t="n">
        <v>20544.0</v>
      </c>
      <c r="E18" s="3" t="n">
        <v>20023.0</v>
      </c>
      <c r="F18" s="3" t="n">
        <v>20487.0</v>
      </c>
      <c r="G18" s="3" t="n">
        <v>21251.0</v>
      </c>
      <c r="H18" s="3" t="n">
        <v>20369.0</v>
      </c>
      <c r="I18" s="3" t="n">
        <v>19514.0</v>
      </c>
      <c r="J18" s="3" t="n">
        <v>18160.0</v>
      </c>
      <c r="K18" s="3" t="n">
        <v>16926.0</v>
      </c>
      <c r="L18" s="3" t="n">
        <v>15018.0</v>
      </c>
      <c r="M18" s="3" t="n">
        <v>14368.0</v>
      </c>
      <c r="N18" s="3" t="n">
        <v>13862.0</v>
      </c>
      <c r="O18" s="3" t="n">
        <v>13406.0</v>
      </c>
      <c r="P18" s="3" t="n">
        <v>13008.0</v>
      </c>
      <c r="Q18" s="3" t="n">
        <v>12629.0</v>
      </c>
      <c r="R18" s="3" t="n">
        <v>12317.0</v>
      </c>
      <c r="S18" s="3" t="n">
        <v>12039.0</v>
      </c>
      <c r="T18" s="3" t="n">
        <v>11829.0</v>
      </c>
      <c r="U18" s="3" t="n">
        <v>11626.0</v>
      </c>
      <c r="V18" s="3" t="n">
        <v>11475.0</v>
      </c>
      <c r="W18" s="3" t="n">
        <v>11313.0</v>
      </c>
      <c r="X18" s="3" t="n">
        <v>11243.0</v>
      </c>
      <c r="Y18" s="3" t="n">
        <v>11168.0</v>
      </c>
      <c r="Z18" s="3" t="n">
        <v>11123.0</v>
      </c>
      <c r="AA18" s="3" t="n">
        <v>11102.0</v>
      </c>
      <c r="AB18" s="3" t="n">
        <v>11091.0</v>
      </c>
      <c r="AC18" s="3" t="n">
        <v>11076.0</v>
      </c>
      <c r="AD18" s="3" t="n">
        <v>11045.0</v>
      </c>
      <c r="AE18" s="3" t="n">
        <v>11005.0</v>
      </c>
      <c r="AF18" s="3" t="n">
        <v>10950.0</v>
      </c>
      <c r="AG18" s="3" t="n">
        <v>10879.0</v>
      </c>
      <c r="AH18" s="3" t="n">
        <v>10766.0</v>
      </c>
      <c r="AI18" s="3" t="n">
        <v>10662.0</v>
      </c>
      <c r="AJ18" s="3" t="n">
        <v>10497.0</v>
      </c>
      <c r="AK18" s="3" t="n">
        <v>10297.0</v>
      </c>
      <c r="AL18" s="3" t="n">
        <v>10080.0</v>
      </c>
      <c r="AM18" s="3" t="n">
        <v>9832.0</v>
      </c>
      <c r="AN18" s="3" t="n">
        <v>9566.0</v>
      </c>
      <c r="AO18" s="3" t="n">
        <v>9314.0</v>
      </c>
    </row>
    <row r="19" spans="1:41" x14ac:dyDescent="0.2">
      <c r="A19" s="128"/>
      <c r="B19" s="9">
        <v>10</v>
      </c>
      <c r="C19" s="3" t="n">
        <v>21483.0</v>
      </c>
      <c r="D19" s="3" t="n">
        <v>20490.0</v>
      </c>
      <c r="E19" s="3" t="n">
        <v>20542.0</v>
      </c>
      <c r="F19" s="3" t="n">
        <v>20023.0</v>
      </c>
      <c r="G19" s="3" t="n">
        <v>20486.0</v>
      </c>
      <c r="H19" s="3" t="n">
        <v>21291.0</v>
      </c>
      <c r="I19" s="3" t="n">
        <v>20430.0</v>
      </c>
      <c r="J19" s="3" t="n">
        <v>19537.0</v>
      </c>
      <c r="K19" s="3" t="n">
        <v>18176.0</v>
      </c>
      <c r="L19" s="3" t="n">
        <v>16930.0</v>
      </c>
      <c r="M19" s="3" t="n">
        <v>15021.0</v>
      </c>
      <c r="N19" s="3" t="n">
        <v>14372.0</v>
      </c>
      <c r="O19" s="3" t="n">
        <v>13865.0</v>
      </c>
      <c r="P19" s="3" t="n">
        <v>13413.0</v>
      </c>
      <c r="Q19" s="3" t="n">
        <v>13012.0</v>
      </c>
      <c r="R19" s="3" t="n">
        <v>12635.0</v>
      </c>
      <c r="S19" s="3" t="n">
        <v>12318.0</v>
      </c>
      <c r="T19" s="3" t="n">
        <v>12042.0</v>
      </c>
      <c r="U19" s="3" t="n">
        <v>11832.0</v>
      </c>
      <c r="V19" s="3" t="n">
        <v>11627.0</v>
      </c>
      <c r="W19" s="3" t="n">
        <v>11476.0</v>
      </c>
      <c r="X19" s="3" t="n">
        <v>11314.0</v>
      </c>
      <c r="Y19" s="3" t="n">
        <v>11239.0</v>
      </c>
      <c r="Z19" s="3" t="n">
        <v>11167.0</v>
      </c>
      <c r="AA19" s="3" t="n">
        <v>11120.0</v>
      </c>
      <c r="AB19" s="3" t="n">
        <v>11099.0</v>
      </c>
      <c r="AC19" s="3" t="n">
        <v>11087.0</v>
      </c>
      <c r="AD19" s="3" t="n">
        <v>11072.0</v>
      </c>
      <c r="AE19" s="3" t="n">
        <v>11039.0</v>
      </c>
      <c r="AF19" s="3" t="n">
        <v>11001.0</v>
      </c>
      <c r="AG19" s="3" t="n">
        <v>10946.0</v>
      </c>
      <c r="AH19" s="3" t="n">
        <v>10876.0</v>
      </c>
      <c r="AI19" s="3" t="n">
        <v>10762.0</v>
      </c>
      <c r="AJ19" s="3" t="n">
        <v>10661.0</v>
      </c>
      <c r="AK19" s="3" t="n">
        <v>10497.0</v>
      </c>
      <c r="AL19" s="3" t="n">
        <v>10296.0</v>
      </c>
      <c r="AM19" s="3" t="n">
        <v>10083.0</v>
      </c>
      <c r="AN19" s="3" t="n">
        <v>9836.0</v>
      </c>
      <c r="AO19" s="3" t="n">
        <v>9567.0</v>
      </c>
    </row>
    <row r="20" spans="1:41" x14ac:dyDescent="0.2">
      <c r="A20" s="128"/>
      <c r="B20" s="9">
        <v>11</v>
      </c>
      <c r="C20" s="3" t="n">
        <v>21446.0</v>
      </c>
      <c r="D20" s="3" t="n">
        <v>21470.0</v>
      </c>
      <c r="E20" s="3" t="n">
        <v>20480.0</v>
      </c>
      <c r="F20" s="3" t="n">
        <v>20534.0</v>
      </c>
      <c r="G20" s="3" t="n">
        <v>20021.0</v>
      </c>
      <c r="H20" s="3" t="n">
        <v>20524.0</v>
      </c>
      <c r="I20" s="3" t="n">
        <v>21339.0</v>
      </c>
      <c r="J20" s="3" t="n">
        <v>20447.0</v>
      </c>
      <c r="K20" s="3" t="n">
        <v>19545.0</v>
      </c>
      <c r="L20" s="3" t="n">
        <v>18189.0</v>
      </c>
      <c r="M20" s="3" t="n">
        <v>16933.0</v>
      </c>
      <c r="N20" s="3" t="n">
        <v>15030.0</v>
      </c>
      <c r="O20" s="3" t="n">
        <v>14383.0</v>
      </c>
      <c r="P20" s="3" t="n">
        <v>13872.0</v>
      </c>
      <c r="Q20" s="3" t="n">
        <v>13423.0</v>
      </c>
      <c r="R20" s="3" t="n">
        <v>13025.0</v>
      </c>
      <c r="S20" s="3" t="n">
        <v>12647.0</v>
      </c>
      <c r="T20" s="3" t="n">
        <v>12328.0</v>
      </c>
      <c r="U20" s="3" t="n">
        <v>12055.0</v>
      </c>
      <c r="V20" s="3" t="n">
        <v>11846.0</v>
      </c>
      <c r="W20" s="3" t="n">
        <v>11641.0</v>
      </c>
      <c r="X20" s="3" t="n">
        <v>11490.0</v>
      </c>
      <c r="Y20" s="3" t="n">
        <v>11328.0</v>
      </c>
      <c r="Z20" s="3" t="n">
        <v>11250.0</v>
      </c>
      <c r="AA20" s="3" t="n">
        <v>11177.0</v>
      </c>
      <c r="AB20" s="3" t="n">
        <v>11132.0</v>
      </c>
      <c r="AC20" s="3" t="n">
        <v>11110.0</v>
      </c>
      <c r="AD20" s="3" t="n">
        <v>11098.0</v>
      </c>
      <c r="AE20" s="3" t="n">
        <v>11083.0</v>
      </c>
      <c r="AF20" s="3" t="n">
        <v>11049.0</v>
      </c>
      <c r="AG20" s="3" t="n">
        <v>11013.0</v>
      </c>
      <c r="AH20" s="3" t="n">
        <v>10959.0</v>
      </c>
      <c r="AI20" s="3" t="n">
        <v>10890.0</v>
      </c>
      <c r="AJ20" s="3" t="n">
        <v>10777.0</v>
      </c>
      <c r="AK20" s="3" t="n">
        <v>10676.0</v>
      </c>
      <c r="AL20" s="3" t="n">
        <v>10513.0</v>
      </c>
      <c r="AM20" s="3" t="n">
        <v>10317.0</v>
      </c>
      <c r="AN20" s="3" t="n">
        <v>10101.0</v>
      </c>
      <c r="AO20" s="3" t="n">
        <v>9852.0</v>
      </c>
    </row>
    <row r="21" spans="1:41" x14ac:dyDescent="0.2">
      <c r="A21" s="128"/>
      <c r="B21" s="9">
        <v>12</v>
      </c>
      <c r="C21" s="3" t="n">
        <v>23067.0</v>
      </c>
      <c r="D21" s="3" t="n">
        <v>21442.0</v>
      </c>
      <c r="E21" s="3" t="n">
        <v>21461.0</v>
      </c>
      <c r="F21" s="3" t="n">
        <v>20482.0</v>
      </c>
      <c r="G21" s="3" t="n">
        <v>20533.0</v>
      </c>
      <c r="H21" s="3" t="n">
        <v>20061.0</v>
      </c>
      <c r="I21" s="3" t="n">
        <v>20574.0</v>
      </c>
      <c r="J21" s="3" t="n">
        <v>21364.0</v>
      </c>
      <c r="K21" s="3" t="n">
        <v>20455.0</v>
      </c>
      <c r="L21" s="3" t="n">
        <v>19549.0</v>
      </c>
      <c r="M21" s="3" t="n">
        <v>18190.0</v>
      </c>
      <c r="N21" s="3" t="n">
        <v>16940.0</v>
      </c>
      <c r="O21" s="3" t="n">
        <v>15042.0</v>
      </c>
      <c r="P21" s="3" t="n">
        <v>14394.0</v>
      </c>
      <c r="Q21" s="3" t="n">
        <v>13887.0</v>
      </c>
      <c r="R21" s="3" t="n">
        <v>13437.0</v>
      </c>
      <c r="S21" s="3" t="n">
        <v>13035.0</v>
      </c>
      <c r="T21" s="3" t="n">
        <v>12661.0</v>
      </c>
      <c r="U21" s="3" t="n">
        <v>12339.0</v>
      </c>
      <c r="V21" s="3" t="n">
        <v>12065.0</v>
      </c>
      <c r="W21" s="3" t="n">
        <v>11855.0</v>
      </c>
      <c r="X21" s="3" t="n">
        <v>11652.0</v>
      </c>
      <c r="Y21" s="3" t="n">
        <v>11497.0</v>
      </c>
      <c r="Z21" s="3" t="n">
        <v>11330.0</v>
      </c>
      <c r="AA21" s="3" t="n">
        <v>11252.0</v>
      </c>
      <c r="AB21" s="3" t="n">
        <v>11179.0</v>
      </c>
      <c r="AC21" s="3" t="n">
        <v>11134.0</v>
      </c>
      <c r="AD21" s="3" t="n">
        <v>11112.0</v>
      </c>
      <c r="AE21" s="3" t="n">
        <v>11100.0</v>
      </c>
      <c r="AF21" s="3" t="n">
        <v>11084.0</v>
      </c>
      <c r="AG21" s="3" t="n">
        <v>11050.0</v>
      </c>
      <c r="AH21" s="3" t="n">
        <v>11013.0</v>
      </c>
      <c r="AI21" s="3" t="n">
        <v>10961.0</v>
      </c>
      <c r="AJ21" s="3" t="n">
        <v>10892.0</v>
      </c>
      <c r="AK21" s="3" t="n">
        <v>10778.0</v>
      </c>
      <c r="AL21" s="3" t="n">
        <v>10677.0</v>
      </c>
      <c r="AM21" s="3" t="n">
        <v>10515.0</v>
      </c>
      <c r="AN21" s="3" t="n">
        <v>10320.0</v>
      </c>
      <c r="AO21" s="3" t="n">
        <v>10106.0</v>
      </c>
    </row>
    <row r="22" spans="1:41" x14ac:dyDescent="0.2">
      <c r="A22" s="128"/>
      <c r="B22" s="9">
        <v>13</v>
      </c>
      <c r="C22" s="3" t="n">
        <v>23604.0</v>
      </c>
      <c r="D22" s="3" t="n">
        <v>23071.0</v>
      </c>
      <c r="E22" s="3" t="n">
        <v>21449.0</v>
      </c>
      <c r="F22" s="3" t="n">
        <v>21466.0</v>
      </c>
      <c r="G22" s="3" t="n">
        <v>20486.0</v>
      </c>
      <c r="H22" s="3" t="n">
        <v>20578.0</v>
      </c>
      <c r="I22" s="3" t="n">
        <v>20126.0</v>
      </c>
      <c r="J22" s="3" t="n">
        <v>20606.0</v>
      </c>
      <c r="K22" s="3" t="n">
        <v>21383.0</v>
      </c>
      <c r="L22" s="3" t="n">
        <v>20463.0</v>
      </c>
      <c r="M22" s="3" t="n">
        <v>19559.0</v>
      </c>
      <c r="N22" s="3" t="n">
        <v>18201.0</v>
      </c>
      <c r="O22" s="3" t="n">
        <v>16955.0</v>
      </c>
      <c r="P22" s="3" t="n">
        <v>15059.0</v>
      </c>
      <c r="Q22" s="3" t="n">
        <v>14406.0</v>
      </c>
      <c r="R22" s="3" t="n">
        <v>13902.0</v>
      </c>
      <c r="S22" s="3" t="n">
        <v>13449.0</v>
      </c>
      <c r="T22" s="3" t="n">
        <v>13049.0</v>
      </c>
      <c r="U22" s="3" t="n">
        <v>12672.0</v>
      </c>
      <c r="V22" s="3" t="n">
        <v>12351.0</v>
      </c>
      <c r="W22" s="3" t="n">
        <v>12074.0</v>
      </c>
      <c r="X22" s="3" t="n">
        <v>11864.0</v>
      </c>
      <c r="Y22" s="3" t="n">
        <v>11662.0</v>
      </c>
      <c r="Z22" s="3" t="n">
        <v>11505.0</v>
      </c>
      <c r="AA22" s="3" t="n">
        <v>11335.0</v>
      </c>
      <c r="AB22" s="3" t="n">
        <v>11260.0</v>
      </c>
      <c r="AC22" s="3" t="n">
        <v>11186.0</v>
      </c>
      <c r="AD22" s="3" t="n">
        <v>11140.0</v>
      </c>
      <c r="AE22" s="3" t="n">
        <v>11118.0</v>
      </c>
      <c r="AF22" s="3" t="n">
        <v>11106.0</v>
      </c>
      <c r="AG22" s="3" t="n">
        <v>11092.0</v>
      </c>
      <c r="AH22" s="3" t="n">
        <v>11057.0</v>
      </c>
      <c r="AI22" s="3" t="n">
        <v>11020.0</v>
      </c>
      <c r="AJ22" s="3" t="n">
        <v>10969.0</v>
      </c>
      <c r="AK22" s="3" t="n">
        <v>10899.0</v>
      </c>
      <c r="AL22" s="3" t="n">
        <v>10785.0</v>
      </c>
      <c r="AM22" s="3" t="n">
        <v>10684.0</v>
      </c>
      <c r="AN22" s="3" t="n">
        <v>10524.0</v>
      </c>
      <c r="AO22" s="3" t="n">
        <v>10330.0</v>
      </c>
    </row>
    <row r="23" spans="1:41" x14ac:dyDescent="0.2">
      <c r="A23" s="128"/>
      <c r="B23" s="9">
        <v>14</v>
      </c>
      <c r="C23" s="3" t="n">
        <v>23425.0</v>
      </c>
      <c r="D23" s="3" t="n">
        <v>23600.0</v>
      </c>
      <c r="E23" s="3" t="n">
        <v>23067.0</v>
      </c>
      <c r="F23" s="3" t="n">
        <v>21451.0</v>
      </c>
      <c r="G23" s="3" t="n">
        <v>21464.0</v>
      </c>
      <c r="H23" s="3" t="n">
        <v>20525.0</v>
      </c>
      <c r="I23" s="3" t="n">
        <v>20636.0</v>
      </c>
      <c r="J23" s="3" t="n">
        <v>20151.0</v>
      </c>
      <c r="K23" s="3" t="n">
        <v>20627.0</v>
      </c>
      <c r="L23" s="3" t="n">
        <v>21396.0</v>
      </c>
      <c r="M23" s="3" t="n">
        <v>20462.0</v>
      </c>
      <c r="N23" s="3" t="n">
        <v>19559.0</v>
      </c>
      <c r="O23" s="3" t="n">
        <v>18201.0</v>
      </c>
      <c r="P23" s="3" t="n">
        <v>16957.0</v>
      </c>
      <c r="Q23" s="3" t="n">
        <v>15068.0</v>
      </c>
      <c r="R23" s="3" t="n">
        <v>14415.0</v>
      </c>
      <c r="S23" s="3" t="n">
        <v>13910.0</v>
      </c>
      <c r="T23" s="3" t="n">
        <v>13458.0</v>
      </c>
      <c r="U23" s="3" t="n">
        <v>13056.0</v>
      </c>
      <c r="V23" s="3" t="n">
        <v>12680.0</v>
      </c>
      <c r="W23" s="3" t="n">
        <v>12358.0</v>
      </c>
      <c r="X23" s="3" t="n">
        <v>12078.0</v>
      </c>
      <c r="Y23" s="3" t="n">
        <v>11864.0</v>
      </c>
      <c r="Z23" s="3" t="n">
        <v>11661.0</v>
      </c>
      <c r="AA23" s="3" t="n">
        <v>11501.0</v>
      </c>
      <c r="AB23" s="3" t="n">
        <v>11330.0</v>
      </c>
      <c r="AC23" s="3" t="n">
        <v>11255.0</v>
      </c>
      <c r="AD23" s="3" t="n">
        <v>11181.0</v>
      </c>
      <c r="AE23" s="3" t="n">
        <v>11138.0</v>
      </c>
      <c r="AF23" s="3" t="n">
        <v>11116.0</v>
      </c>
      <c r="AG23" s="3" t="n">
        <v>11103.0</v>
      </c>
      <c r="AH23" s="3" t="n">
        <v>11089.0</v>
      </c>
      <c r="AI23" s="3" t="n">
        <v>11054.0</v>
      </c>
      <c r="AJ23" s="3" t="n">
        <v>11018.0</v>
      </c>
      <c r="AK23" s="3" t="n">
        <v>10967.0</v>
      </c>
      <c r="AL23" s="3" t="n">
        <v>10897.0</v>
      </c>
      <c r="AM23" s="3" t="n">
        <v>10784.0</v>
      </c>
      <c r="AN23" s="3" t="n">
        <v>10681.0</v>
      </c>
      <c r="AO23" s="3" t="n">
        <v>10522.0</v>
      </c>
    </row>
    <row r="24" spans="1:41" x14ac:dyDescent="0.2">
      <c r="A24" s="128"/>
      <c r="B24" s="9">
        <v>15</v>
      </c>
      <c r="C24" s="3" t="n">
        <v>21748.0</v>
      </c>
      <c r="D24" s="3" t="n">
        <v>23422.0</v>
      </c>
      <c r="E24" s="3" t="n">
        <v>23593.0</v>
      </c>
      <c r="F24" s="3" t="n">
        <v>23072.0</v>
      </c>
      <c r="G24" s="3" t="n">
        <v>21457.0</v>
      </c>
      <c r="H24" s="3" t="n">
        <v>21506.0</v>
      </c>
      <c r="I24" s="3" t="n">
        <v>20578.0</v>
      </c>
      <c r="J24" s="3" t="n">
        <v>20664.0</v>
      </c>
      <c r="K24" s="3" t="n">
        <v>20172.0</v>
      </c>
      <c r="L24" s="3" t="n">
        <v>20642.0</v>
      </c>
      <c r="M24" s="3" t="n">
        <v>21407.0</v>
      </c>
      <c r="N24" s="3" t="n">
        <v>20465.0</v>
      </c>
      <c r="O24" s="3" t="n">
        <v>19562.0</v>
      </c>
      <c r="P24" s="3" t="n">
        <v>18203.0</v>
      </c>
      <c r="Q24" s="3" t="n">
        <v>16965.0</v>
      </c>
      <c r="R24" s="3" t="n">
        <v>15078.0</v>
      </c>
      <c r="S24" s="3" t="n">
        <v>14428.0</v>
      </c>
      <c r="T24" s="3" t="n">
        <v>13922.0</v>
      </c>
      <c r="U24" s="3" t="n">
        <v>13468.0</v>
      </c>
      <c r="V24" s="3" t="n">
        <v>13066.0</v>
      </c>
      <c r="W24" s="3" t="n">
        <v>12692.0</v>
      </c>
      <c r="X24" s="3" t="n">
        <v>12369.0</v>
      </c>
      <c r="Y24" s="3" t="n">
        <v>12085.0</v>
      </c>
      <c r="Z24" s="3" t="n">
        <v>11866.0</v>
      </c>
      <c r="AA24" s="3" t="n">
        <v>11665.0</v>
      </c>
      <c r="AB24" s="3" t="n">
        <v>11500.0</v>
      </c>
      <c r="AC24" s="3" t="n">
        <v>11329.0</v>
      </c>
      <c r="AD24" s="3" t="n">
        <v>11253.0</v>
      </c>
      <c r="AE24" s="3" t="n">
        <v>11177.0</v>
      </c>
      <c r="AF24" s="3" t="n">
        <v>11134.0</v>
      </c>
      <c r="AG24" s="3" t="n">
        <v>11112.0</v>
      </c>
      <c r="AH24" s="3" t="n">
        <v>11099.0</v>
      </c>
      <c r="AI24" s="3" t="n">
        <v>11085.0</v>
      </c>
      <c r="AJ24" s="3" t="n">
        <v>11052.0</v>
      </c>
      <c r="AK24" s="3" t="n">
        <v>11017.0</v>
      </c>
      <c r="AL24" s="3" t="n">
        <v>10966.0</v>
      </c>
      <c r="AM24" s="3" t="n">
        <v>10894.0</v>
      </c>
      <c r="AN24" s="3" t="n">
        <v>10783.0</v>
      </c>
      <c r="AO24" s="3" t="n">
        <v>10683.0</v>
      </c>
    </row>
    <row r="25" spans="1:41" x14ac:dyDescent="0.2">
      <c r="A25" s="128"/>
      <c r="B25" s="9">
        <v>16</v>
      </c>
      <c r="C25" s="3" t="n">
        <v>20591.0</v>
      </c>
      <c r="D25" s="3" t="n">
        <v>21743.0</v>
      </c>
      <c r="E25" s="3" t="n">
        <v>23422.0</v>
      </c>
      <c r="F25" s="3" t="n">
        <v>23590.0</v>
      </c>
      <c r="G25" s="3" t="n">
        <v>23071.0</v>
      </c>
      <c r="H25" s="3" t="n">
        <v>21484.0</v>
      </c>
      <c r="I25" s="3" t="n">
        <v>21541.0</v>
      </c>
      <c r="J25" s="3" t="n">
        <v>20592.0</v>
      </c>
      <c r="K25" s="3" t="n">
        <v>20670.0</v>
      </c>
      <c r="L25" s="3" t="n">
        <v>20183.0</v>
      </c>
      <c r="M25" s="3" t="n">
        <v>20647.0</v>
      </c>
      <c r="N25" s="3" t="n">
        <v>21408.0</v>
      </c>
      <c r="O25" s="3" t="n">
        <v>20470.0</v>
      </c>
      <c r="P25" s="3" t="n">
        <v>19562.0</v>
      </c>
      <c r="Q25" s="3" t="n">
        <v>18203.0</v>
      </c>
      <c r="R25" s="3" t="n">
        <v>16961.0</v>
      </c>
      <c r="S25" s="3" t="n">
        <v>15086.0</v>
      </c>
      <c r="T25" s="3" t="n">
        <v>14437.0</v>
      </c>
      <c r="U25" s="3" t="n">
        <v>13931.0</v>
      </c>
      <c r="V25" s="3" t="n">
        <v>13478.0</v>
      </c>
      <c r="W25" s="3" t="n">
        <v>13077.0</v>
      </c>
      <c r="X25" s="3" t="n">
        <v>12702.0</v>
      </c>
      <c r="Y25" s="3" t="n">
        <v>12381.0</v>
      </c>
      <c r="Z25" s="3" t="n">
        <v>12102.0</v>
      </c>
      <c r="AA25" s="3" t="n">
        <v>11882.0</v>
      </c>
      <c r="AB25" s="3" t="n">
        <v>11682.0</v>
      </c>
      <c r="AC25" s="3" t="n">
        <v>11514.0</v>
      </c>
      <c r="AD25" s="3" t="n">
        <v>11344.0</v>
      </c>
      <c r="AE25" s="3" t="n">
        <v>11268.0</v>
      </c>
      <c r="AF25" s="3" t="n">
        <v>11189.0</v>
      </c>
      <c r="AG25" s="3" t="n">
        <v>11145.0</v>
      </c>
      <c r="AH25" s="3" t="n">
        <v>11122.0</v>
      </c>
      <c r="AI25" s="3" t="n">
        <v>11108.0</v>
      </c>
      <c r="AJ25" s="3" t="n">
        <v>11094.0</v>
      </c>
      <c r="AK25" s="3" t="n">
        <v>11061.0</v>
      </c>
      <c r="AL25" s="3" t="n">
        <v>11026.0</v>
      </c>
      <c r="AM25" s="3" t="n">
        <v>10975.0</v>
      </c>
      <c r="AN25" s="3" t="n">
        <v>10903.0</v>
      </c>
      <c r="AO25" s="3" t="n">
        <v>10794.0</v>
      </c>
    </row>
    <row r="26" spans="1:41" x14ac:dyDescent="0.2">
      <c r="A26" s="128"/>
      <c r="B26" s="9">
        <v>17</v>
      </c>
      <c r="C26" s="3" t="n">
        <v>19578.0</v>
      </c>
      <c r="D26" s="3" t="n">
        <v>20588.0</v>
      </c>
      <c r="E26" s="3" t="n">
        <v>21737.0</v>
      </c>
      <c r="F26" s="3" t="n">
        <v>23412.0</v>
      </c>
      <c r="G26" s="3" t="n">
        <v>23580.0</v>
      </c>
      <c r="H26" s="3" t="n">
        <v>23094.0</v>
      </c>
      <c r="I26" s="3" t="n">
        <v>21520.0</v>
      </c>
      <c r="J26" s="3" t="n">
        <v>21550.0</v>
      </c>
      <c r="K26" s="3" t="n">
        <v>20594.0</v>
      </c>
      <c r="L26" s="3" t="n">
        <v>20668.0</v>
      </c>
      <c r="M26" s="3" t="n">
        <v>20181.0</v>
      </c>
      <c r="N26" s="3" t="n">
        <v>20640.0</v>
      </c>
      <c r="O26" s="3" t="n">
        <v>21401.0</v>
      </c>
      <c r="P26" s="3" t="n">
        <v>20467.0</v>
      </c>
      <c r="Q26" s="3" t="n">
        <v>19558.0</v>
      </c>
      <c r="R26" s="3" t="n">
        <v>18199.0</v>
      </c>
      <c r="S26" s="3" t="n">
        <v>16959.0</v>
      </c>
      <c r="T26" s="3" t="n">
        <v>15089.0</v>
      </c>
      <c r="U26" s="3" t="n">
        <v>14440.0</v>
      </c>
      <c r="V26" s="3" t="n">
        <v>13933.0</v>
      </c>
      <c r="W26" s="3" t="n">
        <v>13482.0</v>
      </c>
      <c r="X26" s="3" t="n">
        <v>13081.0</v>
      </c>
      <c r="Y26" s="3" t="n">
        <v>12705.0</v>
      </c>
      <c r="Z26" s="3" t="n">
        <v>12382.0</v>
      </c>
      <c r="AA26" s="3" t="n">
        <v>12102.0</v>
      </c>
      <c r="AB26" s="3" t="n">
        <v>11881.0</v>
      </c>
      <c r="AC26" s="3" t="n">
        <v>11678.0</v>
      </c>
      <c r="AD26" s="3" t="n">
        <v>11511.0</v>
      </c>
      <c r="AE26" s="3" t="n">
        <v>11339.0</v>
      </c>
      <c r="AF26" s="3" t="n">
        <v>11264.0</v>
      </c>
      <c r="AG26" s="3" t="n">
        <v>11185.0</v>
      </c>
      <c r="AH26" s="3" t="n">
        <v>11142.0</v>
      </c>
      <c r="AI26" s="3" t="n">
        <v>11120.0</v>
      </c>
      <c r="AJ26" s="3" t="n">
        <v>11105.0</v>
      </c>
      <c r="AK26" s="3" t="n">
        <v>11090.0</v>
      </c>
      <c r="AL26" s="3" t="n">
        <v>11056.0</v>
      </c>
      <c r="AM26" s="3" t="n">
        <v>11021.0</v>
      </c>
      <c r="AN26" s="3" t="n">
        <v>10970.0</v>
      </c>
      <c r="AO26" s="3" t="n">
        <v>10898.0</v>
      </c>
    </row>
    <row r="27" spans="1:41" x14ac:dyDescent="0.2">
      <c r="A27" s="128"/>
      <c r="B27" s="9">
        <v>18</v>
      </c>
      <c r="C27" s="3" t="n">
        <v>19081.0</v>
      </c>
      <c r="D27" s="3" t="n">
        <v>19560.0</v>
      </c>
      <c r="E27" s="3" t="n">
        <v>20572.0</v>
      </c>
      <c r="F27" s="3" t="n">
        <v>21718.0</v>
      </c>
      <c r="G27" s="3" t="n">
        <v>23392.0</v>
      </c>
      <c r="H27" s="3" t="n">
        <v>23579.0</v>
      </c>
      <c r="I27" s="3" t="n">
        <v>23105.0</v>
      </c>
      <c r="J27" s="3" t="n">
        <v>21513.0</v>
      </c>
      <c r="K27" s="3" t="n">
        <v>21538.0</v>
      </c>
      <c r="L27" s="3" t="n">
        <v>20583.0</v>
      </c>
      <c r="M27" s="3" t="n">
        <v>20658.0</v>
      </c>
      <c r="N27" s="3" t="n">
        <v>20171.0</v>
      </c>
      <c r="O27" s="3" t="n">
        <v>20627.0</v>
      </c>
      <c r="P27" s="3" t="n">
        <v>21387.0</v>
      </c>
      <c r="Q27" s="3" t="n">
        <v>20452.0</v>
      </c>
      <c r="R27" s="3" t="n">
        <v>19546.0</v>
      </c>
      <c r="S27" s="3" t="n">
        <v>18188.0</v>
      </c>
      <c r="T27" s="3" t="n">
        <v>16948.0</v>
      </c>
      <c r="U27" s="3" t="n">
        <v>15078.0</v>
      </c>
      <c r="V27" s="3" t="n">
        <v>14432.0</v>
      </c>
      <c r="W27" s="3" t="n">
        <v>13924.0</v>
      </c>
      <c r="X27" s="3" t="n">
        <v>13475.0</v>
      </c>
      <c r="Y27" s="3" t="n">
        <v>13071.0</v>
      </c>
      <c r="Z27" s="3" t="n">
        <v>12695.0</v>
      </c>
      <c r="AA27" s="3" t="n">
        <v>12374.0</v>
      </c>
      <c r="AB27" s="3" t="n">
        <v>12091.0</v>
      </c>
      <c r="AC27" s="3" t="n">
        <v>11870.0</v>
      </c>
      <c r="AD27" s="3" t="n">
        <v>11667.0</v>
      </c>
      <c r="AE27" s="3" t="n">
        <v>11501.0</v>
      </c>
      <c r="AF27" s="3" t="n">
        <v>11331.0</v>
      </c>
      <c r="AG27" s="3" t="n">
        <v>11256.0</v>
      </c>
      <c r="AH27" s="3" t="n">
        <v>11176.0</v>
      </c>
      <c r="AI27" s="3" t="n">
        <v>11134.0</v>
      </c>
      <c r="AJ27" s="3" t="n">
        <v>11112.0</v>
      </c>
      <c r="AK27" s="3" t="n">
        <v>11098.0</v>
      </c>
      <c r="AL27" s="3" t="n">
        <v>11082.0</v>
      </c>
      <c r="AM27" s="3" t="n">
        <v>11048.0</v>
      </c>
      <c r="AN27" s="3" t="n">
        <v>11013.0</v>
      </c>
      <c r="AO27" s="3" t="n">
        <v>10962.0</v>
      </c>
    </row>
    <row r="28" spans="1:41" x14ac:dyDescent="0.2">
      <c r="A28" s="128"/>
      <c r="B28" s="9">
        <v>19</v>
      </c>
      <c r="C28" s="3" t="n">
        <v>18874.0</v>
      </c>
      <c r="D28" s="3" t="n">
        <v>19036.0</v>
      </c>
      <c r="E28" s="3" t="n">
        <v>19513.0</v>
      </c>
      <c r="F28" s="3" t="n">
        <v>20516.0</v>
      </c>
      <c r="G28" s="3" t="n">
        <v>21664.0</v>
      </c>
      <c r="H28" s="3" t="n">
        <v>23359.0</v>
      </c>
      <c r="I28" s="3" t="n">
        <v>23553.0</v>
      </c>
      <c r="J28" s="3" t="n">
        <v>23063.0</v>
      </c>
      <c r="K28" s="3" t="n">
        <v>21465.0</v>
      </c>
      <c r="L28" s="3" t="n">
        <v>21487.0</v>
      </c>
      <c r="M28" s="3" t="n">
        <v>20530.0</v>
      </c>
      <c r="N28" s="3" t="n">
        <v>20607.0</v>
      </c>
      <c r="O28" s="3" t="n">
        <v>20121.0</v>
      </c>
      <c r="P28" s="3" t="n">
        <v>20574.0</v>
      </c>
      <c r="Q28" s="3" t="n">
        <v>21332.0</v>
      </c>
      <c r="R28" s="3" t="n">
        <v>20399.0</v>
      </c>
      <c r="S28" s="3" t="n">
        <v>19493.0</v>
      </c>
      <c r="T28" s="3" t="n">
        <v>18145.0</v>
      </c>
      <c r="U28" s="3" t="n">
        <v>16918.0</v>
      </c>
      <c r="V28" s="3" t="n">
        <v>15054.0</v>
      </c>
      <c r="W28" s="3" t="n">
        <v>14408.0</v>
      </c>
      <c r="X28" s="3" t="n">
        <v>13898.0</v>
      </c>
      <c r="Y28" s="3" t="n">
        <v>13456.0</v>
      </c>
      <c r="Z28" s="3" t="n">
        <v>13055.0</v>
      </c>
      <c r="AA28" s="3" t="n">
        <v>12674.0</v>
      </c>
      <c r="AB28" s="3" t="n">
        <v>12352.0</v>
      </c>
      <c r="AC28" s="3" t="n">
        <v>12069.0</v>
      </c>
      <c r="AD28" s="3" t="n">
        <v>11846.0</v>
      </c>
      <c r="AE28" s="3" t="n">
        <v>11643.0</v>
      </c>
      <c r="AF28" s="3" t="n">
        <v>11478.0</v>
      </c>
      <c r="AG28" s="3" t="n">
        <v>11305.0</v>
      </c>
      <c r="AH28" s="3" t="n">
        <v>11231.0</v>
      </c>
      <c r="AI28" s="3" t="n">
        <v>11150.0</v>
      </c>
      <c r="AJ28" s="3" t="n">
        <v>11107.0</v>
      </c>
      <c r="AK28" s="3" t="n">
        <v>11084.0</v>
      </c>
      <c r="AL28" s="3" t="n">
        <v>11070.0</v>
      </c>
      <c r="AM28" s="3" t="n">
        <v>11053.0</v>
      </c>
      <c r="AN28" s="3" t="n">
        <v>11018.0</v>
      </c>
      <c r="AO28" s="3" t="n">
        <v>10984.0</v>
      </c>
    </row>
    <row r="29" spans="1:41" x14ac:dyDescent="0.2">
      <c r="A29" s="128"/>
      <c r="B29" s="9">
        <v>20</v>
      </c>
      <c r="C29" s="3" t="n">
        <v>18755.0</v>
      </c>
      <c r="D29" s="3" t="n">
        <v>18847.0</v>
      </c>
      <c r="E29" s="3" t="n">
        <v>19008.0</v>
      </c>
      <c r="F29" s="3" t="n">
        <v>19486.0</v>
      </c>
      <c r="G29" s="3" t="n">
        <v>20487.0</v>
      </c>
      <c r="H29" s="3" t="n">
        <v>21643.0</v>
      </c>
      <c r="I29" s="3" t="n">
        <v>23339.0</v>
      </c>
      <c r="J29" s="3" t="n">
        <v>23528.0</v>
      </c>
      <c r="K29" s="3" t="n">
        <v>23030.0</v>
      </c>
      <c r="L29" s="3" t="n">
        <v>21441.0</v>
      </c>
      <c r="M29" s="3" t="n">
        <v>21463.0</v>
      </c>
      <c r="N29" s="3" t="n">
        <v>20503.0</v>
      </c>
      <c r="O29" s="3" t="n">
        <v>20578.0</v>
      </c>
      <c r="P29" s="3" t="n">
        <v>20096.0</v>
      </c>
      <c r="Q29" s="3" t="n">
        <v>20552.0</v>
      </c>
      <c r="R29" s="3" t="n">
        <v>21309.0</v>
      </c>
      <c r="S29" s="3" t="n">
        <v>20379.0</v>
      </c>
      <c r="T29" s="3" t="n">
        <v>19471.0</v>
      </c>
      <c r="U29" s="3" t="n">
        <v>18117.0</v>
      </c>
      <c r="V29" s="3" t="n">
        <v>16890.0</v>
      </c>
      <c r="W29" s="3" t="n">
        <v>15032.0</v>
      </c>
      <c r="X29" s="3" t="n">
        <v>14391.0</v>
      </c>
      <c r="Y29" s="3" t="n">
        <v>13884.0</v>
      </c>
      <c r="Z29" s="3" t="n">
        <v>13439.0</v>
      </c>
      <c r="AA29" s="3" t="n">
        <v>13041.0</v>
      </c>
      <c r="AB29" s="3" t="n">
        <v>12662.0</v>
      </c>
      <c r="AC29" s="3" t="n">
        <v>12342.0</v>
      </c>
      <c r="AD29" s="3" t="n">
        <v>12058.0</v>
      </c>
      <c r="AE29" s="3" t="n">
        <v>11832.0</v>
      </c>
      <c r="AF29" s="3" t="n">
        <v>11629.0</v>
      </c>
      <c r="AG29" s="3" t="n">
        <v>11461.0</v>
      </c>
      <c r="AH29" s="3" t="n">
        <v>11286.0</v>
      </c>
      <c r="AI29" s="3" t="n">
        <v>11212.0</v>
      </c>
      <c r="AJ29" s="3" t="n">
        <v>11132.0</v>
      </c>
      <c r="AK29" s="3" t="n">
        <v>11088.0</v>
      </c>
      <c r="AL29" s="3" t="n">
        <v>11065.0</v>
      </c>
      <c r="AM29" s="3" t="n">
        <v>11049.0</v>
      </c>
      <c r="AN29" s="3" t="n">
        <v>11032.0</v>
      </c>
      <c r="AO29" s="3" t="n">
        <v>10997.0</v>
      </c>
    </row>
    <row r="30" spans="1:41" x14ac:dyDescent="0.2">
      <c r="A30" s="128"/>
      <c r="B30" s="9">
        <v>21</v>
      </c>
      <c r="C30" s="3" t="n">
        <v>19612.0</v>
      </c>
      <c r="D30" s="3" t="n">
        <v>18726.0</v>
      </c>
      <c r="E30" s="3" t="n">
        <v>18816.0</v>
      </c>
      <c r="F30" s="3" t="n">
        <v>18980.0</v>
      </c>
      <c r="G30" s="3" t="n">
        <v>19457.0</v>
      </c>
      <c r="H30" s="3" t="n">
        <v>20468.0</v>
      </c>
      <c r="I30" s="3" t="n">
        <v>21624.0</v>
      </c>
      <c r="J30" s="3" t="n">
        <v>23307.0</v>
      </c>
      <c r="K30" s="3" t="n">
        <v>23493.0</v>
      </c>
      <c r="L30" s="3" t="n">
        <v>22999.0</v>
      </c>
      <c r="M30" s="3" t="n">
        <v>21408.0</v>
      </c>
      <c r="N30" s="3" t="n">
        <v>21429.0</v>
      </c>
      <c r="O30" s="3" t="n">
        <v>20471.0</v>
      </c>
      <c r="P30" s="3" t="n">
        <v>20550.0</v>
      </c>
      <c r="Q30" s="3" t="n">
        <v>20067.0</v>
      </c>
      <c r="R30" s="3" t="n">
        <v>20524.0</v>
      </c>
      <c r="S30" s="3" t="n">
        <v>21276.0</v>
      </c>
      <c r="T30" s="3" t="n">
        <v>20353.0</v>
      </c>
      <c r="U30" s="3" t="n">
        <v>19441.0</v>
      </c>
      <c r="V30" s="3" t="n">
        <v>18090.0</v>
      </c>
      <c r="W30" s="3" t="n">
        <v>16871.0</v>
      </c>
      <c r="X30" s="3" t="n">
        <v>15018.0</v>
      </c>
      <c r="Y30" s="3" t="n">
        <v>14377.0</v>
      </c>
      <c r="Z30" s="3" t="n">
        <v>13871.0</v>
      </c>
      <c r="AA30" s="3" t="n">
        <v>13423.0</v>
      </c>
      <c r="AB30" s="3" t="n">
        <v>13022.0</v>
      </c>
      <c r="AC30" s="3" t="n">
        <v>12645.0</v>
      </c>
      <c r="AD30" s="3" t="n">
        <v>12324.0</v>
      </c>
      <c r="AE30" s="3" t="n">
        <v>12040.0</v>
      </c>
      <c r="AF30" s="3" t="n">
        <v>11812.0</v>
      </c>
      <c r="AG30" s="3" t="n">
        <v>11609.0</v>
      </c>
      <c r="AH30" s="3" t="n">
        <v>11444.0</v>
      </c>
      <c r="AI30" s="3" t="n">
        <v>11268.0</v>
      </c>
      <c r="AJ30" s="3" t="n">
        <v>11192.0</v>
      </c>
      <c r="AK30" s="3" t="n">
        <v>11109.0</v>
      </c>
      <c r="AL30" s="3" t="n">
        <v>11064.0</v>
      </c>
      <c r="AM30" s="3" t="n">
        <v>11039.0</v>
      </c>
      <c r="AN30" s="3" t="n">
        <v>11022.0</v>
      </c>
      <c r="AO30" s="3" t="n">
        <v>11005.0</v>
      </c>
    </row>
    <row r="31" spans="1:41" x14ac:dyDescent="0.2">
      <c r="A31" s="128"/>
      <c r="B31" s="9">
        <v>22</v>
      </c>
      <c r="C31" s="3" t="n">
        <v>19855.0</v>
      </c>
      <c r="D31" s="3" t="n">
        <v>19594.0</v>
      </c>
      <c r="E31" s="3" t="n">
        <v>18710.0</v>
      </c>
      <c r="F31" s="3" t="n">
        <v>18793.0</v>
      </c>
      <c r="G31" s="3" t="n">
        <v>18963.0</v>
      </c>
      <c r="H31" s="3" t="n">
        <v>19448.0</v>
      </c>
      <c r="I31" s="3" t="n">
        <v>20460.0</v>
      </c>
      <c r="J31" s="3" t="n">
        <v>21606.0</v>
      </c>
      <c r="K31" s="3" t="n">
        <v>23277.0</v>
      </c>
      <c r="L31" s="3" t="n">
        <v>23459.0</v>
      </c>
      <c r="M31" s="3" t="n">
        <v>22967.0</v>
      </c>
      <c r="N31" s="3" t="n">
        <v>21383.0</v>
      </c>
      <c r="O31" s="3" t="n">
        <v>21406.0</v>
      </c>
      <c r="P31" s="3" t="n">
        <v>20451.0</v>
      </c>
      <c r="Q31" s="3" t="n">
        <v>20528.0</v>
      </c>
      <c r="R31" s="3" t="n">
        <v>20046.0</v>
      </c>
      <c r="S31" s="3" t="n">
        <v>20503.0</v>
      </c>
      <c r="T31" s="3" t="n">
        <v>21253.0</v>
      </c>
      <c r="U31" s="3" t="n">
        <v>20335.0</v>
      </c>
      <c r="V31" s="3" t="n">
        <v>19424.0</v>
      </c>
      <c r="W31" s="3" t="n">
        <v>18076.0</v>
      </c>
      <c r="X31" s="3" t="n">
        <v>16859.0</v>
      </c>
      <c r="Y31" s="3" t="n">
        <v>15007.0</v>
      </c>
      <c r="Z31" s="3" t="n">
        <v>14374.0</v>
      </c>
      <c r="AA31" s="3" t="n">
        <v>13865.0</v>
      </c>
      <c r="AB31" s="3" t="n">
        <v>13415.0</v>
      </c>
      <c r="AC31" s="3" t="n">
        <v>13015.0</v>
      </c>
      <c r="AD31" s="3" t="n">
        <v>12640.0</v>
      </c>
      <c r="AE31" s="3" t="n">
        <v>12318.0</v>
      </c>
      <c r="AF31" s="3" t="n">
        <v>12033.0</v>
      </c>
      <c r="AG31" s="3" t="n">
        <v>11807.0</v>
      </c>
      <c r="AH31" s="3" t="n">
        <v>11605.0</v>
      </c>
      <c r="AI31" s="3" t="n">
        <v>11441.0</v>
      </c>
      <c r="AJ31" s="3" t="n">
        <v>11266.0</v>
      </c>
      <c r="AK31" s="3" t="n">
        <v>11187.0</v>
      </c>
      <c r="AL31" s="3" t="n">
        <v>11103.0</v>
      </c>
      <c r="AM31" s="3" t="n">
        <v>11057.0</v>
      </c>
      <c r="AN31" s="3" t="n">
        <v>11033.0</v>
      </c>
      <c r="AO31" s="3" t="n">
        <v>11017.0</v>
      </c>
    </row>
    <row r="32" spans="1:41" x14ac:dyDescent="0.2">
      <c r="A32" s="128"/>
      <c r="B32" s="9">
        <v>23</v>
      </c>
      <c r="C32" s="3" t="n">
        <v>19951.0</v>
      </c>
      <c r="D32" s="3" t="n">
        <v>19832.0</v>
      </c>
      <c r="E32" s="3" t="n">
        <v>19569.0</v>
      </c>
      <c r="F32" s="3" t="n">
        <v>18678.0</v>
      </c>
      <c r="G32" s="3" t="n">
        <v>18763.0</v>
      </c>
      <c r="H32" s="3" t="n">
        <v>18946.0</v>
      </c>
      <c r="I32" s="3" t="n">
        <v>19436.0</v>
      </c>
      <c r="J32" s="3" t="n">
        <v>20429.0</v>
      </c>
      <c r="K32" s="3" t="n">
        <v>21568.0</v>
      </c>
      <c r="L32" s="3" t="n">
        <v>23233.0</v>
      </c>
      <c r="M32" s="3" t="n">
        <v>23417.0</v>
      </c>
      <c r="N32" s="3" t="n">
        <v>22926.0</v>
      </c>
      <c r="O32" s="3" t="n">
        <v>21346.0</v>
      </c>
      <c r="P32" s="3" t="n">
        <v>21371.0</v>
      </c>
      <c r="Q32" s="3" t="n">
        <v>20423.0</v>
      </c>
      <c r="R32" s="3" t="n">
        <v>20504.0</v>
      </c>
      <c r="S32" s="3" t="n">
        <v>20023.0</v>
      </c>
      <c r="T32" s="3" t="n">
        <v>20479.0</v>
      </c>
      <c r="U32" s="3" t="n">
        <v>21221.0</v>
      </c>
      <c r="V32" s="3" t="n">
        <v>20305.0</v>
      </c>
      <c r="W32" s="3" t="n">
        <v>19395.0</v>
      </c>
      <c r="X32" s="3" t="n">
        <v>18059.0</v>
      </c>
      <c r="Y32" s="3" t="n">
        <v>16840.0</v>
      </c>
      <c r="Z32" s="3" t="n">
        <v>14993.0</v>
      </c>
      <c r="AA32" s="3" t="n">
        <v>14367.0</v>
      </c>
      <c r="AB32" s="3" t="n">
        <v>13855.0</v>
      </c>
      <c r="AC32" s="3" t="n">
        <v>13406.0</v>
      </c>
      <c r="AD32" s="3" t="n">
        <v>13011.0</v>
      </c>
      <c r="AE32" s="3" t="n">
        <v>12634.0</v>
      </c>
      <c r="AF32" s="3" t="n">
        <v>12309.0</v>
      </c>
      <c r="AG32" s="3" t="n">
        <v>12028.0</v>
      </c>
      <c r="AH32" s="3" t="n">
        <v>11799.0</v>
      </c>
      <c r="AI32" s="3" t="n">
        <v>11594.0</v>
      </c>
      <c r="AJ32" s="3" t="n">
        <v>11430.0</v>
      </c>
      <c r="AK32" s="3" t="n">
        <v>11257.0</v>
      </c>
      <c r="AL32" s="3" t="n">
        <v>11176.0</v>
      </c>
      <c r="AM32" s="3" t="n">
        <v>11093.0</v>
      </c>
      <c r="AN32" s="3" t="n">
        <v>11047.0</v>
      </c>
      <c r="AO32" s="3" t="n">
        <v>11023.0</v>
      </c>
    </row>
    <row r="33" spans="1:41" x14ac:dyDescent="0.2">
      <c r="A33" s="128"/>
      <c r="B33" s="9">
        <v>24</v>
      </c>
      <c r="C33" s="3" t="n">
        <v>20457.0</v>
      </c>
      <c r="D33" s="3" t="n">
        <v>19900.0</v>
      </c>
      <c r="E33" s="3" t="n">
        <v>19775.0</v>
      </c>
      <c r="F33" s="3" t="n">
        <v>19517.0</v>
      </c>
      <c r="G33" s="3" t="n">
        <v>18621.0</v>
      </c>
      <c r="H33" s="3" t="n">
        <v>18711.0</v>
      </c>
      <c r="I33" s="3" t="n">
        <v>18902.0</v>
      </c>
      <c r="J33" s="3" t="n">
        <v>19385.0</v>
      </c>
      <c r="K33" s="3" t="n">
        <v>20370.0</v>
      </c>
      <c r="L33" s="3" t="n">
        <v>21510.0</v>
      </c>
      <c r="M33" s="3" t="n">
        <v>23162.0</v>
      </c>
      <c r="N33" s="3" t="n">
        <v>23350.0</v>
      </c>
      <c r="O33" s="3" t="n">
        <v>22865.0</v>
      </c>
      <c r="P33" s="3" t="n">
        <v>21284.0</v>
      </c>
      <c r="Q33" s="3" t="n">
        <v>21309.0</v>
      </c>
      <c r="R33" s="3" t="n">
        <v>20364.0</v>
      </c>
      <c r="S33" s="3" t="n">
        <v>20454.0</v>
      </c>
      <c r="T33" s="3" t="n">
        <v>19972.0</v>
      </c>
      <c r="U33" s="3" t="n">
        <v>20431.0</v>
      </c>
      <c r="V33" s="3" t="n">
        <v>21164.0</v>
      </c>
      <c r="W33" s="3" t="n">
        <v>20252.0</v>
      </c>
      <c r="X33" s="3" t="n">
        <v>19342.0</v>
      </c>
      <c r="Y33" s="3" t="n">
        <v>18013.0</v>
      </c>
      <c r="Z33" s="3" t="n">
        <v>16809.0</v>
      </c>
      <c r="AA33" s="3" t="n">
        <v>14964.0</v>
      </c>
      <c r="AB33" s="3" t="n">
        <v>14341.0</v>
      </c>
      <c r="AC33" s="3" t="n">
        <v>13824.0</v>
      </c>
      <c r="AD33" s="3" t="n">
        <v>13378.0</v>
      </c>
      <c r="AE33" s="3" t="n">
        <v>12988.0</v>
      </c>
      <c r="AF33" s="3" t="n">
        <v>12611.0</v>
      </c>
      <c r="AG33" s="3" t="n">
        <v>12288.0</v>
      </c>
      <c r="AH33" s="3" t="n">
        <v>12006.0</v>
      </c>
      <c r="AI33" s="3" t="n">
        <v>11778.0</v>
      </c>
      <c r="AJ33" s="3" t="n">
        <v>11572.0</v>
      </c>
      <c r="AK33" s="3" t="n">
        <v>11406.0</v>
      </c>
      <c r="AL33" s="3" t="n">
        <v>11235.0</v>
      </c>
      <c r="AM33" s="3" t="n">
        <v>11156.0</v>
      </c>
      <c r="AN33" s="3" t="n">
        <v>11072.0</v>
      </c>
      <c r="AO33" s="3" t="n">
        <v>11025.0</v>
      </c>
    </row>
    <row r="34" spans="1:41" x14ac:dyDescent="0.2">
      <c r="A34" s="128"/>
      <c r="B34" s="9">
        <v>25</v>
      </c>
      <c r="C34" s="3" t="n">
        <v>20996.0</v>
      </c>
      <c r="D34" s="3" t="n">
        <v>20388.0</v>
      </c>
      <c r="E34" s="3" t="n">
        <v>19831.0</v>
      </c>
      <c r="F34" s="3" t="n">
        <v>19702.0</v>
      </c>
      <c r="G34" s="3" t="n">
        <v>19443.0</v>
      </c>
      <c r="H34" s="3" t="n">
        <v>18560.0</v>
      </c>
      <c r="I34" s="3" t="n">
        <v>18640.0</v>
      </c>
      <c r="J34" s="3" t="n">
        <v>18834.0</v>
      </c>
      <c r="K34" s="3" t="n">
        <v>19319.0</v>
      </c>
      <c r="L34" s="3" t="n">
        <v>20299.0</v>
      </c>
      <c r="M34" s="3" t="n">
        <v>21431.0</v>
      </c>
      <c r="N34" s="3" t="n">
        <v>23068.0</v>
      </c>
      <c r="O34" s="3" t="n">
        <v>23250.0</v>
      </c>
      <c r="P34" s="3" t="n">
        <v>22781.0</v>
      </c>
      <c r="Q34" s="3" t="n">
        <v>21203.0</v>
      </c>
      <c r="R34" s="3" t="n">
        <v>21231.0</v>
      </c>
      <c r="S34" s="3" t="n">
        <v>20291.0</v>
      </c>
      <c r="T34" s="3" t="n">
        <v>20385.0</v>
      </c>
      <c r="U34" s="3" t="n">
        <v>19909.0</v>
      </c>
      <c r="V34" s="3" t="n">
        <v>20374.0</v>
      </c>
      <c r="W34" s="3" t="n">
        <v>21099.0</v>
      </c>
      <c r="X34" s="3" t="n">
        <v>20187.0</v>
      </c>
      <c r="Y34" s="3" t="n">
        <v>19284.0</v>
      </c>
      <c r="Z34" s="3" t="n">
        <v>17960.0</v>
      </c>
      <c r="AA34" s="3" t="n">
        <v>16764.0</v>
      </c>
      <c r="AB34" s="3" t="n">
        <v>14922.0</v>
      </c>
      <c r="AC34" s="3" t="n">
        <v>14307.0</v>
      </c>
      <c r="AD34" s="3" t="n">
        <v>13798.0</v>
      </c>
      <c r="AE34" s="3" t="n">
        <v>13354.0</v>
      </c>
      <c r="AF34" s="3" t="n">
        <v>12958.0</v>
      </c>
      <c r="AG34" s="3" t="n">
        <v>12579.0</v>
      </c>
      <c r="AH34" s="3" t="n">
        <v>12252.0</v>
      </c>
      <c r="AI34" s="3" t="n">
        <v>11973.0</v>
      </c>
      <c r="AJ34" s="3" t="n">
        <v>11745.0</v>
      </c>
      <c r="AK34" s="3" t="n">
        <v>11540.0</v>
      </c>
      <c r="AL34" s="3" t="n">
        <v>11375.0</v>
      </c>
      <c r="AM34" s="3" t="n">
        <v>11202.0</v>
      </c>
      <c r="AN34" s="3" t="n">
        <v>11125.0</v>
      </c>
      <c r="AO34" s="3" t="n">
        <v>11040.0</v>
      </c>
    </row>
    <row r="35" spans="1:41" x14ac:dyDescent="0.2">
      <c r="A35" s="128"/>
      <c r="B35" s="9">
        <v>26</v>
      </c>
      <c r="C35" s="3" t="n">
        <v>21999.0</v>
      </c>
      <c r="D35" s="3" t="n">
        <v>20903.0</v>
      </c>
      <c r="E35" s="3" t="n">
        <v>20299.0</v>
      </c>
      <c r="F35" s="3" t="n">
        <v>19746.0</v>
      </c>
      <c r="G35" s="3" t="n">
        <v>19624.0</v>
      </c>
      <c r="H35" s="3" t="n">
        <v>19371.0</v>
      </c>
      <c r="I35" s="3" t="n">
        <v>18492.0</v>
      </c>
      <c r="J35" s="3" t="n">
        <v>18569.0</v>
      </c>
      <c r="K35" s="3" t="n">
        <v>18750.0</v>
      </c>
      <c r="L35" s="3" t="n">
        <v>19228.0</v>
      </c>
      <c r="M35" s="3" t="n">
        <v>20198.0</v>
      </c>
      <c r="N35" s="3" t="n">
        <v>21322.0</v>
      </c>
      <c r="O35" s="3" t="n">
        <v>22949.0</v>
      </c>
      <c r="P35" s="3" t="n">
        <v>23124.0</v>
      </c>
      <c r="Q35" s="3" t="n">
        <v>22663.0</v>
      </c>
      <c r="R35" s="3" t="n">
        <v>21101.0</v>
      </c>
      <c r="S35" s="3" t="n">
        <v>21130.0</v>
      </c>
      <c r="T35" s="3" t="n">
        <v>20184.0</v>
      </c>
      <c r="U35" s="3" t="n">
        <v>20285.0</v>
      </c>
      <c r="V35" s="3" t="n">
        <v>19814.0</v>
      </c>
      <c r="W35" s="3" t="n">
        <v>20286.0</v>
      </c>
      <c r="X35" s="3" t="n">
        <v>21011.0</v>
      </c>
      <c r="Y35" s="3" t="n">
        <v>20091.0</v>
      </c>
      <c r="Z35" s="3" t="n">
        <v>19195.0</v>
      </c>
      <c r="AA35" s="3" t="n">
        <v>17879.0</v>
      </c>
      <c r="AB35" s="3" t="n">
        <v>16708.0</v>
      </c>
      <c r="AC35" s="3" t="n">
        <v>14865.0</v>
      </c>
      <c r="AD35" s="3" t="n">
        <v>14248.0</v>
      </c>
      <c r="AE35" s="3" t="n">
        <v>13739.0</v>
      </c>
      <c r="AF35" s="3" t="n">
        <v>13301.0</v>
      </c>
      <c r="AG35" s="3" t="n">
        <v>12906.0</v>
      </c>
      <c r="AH35" s="3" t="n">
        <v>12527.0</v>
      </c>
      <c r="AI35" s="3" t="n">
        <v>12203.0</v>
      </c>
      <c r="AJ35" s="3" t="n">
        <v>11930.0</v>
      </c>
      <c r="AK35" s="3" t="n">
        <v>11697.0</v>
      </c>
      <c r="AL35" s="3" t="n">
        <v>11495.0</v>
      </c>
      <c r="AM35" s="3" t="n">
        <v>11328.0</v>
      </c>
      <c r="AN35" s="3" t="n">
        <v>11153.0</v>
      </c>
      <c r="AO35" s="3" t="n">
        <v>11073.0</v>
      </c>
    </row>
    <row r="36" spans="1:41" x14ac:dyDescent="0.2">
      <c r="A36" s="128"/>
      <c r="B36" s="9">
        <v>27</v>
      </c>
      <c r="C36" s="3" t="n">
        <v>22141.0</v>
      </c>
      <c r="D36" s="3" t="n">
        <v>21888.0</v>
      </c>
      <c r="E36" s="3" t="n">
        <v>20794.0</v>
      </c>
      <c r="F36" s="3" t="n">
        <v>20195.0</v>
      </c>
      <c r="G36" s="3" t="n">
        <v>19635.0</v>
      </c>
      <c r="H36" s="3" t="n">
        <v>19531.0</v>
      </c>
      <c r="I36" s="3" t="n">
        <v>19277.0</v>
      </c>
      <c r="J36" s="3" t="n">
        <v>18390.0</v>
      </c>
      <c r="K36" s="3" t="n">
        <v>18465.0</v>
      </c>
      <c r="L36" s="3" t="n">
        <v>18644.0</v>
      </c>
      <c r="M36" s="3" t="n">
        <v>19122.0</v>
      </c>
      <c r="N36" s="3" t="n">
        <v>20083.0</v>
      </c>
      <c r="O36" s="3" t="n">
        <v>21197.0</v>
      </c>
      <c r="P36" s="3" t="n">
        <v>22824.0</v>
      </c>
      <c r="Q36" s="3" t="n">
        <v>22995.0</v>
      </c>
      <c r="R36" s="3" t="n">
        <v>22538.0</v>
      </c>
      <c r="S36" s="3" t="n">
        <v>20982.0</v>
      </c>
      <c r="T36" s="3" t="n">
        <v>21011.0</v>
      </c>
      <c r="U36" s="3" t="n">
        <v>20077.0</v>
      </c>
      <c r="V36" s="3" t="n">
        <v>20179.0</v>
      </c>
      <c r="W36" s="3" t="n">
        <v>19717.0</v>
      </c>
      <c r="X36" s="3" t="n">
        <v>20181.0</v>
      </c>
      <c r="Y36" s="3" t="n">
        <v>20911.0</v>
      </c>
      <c r="Z36" s="3" t="n">
        <v>19988.0</v>
      </c>
      <c r="AA36" s="3" t="n">
        <v>19093.0</v>
      </c>
      <c r="AB36" s="3" t="n">
        <v>17782.0</v>
      </c>
      <c r="AC36" s="3" t="n">
        <v>16632.0</v>
      </c>
      <c r="AD36" s="3" t="n">
        <v>14798.0</v>
      </c>
      <c r="AE36" s="3" t="n">
        <v>14182.0</v>
      </c>
      <c r="AF36" s="3" t="n">
        <v>13672.0</v>
      </c>
      <c r="AG36" s="3" t="n">
        <v>13250.0</v>
      </c>
      <c r="AH36" s="3" t="n">
        <v>12853.0</v>
      </c>
      <c r="AI36" s="3" t="n">
        <v>12467.0</v>
      </c>
      <c r="AJ36" s="3" t="n">
        <v>12150.0</v>
      </c>
      <c r="AK36" s="3" t="n">
        <v>11872.0</v>
      </c>
      <c r="AL36" s="3" t="n">
        <v>11638.0</v>
      </c>
      <c r="AM36" s="3" t="n">
        <v>11440.0</v>
      </c>
      <c r="AN36" s="3" t="n">
        <v>11271.0</v>
      </c>
      <c r="AO36" s="3" t="n">
        <v>11098.0</v>
      </c>
    </row>
    <row r="37" spans="1:41" x14ac:dyDescent="0.2">
      <c r="A37" s="128"/>
      <c r="B37" s="9">
        <v>28</v>
      </c>
      <c r="C37" s="3" t="n">
        <v>23669.0</v>
      </c>
      <c r="D37" s="3" t="n">
        <v>22024.0</v>
      </c>
      <c r="E37" s="3" t="n">
        <v>21773.0</v>
      </c>
      <c r="F37" s="3" t="n">
        <v>20685.0</v>
      </c>
      <c r="G37" s="3" t="n">
        <v>20098.0</v>
      </c>
      <c r="H37" s="3" t="n">
        <v>19539.0</v>
      </c>
      <c r="I37" s="3" t="n">
        <v>19441.0</v>
      </c>
      <c r="J37" s="3" t="n">
        <v>19179.0</v>
      </c>
      <c r="K37" s="3" t="n">
        <v>18294.0</v>
      </c>
      <c r="L37" s="3" t="n">
        <v>18359.0</v>
      </c>
      <c r="M37" s="3" t="n">
        <v>18541.0</v>
      </c>
      <c r="N37" s="3" t="n">
        <v>19013.0</v>
      </c>
      <c r="O37" s="3" t="n">
        <v>19962.0</v>
      </c>
      <c r="P37" s="3" t="n">
        <v>21065.0</v>
      </c>
      <c r="Q37" s="3" t="n">
        <v>22684.0</v>
      </c>
      <c r="R37" s="3" t="n">
        <v>22855.0</v>
      </c>
      <c r="S37" s="3" t="n">
        <v>22399.0</v>
      </c>
      <c r="T37" s="3" t="n">
        <v>20860.0</v>
      </c>
      <c r="U37" s="3" t="n">
        <v>20889.0</v>
      </c>
      <c r="V37" s="3" t="n">
        <v>19965.0</v>
      </c>
      <c r="W37" s="3" t="n">
        <v>20065.0</v>
      </c>
      <c r="X37" s="3" t="n">
        <v>19614.0</v>
      </c>
      <c r="Y37" s="3" t="n">
        <v>20069.0</v>
      </c>
      <c r="Z37" s="3" t="n">
        <v>20795.0</v>
      </c>
      <c r="AA37" s="3" t="n">
        <v>19885.0</v>
      </c>
      <c r="AB37" s="3" t="n">
        <v>18988.0</v>
      </c>
      <c r="AC37" s="3" t="n">
        <v>17687.0</v>
      </c>
      <c r="AD37" s="3" t="n">
        <v>16557.0</v>
      </c>
      <c r="AE37" s="3" t="n">
        <v>14730.0</v>
      </c>
      <c r="AF37" s="3" t="n">
        <v>14113.0</v>
      </c>
      <c r="AG37" s="3" t="n">
        <v>13611.0</v>
      </c>
      <c r="AH37" s="3" t="n">
        <v>13193.0</v>
      </c>
      <c r="AI37" s="3" t="n">
        <v>12796.0</v>
      </c>
      <c r="AJ37" s="3" t="n">
        <v>12410.0</v>
      </c>
      <c r="AK37" s="3" t="n">
        <v>12090.0</v>
      </c>
      <c r="AL37" s="3" t="n">
        <v>11812.0</v>
      </c>
      <c r="AM37" s="3" t="n">
        <v>11584.0</v>
      </c>
      <c r="AN37" s="3" t="n">
        <v>11381.0</v>
      </c>
      <c r="AO37" s="3" t="n">
        <v>11212.0</v>
      </c>
    </row>
    <row r="38" spans="1:41" x14ac:dyDescent="0.2">
      <c r="A38" s="128"/>
      <c r="B38" s="9">
        <v>29</v>
      </c>
      <c r="C38" s="3" t="n">
        <v>24695.0</v>
      </c>
      <c r="D38" s="3" t="n">
        <v>23530.0</v>
      </c>
      <c r="E38" s="3" t="n">
        <v>21894.0</v>
      </c>
      <c r="F38" s="3" t="n">
        <v>21648.0</v>
      </c>
      <c r="G38" s="3" t="n">
        <v>20567.0</v>
      </c>
      <c r="H38" s="3" t="n">
        <v>19993.0</v>
      </c>
      <c r="I38" s="3" t="n">
        <v>19439.0</v>
      </c>
      <c r="J38" s="3" t="n">
        <v>19327.0</v>
      </c>
      <c r="K38" s="3" t="n">
        <v>19060.0</v>
      </c>
      <c r="L38" s="3" t="n">
        <v>18181.0</v>
      </c>
      <c r="M38" s="3" t="n">
        <v>18241.0</v>
      </c>
      <c r="N38" s="3" t="n">
        <v>18426.0</v>
      </c>
      <c r="O38" s="3" t="n">
        <v>18893.0</v>
      </c>
      <c r="P38" s="3" t="n">
        <v>19832.0</v>
      </c>
      <c r="Q38" s="3" t="n">
        <v>20926.0</v>
      </c>
      <c r="R38" s="3" t="n">
        <v>22537.0</v>
      </c>
      <c r="S38" s="3" t="n">
        <v>22708.0</v>
      </c>
      <c r="T38" s="3" t="n">
        <v>22256.0</v>
      </c>
      <c r="U38" s="3" t="n">
        <v>20727.0</v>
      </c>
      <c r="V38" s="3" t="n">
        <v>20760.0</v>
      </c>
      <c r="W38" s="3" t="n">
        <v>19839.0</v>
      </c>
      <c r="X38" s="3" t="n">
        <v>19943.0</v>
      </c>
      <c r="Y38" s="3" t="n">
        <v>19491.0</v>
      </c>
      <c r="Z38" s="3" t="n">
        <v>19945.0</v>
      </c>
      <c r="AA38" s="3" t="n">
        <v>20675.0</v>
      </c>
      <c r="AB38" s="3" t="n">
        <v>19769.0</v>
      </c>
      <c r="AC38" s="3" t="n">
        <v>18871.0</v>
      </c>
      <c r="AD38" s="3" t="n">
        <v>17576.0</v>
      </c>
      <c r="AE38" s="3" t="n">
        <v>16463.0</v>
      </c>
      <c r="AF38" s="3" t="n">
        <v>14648.0</v>
      </c>
      <c r="AG38" s="3" t="n">
        <v>14029.0</v>
      </c>
      <c r="AH38" s="3" t="n">
        <v>13533.0</v>
      </c>
      <c r="AI38" s="3" t="n">
        <v>13120.0</v>
      </c>
      <c r="AJ38" s="3" t="n">
        <v>12721.0</v>
      </c>
      <c r="AK38" s="3" t="n">
        <v>12342.0</v>
      </c>
      <c r="AL38" s="3" t="n">
        <v>12024.0</v>
      </c>
      <c r="AM38" s="3" t="n">
        <v>11743.0</v>
      </c>
      <c r="AN38" s="3" t="n">
        <v>11516.0</v>
      </c>
      <c r="AO38" s="3" t="n">
        <v>11312.0</v>
      </c>
    </row>
    <row r="39" spans="1:41" x14ac:dyDescent="0.2">
      <c r="A39" s="128"/>
      <c r="B39" s="9">
        <v>30</v>
      </c>
      <c r="C39" s="3" t="n">
        <v>25272.0</v>
      </c>
      <c r="D39" s="3" t="n">
        <v>24537.0</v>
      </c>
      <c r="E39" s="3" t="n">
        <v>23376.0</v>
      </c>
      <c r="F39" s="3" t="n">
        <v>21753.0</v>
      </c>
      <c r="G39" s="3" t="n">
        <v>21516.0</v>
      </c>
      <c r="H39" s="3" t="n">
        <v>20463.0</v>
      </c>
      <c r="I39" s="3" t="n">
        <v>19892.0</v>
      </c>
      <c r="J39" s="3" t="n">
        <v>19329.0</v>
      </c>
      <c r="K39" s="3" t="n">
        <v>19203.0</v>
      </c>
      <c r="L39" s="3" t="n">
        <v>18931.0</v>
      </c>
      <c r="M39" s="3" t="n">
        <v>18051.0</v>
      </c>
      <c r="N39" s="3" t="n">
        <v>18110.0</v>
      </c>
      <c r="O39" s="3" t="n">
        <v>18298.0</v>
      </c>
      <c r="P39" s="3" t="n">
        <v>18759.0</v>
      </c>
      <c r="Q39" s="3" t="n">
        <v>19697.0</v>
      </c>
      <c r="R39" s="3" t="n">
        <v>20773.0</v>
      </c>
      <c r="S39" s="3" t="n">
        <v>22374.0</v>
      </c>
      <c r="T39" s="3" t="n">
        <v>22544.0</v>
      </c>
      <c r="U39" s="3" t="n">
        <v>22099.0</v>
      </c>
      <c r="V39" s="3" t="n">
        <v>20585.0</v>
      </c>
      <c r="W39" s="3" t="n">
        <v>20628.0</v>
      </c>
      <c r="X39" s="3" t="n">
        <v>19697.0</v>
      </c>
      <c r="Y39" s="3" t="n">
        <v>19811.0</v>
      </c>
      <c r="Z39" s="3" t="n">
        <v>19363.0</v>
      </c>
      <c r="AA39" s="3" t="n">
        <v>19814.0</v>
      </c>
      <c r="AB39" s="3" t="n">
        <v>20544.0</v>
      </c>
      <c r="AC39" s="3" t="n">
        <v>19637.0</v>
      </c>
      <c r="AD39" s="3" t="n">
        <v>18747.0</v>
      </c>
      <c r="AE39" s="3" t="n">
        <v>17456.0</v>
      </c>
      <c r="AF39" s="3" t="n">
        <v>16358.0</v>
      </c>
      <c r="AG39" s="3" t="n">
        <v>14561.0</v>
      </c>
      <c r="AH39" s="3" t="n">
        <v>13944.0</v>
      </c>
      <c r="AI39" s="3" t="n">
        <v>13459.0</v>
      </c>
      <c r="AJ39" s="3" t="n">
        <v>13042.0</v>
      </c>
      <c r="AK39" s="3" t="n">
        <v>12639.0</v>
      </c>
      <c r="AL39" s="3" t="n">
        <v>12262.0</v>
      </c>
      <c r="AM39" s="3" t="n">
        <v>11949.0</v>
      </c>
      <c r="AN39" s="3" t="n">
        <v>11674.0</v>
      </c>
      <c r="AO39" s="3" t="n">
        <v>11451.0</v>
      </c>
    </row>
    <row r="40" spans="1:41" x14ac:dyDescent="0.2">
      <c r="A40" s="128"/>
      <c r="B40" s="9">
        <v>31</v>
      </c>
      <c r="C40" s="3" t="n">
        <v>26873.0</v>
      </c>
      <c r="D40" s="3" t="n">
        <v>25142.0</v>
      </c>
      <c r="E40" s="3" t="n">
        <v>24422.0</v>
      </c>
      <c r="F40" s="3" t="n">
        <v>23252.0</v>
      </c>
      <c r="G40" s="3" t="n">
        <v>21632.0</v>
      </c>
      <c r="H40" s="3" t="n">
        <v>21424.0</v>
      </c>
      <c r="I40" s="3" t="n">
        <v>20388.0</v>
      </c>
      <c r="J40" s="3" t="n">
        <v>19804.0</v>
      </c>
      <c r="K40" s="3" t="n">
        <v>19234.0</v>
      </c>
      <c r="L40" s="3" t="n">
        <v>19100.0</v>
      </c>
      <c r="M40" s="3" t="n">
        <v>18824.0</v>
      </c>
      <c r="N40" s="3" t="n">
        <v>17954.0</v>
      </c>
      <c r="O40" s="3" t="n">
        <v>18007.0</v>
      </c>
      <c r="P40" s="3" t="n">
        <v>18189.0</v>
      </c>
      <c r="Q40" s="3" t="n">
        <v>18652.0</v>
      </c>
      <c r="R40" s="3" t="n">
        <v>19582.0</v>
      </c>
      <c r="S40" s="3" t="n">
        <v>20645.0</v>
      </c>
      <c r="T40" s="3" t="n">
        <v>22239.0</v>
      </c>
      <c r="U40" s="3" t="n">
        <v>22402.0</v>
      </c>
      <c r="V40" s="3" t="n">
        <v>21960.0</v>
      </c>
      <c r="W40" s="3" t="n">
        <v>20457.0</v>
      </c>
      <c r="X40" s="3" t="n">
        <v>20506.0</v>
      </c>
      <c r="Y40" s="3" t="n">
        <v>19585.0</v>
      </c>
      <c r="Z40" s="3" t="n">
        <v>19697.0</v>
      </c>
      <c r="AA40" s="3" t="n">
        <v>19248.0</v>
      </c>
      <c r="AB40" s="3" t="n">
        <v>19701.0</v>
      </c>
      <c r="AC40" s="3" t="n">
        <v>20429.0</v>
      </c>
      <c r="AD40" s="3" t="n">
        <v>19525.0</v>
      </c>
      <c r="AE40" s="3" t="n">
        <v>18636.0</v>
      </c>
      <c r="AF40" s="3" t="n">
        <v>17355.0</v>
      </c>
      <c r="AG40" s="3" t="n">
        <v>16274.0</v>
      </c>
      <c r="AH40" s="3" t="n">
        <v>14485.0</v>
      </c>
      <c r="AI40" s="3" t="n">
        <v>13873.0</v>
      </c>
      <c r="AJ40" s="3" t="n">
        <v>13398.0</v>
      </c>
      <c r="AK40" s="3" t="n">
        <v>12980.0</v>
      </c>
      <c r="AL40" s="3" t="n">
        <v>12578.0</v>
      </c>
      <c r="AM40" s="3" t="n">
        <v>12203.0</v>
      </c>
      <c r="AN40" s="3" t="n">
        <v>11884.0</v>
      </c>
      <c r="AO40" s="3" t="n">
        <v>11608.0</v>
      </c>
    </row>
    <row r="41" spans="1:41" x14ac:dyDescent="0.2">
      <c r="A41" s="128"/>
      <c r="B41" s="9">
        <v>32</v>
      </c>
      <c r="C41" s="3" t="n">
        <v>27822.0</v>
      </c>
      <c r="D41" s="3" t="n">
        <v>26730.0</v>
      </c>
      <c r="E41" s="3" t="n">
        <v>25005.0</v>
      </c>
      <c r="F41" s="3" t="n">
        <v>24284.0</v>
      </c>
      <c r="G41" s="3" t="n">
        <v>23124.0</v>
      </c>
      <c r="H41" s="3" t="n">
        <v>21533.0</v>
      </c>
      <c r="I41" s="3" t="n">
        <v>21331.0</v>
      </c>
      <c r="J41" s="3" t="n">
        <v>20288.0</v>
      </c>
      <c r="K41" s="3" t="n">
        <v>19696.0</v>
      </c>
      <c r="L41" s="3" t="n">
        <v>19128.0</v>
      </c>
      <c r="M41" s="3" t="n">
        <v>18990.0</v>
      </c>
      <c r="N41" s="3" t="n">
        <v>18704.0</v>
      </c>
      <c r="O41" s="3" t="n">
        <v>17838.0</v>
      </c>
      <c r="P41" s="3" t="n">
        <v>17889.0</v>
      </c>
      <c r="Q41" s="3" t="n">
        <v>18071.0</v>
      </c>
      <c r="R41" s="3" t="n">
        <v>18531.0</v>
      </c>
      <c r="S41" s="3" t="n">
        <v>19463.0</v>
      </c>
      <c r="T41" s="3" t="n">
        <v>20509.0</v>
      </c>
      <c r="U41" s="3" t="n">
        <v>22093.0</v>
      </c>
      <c r="V41" s="3" t="n">
        <v>22254.0</v>
      </c>
      <c r="W41" s="3" t="n">
        <v>21821.0</v>
      </c>
      <c r="X41" s="3" t="n">
        <v>20336.0</v>
      </c>
      <c r="Y41" s="3" t="n">
        <v>20390.0</v>
      </c>
      <c r="Z41" s="3" t="n">
        <v>19473.0</v>
      </c>
      <c r="AA41" s="3" t="n">
        <v>19588.0</v>
      </c>
      <c r="AB41" s="3" t="n">
        <v>19134.0</v>
      </c>
      <c r="AC41" s="3" t="n">
        <v>19588.0</v>
      </c>
      <c r="AD41" s="3" t="n">
        <v>20314.0</v>
      </c>
      <c r="AE41" s="3" t="n">
        <v>19416.0</v>
      </c>
      <c r="AF41" s="3" t="n">
        <v>18525.0</v>
      </c>
      <c r="AG41" s="3" t="n">
        <v>17249.0</v>
      </c>
      <c r="AH41" s="3" t="n">
        <v>16182.0</v>
      </c>
      <c r="AI41" s="3" t="n">
        <v>14404.0</v>
      </c>
      <c r="AJ41" s="3" t="n">
        <v>13798.0</v>
      </c>
      <c r="AK41" s="3" t="n">
        <v>13326.0</v>
      </c>
      <c r="AL41" s="3" t="n">
        <v>12905.0</v>
      </c>
      <c r="AM41" s="3" t="n">
        <v>12503.0</v>
      </c>
      <c r="AN41" s="3" t="n">
        <v>12130.0</v>
      </c>
      <c r="AO41" s="3" t="n">
        <v>11812.0</v>
      </c>
    </row>
    <row r="42" spans="1:41" x14ac:dyDescent="0.2">
      <c r="A42" s="128"/>
      <c r="B42" s="9">
        <v>33</v>
      </c>
      <c r="C42" s="3" t="n">
        <v>27630.0</v>
      </c>
      <c r="D42" s="3" t="n">
        <v>27686.0</v>
      </c>
      <c r="E42" s="3" t="n">
        <v>26594.0</v>
      </c>
      <c r="F42" s="3" t="n">
        <v>24877.0</v>
      </c>
      <c r="G42" s="3" t="n">
        <v>24159.0</v>
      </c>
      <c r="H42" s="3" t="n">
        <v>23024.0</v>
      </c>
      <c r="I42" s="3" t="n">
        <v>21448.0</v>
      </c>
      <c r="J42" s="3" t="n">
        <v>21234.0</v>
      </c>
      <c r="K42" s="3" t="n">
        <v>20171.0</v>
      </c>
      <c r="L42" s="3" t="n">
        <v>19595.0</v>
      </c>
      <c r="M42" s="3" t="n">
        <v>19028.0</v>
      </c>
      <c r="N42" s="3" t="n">
        <v>18887.0</v>
      </c>
      <c r="O42" s="3" t="n">
        <v>18610.0</v>
      </c>
      <c r="P42" s="3" t="n">
        <v>17750.0</v>
      </c>
      <c r="Q42" s="3" t="n">
        <v>17799.0</v>
      </c>
      <c r="R42" s="3" t="n">
        <v>17975.0</v>
      </c>
      <c r="S42" s="3" t="n">
        <v>18432.0</v>
      </c>
      <c r="T42" s="3" t="n">
        <v>19352.0</v>
      </c>
      <c r="U42" s="3" t="n">
        <v>20392.0</v>
      </c>
      <c r="V42" s="3" t="n">
        <v>21964.0</v>
      </c>
      <c r="W42" s="3" t="n">
        <v>22131.0</v>
      </c>
      <c r="X42" s="3" t="n">
        <v>21698.0</v>
      </c>
      <c r="Y42" s="3" t="n">
        <v>20220.0</v>
      </c>
      <c r="Z42" s="3" t="n">
        <v>20282.0</v>
      </c>
      <c r="AA42" s="3" t="n">
        <v>19368.0</v>
      </c>
      <c r="AB42" s="3" t="n">
        <v>19484.0</v>
      </c>
      <c r="AC42" s="3" t="n">
        <v>19039.0</v>
      </c>
      <c r="AD42" s="3" t="n">
        <v>19481.0</v>
      </c>
      <c r="AE42" s="3" t="n">
        <v>20205.0</v>
      </c>
      <c r="AF42" s="3" t="n">
        <v>19314.0</v>
      </c>
      <c r="AG42" s="3" t="n">
        <v>18422.0</v>
      </c>
      <c r="AH42" s="3" t="n">
        <v>17162.0</v>
      </c>
      <c r="AI42" s="3" t="n">
        <v>16104.0</v>
      </c>
      <c r="AJ42" s="3" t="n">
        <v>14332.0</v>
      </c>
      <c r="AK42" s="3" t="n">
        <v>13720.0</v>
      </c>
      <c r="AL42" s="3" t="n">
        <v>13254.0</v>
      </c>
      <c r="AM42" s="3" t="n">
        <v>12837.0</v>
      </c>
      <c r="AN42" s="3" t="n">
        <v>12433.0</v>
      </c>
      <c r="AO42" s="3" t="n">
        <v>12065.0</v>
      </c>
    </row>
    <row r="43" spans="1:41" x14ac:dyDescent="0.2">
      <c r="A43" s="128"/>
      <c r="B43" s="9">
        <v>34</v>
      </c>
      <c r="C43" s="3" t="n">
        <v>28317.0</v>
      </c>
      <c r="D43" s="3" t="n">
        <v>27520.0</v>
      </c>
      <c r="E43" s="3" t="n">
        <v>27578.0</v>
      </c>
      <c r="F43" s="3" t="n">
        <v>26486.0</v>
      </c>
      <c r="G43" s="3" t="n">
        <v>24791.0</v>
      </c>
      <c r="H43" s="3" t="n">
        <v>24094.0</v>
      </c>
      <c r="I43" s="3" t="n">
        <v>22969.0</v>
      </c>
      <c r="J43" s="3" t="n">
        <v>21377.0</v>
      </c>
      <c r="K43" s="3" t="n">
        <v>21158.0</v>
      </c>
      <c r="L43" s="3" t="n">
        <v>20085.0</v>
      </c>
      <c r="M43" s="3" t="n">
        <v>19508.0</v>
      </c>
      <c r="N43" s="3" t="n">
        <v>18946.0</v>
      </c>
      <c r="O43" s="3" t="n">
        <v>18805.0</v>
      </c>
      <c r="P43" s="3" t="n">
        <v>18529.0</v>
      </c>
      <c r="Q43" s="3" t="n">
        <v>17672.0</v>
      </c>
      <c r="R43" s="3" t="n">
        <v>17716.0</v>
      </c>
      <c r="S43" s="3" t="n">
        <v>17898.0</v>
      </c>
      <c r="T43" s="3" t="n">
        <v>18349.0</v>
      </c>
      <c r="U43" s="3" t="n">
        <v>19261.0</v>
      </c>
      <c r="V43" s="3" t="n">
        <v>20287.0</v>
      </c>
      <c r="W43" s="3" t="n">
        <v>21850.0</v>
      </c>
      <c r="X43" s="3" t="n">
        <v>22018.0</v>
      </c>
      <c r="Y43" s="3" t="n">
        <v>21594.0</v>
      </c>
      <c r="Z43" s="3" t="n">
        <v>20125.0</v>
      </c>
      <c r="AA43" s="3" t="n">
        <v>20189.0</v>
      </c>
      <c r="AB43" s="3" t="n">
        <v>19275.0</v>
      </c>
      <c r="AC43" s="3" t="n">
        <v>19397.0</v>
      </c>
      <c r="AD43" s="3" t="n">
        <v>18959.0</v>
      </c>
      <c r="AE43" s="3" t="n">
        <v>19400.0</v>
      </c>
      <c r="AF43" s="3" t="n">
        <v>20110.0</v>
      </c>
      <c r="AG43" s="3" t="n">
        <v>19223.0</v>
      </c>
      <c r="AH43" s="3" t="n">
        <v>18338.0</v>
      </c>
      <c r="AI43" s="3" t="n">
        <v>17084.0</v>
      </c>
      <c r="AJ43" s="3" t="n">
        <v>16034.0</v>
      </c>
      <c r="AK43" s="3" t="n">
        <v>14270.0</v>
      </c>
      <c r="AL43" s="3" t="n">
        <v>13666.0</v>
      </c>
      <c r="AM43" s="3" t="n">
        <v>13209.0</v>
      </c>
      <c r="AN43" s="3" t="n">
        <v>12790.0</v>
      </c>
      <c r="AO43" s="3" t="n">
        <v>12390.0</v>
      </c>
    </row>
    <row r="44" spans="1:41" x14ac:dyDescent="0.2">
      <c r="A44" s="128"/>
      <c r="B44" s="9">
        <v>35</v>
      </c>
      <c r="C44" s="3" t="n">
        <v>29185.0</v>
      </c>
      <c r="D44" s="3" t="n">
        <v>28221.0</v>
      </c>
      <c r="E44" s="3" t="n">
        <v>27415.0</v>
      </c>
      <c r="F44" s="3" t="n">
        <v>27472.0</v>
      </c>
      <c r="G44" s="3" t="n">
        <v>26370.0</v>
      </c>
      <c r="H44" s="3" t="n">
        <v>24707.0</v>
      </c>
      <c r="I44" s="3" t="n">
        <v>24026.0</v>
      </c>
      <c r="J44" s="3" t="n">
        <v>22894.0</v>
      </c>
      <c r="K44" s="3" t="n">
        <v>21298.0</v>
      </c>
      <c r="L44" s="3" t="n">
        <v>21075.0</v>
      </c>
      <c r="M44" s="3" t="n">
        <v>20002.0</v>
      </c>
      <c r="N44" s="3" t="n">
        <v>19428.0</v>
      </c>
      <c r="O44" s="3" t="n">
        <v>18869.0</v>
      </c>
      <c r="P44" s="3" t="n">
        <v>18722.0</v>
      </c>
      <c r="Q44" s="3" t="n">
        <v>18451.0</v>
      </c>
      <c r="R44" s="3" t="n">
        <v>17589.0</v>
      </c>
      <c r="S44" s="3" t="n">
        <v>17633.0</v>
      </c>
      <c r="T44" s="3" t="n">
        <v>17816.0</v>
      </c>
      <c r="U44" s="3" t="n">
        <v>18272.0</v>
      </c>
      <c r="V44" s="3" t="n">
        <v>19173.0</v>
      </c>
      <c r="W44" s="3" t="n">
        <v>20187.0</v>
      </c>
      <c r="X44" s="3" t="n">
        <v>21745.0</v>
      </c>
      <c r="Y44" s="3" t="n">
        <v>21912.0</v>
      </c>
      <c r="Z44" s="3" t="n">
        <v>21495.0</v>
      </c>
      <c r="AA44" s="3" t="n">
        <v>20028.0</v>
      </c>
      <c r="AB44" s="3" t="n">
        <v>20088.0</v>
      </c>
      <c r="AC44" s="3" t="n">
        <v>19181.0</v>
      </c>
      <c r="AD44" s="3" t="n">
        <v>19303.0</v>
      </c>
      <c r="AE44" s="3" t="n">
        <v>18870.0</v>
      </c>
      <c r="AF44" s="3" t="n">
        <v>19315.0</v>
      </c>
      <c r="AG44" s="3" t="n">
        <v>20020.0</v>
      </c>
      <c r="AH44" s="3" t="n">
        <v>19133.0</v>
      </c>
      <c r="AI44" s="3" t="n">
        <v>18250.0</v>
      </c>
      <c r="AJ44" s="3" t="n">
        <v>16993.0</v>
      </c>
      <c r="AK44" s="3" t="n">
        <v>15964.0</v>
      </c>
      <c r="AL44" s="3" t="n">
        <v>14201.0</v>
      </c>
      <c r="AM44" s="3" t="n">
        <v>13605.0</v>
      </c>
      <c r="AN44" s="3" t="n">
        <v>13151.0</v>
      </c>
      <c r="AO44" s="3" t="n">
        <v>12731.0</v>
      </c>
    </row>
    <row r="45" spans="1:41" x14ac:dyDescent="0.2">
      <c r="A45" s="128"/>
      <c r="B45" s="9">
        <v>36</v>
      </c>
      <c r="C45" s="3" t="n">
        <v>30746.0</v>
      </c>
      <c r="D45" s="3" t="n">
        <v>29078.0</v>
      </c>
      <c r="E45" s="3" t="n">
        <v>28126.0</v>
      </c>
      <c r="F45" s="3" t="n">
        <v>27321.0</v>
      </c>
      <c r="G45" s="3" t="n">
        <v>27380.0</v>
      </c>
      <c r="H45" s="3" t="n">
        <v>26307.0</v>
      </c>
      <c r="I45" s="3" t="n">
        <v>24658.0</v>
      </c>
      <c r="J45" s="3" t="n">
        <v>23956.0</v>
      </c>
      <c r="K45" s="3" t="n">
        <v>22822.0</v>
      </c>
      <c r="L45" s="3" t="n">
        <v>21227.0</v>
      </c>
      <c r="M45" s="3" t="n">
        <v>20998.0</v>
      </c>
      <c r="N45" s="3" t="n">
        <v>19919.0</v>
      </c>
      <c r="O45" s="3" t="n">
        <v>19351.0</v>
      </c>
      <c r="P45" s="3" t="n">
        <v>18795.0</v>
      </c>
      <c r="Q45" s="3" t="n">
        <v>18650.0</v>
      </c>
      <c r="R45" s="3" t="n">
        <v>18373.0</v>
      </c>
      <c r="S45" s="3" t="n">
        <v>17515.0</v>
      </c>
      <c r="T45" s="3" t="n">
        <v>17559.0</v>
      </c>
      <c r="U45" s="3" t="n">
        <v>17738.0</v>
      </c>
      <c r="V45" s="3" t="n">
        <v>18188.0</v>
      </c>
      <c r="W45" s="3" t="n">
        <v>19080.0</v>
      </c>
      <c r="X45" s="3" t="n">
        <v>20093.0</v>
      </c>
      <c r="Y45" s="3" t="n">
        <v>21642.0</v>
      </c>
      <c r="Z45" s="3" t="n">
        <v>21810.0</v>
      </c>
      <c r="AA45" s="3" t="n">
        <v>21399.0</v>
      </c>
      <c r="AB45" s="3" t="n">
        <v>19937.0</v>
      </c>
      <c r="AC45" s="3" t="n">
        <v>19996.0</v>
      </c>
      <c r="AD45" s="3" t="n">
        <v>19092.0</v>
      </c>
      <c r="AE45" s="3" t="n">
        <v>19215.0</v>
      </c>
      <c r="AF45" s="3" t="n">
        <v>18788.0</v>
      </c>
      <c r="AG45" s="3" t="n">
        <v>19235.0</v>
      </c>
      <c r="AH45" s="3" t="n">
        <v>19929.0</v>
      </c>
      <c r="AI45" s="3" t="n">
        <v>19046.0</v>
      </c>
      <c r="AJ45" s="3" t="n">
        <v>18172.0</v>
      </c>
      <c r="AK45" s="3" t="n">
        <v>16922.0</v>
      </c>
      <c r="AL45" s="3" t="n">
        <v>15903.0</v>
      </c>
      <c r="AM45" s="3" t="n">
        <v>14149.0</v>
      </c>
      <c r="AN45" s="3" t="n">
        <v>13565.0</v>
      </c>
      <c r="AO45" s="3" t="n">
        <v>13108.0</v>
      </c>
    </row>
    <row r="46" spans="1:41" x14ac:dyDescent="0.2">
      <c r="A46" s="128"/>
      <c r="B46" s="9">
        <v>37</v>
      </c>
      <c r="C46" s="3" t="n">
        <v>32908.0</v>
      </c>
      <c r="D46" s="3" t="n">
        <v>30643.0</v>
      </c>
      <c r="E46" s="3" t="n">
        <v>28980.0</v>
      </c>
      <c r="F46" s="3" t="n">
        <v>28038.0</v>
      </c>
      <c r="G46" s="3" t="n">
        <v>27233.0</v>
      </c>
      <c r="H46" s="3" t="n">
        <v>27318.0</v>
      </c>
      <c r="I46" s="3" t="n">
        <v>26252.0</v>
      </c>
      <c r="J46" s="3" t="n">
        <v>24586.0</v>
      </c>
      <c r="K46" s="3" t="n">
        <v>23872.0</v>
      </c>
      <c r="L46" s="3" t="n">
        <v>22740.0</v>
      </c>
      <c r="M46" s="3" t="n">
        <v>21149.0</v>
      </c>
      <c r="N46" s="3" t="n">
        <v>20922.0</v>
      </c>
      <c r="O46" s="3" t="n">
        <v>19844.0</v>
      </c>
      <c r="P46" s="3" t="n">
        <v>19274.0</v>
      </c>
      <c r="Q46" s="3" t="n">
        <v>18720.0</v>
      </c>
      <c r="R46" s="3" t="n">
        <v>18573.0</v>
      </c>
      <c r="S46" s="3" t="n">
        <v>18298.0</v>
      </c>
      <c r="T46" s="3" t="n">
        <v>17440.0</v>
      </c>
      <c r="U46" s="3" t="n">
        <v>17485.0</v>
      </c>
      <c r="V46" s="3" t="n">
        <v>17661.0</v>
      </c>
      <c r="W46" s="3" t="n">
        <v>18114.0</v>
      </c>
      <c r="X46" s="3" t="n">
        <v>18998.0</v>
      </c>
      <c r="Y46" s="3" t="n">
        <v>20008.0</v>
      </c>
      <c r="Z46" s="3" t="n">
        <v>21543.0</v>
      </c>
      <c r="AA46" s="3" t="n">
        <v>21716.0</v>
      </c>
      <c r="AB46" s="3" t="n">
        <v>21312.0</v>
      </c>
      <c r="AC46" s="3" t="n">
        <v>19859.0</v>
      </c>
      <c r="AD46" s="3" t="n">
        <v>19919.0</v>
      </c>
      <c r="AE46" s="3" t="n">
        <v>19013.0</v>
      </c>
      <c r="AF46" s="3" t="n">
        <v>19132.0</v>
      </c>
      <c r="AG46" s="3" t="n">
        <v>18709.0</v>
      </c>
      <c r="AH46" s="3" t="n">
        <v>19156.0</v>
      </c>
      <c r="AI46" s="3" t="n">
        <v>19856.0</v>
      </c>
      <c r="AJ46" s="3" t="n">
        <v>18967.0</v>
      </c>
      <c r="AK46" s="3" t="n">
        <v>18099.0</v>
      </c>
      <c r="AL46" s="3" t="n">
        <v>16853.0</v>
      </c>
      <c r="AM46" s="3" t="n">
        <v>15843.0</v>
      </c>
      <c r="AN46" s="3" t="n">
        <v>14097.0</v>
      </c>
      <c r="AO46" s="3" t="n">
        <v>13508.0</v>
      </c>
    </row>
    <row r="47" spans="1:41" x14ac:dyDescent="0.2">
      <c r="A47" s="128"/>
      <c r="B47" s="9">
        <v>38</v>
      </c>
      <c r="C47" s="3" t="n">
        <v>34110.0</v>
      </c>
      <c r="D47" s="3" t="n">
        <v>32809.0</v>
      </c>
      <c r="E47" s="3" t="n">
        <v>30555.0</v>
      </c>
      <c r="F47" s="3" t="n">
        <v>28903.0</v>
      </c>
      <c r="G47" s="3" t="n">
        <v>27965.0</v>
      </c>
      <c r="H47" s="3" t="n">
        <v>27190.0</v>
      </c>
      <c r="I47" s="3" t="n">
        <v>27277.0</v>
      </c>
      <c r="J47" s="3" t="n">
        <v>26201.0</v>
      </c>
      <c r="K47" s="3" t="n">
        <v>24538.0</v>
      </c>
      <c r="L47" s="3" t="n">
        <v>23819.0</v>
      </c>
      <c r="M47" s="3" t="n">
        <v>22685.0</v>
      </c>
      <c r="N47" s="3" t="n">
        <v>21089.0</v>
      </c>
      <c r="O47" s="3" t="n">
        <v>20868.0</v>
      </c>
      <c r="P47" s="3" t="n">
        <v>19791.0</v>
      </c>
      <c r="Q47" s="3" t="n">
        <v>19215.0</v>
      </c>
      <c r="R47" s="3" t="n">
        <v>18661.0</v>
      </c>
      <c r="S47" s="3" t="n">
        <v>18509.0</v>
      </c>
      <c r="T47" s="3" t="n">
        <v>18241.0</v>
      </c>
      <c r="U47" s="3" t="n">
        <v>17382.0</v>
      </c>
      <c r="V47" s="3" t="n">
        <v>17424.0</v>
      </c>
      <c r="W47" s="3" t="n">
        <v>17604.0</v>
      </c>
      <c r="X47" s="3" t="n">
        <v>18056.0</v>
      </c>
      <c r="Y47" s="3" t="n">
        <v>18932.0</v>
      </c>
      <c r="Z47" s="3" t="n">
        <v>19936.0</v>
      </c>
      <c r="AA47" s="3" t="n">
        <v>21465.0</v>
      </c>
      <c r="AB47" s="3" t="n">
        <v>21645.0</v>
      </c>
      <c r="AC47" s="3" t="n">
        <v>21239.0</v>
      </c>
      <c r="AD47" s="3" t="n">
        <v>19793.0</v>
      </c>
      <c r="AE47" s="3" t="n">
        <v>19853.0</v>
      </c>
      <c r="AF47" s="3" t="n">
        <v>18940.0</v>
      </c>
      <c r="AG47" s="3" t="n">
        <v>19066.0</v>
      </c>
      <c r="AH47" s="3" t="n">
        <v>18641.0</v>
      </c>
      <c r="AI47" s="3" t="n">
        <v>19089.0</v>
      </c>
      <c r="AJ47" s="3" t="n">
        <v>19791.0</v>
      </c>
      <c r="AK47" s="3" t="n">
        <v>18900.0</v>
      </c>
      <c r="AL47" s="3" t="n">
        <v>18037.0</v>
      </c>
      <c r="AM47" s="3" t="n">
        <v>16790.0</v>
      </c>
      <c r="AN47" s="3" t="n">
        <v>15785.0</v>
      </c>
      <c r="AO47" s="3" t="n">
        <v>14050.0</v>
      </c>
    </row>
    <row r="48" spans="1:41" x14ac:dyDescent="0.2">
      <c r="A48" s="128"/>
      <c r="B48" s="9">
        <v>39</v>
      </c>
      <c r="C48" s="3" t="n">
        <v>34879.0</v>
      </c>
      <c r="D48" s="3" t="n">
        <v>33998.0</v>
      </c>
      <c r="E48" s="3" t="n">
        <v>32703.0</v>
      </c>
      <c r="F48" s="3" t="n">
        <v>30463.0</v>
      </c>
      <c r="G48" s="3" t="n">
        <v>28820.0</v>
      </c>
      <c r="H48" s="3" t="n">
        <v>27921.0</v>
      </c>
      <c r="I48" s="3" t="n">
        <v>27151.0</v>
      </c>
      <c r="J48" s="3" t="n">
        <v>27211.0</v>
      </c>
      <c r="K48" s="3" t="n">
        <v>26131.0</v>
      </c>
      <c r="L48" s="3" t="n">
        <v>24467.0</v>
      </c>
      <c r="M48" s="3" t="n">
        <v>23743.0</v>
      </c>
      <c r="N48" s="3" t="n">
        <v>22614.0</v>
      </c>
      <c r="O48" s="3" t="n">
        <v>21022.0</v>
      </c>
      <c r="P48" s="3" t="n">
        <v>20800.0</v>
      </c>
      <c r="Q48" s="3" t="n">
        <v>19726.0</v>
      </c>
      <c r="R48" s="3" t="n">
        <v>19154.0</v>
      </c>
      <c r="S48" s="3" t="n">
        <v>18601.0</v>
      </c>
      <c r="T48" s="3" t="n">
        <v>18450.0</v>
      </c>
      <c r="U48" s="3" t="n">
        <v>18179.0</v>
      </c>
      <c r="V48" s="3" t="n">
        <v>17328.0</v>
      </c>
      <c r="W48" s="3" t="n">
        <v>17373.0</v>
      </c>
      <c r="X48" s="3" t="n">
        <v>17551.0</v>
      </c>
      <c r="Y48" s="3" t="n">
        <v>18002.0</v>
      </c>
      <c r="Z48" s="3" t="n">
        <v>18867.0</v>
      </c>
      <c r="AA48" s="3" t="n">
        <v>19862.0</v>
      </c>
      <c r="AB48" s="3" t="n">
        <v>21382.0</v>
      </c>
      <c r="AC48" s="3" t="n">
        <v>21556.0</v>
      </c>
      <c r="AD48" s="3" t="n">
        <v>21159.0</v>
      </c>
      <c r="AE48" s="3" t="n">
        <v>19717.0</v>
      </c>
      <c r="AF48" s="3" t="n">
        <v>19787.0</v>
      </c>
      <c r="AG48" s="3" t="n">
        <v>18876.0</v>
      </c>
      <c r="AH48" s="3" t="n">
        <v>19009.0</v>
      </c>
      <c r="AI48" s="3" t="n">
        <v>18582.0</v>
      </c>
      <c r="AJ48" s="3" t="n">
        <v>19031.0</v>
      </c>
      <c r="AK48" s="3" t="n">
        <v>19725.0</v>
      </c>
      <c r="AL48" s="3" t="n">
        <v>18833.0</v>
      </c>
      <c r="AM48" s="3" t="n">
        <v>17975.0</v>
      </c>
      <c r="AN48" s="3" t="n">
        <v>16734.0</v>
      </c>
      <c r="AO48" s="3" t="n">
        <v>15731.0</v>
      </c>
    </row>
    <row r="49" spans="1:41" x14ac:dyDescent="0.2">
      <c r="A49" s="128"/>
      <c r="B49" s="9">
        <v>40</v>
      </c>
      <c r="C49" s="3" t="n">
        <v>33962.0</v>
      </c>
      <c r="D49" s="3" t="n">
        <v>34782.0</v>
      </c>
      <c r="E49" s="3" t="n">
        <v>33900.0</v>
      </c>
      <c r="F49" s="3" t="n">
        <v>32606.0</v>
      </c>
      <c r="G49" s="3" t="n">
        <v>30375.0</v>
      </c>
      <c r="H49" s="3" t="n">
        <v>28753.0</v>
      </c>
      <c r="I49" s="3" t="n">
        <v>27866.0</v>
      </c>
      <c r="J49" s="3" t="n">
        <v>27088.0</v>
      </c>
      <c r="K49" s="3" t="n">
        <v>27142.0</v>
      </c>
      <c r="L49" s="3" t="n">
        <v>26060.0</v>
      </c>
      <c r="M49" s="3" t="n">
        <v>24401.0</v>
      </c>
      <c r="N49" s="3" t="n">
        <v>23678.0</v>
      </c>
      <c r="O49" s="3" t="n">
        <v>22552.0</v>
      </c>
      <c r="P49" s="3" t="n">
        <v>20967.0</v>
      </c>
      <c r="Q49" s="3" t="n">
        <v>20740.0</v>
      </c>
      <c r="R49" s="3" t="n">
        <v>19672.0</v>
      </c>
      <c r="S49" s="3" t="n">
        <v>19096.0</v>
      </c>
      <c r="T49" s="3" t="n">
        <v>18544.0</v>
      </c>
      <c r="U49" s="3" t="n">
        <v>18391.0</v>
      </c>
      <c r="V49" s="3" t="n">
        <v>18121.0</v>
      </c>
      <c r="W49" s="3" t="n">
        <v>17267.0</v>
      </c>
      <c r="X49" s="3" t="n">
        <v>17314.0</v>
      </c>
      <c r="Y49" s="3" t="n">
        <v>17493.0</v>
      </c>
      <c r="Z49" s="3" t="n">
        <v>17947.0</v>
      </c>
      <c r="AA49" s="3" t="n">
        <v>18805.0</v>
      </c>
      <c r="AB49" s="3" t="n">
        <v>19793.0</v>
      </c>
      <c r="AC49" s="3" t="n">
        <v>21308.0</v>
      </c>
      <c r="AD49" s="3" t="n">
        <v>21484.0</v>
      </c>
      <c r="AE49" s="3" t="n">
        <v>21090.0</v>
      </c>
      <c r="AF49" s="3" t="n">
        <v>19649.0</v>
      </c>
      <c r="AG49" s="3" t="n">
        <v>19719.0</v>
      </c>
      <c r="AH49" s="3" t="n">
        <v>18810.0</v>
      </c>
      <c r="AI49" s="3" t="n">
        <v>18941.0</v>
      </c>
      <c r="AJ49" s="3" t="n">
        <v>18516.0</v>
      </c>
      <c r="AK49" s="3" t="n">
        <v>18965.0</v>
      </c>
      <c r="AL49" s="3" t="n">
        <v>19659.0</v>
      </c>
      <c r="AM49" s="3" t="n">
        <v>18766.0</v>
      </c>
      <c r="AN49" s="3" t="n">
        <v>17905.0</v>
      </c>
      <c r="AO49" s="3" t="n">
        <v>16670.0</v>
      </c>
    </row>
    <row r="50" spans="1:41" x14ac:dyDescent="0.2">
      <c r="A50" s="128"/>
      <c r="B50" s="9">
        <v>41</v>
      </c>
      <c r="C50" s="3" t="n">
        <v>32370.0</v>
      </c>
      <c r="D50" s="3" t="n">
        <v>33851.0</v>
      </c>
      <c r="E50" s="3" t="n">
        <v>34673.0</v>
      </c>
      <c r="F50" s="3" t="n">
        <v>33789.0</v>
      </c>
      <c r="G50" s="3" t="n">
        <v>32508.0</v>
      </c>
      <c r="H50" s="3" t="n">
        <v>30306.0</v>
      </c>
      <c r="I50" s="3" t="n">
        <v>28701.0</v>
      </c>
      <c r="J50" s="3" t="n">
        <v>27801.0</v>
      </c>
      <c r="K50" s="3" t="n">
        <v>27019.0</v>
      </c>
      <c r="L50" s="3" t="n">
        <v>27068.0</v>
      </c>
      <c r="M50" s="3" t="n">
        <v>25989.0</v>
      </c>
      <c r="N50" s="3" t="n">
        <v>24332.0</v>
      </c>
      <c r="O50" s="3" t="n">
        <v>23612.0</v>
      </c>
      <c r="P50" s="3" t="n">
        <v>22489.0</v>
      </c>
      <c r="Q50" s="3" t="n">
        <v>20910.0</v>
      </c>
      <c r="R50" s="3" t="n">
        <v>20674.0</v>
      </c>
      <c r="S50" s="3" t="n">
        <v>19606.0</v>
      </c>
      <c r="T50" s="3" t="n">
        <v>19031.0</v>
      </c>
      <c r="U50" s="3" t="n">
        <v>18480.0</v>
      </c>
      <c r="V50" s="3" t="n">
        <v>18329.0</v>
      </c>
      <c r="W50" s="3" t="n">
        <v>18060.0</v>
      </c>
      <c r="X50" s="3" t="n">
        <v>17208.0</v>
      </c>
      <c r="Y50" s="3" t="n">
        <v>17257.0</v>
      </c>
      <c r="Z50" s="3" t="n">
        <v>17436.0</v>
      </c>
      <c r="AA50" s="3" t="n">
        <v>17879.0</v>
      </c>
      <c r="AB50" s="3" t="n">
        <v>18741.0</v>
      </c>
      <c r="AC50" s="3" t="n">
        <v>19725.0</v>
      </c>
      <c r="AD50" s="3" t="n">
        <v>21234.0</v>
      </c>
      <c r="AE50" s="3" t="n">
        <v>21409.0</v>
      </c>
      <c r="AF50" s="3" t="n">
        <v>21017.0</v>
      </c>
      <c r="AG50" s="3" t="n">
        <v>19582.0</v>
      </c>
      <c r="AH50" s="3" t="n">
        <v>19653.0</v>
      </c>
      <c r="AI50" s="3" t="n">
        <v>18739.0</v>
      </c>
      <c r="AJ50" s="3" t="n">
        <v>18875.0</v>
      </c>
      <c r="AK50" s="3" t="n">
        <v>18457.0</v>
      </c>
      <c r="AL50" s="3" t="n">
        <v>18903.0</v>
      </c>
      <c r="AM50" s="3" t="n">
        <v>19595.0</v>
      </c>
      <c r="AN50" s="3" t="n">
        <v>18703.0</v>
      </c>
      <c r="AO50" s="3" t="n">
        <v>17843.0</v>
      </c>
    </row>
    <row r="51" spans="1:41" x14ac:dyDescent="0.2">
      <c r="A51" s="128"/>
      <c r="B51" s="9">
        <v>42</v>
      </c>
      <c r="C51" s="3" t="n">
        <v>32756.0</v>
      </c>
      <c r="D51" s="3" t="n">
        <v>32273.0</v>
      </c>
      <c r="E51" s="3" t="n">
        <v>33736.0</v>
      </c>
      <c r="F51" s="3" t="n">
        <v>34561.0</v>
      </c>
      <c r="G51" s="3" t="n">
        <v>33683.0</v>
      </c>
      <c r="H51" s="3" t="n">
        <v>32429.0</v>
      </c>
      <c r="I51" s="3" t="n">
        <v>30253.0</v>
      </c>
      <c r="J51" s="3" t="n">
        <v>28638.0</v>
      </c>
      <c r="K51" s="3" t="n">
        <v>27728.0</v>
      </c>
      <c r="L51" s="3" t="n">
        <v>26950.0</v>
      </c>
      <c r="M51" s="3" t="n">
        <v>26988.0</v>
      </c>
      <c r="N51" s="3" t="n">
        <v>25917.0</v>
      </c>
      <c r="O51" s="3" t="n">
        <v>24262.0</v>
      </c>
      <c r="P51" s="3" t="n">
        <v>23548.0</v>
      </c>
      <c r="Q51" s="3" t="n">
        <v>22428.0</v>
      </c>
      <c r="R51" s="3" t="n">
        <v>20851.0</v>
      </c>
      <c r="S51" s="3" t="n">
        <v>20618.0</v>
      </c>
      <c r="T51" s="3" t="n">
        <v>19551.0</v>
      </c>
      <c r="U51" s="3" t="n">
        <v>18976.0</v>
      </c>
      <c r="V51" s="3" t="n">
        <v>18426.0</v>
      </c>
      <c r="W51" s="3" t="n">
        <v>18274.0</v>
      </c>
      <c r="X51" s="3" t="n">
        <v>18002.0</v>
      </c>
      <c r="Y51" s="3" t="n">
        <v>17150.0</v>
      </c>
      <c r="Z51" s="3" t="n">
        <v>17198.0</v>
      </c>
      <c r="AA51" s="3" t="n">
        <v>17374.0</v>
      </c>
      <c r="AB51" s="3" t="n">
        <v>17813.0</v>
      </c>
      <c r="AC51" s="3" t="n">
        <v>18677.0</v>
      </c>
      <c r="AD51" s="3" t="n">
        <v>19657.0</v>
      </c>
      <c r="AE51" s="3" t="n">
        <v>21162.0</v>
      </c>
      <c r="AF51" s="3" t="n">
        <v>21335.0</v>
      </c>
      <c r="AG51" s="3" t="n">
        <v>20946.0</v>
      </c>
      <c r="AH51" s="3" t="n">
        <v>19514.0</v>
      </c>
      <c r="AI51" s="3" t="n">
        <v>19593.0</v>
      </c>
      <c r="AJ51" s="3" t="n">
        <v>18679.0</v>
      </c>
      <c r="AK51" s="3" t="n">
        <v>18814.0</v>
      </c>
      <c r="AL51" s="3" t="n">
        <v>18402.0</v>
      </c>
      <c r="AM51" s="3" t="n">
        <v>18839.0</v>
      </c>
      <c r="AN51" s="3" t="n">
        <v>19530.0</v>
      </c>
      <c r="AO51" s="3" t="n">
        <v>18642.0</v>
      </c>
    </row>
    <row r="52" spans="1:41" x14ac:dyDescent="0.2">
      <c r="A52" s="128"/>
      <c r="B52" s="9">
        <v>43</v>
      </c>
      <c r="C52" s="3" t="n">
        <v>32491.0</v>
      </c>
      <c r="D52" s="3" t="n">
        <v>32672.0</v>
      </c>
      <c r="E52" s="3" t="n">
        <v>32189.0</v>
      </c>
      <c r="F52" s="3" t="n">
        <v>33650.0</v>
      </c>
      <c r="G52" s="3" t="n">
        <v>34473.0</v>
      </c>
      <c r="H52" s="3" t="n">
        <v>33612.0</v>
      </c>
      <c r="I52" s="3" t="n">
        <v>32372.0</v>
      </c>
      <c r="J52" s="3" t="n">
        <v>30188.0</v>
      </c>
      <c r="K52" s="3" t="n">
        <v>28571.0</v>
      </c>
      <c r="L52" s="3" t="n">
        <v>27668.0</v>
      </c>
      <c r="M52" s="3" t="n">
        <v>26889.0</v>
      </c>
      <c r="N52" s="3" t="n">
        <v>26917.0</v>
      </c>
      <c r="O52" s="3" t="n">
        <v>25850.0</v>
      </c>
      <c r="P52" s="3" t="n">
        <v>24203.0</v>
      </c>
      <c r="Q52" s="3" t="n">
        <v>23492.0</v>
      </c>
      <c r="R52" s="3" t="n">
        <v>22375.0</v>
      </c>
      <c r="S52" s="3" t="n">
        <v>20805.0</v>
      </c>
      <c r="T52" s="3" t="n">
        <v>20573.0</v>
      </c>
      <c r="U52" s="3" t="n">
        <v>19503.0</v>
      </c>
      <c r="V52" s="3" t="n">
        <v>18927.0</v>
      </c>
      <c r="W52" s="3" t="n">
        <v>18378.0</v>
      </c>
      <c r="X52" s="3" t="n">
        <v>18228.0</v>
      </c>
      <c r="Y52" s="3" t="n">
        <v>17955.0</v>
      </c>
      <c r="Z52" s="3" t="n">
        <v>17105.0</v>
      </c>
      <c r="AA52" s="3" t="n">
        <v>17149.0</v>
      </c>
      <c r="AB52" s="3" t="n">
        <v>17326.0</v>
      </c>
      <c r="AC52" s="3" t="n">
        <v>17762.0</v>
      </c>
      <c r="AD52" s="3" t="n">
        <v>18621.0</v>
      </c>
      <c r="AE52" s="3" t="n">
        <v>19602.0</v>
      </c>
      <c r="AF52" s="3" t="n">
        <v>21102.0</v>
      </c>
      <c r="AG52" s="3" t="n">
        <v>21272.0</v>
      </c>
      <c r="AH52" s="3" t="n">
        <v>20887.0</v>
      </c>
      <c r="AI52" s="3" t="n">
        <v>19463.0</v>
      </c>
      <c r="AJ52" s="3" t="n">
        <v>19538.0</v>
      </c>
      <c r="AK52" s="3" t="n">
        <v>18623.0</v>
      </c>
      <c r="AL52" s="3" t="n">
        <v>18761.0</v>
      </c>
      <c r="AM52" s="3" t="n">
        <v>18353.0</v>
      </c>
      <c r="AN52" s="3" t="n">
        <v>18787.0</v>
      </c>
      <c r="AO52" s="3" t="n">
        <v>19475.0</v>
      </c>
    </row>
    <row r="53" spans="1:41" x14ac:dyDescent="0.2">
      <c r="A53" s="128"/>
      <c r="B53" s="9">
        <v>44</v>
      </c>
      <c r="C53" s="3" t="n">
        <v>31520.0</v>
      </c>
      <c r="D53" s="3" t="n">
        <v>32406.0</v>
      </c>
      <c r="E53" s="3" t="n">
        <v>32587.0</v>
      </c>
      <c r="F53" s="3" t="n">
        <v>32108.0</v>
      </c>
      <c r="G53" s="3" t="n">
        <v>33562.0</v>
      </c>
      <c r="H53" s="3" t="n">
        <v>34406.0</v>
      </c>
      <c r="I53" s="3" t="n">
        <v>33554.0</v>
      </c>
      <c r="J53" s="3" t="n">
        <v>32301.0</v>
      </c>
      <c r="K53" s="3" t="n">
        <v>30123.0</v>
      </c>
      <c r="L53" s="3" t="n">
        <v>28511.0</v>
      </c>
      <c r="M53" s="3" t="n">
        <v>27612.0</v>
      </c>
      <c r="N53" s="3" t="n">
        <v>26836.0</v>
      </c>
      <c r="O53" s="3" t="n">
        <v>26862.0</v>
      </c>
      <c r="P53" s="3" t="n">
        <v>25793.0</v>
      </c>
      <c r="Q53" s="3" t="n">
        <v>24153.0</v>
      </c>
      <c r="R53" s="3" t="n">
        <v>23443.0</v>
      </c>
      <c r="S53" s="3" t="n">
        <v>22325.0</v>
      </c>
      <c r="T53" s="3" t="n">
        <v>20756.0</v>
      </c>
      <c r="U53" s="3" t="n">
        <v>20523.0</v>
      </c>
      <c r="V53" s="3" t="n">
        <v>19465.0</v>
      </c>
      <c r="W53" s="3" t="n">
        <v>18882.0</v>
      </c>
      <c r="X53" s="3" t="n">
        <v>18338.0</v>
      </c>
      <c r="Y53" s="3" t="n">
        <v>18186.0</v>
      </c>
      <c r="Z53" s="3" t="n">
        <v>17916.0</v>
      </c>
      <c r="AA53" s="3" t="n">
        <v>17073.0</v>
      </c>
      <c r="AB53" s="3" t="n">
        <v>17114.0</v>
      </c>
      <c r="AC53" s="3" t="n">
        <v>17291.0</v>
      </c>
      <c r="AD53" s="3" t="n">
        <v>17724.0</v>
      </c>
      <c r="AE53" s="3" t="n">
        <v>18574.0</v>
      </c>
      <c r="AF53" s="3" t="n">
        <v>19550.0</v>
      </c>
      <c r="AG53" s="3" t="n">
        <v>21044.0</v>
      </c>
      <c r="AH53" s="3" t="n">
        <v>21222.0</v>
      </c>
      <c r="AI53" s="3" t="n">
        <v>20832.0</v>
      </c>
      <c r="AJ53" s="3" t="n">
        <v>19415.0</v>
      </c>
      <c r="AK53" s="3" t="n">
        <v>19485.0</v>
      </c>
      <c r="AL53" s="3" t="n">
        <v>18576.0</v>
      </c>
      <c r="AM53" s="3" t="n">
        <v>18715.0</v>
      </c>
      <c r="AN53" s="3" t="n">
        <v>18310.0</v>
      </c>
      <c r="AO53" s="3" t="n">
        <v>18745.0</v>
      </c>
    </row>
    <row r="54" spans="1:41" x14ac:dyDescent="0.2">
      <c r="A54" s="128"/>
      <c r="B54" s="9">
        <v>45</v>
      </c>
      <c r="C54" s="3" t="n">
        <v>31109.0</v>
      </c>
      <c r="D54" s="3" t="n">
        <v>31437.0</v>
      </c>
      <c r="E54" s="3" t="n">
        <v>32315.0</v>
      </c>
      <c r="F54" s="3" t="n">
        <v>32497.0</v>
      </c>
      <c r="G54" s="3" t="n">
        <v>32015.0</v>
      </c>
      <c r="H54" s="3" t="n">
        <v>33478.0</v>
      </c>
      <c r="I54" s="3" t="n">
        <v>34330.0</v>
      </c>
      <c r="J54" s="3" t="n">
        <v>33472.0</v>
      </c>
      <c r="K54" s="3" t="n">
        <v>32216.0</v>
      </c>
      <c r="L54" s="3" t="n">
        <v>30047.0</v>
      </c>
      <c r="M54" s="3" t="n">
        <v>28443.0</v>
      </c>
      <c r="N54" s="3" t="n">
        <v>27546.0</v>
      </c>
      <c r="O54" s="3" t="n">
        <v>26777.0</v>
      </c>
      <c r="P54" s="3" t="n">
        <v>26797.0</v>
      </c>
      <c r="Q54" s="3" t="n">
        <v>25728.0</v>
      </c>
      <c r="R54" s="3" t="n">
        <v>24090.0</v>
      </c>
      <c r="S54" s="3" t="n">
        <v>23387.0</v>
      </c>
      <c r="T54" s="3" t="n">
        <v>22271.0</v>
      </c>
      <c r="U54" s="3" t="n">
        <v>20698.0</v>
      </c>
      <c r="V54" s="3" t="n">
        <v>20469.0</v>
      </c>
      <c r="W54" s="3" t="n">
        <v>19407.0</v>
      </c>
      <c r="X54" s="3" t="n">
        <v>18836.0</v>
      </c>
      <c r="Y54" s="3" t="n">
        <v>18292.0</v>
      </c>
      <c r="Z54" s="3" t="n">
        <v>18139.0</v>
      </c>
      <c r="AA54" s="3" t="n">
        <v>17869.0</v>
      </c>
      <c r="AB54" s="3" t="n">
        <v>17023.0</v>
      </c>
      <c r="AC54" s="3" t="n">
        <v>17067.0</v>
      </c>
      <c r="AD54" s="3" t="n">
        <v>17249.0</v>
      </c>
      <c r="AE54" s="3" t="n">
        <v>17676.0</v>
      </c>
      <c r="AF54" s="3" t="n">
        <v>18520.0</v>
      </c>
      <c r="AG54" s="3" t="n">
        <v>19490.0</v>
      </c>
      <c r="AH54" s="3" t="n">
        <v>20982.0</v>
      </c>
      <c r="AI54" s="3" t="n">
        <v>21158.0</v>
      </c>
      <c r="AJ54" s="3" t="n">
        <v>20764.0</v>
      </c>
      <c r="AK54" s="3" t="n">
        <v>19355.0</v>
      </c>
      <c r="AL54" s="3" t="n">
        <v>19429.0</v>
      </c>
      <c r="AM54" s="3" t="n">
        <v>18522.0</v>
      </c>
      <c r="AN54" s="3" t="n">
        <v>18664.0</v>
      </c>
      <c r="AO54" s="3" t="n">
        <v>18257.0</v>
      </c>
    </row>
    <row r="55" spans="1:41" x14ac:dyDescent="0.2">
      <c r="A55" s="128"/>
      <c r="B55" s="9">
        <v>46</v>
      </c>
      <c r="C55" s="3" t="n">
        <v>32251.0</v>
      </c>
      <c r="D55" s="3" t="n">
        <v>31000.0</v>
      </c>
      <c r="E55" s="3" t="n">
        <v>31327.0</v>
      </c>
      <c r="F55" s="3" t="n">
        <v>32206.0</v>
      </c>
      <c r="G55" s="3" t="n">
        <v>32385.0</v>
      </c>
      <c r="H55" s="3" t="n">
        <v>31916.0</v>
      </c>
      <c r="I55" s="3" t="n">
        <v>33380.0</v>
      </c>
      <c r="J55" s="3" t="n">
        <v>34225.0</v>
      </c>
      <c r="K55" s="3" t="n">
        <v>33368.0</v>
      </c>
      <c r="L55" s="3" t="n">
        <v>32113.0</v>
      </c>
      <c r="M55" s="3" t="n">
        <v>29949.0</v>
      </c>
      <c r="N55" s="3" t="n">
        <v>28358.0</v>
      </c>
      <c r="O55" s="3" t="n">
        <v>27464.0</v>
      </c>
      <c r="P55" s="3" t="n">
        <v>26700.0</v>
      </c>
      <c r="Q55" s="3" t="n">
        <v>26719.0</v>
      </c>
      <c r="R55" s="3" t="n">
        <v>25657.0</v>
      </c>
      <c r="S55" s="3" t="n">
        <v>24017.0</v>
      </c>
      <c r="T55" s="3" t="n">
        <v>23315.0</v>
      </c>
      <c r="U55" s="3" t="n">
        <v>22203.0</v>
      </c>
      <c r="V55" s="3" t="n">
        <v>20636.0</v>
      </c>
      <c r="W55" s="3" t="n">
        <v>20410.0</v>
      </c>
      <c r="X55" s="3" t="n">
        <v>19346.0</v>
      </c>
      <c r="Y55" s="3" t="n">
        <v>18780.0</v>
      </c>
      <c r="Z55" s="3" t="n">
        <v>18233.0</v>
      </c>
      <c r="AA55" s="3" t="n">
        <v>18076.0</v>
      </c>
      <c r="AB55" s="3" t="n">
        <v>17807.0</v>
      </c>
      <c r="AC55" s="3" t="n">
        <v>16964.0</v>
      </c>
      <c r="AD55" s="3" t="n">
        <v>17007.0</v>
      </c>
      <c r="AE55" s="3" t="n">
        <v>17191.0</v>
      </c>
      <c r="AF55" s="3" t="n">
        <v>17616.0</v>
      </c>
      <c r="AG55" s="3" t="n">
        <v>18460.0</v>
      </c>
      <c r="AH55" s="3" t="n">
        <v>19418.0</v>
      </c>
      <c r="AI55" s="3" t="n">
        <v>20905.0</v>
      </c>
      <c r="AJ55" s="3" t="n">
        <v>21081.0</v>
      </c>
      <c r="AK55" s="3" t="n">
        <v>20694.0</v>
      </c>
      <c r="AL55" s="3" t="n">
        <v>19288.0</v>
      </c>
      <c r="AM55" s="3" t="n">
        <v>19362.0</v>
      </c>
      <c r="AN55" s="3" t="n">
        <v>18459.0</v>
      </c>
      <c r="AO55" s="3" t="n">
        <v>18599.0</v>
      </c>
    </row>
    <row r="56" spans="1:41" x14ac:dyDescent="0.2">
      <c r="A56" s="128"/>
      <c r="B56" s="9">
        <v>47</v>
      </c>
      <c r="C56" s="3" t="n">
        <v>30956.0</v>
      </c>
      <c r="D56" s="3" t="n">
        <v>32161.0</v>
      </c>
      <c r="E56" s="3" t="n">
        <v>30916.0</v>
      </c>
      <c r="F56" s="3" t="n">
        <v>31244.0</v>
      </c>
      <c r="G56" s="3" t="n">
        <v>32121.0</v>
      </c>
      <c r="H56" s="3" t="n">
        <v>32314.0</v>
      </c>
      <c r="I56" s="3" t="n">
        <v>31850.0</v>
      </c>
      <c r="J56" s="3" t="n">
        <v>33293.0</v>
      </c>
      <c r="K56" s="3" t="n">
        <v>34130.0</v>
      </c>
      <c r="L56" s="3" t="n">
        <v>33274.0</v>
      </c>
      <c r="M56" s="3" t="n">
        <v>32029.0</v>
      </c>
      <c r="N56" s="3" t="n">
        <v>29870.0</v>
      </c>
      <c r="O56" s="3" t="n">
        <v>28289.0</v>
      </c>
      <c r="P56" s="3" t="n">
        <v>27393.0</v>
      </c>
      <c r="Q56" s="3" t="n">
        <v>26627.0</v>
      </c>
      <c r="R56" s="3" t="n">
        <v>26647.0</v>
      </c>
      <c r="S56" s="3" t="n">
        <v>25590.0</v>
      </c>
      <c r="T56" s="3" t="n">
        <v>23950.0</v>
      </c>
      <c r="U56" s="3" t="n">
        <v>23251.0</v>
      </c>
      <c r="V56" s="3" t="n">
        <v>22146.0</v>
      </c>
      <c r="W56" s="3" t="n">
        <v>20586.0</v>
      </c>
      <c r="X56" s="3" t="n">
        <v>20354.0</v>
      </c>
      <c r="Y56" s="3" t="n">
        <v>19296.0</v>
      </c>
      <c r="Z56" s="3" t="n">
        <v>18724.0</v>
      </c>
      <c r="AA56" s="3" t="n">
        <v>18180.0</v>
      </c>
      <c r="AB56" s="3" t="n">
        <v>18022.0</v>
      </c>
      <c r="AC56" s="3" t="n">
        <v>17749.0</v>
      </c>
      <c r="AD56" s="3" t="n">
        <v>16918.0</v>
      </c>
      <c r="AE56" s="3" t="n">
        <v>16955.0</v>
      </c>
      <c r="AF56" s="3" t="n">
        <v>17138.0</v>
      </c>
      <c r="AG56" s="3" t="n">
        <v>17560.0</v>
      </c>
      <c r="AH56" s="3" t="n">
        <v>18401.0</v>
      </c>
      <c r="AI56" s="3" t="n">
        <v>19354.0</v>
      </c>
      <c r="AJ56" s="3" t="n">
        <v>20838.0</v>
      </c>
      <c r="AK56" s="3" t="n">
        <v>21009.0</v>
      </c>
      <c r="AL56" s="3" t="n">
        <v>20625.0</v>
      </c>
      <c r="AM56" s="3" t="n">
        <v>19226.0</v>
      </c>
      <c r="AN56" s="3" t="n">
        <v>19299.0</v>
      </c>
      <c r="AO56" s="3" t="n">
        <v>18397.0</v>
      </c>
    </row>
    <row r="57" spans="1:41" x14ac:dyDescent="0.2">
      <c r="A57" s="128"/>
      <c r="B57" s="9">
        <v>48</v>
      </c>
      <c r="C57" s="3" t="n">
        <v>29471.0</v>
      </c>
      <c r="D57" s="3" t="n">
        <v>30851.0</v>
      </c>
      <c r="E57" s="3" t="n">
        <v>32052.0</v>
      </c>
      <c r="F57" s="3" t="n">
        <v>30810.0</v>
      </c>
      <c r="G57" s="3" t="n">
        <v>31138.0</v>
      </c>
      <c r="H57" s="3" t="n">
        <v>32030.0</v>
      </c>
      <c r="I57" s="3" t="n">
        <v>32224.0</v>
      </c>
      <c r="J57" s="3" t="n">
        <v>31750.0</v>
      </c>
      <c r="K57" s="3" t="n">
        <v>33189.0</v>
      </c>
      <c r="L57" s="3" t="n">
        <v>34023.0</v>
      </c>
      <c r="M57" s="3" t="n">
        <v>33164.0</v>
      </c>
      <c r="N57" s="3" t="n">
        <v>31924.0</v>
      </c>
      <c r="O57" s="3" t="n">
        <v>29774.0</v>
      </c>
      <c r="P57" s="3" t="n">
        <v>28202.0</v>
      </c>
      <c r="Q57" s="3" t="n">
        <v>27308.0</v>
      </c>
      <c r="R57" s="3" t="n">
        <v>26551.0</v>
      </c>
      <c r="S57" s="3" t="n">
        <v>26569.0</v>
      </c>
      <c r="T57" s="3" t="n">
        <v>25518.0</v>
      </c>
      <c r="U57" s="3" t="n">
        <v>23883.0</v>
      </c>
      <c r="V57" s="3" t="n">
        <v>23179.0</v>
      </c>
      <c r="W57" s="3" t="n">
        <v>22085.0</v>
      </c>
      <c r="X57" s="3" t="n">
        <v>20532.0</v>
      </c>
      <c r="Y57" s="3" t="n">
        <v>20306.0</v>
      </c>
      <c r="Z57" s="3" t="n">
        <v>19247.0</v>
      </c>
      <c r="AA57" s="3" t="n">
        <v>18675.0</v>
      </c>
      <c r="AB57" s="3" t="n">
        <v>18138.0</v>
      </c>
      <c r="AC57" s="3" t="n">
        <v>17981.0</v>
      </c>
      <c r="AD57" s="3" t="n">
        <v>17709.0</v>
      </c>
      <c r="AE57" s="3" t="n">
        <v>16878.0</v>
      </c>
      <c r="AF57" s="3" t="n">
        <v>16914.0</v>
      </c>
      <c r="AG57" s="3" t="n">
        <v>17099.0</v>
      </c>
      <c r="AH57" s="3" t="n">
        <v>17519.0</v>
      </c>
      <c r="AI57" s="3" t="n">
        <v>18356.0</v>
      </c>
      <c r="AJ57" s="3" t="n">
        <v>19306.0</v>
      </c>
      <c r="AK57" s="3" t="n">
        <v>20780.0</v>
      </c>
      <c r="AL57" s="3" t="n">
        <v>20950.0</v>
      </c>
      <c r="AM57" s="3" t="n">
        <v>20569.0</v>
      </c>
      <c r="AN57" s="3" t="n">
        <v>19181.0</v>
      </c>
      <c r="AO57" s="3" t="n">
        <v>19248.0</v>
      </c>
    </row>
    <row r="58" spans="1:41" x14ac:dyDescent="0.2">
      <c r="A58" s="128"/>
      <c r="B58" s="9">
        <v>49</v>
      </c>
      <c r="C58" s="3" t="n">
        <v>28927.0</v>
      </c>
      <c r="D58" s="3" t="n">
        <v>29342.0</v>
      </c>
      <c r="E58" s="3" t="n">
        <v>30718.0</v>
      </c>
      <c r="F58" s="3" t="n">
        <v>31912.0</v>
      </c>
      <c r="G58" s="3" t="n">
        <v>30680.0</v>
      </c>
      <c r="H58" s="3" t="n">
        <v>31029.0</v>
      </c>
      <c r="I58" s="3" t="n">
        <v>31913.0</v>
      </c>
      <c r="J58" s="3" t="n">
        <v>32099.0</v>
      </c>
      <c r="K58" s="3" t="n">
        <v>31620.0</v>
      </c>
      <c r="L58" s="3" t="n">
        <v>33045.0</v>
      </c>
      <c r="M58" s="3" t="n">
        <v>33885.0</v>
      </c>
      <c r="N58" s="3" t="n">
        <v>33024.0</v>
      </c>
      <c r="O58" s="3" t="n">
        <v>31788.0</v>
      </c>
      <c r="P58" s="3" t="n">
        <v>29654.0</v>
      </c>
      <c r="Q58" s="3" t="n">
        <v>28093.0</v>
      </c>
      <c r="R58" s="3" t="n">
        <v>27208.0</v>
      </c>
      <c r="S58" s="3" t="n">
        <v>26459.0</v>
      </c>
      <c r="T58" s="3" t="n">
        <v>26468.0</v>
      </c>
      <c r="U58" s="3" t="n">
        <v>25422.0</v>
      </c>
      <c r="V58" s="3" t="n">
        <v>23792.0</v>
      </c>
      <c r="W58" s="3" t="n">
        <v>23091.0</v>
      </c>
      <c r="X58" s="3" t="n">
        <v>21998.0</v>
      </c>
      <c r="Y58" s="3" t="n">
        <v>20454.0</v>
      </c>
      <c r="Z58" s="3" t="n">
        <v>20225.0</v>
      </c>
      <c r="AA58" s="3" t="n">
        <v>19166.0</v>
      </c>
      <c r="AB58" s="3" t="n">
        <v>18598.0</v>
      </c>
      <c r="AC58" s="3" t="n">
        <v>18063.0</v>
      </c>
      <c r="AD58" s="3" t="n">
        <v>17905.0</v>
      </c>
      <c r="AE58" s="3" t="n">
        <v>17630.0</v>
      </c>
      <c r="AF58" s="3" t="n">
        <v>16808.0</v>
      </c>
      <c r="AG58" s="3" t="n">
        <v>16846.0</v>
      </c>
      <c r="AH58" s="3" t="n">
        <v>17030.0</v>
      </c>
      <c r="AI58" s="3" t="n">
        <v>17442.0</v>
      </c>
      <c r="AJ58" s="3" t="n">
        <v>18271.0</v>
      </c>
      <c r="AK58" s="3" t="n">
        <v>19226.0</v>
      </c>
      <c r="AL58" s="3" t="n">
        <v>20694.0</v>
      </c>
      <c r="AM58" s="3" t="n">
        <v>20864.0</v>
      </c>
      <c r="AN58" s="3" t="n">
        <v>20485.0</v>
      </c>
      <c r="AO58" s="3" t="n">
        <v>19099.0</v>
      </c>
    </row>
    <row r="59" spans="1:41" x14ac:dyDescent="0.2">
      <c r="A59" s="128"/>
      <c r="B59" s="9">
        <v>50</v>
      </c>
      <c r="C59" s="3" t="n">
        <v>27631.0</v>
      </c>
      <c r="D59" s="3" t="n">
        <v>28787.0</v>
      </c>
      <c r="E59" s="3" t="n">
        <v>29201.0</v>
      </c>
      <c r="F59" s="3" t="n">
        <v>30580.0</v>
      </c>
      <c r="G59" s="3" t="n">
        <v>31765.0</v>
      </c>
      <c r="H59" s="3" t="n">
        <v>30553.0</v>
      </c>
      <c r="I59" s="3" t="n">
        <v>30909.0</v>
      </c>
      <c r="J59" s="3" t="n">
        <v>31783.0</v>
      </c>
      <c r="K59" s="3" t="n">
        <v>31961.0</v>
      </c>
      <c r="L59" s="3" t="n">
        <v>31485.0</v>
      </c>
      <c r="M59" s="3" t="n">
        <v>32902.0</v>
      </c>
      <c r="N59" s="3" t="n">
        <v>33737.0</v>
      </c>
      <c r="O59" s="3" t="n">
        <v>32881.0</v>
      </c>
      <c r="P59" s="3" t="n">
        <v>31648.0</v>
      </c>
      <c r="Q59" s="3" t="n">
        <v>29527.0</v>
      </c>
      <c r="R59" s="3" t="n">
        <v>27970.0</v>
      </c>
      <c r="S59" s="3" t="n">
        <v>27097.0</v>
      </c>
      <c r="T59" s="3" t="n">
        <v>26350.0</v>
      </c>
      <c r="U59" s="3" t="n">
        <v>26357.0</v>
      </c>
      <c r="V59" s="3" t="n">
        <v>25318.0</v>
      </c>
      <c r="W59" s="3" t="n">
        <v>23688.0</v>
      </c>
      <c r="X59" s="3" t="n">
        <v>22994.0</v>
      </c>
      <c r="Y59" s="3" t="n">
        <v>21903.0</v>
      </c>
      <c r="Z59" s="3" t="n">
        <v>20363.0</v>
      </c>
      <c r="AA59" s="3" t="n">
        <v>20136.0</v>
      </c>
      <c r="AB59" s="3" t="n">
        <v>19076.0</v>
      </c>
      <c r="AC59" s="3" t="n">
        <v>18510.0</v>
      </c>
      <c r="AD59" s="3" t="n">
        <v>17978.0</v>
      </c>
      <c r="AE59" s="3" t="n">
        <v>17818.0</v>
      </c>
      <c r="AF59" s="3" t="n">
        <v>17542.0</v>
      </c>
      <c r="AG59" s="3" t="n">
        <v>16725.0</v>
      </c>
      <c r="AH59" s="3" t="n">
        <v>16763.0</v>
      </c>
      <c r="AI59" s="3" t="n">
        <v>16946.0</v>
      </c>
      <c r="AJ59" s="3" t="n">
        <v>17354.0</v>
      </c>
      <c r="AK59" s="3" t="n">
        <v>18180.0</v>
      </c>
      <c r="AL59" s="3" t="n">
        <v>19135.0</v>
      </c>
      <c r="AM59" s="3" t="n">
        <v>20593.0</v>
      </c>
      <c r="AN59" s="3" t="n">
        <v>20767.0</v>
      </c>
      <c r="AO59" s="3" t="n">
        <v>20392.0</v>
      </c>
    </row>
    <row r="60" spans="1:41" x14ac:dyDescent="0.2">
      <c r="A60" s="128"/>
      <c r="B60" s="9">
        <v>51</v>
      </c>
      <c r="C60" s="3" t="n">
        <v>26759.0</v>
      </c>
      <c r="D60" s="3" t="n">
        <v>27494.0</v>
      </c>
      <c r="E60" s="3" t="n">
        <v>28644.0</v>
      </c>
      <c r="F60" s="3" t="n">
        <v>29055.0</v>
      </c>
      <c r="G60" s="3" t="n">
        <v>30432.0</v>
      </c>
      <c r="H60" s="3" t="n">
        <v>31625.0</v>
      </c>
      <c r="I60" s="3" t="n">
        <v>30423.0</v>
      </c>
      <c r="J60" s="3" t="n">
        <v>30774.0</v>
      </c>
      <c r="K60" s="3" t="n">
        <v>31641.0</v>
      </c>
      <c r="L60" s="3" t="n">
        <v>31816.0</v>
      </c>
      <c r="M60" s="3" t="n">
        <v>31336.0</v>
      </c>
      <c r="N60" s="3" t="n">
        <v>32748.0</v>
      </c>
      <c r="O60" s="3" t="n">
        <v>33583.0</v>
      </c>
      <c r="P60" s="3" t="n">
        <v>32729.0</v>
      </c>
      <c r="Q60" s="3" t="n">
        <v>31502.0</v>
      </c>
      <c r="R60" s="3" t="n">
        <v>29394.0</v>
      </c>
      <c r="S60" s="3" t="n">
        <v>27847.0</v>
      </c>
      <c r="T60" s="3" t="n">
        <v>26978.0</v>
      </c>
      <c r="U60" s="3" t="n">
        <v>26233.0</v>
      </c>
      <c r="V60" s="3" t="n">
        <v>26241.0</v>
      </c>
      <c r="W60" s="3" t="n">
        <v>25207.0</v>
      </c>
      <c r="X60" s="3" t="n">
        <v>23586.0</v>
      </c>
      <c r="Y60" s="3" t="n">
        <v>22897.0</v>
      </c>
      <c r="Z60" s="3" t="n">
        <v>21806.0</v>
      </c>
      <c r="AA60" s="3" t="n">
        <v>20272.0</v>
      </c>
      <c r="AB60" s="3" t="n">
        <v>20043.0</v>
      </c>
      <c r="AC60" s="3" t="n">
        <v>18984.0</v>
      </c>
      <c r="AD60" s="3" t="n">
        <v>18428.0</v>
      </c>
      <c r="AE60" s="3" t="n">
        <v>17903.0</v>
      </c>
      <c r="AF60" s="3" t="n">
        <v>17739.0</v>
      </c>
      <c r="AG60" s="3" t="n">
        <v>17466.0</v>
      </c>
      <c r="AH60" s="3" t="n">
        <v>16645.0</v>
      </c>
      <c r="AI60" s="3" t="n">
        <v>16685.0</v>
      </c>
      <c r="AJ60" s="3" t="n">
        <v>16870.0</v>
      </c>
      <c r="AK60" s="3" t="n">
        <v>17272.0</v>
      </c>
      <c r="AL60" s="3" t="n">
        <v>18105.0</v>
      </c>
      <c r="AM60" s="3" t="n">
        <v>19054.0</v>
      </c>
      <c r="AN60" s="3" t="n">
        <v>20499.0</v>
      </c>
      <c r="AO60" s="3" t="n">
        <v>20669.0</v>
      </c>
    </row>
    <row r="61" spans="1:41" x14ac:dyDescent="0.2">
      <c r="A61" s="128"/>
      <c r="B61" s="9">
        <v>52</v>
      </c>
      <c r="C61" s="3" t="n">
        <v>25618.0</v>
      </c>
      <c r="D61" s="3" t="n">
        <v>26595.0</v>
      </c>
      <c r="E61" s="3" t="n">
        <v>27327.0</v>
      </c>
      <c r="F61" s="3" t="n">
        <v>28474.0</v>
      </c>
      <c r="G61" s="3" t="n">
        <v>28889.0</v>
      </c>
      <c r="H61" s="3" t="n">
        <v>30268.0</v>
      </c>
      <c r="I61" s="3" t="n">
        <v>31465.0</v>
      </c>
      <c r="J61" s="3" t="n">
        <v>30258.0</v>
      </c>
      <c r="K61" s="3" t="n">
        <v>30609.0</v>
      </c>
      <c r="L61" s="3" t="n">
        <v>31469.0</v>
      </c>
      <c r="M61" s="3" t="n">
        <v>31640.0</v>
      </c>
      <c r="N61" s="3" t="n">
        <v>31159.0</v>
      </c>
      <c r="O61" s="3" t="n">
        <v>32564.0</v>
      </c>
      <c r="P61" s="3" t="n">
        <v>33393.0</v>
      </c>
      <c r="Q61" s="3" t="n">
        <v>32542.0</v>
      </c>
      <c r="R61" s="3" t="n">
        <v>31326.0</v>
      </c>
      <c r="S61" s="3" t="n">
        <v>29223.0</v>
      </c>
      <c r="T61" s="3" t="n">
        <v>27692.0</v>
      </c>
      <c r="U61" s="3" t="n">
        <v>26829.0</v>
      </c>
      <c r="V61" s="3" t="n">
        <v>26087.0</v>
      </c>
      <c r="W61" s="3" t="n">
        <v>26096.0</v>
      </c>
      <c r="X61" s="3" t="n">
        <v>25070.0</v>
      </c>
      <c r="Y61" s="3" t="n">
        <v>23453.0</v>
      </c>
      <c r="Z61" s="3" t="n">
        <v>22769.0</v>
      </c>
      <c r="AA61" s="3" t="n">
        <v>21687.0</v>
      </c>
      <c r="AB61" s="3" t="n">
        <v>20157.0</v>
      </c>
      <c r="AC61" s="3" t="n">
        <v>19933.0</v>
      </c>
      <c r="AD61" s="3" t="n">
        <v>18879.0</v>
      </c>
      <c r="AE61" s="3" t="n">
        <v>18322.0</v>
      </c>
      <c r="AF61" s="3" t="n">
        <v>17797.0</v>
      </c>
      <c r="AG61" s="3" t="n">
        <v>17639.0</v>
      </c>
      <c r="AH61" s="3" t="n">
        <v>17370.0</v>
      </c>
      <c r="AI61" s="3" t="n">
        <v>16561.0</v>
      </c>
      <c r="AJ61" s="3" t="n">
        <v>16596.0</v>
      </c>
      <c r="AK61" s="3" t="n">
        <v>16776.0</v>
      </c>
      <c r="AL61" s="3" t="n">
        <v>17175.0</v>
      </c>
      <c r="AM61" s="3" t="n">
        <v>18001.0</v>
      </c>
      <c r="AN61" s="3" t="n">
        <v>18936.0</v>
      </c>
      <c r="AO61" s="3" t="n">
        <v>20378.0</v>
      </c>
    </row>
    <row r="62" spans="1:41" x14ac:dyDescent="0.2">
      <c r="A62" s="128"/>
      <c r="B62" s="9">
        <v>53</v>
      </c>
      <c r="C62" s="3" t="n">
        <v>24740.0</v>
      </c>
      <c r="D62" s="3" t="n">
        <v>25452.0</v>
      </c>
      <c r="E62" s="3" t="n">
        <v>26420.0</v>
      </c>
      <c r="F62" s="3" t="n">
        <v>27157.0</v>
      </c>
      <c r="G62" s="3" t="n">
        <v>28294.0</v>
      </c>
      <c r="H62" s="3" t="n">
        <v>28721.0</v>
      </c>
      <c r="I62" s="3" t="n">
        <v>30096.0</v>
      </c>
      <c r="J62" s="3" t="n">
        <v>31272.0</v>
      </c>
      <c r="K62" s="3" t="n">
        <v>30068.0</v>
      </c>
      <c r="L62" s="3" t="n">
        <v>30423.0</v>
      </c>
      <c r="M62" s="3" t="n">
        <v>31275.0</v>
      </c>
      <c r="N62" s="3" t="n">
        <v>31447.0</v>
      </c>
      <c r="O62" s="3" t="n">
        <v>30970.0</v>
      </c>
      <c r="P62" s="3" t="n">
        <v>32367.0</v>
      </c>
      <c r="Q62" s="3" t="n">
        <v>33191.0</v>
      </c>
      <c r="R62" s="3" t="n">
        <v>32344.0</v>
      </c>
      <c r="S62" s="3" t="n">
        <v>31137.0</v>
      </c>
      <c r="T62" s="3" t="n">
        <v>29045.0</v>
      </c>
      <c r="U62" s="3" t="n">
        <v>27534.0</v>
      </c>
      <c r="V62" s="3" t="n">
        <v>26675.0</v>
      </c>
      <c r="W62" s="3" t="n">
        <v>25941.0</v>
      </c>
      <c r="X62" s="3" t="n">
        <v>25946.0</v>
      </c>
      <c r="Y62" s="3" t="n">
        <v>24927.0</v>
      </c>
      <c r="Z62" s="3" t="n">
        <v>23316.0</v>
      </c>
      <c r="AA62" s="3" t="n">
        <v>22633.0</v>
      </c>
      <c r="AB62" s="3" t="n">
        <v>21562.0</v>
      </c>
      <c r="AC62" s="3" t="n">
        <v>20038.0</v>
      </c>
      <c r="AD62" s="3" t="n">
        <v>19819.0</v>
      </c>
      <c r="AE62" s="3" t="n">
        <v>18768.0</v>
      </c>
      <c r="AF62" s="3" t="n">
        <v>18213.0</v>
      </c>
      <c r="AG62" s="3" t="n">
        <v>17690.0</v>
      </c>
      <c r="AH62" s="3" t="n">
        <v>17530.0</v>
      </c>
      <c r="AI62" s="3" t="n">
        <v>17260.0</v>
      </c>
      <c r="AJ62" s="3" t="n">
        <v>16454.0</v>
      </c>
      <c r="AK62" s="3" t="n">
        <v>16488.0</v>
      </c>
      <c r="AL62" s="3" t="n">
        <v>16669.0</v>
      </c>
      <c r="AM62" s="3" t="n">
        <v>17069.0</v>
      </c>
      <c r="AN62" s="3" t="n">
        <v>17889.0</v>
      </c>
      <c r="AO62" s="3" t="n">
        <v>18818.0</v>
      </c>
    </row>
    <row r="63" spans="1:41" x14ac:dyDescent="0.2">
      <c r="A63" s="128"/>
      <c r="B63" s="9">
        <v>54</v>
      </c>
      <c r="C63" s="3" t="n">
        <v>24121.0</v>
      </c>
      <c r="D63" s="3" t="n">
        <v>24580.0</v>
      </c>
      <c r="E63" s="3" t="n">
        <v>25285.0</v>
      </c>
      <c r="F63" s="3" t="n">
        <v>26247.0</v>
      </c>
      <c r="G63" s="3" t="n">
        <v>26978.0</v>
      </c>
      <c r="H63" s="3" t="n">
        <v>28118.0</v>
      </c>
      <c r="I63" s="3" t="n">
        <v>28548.0</v>
      </c>
      <c r="J63" s="3" t="n">
        <v>29909.0</v>
      </c>
      <c r="K63" s="3" t="n">
        <v>31075.0</v>
      </c>
      <c r="L63" s="3" t="n">
        <v>29880.0</v>
      </c>
      <c r="M63" s="3" t="n">
        <v>30234.0</v>
      </c>
      <c r="N63" s="3" t="n">
        <v>31083.0</v>
      </c>
      <c r="O63" s="3" t="n">
        <v>31253.0</v>
      </c>
      <c r="P63" s="3" t="n">
        <v>30779.0</v>
      </c>
      <c r="Q63" s="3" t="n">
        <v>32166.0</v>
      </c>
      <c r="R63" s="3" t="n">
        <v>32986.0</v>
      </c>
      <c r="S63" s="3" t="n">
        <v>32145.0</v>
      </c>
      <c r="T63" s="3" t="n">
        <v>30952.0</v>
      </c>
      <c r="U63" s="3" t="n">
        <v>28869.0</v>
      </c>
      <c r="V63" s="3" t="n">
        <v>27370.0</v>
      </c>
      <c r="W63" s="3" t="n">
        <v>26515.0</v>
      </c>
      <c r="X63" s="3" t="n">
        <v>25787.0</v>
      </c>
      <c r="Y63" s="3" t="n">
        <v>25789.0</v>
      </c>
      <c r="Z63" s="3" t="n">
        <v>24781.0</v>
      </c>
      <c r="AA63" s="3" t="n">
        <v>23176.0</v>
      </c>
      <c r="AB63" s="3" t="n">
        <v>22501.0</v>
      </c>
      <c r="AC63" s="3" t="n">
        <v>21440.0</v>
      </c>
      <c r="AD63" s="3" t="n">
        <v>19915.0</v>
      </c>
      <c r="AE63" s="3" t="n">
        <v>19701.0</v>
      </c>
      <c r="AF63" s="3" t="n">
        <v>18653.0</v>
      </c>
      <c r="AG63" s="3" t="n">
        <v>18102.0</v>
      </c>
      <c r="AH63" s="3" t="n">
        <v>17578.0</v>
      </c>
      <c r="AI63" s="3" t="n">
        <v>17419.0</v>
      </c>
      <c r="AJ63" s="3" t="n">
        <v>17149.0</v>
      </c>
      <c r="AK63" s="3" t="n">
        <v>16351.0</v>
      </c>
      <c r="AL63" s="3" t="n">
        <v>16382.0</v>
      </c>
      <c r="AM63" s="3" t="n">
        <v>16564.0</v>
      </c>
      <c r="AN63" s="3" t="n">
        <v>16965.0</v>
      </c>
      <c r="AO63" s="3" t="n">
        <v>17779.0</v>
      </c>
    </row>
    <row r="64" spans="1:41" x14ac:dyDescent="0.2">
      <c r="A64" s="128"/>
      <c r="B64" s="9">
        <v>55</v>
      </c>
      <c r="C64" s="3" t="n">
        <v>23803.0</v>
      </c>
      <c r="D64" s="3" t="n">
        <v>23960.0</v>
      </c>
      <c r="E64" s="3" t="n">
        <v>24417.0</v>
      </c>
      <c r="F64" s="3" t="n">
        <v>25113.0</v>
      </c>
      <c r="G64" s="3" t="n">
        <v>26072.0</v>
      </c>
      <c r="H64" s="3" t="n">
        <v>26797.0</v>
      </c>
      <c r="I64" s="3" t="n">
        <v>27947.0</v>
      </c>
      <c r="J64" s="3" t="n">
        <v>28374.0</v>
      </c>
      <c r="K64" s="3" t="n">
        <v>29718.0</v>
      </c>
      <c r="L64" s="3" t="n">
        <v>30872.0</v>
      </c>
      <c r="M64" s="3" t="n">
        <v>29693.0</v>
      </c>
      <c r="N64" s="3" t="n">
        <v>30040.0</v>
      </c>
      <c r="O64" s="3" t="n">
        <v>30882.0</v>
      </c>
      <c r="P64" s="3" t="n">
        <v>31049.0</v>
      </c>
      <c r="Q64" s="3" t="n">
        <v>30583.0</v>
      </c>
      <c r="R64" s="3" t="n">
        <v>31958.0</v>
      </c>
      <c r="S64" s="3" t="n">
        <v>32781.0</v>
      </c>
      <c r="T64" s="3" t="n">
        <v>31939.0</v>
      </c>
      <c r="U64" s="3" t="n">
        <v>30756.0</v>
      </c>
      <c r="V64" s="3" t="n">
        <v>28699.0</v>
      </c>
      <c r="W64" s="3" t="n">
        <v>27212.0</v>
      </c>
      <c r="X64" s="3" t="n">
        <v>26360.0</v>
      </c>
      <c r="Y64" s="3" t="n">
        <v>25642.0</v>
      </c>
      <c r="Z64" s="3" t="n">
        <v>25650.0</v>
      </c>
      <c r="AA64" s="3" t="n">
        <v>24648.0</v>
      </c>
      <c r="AB64" s="3" t="n">
        <v>23052.0</v>
      </c>
      <c r="AC64" s="3" t="n">
        <v>22384.0</v>
      </c>
      <c r="AD64" s="3" t="n">
        <v>21317.0</v>
      </c>
      <c r="AE64" s="3" t="n">
        <v>19802.0</v>
      </c>
      <c r="AF64" s="3" t="n">
        <v>19581.0</v>
      </c>
      <c r="AG64" s="3" t="n">
        <v>18543.0</v>
      </c>
      <c r="AH64" s="3" t="n">
        <v>17991.0</v>
      </c>
      <c r="AI64" s="3" t="n">
        <v>17466.0</v>
      </c>
      <c r="AJ64" s="3" t="n">
        <v>17305.0</v>
      </c>
      <c r="AK64" s="3" t="n">
        <v>17034.0</v>
      </c>
      <c r="AL64" s="3" t="n">
        <v>16240.0</v>
      </c>
      <c r="AM64" s="3" t="n">
        <v>16272.0</v>
      </c>
      <c r="AN64" s="3" t="n">
        <v>16455.0</v>
      </c>
      <c r="AO64" s="3" t="n">
        <v>16852.0</v>
      </c>
    </row>
    <row r="65" spans="1:41" x14ac:dyDescent="0.2">
      <c r="A65" s="128"/>
      <c r="B65" s="9">
        <v>56</v>
      </c>
      <c r="C65" s="3" t="n">
        <v>23492.0</v>
      </c>
      <c r="D65" s="3" t="n">
        <v>23624.0</v>
      </c>
      <c r="E65" s="3" t="n">
        <v>23780.0</v>
      </c>
      <c r="F65" s="3" t="n">
        <v>24231.0</v>
      </c>
      <c r="G65" s="3" t="n">
        <v>24919.0</v>
      </c>
      <c r="H65" s="3" t="n">
        <v>25876.0</v>
      </c>
      <c r="I65" s="3" t="n">
        <v>26602.0</v>
      </c>
      <c r="J65" s="3" t="n">
        <v>27751.0</v>
      </c>
      <c r="K65" s="3" t="n">
        <v>28172.0</v>
      </c>
      <c r="L65" s="3" t="n">
        <v>29508.0</v>
      </c>
      <c r="M65" s="3" t="n">
        <v>30657.0</v>
      </c>
      <c r="N65" s="3" t="n">
        <v>29487.0</v>
      </c>
      <c r="O65" s="3" t="n">
        <v>29837.0</v>
      </c>
      <c r="P65" s="3" t="n">
        <v>30673.0</v>
      </c>
      <c r="Q65" s="3" t="n">
        <v>30837.0</v>
      </c>
      <c r="R65" s="3" t="n">
        <v>30376.0</v>
      </c>
      <c r="S65" s="3" t="n">
        <v>31736.0</v>
      </c>
      <c r="T65" s="3" t="n">
        <v>32552.0</v>
      </c>
      <c r="U65" s="3" t="n">
        <v>31717.0</v>
      </c>
      <c r="V65" s="3" t="n">
        <v>30548.0</v>
      </c>
      <c r="W65" s="3" t="n">
        <v>28508.0</v>
      </c>
      <c r="X65" s="3" t="n">
        <v>27039.0</v>
      </c>
      <c r="Y65" s="3" t="n">
        <v>26189.0</v>
      </c>
      <c r="Z65" s="3" t="n">
        <v>25470.0</v>
      </c>
      <c r="AA65" s="3" t="n">
        <v>25480.0</v>
      </c>
      <c r="AB65" s="3" t="n">
        <v>24481.0</v>
      </c>
      <c r="AC65" s="3" t="n">
        <v>22894.0</v>
      </c>
      <c r="AD65" s="3" t="n">
        <v>22235.0</v>
      </c>
      <c r="AE65" s="3" t="n">
        <v>21183.0</v>
      </c>
      <c r="AF65" s="3" t="n">
        <v>19673.0</v>
      </c>
      <c r="AG65" s="3" t="n">
        <v>19455.0</v>
      </c>
      <c r="AH65" s="3" t="n">
        <v>18425.0</v>
      </c>
      <c r="AI65" s="3" t="n">
        <v>17879.0</v>
      </c>
      <c r="AJ65" s="3" t="n">
        <v>17358.0</v>
      </c>
      <c r="AK65" s="3" t="n">
        <v>17192.0</v>
      </c>
      <c r="AL65" s="3" t="n">
        <v>16926.0</v>
      </c>
      <c r="AM65" s="3" t="n">
        <v>16134.0</v>
      </c>
      <c r="AN65" s="3" t="n">
        <v>16163.0</v>
      </c>
      <c r="AO65" s="3" t="n">
        <v>16348.0</v>
      </c>
    </row>
    <row r="66" spans="1:41" x14ac:dyDescent="0.2">
      <c r="A66" s="128"/>
      <c r="B66" s="9">
        <v>57</v>
      </c>
      <c r="C66" s="3" t="n">
        <v>23944.0</v>
      </c>
      <c r="D66" s="3" t="n">
        <v>23285.0</v>
      </c>
      <c r="E66" s="3" t="n">
        <v>23417.0</v>
      </c>
      <c r="F66" s="3" t="n">
        <v>23571.0</v>
      </c>
      <c r="G66" s="3" t="n">
        <v>24019.0</v>
      </c>
      <c r="H66" s="3" t="n">
        <v>24720.0</v>
      </c>
      <c r="I66" s="3" t="n">
        <v>25666.0</v>
      </c>
      <c r="J66" s="3" t="n">
        <v>26379.0</v>
      </c>
      <c r="K66" s="3" t="n">
        <v>27516.0</v>
      </c>
      <c r="L66" s="3" t="n">
        <v>27933.0</v>
      </c>
      <c r="M66" s="3" t="n">
        <v>29259.0</v>
      </c>
      <c r="N66" s="3" t="n">
        <v>30401.0</v>
      </c>
      <c r="O66" s="3" t="n">
        <v>29241.0</v>
      </c>
      <c r="P66" s="3" t="n">
        <v>29595.0</v>
      </c>
      <c r="Q66" s="3" t="n">
        <v>30425.0</v>
      </c>
      <c r="R66" s="3" t="n">
        <v>30588.0</v>
      </c>
      <c r="S66" s="3" t="n">
        <v>30130.0</v>
      </c>
      <c r="T66" s="3" t="n">
        <v>31474.0</v>
      </c>
      <c r="U66" s="3" t="n">
        <v>32284.0</v>
      </c>
      <c r="V66" s="3" t="n">
        <v>31452.0</v>
      </c>
      <c r="W66" s="3" t="n">
        <v>30298.0</v>
      </c>
      <c r="X66" s="3" t="n">
        <v>28289.0</v>
      </c>
      <c r="Y66" s="3" t="n">
        <v>26834.0</v>
      </c>
      <c r="Z66" s="3" t="n">
        <v>25992.0</v>
      </c>
      <c r="AA66" s="3" t="n">
        <v>25282.0</v>
      </c>
      <c r="AB66" s="3" t="n">
        <v>25289.0</v>
      </c>
      <c r="AC66" s="3" t="n">
        <v>24302.0</v>
      </c>
      <c r="AD66" s="3" t="n">
        <v>22729.0</v>
      </c>
      <c r="AE66" s="3" t="n">
        <v>22076.0</v>
      </c>
      <c r="AF66" s="3" t="n">
        <v>21024.0</v>
      </c>
      <c r="AG66" s="3" t="n">
        <v>19527.0</v>
      </c>
      <c r="AH66" s="3" t="n">
        <v>19309.0</v>
      </c>
      <c r="AI66" s="3" t="n">
        <v>18285.0</v>
      </c>
      <c r="AJ66" s="3" t="n">
        <v>17745.0</v>
      </c>
      <c r="AK66" s="3" t="n">
        <v>17225.0</v>
      </c>
      <c r="AL66" s="3" t="n">
        <v>17064.0</v>
      </c>
      <c r="AM66" s="3" t="n">
        <v>16793.0</v>
      </c>
      <c r="AN66" s="3" t="n">
        <v>16007.0</v>
      </c>
      <c r="AO66" s="3" t="n">
        <v>16040.0</v>
      </c>
    </row>
    <row r="67" spans="1:41" x14ac:dyDescent="0.2">
      <c r="A67" s="128"/>
      <c r="B67" s="9">
        <v>58</v>
      </c>
      <c r="C67" s="3" t="n">
        <v>24163.0</v>
      </c>
      <c r="D67" s="3" t="n">
        <v>23719.0</v>
      </c>
      <c r="E67" s="3" t="n">
        <v>23063.0</v>
      </c>
      <c r="F67" s="3" t="n">
        <v>23200.0</v>
      </c>
      <c r="G67" s="3" t="n">
        <v>23352.0</v>
      </c>
      <c r="H67" s="3" t="n">
        <v>23805.0</v>
      </c>
      <c r="I67" s="3" t="n">
        <v>24494.0</v>
      </c>
      <c r="J67" s="3" t="n">
        <v>25432.0</v>
      </c>
      <c r="K67" s="3" t="n">
        <v>26138.0</v>
      </c>
      <c r="L67" s="3" t="n">
        <v>27263.0</v>
      </c>
      <c r="M67" s="3" t="n">
        <v>27677.0</v>
      </c>
      <c r="N67" s="3" t="n">
        <v>28997.0</v>
      </c>
      <c r="O67" s="3" t="n">
        <v>30130.0</v>
      </c>
      <c r="P67" s="3" t="n">
        <v>28978.0</v>
      </c>
      <c r="Q67" s="3" t="n">
        <v>29341.0</v>
      </c>
      <c r="R67" s="3" t="n">
        <v>30158.0</v>
      </c>
      <c r="S67" s="3" t="n">
        <v>30316.0</v>
      </c>
      <c r="T67" s="3" t="n">
        <v>29866.0</v>
      </c>
      <c r="U67" s="3" t="n">
        <v>31204.0</v>
      </c>
      <c r="V67" s="3" t="n">
        <v>32010.0</v>
      </c>
      <c r="W67" s="3" t="n">
        <v>31182.0</v>
      </c>
      <c r="X67" s="3" t="n">
        <v>30038.0</v>
      </c>
      <c r="Y67" s="3" t="n">
        <v>28047.0</v>
      </c>
      <c r="Z67" s="3" t="n">
        <v>26602.0</v>
      </c>
      <c r="AA67" s="3" t="n">
        <v>25766.0</v>
      </c>
      <c r="AB67" s="3" t="n">
        <v>25065.0</v>
      </c>
      <c r="AC67" s="3" t="n">
        <v>25073.0</v>
      </c>
      <c r="AD67" s="3" t="n">
        <v>24099.0</v>
      </c>
      <c r="AE67" s="3" t="n">
        <v>22537.0</v>
      </c>
      <c r="AF67" s="3" t="n">
        <v>21891.0</v>
      </c>
      <c r="AG67" s="3" t="n">
        <v>20847.0</v>
      </c>
      <c r="AH67" s="3" t="n">
        <v>19366.0</v>
      </c>
      <c r="AI67" s="3" t="n">
        <v>19148.0</v>
      </c>
      <c r="AJ67" s="3" t="n">
        <v>18127.0</v>
      </c>
      <c r="AK67" s="3" t="n">
        <v>17593.0</v>
      </c>
      <c r="AL67" s="3" t="n">
        <v>17074.0</v>
      </c>
      <c r="AM67" s="3" t="n">
        <v>16914.0</v>
      </c>
      <c r="AN67" s="3" t="n">
        <v>16645.0</v>
      </c>
      <c r="AO67" s="3" t="n">
        <v>15869.0</v>
      </c>
    </row>
    <row r="68" spans="1:41" x14ac:dyDescent="0.2">
      <c r="A68" s="128"/>
      <c r="B68" s="9">
        <v>59</v>
      </c>
      <c r="C68" s="3" t="n">
        <v>24688.0</v>
      </c>
      <c r="D68" s="3" t="n">
        <v>23916.0</v>
      </c>
      <c r="E68" s="3" t="n">
        <v>23480.0</v>
      </c>
      <c r="F68" s="3" t="n">
        <v>22828.0</v>
      </c>
      <c r="G68" s="3" t="n">
        <v>22968.0</v>
      </c>
      <c r="H68" s="3" t="n">
        <v>23123.0</v>
      </c>
      <c r="I68" s="3" t="n">
        <v>23574.0</v>
      </c>
      <c r="J68" s="3" t="n">
        <v>24255.0</v>
      </c>
      <c r="K68" s="3" t="n">
        <v>25187.0</v>
      </c>
      <c r="L68" s="3" t="n">
        <v>25881.0</v>
      </c>
      <c r="M68" s="3" t="n">
        <v>26994.0</v>
      </c>
      <c r="N68" s="3" t="n">
        <v>27406.0</v>
      </c>
      <c r="O68" s="3" t="n">
        <v>28710.0</v>
      </c>
      <c r="P68" s="3" t="n">
        <v>29837.0</v>
      </c>
      <c r="Q68" s="3" t="n">
        <v>28700.0</v>
      </c>
      <c r="R68" s="3" t="n">
        <v>29059.0</v>
      </c>
      <c r="S68" s="3" t="n">
        <v>29869.0</v>
      </c>
      <c r="T68" s="3" t="n">
        <v>30021.0</v>
      </c>
      <c r="U68" s="3" t="n">
        <v>29578.0</v>
      </c>
      <c r="V68" s="3" t="n">
        <v>30910.0</v>
      </c>
      <c r="W68" s="3" t="n">
        <v>31709.0</v>
      </c>
      <c r="X68" s="3" t="n">
        <v>30885.0</v>
      </c>
      <c r="Y68" s="3" t="n">
        <v>29759.0</v>
      </c>
      <c r="Z68" s="3" t="n">
        <v>27785.0</v>
      </c>
      <c r="AA68" s="3" t="n">
        <v>26357.0</v>
      </c>
      <c r="AB68" s="3" t="n">
        <v>25527.0</v>
      </c>
      <c r="AC68" s="3" t="n">
        <v>24837.0</v>
      </c>
      <c r="AD68" s="3" t="n">
        <v>24847.0</v>
      </c>
      <c r="AE68" s="3" t="n">
        <v>23879.0</v>
      </c>
      <c r="AF68" s="3" t="n">
        <v>22332.0</v>
      </c>
      <c r="AG68" s="3" t="n">
        <v>21694.0</v>
      </c>
      <c r="AH68" s="3" t="n">
        <v>20655.0</v>
      </c>
      <c r="AI68" s="3" t="n">
        <v>19191.0</v>
      </c>
      <c r="AJ68" s="3" t="n">
        <v>18973.0</v>
      </c>
      <c r="AK68" s="3" t="n">
        <v>17961.0</v>
      </c>
      <c r="AL68" s="3" t="n">
        <v>17438.0</v>
      </c>
      <c r="AM68" s="3" t="n">
        <v>16926.0</v>
      </c>
      <c r="AN68" s="3" t="n">
        <v>16770.0</v>
      </c>
      <c r="AO68" s="3" t="n">
        <v>16498.0</v>
      </c>
    </row>
    <row r="69" spans="1:41" x14ac:dyDescent="0.2">
      <c r="A69" s="128"/>
      <c r="B69" s="9">
        <v>60</v>
      </c>
      <c r="C69" s="3" t="n">
        <v>25108.0</v>
      </c>
      <c r="D69" s="3" t="n">
        <v>24409.0</v>
      </c>
      <c r="E69" s="3" t="n">
        <v>23651.0</v>
      </c>
      <c r="F69" s="3" t="n">
        <v>23220.0</v>
      </c>
      <c r="G69" s="3" t="n">
        <v>22575.0</v>
      </c>
      <c r="H69" s="3" t="n">
        <v>22722.0</v>
      </c>
      <c r="I69" s="3" t="n">
        <v>22877.0</v>
      </c>
      <c r="J69" s="3" t="n">
        <v>23320.0</v>
      </c>
      <c r="K69" s="3" t="n">
        <v>23990.0</v>
      </c>
      <c r="L69" s="3" t="n">
        <v>24916.0</v>
      </c>
      <c r="M69" s="3" t="n">
        <v>25597.0</v>
      </c>
      <c r="N69" s="3" t="n">
        <v>26699.0</v>
      </c>
      <c r="O69" s="3" t="n">
        <v>27108.0</v>
      </c>
      <c r="P69" s="3" t="n">
        <v>28400.0</v>
      </c>
      <c r="Q69" s="3" t="n">
        <v>29520.0</v>
      </c>
      <c r="R69" s="3" t="n">
        <v>28395.0</v>
      </c>
      <c r="S69" s="3" t="n">
        <v>28754.0</v>
      </c>
      <c r="T69" s="3" t="n">
        <v>29558.0</v>
      </c>
      <c r="U69" s="3" t="n">
        <v>29714.0</v>
      </c>
      <c r="V69" s="3" t="n">
        <v>29277.0</v>
      </c>
      <c r="W69" s="3" t="n">
        <v>30597.0</v>
      </c>
      <c r="X69" s="3" t="n">
        <v>31390.0</v>
      </c>
      <c r="Y69" s="3" t="n">
        <v>30569.0</v>
      </c>
      <c r="Z69" s="3" t="n">
        <v>29454.0</v>
      </c>
      <c r="AA69" s="3" t="n">
        <v>27502.0</v>
      </c>
      <c r="AB69" s="3" t="n">
        <v>26093.0</v>
      </c>
      <c r="AC69" s="3" t="n">
        <v>25279.0</v>
      </c>
      <c r="AD69" s="3" t="n">
        <v>24594.0</v>
      </c>
      <c r="AE69" s="3" t="n">
        <v>24604.0</v>
      </c>
      <c r="AF69" s="3" t="n">
        <v>23651.0</v>
      </c>
      <c r="AG69" s="3" t="n">
        <v>22118.0</v>
      </c>
      <c r="AH69" s="3" t="n">
        <v>21483.0</v>
      </c>
      <c r="AI69" s="3" t="n">
        <v>20457.0</v>
      </c>
      <c r="AJ69" s="3" t="n">
        <v>19014.0</v>
      </c>
      <c r="AK69" s="3" t="n">
        <v>18792.0</v>
      </c>
      <c r="AL69" s="3" t="n">
        <v>17793.0</v>
      </c>
      <c r="AM69" s="3" t="n">
        <v>17272.0</v>
      </c>
      <c r="AN69" s="3" t="n">
        <v>16759.0</v>
      </c>
      <c r="AO69" s="3" t="n">
        <v>16606.0</v>
      </c>
    </row>
    <row r="70" spans="1:41" x14ac:dyDescent="0.2">
      <c r="A70" s="128"/>
      <c r="B70" s="9">
        <v>61</v>
      </c>
      <c r="C70" s="3" t="n">
        <v>25568.0</v>
      </c>
      <c r="D70" s="3" t="n">
        <v>24800.0</v>
      </c>
      <c r="E70" s="3" t="n">
        <v>24114.0</v>
      </c>
      <c r="F70" s="3" t="n">
        <v>23362.0</v>
      </c>
      <c r="G70" s="3" t="n">
        <v>22938.0</v>
      </c>
      <c r="H70" s="3" t="n">
        <v>22311.0</v>
      </c>
      <c r="I70" s="3" t="n">
        <v>22455.0</v>
      </c>
      <c r="J70" s="3" t="n">
        <v>22607.0</v>
      </c>
      <c r="K70" s="3" t="n">
        <v>23048.0</v>
      </c>
      <c r="L70" s="3" t="n">
        <v>23708.0</v>
      </c>
      <c r="M70" s="3" t="n">
        <v>24632.0</v>
      </c>
      <c r="N70" s="3" t="n">
        <v>25300.0</v>
      </c>
      <c r="O70" s="3" t="n">
        <v>26394.0</v>
      </c>
      <c r="P70" s="3" t="n">
        <v>26803.0</v>
      </c>
      <c r="Q70" s="3" t="n">
        <v>28081.0</v>
      </c>
      <c r="R70" s="3" t="n">
        <v>29193.0</v>
      </c>
      <c r="S70" s="3" t="n">
        <v>28083.0</v>
      </c>
      <c r="T70" s="3" t="n">
        <v>28445.0</v>
      </c>
      <c r="U70" s="3" t="n">
        <v>29238.0</v>
      </c>
      <c r="V70" s="3" t="n">
        <v>29393.0</v>
      </c>
      <c r="W70" s="3" t="n">
        <v>28966.0</v>
      </c>
      <c r="X70" s="3" t="n">
        <v>30268.0</v>
      </c>
      <c r="Y70" s="3" t="n">
        <v>31053.0</v>
      </c>
      <c r="Z70" s="3" t="n">
        <v>30236.0</v>
      </c>
      <c r="AA70" s="3" t="n">
        <v>29137.0</v>
      </c>
      <c r="AB70" s="3" t="n">
        <v>27210.0</v>
      </c>
      <c r="AC70" s="3" t="n">
        <v>25826.0</v>
      </c>
      <c r="AD70" s="3" t="n">
        <v>25019.0</v>
      </c>
      <c r="AE70" s="3" t="n">
        <v>24336.0</v>
      </c>
      <c r="AF70" s="3" t="n">
        <v>24346.0</v>
      </c>
      <c r="AG70" s="3" t="n">
        <v>23405.0</v>
      </c>
      <c r="AH70" s="3" t="n">
        <v>21895.0</v>
      </c>
      <c r="AI70" s="3" t="n">
        <v>21260.0</v>
      </c>
      <c r="AJ70" s="3" t="n">
        <v>20244.0</v>
      </c>
      <c r="AK70" s="3" t="n">
        <v>18812.0</v>
      </c>
      <c r="AL70" s="3" t="n">
        <v>18593.0</v>
      </c>
      <c r="AM70" s="3" t="n">
        <v>17605.0</v>
      </c>
      <c r="AN70" s="3" t="n">
        <v>17095.0</v>
      </c>
      <c r="AO70" s="3" t="n">
        <v>16589.0</v>
      </c>
    </row>
    <row r="71" spans="1:41" x14ac:dyDescent="0.2">
      <c r="A71" s="128"/>
      <c r="B71" s="9">
        <v>62</v>
      </c>
      <c r="C71" s="3" t="n">
        <v>26713.0</v>
      </c>
      <c r="D71" s="3" t="n">
        <v>25213.0</v>
      </c>
      <c r="E71" s="3" t="n">
        <v>24458.0</v>
      </c>
      <c r="F71" s="3" t="n">
        <v>23791.0</v>
      </c>
      <c r="G71" s="3" t="n">
        <v>23053.0</v>
      </c>
      <c r="H71" s="3" t="n">
        <v>22645.0</v>
      </c>
      <c r="I71" s="3" t="n">
        <v>22033.0</v>
      </c>
      <c r="J71" s="3" t="n">
        <v>22171.0</v>
      </c>
      <c r="K71" s="3" t="n">
        <v>22314.0</v>
      </c>
      <c r="L71" s="3" t="n">
        <v>22753.0</v>
      </c>
      <c r="M71" s="3" t="n">
        <v>23404.0</v>
      </c>
      <c r="N71" s="3" t="n">
        <v>24314.0</v>
      </c>
      <c r="O71" s="3" t="n">
        <v>24979.0</v>
      </c>
      <c r="P71" s="3" t="n">
        <v>26059.0</v>
      </c>
      <c r="Q71" s="3" t="n">
        <v>26471.0</v>
      </c>
      <c r="R71" s="3" t="n">
        <v>27734.0</v>
      </c>
      <c r="S71" s="3" t="n">
        <v>28833.0</v>
      </c>
      <c r="T71" s="3" t="n">
        <v>27740.0</v>
      </c>
      <c r="U71" s="3" t="n">
        <v>28106.0</v>
      </c>
      <c r="V71" s="3" t="n">
        <v>28885.0</v>
      </c>
      <c r="W71" s="3" t="n">
        <v>29037.0</v>
      </c>
      <c r="X71" s="3" t="n">
        <v>28623.0</v>
      </c>
      <c r="Y71" s="3" t="n">
        <v>29905.0</v>
      </c>
      <c r="Z71" s="3" t="n">
        <v>30690.0</v>
      </c>
      <c r="AA71" s="3" t="n">
        <v>29874.0</v>
      </c>
      <c r="AB71" s="3" t="n">
        <v>28790.0</v>
      </c>
      <c r="AC71" s="3" t="n">
        <v>26884.0</v>
      </c>
      <c r="AD71" s="3" t="n">
        <v>25523.0</v>
      </c>
      <c r="AE71" s="3" t="n">
        <v>24722.0</v>
      </c>
      <c r="AF71" s="3" t="n">
        <v>24050.0</v>
      </c>
      <c r="AG71" s="3" t="n">
        <v>24062.0</v>
      </c>
      <c r="AH71" s="3" t="n">
        <v>23135.0</v>
      </c>
      <c r="AI71" s="3" t="n">
        <v>21640.0</v>
      </c>
      <c r="AJ71" s="3" t="n">
        <v>21022.0</v>
      </c>
      <c r="AK71" s="3" t="n">
        <v>20016.0</v>
      </c>
      <c r="AL71" s="3" t="n">
        <v>18601.0</v>
      </c>
      <c r="AM71" s="3" t="n">
        <v>18385.0</v>
      </c>
      <c r="AN71" s="3" t="n">
        <v>17400.0</v>
      </c>
      <c r="AO71" s="3" t="n">
        <v>16903.0</v>
      </c>
    </row>
    <row r="72" spans="1:41" x14ac:dyDescent="0.2">
      <c r="A72" s="128"/>
      <c r="B72" s="9">
        <v>63</v>
      </c>
      <c r="C72" s="3" t="n">
        <v>28111.0</v>
      </c>
      <c r="D72" s="3" t="n">
        <v>26323.0</v>
      </c>
      <c r="E72" s="3" t="n">
        <v>24844.0</v>
      </c>
      <c r="F72" s="3" t="n">
        <v>24100.0</v>
      </c>
      <c r="G72" s="3" t="n">
        <v>23448.0</v>
      </c>
      <c r="H72" s="3" t="n">
        <v>22725.0</v>
      </c>
      <c r="I72" s="3" t="n">
        <v>22336.0</v>
      </c>
      <c r="J72" s="3" t="n">
        <v>21728.0</v>
      </c>
      <c r="K72" s="3" t="n">
        <v>21860.0</v>
      </c>
      <c r="L72" s="3" t="n">
        <v>22004.0</v>
      </c>
      <c r="M72" s="3" t="n">
        <v>22438.0</v>
      </c>
      <c r="N72" s="3" t="n">
        <v>23080.0</v>
      </c>
      <c r="O72" s="3" t="n">
        <v>23980.0</v>
      </c>
      <c r="P72" s="3" t="n">
        <v>24635.0</v>
      </c>
      <c r="Q72" s="3" t="n">
        <v>25708.0</v>
      </c>
      <c r="R72" s="3" t="n">
        <v>26115.0</v>
      </c>
      <c r="S72" s="3" t="n">
        <v>27362.0</v>
      </c>
      <c r="T72" s="3" t="n">
        <v>28447.0</v>
      </c>
      <c r="U72" s="3" t="n">
        <v>27374.0</v>
      </c>
      <c r="V72" s="3" t="n">
        <v>27740.0</v>
      </c>
      <c r="W72" s="3" t="n">
        <v>28508.0</v>
      </c>
      <c r="X72" s="3" t="n">
        <v>28663.0</v>
      </c>
      <c r="Y72" s="3" t="n">
        <v>28245.0</v>
      </c>
      <c r="Z72" s="3" t="n">
        <v>29514.0</v>
      </c>
      <c r="AA72" s="3" t="n">
        <v>30289.0</v>
      </c>
      <c r="AB72" s="3" t="n">
        <v>29489.0</v>
      </c>
      <c r="AC72" s="3" t="n">
        <v>28417.0</v>
      </c>
      <c r="AD72" s="3" t="n">
        <v>26532.0</v>
      </c>
      <c r="AE72" s="3" t="n">
        <v>25199.0</v>
      </c>
      <c r="AF72" s="3" t="n">
        <v>24409.0</v>
      </c>
      <c r="AG72" s="3" t="n">
        <v>23748.0</v>
      </c>
      <c r="AH72" s="3" t="n">
        <v>23758.0</v>
      </c>
      <c r="AI72" s="3" t="n">
        <v>22843.0</v>
      </c>
      <c r="AJ72" s="3" t="n">
        <v>21369.0</v>
      </c>
      <c r="AK72" s="3" t="n">
        <v>20754.0</v>
      </c>
      <c r="AL72" s="3" t="n">
        <v>19756.0</v>
      </c>
      <c r="AM72" s="3" t="n">
        <v>18364.0</v>
      </c>
      <c r="AN72" s="3" t="n">
        <v>18141.0</v>
      </c>
      <c r="AO72" s="3" t="n">
        <v>17171.0</v>
      </c>
    </row>
    <row r="73" spans="1:41" x14ac:dyDescent="0.2">
      <c r="A73" s="128"/>
      <c r="B73" s="9">
        <v>64</v>
      </c>
      <c r="C73" s="3" t="n">
        <v>29158.0</v>
      </c>
      <c r="D73" s="3" t="n">
        <v>27662.0</v>
      </c>
      <c r="E73" s="3" t="n">
        <v>25910.0</v>
      </c>
      <c r="F73" s="3" t="n">
        <v>24449.0</v>
      </c>
      <c r="G73" s="3" t="n">
        <v>23726.0</v>
      </c>
      <c r="H73" s="3" t="n">
        <v>23095.0</v>
      </c>
      <c r="I73" s="3" t="n">
        <v>22383.0</v>
      </c>
      <c r="J73" s="3" t="n">
        <v>21998.0</v>
      </c>
      <c r="K73" s="3" t="n">
        <v>21398.0</v>
      </c>
      <c r="L73" s="3" t="n">
        <v>21531.0</v>
      </c>
      <c r="M73" s="3" t="n">
        <v>21677.0</v>
      </c>
      <c r="N73" s="3" t="n">
        <v>22102.0</v>
      </c>
      <c r="O73" s="3" t="n">
        <v>22732.0</v>
      </c>
      <c r="P73" s="3" t="n">
        <v>23627.0</v>
      </c>
      <c r="Q73" s="3" t="n">
        <v>24272.0</v>
      </c>
      <c r="R73" s="3" t="n">
        <v>25329.0</v>
      </c>
      <c r="S73" s="3" t="n">
        <v>25734.0</v>
      </c>
      <c r="T73" s="3" t="n">
        <v>26964.0</v>
      </c>
      <c r="U73" s="3" t="n">
        <v>28033.0</v>
      </c>
      <c r="V73" s="3" t="n">
        <v>26972.0</v>
      </c>
      <c r="W73" s="3" t="n">
        <v>27337.0</v>
      </c>
      <c r="X73" s="3" t="n">
        <v>28098.0</v>
      </c>
      <c r="Y73" s="3" t="n">
        <v>28256.0</v>
      </c>
      <c r="Z73" s="3" t="n">
        <v>27840.0</v>
      </c>
      <c r="AA73" s="3" t="n">
        <v>29089.0</v>
      </c>
      <c r="AB73" s="3" t="n">
        <v>29855.0</v>
      </c>
      <c r="AC73" s="3" t="n">
        <v>29068.0</v>
      </c>
      <c r="AD73" s="3" t="n">
        <v>28009.0</v>
      </c>
      <c r="AE73" s="3" t="n">
        <v>26157.0</v>
      </c>
      <c r="AF73" s="3" t="n">
        <v>24852.0</v>
      </c>
      <c r="AG73" s="3" t="n">
        <v>24066.0</v>
      </c>
      <c r="AH73" s="3" t="n">
        <v>23421.0</v>
      </c>
      <c r="AI73" s="3" t="n">
        <v>23435.0</v>
      </c>
      <c r="AJ73" s="3" t="n">
        <v>22529.0</v>
      </c>
      <c r="AK73" s="3" t="n">
        <v>21077.0</v>
      </c>
      <c r="AL73" s="3" t="n">
        <v>20473.0</v>
      </c>
      <c r="AM73" s="3" t="n">
        <v>19485.0</v>
      </c>
      <c r="AN73" s="3" t="n">
        <v>18116.0</v>
      </c>
      <c r="AO73" s="3" t="n">
        <v>17892.0</v>
      </c>
    </row>
    <row r="74" spans="1:41" x14ac:dyDescent="0.2">
      <c r="A74" s="128"/>
      <c r="B74" s="9">
        <v>65</v>
      </c>
      <c r="C74" s="3" t="n">
        <v>29340.0</v>
      </c>
      <c r="D74" s="3" t="n">
        <v>28654.0</v>
      </c>
      <c r="E74" s="3" t="n">
        <v>27188.0</v>
      </c>
      <c r="F74" s="3" t="n">
        <v>25466.0</v>
      </c>
      <c r="G74" s="3" t="n">
        <v>24031.0</v>
      </c>
      <c r="H74" s="3" t="n">
        <v>23329.0</v>
      </c>
      <c r="I74" s="3" t="n">
        <v>22710.0</v>
      </c>
      <c r="J74" s="3" t="n">
        <v>22005.0</v>
      </c>
      <c r="K74" s="3" t="n">
        <v>21626.0</v>
      </c>
      <c r="L74" s="3" t="n">
        <v>21040.0</v>
      </c>
      <c r="M74" s="3" t="n">
        <v>21166.0</v>
      </c>
      <c r="N74" s="3" t="n">
        <v>21312.0</v>
      </c>
      <c r="O74" s="3" t="n">
        <v>21735.0</v>
      </c>
      <c r="P74" s="3" t="n">
        <v>22362.0</v>
      </c>
      <c r="Q74" s="3" t="n">
        <v>23249.0</v>
      </c>
      <c r="R74" s="3" t="n">
        <v>23881.0</v>
      </c>
      <c r="S74" s="3" t="n">
        <v>24926.0</v>
      </c>
      <c r="T74" s="3" t="n">
        <v>25324.0</v>
      </c>
      <c r="U74" s="3" t="n">
        <v>26542.0</v>
      </c>
      <c r="V74" s="3" t="n">
        <v>27597.0</v>
      </c>
      <c r="W74" s="3" t="n">
        <v>26557.0</v>
      </c>
      <c r="X74" s="3" t="n">
        <v>26922.0</v>
      </c>
      <c r="Y74" s="3" t="n">
        <v>27668.0</v>
      </c>
      <c r="Z74" s="3" t="n">
        <v>27830.0</v>
      </c>
      <c r="AA74" s="3" t="n">
        <v>27415.0</v>
      </c>
      <c r="AB74" s="3" t="n">
        <v>28653.0</v>
      </c>
      <c r="AC74" s="3" t="n">
        <v>29412.0</v>
      </c>
      <c r="AD74" s="3" t="n">
        <v>28633.0</v>
      </c>
      <c r="AE74" s="3" t="n">
        <v>27584.0</v>
      </c>
      <c r="AF74" s="3" t="n">
        <v>25760.0</v>
      </c>
      <c r="AG74" s="3" t="n">
        <v>24484.0</v>
      </c>
      <c r="AH74" s="3" t="n">
        <v>23707.0</v>
      </c>
      <c r="AI74" s="3" t="n">
        <v>23068.0</v>
      </c>
      <c r="AJ74" s="3" t="n">
        <v>23084.0</v>
      </c>
      <c r="AK74" s="3" t="n">
        <v>22188.0</v>
      </c>
      <c r="AL74" s="3" t="n">
        <v>20760.0</v>
      </c>
      <c r="AM74" s="3" t="n">
        <v>20163.0</v>
      </c>
      <c r="AN74" s="3" t="n">
        <v>19196.0</v>
      </c>
      <c r="AO74" s="3" t="n">
        <v>17851.0</v>
      </c>
    </row>
    <row r="75" spans="1:41" x14ac:dyDescent="0.2">
      <c r="A75" s="128"/>
      <c r="B75" s="9">
        <v>66</v>
      </c>
      <c r="C75" s="3" t="n">
        <v>28505.0</v>
      </c>
      <c r="D75" s="3" t="n">
        <v>28803.0</v>
      </c>
      <c r="E75" s="3" t="n">
        <v>28137.0</v>
      </c>
      <c r="F75" s="3" t="n">
        <v>26699.0</v>
      </c>
      <c r="G75" s="3" t="n">
        <v>25017.0</v>
      </c>
      <c r="H75" s="3" t="n">
        <v>23609.0</v>
      </c>
      <c r="I75" s="3" t="n">
        <v>22916.0</v>
      </c>
      <c r="J75" s="3" t="n">
        <v>22313.0</v>
      </c>
      <c r="K75" s="3" t="n">
        <v>21617.0</v>
      </c>
      <c r="L75" s="3" t="n">
        <v>21253.0</v>
      </c>
      <c r="M75" s="3" t="n">
        <v>20680.0</v>
      </c>
      <c r="N75" s="3" t="n">
        <v>20804.0</v>
      </c>
      <c r="O75" s="3" t="n">
        <v>20954.0</v>
      </c>
      <c r="P75" s="3" t="n">
        <v>21363.0</v>
      </c>
      <c r="Q75" s="3" t="n">
        <v>21985.0</v>
      </c>
      <c r="R75" s="3" t="n">
        <v>22858.0</v>
      </c>
      <c r="S75" s="3" t="n">
        <v>23483.0</v>
      </c>
      <c r="T75" s="3" t="n">
        <v>24511.0</v>
      </c>
      <c r="U75" s="3" t="n">
        <v>24907.0</v>
      </c>
      <c r="V75" s="3" t="n">
        <v>26110.0</v>
      </c>
      <c r="W75" s="3" t="n">
        <v>27142.0</v>
      </c>
      <c r="X75" s="3" t="n">
        <v>26131.0</v>
      </c>
      <c r="Y75" s="3" t="n">
        <v>26480.0</v>
      </c>
      <c r="Z75" s="3" t="n">
        <v>27212.0</v>
      </c>
      <c r="AA75" s="3" t="n">
        <v>27384.0</v>
      </c>
      <c r="AB75" s="3" t="n">
        <v>26975.0</v>
      </c>
      <c r="AC75" s="3" t="n">
        <v>28194.0</v>
      </c>
      <c r="AD75" s="3" t="n">
        <v>28945.0</v>
      </c>
      <c r="AE75" s="3" t="n">
        <v>28181.0</v>
      </c>
      <c r="AF75" s="3" t="n">
        <v>27152.0</v>
      </c>
      <c r="AG75" s="3" t="n">
        <v>25355.0</v>
      </c>
      <c r="AH75" s="3" t="n">
        <v>24097.0</v>
      </c>
      <c r="AI75" s="3" t="n">
        <v>23338.0</v>
      </c>
      <c r="AJ75" s="3" t="n">
        <v>22710.0</v>
      </c>
      <c r="AK75" s="3" t="n">
        <v>22730.0</v>
      </c>
      <c r="AL75" s="3" t="n">
        <v>21851.0</v>
      </c>
      <c r="AM75" s="3" t="n">
        <v>20444.0</v>
      </c>
      <c r="AN75" s="3" t="n">
        <v>19858.0</v>
      </c>
      <c r="AO75" s="3" t="n">
        <v>18900.0</v>
      </c>
    </row>
    <row r="76" spans="1:41" x14ac:dyDescent="0.2">
      <c r="A76" s="128"/>
      <c r="B76" s="9">
        <v>67</v>
      </c>
      <c r="C76" s="3" t="n">
        <v>27812.0</v>
      </c>
      <c r="D76" s="3" t="n">
        <v>27944.0</v>
      </c>
      <c r="E76" s="3" t="n">
        <v>28236.0</v>
      </c>
      <c r="F76" s="3" t="n">
        <v>27588.0</v>
      </c>
      <c r="G76" s="3" t="n">
        <v>26181.0</v>
      </c>
      <c r="H76" s="3" t="n">
        <v>24549.0</v>
      </c>
      <c r="I76" s="3" t="n">
        <v>23167.0</v>
      </c>
      <c r="J76" s="3" t="n">
        <v>22494.0</v>
      </c>
      <c r="K76" s="3" t="n">
        <v>21902.0</v>
      </c>
      <c r="L76" s="3" t="n">
        <v>21221.0</v>
      </c>
      <c r="M76" s="3" t="n">
        <v>20873.0</v>
      </c>
      <c r="N76" s="3" t="n">
        <v>20310.0</v>
      </c>
      <c r="O76" s="3" t="n">
        <v>20435.0</v>
      </c>
      <c r="P76" s="3" t="n">
        <v>20583.0</v>
      </c>
      <c r="Q76" s="3" t="n">
        <v>20987.0</v>
      </c>
      <c r="R76" s="3" t="n">
        <v>21589.0</v>
      </c>
      <c r="S76" s="3" t="n">
        <v>22452.0</v>
      </c>
      <c r="T76" s="3" t="n">
        <v>23062.0</v>
      </c>
      <c r="U76" s="3" t="n">
        <v>24081.0</v>
      </c>
      <c r="V76" s="3" t="n">
        <v>24468.0</v>
      </c>
      <c r="W76" s="3" t="n">
        <v>25651.0</v>
      </c>
      <c r="X76" s="3" t="n">
        <v>26671.0</v>
      </c>
      <c r="Y76" s="3" t="n">
        <v>25679.0</v>
      </c>
      <c r="Z76" s="3" t="n">
        <v>26025.0</v>
      </c>
      <c r="AA76" s="3" t="n">
        <v>26742.0</v>
      </c>
      <c r="AB76" s="3" t="n">
        <v>26911.0</v>
      </c>
      <c r="AC76" s="3" t="n">
        <v>26512.0</v>
      </c>
      <c r="AD76" s="3" t="n">
        <v>27709.0</v>
      </c>
      <c r="AE76" s="3" t="n">
        <v>28454.0</v>
      </c>
      <c r="AF76" s="3" t="n">
        <v>27705.0</v>
      </c>
      <c r="AG76" s="3" t="n">
        <v>26696.0</v>
      </c>
      <c r="AH76" s="3" t="n">
        <v>24921.0</v>
      </c>
      <c r="AI76" s="3" t="n">
        <v>23694.0</v>
      </c>
      <c r="AJ76" s="3" t="n">
        <v>22952.0</v>
      </c>
      <c r="AK76" s="3" t="n">
        <v>22338.0</v>
      </c>
      <c r="AL76" s="3" t="n">
        <v>22351.0</v>
      </c>
      <c r="AM76" s="3" t="n">
        <v>21487.0</v>
      </c>
      <c r="AN76" s="3" t="n">
        <v>20106.0</v>
      </c>
      <c r="AO76" s="3" t="n">
        <v>19535.0</v>
      </c>
    </row>
    <row r="77" spans="1:41" x14ac:dyDescent="0.2">
      <c r="A77" s="128"/>
      <c r="B77" s="9">
        <v>68</v>
      </c>
      <c r="C77" s="3" t="n">
        <v>26264.0</v>
      </c>
      <c r="D77" s="3" t="n">
        <v>27222.0</v>
      </c>
      <c r="E77" s="3" t="n">
        <v>27354.0</v>
      </c>
      <c r="F77" s="3" t="n">
        <v>27644.0</v>
      </c>
      <c r="G77" s="3" t="n">
        <v>27018.0</v>
      </c>
      <c r="H77" s="3" t="n">
        <v>25654.0</v>
      </c>
      <c r="I77" s="3" t="n">
        <v>24058.0</v>
      </c>
      <c r="J77" s="3" t="n">
        <v>22690.0</v>
      </c>
      <c r="K77" s="3" t="n">
        <v>22032.0</v>
      </c>
      <c r="L77" s="3" t="n">
        <v>21459.0</v>
      </c>
      <c r="M77" s="3" t="n">
        <v>20795.0</v>
      </c>
      <c r="N77" s="3" t="n">
        <v>20456.0</v>
      </c>
      <c r="O77" s="3" t="n">
        <v>19909.0</v>
      </c>
      <c r="P77" s="3" t="n">
        <v>20032.0</v>
      </c>
      <c r="Q77" s="3" t="n">
        <v>20177.0</v>
      </c>
      <c r="R77" s="3" t="n">
        <v>20573.0</v>
      </c>
      <c r="S77" s="3" t="n">
        <v>21167.0</v>
      </c>
      <c r="T77" s="3" t="n">
        <v>22010.0</v>
      </c>
      <c r="U77" s="3" t="n">
        <v>22612.0</v>
      </c>
      <c r="V77" s="3" t="n">
        <v>23619.0</v>
      </c>
      <c r="W77" s="3" t="n">
        <v>23998.0</v>
      </c>
      <c r="X77" s="3" t="n">
        <v>25163.0</v>
      </c>
      <c r="Y77" s="3" t="n">
        <v>26167.0</v>
      </c>
      <c r="Z77" s="3" t="n">
        <v>25190.0</v>
      </c>
      <c r="AA77" s="3" t="n">
        <v>25537.0</v>
      </c>
      <c r="AB77" s="3" t="n">
        <v>26242.0</v>
      </c>
      <c r="AC77" s="3" t="n">
        <v>26414.0</v>
      </c>
      <c r="AD77" s="3" t="n">
        <v>26015.0</v>
      </c>
      <c r="AE77" s="3" t="n">
        <v>27200.0</v>
      </c>
      <c r="AF77" s="3" t="n">
        <v>27930.0</v>
      </c>
      <c r="AG77" s="3" t="n">
        <v>27196.0</v>
      </c>
      <c r="AH77" s="3" t="n">
        <v>26203.0</v>
      </c>
      <c r="AI77" s="3" t="n">
        <v>24467.0</v>
      </c>
      <c r="AJ77" s="3" t="n">
        <v>23266.0</v>
      </c>
      <c r="AK77" s="3" t="n">
        <v>22534.0</v>
      </c>
      <c r="AL77" s="3" t="n">
        <v>21934.0</v>
      </c>
      <c r="AM77" s="3" t="n">
        <v>21939.0</v>
      </c>
      <c r="AN77" s="3" t="n">
        <v>21098.0</v>
      </c>
      <c r="AO77" s="3" t="n">
        <v>19739.0</v>
      </c>
    </row>
    <row r="78" spans="1:41" x14ac:dyDescent="0.2">
      <c r="A78" s="128"/>
      <c r="B78" s="9">
        <v>69</v>
      </c>
      <c r="C78" s="3" t="n">
        <v>25312.0</v>
      </c>
      <c r="D78" s="3" t="n">
        <v>25665.0</v>
      </c>
      <c r="E78" s="3" t="n">
        <v>26610.0</v>
      </c>
      <c r="F78" s="3" t="n">
        <v>26744.0</v>
      </c>
      <c r="G78" s="3" t="n">
        <v>27025.0</v>
      </c>
      <c r="H78" s="3" t="n">
        <v>26423.0</v>
      </c>
      <c r="I78" s="3" t="n">
        <v>25093.0</v>
      </c>
      <c r="J78" s="3" t="n">
        <v>23537.0</v>
      </c>
      <c r="K78" s="3" t="n">
        <v>22199.0</v>
      </c>
      <c r="L78" s="3" t="n">
        <v>21554.0</v>
      </c>
      <c r="M78" s="3" t="n">
        <v>21004.0</v>
      </c>
      <c r="N78" s="3" t="n">
        <v>20350.0</v>
      </c>
      <c r="O78" s="3" t="n">
        <v>20031.0</v>
      </c>
      <c r="P78" s="3" t="n">
        <v>19491.0</v>
      </c>
      <c r="Q78" s="3" t="n">
        <v>19615.0</v>
      </c>
      <c r="R78" s="3" t="n">
        <v>19760.0</v>
      </c>
      <c r="S78" s="3" t="n">
        <v>20155.0</v>
      </c>
      <c r="T78" s="3" t="n">
        <v>20726.0</v>
      </c>
      <c r="U78" s="3" t="n">
        <v>21561.0</v>
      </c>
      <c r="V78" s="3" t="n">
        <v>22150.0</v>
      </c>
      <c r="W78" s="3" t="n">
        <v>23137.0</v>
      </c>
      <c r="X78" s="3" t="n">
        <v>23505.0</v>
      </c>
      <c r="Y78" s="3" t="n">
        <v>24651.0</v>
      </c>
      <c r="Z78" s="3" t="n">
        <v>25640.0</v>
      </c>
      <c r="AA78" s="3" t="n">
        <v>24686.0</v>
      </c>
      <c r="AB78" s="3" t="n">
        <v>25029.0</v>
      </c>
      <c r="AC78" s="3" t="n">
        <v>25718.0</v>
      </c>
      <c r="AD78" s="3" t="n">
        <v>25889.0</v>
      </c>
      <c r="AE78" s="3" t="n">
        <v>25501.0</v>
      </c>
      <c r="AF78" s="3" t="n">
        <v>26660.0</v>
      </c>
      <c r="AG78" s="3" t="n">
        <v>27382.0</v>
      </c>
      <c r="AH78" s="3" t="n">
        <v>26659.0</v>
      </c>
      <c r="AI78" s="3" t="n">
        <v>25688.0</v>
      </c>
      <c r="AJ78" s="3" t="n">
        <v>23989.0</v>
      </c>
      <c r="AK78" s="3" t="n">
        <v>22817.0</v>
      </c>
      <c r="AL78" s="3" t="n">
        <v>22101.0</v>
      </c>
      <c r="AM78" s="3" t="n">
        <v>21519.0</v>
      </c>
      <c r="AN78" s="3" t="n">
        <v>21523.0</v>
      </c>
      <c r="AO78" s="3" t="n">
        <v>20698.0</v>
      </c>
    </row>
    <row r="79" spans="1:41" x14ac:dyDescent="0.2">
      <c r="A79" s="128"/>
      <c r="B79" s="9">
        <v>70</v>
      </c>
      <c r="C79" s="3" t="n">
        <v>24316.0</v>
      </c>
      <c r="D79" s="3" t="n">
        <v>24701.0</v>
      </c>
      <c r="E79" s="3" t="n">
        <v>25051.0</v>
      </c>
      <c r="F79" s="3" t="n">
        <v>25979.0</v>
      </c>
      <c r="G79" s="3" t="n">
        <v>26110.0</v>
      </c>
      <c r="H79" s="3" t="n">
        <v>26384.0</v>
      </c>
      <c r="I79" s="3" t="n">
        <v>25806.0</v>
      </c>
      <c r="J79" s="3" t="n">
        <v>24508.0</v>
      </c>
      <c r="K79" s="3" t="n">
        <v>22990.0</v>
      </c>
      <c r="L79" s="3" t="n">
        <v>21689.0</v>
      </c>
      <c r="M79" s="3" t="n">
        <v>21055.0</v>
      </c>
      <c r="N79" s="3" t="n">
        <v>20521.0</v>
      </c>
      <c r="O79" s="3" t="n">
        <v>19889.0</v>
      </c>
      <c r="P79" s="3" t="n">
        <v>19582.0</v>
      </c>
      <c r="Q79" s="3" t="n">
        <v>19057.0</v>
      </c>
      <c r="R79" s="3" t="n">
        <v>19174.0</v>
      </c>
      <c r="S79" s="3" t="n">
        <v>19325.0</v>
      </c>
      <c r="T79" s="3" t="n">
        <v>19712.0</v>
      </c>
      <c r="U79" s="3" t="n">
        <v>20268.0</v>
      </c>
      <c r="V79" s="3" t="n">
        <v>21086.0</v>
      </c>
      <c r="W79" s="3" t="n">
        <v>21669.0</v>
      </c>
      <c r="X79" s="3" t="n">
        <v>22632.0</v>
      </c>
      <c r="Y79" s="3" t="n">
        <v>22996.0</v>
      </c>
      <c r="Z79" s="3" t="n">
        <v>24122.0</v>
      </c>
      <c r="AA79" s="3" t="n">
        <v>25088.0</v>
      </c>
      <c r="AB79" s="3" t="n">
        <v>24155.0</v>
      </c>
      <c r="AC79" s="3" t="n">
        <v>24498.0</v>
      </c>
      <c r="AD79" s="3" t="n">
        <v>25166.0</v>
      </c>
      <c r="AE79" s="3" t="n">
        <v>25341.0</v>
      </c>
      <c r="AF79" s="3" t="n">
        <v>24958.0</v>
      </c>
      <c r="AG79" s="3" t="n">
        <v>26093.0</v>
      </c>
      <c r="AH79" s="3" t="n">
        <v>26805.0</v>
      </c>
      <c r="AI79" s="3" t="n">
        <v>26099.0</v>
      </c>
      <c r="AJ79" s="3" t="n">
        <v>25150.0</v>
      </c>
      <c r="AK79" s="3" t="n">
        <v>23486.0</v>
      </c>
      <c r="AL79" s="3" t="n">
        <v>22345.0</v>
      </c>
      <c r="AM79" s="3" t="n">
        <v>21648.0</v>
      </c>
      <c r="AN79" s="3" t="n">
        <v>21077.0</v>
      </c>
      <c r="AO79" s="3" t="n">
        <v>21088.0</v>
      </c>
    </row>
    <row r="80" spans="1:41" x14ac:dyDescent="0.2">
      <c r="A80" s="128"/>
      <c r="B80" s="9">
        <v>71</v>
      </c>
      <c r="C80" s="3" t="n">
        <v>23511.0</v>
      </c>
      <c r="D80" s="3" t="n">
        <v>23705.0</v>
      </c>
      <c r="E80" s="3" t="n">
        <v>24080.0</v>
      </c>
      <c r="F80" s="3" t="n">
        <v>24429.0</v>
      </c>
      <c r="G80" s="3" t="n">
        <v>25336.0</v>
      </c>
      <c r="H80" s="3" t="n">
        <v>25471.0</v>
      </c>
      <c r="I80" s="3" t="n">
        <v>25737.0</v>
      </c>
      <c r="J80" s="3" t="n">
        <v>25190.0</v>
      </c>
      <c r="K80" s="3" t="n">
        <v>23921.0</v>
      </c>
      <c r="L80" s="3" t="n">
        <v>22438.0</v>
      </c>
      <c r="M80" s="3" t="n">
        <v>21171.0</v>
      </c>
      <c r="N80" s="3" t="n">
        <v>20552.0</v>
      </c>
      <c r="O80" s="3" t="n">
        <v>20036.0</v>
      </c>
      <c r="P80" s="3" t="n">
        <v>19422.0</v>
      </c>
      <c r="Q80" s="3" t="n">
        <v>19128.0</v>
      </c>
      <c r="R80" s="3" t="n">
        <v>18609.0</v>
      </c>
      <c r="S80" s="3" t="n">
        <v>18732.0</v>
      </c>
      <c r="T80" s="3" t="n">
        <v>18872.0</v>
      </c>
      <c r="U80" s="3" t="n">
        <v>19258.0</v>
      </c>
      <c r="V80" s="3" t="n">
        <v>19807.0</v>
      </c>
      <c r="W80" s="3" t="n">
        <v>20613.0</v>
      </c>
      <c r="X80" s="3" t="n">
        <v>21182.0</v>
      </c>
      <c r="Y80" s="3" t="n">
        <v>22129.0</v>
      </c>
      <c r="Z80" s="3" t="n">
        <v>22480.0</v>
      </c>
      <c r="AA80" s="3" t="n">
        <v>23580.0</v>
      </c>
      <c r="AB80" s="3" t="n">
        <v>24528.0</v>
      </c>
      <c r="AC80" s="3" t="n">
        <v>23620.0</v>
      </c>
      <c r="AD80" s="3" t="n">
        <v>23956.0</v>
      </c>
      <c r="AE80" s="3" t="n">
        <v>24611.0</v>
      </c>
      <c r="AF80" s="3" t="n">
        <v>24781.0</v>
      </c>
      <c r="AG80" s="3" t="n">
        <v>24414.0</v>
      </c>
      <c r="AH80" s="3" t="n">
        <v>25522.0</v>
      </c>
      <c r="AI80" s="3" t="n">
        <v>26223.0</v>
      </c>
      <c r="AJ80" s="3" t="n">
        <v>25534.0</v>
      </c>
      <c r="AK80" s="3" t="n">
        <v>24611.0</v>
      </c>
      <c r="AL80" s="3" t="n">
        <v>22984.0</v>
      </c>
      <c r="AM80" s="3" t="n">
        <v>21870.0</v>
      </c>
      <c r="AN80" s="3" t="n">
        <v>21187.0</v>
      </c>
      <c r="AO80" s="3" t="n">
        <v>20628.0</v>
      </c>
    </row>
    <row r="81" spans="1:41" x14ac:dyDescent="0.2">
      <c r="A81" s="128"/>
      <c r="B81" s="9">
        <v>72</v>
      </c>
      <c r="C81" s="3" t="n">
        <v>22700.0</v>
      </c>
      <c r="D81" s="3" t="n">
        <v>22870.0</v>
      </c>
      <c r="E81" s="3" t="n">
        <v>23072.0</v>
      </c>
      <c r="F81" s="3" t="n">
        <v>23432.0</v>
      </c>
      <c r="G81" s="3" t="n">
        <v>23776.0</v>
      </c>
      <c r="H81" s="3" t="n">
        <v>24664.0</v>
      </c>
      <c r="I81" s="3" t="n">
        <v>24800.0</v>
      </c>
      <c r="J81" s="3" t="n">
        <v>25059.0</v>
      </c>
      <c r="K81" s="3" t="n">
        <v>24536.0</v>
      </c>
      <c r="L81" s="3" t="n">
        <v>23303.0</v>
      </c>
      <c r="M81" s="3" t="n">
        <v>21870.0</v>
      </c>
      <c r="N81" s="3" t="n">
        <v>20635.0</v>
      </c>
      <c r="O81" s="3" t="n">
        <v>20033.0</v>
      </c>
      <c r="P81" s="3" t="n">
        <v>19538.0</v>
      </c>
      <c r="Q81" s="3" t="n">
        <v>18939.0</v>
      </c>
      <c r="R81" s="3" t="n">
        <v>18654.0</v>
      </c>
      <c r="S81" s="3" t="n">
        <v>18149.0</v>
      </c>
      <c r="T81" s="3" t="n">
        <v>18273.0</v>
      </c>
      <c r="U81" s="3" t="n">
        <v>18415.0</v>
      </c>
      <c r="V81" s="3" t="n">
        <v>18791.0</v>
      </c>
      <c r="W81" s="3" t="n">
        <v>19328.0</v>
      </c>
      <c r="X81" s="3" t="n">
        <v>20117.0</v>
      </c>
      <c r="Y81" s="3" t="n">
        <v>20673.0</v>
      </c>
      <c r="Z81" s="3" t="n">
        <v>21594.0</v>
      </c>
      <c r="AA81" s="3" t="n">
        <v>21942.0</v>
      </c>
      <c r="AB81" s="3" t="n">
        <v>23018.0</v>
      </c>
      <c r="AC81" s="3" t="n">
        <v>23946.0</v>
      </c>
      <c r="AD81" s="3" t="n">
        <v>23058.0</v>
      </c>
      <c r="AE81" s="3" t="n">
        <v>23397.0</v>
      </c>
      <c r="AF81" s="3" t="n">
        <v>24034.0</v>
      </c>
      <c r="AG81" s="3" t="n">
        <v>24202.0</v>
      </c>
      <c r="AH81" s="3" t="n">
        <v>23842.0</v>
      </c>
      <c r="AI81" s="3" t="n">
        <v>24924.0</v>
      </c>
      <c r="AJ81" s="3" t="n">
        <v>25613.0</v>
      </c>
      <c r="AK81" s="3" t="n">
        <v>24944.0</v>
      </c>
      <c r="AL81" s="3" t="n">
        <v>24046.0</v>
      </c>
      <c r="AM81" s="3" t="n">
        <v>22457.0</v>
      </c>
      <c r="AN81" s="3" t="n">
        <v>21372.0</v>
      </c>
      <c r="AO81" s="3" t="n">
        <v>20708.0</v>
      </c>
    </row>
    <row r="82" spans="1:41" x14ac:dyDescent="0.2">
      <c r="A82" s="128"/>
      <c r="B82" s="9">
        <v>73</v>
      </c>
      <c r="C82" s="3" t="n">
        <v>21542.0</v>
      </c>
      <c r="D82" s="3" t="n">
        <v>22031.0</v>
      </c>
      <c r="E82" s="3" t="n">
        <v>22203.0</v>
      </c>
      <c r="F82" s="3" t="n">
        <v>22404.0</v>
      </c>
      <c r="G82" s="3" t="n">
        <v>22756.0</v>
      </c>
      <c r="H82" s="3" t="n">
        <v>23093.0</v>
      </c>
      <c r="I82" s="3" t="n">
        <v>23968.0</v>
      </c>
      <c r="J82" s="3" t="n">
        <v>24097.0</v>
      </c>
      <c r="K82" s="3" t="n">
        <v>24355.0</v>
      </c>
      <c r="L82" s="3" t="n">
        <v>23847.0</v>
      </c>
      <c r="M82" s="3" t="n">
        <v>22653.0</v>
      </c>
      <c r="N82" s="3" t="n">
        <v>21268.0</v>
      </c>
      <c r="O82" s="3" t="n">
        <v>20068.0</v>
      </c>
      <c r="P82" s="3" t="n">
        <v>19489.0</v>
      </c>
      <c r="Q82" s="3" t="n">
        <v>19008.0</v>
      </c>
      <c r="R82" s="3" t="n">
        <v>18427.0</v>
      </c>
      <c r="S82" s="3" t="n">
        <v>18155.0</v>
      </c>
      <c r="T82" s="3" t="n">
        <v>17659.0</v>
      </c>
      <c r="U82" s="3" t="n">
        <v>17791.0</v>
      </c>
      <c r="V82" s="3" t="n">
        <v>17928.0</v>
      </c>
      <c r="W82" s="3" t="n">
        <v>18296.0</v>
      </c>
      <c r="X82" s="3" t="n">
        <v>18824.0</v>
      </c>
      <c r="Y82" s="3" t="n">
        <v>19592.0</v>
      </c>
      <c r="Z82" s="3" t="n">
        <v>20131.0</v>
      </c>
      <c r="AA82" s="3" t="n">
        <v>21029.0</v>
      </c>
      <c r="AB82" s="3" t="n">
        <v>21366.0</v>
      </c>
      <c r="AC82" s="3" t="n">
        <v>22419.0</v>
      </c>
      <c r="AD82" s="3" t="n">
        <v>23324.0</v>
      </c>
      <c r="AE82" s="3" t="n">
        <v>22468.0</v>
      </c>
      <c r="AF82" s="3" t="n">
        <v>22797.0</v>
      </c>
      <c r="AG82" s="3" t="n">
        <v>23419.0</v>
      </c>
      <c r="AH82" s="3" t="n">
        <v>23581.0</v>
      </c>
      <c r="AI82" s="3" t="n">
        <v>23229.0</v>
      </c>
      <c r="AJ82" s="3" t="n">
        <v>24289.0</v>
      </c>
      <c r="AK82" s="3" t="n">
        <v>24960.0</v>
      </c>
      <c r="AL82" s="3" t="n">
        <v>24310.0</v>
      </c>
      <c r="AM82" s="3" t="n">
        <v>23439.0</v>
      </c>
      <c r="AN82" s="3" t="n">
        <v>21895.0</v>
      </c>
      <c r="AO82" s="3" t="n">
        <v>20846.0</v>
      </c>
    </row>
    <row r="83" spans="1:41" x14ac:dyDescent="0.2">
      <c r="A83" s="128"/>
      <c r="B83" s="9">
        <v>74</v>
      </c>
      <c r="C83" s="3" t="n">
        <v>19898.0</v>
      </c>
      <c r="D83" s="3" t="n">
        <v>20864.0</v>
      </c>
      <c r="E83" s="3" t="n">
        <v>21345.0</v>
      </c>
      <c r="F83" s="3" t="n">
        <v>21518.0</v>
      </c>
      <c r="G83" s="3" t="n">
        <v>21719.0</v>
      </c>
      <c r="H83" s="3" t="n">
        <v>22059.0</v>
      </c>
      <c r="I83" s="3" t="n">
        <v>22386.0</v>
      </c>
      <c r="J83" s="3" t="n">
        <v>23241.0</v>
      </c>
      <c r="K83" s="3" t="n">
        <v>23373.0</v>
      </c>
      <c r="L83" s="3" t="n">
        <v>23626.0</v>
      </c>
      <c r="M83" s="3" t="n">
        <v>23139.0</v>
      </c>
      <c r="N83" s="3" t="n">
        <v>21984.0</v>
      </c>
      <c r="O83" s="3" t="n">
        <v>20651.0</v>
      </c>
      <c r="P83" s="3" t="n">
        <v>19486.0</v>
      </c>
      <c r="Q83" s="3" t="n">
        <v>18930.0</v>
      </c>
      <c r="R83" s="3" t="n">
        <v>18463.0</v>
      </c>
      <c r="S83" s="3" t="n">
        <v>17900.0</v>
      </c>
      <c r="T83" s="3" t="n">
        <v>17636.0</v>
      </c>
      <c r="U83" s="3" t="n">
        <v>17160.0</v>
      </c>
      <c r="V83" s="3" t="n">
        <v>17289.0</v>
      </c>
      <c r="W83" s="3" t="n">
        <v>17424.0</v>
      </c>
      <c r="X83" s="3" t="n">
        <v>17787.0</v>
      </c>
      <c r="Y83" s="3" t="n">
        <v>18301.0</v>
      </c>
      <c r="Z83" s="3" t="n">
        <v>19046.0</v>
      </c>
      <c r="AA83" s="3" t="n">
        <v>19569.0</v>
      </c>
      <c r="AB83" s="3" t="n">
        <v>20448.0</v>
      </c>
      <c r="AC83" s="3" t="n">
        <v>20783.0</v>
      </c>
      <c r="AD83" s="3" t="n">
        <v>21799.0</v>
      </c>
      <c r="AE83" s="3" t="n">
        <v>22691.0</v>
      </c>
      <c r="AF83" s="3" t="n">
        <v>21853.0</v>
      </c>
      <c r="AG83" s="3" t="n">
        <v>22181.0</v>
      </c>
      <c r="AH83" s="3" t="n">
        <v>22784.0</v>
      </c>
      <c r="AI83" s="3" t="n">
        <v>22937.0</v>
      </c>
      <c r="AJ83" s="3" t="n">
        <v>22598.0</v>
      </c>
      <c r="AK83" s="3" t="n">
        <v>23631.0</v>
      </c>
      <c r="AL83" s="3" t="n">
        <v>24284.0</v>
      </c>
      <c r="AM83" s="3" t="n">
        <v>23655.0</v>
      </c>
      <c r="AN83" s="3" t="n">
        <v>22810.0</v>
      </c>
      <c r="AO83" s="3" t="n">
        <v>21312.0</v>
      </c>
    </row>
    <row r="84" spans="1:41" x14ac:dyDescent="0.2">
      <c r="A84" s="128"/>
      <c r="B84" s="9">
        <v>75</v>
      </c>
      <c r="C84" s="3" t="n">
        <v>18035.0</v>
      </c>
      <c r="D84" s="3" t="n">
        <v>19218.0</v>
      </c>
      <c r="E84" s="3" t="n">
        <v>20159.0</v>
      </c>
      <c r="F84" s="3" t="n">
        <v>20625.0</v>
      </c>
      <c r="G84" s="3" t="n">
        <v>20797.0</v>
      </c>
      <c r="H84" s="3" t="n">
        <v>21010.0</v>
      </c>
      <c r="I84" s="3" t="n">
        <v>21337.0</v>
      </c>
      <c r="J84" s="3" t="n">
        <v>21651.0</v>
      </c>
      <c r="K84" s="3" t="n">
        <v>22486.0</v>
      </c>
      <c r="L84" s="3" t="n">
        <v>22622.0</v>
      </c>
      <c r="M84" s="3" t="n">
        <v>22868.0</v>
      </c>
      <c r="N84" s="3" t="n">
        <v>22393.0</v>
      </c>
      <c r="O84" s="3" t="n">
        <v>21271.0</v>
      </c>
      <c r="P84" s="3" t="n">
        <v>19995.0</v>
      </c>
      <c r="Q84" s="3" t="n">
        <v>18871.0</v>
      </c>
      <c r="R84" s="3" t="n">
        <v>18334.0</v>
      </c>
      <c r="S84" s="3" t="n">
        <v>17890.0</v>
      </c>
      <c r="T84" s="3" t="n">
        <v>17340.0</v>
      </c>
      <c r="U84" s="3" t="n">
        <v>17098.0</v>
      </c>
      <c r="V84" s="3" t="n">
        <v>16637.0</v>
      </c>
      <c r="W84" s="3" t="n">
        <v>16765.0</v>
      </c>
      <c r="X84" s="3" t="n">
        <v>16898.0</v>
      </c>
      <c r="Y84" s="3" t="n">
        <v>17250.0</v>
      </c>
      <c r="Z84" s="3" t="n">
        <v>17748.0</v>
      </c>
      <c r="AA84" s="3" t="n">
        <v>18471.0</v>
      </c>
      <c r="AB84" s="3" t="n">
        <v>18974.0</v>
      </c>
      <c r="AC84" s="3" t="n">
        <v>19828.0</v>
      </c>
      <c r="AD84" s="3" t="n">
        <v>20150.0</v>
      </c>
      <c r="AE84" s="3" t="n">
        <v>21147.0</v>
      </c>
      <c r="AF84" s="3" t="n">
        <v>22015.0</v>
      </c>
      <c r="AG84" s="3" t="n">
        <v>21209.0</v>
      </c>
      <c r="AH84" s="3" t="n">
        <v>21526.0</v>
      </c>
      <c r="AI84" s="3" t="n">
        <v>22112.0</v>
      </c>
      <c r="AJ84" s="3" t="n">
        <v>22269.0</v>
      </c>
      <c r="AK84" s="3" t="n">
        <v>21938.0</v>
      </c>
      <c r="AL84" s="3" t="n">
        <v>22939.0</v>
      </c>
      <c r="AM84" s="3" t="n">
        <v>23587.0</v>
      </c>
      <c r="AN84" s="3" t="n">
        <v>22974.0</v>
      </c>
      <c r="AO84" s="3" t="n">
        <v>22150.0</v>
      </c>
    </row>
    <row r="85" spans="1:41" x14ac:dyDescent="0.2">
      <c r="A85" s="128"/>
      <c r="B85" s="9">
        <v>76</v>
      </c>
      <c r="C85" s="3" t="n">
        <v>16603.0</v>
      </c>
      <c r="D85" s="3" t="n">
        <v>17365.0</v>
      </c>
      <c r="E85" s="3" t="n">
        <v>18514.0</v>
      </c>
      <c r="F85" s="3" t="n">
        <v>19417.0</v>
      </c>
      <c r="G85" s="3" t="n">
        <v>19884.0</v>
      </c>
      <c r="H85" s="3" t="n">
        <v>20061.0</v>
      </c>
      <c r="I85" s="3" t="n">
        <v>20270.0</v>
      </c>
      <c r="J85" s="3" t="n">
        <v>20589.0</v>
      </c>
      <c r="K85" s="3" t="n">
        <v>20898.0</v>
      </c>
      <c r="L85" s="3" t="n">
        <v>21710.0</v>
      </c>
      <c r="M85" s="3" t="n">
        <v>21838.0</v>
      </c>
      <c r="N85" s="3" t="n">
        <v>22081.0</v>
      </c>
      <c r="O85" s="3" t="n">
        <v>21624.0</v>
      </c>
      <c r="P85" s="3" t="n">
        <v>20546.0</v>
      </c>
      <c r="Q85" s="3" t="n">
        <v>19328.0</v>
      </c>
      <c r="R85" s="3" t="n">
        <v>18236.0</v>
      </c>
      <c r="S85" s="3" t="n">
        <v>17724.0</v>
      </c>
      <c r="T85" s="3" t="n">
        <v>17296.0</v>
      </c>
      <c r="U85" s="3" t="n">
        <v>16765.0</v>
      </c>
      <c r="V85" s="3" t="n">
        <v>16536.0</v>
      </c>
      <c r="W85" s="3" t="n">
        <v>16085.0</v>
      </c>
      <c r="X85" s="3" t="n">
        <v>16210.0</v>
      </c>
      <c r="Y85" s="3" t="n">
        <v>16346.0</v>
      </c>
      <c r="Z85" s="3" t="n">
        <v>16687.0</v>
      </c>
      <c r="AA85" s="3" t="n">
        <v>17166.0</v>
      </c>
      <c r="AB85" s="3" t="n">
        <v>17873.0</v>
      </c>
      <c r="AC85" s="3" t="n">
        <v>18366.0</v>
      </c>
      <c r="AD85" s="3" t="n">
        <v>19188.0</v>
      </c>
      <c r="AE85" s="3" t="n">
        <v>19506.0</v>
      </c>
      <c r="AF85" s="3" t="n">
        <v>20465.0</v>
      </c>
      <c r="AG85" s="3" t="n">
        <v>21314.0</v>
      </c>
      <c r="AH85" s="3" t="n">
        <v>20541.0</v>
      </c>
      <c r="AI85" s="3" t="n">
        <v>20847.0</v>
      </c>
      <c r="AJ85" s="3" t="n">
        <v>21413.0</v>
      </c>
      <c r="AK85" s="3" t="n">
        <v>21568.0</v>
      </c>
      <c r="AL85" s="3" t="n">
        <v>21248.0</v>
      </c>
      <c r="AM85" s="3" t="n">
        <v>22220.0</v>
      </c>
      <c r="AN85" s="3" t="n">
        <v>22847.0</v>
      </c>
      <c r="AO85" s="3" t="n">
        <v>22258.0</v>
      </c>
    </row>
    <row r="86" spans="1:41" x14ac:dyDescent="0.2">
      <c r="A86" s="128"/>
      <c r="B86" s="9">
        <v>77</v>
      </c>
      <c r="C86" s="3" t="n">
        <v>9744.0</v>
      </c>
      <c r="D86" s="3" t="n">
        <v>15946.0</v>
      </c>
      <c r="E86" s="3" t="n">
        <v>16686.0</v>
      </c>
      <c r="F86" s="3" t="n">
        <v>17788.0</v>
      </c>
      <c r="G86" s="3" t="n">
        <v>18663.0</v>
      </c>
      <c r="H86" s="3" t="n">
        <v>19126.0</v>
      </c>
      <c r="I86" s="3" t="n">
        <v>19293.0</v>
      </c>
      <c r="J86" s="3" t="n">
        <v>19497.0</v>
      </c>
      <c r="K86" s="3" t="n">
        <v>19818.0</v>
      </c>
      <c r="L86" s="3" t="n">
        <v>20114.0</v>
      </c>
      <c r="M86" s="3" t="n">
        <v>20890.0</v>
      </c>
      <c r="N86" s="3" t="n">
        <v>21016.0</v>
      </c>
      <c r="O86" s="3" t="n">
        <v>21256.0</v>
      </c>
      <c r="P86" s="3" t="n">
        <v>20822.0</v>
      </c>
      <c r="Q86" s="3" t="n">
        <v>19794.0</v>
      </c>
      <c r="R86" s="3" t="n">
        <v>18623.0</v>
      </c>
      <c r="S86" s="3" t="n">
        <v>17571.0</v>
      </c>
      <c r="T86" s="3" t="n">
        <v>17083.0</v>
      </c>
      <c r="U86" s="3" t="n">
        <v>16675.0</v>
      </c>
      <c r="V86" s="3" t="n">
        <v>16168.0</v>
      </c>
      <c r="W86" s="3" t="n">
        <v>15955.0</v>
      </c>
      <c r="X86" s="3" t="n">
        <v>15515.0</v>
      </c>
      <c r="Y86" s="3" t="n">
        <v>15643.0</v>
      </c>
      <c r="Z86" s="3" t="n">
        <v>15775.0</v>
      </c>
      <c r="AA86" s="3" t="n">
        <v>16105.0</v>
      </c>
      <c r="AB86" s="3" t="n">
        <v>16567.0</v>
      </c>
      <c r="AC86" s="3" t="n">
        <v>17252.0</v>
      </c>
      <c r="AD86" s="3" t="n">
        <v>17724.0</v>
      </c>
      <c r="AE86" s="3" t="n">
        <v>18525.0</v>
      </c>
      <c r="AF86" s="3" t="n">
        <v>18828.0</v>
      </c>
      <c r="AG86" s="3" t="n">
        <v>19759.0</v>
      </c>
      <c r="AH86" s="3" t="n">
        <v>20575.0</v>
      </c>
      <c r="AI86" s="3" t="n">
        <v>19827.0</v>
      </c>
      <c r="AJ86" s="3" t="n">
        <v>20137.0</v>
      </c>
      <c r="AK86" s="3" t="n">
        <v>20680.0</v>
      </c>
      <c r="AL86" s="3" t="n">
        <v>20836.0</v>
      </c>
      <c r="AM86" s="3" t="n">
        <v>20525.0</v>
      </c>
      <c r="AN86" s="3" t="n">
        <v>21462.0</v>
      </c>
      <c r="AO86" s="3" t="n">
        <v>22073.0</v>
      </c>
    </row>
    <row r="87" spans="1:41" x14ac:dyDescent="0.2">
      <c r="A87" s="128"/>
      <c r="B87" s="9">
        <v>78</v>
      </c>
      <c r="C87" s="3" t="n">
        <v>9243.0</v>
      </c>
      <c r="D87" s="3" t="n">
        <v>9318.0</v>
      </c>
      <c r="E87" s="3" t="n">
        <v>15271.0</v>
      </c>
      <c r="F87" s="3" t="n">
        <v>15980.0</v>
      </c>
      <c r="G87" s="3" t="n">
        <v>17038.0</v>
      </c>
      <c r="H87" s="3" t="n">
        <v>17882.0</v>
      </c>
      <c r="I87" s="3" t="n">
        <v>18338.0</v>
      </c>
      <c r="J87" s="3" t="n">
        <v>18506.0</v>
      </c>
      <c r="K87" s="3" t="n">
        <v>18710.0</v>
      </c>
      <c r="L87" s="3" t="n">
        <v>19021.0</v>
      </c>
      <c r="M87" s="3" t="n">
        <v>19306.0</v>
      </c>
      <c r="N87" s="3" t="n">
        <v>20054.0</v>
      </c>
      <c r="O87" s="3" t="n">
        <v>20174.0</v>
      </c>
      <c r="P87" s="3" t="n">
        <v>20413.0</v>
      </c>
      <c r="Q87" s="3" t="n">
        <v>20006.0</v>
      </c>
      <c r="R87" s="3" t="n">
        <v>19014.0</v>
      </c>
      <c r="S87" s="3" t="n">
        <v>17895.0</v>
      </c>
      <c r="T87" s="3" t="n">
        <v>16879.0</v>
      </c>
      <c r="U87" s="3" t="n">
        <v>16417.0</v>
      </c>
      <c r="V87" s="3" t="n">
        <v>16034.0</v>
      </c>
      <c r="W87" s="3" t="n">
        <v>15546.0</v>
      </c>
      <c r="X87" s="3" t="n">
        <v>15346.0</v>
      </c>
      <c r="Y87" s="3" t="n">
        <v>14926.0</v>
      </c>
      <c r="Z87" s="3" t="n">
        <v>15049.0</v>
      </c>
      <c r="AA87" s="3" t="n">
        <v>15172.0</v>
      </c>
      <c r="AB87" s="3" t="n">
        <v>15497.0</v>
      </c>
      <c r="AC87" s="3" t="n">
        <v>15942.0</v>
      </c>
      <c r="AD87" s="3" t="n">
        <v>16605.0</v>
      </c>
      <c r="AE87" s="3" t="n">
        <v>17068.0</v>
      </c>
      <c r="AF87" s="3" t="n">
        <v>17835.0</v>
      </c>
      <c r="AG87" s="3" t="n">
        <v>18127.0</v>
      </c>
      <c r="AH87" s="3" t="n">
        <v>19029.0</v>
      </c>
      <c r="AI87" s="3" t="n">
        <v>19816.0</v>
      </c>
      <c r="AJ87" s="3" t="n">
        <v>19098.0</v>
      </c>
      <c r="AK87" s="3" t="n">
        <v>19402.0</v>
      </c>
      <c r="AL87" s="3" t="n">
        <v>19916.0</v>
      </c>
      <c r="AM87" s="3" t="n">
        <v>20078.0</v>
      </c>
      <c r="AN87" s="3" t="n">
        <v>19778.0</v>
      </c>
      <c r="AO87" s="3" t="n">
        <v>20676.0</v>
      </c>
    </row>
    <row r="88" spans="1:41" x14ac:dyDescent="0.2">
      <c r="A88" s="128"/>
      <c r="B88" s="9">
        <v>79</v>
      </c>
      <c r="C88" s="3" t="n">
        <v>9303.0</v>
      </c>
      <c r="D88" s="3" t="n">
        <v>8807.0</v>
      </c>
      <c r="E88" s="3" t="n">
        <v>8881.0</v>
      </c>
      <c r="F88" s="3" t="n">
        <v>14557.0</v>
      </c>
      <c r="G88" s="3" t="n">
        <v>15244.0</v>
      </c>
      <c r="H88" s="3" t="n">
        <v>16257.0</v>
      </c>
      <c r="I88" s="3" t="n">
        <v>17076.0</v>
      </c>
      <c r="J88" s="3" t="n">
        <v>17518.0</v>
      </c>
      <c r="K88" s="3" t="n">
        <v>17680.0</v>
      </c>
      <c r="L88" s="3" t="n">
        <v>17886.0</v>
      </c>
      <c r="M88" s="3" t="n">
        <v>18182.0</v>
      </c>
      <c r="N88" s="3" t="n">
        <v>18461.0</v>
      </c>
      <c r="O88" s="3" t="n">
        <v>19176.0</v>
      </c>
      <c r="P88" s="3" t="n">
        <v>19289.0</v>
      </c>
      <c r="Q88" s="3" t="n">
        <v>19527.0</v>
      </c>
      <c r="R88" s="3" t="n">
        <v>19135.0</v>
      </c>
      <c r="S88" s="3" t="n">
        <v>18199.0</v>
      </c>
      <c r="T88" s="3" t="n">
        <v>17131.0</v>
      </c>
      <c r="U88" s="3" t="n">
        <v>16158.0</v>
      </c>
      <c r="V88" s="3" t="n">
        <v>15720.0</v>
      </c>
      <c r="W88" s="3" t="n">
        <v>15359.0</v>
      </c>
      <c r="X88" s="3" t="n">
        <v>14885.0</v>
      </c>
      <c r="Y88" s="3" t="n">
        <v>14703.0</v>
      </c>
      <c r="Z88" s="3" t="n">
        <v>14303.0</v>
      </c>
      <c r="AA88" s="3" t="n">
        <v>14421.0</v>
      </c>
      <c r="AB88" s="3" t="n">
        <v>14543.0</v>
      </c>
      <c r="AC88" s="3" t="n">
        <v>14850.0</v>
      </c>
      <c r="AD88" s="3" t="n">
        <v>15276.0</v>
      </c>
      <c r="AE88" s="3" t="n">
        <v>15922.0</v>
      </c>
      <c r="AF88" s="3" t="n">
        <v>16368.0</v>
      </c>
      <c r="AG88" s="3" t="n">
        <v>17107.0</v>
      </c>
      <c r="AH88" s="3" t="n">
        <v>17392.0</v>
      </c>
      <c r="AI88" s="3" t="n">
        <v>18246.0</v>
      </c>
      <c r="AJ88" s="3" t="n">
        <v>19013.0</v>
      </c>
      <c r="AK88" s="3" t="n">
        <v>18321.0</v>
      </c>
      <c r="AL88" s="3" t="n">
        <v>18618.0</v>
      </c>
      <c r="AM88" s="3" t="n">
        <v>19118.0</v>
      </c>
      <c r="AN88" s="3" t="n">
        <v>19273.0</v>
      </c>
      <c r="AO88" s="3" t="n">
        <v>18988.0</v>
      </c>
    </row>
    <row r="89" spans="1:41" x14ac:dyDescent="0.2">
      <c r="A89" s="128"/>
      <c r="B89" s="9">
        <v>80</v>
      </c>
      <c r="C89" s="3" t="n">
        <v>8964.0</v>
      </c>
      <c r="D89" s="3" t="n">
        <v>8815.0</v>
      </c>
      <c r="E89" s="3" t="n">
        <v>8352.0</v>
      </c>
      <c r="F89" s="3" t="n">
        <v>8432.0</v>
      </c>
      <c r="G89" s="3" t="n">
        <v>13817.0</v>
      </c>
      <c r="H89" s="3" t="n">
        <v>14477.0</v>
      </c>
      <c r="I89" s="3" t="n">
        <v>15445.0</v>
      </c>
      <c r="J89" s="3" t="n">
        <v>16227.0</v>
      </c>
      <c r="K89" s="3" t="n">
        <v>16660.0</v>
      </c>
      <c r="L89" s="3" t="n">
        <v>16823.0</v>
      </c>
      <c r="M89" s="3" t="n">
        <v>17023.0</v>
      </c>
      <c r="N89" s="3" t="n">
        <v>17311.0</v>
      </c>
      <c r="O89" s="3" t="n">
        <v>17577.0</v>
      </c>
      <c r="P89" s="3" t="n">
        <v>18258.0</v>
      </c>
      <c r="Q89" s="3" t="n">
        <v>18373.0</v>
      </c>
      <c r="R89" s="3" t="n">
        <v>18600.0</v>
      </c>
      <c r="S89" s="3" t="n">
        <v>18230.0</v>
      </c>
      <c r="T89" s="3" t="n">
        <v>17336.0</v>
      </c>
      <c r="U89" s="3" t="n">
        <v>16335.0</v>
      </c>
      <c r="V89" s="3" t="n">
        <v>15403.0</v>
      </c>
      <c r="W89" s="3" t="n">
        <v>14989.0</v>
      </c>
      <c r="X89" s="3" t="n">
        <v>14654.0</v>
      </c>
      <c r="Y89" s="3" t="n">
        <v>14199.0</v>
      </c>
      <c r="Z89" s="3" t="n">
        <v>14029.0</v>
      </c>
      <c r="AA89" s="3" t="n">
        <v>13643.0</v>
      </c>
      <c r="AB89" s="3" t="n">
        <v>13760.0</v>
      </c>
      <c r="AC89" s="3" t="n">
        <v>13878.0</v>
      </c>
      <c r="AD89" s="3" t="n">
        <v>14170.0</v>
      </c>
      <c r="AE89" s="3" t="n">
        <v>14581.0</v>
      </c>
      <c r="AF89" s="3" t="n">
        <v>15200.0</v>
      </c>
      <c r="AG89" s="3" t="n">
        <v>15628.0</v>
      </c>
      <c r="AH89" s="3" t="n">
        <v>16339.0</v>
      </c>
      <c r="AI89" s="3" t="n">
        <v>16610.0</v>
      </c>
      <c r="AJ89" s="3" t="n">
        <v>17434.0</v>
      </c>
      <c r="AK89" s="3" t="n">
        <v>18174.0</v>
      </c>
      <c r="AL89" s="3" t="n">
        <v>17510.0</v>
      </c>
      <c r="AM89" s="3" t="n">
        <v>17799.0</v>
      </c>
      <c r="AN89" s="3" t="n">
        <v>18270.0</v>
      </c>
      <c r="AO89" s="3" t="n">
        <v>18421.0</v>
      </c>
    </row>
    <row r="90" spans="1:41" x14ac:dyDescent="0.2">
      <c r="A90" s="128"/>
      <c r="B90" s="9">
        <v>81</v>
      </c>
      <c r="C90" s="3" t="n">
        <v>8723.0</v>
      </c>
      <c r="D90" s="3" t="n">
        <v>8445.0</v>
      </c>
      <c r="E90" s="3" t="n">
        <v>8314.0</v>
      </c>
      <c r="F90" s="3" t="n">
        <v>7885.0</v>
      </c>
      <c r="G90" s="3" t="n">
        <v>7964.0</v>
      </c>
      <c r="H90" s="3" t="n">
        <v>13056.0</v>
      </c>
      <c r="I90" s="3" t="n">
        <v>13680.0</v>
      </c>
      <c r="J90" s="3" t="n">
        <v>14598.0</v>
      </c>
      <c r="K90" s="3" t="n">
        <v>15342.0</v>
      </c>
      <c r="L90" s="3" t="n">
        <v>15762.0</v>
      </c>
      <c r="M90" s="3" t="n">
        <v>15921.0</v>
      </c>
      <c r="N90" s="3" t="n">
        <v>16111.0</v>
      </c>
      <c r="O90" s="3" t="n">
        <v>16397.0</v>
      </c>
      <c r="P90" s="3" t="n">
        <v>16646.0</v>
      </c>
      <c r="Q90" s="3" t="n">
        <v>17300.0</v>
      </c>
      <c r="R90" s="3" t="n">
        <v>17398.0</v>
      </c>
      <c r="S90" s="3" t="n">
        <v>17622.0</v>
      </c>
      <c r="T90" s="3" t="n">
        <v>17279.0</v>
      </c>
      <c r="U90" s="3" t="n">
        <v>16437.0</v>
      </c>
      <c r="V90" s="3" t="n">
        <v>15492.0</v>
      </c>
      <c r="W90" s="3" t="n">
        <v>14612.0</v>
      </c>
      <c r="X90" s="3" t="n">
        <v>14218.0</v>
      </c>
      <c r="Y90" s="3" t="n">
        <v>13913.0</v>
      </c>
      <c r="Z90" s="3" t="n">
        <v>13474.0</v>
      </c>
      <c r="AA90" s="3" t="n">
        <v>13316.0</v>
      </c>
      <c r="AB90" s="3" t="n">
        <v>12956.0</v>
      </c>
      <c r="AC90" s="3" t="n">
        <v>13067.0</v>
      </c>
      <c r="AD90" s="3" t="n">
        <v>13178.0</v>
      </c>
      <c r="AE90" s="3" t="n">
        <v>13460.0</v>
      </c>
      <c r="AF90" s="3" t="n">
        <v>13852.0</v>
      </c>
      <c r="AG90" s="3" t="n">
        <v>14442.0</v>
      </c>
      <c r="AH90" s="3" t="n">
        <v>14851.0</v>
      </c>
      <c r="AI90" s="3" t="n">
        <v>15522.0</v>
      </c>
      <c r="AJ90" s="3" t="n">
        <v>15786.0</v>
      </c>
      <c r="AK90" s="3" t="n">
        <v>16579.0</v>
      </c>
      <c r="AL90" s="3" t="n">
        <v>17273.0</v>
      </c>
      <c r="AM90" s="3" t="n">
        <v>16648.0</v>
      </c>
      <c r="AN90" s="3" t="n">
        <v>16923.0</v>
      </c>
      <c r="AO90" s="3" t="n">
        <v>17376.0</v>
      </c>
    </row>
    <row r="91" spans="1:41" x14ac:dyDescent="0.2">
      <c r="A91" s="128"/>
      <c r="B91" s="9">
        <v>82</v>
      </c>
      <c r="C91" s="3" t="n">
        <v>8244.0</v>
      </c>
      <c r="D91" s="3" t="n">
        <v>8156.0</v>
      </c>
      <c r="E91" s="3" t="n">
        <v>7900.0</v>
      </c>
      <c r="F91" s="3" t="n">
        <v>7786.0</v>
      </c>
      <c r="G91" s="3" t="n">
        <v>7389.0</v>
      </c>
      <c r="H91" s="3" t="n">
        <v>7459.0</v>
      </c>
      <c r="I91" s="3" t="n">
        <v>12239.0</v>
      </c>
      <c r="J91" s="3" t="n">
        <v>12837.0</v>
      </c>
      <c r="K91" s="3" t="n">
        <v>13705.0</v>
      </c>
      <c r="L91" s="3" t="n">
        <v>14403.0</v>
      </c>
      <c r="M91" s="3" t="n">
        <v>14806.0</v>
      </c>
      <c r="N91" s="3" t="n">
        <v>14957.0</v>
      </c>
      <c r="O91" s="3" t="n">
        <v>15150.0</v>
      </c>
      <c r="P91" s="3" t="n">
        <v>15418.0</v>
      </c>
      <c r="Q91" s="3" t="n">
        <v>15659.0</v>
      </c>
      <c r="R91" s="3" t="n">
        <v>16274.0</v>
      </c>
      <c r="S91" s="3" t="n">
        <v>16369.0</v>
      </c>
      <c r="T91" s="3" t="n">
        <v>16586.0</v>
      </c>
      <c r="U91" s="3" t="n">
        <v>16273.0</v>
      </c>
      <c r="V91" s="3" t="n">
        <v>15482.0</v>
      </c>
      <c r="W91" s="3" t="n">
        <v>14591.0</v>
      </c>
      <c r="X91" s="3" t="n">
        <v>13768.0</v>
      </c>
      <c r="Y91" s="3" t="n">
        <v>13398.0</v>
      </c>
      <c r="Z91" s="3" t="n">
        <v>13119.0</v>
      </c>
      <c r="AA91" s="3" t="n">
        <v>12705.0</v>
      </c>
      <c r="AB91" s="3" t="n">
        <v>12559.0</v>
      </c>
      <c r="AC91" s="3" t="n">
        <v>12214.0</v>
      </c>
      <c r="AD91" s="3" t="n">
        <v>12327.0</v>
      </c>
      <c r="AE91" s="3" t="n">
        <v>12431.0</v>
      </c>
      <c r="AF91" s="3" t="n">
        <v>12702.0</v>
      </c>
      <c r="AG91" s="3" t="n">
        <v>13072.0</v>
      </c>
      <c r="AH91" s="3" t="n">
        <v>13635.0</v>
      </c>
      <c r="AI91" s="3" t="n">
        <v>14015.0</v>
      </c>
      <c r="AJ91" s="3" t="n">
        <v>14654.0</v>
      </c>
      <c r="AK91" s="3" t="n">
        <v>14909.0</v>
      </c>
      <c r="AL91" s="3" t="n">
        <v>15657.0</v>
      </c>
      <c r="AM91" s="3" t="n">
        <v>16315.0</v>
      </c>
      <c r="AN91" s="3" t="n">
        <v>15730.0</v>
      </c>
      <c r="AO91" s="3" t="n">
        <v>15995.0</v>
      </c>
    </row>
    <row r="92" spans="1:41" x14ac:dyDescent="0.2">
      <c r="A92" s="128"/>
      <c r="B92" s="9">
        <v>83</v>
      </c>
      <c r="C92" s="3" t="n">
        <v>7675.0</v>
      </c>
      <c r="D92" s="3" t="n">
        <v>7639.0</v>
      </c>
      <c r="E92" s="3" t="n">
        <v>7563.0</v>
      </c>
      <c r="F92" s="3" t="n">
        <v>7325.0</v>
      </c>
      <c r="G92" s="3" t="n">
        <v>7226.0</v>
      </c>
      <c r="H92" s="3" t="n">
        <v>6861.0</v>
      </c>
      <c r="I92" s="3" t="n">
        <v>6935.0</v>
      </c>
      <c r="J92" s="3" t="n">
        <v>11373.0</v>
      </c>
      <c r="K92" s="3" t="n">
        <v>11937.0</v>
      </c>
      <c r="L92" s="3" t="n">
        <v>12750.0</v>
      </c>
      <c r="M92" s="3" t="n">
        <v>13404.0</v>
      </c>
      <c r="N92" s="3" t="n">
        <v>13790.0</v>
      </c>
      <c r="O92" s="3" t="n">
        <v>13937.0</v>
      </c>
      <c r="P92" s="3" t="n">
        <v>14116.0</v>
      </c>
      <c r="Q92" s="3" t="n">
        <v>14371.0</v>
      </c>
      <c r="R92" s="3" t="n">
        <v>14599.0</v>
      </c>
      <c r="S92" s="3" t="n">
        <v>15188.0</v>
      </c>
      <c r="T92" s="3" t="n">
        <v>15272.0</v>
      </c>
      <c r="U92" s="3" t="n">
        <v>15486.0</v>
      </c>
      <c r="V92" s="3" t="n">
        <v>15197.0</v>
      </c>
      <c r="W92" s="3" t="n">
        <v>14456.0</v>
      </c>
      <c r="X92" s="3" t="n">
        <v>13623.0</v>
      </c>
      <c r="Y92" s="3" t="n">
        <v>12865.0</v>
      </c>
      <c r="Z92" s="3" t="n">
        <v>12520.0</v>
      </c>
      <c r="AA92" s="3" t="n">
        <v>12257.0</v>
      </c>
      <c r="AB92" s="3" t="n">
        <v>11877.0</v>
      </c>
      <c r="AC92" s="3" t="n">
        <v>11746.0</v>
      </c>
      <c r="AD92" s="3" t="n">
        <v>11418.0</v>
      </c>
      <c r="AE92" s="3" t="n">
        <v>11531.0</v>
      </c>
      <c r="AF92" s="3" t="n">
        <v>11626.0</v>
      </c>
      <c r="AG92" s="3" t="n">
        <v>11888.0</v>
      </c>
      <c r="AH92" s="3" t="n">
        <v>12235.0</v>
      </c>
      <c r="AI92" s="3" t="n">
        <v>12763.0</v>
      </c>
      <c r="AJ92" s="3" t="n">
        <v>13117.0</v>
      </c>
      <c r="AK92" s="3" t="n">
        <v>13718.0</v>
      </c>
      <c r="AL92" s="3" t="n">
        <v>13967.0</v>
      </c>
      <c r="AM92" s="3" t="n">
        <v>14673.0</v>
      </c>
      <c r="AN92" s="3" t="n">
        <v>15287.0</v>
      </c>
      <c r="AO92" s="3" t="n">
        <v>14749.0</v>
      </c>
    </row>
    <row r="93" spans="1:41" x14ac:dyDescent="0.2">
      <c r="A93" s="128"/>
      <c r="B93" s="9">
        <v>84</v>
      </c>
      <c r="C93" s="3" t="n">
        <v>7206.0</v>
      </c>
      <c r="D93" s="3" t="n">
        <v>7036.0</v>
      </c>
      <c r="E93" s="3" t="n">
        <v>7006.0</v>
      </c>
      <c r="F93" s="3" t="n">
        <v>6943.0</v>
      </c>
      <c r="G93" s="3" t="n">
        <v>6724.0</v>
      </c>
      <c r="H93" s="3" t="n">
        <v>6648.0</v>
      </c>
      <c r="I93" s="3" t="n">
        <v>6312.0</v>
      </c>
      <c r="J93" s="3" t="n">
        <v>6383.0</v>
      </c>
      <c r="K93" s="3" t="n">
        <v>10478.0</v>
      </c>
      <c r="L93" s="3" t="n">
        <v>11003.0</v>
      </c>
      <c r="M93" s="3" t="n">
        <v>11758.0</v>
      </c>
      <c r="N93" s="3" t="n">
        <v>12370.0</v>
      </c>
      <c r="O93" s="3" t="n">
        <v>12732.0</v>
      </c>
      <c r="P93" s="3" t="n">
        <v>12863.0</v>
      </c>
      <c r="Q93" s="3" t="n">
        <v>13043.0</v>
      </c>
      <c r="R93" s="3" t="n">
        <v>13278.0</v>
      </c>
      <c r="S93" s="3" t="n">
        <v>13497.0</v>
      </c>
      <c r="T93" s="3" t="n">
        <v>14036.0</v>
      </c>
      <c r="U93" s="3" t="n">
        <v>14120.0</v>
      </c>
      <c r="V93" s="3" t="n">
        <v>14318.0</v>
      </c>
      <c r="W93" s="3" t="n">
        <v>14057.0</v>
      </c>
      <c r="X93" s="3" t="n">
        <v>13384.0</v>
      </c>
      <c r="Y93" s="3" t="n">
        <v>12618.0</v>
      </c>
      <c r="Z93" s="3" t="n">
        <v>11922.0</v>
      </c>
      <c r="AA93" s="3" t="n">
        <v>11601.0</v>
      </c>
      <c r="AB93" s="3" t="n">
        <v>11366.0</v>
      </c>
      <c r="AC93" s="3" t="n">
        <v>11007.0</v>
      </c>
      <c r="AD93" s="3" t="n">
        <v>10886.0</v>
      </c>
      <c r="AE93" s="3" t="n">
        <v>10587.0</v>
      </c>
      <c r="AF93" s="3" t="n">
        <v>10693.0</v>
      </c>
      <c r="AG93" s="3" t="n">
        <v>10785.0</v>
      </c>
      <c r="AH93" s="3" t="n">
        <v>11037.0</v>
      </c>
      <c r="AI93" s="3" t="n">
        <v>11355.0</v>
      </c>
      <c r="AJ93" s="3" t="n">
        <v>11854.0</v>
      </c>
      <c r="AK93" s="3" t="n">
        <v>12181.0</v>
      </c>
      <c r="AL93" s="3" t="n">
        <v>12739.0</v>
      </c>
      <c r="AM93" s="3" t="n">
        <v>12975.0</v>
      </c>
      <c r="AN93" s="3" t="n">
        <v>13628.0</v>
      </c>
      <c r="AO93" s="3" t="n">
        <v>14201.0</v>
      </c>
    </row>
    <row r="94" spans="1:41" x14ac:dyDescent="0.2">
      <c r="A94" s="128"/>
      <c r="B94" s="9">
        <v>85</v>
      </c>
      <c r="C94" s="3" t="n">
        <v>6592.0</v>
      </c>
      <c r="D94" s="3" t="n">
        <v>6540.0</v>
      </c>
      <c r="E94" s="3" t="n">
        <v>6392.0</v>
      </c>
      <c r="F94" s="3" t="n">
        <v>6368.0</v>
      </c>
      <c r="G94" s="3" t="n">
        <v>6313.0</v>
      </c>
      <c r="H94" s="3" t="n">
        <v>6118.0</v>
      </c>
      <c r="I94" s="3" t="n">
        <v>6051.0</v>
      </c>
      <c r="J94" s="3" t="n">
        <v>5749.0</v>
      </c>
      <c r="K94" s="3" t="n">
        <v>5820.0</v>
      </c>
      <c r="L94" s="3" t="n">
        <v>9562.0</v>
      </c>
      <c r="M94" s="3" t="n">
        <v>10042.0</v>
      </c>
      <c r="N94" s="3" t="n">
        <v>10725.0</v>
      </c>
      <c r="O94" s="3" t="n">
        <v>11295.0</v>
      </c>
      <c r="P94" s="3" t="n">
        <v>11639.0</v>
      </c>
      <c r="Q94" s="3" t="n">
        <v>11764.0</v>
      </c>
      <c r="R94" s="3" t="n">
        <v>11927.0</v>
      </c>
      <c r="S94" s="3" t="n">
        <v>12155.0</v>
      </c>
      <c r="T94" s="3" t="n">
        <v>12354.0</v>
      </c>
      <c r="U94" s="3" t="n">
        <v>12857.0</v>
      </c>
      <c r="V94" s="3" t="n">
        <v>12936.0</v>
      </c>
      <c r="W94" s="3" t="n">
        <v>13121.0</v>
      </c>
      <c r="X94" s="3" t="n">
        <v>12880.0</v>
      </c>
      <c r="Y94" s="3" t="n">
        <v>12274.0</v>
      </c>
      <c r="Z94" s="3" t="n">
        <v>11580.0</v>
      </c>
      <c r="AA94" s="3" t="n">
        <v>10937.0</v>
      </c>
      <c r="AB94" s="3" t="n">
        <v>10647.0</v>
      </c>
      <c r="AC94" s="3" t="n">
        <v>10435.0</v>
      </c>
      <c r="AD94" s="3" t="n">
        <v>10103.0</v>
      </c>
      <c r="AE94" s="3" t="n">
        <v>9997.0</v>
      </c>
      <c r="AF94" s="3" t="n">
        <v>9723.0</v>
      </c>
      <c r="AG94" s="3" t="n">
        <v>9826.0</v>
      </c>
      <c r="AH94" s="3" t="n">
        <v>9919.0</v>
      </c>
      <c r="AI94" s="3" t="n">
        <v>10141.0</v>
      </c>
      <c r="AJ94" s="3" t="n">
        <v>10440.0</v>
      </c>
      <c r="AK94" s="3" t="n">
        <v>10904.0</v>
      </c>
      <c r="AL94" s="3" t="n">
        <v>11208.0</v>
      </c>
      <c r="AM94" s="3" t="n">
        <v>11721.0</v>
      </c>
      <c r="AN94" s="3" t="n">
        <v>11941.0</v>
      </c>
      <c r="AO94" s="3" t="n">
        <v>12547.0</v>
      </c>
    </row>
    <row r="95" spans="1:41" x14ac:dyDescent="0.2">
      <c r="A95" s="128"/>
      <c r="B95" s="9">
        <v>86</v>
      </c>
      <c r="C95" s="3" t="n">
        <v>5857.0</v>
      </c>
      <c r="D95" s="3" t="n">
        <v>5926.0</v>
      </c>
      <c r="E95" s="3" t="n">
        <v>5882.0</v>
      </c>
      <c r="F95" s="3" t="n">
        <v>5755.0</v>
      </c>
      <c r="G95" s="3" t="n">
        <v>5740.0</v>
      </c>
      <c r="H95" s="3" t="n">
        <v>5695.0</v>
      </c>
      <c r="I95" s="3" t="n">
        <v>5516.0</v>
      </c>
      <c r="J95" s="3" t="n">
        <v>5460.0</v>
      </c>
      <c r="K95" s="3" t="n">
        <v>5195.0</v>
      </c>
      <c r="L95" s="3" t="n">
        <v>5260.0</v>
      </c>
      <c r="M95" s="3" t="n">
        <v>8644.0</v>
      </c>
      <c r="N95" s="3" t="n">
        <v>9078.0</v>
      </c>
      <c r="O95" s="3" t="n">
        <v>9697.0</v>
      </c>
      <c r="P95" s="3" t="n">
        <v>10214.0</v>
      </c>
      <c r="Q95" s="3" t="n">
        <v>10533.0</v>
      </c>
      <c r="R95" s="3" t="n">
        <v>10652.0</v>
      </c>
      <c r="S95" s="3" t="n">
        <v>10817.0</v>
      </c>
      <c r="T95" s="3" t="n">
        <v>11011.0</v>
      </c>
      <c r="U95" s="3" t="n">
        <v>11197.0</v>
      </c>
      <c r="V95" s="3" t="n">
        <v>11659.0</v>
      </c>
      <c r="W95" s="3" t="n">
        <v>11742.0</v>
      </c>
      <c r="X95" s="3" t="n">
        <v>11905.0</v>
      </c>
      <c r="Y95" s="3" t="n">
        <v>11700.0</v>
      </c>
      <c r="Z95" s="3" t="n">
        <v>11147.0</v>
      </c>
      <c r="AA95" s="3" t="n">
        <v>10520.0</v>
      </c>
      <c r="AB95" s="3" t="n">
        <v>9943.0</v>
      </c>
      <c r="AC95" s="3" t="n">
        <v>9674.0</v>
      </c>
      <c r="AD95" s="3" t="n">
        <v>9489.0</v>
      </c>
      <c r="AE95" s="3" t="n">
        <v>9201.0</v>
      </c>
      <c r="AF95" s="3" t="n">
        <v>9104.0</v>
      </c>
      <c r="AG95" s="3" t="n">
        <v>8852.0</v>
      </c>
      <c r="AH95" s="3" t="n">
        <v>8951.0</v>
      </c>
      <c r="AI95" s="3" t="n">
        <v>9039.0</v>
      </c>
      <c r="AJ95" s="3" t="n">
        <v>9242.0</v>
      </c>
      <c r="AK95" s="3" t="n">
        <v>9513.0</v>
      </c>
      <c r="AL95" s="3" t="n">
        <v>9943.0</v>
      </c>
      <c r="AM95" s="3" t="n">
        <v>10218.0</v>
      </c>
      <c r="AN95" s="3" t="n">
        <v>10689.0</v>
      </c>
      <c r="AO95" s="3" t="n">
        <v>10895.0</v>
      </c>
    </row>
    <row r="96" spans="1:41" x14ac:dyDescent="0.2">
      <c r="A96" s="128"/>
      <c r="B96" s="9">
        <v>87</v>
      </c>
      <c r="C96" s="3" t="n">
        <v>5322.0</v>
      </c>
      <c r="D96" s="3" t="n">
        <v>5193.0</v>
      </c>
      <c r="E96" s="3" t="n">
        <v>5265.0</v>
      </c>
      <c r="F96" s="3" t="n">
        <v>5225.0</v>
      </c>
      <c r="G96" s="3" t="n">
        <v>5115.0</v>
      </c>
      <c r="H96" s="3" t="n">
        <v>5111.0</v>
      </c>
      <c r="I96" s="3" t="n">
        <v>5068.0</v>
      </c>
      <c r="J96" s="3" t="n">
        <v>4917.0</v>
      </c>
      <c r="K96" s="3" t="n">
        <v>4867.0</v>
      </c>
      <c r="L96" s="3" t="n">
        <v>4639.0</v>
      </c>
      <c r="M96" s="3" t="n">
        <v>4694.0</v>
      </c>
      <c r="N96" s="3" t="n">
        <v>7723.0</v>
      </c>
      <c r="O96" s="3" t="n">
        <v>8111.0</v>
      </c>
      <c r="P96" s="3" t="n">
        <v>8672.0</v>
      </c>
      <c r="Q96" s="3" t="n">
        <v>9144.0</v>
      </c>
      <c r="R96" s="3" t="n">
        <v>9432.0</v>
      </c>
      <c r="S96" s="3" t="n">
        <v>9549.0</v>
      </c>
      <c r="T96" s="3" t="n">
        <v>9698.0</v>
      </c>
      <c r="U96" s="3" t="n">
        <v>9876.0</v>
      </c>
      <c r="V96" s="3" t="n">
        <v>10049.0</v>
      </c>
      <c r="W96" s="3" t="n">
        <v>10470.0</v>
      </c>
      <c r="X96" s="3" t="n">
        <v>10550.0</v>
      </c>
      <c r="Y96" s="3" t="n">
        <v>10698.0</v>
      </c>
      <c r="Z96" s="3" t="n">
        <v>10516.0</v>
      </c>
      <c r="AA96" s="3" t="n">
        <v>10023.0</v>
      </c>
      <c r="AB96" s="3" t="n">
        <v>9466.0</v>
      </c>
      <c r="AC96" s="3" t="n">
        <v>8944.0</v>
      </c>
      <c r="AD96" s="3" t="n">
        <v>8700.0</v>
      </c>
      <c r="AE96" s="3" t="n">
        <v>8545.0</v>
      </c>
      <c r="AF96" s="3" t="n">
        <v>8291.0</v>
      </c>
      <c r="AG96" s="3" t="n">
        <v>8205.0</v>
      </c>
      <c r="AH96" s="3" t="n">
        <v>7976.0</v>
      </c>
      <c r="AI96" s="3" t="n">
        <v>8071.0</v>
      </c>
      <c r="AJ96" s="3" t="n">
        <v>8151.0</v>
      </c>
      <c r="AK96" s="3" t="n">
        <v>8339.0</v>
      </c>
      <c r="AL96" s="3" t="n">
        <v>8583.0</v>
      </c>
      <c r="AM96" s="3" t="n">
        <v>8972.0</v>
      </c>
      <c r="AN96" s="3" t="n">
        <v>9226.0</v>
      </c>
      <c r="AO96" s="3" t="n">
        <v>9651.0</v>
      </c>
    </row>
    <row r="97" spans="1:41" x14ac:dyDescent="0.2">
      <c r="A97" s="128"/>
      <c r="B97" s="9">
        <v>88</v>
      </c>
      <c r="C97" s="3" t="n">
        <v>4431.0</v>
      </c>
      <c r="D97" s="3" t="n">
        <v>4663.0</v>
      </c>
      <c r="E97" s="3" t="n">
        <v>4554.0</v>
      </c>
      <c r="F97" s="3" t="n">
        <v>4628.0</v>
      </c>
      <c r="G97" s="3" t="n">
        <v>4595.0</v>
      </c>
      <c r="H97" s="3" t="n">
        <v>4498.0</v>
      </c>
      <c r="I97" s="3" t="n">
        <v>4499.0</v>
      </c>
      <c r="J97" s="3" t="n">
        <v>4467.0</v>
      </c>
      <c r="K97" s="3" t="n">
        <v>4334.0</v>
      </c>
      <c r="L97" s="3" t="n">
        <v>4292.0</v>
      </c>
      <c r="M97" s="3" t="n">
        <v>4096.0</v>
      </c>
      <c r="N97" s="3" t="n">
        <v>4150.0</v>
      </c>
      <c r="O97" s="3" t="n">
        <v>6830.0</v>
      </c>
      <c r="P97" s="3" t="n">
        <v>7181.0</v>
      </c>
      <c r="Q97" s="3" t="n">
        <v>7678.0</v>
      </c>
      <c r="R97" s="3" t="n">
        <v>8101.0</v>
      </c>
      <c r="S97" s="3" t="n">
        <v>8362.0</v>
      </c>
      <c r="T97" s="3" t="n">
        <v>8470.0</v>
      </c>
      <c r="U97" s="3" t="n">
        <v>8613.0</v>
      </c>
      <c r="V97" s="3" t="n">
        <v>8776.0</v>
      </c>
      <c r="W97" s="3" t="n">
        <v>8930.0</v>
      </c>
      <c r="X97" s="3" t="n">
        <v>9305.0</v>
      </c>
      <c r="Y97" s="3" t="n">
        <v>9384.0</v>
      </c>
      <c r="Z97" s="3" t="n">
        <v>9520.0</v>
      </c>
      <c r="AA97" s="3" t="n">
        <v>9355.0</v>
      </c>
      <c r="AB97" s="3" t="n">
        <v>8927.0</v>
      </c>
      <c r="AC97" s="3" t="n">
        <v>8436.0</v>
      </c>
      <c r="AD97" s="3" t="n">
        <v>7967.0</v>
      </c>
      <c r="AE97" s="3" t="n">
        <v>7758.0</v>
      </c>
      <c r="AF97" s="3" t="n">
        <v>7623.0</v>
      </c>
      <c r="AG97" s="3" t="n">
        <v>7396.0</v>
      </c>
      <c r="AH97" s="3" t="n">
        <v>7320.0</v>
      </c>
      <c r="AI97" s="3" t="n">
        <v>7120.0</v>
      </c>
      <c r="AJ97" s="3" t="n">
        <v>7205.0</v>
      </c>
      <c r="AK97" s="3" t="n">
        <v>7282.0</v>
      </c>
      <c r="AL97" s="3" t="n">
        <v>7447.0</v>
      </c>
      <c r="AM97" s="3" t="n">
        <v>7669.0</v>
      </c>
      <c r="AN97" s="3" t="n">
        <v>8021.0</v>
      </c>
      <c r="AO97" s="3" t="n">
        <v>8251.0</v>
      </c>
    </row>
    <row r="98" spans="1:41" x14ac:dyDescent="0.2">
      <c r="A98" s="128"/>
      <c r="B98" s="9">
        <v>89</v>
      </c>
      <c r="C98" s="3" t="n">
        <v>3748.0</v>
      </c>
      <c r="D98" s="3" t="n">
        <v>3844.0</v>
      </c>
      <c r="E98" s="3" t="n">
        <v>4042.0</v>
      </c>
      <c r="F98" s="3" t="n">
        <v>3958.0</v>
      </c>
      <c r="G98" s="3" t="n">
        <v>4026.0</v>
      </c>
      <c r="H98" s="3" t="n">
        <v>3999.0</v>
      </c>
      <c r="I98" s="3" t="n">
        <v>3914.0</v>
      </c>
      <c r="J98" s="3" t="n">
        <v>3921.0</v>
      </c>
      <c r="K98" s="3" t="n">
        <v>3896.0</v>
      </c>
      <c r="L98" s="3" t="n">
        <v>3782.0</v>
      </c>
      <c r="M98" s="3" t="n">
        <v>3748.0</v>
      </c>
      <c r="N98" s="3" t="n">
        <v>3581.0</v>
      </c>
      <c r="O98" s="3" t="n">
        <v>3631.0</v>
      </c>
      <c r="P98" s="3" t="n">
        <v>5978.0</v>
      </c>
      <c r="Q98" s="3" t="n">
        <v>6293.0</v>
      </c>
      <c r="R98" s="3" t="n">
        <v>6731.0</v>
      </c>
      <c r="S98" s="3" t="n">
        <v>7112.0</v>
      </c>
      <c r="T98" s="3" t="n">
        <v>7338.0</v>
      </c>
      <c r="U98" s="3" t="n">
        <v>7444.0</v>
      </c>
      <c r="V98" s="3" t="n">
        <v>7569.0</v>
      </c>
      <c r="W98" s="3" t="n">
        <v>7716.0</v>
      </c>
      <c r="X98" s="3" t="n">
        <v>7854.0</v>
      </c>
      <c r="Y98" s="3" t="n">
        <v>8190.0</v>
      </c>
      <c r="Z98" s="3" t="n">
        <v>8261.0</v>
      </c>
      <c r="AA98" s="3" t="n">
        <v>8386.0</v>
      </c>
      <c r="AB98" s="3" t="n">
        <v>8241.0</v>
      </c>
      <c r="AC98" s="3" t="n">
        <v>7871.0</v>
      </c>
      <c r="AD98" s="3" t="n">
        <v>7441.0</v>
      </c>
      <c r="AE98" s="3" t="n">
        <v>7024.0</v>
      </c>
      <c r="AF98" s="3" t="n">
        <v>6843.0</v>
      </c>
      <c r="AG98" s="3" t="n">
        <v>6731.0</v>
      </c>
      <c r="AH98" s="3" t="n">
        <v>6537.0</v>
      </c>
      <c r="AI98" s="3" t="n">
        <v>6472.0</v>
      </c>
      <c r="AJ98" s="3" t="n">
        <v>6294.0</v>
      </c>
      <c r="AK98" s="3" t="n">
        <v>6370.0</v>
      </c>
      <c r="AL98" s="3" t="n">
        <v>6436.0</v>
      </c>
      <c r="AM98" s="3" t="n">
        <v>6593.0</v>
      </c>
      <c r="AN98" s="3" t="n">
        <v>6783.0</v>
      </c>
      <c r="AO98" s="3" t="n">
        <v>7109.0</v>
      </c>
    </row>
    <row r="99" spans="1:41" x14ac:dyDescent="0.2">
      <c r="A99" s="128"/>
      <c r="B99" s="9">
        <v>90</v>
      </c>
      <c r="C99" s="3" t="n">
        <v>3274.0</v>
      </c>
      <c r="D99" s="3" t="n">
        <v>3204.0</v>
      </c>
      <c r="E99" s="3" t="n">
        <v>3289.0</v>
      </c>
      <c r="F99" s="3" t="n">
        <v>3461.0</v>
      </c>
      <c r="G99" s="3" t="n">
        <v>3397.0</v>
      </c>
      <c r="H99" s="3" t="n">
        <v>3463.0</v>
      </c>
      <c r="I99" s="3" t="n">
        <v>3435.0</v>
      </c>
      <c r="J99" s="3" t="n">
        <v>3367.0</v>
      </c>
      <c r="K99" s="3" t="n">
        <v>3377.0</v>
      </c>
      <c r="L99" s="3" t="n">
        <v>3358.0</v>
      </c>
      <c r="M99" s="3" t="n">
        <v>3259.0</v>
      </c>
      <c r="N99" s="3" t="n">
        <v>3231.0</v>
      </c>
      <c r="O99" s="3" t="n">
        <v>3093.0</v>
      </c>
      <c r="P99" s="3" t="n">
        <v>3137.0</v>
      </c>
      <c r="Q99" s="3" t="n">
        <v>5170.0</v>
      </c>
      <c r="R99" s="3" t="n">
        <v>5438.0</v>
      </c>
      <c r="S99" s="3" t="n">
        <v>5826.0</v>
      </c>
      <c r="T99" s="3" t="n">
        <v>6164.0</v>
      </c>
      <c r="U99" s="3" t="n">
        <v>6359.0</v>
      </c>
      <c r="V99" s="3" t="n">
        <v>6454.0</v>
      </c>
      <c r="W99" s="3" t="n">
        <v>6570.0</v>
      </c>
      <c r="X99" s="3" t="n">
        <v>6694.0</v>
      </c>
      <c r="Y99" s="3" t="n">
        <v>6821.0</v>
      </c>
      <c r="Z99" s="3" t="n">
        <v>7116.0</v>
      </c>
      <c r="AA99" s="3" t="n">
        <v>7180.0</v>
      </c>
      <c r="AB99" s="3" t="n">
        <v>7297.0</v>
      </c>
      <c r="AC99" s="3" t="n">
        <v>7169.0</v>
      </c>
      <c r="AD99" s="3" t="n">
        <v>6852.0</v>
      </c>
      <c r="AE99" s="3" t="n">
        <v>6487.0</v>
      </c>
      <c r="AF99" s="3" t="n">
        <v>6121.0</v>
      </c>
      <c r="AG99" s="3" t="n">
        <v>5963.0</v>
      </c>
      <c r="AH99" s="3" t="n">
        <v>5875.0</v>
      </c>
      <c r="AI99" s="3" t="n">
        <v>5702.0</v>
      </c>
      <c r="AJ99" s="3" t="n">
        <v>5654.0</v>
      </c>
      <c r="AK99" s="3" t="n">
        <v>5493.0</v>
      </c>
      <c r="AL99" s="3" t="n">
        <v>5568.0</v>
      </c>
      <c r="AM99" s="3" t="n">
        <v>5621.0</v>
      </c>
      <c r="AN99" s="3" t="n">
        <v>5761.0</v>
      </c>
      <c r="AO99" s="3" t="n">
        <v>5932.0</v>
      </c>
    </row>
    <row r="100" spans="1:41" x14ac:dyDescent="0.2">
      <c r="A100" s="128"/>
      <c r="B100" s="9">
        <v>91</v>
      </c>
      <c r="C100" s="3" t="n">
        <v>2675.0</v>
      </c>
      <c r="D100" s="3" t="n">
        <v>2759.0</v>
      </c>
      <c r="E100" s="3" t="n">
        <v>2699.0</v>
      </c>
      <c r="F100" s="3" t="n">
        <v>2777.0</v>
      </c>
      <c r="G100" s="3" t="n">
        <v>2926.0</v>
      </c>
      <c r="H100" s="3" t="n">
        <v>2875.0</v>
      </c>
      <c r="I100" s="3" t="n">
        <v>2938.0</v>
      </c>
      <c r="J100" s="3" t="n">
        <v>2911.0</v>
      </c>
      <c r="K100" s="3" t="n">
        <v>2863.0</v>
      </c>
      <c r="L100" s="3" t="n">
        <v>2875.0</v>
      </c>
      <c r="M100" s="3" t="n">
        <v>2856.0</v>
      </c>
      <c r="N100" s="3" t="n">
        <v>2773.0</v>
      </c>
      <c r="O100" s="3" t="n">
        <v>2756.0</v>
      </c>
      <c r="P100" s="3" t="n">
        <v>2637.0</v>
      </c>
      <c r="Q100" s="3" t="n">
        <v>2679.0</v>
      </c>
      <c r="R100" s="3" t="n">
        <v>4408.0</v>
      </c>
      <c r="S100" s="3" t="n">
        <v>4644.0</v>
      </c>
      <c r="T100" s="3" t="n">
        <v>4983.0</v>
      </c>
      <c r="U100" s="3" t="n">
        <v>5272.0</v>
      </c>
      <c r="V100" s="3" t="n">
        <v>5442.0</v>
      </c>
      <c r="W100" s="3" t="n">
        <v>5527.0</v>
      </c>
      <c r="X100" s="3" t="n">
        <v>5626.0</v>
      </c>
      <c r="Y100" s="3" t="n">
        <v>5736.0</v>
      </c>
      <c r="Z100" s="3" t="n">
        <v>5848.0</v>
      </c>
      <c r="AA100" s="3" t="n">
        <v>6100.0</v>
      </c>
      <c r="AB100" s="3" t="n">
        <v>6161.0</v>
      </c>
      <c r="AC100" s="3" t="n">
        <v>6267.0</v>
      </c>
      <c r="AD100" s="3" t="n">
        <v>6150.0</v>
      </c>
      <c r="AE100" s="3" t="n">
        <v>5890.0</v>
      </c>
      <c r="AF100" s="3" t="n">
        <v>5581.0</v>
      </c>
      <c r="AG100" s="3" t="n">
        <v>5266.0</v>
      </c>
      <c r="AH100" s="3" t="n">
        <v>5134.0</v>
      </c>
      <c r="AI100" s="3" t="n">
        <v>5065.0</v>
      </c>
      <c r="AJ100" s="3" t="n">
        <v>4910.0</v>
      </c>
      <c r="AK100" s="3" t="n">
        <v>4878.0</v>
      </c>
      <c r="AL100" s="3" t="n">
        <v>4739.0</v>
      </c>
      <c r="AM100" s="3" t="n">
        <v>4803.0</v>
      </c>
      <c r="AN100" s="3" t="n">
        <v>4848.0</v>
      </c>
      <c r="AO100" s="3" t="n">
        <v>4978.0</v>
      </c>
    </row>
    <row r="101" spans="1:41" x14ac:dyDescent="0.2">
      <c r="A101" s="128"/>
      <c r="B101" s="9">
        <v>92</v>
      </c>
      <c r="C101" s="3" t="n">
        <v>2160.0</v>
      </c>
      <c r="D101" s="3" t="n">
        <v>2215.0</v>
      </c>
      <c r="E101" s="3" t="n">
        <v>2283.0</v>
      </c>
      <c r="F101" s="3" t="n">
        <v>2243.0</v>
      </c>
      <c r="G101" s="3" t="n">
        <v>2317.0</v>
      </c>
      <c r="H101" s="3" t="n">
        <v>2445.0</v>
      </c>
      <c r="I101" s="3" t="n">
        <v>2399.0</v>
      </c>
      <c r="J101" s="3" t="n">
        <v>2457.0</v>
      </c>
      <c r="K101" s="3" t="n">
        <v>2430.0</v>
      </c>
      <c r="L101" s="3" t="n">
        <v>2402.0</v>
      </c>
      <c r="M101" s="3" t="n">
        <v>2407.0</v>
      </c>
      <c r="N101" s="3" t="n">
        <v>2399.0</v>
      </c>
      <c r="O101" s="3" t="n">
        <v>2335.0</v>
      </c>
      <c r="P101" s="3" t="n">
        <v>2316.0</v>
      </c>
      <c r="Q101" s="3" t="n">
        <v>2215.0</v>
      </c>
      <c r="R101" s="3" t="n">
        <v>2256.0</v>
      </c>
      <c r="S101" s="3" t="n">
        <v>3711.0</v>
      </c>
      <c r="T101" s="3" t="n">
        <v>3906.0</v>
      </c>
      <c r="U101" s="3" t="n">
        <v>4191.0</v>
      </c>
      <c r="V101" s="3" t="n">
        <v>4442.0</v>
      </c>
      <c r="W101" s="3" t="n">
        <v>4591.0</v>
      </c>
      <c r="X101" s="3" t="n">
        <v>4667.0</v>
      </c>
      <c r="Y101" s="3" t="n">
        <v>4755.0</v>
      </c>
      <c r="Z101" s="3" t="n">
        <v>4849.0</v>
      </c>
      <c r="AA101" s="3" t="n">
        <v>4944.0</v>
      </c>
      <c r="AB101" s="3" t="n">
        <v>5164.0</v>
      </c>
      <c r="AC101" s="3" t="n">
        <v>5212.0</v>
      </c>
      <c r="AD101" s="3" t="n">
        <v>5306.0</v>
      </c>
      <c r="AE101" s="3" t="n">
        <v>5213.0</v>
      </c>
      <c r="AF101" s="3" t="n">
        <v>4988.0</v>
      </c>
      <c r="AG101" s="3" t="n">
        <v>4731.0</v>
      </c>
      <c r="AH101" s="3" t="n">
        <v>4475.0</v>
      </c>
      <c r="AI101" s="3" t="n">
        <v>4359.0</v>
      </c>
      <c r="AJ101" s="3" t="n">
        <v>4302.0</v>
      </c>
      <c r="AK101" s="3" t="n">
        <v>4179.0</v>
      </c>
      <c r="AL101" s="3" t="n">
        <v>4152.0</v>
      </c>
      <c r="AM101" s="3" t="n">
        <v>4034.0</v>
      </c>
      <c r="AN101" s="3" t="n">
        <v>4088.0</v>
      </c>
      <c r="AO101" s="3" t="n">
        <v>4129.0</v>
      </c>
    </row>
    <row r="102" spans="1:41" x14ac:dyDescent="0.2">
      <c r="A102" s="128"/>
      <c r="B102" s="9">
        <v>93</v>
      </c>
      <c r="C102" s="3" t="n">
        <v>1593.0</v>
      </c>
      <c r="D102" s="3" t="n">
        <v>1758.0</v>
      </c>
      <c r="E102" s="3" t="n">
        <v>1812.0</v>
      </c>
      <c r="F102" s="3" t="n">
        <v>1863.0</v>
      </c>
      <c r="G102" s="3" t="n">
        <v>1832.0</v>
      </c>
      <c r="H102" s="3" t="n">
        <v>1899.0</v>
      </c>
      <c r="I102" s="3" t="n">
        <v>2003.0</v>
      </c>
      <c r="J102" s="3" t="n">
        <v>1972.0</v>
      </c>
      <c r="K102" s="3" t="n">
        <v>2019.0</v>
      </c>
      <c r="L102" s="3" t="n">
        <v>2002.0</v>
      </c>
      <c r="M102" s="3" t="n">
        <v>1975.0</v>
      </c>
      <c r="N102" s="3" t="n">
        <v>1982.0</v>
      </c>
      <c r="O102" s="3" t="n">
        <v>1981.0</v>
      </c>
      <c r="P102" s="3" t="n">
        <v>1930.0</v>
      </c>
      <c r="Q102" s="3" t="n">
        <v>1916.0</v>
      </c>
      <c r="R102" s="3" t="n">
        <v>1833.0</v>
      </c>
      <c r="S102" s="3" t="n">
        <v>1867.0</v>
      </c>
      <c r="T102" s="3" t="n">
        <v>3072.0</v>
      </c>
      <c r="U102" s="3" t="n">
        <v>3237.0</v>
      </c>
      <c r="V102" s="3" t="n">
        <v>3474.0</v>
      </c>
      <c r="W102" s="3" t="n">
        <v>3691.0</v>
      </c>
      <c r="X102" s="3" t="n">
        <v>3815.0</v>
      </c>
      <c r="Y102" s="3" t="n">
        <v>3883.0</v>
      </c>
      <c r="Z102" s="3" t="n">
        <v>3960.0</v>
      </c>
      <c r="AA102" s="3" t="n">
        <v>4041.0</v>
      </c>
      <c r="AB102" s="3" t="n">
        <v>4125.0</v>
      </c>
      <c r="AC102" s="3" t="n">
        <v>4306.0</v>
      </c>
      <c r="AD102" s="3" t="n">
        <v>4353.0</v>
      </c>
      <c r="AE102" s="3" t="n">
        <v>4432.0</v>
      </c>
      <c r="AF102" s="3" t="n">
        <v>4360.0</v>
      </c>
      <c r="AG102" s="3" t="n">
        <v>4163.0</v>
      </c>
      <c r="AH102" s="3" t="n">
        <v>3964.0</v>
      </c>
      <c r="AI102" s="3" t="n">
        <v>3745.0</v>
      </c>
      <c r="AJ102" s="3" t="n">
        <v>3647.0</v>
      </c>
      <c r="AK102" s="3" t="n">
        <v>3600.0</v>
      </c>
      <c r="AL102" s="3" t="n">
        <v>3505.0</v>
      </c>
      <c r="AM102" s="3" t="n">
        <v>3474.0</v>
      </c>
      <c r="AN102" s="3" t="n">
        <v>3377.0</v>
      </c>
      <c r="AO102" s="3" t="n">
        <v>3430.0</v>
      </c>
    </row>
    <row r="103" spans="1:41" x14ac:dyDescent="0.2">
      <c r="A103" s="128"/>
      <c r="B103" s="9">
        <v>94</v>
      </c>
      <c r="C103" s="3" t="n">
        <v>1169.0</v>
      </c>
      <c r="D103" s="3" t="n">
        <v>1271.0</v>
      </c>
      <c r="E103" s="3" t="n">
        <v>1401.0</v>
      </c>
      <c r="F103" s="3" t="n">
        <v>1449.0</v>
      </c>
      <c r="G103" s="3" t="n">
        <v>1491.0</v>
      </c>
      <c r="H103" s="3" t="n">
        <v>1472.0</v>
      </c>
      <c r="I103" s="3" t="n">
        <v>1526.0</v>
      </c>
      <c r="J103" s="3" t="n">
        <v>1612.0</v>
      </c>
      <c r="K103" s="3" t="n">
        <v>1589.0</v>
      </c>
      <c r="L103" s="3" t="n">
        <v>1626.0</v>
      </c>
      <c r="M103" s="3" t="n">
        <v>1615.0</v>
      </c>
      <c r="N103" s="3" t="n">
        <v>1600.0</v>
      </c>
      <c r="O103" s="3" t="n">
        <v>1604.0</v>
      </c>
      <c r="P103" s="3" t="n">
        <v>1608.0</v>
      </c>
      <c r="Q103" s="3" t="n">
        <v>1566.0</v>
      </c>
      <c r="R103" s="3" t="n">
        <v>1554.0</v>
      </c>
      <c r="S103" s="3" t="n">
        <v>1490.0</v>
      </c>
      <c r="T103" s="3" t="n">
        <v>1518.0</v>
      </c>
      <c r="U103" s="3" t="n">
        <v>2504.0</v>
      </c>
      <c r="V103" s="3" t="n">
        <v>2634.0</v>
      </c>
      <c r="W103" s="3" t="n">
        <v>2832.0</v>
      </c>
      <c r="X103" s="3" t="n">
        <v>3011.0</v>
      </c>
      <c r="Y103" s="3" t="n">
        <v>3110.0</v>
      </c>
      <c r="Z103" s="3" t="n">
        <v>3164.0</v>
      </c>
      <c r="AA103" s="3" t="n">
        <v>3229.0</v>
      </c>
      <c r="AB103" s="3" t="n">
        <v>3307.0</v>
      </c>
      <c r="AC103" s="3" t="n">
        <v>3378.0</v>
      </c>
      <c r="AD103" s="3" t="n">
        <v>3520.0</v>
      </c>
      <c r="AE103" s="3" t="n">
        <v>3565.0</v>
      </c>
      <c r="AF103" s="3" t="n">
        <v>3623.0</v>
      </c>
      <c r="AG103" s="3" t="n">
        <v>3574.0</v>
      </c>
      <c r="AH103" s="3" t="n">
        <v>3416.0</v>
      </c>
      <c r="AI103" s="3" t="n">
        <v>3255.0</v>
      </c>
      <c r="AJ103" s="3" t="n">
        <v>3081.0</v>
      </c>
      <c r="AK103" s="3" t="n">
        <v>3003.0</v>
      </c>
      <c r="AL103" s="3" t="n">
        <v>2957.0</v>
      </c>
      <c r="AM103" s="3" t="n">
        <v>2887.0</v>
      </c>
      <c r="AN103" s="3" t="n">
        <v>2861.0</v>
      </c>
      <c r="AO103" s="3" t="n">
        <v>2777.0</v>
      </c>
    </row>
    <row r="104" spans="1:41" x14ac:dyDescent="0.2">
      <c r="A104" s="128"/>
      <c r="B104" s="9">
        <v>95</v>
      </c>
      <c r="C104" s="3" t="n">
        <v>891.0</v>
      </c>
      <c r="D104" s="3" t="n">
        <v>905.0</v>
      </c>
      <c r="E104" s="3" t="n">
        <v>992.0</v>
      </c>
      <c r="F104" s="3" t="n">
        <v>1092.0</v>
      </c>
      <c r="G104" s="3" t="n">
        <v>1128.0</v>
      </c>
      <c r="H104" s="3" t="n">
        <v>1165.0</v>
      </c>
      <c r="I104" s="3" t="n">
        <v>1152.0</v>
      </c>
      <c r="J104" s="3" t="n">
        <v>1193.0</v>
      </c>
      <c r="K104" s="3" t="n">
        <v>1267.0</v>
      </c>
      <c r="L104" s="3" t="n">
        <v>1247.0</v>
      </c>
      <c r="M104" s="3" t="n">
        <v>1277.0</v>
      </c>
      <c r="N104" s="3" t="n">
        <v>1272.0</v>
      </c>
      <c r="O104" s="3" t="n">
        <v>1263.0</v>
      </c>
      <c r="P104" s="3" t="n">
        <v>1267.0</v>
      </c>
      <c r="Q104" s="3" t="n">
        <v>1277.0</v>
      </c>
      <c r="R104" s="3" t="n">
        <v>1243.0</v>
      </c>
      <c r="S104" s="3" t="n">
        <v>1231.0</v>
      </c>
      <c r="T104" s="3" t="n">
        <v>1177.0</v>
      </c>
      <c r="U104" s="3" t="n">
        <v>1204.0</v>
      </c>
      <c r="V104" s="3" t="n">
        <v>1987.0</v>
      </c>
      <c r="W104" s="3" t="n">
        <v>2092.0</v>
      </c>
      <c r="X104" s="3" t="n">
        <v>2258.0</v>
      </c>
      <c r="Y104" s="3" t="n">
        <v>2402.0</v>
      </c>
      <c r="Z104" s="3" t="n">
        <v>2484.0</v>
      </c>
      <c r="AA104" s="3" t="n">
        <v>2527.0</v>
      </c>
      <c r="AB104" s="3" t="n">
        <v>2584.0</v>
      </c>
      <c r="AC104" s="3" t="n">
        <v>2646.0</v>
      </c>
      <c r="AD104" s="3" t="n">
        <v>2708.0</v>
      </c>
      <c r="AE104" s="3" t="n">
        <v>2825.0</v>
      </c>
      <c r="AF104" s="3" t="n">
        <v>2857.0</v>
      </c>
      <c r="AG104" s="3" t="n">
        <v>2905.0</v>
      </c>
      <c r="AH104" s="3" t="n">
        <v>2873.0</v>
      </c>
      <c r="AI104" s="3" t="n">
        <v>2745.0</v>
      </c>
      <c r="AJ104" s="3" t="n">
        <v>2618.0</v>
      </c>
      <c r="AK104" s="3" t="n">
        <v>2476.0</v>
      </c>
      <c r="AL104" s="3" t="n">
        <v>2413.0</v>
      </c>
      <c r="AM104" s="3" t="n">
        <v>2377.0</v>
      </c>
      <c r="AN104" s="3" t="n">
        <v>2323.0</v>
      </c>
      <c r="AO104" s="3" t="n">
        <v>2303.0</v>
      </c>
    </row>
    <row r="105" spans="1:41" x14ac:dyDescent="0.2">
      <c r="A105" s="128"/>
      <c r="B105" s="9">
        <v>96</v>
      </c>
      <c r="C105" s="3" t="n">
        <v>571.0</v>
      </c>
      <c r="D105" s="3" t="n">
        <v>678.0</v>
      </c>
      <c r="E105" s="3" t="n">
        <v>690.0</v>
      </c>
      <c r="F105" s="3" t="n">
        <v>756.0</v>
      </c>
      <c r="G105" s="3" t="n">
        <v>834.0</v>
      </c>
      <c r="H105" s="3" t="n">
        <v>867.0</v>
      </c>
      <c r="I105" s="3" t="n">
        <v>899.0</v>
      </c>
      <c r="J105" s="3" t="n">
        <v>890.0</v>
      </c>
      <c r="K105" s="3" t="n">
        <v>921.0</v>
      </c>
      <c r="L105" s="3" t="n">
        <v>981.0</v>
      </c>
      <c r="M105" s="3" t="n">
        <v>968.0</v>
      </c>
      <c r="N105" s="3" t="n">
        <v>990.0</v>
      </c>
      <c r="O105" s="3" t="n">
        <v>985.0</v>
      </c>
      <c r="P105" s="3" t="n">
        <v>982.0</v>
      </c>
      <c r="Q105" s="3" t="n">
        <v>989.0</v>
      </c>
      <c r="R105" s="3" t="n">
        <v>995.0</v>
      </c>
      <c r="S105" s="3" t="n">
        <v>971.0</v>
      </c>
      <c r="T105" s="3" t="n">
        <v>966.0</v>
      </c>
      <c r="U105" s="3" t="n">
        <v>929.0</v>
      </c>
      <c r="V105" s="3" t="n">
        <v>944.0</v>
      </c>
      <c r="W105" s="3" t="n">
        <v>1550.0</v>
      </c>
      <c r="X105" s="3" t="n">
        <v>1632.0</v>
      </c>
      <c r="Y105" s="3" t="n">
        <v>1769.0</v>
      </c>
      <c r="Z105" s="3" t="n">
        <v>1884.0</v>
      </c>
      <c r="AA105" s="3" t="n">
        <v>1949.0</v>
      </c>
      <c r="AB105" s="3" t="n">
        <v>1990.0</v>
      </c>
      <c r="AC105" s="3" t="n">
        <v>2037.0</v>
      </c>
      <c r="AD105" s="3" t="n">
        <v>2080.0</v>
      </c>
      <c r="AE105" s="3" t="n">
        <v>2128.0</v>
      </c>
      <c r="AF105" s="3" t="n">
        <v>2226.0</v>
      </c>
      <c r="AG105" s="3" t="n">
        <v>2253.0</v>
      </c>
      <c r="AH105" s="3" t="n">
        <v>2295.0</v>
      </c>
      <c r="AI105" s="3" t="n">
        <v>2269.0</v>
      </c>
      <c r="AJ105" s="3" t="n">
        <v>2169.0</v>
      </c>
      <c r="AK105" s="3" t="n">
        <v>2073.0</v>
      </c>
      <c r="AL105" s="3" t="n">
        <v>1956.0</v>
      </c>
      <c r="AM105" s="3" t="n">
        <v>1913.0</v>
      </c>
      <c r="AN105" s="3" t="n">
        <v>1884.0</v>
      </c>
      <c r="AO105" s="3" t="n">
        <v>1842.0</v>
      </c>
    </row>
    <row r="106" spans="1:41" x14ac:dyDescent="0.2">
      <c r="A106" s="128"/>
      <c r="B106" s="9">
        <v>97</v>
      </c>
      <c r="C106" s="3" t="n">
        <v>480.0</v>
      </c>
      <c r="D106" s="3" t="n">
        <v>418.0</v>
      </c>
      <c r="E106" s="3" t="n">
        <v>494.0</v>
      </c>
      <c r="F106" s="3" t="n">
        <v>507.0</v>
      </c>
      <c r="G106" s="3" t="n">
        <v>551.0</v>
      </c>
      <c r="H106" s="3" t="n">
        <v>610.0</v>
      </c>
      <c r="I106" s="3" t="n">
        <v>638.0</v>
      </c>
      <c r="J106" s="3" t="n">
        <v>656.0</v>
      </c>
      <c r="K106" s="3" t="n">
        <v>655.0</v>
      </c>
      <c r="L106" s="3" t="n">
        <v>681.0</v>
      </c>
      <c r="M106" s="3" t="n">
        <v>732.0</v>
      </c>
      <c r="N106" s="3" t="n">
        <v>721.0</v>
      </c>
      <c r="O106" s="3" t="n">
        <v>739.0</v>
      </c>
      <c r="P106" s="3" t="n">
        <v>736.0</v>
      </c>
      <c r="Q106" s="3" t="n">
        <v>730.0</v>
      </c>
      <c r="R106" s="3" t="n">
        <v>740.0</v>
      </c>
      <c r="S106" s="3" t="n">
        <v>744.0</v>
      </c>
      <c r="T106" s="3" t="n">
        <v>726.0</v>
      </c>
      <c r="U106" s="3" t="n">
        <v>724.0</v>
      </c>
      <c r="V106" s="3" t="n">
        <v>701.0</v>
      </c>
      <c r="W106" s="3" t="n">
        <v>711.0</v>
      </c>
      <c r="X106" s="3" t="n">
        <v>1171.0</v>
      </c>
      <c r="Y106" s="3" t="n">
        <v>1240.0</v>
      </c>
      <c r="Z106" s="3" t="n">
        <v>1344.0</v>
      </c>
      <c r="AA106" s="3" t="n">
        <v>1435.0</v>
      </c>
      <c r="AB106" s="3" t="n">
        <v>1486.0</v>
      </c>
      <c r="AC106" s="3" t="n">
        <v>1517.0</v>
      </c>
      <c r="AD106" s="3" t="n">
        <v>1553.0</v>
      </c>
      <c r="AE106" s="3" t="n">
        <v>1592.0</v>
      </c>
      <c r="AF106" s="3" t="n">
        <v>1629.0</v>
      </c>
      <c r="AG106" s="3" t="n">
        <v>1702.0</v>
      </c>
      <c r="AH106" s="3" t="n">
        <v>1726.0</v>
      </c>
      <c r="AI106" s="3" t="n">
        <v>1756.0</v>
      </c>
      <c r="AJ106" s="3" t="n">
        <v>1740.0</v>
      </c>
      <c r="AK106" s="3" t="n">
        <v>1665.0</v>
      </c>
      <c r="AL106" s="3" t="n">
        <v>1593.0</v>
      </c>
      <c r="AM106" s="3" t="n">
        <v>1500.0</v>
      </c>
      <c r="AN106" s="3" t="n">
        <v>1471.0</v>
      </c>
      <c r="AO106" s="3" t="n">
        <v>1451.0</v>
      </c>
    </row>
    <row r="107" spans="1:41" x14ac:dyDescent="0.2">
      <c r="A107" s="128"/>
      <c r="B107" s="9">
        <v>98</v>
      </c>
      <c r="C107" s="3" t="n">
        <v>357.0</v>
      </c>
      <c r="D107" s="3" t="n">
        <v>338.0</v>
      </c>
      <c r="E107" s="3" t="n">
        <v>300.0</v>
      </c>
      <c r="F107" s="3" t="n">
        <v>361.0</v>
      </c>
      <c r="G107" s="3" t="n">
        <v>368.0</v>
      </c>
      <c r="H107" s="3" t="n">
        <v>397.0</v>
      </c>
      <c r="I107" s="3" t="n">
        <v>441.0</v>
      </c>
      <c r="J107" s="3" t="n">
        <v>463.0</v>
      </c>
      <c r="K107" s="3" t="n">
        <v>479.0</v>
      </c>
      <c r="L107" s="3" t="n">
        <v>477.0</v>
      </c>
      <c r="M107" s="3" t="n">
        <v>493.0</v>
      </c>
      <c r="N107" s="3" t="n">
        <v>534.0</v>
      </c>
      <c r="O107" s="3" t="n">
        <v>529.0</v>
      </c>
      <c r="P107" s="3" t="n">
        <v>539.0</v>
      </c>
      <c r="Q107" s="3" t="n">
        <v>544.0</v>
      </c>
      <c r="R107" s="3" t="n">
        <v>537.0</v>
      </c>
      <c r="S107" s="3" t="n">
        <v>546.0</v>
      </c>
      <c r="T107" s="3" t="n">
        <v>548.0</v>
      </c>
      <c r="U107" s="3" t="n">
        <v>535.0</v>
      </c>
      <c r="V107" s="3" t="n">
        <v>532.0</v>
      </c>
      <c r="W107" s="3" t="n">
        <v>517.0</v>
      </c>
      <c r="X107" s="3" t="n">
        <v>526.0</v>
      </c>
      <c r="Y107" s="3" t="n">
        <v>870.0</v>
      </c>
      <c r="Z107" s="3" t="n">
        <v>922.0</v>
      </c>
      <c r="AA107" s="3" t="n">
        <v>1001.0</v>
      </c>
      <c r="AB107" s="3" t="n">
        <v>1067.0</v>
      </c>
      <c r="AC107" s="3" t="n">
        <v>1111.0</v>
      </c>
      <c r="AD107" s="3" t="n">
        <v>1136.0</v>
      </c>
      <c r="AE107" s="3" t="n">
        <v>1160.0</v>
      </c>
      <c r="AF107" s="3" t="n">
        <v>1192.0</v>
      </c>
      <c r="AG107" s="3" t="n">
        <v>1224.0</v>
      </c>
      <c r="AH107" s="3" t="n">
        <v>1280.0</v>
      </c>
      <c r="AI107" s="3" t="n">
        <v>1297.0</v>
      </c>
      <c r="AJ107" s="3" t="n">
        <v>1326.0</v>
      </c>
      <c r="AK107" s="3" t="n">
        <v>1312.0</v>
      </c>
      <c r="AL107" s="3" t="n">
        <v>1256.0</v>
      </c>
      <c r="AM107" s="3" t="n">
        <v>1194.0</v>
      </c>
      <c r="AN107" s="3" t="n">
        <v>1130.0</v>
      </c>
      <c r="AO107" s="3" t="n">
        <v>1109.0</v>
      </c>
    </row>
    <row r="108" spans="1:41" x14ac:dyDescent="0.2">
      <c r="A108" s="128"/>
      <c r="B108" s="9">
        <v>99</v>
      </c>
      <c r="C108" s="3" t="n">
        <v>206.0</v>
      </c>
      <c r="D108" s="3" t="n">
        <v>254.0</v>
      </c>
      <c r="E108" s="3" t="n">
        <v>236.0</v>
      </c>
      <c r="F108" s="3" t="n">
        <v>213.0</v>
      </c>
      <c r="G108" s="3" t="n">
        <v>249.0</v>
      </c>
      <c r="H108" s="3" t="n">
        <v>259.0</v>
      </c>
      <c r="I108" s="3" t="n">
        <v>280.0</v>
      </c>
      <c r="J108" s="3" t="n">
        <v>313.0</v>
      </c>
      <c r="K108" s="3" t="n">
        <v>332.0</v>
      </c>
      <c r="L108" s="3" t="n">
        <v>339.0</v>
      </c>
      <c r="M108" s="3" t="n">
        <v>338.0</v>
      </c>
      <c r="N108" s="3" t="n">
        <v>353.0</v>
      </c>
      <c r="O108" s="3" t="n">
        <v>381.0</v>
      </c>
      <c r="P108" s="3" t="n">
        <v>379.0</v>
      </c>
      <c r="Q108" s="3" t="n">
        <v>392.0</v>
      </c>
      <c r="R108" s="3" t="n">
        <v>391.0</v>
      </c>
      <c r="S108" s="3" t="n">
        <v>391.0</v>
      </c>
      <c r="T108" s="3" t="n">
        <v>395.0</v>
      </c>
      <c r="U108" s="3" t="n">
        <v>394.0</v>
      </c>
      <c r="V108" s="3" t="n">
        <v>387.0</v>
      </c>
      <c r="W108" s="3" t="n">
        <v>386.0</v>
      </c>
      <c r="X108" s="3" t="n">
        <v>372.0</v>
      </c>
      <c r="Y108" s="3" t="n">
        <v>381.0</v>
      </c>
      <c r="Z108" s="3" t="n">
        <v>628.0</v>
      </c>
      <c r="AA108" s="3" t="n">
        <v>668.0</v>
      </c>
      <c r="AB108" s="3" t="n">
        <v>728.0</v>
      </c>
      <c r="AC108" s="3" t="n">
        <v>772.0</v>
      </c>
      <c r="AD108" s="3" t="n">
        <v>807.0</v>
      </c>
      <c r="AE108" s="3" t="n">
        <v>827.0</v>
      </c>
      <c r="AF108" s="3" t="n">
        <v>847.0</v>
      </c>
      <c r="AG108" s="3" t="n">
        <v>873.0</v>
      </c>
      <c r="AH108" s="3" t="n">
        <v>901.0</v>
      </c>
      <c r="AI108" s="3" t="n">
        <v>938.0</v>
      </c>
      <c r="AJ108" s="3" t="n">
        <v>953.0</v>
      </c>
      <c r="AK108" s="3" t="n">
        <v>976.0</v>
      </c>
      <c r="AL108" s="3" t="n">
        <v>964.0</v>
      </c>
      <c r="AM108" s="3" t="n">
        <v>920.0</v>
      </c>
      <c r="AN108" s="3" t="n">
        <v>877.0</v>
      </c>
      <c r="AO108" s="3" t="n">
        <v>833.0</v>
      </c>
    </row>
    <row r="109" spans="1:41" x14ac:dyDescent="0.2">
      <c r="A109" s="128"/>
      <c r="B109" s="9" t="s">
        <v>79</v>
      </c>
      <c r="C109" s="4" t="n">
        <v>365.0</v>
      </c>
      <c r="D109" s="4" t="n">
        <v>383.0</v>
      </c>
      <c r="E109" s="4" t="n">
        <v>429.0</v>
      </c>
      <c r="F109" s="4" t="n">
        <v>438.0</v>
      </c>
      <c r="G109" s="4" t="n">
        <v>433.0</v>
      </c>
      <c r="H109" s="4" t="n">
        <v>453.0</v>
      </c>
      <c r="I109" s="4" t="n">
        <v>468.0</v>
      </c>
      <c r="J109" s="4" t="n">
        <v>490.0</v>
      </c>
      <c r="K109" s="4" t="n">
        <v>538.0</v>
      </c>
      <c r="L109" s="4" t="n">
        <v>581.0</v>
      </c>
      <c r="M109" s="4" t="n">
        <v>610.0</v>
      </c>
      <c r="N109" s="4" t="n">
        <v>630.0</v>
      </c>
      <c r="O109" s="4" t="n">
        <v>654.0</v>
      </c>
      <c r="P109" s="4" t="n">
        <v>688.0</v>
      </c>
      <c r="Q109" s="4" t="n">
        <v>713.0</v>
      </c>
      <c r="R109" s="4" t="n">
        <v>735.0</v>
      </c>
      <c r="S109" s="4" t="n">
        <v>751.0</v>
      </c>
      <c r="T109" s="4" t="n">
        <v>769.0</v>
      </c>
      <c r="U109" s="4" t="n">
        <v>788.0</v>
      </c>
      <c r="V109" s="4" t="n">
        <v>792.0</v>
      </c>
      <c r="W109" s="4" t="n">
        <v>793.0</v>
      </c>
      <c r="X109" s="4" t="n">
        <v>799.0</v>
      </c>
      <c r="Y109" s="4" t="n">
        <v>793.0</v>
      </c>
      <c r="Z109" s="4" t="n">
        <v>792.0</v>
      </c>
      <c r="AA109" s="4" t="n">
        <v>967.0</v>
      </c>
      <c r="AB109" s="4" t="n">
        <v>1112.0</v>
      </c>
      <c r="AC109" s="4" t="n">
        <v>1257.0</v>
      </c>
      <c r="AD109" s="4" t="n">
        <v>1385.0</v>
      </c>
      <c r="AE109" s="4" t="n">
        <v>1495.0</v>
      </c>
      <c r="AF109" s="4" t="n">
        <v>1590.0</v>
      </c>
      <c r="AG109" s="4" t="n">
        <v>1664.0</v>
      </c>
      <c r="AH109" s="4" t="n">
        <v>1739.0</v>
      </c>
      <c r="AI109" s="4" t="n">
        <v>1807.0</v>
      </c>
      <c r="AJ109" s="4" t="n">
        <v>1882.0</v>
      </c>
      <c r="AK109" s="4" t="n">
        <v>1949.0</v>
      </c>
      <c r="AL109" s="4" t="n">
        <v>2014.0</v>
      </c>
      <c r="AM109" s="4" t="n">
        <v>2048.0</v>
      </c>
      <c r="AN109" s="4" t="n">
        <v>2037.0</v>
      </c>
      <c r="AO109" s="3" t="n">
        <v>2007.0</v>
      </c>
    </row>
    <row r="110" spans="1:41" x14ac:dyDescent="0.2">
      <c r="A110" s="129" t="s">
        <v>50</v>
      </c>
      <c r="B110" s="14" t="s">
        <v>47</v>
      </c>
      <c r="C110" s="16" t="n">
        <v>971048.0</v>
      </c>
      <c r="D110" s="16" t="n">
        <v>965573.0</v>
      </c>
      <c r="E110" s="16" t="n">
        <v>959778.0</v>
      </c>
      <c r="F110" s="16" t="n">
        <v>953606.0</v>
      </c>
      <c r="G110" s="16" t="n">
        <v>947109.0</v>
      </c>
      <c r="H110" s="16" t="n">
        <v>940801.0</v>
      </c>
      <c r="I110" s="16" t="n">
        <v>934373.0</v>
      </c>
      <c r="J110" s="16" t="n">
        <v>927400.0</v>
      </c>
      <c r="K110" s="16" t="n">
        <v>920039.0</v>
      </c>
      <c r="L110" s="16" t="n">
        <v>912384.0</v>
      </c>
      <c r="M110" s="16" t="n">
        <v>904442.0</v>
      </c>
      <c r="N110" s="16" t="n">
        <v>896204.0</v>
      </c>
      <c r="O110" s="16" t="n">
        <v>887787.0</v>
      </c>
      <c r="P110" s="16" t="n">
        <v>879207.0</v>
      </c>
      <c r="Q110" s="16" t="n">
        <v>870515.0</v>
      </c>
      <c r="R110" s="16" t="n">
        <v>861638.0</v>
      </c>
      <c r="S110" s="16" t="n">
        <v>852679.0</v>
      </c>
      <c r="T110" s="16" t="n">
        <v>843565.0</v>
      </c>
      <c r="U110" s="16" t="n">
        <v>834395.0</v>
      </c>
      <c r="V110" s="16" t="n">
        <v>825196.0</v>
      </c>
      <c r="W110" s="16" t="n">
        <v>815886.0</v>
      </c>
      <c r="X110" s="16" t="n">
        <v>806593.0</v>
      </c>
      <c r="Y110" s="16" t="n">
        <v>797185.0</v>
      </c>
      <c r="Z110" s="16" t="n">
        <v>787701.0</v>
      </c>
      <c r="AA110" s="16" t="n">
        <v>778192.0</v>
      </c>
      <c r="AB110" s="16" t="n">
        <v>768592.0</v>
      </c>
      <c r="AC110" s="16" t="n">
        <v>759023.0</v>
      </c>
      <c r="AD110" s="16" t="n">
        <v>749374.0</v>
      </c>
      <c r="AE110" s="16" t="n">
        <v>739692.0</v>
      </c>
      <c r="AF110" s="16" t="n">
        <v>729919.0</v>
      </c>
      <c r="AG110" s="16" t="n">
        <v>720142.0</v>
      </c>
      <c r="AH110" s="16" t="n">
        <v>710268.0</v>
      </c>
      <c r="AI110" s="16" t="n">
        <v>700282.0</v>
      </c>
      <c r="AJ110" s="16" t="n">
        <v>690293.0</v>
      </c>
      <c r="AK110" s="16" t="n">
        <v>680164.0</v>
      </c>
      <c r="AL110" s="16" t="n">
        <v>669943.0</v>
      </c>
      <c r="AM110" s="16" t="n">
        <v>659750.0</v>
      </c>
      <c r="AN110" s="16" t="n">
        <v>649448.0</v>
      </c>
      <c r="AO110" s="15" t="n">
        <v>639082.0</v>
      </c>
    </row>
    <row r="111" spans="1:41" x14ac:dyDescent="0.2">
      <c r="A111" s="128"/>
      <c r="B111" s="9">
        <v>0</v>
      </c>
      <c r="C111" s="3" t="n">
        <v>7612.0</v>
      </c>
      <c r="D111" s="3" t="n">
        <v>7226.0</v>
      </c>
      <c r="E111" s="3" t="n">
        <v>6969.0</v>
      </c>
      <c r="F111" s="3" t="n">
        <v>6733.0</v>
      </c>
      <c r="G111" s="3" t="n">
        <v>6531.0</v>
      </c>
      <c r="H111" s="3" t="n">
        <v>6367.0</v>
      </c>
      <c r="I111" s="3" t="n">
        <v>6229.0</v>
      </c>
      <c r="J111" s="3" t="n">
        <v>6100.0</v>
      </c>
      <c r="K111" s="3" t="n">
        <v>5994.0</v>
      </c>
      <c r="L111" s="3" t="n">
        <v>5894.0</v>
      </c>
      <c r="M111" s="3" t="n">
        <v>5812.0</v>
      </c>
      <c r="N111" s="3" t="n">
        <v>5740.0</v>
      </c>
      <c r="O111" s="3" t="n">
        <v>5703.0</v>
      </c>
      <c r="P111" s="3" t="n">
        <v>5671.0</v>
      </c>
      <c r="Q111" s="3" t="n">
        <v>5648.0</v>
      </c>
      <c r="R111" s="3" t="n">
        <v>5639.0</v>
      </c>
      <c r="S111" s="3" t="n">
        <v>5633.0</v>
      </c>
      <c r="T111" s="3" t="n">
        <v>5623.0</v>
      </c>
      <c r="U111" s="3" t="n">
        <v>5605.0</v>
      </c>
      <c r="V111" s="3" t="n">
        <v>5585.0</v>
      </c>
      <c r="W111" s="3" t="n">
        <v>5552.0</v>
      </c>
      <c r="X111" s="3" t="n">
        <v>5513.0</v>
      </c>
      <c r="Y111" s="3" t="n">
        <v>5450.0</v>
      </c>
      <c r="Z111" s="3" t="n">
        <v>5389.0</v>
      </c>
      <c r="AA111" s="3" t="n">
        <v>5298.0</v>
      </c>
      <c r="AB111" s="3" t="n">
        <v>5187.0</v>
      </c>
      <c r="AC111" s="3" t="n">
        <v>5079.0</v>
      </c>
      <c r="AD111" s="3" t="n">
        <v>4947.0</v>
      </c>
      <c r="AE111" s="3" t="n">
        <v>4812.0</v>
      </c>
      <c r="AF111" s="3" t="n">
        <v>4672.0</v>
      </c>
      <c r="AG111" s="3" t="n">
        <v>4519.0</v>
      </c>
      <c r="AH111" s="3" t="n">
        <v>4361.0</v>
      </c>
      <c r="AI111" s="3" t="n">
        <v>4216.0</v>
      </c>
      <c r="AJ111" s="3" t="n">
        <v>4075.0</v>
      </c>
      <c r="AK111" s="3" t="n">
        <v>3933.0</v>
      </c>
      <c r="AL111" s="3" t="n">
        <v>3795.0</v>
      </c>
      <c r="AM111" s="3" t="n">
        <v>3671.0</v>
      </c>
      <c r="AN111" s="3" t="n">
        <v>3559.0</v>
      </c>
      <c r="AO111" s="3" t="n">
        <v>3448.0</v>
      </c>
    </row>
    <row r="112" spans="1:41" x14ac:dyDescent="0.2">
      <c r="A112" s="128"/>
      <c r="B112" s="9">
        <v>1</v>
      </c>
      <c r="C112" s="3" t="n">
        <v>8663.0</v>
      </c>
      <c r="D112" s="3" t="n">
        <v>7624.0</v>
      </c>
      <c r="E112" s="3" t="n">
        <v>7245.0</v>
      </c>
      <c r="F112" s="3" t="n">
        <v>6986.0</v>
      </c>
      <c r="G112" s="3" t="n">
        <v>6754.0</v>
      </c>
      <c r="H112" s="3" t="n">
        <v>6559.0</v>
      </c>
      <c r="I112" s="3" t="n">
        <v>6394.0</v>
      </c>
      <c r="J112" s="3" t="n">
        <v>6248.0</v>
      </c>
      <c r="K112" s="3" t="n">
        <v>6115.0</v>
      </c>
      <c r="L112" s="3" t="n">
        <v>6012.0</v>
      </c>
      <c r="M112" s="3" t="n">
        <v>5911.0</v>
      </c>
      <c r="N112" s="3" t="n">
        <v>5828.0</v>
      </c>
      <c r="O112" s="3" t="n">
        <v>5754.0</v>
      </c>
      <c r="P112" s="3" t="n">
        <v>5716.0</v>
      </c>
      <c r="Q112" s="3" t="n">
        <v>5684.0</v>
      </c>
      <c r="R112" s="3" t="n">
        <v>5661.0</v>
      </c>
      <c r="S112" s="3" t="n">
        <v>5652.0</v>
      </c>
      <c r="T112" s="3" t="n">
        <v>5646.0</v>
      </c>
      <c r="U112" s="3" t="n">
        <v>5639.0</v>
      </c>
      <c r="V112" s="3" t="n">
        <v>5622.0</v>
      </c>
      <c r="W112" s="3" t="n">
        <v>5603.0</v>
      </c>
      <c r="X112" s="3" t="n">
        <v>5571.0</v>
      </c>
      <c r="Y112" s="3" t="n">
        <v>5532.0</v>
      </c>
      <c r="Z112" s="3" t="n">
        <v>5470.0</v>
      </c>
      <c r="AA112" s="3" t="n">
        <v>5409.0</v>
      </c>
      <c r="AB112" s="3" t="n">
        <v>5318.0</v>
      </c>
      <c r="AC112" s="3" t="n">
        <v>5209.0</v>
      </c>
      <c r="AD112" s="3" t="n">
        <v>5102.0</v>
      </c>
      <c r="AE112" s="3" t="n">
        <v>4969.0</v>
      </c>
      <c r="AF112" s="3" t="n">
        <v>4834.0</v>
      </c>
      <c r="AG112" s="3" t="n">
        <v>4697.0</v>
      </c>
      <c r="AH112" s="3" t="n">
        <v>4545.0</v>
      </c>
      <c r="AI112" s="3" t="n">
        <v>4387.0</v>
      </c>
      <c r="AJ112" s="3" t="n">
        <v>4244.0</v>
      </c>
      <c r="AK112" s="3" t="n">
        <v>4104.0</v>
      </c>
      <c r="AL112" s="3" t="n">
        <v>3959.0</v>
      </c>
      <c r="AM112" s="3" t="n">
        <v>3819.0</v>
      </c>
      <c r="AN112" s="3" t="n">
        <v>3695.0</v>
      </c>
      <c r="AO112" s="3" t="n">
        <v>3583.0</v>
      </c>
    </row>
    <row r="113" spans="1:41" x14ac:dyDescent="0.2">
      <c r="A113" s="128"/>
      <c r="B113" s="9">
        <v>2</v>
      </c>
      <c r="C113" s="3" t="n">
        <v>9230.0</v>
      </c>
      <c r="D113" s="3" t="n">
        <v>8670.0</v>
      </c>
      <c r="E113" s="3" t="n">
        <v>7634.0</v>
      </c>
      <c r="F113" s="3" t="n">
        <v>7261.0</v>
      </c>
      <c r="G113" s="3" t="n">
        <v>7003.0</v>
      </c>
      <c r="H113" s="3" t="n">
        <v>6786.0</v>
      </c>
      <c r="I113" s="3" t="n">
        <v>6596.0</v>
      </c>
      <c r="J113" s="3" t="n">
        <v>6415.0</v>
      </c>
      <c r="K113" s="3" t="n">
        <v>6263.0</v>
      </c>
      <c r="L113" s="3" t="n">
        <v>6127.0</v>
      </c>
      <c r="M113" s="3" t="n">
        <v>6025.0</v>
      </c>
      <c r="N113" s="3" t="n">
        <v>5922.0</v>
      </c>
      <c r="O113" s="3" t="n">
        <v>5840.0</v>
      </c>
      <c r="P113" s="3" t="n">
        <v>5760.0</v>
      </c>
      <c r="Q113" s="3" t="n">
        <v>5721.0</v>
      </c>
      <c r="R113" s="3" t="n">
        <v>5687.0</v>
      </c>
      <c r="S113" s="3" t="n">
        <v>5666.0</v>
      </c>
      <c r="T113" s="3" t="n">
        <v>5657.0</v>
      </c>
      <c r="U113" s="3" t="n">
        <v>5650.0</v>
      </c>
      <c r="V113" s="3" t="n">
        <v>5646.0</v>
      </c>
      <c r="W113" s="3" t="n">
        <v>5630.0</v>
      </c>
      <c r="X113" s="3" t="n">
        <v>5612.0</v>
      </c>
      <c r="Y113" s="3" t="n">
        <v>5580.0</v>
      </c>
      <c r="Z113" s="3" t="n">
        <v>5541.0</v>
      </c>
      <c r="AA113" s="3" t="n">
        <v>5482.0</v>
      </c>
      <c r="AB113" s="3" t="n">
        <v>5424.0</v>
      </c>
      <c r="AC113" s="3" t="n">
        <v>5336.0</v>
      </c>
      <c r="AD113" s="3" t="n">
        <v>5226.0</v>
      </c>
      <c r="AE113" s="3" t="n">
        <v>5118.0</v>
      </c>
      <c r="AF113" s="3" t="n">
        <v>4987.0</v>
      </c>
      <c r="AG113" s="3" t="n">
        <v>4847.0</v>
      </c>
      <c r="AH113" s="3" t="n">
        <v>4711.0</v>
      </c>
      <c r="AI113" s="3" t="n">
        <v>4561.0</v>
      </c>
      <c r="AJ113" s="3" t="n">
        <v>4407.0</v>
      </c>
      <c r="AK113" s="3" t="n">
        <v>4265.0</v>
      </c>
      <c r="AL113" s="3" t="n">
        <v>4125.0</v>
      </c>
      <c r="AM113" s="3" t="n">
        <v>3978.0</v>
      </c>
      <c r="AN113" s="3" t="n">
        <v>3838.0</v>
      </c>
      <c r="AO113" s="3" t="n">
        <v>3718.0</v>
      </c>
    </row>
    <row r="114" spans="1:41" x14ac:dyDescent="0.2">
      <c r="A114" s="128"/>
      <c r="B114" s="9">
        <v>3</v>
      </c>
      <c r="C114" s="3" t="n">
        <v>10007.0</v>
      </c>
      <c r="D114" s="3" t="n">
        <v>9229.0</v>
      </c>
      <c r="E114" s="3" t="n">
        <v>8675.0</v>
      </c>
      <c r="F114" s="3" t="n">
        <v>7639.0</v>
      </c>
      <c r="G114" s="3" t="n">
        <v>7270.0</v>
      </c>
      <c r="H114" s="3" t="n">
        <v>7021.0</v>
      </c>
      <c r="I114" s="3" t="n">
        <v>6813.0</v>
      </c>
      <c r="J114" s="3" t="n">
        <v>6614.0</v>
      </c>
      <c r="K114" s="3" t="n">
        <v>6430.0</v>
      </c>
      <c r="L114" s="3" t="n">
        <v>6280.0</v>
      </c>
      <c r="M114" s="3" t="n">
        <v>6138.0</v>
      </c>
      <c r="N114" s="3" t="n">
        <v>6035.0</v>
      </c>
      <c r="O114" s="3" t="n">
        <v>5933.0</v>
      </c>
      <c r="P114" s="3" t="n">
        <v>5850.0</v>
      </c>
      <c r="Q114" s="3" t="n">
        <v>5771.0</v>
      </c>
      <c r="R114" s="3" t="n">
        <v>5733.0</v>
      </c>
      <c r="S114" s="3" t="n">
        <v>5697.0</v>
      </c>
      <c r="T114" s="3" t="n">
        <v>5677.0</v>
      </c>
      <c r="U114" s="3" t="n">
        <v>5668.0</v>
      </c>
      <c r="V114" s="3" t="n">
        <v>5661.0</v>
      </c>
      <c r="W114" s="3" t="n">
        <v>5656.0</v>
      </c>
      <c r="X114" s="3" t="n">
        <v>5640.0</v>
      </c>
      <c r="Y114" s="3" t="n">
        <v>5621.0</v>
      </c>
      <c r="Z114" s="3" t="n">
        <v>5590.0</v>
      </c>
      <c r="AA114" s="3" t="n">
        <v>5550.0</v>
      </c>
      <c r="AB114" s="3" t="n">
        <v>5493.0</v>
      </c>
      <c r="AC114" s="3" t="n">
        <v>5435.0</v>
      </c>
      <c r="AD114" s="3" t="n">
        <v>5346.0</v>
      </c>
      <c r="AE114" s="3" t="n">
        <v>5237.0</v>
      </c>
      <c r="AF114" s="3" t="n">
        <v>5128.0</v>
      </c>
      <c r="AG114" s="3" t="n">
        <v>4999.0</v>
      </c>
      <c r="AH114" s="3" t="n">
        <v>4862.0</v>
      </c>
      <c r="AI114" s="3" t="n">
        <v>4730.0</v>
      </c>
      <c r="AJ114" s="3" t="n">
        <v>4577.0</v>
      </c>
      <c r="AK114" s="3" t="n">
        <v>4428.0</v>
      </c>
      <c r="AL114" s="3" t="n">
        <v>4283.0</v>
      </c>
      <c r="AM114" s="3" t="n">
        <v>4142.0</v>
      </c>
      <c r="AN114" s="3" t="n">
        <v>3995.0</v>
      </c>
      <c r="AO114" s="3" t="n">
        <v>3861.0</v>
      </c>
    </row>
    <row r="115" spans="1:41" x14ac:dyDescent="0.2">
      <c r="A115" s="128"/>
      <c r="B115" s="9">
        <v>4</v>
      </c>
      <c r="C115" s="3" t="n">
        <v>10521.0</v>
      </c>
      <c r="D115" s="3" t="n">
        <v>10014.0</v>
      </c>
      <c r="E115" s="3" t="n">
        <v>9232.0</v>
      </c>
      <c r="F115" s="3" t="n">
        <v>8680.0</v>
      </c>
      <c r="G115" s="3" t="n">
        <v>7647.0</v>
      </c>
      <c r="H115" s="3" t="n">
        <v>7300.0</v>
      </c>
      <c r="I115" s="3" t="n">
        <v>7059.0</v>
      </c>
      <c r="J115" s="3" t="n">
        <v>6838.0</v>
      </c>
      <c r="K115" s="3" t="n">
        <v>6635.0</v>
      </c>
      <c r="L115" s="3" t="n">
        <v>6447.0</v>
      </c>
      <c r="M115" s="3" t="n">
        <v>6294.0</v>
      </c>
      <c r="N115" s="3" t="n">
        <v>6151.0</v>
      </c>
      <c r="O115" s="3" t="n">
        <v>6045.0</v>
      </c>
      <c r="P115" s="3" t="n">
        <v>5942.0</v>
      </c>
      <c r="Q115" s="3" t="n">
        <v>5864.0</v>
      </c>
      <c r="R115" s="3" t="n">
        <v>5784.0</v>
      </c>
      <c r="S115" s="3" t="n">
        <v>5745.0</v>
      </c>
      <c r="T115" s="3" t="n">
        <v>5709.0</v>
      </c>
      <c r="U115" s="3" t="n">
        <v>5688.0</v>
      </c>
      <c r="V115" s="3" t="n">
        <v>5679.0</v>
      </c>
      <c r="W115" s="3" t="n">
        <v>5673.0</v>
      </c>
      <c r="X115" s="3" t="n">
        <v>5668.0</v>
      </c>
      <c r="Y115" s="3" t="n">
        <v>5653.0</v>
      </c>
      <c r="Z115" s="3" t="n">
        <v>5634.0</v>
      </c>
      <c r="AA115" s="3" t="n">
        <v>5603.0</v>
      </c>
      <c r="AB115" s="3" t="n">
        <v>5563.0</v>
      </c>
      <c r="AC115" s="3" t="n">
        <v>5506.0</v>
      </c>
      <c r="AD115" s="3" t="n">
        <v>5452.0</v>
      </c>
      <c r="AE115" s="3" t="n">
        <v>5366.0</v>
      </c>
      <c r="AF115" s="3" t="n">
        <v>5256.0</v>
      </c>
      <c r="AG115" s="3" t="n">
        <v>5143.0</v>
      </c>
      <c r="AH115" s="3" t="n">
        <v>5014.0</v>
      </c>
      <c r="AI115" s="3" t="n">
        <v>4875.0</v>
      </c>
      <c r="AJ115" s="3" t="n">
        <v>4741.0</v>
      </c>
      <c r="AK115" s="3" t="n">
        <v>4587.0</v>
      </c>
      <c r="AL115" s="3" t="n">
        <v>4436.0</v>
      </c>
      <c r="AM115" s="3" t="n">
        <v>4294.0</v>
      </c>
      <c r="AN115" s="3" t="n">
        <v>4155.0</v>
      </c>
      <c r="AO115" s="3" t="n">
        <v>4011.0</v>
      </c>
    </row>
    <row r="116" spans="1:41" x14ac:dyDescent="0.2">
      <c r="A116" s="128"/>
      <c r="B116" s="9">
        <v>5</v>
      </c>
      <c r="C116" s="3" t="n">
        <v>11070.0</v>
      </c>
      <c r="D116" s="3" t="n">
        <v>10529.0</v>
      </c>
      <c r="E116" s="3" t="n">
        <v>10025.0</v>
      </c>
      <c r="F116" s="3" t="n">
        <v>9245.0</v>
      </c>
      <c r="G116" s="3" t="n">
        <v>8687.0</v>
      </c>
      <c r="H116" s="3" t="n">
        <v>7674.0</v>
      </c>
      <c r="I116" s="3" t="n">
        <v>7337.0</v>
      </c>
      <c r="J116" s="3" t="n">
        <v>7083.0</v>
      </c>
      <c r="K116" s="3" t="n">
        <v>6858.0</v>
      </c>
      <c r="L116" s="3" t="n">
        <v>6658.0</v>
      </c>
      <c r="M116" s="3" t="n">
        <v>6466.0</v>
      </c>
      <c r="N116" s="3" t="n">
        <v>6311.0</v>
      </c>
      <c r="O116" s="3" t="n">
        <v>6167.0</v>
      </c>
      <c r="P116" s="3" t="n">
        <v>6063.0</v>
      </c>
      <c r="Q116" s="3" t="n">
        <v>5959.0</v>
      </c>
      <c r="R116" s="3" t="n">
        <v>5882.0</v>
      </c>
      <c r="S116" s="3" t="n">
        <v>5802.0</v>
      </c>
      <c r="T116" s="3" t="n">
        <v>5763.0</v>
      </c>
      <c r="U116" s="3" t="n">
        <v>5725.0</v>
      </c>
      <c r="V116" s="3" t="n">
        <v>5703.0</v>
      </c>
      <c r="W116" s="3" t="n">
        <v>5693.0</v>
      </c>
      <c r="X116" s="3" t="n">
        <v>5686.0</v>
      </c>
      <c r="Y116" s="3" t="n">
        <v>5681.0</v>
      </c>
      <c r="Z116" s="3" t="n">
        <v>5667.0</v>
      </c>
      <c r="AA116" s="3" t="n">
        <v>5648.0</v>
      </c>
      <c r="AB116" s="3" t="n">
        <v>5618.0</v>
      </c>
      <c r="AC116" s="3" t="n">
        <v>5579.0</v>
      </c>
      <c r="AD116" s="3" t="n">
        <v>5519.0</v>
      </c>
      <c r="AE116" s="3" t="n">
        <v>5465.0</v>
      </c>
      <c r="AF116" s="3" t="n">
        <v>5382.0</v>
      </c>
      <c r="AG116" s="3" t="n">
        <v>5272.0</v>
      </c>
      <c r="AH116" s="3" t="n">
        <v>5156.0</v>
      </c>
      <c r="AI116" s="3" t="n">
        <v>5029.0</v>
      </c>
      <c r="AJ116" s="3" t="n">
        <v>4890.0</v>
      </c>
      <c r="AK116" s="3" t="n">
        <v>4756.0</v>
      </c>
      <c r="AL116" s="3" t="n">
        <v>4604.0</v>
      </c>
      <c r="AM116" s="3" t="n">
        <v>4451.0</v>
      </c>
      <c r="AN116" s="3" t="n">
        <v>4307.0</v>
      </c>
      <c r="AO116" s="3" t="n">
        <v>4162.0</v>
      </c>
    </row>
    <row r="117" spans="1:41" x14ac:dyDescent="0.2">
      <c r="A117" s="128"/>
      <c r="B117" s="9">
        <v>6</v>
      </c>
      <c r="C117" s="3" t="n">
        <v>10489.0</v>
      </c>
      <c r="D117" s="3" t="n">
        <v>11072.0</v>
      </c>
      <c r="E117" s="3" t="n">
        <v>10527.0</v>
      </c>
      <c r="F117" s="3" t="n">
        <v>10022.0</v>
      </c>
      <c r="G117" s="3" t="n">
        <v>9251.0</v>
      </c>
      <c r="H117" s="3" t="n">
        <v>8713.0</v>
      </c>
      <c r="I117" s="3" t="n">
        <v>7706.0</v>
      </c>
      <c r="J117" s="3" t="n">
        <v>7355.0</v>
      </c>
      <c r="K117" s="3" t="n">
        <v>7092.0</v>
      </c>
      <c r="L117" s="3" t="n">
        <v>6867.0</v>
      </c>
      <c r="M117" s="3" t="n">
        <v>6663.0</v>
      </c>
      <c r="N117" s="3" t="n">
        <v>6472.0</v>
      </c>
      <c r="O117" s="3" t="n">
        <v>6316.0</v>
      </c>
      <c r="P117" s="3" t="n">
        <v>6175.0</v>
      </c>
      <c r="Q117" s="3" t="n">
        <v>6070.0</v>
      </c>
      <c r="R117" s="3" t="n">
        <v>5967.0</v>
      </c>
      <c r="S117" s="3" t="n">
        <v>5886.0</v>
      </c>
      <c r="T117" s="3" t="n">
        <v>5806.0</v>
      </c>
      <c r="U117" s="3" t="n">
        <v>5766.0</v>
      </c>
      <c r="V117" s="3" t="n">
        <v>5726.0</v>
      </c>
      <c r="W117" s="3" t="n">
        <v>5703.0</v>
      </c>
      <c r="X117" s="3" t="n">
        <v>5693.0</v>
      </c>
      <c r="Y117" s="3" t="n">
        <v>5685.0</v>
      </c>
      <c r="Z117" s="3" t="n">
        <v>5680.0</v>
      </c>
      <c r="AA117" s="3" t="n">
        <v>5666.0</v>
      </c>
      <c r="AB117" s="3" t="n">
        <v>5647.0</v>
      </c>
      <c r="AC117" s="3" t="n">
        <v>5617.0</v>
      </c>
      <c r="AD117" s="3" t="n">
        <v>5578.0</v>
      </c>
      <c r="AE117" s="3" t="n">
        <v>5518.0</v>
      </c>
      <c r="AF117" s="3" t="n">
        <v>5464.0</v>
      </c>
      <c r="AG117" s="3" t="n">
        <v>5382.0</v>
      </c>
      <c r="AH117" s="3" t="n">
        <v>5276.0</v>
      </c>
      <c r="AI117" s="3" t="n">
        <v>5159.0</v>
      </c>
      <c r="AJ117" s="3" t="n">
        <v>5035.0</v>
      </c>
      <c r="AK117" s="3" t="n">
        <v>4899.0</v>
      </c>
      <c r="AL117" s="3" t="n">
        <v>4766.0</v>
      </c>
      <c r="AM117" s="3" t="n">
        <v>4613.0</v>
      </c>
      <c r="AN117" s="3" t="n">
        <v>4463.0</v>
      </c>
      <c r="AO117" s="3" t="n">
        <v>4321.0</v>
      </c>
    </row>
    <row r="118" spans="1:41" x14ac:dyDescent="0.2">
      <c r="A118" s="128"/>
      <c r="B118" s="9">
        <v>7</v>
      </c>
      <c r="C118" s="3" t="n">
        <v>10265.0</v>
      </c>
      <c r="D118" s="3" t="n">
        <v>10486.0</v>
      </c>
      <c r="E118" s="3" t="n">
        <v>11068.0</v>
      </c>
      <c r="F118" s="3" t="n">
        <v>10518.0</v>
      </c>
      <c r="G118" s="3" t="n">
        <v>10019.0</v>
      </c>
      <c r="H118" s="3" t="n">
        <v>9269.0</v>
      </c>
      <c r="I118" s="3" t="n">
        <v>8741.0</v>
      </c>
      <c r="J118" s="3" t="n">
        <v>7722.0</v>
      </c>
      <c r="K118" s="3" t="n">
        <v>7361.0</v>
      </c>
      <c r="L118" s="3" t="n">
        <v>7100.0</v>
      </c>
      <c r="M118" s="3" t="n">
        <v>6874.0</v>
      </c>
      <c r="N118" s="3" t="n">
        <v>6668.0</v>
      </c>
      <c r="O118" s="3" t="n">
        <v>6474.0</v>
      </c>
      <c r="P118" s="3" t="n">
        <v>6317.0</v>
      </c>
      <c r="Q118" s="3" t="n">
        <v>6177.0</v>
      </c>
      <c r="R118" s="3" t="n">
        <v>6076.0</v>
      </c>
      <c r="S118" s="3" t="n">
        <v>5972.0</v>
      </c>
      <c r="T118" s="3" t="n">
        <v>5888.0</v>
      </c>
      <c r="U118" s="3" t="n">
        <v>5807.0</v>
      </c>
      <c r="V118" s="3" t="n">
        <v>5767.0</v>
      </c>
      <c r="W118" s="3" t="n">
        <v>5728.0</v>
      </c>
      <c r="X118" s="3" t="n">
        <v>5706.0</v>
      </c>
      <c r="Y118" s="3" t="n">
        <v>5696.0</v>
      </c>
      <c r="Z118" s="3" t="n">
        <v>5689.0</v>
      </c>
      <c r="AA118" s="3" t="n">
        <v>5684.0</v>
      </c>
      <c r="AB118" s="3" t="n">
        <v>5669.0</v>
      </c>
      <c r="AC118" s="3" t="n">
        <v>5650.0</v>
      </c>
      <c r="AD118" s="3" t="n">
        <v>5621.0</v>
      </c>
      <c r="AE118" s="3" t="n">
        <v>5583.0</v>
      </c>
      <c r="AF118" s="3" t="n">
        <v>5522.0</v>
      </c>
      <c r="AG118" s="3" t="n">
        <v>5469.0</v>
      </c>
      <c r="AH118" s="3" t="n">
        <v>5386.0</v>
      </c>
      <c r="AI118" s="3" t="n">
        <v>5280.0</v>
      </c>
      <c r="AJ118" s="3" t="n">
        <v>5162.0</v>
      </c>
      <c r="AK118" s="3" t="n">
        <v>5035.0</v>
      </c>
      <c r="AL118" s="3" t="n">
        <v>4902.0</v>
      </c>
      <c r="AM118" s="3" t="n">
        <v>4770.0</v>
      </c>
      <c r="AN118" s="3" t="n">
        <v>4614.0</v>
      </c>
      <c r="AO118" s="3" t="n">
        <v>4464.0</v>
      </c>
    </row>
    <row r="119" spans="1:41" x14ac:dyDescent="0.2">
      <c r="A119" s="128"/>
      <c r="B119" s="9">
        <v>8</v>
      </c>
      <c r="C119" s="3" t="n">
        <v>10542.0</v>
      </c>
      <c r="D119" s="3" t="n">
        <v>10266.0</v>
      </c>
      <c r="E119" s="3" t="n">
        <v>10485.0</v>
      </c>
      <c r="F119" s="3" t="n">
        <v>11066.0</v>
      </c>
      <c r="G119" s="3" t="n">
        <v>10515.0</v>
      </c>
      <c r="H119" s="3" t="n">
        <v>10036.0</v>
      </c>
      <c r="I119" s="3" t="n">
        <v>9296.0</v>
      </c>
      <c r="J119" s="3" t="n">
        <v>8758.0</v>
      </c>
      <c r="K119" s="3" t="n">
        <v>7736.0</v>
      </c>
      <c r="L119" s="3" t="n">
        <v>7370.0</v>
      </c>
      <c r="M119" s="3" t="n">
        <v>7105.0</v>
      </c>
      <c r="N119" s="3" t="n">
        <v>6881.0</v>
      </c>
      <c r="O119" s="3" t="n">
        <v>6674.0</v>
      </c>
      <c r="P119" s="3" t="n">
        <v>6478.0</v>
      </c>
      <c r="Q119" s="3" t="n">
        <v>6323.0</v>
      </c>
      <c r="R119" s="3" t="n">
        <v>6183.0</v>
      </c>
      <c r="S119" s="3" t="n">
        <v>6081.0</v>
      </c>
      <c r="T119" s="3" t="n">
        <v>5979.0</v>
      </c>
      <c r="U119" s="3" t="n">
        <v>5895.0</v>
      </c>
      <c r="V119" s="3" t="n">
        <v>5810.0</v>
      </c>
      <c r="W119" s="3" t="n">
        <v>5771.0</v>
      </c>
      <c r="X119" s="3" t="n">
        <v>5731.0</v>
      </c>
      <c r="Y119" s="3" t="n">
        <v>5707.0</v>
      </c>
      <c r="Z119" s="3" t="n">
        <v>5697.0</v>
      </c>
      <c r="AA119" s="3" t="n">
        <v>5690.0</v>
      </c>
      <c r="AB119" s="3" t="n">
        <v>5686.0</v>
      </c>
      <c r="AC119" s="3" t="n">
        <v>5671.0</v>
      </c>
      <c r="AD119" s="3" t="n">
        <v>5651.0</v>
      </c>
      <c r="AE119" s="3" t="n">
        <v>5622.0</v>
      </c>
      <c r="AF119" s="3" t="n">
        <v>5587.0</v>
      </c>
      <c r="AG119" s="3" t="n">
        <v>5527.0</v>
      </c>
      <c r="AH119" s="3" t="n">
        <v>5473.0</v>
      </c>
      <c r="AI119" s="3" t="n">
        <v>5390.0</v>
      </c>
      <c r="AJ119" s="3" t="n">
        <v>5284.0</v>
      </c>
      <c r="AK119" s="3" t="n">
        <v>5168.0</v>
      </c>
      <c r="AL119" s="3" t="n">
        <v>5039.0</v>
      </c>
      <c r="AM119" s="3" t="n">
        <v>4905.0</v>
      </c>
      <c r="AN119" s="3" t="n">
        <v>4777.0</v>
      </c>
      <c r="AO119" s="3" t="n">
        <v>4621.0</v>
      </c>
    </row>
    <row r="120" spans="1:41" x14ac:dyDescent="0.2">
      <c r="A120" s="128"/>
      <c r="B120" s="9">
        <v>9</v>
      </c>
      <c r="C120" s="3" t="n">
        <v>10527.0</v>
      </c>
      <c r="D120" s="3" t="n">
        <v>10536.0</v>
      </c>
      <c r="E120" s="3" t="n">
        <v>10261.0</v>
      </c>
      <c r="F120" s="3" t="n">
        <v>10480.0</v>
      </c>
      <c r="G120" s="3" t="n">
        <v>11059.0</v>
      </c>
      <c r="H120" s="3" t="n">
        <v>10533.0</v>
      </c>
      <c r="I120" s="3" t="n">
        <v>10057.0</v>
      </c>
      <c r="J120" s="3" t="n">
        <v>9301.0</v>
      </c>
      <c r="K120" s="3" t="n">
        <v>8759.0</v>
      </c>
      <c r="L120" s="3" t="n">
        <v>7737.0</v>
      </c>
      <c r="M120" s="3" t="n">
        <v>7374.0</v>
      </c>
      <c r="N120" s="3" t="n">
        <v>7107.0</v>
      </c>
      <c r="O120" s="3" t="n">
        <v>6884.0</v>
      </c>
      <c r="P120" s="3" t="n">
        <v>6683.0</v>
      </c>
      <c r="Q120" s="3" t="n">
        <v>6485.0</v>
      </c>
      <c r="R120" s="3" t="n">
        <v>6322.0</v>
      </c>
      <c r="S120" s="3" t="n">
        <v>6183.0</v>
      </c>
      <c r="T120" s="3" t="n">
        <v>6080.0</v>
      </c>
      <c r="U120" s="3" t="n">
        <v>5978.0</v>
      </c>
      <c r="V120" s="3" t="n">
        <v>5895.0</v>
      </c>
      <c r="W120" s="3" t="n">
        <v>5809.0</v>
      </c>
      <c r="X120" s="3" t="n">
        <v>5771.0</v>
      </c>
      <c r="Y120" s="3" t="n">
        <v>5732.0</v>
      </c>
      <c r="Z120" s="3" t="n">
        <v>5707.0</v>
      </c>
      <c r="AA120" s="3" t="n">
        <v>5696.0</v>
      </c>
      <c r="AB120" s="3" t="n">
        <v>5690.0</v>
      </c>
      <c r="AC120" s="3" t="n">
        <v>5686.0</v>
      </c>
      <c r="AD120" s="3" t="n">
        <v>5672.0</v>
      </c>
      <c r="AE120" s="3" t="n">
        <v>5652.0</v>
      </c>
      <c r="AF120" s="3" t="n">
        <v>5623.0</v>
      </c>
      <c r="AG120" s="3" t="n">
        <v>5587.0</v>
      </c>
      <c r="AH120" s="3" t="n">
        <v>5528.0</v>
      </c>
      <c r="AI120" s="3" t="n">
        <v>5473.0</v>
      </c>
      <c r="AJ120" s="3" t="n">
        <v>5392.0</v>
      </c>
      <c r="AK120" s="3" t="n">
        <v>5286.0</v>
      </c>
      <c r="AL120" s="3" t="n">
        <v>5169.0</v>
      </c>
      <c r="AM120" s="3" t="n">
        <v>5041.0</v>
      </c>
      <c r="AN120" s="3" t="n">
        <v>4906.0</v>
      </c>
      <c r="AO120" s="3" t="n">
        <v>4779.0</v>
      </c>
    </row>
    <row r="121" spans="1:41" x14ac:dyDescent="0.2">
      <c r="A121" s="128"/>
      <c r="B121" s="9">
        <v>10</v>
      </c>
      <c r="C121" s="3" t="n">
        <v>11081.0</v>
      </c>
      <c r="D121" s="3" t="n">
        <v>10526.0</v>
      </c>
      <c r="E121" s="3" t="n">
        <v>10540.0</v>
      </c>
      <c r="F121" s="3" t="n">
        <v>10263.0</v>
      </c>
      <c r="G121" s="3" t="n">
        <v>10482.0</v>
      </c>
      <c r="H121" s="3" t="n">
        <v>11081.0</v>
      </c>
      <c r="I121" s="3" t="n">
        <v>10564.0</v>
      </c>
      <c r="J121" s="3" t="n">
        <v>10074.0</v>
      </c>
      <c r="K121" s="3" t="n">
        <v>9311.0</v>
      </c>
      <c r="L121" s="3" t="n">
        <v>8763.0</v>
      </c>
      <c r="M121" s="3" t="n">
        <v>7738.0</v>
      </c>
      <c r="N121" s="3" t="n">
        <v>7377.0</v>
      </c>
      <c r="O121" s="3" t="n">
        <v>7110.0</v>
      </c>
      <c r="P121" s="3" t="n">
        <v>6886.0</v>
      </c>
      <c r="Q121" s="3" t="n">
        <v>6685.0</v>
      </c>
      <c r="R121" s="3" t="n">
        <v>6489.0</v>
      </c>
      <c r="S121" s="3" t="n">
        <v>6321.0</v>
      </c>
      <c r="T121" s="3" t="n">
        <v>6184.0</v>
      </c>
      <c r="U121" s="3" t="n">
        <v>6081.0</v>
      </c>
      <c r="V121" s="3" t="n">
        <v>5978.0</v>
      </c>
      <c r="W121" s="3" t="n">
        <v>5896.0</v>
      </c>
      <c r="X121" s="3" t="n">
        <v>5811.0</v>
      </c>
      <c r="Y121" s="3" t="n">
        <v>5770.0</v>
      </c>
      <c r="Z121" s="3" t="n">
        <v>5732.0</v>
      </c>
      <c r="AA121" s="3" t="n">
        <v>5706.0</v>
      </c>
      <c r="AB121" s="3" t="n">
        <v>5695.0</v>
      </c>
      <c r="AC121" s="3" t="n">
        <v>5689.0</v>
      </c>
      <c r="AD121" s="3" t="n">
        <v>5685.0</v>
      </c>
      <c r="AE121" s="3" t="n">
        <v>5670.0</v>
      </c>
      <c r="AF121" s="3" t="n">
        <v>5651.0</v>
      </c>
      <c r="AG121" s="3" t="n">
        <v>5623.0</v>
      </c>
      <c r="AH121" s="3" t="n">
        <v>5588.0</v>
      </c>
      <c r="AI121" s="3" t="n">
        <v>5528.0</v>
      </c>
      <c r="AJ121" s="3" t="n">
        <v>5472.0</v>
      </c>
      <c r="AK121" s="3" t="n">
        <v>5392.0</v>
      </c>
      <c r="AL121" s="3" t="n">
        <v>5285.0</v>
      </c>
      <c r="AM121" s="3" t="n">
        <v>5171.0</v>
      </c>
      <c r="AN121" s="3" t="n">
        <v>5042.0</v>
      </c>
      <c r="AO121" s="3" t="n">
        <v>4904.0</v>
      </c>
    </row>
    <row r="122" spans="1:41" x14ac:dyDescent="0.2">
      <c r="A122" s="128"/>
      <c r="B122" s="9">
        <v>11</v>
      </c>
      <c r="C122" s="3" t="n">
        <v>11084.0</v>
      </c>
      <c r="D122" s="3" t="n">
        <v>11073.0</v>
      </c>
      <c r="E122" s="3" t="n">
        <v>10518.0</v>
      </c>
      <c r="F122" s="3" t="n">
        <v>10534.0</v>
      </c>
      <c r="G122" s="3" t="n">
        <v>10261.0</v>
      </c>
      <c r="H122" s="3" t="n">
        <v>10499.0</v>
      </c>
      <c r="I122" s="3" t="n">
        <v>11102.0</v>
      </c>
      <c r="J122" s="3" t="n">
        <v>10572.0</v>
      </c>
      <c r="K122" s="3" t="n">
        <v>10076.0</v>
      </c>
      <c r="L122" s="3" t="n">
        <v>9320.0</v>
      </c>
      <c r="M122" s="3" t="n">
        <v>8766.0</v>
      </c>
      <c r="N122" s="3" t="n">
        <v>7742.0</v>
      </c>
      <c r="O122" s="3" t="n">
        <v>7381.0</v>
      </c>
      <c r="P122" s="3" t="n">
        <v>7113.0</v>
      </c>
      <c r="Q122" s="3" t="n">
        <v>6890.0</v>
      </c>
      <c r="R122" s="3" t="n">
        <v>6693.0</v>
      </c>
      <c r="S122" s="3" t="n">
        <v>6494.0</v>
      </c>
      <c r="T122" s="3" t="n">
        <v>6326.0</v>
      </c>
      <c r="U122" s="3" t="n">
        <v>6188.0</v>
      </c>
      <c r="V122" s="3" t="n">
        <v>6087.0</v>
      </c>
      <c r="W122" s="3" t="n">
        <v>5983.0</v>
      </c>
      <c r="X122" s="3" t="n">
        <v>5902.0</v>
      </c>
      <c r="Y122" s="3" t="n">
        <v>5816.0</v>
      </c>
      <c r="Z122" s="3" t="n">
        <v>5774.0</v>
      </c>
      <c r="AA122" s="3" t="n">
        <v>5736.0</v>
      </c>
      <c r="AB122" s="3" t="n">
        <v>5712.0</v>
      </c>
      <c r="AC122" s="3" t="n">
        <v>5700.0</v>
      </c>
      <c r="AD122" s="3" t="n">
        <v>5694.0</v>
      </c>
      <c r="AE122" s="3" t="n">
        <v>5690.0</v>
      </c>
      <c r="AF122" s="3" t="n">
        <v>5674.0</v>
      </c>
      <c r="AG122" s="3" t="n">
        <v>5655.0</v>
      </c>
      <c r="AH122" s="3" t="n">
        <v>5628.0</v>
      </c>
      <c r="AI122" s="3" t="n">
        <v>5594.0</v>
      </c>
      <c r="AJ122" s="3" t="n">
        <v>5535.0</v>
      </c>
      <c r="AK122" s="3" t="n">
        <v>5478.0</v>
      </c>
      <c r="AL122" s="3" t="n">
        <v>5399.0</v>
      </c>
      <c r="AM122" s="3" t="n">
        <v>5294.0</v>
      </c>
      <c r="AN122" s="3" t="n">
        <v>5182.0</v>
      </c>
      <c r="AO122" s="3" t="n">
        <v>5052.0</v>
      </c>
    </row>
    <row r="123" spans="1:41" x14ac:dyDescent="0.2">
      <c r="A123" s="128"/>
      <c r="B123" s="9">
        <v>12</v>
      </c>
      <c r="C123" s="3" t="n">
        <v>11863.0</v>
      </c>
      <c r="D123" s="3" t="n">
        <v>11088.0</v>
      </c>
      <c r="E123" s="3" t="n">
        <v>11074.0</v>
      </c>
      <c r="F123" s="3" t="n">
        <v>10524.0</v>
      </c>
      <c r="G123" s="3" t="n">
        <v>10538.0</v>
      </c>
      <c r="H123" s="3" t="n">
        <v>10288.0</v>
      </c>
      <c r="I123" s="3" t="n">
        <v>10529.0</v>
      </c>
      <c r="J123" s="3" t="n">
        <v>11118.0</v>
      </c>
      <c r="K123" s="3" t="n">
        <v>10580.0</v>
      </c>
      <c r="L123" s="3" t="n">
        <v>10079.0</v>
      </c>
      <c r="M123" s="3" t="n">
        <v>9324.0</v>
      </c>
      <c r="N123" s="3" t="n">
        <v>8766.0</v>
      </c>
      <c r="O123" s="3" t="n">
        <v>7745.0</v>
      </c>
      <c r="P123" s="3" t="n">
        <v>7387.0</v>
      </c>
      <c r="Q123" s="3" t="n">
        <v>7124.0</v>
      </c>
      <c r="R123" s="3" t="n">
        <v>6899.0</v>
      </c>
      <c r="S123" s="3" t="n">
        <v>6700.0</v>
      </c>
      <c r="T123" s="3" t="n">
        <v>6503.0</v>
      </c>
      <c r="U123" s="3" t="n">
        <v>6337.0</v>
      </c>
      <c r="V123" s="3" t="n">
        <v>6199.0</v>
      </c>
      <c r="W123" s="3" t="n">
        <v>6097.0</v>
      </c>
      <c r="X123" s="3" t="n">
        <v>5994.0</v>
      </c>
      <c r="Y123" s="3" t="n">
        <v>5909.0</v>
      </c>
      <c r="Z123" s="3" t="n">
        <v>5820.0</v>
      </c>
      <c r="AA123" s="3" t="n">
        <v>5778.0</v>
      </c>
      <c r="AB123" s="3" t="n">
        <v>5740.0</v>
      </c>
      <c r="AC123" s="3" t="n">
        <v>5715.0</v>
      </c>
      <c r="AD123" s="3" t="n">
        <v>5703.0</v>
      </c>
      <c r="AE123" s="3" t="n">
        <v>5697.0</v>
      </c>
      <c r="AF123" s="3" t="n">
        <v>5692.0</v>
      </c>
      <c r="AG123" s="3" t="n">
        <v>5676.0</v>
      </c>
      <c r="AH123" s="3" t="n">
        <v>5656.0</v>
      </c>
      <c r="AI123" s="3" t="n">
        <v>5631.0</v>
      </c>
      <c r="AJ123" s="3" t="n">
        <v>5597.0</v>
      </c>
      <c r="AK123" s="3" t="n">
        <v>5538.0</v>
      </c>
      <c r="AL123" s="3" t="n">
        <v>5480.0</v>
      </c>
      <c r="AM123" s="3" t="n">
        <v>5402.0</v>
      </c>
      <c r="AN123" s="3" t="n">
        <v>5298.0</v>
      </c>
      <c r="AO123" s="3" t="n">
        <v>5187.0</v>
      </c>
    </row>
    <row r="124" spans="1:41" x14ac:dyDescent="0.2">
      <c r="A124" s="128"/>
      <c r="B124" s="9">
        <v>13</v>
      </c>
      <c r="C124" s="3" t="n">
        <v>11981.0</v>
      </c>
      <c r="D124" s="3" t="n">
        <v>11869.0</v>
      </c>
      <c r="E124" s="3" t="n">
        <v>11093.0</v>
      </c>
      <c r="F124" s="3" t="n">
        <v>11077.0</v>
      </c>
      <c r="G124" s="3" t="n">
        <v>10531.0</v>
      </c>
      <c r="H124" s="3" t="n">
        <v>10567.0</v>
      </c>
      <c r="I124" s="3" t="n">
        <v>10323.0</v>
      </c>
      <c r="J124" s="3" t="n">
        <v>10552.0</v>
      </c>
      <c r="K124" s="3" t="n">
        <v>11131.0</v>
      </c>
      <c r="L124" s="3" t="n">
        <v>10589.0</v>
      </c>
      <c r="M124" s="3" t="n">
        <v>10088.0</v>
      </c>
      <c r="N124" s="3" t="n">
        <v>9337.0</v>
      </c>
      <c r="O124" s="3" t="n">
        <v>8775.0</v>
      </c>
      <c r="P124" s="3" t="n">
        <v>7755.0</v>
      </c>
      <c r="Q124" s="3" t="n">
        <v>7395.0</v>
      </c>
      <c r="R124" s="3" t="n">
        <v>7134.0</v>
      </c>
      <c r="S124" s="3" t="n">
        <v>6907.0</v>
      </c>
      <c r="T124" s="3" t="n">
        <v>6709.0</v>
      </c>
      <c r="U124" s="3" t="n">
        <v>6510.0</v>
      </c>
      <c r="V124" s="3" t="n">
        <v>6343.0</v>
      </c>
      <c r="W124" s="3" t="n">
        <v>6204.0</v>
      </c>
      <c r="X124" s="3" t="n">
        <v>6101.0</v>
      </c>
      <c r="Y124" s="3" t="n">
        <v>6000.0</v>
      </c>
      <c r="Z124" s="3" t="n">
        <v>5913.0</v>
      </c>
      <c r="AA124" s="3" t="n">
        <v>5823.0</v>
      </c>
      <c r="AB124" s="3" t="n">
        <v>5783.0</v>
      </c>
      <c r="AC124" s="3" t="n">
        <v>5744.0</v>
      </c>
      <c r="AD124" s="3" t="n">
        <v>5719.0</v>
      </c>
      <c r="AE124" s="3" t="n">
        <v>5707.0</v>
      </c>
      <c r="AF124" s="3" t="n">
        <v>5701.0</v>
      </c>
      <c r="AG124" s="3" t="n">
        <v>5697.0</v>
      </c>
      <c r="AH124" s="3" t="n">
        <v>5681.0</v>
      </c>
      <c r="AI124" s="3" t="n">
        <v>5661.0</v>
      </c>
      <c r="AJ124" s="3" t="n">
        <v>5637.0</v>
      </c>
      <c r="AK124" s="3" t="n">
        <v>5602.0</v>
      </c>
      <c r="AL124" s="3" t="n">
        <v>5543.0</v>
      </c>
      <c r="AM124" s="3" t="n">
        <v>5486.0</v>
      </c>
      <c r="AN124" s="3" t="n">
        <v>5408.0</v>
      </c>
      <c r="AO124" s="3" t="n">
        <v>5305.0</v>
      </c>
    </row>
    <row r="125" spans="1:41" x14ac:dyDescent="0.2">
      <c r="A125" s="128"/>
      <c r="B125" s="9">
        <v>14</v>
      </c>
      <c r="C125" s="3" t="n">
        <v>11927.0</v>
      </c>
      <c r="D125" s="3" t="n">
        <v>11983.0</v>
      </c>
      <c r="E125" s="3" t="n">
        <v>11872.0</v>
      </c>
      <c r="F125" s="3" t="n">
        <v>11098.0</v>
      </c>
      <c r="G125" s="3" t="n">
        <v>11077.0</v>
      </c>
      <c r="H125" s="3" t="n">
        <v>10547.0</v>
      </c>
      <c r="I125" s="3" t="n">
        <v>10597.0</v>
      </c>
      <c r="J125" s="3" t="n">
        <v>10337.0</v>
      </c>
      <c r="K125" s="3" t="n">
        <v>10562.0</v>
      </c>
      <c r="L125" s="3" t="n">
        <v>11137.0</v>
      </c>
      <c r="M125" s="3" t="n">
        <v>10587.0</v>
      </c>
      <c r="N125" s="3" t="n">
        <v>10088.0</v>
      </c>
      <c r="O125" s="3" t="n">
        <v>9338.0</v>
      </c>
      <c r="P125" s="3" t="n">
        <v>8780.0</v>
      </c>
      <c r="Q125" s="3" t="n">
        <v>7762.0</v>
      </c>
      <c r="R125" s="3" t="n">
        <v>7403.0</v>
      </c>
      <c r="S125" s="3" t="n">
        <v>7141.0</v>
      </c>
      <c r="T125" s="3" t="n">
        <v>6914.0</v>
      </c>
      <c r="U125" s="3" t="n">
        <v>6714.0</v>
      </c>
      <c r="V125" s="3" t="n">
        <v>6515.0</v>
      </c>
      <c r="W125" s="3" t="n">
        <v>6348.0</v>
      </c>
      <c r="X125" s="3" t="n">
        <v>6206.0</v>
      </c>
      <c r="Y125" s="3" t="n">
        <v>6103.0</v>
      </c>
      <c r="Z125" s="3" t="n">
        <v>6001.0</v>
      </c>
      <c r="AA125" s="3" t="n">
        <v>5915.0</v>
      </c>
      <c r="AB125" s="3" t="n">
        <v>5823.0</v>
      </c>
      <c r="AC125" s="3" t="n">
        <v>5782.0</v>
      </c>
      <c r="AD125" s="3" t="n">
        <v>5744.0</v>
      </c>
      <c r="AE125" s="3" t="n">
        <v>5720.0</v>
      </c>
      <c r="AF125" s="3" t="n">
        <v>5708.0</v>
      </c>
      <c r="AG125" s="3" t="n">
        <v>5701.0</v>
      </c>
      <c r="AH125" s="3" t="n">
        <v>5697.0</v>
      </c>
      <c r="AI125" s="3" t="n">
        <v>5682.0</v>
      </c>
      <c r="AJ125" s="3" t="n">
        <v>5662.0</v>
      </c>
      <c r="AK125" s="3" t="n">
        <v>5638.0</v>
      </c>
      <c r="AL125" s="3" t="n">
        <v>5603.0</v>
      </c>
      <c r="AM125" s="3" t="n">
        <v>5545.0</v>
      </c>
      <c r="AN125" s="3" t="n">
        <v>5486.0</v>
      </c>
      <c r="AO125" s="3" t="n">
        <v>5409.0</v>
      </c>
    </row>
    <row r="126" spans="1:41" x14ac:dyDescent="0.2">
      <c r="A126" s="128"/>
      <c r="B126" s="9">
        <v>15</v>
      </c>
      <c r="C126" s="3" t="n">
        <v>11165.0</v>
      </c>
      <c r="D126" s="3" t="n">
        <v>11928.0</v>
      </c>
      <c r="E126" s="3" t="n">
        <v>11986.0</v>
      </c>
      <c r="F126" s="3" t="n">
        <v>11880.0</v>
      </c>
      <c r="G126" s="3" t="n">
        <v>11106.0</v>
      </c>
      <c r="H126" s="3" t="n">
        <v>11104.0</v>
      </c>
      <c r="I126" s="3" t="n">
        <v>10582.0</v>
      </c>
      <c r="J126" s="3" t="n">
        <v>10618.0</v>
      </c>
      <c r="K126" s="3" t="n">
        <v>10357.0</v>
      </c>
      <c r="L126" s="3" t="n">
        <v>10576.0</v>
      </c>
      <c r="M126" s="3" t="n">
        <v>11146.0</v>
      </c>
      <c r="N126" s="3" t="n">
        <v>10597.0</v>
      </c>
      <c r="O126" s="3" t="n">
        <v>10099.0</v>
      </c>
      <c r="P126" s="3" t="n">
        <v>9343.0</v>
      </c>
      <c r="Q126" s="3" t="n">
        <v>8789.0</v>
      </c>
      <c r="R126" s="3" t="n">
        <v>7770.0</v>
      </c>
      <c r="S126" s="3" t="n">
        <v>7413.0</v>
      </c>
      <c r="T126" s="3" t="n">
        <v>7150.0</v>
      </c>
      <c r="U126" s="3" t="n">
        <v>6922.0</v>
      </c>
      <c r="V126" s="3" t="n">
        <v>6722.0</v>
      </c>
      <c r="W126" s="3" t="n">
        <v>6523.0</v>
      </c>
      <c r="X126" s="3" t="n">
        <v>6355.0</v>
      </c>
      <c r="Y126" s="3" t="n">
        <v>6212.0</v>
      </c>
      <c r="Z126" s="3" t="n">
        <v>6107.0</v>
      </c>
      <c r="AA126" s="3" t="n">
        <v>6008.0</v>
      </c>
      <c r="AB126" s="3" t="n">
        <v>5919.0</v>
      </c>
      <c r="AC126" s="3" t="n">
        <v>5827.0</v>
      </c>
      <c r="AD126" s="3" t="n">
        <v>5785.0</v>
      </c>
      <c r="AE126" s="3" t="n">
        <v>5746.0</v>
      </c>
      <c r="AF126" s="3" t="n">
        <v>5723.0</v>
      </c>
      <c r="AG126" s="3" t="n">
        <v>5711.0</v>
      </c>
      <c r="AH126" s="3" t="n">
        <v>5704.0</v>
      </c>
      <c r="AI126" s="3" t="n">
        <v>5700.0</v>
      </c>
      <c r="AJ126" s="3" t="n">
        <v>5686.0</v>
      </c>
      <c r="AK126" s="3" t="n">
        <v>5666.0</v>
      </c>
      <c r="AL126" s="3" t="n">
        <v>5642.0</v>
      </c>
      <c r="AM126" s="3" t="n">
        <v>5605.0</v>
      </c>
      <c r="AN126" s="3" t="n">
        <v>5549.0</v>
      </c>
      <c r="AO126" s="3" t="n">
        <v>5490.0</v>
      </c>
    </row>
    <row r="127" spans="1:41" x14ac:dyDescent="0.2">
      <c r="A127" s="128"/>
      <c r="B127" s="9">
        <v>16</v>
      </c>
      <c r="C127" s="3" t="n">
        <v>10571.0</v>
      </c>
      <c r="D127" s="3" t="n">
        <v>11161.0</v>
      </c>
      <c r="E127" s="3" t="n">
        <v>11926.0</v>
      </c>
      <c r="F127" s="3" t="n">
        <v>11983.0</v>
      </c>
      <c r="G127" s="3" t="n">
        <v>11877.0</v>
      </c>
      <c r="H127" s="3" t="n">
        <v>11119.0</v>
      </c>
      <c r="I127" s="3" t="n">
        <v>11120.0</v>
      </c>
      <c r="J127" s="3" t="n">
        <v>10590.0</v>
      </c>
      <c r="K127" s="3" t="n">
        <v>10622.0</v>
      </c>
      <c r="L127" s="3" t="n">
        <v>10362.0</v>
      </c>
      <c r="M127" s="3" t="n">
        <v>10577.0</v>
      </c>
      <c r="N127" s="3" t="n">
        <v>11143.0</v>
      </c>
      <c r="O127" s="3" t="n">
        <v>10599.0</v>
      </c>
      <c r="P127" s="3" t="n">
        <v>10099.0</v>
      </c>
      <c r="Q127" s="3" t="n">
        <v>9341.0</v>
      </c>
      <c r="R127" s="3" t="n">
        <v>8788.0</v>
      </c>
      <c r="S127" s="3" t="n">
        <v>7776.0</v>
      </c>
      <c r="T127" s="3" t="n">
        <v>7418.0</v>
      </c>
      <c r="U127" s="3" t="n">
        <v>7154.0</v>
      </c>
      <c r="V127" s="3" t="n">
        <v>6929.0</v>
      </c>
      <c r="W127" s="3" t="n">
        <v>6729.0</v>
      </c>
      <c r="X127" s="3" t="n">
        <v>6529.0</v>
      </c>
      <c r="Y127" s="3" t="n">
        <v>6362.0</v>
      </c>
      <c r="Z127" s="3" t="n">
        <v>6221.0</v>
      </c>
      <c r="AA127" s="3" t="n">
        <v>6115.0</v>
      </c>
      <c r="AB127" s="3" t="n">
        <v>6015.0</v>
      </c>
      <c r="AC127" s="3" t="n">
        <v>5925.0</v>
      </c>
      <c r="AD127" s="3" t="n">
        <v>5833.0</v>
      </c>
      <c r="AE127" s="3" t="n">
        <v>5791.0</v>
      </c>
      <c r="AF127" s="3" t="n">
        <v>5752.0</v>
      </c>
      <c r="AG127" s="3" t="n">
        <v>5728.0</v>
      </c>
      <c r="AH127" s="3" t="n">
        <v>5716.0</v>
      </c>
      <c r="AI127" s="3" t="n">
        <v>5708.0</v>
      </c>
      <c r="AJ127" s="3" t="n">
        <v>5705.0</v>
      </c>
      <c r="AK127" s="3" t="n">
        <v>5691.0</v>
      </c>
      <c r="AL127" s="3" t="n">
        <v>5671.0</v>
      </c>
      <c r="AM127" s="3" t="n">
        <v>5647.0</v>
      </c>
      <c r="AN127" s="3" t="n">
        <v>5610.0</v>
      </c>
      <c r="AO127" s="3" t="n">
        <v>5556.0</v>
      </c>
    </row>
    <row r="128" spans="1:41" x14ac:dyDescent="0.2">
      <c r="A128" s="128"/>
      <c r="B128" s="9">
        <v>17</v>
      </c>
      <c r="C128" s="3" t="n">
        <v>10023.0</v>
      </c>
      <c r="D128" s="3" t="n">
        <v>10561.0</v>
      </c>
      <c r="E128" s="3" t="n">
        <v>11148.0</v>
      </c>
      <c r="F128" s="3" t="n">
        <v>11911.0</v>
      </c>
      <c r="G128" s="3" t="n">
        <v>11968.0</v>
      </c>
      <c r="H128" s="3" t="n">
        <v>11881.0</v>
      </c>
      <c r="I128" s="3" t="n">
        <v>11128.0</v>
      </c>
      <c r="J128" s="3" t="n">
        <v>11114.0</v>
      </c>
      <c r="K128" s="3" t="n">
        <v>10582.0</v>
      </c>
      <c r="L128" s="3" t="n">
        <v>10614.0</v>
      </c>
      <c r="M128" s="3" t="n">
        <v>10352.0</v>
      </c>
      <c r="N128" s="3" t="n">
        <v>10563.0</v>
      </c>
      <c r="O128" s="3" t="n">
        <v>11126.0</v>
      </c>
      <c r="P128" s="3" t="n">
        <v>10585.0</v>
      </c>
      <c r="Q128" s="3" t="n">
        <v>10088.0</v>
      </c>
      <c r="R128" s="3" t="n">
        <v>9330.0</v>
      </c>
      <c r="S128" s="3" t="n">
        <v>8781.0</v>
      </c>
      <c r="T128" s="3" t="n">
        <v>7773.0</v>
      </c>
      <c r="U128" s="3" t="n">
        <v>7415.0</v>
      </c>
      <c r="V128" s="3" t="n">
        <v>7149.0</v>
      </c>
      <c r="W128" s="3" t="n">
        <v>6925.0</v>
      </c>
      <c r="X128" s="3" t="n">
        <v>6726.0</v>
      </c>
      <c r="Y128" s="3" t="n">
        <v>6525.0</v>
      </c>
      <c r="Z128" s="3" t="n">
        <v>6358.0</v>
      </c>
      <c r="AA128" s="3" t="n">
        <v>6217.0</v>
      </c>
      <c r="AB128" s="3" t="n">
        <v>6111.0</v>
      </c>
      <c r="AC128" s="3" t="n">
        <v>6008.0</v>
      </c>
      <c r="AD128" s="3" t="n">
        <v>5918.0</v>
      </c>
      <c r="AE128" s="3" t="n">
        <v>5824.0</v>
      </c>
      <c r="AF128" s="3" t="n">
        <v>5782.0</v>
      </c>
      <c r="AG128" s="3" t="n">
        <v>5744.0</v>
      </c>
      <c r="AH128" s="3" t="n">
        <v>5721.0</v>
      </c>
      <c r="AI128" s="3" t="n">
        <v>5710.0</v>
      </c>
      <c r="AJ128" s="3" t="n">
        <v>5701.0</v>
      </c>
      <c r="AK128" s="3" t="n">
        <v>5698.0</v>
      </c>
      <c r="AL128" s="3" t="n">
        <v>5683.0</v>
      </c>
      <c r="AM128" s="3" t="n">
        <v>5663.0</v>
      </c>
      <c r="AN128" s="3" t="n">
        <v>5639.0</v>
      </c>
      <c r="AO128" s="3" t="n">
        <v>5602.0</v>
      </c>
    </row>
    <row r="129" spans="1:41" x14ac:dyDescent="0.2">
      <c r="A129" s="128"/>
      <c r="B129" s="9">
        <v>18</v>
      </c>
      <c r="C129" s="3" t="n">
        <v>9703.0</v>
      </c>
      <c r="D129" s="3" t="n">
        <v>10009.0</v>
      </c>
      <c r="E129" s="3" t="n">
        <v>10548.0</v>
      </c>
      <c r="F129" s="3" t="n">
        <v>11131.0</v>
      </c>
      <c r="G129" s="3" t="n">
        <v>11892.0</v>
      </c>
      <c r="H129" s="3" t="n">
        <v>11959.0</v>
      </c>
      <c r="I129" s="3" t="n">
        <v>11880.0</v>
      </c>
      <c r="J129" s="3" t="n">
        <v>11117.0</v>
      </c>
      <c r="K129" s="3" t="n">
        <v>11100.0</v>
      </c>
      <c r="L129" s="3" t="n">
        <v>10569.0</v>
      </c>
      <c r="M129" s="3" t="n">
        <v>10600.0</v>
      </c>
      <c r="N129" s="3" t="n">
        <v>10339.0</v>
      </c>
      <c r="O129" s="3" t="n">
        <v>10550.0</v>
      </c>
      <c r="P129" s="3" t="n">
        <v>11110.0</v>
      </c>
      <c r="Q129" s="3" t="n">
        <v>10564.0</v>
      </c>
      <c r="R129" s="3" t="n">
        <v>10068.0</v>
      </c>
      <c r="S129" s="3" t="n">
        <v>9316.0</v>
      </c>
      <c r="T129" s="3" t="n">
        <v>8762.0</v>
      </c>
      <c r="U129" s="3" t="n">
        <v>7758.0</v>
      </c>
      <c r="V129" s="3" t="n">
        <v>7403.0</v>
      </c>
      <c r="W129" s="3" t="n">
        <v>7136.0</v>
      </c>
      <c r="X129" s="3" t="n">
        <v>6912.0</v>
      </c>
      <c r="Y129" s="3" t="n">
        <v>6711.0</v>
      </c>
      <c r="Z129" s="3" t="n">
        <v>6512.0</v>
      </c>
      <c r="AA129" s="3" t="n">
        <v>6345.0</v>
      </c>
      <c r="AB129" s="3" t="n">
        <v>6203.0</v>
      </c>
      <c r="AC129" s="3" t="n">
        <v>6098.0</v>
      </c>
      <c r="AD129" s="3" t="n">
        <v>5996.0</v>
      </c>
      <c r="AE129" s="3" t="n">
        <v>5907.0</v>
      </c>
      <c r="AF129" s="3" t="n">
        <v>5815.0</v>
      </c>
      <c r="AG129" s="3" t="n">
        <v>5772.0</v>
      </c>
      <c r="AH129" s="3" t="n">
        <v>5733.0</v>
      </c>
      <c r="AI129" s="3" t="n">
        <v>5710.0</v>
      </c>
      <c r="AJ129" s="3" t="n">
        <v>5699.0</v>
      </c>
      <c r="AK129" s="3" t="n">
        <v>5691.0</v>
      </c>
      <c r="AL129" s="3" t="n">
        <v>5687.0</v>
      </c>
      <c r="AM129" s="3" t="n">
        <v>5672.0</v>
      </c>
      <c r="AN129" s="3" t="n">
        <v>5652.0</v>
      </c>
      <c r="AO129" s="3" t="n">
        <v>5628.0</v>
      </c>
    </row>
    <row r="130" spans="1:41" x14ac:dyDescent="0.2">
      <c r="A130" s="128"/>
      <c r="B130" s="9">
        <v>19</v>
      </c>
      <c r="C130" s="3" t="n">
        <v>9740.0</v>
      </c>
      <c r="D130" s="3" t="n">
        <v>9675.0</v>
      </c>
      <c r="E130" s="3" t="n">
        <v>9979.0</v>
      </c>
      <c r="F130" s="3" t="n">
        <v>10511.0</v>
      </c>
      <c r="G130" s="3" t="n">
        <v>11097.0</v>
      </c>
      <c r="H130" s="3" t="n">
        <v>11867.0</v>
      </c>
      <c r="I130" s="3" t="n">
        <v>11935.0</v>
      </c>
      <c r="J130" s="3" t="n">
        <v>11848.0</v>
      </c>
      <c r="K130" s="3" t="n">
        <v>11085.0</v>
      </c>
      <c r="L130" s="3" t="n">
        <v>11066.0</v>
      </c>
      <c r="M130" s="3" t="n">
        <v>10537.0</v>
      </c>
      <c r="N130" s="3" t="n">
        <v>10568.0</v>
      </c>
      <c r="O130" s="3" t="n">
        <v>10308.0</v>
      </c>
      <c r="P130" s="3" t="n">
        <v>10517.0</v>
      </c>
      <c r="Q130" s="3" t="n">
        <v>11075.0</v>
      </c>
      <c r="R130" s="3" t="n">
        <v>10531.0</v>
      </c>
      <c r="S130" s="3" t="n">
        <v>10033.0</v>
      </c>
      <c r="T130" s="3" t="n">
        <v>9286.0</v>
      </c>
      <c r="U130" s="3" t="n">
        <v>8741.0</v>
      </c>
      <c r="V130" s="3" t="n">
        <v>7737.0</v>
      </c>
      <c r="W130" s="3" t="n">
        <v>7383.0</v>
      </c>
      <c r="X130" s="3" t="n">
        <v>7112.0</v>
      </c>
      <c r="Y130" s="3" t="n">
        <v>6893.0</v>
      </c>
      <c r="Z130" s="3" t="n">
        <v>6694.0</v>
      </c>
      <c r="AA130" s="3" t="n">
        <v>6493.0</v>
      </c>
      <c r="AB130" s="3" t="n">
        <v>6326.0</v>
      </c>
      <c r="AC130" s="3" t="n">
        <v>6183.0</v>
      </c>
      <c r="AD130" s="3" t="n">
        <v>6077.0</v>
      </c>
      <c r="AE130" s="3" t="n">
        <v>5975.0</v>
      </c>
      <c r="AF130" s="3" t="n">
        <v>5886.0</v>
      </c>
      <c r="AG130" s="3" t="n">
        <v>5793.0</v>
      </c>
      <c r="AH130" s="3" t="n">
        <v>5750.0</v>
      </c>
      <c r="AI130" s="3" t="n">
        <v>5711.0</v>
      </c>
      <c r="AJ130" s="3" t="n">
        <v>5687.0</v>
      </c>
      <c r="AK130" s="3" t="n">
        <v>5676.0</v>
      </c>
      <c r="AL130" s="3" t="n">
        <v>5668.0</v>
      </c>
      <c r="AM130" s="3" t="n">
        <v>5663.0</v>
      </c>
      <c r="AN130" s="3" t="n">
        <v>5647.0</v>
      </c>
      <c r="AO130" s="3" t="n">
        <v>5627.0</v>
      </c>
    </row>
    <row r="131" spans="1:41" x14ac:dyDescent="0.2">
      <c r="A131" s="128"/>
      <c r="B131" s="9">
        <v>20</v>
      </c>
      <c r="C131" s="3" t="n">
        <v>9572.0</v>
      </c>
      <c r="D131" s="3" t="n">
        <v>9724.0</v>
      </c>
      <c r="E131" s="3" t="n">
        <v>9658.0</v>
      </c>
      <c r="F131" s="3" t="n">
        <v>9964.0</v>
      </c>
      <c r="G131" s="3" t="n">
        <v>10494.0</v>
      </c>
      <c r="H131" s="3" t="n">
        <v>11079.0</v>
      </c>
      <c r="I131" s="3" t="n">
        <v>11847.0</v>
      </c>
      <c r="J131" s="3" t="n">
        <v>11915.0</v>
      </c>
      <c r="K131" s="3" t="n">
        <v>11827.0</v>
      </c>
      <c r="L131" s="3" t="n">
        <v>11067.0</v>
      </c>
      <c r="M131" s="3" t="n">
        <v>11050.0</v>
      </c>
      <c r="N131" s="3" t="n">
        <v>10519.0</v>
      </c>
      <c r="O131" s="3" t="n">
        <v>10550.0</v>
      </c>
      <c r="P131" s="3" t="n">
        <v>10291.0</v>
      </c>
      <c r="Q131" s="3" t="n">
        <v>10499.0</v>
      </c>
      <c r="R131" s="3" t="n">
        <v>11056.0</v>
      </c>
      <c r="S131" s="3" t="n">
        <v>10513.0</v>
      </c>
      <c r="T131" s="3" t="n">
        <v>10018.0</v>
      </c>
      <c r="U131" s="3" t="n">
        <v>9267.0</v>
      </c>
      <c r="V131" s="3" t="n">
        <v>8721.0</v>
      </c>
      <c r="W131" s="3" t="n">
        <v>7723.0</v>
      </c>
      <c r="X131" s="3" t="n">
        <v>7370.0</v>
      </c>
      <c r="Y131" s="3" t="n">
        <v>7099.0</v>
      </c>
      <c r="Z131" s="3" t="n">
        <v>6878.0</v>
      </c>
      <c r="AA131" s="3" t="n">
        <v>6679.0</v>
      </c>
      <c r="AB131" s="3" t="n">
        <v>6479.0</v>
      </c>
      <c r="AC131" s="3" t="n">
        <v>6316.0</v>
      </c>
      <c r="AD131" s="3" t="n">
        <v>6171.0</v>
      </c>
      <c r="AE131" s="3" t="n">
        <v>6063.0</v>
      </c>
      <c r="AF131" s="3" t="n">
        <v>5963.0</v>
      </c>
      <c r="AG131" s="3" t="n">
        <v>5874.0</v>
      </c>
      <c r="AH131" s="3" t="n">
        <v>5780.0</v>
      </c>
      <c r="AI131" s="3" t="n">
        <v>5736.0</v>
      </c>
      <c r="AJ131" s="3" t="n">
        <v>5698.0</v>
      </c>
      <c r="AK131" s="3" t="n">
        <v>5673.0</v>
      </c>
      <c r="AL131" s="3" t="n">
        <v>5662.0</v>
      </c>
      <c r="AM131" s="3" t="n">
        <v>5653.0</v>
      </c>
      <c r="AN131" s="3" t="n">
        <v>5648.0</v>
      </c>
      <c r="AO131" s="3" t="n">
        <v>5632.0</v>
      </c>
    </row>
    <row r="132" spans="1:41" x14ac:dyDescent="0.2">
      <c r="A132" s="128"/>
      <c r="B132" s="9">
        <v>21</v>
      </c>
      <c r="C132" s="3" t="n">
        <v>10166.0</v>
      </c>
      <c r="D132" s="3" t="n">
        <v>9560.0</v>
      </c>
      <c r="E132" s="3" t="n">
        <v>9710.0</v>
      </c>
      <c r="F132" s="3" t="n">
        <v>9646.0</v>
      </c>
      <c r="G132" s="3" t="n">
        <v>9952.0</v>
      </c>
      <c r="H132" s="3" t="n">
        <v>10482.0</v>
      </c>
      <c r="I132" s="3" t="n">
        <v>11068.0</v>
      </c>
      <c r="J132" s="3" t="n">
        <v>11834.0</v>
      </c>
      <c r="K132" s="3" t="n">
        <v>11901.0</v>
      </c>
      <c r="L132" s="3" t="n">
        <v>11814.0</v>
      </c>
      <c r="M132" s="3" t="n">
        <v>11053.0</v>
      </c>
      <c r="N132" s="3" t="n">
        <v>11037.0</v>
      </c>
      <c r="O132" s="3" t="n">
        <v>10507.0</v>
      </c>
      <c r="P132" s="3" t="n">
        <v>10540.0</v>
      </c>
      <c r="Q132" s="3" t="n">
        <v>10280.0</v>
      </c>
      <c r="R132" s="3" t="n">
        <v>10487.0</v>
      </c>
      <c r="S132" s="3" t="n">
        <v>11041.0</v>
      </c>
      <c r="T132" s="3" t="n">
        <v>10500.0</v>
      </c>
      <c r="U132" s="3" t="n">
        <v>10005.0</v>
      </c>
      <c r="V132" s="3" t="n">
        <v>9252.0</v>
      </c>
      <c r="W132" s="3" t="n">
        <v>8707.0</v>
      </c>
      <c r="X132" s="3" t="n">
        <v>7714.0</v>
      </c>
      <c r="Y132" s="3" t="n">
        <v>7360.0</v>
      </c>
      <c r="Z132" s="3" t="n">
        <v>7092.0</v>
      </c>
      <c r="AA132" s="3" t="n">
        <v>6871.0</v>
      </c>
      <c r="AB132" s="3" t="n">
        <v>6672.0</v>
      </c>
      <c r="AC132" s="3" t="n">
        <v>6474.0</v>
      </c>
      <c r="AD132" s="3" t="n">
        <v>6309.0</v>
      </c>
      <c r="AE132" s="3" t="n">
        <v>6163.0</v>
      </c>
      <c r="AF132" s="3" t="n">
        <v>6054.0</v>
      </c>
      <c r="AG132" s="3" t="n">
        <v>5954.0</v>
      </c>
      <c r="AH132" s="3" t="n">
        <v>5865.0</v>
      </c>
      <c r="AI132" s="3" t="n">
        <v>5771.0</v>
      </c>
      <c r="AJ132" s="3" t="n">
        <v>5726.0</v>
      </c>
      <c r="AK132" s="3" t="n">
        <v>5687.0</v>
      </c>
      <c r="AL132" s="3" t="n">
        <v>5661.0</v>
      </c>
      <c r="AM132" s="3" t="n">
        <v>5649.0</v>
      </c>
      <c r="AN132" s="3" t="n">
        <v>5640.0</v>
      </c>
      <c r="AO132" s="3" t="n">
        <v>5635.0</v>
      </c>
    </row>
    <row r="133" spans="1:41" x14ac:dyDescent="0.2">
      <c r="A133" s="128"/>
      <c r="B133" s="9">
        <v>22</v>
      </c>
      <c r="C133" s="3" t="n">
        <v>10092.0</v>
      </c>
      <c r="D133" s="3" t="n">
        <v>10157.0</v>
      </c>
      <c r="E133" s="3" t="n">
        <v>9553.0</v>
      </c>
      <c r="F133" s="3" t="n">
        <v>9700.0</v>
      </c>
      <c r="G133" s="3" t="n">
        <v>9640.0</v>
      </c>
      <c r="H133" s="3" t="n">
        <v>9945.0</v>
      </c>
      <c r="I133" s="3" t="n">
        <v>10476.0</v>
      </c>
      <c r="J133" s="3" t="n">
        <v>11057.0</v>
      </c>
      <c r="K133" s="3" t="n">
        <v>11823.0</v>
      </c>
      <c r="L133" s="3" t="n">
        <v>11888.0</v>
      </c>
      <c r="M133" s="3" t="n">
        <v>11800.0</v>
      </c>
      <c r="N133" s="3" t="n">
        <v>11041.0</v>
      </c>
      <c r="O133" s="3" t="n">
        <v>11026.0</v>
      </c>
      <c r="P133" s="3" t="n">
        <v>10500.0</v>
      </c>
      <c r="Q133" s="3" t="n">
        <v>10532.0</v>
      </c>
      <c r="R133" s="3" t="n">
        <v>10271.0</v>
      </c>
      <c r="S133" s="3" t="n">
        <v>10480.0</v>
      </c>
      <c r="T133" s="3" t="n">
        <v>11031.0</v>
      </c>
      <c r="U133" s="3" t="n">
        <v>10494.0</v>
      </c>
      <c r="V133" s="3" t="n">
        <v>10002.0</v>
      </c>
      <c r="W133" s="3" t="n">
        <v>9247.0</v>
      </c>
      <c r="X133" s="3" t="n">
        <v>8701.0</v>
      </c>
      <c r="Y133" s="3" t="n">
        <v>7711.0</v>
      </c>
      <c r="Z133" s="3" t="n">
        <v>7358.0</v>
      </c>
      <c r="AA133" s="3" t="n">
        <v>7091.0</v>
      </c>
      <c r="AB133" s="3" t="n">
        <v>6867.0</v>
      </c>
      <c r="AC133" s="3" t="n">
        <v>6670.0</v>
      </c>
      <c r="AD133" s="3" t="n">
        <v>6470.0</v>
      </c>
      <c r="AE133" s="3" t="n">
        <v>6305.0</v>
      </c>
      <c r="AF133" s="3" t="n">
        <v>6158.0</v>
      </c>
      <c r="AG133" s="3" t="n">
        <v>6049.0</v>
      </c>
      <c r="AH133" s="3" t="n">
        <v>5949.0</v>
      </c>
      <c r="AI133" s="3" t="n">
        <v>5860.0</v>
      </c>
      <c r="AJ133" s="3" t="n">
        <v>5767.0</v>
      </c>
      <c r="AK133" s="3" t="n">
        <v>5721.0</v>
      </c>
      <c r="AL133" s="3" t="n">
        <v>5682.0</v>
      </c>
      <c r="AM133" s="3" t="n">
        <v>5655.0</v>
      </c>
      <c r="AN133" s="3" t="n">
        <v>5643.0</v>
      </c>
      <c r="AO133" s="3" t="n">
        <v>5634.0</v>
      </c>
    </row>
    <row r="134" spans="1:41" x14ac:dyDescent="0.2">
      <c r="A134" s="128"/>
      <c r="B134" s="9">
        <v>23</v>
      </c>
      <c r="C134" s="3" t="n">
        <v>10185.0</v>
      </c>
      <c r="D134" s="3" t="n">
        <v>10083.0</v>
      </c>
      <c r="E134" s="3" t="n">
        <v>10148.0</v>
      </c>
      <c r="F134" s="3" t="n">
        <v>9542.0</v>
      </c>
      <c r="G134" s="3" t="n">
        <v>9690.0</v>
      </c>
      <c r="H134" s="3" t="n">
        <v>9632.0</v>
      </c>
      <c r="I134" s="3" t="n">
        <v>9939.0</v>
      </c>
      <c r="J134" s="3" t="n">
        <v>10463.0</v>
      </c>
      <c r="K134" s="3" t="n">
        <v>11039.0</v>
      </c>
      <c r="L134" s="3" t="n">
        <v>11803.0</v>
      </c>
      <c r="M134" s="3" t="n">
        <v>11873.0</v>
      </c>
      <c r="N134" s="3" t="n">
        <v>11785.0</v>
      </c>
      <c r="O134" s="3" t="n">
        <v>11024.0</v>
      </c>
      <c r="P134" s="3" t="n">
        <v>11011.0</v>
      </c>
      <c r="Q134" s="3" t="n">
        <v>10490.0</v>
      </c>
      <c r="R134" s="3" t="n">
        <v>10522.0</v>
      </c>
      <c r="S134" s="3" t="n">
        <v>10263.0</v>
      </c>
      <c r="T134" s="3" t="n">
        <v>10468.0</v>
      </c>
      <c r="U134" s="3" t="n">
        <v>11016.0</v>
      </c>
      <c r="V134" s="3" t="n">
        <v>10479.0</v>
      </c>
      <c r="W134" s="3" t="n">
        <v>9991.0</v>
      </c>
      <c r="X134" s="3" t="n">
        <v>9241.0</v>
      </c>
      <c r="Y134" s="3" t="n">
        <v>8694.0</v>
      </c>
      <c r="Z134" s="3" t="n">
        <v>7707.0</v>
      </c>
      <c r="AA134" s="3" t="n">
        <v>7357.0</v>
      </c>
      <c r="AB134" s="3" t="n">
        <v>7086.0</v>
      </c>
      <c r="AC134" s="3" t="n">
        <v>6864.0</v>
      </c>
      <c r="AD134" s="3" t="n">
        <v>6669.0</v>
      </c>
      <c r="AE134" s="3" t="n">
        <v>6470.0</v>
      </c>
      <c r="AF134" s="3" t="n">
        <v>6303.0</v>
      </c>
      <c r="AG134" s="3" t="n">
        <v>6158.0</v>
      </c>
      <c r="AH134" s="3" t="n">
        <v>6049.0</v>
      </c>
      <c r="AI134" s="3" t="n">
        <v>5948.0</v>
      </c>
      <c r="AJ134" s="3" t="n">
        <v>5862.0</v>
      </c>
      <c r="AK134" s="3" t="n">
        <v>5770.0</v>
      </c>
      <c r="AL134" s="3" t="n">
        <v>5722.0</v>
      </c>
      <c r="AM134" s="3" t="n">
        <v>5683.0</v>
      </c>
      <c r="AN134" s="3" t="n">
        <v>5656.0</v>
      </c>
      <c r="AO134" s="3" t="n">
        <v>5643.0</v>
      </c>
    </row>
    <row r="135" spans="1:41" x14ac:dyDescent="0.2">
      <c r="A135" s="128"/>
      <c r="B135" s="9">
        <v>24</v>
      </c>
      <c r="C135" s="3" t="n">
        <v>10588.0</v>
      </c>
      <c r="D135" s="3" t="n">
        <v>10162.0</v>
      </c>
      <c r="E135" s="3" t="n">
        <v>10057.0</v>
      </c>
      <c r="F135" s="3" t="n">
        <v>10122.0</v>
      </c>
      <c r="G135" s="3" t="n">
        <v>9514.0</v>
      </c>
      <c r="H135" s="3" t="n">
        <v>9663.0</v>
      </c>
      <c r="I135" s="3" t="n">
        <v>9607.0</v>
      </c>
      <c r="J135" s="3" t="n">
        <v>9911.0</v>
      </c>
      <c r="K135" s="3" t="n">
        <v>10433.0</v>
      </c>
      <c r="L135" s="3" t="n">
        <v>11013.0</v>
      </c>
      <c r="M135" s="3" t="n">
        <v>11770.0</v>
      </c>
      <c r="N135" s="3" t="n">
        <v>11843.0</v>
      </c>
      <c r="O135" s="3" t="n">
        <v>11755.0</v>
      </c>
      <c r="P135" s="3" t="n">
        <v>10990.0</v>
      </c>
      <c r="Q135" s="3" t="n">
        <v>10978.0</v>
      </c>
      <c r="R135" s="3" t="n">
        <v>10457.0</v>
      </c>
      <c r="S135" s="3" t="n">
        <v>10498.0</v>
      </c>
      <c r="T135" s="3" t="n">
        <v>10235.0</v>
      </c>
      <c r="U135" s="3" t="n">
        <v>10439.0</v>
      </c>
      <c r="V135" s="3" t="n">
        <v>10983.0</v>
      </c>
      <c r="W135" s="3" t="n">
        <v>10450.0</v>
      </c>
      <c r="X135" s="3" t="n">
        <v>9965.0</v>
      </c>
      <c r="Y135" s="3" t="n">
        <v>9216.0</v>
      </c>
      <c r="Z135" s="3" t="n">
        <v>8678.0</v>
      </c>
      <c r="AA135" s="3" t="n">
        <v>7695.0</v>
      </c>
      <c r="AB135" s="3" t="n">
        <v>7346.0</v>
      </c>
      <c r="AC135" s="3" t="n">
        <v>7070.0</v>
      </c>
      <c r="AD135" s="3" t="n">
        <v>6848.0</v>
      </c>
      <c r="AE135" s="3" t="n">
        <v>6654.0</v>
      </c>
      <c r="AF135" s="3" t="n">
        <v>6458.0</v>
      </c>
      <c r="AG135" s="3" t="n">
        <v>6291.0</v>
      </c>
      <c r="AH135" s="3" t="n">
        <v>6148.0</v>
      </c>
      <c r="AI135" s="3" t="n">
        <v>6039.0</v>
      </c>
      <c r="AJ135" s="3" t="n">
        <v>5939.0</v>
      </c>
      <c r="AK135" s="3" t="n">
        <v>5853.0</v>
      </c>
      <c r="AL135" s="3" t="n">
        <v>5762.0</v>
      </c>
      <c r="AM135" s="3" t="n">
        <v>5717.0</v>
      </c>
      <c r="AN135" s="3" t="n">
        <v>5678.0</v>
      </c>
      <c r="AO135" s="3" t="n">
        <v>5651.0</v>
      </c>
    </row>
    <row r="136" spans="1:41" x14ac:dyDescent="0.2">
      <c r="A136" s="128"/>
      <c r="B136" s="9">
        <v>25</v>
      </c>
      <c r="C136" s="3" t="n">
        <v>10777.0</v>
      </c>
      <c r="D136" s="3" t="n">
        <v>10556.0</v>
      </c>
      <c r="E136" s="3" t="n">
        <v>10133.0</v>
      </c>
      <c r="F136" s="3" t="n">
        <v>10028.0</v>
      </c>
      <c r="G136" s="3" t="n">
        <v>10091.0</v>
      </c>
      <c r="H136" s="3" t="n">
        <v>9485.0</v>
      </c>
      <c r="I136" s="3" t="n">
        <v>9633.0</v>
      </c>
      <c r="J136" s="3" t="n">
        <v>9580.0</v>
      </c>
      <c r="K136" s="3" t="n">
        <v>9886.0</v>
      </c>
      <c r="L136" s="3" t="n">
        <v>10399.0</v>
      </c>
      <c r="M136" s="3" t="n">
        <v>10976.0</v>
      </c>
      <c r="N136" s="3" t="n">
        <v>11732.0</v>
      </c>
      <c r="O136" s="3" t="n">
        <v>11802.0</v>
      </c>
      <c r="P136" s="3" t="n">
        <v>11721.0</v>
      </c>
      <c r="Q136" s="3" t="n">
        <v>10956.0</v>
      </c>
      <c r="R136" s="3" t="n">
        <v>10944.0</v>
      </c>
      <c r="S136" s="3" t="n">
        <v>10423.0</v>
      </c>
      <c r="T136" s="3" t="n">
        <v>10470.0</v>
      </c>
      <c r="U136" s="3" t="n">
        <v>10209.0</v>
      </c>
      <c r="V136" s="3" t="n">
        <v>10418.0</v>
      </c>
      <c r="W136" s="3" t="n">
        <v>10953.0</v>
      </c>
      <c r="X136" s="3" t="n">
        <v>10420.0</v>
      </c>
      <c r="Y136" s="3" t="n">
        <v>9944.0</v>
      </c>
      <c r="Z136" s="3" t="n">
        <v>9197.0</v>
      </c>
      <c r="AA136" s="3" t="n">
        <v>8662.0</v>
      </c>
      <c r="AB136" s="3" t="n">
        <v>7676.0</v>
      </c>
      <c r="AC136" s="3" t="n">
        <v>7331.0</v>
      </c>
      <c r="AD136" s="3" t="n">
        <v>7060.0</v>
      </c>
      <c r="AE136" s="3" t="n">
        <v>6838.0</v>
      </c>
      <c r="AF136" s="3" t="n">
        <v>6643.0</v>
      </c>
      <c r="AG136" s="3" t="n">
        <v>6447.0</v>
      </c>
      <c r="AH136" s="3" t="n">
        <v>6280.0</v>
      </c>
      <c r="AI136" s="3" t="n">
        <v>6139.0</v>
      </c>
      <c r="AJ136" s="3" t="n">
        <v>6029.0</v>
      </c>
      <c r="AK136" s="3" t="n">
        <v>5929.0</v>
      </c>
      <c r="AL136" s="3" t="n">
        <v>5842.0</v>
      </c>
      <c r="AM136" s="3" t="n">
        <v>5748.0</v>
      </c>
      <c r="AN136" s="3" t="n">
        <v>5705.0</v>
      </c>
      <c r="AO136" s="3" t="n">
        <v>5664.0</v>
      </c>
    </row>
    <row r="137" spans="1:41" x14ac:dyDescent="0.2">
      <c r="A137" s="128"/>
      <c r="B137" s="9">
        <v>26</v>
      </c>
      <c r="C137" s="3" t="n">
        <v>11327.0</v>
      </c>
      <c r="D137" s="3" t="n">
        <v>10731.0</v>
      </c>
      <c r="E137" s="3" t="n">
        <v>10515.0</v>
      </c>
      <c r="F137" s="3" t="n">
        <v>10094.0</v>
      </c>
      <c r="G137" s="3" t="n">
        <v>9988.0</v>
      </c>
      <c r="H137" s="3" t="n">
        <v>10051.0</v>
      </c>
      <c r="I137" s="3" t="n">
        <v>9449.0</v>
      </c>
      <c r="J137" s="3" t="n">
        <v>9596.0</v>
      </c>
      <c r="K137" s="3" t="n">
        <v>9538.0</v>
      </c>
      <c r="L137" s="3" t="n">
        <v>9846.0</v>
      </c>
      <c r="M137" s="3" t="n">
        <v>10354.0</v>
      </c>
      <c r="N137" s="3" t="n">
        <v>10928.0</v>
      </c>
      <c r="O137" s="3" t="n">
        <v>11680.0</v>
      </c>
      <c r="P137" s="3" t="n">
        <v>11747.0</v>
      </c>
      <c r="Q137" s="3" t="n">
        <v>11665.0</v>
      </c>
      <c r="R137" s="3" t="n">
        <v>10907.0</v>
      </c>
      <c r="S137" s="3" t="n">
        <v>10895.0</v>
      </c>
      <c r="T137" s="3" t="n">
        <v>10376.0</v>
      </c>
      <c r="U137" s="3" t="n">
        <v>10423.0</v>
      </c>
      <c r="V137" s="3" t="n">
        <v>10162.0</v>
      </c>
      <c r="W137" s="3" t="n">
        <v>10375.0</v>
      </c>
      <c r="X137" s="3" t="n">
        <v>10910.0</v>
      </c>
      <c r="Y137" s="3" t="n">
        <v>10372.0</v>
      </c>
      <c r="Z137" s="3" t="n">
        <v>9900.0</v>
      </c>
      <c r="AA137" s="3" t="n">
        <v>9154.0</v>
      </c>
      <c r="AB137" s="3" t="n">
        <v>8633.0</v>
      </c>
      <c r="AC137" s="3" t="n">
        <v>7649.0</v>
      </c>
      <c r="AD137" s="3" t="n">
        <v>7302.0</v>
      </c>
      <c r="AE137" s="3" t="n">
        <v>7033.0</v>
      </c>
      <c r="AF137" s="3" t="n">
        <v>6811.0</v>
      </c>
      <c r="AG137" s="3" t="n">
        <v>6615.0</v>
      </c>
      <c r="AH137" s="3" t="n">
        <v>6418.0</v>
      </c>
      <c r="AI137" s="3" t="n">
        <v>6252.0</v>
      </c>
      <c r="AJ137" s="3" t="n">
        <v>6114.0</v>
      </c>
      <c r="AK137" s="3" t="n">
        <v>6004.0</v>
      </c>
      <c r="AL137" s="3" t="n">
        <v>5905.0</v>
      </c>
      <c r="AM137" s="3" t="n">
        <v>5819.0</v>
      </c>
      <c r="AN137" s="3" t="n">
        <v>5726.0</v>
      </c>
      <c r="AO137" s="3" t="n">
        <v>5681.0</v>
      </c>
    </row>
    <row r="138" spans="1:41" x14ac:dyDescent="0.2">
      <c r="A138" s="128"/>
      <c r="B138" s="9">
        <v>27</v>
      </c>
      <c r="C138" s="3" t="n">
        <v>11240.0</v>
      </c>
      <c r="D138" s="3" t="n">
        <v>11274.0</v>
      </c>
      <c r="E138" s="3" t="n">
        <v>10676.0</v>
      </c>
      <c r="F138" s="3" t="n">
        <v>10463.0</v>
      </c>
      <c r="G138" s="3" t="n">
        <v>10044.0</v>
      </c>
      <c r="H138" s="3" t="n">
        <v>9938.0</v>
      </c>
      <c r="I138" s="3" t="n">
        <v>9993.0</v>
      </c>
      <c r="J138" s="3" t="n">
        <v>9394.0</v>
      </c>
      <c r="K138" s="3" t="n">
        <v>9543.0</v>
      </c>
      <c r="L138" s="3" t="n">
        <v>9483.0</v>
      </c>
      <c r="M138" s="3" t="n">
        <v>9794.0</v>
      </c>
      <c r="N138" s="3" t="n">
        <v>10298.0</v>
      </c>
      <c r="O138" s="3" t="n">
        <v>10874.0</v>
      </c>
      <c r="P138" s="3" t="n">
        <v>11623.0</v>
      </c>
      <c r="Q138" s="3" t="n">
        <v>11685.0</v>
      </c>
      <c r="R138" s="3" t="n">
        <v>11608.0</v>
      </c>
      <c r="S138" s="3" t="n">
        <v>10848.0</v>
      </c>
      <c r="T138" s="3" t="n">
        <v>10835.0</v>
      </c>
      <c r="U138" s="3" t="n">
        <v>10323.0</v>
      </c>
      <c r="V138" s="3" t="n">
        <v>10371.0</v>
      </c>
      <c r="W138" s="3" t="n">
        <v>10117.0</v>
      </c>
      <c r="X138" s="3" t="n">
        <v>10325.0</v>
      </c>
      <c r="Y138" s="3" t="n">
        <v>10859.0</v>
      </c>
      <c r="Z138" s="3" t="n">
        <v>10319.0</v>
      </c>
      <c r="AA138" s="3" t="n">
        <v>9852.0</v>
      </c>
      <c r="AB138" s="3" t="n">
        <v>9107.0</v>
      </c>
      <c r="AC138" s="3" t="n">
        <v>8591.0</v>
      </c>
      <c r="AD138" s="3" t="n">
        <v>7616.0</v>
      </c>
      <c r="AE138" s="3" t="n">
        <v>7269.0</v>
      </c>
      <c r="AF138" s="3" t="n">
        <v>7002.0</v>
      </c>
      <c r="AG138" s="3" t="n">
        <v>6788.0</v>
      </c>
      <c r="AH138" s="3" t="n">
        <v>6591.0</v>
      </c>
      <c r="AI138" s="3" t="n">
        <v>6391.0</v>
      </c>
      <c r="AJ138" s="3" t="n">
        <v>6228.0</v>
      </c>
      <c r="AK138" s="3" t="n">
        <v>6086.0</v>
      </c>
      <c r="AL138" s="3" t="n">
        <v>5978.0</v>
      </c>
      <c r="AM138" s="3" t="n">
        <v>5881.0</v>
      </c>
      <c r="AN138" s="3" t="n">
        <v>5791.0</v>
      </c>
      <c r="AO138" s="3" t="n">
        <v>5700.0</v>
      </c>
    </row>
    <row r="139" spans="1:41" x14ac:dyDescent="0.2">
      <c r="A139" s="128"/>
      <c r="B139" s="9">
        <v>28</v>
      </c>
      <c r="C139" s="3" t="n">
        <v>12132.0</v>
      </c>
      <c r="D139" s="3" t="n">
        <v>11185.0</v>
      </c>
      <c r="E139" s="3" t="n">
        <v>11219.0</v>
      </c>
      <c r="F139" s="3" t="n">
        <v>10624.0</v>
      </c>
      <c r="G139" s="3" t="n">
        <v>10415.0</v>
      </c>
      <c r="H139" s="3" t="n">
        <v>9996.0</v>
      </c>
      <c r="I139" s="3" t="n">
        <v>9889.0</v>
      </c>
      <c r="J139" s="3" t="n">
        <v>9943.0</v>
      </c>
      <c r="K139" s="3" t="n">
        <v>9348.0</v>
      </c>
      <c r="L139" s="3" t="n">
        <v>9493.0</v>
      </c>
      <c r="M139" s="3" t="n">
        <v>9434.0</v>
      </c>
      <c r="N139" s="3" t="n">
        <v>9744.0</v>
      </c>
      <c r="O139" s="3" t="n">
        <v>10241.0</v>
      </c>
      <c r="P139" s="3" t="n">
        <v>10812.0</v>
      </c>
      <c r="Q139" s="3" t="n">
        <v>11561.0</v>
      </c>
      <c r="R139" s="3" t="n">
        <v>11621.0</v>
      </c>
      <c r="S139" s="3" t="n">
        <v>11543.0</v>
      </c>
      <c r="T139" s="3" t="n">
        <v>10786.0</v>
      </c>
      <c r="U139" s="3" t="n">
        <v>10777.0</v>
      </c>
      <c r="V139" s="3" t="n">
        <v>10270.0</v>
      </c>
      <c r="W139" s="3" t="n">
        <v>10317.0</v>
      </c>
      <c r="X139" s="3" t="n">
        <v>10066.0</v>
      </c>
      <c r="Y139" s="3" t="n">
        <v>10272.0</v>
      </c>
      <c r="Z139" s="3" t="n">
        <v>10803.0</v>
      </c>
      <c r="AA139" s="3" t="n">
        <v>10269.0</v>
      </c>
      <c r="AB139" s="3" t="n">
        <v>9804.0</v>
      </c>
      <c r="AC139" s="3" t="n">
        <v>9064.0</v>
      </c>
      <c r="AD139" s="3" t="n">
        <v>8557.0</v>
      </c>
      <c r="AE139" s="3" t="n">
        <v>7586.0</v>
      </c>
      <c r="AF139" s="3" t="n">
        <v>7233.0</v>
      </c>
      <c r="AG139" s="3" t="n">
        <v>6973.0</v>
      </c>
      <c r="AH139" s="3" t="n">
        <v>6762.0</v>
      </c>
      <c r="AI139" s="3" t="n">
        <v>6563.0</v>
      </c>
      <c r="AJ139" s="3" t="n">
        <v>6364.0</v>
      </c>
      <c r="AK139" s="3" t="n">
        <v>6199.0</v>
      </c>
      <c r="AL139" s="3" t="n">
        <v>6059.0</v>
      </c>
      <c r="AM139" s="3" t="n">
        <v>5954.0</v>
      </c>
      <c r="AN139" s="3" t="n">
        <v>5854.0</v>
      </c>
      <c r="AO139" s="3" t="n">
        <v>5763.0</v>
      </c>
    </row>
    <row r="140" spans="1:41" x14ac:dyDescent="0.2">
      <c r="A140" s="128"/>
      <c r="B140" s="9">
        <v>29</v>
      </c>
      <c r="C140" s="3" t="n">
        <v>12532.0</v>
      </c>
      <c r="D140" s="3" t="n">
        <v>12068.0</v>
      </c>
      <c r="E140" s="3" t="n">
        <v>11123.0</v>
      </c>
      <c r="F140" s="3" t="n">
        <v>11159.0</v>
      </c>
      <c r="G140" s="3" t="n">
        <v>10568.0</v>
      </c>
      <c r="H140" s="3" t="n">
        <v>10360.0</v>
      </c>
      <c r="I140" s="3" t="n">
        <v>9944.0</v>
      </c>
      <c r="J140" s="3" t="n">
        <v>9833.0</v>
      </c>
      <c r="K140" s="3" t="n">
        <v>9884.0</v>
      </c>
      <c r="L140" s="3" t="n">
        <v>9293.0</v>
      </c>
      <c r="M140" s="3" t="n">
        <v>9439.0</v>
      </c>
      <c r="N140" s="3" t="n">
        <v>9380.0</v>
      </c>
      <c r="O140" s="3" t="n">
        <v>9684.0</v>
      </c>
      <c r="P140" s="3" t="n">
        <v>10180.0</v>
      </c>
      <c r="Q140" s="3" t="n">
        <v>10747.0</v>
      </c>
      <c r="R140" s="3" t="n">
        <v>11495.0</v>
      </c>
      <c r="S140" s="3" t="n">
        <v>11555.0</v>
      </c>
      <c r="T140" s="3" t="n">
        <v>11476.0</v>
      </c>
      <c r="U140" s="3" t="n">
        <v>10723.0</v>
      </c>
      <c r="V140" s="3" t="n">
        <v>10718.0</v>
      </c>
      <c r="W140" s="3" t="n">
        <v>10214.0</v>
      </c>
      <c r="X140" s="3" t="n">
        <v>10261.0</v>
      </c>
      <c r="Y140" s="3" t="n">
        <v>10010.0</v>
      </c>
      <c r="Z140" s="3" t="n">
        <v>10213.0</v>
      </c>
      <c r="AA140" s="3" t="n">
        <v>10746.0</v>
      </c>
      <c r="AB140" s="3" t="n">
        <v>10212.0</v>
      </c>
      <c r="AC140" s="3" t="n">
        <v>9747.0</v>
      </c>
      <c r="AD140" s="3" t="n">
        <v>9010.0</v>
      </c>
      <c r="AE140" s="3" t="n">
        <v>8514.0</v>
      </c>
      <c r="AF140" s="3" t="n">
        <v>7546.0</v>
      </c>
      <c r="AG140" s="3" t="n">
        <v>7191.0</v>
      </c>
      <c r="AH140" s="3" t="n">
        <v>6935.0</v>
      </c>
      <c r="AI140" s="3" t="n">
        <v>6731.0</v>
      </c>
      <c r="AJ140" s="3" t="n">
        <v>6532.0</v>
      </c>
      <c r="AK140" s="3" t="n">
        <v>6334.0</v>
      </c>
      <c r="AL140" s="3" t="n">
        <v>6171.0</v>
      </c>
      <c r="AM140" s="3" t="n">
        <v>6028.0</v>
      </c>
      <c r="AN140" s="3" t="n">
        <v>5920.0</v>
      </c>
      <c r="AO140" s="3" t="n">
        <v>5819.0</v>
      </c>
    </row>
    <row r="141" spans="1:41" x14ac:dyDescent="0.2">
      <c r="A141" s="128"/>
      <c r="B141" s="9">
        <v>30</v>
      </c>
      <c r="C141" s="3" t="n">
        <v>12932.0</v>
      </c>
      <c r="D141" s="3" t="n">
        <v>12455.0</v>
      </c>
      <c r="E141" s="3" t="n">
        <v>11997.0</v>
      </c>
      <c r="F141" s="3" t="n">
        <v>11056.0</v>
      </c>
      <c r="G141" s="3" t="n">
        <v>11094.0</v>
      </c>
      <c r="H141" s="3" t="n">
        <v>10509.0</v>
      </c>
      <c r="I141" s="3" t="n">
        <v>10304.0</v>
      </c>
      <c r="J141" s="3" t="n">
        <v>9890.0</v>
      </c>
      <c r="K141" s="3" t="n">
        <v>9771.0</v>
      </c>
      <c r="L141" s="3" t="n">
        <v>9818.0</v>
      </c>
      <c r="M141" s="3" t="n">
        <v>9229.0</v>
      </c>
      <c r="N141" s="3" t="n">
        <v>9374.0</v>
      </c>
      <c r="O141" s="3" t="n">
        <v>9321.0</v>
      </c>
      <c r="P141" s="3" t="n">
        <v>9622.0</v>
      </c>
      <c r="Q141" s="3" t="n">
        <v>10113.0</v>
      </c>
      <c r="R141" s="3" t="n">
        <v>10674.0</v>
      </c>
      <c r="S141" s="3" t="n">
        <v>11417.0</v>
      </c>
      <c r="T141" s="3" t="n">
        <v>11481.0</v>
      </c>
      <c r="U141" s="3" t="n">
        <v>11401.0</v>
      </c>
      <c r="V141" s="3" t="n">
        <v>10651.0</v>
      </c>
      <c r="W141" s="3" t="n">
        <v>10653.0</v>
      </c>
      <c r="X141" s="3" t="n">
        <v>10145.0</v>
      </c>
      <c r="Y141" s="3" t="n">
        <v>10199.0</v>
      </c>
      <c r="Z141" s="3" t="n">
        <v>9950.0</v>
      </c>
      <c r="AA141" s="3" t="n">
        <v>10150.0</v>
      </c>
      <c r="AB141" s="3" t="n">
        <v>10681.0</v>
      </c>
      <c r="AC141" s="3" t="n">
        <v>10150.0</v>
      </c>
      <c r="AD141" s="3" t="n">
        <v>9686.0</v>
      </c>
      <c r="AE141" s="3" t="n">
        <v>8948.0</v>
      </c>
      <c r="AF141" s="3" t="n">
        <v>8460.0</v>
      </c>
      <c r="AG141" s="3" t="n">
        <v>7504.0</v>
      </c>
      <c r="AH141" s="3" t="n">
        <v>7152.0</v>
      </c>
      <c r="AI141" s="3" t="n">
        <v>6903.0</v>
      </c>
      <c r="AJ141" s="3" t="n">
        <v>6696.0</v>
      </c>
      <c r="AK141" s="3" t="n">
        <v>6494.0</v>
      </c>
      <c r="AL141" s="3" t="n">
        <v>6296.0</v>
      </c>
      <c r="AM141" s="3" t="n">
        <v>6135.0</v>
      </c>
      <c r="AN141" s="3" t="n">
        <v>5993.0</v>
      </c>
      <c r="AO141" s="3" t="n">
        <v>5888.0</v>
      </c>
    </row>
    <row r="142" spans="1:41" x14ac:dyDescent="0.2">
      <c r="A142" s="128"/>
      <c r="B142" s="9">
        <v>31</v>
      </c>
      <c r="C142" s="3" t="n">
        <v>13690.0</v>
      </c>
      <c r="D142" s="3" t="n">
        <v>12867.0</v>
      </c>
      <c r="E142" s="3" t="n">
        <v>12397.0</v>
      </c>
      <c r="F142" s="3" t="n">
        <v>11935.0</v>
      </c>
      <c r="G142" s="3" t="n">
        <v>10996.0</v>
      </c>
      <c r="H142" s="3" t="n">
        <v>11040.0</v>
      </c>
      <c r="I142" s="3" t="n">
        <v>10459.0</v>
      </c>
      <c r="J142" s="3" t="n">
        <v>10254.0</v>
      </c>
      <c r="K142" s="3" t="n">
        <v>9840.0</v>
      </c>
      <c r="L142" s="3" t="n">
        <v>9717.0</v>
      </c>
      <c r="M142" s="3" t="n">
        <v>9764.0</v>
      </c>
      <c r="N142" s="3" t="n">
        <v>9179.0</v>
      </c>
      <c r="O142" s="3" t="n">
        <v>9320.0</v>
      </c>
      <c r="P142" s="3" t="n">
        <v>9264.0</v>
      </c>
      <c r="Q142" s="3" t="n">
        <v>9567.0</v>
      </c>
      <c r="R142" s="3" t="n">
        <v>10057.0</v>
      </c>
      <c r="S142" s="3" t="n">
        <v>10608.0</v>
      </c>
      <c r="T142" s="3" t="n">
        <v>11351.0</v>
      </c>
      <c r="U142" s="3" t="n">
        <v>11413.0</v>
      </c>
      <c r="V142" s="3" t="n">
        <v>11334.0</v>
      </c>
      <c r="W142" s="3" t="n">
        <v>10588.0</v>
      </c>
      <c r="X142" s="3" t="n">
        <v>10594.0</v>
      </c>
      <c r="Y142" s="3" t="n">
        <v>10088.0</v>
      </c>
      <c r="Z142" s="3" t="n">
        <v>10139.0</v>
      </c>
      <c r="AA142" s="3" t="n">
        <v>9889.0</v>
      </c>
      <c r="AB142" s="3" t="n">
        <v>10092.0</v>
      </c>
      <c r="AC142" s="3" t="n">
        <v>10621.0</v>
      </c>
      <c r="AD142" s="3" t="n">
        <v>10094.0</v>
      </c>
      <c r="AE142" s="3" t="n">
        <v>9630.0</v>
      </c>
      <c r="AF142" s="3" t="n">
        <v>8898.0</v>
      </c>
      <c r="AG142" s="3" t="n">
        <v>8414.0</v>
      </c>
      <c r="AH142" s="3" t="n">
        <v>7462.0</v>
      </c>
      <c r="AI142" s="3" t="n">
        <v>7115.0</v>
      </c>
      <c r="AJ142" s="3" t="n">
        <v>6870.0</v>
      </c>
      <c r="AK142" s="3" t="n">
        <v>6664.0</v>
      </c>
      <c r="AL142" s="3" t="n">
        <v>6461.0</v>
      </c>
      <c r="AM142" s="3" t="n">
        <v>6267.0</v>
      </c>
      <c r="AN142" s="3" t="n">
        <v>6103.0</v>
      </c>
      <c r="AO142" s="3" t="n">
        <v>5963.0</v>
      </c>
    </row>
    <row r="143" spans="1:41" x14ac:dyDescent="0.2">
      <c r="A143" s="128"/>
      <c r="B143" s="9">
        <v>32</v>
      </c>
      <c r="C143" s="3" t="n">
        <v>14170.0</v>
      </c>
      <c r="D143" s="3" t="n">
        <v>13616.0</v>
      </c>
      <c r="E143" s="3" t="n">
        <v>12792.0</v>
      </c>
      <c r="F143" s="3" t="n">
        <v>12325.0</v>
      </c>
      <c r="G143" s="3" t="n">
        <v>11867.0</v>
      </c>
      <c r="H143" s="3" t="n">
        <v>10936.0</v>
      </c>
      <c r="I143" s="3" t="n">
        <v>10982.0</v>
      </c>
      <c r="J143" s="3" t="n">
        <v>10403.0</v>
      </c>
      <c r="K143" s="3" t="n">
        <v>10195.0</v>
      </c>
      <c r="L143" s="3" t="n">
        <v>9783.0</v>
      </c>
      <c r="M143" s="3" t="n">
        <v>9658.0</v>
      </c>
      <c r="N143" s="3" t="n">
        <v>9697.0</v>
      </c>
      <c r="O143" s="3" t="n">
        <v>9115.0</v>
      </c>
      <c r="P143" s="3" t="n">
        <v>9255.0</v>
      </c>
      <c r="Q143" s="3" t="n">
        <v>9200.0</v>
      </c>
      <c r="R143" s="3" t="n">
        <v>9496.0</v>
      </c>
      <c r="S143" s="3" t="n">
        <v>9994.0</v>
      </c>
      <c r="T143" s="3" t="n">
        <v>10541.0</v>
      </c>
      <c r="U143" s="3" t="n">
        <v>11274.0</v>
      </c>
      <c r="V143" s="3" t="n">
        <v>11336.0</v>
      </c>
      <c r="W143" s="3" t="n">
        <v>11262.0</v>
      </c>
      <c r="X143" s="3" t="n">
        <v>10520.0</v>
      </c>
      <c r="Y143" s="3" t="n">
        <v>10530.0</v>
      </c>
      <c r="Z143" s="3" t="n">
        <v>10028.0</v>
      </c>
      <c r="AA143" s="3" t="n">
        <v>10079.0</v>
      </c>
      <c r="AB143" s="3" t="n">
        <v>9827.0</v>
      </c>
      <c r="AC143" s="3" t="n">
        <v>10030.0</v>
      </c>
      <c r="AD143" s="3" t="n">
        <v>10556.0</v>
      </c>
      <c r="AE143" s="3" t="n">
        <v>10032.0</v>
      </c>
      <c r="AF143" s="3" t="n">
        <v>9569.0</v>
      </c>
      <c r="AG143" s="3" t="n">
        <v>8841.0</v>
      </c>
      <c r="AH143" s="3" t="n">
        <v>8362.0</v>
      </c>
      <c r="AI143" s="3" t="n">
        <v>7413.0</v>
      </c>
      <c r="AJ143" s="3" t="n">
        <v>7072.0</v>
      </c>
      <c r="AK143" s="3" t="n">
        <v>6833.0</v>
      </c>
      <c r="AL143" s="3" t="n">
        <v>6623.0</v>
      </c>
      <c r="AM143" s="3" t="n">
        <v>6421.0</v>
      </c>
      <c r="AN143" s="3" t="n">
        <v>6227.0</v>
      </c>
      <c r="AO143" s="3" t="n">
        <v>6063.0</v>
      </c>
    </row>
    <row r="144" spans="1:41" x14ac:dyDescent="0.2">
      <c r="A144" s="128"/>
      <c r="B144" s="9">
        <v>33</v>
      </c>
      <c r="C144" s="3" t="n">
        <v>14026.0</v>
      </c>
      <c r="D144" s="3" t="n">
        <v>14086.0</v>
      </c>
      <c r="E144" s="3" t="n">
        <v>13533.0</v>
      </c>
      <c r="F144" s="3" t="n">
        <v>12711.0</v>
      </c>
      <c r="G144" s="3" t="n">
        <v>12246.0</v>
      </c>
      <c r="H144" s="3" t="n">
        <v>11795.0</v>
      </c>
      <c r="I144" s="3" t="n">
        <v>10869.0</v>
      </c>
      <c r="J144" s="3" t="n">
        <v>10915.0</v>
      </c>
      <c r="K144" s="3" t="n">
        <v>10331.0</v>
      </c>
      <c r="L144" s="3" t="n">
        <v>10133.0</v>
      </c>
      <c r="M144" s="3" t="n">
        <v>9720.0</v>
      </c>
      <c r="N144" s="3" t="n">
        <v>9595.0</v>
      </c>
      <c r="O144" s="3" t="n">
        <v>9639.0</v>
      </c>
      <c r="P144" s="3" t="n">
        <v>9062.0</v>
      </c>
      <c r="Q144" s="3" t="n">
        <v>9201.0</v>
      </c>
      <c r="R144" s="3" t="n">
        <v>9142.0</v>
      </c>
      <c r="S144" s="3" t="n">
        <v>9437.0</v>
      </c>
      <c r="T144" s="3" t="n">
        <v>9925.0</v>
      </c>
      <c r="U144" s="3" t="n">
        <v>10471.0</v>
      </c>
      <c r="V144" s="3" t="n">
        <v>11198.0</v>
      </c>
      <c r="W144" s="3" t="n">
        <v>11259.0</v>
      </c>
      <c r="X144" s="3" t="n">
        <v>11189.0</v>
      </c>
      <c r="Y144" s="3" t="n">
        <v>10452.0</v>
      </c>
      <c r="Z144" s="3" t="n">
        <v>10465.0</v>
      </c>
      <c r="AA144" s="3" t="n">
        <v>9963.0</v>
      </c>
      <c r="AB144" s="3" t="n">
        <v>10015.0</v>
      </c>
      <c r="AC144" s="3" t="n">
        <v>9769.0</v>
      </c>
      <c r="AD144" s="3" t="n">
        <v>9963.0</v>
      </c>
      <c r="AE144" s="3" t="n">
        <v>10487.0</v>
      </c>
      <c r="AF144" s="3" t="n">
        <v>9967.0</v>
      </c>
      <c r="AG144" s="3" t="n">
        <v>9504.0</v>
      </c>
      <c r="AH144" s="3" t="n">
        <v>8785.0</v>
      </c>
      <c r="AI144" s="3" t="n">
        <v>8314.0</v>
      </c>
      <c r="AJ144" s="3" t="n">
        <v>7367.0</v>
      </c>
      <c r="AK144" s="3" t="n">
        <v>7023.0</v>
      </c>
      <c r="AL144" s="3" t="n">
        <v>6787.0</v>
      </c>
      <c r="AM144" s="3" t="n">
        <v>6583.0</v>
      </c>
      <c r="AN144" s="3" t="n">
        <v>6381.0</v>
      </c>
      <c r="AO144" s="3" t="n">
        <v>6186.0</v>
      </c>
    </row>
    <row r="145" spans="1:41" x14ac:dyDescent="0.2">
      <c r="A145" s="128"/>
      <c r="B145" s="9">
        <v>34</v>
      </c>
      <c r="C145" s="3" t="n">
        <v>14427.0</v>
      </c>
      <c r="D145" s="3" t="n">
        <v>13958.0</v>
      </c>
      <c r="E145" s="3" t="n">
        <v>14016.0</v>
      </c>
      <c r="F145" s="3" t="n">
        <v>13463.0</v>
      </c>
      <c r="G145" s="3" t="n">
        <v>12651.0</v>
      </c>
      <c r="H145" s="3" t="n">
        <v>12195.0</v>
      </c>
      <c r="I145" s="3" t="n">
        <v>11748.0</v>
      </c>
      <c r="J145" s="3" t="n">
        <v>10822.0</v>
      </c>
      <c r="K145" s="3" t="n">
        <v>10859.0</v>
      </c>
      <c r="L145" s="3" t="n">
        <v>10268.0</v>
      </c>
      <c r="M145" s="3" t="n">
        <v>10076.0</v>
      </c>
      <c r="N145" s="3" t="n">
        <v>9668.0</v>
      </c>
      <c r="O145" s="3" t="n">
        <v>9543.0</v>
      </c>
      <c r="P145" s="3" t="n">
        <v>9585.0</v>
      </c>
      <c r="Q145" s="3" t="n">
        <v>9011.0</v>
      </c>
      <c r="R145" s="3" t="n">
        <v>9151.0</v>
      </c>
      <c r="S145" s="3" t="n">
        <v>9095.0</v>
      </c>
      <c r="T145" s="3" t="n">
        <v>9385.0</v>
      </c>
      <c r="U145" s="3" t="n">
        <v>9867.0</v>
      </c>
      <c r="V145" s="3" t="n">
        <v>10404.0</v>
      </c>
      <c r="W145" s="3" t="n">
        <v>11128.0</v>
      </c>
      <c r="X145" s="3" t="n">
        <v>11191.0</v>
      </c>
      <c r="Y145" s="3" t="n">
        <v>11124.0</v>
      </c>
      <c r="Z145" s="3" t="n">
        <v>10388.0</v>
      </c>
      <c r="AA145" s="3" t="n">
        <v>10404.0</v>
      </c>
      <c r="AB145" s="3" t="n">
        <v>9906.0</v>
      </c>
      <c r="AC145" s="3" t="n">
        <v>9960.0</v>
      </c>
      <c r="AD145" s="3" t="n">
        <v>9720.0</v>
      </c>
      <c r="AE145" s="3" t="n">
        <v>9909.0</v>
      </c>
      <c r="AF145" s="3" t="n">
        <v>10427.0</v>
      </c>
      <c r="AG145" s="3" t="n">
        <v>9909.0</v>
      </c>
      <c r="AH145" s="3" t="n">
        <v>9452.0</v>
      </c>
      <c r="AI145" s="3" t="n">
        <v>8736.0</v>
      </c>
      <c r="AJ145" s="3" t="n">
        <v>8269.0</v>
      </c>
      <c r="AK145" s="3" t="n">
        <v>7327.0</v>
      </c>
      <c r="AL145" s="3" t="n">
        <v>6990.0</v>
      </c>
      <c r="AM145" s="3" t="n">
        <v>6752.0</v>
      </c>
      <c r="AN145" s="3" t="n">
        <v>6548.0</v>
      </c>
      <c r="AO145" s="3" t="n">
        <v>6351.0</v>
      </c>
    </row>
    <row r="146" spans="1:41" x14ac:dyDescent="0.2">
      <c r="A146" s="128"/>
      <c r="B146" s="9">
        <v>35</v>
      </c>
      <c r="C146" s="3" t="n">
        <v>14672.0</v>
      </c>
      <c r="D146" s="3" t="n">
        <v>14375.0</v>
      </c>
      <c r="E146" s="3" t="n">
        <v>13902.0</v>
      </c>
      <c r="F146" s="3" t="n">
        <v>13961.0</v>
      </c>
      <c r="G146" s="3" t="n">
        <v>13404.0</v>
      </c>
      <c r="H146" s="3" t="n">
        <v>12597.0</v>
      </c>
      <c r="I146" s="3" t="n">
        <v>12144.0</v>
      </c>
      <c r="J146" s="3" t="n">
        <v>11698.0</v>
      </c>
      <c r="K146" s="3" t="n">
        <v>10776.0</v>
      </c>
      <c r="L146" s="3" t="n">
        <v>10816.0</v>
      </c>
      <c r="M146" s="3" t="n">
        <v>10221.0</v>
      </c>
      <c r="N146" s="3" t="n">
        <v>10032.0</v>
      </c>
      <c r="O146" s="3" t="n">
        <v>9631.0</v>
      </c>
      <c r="P146" s="3" t="n">
        <v>9504.0</v>
      </c>
      <c r="Q146" s="3" t="n">
        <v>9548.0</v>
      </c>
      <c r="R146" s="3" t="n">
        <v>8971.0</v>
      </c>
      <c r="S146" s="3" t="n">
        <v>9110.0</v>
      </c>
      <c r="T146" s="3" t="n">
        <v>9057.0</v>
      </c>
      <c r="U146" s="3" t="n">
        <v>9348.0</v>
      </c>
      <c r="V146" s="3" t="n">
        <v>9822.0</v>
      </c>
      <c r="W146" s="3" t="n">
        <v>10352.0</v>
      </c>
      <c r="X146" s="3" t="n">
        <v>11077.0</v>
      </c>
      <c r="Y146" s="3" t="n">
        <v>11139.0</v>
      </c>
      <c r="Z146" s="3" t="n">
        <v>11072.0</v>
      </c>
      <c r="AA146" s="3" t="n">
        <v>10337.0</v>
      </c>
      <c r="AB146" s="3" t="n">
        <v>10348.0</v>
      </c>
      <c r="AC146" s="3" t="n">
        <v>9859.0</v>
      </c>
      <c r="AD146" s="3" t="n">
        <v>9915.0</v>
      </c>
      <c r="AE146" s="3" t="n">
        <v>9680.0</v>
      </c>
      <c r="AF146" s="3" t="n">
        <v>9868.0</v>
      </c>
      <c r="AG146" s="3" t="n">
        <v>10382.0</v>
      </c>
      <c r="AH146" s="3" t="n">
        <v>9864.0</v>
      </c>
      <c r="AI146" s="3" t="n">
        <v>9411.0</v>
      </c>
      <c r="AJ146" s="3" t="n">
        <v>8690.0</v>
      </c>
      <c r="AK146" s="3" t="n">
        <v>8231.0</v>
      </c>
      <c r="AL146" s="3" t="n">
        <v>7290.0</v>
      </c>
      <c r="AM146" s="3" t="n">
        <v>6956.0</v>
      </c>
      <c r="AN146" s="3" t="n">
        <v>6719.0</v>
      </c>
      <c r="AO146" s="3" t="n">
        <v>6513.0</v>
      </c>
    </row>
    <row r="147" spans="1:41" x14ac:dyDescent="0.2">
      <c r="A147" s="128"/>
      <c r="B147" s="9">
        <v>36</v>
      </c>
      <c r="C147" s="3" t="n">
        <v>15736.0</v>
      </c>
      <c r="D147" s="3" t="n">
        <v>14617.0</v>
      </c>
      <c r="E147" s="3" t="n">
        <v>14322.0</v>
      </c>
      <c r="F147" s="3" t="n">
        <v>13852.0</v>
      </c>
      <c r="G147" s="3" t="n">
        <v>13911.0</v>
      </c>
      <c r="H147" s="3" t="n">
        <v>13356.0</v>
      </c>
      <c r="I147" s="3" t="n">
        <v>12555.0</v>
      </c>
      <c r="J147" s="3" t="n">
        <v>12100.0</v>
      </c>
      <c r="K147" s="3" t="n">
        <v>11654.0</v>
      </c>
      <c r="L147" s="3" t="n">
        <v>10733.0</v>
      </c>
      <c r="M147" s="3" t="n">
        <v>10769.0</v>
      </c>
      <c r="N147" s="3" t="n">
        <v>10174.0</v>
      </c>
      <c r="O147" s="3" t="n">
        <v>9988.0</v>
      </c>
      <c r="P147" s="3" t="n">
        <v>9587.0</v>
      </c>
      <c r="Q147" s="3" t="n">
        <v>9462.0</v>
      </c>
      <c r="R147" s="3" t="n">
        <v>9505.0</v>
      </c>
      <c r="S147" s="3" t="n">
        <v>8934.0</v>
      </c>
      <c r="T147" s="3" t="n">
        <v>9069.0</v>
      </c>
      <c r="U147" s="3" t="n">
        <v>9015.0</v>
      </c>
      <c r="V147" s="3" t="n">
        <v>9301.0</v>
      </c>
      <c r="W147" s="3" t="n">
        <v>9772.0</v>
      </c>
      <c r="X147" s="3" t="n">
        <v>10296.0</v>
      </c>
      <c r="Y147" s="3" t="n">
        <v>11019.0</v>
      </c>
      <c r="Z147" s="3" t="n">
        <v>11081.0</v>
      </c>
      <c r="AA147" s="3" t="n">
        <v>11017.0</v>
      </c>
      <c r="AB147" s="3" t="n">
        <v>10286.0</v>
      </c>
      <c r="AC147" s="3" t="n">
        <v>10299.0</v>
      </c>
      <c r="AD147" s="3" t="n">
        <v>9809.0</v>
      </c>
      <c r="AE147" s="3" t="n">
        <v>9865.0</v>
      </c>
      <c r="AF147" s="3" t="n">
        <v>9633.0</v>
      </c>
      <c r="AG147" s="3" t="n">
        <v>9823.0</v>
      </c>
      <c r="AH147" s="3" t="n">
        <v>10330.0</v>
      </c>
      <c r="AI147" s="3" t="n">
        <v>9814.0</v>
      </c>
      <c r="AJ147" s="3" t="n">
        <v>9364.0</v>
      </c>
      <c r="AK147" s="3" t="n">
        <v>8650.0</v>
      </c>
      <c r="AL147" s="3" t="n">
        <v>8197.0</v>
      </c>
      <c r="AM147" s="3" t="n">
        <v>7259.0</v>
      </c>
      <c r="AN147" s="3" t="n">
        <v>6931.0</v>
      </c>
      <c r="AO147" s="3" t="n">
        <v>6693.0</v>
      </c>
    </row>
    <row r="148" spans="1:41" x14ac:dyDescent="0.2">
      <c r="A148" s="128"/>
      <c r="B148" s="9">
        <v>37</v>
      </c>
      <c r="C148" s="3" t="n">
        <v>16708.0</v>
      </c>
      <c r="D148" s="3" t="n">
        <v>15669.0</v>
      </c>
      <c r="E148" s="3" t="n">
        <v>14551.0</v>
      </c>
      <c r="F148" s="3" t="n">
        <v>14264.0</v>
      </c>
      <c r="G148" s="3" t="n">
        <v>13793.0</v>
      </c>
      <c r="H148" s="3" t="n">
        <v>13855.0</v>
      </c>
      <c r="I148" s="3" t="n">
        <v>13305.0</v>
      </c>
      <c r="J148" s="3" t="n">
        <v>12505.0</v>
      </c>
      <c r="K148" s="3" t="n">
        <v>12044.0</v>
      </c>
      <c r="L148" s="3" t="n">
        <v>11602.0</v>
      </c>
      <c r="M148" s="3" t="n">
        <v>10683.0</v>
      </c>
      <c r="N148" s="3" t="n">
        <v>10717.0</v>
      </c>
      <c r="O148" s="3" t="n">
        <v>10125.0</v>
      </c>
      <c r="P148" s="3" t="n">
        <v>9936.0</v>
      </c>
      <c r="Q148" s="3" t="n">
        <v>9537.0</v>
      </c>
      <c r="R148" s="3" t="n">
        <v>9411.0</v>
      </c>
      <c r="S148" s="3" t="n">
        <v>9454.0</v>
      </c>
      <c r="T148" s="3" t="n">
        <v>8884.0</v>
      </c>
      <c r="U148" s="3" t="n">
        <v>9018.0</v>
      </c>
      <c r="V148" s="3" t="n">
        <v>8964.0</v>
      </c>
      <c r="W148" s="3" t="n">
        <v>9252.0</v>
      </c>
      <c r="X148" s="3" t="n">
        <v>9722.0</v>
      </c>
      <c r="Y148" s="3" t="n">
        <v>10245.0</v>
      </c>
      <c r="Z148" s="3" t="n">
        <v>10959.0</v>
      </c>
      <c r="AA148" s="3" t="n">
        <v>11022.0</v>
      </c>
      <c r="AB148" s="3" t="n">
        <v>10961.0</v>
      </c>
      <c r="AC148" s="3" t="n">
        <v>10238.0</v>
      </c>
      <c r="AD148" s="3" t="n">
        <v>10251.0</v>
      </c>
      <c r="AE148" s="3" t="n">
        <v>9761.0</v>
      </c>
      <c r="AF148" s="3" t="n">
        <v>9813.0</v>
      </c>
      <c r="AG148" s="3" t="n">
        <v>9582.0</v>
      </c>
      <c r="AH148" s="3" t="n">
        <v>9776.0</v>
      </c>
      <c r="AI148" s="3" t="n">
        <v>10283.0</v>
      </c>
      <c r="AJ148" s="3" t="n">
        <v>9761.0</v>
      </c>
      <c r="AK148" s="3" t="n">
        <v>9316.0</v>
      </c>
      <c r="AL148" s="3" t="n">
        <v>8604.0</v>
      </c>
      <c r="AM148" s="3" t="n">
        <v>8163.0</v>
      </c>
      <c r="AN148" s="3" t="n">
        <v>7225.0</v>
      </c>
      <c r="AO148" s="3" t="n">
        <v>6898.0</v>
      </c>
    </row>
    <row r="149" spans="1:41" x14ac:dyDescent="0.2">
      <c r="A149" s="128"/>
      <c r="B149" s="9">
        <v>38</v>
      </c>
      <c r="C149" s="3" t="n">
        <v>17306.0</v>
      </c>
      <c r="D149" s="3" t="n">
        <v>16643.0</v>
      </c>
      <c r="E149" s="3" t="n">
        <v>15609.0</v>
      </c>
      <c r="F149" s="3" t="n">
        <v>14497.0</v>
      </c>
      <c r="G149" s="3" t="n">
        <v>14215.0</v>
      </c>
      <c r="H149" s="3" t="n">
        <v>13754.0</v>
      </c>
      <c r="I149" s="3" t="n">
        <v>13813.0</v>
      </c>
      <c r="J149" s="3" t="n">
        <v>13265.0</v>
      </c>
      <c r="K149" s="3" t="n">
        <v>12473.0</v>
      </c>
      <c r="L149" s="3" t="n">
        <v>12012.0</v>
      </c>
      <c r="M149" s="3" t="n">
        <v>11565.0</v>
      </c>
      <c r="N149" s="3" t="n">
        <v>10647.0</v>
      </c>
      <c r="O149" s="3" t="n">
        <v>10686.0</v>
      </c>
      <c r="P149" s="3" t="n">
        <v>10091.0</v>
      </c>
      <c r="Q149" s="3" t="n">
        <v>9903.0</v>
      </c>
      <c r="R149" s="3" t="n">
        <v>9503.0</v>
      </c>
      <c r="S149" s="3" t="n">
        <v>9375.0</v>
      </c>
      <c r="T149" s="3" t="n">
        <v>9423.0</v>
      </c>
      <c r="U149" s="3" t="n">
        <v>8851.0</v>
      </c>
      <c r="V149" s="3" t="n">
        <v>8983.0</v>
      </c>
      <c r="W149" s="3" t="n">
        <v>8931.0</v>
      </c>
      <c r="X149" s="3" t="n">
        <v>9219.0</v>
      </c>
      <c r="Y149" s="3" t="n">
        <v>9687.0</v>
      </c>
      <c r="Z149" s="3" t="n">
        <v>10208.0</v>
      </c>
      <c r="AA149" s="3" t="n">
        <v>10918.0</v>
      </c>
      <c r="AB149" s="3" t="n">
        <v>10984.0</v>
      </c>
      <c r="AC149" s="3" t="n">
        <v>10922.0</v>
      </c>
      <c r="AD149" s="3" t="n">
        <v>10200.0</v>
      </c>
      <c r="AE149" s="3" t="n">
        <v>10214.0</v>
      </c>
      <c r="AF149" s="3" t="n">
        <v>9722.0</v>
      </c>
      <c r="AG149" s="3" t="n">
        <v>9777.0</v>
      </c>
      <c r="AH149" s="3" t="n">
        <v>9546.0</v>
      </c>
      <c r="AI149" s="3" t="n">
        <v>9739.0</v>
      </c>
      <c r="AJ149" s="3" t="n">
        <v>10246.0</v>
      </c>
      <c r="AK149" s="3" t="n">
        <v>9725.0</v>
      </c>
      <c r="AL149" s="3" t="n">
        <v>9282.0</v>
      </c>
      <c r="AM149" s="3" t="n">
        <v>8570.0</v>
      </c>
      <c r="AN149" s="3" t="n">
        <v>8132.0</v>
      </c>
      <c r="AO149" s="3" t="n">
        <v>7202.0</v>
      </c>
    </row>
    <row r="150" spans="1:41" x14ac:dyDescent="0.2">
      <c r="A150" s="128"/>
      <c r="B150" s="9">
        <v>39</v>
      </c>
      <c r="C150" s="3" t="n">
        <v>17620.0</v>
      </c>
      <c r="D150" s="3" t="n">
        <v>17236.0</v>
      </c>
      <c r="E150" s="3" t="n">
        <v>16580.0</v>
      </c>
      <c r="F150" s="3" t="n">
        <v>15551.0</v>
      </c>
      <c r="G150" s="3" t="n">
        <v>14450.0</v>
      </c>
      <c r="H150" s="3" t="n">
        <v>14178.0</v>
      </c>
      <c r="I150" s="3" t="n">
        <v>13719.0</v>
      </c>
      <c r="J150" s="3" t="n">
        <v>13770.0</v>
      </c>
      <c r="K150" s="3" t="n">
        <v>13223.0</v>
      </c>
      <c r="L150" s="3" t="n">
        <v>12432.0</v>
      </c>
      <c r="M150" s="3" t="n">
        <v>11965.0</v>
      </c>
      <c r="N150" s="3" t="n">
        <v>11520.0</v>
      </c>
      <c r="O150" s="3" t="n">
        <v>10606.0</v>
      </c>
      <c r="P150" s="3" t="n">
        <v>10645.0</v>
      </c>
      <c r="Q150" s="3" t="n">
        <v>10051.0</v>
      </c>
      <c r="R150" s="3" t="n">
        <v>9865.0</v>
      </c>
      <c r="S150" s="3" t="n">
        <v>9467.0</v>
      </c>
      <c r="T150" s="3" t="n">
        <v>9341.0</v>
      </c>
      <c r="U150" s="3" t="n">
        <v>9385.0</v>
      </c>
      <c r="V150" s="3" t="n">
        <v>8819.0</v>
      </c>
      <c r="W150" s="3" t="n">
        <v>8953.0</v>
      </c>
      <c r="X150" s="3" t="n">
        <v>8902.0</v>
      </c>
      <c r="Y150" s="3" t="n">
        <v>9190.0</v>
      </c>
      <c r="Z150" s="3" t="n">
        <v>9651.0</v>
      </c>
      <c r="AA150" s="3" t="n">
        <v>10165.0</v>
      </c>
      <c r="AB150" s="3" t="n">
        <v>10874.0</v>
      </c>
      <c r="AC150" s="3" t="n">
        <v>10932.0</v>
      </c>
      <c r="AD150" s="3" t="n">
        <v>10878.0</v>
      </c>
      <c r="AE150" s="3" t="n">
        <v>10158.0</v>
      </c>
      <c r="AF150" s="3" t="n">
        <v>10180.0</v>
      </c>
      <c r="AG150" s="3" t="n">
        <v>9687.0</v>
      </c>
      <c r="AH150" s="3" t="n">
        <v>9748.0</v>
      </c>
      <c r="AI150" s="3" t="n">
        <v>9515.0</v>
      </c>
      <c r="AJ150" s="3" t="n">
        <v>9709.0</v>
      </c>
      <c r="AK150" s="3" t="n">
        <v>10208.0</v>
      </c>
      <c r="AL150" s="3" t="n">
        <v>9690.0</v>
      </c>
      <c r="AM150" s="3" t="n">
        <v>9248.0</v>
      </c>
      <c r="AN150" s="3" t="n">
        <v>8542.0</v>
      </c>
      <c r="AO150" s="3" t="n">
        <v>8102.0</v>
      </c>
    </row>
    <row r="151" spans="1:41" x14ac:dyDescent="0.2">
      <c r="A151" s="128"/>
      <c r="B151" s="9">
        <v>40</v>
      </c>
      <c r="C151" s="3" t="n">
        <v>17297.0</v>
      </c>
      <c r="D151" s="3" t="n">
        <v>17557.0</v>
      </c>
      <c r="E151" s="3" t="n">
        <v>17174.0</v>
      </c>
      <c r="F151" s="3" t="n">
        <v>16522.0</v>
      </c>
      <c r="G151" s="3" t="n">
        <v>15498.0</v>
      </c>
      <c r="H151" s="3" t="n">
        <v>14403.0</v>
      </c>
      <c r="I151" s="3" t="n">
        <v>14135.0</v>
      </c>
      <c r="J151" s="3" t="n">
        <v>13674.0</v>
      </c>
      <c r="K151" s="3" t="n">
        <v>13726.0</v>
      </c>
      <c r="L151" s="3" t="n">
        <v>13177.0</v>
      </c>
      <c r="M151" s="3" t="n">
        <v>12387.0</v>
      </c>
      <c r="N151" s="3" t="n">
        <v>11926.0</v>
      </c>
      <c r="O151" s="3" t="n">
        <v>11479.0</v>
      </c>
      <c r="P151" s="3" t="n">
        <v>10568.0</v>
      </c>
      <c r="Q151" s="3" t="n">
        <v>10601.0</v>
      </c>
      <c r="R151" s="3" t="n">
        <v>10013.0</v>
      </c>
      <c r="S151" s="3" t="n">
        <v>9822.0</v>
      </c>
      <c r="T151" s="3" t="n">
        <v>9431.0</v>
      </c>
      <c r="U151" s="3" t="n">
        <v>9303.0</v>
      </c>
      <c r="V151" s="3" t="n">
        <v>9348.0</v>
      </c>
      <c r="W151" s="3" t="n">
        <v>8780.0</v>
      </c>
      <c r="X151" s="3" t="n">
        <v>8916.0</v>
      </c>
      <c r="Y151" s="3" t="n">
        <v>8868.0</v>
      </c>
      <c r="Z151" s="3" t="n">
        <v>9158.0</v>
      </c>
      <c r="AA151" s="3" t="n">
        <v>9612.0</v>
      </c>
      <c r="AB151" s="3" t="n">
        <v>10120.0</v>
      </c>
      <c r="AC151" s="3" t="n">
        <v>10827.0</v>
      </c>
      <c r="AD151" s="3" t="n">
        <v>10886.0</v>
      </c>
      <c r="AE151" s="3" t="n">
        <v>10830.0</v>
      </c>
      <c r="AF151" s="3" t="n">
        <v>10113.0</v>
      </c>
      <c r="AG151" s="3" t="n">
        <v>10139.0</v>
      </c>
      <c r="AH151" s="3" t="n">
        <v>9644.0</v>
      </c>
      <c r="AI151" s="3" t="n">
        <v>9706.0</v>
      </c>
      <c r="AJ151" s="3" t="n">
        <v>9473.0</v>
      </c>
      <c r="AK151" s="3" t="n">
        <v>9665.0</v>
      </c>
      <c r="AL151" s="3" t="n">
        <v>10162.0</v>
      </c>
      <c r="AM151" s="3" t="n">
        <v>9648.0</v>
      </c>
      <c r="AN151" s="3" t="n">
        <v>9210.0</v>
      </c>
      <c r="AO151" s="3" t="n">
        <v>8509.0</v>
      </c>
    </row>
    <row r="152" spans="1:41" x14ac:dyDescent="0.2">
      <c r="A152" s="128"/>
      <c r="B152" s="9">
        <v>41</v>
      </c>
      <c r="C152" s="3" t="n">
        <v>16416.0</v>
      </c>
      <c r="D152" s="3" t="n">
        <v>17218.0</v>
      </c>
      <c r="E152" s="3" t="n">
        <v>17480.0</v>
      </c>
      <c r="F152" s="3" t="n">
        <v>17098.0</v>
      </c>
      <c r="G152" s="3" t="n">
        <v>16454.0</v>
      </c>
      <c r="H152" s="3" t="n">
        <v>15441.0</v>
      </c>
      <c r="I152" s="3" t="n">
        <v>14350.0</v>
      </c>
      <c r="J152" s="3" t="n">
        <v>14082.0</v>
      </c>
      <c r="K152" s="3" t="n">
        <v>13622.0</v>
      </c>
      <c r="L152" s="3" t="n">
        <v>13672.0</v>
      </c>
      <c r="M152" s="3" t="n">
        <v>13124.0</v>
      </c>
      <c r="N152" s="3" t="n">
        <v>12337.0</v>
      </c>
      <c r="O152" s="3" t="n">
        <v>11878.0</v>
      </c>
      <c r="P152" s="3" t="n">
        <v>11435.0</v>
      </c>
      <c r="Q152" s="3" t="n">
        <v>10527.0</v>
      </c>
      <c r="R152" s="3" t="n">
        <v>10554.0</v>
      </c>
      <c r="S152" s="3" t="n">
        <v>9965.0</v>
      </c>
      <c r="T152" s="3" t="n">
        <v>9775.0</v>
      </c>
      <c r="U152" s="3" t="n">
        <v>9384.0</v>
      </c>
      <c r="V152" s="3" t="n">
        <v>9258.0</v>
      </c>
      <c r="W152" s="3" t="n">
        <v>9303.0</v>
      </c>
      <c r="X152" s="3" t="n">
        <v>8738.0</v>
      </c>
      <c r="Y152" s="3" t="n">
        <v>8876.0</v>
      </c>
      <c r="Z152" s="3" t="n">
        <v>8826.0</v>
      </c>
      <c r="AA152" s="3" t="n">
        <v>9111.0</v>
      </c>
      <c r="AB152" s="3" t="n">
        <v>9567.0</v>
      </c>
      <c r="AC152" s="3" t="n">
        <v>10071.0</v>
      </c>
      <c r="AD152" s="3" t="n">
        <v>10776.0</v>
      </c>
      <c r="AE152" s="3" t="n">
        <v>10836.0</v>
      </c>
      <c r="AF152" s="3" t="n">
        <v>10779.0</v>
      </c>
      <c r="AG152" s="3" t="n">
        <v>10064.0</v>
      </c>
      <c r="AH152" s="3" t="n">
        <v>10092.0</v>
      </c>
      <c r="AI152" s="3" t="n">
        <v>9595.0</v>
      </c>
      <c r="AJ152" s="3" t="n">
        <v>9658.0</v>
      </c>
      <c r="AK152" s="3" t="n">
        <v>9430.0</v>
      </c>
      <c r="AL152" s="3" t="n">
        <v>9619.0</v>
      </c>
      <c r="AM152" s="3" t="n">
        <v>10115.0</v>
      </c>
      <c r="AN152" s="3" t="n">
        <v>9599.0</v>
      </c>
      <c r="AO152" s="3" t="n">
        <v>9164.0</v>
      </c>
    </row>
    <row r="153" spans="1:41" x14ac:dyDescent="0.2">
      <c r="A153" s="128"/>
      <c r="B153" s="9">
        <v>42</v>
      </c>
      <c r="C153" s="3" t="n">
        <v>16541.0</v>
      </c>
      <c r="D153" s="3" t="n">
        <v>16350.0</v>
      </c>
      <c r="E153" s="3" t="n">
        <v>17140.0</v>
      </c>
      <c r="F153" s="3" t="n">
        <v>17403.0</v>
      </c>
      <c r="G153" s="3" t="n">
        <v>17023.0</v>
      </c>
      <c r="H153" s="3" t="n">
        <v>16389.0</v>
      </c>
      <c r="I153" s="3" t="n">
        <v>15391.0</v>
      </c>
      <c r="J153" s="3" t="n">
        <v>14300.0</v>
      </c>
      <c r="K153" s="3" t="n">
        <v>14032.0</v>
      </c>
      <c r="L153" s="3" t="n">
        <v>13580.0</v>
      </c>
      <c r="M153" s="3" t="n">
        <v>13626.0</v>
      </c>
      <c r="N153" s="3" t="n">
        <v>13082.0</v>
      </c>
      <c r="O153" s="3" t="n">
        <v>12294.0</v>
      </c>
      <c r="P153" s="3" t="n">
        <v>11836.0</v>
      </c>
      <c r="Q153" s="3" t="n">
        <v>11393.0</v>
      </c>
      <c r="R153" s="3" t="n">
        <v>10488.0</v>
      </c>
      <c r="S153" s="3" t="n">
        <v>10516.0</v>
      </c>
      <c r="T153" s="3" t="n">
        <v>9929.0</v>
      </c>
      <c r="U153" s="3" t="n">
        <v>9740.0</v>
      </c>
      <c r="V153" s="3" t="n">
        <v>9350.0</v>
      </c>
      <c r="W153" s="3" t="n">
        <v>9225.0</v>
      </c>
      <c r="X153" s="3" t="n">
        <v>9268.0</v>
      </c>
      <c r="Y153" s="3" t="n">
        <v>8701.0</v>
      </c>
      <c r="Z153" s="3" t="n">
        <v>8838.0</v>
      </c>
      <c r="AA153" s="3" t="n">
        <v>8788.0</v>
      </c>
      <c r="AB153" s="3" t="n">
        <v>9071.0</v>
      </c>
      <c r="AC153" s="3" t="n">
        <v>9529.0</v>
      </c>
      <c r="AD153" s="3" t="n">
        <v>10032.0</v>
      </c>
      <c r="AE153" s="3" t="n">
        <v>10735.0</v>
      </c>
      <c r="AF153" s="3" t="n">
        <v>10791.0</v>
      </c>
      <c r="AG153" s="3" t="n">
        <v>10734.0</v>
      </c>
      <c r="AH153" s="3" t="n">
        <v>10024.0</v>
      </c>
      <c r="AI153" s="3" t="n">
        <v>10055.0</v>
      </c>
      <c r="AJ153" s="3" t="n">
        <v>9560.0</v>
      </c>
      <c r="AK153" s="3" t="n">
        <v>9623.0</v>
      </c>
      <c r="AL153" s="3" t="n">
        <v>9400.0</v>
      </c>
      <c r="AM153" s="3" t="n">
        <v>9584.0</v>
      </c>
      <c r="AN153" s="3" t="n">
        <v>10076.0</v>
      </c>
      <c r="AO153" s="3" t="n">
        <v>9565.0</v>
      </c>
    </row>
    <row r="154" spans="1:41" x14ac:dyDescent="0.2">
      <c r="A154" s="128"/>
      <c r="B154" s="9">
        <v>43</v>
      </c>
      <c r="C154" s="3" t="n">
        <v>16468.0</v>
      </c>
      <c r="D154" s="3" t="n">
        <v>16478.0</v>
      </c>
      <c r="E154" s="3" t="n">
        <v>16285.0</v>
      </c>
      <c r="F154" s="3" t="n">
        <v>17077.0</v>
      </c>
      <c r="G154" s="3" t="n">
        <v>17337.0</v>
      </c>
      <c r="H154" s="3" t="n">
        <v>16960.0</v>
      </c>
      <c r="I154" s="3" t="n">
        <v>16329.0</v>
      </c>
      <c r="J154" s="3" t="n">
        <v>15330.0</v>
      </c>
      <c r="K154" s="3" t="n">
        <v>14247.0</v>
      </c>
      <c r="L154" s="3" t="n">
        <v>13981.0</v>
      </c>
      <c r="M154" s="3" t="n">
        <v>13533.0</v>
      </c>
      <c r="N154" s="3" t="n">
        <v>13573.0</v>
      </c>
      <c r="O154" s="3" t="n">
        <v>13029.0</v>
      </c>
      <c r="P154" s="3" t="n">
        <v>12248.0</v>
      </c>
      <c r="Q154" s="3" t="n">
        <v>11791.0</v>
      </c>
      <c r="R154" s="3" t="n">
        <v>11349.0</v>
      </c>
      <c r="S154" s="3" t="n">
        <v>10450.0</v>
      </c>
      <c r="T154" s="3" t="n">
        <v>10477.0</v>
      </c>
      <c r="U154" s="3" t="n">
        <v>9892.0</v>
      </c>
      <c r="V154" s="3" t="n">
        <v>9702.0</v>
      </c>
      <c r="W154" s="3" t="n">
        <v>9313.0</v>
      </c>
      <c r="X154" s="3" t="n">
        <v>9188.0</v>
      </c>
      <c r="Y154" s="3" t="n">
        <v>9231.0</v>
      </c>
      <c r="Z154" s="3" t="n">
        <v>8665.0</v>
      </c>
      <c r="AA154" s="3" t="n">
        <v>8801.0</v>
      </c>
      <c r="AB154" s="3" t="n">
        <v>8752.0</v>
      </c>
      <c r="AC154" s="3" t="n">
        <v>9034.0</v>
      </c>
      <c r="AD154" s="3" t="n">
        <v>9487.0</v>
      </c>
      <c r="AE154" s="3" t="n">
        <v>9990.0</v>
      </c>
      <c r="AF154" s="3" t="n">
        <v>10693.0</v>
      </c>
      <c r="AG154" s="3" t="n">
        <v>10745.0</v>
      </c>
      <c r="AH154" s="3" t="n">
        <v>10692.0</v>
      </c>
      <c r="AI154" s="3" t="n">
        <v>9986.0</v>
      </c>
      <c r="AJ154" s="3" t="n">
        <v>10014.0</v>
      </c>
      <c r="AK154" s="3" t="n">
        <v>9518.0</v>
      </c>
      <c r="AL154" s="3" t="n">
        <v>9582.0</v>
      </c>
      <c r="AM154" s="3" t="n">
        <v>9364.0</v>
      </c>
      <c r="AN154" s="3" t="n">
        <v>9546.0</v>
      </c>
      <c r="AO154" s="3" t="n">
        <v>10036.0</v>
      </c>
    </row>
    <row r="155" spans="1:41" x14ac:dyDescent="0.2">
      <c r="A155" s="128"/>
      <c r="B155" s="9">
        <v>44</v>
      </c>
      <c r="C155" s="3" t="n">
        <v>15827.0</v>
      </c>
      <c r="D155" s="3" t="n">
        <v>16405.0</v>
      </c>
      <c r="E155" s="3" t="n">
        <v>16418.0</v>
      </c>
      <c r="F155" s="3" t="n">
        <v>16228.0</v>
      </c>
      <c r="G155" s="3" t="n">
        <v>17014.0</v>
      </c>
      <c r="H155" s="3" t="n">
        <v>17282.0</v>
      </c>
      <c r="I155" s="3" t="n">
        <v>16908.0</v>
      </c>
      <c r="J155" s="3" t="n">
        <v>16272.0</v>
      </c>
      <c r="K155" s="3" t="n">
        <v>15278.0</v>
      </c>
      <c r="L155" s="3" t="n">
        <v>14202.0</v>
      </c>
      <c r="M155" s="3" t="n">
        <v>13940.0</v>
      </c>
      <c r="N155" s="3" t="n">
        <v>13493.0</v>
      </c>
      <c r="O155" s="3" t="n">
        <v>13532.0</v>
      </c>
      <c r="P155" s="3" t="n">
        <v>12987.0</v>
      </c>
      <c r="Q155" s="3" t="n">
        <v>12213.0</v>
      </c>
      <c r="R155" s="3" t="n">
        <v>11757.0</v>
      </c>
      <c r="S155" s="3" t="n">
        <v>11312.0</v>
      </c>
      <c r="T155" s="3" t="n">
        <v>10417.0</v>
      </c>
      <c r="U155" s="3" t="n">
        <v>10442.0</v>
      </c>
      <c r="V155" s="3" t="n">
        <v>9865.0</v>
      </c>
      <c r="W155" s="3" t="n">
        <v>9674.0</v>
      </c>
      <c r="X155" s="3" t="n">
        <v>9288.0</v>
      </c>
      <c r="Y155" s="3" t="n">
        <v>9161.0</v>
      </c>
      <c r="Z155" s="3" t="n">
        <v>9204.0</v>
      </c>
      <c r="AA155" s="3" t="n">
        <v>8643.0</v>
      </c>
      <c r="AB155" s="3" t="n">
        <v>8775.0</v>
      </c>
      <c r="AC155" s="3" t="n">
        <v>8726.0</v>
      </c>
      <c r="AD155" s="3" t="n">
        <v>9011.0</v>
      </c>
      <c r="AE155" s="3" t="n">
        <v>9460.0</v>
      </c>
      <c r="AF155" s="3" t="n">
        <v>9959.0</v>
      </c>
      <c r="AG155" s="3" t="n">
        <v>10657.0</v>
      </c>
      <c r="AH155" s="3" t="n">
        <v>10713.0</v>
      </c>
      <c r="AI155" s="3" t="n">
        <v>10657.0</v>
      </c>
      <c r="AJ155" s="3" t="n">
        <v>9957.0</v>
      </c>
      <c r="AK155" s="3" t="n">
        <v>9984.0</v>
      </c>
      <c r="AL155" s="3" t="n">
        <v>9489.0</v>
      </c>
      <c r="AM155" s="3" t="n">
        <v>9556.0</v>
      </c>
      <c r="AN155" s="3" t="n">
        <v>9339.0</v>
      </c>
      <c r="AO155" s="3" t="n">
        <v>9521.0</v>
      </c>
    </row>
    <row r="156" spans="1:41" x14ac:dyDescent="0.2">
      <c r="A156" s="128"/>
      <c r="B156" s="9">
        <v>45</v>
      </c>
      <c r="C156" s="3" t="n">
        <v>15679.0</v>
      </c>
      <c r="D156" s="3" t="n">
        <v>15760.0</v>
      </c>
      <c r="E156" s="3" t="n">
        <v>16331.0</v>
      </c>
      <c r="F156" s="3" t="n">
        <v>16347.0</v>
      </c>
      <c r="G156" s="3" t="n">
        <v>16158.0</v>
      </c>
      <c r="H156" s="3" t="n">
        <v>16941.0</v>
      </c>
      <c r="I156" s="3" t="n">
        <v>17211.0</v>
      </c>
      <c r="J156" s="3" t="n">
        <v>16838.0</v>
      </c>
      <c r="K156" s="3" t="n">
        <v>16205.0</v>
      </c>
      <c r="L156" s="3" t="n">
        <v>15217.0</v>
      </c>
      <c r="M156" s="3" t="n">
        <v>14148.0</v>
      </c>
      <c r="N156" s="3" t="n">
        <v>13887.0</v>
      </c>
      <c r="O156" s="3" t="n">
        <v>13446.0</v>
      </c>
      <c r="P156" s="3" t="n">
        <v>13480.0</v>
      </c>
      <c r="Q156" s="3" t="n">
        <v>12940.0</v>
      </c>
      <c r="R156" s="3" t="n">
        <v>12171.0</v>
      </c>
      <c r="S156" s="3" t="n">
        <v>11719.0</v>
      </c>
      <c r="T156" s="3" t="n">
        <v>11274.0</v>
      </c>
      <c r="U156" s="3" t="n">
        <v>10377.0</v>
      </c>
      <c r="V156" s="3" t="n">
        <v>10403.0</v>
      </c>
      <c r="W156" s="3" t="n">
        <v>9824.0</v>
      </c>
      <c r="X156" s="3" t="n">
        <v>9637.0</v>
      </c>
      <c r="Y156" s="3" t="n">
        <v>9251.0</v>
      </c>
      <c r="Z156" s="3" t="n">
        <v>9125.0</v>
      </c>
      <c r="AA156" s="3" t="n">
        <v>9164.0</v>
      </c>
      <c r="AB156" s="3" t="n">
        <v>8604.0</v>
      </c>
      <c r="AC156" s="3" t="n">
        <v>8737.0</v>
      </c>
      <c r="AD156" s="3" t="n">
        <v>8690.0</v>
      </c>
      <c r="AE156" s="3" t="n">
        <v>8976.0</v>
      </c>
      <c r="AF156" s="3" t="n">
        <v>9420.0</v>
      </c>
      <c r="AG156" s="3" t="n">
        <v>9916.0</v>
      </c>
      <c r="AH156" s="3" t="n">
        <v>10614.0</v>
      </c>
      <c r="AI156" s="3" t="n">
        <v>10668.0</v>
      </c>
      <c r="AJ156" s="3" t="n">
        <v>10609.0</v>
      </c>
      <c r="AK156" s="3" t="n">
        <v>9911.0</v>
      </c>
      <c r="AL156" s="3" t="n">
        <v>9938.0</v>
      </c>
      <c r="AM156" s="3" t="n">
        <v>9447.0</v>
      </c>
      <c r="AN156" s="3" t="n">
        <v>9515.0</v>
      </c>
      <c r="AO156" s="3" t="n">
        <v>9296.0</v>
      </c>
    </row>
    <row r="157" spans="1:41" x14ac:dyDescent="0.2">
      <c r="A157" s="128"/>
      <c r="B157" s="9">
        <v>46</v>
      </c>
      <c r="C157" s="3" t="n">
        <v>16145.0</v>
      </c>
      <c r="D157" s="3" t="n">
        <v>15608.0</v>
      </c>
      <c r="E157" s="3" t="n">
        <v>15688.0</v>
      </c>
      <c r="F157" s="3" t="n">
        <v>16254.0</v>
      </c>
      <c r="G157" s="3" t="n">
        <v>16266.0</v>
      </c>
      <c r="H157" s="3" t="n">
        <v>16080.0</v>
      </c>
      <c r="I157" s="3" t="n">
        <v>16863.0</v>
      </c>
      <c r="J157" s="3" t="n">
        <v>17134.0</v>
      </c>
      <c r="K157" s="3" t="n">
        <v>16764.0</v>
      </c>
      <c r="L157" s="3" t="n">
        <v>16128.0</v>
      </c>
      <c r="M157" s="3" t="n">
        <v>15149.0</v>
      </c>
      <c r="N157" s="3" t="n">
        <v>14087.0</v>
      </c>
      <c r="O157" s="3" t="n">
        <v>13829.0</v>
      </c>
      <c r="P157" s="3" t="n">
        <v>13391.0</v>
      </c>
      <c r="Q157" s="3" t="n">
        <v>13424.0</v>
      </c>
      <c r="R157" s="3" t="n">
        <v>12890.0</v>
      </c>
      <c r="S157" s="3" t="n">
        <v>12121.0</v>
      </c>
      <c r="T157" s="3" t="n">
        <v>11669.0</v>
      </c>
      <c r="U157" s="3" t="n">
        <v>11225.0</v>
      </c>
      <c r="V157" s="3" t="n">
        <v>10331.0</v>
      </c>
      <c r="W157" s="3" t="n">
        <v>10359.0</v>
      </c>
      <c r="X157" s="3" t="n">
        <v>9779.0</v>
      </c>
      <c r="Y157" s="3" t="n">
        <v>9595.0</v>
      </c>
      <c r="Z157" s="3" t="n">
        <v>9208.0</v>
      </c>
      <c r="AA157" s="3" t="n">
        <v>9078.0</v>
      </c>
      <c r="AB157" s="3" t="n">
        <v>9116.0</v>
      </c>
      <c r="AC157" s="3" t="n">
        <v>8564.0</v>
      </c>
      <c r="AD157" s="3" t="n">
        <v>8695.0</v>
      </c>
      <c r="AE157" s="3" t="n">
        <v>8648.0</v>
      </c>
      <c r="AF157" s="3" t="n">
        <v>8935.0</v>
      </c>
      <c r="AG157" s="3" t="n">
        <v>9374.0</v>
      </c>
      <c r="AH157" s="3" t="n">
        <v>9868.0</v>
      </c>
      <c r="AI157" s="3" t="n">
        <v>10563.0</v>
      </c>
      <c r="AJ157" s="3" t="n">
        <v>10615.0</v>
      </c>
      <c r="AK157" s="3" t="n">
        <v>10560.0</v>
      </c>
      <c r="AL157" s="3" t="n">
        <v>9864.0</v>
      </c>
      <c r="AM157" s="3" t="n">
        <v>9891.0</v>
      </c>
      <c r="AN157" s="3" t="n">
        <v>9402.0</v>
      </c>
      <c r="AO157" s="3" t="n">
        <v>9471.0</v>
      </c>
    </row>
    <row r="158" spans="1:41" x14ac:dyDescent="0.2">
      <c r="A158" s="128"/>
      <c r="B158" s="9">
        <v>47</v>
      </c>
      <c r="C158" s="3" t="n">
        <v>15483.0</v>
      </c>
      <c r="D158" s="3" t="n">
        <v>16076.0</v>
      </c>
      <c r="E158" s="3" t="n">
        <v>15544.0</v>
      </c>
      <c r="F158" s="3" t="n">
        <v>15622.0</v>
      </c>
      <c r="G158" s="3" t="n">
        <v>16187.0</v>
      </c>
      <c r="H158" s="3" t="n">
        <v>16204.0</v>
      </c>
      <c r="I158" s="3" t="n">
        <v>16016.0</v>
      </c>
      <c r="J158" s="3" t="n">
        <v>16795.0</v>
      </c>
      <c r="K158" s="3" t="n">
        <v>17065.0</v>
      </c>
      <c r="L158" s="3" t="n">
        <v>16694.0</v>
      </c>
      <c r="M158" s="3" t="n">
        <v>16064.0</v>
      </c>
      <c r="N158" s="3" t="n">
        <v>15091.0</v>
      </c>
      <c r="O158" s="3" t="n">
        <v>14039.0</v>
      </c>
      <c r="P158" s="3" t="n">
        <v>13778.0</v>
      </c>
      <c r="Q158" s="3" t="n">
        <v>13338.0</v>
      </c>
      <c r="R158" s="3" t="n">
        <v>13370.0</v>
      </c>
      <c r="S158" s="3" t="n">
        <v>12837.0</v>
      </c>
      <c r="T158" s="3" t="n">
        <v>12072.0</v>
      </c>
      <c r="U158" s="3" t="n">
        <v>11624.0</v>
      </c>
      <c r="V158" s="3" t="n">
        <v>11183.0</v>
      </c>
      <c r="W158" s="3" t="n">
        <v>10298.0</v>
      </c>
      <c r="X158" s="3" t="n">
        <v>10326.0</v>
      </c>
      <c r="Y158" s="3" t="n">
        <v>9747.0</v>
      </c>
      <c r="Z158" s="3" t="n">
        <v>9560.0</v>
      </c>
      <c r="AA158" s="3" t="n">
        <v>9175.0</v>
      </c>
      <c r="AB158" s="3" t="n">
        <v>9044.0</v>
      </c>
      <c r="AC158" s="3" t="n">
        <v>9079.0</v>
      </c>
      <c r="AD158" s="3" t="n">
        <v>8535.0</v>
      </c>
      <c r="AE158" s="3" t="n">
        <v>8663.0</v>
      </c>
      <c r="AF158" s="3" t="n">
        <v>8614.0</v>
      </c>
      <c r="AG158" s="3" t="n">
        <v>8902.0</v>
      </c>
      <c r="AH158" s="3" t="n">
        <v>9337.0</v>
      </c>
      <c r="AI158" s="3" t="n">
        <v>9825.0</v>
      </c>
      <c r="AJ158" s="3" t="n">
        <v>10520.0</v>
      </c>
      <c r="AK158" s="3" t="n">
        <v>10568.0</v>
      </c>
      <c r="AL158" s="3" t="n">
        <v>10517.0</v>
      </c>
      <c r="AM158" s="3" t="n">
        <v>9825.0</v>
      </c>
      <c r="AN158" s="3" t="n">
        <v>9851.0</v>
      </c>
      <c r="AO158" s="3" t="n">
        <v>9363.0</v>
      </c>
    </row>
    <row r="159" spans="1:41" x14ac:dyDescent="0.2">
      <c r="A159" s="128"/>
      <c r="B159" s="9">
        <v>48</v>
      </c>
      <c r="C159" s="3" t="n">
        <v>14779.0</v>
      </c>
      <c r="D159" s="3" t="n">
        <v>15408.0</v>
      </c>
      <c r="E159" s="3" t="n">
        <v>16001.0</v>
      </c>
      <c r="F159" s="3" t="n">
        <v>15471.0</v>
      </c>
      <c r="G159" s="3" t="n">
        <v>15546.0</v>
      </c>
      <c r="H159" s="3" t="n">
        <v>16113.0</v>
      </c>
      <c r="I159" s="3" t="n">
        <v>16131.0</v>
      </c>
      <c r="J159" s="3" t="n">
        <v>15938.0</v>
      </c>
      <c r="K159" s="3" t="n">
        <v>16716.0</v>
      </c>
      <c r="L159" s="3" t="n">
        <v>16987.0</v>
      </c>
      <c r="M159" s="3" t="n">
        <v>16615.0</v>
      </c>
      <c r="N159" s="3" t="n">
        <v>15991.0</v>
      </c>
      <c r="O159" s="3" t="n">
        <v>15023.0</v>
      </c>
      <c r="P159" s="3" t="n">
        <v>13977.0</v>
      </c>
      <c r="Q159" s="3" t="n">
        <v>13719.0</v>
      </c>
      <c r="R159" s="3" t="n">
        <v>13283.0</v>
      </c>
      <c r="S159" s="3" t="n">
        <v>13315.0</v>
      </c>
      <c r="T159" s="3" t="n">
        <v>12786.0</v>
      </c>
      <c r="U159" s="3" t="n">
        <v>12025.0</v>
      </c>
      <c r="V159" s="3" t="n">
        <v>11574.0</v>
      </c>
      <c r="W159" s="3" t="n">
        <v>11143.0</v>
      </c>
      <c r="X159" s="3" t="n">
        <v>10261.0</v>
      </c>
      <c r="Y159" s="3" t="n">
        <v>10289.0</v>
      </c>
      <c r="Z159" s="3" t="n">
        <v>9713.0</v>
      </c>
      <c r="AA159" s="3" t="n">
        <v>9526.0</v>
      </c>
      <c r="AB159" s="3" t="n">
        <v>9146.0</v>
      </c>
      <c r="AC159" s="3" t="n">
        <v>9018.0</v>
      </c>
      <c r="AD159" s="3" t="n">
        <v>9053.0</v>
      </c>
      <c r="AE159" s="3" t="n">
        <v>8510.0</v>
      </c>
      <c r="AF159" s="3" t="n">
        <v>8636.0</v>
      </c>
      <c r="AG159" s="3" t="n">
        <v>8589.0</v>
      </c>
      <c r="AH159" s="3" t="n">
        <v>8874.0</v>
      </c>
      <c r="AI159" s="3" t="n">
        <v>9306.0</v>
      </c>
      <c r="AJ159" s="3" t="n">
        <v>9791.0</v>
      </c>
      <c r="AK159" s="3" t="n">
        <v>10478.0</v>
      </c>
      <c r="AL159" s="3" t="n">
        <v>10524.0</v>
      </c>
      <c r="AM159" s="3" t="n">
        <v>10477.0</v>
      </c>
      <c r="AN159" s="3" t="n">
        <v>9793.0</v>
      </c>
      <c r="AO159" s="3" t="n">
        <v>9816.0</v>
      </c>
    </row>
    <row r="160" spans="1:41" x14ac:dyDescent="0.2">
      <c r="A160" s="128"/>
      <c r="B160" s="9">
        <v>49</v>
      </c>
      <c r="C160" s="3" t="n">
        <v>14458.0</v>
      </c>
      <c r="D160" s="3" t="n">
        <v>14692.0</v>
      </c>
      <c r="E160" s="3" t="n">
        <v>15316.0</v>
      </c>
      <c r="F160" s="3" t="n">
        <v>15908.0</v>
      </c>
      <c r="G160" s="3" t="n">
        <v>15383.0</v>
      </c>
      <c r="H160" s="3" t="n">
        <v>15464.0</v>
      </c>
      <c r="I160" s="3" t="n">
        <v>16022.0</v>
      </c>
      <c r="J160" s="3" t="n">
        <v>16041.0</v>
      </c>
      <c r="K160" s="3" t="n">
        <v>15848.0</v>
      </c>
      <c r="L160" s="3" t="n">
        <v>16618.0</v>
      </c>
      <c r="M160" s="3" t="n">
        <v>16893.0</v>
      </c>
      <c r="N160" s="3" t="n">
        <v>16522.0</v>
      </c>
      <c r="O160" s="3" t="n">
        <v>15899.0</v>
      </c>
      <c r="P160" s="3" t="n">
        <v>14941.0</v>
      </c>
      <c r="Q160" s="3" t="n">
        <v>13902.0</v>
      </c>
      <c r="R160" s="3" t="n">
        <v>13649.0</v>
      </c>
      <c r="S160" s="3" t="n">
        <v>13217.0</v>
      </c>
      <c r="T160" s="3" t="n">
        <v>13245.0</v>
      </c>
      <c r="U160" s="3" t="n">
        <v>12718.0</v>
      </c>
      <c r="V160" s="3" t="n">
        <v>11961.0</v>
      </c>
      <c r="W160" s="3" t="n">
        <v>11513.0</v>
      </c>
      <c r="X160" s="3" t="n">
        <v>11082.0</v>
      </c>
      <c r="Y160" s="3" t="n">
        <v>10208.0</v>
      </c>
      <c r="Z160" s="3" t="n">
        <v>10236.0</v>
      </c>
      <c r="AA160" s="3" t="n">
        <v>9660.0</v>
      </c>
      <c r="AB160" s="3" t="n">
        <v>9477.0</v>
      </c>
      <c r="AC160" s="3" t="n">
        <v>9099.0</v>
      </c>
      <c r="AD160" s="3" t="n">
        <v>8969.0</v>
      </c>
      <c r="AE160" s="3" t="n">
        <v>9004.0</v>
      </c>
      <c r="AF160" s="3" t="n">
        <v>8468.0</v>
      </c>
      <c r="AG160" s="3" t="n">
        <v>8595.0</v>
      </c>
      <c r="AH160" s="3" t="n">
        <v>8546.0</v>
      </c>
      <c r="AI160" s="3" t="n">
        <v>8824.0</v>
      </c>
      <c r="AJ160" s="3" t="n">
        <v>9253.0</v>
      </c>
      <c r="AK160" s="3" t="n">
        <v>9741.0</v>
      </c>
      <c r="AL160" s="3" t="n">
        <v>10422.0</v>
      </c>
      <c r="AM160" s="3" t="n">
        <v>10468.0</v>
      </c>
      <c r="AN160" s="3" t="n">
        <v>10423.0</v>
      </c>
      <c r="AO160" s="3" t="n">
        <v>9741.0</v>
      </c>
    </row>
    <row r="161" spans="1:41" x14ac:dyDescent="0.2">
      <c r="A161" s="128"/>
      <c r="B161" s="9">
        <v>50</v>
      </c>
      <c r="C161" s="3" t="n">
        <v>13801.0</v>
      </c>
      <c r="D161" s="3" t="n">
        <v>14367.0</v>
      </c>
      <c r="E161" s="3" t="n">
        <v>14598.0</v>
      </c>
      <c r="F161" s="3" t="n">
        <v>15224.0</v>
      </c>
      <c r="G161" s="3" t="n">
        <v>15809.0</v>
      </c>
      <c r="H161" s="3" t="n">
        <v>15291.0</v>
      </c>
      <c r="I161" s="3" t="n">
        <v>15371.0</v>
      </c>
      <c r="J161" s="3" t="n">
        <v>15930.0</v>
      </c>
      <c r="K161" s="3" t="n">
        <v>15945.0</v>
      </c>
      <c r="L161" s="3" t="n">
        <v>15756.0</v>
      </c>
      <c r="M161" s="3" t="n">
        <v>16520.0</v>
      </c>
      <c r="N161" s="3" t="n">
        <v>16791.0</v>
      </c>
      <c r="O161" s="3" t="n">
        <v>16423.0</v>
      </c>
      <c r="P161" s="3" t="n">
        <v>15801.0</v>
      </c>
      <c r="Q161" s="3" t="n">
        <v>14855.0</v>
      </c>
      <c r="R161" s="3" t="n">
        <v>13822.0</v>
      </c>
      <c r="S161" s="3" t="n">
        <v>13576.0</v>
      </c>
      <c r="T161" s="3" t="n">
        <v>13147.0</v>
      </c>
      <c r="U161" s="3" t="n">
        <v>13173.0</v>
      </c>
      <c r="V161" s="3" t="n">
        <v>12651.0</v>
      </c>
      <c r="W161" s="3" t="n">
        <v>11890.0</v>
      </c>
      <c r="X161" s="3" t="n">
        <v>11446.0</v>
      </c>
      <c r="Y161" s="3" t="n">
        <v>11016.0</v>
      </c>
      <c r="Z161" s="3" t="n">
        <v>10148.0</v>
      </c>
      <c r="AA161" s="3" t="n">
        <v>10175.0</v>
      </c>
      <c r="AB161" s="3" t="n">
        <v>9597.0</v>
      </c>
      <c r="AC161" s="3" t="n">
        <v>9416.0</v>
      </c>
      <c r="AD161" s="3" t="n">
        <v>9045.0</v>
      </c>
      <c r="AE161" s="3" t="n">
        <v>8911.0</v>
      </c>
      <c r="AF161" s="3" t="n">
        <v>8944.0</v>
      </c>
      <c r="AG161" s="3" t="n">
        <v>8413.0</v>
      </c>
      <c r="AH161" s="3" t="n">
        <v>8539.0</v>
      </c>
      <c r="AI161" s="3" t="n">
        <v>8490.0</v>
      </c>
      <c r="AJ161" s="3" t="n">
        <v>8766.0</v>
      </c>
      <c r="AK161" s="3" t="n">
        <v>9191.0</v>
      </c>
      <c r="AL161" s="3" t="n">
        <v>9682.0</v>
      </c>
      <c r="AM161" s="3" t="n">
        <v>10357.0</v>
      </c>
      <c r="AN161" s="3" t="n">
        <v>10405.0</v>
      </c>
      <c r="AO161" s="3" t="n">
        <v>10363.0</v>
      </c>
    </row>
    <row r="162" spans="1:41" x14ac:dyDescent="0.2">
      <c r="A162" s="128"/>
      <c r="B162" s="9">
        <v>51</v>
      </c>
      <c r="C162" s="3" t="n">
        <v>13179.0</v>
      </c>
      <c r="D162" s="3" t="n">
        <v>13701.0</v>
      </c>
      <c r="E162" s="3" t="n">
        <v>14263.0</v>
      </c>
      <c r="F162" s="3" t="n">
        <v>14494.0</v>
      </c>
      <c r="G162" s="3" t="n">
        <v>15118.0</v>
      </c>
      <c r="H162" s="3" t="n">
        <v>15705.0</v>
      </c>
      <c r="I162" s="3" t="n">
        <v>15191.0</v>
      </c>
      <c r="J162" s="3" t="n">
        <v>15272.0</v>
      </c>
      <c r="K162" s="3" t="n">
        <v>15830.0</v>
      </c>
      <c r="L162" s="3" t="n">
        <v>15843.0</v>
      </c>
      <c r="M162" s="3" t="n">
        <v>15652.0</v>
      </c>
      <c r="N162" s="3" t="n">
        <v>16411.0</v>
      </c>
      <c r="O162" s="3" t="n">
        <v>16681.0</v>
      </c>
      <c r="P162" s="3" t="n">
        <v>16315.0</v>
      </c>
      <c r="Q162" s="3" t="n">
        <v>15698.0</v>
      </c>
      <c r="R162" s="3" t="n">
        <v>14759.0</v>
      </c>
      <c r="S162" s="3" t="n">
        <v>13732.0</v>
      </c>
      <c r="T162" s="3" t="n">
        <v>13489.0</v>
      </c>
      <c r="U162" s="3" t="n">
        <v>13062.0</v>
      </c>
      <c r="V162" s="3" t="n">
        <v>13090.0</v>
      </c>
      <c r="W162" s="3" t="n">
        <v>12568.0</v>
      </c>
      <c r="X162" s="3" t="n">
        <v>11812.0</v>
      </c>
      <c r="Y162" s="3" t="n">
        <v>11373.0</v>
      </c>
      <c r="Z162" s="3" t="n">
        <v>10944.0</v>
      </c>
      <c r="AA162" s="3" t="n">
        <v>10085.0</v>
      </c>
      <c r="AB162" s="3" t="n">
        <v>10110.0</v>
      </c>
      <c r="AC162" s="3" t="n">
        <v>9534.0</v>
      </c>
      <c r="AD162" s="3" t="n">
        <v>9360.0</v>
      </c>
      <c r="AE162" s="3" t="n">
        <v>8993.0</v>
      </c>
      <c r="AF162" s="3" t="n">
        <v>8859.0</v>
      </c>
      <c r="AG162" s="3" t="n">
        <v>8893.0</v>
      </c>
      <c r="AH162" s="3" t="n">
        <v>8363.0</v>
      </c>
      <c r="AI162" s="3" t="n">
        <v>8489.0</v>
      </c>
      <c r="AJ162" s="3" t="n">
        <v>8443.0</v>
      </c>
      <c r="AK162" s="3" t="n">
        <v>8716.0</v>
      </c>
      <c r="AL162" s="3" t="n">
        <v>9142.0</v>
      </c>
      <c r="AM162" s="3" t="n">
        <v>9625.0</v>
      </c>
      <c r="AN162" s="3" t="n">
        <v>10293.0</v>
      </c>
      <c r="AO162" s="3" t="n">
        <v>10338.0</v>
      </c>
    </row>
    <row r="163" spans="1:41" x14ac:dyDescent="0.2">
      <c r="A163" s="128"/>
      <c r="B163" s="9">
        <v>52</v>
      </c>
      <c r="C163" s="3" t="n">
        <v>12803.0</v>
      </c>
      <c r="D163" s="3" t="n">
        <v>13073.0</v>
      </c>
      <c r="E163" s="3" t="n">
        <v>13592.0</v>
      </c>
      <c r="F163" s="3" t="n">
        <v>14150.0</v>
      </c>
      <c r="G163" s="3" t="n">
        <v>14386.0</v>
      </c>
      <c r="H163" s="3" t="n">
        <v>15001.0</v>
      </c>
      <c r="I163" s="3" t="n">
        <v>15593.0</v>
      </c>
      <c r="J163" s="3" t="n">
        <v>15079.0</v>
      </c>
      <c r="K163" s="3" t="n">
        <v>15160.0</v>
      </c>
      <c r="L163" s="3" t="n">
        <v>15714.0</v>
      </c>
      <c r="M163" s="3" t="n">
        <v>15725.0</v>
      </c>
      <c r="N163" s="3" t="n">
        <v>15532.0</v>
      </c>
      <c r="O163" s="3" t="n">
        <v>16286.0</v>
      </c>
      <c r="P163" s="3" t="n">
        <v>16553.0</v>
      </c>
      <c r="Q163" s="3" t="n">
        <v>16191.0</v>
      </c>
      <c r="R163" s="3" t="n">
        <v>15581.0</v>
      </c>
      <c r="S163" s="3" t="n">
        <v>14643.0</v>
      </c>
      <c r="T163" s="3" t="n">
        <v>13634.0</v>
      </c>
      <c r="U163" s="3" t="n">
        <v>13394.0</v>
      </c>
      <c r="V163" s="3" t="n">
        <v>12968.0</v>
      </c>
      <c r="W163" s="3" t="n">
        <v>12998.0</v>
      </c>
      <c r="X163" s="3" t="n">
        <v>12480.0</v>
      </c>
      <c r="Y163" s="3" t="n">
        <v>11726.0</v>
      </c>
      <c r="Z163" s="3" t="n">
        <v>11289.0</v>
      </c>
      <c r="AA163" s="3" t="n">
        <v>10867.0</v>
      </c>
      <c r="AB163" s="3" t="n">
        <v>10011.0</v>
      </c>
      <c r="AC163" s="3" t="n">
        <v>10039.0</v>
      </c>
      <c r="AD163" s="3" t="n">
        <v>9469.0</v>
      </c>
      <c r="AE163" s="3" t="n">
        <v>9294.0</v>
      </c>
      <c r="AF163" s="3" t="n">
        <v>8927.0</v>
      </c>
      <c r="AG163" s="3" t="n">
        <v>8797.0</v>
      </c>
      <c r="AH163" s="3" t="n">
        <v>8831.0</v>
      </c>
      <c r="AI163" s="3" t="n">
        <v>8311.0</v>
      </c>
      <c r="AJ163" s="3" t="n">
        <v>8433.0</v>
      </c>
      <c r="AK163" s="3" t="n">
        <v>8385.0</v>
      </c>
      <c r="AL163" s="3" t="n">
        <v>8656.0</v>
      </c>
      <c r="AM163" s="3" t="n">
        <v>9075.0</v>
      </c>
      <c r="AN163" s="3" t="n">
        <v>9548.0</v>
      </c>
      <c r="AO163" s="3" t="n">
        <v>10218.0</v>
      </c>
    </row>
    <row r="164" spans="1:41" x14ac:dyDescent="0.2">
      <c r="A164" s="128"/>
      <c r="B164" s="9">
        <v>53</v>
      </c>
      <c r="C164" s="3" t="n">
        <v>12076.0</v>
      </c>
      <c r="D164" s="3" t="n">
        <v>12696.0</v>
      </c>
      <c r="E164" s="3" t="n">
        <v>12964.0</v>
      </c>
      <c r="F164" s="3" t="n">
        <v>13486.0</v>
      </c>
      <c r="G164" s="3" t="n">
        <v>14037.0</v>
      </c>
      <c r="H164" s="3" t="n">
        <v>14275.0</v>
      </c>
      <c r="I164" s="3" t="n">
        <v>14881.0</v>
      </c>
      <c r="J164" s="3" t="n">
        <v>15469.0</v>
      </c>
      <c r="K164" s="3" t="n">
        <v>14959.0</v>
      </c>
      <c r="L164" s="3" t="n">
        <v>15043.0</v>
      </c>
      <c r="M164" s="3" t="n">
        <v>15591.0</v>
      </c>
      <c r="N164" s="3" t="n">
        <v>15602.0</v>
      </c>
      <c r="O164" s="3" t="n">
        <v>15411.0</v>
      </c>
      <c r="P164" s="3" t="n">
        <v>16161.0</v>
      </c>
      <c r="Q164" s="3" t="n">
        <v>16424.0</v>
      </c>
      <c r="R164" s="3" t="n">
        <v>16066.0</v>
      </c>
      <c r="S164" s="3" t="n">
        <v>15463.0</v>
      </c>
      <c r="T164" s="3" t="n">
        <v>14533.0</v>
      </c>
      <c r="U164" s="3" t="n">
        <v>13537.0</v>
      </c>
      <c r="V164" s="3" t="n">
        <v>13299.0</v>
      </c>
      <c r="W164" s="3" t="n">
        <v>12876.0</v>
      </c>
      <c r="X164" s="3" t="n">
        <v>12906.0</v>
      </c>
      <c r="Y164" s="3" t="n">
        <v>12390.0</v>
      </c>
      <c r="Z164" s="3" t="n">
        <v>11640.0</v>
      </c>
      <c r="AA164" s="3" t="n">
        <v>11204.0</v>
      </c>
      <c r="AB164" s="3" t="n">
        <v>10789.0</v>
      </c>
      <c r="AC164" s="3" t="n">
        <v>9940.0</v>
      </c>
      <c r="AD164" s="3" t="n">
        <v>9969.0</v>
      </c>
      <c r="AE164" s="3" t="n">
        <v>9398.0</v>
      </c>
      <c r="AF164" s="3" t="n">
        <v>9224.0</v>
      </c>
      <c r="AG164" s="3" t="n">
        <v>8861.0</v>
      </c>
      <c r="AH164" s="3" t="n">
        <v>8730.0</v>
      </c>
      <c r="AI164" s="3" t="n">
        <v>8764.0</v>
      </c>
      <c r="AJ164" s="3" t="n">
        <v>8246.0</v>
      </c>
      <c r="AK164" s="3" t="n">
        <v>8365.0</v>
      </c>
      <c r="AL164" s="3" t="n">
        <v>8319.0</v>
      </c>
      <c r="AM164" s="3" t="n">
        <v>8592.0</v>
      </c>
      <c r="AN164" s="3" t="n">
        <v>9004.0</v>
      </c>
      <c r="AO164" s="3" t="n">
        <v>9474.0</v>
      </c>
    </row>
    <row r="165" spans="1:41" x14ac:dyDescent="0.2">
      <c r="A165" s="128"/>
      <c r="B165" s="9">
        <v>54</v>
      </c>
      <c r="C165" s="3" t="n">
        <v>11807.0</v>
      </c>
      <c r="D165" s="3" t="n">
        <v>11965.0</v>
      </c>
      <c r="E165" s="3" t="n">
        <v>12578.0</v>
      </c>
      <c r="F165" s="3" t="n">
        <v>12846.0</v>
      </c>
      <c r="G165" s="3" t="n">
        <v>13364.0</v>
      </c>
      <c r="H165" s="3" t="n">
        <v>13912.0</v>
      </c>
      <c r="I165" s="3" t="n">
        <v>14153.0</v>
      </c>
      <c r="J165" s="3" t="n">
        <v>14753.0</v>
      </c>
      <c r="K165" s="3" t="n">
        <v>15334.0</v>
      </c>
      <c r="L165" s="3" t="n">
        <v>14832.0</v>
      </c>
      <c r="M165" s="3" t="n">
        <v>14915.0</v>
      </c>
      <c r="N165" s="3" t="n">
        <v>15461.0</v>
      </c>
      <c r="O165" s="3" t="n">
        <v>15471.0</v>
      </c>
      <c r="P165" s="3" t="n">
        <v>15285.0</v>
      </c>
      <c r="Q165" s="3" t="n">
        <v>16026.0</v>
      </c>
      <c r="R165" s="3" t="n">
        <v>16288.0</v>
      </c>
      <c r="S165" s="3" t="n">
        <v>15934.0</v>
      </c>
      <c r="T165" s="3" t="n">
        <v>15339.0</v>
      </c>
      <c r="U165" s="3" t="n">
        <v>14417.0</v>
      </c>
      <c r="V165" s="3" t="n">
        <v>13432.0</v>
      </c>
      <c r="W165" s="3" t="n">
        <v>13194.0</v>
      </c>
      <c r="X165" s="3" t="n">
        <v>12775.0</v>
      </c>
      <c r="Y165" s="3" t="n">
        <v>12802.0</v>
      </c>
      <c r="Z165" s="3" t="n">
        <v>12291.0</v>
      </c>
      <c r="AA165" s="3" t="n">
        <v>11548.0</v>
      </c>
      <c r="AB165" s="3" t="n">
        <v>11116.0</v>
      </c>
      <c r="AC165" s="3" t="n">
        <v>10706.0</v>
      </c>
      <c r="AD165" s="3" t="n">
        <v>9859.0</v>
      </c>
      <c r="AE165" s="3" t="n">
        <v>9889.0</v>
      </c>
      <c r="AF165" s="3" t="n">
        <v>9322.0</v>
      </c>
      <c r="AG165" s="3" t="n">
        <v>9151.0</v>
      </c>
      <c r="AH165" s="3" t="n">
        <v>8789.0</v>
      </c>
      <c r="AI165" s="3" t="n">
        <v>8659.0</v>
      </c>
      <c r="AJ165" s="3" t="n">
        <v>8692.0</v>
      </c>
      <c r="AK165" s="3" t="n">
        <v>8184.0</v>
      </c>
      <c r="AL165" s="3" t="n">
        <v>8298.0</v>
      </c>
      <c r="AM165" s="3" t="n">
        <v>8253.0</v>
      </c>
      <c r="AN165" s="3" t="n">
        <v>8526.0</v>
      </c>
      <c r="AO165" s="3" t="n">
        <v>8935.0</v>
      </c>
    </row>
    <row r="166" spans="1:41" x14ac:dyDescent="0.2">
      <c r="A166" s="128"/>
      <c r="B166" s="9">
        <v>55</v>
      </c>
      <c r="C166" s="3" t="n">
        <v>11610.0</v>
      </c>
      <c r="D166" s="3" t="n">
        <v>11685.0</v>
      </c>
      <c r="E166" s="3" t="n">
        <v>11842.0</v>
      </c>
      <c r="F166" s="3" t="n">
        <v>12446.0</v>
      </c>
      <c r="G166" s="3" t="n">
        <v>12714.0</v>
      </c>
      <c r="H166" s="3" t="n">
        <v>13226.0</v>
      </c>
      <c r="I166" s="3" t="n">
        <v>13778.0</v>
      </c>
      <c r="J166" s="3" t="n">
        <v>14019.0</v>
      </c>
      <c r="K166" s="3" t="n">
        <v>14605.0</v>
      </c>
      <c r="L166" s="3" t="n">
        <v>15177.0</v>
      </c>
      <c r="M166" s="3" t="n">
        <v>14684.0</v>
      </c>
      <c r="N166" s="3" t="n">
        <v>14765.0</v>
      </c>
      <c r="O166" s="3" t="n">
        <v>15306.0</v>
      </c>
      <c r="P166" s="3" t="n">
        <v>15314.0</v>
      </c>
      <c r="Q166" s="3" t="n">
        <v>15133.0</v>
      </c>
      <c r="R166" s="3" t="n">
        <v>15868.0</v>
      </c>
      <c r="S166" s="3" t="n">
        <v>16133.0</v>
      </c>
      <c r="T166" s="3" t="n">
        <v>15777.0</v>
      </c>
      <c r="U166" s="3" t="n">
        <v>15189.0</v>
      </c>
      <c r="V166" s="3" t="n">
        <v>14282.0</v>
      </c>
      <c r="W166" s="3" t="n">
        <v>13306.0</v>
      </c>
      <c r="X166" s="3" t="n">
        <v>13074.0</v>
      </c>
      <c r="Y166" s="3" t="n">
        <v>12662.0</v>
      </c>
      <c r="Z166" s="3" t="n">
        <v>12694.0</v>
      </c>
      <c r="AA166" s="3" t="n">
        <v>12188.0</v>
      </c>
      <c r="AB166" s="3" t="n">
        <v>11452.0</v>
      </c>
      <c r="AC166" s="3" t="n">
        <v>11023.0</v>
      </c>
      <c r="AD166" s="3" t="n">
        <v>10614.0</v>
      </c>
      <c r="AE166" s="3" t="n">
        <v>9773.0</v>
      </c>
      <c r="AF166" s="3" t="n">
        <v>9797.0</v>
      </c>
      <c r="AG166" s="3" t="n">
        <v>9239.0</v>
      </c>
      <c r="AH166" s="3" t="n">
        <v>9068.0</v>
      </c>
      <c r="AI166" s="3" t="n">
        <v>8707.0</v>
      </c>
      <c r="AJ166" s="3" t="n">
        <v>8574.0</v>
      </c>
      <c r="AK166" s="3" t="n">
        <v>8605.0</v>
      </c>
      <c r="AL166" s="3" t="n">
        <v>8099.0</v>
      </c>
      <c r="AM166" s="3" t="n">
        <v>8215.0</v>
      </c>
      <c r="AN166" s="3" t="n">
        <v>8172.0</v>
      </c>
      <c r="AO166" s="3" t="n">
        <v>8443.0</v>
      </c>
    </row>
    <row r="167" spans="1:41" x14ac:dyDescent="0.2">
      <c r="A167" s="128"/>
      <c r="B167" s="9">
        <v>56</v>
      </c>
      <c r="C167" s="3" t="n">
        <v>11491.0</v>
      </c>
      <c r="D167" s="3" t="n">
        <v>11480.0</v>
      </c>
      <c r="E167" s="3" t="n">
        <v>11553.0</v>
      </c>
      <c r="F167" s="3" t="n">
        <v>11706.0</v>
      </c>
      <c r="G167" s="3" t="n">
        <v>12301.0</v>
      </c>
      <c r="H167" s="3" t="n">
        <v>12571.0</v>
      </c>
      <c r="I167" s="3" t="n">
        <v>13083.0</v>
      </c>
      <c r="J167" s="3" t="n">
        <v>13631.0</v>
      </c>
      <c r="K167" s="3" t="n">
        <v>13871.0</v>
      </c>
      <c r="L167" s="3" t="n">
        <v>14452.0</v>
      </c>
      <c r="M167" s="3" t="n">
        <v>15020.0</v>
      </c>
      <c r="N167" s="3" t="n">
        <v>14531.0</v>
      </c>
      <c r="O167" s="3" t="n">
        <v>14612.0</v>
      </c>
      <c r="P167" s="3" t="n">
        <v>15149.0</v>
      </c>
      <c r="Q167" s="3" t="n">
        <v>15154.0</v>
      </c>
      <c r="R167" s="3" t="n">
        <v>14977.0</v>
      </c>
      <c r="S167" s="3" t="n">
        <v>15704.0</v>
      </c>
      <c r="T167" s="3" t="n">
        <v>15968.0</v>
      </c>
      <c r="U167" s="3" t="n">
        <v>15614.0</v>
      </c>
      <c r="V167" s="3" t="n">
        <v>15034.0</v>
      </c>
      <c r="W167" s="3" t="n">
        <v>14138.0</v>
      </c>
      <c r="X167" s="3" t="n">
        <v>13177.0</v>
      </c>
      <c r="Y167" s="3" t="n">
        <v>12948.0</v>
      </c>
      <c r="Z167" s="3" t="n">
        <v>12535.0</v>
      </c>
      <c r="AA167" s="3" t="n">
        <v>12568.0</v>
      </c>
      <c r="AB167" s="3" t="n">
        <v>12064.0</v>
      </c>
      <c r="AC167" s="3" t="n">
        <v>11336.0</v>
      </c>
      <c r="AD167" s="3" t="n">
        <v>10915.0</v>
      </c>
      <c r="AE167" s="3" t="n">
        <v>10510.0</v>
      </c>
      <c r="AF167" s="3" t="n">
        <v>9673.0</v>
      </c>
      <c r="AG167" s="3" t="n">
        <v>9699.0</v>
      </c>
      <c r="AH167" s="3" t="n">
        <v>9144.0</v>
      </c>
      <c r="AI167" s="3" t="n">
        <v>8977.0</v>
      </c>
      <c r="AJ167" s="3" t="n">
        <v>8620.0</v>
      </c>
      <c r="AK167" s="3" t="n">
        <v>8486.0</v>
      </c>
      <c r="AL167" s="3" t="n">
        <v>8523.0</v>
      </c>
      <c r="AM167" s="3" t="n">
        <v>8016.0</v>
      </c>
      <c r="AN167" s="3" t="n">
        <v>8131.0</v>
      </c>
      <c r="AO167" s="3" t="n">
        <v>8092.0</v>
      </c>
    </row>
    <row r="168" spans="1:41" x14ac:dyDescent="0.2">
      <c r="A168" s="128"/>
      <c r="B168" s="9">
        <v>57</v>
      </c>
      <c r="C168" s="3" t="n">
        <v>11530.0</v>
      </c>
      <c r="D168" s="3" t="n">
        <v>11347.0</v>
      </c>
      <c r="E168" s="3" t="n">
        <v>11336.0</v>
      </c>
      <c r="F168" s="3" t="n">
        <v>11407.0</v>
      </c>
      <c r="G168" s="3" t="n">
        <v>11558.0</v>
      </c>
      <c r="H168" s="3" t="n">
        <v>12155.0</v>
      </c>
      <c r="I168" s="3" t="n">
        <v>12420.0</v>
      </c>
      <c r="J168" s="3" t="n">
        <v>12927.0</v>
      </c>
      <c r="K168" s="3" t="n">
        <v>13469.0</v>
      </c>
      <c r="L168" s="3" t="n">
        <v>13704.0</v>
      </c>
      <c r="M168" s="3" t="n">
        <v>14282.0</v>
      </c>
      <c r="N168" s="3" t="n">
        <v>14841.0</v>
      </c>
      <c r="O168" s="3" t="n">
        <v>14356.0</v>
      </c>
      <c r="P168" s="3" t="n">
        <v>14444.0</v>
      </c>
      <c r="Q168" s="3" t="n">
        <v>14975.0</v>
      </c>
      <c r="R168" s="3" t="n">
        <v>14980.0</v>
      </c>
      <c r="S168" s="3" t="n">
        <v>14806.0</v>
      </c>
      <c r="T168" s="3" t="n">
        <v>15519.0</v>
      </c>
      <c r="U168" s="3" t="n">
        <v>15781.0</v>
      </c>
      <c r="V168" s="3" t="n">
        <v>15431.0</v>
      </c>
      <c r="W168" s="3" t="n">
        <v>14860.0</v>
      </c>
      <c r="X168" s="3" t="n">
        <v>13984.0</v>
      </c>
      <c r="Y168" s="3" t="n">
        <v>13035.0</v>
      </c>
      <c r="Z168" s="3" t="n">
        <v>12808.0</v>
      </c>
      <c r="AA168" s="3" t="n">
        <v>12400.0</v>
      </c>
      <c r="AB168" s="3" t="n">
        <v>12435.0</v>
      </c>
      <c r="AC168" s="3" t="n">
        <v>11938.0</v>
      </c>
      <c r="AD168" s="3" t="n">
        <v>11221.0</v>
      </c>
      <c r="AE168" s="3" t="n">
        <v>10804.0</v>
      </c>
      <c r="AF168" s="3" t="n">
        <v>10397.0</v>
      </c>
      <c r="AG168" s="3" t="n">
        <v>9567.0</v>
      </c>
      <c r="AH168" s="3" t="n">
        <v>9597.0</v>
      </c>
      <c r="AI168" s="3" t="n">
        <v>9046.0</v>
      </c>
      <c r="AJ168" s="3" t="n">
        <v>8881.0</v>
      </c>
      <c r="AK168" s="3" t="n">
        <v>8526.0</v>
      </c>
      <c r="AL168" s="3" t="n">
        <v>8396.0</v>
      </c>
      <c r="AM168" s="3" t="n">
        <v>8428.0</v>
      </c>
      <c r="AN168" s="3" t="n">
        <v>7927.0</v>
      </c>
      <c r="AO168" s="3" t="n">
        <v>8045.0</v>
      </c>
    </row>
    <row r="169" spans="1:41" x14ac:dyDescent="0.2">
      <c r="A169" s="128"/>
      <c r="B169" s="9">
        <v>58</v>
      </c>
      <c r="C169" s="3" t="n">
        <v>11722.0</v>
      </c>
      <c r="D169" s="3" t="n">
        <v>11372.0</v>
      </c>
      <c r="E169" s="3" t="n">
        <v>11192.0</v>
      </c>
      <c r="F169" s="3" t="n">
        <v>11184.0</v>
      </c>
      <c r="G169" s="3" t="n">
        <v>11253.0</v>
      </c>
      <c r="H169" s="3" t="n">
        <v>11407.0</v>
      </c>
      <c r="I169" s="3" t="n">
        <v>11991.0</v>
      </c>
      <c r="J169" s="3" t="n">
        <v>12253.0</v>
      </c>
      <c r="K169" s="3" t="n">
        <v>12757.0</v>
      </c>
      <c r="L169" s="3" t="n">
        <v>13292.0</v>
      </c>
      <c r="M169" s="3" t="n">
        <v>13526.0</v>
      </c>
      <c r="N169" s="3" t="n">
        <v>14097.0</v>
      </c>
      <c r="O169" s="3" t="n">
        <v>14650.0</v>
      </c>
      <c r="P169" s="3" t="n">
        <v>14171.0</v>
      </c>
      <c r="Q169" s="3" t="n">
        <v>14264.0</v>
      </c>
      <c r="R169" s="3" t="n">
        <v>14785.0</v>
      </c>
      <c r="S169" s="3" t="n">
        <v>14789.0</v>
      </c>
      <c r="T169" s="3" t="n">
        <v>14619.0</v>
      </c>
      <c r="U169" s="3" t="n">
        <v>15329.0</v>
      </c>
      <c r="V169" s="3" t="n">
        <v>15587.0</v>
      </c>
      <c r="W169" s="3" t="n">
        <v>15239.0</v>
      </c>
      <c r="X169" s="3" t="n">
        <v>14678.0</v>
      </c>
      <c r="Y169" s="3" t="n">
        <v>13810.0</v>
      </c>
      <c r="Z169" s="3" t="n">
        <v>12870.0</v>
      </c>
      <c r="AA169" s="3" t="n">
        <v>12650.0</v>
      </c>
      <c r="AB169" s="3" t="n">
        <v>12249.0</v>
      </c>
      <c r="AC169" s="3" t="n">
        <v>12285.0</v>
      </c>
      <c r="AD169" s="3" t="n">
        <v>11794.0</v>
      </c>
      <c r="AE169" s="3" t="n">
        <v>11083.0</v>
      </c>
      <c r="AF169" s="3" t="n">
        <v>10673.0</v>
      </c>
      <c r="AG169" s="3" t="n">
        <v>10272.0</v>
      </c>
      <c r="AH169" s="3" t="n">
        <v>9455.0</v>
      </c>
      <c r="AI169" s="3" t="n">
        <v>9479.0</v>
      </c>
      <c r="AJ169" s="3" t="n">
        <v>8930.0</v>
      </c>
      <c r="AK169" s="3" t="n">
        <v>8768.0</v>
      </c>
      <c r="AL169" s="3" t="n">
        <v>8416.0</v>
      </c>
      <c r="AM169" s="3" t="n">
        <v>8289.0</v>
      </c>
      <c r="AN169" s="3" t="n">
        <v>8322.0</v>
      </c>
      <c r="AO169" s="3" t="n">
        <v>7828.0</v>
      </c>
    </row>
    <row r="170" spans="1:41" x14ac:dyDescent="0.2">
      <c r="A170" s="128"/>
      <c r="B170" s="9">
        <v>59</v>
      </c>
      <c r="C170" s="3" t="n">
        <v>11730.0</v>
      </c>
      <c r="D170" s="3" t="n">
        <v>11548.0</v>
      </c>
      <c r="E170" s="3" t="n">
        <v>11207.0</v>
      </c>
      <c r="F170" s="3" t="n">
        <v>11028.0</v>
      </c>
      <c r="G170" s="3" t="n">
        <v>11022.0</v>
      </c>
      <c r="H170" s="3" t="n">
        <v>11089.0</v>
      </c>
      <c r="I170" s="3" t="n">
        <v>11239.0</v>
      </c>
      <c r="J170" s="3" t="n">
        <v>11821.0</v>
      </c>
      <c r="K170" s="3" t="n">
        <v>12078.0</v>
      </c>
      <c r="L170" s="3" t="n">
        <v>12574.0</v>
      </c>
      <c r="M170" s="3" t="n">
        <v>13106.0</v>
      </c>
      <c r="N170" s="3" t="n">
        <v>13335.0</v>
      </c>
      <c r="O170" s="3" t="n">
        <v>13897.0</v>
      </c>
      <c r="P170" s="3" t="n">
        <v>14444.0</v>
      </c>
      <c r="Q170" s="3" t="n">
        <v>13976.0</v>
      </c>
      <c r="R170" s="3" t="n">
        <v>14067.0</v>
      </c>
      <c r="S170" s="3" t="n">
        <v>14579.0</v>
      </c>
      <c r="T170" s="3" t="n">
        <v>14581.0</v>
      </c>
      <c r="U170" s="3" t="n">
        <v>14413.0</v>
      </c>
      <c r="V170" s="3" t="n">
        <v>15121.0</v>
      </c>
      <c r="W170" s="3" t="n">
        <v>15377.0</v>
      </c>
      <c r="X170" s="3" t="n">
        <v>15031.0</v>
      </c>
      <c r="Y170" s="3" t="n">
        <v>14481.0</v>
      </c>
      <c r="Z170" s="3" t="n">
        <v>13623.0</v>
      </c>
      <c r="AA170" s="3" t="n">
        <v>12697.0</v>
      </c>
      <c r="AB170" s="3" t="n">
        <v>12479.0</v>
      </c>
      <c r="AC170" s="3" t="n">
        <v>12085.0</v>
      </c>
      <c r="AD170" s="3" t="n">
        <v>12123.0</v>
      </c>
      <c r="AE170" s="3" t="n">
        <v>11639.0</v>
      </c>
      <c r="AF170" s="3" t="n">
        <v>10937.0</v>
      </c>
      <c r="AG170" s="3" t="n">
        <v>10534.0</v>
      </c>
      <c r="AH170" s="3" t="n">
        <v>10135.0</v>
      </c>
      <c r="AI170" s="3" t="n">
        <v>9329.0</v>
      </c>
      <c r="AJ170" s="3" t="n">
        <v>9352.0</v>
      </c>
      <c r="AK170" s="3" t="n">
        <v>8807.0</v>
      </c>
      <c r="AL170" s="3" t="n">
        <v>8653.0</v>
      </c>
      <c r="AM170" s="3" t="n">
        <v>8308.0</v>
      </c>
      <c r="AN170" s="3" t="n">
        <v>8184.0</v>
      </c>
      <c r="AO170" s="3" t="n">
        <v>8214.0</v>
      </c>
    </row>
    <row r="171" spans="1:41" x14ac:dyDescent="0.2">
      <c r="A171" s="128"/>
      <c r="B171" s="9">
        <v>60</v>
      </c>
      <c r="C171" s="3" t="n">
        <v>12103.0</v>
      </c>
      <c r="D171" s="3" t="n">
        <v>11539.0</v>
      </c>
      <c r="E171" s="3" t="n">
        <v>11369.0</v>
      </c>
      <c r="F171" s="3" t="n">
        <v>11033.0</v>
      </c>
      <c r="G171" s="3" t="n">
        <v>10859.0</v>
      </c>
      <c r="H171" s="3" t="n">
        <v>10856.0</v>
      </c>
      <c r="I171" s="3" t="n">
        <v>10923.0</v>
      </c>
      <c r="J171" s="3" t="n">
        <v>11069.0</v>
      </c>
      <c r="K171" s="3" t="n">
        <v>11641.0</v>
      </c>
      <c r="L171" s="3" t="n">
        <v>11896.0</v>
      </c>
      <c r="M171" s="3" t="n">
        <v>12380.0</v>
      </c>
      <c r="N171" s="3" t="n">
        <v>12905.0</v>
      </c>
      <c r="O171" s="3" t="n">
        <v>13135.0</v>
      </c>
      <c r="P171" s="3" t="n">
        <v>13691.0</v>
      </c>
      <c r="Q171" s="3" t="n">
        <v>14234.0</v>
      </c>
      <c r="R171" s="3" t="n">
        <v>13773.0</v>
      </c>
      <c r="S171" s="3" t="n">
        <v>13862.0</v>
      </c>
      <c r="T171" s="3" t="n">
        <v>14369.0</v>
      </c>
      <c r="U171" s="3" t="n">
        <v>14375.0</v>
      </c>
      <c r="V171" s="3" t="n">
        <v>14212.0</v>
      </c>
      <c r="W171" s="3" t="n">
        <v>14907.0</v>
      </c>
      <c r="X171" s="3" t="n">
        <v>15159.0</v>
      </c>
      <c r="Y171" s="3" t="n">
        <v>14816.0</v>
      </c>
      <c r="Z171" s="3" t="n">
        <v>14275.0</v>
      </c>
      <c r="AA171" s="3" t="n">
        <v>13434.0</v>
      </c>
      <c r="AB171" s="3" t="n">
        <v>12518.0</v>
      </c>
      <c r="AC171" s="3" t="n">
        <v>12310.0</v>
      </c>
      <c r="AD171" s="3" t="n">
        <v>11917.0</v>
      </c>
      <c r="AE171" s="3" t="n">
        <v>11955.0</v>
      </c>
      <c r="AF171" s="3" t="n">
        <v>11483.0</v>
      </c>
      <c r="AG171" s="3" t="n">
        <v>10786.0</v>
      </c>
      <c r="AH171" s="3" t="n">
        <v>10389.0</v>
      </c>
      <c r="AI171" s="3" t="n">
        <v>9999.0</v>
      </c>
      <c r="AJ171" s="3" t="n">
        <v>9208.0</v>
      </c>
      <c r="AK171" s="3" t="n">
        <v>9228.0</v>
      </c>
      <c r="AL171" s="3" t="n">
        <v>8694.0</v>
      </c>
      <c r="AM171" s="3" t="n">
        <v>8542.0</v>
      </c>
      <c r="AN171" s="3" t="n">
        <v>8196.0</v>
      </c>
      <c r="AO171" s="3" t="n">
        <v>8074.0</v>
      </c>
    </row>
    <row r="172" spans="1:41" x14ac:dyDescent="0.2">
      <c r="A172" s="128"/>
      <c r="B172" s="9">
        <v>61</v>
      </c>
      <c r="C172" s="3" t="n">
        <v>12202.0</v>
      </c>
      <c r="D172" s="3" t="n">
        <v>11893.0</v>
      </c>
      <c r="E172" s="3" t="n">
        <v>11340.0</v>
      </c>
      <c r="F172" s="3" t="n">
        <v>11174.0</v>
      </c>
      <c r="G172" s="3" t="n">
        <v>10846.0</v>
      </c>
      <c r="H172" s="3" t="n">
        <v>10678.0</v>
      </c>
      <c r="I172" s="3" t="n">
        <v>10672.0</v>
      </c>
      <c r="J172" s="3" t="n">
        <v>10741.0</v>
      </c>
      <c r="K172" s="3" t="n">
        <v>10887.0</v>
      </c>
      <c r="L172" s="3" t="n">
        <v>11450.0</v>
      </c>
      <c r="M172" s="3" t="n">
        <v>11702.0</v>
      </c>
      <c r="N172" s="3" t="n">
        <v>12179.0</v>
      </c>
      <c r="O172" s="3" t="n">
        <v>12696.0</v>
      </c>
      <c r="P172" s="3" t="n">
        <v>12924.0</v>
      </c>
      <c r="Q172" s="3" t="n">
        <v>13471.0</v>
      </c>
      <c r="R172" s="3" t="n">
        <v>14011.0</v>
      </c>
      <c r="S172" s="3" t="n">
        <v>13559.0</v>
      </c>
      <c r="T172" s="3" t="n">
        <v>13649.0</v>
      </c>
      <c r="U172" s="3" t="n">
        <v>14147.0</v>
      </c>
      <c r="V172" s="3" t="n">
        <v>14152.0</v>
      </c>
      <c r="W172" s="3" t="n">
        <v>13994.0</v>
      </c>
      <c r="X172" s="3" t="n">
        <v>14678.0</v>
      </c>
      <c r="Y172" s="3" t="n">
        <v>14927.0</v>
      </c>
      <c r="Z172" s="3" t="n">
        <v>14584.0</v>
      </c>
      <c r="AA172" s="3" t="n">
        <v>14059.0</v>
      </c>
      <c r="AB172" s="3" t="n">
        <v>13234.0</v>
      </c>
      <c r="AC172" s="3" t="n">
        <v>12333.0</v>
      </c>
      <c r="AD172" s="3" t="n">
        <v>12129.0</v>
      </c>
      <c r="AE172" s="3" t="n">
        <v>11739.0</v>
      </c>
      <c r="AF172" s="3" t="n">
        <v>11777.0</v>
      </c>
      <c r="AG172" s="3" t="n">
        <v>11312.0</v>
      </c>
      <c r="AH172" s="3" t="n">
        <v>10631.0</v>
      </c>
      <c r="AI172" s="3" t="n">
        <v>10235.0</v>
      </c>
      <c r="AJ172" s="3" t="n">
        <v>9851.0</v>
      </c>
      <c r="AK172" s="3" t="n">
        <v>9068.0</v>
      </c>
      <c r="AL172" s="3" t="n">
        <v>9087.0</v>
      </c>
      <c r="AM172" s="3" t="n">
        <v>8565.0</v>
      </c>
      <c r="AN172" s="3" t="n">
        <v>8418.0</v>
      </c>
      <c r="AO172" s="3" t="n">
        <v>8078.0</v>
      </c>
    </row>
    <row r="173" spans="1:41" x14ac:dyDescent="0.2">
      <c r="A173" s="128"/>
      <c r="B173" s="9">
        <v>62</v>
      </c>
      <c r="C173" s="3" t="n">
        <v>12492.0</v>
      </c>
      <c r="D173" s="3" t="n">
        <v>11971.0</v>
      </c>
      <c r="E173" s="3" t="n">
        <v>11669.0</v>
      </c>
      <c r="F173" s="3" t="n">
        <v>11131.0</v>
      </c>
      <c r="G173" s="3" t="n">
        <v>10970.0</v>
      </c>
      <c r="H173" s="3" t="n">
        <v>10651.0</v>
      </c>
      <c r="I173" s="3" t="n">
        <v>10486.0</v>
      </c>
      <c r="J173" s="3" t="n">
        <v>10481.0</v>
      </c>
      <c r="K173" s="3" t="n">
        <v>10547.0</v>
      </c>
      <c r="L173" s="3" t="n">
        <v>10696.0</v>
      </c>
      <c r="M173" s="3" t="n">
        <v>11249.0</v>
      </c>
      <c r="N173" s="3" t="n">
        <v>11496.0</v>
      </c>
      <c r="O173" s="3" t="n">
        <v>11969.0</v>
      </c>
      <c r="P173" s="3" t="n">
        <v>12474.0</v>
      </c>
      <c r="Q173" s="3" t="n">
        <v>12706.0</v>
      </c>
      <c r="R173" s="3" t="n">
        <v>13239.0</v>
      </c>
      <c r="S173" s="3" t="n">
        <v>13773.0</v>
      </c>
      <c r="T173" s="3" t="n">
        <v>13330.0</v>
      </c>
      <c r="U173" s="3" t="n">
        <v>13423.0</v>
      </c>
      <c r="V173" s="3" t="n">
        <v>13912.0</v>
      </c>
      <c r="W173" s="3" t="n">
        <v>13914.0</v>
      </c>
      <c r="X173" s="3" t="n">
        <v>13766.0</v>
      </c>
      <c r="Y173" s="3" t="n">
        <v>14435.0</v>
      </c>
      <c r="Z173" s="3" t="n">
        <v>14682.0</v>
      </c>
      <c r="AA173" s="3" t="n">
        <v>14340.0</v>
      </c>
      <c r="AB173" s="3" t="n">
        <v>13828.0</v>
      </c>
      <c r="AC173" s="3" t="n">
        <v>13017.0</v>
      </c>
      <c r="AD173" s="3" t="n">
        <v>12136.0</v>
      </c>
      <c r="AE173" s="3" t="n">
        <v>11932.0</v>
      </c>
      <c r="AF173" s="3" t="n">
        <v>11548.0</v>
      </c>
      <c r="AG173" s="3" t="n">
        <v>11586.0</v>
      </c>
      <c r="AH173" s="3" t="n">
        <v>11132.0</v>
      </c>
      <c r="AI173" s="3" t="n">
        <v>10457.0</v>
      </c>
      <c r="AJ173" s="3" t="n">
        <v>10074.0</v>
      </c>
      <c r="AK173" s="3" t="n">
        <v>9695.0</v>
      </c>
      <c r="AL173" s="3" t="n">
        <v>8921.0</v>
      </c>
      <c r="AM173" s="3" t="n">
        <v>8944.0</v>
      </c>
      <c r="AN173" s="3" t="n">
        <v>8423.0</v>
      </c>
      <c r="AO173" s="3" t="n">
        <v>8283.0</v>
      </c>
    </row>
    <row r="174" spans="1:41" x14ac:dyDescent="0.2">
      <c r="A174" s="128"/>
      <c r="B174" s="9">
        <v>63</v>
      </c>
      <c r="C174" s="3" t="n">
        <v>13211.0</v>
      </c>
      <c r="D174" s="3" t="n">
        <v>12233.0</v>
      </c>
      <c r="E174" s="3" t="n">
        <v>11726.0</v>
      </c>
      <c r="F174" s="3" t="n">
        <v>11428.0</v>
      </c>
      <c r="G174" s="3" t="n">
        <v>10901.0</v>
      </c>
      <c r="H174" s="3" t="n">
        <v>10749.0</v>
      </c>
      <c r="I174" s="3" t="n">
        <v>10444.0</v>
      </c>
      <c r="J174" s="3" t="n">
        <v>10285.0</v>
      </c>
      <c r="K174" s="3" t="n">
        <v>10280.0</v>
      </c>
      <c r="L174" s="3" t="n">
        <v>10345.0</v>
      </c>
      <c r="M174" s="3" t="n">
        <v>10492.0</v>
      </c>
      <c r="N174" s="3" t="n">
        <v>11033.0</v>
      </c>
      <c r="O174" s="3" t="n">
        <v>11275.0</v>
      </c>
      <c r="P174" s="3" t="n">
        <v>11743.0</v>
      </c>
      <c r="Q174" s="3" t="n">
        <v>12240.0</v>
      </c>
      <c r="R174" s="3" t="n">
        <v>12468.0</v>
      </c>
      <c r="S174" s="3" t="n">
        <v>12990.0</v>
      </c>
      <c r="T174" s="3" t="n">
        <v>13515.0</v>
      </c>
      <c r="U174" s="3" t="n">
        <v>13082.0</v>
      </c>
      <c r="V174" s="3" t="n">
        <v>13177.0</v>
      </c>
      <c r="W174" s="3" t="n">
        <v>13658.0</v>
      </c>
      <c r="X174" s="3" t="n">
        <v>13662.0</v>
      </c>
      <c r="Y174" s="3" t="n">
        <v>13513.0</v>
      </c>
      <c r="Z174" s="3" t="n">
        <v>14173.0</v>
      </c>
      <c r="AA174" s="3" t="n">
        <v>14418.0</v>
      </c>
      <c r="AB174" s="3" t="n">
        <v>14085.0</v>
      </c>
      <c r="AC174" s="3" t="n">
        <v>13580.0</v>
      </c>
      <c r="AD174" s="3" t="n">
        <v>12779.0</v>
      </c>
      <c r="AE174" s="3" t="n">
        <v>11918.0</v>
      </c>
      <c r="AF174" s="3" t="n">
        <v>11724.0</v>
      </c>
      <c r="AG174" s="3" t="n">
        <v>11348.0</v>
      </c>
      <c r="AH174" s="3" t="n">
        <v>11386.0</v>
      </c>
      <c r="AI174" s="3" t="n">
        <v>10940.0</v>
      </c>
      <c r="AJ174" s="3" t="n">
        <v>10277.0</v>
      </c>
      <c r="AK174" s="3" t="n">
        <v>9899.0</v>
      </c>
      <c r="AL174" s="3" t="n">
        <v>9524.0</v>
      </c>
      <c r="AM174" s="3" t="n">
        <v>8771.0</v>
      </c>
      <c r="AN174" s="3" t="n">
        <v>8785.0</v>
      </c>
      <c r="AO174" s="3" t="n">
        <v>8275.0</v>
      </c>
    </row>
    <row r="175" spans="1:41" x14ac:dyDescent="0.2">
      <c r="A175" s="128"/>
      <c r="B175" s="9">
        <v>64</v>
      </c>
      <c r="C175" s="3" t="n">
        <v>13550.0</v>
      </c>
      <c r="D175" s="3" t="n">
        <v>12910.0</v>
      </c>
      <c r="E175" s="3" t="n">
        <v>11956.0</v>
      </c>
      <c r="F175" s="3" t="n">
        <v>11462.0</v>
      </c>
      <c r="G175" s="3" t="n">
        <v>11177.0</v>
      </c>
      <c r="H175" s="3" t="n">
        <v>10666.0</v>
      </c>
      <c r="I175" s="3" t="n">
        <v>10517.0</v>
      </c>
      <c r="J175" s="3" t="n">
        <v>10218.0</v>
      </c>
      <c r="K175" s="3" t="n">
        <v>10064.0</v>
      </c>
      <c r="L175" s="3" t="n">
        <v>10063.0</v>
      </c>
      <c r="M175" s="3" t="n">
        <v>10129.0</v>
      </c>
      <c r="N175" s="3" t="n">
        <v>10269.0</v>
      </c>
      <c r="O175" s="3" t="n">
        <v>10800.0</v>
      </c>
      <c r="P175" s="3" t="n">
        <v>11039.0</v>
      </c>
      <c r="Q175" s="3" t="n">
        <v>11500.0</v>
      </c>
      <c r="R175" s="3" t="n">
        <v>11987.0</v>
      </c>
      <c r="S175" s="3" t="n">
        <v>12212.0</v>
      </c>
      <c r="T175" s="3" t="n">
        <v>12723.0</v>
      </c>
      <c r="U175" s="3" t="n">
        <v>13239.0</v>
      </c>
      <c r="V175" s="3" t="n">
        <v>12814.0</v>
      </c>
      <c r="W175" s="3" t="n">
        <v>12907.0</v>
      </c>
      <c r="X175" s="3" t="n">
        <v>13384.0</v>
      </c>
      <c r="Y175" s="3" t="n">
        <v>13387.0</v>
      </c>
      <c r="Z175" s="3" t="n">
        <v>13239.0</v>
      </c>
      <c r="AA175" s="3" t="n">
        <v>13883.0</v>
      </c>
      <c r="AB175" s="3" t="n">
        <v>14124.0</v>
      </c>
      <c r="AC175" s="3" t="n">
        <v>13799.0</v>
      </c>
      <c r="AD175" s="3" t="n">
        <v>13306.0</v>
      </c>
      <c r="AE175" s="3" t="n">
        <v>12528.0</v>
      </c>
      <c r="AF175" s="3" t="n">
        <v>11689.0</v>
      </c>
      <c r="AG175" s="3" t="n">
        <v>11496.0</v>
      </c>
      <c r="AH175" s="3" t="n">
        <v>11131.0</v>
      </c>
      <c r="AI175" s="3" t="n">
        <v>11171.0</v>
      </c>
      <c r="AJ175" s="3" t="n">
        <v>10733.0</v>
      </c>
      <c r="AK175" s="3" t="n">
        <v>10082.0</v>
      </c>
      <c r="AL175" s="3" t="n">
        <v>9712.0</v>
      </c>
      <c r="AM175" s="3" t="n">
        <v>9343.0</v>
      </c>
      <c r="AN175" s="3" t="n">
        <v>8605.0</v>
      </c>
      <c r="AO175" s="3" t="n">
        <v>8619.0</v>
      </c>
    </row>
    <row r="176" spans="1:41" x14ac:dyDescent="0.2">
      <c r="A176" s="128"/>
      <c r="B176" s="9">
        <v>65</v>
      </c>
      <c r="C176" s="3" t="n">
        <v>13558.0</v>
      </c>
      <c r="D176" s="3" t="n">
        <v>13216.0</v>
      </c>
      <c r="E176" s="3" t="n">
        <v>12600.0</v>
      </c>
      <c r="F176" s="3" t="n">
        <v>11670.0</v>
      </c>
      <c r="G176" s="3" t="n">
        <v>11185.0</v>
      </c>
      <c r="H176" s="3" t="n">
        <v>10911.0</v>
      </c>
      <c r="I176" s="3" t="n">
        <v>10410.0</v>
      </c>
      <c r="J176" s="3" t="n">
        <v>10267.0</v>
      </c>
      <c r="K176" s="3" t="n">
        <v>9978.0</v>
      </c>
      <c r="L176" s="3" t="n">
        <v>9831.0</v>
      </c>
      <c r="M176" s="3" t="n">
        <v>9827.0</v>
      </c>
      <c r="N176" s="3" t="n">
        <v>9894.0</v>
      </c>
      <c r="O176" s="3" t="n">
        <v>10033.0</v>
      </c>
      <c r="P176" s="3" t="n">
        <v>10558.0</v>
      </c>
      <c r="Q176" s="3" t="n">
        <v>10796.0</v>
      </c>
      <c r="R176" s="3" t="n">
        <v>11249.0</v>
      </c>
      <c r="S176" s="3" t="n">
        <v>11725.0</v>
      </c>
      <c r="T176" s="3" t="n">
        <v>11944.0</v>
      </c>
      <c r="U176" s="3" t="n">
        <v>12447.0</v>
      </c>
      <c r="V176" s="3" t="n">
        <v>12956.0</v>
      </c>
      <c r="W176" s="3" t="n">
        <v>12541.0</v>
      </c>
      <c r="X176" s="3" t="n">
        <v>12634.0</v>
      </c>
      <c r="Y176" s="3" t="n">
        <v>13098.0</v>
      </c>
      <c r="Z176" s="3" t="n">
        <v>13104.0</v>
      </c>
      <c r="AA176" s="3" t="n">
        <v>12961.0</v>
      </c>
      <c r="AB176" s="3" t="n">
        <v>13592.0</v>
      </c>
      <c r="AC176" s="3" t="n">
        <v>13832.0</v>
      </c>
      <c r="AD176" s="3" t="n">
        <v>13511.0</v>
      </c>
      <c r="AE176" s="3" t="n">
        <v>13027.0</v>
      </c>
      <c r="AF176" s="3" t="n">
        <v>12267.0</v>
      </c>
      <c r="AG176" s="3" t="n">
        <v>11451.0</v>
      </c>
      <c r="AH176" s="3" t="n">
        <v>11257.0</v>
      </c>
      <c r="AI176" s="3" t="n">
        <v>10902.0</v>
      </c>
      <c r="AJ176" s="3" t="n">
        <v>10944.0</v>
      </c>
      <c r="AK176" s="3" t="n">
        <v>10510.0</v>
      </c>
      <c r="AL176" s="3" t="n">
        <v>9872.0</v>
      </c>
      <c r="AM176" s="3" t="n">
        <v>9512.0</v>
      </c>
      <c r="AN176" s="3" t="n">
        <v>9152.0</v>
      </c>
      <c r="AO176" s="3" t="n">
        <v>8432.0</v>
      </c>
    </row>
    <row r="177" spans="1:41" x14ac:dyDescent="0.2">
      <c r="A177" s="128"/>
      <c r="B177" s="9">
        <v>66</v>
      </c>
      <c r="C177" s="3" t="n">
        <v>13076.0</v>
      </c>
      <c r="D177" s="3" t="n">
        <v>13202.0</v>
      </c>
      <c r="E177" s="3" t="n">
        <v>12872.0</v>
      </c>
      <c r="F177" s="3" t="n">
        <v>12277.0</v>
      </c>
      <c r="G177" s="3" t="n">
        <v>11372.0</v>
      </c>
      <c r="H177" s="3" t="n">
        <v>10904.0</v>
      </c>
      <c r="I177" s="3" t="n">
        <v>10630.0</v>
      </c>
      <c r="J177" s="3" t="n">
        <v>10146.0</v>
      </c>
      <c r="K177" s="3" t="n">
        <v>10007.0</v>
      </c>
      <c r="L177" s="3" t="n">
        <v>9729.0</v>
      </c>
      <c r="M177" s="3" t="n">
        <v>9590.0</v>
      </c>
      <c r="N177" s="3" t="n">
        <v>9591.0</v>
      </c>
      <c r="O177" s="3" t="n">
        <v>9657.0</v>
      </c>
      <c r="P177" s="3" t="n">
        <v>9791.0</v>
      </c>
      <c r="Q177" s="3" t="n">
        <v>10305.0</v>
      </c>
      <c r="R177" s="3" t="n">
        <v>10537.0</v>
      </c>
      <c r="S177" s="3" t="n">
        <v>10982.0</v>
      </c>
      <c r="T177" s="3" t="n">
        <v>11449.0</v>
      </c>
      <c r="U177" s="3" t="n">
        <v>11667.0</v>
      </c>
      <c r="V177" s="3" t="n">
        <v>12159.0</v>
      </c>
      <c r="W177" s="3" t="n">
        <v>12651.0</v>
      </c>
      <c r="X177" s="3" t="n">
        <v>12255.0</v>
      </c>
      <c r="Y177" s="3" t="n">
        <v>12341.0</v>
      </c>
      <c r="Z177" s="3" t="n">
        <v>12792.0</v>
      </c>
      <c r="AA177" s="3" t="n">
        <v>12804.0</v>
      </c>
      <c r="AB177" s="3" t="n">
        <v>12661.0</v>
      </c>
      <c r="AC177" s="3" t="n">
        <v>13285.0</v>
      </c>
      <c r="AD177" s="3" t="n">
        <v>13517.0</v>
      </c>
      <c r="AE177" s="3" t="n">
        <v>13206.0</v>
      </c>
      <c r="AF177" s="3" t="n">
        <v>12734.0</v>
      </c>
      <c r="AG177" s="3" t="n">
        <v>12000.0</v>
      </c>
      <c r="AH177" s="3" t="n">
        <v>11197.0</v>
      </c>
      <c r="AI177" s="3" t="n">
        <v>11009.0</v>
      </c>
      <c r="AJ177" s="3" t="n">
        <v>10667.0</v>
      </c>
      <c r="AK177" s="3" t="n">
        <v>10709.0</v>
      </c>
      <c r="AL177" s="3" t="n">
        <v>10284.0</v>
      </c>
      <c r="AM177" s="3" t="n">
        <v>9662.0</v>
      </c>
      <c r="AN177" s="3" t="n">
        <v>9309.0</v>
      </c>
      <c r="AO177" s="3" t="n">
        <v>8955.0</v>
      </c>
    </row>
    <row r="178" spans="1:41" x14ac:dyDescent="0.2">
      <c r="A178" s="128"/>
      <c r="B178" s="9">
        <v>67</v>
      </c>
      <c r="C178" s="3" t="n">
        <v>12625.0</v>
      </c>
      <c r="D178" s="3" t="n">
        <v>12708.0</v>
      </c>
      <c r="E178" s="3" t="n">
        <v>12832.0</v>
      </c>
      <c r="F178" s="3" t="n">
        <v>12511.0</v>
      </c>
      <c r="G178" s="3" t="n">
        <v>11933.0</v>
      </c>
      <c r="H178" s="3" t="n">
        <v>11055.0</v>
      </c>
      <c r="I178" s="3" t="n">
        <v>10607.0</v>
      </c>
      <c r="J178" s="3" t="n">
        <v>10347.0</v>
      </c>
      <c r="K178" s="3" t="n">
        <v>9873.0</v>
      </c>
      <c r="L178" s="3" t="n">
        <v>9739.0</v>
      </c>
      <c r="M178" s="3" t="n">
        <v>9475.0</v>
      </c>
      <c r="N178" s="3" t="n">
        <v>9342.0</v>
      </c>
      <c r="O178" s="3" t="n">
        <v>9344.0</v>
      </c>
      <c r="P178" s="3" t="n">
        <v>9409.0</v>
      </c>
      <c r="Q178" s="3" t="n">
        <v>9542.0</v>
      </c>
      <c r="R178" s="3" t="n">
        <v>10036.0</v>
      </c>
      <c r="S178" s="3" t="n">
        <v>10268.0</v>
      </c>
      <c r="T178" s="3" t="n">
        <v>10696.0</v>
      </c>
      <c r="U178" s="3" t="n">
        <v>11160.0</v>
      </c>
      <c r="V178" s="3" t="n">
        <v>11373.0</v>
      </c>
      <c r="W178" s="3" t="n">
        <v>11852.0</v>
      </c>
      <c r="X178" s="3" t="n">
        <v>12335.0</v>
      </c>
      <c r="Y178" s="3" t="n">
        <v>11951.0</v>
      </c>
      <c r="Z178" s="3" t="n">
        <v>12036.0</v>
      </c>
      <c r="AA178" s="3" t="n">
        <v>12477.0</v>
      </c>
      <c r="AB178" s="3" t="n">
        <v>12487.0</v>
      </c>
      <c r="AC178" s="3" t="n">
        <v>12352.0</v>
      </c>
      <c r="AD178" s="3" t="n">
        <v>12959.0</v>
      </c>
      <c r="AE178" s="3" t="n">
        <v>13190.0</v>
      </c>
      <c r="AF178" s="3" t="n">
        <v>12888.0</v>
      </c>
      <c r="AG178" s="3" t="n">
        <v>12430.0</v>
      </c>
      <c r="AH178" s="3" t="n">
        <v>11707.0</v>
      </c>
      <c r="AI178" s="3" t="n">
        <v>10926.0</v>
      </c>
      <c r="AJ178" s="3" t="n">
        <v>10747.0</v>
      </c>
      <c r="AK178" s="3" t="n">
        <v>10414.0</v>
      </c>
      <c r="AL178" s="3" t="n">
        <v>10451.0</v>
      </c>
      <c r="AM178" s="3" t="n">
        <v>10040.0</v>
      </c>
      <c r="AN178" s="3" t="n">
        <v>9433.0</v>
      </c>
      <c r="AO178" s="3" t="n">
        <v>9087.0</v>
      </c>
    </row>
    <row r="179" spans="1:41" x14ac:dyDescent="0.2">
      <c r="A179" s="128"/>
      <c r="B179" s="9">
        <v>68</v>
      </c>
      <c r="C179" s="3" t="n">
        <v>11754.0</v>
      </c>
      <c r="D179" s="3" t="n">
        <v>12239.0</v>
      </c>
      <c r="E179" s="3" t="n">
        <v>12324.0</v>
      </c>
      <c r="F179" s="3" t="n">
        <v>12445.0</v>
      </c>
      <c r="G179" s="3" t="n">
        <v>12137.0</v>
      </c>
      <c r="H179" s="3" t="n">
        <v>11583.0</v>
      </c>
      <c r="I179" s="3" t="n">
        <v>10732.0</v>
      </c>
      <c r="J179" s="3" t="n">
        <v>10297.0</v>
      </c>
      <c r="K179" s="3" t="n">
        <v>10044.0</v>
      </c>
      <c r="L179" s="3" t="n">
        <v>9588.0</v>
      </c>
      <c r="M179" s="3" t="n">
        <v>9461.0</v>
      </c>
      <c r="N179" s="3" t="n">
        <v>9205.0</v>
      </c>
      <c r="O179" s="3" t="n">
        <v>9080.0</v>
      </c>
      <c r="P179" s="3" t="n">
        <v>9084.0</v>
      </c>
      <c r="Q179" s="3" t="n">
        <v>9145.0</v>
      </c>
      <c r="R179" s="3" t="n">
        <v>9276.0</v>
      </c>
      <c r="S179" s="3" t="n">
        <v>9760.0</v>
      </c>
      <c r="T179" s="3" t="n">
        <v>9982.0</v>
      </c>
      <c r="U179" s="3" t="n">
        <v>10398.0</v>
      </c>
      <c r="V179" s="3" t="n">
        <v>10860.0</v>
      </c>
      <c r="W179" s="3" t="n">
        <v>11063.0</v>
      </c>
      <c r="X179" s="3" t="n">
        <v>11532.0</v>
      </c>
      <c r="Y179" s="3" t="n">
        <v>12000.0</v>
      </c>
      <c r="Z179" s="3" t="n">
        <v>11628.0</v>
      </c>
      <c r="AA179" s="3" t="n">
        <v>11714.0</v>
      </c>
      <c r="AB179" s="3" t="n">
        <v>12144.0</v>
      </c>
      <c r="AC179" s="3" t="n">
        <v>12158.0</v>
      </c>
      <c r="AD179" s="3" t="n">
        <v>12024.0</v>
      </c>
      <c r="AE179" s="3" t="n">
        <v>12620.0</v>
      </c>
      <c r="AF179" s="3" t="n">
        <v>12841.0</v>
      </c>
      <c r="AG179" s="3" t="n">
        <v>12554.0</v>
      </c>
      <c r="AH179" s="3" t="n">
        <v>12105.0</v>
      </c>
      <c r="AI179" s="3" t="n">
        <v>11405.0</v>
      </c>
      <c r="AJ179" s="3" t="n">
        <v>10644.0</v>
      </c>
      <c r="AK179" s="3" t="n">
        <v>10466.0</v>
      </c>
      <c r="AL179" s="3" t="n">
        <v>10145.0</v>
      </c>
      <c r="AM179" s="3" t="n">
        <v>10179.0</v>
      </c>
      <c r="AN179" s="3" t="n">
        <v>9783.0</v>
      </c>
      <c r="AO179" s="3" t="n">
        <v>9188.0</v>
      </c>
    </row>
    <row r="180" spans="1:41" x14ac:dyDescent="0.2">
      <c r="A180" s="128"/>
      <c r="B180" s="9">
        <v>69</v>
      </c>
      <c r="C180" s="3" t="n">
        <v>11197.0</v>
      </c>
      <c r="D180" s="3" t="n">
        <v>11376.0</v>
      </c>
      <c r="E180" s="3" t="n">
        <v>11853.0</v>
      </c>
      <c r="F180" s="3" t="n">
        <v>11938.0</v>
      </c>
      <c r="G180" s="3" t="n">
        <v>12053.0</v>
      </c>
      <c r="H180" s="3" t="n">
        <v>11759.0</v>
      </c>
      <c r="I180" s="3" t="n">
        <v>11223.0</v>
      </c>
      <c r="J180" s="3" t="n">
        <v>10405.0</v>
      </c>
      <c r="K180" s="3" t="n">
        <v>9988.0</v>
      </c>
      <c r="L180" s="3" t="n">
        <v>9745.0</v>
      </c>
      <c r="M180" s="3" t="n">
        <v>9308.0</v>
      </c>
      <c r="N180" s="3" t="n">
        <v>9184.0</v>
      </c>
      <c r="O180" s="3" t="n">
        <v>8940.0</v>
      </c>
      <c r="P180" s="3" t="n">
        <v>8822.0</v>
      </c>
      <c r="Q180" s="3" t="n">
        <v>8825.0</v>
      </c>
      <c r="R180" s="3" t="n">
        <v>8885.0</v>
      </c>
      <c r="S180" s="3" t="n">
        <v>9016.0</v>
      </c>
      <c r="T180" s="3" t="n">
        <v>9482.0</v>
      </c>
      <c r="U180" s="3" t="n">
        <v>9700.0</v>
      </c>
      <c r="V180" s="3" t="n">
        <v>10103.0</v>
      </c>
      <c r="W180" s="3" t="n">
        <v>10552.0</v>
      </c>
      <c r="X180" s="3" t="n">
        <v>10753.0</v>
      </c>
      <c r="Y180" s="3" t="n">
        <v>11207.0</v>
      </c>
      <c r="Z180" s="3" t="n">
        <v>11664.0</v>
      </c>
      <c r="AA180" s="3" t="n">
        <v>11308.0</v>
      </c>
      <c r="AB180" s="3" t="n">
        <v>11390.0</v>
      </c>
      <c r="AC180" s="3" t="n">
        <v>11809.0</v>
      </c>
      <c r="AD180" s="3" t="n">
        <v>11825.0</v>
      </c>
      <c r="AE180" s="3" t="n">
        <v>11696.0</v>
      </c>
      <c r="AF180" s="3" t="n">
        <v>12274.0</v>
      </c>
      <c r="AG180" s="3" t="n">
        <v>12492.0</v>
      </c>
      <c r="AH180" s="3" t="n">
        <v>12212.0</v>
      </c>
      <c r="AI180" s="3" t="n">
        <v>11777.0</v>
      </c>
      <c r="AJ180" s="3" t="n">
        <v>11098.0</v>
      </c>
      <c r="AK180" s="3" t="n">
        <v>10356.0</v>
      </c>
      <c r="AL180" s="3" t="n">
        <v>10186.0</v>
      </c>
      <c r="AM180" s="3" t="n">
        <v>9879.0</v>
      </c>
      <c r="AN180" s="3" t="n">
        <v>9912.0</v>
      </c>
      <c r="AO180" s="3" t="n">
        <v>9526.0</v>
      </c>
    </row>
    <row r="181" spans="1:41" x14ac:dyDescent="0.2">
      <c r="A181" s="128"/>
      <c r="B181" s="9">
        <v>70</v>
      </c>
      <c r="C181" s="3" t="n">
        <v>10550.0</v>
      </c>
      <c r="D181" s="3" t="n">
        <v>10822.0</v>
      </c>
      <c r="E181" s="3" t="n">
        <v>10999.0</v>
      </c>
      <c r="F181" s="3" t="n">
        <v>11468.0</v>
      </c>
      <c r="G181" s="3" t="n">
        <v>11547.0</v>
      </c>
      <c r="H181" s="3" t="n">
        <v>11657.0</v>
      </c>
      <c r="I181" s="3" t="n">
        <v>11382.0</v>
      </c>
      <c r="J181" s="3" t="n">
        <v>10862.0</v>
      </c>
      <c r="K181" s="3" t="n">
        <v>10074.0</v>
      </c>
      <c r="L181" s="3" t="n">
        <v>9673.0</v>
      </c>
      <c r="M181" s="3" t="n">
        <v>9435.0</v>
      </c>
      <c r="N181" s="3" t="n">
        <v>9011.0</v>
      </c>
      <c r="O181" s="3" t="n">
        <v>8897.0</v>
      </c>
      <c r="P181" s="3" t="n">
        <v>8664.0</v>
      </c>
      <c r="Q181" s="3" t="n">
        <v>8550.0</v>
      </c>
      <c r="R181" s="3" t="n">
        <v>8549.0</v>
      </c>
      <c r="S181" s="3" t="n">
        <v>8614.0</v>
      </c>
      <c r="T181" s="3" t="n">
        <v>8743.0</v>
      </c>
      <c r="U181" s="3" t="n">
        <v>9194.0</v>
      </c>
      <c r="V181" s="3" t="n">
        <v>9408.0</v>
      </c>
      <c r="W181" s="3" t="n">
        <v>9803.0</v>
      </c>
      <c r="X181" s="3" t="n">
        <v>10242.0</v>
      </c>
      <c r="Y181" s="3" t="n">
        <v>10438.0</v>
      </c>
      <c r="Z181" s="3" t="n">
        <v>10879.0</v>
      </c>
      <c r="AA181" s="3" t="n">
        <v>11321.0</v>
      </c>
      <c r="AB181" s="3" t="n">
        <v>10977.0</v>
      </c>
      <c r="AC181" s="3" t="n">
        <v>11063.0</v>
      </c>
      <c r="AD181" s="3" t="n">
        <v>11466.0</v>
      </c>
      <c r="AE181" s="3" t="n">
        <v>11485.0</v>
      </c>
      <c r="AF181" s="3" t="n">
        <v>11362.0</v>
      </c>
      <c r="AG181" s="3" t="n">
        <v>11922.0</v>
      </c>
      <c r="AH181" s="3" t="n">
        <v>12136.0</v>
      </c>
      <c r="AI181" s="3" t="n">
        <v>11863.0</v>
      </c>
      <c r="AJ181" s="3" t="n">
        <v>11443.0</v>
      </c>
      <c r="AK181" s="3" t="n">
        <v>10785.0</v>
      </c>
      <c r="AL181" s="3" t="n">
        <v>10064.0</v>
      </c>
      <c r="AM181" s="3" t="n">
        <v>9901.0</v>
      </c>
      <c r="AN181" s="3" t="n">
        <v>9600.0</v>
      </c>
      <c r="AO181" s="3" t="n">
        <v>9636.0</v>
      </c>
    </row>
    <row r="182" spans="1:41" x14ac:dyDescent="0.2">
      <c r="A182" s="128"/>
      <c r="B182" s="9">
        <v>71</v>
      </c>
      <c r="C182" s="3" t="n">
        <v>10019.0</v>
      </c>
      <c r="D182" s="3" t="n">
        <v>10176.0</v>
      </c>
      <c r="E182" s="3" t="n">
        <v>10439.0</v>
      </c>
      <c r="F182" s="3" t="n">
        <v>10613.0</v>
      </c>
      <c r="G182" s="3" t="n">
        <v>11069.0</v>
      </c>
      <c r="H182" s="3" t="n">
        <v>11151.0</v>
      </c>
      <c r="I182" s="3" t="n">
        <v>11257.0</v>
      </c>
      <c r="J182" s="3" t="n">
        <v>11000.0</v>
      </c>
      <c r="K182" s="3" t="n">
        <v>10497.0</v>
      </c>
      <c r="L182" s="3" t="n">
        <v>9736.0</v>
      </c>
      <c r="M182" s="3" t="n">
        <v>9351.0</v>
      </c>
      <c r="N182" s="3" t="n">
        <v>9119.0</v>
      </c>
      <c r="O182" s="3" t="n">
        <v>8714.0</v>
      </c>
      <c r="P182" s="3" t="n">
        <v>8604.0</v>
      </c>
      <c r="Q182" s="3" t="n">
        <v>8381.0</v>
      </c>
      <c r="R182" s="3" t="n">
        <v>8270.0</v>
      </c>
      <c r="S182" s="3" t="n">
        <v>8271.0</v>
      </c>
      <c r="T182" s="3" t="n">
        <v>8331.0</v>
      </c>
      <c r="U182" s="3" t="n">
        <v>8462.0</v>
      </c>
      <c r="V182" s="3" t="n">
        <v>8905.0</v>
      </c>
      <c r="W182" s="3" t="n">
        <v>9114.0</v>
      </c>
      <c r="X182" s="3" t="n">
        <v>9500.0</v>
      </c>
      <c r="Y182" s="3" t="n">
        <v>9927.0</v>
      </c>
      <c r="Z182" s="3" t="n">
        <v>10112.0</v>
      </c>
      <c r="AA182" s="3" t="n">
        <v>10545.0</v>
      </c>
      <c r="AB182" s="3" t="n">
        <v>10969.0</v>
      </c>
      <c r="AC182" s="3" t="n">
        <v>10639.0</v>
      </c>
      <c r="AD182" s="3" t="n">
        <v>10720.0</v>
      </c>
      <c r="AE182" s="3" t="n">
        <v>11117.0</v>
      </c>
      <c r="AF182" s="3" t="n">
        <v>11132.0</v>
      </c>
      <c r="AG182" s="3" t="n">
        <v>11020.0</v>
      </c>
      <c r="AH182" s="3" t="n">
        <v>11561.0</v>
      </c>
      <c r="AI182" s="3" t="n">
        <v>11768.0</v>
      </c>
      <c r="AJ182" s="3" t="n">
        <v>11508.0</v>
      </c>
      <c r="AK182" s="3" t="n">
        <v>11100.0</v>
      </c>
      <c r="AL182" s="3" t="n">
        <v>10468.0</v>
      </c>
      <c r="AM182" s="3" t="n">
        <v>9768.0</v>
      </c>
      <c r="AN182" s="3" t="n">
        <v>9611.0</v>
      </c>
      <c r="AO182" s="3" t="n">
        <v>9314.0</v>
      </c>
    </row>
    <row r="183" spans="1:41" x14ac:dyDescent="0.2">
      <c r="A183" s="128"/>
      <c r="B183" s="9">
        <v>72</v>
      </c>
      <c r="C183" s="3" t="n">
        <v>9526.0</v>
      </c>
      <c r="D183" s="3" t="n">
        <v>9638.0</v>
      </c>
      <c r="E183" s="3" t="n">
        <v>9797.0</v>
      </c>
      <c r="F183" s="3" t="n">
        <v>10048.0</v>
      </c>
      <c r="G183" s="3" t="n">
        <v>10218.0</v>
      </c>
      <c r="H183" s="3" t="n">
        <v>10662.0</v>
      </c>
      <c r="I183" s="3" t="n">
        <v>10744.0</v>
      </c>
      <c r="J183" s="3" t="n">
        <v>10848.0</v>
      </c>
      <c r="K183" s="3" t="n">
        <v>10600.0</v>
      </c>
      <c r="L183" s="3" t="n">
        <v>10120.0</v>
      </c>
      <c r="M183" s="3" t="n">
        <v>9392.0</v>
      </c>
      <c r="N183" s="3" t="n">
        <v>9022.0</v>
      </c>
      <c r="O183" s="3" t="n">
        <v>8799.0</v>
      </c>
      <c r="P183" s="3" t="n">
        <v>8412.0</v>
      </c>
      <c r="Q183" s="3" t="n">
        <v>8306.0</v>
      </c>
      <c r="R183" s="3" t="n">
        <v>8090.0</v>
      </c>
      <c r="S183" s="3" t="n">
        <v>7983.0</v>
      </c>
      <c r="T183" s="3" t="n">
        <v>7990.0</v>
      </c>
      <c r="U183" s="3" t="n">
        <v>8050.0</v>
      </c>
      <c r="V183" s="3" t="n">
        <v>8176.0</v>
      </c>
      <c r="W183" s="3" t="n">
        <v>8606.0</v>
      </c>
      <c r="X183" s="3" t="n">
        <v>8809.0</v>
      </c>
      <c r="Y183" s="3" t="n">
        <v>9183.0</v>
      </c>
      <c r="Z183" s="3" t="n">
        <v>9594.0</v>
      </c>
      <c r="AA183" s="3" t="n">
        <v>9774.0</v>
      </c>
      <c r="AB183" s="3" t="n">
        <v>10197.0</v>
      </c>
      <c r="AC183" s="3" t="n">
        <v>10608.0</v>
      </c>
      <c r="AD183" s="3" t="n">
        <v>10292.0</v>
      </c>
      <c r="AE183" s="3" t="n">
        <v>10374.0</v>
      </c>
      <c r="AF183" s="3" t="n">
        <v>10758.0</v>
      </c>
      <c r="AG183" s="3" t="n">
        <v>10774.0</v>
      </c>
      <c r="AH183" s="3" t="n">
        <v>10666.0</v>
      </c>
      <c r="AI183" s="3" t="n">
        <v>11191.0</v>
      </c>
      <c r="AJ183" s="3" t="n">
        <v>11392.0</v>
      </c>
      <c r="AK183" s="3" t="n">
        <v>11142.0</v>
      </c>
      <c r="AL183" s="3" t="n">
        <v>10748.0</v>
      </c>
      <c r="AM183" s="3" t="n">
        <v>10139.0</v>
      </c>
      <c r="AN183" s="3" t="n">
        <v>9460.0</v>
      </c>
      <c r="AO183" s="3" t="n">
        <v>9310.0</v>
      </c>
    </row>
    <row r="184" spans="1:41" x14ac:dyDescent="0.2">
      <c r="A184" s="128"/>
      <c r="B184" s="9">
        <v>73</v>
      </c>
      <c r="C184" s="3" t="n">
        <v>8990.0</v>
      </c>
      <c r="D184" s="3" t="n">
        <v>9140.0</v>
      </c>
      <c r="E184" s="3" t="n">
        <v>9251.0</v>
      </c>
      <c r="F184" s="3" t="n">
        <v>9407.0</v>
      </c>
      <c r="G184" s="3" t="n">
        <v>9648.0</v>
      </c>
      <c r="H184" s="3" t="n">
        <v>9812.0</v>
      </c>
      <c r="I184" s="3" t="n">
        <v>10251.0</v>
      </c>
      <c r="J184" s="3" t="n">
        <v>10328.0</v>
      </c>
      <c r="K184" s="3" t="n">
        <v>10430.0</v>
      </c>
      <c r="L184" s="3" t="n">
        <v>10189.0</v>
      </c>
      <c r="M184" s="3" t="n">
        <v>9735.0</v>
      </c>
      <c r="N184" s="3" t="n">
        <v>9037.0</v>
      </c>
      <c r="O184" s="3" t="n">
        <v>8682.0</v>
      </c>
      <c r="P184" s="3" t="n">
        <v>8470.0</v>
      </c>
      <c r="Q184" s="3" t="n">
        <v>8100.0</v>
      </c>
      <c r="R184" s="3" t="n">
        <v>7997.0</v>
      </c>
      <c r="S184" s="3" t="n">
        <v>7796.0</v>
      </c>
      <c r="T184" s="3" t="n">
        <v>7689.0</v>
      </c>
      <c r="U184" s="3" t="n">
        <v>7702.0</v>
      </c>
      <c r="V184" s="3" t="n">
        <v>7761.0</v>
      </c>
      <c r="W184" s="3" t="n">
        <v>7882.0</v>
      </c>
      <c r="X184" s="3" t="n">
        <v>8300.0</v>
      </c>
      <c r="Y184" s="3" t="n">
        <v>8490.0</v>
      </c>
      <c r="Z184" s="3" t="n">
        <v>8851.0</v>
      </c>
      <c r="AA184" s="3" t="n">
        <v>9253.0</v>
      </c>
      <c r="AB184" s="3" t="n">
        <v>9424.0</v>
      </c>
      <c r="AC184" s="3" t="n">
        <v>9837.0</v>
      </c>
      <c r="AD184" s="3" t="n">
        <v>10234.0</v>
      </c>
      <c r="AE184" s="3" t="n">
        <v>9935.0</v>
      </c>
      <c r="AF184" s="3" t="n">
        <v>10013.0</v>
      </c>
      <c r="AG184" s="3" t="n">
        <v>10385.0</v>
      </c>
      <c r="AH184" s="3" t="n">
        <v>10399.0</v>
      </c>
      <c r="AI184" s="3" t="n">
        <v>10296.0</v>
      </c>
      <c r="AJ184" s="3" t="n">
        <v>10808.0</v>
      </c>
      <c r="AK184" s="3" t="n">
        <v>11000.0</v>
      </c>
      <c r="AL184" s="3" t="n">
        <v>10756.0</v>
      </c>
      <c r="AM184" s="3" t="n">
        <v>10384.0</v>
      </c>
      <c r="AN184" s="3" t="n">
        <v>9796.0</v>
      </c>
      <c r="AO184" s="3" t="n">
        <v>9140.0</v>
      </c>
    </row>
    <row r="185" spans="1:41" x14ac:dyDescent="0.2">
      <c r="A185" s="128"/>
      <c r="B185" s="9">
        <v>74</v>
      </c>
      <c r="C185" s="3" t="n">
        <v>8148.0</v>
      </c>
      <c r="D185" s="3" t="n">
        <v>8596.0</v>
      </c>
      <c r="E185" s="3" t="n">
        <v>8746.0</v>
      </c>
      <c r="F185" s="3" t="n">
        <v>8857.0</v>
      </c>
      <c r="G185" s="3" t="n">
        <v>9011.0</v>
      </c>
      <c r="H185" s="3" t="n">
        <v>9240.0</v>
      </c>
      <c r="I185" s="3" t="n">
        <v>9402.0</v>
      </c>
      <c r="J185" s="3" t="n">
        <v>9828.0</v>
      </c>
      <c r="K185" s="3" t="n">
        <v>9907.0</v>
      </c>
      <c r="L185" s="3" t="n">
        <v>10007.0</v>
      </c>
      <c r="M185" s="3" t="n">
        <v>9776.0</v>
      </c>
      <c r="N185" s="3" t="n">
        <v>9342.0</v>
      </c>
      <c r="O185" s="3" t="n">
        <v>8677.0</v>
      </c>
      <c r="P185" s="3" t="n">
        <v>8336.0</v>
      </c>
      <c r="Q185" s="3" t="n">
        <v>8137.0</v>
      </c>
      <c r="R185" s="3" t="n">
        <v>7781.0</v>
      </c>
      <c r="S185" s="3" t="n">
        <v>7681.0</v>
      </c>
      <c r="T185" s="3" t="n">
        <v>7488.0</v>
      </c>
      <c r="U185" s="3" t="n">
        <v>7392.0</v>
      </c>
      <c r="V185" s="3" t="n">
        <v>7402.0</v>
      </c>
      <c r="W185" s="3" t="n">
        <v>7461.0</v>
      </c>
      <c r="X185" s="3" t="n">
        <v>7580.0</v>
      </c>
      <c r="Y185" s="3" t="n">
        <v>7983.0</v>
      </c>
      <c r="Z185" s="3" t="n">
        <v>8163.0</v>
      </c>
      <c r="AA185" s="3" t="n">
        <v>8513.0</v>
      </c>
      <c r="AB185" s="3" t="n">
        <v>8902.0</v>
      </c>
      <c r="AC185" s="3" t="n">
        <v>9071.0</v>
      </c>
      <c r="AD185" s="3" t="n">
        <v>9465.0</v>
      </c>
      <c r="AE185" s="3" t="n">
        <v>9853.0</v>
      </c>
      <c r="AF185" s="3" t="n">
        <v>9566.0</v>
      </c>
      <c r="AG185" s="3" t="n">
        <v>9646.0</v>
      </c>
      <c r="AH185" s="3" t="n">
        <v>10002.0</v>
      </c>
      <c r="AI185" s="3" t="n">
        <v>10013.0</v>
      </c>
      <c r="AJ185" s="3" t="n">
        <v>9917.0</v>
      </c>
      <c r="AK185" s="3" t="n">
        <v>10412.0</v>
      </c>
      <c r="AL185" s="3" t="n">
        <v>10599.0</v>
      </c>
      <c r="AM185" s="3" t="n">
        <v>10364.0</v>
      </c>
      <c r="AN185" s="3" t="n">
        <v>10006.0</v>
      </c>
      <c r="AO185" s="3" t="n">
        <v>9440.0</v>
      </c>
    </row>
    <row r="186" spans="1:41" x14ac:dyDescent="0.2">
      <c r="A186" s="128"/>
      <c r="B186" s="9">
        <v>75</v>
      </c>
      <c r="C186" s="3" t="n">
        <v>7180.0</v>
      </c>
      <c r="D186" s="3" t="n">
        <v>7773.0</v>
      </c>
      <c r="E186" s="3" t="n">
        <v>8204.0</v>
      </c>
      <c r="F186" s="3" t="n">
        <v>8347.0</v>
      </c>
      <c r="G186" s="3" t="n">
        <v>8452.0</v>
      </c>
      <c r="H186" s="3" t="n">
        <v>8609.0</v>
      </c>
      <c r="I186" s="3" t="n">
        <v>8828.0</v>
      </c>
      <c r="J186" s="3" t="n">
        <v>8983.0</v>
      </c>
      <c r="K186" s="3" t="n">
        <v>9398.0</v>
      </c>
      <c r="L186" s="3" t="n">
        <v>9476.0</v>
      </c>
      <c r="M186" s="3" t="n">
        <v>9575.0</v>
      </c>
      <c r="N186" s="3" t="n">
        <v>9349.0</v>
      </c>
      <c r="O186" s="3" t="n">
        <v>8934.0</v>
      </c>
      <c r="P186" s="3" t="n">
        <v>8307.0</v>
      </c>
      <c r="Q186" s="3" t="n">
        <v>7982.0</v>
      </c>
      <c r="R186" s="3" t="n">
        <v>7796.0</v>
      </c>
      <c r="S186" s="3" t="n">
        <v>7455.0</v>
      </c>
      <c r="T186" s="3" t="n">
        <v>7359.0</v>
      </c>
      <c r="U186" s="3" t="n">
        <v>7181.0</v>
      </c>
      <c r="V186" s="3" t="n">
        <v>7089.0</v>
      </c>
      <c r="W186" s="3" t="n">
        <v>7099.0</v>
      </c>
      <c r="X186" s="3" t="n">
        <v>7157.0</v>
      </c>
      <c r="Y186" s="3" t="n">
        <v>7273.0</v>
      </c>
      <c r="Z186" s="3" t="n">
        <v>7660.0</v>
      </c>
      <c r="AA186" s="3" t="n">
        <v>7832.0</v>
      </c>
      <c r="AB186" s="3" t="n">
        <v>8163.0</v>
      </c>
      <c r="AC186" s="3" t="n">
        <v>8539.0</v>
      </c>
      <c r="AD186" s="3" t="n">
        <v>8703.0</v>
      </c>
      <c r="AE186" s="3" t="n">
        <v>9087.0</v>
      </c>
      <c r="AF186" s="3" t="n">
        <v>9460.0</v>
      </c>
      <c r="AG186" s="3" t="n">
        <v>9193.0</v>
      </c>
      <c r="AH186" s="3" t="n">
        <v>9265.0</v>
      </c>
      <c r="AI186" s="3" t="n">
        <v>9608.0</v>
      </c>
      <c r="AJ186" s="3" t="n">
        <v>9625.0</v>
      </c>
      <c r="AK186" s="3" t="n">
        <v>9527.0</v>
      </c>
      <c r="AL186" s="3" t="n">
        <v>10007.0</v>
      </c>
      <c r="AM186" s="3" t="n">
        <v>10192.0</v>
      </c>
      <c r="AN186" s="3" t="n">
        <v>9966.0</v>
      </c>
      <c r="AO186" s="3" t="n">
        <v>9620.0</v>
      </c>
    </row>
    <row r="187" spans="1:41" x14ac:dyDescent="0.2">
      <c r="A187" s="128"/>
      <c r="B187" s="9">
        <v>76</v>
      </c>
      <c r="C187" s="3" t="n">
        <v>6517.0</v>
      </c>
      <c r="D187" s="3" t="n">
        <v>6818.0</v>
      </c>
      <c r="E187" s="3" t="n">
        <v>7391.0</v>
      </c>
      <c r="F187" s="3" t="n">
        <v>7802.0</v>
      </c>
      <c r="G187" s="3" t="n">
        <v>7946.0</v>
      </c>
      <c r="H187" s="3" t="n">
        <v>8052.0</v>
      </c>
      <c r="I187" s="3" t="n">
        <v>8205.0</v>
      </c>
      <c r="J187" s="3" t="n">
        <v>8418.0</v>
      </c>
      <c r="K187" s="3" t="n">
        <v>8564.0</v>
      </c>
      <c r="L187" s="3" t="n">
        <v>8966.0</v>
      </c>
      <c r="M187" s="3" t="n">
        <v>9038.0</v>
      </c>
      <c r="N187" s="3" t="n">
        <v>9135.0</v>
      </c>
      <c r="O187" s="3" t="n">
        <v>8924.0</v>
      </c>
      <c r="P187" s="3" t="n">
        <v>8531.0</v>
      </c>
      <c r="Q187" s="3" t="n">
        <v>7937.0</v>
      </c>
      <c r="R187" s="3" t="n">
        <v>7625.0</v>
      </c>
      <c r="S187" s="3" t="n">
        <v>7447.0</v>
      </c>
      <c r="T187" s="3" t="n">
        <v>7121.0</v>
      </c>
      <c r="U187" s="3" t="n">
        <v>7032.0</v>
      </c>
      <c r="V187" s="3" t="n">
        <v>6866.0</v>
      </c>
      <c r="W187" s="3" t="n">
        <v>6771.0</v>
      </c>
      <c r="X187" s="3" t="n">
        <v>6786.0</v>
      </c>
      <c r="Y187" s="3" t="n">
        <v>6843.0</v>
      </c>
      <c r="Z187" s="3" t="n">
        <v>6952.0</v>
      </c>
      <c r="AA187" s="3" t="n">
        <v>7326.0</v>
      </c>
      <c r="AB187" s="3" t="n">
        <v>7493.0</v>
      </c>
      <c r="AC187" s="3" t="n">
        <v>7814.0</v>
      </c>
      <c r="AD187" s="3" t="n">
        <v>8174.0</v>
      </c>
      <c r="AE187" s="3" t="n">
        <v>8334.0</v>
      </c>
      <c r="AF187" s="3" t="n">
        <v>8700.0</v>
      </c>
      <c r="AG187" s="3" t="n">
        <v>9063.0</v>
      </c>
      <c r="AH187" s="3" t="n">
        <v>8810.0</v>
      </c>
      <c r="AI187" s="3" t="n">
        <v>8876.0</v>
      </c>
      <c r="AJ187" s="3" t="n">
        <v>9208.0</v>
      </c>
      <c r="AK187" s="3" t="n">
        <v>9223.0</v>
      </c>
      <c r="AL187" s="3" t="n">
        <v>9127.0</v>
      </c>
      <c r="AM187" s="3" t="n">
        <v>9592.0</v>
      </c>
      <c r="AN187" s="3" t="n">
        <v>9766.0</v>
      </c>
      <c r="AO187" s="3" t="n">
        <v>9551.0</v>
      </c>
    </row>
    <row r="188" spans="1:41" x14ac:dyDescent="0.2">
      <c r="A188" s="128"/>
      <c r="B188" s="9">
        <v>77</v>
      </c>
      <c r="C188" s="3" t="n">
        <v>3855.0</v>
      </c>
      <c r="D188" s="3" t="n">
        <v>6174.0</v>
      </c>
      <c r="E188" s="3" t="n">
        <v>6461.0</v>
      </c>
      <c r="F188" s="3" t="n">
        <v>7006.0</v>
      </c>
      <c r="G188" s="3" t="n">
        <v>7398.0</v>
      </c>
      <c r="H188" s="3" t="n">
        <v>7542.0</v>
      </c>
      <c r="I188" s="3" t="n">
        <v>7639.0</v>
      </c>
      <c r="J188" s="3" t="n">
        <v>7787.0</v>
      </c>
      <c r="K188" s="3" t="n">
        <v>7998.0</v>
      </c>
      <c r="L188" s="3" t="n">
        <v>8138.0</v>
      </c>
      <c r="M188" s="3" t="n">
        <v>8518.0</v>
      </c>
      <c r="N188" s="3" t="n">
        <v>8585.0</v>
      </c>
      <c r="O188" s="3" t="n">
        <v>8681.0</v>
      </c>
      <c r="P188" s="3" t="n">
        <v>8485.0</v>
      </c>
      <c r="Q188" s="3" t="n">
        <v>8117.0</v>
      </c>
      <c r="R188" s="3" t="n">
        <v>7554.0</v>
      </c>
      <c r="S188" s="3" t="n">
        <v>7257.0</v>
      </c>
      <c r="T188" s="3" t="n">
        <v>7092.0</v>
      </c>
      <c r="U188" s="3" t="n">
        <v>6783.0</v>
      </c>
      <c r="V188" s="3" t="n">
        <v>6703.0</v>
      </c>
      <c r="W188" s="3" t="n">
        <v>6549.0</v>
      </c>
      <c r="X188" s="3" t="n">
        <v>6457.0</v>
      </c>
      <c r="Y188" s="3" t="n">
        <v>6473.0</v>
      </c>
      <c r="Z188" s="3" t="n">
        <v>6530.0</v>
      </c>
      <c r="AA188" s="3" t="n">
        <v>6633.0</v>
      </c>
      <c r="AB188" s="3" t="n">
        <v>6988.0</v>
      </c>
      <c r="AC188" s="3" t="n">
        <v>7147.0</v>
      </c>
      <c r="AD188" s="3" t="n">
        <v>7454.0</v>
      </c>
      <c r="AE188" s="3" t="n">
        <v>7802.0</v>
      </c>
      <c r="AF188" s="3" t="n">
        <v>7951.0</v>
      </c>
      <c r="AG188" s="3" t="n">
        <v>8305.0</v>
      </c>
      <c r="AH188" s="3" t="n">
        <v>8647.0</v>
      </c>
      <c r="AI188" s="3" t="n">
        <v>8407.0</v>
      </c>
      <c r="AJ188" s="3" t="n">
        <v>8476.0</v>
      </c>
      <c r="AK188" s="3" t="n">
        <v>8792.0</v>
      </c>
      <c r="AL188" s="3" t="n">
        <v>8811.0</v>
      </c>
      <c r="AM188" s="3" t="n">
        <v>8721.0</v>
      </c>
      <c r="AN188" s="3" t="n">
        <v>9163.0</v>
      </c>
      <c r="AO188" s="3" t="n">
        <v>9328.0</v>
      </c>
    </row>
    <row r="189" spans="1:41" x14ac:dyDescent="0.2">
      <c r="A189" s="128"/>
      <c r="B189" s="9">
        <v>78</v>
      </c>
      <c r="C189" s="3" t="n">
        <v>3506.0</v>
      </c>
      <c r="D189" s="3" t="n">
        <v>3628.0</v>
      </c>
      <c r="E189" s="3" t="n">
        <v>5823.0</v>
      </c>
      <c r="F189" s="3" t="n">
        <v>6090.0</v>
      </c>
      <c r="G189" s="3" t="n">
        <v>6605.0</v>
      </c>
      <c r="H189" s="3" t="n">
        <v>6979.0</v>
      </c>
      <c r="I189" s="3" t="n">
        <v>7122.0</v>
      </c>
      <c r="J189" s="3" t="n">
        <v>7219.0</v>
      </c>
      <c r="K189" s="3" t="n">
        <v>7360.0</v>
      </c>
      <c r="L189" s="3" t="n">
        <v>7561.0</v>
      </c>
      <c r="M189" s="3" t="n">
        <v>7698.0</v>
      </c>
      <c r="N189" s="3" t="n">
        <v>8058.0</v>
      </c>
      <c r="O189" s="3" t="n">
        <v>8119.0</v>
      </c>
      <c r="P189" s="3" t="n">
        <v>8214.0</v>
      </c>
      <c r="Q189" s="3" t="n">
        <v>8034.0</v>
      </c>
      <c r="R189" s="3" t="n">
        <v>7684.0</v>
      </c>
      <c r="S189" s="3" t="n">
        <v>7155.0</v>
      </c>
      <c r="T189" s="3" t="n">
        <v>6872.0</v>
      </c>
      <c r="U189" s="3" t="n">
        <v>6719.0</v>
      </c>
      <c r="V189" s="3" t="n">
        <v>6432.0</v>
      </c>
      <c r="W189" s="3" t="n">
        <v>6359.0</v>
      </c>
      <c r="X189" s="3" t="n">
        <v>6212.0</v>
      </c>
      <c r="Y189" s="3" t="n">
        <v>6127.0</v>
      </c>
      <c r="Z189" s="3" t="n">
        <v>6143.0</v>
      </c>
      <c r="AA189" s="3" t="n">
        <v>6193.0</v>
      </c>
      <c r="AB189" s="3" t="n">
        <v>6298.0</v>
      </c>
      <c r="AC189" s="3" t="n">
        <v>6638.0</v>
      </c>
      <c r="AD189" s="3" t="n">
        <v>6790.0</v>
      </c>
      <c r="AE189" s="3" t="n">
        <v>7088.0</v>
      </c>
      <c r="AF189" s="3" t="n">
        <v>7411.0</v>
      </c>
      <c r="AG189" s="3" t="n">
        <v>7555.0</v>
      </c>
      <c r="AH189" s="3" t="n">
        <v>7891.0</v>
      </c>
      <c r="AI189" s="3" t="n">
        <v>8217.0</v>
      </c>
      <c r="AJ189" s="3" t="n">
        <v>7993.0</v>
      </c>
      <c r="AK189" s="3" t="n">
        <v>8059.0</v>
      </c>
      <c r="AL189" s="3" t="n">
        <v>8355.0</v>
      </c>
      <c r="AM189" s="3" t="n">
        <v>8381.0</v>
      </c>
      <c r="AN189" s="3" t="n">
        <v>8295.0</v>
      </c>
      <c r="AO189" s="3" t="n">
        <v>8711.0</v>
      </c>
    </row>
    <row r="190" spans="1:41" x14ac:dyDescent="0.2">
      <c r="A190" s="128"/>
      <c r="B190" s="9">
        <v>79</v>
      </c>
      <c r="C190" s="3" t="n">
        <v>3445.0</v>
      </c>
      <c r="D190" s="3" t="n">
        <v>3286.0</v>
      </c>
      <c r="E190" s="3" t="n">
        <v>3404.0</v>
      </c>
      <c r="F190" s="3" t="n">
        <v>5464.0</v>
      </c>
      <c r="G190" s="3" t="n">
        <v>5717.0</v>
      </c>
      <c r="H190" s="3" t="n">
        <v>6203.0</v>
      </c>
      <c r="I190" s="3" t="n">
        <v>6564.0</v>
      </c>
      <c r="J190" s="3" t="n">
        <v>6699.0</v>
      </c>
      <c r="K190" s="3" t="n">
        <v>6789.0</v>
      </c>
      <c r="L190" s="3" t="n">
        <v>6931.0</v>
      </c>
      <c r="M190" s="3" t="n">
        <v>7121.0</v>
      </c>
      <c r="N190" s="3" t="n">
        <v>7253.0</v>
      </c>
      <c r="O190" s="3" t="n">
        <v>7592.0</v>
      </c>
      <c r="P190" s="3" t="n">
        <v>7650.0</v>
      </c>
      <c r="Q190" s="3" t="n">
        <v>7747.0</v>
      </c>
      <c r="R190" s="3" t="n">
        <v>7572.0</v>
      </c>
      <c r="S190" s="3" t="n">
        <v>7251.0</v>
      </c>
      <c r="T190" s="3" t="n">
        <v>6757.0</v>
      </c>
      <c r="U190" s="3" t="n">
        <v>6489.0</v>
      </c>
      <c r="V190" s="3" t="n">
        <v>6346.0</v>
      </c>
      <c r="W190" s="3" t="n">
        <v>6074.0</v>
      </c>
      <c r="X190" s="3" t="n">
        <v>6005.0</v>
      </c>
      <c r="Y190" s="3" t="n">
        <v>5870.0</v>
      </c>
      <c r="Z190" s="3" t="n">
        <v>5793.0</v>
      </c>
      <c r="AA190" s="3" t="n">
        <v>5804.0</v>
      </c>
      <c r="AB190" s="3" t="n">
        <v>5856.0</v>
      </c>
      <c r="AC190" s="3" t="n">
        <v>5955.0</v>
      </c>
      <c r="AD190" s="3" t="n">
        <v>6277.0</v>
      </c>
      <c r="AE190" s="3" t="n">
        <v>6428.0</v>
      </c>
      <c r="AF190" s="3" t="n">
        <v>6710.0</v>
      </c>
      <c r="AG190" s="3" t="n">
        <v>7016.0</v>
      </c>
      <c r="AH190" s="3" t="n">
        <v>7154.0</v>
      </c>
      <c r="AI190" s="3" t="n">
        <v>7467.0</v>
      </c>
      <c r="AJ190" s="3" t="n">
        <v>7782.0</v>
      </c>
      <c r="AK190" s="3" t="n">
        <v>7564.0</v>
      </c>
      <c r="AL190" s="3" t="n">
        <v>7633.0</v>
      </c>
      <c r="AM190" s="3" t="n">
        <v>7917.0</v>
      </c>
      <c r="AN190" s="3" t="n">
        <v>7942.0</v>
      </c>
      <c r="AO190" s="3" t="n">
        <v>7861.0</v>
      </c>
    </row>
    <row r="191" spans="1:41" x14ac:dyDescent="0.2">
      <c r="A191" s="128"/>
      <c r="B191" s="9">
        <v>80</v>
      </c>
      <c r="C191" s="3" t="n">
        <v>3292.0</v>
      </c>
      <c r="D191" s="3" t="n">
        <v>3203.0</v>
      </c>
      <c r="E191" s="3" t="n">
        <v>3061.0</v>
      </c>
      <c r="F191" s="3" t="n">
        <v>3179.0</v>
      </c>
      <c r="G191" s="3" t="n">
        <v>5093.0</v>
      </c>
      <c r="H191" s="3" t="n">
        <v>5335.0</v>
      </c>
      <c r="I191" s="3" t="n">
        <v>5791.0</v>
      </c>
      <c r="J191" s="3" t="n">
        <v>6133.0</v>
      </c>
      <c r="K191" s="3" t="n">
        <v>6265.0</v>
      </c>
      <c r="L191" s="3" t="n">
        <v>6351.0</v>
      </c>
      <c r="M191" s="3" t="n">
        <v>6487.0</v>
      </c>
      <c r="N191" s="3" t="n">
        <v>6669.0</v>
      </c>
      <c r="O191" s="3" t="n">
        <v>6794.0</v>
      </c>
      <c r="P191" s="3" t="n">
        <v>7115.0</v>
      </c>
      <c r="Q191" s="3" t="n">
        <v>7173.0</v>
      </c>
      <c r="R191" s="3" t="n">
        <v>7264.0</v>
      </c>
      <c r="S191" s="3" t="n">
        <v>7099.0</v>
      </c>
      <c r="T191" s="3" t="n">
        <v>6796.0</v>
      </c>
      <c r="U191" s="3" t="n">
        <v>6343.0</v>
      </c>
      <c r="V191" s="3" t="n">
        <v>6093.0</v>
      </c>
      <c r="W191" s="3" t="n">
        <v>5958.0</v>
      </c>
      <c r="X191" s="3" t="n">
        <v>5705.0</v>
      </c>
      <c r="Y191" s="3" t="n">
        <v>5640.0</v>
      </c>
      <c r="Z191" s="3" t="n">
        <v>5514.0</v>
      </c>
      <c r="AA191" s="3" t="n">
        <v>5441.0</v>
      </c>
      <c r="AB191" s="3" t="n">
        <v>5455.0</v>
      </c>
      <c r="AC191" s="3" t="n">
        <v>5505.0</v>
      </c>
      <c r="AD191" s="3" t="n">
        <v>5597.0</v>
      </c>
      <c r="AE191" s="3" t="n">
        <v>5904.0</v>
      </c>
      <c r="AF191" s="3" t="n">
        <v>6047.0</v>
      </c>
      <c r="AG191" s="3" t="n">
        <v>6316.0</v>
      </c>
      <c r="AH191" s="3" t="n">
        <v>6605.0</v>
      </c>
      <c r="AI191" s="3" t="n">
        <v>6735.0</v>
      </c>
      <c r="AJ191" s="3" t="n">
        <v>7033.0</v>
      </c>
      <c r="AK191" s="3" t="n">
        <v>7333.0</v>
      </c>
      <c r="AL191" s="3" t="n">
        <v>7126.0</v>
      </c>
      <c r="AM191" s="3" t="n">
        <v>7194.0</v>
      </c>
      <c r="AN191" s="3" t="n">
        <v>7461.0</v>
      </c>
      <c r="AO191" s="3" t="n">
        <v>7482.0</v>
      </c>
    </row>
    <row r="192" spans="1:41" x14ac:dyDescent="0.2">
      <c r="A192" s="128"/>
      <c r="B192" s="9">
        <v>81</v>
      </c>
      <c r="C192" s="3" t="n">
        <v>3056.0</v>
      </c>
      <c r="D192" s="3" t="n">
        <v>3040.0</v>
      </c>
      <c r="E192" s="3" t="n">
        <v>2964.0</v>
      </c>
      <c r="F192" s="3" t="n">
        <v>2835.0</v>
      </c>
      <c r="G192" s="3" t="n">
        <v>2945.0</v>
      </c>
      <c r="H192" s="3" t="n">
        <v>4719.0</v>
      </c>
      <c r="I192" s="3" t="n">
        <v>4946.0</v>
      </c>
      <c r="J192" s="3" t="n">
        <v>5373.0</v>
      </c>
      <c r="K192" s="3" t="n">
        <v>5692.0</v>
      </c>
      <c r="L192" s="3" t="n">
        <v>5816.0</v>
      </c>
      <c r="M192" s="3" t="n">
        <v>5902.0</v>
      </c>
      <c r="N192" s="3" t="n">
        <v>6028.0</v>
      </c>
      <c r="O192" s="3" t="n">
        <v>6207.0</v>
      </c>
      <c r="P192" s="3" t="n">
        <v>6320.0</v>
      </c>
      <c r="Q192" s="3" t="n">
        <v>6624.0</v>
      </c>
      <c r="R192" s="3" t="n">
        <v>6670.0</v>
      </c>
      <c r="S192" s="3" t="n">
        <v>6761.0</v>
      </c>
      <c r="T192" s="3" t="n">
        <v>6610.0</v>
      </c>
      <c r="U192" s="3" t="n">
        <v>6331.0</v>
      </c>
      <c r="V192" s="3" t="n">
        <v>5916.0</v>
      </c>
      <c r="W192" s="3" t="n">
        <v>5684.0</v>
      </c>
      <c r="X192" s="3" t="n">
        <v>5560.0</v>
      </c>
      <c r="Y192" s="3" t="n">
        <v>5326.0</v>
      </c>
      <c r="Z192" s="3" t="n">
        <v>5262.0</v>
      </c>
      <c r="AA192" s="3" t="n">
        <v>5150.0</v>
      </c>
      <c r="AB192" s="3" t="n">
        <v>5083.0</v>
      </c>
      <c r="AC192" s="3" t="n">
        <v>5096.0</v>
      </c>
      <c r="AD192" s="3" t="n">
        <v>5144.0</v>
      </c>
      <c r="AE192" s="3" t="n">
        <v>5229.0</v>
      </c>
      <c r="AF192" s="3" t="n">
        <v>5519.0</v>
      </c>
      <c r="AG192" s="3" t="n">
        <v>5654.0</v>
      </c>
      <c r="AH192" s="3" t="n">
        <v>5907.0</v>
      </c>
      <c r="AI192" s="3" t="n">
        <v>6178.0</v>
      </c>
      <c r="AJ192" s="3" t="n">
        <v>6299.0</v>
      </c>
      <c r="AK192" s="3" t="n">
        <v>6583.0</v>
      </c>
      <c r="AL192" s="3" t="n">
        <v>6855.0</v>
      </c>
      <c r="AM192" s="3" t="n">
        <v>6667.0</v>
      </c>
      <c r="AN192" s="3" t="n">
        <v>6729.0</v>
      </c>
      <c r="AO192" s="3" t="n">
        <v>6982.0</v>
      </c>
    </row>
    <row r="193" spans="1:41" x14ac:dyDescent="0.2">
      <c r="A193" s="128"/>
      <c r="B193" s="9">
        <v>82</v>
      </c>
      <c r="C193" s="3" t="n">
        <v>2829.0</v>
      </c>
      <c r="D193" s="3" t="n">
        <v>2797.0</v>
      </c>
      <c r="E193" s="3" t="n">
        <v>2787.0</v>
      </c>
      <c r="F193" s="3" t="n">
        <v>2720.0</v>
      </c>
      <c r="G193" s="3" t="n">
        <v>2602.0</v>
      </c>
      <c r="H193" s="3" t="n">
        <v>2707.0</v>
      </c>
      <c r="I193" s="3" t="n">
        <v>4339.0</v>
      </c>
      <c r="J193" s="3" t="n">
        <v>4552.0</v>
      </c>
      <c r="K193" s="3" t="n">
        <v>4954.0</v>
      </c>
      <c r="L193" s="3" t="n">
        <v>5245.0</v>
      </c>
      <c r="M193" s="3" t="n">
        <v>5362.0</v>
      </c>
      <c r="N193" s="3" t="n">
        <v>5443.0</v>
      </c>
      <c r="O193" s="3" t="n">
        <v>5565.0</v>
      </c>
      <c r="P193" s="3" t="n">
        <v>5734.0</v>
      </c>
      <c r="Q193" s="3" t="n">
        <v>5840.0</v>
      </c>
      <c r="R193" s="3" t="n">
        <v>6123.0</v>
      </c>
      <c r="S193" s="3" t="n">
        <v>6167.0</v>
      </c>
      <c r="T193" s="3" t="n">
        <v>6255.0</v>
      </c>
      <c r="U193" s="3" t="n">
        <v>6115.0</v>
      </c>
      <c r="V193" s="3" t="n">
        <v>5861.0</v>
      </c>
      <c r="W193" s="3" t="n">
        <v>5471.0</v>
      </c>
      <c r="X193" s="3" t="n">
        <v>5264.0</v>
      </c>
      <c r="Y193" s="3" t="n">
        <v>5150.0</v>
      </c>
      <c r="Z193" s="3" t="n">
        <v>4936.0</v>
      </c>
      <c r="AA193" s="3" t="n">
        <v>4880.0</v>
      </c>
      <c r="AB193" s="3" t="n">
        <v>4776.0</v>
      </c>
      <c r="AC193" s="3" t="n">
        <v>4712.0</v>
      </c>
      <c r="AD193" s="3" t="n">
        <v>4728.0</v>
      </c>
      <c r="AE193" s="3" t="n">
        <v>4770.0</v>
      </c>
      <c r="AF193" s="3" t="n">
        <v>4851.0</v>
      </c>
      <c r="AG193" s="3" t="n">
        <v>5125.0</v>
      </c>
      <c r="AH193" s="3" t="n">
        <v>5247.0</v>
      </c>
      <c r="AI193" s="3" t="n">
        <v>5483.0</v>
      </c>
      <c r="AJ193" s="3" t="n">
        <v>5738.0</v>
      </c>
      <c r="AK193" s="3" t="n">
        <v>5853.0</v>
      </c>
      <c r="AL193" s="3" t="n">
        <v>6116.0</v>
      </c>
      <c r="AM193" s="3" t="n">
        <v>6373.0</v>
      </c>
      <c r="AN193" s="3" t="n">
        <v>6199.0</v>
      </c>
      <c r="AO193" s="3" t="n">
        <v>6259.0</v>
      </c>
    </row>
    <row r="194" spans="1:41" x14ac:dyDescent="0.2">
      <c r="A194" s="128"/>
      <c r="B194" s="9">
        <v>83</v>
      </c>
      <c r="C194" s="3" t="n">
        <v>2506.0</v>
      </c>
      <c r="D194" s="3" t="n">
        <v>2567.0</v>
      </c>
      <c r="E194" s="3" t="n">
        <v>2540.0</v>
      </c>
      <c r="F194" s="3" t="n">
        <v>2528.0</v>
      </c>
      <c r="G194" s="3" t="n">
        <v>2472.0</v>
      </c>
      <c r="H194" s="3" t="n">
        <v>2366.0</v>
      </c>
      <c r="I194" s="3" t="n">
        <v>2466.0</v>
      </c>
      <c r="J194" s="3" t="n">
        <v>3950.0</v>
      </c>
      <c r="K194" s="3" t="n">
        <v>4148.0</v>
      </c>
      <c r="L194" s="3" t="n">
        <v>4517.0</v>
      </c>
      <c r="M194" s="3" t="n">
        <v>4790.0</v>
      </c>
      <c r="N194" s="3" t="n">
        <v>4895.0</v>
      </c>
      <c r="O194" s="3" t="n">
        <v>4972.0</v>
      </c>
      <c r="P194" s="3" t="n">
        <v>5086.0</v>
      </c>
      <c r="Q194" s="3" t="n">
        <v>5244.0</v>
      </c>
      <c r="R194" s="3" t="n">
        <v>5347.0</v>
      </c>
      <c r="S194" s="3" t="n">
        <v>5613.0</v>
      </c>
      <c r="T194" s="3" t="n">
        <v>5649.0</v>
      </c>
      <c r="U194" s="3" t="n">
        <v>5736.0</v>
      </c>
      <c r="V194" s="3" t="n">
        <v>5611.0</v>
      </c>
      <c r="W194" s="3" t="n">
        <v>5374.0</v>
      </c>
      <c r="X194" s="3" t="n">
        <v>5019.0</v>
      </c>
      <c r="Y194" s="3" t="n">
        <v>4833.0</v>
      </c>
      <c r="Z194" s="3" t="n">
        <v>4732.0</v>
      </c>
      <c r="AA194" s="3" t="n">
        <v>4533.0</v>
      </c>
      <c r="AB194" s="3" t="n">
        <v>4482.0</v>
      </c>
      <c r="AC194" s="3" t="n">
        <v>4389.0</v>
      </c>
      <c r="AD194" s="3" t="n">
        <v>4327.0</v>
      </c>
      <c r="AE194" s="3" t="n">
        <v>4346.0</v>
      </c>
      <c r="AF194" s="3" t="n">
        <v>4385.0</v>
      </c>
      <c r="AG194" s="3" t="n">
        <v>4461.0</v>
      </c>
      <c r="AH194" s="3" t="n">
        <v>4716.0</v>
      </c>
      <c r="AI194" s="3" t="n">
        <v>4829.0</v>
      </c>
      <c r="AJ194" s="3" t="n">
        <v>5046.0</v>
      </c>
      <c r="AK194" s="3" t="n">
        <v>5281.0</v>
      </c>
      <c r="AL194" s="3" t="n">
        <v>5391.0</v>
      </c>
      <c r="AM194" s="3" t="n">
        <v>5642.0</v>
      </c>
      <c r="AN194" s="3" t="n">
        <v>5877.0</v>
      </c>
      <c r="AO194" s="3" t="n">
        <v>5717.0</v>
      </c>
    </row>
    <row r="195" spans="1:41" x14ac:dyDescent="0.2">
      <c r="A195" s="128"/>
      <c r="B195" s="9">
        <v>84</v>
      </c>
      <c r="C195" s="3" t="n">
        <v>2281.0</v>
      </c>
      <c r="D195" s="3" t="n">
        <v>2246.0</v>
      </c>
      <c r="E195" s="3" t="n">
        <v>2301.0</v>
      </c>
      <c r="F195" s="3" t="n">
        <v>2276.0</v>
      </c>
      <c r="G195" s="3" t="n">
        <v>2267.0</v>
      </c>
      <c r="H195" s="3" t="n">
        <v>2222.0</v>
      </c>
      <c r="I195" s="3" t="n">
        <v>2127.0</v>
      </c>
      <c r="J195" s="3" t="n">
        <v>2221.0</v>
      </c>
      <c r="K195" s="3" t="n">
        <v>3560.0</v>
      </c>
      <c r="L195" s="3" t="n">
        <v>3748.0</v>
      </c>
      <c r="M195" s="3" t="n">
        <v>4083.0</v>
      </c>
      <c r="N195" s="3" t="n">
        <v>4331.0</v>
      </c>
      <c r="O195" s="3" t="n">
        <v>4425.0</v>
      </c>
      <c r="P195" s="3" t="n">
        <v>4492.0</v>
      </c>
      <c r="Q195" s="3" t="n">
        <v>4604.0</v>
      </c>
      <c r="R195" s="3" t="n">
        <v>4750.0</v>
      </c>
      <c r="S195" s="3" t="n">
        <v>4847.0</v>
      </c>
      <c r="T195" s="3" t="n">
        <v>5083.0</v>
      </c>
      <c r="U195" s="3" t="n">
        <v>5121.0</v>
      </c>
      <c r="V195" s="3" t="n">
        <v>5202.0</v>
      </c>
      <c r="W195" s="3" t="n">
        <v>5089.0</v>
      </c>
      <c r="X195" s="3" t="n">
        <v>4882.0</v>
      </c>
      <c r="Y195" s="3" t="n">
        <v>4556.0</v>
      </c>
      <c r="Z195" s="3" t="n">
        <v>4392.0</v>
      </c>
      <c r="AA195" s="3" t="n">
        <v>4302.0</v>
      </c>
      <c r="AB195" s="3" t="n">
        <v>4119.0</v>
      </c>
      <c r="AC195" s="3" t="n">
        <v>4073.0</v>
      </c>
      <c r="AD195" s="3" t="n">
        <v>3992.0</v>
      </c>
      <c r="AE195" s="3" t="n">
        <v>3936.0</v>
      </c>
      <c r="AF195" s="3" t="n">
        <v>3955.0</v>
      </c>
      <c r="AG195" s="3" t="n">
        <v>3993.0</v>
      </c>
      <c r="AH195" s="3" t="n">
        <v>4065.0</v>
      </c>
      <c r="AI195" s="3" t="n">
        <v>4295.0</v>
      </c>
      <c r="AJ195" s="3" t="n">
        <v>4404.0</v>
      </c>
      <c r="AK195" s="3" t="n">
        <v>4597.0</v>
      </c>
      <c r="AL195" s="3" t="n">
        <v>4814.0</v>
      </c>
      <c r="AM195" s="3" t="n">
        <v>4920.0</v>
      </c>
      <c r="AN195" s="3" t="n">
        <v>5150.0</v>
      </c>
      <c r="AO195" s="3" t="n">
        <v>5364.0</v>
      </c>
    </row>
    <row r="196" spans="1:41" x14ac:dyDescent="0.2">
      <c r="A196" s="128"/>
      <c r="B196" s="9">
        <v>85</v>
      </c>
      <c r="C196" s="3" t="n">
        <v>1988.0</v>
      </c>
      <c r="D196" s="3" t="n">
        <v>2025.0</v>
      </c>
      <c r="E196" s="3" t="n">
        <v>2000.0</v>
      </c>
      <c r="F196" s="3" t="n">
        <v>2050.0</v>
      </c>
      <c r="G196" s="3" t="n">
        <v>2028.0</v>
      </c>
      <c r="H196" s="3" t="n">
        <v>2020.0</v>
      </c>
      <c r="I196" s="3" t="n">
        <v>1982.0</v>
      </c>
      <c r="J196" s="3" t="n">
        <v>1897.0</v>
      </c>
      <c r="K196" s="3" t="n">
        <v>1986.0</v>
      </c>
      <c r="L196" s="3" t="n">
        <v>3184.0</v>
      </c>
      <c r="M196" s="3" t="n">
        <v>3354.0</v>
      </c>
      <c r="N196" s="3" t="n">
        <v>3649.0</v>
      </c>
      <c r="O196" s="3" t="n">
        <v>3875.0</v>
      </c>
      <c r="P196" s="3" t="n">
        <v>3968.0</v>
      </c>
      <c r="Q196" s="3" t="n">
        <v>4028.0</v>
      </c>
      <c r="R196" s="3" t="n">
        <v>4122.0</v>
      </c>
      <c r="S196" s="3" t="n">
        <v>4263.0</v>
      </c>
      <c r="T196" s="3" t="n">
        <v>4349.0</v>
      </c>
      <c r="U196" s="3" t="n">
        <v>4566.0</v>
      </c>
      <c r="V196" s="3" t="n">
        <v>4604.0</v>
      </c>
      <c r="W196" s="3" t="n">
        <v>4676.0</v>
      </c>
      <c r="X196" s="3" t="n">
        <v>4575.0</v>
      </c>
      <c r="Y196" s="3" t="n">
        <v>4391.0</v>
      </c>
      <c r="Z196" s="3" t="n">
        <v>4104.0</v>
      </c>
      <c r="AA196" s="3" t="n">
        <v>3956.0</v>
      </c>
      <c r="AB196" s="3" t="n">
        <v>3877.0</v>
      </c>
      <c r="AC196" s="3" t="n">
        <v>3713.0</v>
      </c>
      <c r="AD196" s="3" t="n">
        <v>3670.0</v>
      </c>
      <c r="AE196" s="3" t="n">
        <v>3599.0</v>
      </c>
      <c r="AF196" s="3" t="n">
        <v>3549.0</v>
      </c>
      <c r="AG196" s="3" t="n">
        <v>3569.0</v>
      </c>
      <c r="AH196" s="3" t="n">
        <v>3608.0</v>
      </c>
      <c r="AI196" s="3" t="n">
        <v>3666.0</v>
      </c>
      <c r="AJ196" s="3" t="n">
        <v>3878.0</v>
      </c>
      <c r="AK196" s="3" t="n">
        <v>3978.0</v>
      </c>
      <c r="AL196" s="3" t="n">
        <v>4156.0</v>
      </c>
      <c r="AM196" s="3" t="n">
        <v>4353.0</v>
      </c>
      <c r="AN196" s="3" t="n">
        <v>4450.0</v>
      </c>
      <c r="AO196" s="3" t="n">
        <v>4657.0</v>
      </c>
    </row>
    <row r="197" spans="1:41" x14ac:dyDescent="0.2">
      <c r="A197" s="128"/>
      <c r="B197" s="9">
        <v>86</v>
      </c>
      <c r="C197" s="3" t="n">
        <v>1735.0</v>
      </c>
      <c r="D197" s="3" t="n">
        <v>1741.0</v>
      </c>
      <c r="E197" s="3" t="n">
        <v>1776.0</v>
      </c>
      <c r="F197" s="3" t="n">
        <v>1757.0</v>
      </c>
      <c r="G197" s="3" t="n">
        <v>1803.0</v>
      </c>
      <c r="H197" s="3" t="n">
        <v>1781.0</v>
      </c>
      <c r="I197" s="3" t="n">
        <v>1775.0</v>
      </c>
      <c r="J197" s="3" t="n">
        <v>1747.0</v>
      </c>
      <c r="K197" s="3" t="n">
        <v>1673.0</v>
      </c>
      <c r="L197" s="3" t="n">
        <v>1751.0</v>
      </c>
      <c r="M197" s="3" t="n">
        <v>2816.0</v>
      </c>
      <c r="N197" s="3" t="n">
        <v>2966.0</v>
      </c>
      <c r="O197" s="3" t="n">
        <v>3224.0</v>
      </c>
      <c r="P197" s="3" t="n">
        <v>3426.0</v>
      </c>
      <c r="Q197" s="3" t="n">
        <v>3509.0</v>
      </c>
      <c r="R197" s="3" t="n">
        <v>3565.0</v>
      </c>
      <c r="S197" s="3" t="n">
        <v>3661.0</v>
      </c>
      <c r="T197" s="3" t="n">
        <v>3776.0</v>
      </c>
      <c r="U197" s="3" t="n">
        <v>3856.0</v>
      </c>
      <c r="V197" s="3" t="n">
        <v>4057.0</v>
      </c>
      <c r="W197" s="3" t="n">
        <v>4094.0</v>
      </c>
      <c r="X197" s="3" t="n">
        <v>4157.0</v>
      </c>
      <c r="Y197" s="3" t="n">
        <v>4070.0</v>
      </c>
      <c r="Z197" s="3" t="n">
        <v>3905.0</v>
      </c>
      <c r="AA197" s="3" t="n">
        <v>3653.0</v>
      </c>
      <c r="AB197" s="3" t="n">
        <v>3523.0</v>
      </c>
      <c r="AC197" s="3" t="n">
        <v>3450.0</v>
      </c>
      <c r="AD197" s="3" t="n">
        <v>3306.0</v>
      </c>
      <c r="AE197" s="3" t="n">
        <v>3274.0</v>
      </c>
      <c r="AF197" s="3" t="n">
        <v>3211.0</v>
      </c>
      <c r="AG197" s="3" t="n">
        <v>3165.0</v>
      </c>
      <c r="AH197" s="3" t="n">
        <v>3185.0</v>
      </c>
      <c r="AI197" s="3" t="n">
        <v>3219.0</v>
      </c>
      <c r="AJ197" s="3" t="n">
        <v>3274.0</v>
      </c>
      <c r="AK197" s="3" t="n">
        <v>3464.0</v>
      </c>
      <c r="AL197" s="3" t="n">
        <v>3553.0</v>
      </c>
      <c r="AM197" s="3" t="n">
        <v>3715.0</v>
      </c>
      <c r="AN197" s="3" t="n">
        <v>3893.0</v>
      </c>
      <c r="AO197" s="3" t="n">
        <v>3979.0</v>
      </c>
    </row>
    <row r="198" spans="1:41" x14ac:dyDescent="0.2">
      <c r="A198" s="128"/>
      <c r="B198" s="9">
        <v>87</v>
      </c>
      <c r="C198" s="3" t="n">
        <v>1513.0</v>
      </c>
      <c r="D198" s="3" t="n">
        <v>1497.0</v>
      </c>
      <c r="E198" s="3" t="n">
        <v>1510.0</v>
      </c>
      <c r="F198" s="3" t="n">
        <v>1538.0</v>
      </c>
      <c r="G198" s="3" t="n">
        <v>1524.0</v>
      </c>
      <c r="H198" s="3" t="n">
        <v>1565.0</v>
      </c>
      <c r="I198" s="3" t="n">
        <v>1546.0</v>
      </c>
      <c r="J198" s="3" t="n">
        <v>1546.0</v>
      </c>
      <c r="K198" s="3" t="n">
        <v>1519.0</v>
      </c>
      <c r="L198" s="3" t="n">
        <v>1458.0</v>
      </c>
      <c r="M198" s="3" t="n">
        <v>1528.0</v>
      </c>
      <c r="N198" s="3" t="n">
        <v>2460.0</v>
      </c>
      <c r="O198" s="3" t="n">
        <v>2595.0</v>
      </c>
      <c r="P198" s="3" t="n">
        <v>2825.0</v>
      </c>
      <c r="Q198" s="3" t="n">
        <v>3005.0</v>
      </c>
      <c r="R198" s="3" t="n">
        <v>3081.0</v>
      </c>
      <c r="S198" s="3" t="n">
        <v>3132.0</v>
      </c>
      <c r="T198" s="3" t="n">
        <v>3219.0</v>
      </c>
      <c r="U198" s="3" t="n">
        <v>3318.0</v>
      </c>
      <c r="V198" s="3" t="n">
        <v>3395.0</v>
      </c>
      <c r="W198" s="3" t="n">
        <v>3569.0</v>
      </c>
      <c r="X198" s="3" t="n">
        <v>3609.0</v>
      </c>
      <c r="Y198" s="3" t="n">
        <v>3663.0</v>
      </c>
      <c r="Z198" s="3" t="n">
        <v>3586.0</v>
      </c>
      <c r="AA198" s="3" t="n">
        <v>3447.0</v>
      </c>
      <c r="AB198" s="3" t="n">
        <v>3223.0</v>
      </c>
      <c r="AC198" s="3" t="n">
        <v>3108.0</v>
      </c>
      <c r="AD198" s="3" t="n">
        <v>3043.0</v>
      </c>
      <c r="AE198" s="3" t="n">
        <v>2918.0</v>
      </c>
      <c r="AF198" s="3" t="n">
        <v>2896.0</v>
      </c>
      <c r="AG198" s="3" t="n">
        <v>2841.0</v>
      </c>
      <c r="AH198" s="3" t="n">
        <v>2796.0</v>
      </c>
      <c r="AI198" s="3" t="n">
        <v>2817.0</v>
      </c>
      <c r="AJ198" s="3" t="n">
        <v>2851.0</v>
      </c>
      <c r="AK198" s="3" t="n">
        <v>2897.0</v>
      </c>
      <c r="AL198" s="3" t="n">
        <v>3067.0</v>
      </c>
      <c r="AM198" s="3" t="n">
        <v>3148.0</v>
      </c>
      <c r="AN198" s="3" t="n">
        <v>3295.0</v>
      </c>
      <c r="AO198" s="3" t="n">
        <v>3450.0</v>
      </c>
    </row>
    <row r="199" spans="1:41" x14ac:dyDescent="0.2">
      <c r="A199" s="128"/>
      <c r="B199" s="9">
        <v>88</v>
      </c>
      <c r="C199" s="3" t="n">
        <v>1219.0</v>
      </c>
      <c r="D199" s="3" t="n">
        <v>1296.0</v>
      </c>
      <c r="E199" s="3" t="n">
        <v>1283.0</v>
      </c>
      <c r="F199" s="3" t="n">
        <v>1297.0</v>
      </c>
      <c r="G199" s="3" t="n">
        <v>1325.0</v>
      </c>
      <c r="H199" s="3" t="n">
        <v>1311.0</v>
      </c>
      <c r="I199" s="3" t="n">
        <v>1349.0</v>
      </c>
      <c r="J199" s="3" t="n">
        <v>1336.0</v>
      </c>
      <c r="K199" s="3" t="n">
        <v>1337.0</v>
      </c>
      <c r="L199" s="3" t="n">
        <v>1312.0</v>
      </c>
      <c r="M199" s="3" t="n">
        <v>1264.0</v>
      </c>
      <c r="N199" s="3" t="n">
        <v>1324.0</v>
      </c>
      <c r="O199" s="3" t="n">
        <v>2132.0</v>
      </c>
      <c r="P199" s="3" t="n">
        <v>2255.0</v>
      </c>
      <c r="Q199" s="3" t="n">
        <v>2452.0</v>
      </c>
      <c r="R199" s="3" t="n">
        <v>2612.0</v>
      </c>
      <c r="S199" s="3" t="n">
        <v>2680.0</v>
      </c>
      <c r="T199" s="3" t="n">
        <v>2724.0</v>
      </c>
      <c r="U199" s="3" t="n">
        <v>2803.0</v>
      </c>
      <c r="V199" s="3" t="n">
        <v>2895.0</v>
      </c>
      <c r="W199" s="3" t="n">
        <v>2962.0</v>
      </c>
      <c r="X199" s="3" t="n">
        <v>3115.0</v>
      </c>
      <c r="Y199" s="3" t="n">
        <v>3148.0</v>
      </c>
      <c r="Z199" s="3" t="n">
        <v>3200.0</v>
      </c>
      <c r="AA199" s="3" t="n">
        <v>3131.0</v>
      </c>
      <c r="AB199" s="3" t="n">
        <v>3011.0</v>
      </c>
      <c r="AC199" s="3" t="n">
        <v>2823.0</v>
      </c>
      <c r="AD199" s="3" t="n">
        <v>2721.0</v>
      </c>
      <c r="AE199" s="3" t="n">
        <v>2665.0</v>
      </c>
      <c r="AF199" s="3" t="n">
        <v>2559.0</v>
      </c>
      <c r="AG199" s="3" t="n">
        <v>2538.0</v>
      </c>
      <c r="AH199" s="3" t="n">
        <v>2488.0</v>
      </c>
      <c r="AI199" s="3" t="n">
        <v>2450.0</v>
      </c>
      <c r="AJ199" s="3" t="n">
        <v>2472.0</v>
      </c>
      <c r="AK199" s="3" t="n">
        <v>2502.0</v>
      </c>
      <c r="AL199" s="3" t="n">
        <v>2542.0</v>
      </c>
      <c r="AM199" s="3" t="n">
        <v>2694.0</v>
      </c>
      <c r="AN199" s="3" t="n">
        <v>2767.0</v>
      </c>
      <c r="AO199" s="3" t="n">
        <v>2894.0</v>
      </c>
    </row>
    <row r="200" spans="1:41" x14ac:dyDescent="0.2">
      <c r="A200" s="128"/>
      <c r="B200" s="9">
        <v>89</v>
      </c>
      <c r="C200" s="3" t="n">
        <v>1014.0</v>
      </c>
      <c r="D200" s="3" t="n">
        <v>1033.0</v>
      </c>
      <c r="E200" s="3" t="n">
        <v>1098.0</v>
      </c>
      <c r="F200" s="3" t="n">
        <v>1092.0</v>
      </c>
      <c r="G200" s="3" t="n">
        <v>1102.0</v>
      </c>
      <c r="H200" s="3" t="n">
        <v>1129.0</v>
      </c>
      <c r="I200" s="3" t="n">
        <v>1116.0</v>
      </c>
      <c r="J200" s="3" t="n">
        <v>1151.0</v>
      </c>
      <c r="K200" s="3" t="n">
        <v>1144.0</v>
      </c>
      <c r="L200" s="3" t="n">
        <v>1142.0</v>
      </c>
      <c r="M200" s="3" t="n">
        <v>1125.0</v>
      </c>
      <c r="N200" s="3" t="n">
        <v>1084.0</v>
      </c>
      <c r="O200" s="3" t="n">
        <v>1132.0</v>
      </c>
      <c r="P200" s="3" t="n">
        <v>1829.0</v>
      </c>
      <c r="Q200" s="3" t="n">
        <v>1939.0</v>
      </c>
      <c r="R200" s="3" t="n">
        <v>2108.0</v>
      </c>
      <c r="S200" s="3" t="n">
        <v>2250.0</v>
      </c>
      <c r="T200" s="3" t="n">
        <v>2307.0</v>
      </c>
      <c r="U200" s="3" t="n">
        <v>2349.0</v>
      </c>
      <c r="V200" s="3" t="n">
        <v>2416.0</v>
      </c>
      <c r="W200" s="3" t="n">
        <v>2496.0</v>
      </c>
      <c r="X200" s="3" t="n">
        <v>2556.0</v>
      </c>
      <c r="Y200" s="3" t="n">
        <v>2687.0</v>
      </c>
      <c r="Z200" s="3" t="n">
        <v>2716.0</v>
      </c>
      <c r="AA200" s="3" t="n">
        <v>2768.0</v>
      </c>
      <c r="AB200" s="3" t="n">
        <v>2704.0</v>
      </c>
      <c r="AC200" s="3" t="n">
        <v>2602.0</v>
      </c>
      <c r="AD200" s="3" t="n">
        <v>2442.0</v>
      </c>
      <c r="AE200" s="3" t="n">
        <v>2353.0</v>
      </c>
      <c r="AF200" s="3" t="n">
        <v>2304.0</v>
      </c>
      <c r="AG200" s="3" t="n">
        <v>2219.0</v>
      </c>
      <c r="AH200" s="3" t="n">
        <v>2202.0</v>
      </c>
      <c r="AI200" s="3" t="n">
        <v>2162.0</v>
      </c>
      <c r="AJ200" s="3" t="n">
        <v>2127.0</v>
      </c>
      <c r="AK200" s="3" t="n">
        <v>2145.0</v>
      </c>
      <c r="AL200" s="3" t="n">
        <v>2170.0</v>
      </c>
      <c r="AM200" s="3" t="n">
        <v>2210.0</v>
      </c>
      <c r="AN200" s="3" t="n">
        <v>2341.0</v>
      </c>
      <c r="AO200" s="3" t="n">
        <v>2409.0</v>
      </c>
    </row>
    <row r="201" spans="1:41" x14ac:dyDescent="0.2">
      <c r="A201" s="128"/>
      <c r="B201" s="9">
        <v>90</v>
      </c>
      <c r="C201" s="3" t="n">
        <v>873.0</v>
      </c>
      <c r="D201" s="3" t="n">
        <v>847.0</v>
      </c>
      <c r="E201" s="3" t="n">
        <v>865.0</v>
      </c>
      <c r="F201" s="3" t="n">
        <v>917.0</v>
      </c>
      <c r="G201" s="3" t="n">
        <v>917.0</v>
      </c>
      <c r="H201" s="3" t="n">
        <v>926.0</v>
      </c>
      <c r="I201" s="3" t="n">
        <v>947.0</v>
      </c>
      <c r="J201" s="3" t="n">
        <v>940.0</v>
      </c>
      <c r="K201" s="3" t="n">
        <v>969.0</v>
      </c>
      <c r="L201" s="3" t="n">
        <v>966.0</v>
      </c>
      <c r="M201" s="3" t="n">
        <v>965.0</v>
      </c>
      <c r="N201" s="3" t="n">
        <v>952.0</v>
      </c>
      <c r="O201" s="3" t="n">
        <v>919.0</v>
      </c>
      <c r="P201" s="3" t="n">
        <v>959.0</v>
      </c>
      <c r="Q201" s="3" t="n">
        <v>1550.0</v>
      </c>
      <c r="R201" s="3" t="n">
        <v>1641.0</v>
      </c>
      <c r="S201" s="3" t="n">
        <v>1788.0</v>
      </c>
      <c r="T201" s="3" t="n">
        <v>1913.0</v>
      </c>
      <c r="U201" s="3" t="n">
        <v>1960.0</v>
      </c>
      <c r="V201" s="3" t="n">
        <v>1996.0</v>
      </c>
      <c r="W201" s="3" t="n">
        <v>2056.0</v>
      </c>
      <c r="X201" s="3" t="n">
        <v>2125.0</v>
      </c>
      <c r="Y201" s="3" t="n">
        <v>2174.0</v>
      </c>
      <c r="Z201" s="3" t="n">
        <v>2288.0</v>
      </c>
      <c r="AA201" s="3" t="n">
        <v>2316.0</v>
      </c>
      <c r="AB201" s="3" t="n">
        <v>2361.0</v>
      </c>
      <c r="AC201" s="3" t="n">
        <v>2309.0</v>
      </c>
      <c r="AD201" s="3" t="n">
        <v>2225.0</v>
      </c>
      <c r="AE201" s="3" t="n">
        <v>2091.0</v>
      </c>
      <c r="AF201" s="3" t="n">
        <v>2012.0</v>
      </c>
      <c r="AG201" s="3" t="n">
        <v>1973.0</v>
      </c>
      <c r="AH201" s="3" t="n">
        <v>1901.0</v>
      </c>
      <c r="AI201" s="3" t="n">
        <v>1886.0</v>
      </c>
      <c r="AJ201" s="3" t="n">
        <v>1854.0</v>
      </c>
      <c r="AK201" s="3" t="n">
        <v>1821.0</v>
      </c>
      <c r="AL201" s="3" t="n">
        <v>1839.0</v>
      </c>
      <c r="AM201" s="3" t="n">
        <v>1860.0</v>
      </c>
      <c r="AN201" s="3" t="n">
        <v>1897.0</v>
      </c>
      <c r="AO201" s="3" t="n">
        <v>2010.0</v>
      </c>
    </row>
    <row r="202" spans="1:41" x14ac:dyDescent="0.2">
      <c r="A202" s="128"/>
      <c r="B202" s="9">
        <v>91</v>
      </c>
      <c r="C202" s="3" t="n">
        <v>695.0</v>
      </c>
      <c r="D202" s="3" t="n">
        <v>723.0</v>
      </c>
      <c r="E202" s="3" t="n">
        <v>699.0</v>
      </c>
      <c r="F202" s="3" t="n">
        <v>716.0</v>
      </c>
      <c r="G202" s="3" t="n">
        <v>765.0</v>
      </c>
      <c r="H202" s="3" t="n">
        <v>763.0</v>
      </c>
      <c r="I202" s="3" t="n">
        <v>772.0</v>
      </c>
      <c r="J202" s="3" t="n">
        <v>788.0</v>
      </c>
      <c r="K202" s="3" t="n">
        <v>788.0</v>
      </c>
      <c r="L202" s="3" t="n">
        <v>813.0</v>
      </c>
      <c r="M202" s="3" t="n">
        <v>808.0</v>
      </c>
      <c r="N202" s="3" t="n">
        <v>809.0</v>
      </c>
      <c r="O202" s="3" t="n">
        <v>799.0</v>
      </c>
      <c r="P202" s="3" t="n">
        <v>773.0</v>
      </c>
      <c r="Q202" s="3" t="n">
        <v>806.0</v>
      </c>
      <c r="R202" s="3" t="n">
        <v>1301.0</v>
      </c>
      <c r="S202" s="3" t="n">
        <v>1375.0</v>
      </c>
      <c r="T202" s="3" t="n">
        <v>1502.0</v>
      </c>
      <c r="U202" s="3" t="n">
        <v>1607.0</v>
      </c>
      <c r="V202" s="3" t="n">
        <v>1649.0</v>
      </c>
      <c r="W202" s="3" t="n">
        <v>1679.0</v>
      </c>
      <c r="X202" s="3" t="n">
        <v>1731.0</v>
      </c>
      <c r="Y202" s="3" t="n">
        <v>1789.0</v>
      </c>
      <c r="Z202" s="3" t="n">
        <v>1829.0</v>
      </c>
      <c r="AA202" s="3" t="n">
        <v>1928.0</v>
      </c>
      <c r="AB202" s="3" t="n">
        <v>1951.0</v>
      </c>
      <c r="AC202" s="3" t="n">
        <v>1995.0</v>
      </c>
      <c r="AD202" s="3" t="n">
        <v>1947.0</v>
      </c>
      <c r="AE202" s="3" t="n">
        <v>1879.0</v>
      </c>
      <c r="AF202" s="3" t="n">
        <v>1770.0</v>
      </c>
      <c r="AG202" s="3" t="n">
        <v>1704.0</v>
      </c>
      <c r="AH202" s="3" t="n">
        <v>1671.0</v>
      </c>
      <c r="AI202" s="3" t="n">
        <v>1612.0</v>
      </c>
      <c r="AJ202" s="3" t="n">
        <v>1598.0</v>
      </c>
      <c r="AK202" s="3" t="n">
        <v>1575.0</v>
      </c>
      <c r="AL202" s="3" t="n">
        <v>1546.0</v>
      </c>
      <c r="AM202" s="3" t="n">
        <v>1564.0</v>
      </c>
      <c r="AN202" s="3" t="n">
        <v>1579.0</v>
      </c>
      <c r="AO202" s="3" t="n">
        <v>1609.0</v>
      </c>
    </row>
    <row r="203" spans="1:41" x14ac:dyDescent="0.2">
      <c r="A203" s="128"/>
      <c r="B203" s="9">
        <v>92</v>
      </c>
      <c r="C203" s="3" t="n">
        <v>501.0</v>
      </c>
      <c r="D203" s="3" t="n">
        <v>566.0</v>
      </c>
      <c r="E203" s="3" t="n">
        <v>586.0</v>
      </c>
      <c r="F203" s="3" t="n">
        <v>572.0</v>
      </c>
      <c r="G203" s="3" t="n">
        <v>587.0</v>
      </c>
      <c r="H203" s="3" t="n">
        <v>628.0</v>
      </c>
      <c r="I203" s="3" t="n">
        <v>625.0</v>
      </c>
      <c r="J203" s="3" t="n">
        <v>634.0</v>
      </c>
      <c r="K203" s="3" t="n">
        <v>647.0</v>
      </c>
      <c r="L203" s="3" t="n">
        <v>649.0</v>
      </c>
      <c r="M203" s="3" t="n">
        <v>670.0</v>
      </c>
      <c r="N203" s="3" t="n">
        <v>667.0</v>
      </c>
      <c r="O203" s="3" t="n">
        <v>672.0</v>
      </c>
      <c r="P203" s="3" t="n">
        <v>662.0</v>
      </c>
      <c r="Q203" s="3" t="n">
        <v>637.0</v>
      </c>
      <c r="R203" s="3" t="n">
        <v>669.0</v>
      </c>
      <c r="S203" s="3" t="n">
        <v>1076.0</v>
      </c>
      <c r="T203" s="3" t="n">
        <v>1135.0</v>
      </c>
      <c r="U203" s="3" t="n">
        <v>1239.0</v>
      </c>
      <c r="V203" s="3" t="n">
        <v>1333.0</v>
      </c>
      <c r="W203" s="3" t="n">
        <v>1365.0</v>
      </c>
      <c r="X203" s="3" t="n">
        <v>1394.0</v>
      </c>
      <c r="Y203" s="3" t="n">
        <v>1437.0</v>
      </c>
      <c r="Z203" s="3" t="n">
        <v>1485.0</v>
      </c>
      <c r="AA203" s="3" t="n">
        <v>1520.0</v>
      </c>
      <c r="AB203" s="3" t="n">
        <v>1601.0</v>
      </c>
      <c r="AC203" s="3" t="n">
        <v>1619.0</v>
      </c>
      <c r="AD203" s="3" t="n">
        <v>1660.0</v>
      </c>
      <c r="AE203" s="3" t="n">
        <v>1620.0</v>
      </c>
      <c r="AF203" s="3" t="n">
        <v>1562.0</v>
      </c>
      <c r="AG203" s="3" t="n">
        <v>1473.0</v>
      </c>
      <c r="AH203" s="3" t="n">
        <v>1424.0</v>
      </c>
      <c r="AI203" s="3" t="n">
        <v>1394.0</v>
      </c>
      <c r="AJ203" s="3" t="n">
        <v>1346.0</v>
      </c>
      <c r="AK203" s="3" t="n">
        <v>1339.0</v>
      </c>
      <c r="AL203" s="3" t="n">
        <v>1317.0</v>
      </c>
      <c r="AM203" s="3" t="n">
        <v>1297.0</v>
      </c>
      <c r="AN203" s="3" t="n">
        <v>1311.0</v>
      </c>
      <c r="AO203" s="3" t="n">
        <v>1323.0</v>
      </c>
    </row>
    <row r="204" spans="1:41" x14ac:dyDescent="0.2">
      <c r="A204" s="128"/>
      <c r="B204" s="9">
        <v>93</v>
      </c>
      <c r="C204" s="3" t="n">
        <v>381.0</v>
      </c>
      <c r="D204" s="3" t="n">
        <v>395.0</v>
      </c>
      <c r="E204" s="3" t="n">
        <v>457.0</v>
      </c>
      <c r="F204" s="3" t="n">
        <v>467.0</v>
      </c>
      <c r="G204" s="3" t="n">
        <v>455.0</v>
      </c>
      <c r="H204" s="3" t="n">
        <v>472.0</v>
      </c>
      <c r="I204" s="3" t="n">
        <v>501.0</v>
      </c>
      <c r="J204" s="3" t="n">
        <v>502.0</v>
      </c>
      <c r="K204" s="3" t="n">
        <v>509.0</v>
      </c>
      <c r="L204" s="3" t="n">
        <v>520.0</v>
      </c>
      <c r="M204" s="3" t="n">
        <v>520.0</v>
      </c>
      <c r="N204" s="3" t="n">
        <v>539.0</v>
      </c>
      <c r="O204" s="3" t="n">
        <v>535.0</v>
      </c>
      <c r="P204" s="3" t="n">
        <v>542.0</v>
      </c>
      <c r="Q204" s="3" t="n">
        <v>533.0</v>
      </c>
      <c r="R204" s="3" t="n">
        <v>515.0</v>
      </c>
      <c r="S204" s="3" t="n">
        <v>539.0</v>
      </c>
      <c r="T204" s="3" t="n">
        <v>873.0</v>
      </c>
      <c r="U204" s="3" t="n">
        <v>918.0</v>
      </c>
      <c r="V204" s="3" t="n">
        <v>1005.0</v>
      </c>
      <c r="W204" s="3" t="n">
        <v>1087.0</v>
      </c>
      <c r="X204" s="3" t="n">
        <v>1113.0</v>
      </c>
      <c r="Y204" s="3" t="n">
        <v>1134.0</v>
      </c>
      <c r="Z204" s="3" t="n">
        <v>1172.0</v>
      </c>
      <c r="AA204" s="3" t="n">
        <v>1211.0</v>
      </c>
      <c r="AB204" s="3" t="n">
        <v>1239.0</v>
      </c>
      <c r="AC204" s="3" t="n">
        <v>1307.0</v>
      </c>
      <c r="AD204" s="3" t="n">
        <v>1324.0</v>
      </c>
      <c r="AE204" s="3" t="n">
        <v>1358.0</v>
      </c>
      <c r="AF204" s="3" t="n">
        <v>1331.0</v>
      </c>
      <c r="AG204" s="3" t="n">
        <v>1280.0</v>
      </c>
      <c r="AH204" s="3" t="n">
        <v>1212.0</v>
      </c>
      <c r="AI204" s="3" t="n">
        <v>1169.0</v>
      </c>
      <c r="AJ204" s="3" t="n">
        <v>1146.0</v>
      </c>
      <c r="AK204" s="3" t="n">
        <v>1104.0</v>
      </c>
      <c r="AL204" s="3" t="n">
        <v>1100.0</v>
      </c>
      <c r="AM204" s="3" t="n">
        <v>1081.0</v>
      </c>
      <c r="AN204" s="3" t="n">
        <v>1065.0</v>
      </c>
      <c r="AO204" s="3" t="n">
        <v>1078.0</v>
      </c>
    </row>
    <row r="205" spans="1:41" x14ac:dyDescent="0.2">
      <c r="A205" s="128"/>
      <c r="B205" s="9">
        <v>94</v>
      </c>
      <c r="C205" s="3" t="n">
        <v>266.0</v>
      </c>
      <c r="D205" s="3" t="n">
        <v>300.0</v>
      </c>
      <c r="E205" s="3" t="n">
        <v>309.0</v>
      </c>
      <c r="F205" s="3" t="n">
        <v>359.0</v>
      </c>
      <c r="G205" s="3" t="n">
        <v>367.0</v>
      </c>
      <c r="H205" s="3" t="n">
        <v>360.0</v>
      </c>
      <c r="I205" s="3" t="n">
        <v>373.0</v>
      </c>
      <c r="J205" s="3" t="n">
        <v>398.0</v>
      </c>
      <c r="K205" s="3" t="n">
        <v>399.0</v>
      </c>
      <c r="L205" s="3" t="n">
        <v>402.0</v>
      </c>
      <c r="M205" s="3" t="n">
        <v>414.0</v>
      </c>
      <c r="N205" s="3" t="n">
        <v>416.0</v>
      </c>
      <c r="O205" s="3" t="n">
        <v>428.0</v>
      </c>
      <c r="P205" s="3" t="n">
        <v>430.0</v>
      </c>
      <c r="Q205" s="3" t="n">
        <v>431.0</v>
      </c>
      <c r="R205" s="3" t="n">
        <v>426.0</v>
      </c>
      <c r="S205" s="3" t="n">
        <v>415.0</v>
      </c>
      <c r="T205" s="3" t="n">
        <v>433.0</v>
      </c>
      <c r="U205" s="3" t="n">
        <v>700.0</v>
      </c>
      <c r="V205" s="3" t="n">
        <v>737.0</v>
      </c>
      <c r="W205" s="3" t="n">
        <v>805.0</v>
      </c>
      <c r="X205" s="3" t="n">
        <v>872.0</v>
      </c>
      <c r="Y205" s="3" t="n">
        <v>890.0</v>
      </c>
      <c r="Z205" s="3" t="n">
        <v>908.0</v>
      </c>
      <c r="AA205" s="3" t="n">
        <v>941.0</v>
      </c>
      <c r="AB205" s="3" t="n">
        <v>976.0</v>
      </c>
      <c r="AC205" s="3" t="n">
        <v>999.0</v>
      </c>
      <c r="AD205" s="3" t="n">
        <v>1048.0</v>
      </c>
      <c r="AE205" s="3" t="n">
        <v>1065.0</v>
      </c>
      <c r="AF205" s="3" t="n">
        <v>1090.0</v>
      </c>
      <c r="AG205" s="3" t="n">
        <v>1074.0</v>
      </c>
      <c r="AH205" s="3" t="n">
        <v>1032.0</v>
      </c>
      <c r="AI205" s="3" t="n">
        <v>978.0</v>
      </c>
      <c r="AJ205" s="3" t="n">
        <v>948.0</v>
      </c>
      <c r="AK205" s="3" t="n">
        <v>929.0</v>
      </c>
      <c r="AL205" s="3" t="n">
        <v>893.0</v>
      </c>
      <c r="AM205" s="3" t="n">
        <v>892.0</v>
      </c>
      <c r="AN205" s="3" t="n">
        <v>876.0</v>
      </c>
      <c r="AO205" s="3" t="n">
        <v>859.0</v>
      </c>
    </row>
    <row r="206" spans="1:41" x14ac:dyDescent="0.2">
      <c r="A206" s="128"/>
      <c r="B206" s="9">
        <v>95</v>
      </c>
      <c r="C206" s="3" t="n">
        <v>199.0</v>
      </c>
      <c r="D206" s="3" t="n">
        <v>206.0</v>
      </c>
      <c r="E206" s="3" t="n">
        <v>234.0</v>
      </c>
      <c r="F206" s="3" t="n">
        <v>242.0</v>
      </c>
      <c r="G206" s="3" t="n">
        <v>276.0</v>
      </c>
      <c r="H206" s="3" t="n">
        <v>285.0</v>
      </c>
      <c r="I206" s="3" t="n">
        <v>279.0</v>
      </c>
      <c r="J206" s="3" t="n">
        <v>290.0</v>
      </c>
      <c r="K206" s="3" t="n">
        <v>310.0</v>
      </c>
      <c r="L206" s="3" t="n">
        <v>312.0</v>
      </c>
      <c r="M206" s="3" t="n">
        <v>313.0</v>
      </c>
      <c r="N206" s="3" t="n">
        <v>322.0</v>
      </c>
      <c r="O206" s="3" t="n">
        <v>325.0</v>
      </c>
      <c r="P206" s="3" t="n">
        <v>334.0</v>
      </c>
      <c r="Q206" s="3" t="n">
        <v>340.0</v>
      </c>
      <c r="R206" s="3" t="n">
        <v>341.0</v>
      </c>
      <c r="S206" s="3" t="n">
        <v>336.0</v>
      </c>
      <c r="T206" s="3" t="n">
        <v>325.0</v>
      </c>
      <c r="U206" s="3" t="n">
        <v>340.0</v>
      </c>
      <c r="V206" s="3" t="n">
        <v>547.0</v>
      </c>
      <c r="W206" s="3" t="n">
        <v>577.0</v>
      </c>
      <c r="X206" s="3" t="n">
        <v>633.0</v>
      </c>
      <c r="Y206" s="3" t="n">
        <v>682.0</v>
      </c>
      <c r="Z206" s="3" t="n">
        <v>700.0</v>
      </c>
      <c r="AA206" s="3" t="n">
        <v>713.0</v>
      </c>
      <c r="AB206" s="3" t="n">
        <v>741.0</v>
      </c>
      <c r="AC206" s="3" t="n">
        <v>770.0</v>
      </c>
      <c r="AD206" s="3" t="n">
        <v>789.0</v>
      </c>
      <c r="AE206" s="3" t="n">
        <v>825.0</v>
      </c>
      <c r="AF206" s="3" t="n">
        <v>840.0</v>
      </c>
      <c r="AG206" s="3" t="n">
        <v>861.0</v>
      </c>
      <c r="AH206" s="3" t="n">
        <v>849.0</v>
      </c>
      <c r="AI206" s="3" t="n">
        <v>814.0</v>
      </c>
      <c r="AJ206" s="3" t="n">
        <v>775.0</v>
      </c>
      <c r="AK206" s="3" t="n">
        <v>753.0</v>
      </c>
      <c r="AL206" s="3" t="n">
        <v>738.0</v>
      </c>
      <c r="AM206" s="3" t="n">
        <v>708.0</v>
      </c>
      <c r="AN206" s="3" t="n">
        <v>708.0</v>
      </c>
      <c r="AO206" s="3" t="n">
        <v>695.0</v>
      </c>
    </row>
    <row r="207" spans="1:41" x14ac:dyDescent="0.2">
      <c r="A207" s="128"/>
      <c r="B207" s="9">
        <v>96</v>
      </c>
      <c r="C207" s="3" t="n">
        <v>127.0</v>
      </c>
      <c r="D207" s="3" t="n">
        <v>148.0</v>
      </c>
      <c r="E207" s="3" t="n">
        <v>157.0</v>
      </c>
      <c r="F207" s="3" t="n">
        <v>174.0</v>
      </c>
      <c r="G207" s="3" t="n">
        <v>182.0</v>
      </c>
      <c r="H207" s="3" t="n">
        <v>211.0</v>
      </c>
      <c r="I207" s="3" t="n">
        <v>221.0</v>
      </c>
      <c r="J207" s="3" t="n">
        <v>212.0</v>
      </c>
      <c r="K207" s="3" t="n">
        <v>220.0</v>
      </c>
      <c r="L207" s="3" t="n">
        <v>237.0</v>
      </c>
      <c r="M207" s="3" t="n">
        <v>243.0</v>
      </c>
      <c r="N207" s="3" t="n">
        <v>241.0</v>
      </c>
      <c r="O207" s="3" t="n">
        <v>247.0</v>
      </c>
      <c r="P207" s="3" t="n">
        <v>250.0</v>
      </c>
      <c r="Q207" s="3" t="n">
        <v>259.0</v>
      </c>
      <c r="R207" s="3" t="n">
        <v>263.0</v>
      </c>
      <c r="S207" s="3" t="n">
        <v>264.0</v>
      </c>
      <c r="T207" s="3" t="n">
        <v>262.0</v>
      </c>
      <c r="U207" s="3" t="n">
        <v>256.0</v>
      </c>
      <c r="V207" s="3" t="n">
        <v>262.0</v>
      </c>
      <c r="W207" s="3" t="n">
        <v>419.0</v>
      </c>
      <c r="X207" s="3" t="n">
        <v>440.0</v>
      </c>
      <c r="Y207" s="3" t="n">
        <v>488.0</v>
      </c>
      <c r="Z207" s="3" t="n">
        <v>524.0</v>
      </c>
      <c r="AA207" s="3" t="n">
        <v>539.0</v>
      </c>
      <c r="AB207" s="3" t="n">
        <v>551.0</v>
      </c>
      <c r="AC207" s="3" t="n">
        <v>576.0</v>
      </c>
      <c r="AD207" s="3" t="n">
        <v>594.0</v>
      </c>
      <c r="AE207" s="3" t="n">
        <v>607.0</v>
      </c>
      <c r="AF207" s="3" t="n">
        <v>639.0</v>
      </c>
      <c r="AG207" s="3" t="n">
        <v>651.0</v>
      </c>
      <c r="AH207" s="3" t="n">
        <v>667.0</v>
      </c>
      <c r="AI207" s="3" t="n">
        <v>658.0</v>
      </c>
      <c r="AJ207" s="3" t="n">
        <v>633.0</v>
      </c>
      <c r="AK207" s="3" t="n">
        <v>604.0</v>
      </c>
      <c r="AL207" s="3" t="n">
        <v>583.0</v>
      </c>
      <c r="AM207" s="3" t="n">
        <v>575.0</v>
      </c>
      <c r="AN207" s="3" t="n">
        <v>551.0</v>
      </c>
      <c r="AO207" s="3" t="n">
        <v>551.0</v>
      </c>
    </row>
    <row r="208" spans="1:41" x14ac:dyDescent="0.2">
      <c r="A208" s="128"/>
      <c r="B208" s="9">
        <v>97</v>
      </c>
      <c r="C208" s="3" t="n">
        <v>73.0</v>
      </c>
      <c r="D208" s="3" t="n">
        <v>89.0</v>
      </c>
      <c r="E208" s="3" t="n">
        <v>103.0</v>
      </c>
      <c r="F208" s="3" t="n">
        <v>108.0</v>
      </c>
      <c r="G208" s="3" t="n">
        <v>121.0</v>
      </c>
      <c r="H208" s="3" t="n">
        <v>126.0</v>
      </c>
      <c r="I208" s="3" t="n">
        <v>147.0</v>
      </c>
      <c r="J208" s="3" t="n">
        <v>151.0</v>
      </c>
      <c r="K208" s="3" t="n">
        <v>147.0</v>
      </c>
      <c r="L208" s="3" t="n">
        <v>154.0</v>
      </c>
      <c r="M208" s="3" t="n">
        <v>167.0</v>
      </c>
      <c r="N208" s="3" t="n">
        <v>174.0</v>
      </c>
      <c r="O208" s="3" t="n">
        <v>171.0</v>
      </c>
      <c r="P208" s="3" t="n">
        <v>177.0</v>
      </c>
      <c r="Q208" s="3" t="n">
        <v>180.0</v>
      </c>
      <c r="R208" s="3" t="n">
        <v>188.0</v>
      </c>
      <c r="S208" s="3" t="n">
        <v>190.0</v>
      </c>
      <c r="T208" s="3" t="n">
        <v>193.0</v>
      </c>
      <c r="U208" s="3" t="n">
        <v>191.0</v>
      </c>
      <c r="V208" s="3" t="n">
        <v>186.0</v>
      </c>
      <c r="W208" s="3" t="n">
        <v>190.0</v>
      </c>
      <c r="X208" s="3" t="n">
        <v>304.0</v>
      </c>
      <c r="Y208" s="3" t="n">
        <v>325.0</v>
      </c>
      <c r="Z208" s="3" t="n">
        <v>358.0</v>
      </c>
      <c r="AA208" s="3" t="n">
        <v>388.0</v>
      </c>
      <c r="AB208" s="3" t="n">
        <v>400.0</v>
      </c>
      <c r="AC208" s="3" t="n">
        <v>406.0</v>
      </c>
      <c r="AD208" s="3" t="n">
        <v>427.0</v>
      </c>
      <c r="AE208" s="3" t="n">
        <v>442.0</v>
      </c>
      <c r="AF208" s="3" t="n">
        <v>450.0</v>
      </c>
      <c r="AG208" s="3" t="n">
        <v>472.0</v>
      </c>
      <c r="AH208" s="3" t="n">
        <v>481.0</v>
      </c>
      <c r="AI208" s="3" t="n">
        <v>495.0</v>
      </c>
      <c r="AJ208" s="3" t="n">
        <v>490.0</v>
      </c>
      <c r="AK208" s="3" t="n">
        <v>470.0</v>
      </c>
      <c r="AL208" s="3" t="n">
        <v>448.0</v>
      </c>
      <c r="AM208" s="3" t="n">
        <v>433.0</v>
      </c>
      <c r="AN208" s="3" t="n">
        <v>429.0</v>
      </c>
      <c r="AO208" s="3" t="n">
        <v>414.0</v>
      </c>
    </row>
    <row r="209" spans="1:41" x14ac:dyDescent="0.2">
      <c r="A209" s="128"/>
      <c r="B209" s="9">
        <v>98</v>
      </c>
      <c r="C209" s="3" t="n">
        <v>70.0</v>
      </c>
      <c r="D209" s="3" t="n">
        <v>49.0</v>
      </c>
      <c r="E209" s="3" t="n">
        <v>66.0</v>
      </c>
      <c r="F209" s="3" t="n">
        <v>79.0</v>
      </c>
      <c r="G209" s="3" t="n">
        <v>79.0</v>
      </c>
      <c r="H209" s="3" t="n">
        <v>86.0</v>
      </c>
      <c r="I209" s="3" t="n">
        <v>89.0</v>
      </c>
      <c r="J209" s="3" t="n">
        <v>105.0</v>
      </c>
      <c r="K209" s="3" t="n">
        <v>109.0</v>
      </c>
      <c r="L209" s="3" t="n">
        <v>104.0</v>
      </c>
      <c r="M209" s="3" t="n">
        <v>109.0</v>
      </c>
      <c r="N209" s="3" t="n">
        <v>119.0</v>
      </c>
      <c r="O209" s="3" t="n">
        <v>127.0</v>
      </c>
      <c r="P209" s="3" t="n">
        <v>122.0</v>
      </c>
      <c r="Q209" s="3" t="n">
        <v>128.0</v>
      </c>
      <c r="R209" s="3" t="n">
        <v>131.0</v>
      </c>
      <c r="S209" s="3" t="n">
        <v>137.0</v>
      </c>
      <c r="T209" s="3" t="n">
        <v>137.0</v>
      </c>
      <c r="U209" s="3" t="n">
        <v>139.0</v>
      </c>
      <c r="V209" s="3" t="n">
        <v>140.0</v>
      </c>
      <c r="W209" s="3" t="n">
        <v>135.0</v>
      </c>
      <c r="X209" s="3" t="n">
        <v>141.0</v>
      </c>
      <c r="Y209" s="3" t="n">
        <v>219.0</v>
      </c>
      <c r="Z209" s="3" t="n">
        <v>239.0</v>
      </c>
      <c r="AA209" s="3" t="n">
        <v>264.0</v>
      </c>
      <c r="AB209" s="3" t="n">
        <v>284.0</v>
      </c>
      <c r="AC209" s="3" t="n">
        <v>297.0</v>
      </c>
      <c r="AD209" s="3" t="n">
        <v>302.0</v>
      </c>
      <c r="AE209" s="3" t="n">
        <v>313.0</v>
      </c>
      <c r="AF209" s="3" t="n">
        <v>326.0</v>
      </c>
      <c r="AG209" s="3" t="n">
        <v>332.0</v>
      </c>
      <c r="AH209" s="3" t="n">
        <v>350.0</v>
      </c>
      <c r="AI209" s="3" t="n">
        <v>354.0</v>
      </c>
      <c r="AJ209" s="3" t="n">
        <v>366.0</v>
      </c>
      <c r="AK209" s="3" t="n">
        <v>361.0</v>
      </c>
      <c r="AL209" s="3" t="n">
        <v>347.0</v>
      </c>
      <c r="AM209" s="3" t="n">
        <v>327.0</v>
      </c>
      <c r="AN209" s="3" t="n">
        <v>319.0</v>
      </c>
      <c r="AO209" s="3" t="n">
        <v>315.0</v>
      </c>
    </row>
    <row r="210" spans="1:41" x14ac:dyDescent="0.2">
      <c r="A210" s="128"/>
      <c r="B210" s="9">
        <v>99</v>
      </c>
      <c r="C210" s="3" t="n">
        <v>40.0</v>
      </c>
      <c r="D210" s="3" t="n">
        <v>52.0</v>
      </c>
      <c r="E210" s="3" t="n">
        <v>37.0</v>
      </c>
      <c r="F210" s="3" t="n">
        <v>48.0</v>
      </c>
      <c r="G210" s="3" t="n">
        <v>54.0</v>
      </c>
      <c r="H210" s="3" t="n">
        <v>53.0</v>
      </c>
      <c r="I210" s="3" t="n">
        <v>61.0</v>
      </c>
      <c r="J210" s="3" t="n">
        <v>64.0</v>
      </c>
      <c r="K210" s="3" t="n">
        <v>76.0</v>
      </c>
      <c r="L210" s="3" t="n">
        <v>76.0</v>
      </c>
      <c r="M210" s="3" t="n">
        <v>74.0</v>
      </c>
      <c r="N210" s="3" t="n">
        <v>78.0</v>
      </c>
      <c r="O210" s="3" t="n">
        <v>82.0</v>
      </c>
      <c r="P210" s="3" t="n">
        <v>88.0</v>
      </c>
      <c r="Q210" s="3" t="n">
        <v>87.0</v>
      </c>
      <c r="R210" s="3" t="n">
        <v>89.0</v>
      </c>
      <c r="S210" s="3" t="n">
        <v>93.0</v>
      </c>
      <c r="T210" s="3" t="n">
        <v>96.0</v>
      </c>
      <c r="U210" s="3" t="n">
        <v>95.0</v>
      </c>
      <c r="V210" s="3" t="n">
        <v>98.0</v>
      </c>
      <c r="W210" s="3" t="n">
        <v>100.0</v>
      </c>
      <c r="X210" s="3" t="n">
        <v>92.0</v>
      </c>
      <c r="Y210" s="3" t="n">
        <v>100.0</v>
      </c>
      <c r="Z210" s="3" t="n">
        <v>154.0</v>
      </c>
      <c r="AA210" s="3" t="n">
        <v>168.0</v>
      </c>
      <c r="AB210" s="3" t="n">
        <v>186.0</v>
      </c>
      <c r="AC210" s="3" t="n">
        <v>198.0</v>
      </c>
      <c r="AD210" s="3" t="n">
        <v>211.0</v>
      </c>
      <c r="AE210" s="3" t="n">
        <v>214.0</v>
      </c>
      <c r="AF210" s="3" t="n">
        <v>223.0</v>
      </c>
      <c r="AG210" s="3" t="n">
        <v>234.0</v>
      </c>
      <c r="AH210" s="3" t="n">
        <v>240.0</v>
      </c>
      <c r="AI210" s="3" t="n">
        <v>250.0</v>
      </c>
      <c r="AJ210" s="3" t="n">
        <v>256.0</v>
      </c>
      <c r="AK210" s="3" t="n">
        <v>265.0</v>
      </c>
      <c r="AL210" s="3" t="n">
        <v>262.0</v>
      </c>
      <c r="AM210" s="3" t="n">
        <v>250.0</v>
      </c>
      <c r="AN210" s="3" t="n">
        <v>238.0</v>
      </c>
      <c r="AO210" s="3" t="n">
        <v>231.0</v>
      </c>
    </row>
    <row r="211" spans="1:41" x14ac:dyDescent="0.2">
      <c r="A211" s="128"/>
      <c r="B211" s="9" t="s">
        <v>79</v>
      </c>
      <c r="C211" s="3" t="n">
        <v>82.0</v>
      </c>
      <c r="D211" s="3" t="n">
        <v>82.0</v>
      </c>
      <c r="E211" s="3" t="n">
        <v>91.0</v>
      </c>
      <c r="F211" s="3" t="n">
        <v>81.0</v>
      </c>
      <c r="G211" s="3" t="n">
        <v>85.0</v>
      </c>
      <c r="H211" s="3" t="n">
        <v>92.0</v>
      </c>
      <c r="I211" s="3" t="n">
        <v>96.0</v>
      </c>
      <c r="J211" s="3" t="n">
        <v>102.0</v>
      </c>
      <c r="K211" s="3" t="n">
        <v>113.0</v>
      </c>
      <c r="L211" s="3" t="n">
        <v>125.0</v>
      </c>
      <c r="M211" s="3" t="n">
        <v>126.0</v>
      </c>
      <c r="N211" s="3" t="n">
        <v>129.0</v>
      </c>
      <c r="O211" s="3" t="n">
        <v>134.0</v>
      </c>
      <c r="P211" s="3" t="n">
        <v>138.0</v>
      </c>
      <c r="Q211" s="3" t="n">
        <v>146.0</v>
      </c>
      <c r="R211" s="3" t="n">
        <v>154.0</v>
      </c>
      <c r="S211" s="3" t="n">
        <v>154.0</v>
      </c>
      <c r="T211" s="3" t="n">
        <v>161.0</v>
      </c>
      <c r="U211" s="3" t="n">
        <v>171.0</v>
      </c>
      <c r="V211" s="3" t="n">
        <v>173.0</v>
      </c>
      <c r="W211" s="3" t="n">
        <v>179.0</v>
      </c>
      <c r="X211" s="3" t="n">
        <v>187.0</v>
      </c>
      <c r="Y211" s="3" t="n">
        <v>183.0</v>
      </c>
      <c r="Z211" s="3" t="n">
        <v>186.0</v>
      </c>
      <c r="AA211" s="3" t="n">
        <v>229.0</v>
      </c>
      <c r="AB211" s="3" t="n">
        <v>267.0</v>
      </c>
      <c r="AC211" s="3" t="n">
        <v>309.0</v>
      </c>
      <c r="AD211" s="3" t="n">
        <v>344.0</v>
      </c>
      <c r="AE211" s="3" t="n">
        <v>376.0</v>
      </c>
      <c r="AF211" s="3" t="n">
        <v>404.0</v>
      </c>
      <c r="AG211" s="3" t="n">
        <v>427.0</v>
      </c>
      <c r="AH211" s="3" t="n">
        <v>449.0</v>
      </c>
      <c r="AI211" s="3" t="n">
        <v>467.0</v>
      </c>
      <c r="AJ211" s="3" t="n">
        <v>486.0</v>
      </c>
      <c r="AK211" s="3" t="n">
        <v>510.0</v>
      </c>
      <c r="AL211" s="3" t="n">
        <v>532.0</v>
      </c>
      <c r="AM211" s="3" t="n">
        <v>545.0</v>
      </c>
      <c r="AN211" s="3" t="n">
        <v>542.0</v>
      </c>
      <c r="AO211" s="3" t="n">
        <v>535.0</v>
      </c>
    </row>
    <row r="212" spans="1:41" x14ac:dyDescent="0.2">
      <c r="A212" s="128" t="s">
        <v>51</v>
      </c>
      <c r="B212" s="14" t="s">
        <v>52</v>
      </c>
      <c r="C212" s="15" t="n">
        <v>1035828.0</v>
      </c>
      <c r="D212" s="15" t="n">
        <v>1030667.0</v>
      </c>
      <c r="E212" s="15" t="n">
        <v>1025154.0</v>
      </c>
      <c r="F212" s="15" t="n">
        <v>1019372.0</v>
      </c>
      <c r="G212" s="15" t="n">
        <v>1013375.0</v>
      </c>
      <c r="H212" s="15" t="n">
        <v>1008019.0</v>
      </c>
      <c r="I212" s="15" t="n">
        <v>1002664.0</v>
      </c>
      <c r="J212" s="15" t="n">
        <v>996383.0</v>
      </c>
      <c r="K212" s="15" t="n">
        <v>989569.0</v>
      </c>
      <c r="L212" s="15" t="n">
        <v>982411.0</v>
      </c>
      <c r="M212" s="15" t="n">
        <v>974842.0</v>
      </c>
      <c r="N212" s="15" t="n">
        <v>966983.0</v>
      </c>
      <c r="O212" s="15" t="n">
        <v>958914.0</v>
      </c>
      <c r="P212" s="15" t="n">
        <v>950547.0</v>
      </c>
      <c r="Q212" s="15" t="n">
        <v>942029.0</v>
      </c>
      <c r="R212" s="15" t="n">
        <v>933176.0</v>
      </c>
      <c r="S212" s="15" t="n">
        <v>924199.0</v>
      </c>
      <c r="T212" s="15" t="n">
        <v>914945.0</v>
      </c>
      <c r="U212" s="15" t="n">
        <v>905575.0</v>
      </c>
      <c r="V212" s="15" t="n">
        <v>895991.0</v>
      </c>
      <c r="W212" s="15" t="n">
        <v>886344.0</v>
      </c>
      <c r="X212" s="15" t="n">
        <v>876534.0</v>
      </c>
      <c r="Y212" s="15" t="n">
        <v>866718.0</v>
      </c>
      <c r="Z212" s="15" t="n">
        <v>856795.0</v>
      </c>
      <c r="AA212" s="15" t="n">
        <v>846692.0</v>
      </c>
      <c r="AB212" s="15" t="n">
        <v>836643.0</v>
      </c>
      <c r="AC212" s="15" t="n">
        <v>826487.0</v>
      </c>
      <c r="AD212" s="15" t="n">
        <v>816250.0</v>
      </c>
      <c r="AE212" s="15" t="n">
        <v>806084.0</v>
      </c>
      <c r="AF212" s="15" t="n">
        <v>795841.0</v>
      </c>
      <c r="AG212" s="15" t="n">
        <v>785580.0</v>
      </c>
      <c r="AH212" s="15" t="n">
        <v>775336.0</v>
      </c>
      <c r="AI212" s="15" t="n">
        <v>765015.0</v>
      </c>
      <c r="AJ212" s="15" t="n">
        <v>754640.0</v>
      </c>
      <c r="AK212" s="15" t="n">
        <v>744249.0</v>
      </c>
      <c r="AL212" s="15" t="n">
        <v>733810.0</v>
      </c>
      <c r="AM212" s="15" t="n">
        <v>723214.0</v>
      </c>
      <c r="AN212" s="15" t="n">
        <v>712557.0</v>
      </c>
      <c r="AO212" s="15" t="n">
        <v>701894.0</v>
      </c>
    </row>
    <row r="213" spans="1:41" x14ac:dyDescent="0.2">
      <c r="A213" s="128"/>
      <c r="B213" s="9">
        <v>0</v>
      </c>
      <c r="C213" s="3" t="n">
        <v>7143.0</v>
      </c>
      <c r="D213" s="3" t="n">
        <v>6838.0</v>
      </c>
      <c r="E213" s="3" t="n">
        <v>6593.0</v>
      </c>
      <c r="F213" s="3" t="n">
        <v>6373.0</v>
      </c>
      <c r="G213" s="3" t="n">
        <v>6180.0</v>
      </c>
      <c r="H213" s="3" t="n">
        <v>6020.0</v>
      </c>
      <c r="I213" s="3" t="n">
        <v>5892.0</v>
      </c>
      <c r="J213" s="3" t="n">
        <v>5767.0</v>
      </c>
      <c r="K213" s="3" t="n">
        <v>5663.0</v>
      </c>
      <c r="L213" s="3" t="n">
        <v>5566.0</v>
      </c>
      <c r="M213" s="3" t="n">
        <v>5494.0</v>
      </c>
      <c r="N213" s="3" t="n">
        <v>5428.0</v>
      </c>
      <c r="O213" s="3" t="n">
        <v>5396.0</v>
      </c>
      <c r="P213" s="3" t="n">
        <v>5370.0</v>
      </c>
      <c r="Q213" s="3" t="n">
        <v>5351.0</v>
      </c>
      <c r="R213" s="3" t="n">
        <v>5339.0</v>
      </c>
      <c r="S213" s="3" t="n">
        <v>5333.0</v>
      </c>
      <c r="T213" s="3" t="n">
        <v>5323.0</v>
      </c>
      <c r="U213" s="3" t="n">
        <v>5307.0</v>
      </c>
      <c r="V213" s="3" t="n">
        <v>5286.0</v>
      </c>
      <c r="W213" s="3" t="n">
        <v>5256.0</v>
      </c>
      <c r="X213" s="3" t="n">
        <v>5217.0</v>
      </c>
      <c r="Y213" s="3" t="n">
        <v>5159.0</v>
      </c>
      <c r="Z213" s="3" t="n">
        <v>5102.0</v>
      </c>
      <c r="AA213" s="3" t="n">
        <v>5012.0</v>
      </c>
      <c r="AB213" s="3" t="n">
        <v>4914.0</v>
      </c>
      <c r="AC213" s="3" t="n">
        <v>4809.0</v>
      </c>
      <c r="AD213" s="3" t="n">
        <v>4682.0</v>
      </c>
      <c r="AE213" s="3" t="n">
        <v>4549.0</v>
      </c>
      <c r="AF213" s="3" t="n">
        <v>4421.0</v>
      </c>
      <c r="AG213" s="3" t="n">
        <v>4278.0</v>
      </c>
      <c r="AH213" s="3" t="n">
        <v>4133.0</v>
      </c>
      <c r="AI213" s="3" t="n">
        <v>3992.0</v>
      </c>
      <c r="AJ213" s="3" t="n">
        <v>3853.0</v>
      </c>
      <c r="AK213" s="3" t="n">
        <v>3723.0</v>
      </c>
      <c r="AL213" s="3" t="n">
        <v>3597.0</v>
      </c>
      <c r="AM213" s="3" t="n">
        <v>3479.0</v>
      </c>
      <c r="AN213" s="3" t="n">
        <v>3373.0</v>
      </c>
      <c r="AO213" s="3" t="n">
        <v>3274.0</v>
      </c>
    </row>
    <row r="214" spans="1:41" x14ac:dyDescent="0.2">
      <c r="A214" s="128"/>
      <c r="B214" s="9">
        <v>1</v>
      </c>
      <c r="C214" s="3" t="n">
        <v>8057.0</v>
      </c>
      <c r="D214" s="3" t="n">
        <v>7158.0</v>
      </c>
      <c r="E214" s="3" t="n">
        <v>6855.0</v>
      </c>
      <c r="F214" s="3" t="n">
        <v>6609.0</v>
      </c>
      <c r="G214" s="3" t="n">
        <v>6387.0</v>
      </c>
      <c r="H214" s="3" t="n">
        <v>6209.0</v>
      </c>
      <c r="I214" s="3" t="n">
        <v>6048.0</v>
      </c>
      <c r="J214" s="3" t="n">
        <v>5913.0</v>
      </c>
      <c r="K214" s="3" t="n">
        <v>5785.0</v>
      </c>
      <c r="L214" s="3" t="n">
        <v>5681.0</v>
      </c>
      <c r="M214" s="3" t="n">
        <v>5583.0</v>
      </c>
      <c r="N214" s="3" t="n">
        <v>5510.0</v>
      </c>
      <c r="O214" s="3" t="n">
        <v>5446.0</v>
      </c>
      <c r="P214" s="3" t="n">
        <v>5412.0</v>
      </c>
      <c r="Q214" s="3" t="n">
        <v>5384.0</v>
      </c>
      <c r="R214" s="3" t="n">
        <v>5365.0</v>
      </c>
      <c r="S214" s="3" t="n">
        <v>5354.0</v>
      </c>
      <c r="T214" s="3" t="n">
        <v>5349.0</v>
      </c>
      <c r="U214" s="3" t="n">
        <v>5338.0</v>
      </c>
      <c r="V214" s="3" t="n">
        <v>5322.0</v>
      </c>
      <c r="W214" s="3" t="n">
        <v>5302.0</v>
      </c>
      <c r="X214" s="3" t="n">
        <v>5272.0</v>
      </c>
      <c r="Y214" s="3" t="n">
        <v>5235.0</v>
      </c>
      <c r="Z214" s="3" t="n">
        <v>5175.0</v>
      </c>
      <c r="AA214" s="3" t="n">
        <v>5121.0</v>
      </c>
      <c r="AB214" s="3" t="n">
        <v>5031.0</v>
      </c>
      <c r="AC214" s="3" t="n">
        <v>4932.0</v>
      </c>
      <c r="AD214" s="3" t="n">
        <v>4827.0</v>
      </c>
      <c r="AE214" s="3" t="n">
        <v>4702.0</v>
      </c>
      <c r="AF214" s="3" t="n">
        <v>4570.0</v>
      </c>
      <c r="AG214" s="3" t="n">
        <v>4443.0</v>
      </c>
      <c r="AH214" s="3" t="n">
        <v>4304.0</v>
      </c>
      <c r="AI214" s="3" t="n">
        <v>4159.0</v>
      </c>
      <c r="AJ214" s="3" t="n">
        <v>4016.0</v>
      </c>
      <c r="AK214" s="3" t="n">
        <v>3878.0</v>
      </c>
      <c r="AL214" s="3" t="n">
        <v>3748.0</v>
      </c>
      <c r="AM214" s="3" t="n">
        <v>3619.0</v>
      </c>
      <c r="AN214" s="3" t="n">
        <v>3501.0</v>
      </c>
      <c r="AO214" s="3" t="n">
        <v>3393.0</v>
      </c>
    </row>
    <row r="215" spans="1:41" x14ac:dyDescent="0.2">
      <c r="A215" s="128"/>
      <c r="B215" s="9">
        <v>2</v>
      </c>
      <c r="C215" s="3" t="n">
        <v>8778.0</v>
      </c>
      <c r="D215" s="3" t="n">
        <v>8061.0</v>
      </c>
      <c r="E215" s="3" t="n">
        <v>7169.0</v>
      </c>
      <c r="F215" s="3" t="n">
        <v>6870.0</v>
      </c>
      <c r="G215" s="3" t="n">
        <v>6624.0</v>
      </c>
      <c r="H215" s="3" t="n">
        <v>6416.0</v>
      </c>
      <c r="I215" s="3" t="n">
        <v>6238.0</v>
      </c>
      <c r="J215" s="3" t="n">
        <v>6067.0</v>
      </c>
      <c r="K215" s="3" t="n">
        <v>5924.0</v>
      </c>
      <c r="L215" s="3" t="n">
        <v>5793.0</v>
      </c>
      <c r="M215" s="3" t="n">
        <v>5692.0</v>
      </c>
      <c r="N215" s="3" t="n">
        <v>5593.0</v>
      </c>
      <c r="O215" s="3" t="n">
        <v>5520.0</v>
      </c>
      <c r="P215" s="3" t="n">
        <v>5455.0</v>
      </c>
      <c r="Q215" s="3" t="n">
        <v>5421.0</v>
      </c>
      <c r="R215" s="3" t="n">
        <v>5392.0</v>
      </c>
      <c r="S215" s="3" t="n">
        <v>5373.0</v>
      </c>
      <c r="T215" s="3" t="n">
        <v>5362.0</v>
      </c>
      <c r="U215" s="3" t="n">
        <v>5356.0</v>
      </c>
      <c r="V215" s="3" t="n">
        <v>5346.0</v>
      </c>
      <c r="W215" s="3" t="n">
        <v>5329.0</v>
      </c>
      <c r="X215" s="3" t="n">
        <v>5308.0</v>
      </c>
      <c r="Y215" s="3" t="n">
        <v>5280.0</v>
      </c>
      <c r="Z215" s="3" t="n">
        <v>5243.0</v>
      </c>
      <c r="AA215" s="3" t="n">
        <v>5183.0</v>
      </c>
      <c r="AB215" s="3" t="n">
        <v>5130.0</v>
      </c>
      <c r="AC215" s="3" t="n">
        <v>5039.0</v>
      </c>
      <c r="AD215" s="3" t="n">
        <v>4941.0</v>
      </c>
      <c r="AE215" s="3" t="n">
        <v>4838.0</v>
      </c>
      <c r="AF215" s="3" t="n">
        <v>4715.0</v>
      </c>
      <c r="AG215" s="3" t="n">
        <v>4582.0</v>
      </c>
      <c r="AH215" s="3" t="n">
        <v>4456.0</v>
      </c>
      <c r="AI215" s="3" t="n">
        <v>4320.0</v>
      </c>
      <c r="AJ215" s="3" t="n">
        <v>4175.0</v>
      </c>
      <c r="AK215" s="3" t="n">
        <v>4033.0</v>
      </c>
      <c r="AL215" s="3" t="n">
        <v>3896.0</v>
      </c>
      <c r="AM215" s="3" t="n">
        <v>3768.0</v>
      </c>
      <c r="AN215" s="3" t="n">
        <v>3638.0</v>
      </c>
      <c r="AO215" s="3" t="n">
        <v>3519.0</v>
      </c>
    </row>
    <row r="216" spans="1:41" x14ac:dyDescent="0.2">
      <c r="A216" s="128"/>
      <c r="B216" s="9">
        <v>3</v>
      </c>
      <c r="C216" s="3" t="n">
        <v>9392.0</v>
      </c>
      <c r="D216" s="3" t="n">
        <v>8782.0</v>
      </c>
      <c r="E216" s="3" t="n">
        <v>8057.0</v>
      </c>
      <c r="F216" s="3" t="n">
        <v>7176.0</v>
      </c>
      <c r="G216" s="3" t="n">
        <v>6878.0</v>
      </c>
      <c r="H216" s="3" t="n">
        <v>6644.0</v>
      </c>
      <c r="I216" s="3" t="n">
        <v>6445.0</v>
      </c>
      <c r="J216" s="3" t="n">
        <v>6257.0</v>
      </c>
      <c r="K216" s="3" t="n">
        <v>6082.0</v>
      </c>
      <c r="L216" s="3" t="n">
        <v>5939.0</v>
      </c>
      <c r="M216" s="3" t="n">
        <v>5803.0</v>
      </c>
      <c r="N216" s="3" t="n">
        <v>5701.0</v>
      </c>
      <c r="O216" s="3" t="n">
        <v>5602.0</v>
      </c>
      <c r="P216" s="3" t="n">
        <v>5530.0</v>
      </c>
      <c r="Q216" s="3" t="n">
        <v>5465.0</v>
      </c>
      <c r="R216" s="3" t="n">
        <v>5431.0</v>
      </c>
      <c r="S216" s="3" t="n">
        <v>5402.0</v>
      </c>
      <c r="T216" s="3" t="n">
        <v>5383.0</v>
      </c>
      <c r="U216" s="3" t="n">
        <v>5371.0</v>
      </c>
      <c r="V216" s="3" t="n">
        <v>5365.0</v>
      </c>
      <c r="W216" s="3" t="n">
        <v>5355.0</v>
      </c>
      <c r="X216" s="3" t="n">
        <v>5338.0</v>
      </c>
      <c r="Y216" s="3" t="n">
        <v>5316.0</v>
      </c>
      <c r="Z216" s="3" t="n">
        <v>5288.0</v>
      </c>
      <c r="AA216" s="3" t="n">
        <v>5252.0</v>
      </c>
      <c r="AB216" s="3" t="n">
        <v>5193.0</v>
      </c>
      <c r="AC216" s="3" t="n">
        <v>5140.0</v>
      </c>
      <c r="AD216" s="3" t="n">
        <v>5048.0</v>
      </c>
      <c r="AE216" s="3" t="n">
        <v>4950.0</v>
      </c>
      <c r="AF216" s="3" t="n">
        <v>4849.0</v>
      </c>
      <c r="AG216" s="3" t="n">
        <v>4729.0</v>
      </c>
      <c r="AH216" s="3" t="n">
        <v>4594.0</v>
      </c>
      <c r="AI216" s="3" t="n">
        <v>4469.0</v>
      </c>
      <c r="AJ216" s="3" t="n">
        <v>4330.0</v>
      </c>
      <c r="AK216" s="3" t="n">
        <v>4186.0</v>
      </c>
      <c r="AL216" s="3" t="n">
        <v>4047.0</v>
      </c>
      <c r="AM216" s="3" t="n">
        <v>3908.0</v>
      </c>
      <c r="AN216" s="3" t="n">
        <v>3780.0</v>
      </c>
      <c r="AO216" s="3" t="n">
        <v>3652.0</v>
      </c>
    </row>
    <row r="217" spans="1:41" x14ac:dyDescent="0.2">
      <c r="A217" s="128"/>
      <c r="B217" s="9">
        <v>4</v>
      </c>
      <c r="C217" s="3" t="n">
        <v>9804.0</v>
      </c>
      <c r="D217" s="3" t="n">
        <v>9392.0</v>
      </c>
      <c r="E217" s="3" t="n">
        <v>8788.0</v>
      </c>
      <c r="F217" s="3" t="n">
        <v>8064.0</v>
      </c>
      <c r="G217" s="3" t="n">
        <v>7185.0</v>
      </c>
      <c r="H217" s="3" t="n">
        <v>6896.0</v>
      </c>
      <c r="I217" s="3" t="n">
        <v>6669.0</v>
      </c>
      <c r="J217" s="3" t="n">
        <v>6461.0</v>
      </c>
      <c r="K217" s="3" t="n">
        <v>6269.0</v>
      </c>
      <c r="L217" s="3" t="n">
        <v>6095.0</v>
      </c>
      <c r="M217" s="3" t="n">
        <v>5950.0</v>
      </c>
      <c r="N217" s="3" t="n">
        <v>5816.0</v>
      </c>
      <c r="O217" s="3" t="n">
        <v>5712.0</v>
      </c>
      <c r="P217" s="3" t="n">
        <v>5616.0</v>
      </c>
      <c r="Q217" s="3" t="n">
        <v>5547.0</v>
      </c>
      <c r="R217" s="3" t="n">
        <v>5480.0</v>
      </c>
      <c r="S217" s="3" t="n">
        <v>5445.0</v>
      </c>
      <c r="T217" s="3" t="n">
        <v>5412.0</v>
      </c>
      <c r="U217" s="3" t="n">
        <v>5393.0</v>
      </c>
      <c r="V217" s="3" t="n">
        <v>5382.0</v>
      </c>
      <c r="W217" s="3" t="n">
        <v>5377.0</v>
      </c>
      <c r="X217" s="3" t="n">
        <v>5367.0</v>
      </c>
      <c r="Y217" s="3" t="n">
        <v>5349.0</v>
      </c>
      <c r="Z217" s="3" t="n">
        <v>5328.0</v>
      </c>
      <c r="AA217" s="3" t="n">
        <v>5301.0</v>
      </c>
      <c r="AB217" s="3" t="n">
        <v>5265.0</v>
      </c>
      <c r="AC217" s="3" t="n">
        <v>5206.0</v>
      </c>
      <c r="AD217" s="3" t="n">
        <v>5155.0</v>
      </c>
      <c r="AE217" s="3" t="n">
        <v>5065.0</v>
      </c>
      <c r="AF217" s="3" t="n">
        <v>4966.0</v>
      </c>
      <c r="AG217" s="3" t="n">
        <v>4866.0</v>
      </c>
      <c r="AH217" s="3" t="n">
        <v>4744.0</v>
      </c>
      <c r="AI217" s="3" t="n">
        <v>4609.0</v>
      </c>
      <c r="AJ217" s="3" t="n">
        <v>4486.0</v>
      </c>
      <c r="AK217" s="3" t="n">
        <v>4349.0</v>
      </c>
      <c r="AL217" s="3" t="n">
        <v>4206.0</v>
      </c>
      <c r="AM217" s="3" t="n">
        <v>4066.0</v>
      </c>
      <c r="AN217" s="3" t="n">
        <v>3927.0</v>
      </c>
      <c r="AO217" s="3" t="n">
        <v>3798.0</v>
      </c>
    </row>
    <row r="218" spans="1:41" x14ac:dyDescent="0.2">
      <c r="A218" s="128"/>
      <c r="B218" s="9">
        <v>5</v>
      </c>
      <c r="C218" s="3" t="n">
        <v>10184.0</v>
      </c>
      <c r="D218" s="3" t="n">
        <v>9809.0</v>
      </c>
      <c r="E218" s="3" t="n">
        <v>9395.0</v>
      </c>
      <c r="F218" s="3" t="n">
        <v>8791.0</v>
      </c>
      <c r="G218" s="3" t="n">
        <v>8078.0</v>
      </c>
      <c r="H218" s="3" t="n">
        <v>7213.0</v>
      </c>
      <c r="I218" s="3" t="n">
        <v>6934.0</v>
      </c>
      <c r="J218" s="3" t="n">
        <v>6698.0</v>
      </c>
      <c r="K218" s="3" t="n">
        <v>6479.0</v>
      </c>
      <c r="L218" s="3" t="n">
        <v>6285.0</v>
      </c>
      <c r="M218" s="3" t="n">
        <v>6107.0</v>
      </c>
      <c r="N218" s="3" t="n">
        <v>5962.0</v>
      </c>
      <c r="O218" s="3" t="n">
        <v>5829.0</v>
      </c>
      <c r="P218" s="3" t="n">
        <v>5725.0</v>
      </c>
      <c r="Q218" s="3" t="n">
        <v>5629.0</v>
      </c>
      <c r="R218" s="3" t="n">
        <v>5562.0</v>
      </c>
      <c r="S218" s="3" t="n">
        <v>5493.0</v>
      </c>
      <c r="T218" s="3" t="n">
        <v>5458.0</v>
      </c>
      <c r="U218" s="3" t="n">
        <v>5423.0</v>
      </c>
      <c r="V218" s="3" t="n">
        <v>5405.0</v>
      </c>
      <c r="W218" s="3" t="n">
        <v>5395.0</v>
      </c>
      <c r="X218" s="3" t="n">
        <v>5390.0</v>
      </c>
      <c r="Y218" s="3" t="n">
        <v>5380.0</v>
      </c>
      <c r="Z218" s="3" t="n">
        <v>5362.0</v>
      </c>
      <c r="AA218" s="3" t="n">
        <v>5341.0</v>
      </c>
      <c r="AB218" s="3" t="n">
        <v>5314.0</v>
      </c>
      <c r="AC218" s="3" t="n">
        <v>5277.0</v>
      </c>
      <c r="AD218" s="3" t="n">
        <v>5219.0</v>
      </c>
      <c r="AE218" s="3" t="n">
        <v>5168.0</v>
      </c>
      <c r="AF218" s="3" t="n">
        <v>5080.0</v>
      </c>
      <c r="AG218" s="3" t="n">
        <v>4983.0</v>
      </c>
      <c r="AH218" s="3" t="n">
        <v>4880.0</v>
      </c>
      <c r="AI218" s="3" t="n">
        <v>4759.0</v>
      </c>
      <c r="AJ218" s="3" t="n">
        <v>4623.0</v>
      </c>
      <c r="AK218" s="3" t="n">
        <v>4498.0</v>
      </c>
      <c r="AL218" s="3" t="n">
        <v>4364.0</v>
      </c>
      <c r="AM218" s="3" t="n">
        <v>4220.0</v>
      </c>
      <c r="AN218" s="3" t="n">
        <v>4078.0</v>
      </c>
      <c r="AO218" s="3" t="n">
        <v>3937.0</v>
      </c>
    </row>
    <row r="219" spans="1:41" x14ac:dyDescent="0.2">
      <c r="A219" s="128"/>
      <c r="B219" s="9">
        <v>6</v>
      </c>
      <c r="C219" s="3" t="n">
        <v>10006.0</v>
      </c>
      <c r="D219" s="3" t="n">
        <v>10190.0</v>
      </c>
      <c r="E219" s="3" t="n">
        <v>9811.0</v>
      </c>
      <c r="F219" s="3" t="n">
        <v>9398.0</v>
      </c>
      <c r="G219" s="3" t="n">
        <v>8793.0</v>
      </c>
      <c r="H219" s="3" t="n">
        <v>8108.0</v>
      </c>
      <c r="I219" s="3" t="n">
        <v>7245.0</v>
      </c>
      <c r="J219" s="3" t="n">
        <v>6959.0</v>
      </c>
      <c r="K219" s="3" t="n">
        <v>6717.0</v>
      </c>
      <c r="L219" s="3" t="n">
        <v>6496.0</v>
      </c>
      <c r="M219" s="3" t="n">
        <v>6300.0</v>
      </c>
      <c r="N219" s="3" t="n">
        <v>6120.0</v>
      </c>
      <c r="O219" s="3" t="n">
        <v>5974.0</v>
      </c>
      <c r="P219" s="3" t="n">
        <v>5837.0</v>
      </c>
      <c r="Q219" s="3" t="n">
        <v>5732.0</v>
      </c>
      <c r="R219" s="3" t="n">
        <v>5636.0</v>
      </c>
      <c r="S219" s="3" t="n">
        <v>5568.0</v>
      </c>
      <c r="T219" s="3" t="n">
        <v>5496.0</v>
      </c>
      <c r="U219" s="3" t="n">
        <v>5461.0</v>
      </c>
      <c r="V219" s="3" t="n">
        <v>5427.0</v>
      </c>
      <c r="W219" s="3" t="n">
        <v>5407.0</v>
      </c>
      <c r="X219" s="3" t="n">
        <v>5397.0</v>
      </c>
      <c r="Y219" s="3" t="n">
        <v>5393.0</v>
      </c>
      <c r="Z219" s="3" t="n">
        <v>5383.0</v>
      </c>
      <c r="AA219" s="3" t="n">
        <v>5365.0</v>
      </c>
      <c r="AB219" s="3" t="n">
        <v>5344.0</v>
      </c>
      <c r="AC219" s="3" t="n">
        <v>5317.0</v>
      </c>
      <c r="AD219" s="3" t="n">
        <v>5280.0</v>
      </c>
      <c r="AE219" s="3" t="n">
        <v>5223.0</v>
      </c>
      <c r="AF219" s="3" t="n">
        <v>5173.0</v>
      </c>
      <c r="AG219" s="3" t="n">
        <v>5088.0</v>
      </c>
      <c r="AH219" s="3" t="n">
        <v>4994.0</v>
      </c>
      <c r="AI219" s="3" t="n">
        <v>4890.0</v>
      </c>
      <c r="AJ219" s="3" t="n">
        <v>4767.0</v>
      </c>
      <c r="AK219" s="3" t="n">
        <v>4631.0</v>
      </c>
      <c r="AL219" s="3" t="n">
        <v>4509.0</v>
      </c>
      <c r="AM219" s="3" t="n">
        <v>4377.0</v>
      </c>
      <c r="AN219" s="3" t="n">
        <v>4232.0</v>
      </c>
      <c r="AO219" s="3" t="n">
        <v>4090.0</v>
      </c>
    </row>
    <row r="220" spans="1:41" x14ac:dyDescent="0.2">
      <c r="A220" s="128"/>
      <c r="B220" s="9">
        <v>7</v>
      </c>
      <c r="C220" s="3" t="n">
        <v>9770.0</v>
      </c>
      <c r="D220" s="3" t="n">
        <v>10015.0</v>
      </c>
      <c r="E220" s="3" t="n">
        <v>10201.0</v>
      </c>
      <c r="F220" s="3" t="n">
        <v>9820.0</v>
      </c>
      <c r="G220" s="3" t="n">
        <v>9407.0</v>
      </c>
      <c r="H220" s="3" t="n">
        <v>8818.0</v>
      </c>
      <c r="I220" s="3" t="n">
        <v>8143.0</v>
      </c>
      <c r="J220" s="3" t="n">
        <v>7267.0</v>
      </c>
      <c r="K220" s="3" t="n">
        <v>6980.0</v>
      </c>
      <c r="L220" s="3" t="n">
        <v>6735.0</v>
      </c>
      <c r="M220" s="3" t="n">
        <v>6512.0</v>
      </c>
      <c r="N220" s="3" t="n">
        <v>6315.0</v>
      </c>
      <c r="O220" s="3" t="n">
        <v>6135.0</v>
      </c>
      <c r="P220" s="3" t="n">
        <v>5986.0</v>
      </c>
      <c r="Q220" s="3" t="n">
        <v>5851.0</v>
      </c>
      <c r="R220" s="3" t="n">
        <v>5745.0</v>
      </c>
      <c r="S220" s="3" t="n">
        <v>5646.0</v>
      </c>
      <c r="T220" s="3" t="n">
        <v>5578.0</v>
      </c>
      <c r="U220" s="3" t="n">
        <v>5505.0</v>
      </c>
      <c r="V220" s="3" t="n">
        <v>5473.0</v>
      </c>
      <c r="W220" s="3" t="n">
        <v>5438.0</v>
      </c>
      <c r="X220" s="3" t="n">
        <v>5418.0</v>
      </c>
      <c r="Y220" s="3" t="n">
        <v>5408.0</v>
      </c>
      <c r="Z220" s="3" t="n">
        <v>5404.0</v>
      </c>
      <c r="AA220" s="3" t="n">
        <v>5393.0</v>
      </c>
      <c r="AB220" s="3" t="n">
        <v>5376.0</v>
      </c>
      <c r="AC220" s="3" t="n">
        <v>5355.0</v>
      </c>
      <c r="AD220" s="3" t="n">
        <v>5329.0</v>
      </c>
      <c r="AE220" s="3" t="n">
        <v>5292.0</v>
      </c>
      <c r="AF220" s="3" t="n">
        <v>5235.0</v>
      </c>
      <c r="AG220" s="3" t="n">
        <v>5184.0</v>
      </c>
      <c r="AH220" s="3" t="n">
        <v>5098.0</v>
      </c>
      <c r="AI220" s="3" t="n">
        <v>5005.0</v>
      </c>
      <c r="AJ220" s="3" t="n">
        <v>4902.0</v>
      </c>
      <c r="AK220" s="3" t="n">
        <v>4780.0</v>
      </c>
      <c r="AL220" s="3" t="n">
        <v>4647.0</v>
      </c>
      <c r="AM220" s="3" t="n">
        <v>4523.0</v>
      </c>
      <c r="AN220" s="3" t="n">
        <v>4392.0</v>
      </c>
      <c r="AO220" s="3" t="n">
        <v>4247.0</v>
      </c>
    </row>
    <row r="221" spans="1:41" x14ac:dyDescent="0.2">
      <c r="A221" s="128"/>
      <c r="B221" s="9">
        <v>8</v>
      </c>
      <c r="C221" s="3" t="n">
        <v>10017.0</v>
      </c>
      <c r="D221" s="3" t="n">
        <v>9770.0</v>
      </c>
      <c r="E221" s="3" t="n">
        <v>10015.0</v>
      </c>
      <c r="F221" s="3" t="n">
        <v>10201.0</v>
      </c>
      <c r="G221" s="3" t="n">
        <v>9824.0</v>
      </c>
      <c r="H221" s="3" t="n">
        <v>9435.0</v>
      </c>
      <c r="I221" s="3" t="n">
        <v>8850.0</v>
      </c>
      <c r="J221" s="3" t="n">
        <v>8163.0</v>
      </c>
      <c r="K221" s="3" t="n">
        <v>7277.0</v>
      </c>
      <c r="L221" s="3" t="n">
        <v>6993.0</v>
      </c>
      <c r="M221" s="3" t="n">
        <v>6751.0</v>
      </c>
      <c r="N221" s="3" t="n">
        <v>6523.0</v>
      </c>
      <c r="O221" s="3" t="n">
        <v>6326.0</v>
      </c>
      <c r="P221" s="3" t="n">
        <v>6144.0</v>
      </c>
      <c r="Q221" s="3" t="n">
        <v>5995.0</v>
      </c>
      <c r="R221" s="3" t="n">
        <v>5857.0</v>
      </c>
      <c r="S221" s="3" t="n">
        <v>5750.0</v>
      </c>
      <c r="T221" s="3" t="n">
        <v>5652.0</v>
      </c>
      <c r="U221" s="3" t="n">
        <v>5584.0</v>
      </c>
      <c r="V221" s="3" t="n">
        <v>5509.0</v>
      </c>
      <c r="W221" s="3" t="n">
        <v>5475.0</v>
      </c>
      <c r="X221" s="3" t="n">
        <v>5439.0</v>
      </c>
      <c r="Y221" s="3" t="n">
        <v>5419.0</v>
      </c>
      <c r="Z221" s="3" t="n">
        <v>5409.0</v>
      </c>
      <c r="AA221" s="3" t="n">
        <v>5404.0</v>
      </c>
      <c r="AB221" s="3" t="n">
        <v>5393.0</v>
      </c>
      <c r="AC221" s="3" t="n">
        <v>5376.0</v>
      </c>
      <c r="AD221" s="3" t="n">
        <v>5355.0</v>
      </c>
      <c r="AE221" s="3" t="n">
        <v>5328.0</v>
      </c>
      <c r="AF221" s="3" t="n">
        <v>5293.0</v>
      </c>
      <c r="AG221" s="3" t="n">
        <v>5239.0</v>
      </c>
      <c r="AH221" s="3" t="n">
        <v>5188.0</v>
      </c>
      <c r="AI221" s="3" t="n">
        <v>5103.0</v>
      </c>
      <c r="AJ221" s="3" t="n">
        <v>5010.0</v>
      </c>
      <c r="AK221" s="3" t="n">
        <v>4911.0</v>
      </c>
      <c r="AL221" s="3" t="n">
        <v>4789.0</v>
      </c>
      <c r="AM221" s="3" t="n">
        <v>4656.0</v>
      </c>
      <c r="AN221" s="3" t="n">
        <v>4530.0</v>
      </c>
      <c r="AO221" s="3" t="n">
        <v>4394.0</v>
      </c>
    </row>
    <row r="222" spans="1:41" x14ac:dyDescent="0.2">
      <c r="A222" s="128"/>
      <c r="B222" s="9">
        <v>9</v>
      </c>
      <c r="C222" s="3" t="n">
        <v>9969.0</v>
      </c>
      <c r="D222" s="3" t="n">
        <v>10008.0</v>
      </c>
      <c r="E222" s="3" t="n">
        <v>9762.0</v>
      </c>
      <c r="F222" s="3" t="n">
        <v>10007.0</v>
      </c>
      <c r="G222" s="3" t="n">
        <v>10192.0</v>
      </c>
      <c r="H222" s="3" t="n">
        <v>9836.0</v>
      </c>
      <c r="I222" s="3" t="n">
        <v>9457.0</v>
      </c>
      <c r="J222" s="3" t="n">
        <v>8859.0</v>
      </c>
      <c r="K222" s="3" t="n">
        <v>8167.0</v>
      </c>
      <c r="L222" s="3" t="n">
        <v>7281.0</v>
      </c>
      <c r="M222" s="3" t="n">
        <v>6994.0</v>
      </c>
      <c r="N222" s="3" t="n">
        <v>6755.0</v>
      </c>
      <c r="O222" s="3" t="n">
        <v>6522.0</v>
      </c>
      <c r="P222" s="3" t="n">
        <v>6325.0</v>
      </c>
      <c r="Q222" s="3" t="n">
        <v>6144.0</v>
      </c>
      <c r="R222" s="3" t="n">
        <v>5995.0</v>
      </c>
      <c r="S222" s="3" t="n">
        <v>5856.0</v>
      </c>
      <c r="T222" s="3" t="n">
        <v>5749.0</v>
      </c>
      <c r="U222" s="3" t="n">
        <v>5648.0</v>
      </c>
      <c r="V222" s="3" t="n">
        <v>5580.0</v>
      </c>
      <c r="W222" s="3" t="n">
        <v>5504.0</v>
      </c>
      <c r="X222" s="3" t="n">
        <v>5472.0</v>
      </c>
      <c r="Y222" s="3" t="n">
        <v>5436.0</v>
      </c>
      <c r="Z222" s="3" t="n">
        <v>5416.0</v>
      </c>
      <c r="AA222" s="3" t="n">
        <v>5406.0</v>
      </c>
      <c r="AB222" s="3" t="n">
        <v>5401.0</v>
      </c>
      <c r="AC222" s="3" t="n">
        <v>5390.0</v>
      </c>
      <c r="AD222" s="3" t="n">
        <v>5373.0</v>
      </c>
      <c r="AE222" s="3" t="n">
        <v>5353.0</v>
      </c>
      <c r="AF222" s="3" t="n">
        <v>5327.0</v>
      </c>
      <c r="AG222" s="3" t="n">
        <v>5292.0</v>
      </c>
      <c r="AH222" s="3" t="n">
        <v>5238.0</v>
      </c>
      <c r="AI222" s="3" t="n">
        <v>5189.0</v>
      </c>
      <c r="AJ222" s="3" t="n">
        <v>5105.0</v>
      </c>
      <c r="AK222" s="3" t="n">
        <v>5011.0</v>
      </c>
      <c r="AL222" s="3" t="n">
        <v>4911.0</v>
      </c>
      <c r="AM222" s="3" t="n">
        <v>4791.0</v>
      </c>
      <c r="AN222" s="3" t="n">
        <v>4660.0</v>
      </c>
      <c r="AO222" s="3" t="n">
        <v>4535.0</v>
      </c>
    </row>
    <row r="223" spans="1:41" x14ac:dyDescent="0.2">
      <c r="A223" s="128"/>
      <c r="B223" s="9">
        <v>10</v>
      </c>
      <c r="C223" s="3" t="n">
        <v>10402.0</v>
      </c>
      <c r="D223" s="3" t="n">
        <v>9964.0</v>
      </c>
      <c r="E223" s="3" t="n">
        <v>10002.0</v>
      </c>
      <c r="F223" s="3" t="n">
        <v>9760.0</v>
      </c>
      <c r="G223" s="3" t="n">
        <v>10004.0</v>
      </c>
      <c r="H223" s="3" t="n">
        <v>10210.0</v>
      </c>
      <c r="I223" s="3" t="n">
        <v>9866.0</v>
      </c>
      <c r="J223" s="3" t="n">
        <v>9463.0</v>
      </c>
      <c r="K223" s="3" t="n">
        <v>8865.0</v>
      </c>
      <c r="L223" s="3" t="n">
        <v>8167.0</v>
      </c>
      <c r="M223" s="3" t="n">
        <v>7283.0</v>
      </c>
      <c r="N223" s="3" t="n">
        <v>6995.0</v>
      </c>
      <c r="O223" s="3" t="n">
        <v>6755.0</v>
      </c>
      <c r="P223" s="3" t="n">
        <v>6527.0</v>
      </c>
      <c r="Q223" s="3" t="n">
        <v>6327.0</v>
      </c>
      <c r="R223" s="3" t="n">
        <v>6146.0</v>
      </c>
      <c r="S223" s="3" t="n">
        <v>5997.0</v>
      </c>
      <c r="T223" s="3" t="n">
        <v>5858.0</v>
      </c>
      <c r="U223" s="3" t="n">
        <v>5751.0</v>
      </c>
      <c r="V223" s="3" t="n">
        <v>5649.0</v>
      </c>
      <c r="W223" s="3" t="n">
        <v>5580.0</v>
      </c>
      <c r="X223" s="3" t="n">
        <v>5503.0</v>
      </c>
      <c r="Y223" s="3" t="n">
        <v>5469.0</v>
      </c>
      <c r="Z223" s="3" t="n">
        <v>5435.0</v>
      </c>
      <c r="AA223" s="3" t="n">
        <v>5414.0</v>
      </c>
      <c r="AB223" s="3" t="n">
        <v>5404.0</v>
      </c>
      <c r="AC223" s="3" t="n">
        <v>5398.0</v>
      </c>
      <c r="AD223" s="3" t="n">
        <v>5387.0</v>
      </c>
      <c r="AE223" s="3" t="n">
        <v>5369.0</v>
      </c>
      <c r="AF223" s="3" t="n">
        <v>5350.0</v>
      </c>
      <c r="AG223" s="3" t="n">
        <v>5323.0</v>
      </c>
      <c r="AH223" s="3" t="n">
        <v>5288.0</v>
      </c>
      <c r="AI223" s="3" t="n">
        <v>5234.0</v>
      </c>
      <c r="AJ223" s="3" t="n">
        <v>5189.0</v>
      </c>
      <c r="AK223" s="3" t="n">
        <v>5105.0</v>
      </c>
      <c r="AL223" s="3" t="n">
        <v>5011.0</v>
      </c>
      <c r="AM223" s="3" t="n">
        <v>4912.0</v>
      </c>
      <c r="AN223" s="3" t="n">
        <v>4794.0</v>
      </c>
      <c r="AO223" s="3" t="n">
        <v>4663.0</v>
      </c>
    </row>
    <row r="224" spans="1:41" x14ac:dyDescent="0.2">
      <c r="A224" s="128"/>
      <c r="B224" s="9">
        <v>11</v>
      </c>
      <c r="C224" s="3" t="n">
        <v>10362.0</v>
      </c>
      <c r="D224" s="3" t="n">
        <v>10397.0</v>
      </c>
      <c r="E224" s="3" t="n">
        <v>9962.0</v>
      </c>
      <c r="F224" s="3" t="n">
        <v>10000.0</v>
      </c>
      <c r="G224" s="3" t="n">
        <v>9760.0</v>
      </c>
      <c r="H224" s="3" t="n">
        <v>10025.0</v>
      </c>
      <c r="I224" s="3" t="n">
        <v>10237.0</v>
      </c>
      <c r="J224" s="3" t="n">
        <v>9875.0</v>
      </c>
      <c r="K224" s="3" t="n">
        <v>9469.0</v>
      </c>
      <c r="L224" s="3" t="n">
        <v>8869.0</v>
      </c>
      <c r="M224" s="3" t="n">
        <v>8167.0</v>
      </c>
      <c r="N224" s="3" t="n">
        <v>7288.0</v>
      </c>
      <c r="O224" s="3" t="n">
        <v>7002.0</v>
      </c>
      <c r="P224" s="3" t="n">
        <v>6759.0</v>
      </c>
      <c r="Q224" s="3" t="n">
        <v>6533.0</v>
      </c>
      <c r="R224" s="3" t="n">
        <v>6332.0</v>
      </c>
      <c r="S224" s="3" t="n">
        <v>6153.0</v>
      </c>
      <c r="T224" s="3" t="n">
        <v>6002.0</v>
      </c>
      <c r="U224" s="3" t="n">
        <v>5867.0</v>
      </c>
      <c r="V224" s="3" t="n">
        <v>5759.0</v>
      </c>
      <c r="W224" s="3" t="n">
        <v>5658.0</v>
      </c>
      <c r="X224" s="3" t="n">
        <v>5588.0</v>
      </c>
      <c r="Y224" s="3" t="n">
        <v>5512.0</v>
      </c>
      <c r="Z224" s="3" t="n">
        <v>5476.0</v>
      </c>
      <c r="AA224" s="3" t="n">
        <v>5441.0</v>
      </c>
      <c r="AB224" s="3" t="n">
        <v>5420.0</v>
      </c>
      <c r="AC224" s="3" t="n">
        <v>5410.0</v>
      </c>
      <c r="AD224" s="3" t="n">
        <v>5404.0</v>
      </c>
      <c r="AE224" s="3" t="n">
        <v>5393.0</v>
      </c>
      <c r="AF224" s="3" t="n">
        <v>5375.0</v>
      </c>
      <c r="AG224" s="3" t="n">
        <v>5358.0</v>
      </c>
      <c r="AH224" s="3" t="n">
        <v>5331.0</v>
      </c>
      <c r="AI224" s="3" t="n">
        <v>5296.0</v>
      </c>
      <c r="AJ224" s="3" t="n">
        <v>5242.0</v>
      </c>
      <c r="AK224" s="3" t="n">
        <v>5198.0</v>
      </c>
      <c r="AL224" s="3" t="n">
        <v>5114.0</v>
      </c>
      <c r="AM224" s="3" t="n">
        <v>5023.0</v>
      </c>
      <c r="AN224" s="3" t="n">
        <v>4919.0</v>
      </c>
      <c r="AO224" s="3" t="n">
        <v>4800.0</v>
      </c>
    </row>
    <row r="225" spans="1:41" x14ac:dyDescent="0.2">
      <c r="A225" s="128"/>
      <c r="B225" s="9">
        <v>12</v>
      </c>
      <c r="C225" s="3" t="n">
        <v>11204.0</v>
      </c>
      <c r="D225" s="3" t="n">
        <v>10354.0</v>
      </c>
      <c r="E225" s="3" t="n">
        <v>10387.0</v>
      </c>
      <c r="F225" s="3" t="n">
        <v>9958.0</v>
      </c>
      <c r="G225" s="3" t="n">
        <v>9995.0</v>
      </c>
      <c r="H225" s="3" t="n">
        <v>9773.0</v>
      </c>
      <c r="I225" s="3" t="n">
        <v>10045.0</v>
      </c>
      <c r="J225" s="3" t="n">
        <v>10246.0</v>
      </c>
      <c r="K225" s="3" t="n">
        <v>9875.0</v>
      </c>
      <c r="L225" s="3" t="n">
        <v>9470.0</v>
      </c>
      <c r="M225" s="3" t="n">
        <v>8866.0</v>
      </c>
      <c r="N225" s="3" t="n">
        <v>8174.0</v>
      </c>
      <c r="O225" s="3" t="n">
        <v>7297.0</v>
      </c>
      <c r="P225" s="3" t="n">
        <v>7007.0</v>
      </c>
      <c r="Q225" s="3" t="n">
        <v>6763.0</v>
      </c>
      <c r="R225" s="3" t="n">
        <v>6538.0</v>
      </c>
      <c r="S225" s="3" t="n">
        <v>6335.0</v>
      </c>
      <c r="T225" s="3" t="n">
        <v>6158.0</v>
      </c>
      <c r="U225" s="3" t="n">
        <v>6002.0</v>
      </c>
      <c r="V225" s="3" t="n">
        <v>5866.0</v>
      </c>
      <c r="W225" s="3" t="n">
        <v>5758.0</v>
      </c>
      <c r="X225" s="3" t="n">
        <v>5658.0</v>
      </c>
      <c r="Y225" s="3" t="n">
        <v>5588.0</v>
      </c>
      <c r="Z225" s="3" t="n">
        <v>5510.0</v>
      </c>
      <c r="AA225" s="3" t="n">
        <v>5474.0</v>
      </c>
      <c r="AB225" s="3" t="n">
        <v>5439.0</v>
      </c>
      <c r="AC225" s="3" t="n">
        <v>5419.0</v>
      </c>
      <c r="AD225" s="3" t="n">
        <v>5409.0</v>
      </c>
      <c r="AE225" s="3" t="n">
        <v>5403.0</v>
      </c>
      <c r="AF225" s="3" t="n">
        <v>5392.0</v>
      </c>
      <c r="AG225" s="3" t="n">
        <v>5374.0</v>
      </c>
      <c r="AH225" s="3" t="n">
        <v>5357.0</v>
      </c>
      <c r="AI225" s="3" t="n">
        <v>5330.0</v>
      </c>
      <c r="AJ225" s="3" t="n">
        <v>5295.0</v>
      </c>
      <c r="AK225" s="3" t="n">
        <v>5240.0</v>
      </c>
      <c r="AL225" s="3" t="n">
        <v>5197.0</v>
      </c>
      <c r="AM225" s="3" t="n">
        <v>5113.0</v>
      </c>
      <c r="AN225" s="3" t="n">
        <v>5022.0</v>
      </c>
      <c r="AO225" s="3" t="n">
        <v>4919.0</v>
      </c>
    </row>
    <row r="226" spans="1:41" x14ac:dyDescent="0.2">
      <c r="A226" s="128"/>
      <c r="B226" s="9">
        <v>13</v>
      </c>
      <c r="C226" s="3" t="n">
        <v>11623.0</v>
      </c>
      <c r="D226" s="3" t="n">
        <v>11202.0</v>
      </c>
      <c r="E226" s="3" t="n">
        <v>10356.0</v>
      </c>
      <c r="F226" s="3" t="n">
        <v>10389.0</v>
      </c>
      <c r="G226" s="3" t="n">
        <v>9955.0</v>
      </c>
      <c r="H226" s="3" t="n">
        <v>10011.0</v>
      </c>
      <c r="I226" s="3" t="n">
        <v>9803.0</v>
      </c>
      <c r="J226" s="3" t="n">
        <v>10054.0</v>
      </c>
      <c r="K226" s="3" t="n">
        <v>10252.0</v>
      </c>
      <c r="L226" s="3" t="n">
        <v>9874.0</v>
      </c>
      <c r="M226" s="3" t="n">
        <v>9471.0</v>
      </c>
      <c r="N226" s="3" t="n">
        <v>8864.0</v>
      </c>
      <c r="O226" s="3" t="n">
        <v>8180.0</v>
      </c>
      <c r="P226" s="3" t="n">
        <v>7304.0</v>
      </c>
      <c r="Q226" s="3" t="n">
        <v>7011.0</v>
      </c>
      <c r="R226" s="3" t="n">
        <v>6768.0</v>
      </c>
      <c r="S226" s="3" t="n">
        <v>6542.0</v>
      </c>
      <c r="T226" s="3" t="n">
        <v>6340.0</v>
      </c>
      <c r="U226" s="3" t="n">
        <v>6162.0</v>
      </c>
      <c r="V226" s="3" t="n">
        <v>6008.0</v>
      </c>
      <c r="W226" s="3" t="n">
        <v>5870.0</v>
      </c>
      <c r="X226" s="3" t="n">
        <v>5763.0</v>
      </c>
      <c r="Y226" s="3" t="n">
        <v>5662.0</v>
      </c>
      <c r="Z226" s="3" t="n">
        <v>5592.0</v>
      </c>
      <c r="AA226" s="3" t="n">
        <v>5512.0</v>
      </c>
      <c r="AB226" s="3" t="n">
        <v>5477.0</v>
      </c>
      <c r="AC226" s="3" t="n">
        <v>5442.0</v>
      </c>
      <c r="AD226" s="3" t="n">
        <v>5421.0</v>
      </c>
      <c r="AE226" s="3" t="n">
        <v>5411.0</v>
      </c>
      <c r="AF226" s="3" t="n">
        <v>5405.0</v>
      </c>
      <c r="AG226" s="3" t="n">
        <v>5395.0</v>
      </c>
      <c r="AH226" s="3" t="n">
        <v>5376.0</v>
      </c>
      <c r="AI226" s="3" t="n">
        <v>5359.0</v>
      </c>
      <c r="AJ226" s="3" t="n">
        <v>5332.0</v>
      </c>
      <c r="AK226" s="3" t="n">
        <v>5297.0</v>
      </c>
      <c r="AL226" s="3" t="n">
        <v>5242.0</v>
      </c>
      <c r="AM226" s="3" t="n">
        <v>5198.0</v>
      </c>
      <c r="AN226" s="3" t="n">
        <v>5116.0</v>
      </c>
      <c r="AO226" s="3" t="n">
        <v>5025.0</v>
      </c>
    </row>
    <row r="227" spans="1:41" x14ac:dyDescent="0.2">
      <c r="A227" s="128"/>
      <c r="B227" s="9">
        <v>14</v>
      </c>
      <c r="C227" s="3" t="n">
        <v>11498.0</v>
      </c>
      <c r="D227" s="3" t="n">
        <v>11617.0</v>
      </c>
      <c r="E227" s="3" t="n">
        <v>11195.0</v>
      </c>
      <c r="F227" s="3" t="n">
        <v>10353.0</v>
      </c>
      <c r="G227" s="3" t="n">
        <v>10387.0</v>
      </c>
      <c r="H227" s="3" t="n">
        <v>9978.0</v>
      </c>
      <c r="I227" s="3" t="n">
        <v>10039.0</v>
      </c>
      <c r="J227" s="3" t="n">
        <v>9814.0</v>
      </c>
      <c r="K227" s="3" t="n">
        <v>10065.0</v>
      </c>
      <c r="L227" s="3" t="n">
        <v>10259.0</v>
      </c>
      <c r="M227" s="3" t="n">
        <v>9875.0</v>
      </c>
      <c r="N227" s="3" t="n">
        <v>9471.0</v>
      </c>
      <c r="O227" s="3" t="n">
        <v>8863.0</v>
      </c>
      <c r="P227" s="3" t="n">
        <v>8177.0</v>
      </c>
      <c r="Q227" s="3" t="n">
        <v>7306.0</v>
      </c>
      <c r="R227" s="3" t="n">
        <v>7012.0</v>
      </c>
      <c r="S227" s="3" t="n">
        <v>6769.0</v>
      </c>
      <c r="T227" s="3" t="n">
        <v>6544.0</v>
      </c>
      <c r="U227" s="3" t="n">
        <v>6342.0</v>
      </c>
      <c r="V227" s="3" t="n">
        <v>6165.0</v>
      </c>
      <c r="W227" s="3" t="n">
        <v>6010.0</v>
      </c>
      <c r="X227" s="3" t="n">
        <v>5872.0</v>
      </c>
      <c r="Y227" s="3" t="n">
        <v>5761.0</v>
      </c>
      <c r="Z227" s="3" t="n">
        <v>5660.0</v>
      </c>
      <c r="AA227" s="3" t="n">
        <v>5586.0</v>
      </c>
      <c r="AB227" s="3" t="n">
        <v>5507.0</v>
      </c>
      <c r="AC227" s="3" t="n">
        <v>5473.0</v>
      </c>
      <c r="AD227" s="3" t="n">
        <v>5437.0</v>
      </c>
      <c r="AE227" s="3" t="n">
        <v>5418.0</v>
      </c>
      <c r="AF227" s="3" t="n">
        <v>5408.0</v>
      </c>
      <c r="AG227" s="3" t="n">
        <v>5402.0</v>
      </c>
      <c r="AH227" s="3" t="n">
        <v>5392.0</v>
      </c>
      <c r="AI227" s="3" t="n">
        <v>5372.0</v>
      </c>
      <c r="AJ227" s="3" t="n">
        <v>5356.0</v>
      </c>
      <c r="AK227" s="3" t="n">
        <v>5329.0</v>
      </c>
      <c r="AL227" s="3" t="n">
        <v>5294.0</v>
      </c>
      <c r="AM227" s="3" t="n">
        <v>5239.0</v>
      </c>
      <c r="AN227" s="3" t="n">
        <v>5195.0</v>
      </c>
      <c r="AO227" s="3" t="n">
        <v>5113.0</v>
      </c>
    </row>
    <row r="228" spans="1:41" x14ac:dyDescent="0.2">
      <c r="A228" s="128"/>
      <c r="B228" s="9">
        <v>15</v>
      </c>
      <c r="C228" s="3" t="n">
        <v>10583.0</v>
      </c>
      <c r="D228" s="3" t="n">
        <v>11494.0</v>
      </c>
      <c r="E228" s="3" t="n">
        <v>11607.0</v>
      </c>
      <c r="F228" s="3" t="n">
        <v>11192.0</v>
      </c>
      <c r="G228" s="3" t="n">
        <v>10351.0</v>
      </c>
      <c r="H228" s="3" t="n">
        <v>10402.0</v>
      </c>
      <c r="I228" s="3" t="n">
        <v>9996.0</v>
      </c>
      <c r="J228" s="3" t="n">
        <v>10046.0</v>
      </c>
      <c r="K228" s="3" t="n">
        <v>9815.0</v>
      </c>
      <c r="L228" s="3" t="n">
        <v>10066.0</v>
      </c>
      <c r="M228" s="3" t="n">
        <v>10261.0</v>
      </c>
      <c r="N228" s="3" t="n">
        <v>9868.0</v>
      </c>
      <c r="O228" s="3" t="n">
        <v>9463.0</v>
      </c>
      <c r="P228" s="3" t="n">
        <v>8860.0</v>
      </c>
      <c r="Q228" s="3" t="n">
        <v>8176.0</v>
      </c>
      <c r="R228" s="3" t="n">
        <v>7308.0</v>
      </c>
      <c r="S228" s="3" t="n">
        <v>7015.0</v>
      </c>
      <c r="T228" s="3" t="n">
        <v>6772.0</v>
      </c>
      <c r="U228" s="3" t="n">
        <v>6546.0</v>
      </c>
      <c r="V228" s="3" t="n">
        <v>6344.0</v>
      </c>
      <c r="W228" s="3" t="n">
        <v>6169.0</v>
      </c>
      <c r="X228" s="3" t="n">
        <v>6014.0</v>
      </c>
      <c r="Y228" s="3" t="n">
        <v>5873.0</v>
      </c>
      <c r="Z228" s="3" t="n">
        <v>5759.0</v>
      </c>
      <c r="AA228" s="3" t="n">
        <v>5657.0</v>
      </c>
      <c r="AB228" s="3" t="n">
        <v>5581.0</v>
      </c>
      <c r="AC228" s="3" t="n">
        <v>5502.0</v>
      </c>
      <c r="AD228" s="3" t="n">
        <v>5468.0</v>
      </c>
      <c r="AE228" s="3" t="n">
        <v>5431.0</v>
      </c>
      <c r="AF228" s="3" t="n">
        <v>5411.0</v>
      </c>
      <c r="AG228" s="3" t="n">
        <v>5401.0</v>
      </c>
      <c r="AH228" s="3" t="n">
        <v>5395.0</v>
      </c>
      <c r="AI228" s="3" t="n">
        <v>5385.0</v>
      </c>
      <c r="AJ228" s="3" t="n">
        <v>5366.0</v>
      </c>
      <c r="AK228" s="3" t="n">
        <v>5351.0</v>
      </c>
      <c r="AL228" s="3" t="n">
        <v>5324.0</v>
      </c>
      <c r="AM228" s="3" t="n">
        <v>5289.0</v>
      </c>
      <c r="AN228" s="3" t="n">
        <v>5234.0</v>
      </c>
      <c r="AO228" s="3" t="n">
        <v>5193.0</v>
      </c>
    </row>
    <row r="229" spans="1:41" x14ac:dyDescent="0.2">
      <c r="A229" s="128"/>
      <c r="B229" s="9">
        <v>16</v>
      </c>
      <c r="C229" s="3" t="n">
        <v>10020.0</v>
      </c>
      <c r="D229" s="3" t="n">
        <v>10582.0</v>
      </c>
      <c r="E229" s="3" t="n">
        <v>11496.0</v>
      </c>
      <c r="F229" s="3" t="n">
        <v>11607.0</v>
      </c>
      <c r="G229" s="3" t="n">
        <v>11194.0</v>
      </c>
      <c r="H229" s="3" t="n">
        <v>10365.0</v>
      </c>
      <c r="I229" s="3" t="n">
        <v>10421.0</v>
      </c>
      <c r="J229" s="3" t="n">
        <v>10002.0</v>
      </c>
      <c r="K229" s="3" t="n">
        <v>10048.0</v>
      </c>
      <c r="L229" s="3" t="n">
        <v>9821.0</v>
      </c>
      <c r="M229" s="3" t="n">
        <v>10070.0</v>
      </c>
      <c r="N229" s="3" t="n">
        <v>10265.0</v>
      </c>
      <c r="O229" s="3" t="n">
        <v>9871.0</v>
      </c>
      <c r="P229" s="3" t="n">
        <v>9463.0</v>
      </c>
      <c r="Q229" s="3" t="n">
        <v>8862.0</v>
      </c>
      <c r="R229" s="3" t="n">
        <v>8173.0</v>
      </c>
      <c r="S229" s="3" t="n">
        <v>7310.0</v>
      </c>
      <c r="T229" s="3" t="n">
        <v>7019.0</v>
      </c>
      <c r="U229" s="3" t="n">
        <v>6777.0</v>
      </c>
      <c r="V229" s="3" t="n">
        <v>6549.0</v>
      </c>
      <c r="W229" s="3" t="n">
        <v>6348.0</v>
      </c>
      <c r="X229" s="3" t="n">
        <v>6173.0</v>
      </c>
      <c r="Y229" s="3" t="n">
        <v>6019.0</v>
      </c>
      <c r="Z229" s="3" t="n">
        <v>5881.0</v>
      </c>
      <c r="AA229" s="3" t="n">
        <v>5767.0</v>
      </c>
      <c r="AB229" s="3" t="n">
        <v>5667.0</v>
      </c>
      <c r="AC229" s="3" t="n">
        <v>5589.0</v>
      </c>
      <c r="AD229" s="3" t="n">
        <v>5511.0</v>
      </c>
      <c r="AE229" s="3" t="n">
        <v>5477.0</v>
      </c>
      <c r="AF229" s="3" t="n">
        <v>5437.0</v>
      </c>
      <c r="AG229" s="3" t="n">
        <v>5417.0</v>
      </c>
      <c r="AH229" s="3" t="n">
        <v>5406.0</v>
      </c>
      <c r="AI229" s="3" t="n">
        <v>5400.0</v>
      </c>
      <c r="AJ229" s="3" t="n">
        <v>5389.0</v>
      </c>
      <c r="AK229" s="3" t="n">
        <v>5370.0</v>
      </c>
      <c r="AL229" s="3" t="n">
        <v>5355.0</v>
      </c>
      <c r="AM229" s="3" t="n">
        <v>5328.0</v>
      </c>
      <c r="AN229" s="3" t="n">
        <v>5293.0</v>
      </c>
      <c r="AO229" s="3" t="n">
        <v>5238.0</v>
      </c>
    </row>
    <row r="230" spans="1:41" x14ac:dyDescent="0.2">
      <c r="A230" s="128"/>
      <c r="B230" s="9">
        <v>17</v>
      </c>
      <c r="C230" s="3" t="n">
        <v>9555.0</v>
      </c>
      <c r="D230" s="3" t="n">
        <v>10027.0</v>
      </c>
      <c r="E230" s="3" t="n">
        <v>10589.0</v>
      </c>
      <c r="F230" s="3" t="n">
        <v>11501.0</v>
      </c>
      <c r="G230" s="3" t="n">
        <v>11612.0</v>
      </c>
      <c r="H230" s="3" t="n">
        <v>11213.0</v>
      </c>
      <c r="I230" s="3" t="n">
        <v>10392.0</v>
      </c>
      <c r="J230" s="3" t="n">
        <v>10436.0</v>
      </c>
      <c r="K230" s="3" t="n">
        <v>10012.0</v>
      </c>
      <c r="L230" s="3" t="n">
        <v>10054.0</v>
      </c>
      <c r="M230" s="3" t="n">
        <v>9829.0</v>
      </c>
      <c r="N230" s="3" t="n">
        <v>10077.0</v>
      </c>
      <c r="O230" s="3" t="n">
        <v>10275.0</v>
      </c>
      <c r="P230" s="3" t="n">
        <v>9882.0</v>
      </c>
      <c r="Q230" s="3" t="n">
        <v>9470.0</v>
      </c>
      <c r="R230" s="3" t="n">
        <v>8869.0</v>
      </c>
      <c r="S230" s="3" t="n">
        <v>8178.0</v>
      </c>
      <c r="T230" s="3" t="n">
        <v>7316.0</v>
      </c>
      <c r="U230" s="3" t="n">
        <v>7025.0</v>
      </c>
      <c r="V230" s="3" t="n">
        <v>6784.0</v>
      </c>
      <c r="W230" s="3" t="n">
        <v>6557.0</v>
      </c>
      <c r="X230" s="3" t="n">
        <v>6355.0</v>
      </c>
      <c r="Y230" s="3" t="n">
        <v>6180.0</v>
      </c>
      <c r="Z230" s="3" t="n">
        <v>6024.0</v>
      </c>
      <c r="AA230" s="3" t="n">
        <v>5885.0</v>
      </c>
      <c r="AB230" s="3" t="n">
        <v>5770.0</v>
      </c>
      <c r="AC230" s="3" t="n">
        <v>5670.0</v>
      </c>
      <c r="AD230" s="3" t="n">
        <v>5593.0</v>
      </c>
      <c r="AE230" s="3" t="n">
        <v>5515.0</v>
      </c>
      <c r="AF230" s="3" t="n">
        <v>5482.0</v>
      </c>
      <c r="AG230" s="3" t="n">
        <v>5441.0</v>
      </c>
      <c r="AH230" s="3" t="n">
        <v>5421.0</v>
      </c>
      <c r="AI230" s="3" t="n">
        <v>5410.0</v>
      </c>
      <c r="AJ230" s="3" t="n">
        <v>5404.0</v>
      </c>
      <c r="AK230" s="3" t="n">
        <v>5392.0</v>
      </c>
      <c r="AL230" s="3" t="n">
        <v>5373.0</v>
      </c>
      <c r="AM230" s="3" t="n">
        <v>5358.0</v>
      </c>
      <c r="AN230" s="3" t="n">
        <v>5331.0</v>
      </c>
      <c r="AO230" s="3" t="n">
        <v>5296.0</v>
      </c>
    </row>
    <row r="231" spans="1:41" x14ac:dyDescent="0.2">
      <c r="A231" s="128"/>
      <c r="B231" s="9">
        <v>18</v>
      </c>
      <c r="C231" s="3" t="n">
        <v>9378.0</v>
      </c>
      <c r="D231" s="3" t="n">
        <v>9551.0</v>
      </c>
      <c r="E231" s="3" t="n">
        <v>10024.0</v>
      </c>
      <c r="F231" s="3" t="n">
        <v>10587.0</v>
      </c>
      <c r="G231" s="3" t="n">
        <v>11500.0</v>
      </c>
      <c r="H231" s="3" t="n">
        <v>11620.0</v>
      </c>
      <c r="I231" s="3" t="n">
        <v>11225.0</v>
      </c>
      <c r="J231" s="3" t="n">
        <v>10396.0</v>
      </c>
      <c r="K231" s="3" t="n">
        <v>10438.0</v>
      </c>
      <c r="L231" s="3" t="n">
        <v>10014.0</v>
      </c>
      <c r="M231" s="3" t="n">
        <v>10058.0</v>
      </c>
      <c r="N231" s="3" t="n">
        <v>9832.0</v>
      </c>
      <c r="O231" s="3" t="n">
        <v>10077.0</v>
      </c>
      <c r="P231" s="3" t="n">
        <v>10277.0</v>
      </c>
      <c r="Q231" s="3" t="n">
        <v>9888.0</v>
      </c>
      <c r="R231" s="3" t="n">
        <v>9478.0</v>
      </c>
      <c r="S231" s="3" t="n">
        <v>8872.0</v>
      </c>
      <c r="T231" s="3" t="n">
        <v>8186.0</v>
      </c>
      <c r="U231" s="3" t="n">
        <v>7320.0</v>
      </c>
      <c r="V231" s="3" t="n">
        <v>7029.0</v>
      </c>
      <c r="W231" s="3" t="n">
        <v>6788.0</v>
      </c>
      <c r="X231" s="3" t="n">
        <v>6563.0</v>
      </c>
      <c r="Y231" s="3" t="n">
        <v>6360.0</v>
      </c>
      <c r="Z231" s="3" t="n">
        <v>6183.0</v>
      </c>
      <c r="AA231" s="3" t="n">
        <v>6029.0</v>
      </c>
      <c r="AB231" s="3" t="n">
        <v>5888.0</v>
      </c>
      <c r="AC231" s="3" t="n">
        <v>5772.0</v>
      </c>
      <c r="AD231" s="3" t="n">
        <v>5671.0</v>
      </c>
      <c r="AE231" s="3" t="n">
        <v>5594.0</v>
      </c>
      <c r="AF231" s="3" t="n">
        <v>5516.0</v>
      </c>
      <c r="AG231" s="3" t="n">
        <v>5484.0</v>
      </c>
      <c r="AH231" s="3" t="n">
        <v>5443.0</v>
      </c>
      <c r="AI231" s="3" t="n">
        <v>5424.0</v>
      </c>
      <c r="AJ231" s="3" t="n">
        <v>5413.0</v>
      </c>
      <c r="AK231" s="3" t="n">
        <v>5407.0</v>
      </c>
      <c r="AL231" s="3" t="n">
        <v>5395.0</v>
      </c>
      <c r="AM231" s="3" t="n">
        <v>5376.0</v>
      </c>
      <c r="AN231" s="3" t="n">
        <v>5361.0</v>
      </c>
      <c r="AO231" s="3" t="n">
        <v>5334.0</v>
      </c>
    </row>
    <row r="232" spans="1:41" x14ac:dyDescent="0.2">
      <c r="A232" s="128"/>
      <c r="B232" s="9">
        <v>19</v>
      </c>
      <c r="C232" s="3" t="n">
        <v>9134.0</v>
      </c>
      <c r="D232" s="3" t="n">
        <v>9361.0</v>
      </c>
      <c r="E232" s="3" t="n">
        <v>9534.0</v>
      </c>
      <c r="F232" s="3" t="n">
        <v>10005.0</v>
      </c>
      <c r="G232" s="3" t="n">
        <v>10567.0</v>
      </c>
      <c r="H232" s="3" t="n">
        <v>11492.0</v>
      </c>
      <c r="I232" s="3" t="n">
        <v>11618.0</v>
      </c>
      <c r="J232" s="3" t="n">
        <v>11215.0</v>
      </c>
      <c r="K232" s="3" t="n">
        <v>10380.0</v>
      </c>
      <c r="L232" s="3" t="n">
        <v>10421.0</v>
      </c>
      <c r="M232" s="3" t="n">
        <v>9993.0</v>
      </c>
      <c r="N232" s="3" t="n">
        <v>10039.0</v>
      </c>
      <c r="O232" s="3" t="n">
        <v>9813.0</v>
      </c>
      <c r="P232" s="3" t="n">
        <v>10057.0</v>
      </c>
      <c r="Q232" s="3" t="n">
        <v>10257.0</v>
      </c>
      <c r="R232" s="3" t="n">
        <v>9868.0</v>
      </c>
      <c r="S232" s="3" t="n">
        <v>9460.0</v>
      </c>
      <c r="T232" s="3" t="n">
        <v>8859.0</v>
      </c>
      <c r="U232" s="3" t="n">
        <v>8177.0</v>
      </c>
      <c r="V232" s="3" t="n">
        <v>7317.0</v>
      </c>
      <c r="W232" s="3" t="n">
        <v>7025.0</v>
      </c>
      <c r="X232" s="3" t="n">
        <v>6786.0</v>
      </c>
      <c r="Y232" s="3" t="n">
        <v>6563.0</v>
      </c>
      <c r="Z232" s="3" t="n">
        <v>6361.0</v>
      </c>
      <c r="AA232" s="3" t="n">
        <v>6181.0</v>
      </c>
      <c r="AB232" s="3" t="n">
        <v>6026.0</v>
      </c>
      <c r="AC232" s="3" t="n">
        <v>5886.0</v>
      </c>
      <c r="AD232" s="3" t="n">
        <v>5769.0</v>
      </c>
      <c r="AE232" s="3" t="n">
        <v>5668.0</v>
      </c>
      <c r="AF232" s="3" t="n">
        <v>5592.0</v>
      </c>
      <c r="AG232" s="3" t="n">
        <v>5512.0</v>
      </c>
      <c r="AH232" s="3" t="n">
        <v>5481.0</v>
      </c>
      <c r="AI232" s="3" t="n">
        <v>5439.0</v>
      </c>
      <c r="AJ232" s="3" t="n">
        <v>5420.0</v>
      </c>
      <c r="AK232" s="3" t="n">
        <v>5408.0</v>
      </c>
      <c r="AL232" s="3" t="n">
        <v>5402.0</v>
      </c>
      <c r="AM232" s="3" t="n">
        <v>5390.0</v>
      </c>
      <c r="AN232" s="3" t="n">
        <v>5371.0</v>
      </c>
      <c r="AO232" s="3" t="n">
        <v>5357.0</v>
      </c>
    </row>
    <row r="233" spans="1:41" x14ac:dyDescent="0.2">
      <c r="A233" s="128"/>
      <c r="B233" s="9">
        <v>20</v>
      </c>
      <c r="C233" s="3" t="n">
        <v>9183.0</v>
      </c>
      <c r="D233" s="3" t="n">
        <v>9123.0</v>
      </c>
      <c r="E233" s="3" t="n">
        <v>9350.0</v>
      </c>
      <c r="F233" s="3" t="n">
        <v>9522.0</v>
      </c>
      <c r="G233" s="3" t="n">
        <v>9993.0</v>
      </c>
      <c r="H233" s="3" t="n">
        <v>10564.0</v>
      </c>
      <c r="I233" s="3" t="n">
        <v>11492.0</v>
      </c>
      <c r="J233" s="3" t="n">
        <v>11613.0</v>
      </c>
      <c r="K233" s="3" t="n">
        <v>11203.0</v>
      </c>
      <c r="L233" s="3" t="n">
        <v>10374.0</v>
      </c>
      <c r="M233" s="3" t="n">
        <v>10413.0</v>
      </c>
      <c r="N233" s="3" t="n">
        <v>9984.0</v>
      </c>
      <c r="O233" s="3" t="n">
        <v>10028.0</v>
      </c>
      <c r="P233" s="3" t="n">
        <v>9805.0</v>
      </c>
      <c r="Q233" s="3" t="n">
        <v>10053.0</v>
      </c>
      <c r="R233" s="3" t="n">
        <v>10253.0</v>
      </c>
      <c r="S233" s="3" t="n">
        <v>9866.0</v>
      </c>
      <c r="T233" s="3" t="n">
        <v>9453.0</v>
      </c>
      <c r="U233" s="3" t="n">
        <v>8850.0</v>
      </c>
      <c r="V233" s="3" t="n">
        <v>8169.0</v>
      </c>
      <c r="W233" s="3" t="n">
        <v>7309.0</v>
      </c>
      <c r="X233" s="3" t="n">
        <v>7021.0</v>
      </c>
      <c r="Y233" s="3" t="n">
        <v>6785.0</v>
      </c>
      <c r="Z233" s="3" t="n">
        <v>6561.0</v>
      </c>
      <c r="AA233" s="3" t="n">
        <v>6362.0</v>
      </c>
      <c r="AB233" s="3" t="n">
        <v>6183.0</v>
      </c>
      <c r="AC233" s="3" t="n">
        <v>6026.0</v>
      </c>
      <c r="AD233" s="3" t="n">
        <v>5887.0</v>
      </c>
      <c r="AE233" s="3" t="n">
        <v>5769.0</v>
      </c>
      <c r="AF233" s="3" t="n">
        <v>5666.0</v>
      </c>
      <c r="AG233" s="3" t="n">
        <v>5587.0</v>
      </c>
      <c r="AH233" s="3" t="n">
        <v>5506.0</v>
      </c>
      <c r="AI233" s="3" t="n">
        <v>5476.0</v>
      </c>
      <c r="AJ233" s="3" t="n">
        <v>5434.0</v>
      </c>
      <c r="AK233" s="3" t="n">
        <v>5415.0</v>
      </c>
      <c r="AL233" s="3" t="n">
        <v>5403.0</v>
      </c>
      <c r="AM233" s="3" t="n">
        <v>5396.0</v>
      </c>
      <c r="AN233" s="3" t="n">
        <v>5384.0</v>
      </c>
      <c r="AO233" s="3" t="n">
        <v>5365.0</v>
      </c>
    </row>
    <row r="234" spans="1:41" x14ac:dyDescent="0.2">
      <c r="A234" s="128"/>
      <c r="B234" s="9">
        <v>21</v>
      </c>
      <c r="C234" s="3" t="n">
        <v>9446.0</v>
      </c>
      <c r="D234" s="3" t="n">
        <v>9166.0</v>
      </c>
      <c r="E234" s="3" t="n">
        <v>9106.0</v>
      </c>
      <c r="F234" s="3" t="n">
        <v>9334.0</v>
      </c>
      <c r="G234" s="3" t="n">
        <v>9505.0</v>
      </c>
      <c r="H234" s="3" t="n">
        <v>9986.0</v>
      </c>
      <c r="I234" s="3" t="n">
        <v>10556.0</v>
      </c>
      <c r="J234" s="3" t="n">
        <v>11473.0</v>
      </c>
      <c r="K234" s="3" t="n">
        <v>11592.0</v>
      </c>
      <c r="L234" s="3" t="n">
        <v>11185.0</v>
      </c>
      <c r="M234" s="3" t="n">
        <v>10355.0</v>
      </c>
      <c r="N234" s="3" t="n">
        <v>10392.0</v>
      </c>
      <c r="O234" s="3" t="n">
        <v>9964.0</v>
      </c>
      <c r="P234" s="3" t="n">
        <v>10010.0</v>
      </c>
      <c r="Q234" s="3" t="n">
        <v>9787.0</v>
      </c>
      <c r="R234" s="3" t="n">
        <v>10037.0</v>
      </c>
      <c r="S234" s="3" t="n">
        <v>10235.0</v>
      </c>
      <c r="T234" s="3" t="n">
        <v>9853.0</v>
      </c>
      <c r="U234" s="3" t="n">
        <v>9436.0</v>
      </c>
      <c r="V234" s="3" t="n">
        <v>8838.0</v>
      </c>
      <c r="W234" s="3" t="n">
        <v>8164.0</v>
      </c>
      <c r="X234" s="3" t="n">
        <v>7304.0</v>
      </c>
      <c r="Y234" s="3" t="n">
        <v>7017.0</v>
      </c>
      <c r="Z234" s="3" t="n">
        <v>6779.0</v>
      </c>
      <c r="AA234" s="3" t="n">
        <v>6552.0</v>
      </c>
      <c r="AB234" s="3" t="n">
        <v>6350.0</v>
      </c>
      <c r="AC234" s="3" t="n">
        <v>6171.0</v>
      </c>
      <c r="AD234" s="3" t="n">
        <v>6015.0</v>
      </c>
      <c r="AE234" s="3" t="n">
        <v>5877.0</v>
      </c>
      <c r="AF234" s="3" t="n">
        <v>5758.0</v>
      </c>
      <c r="AG234" s="3" t="n">
        <v>5655.0</v>
      </c>
      <c r="AH234" s="3" t="n">
        <v>5579.0</v>
      </c>
      <c r="AI234" s="3" t="n">
        <v>5497.0</v>
      </c>
      <c r="AJ234" s="3" t="n">
        <v>5466.0</v>
      </c>
      <c r="AK234" s="3" t="n">
        <v>5422.0</v>
      </c>
      <c r="AL234" s="3" t="n">
        <v>5403.0</v>
      </c>
      <c r="AM234" s="3" t="n">
        <v>5390.0</v>
      </c>
      <c r="AN234" s="3" t="n">
        <v>5382.0</v>
      </c>
      <c r="AO234" s="3" t="n">
        <v>5370.0</v>
      </c>
    </row>
    <row r="235" spans="1:41" x14ac:dyDescent="0.2">
      <c r="A235" s="128"/>
      <c r="B235" s="9">
        <v>22</v>
      </c>
      <c r="C235" s="3" t="n">
        <v>9763.0</v>
      </c>
      <c r="D235" s="3" t="n">
        <v>9437.0</v>
      </c>
      <c r="E235" s="3" t="n">
        <v>9157.0</v>
      </c>
      <c r="F235" s="3" t="n">
        <v>9093.0</v>
      </c>
      <c r="G235" s="3" t="n">
        <v>9323.0</v>
      </c>
      <c r="H235" s="3" t="n">
        <v>9503.0</v>
      </c>
      <c r="I235" s="3" t="n">
        <v>9984.0</v>
      </c>
      <c r="J235" s="3" t="n">
        <v>10549.0</v>
      </c>
      <c r="K235" s="3" t="n">
        <v>11454.0</v>
      </c>
      <c r="L235" s="3" t="n">
        <v>11571.0</v>
      </c>
      <c r="M235" s="3" t="n">
        <v>11167.0</v>
      </c>
      <c r="N235" s="3" t="n">
        <v>10342.0</v>
      </c>
      <c r="O235" s="3" t="n">
        <v>10380.0</v>
      </c>
      <c r="P235" s="3" t="n">
        <v>9951.0</v>
      </c>
      <c r="Q235" s="3" t="n">
        <v>9996.0</v>
      </c>
      <c r="R235" s="3" t="n">
        <v>9775.0</v>
      </c>
      <c r="S235" s="3" t="n">
        <v>10023.0</v>
      </c>
      <c r="T235" s="3" t="n">
        <v>10222.0</v>
      </c>
      <c r="U235" s="3" t="n">
        <v>9841.0</v>
      </c>
      <c r="V235" s="3" t="n">
        <v>9422.0</v>
      </c>
      <c r="W235" s="3" t="n">
        <v>8829.0</v>
      </c>
      <c r="X235" s="3" t="n">
        <v>8158.0</v>
      </c>
      <c r="Y235" s="3" t="n">
        <v>7296.0</v>
      </c>
      <c r="Z235" s="3" t="n">
        <v>7016.0</v>
      </c>
      <c r="AA235" s="3" t="n">
        <v>6774.0</v>
      </c>
      <c r="AB235" s="3" t="n">
        <v>6548.0</v>
      </c>
      <c r="AC235" s="3" t="n">
        <v>6345.0</v>
      </c>
      <c r="AD235" s="3" t="n">
        <v>6170.0</v>
      </c>
      <c r="AE235" s="3" t="n">
        <v>6013.0</v>
      </c>
      <c r="AF235" s="3" t="n">
        <v>5875.0</v>
      </c>
      <c r="AG235" s="3" t="n">
        <v>5758.0</v>
      </c>
      <c r="AH235" s="3" t="n">
        <v>5656.0</v>
      </c>
      <c r="AI235" s="3" t="n">
        <v>5581.0</v>
      </c>
      <c r="AJ235" s="3" t="n">
        <v>5499.0</v>
      </c>
      <c r="AK235" s="3" t="n">
        <v>5466.0</v>
      </c>
      <c r="AL235" s="3" t="n">
        <v>5421.0</v>
      </c>
      <c r="AM235" s="3" t="n">
        <v>5402.0</v>
      </c>
      <c r="AN235" s="3" t="n">
        <v>5390.0</v>
      </c>
      <c r="AO235" s="3" t="n">
        <v>5383.0</v>
      </c>
    </row>
    <row r="236" spans="1:41" x14ac:dyDescent="0.2">
      <c r="A236" s="128"/>
      <c r="B236" s="9">
        <v>23</v>
      </c>
      <c r="C236" s="3" t="n">
        <v>9766.0</v>
      </c>
      <c r="D236" s="3" t="n">
        <v>9749.0</v>
      </c>
      <c r="E236" s="3" t="n">
        <v>9421.0</v>
      </c>
      <c r="F236" s="3" t="n">
        <v>9136.0</v>
      </c>
      <c r="G236" s="3" t="n">
        <v>9073.0</v>
      </c>
      <c r="H236" s="3" t="n">
        <v>9314.0</v>
      </c>
      <c r="I236" s="3" t="n">
        <v>9497.0</v>
      </c>
      <c r="J236" s="3" t="n">
        <v>9966.0</v>
      </c>
      <c r="K236" s="3" t="n">
        <v>10529.0</v>
      </c>
      <c r="L236" s="3" t="n">
        <v>11430.0</v>
      </c>
      <c r="M236" s="3" t="n">
        <v>11544.0</v>
      </c>
      <c r="N236" s="3" t="n">
        <v>11141.0</v>
      </c>
      <c r="O236" s="3" t="n">
        <v>10322.0</v>
      </c>
      <c r="P236" s="3" t="n">
        <v>10360.0</v>
      </c>
      <c r="Q236" s="3" t="n">
        <v>9933.0</v>
      </c>
      <c r="R236" s="3" t="n">
        <v>9982.0</v>
      </c>
      <c r="S236" s="3" t="n">
        <v>9760.0</v>
      </c>
      <c r="T236" s="3" t="n">
        <v>10011.0</v>
      </c>
      <c r="U236" s="3" t="n">
        <v>10205.0</v>
      </c>
      <c r="V236" s="3" t="n">
        <v>9826.0</v>
      </c>
      <c r="W236" s="3" t="n">
        <v>9404.0</v>
      </c>
      <c r="X236" s="3" t="n">
        <v>8818.0</v>
      </c>
      <c r="Y236" s="3" t="n">
        <v>8146.0</v>
      </c>
      <c r="Z236" s="3" t="n">
        <v>7286.0</v>
      </c>
      <c r="AA236" s="3" t="n">
        <v>7010.0</v>
      </c>
      <c r="AB236" s="3" t="n">
        <v>6769.0</v>
      </c>
      <c r="AC236" s="3" t="n">
        <v>6542.0</v>
      </c>
      <c r="AD236" s="3" t="n">
        <v>6342.0</v>
      </c>
      <c r="AE236" s="3" t="n">
        <v>6164.0</v>
      </c>
      <c r="AF236" s="3" t="n">
        <v>6006.0</v>
      </c>
      <c r="AG236" s="3" t="n">
        <v>5870.0</v>
      </c>
      <c r="AH236" s="3" t="n">
        <v>5750.0</v>
      </c>
      <c r="AI236" s="3" t="n">
        <v>5646.0</v>
      </c>
      <c r="AJ236" s="3" t="n">
        <v>5568.0</v>
      </c>
      <c r="AK236" s="3" t="n">
        <v>5487.0</v>
      </c>
      <c r="AL236" s="3" t="n">
        <v>5454.0</v>
      </c>
      <c r="AM236" s="3" t="n">
        <v>5410.0</v>
      </c>
      <c r="AN236" s="3" t="n">
        <v>5391.0</v>
      </c>
      <c r="AO236" s="3" t="n">
        <v>5380.0</v>
      </c>
    </row>
    <row r="237" spans="1:41" x14ac:dyDescent="0.2">
      <c r="A237" s="128"/>
      <c r="B237" s="9">
        <v>24</v>
      </c>
      <c r="C237" s="3" t="n">
        <v>9869.0</v>
      </c>
      <c r="D237" s="3" t="n">
        <v>9738.0</v>
      </c>
      <c r="E237" s="3" t="n">
        <v>9718.0</v>
      </c>
      <c r="F237" s="3" t="n">
        <v>9395.0</v>
      </c>
      <c r="G237" s="3" t="n">
        <v>9107.0</v>
      </c>
      <c r="H237" s="3" t="n">
        <v>9048.0</v>
      </c>
      <c r="I237" s="3" t="n">
        <v>9295.0</v>
      </c>
      <c r="J237" s="3" t="n">
        <v>9474.0</v>
      </c>
      <c r="K237" s="3" t="n">
        <v>9937.0</v>
      </c>
      <c r="L237" s="3" t="n">
        <v>10497.0</v>
      </c>
      <c r="M237" s="3" t="n">
        <v>11392.0</v>
      </c>
      <c r="N237" s="3" t="n">
        <v>11507.0</v>
      </c>
      <c r="O237" s="3" t="n">
        <v>11110.0</v>
      </c>
      <c r="P237" s="3" t="n">
        <v>10294.0</v>
      </c>
      <c r="Q237" s="3" t="n">
        <v>10331.0</v>
      </c>
      <c r="R237" s="3" t="n">
        <v>9907.0</v>
      </c>
      <c r="S237" s="3" t="n">
        <v>9956.0</v>
      </c>
      <c r="T237" s="3" t="n">
        <v>9737.0</v>
      </c>
      <c r="U237" s="3" t="n">
        <v>9992.0</v>
      </c>
      <c r="V237" s="3" t="n">
        <v>10181.0</v>
      </c>
      <c r="W237" s="3" t="n">
        <v>9802.0</v>
      </c>
      <c r="X237" s="3" t="n">
        <v>9377.0</v>
      </c>
      <c r="Y237" s="3" t="n">
        <v>8797.0</v>
      </c>
      <c r="Z237" s="3" t="n">
        <v>8131.0</v>
      </c>
      <c r="AA237" s="3" t="n">
        <v>7269.0</v>
      </c>
      <c r="AB237" s="3" t="n">
        <v>6995.0</v>
      </c>
      <c r="AC237" s="3" t="n">
        <v>6754.0</v>
      </c>
      <c r="AD237" s="3" t="n">
        <v>6530.0</v>
      </c>
      <c r="AE237" s="3" t="n">
        <v>6334.0</v>
      </c>
      <c r="AF237" s="3" t="n">
        <v>6153.0</v>
      </c>
      <c r="AG237" s="3" t="n">
        <v>5997.0</v>
      </c>
      <c r="AH237" s="3" t="n">
        <v>5858.0</v>
      </c>
      <c r="AI237" s="3" t="n">
        <v>5739.0</v>
      </c>
      <c r="AJ237" s="3" t="n">
        <v>5633.0</v>
      </c>
      <c r="AK237" s="3" t="n">
        <v>5553.0</v>
      </c>
      <c r="AL237" s="3" t="n">
        <v>5473.0</v>
      </c>
      <c r="AM237" s="3" t="n">
        <v>5439.0</v>
      </c>
      <c r="AN237" s="3" t="n">
        <v>5394.0</v>
      </c>
      <c r="AO237" s="3" t="n">
        <v>5374.0</v>
      </c>
    </row>
    <row r="238" spans="1:41" x14ac:dyDescent="0.2">
      <c r="A238" s="128"/>
      <c r="B238" s="9">
        <v>25</v>
      </c>
      <c r="C238" s="3" t="n">
        <v>10219.0</v>
      </c>
      <c r="D238" s="3" t="n">
        <v>9832.0</v>
      </c>
      <c r="E238" s="3" t="n">
        <v>9698.0</v>
      </c>
      <c r="F238" s="3" t="n">
        <v>9674.0</v>
      </c>
      <c r="G238" s="3" t="n">
        <v>9352.0</v>
      </c>
      <c r="H238" s="3" t="n">
        <v>9075.0</v>
      </c>
      <c r="I238" s="3" t="n">
        <v>9007.0</v>
      </c>
      <c r="J238" s="3" t="n">
        <v>9254.0</v>
      </c>
      <c r="K238" s="3" t="n">
        <v>9433.0</v>
      </c>
      <c r="L238" s="3" t="n">
        <v>9900.0</v>
      </c>
      <c r="M238" s="3" t="n">
        <v>10455.0</v>
      </c>
      <c r="N238" s="3" t="n">
        <v>11336.0</v>
      </c>
      <c r="O238" s="3" t="n">
        <v>11448.0</v>
      </c>
      <c r="P238" s="3" t="n">
        <v>11060.0</v>
      </c>
      <c r="Q238" s="3" t="n">
        <v>10247.0</v>
      </c>
      <c r="R238" s="3" t="n">
        <v>10287.0</v>
      </c>
      <c r="S238" s="3" t="n">
        <v>9868.0</v>
      </c>
      <c r="T238" s="3" t="n">
        <v>9915.0</v>
      </c>
      <c r="U238" s="3" t="n">
        <v>9700.0</v>
      </c>
      <c r="V238" s="3" t="n">
        <v>9956.0</v>
      </c>
      <c r="W238" s="3" t="n">
        <v>10146.0</v>
      </c>
      <c r="X238" s="3" t="n">
        <v>9767.0</v>
      </c>
      <c r="Y238" s="3" t="n">
        <v>9340.0</v>
      </c>
      <c r="Z238" s="3" t="n">
        <v>8763.0</v>
      </c>
      <c r="AA238" s="3" t="n">
        <v>8102.0</v>
      </c>
      <c r="AB238" s="3" t="n">
        <v>7246.0</v>
      </c>
      <c r="AC238" s="3" t="n">
        <v>6976.0</v>
      </c>
      <c r="AD238" s="3" t="n">
        <v>6738.0</v>
      </c>
      <c r="AE238" s="3" t="n">
        <v>6516.0</v>
      </c>
      <c r="AF238" s="3" t="n">
        <v>6315.0</v>
      </c>
      <c r="AG238" s="3" t="n">
        <v>6132.0</v>
      </c>
      <c r="AH238" s="3" t="n">
        <v>5972.0</v>
      </c>
      <c r="AI238" s="3" t="n">
        <v>5834.0</v>
      </c>
      <c r="AJ238" s="3" t="n">
        <v>5716.0</v>
      </c>
      <c r="AK238" s="3" t="n">
        <v>5611.0</v>
      </c>
      <c r="AL238" s="3" t="n">
        <v>5533.0</v>
      </c>
      <c r="AM238" s="3" t="n">
        <v>5454.0</v>
      </c>
      <c r="AN238" s="3" t="n">
        <v>5420.0</v>
      </c>
      <c r="AO238" s="3" t="n">
        <v>5376.0</v>
      </c>
    </row>
    <row r="239" spans="1:41" x14ac:dyDescent="0.2">
      <c r="A239" s="128"/>
      <c r="B239" s="9">
        <v>26</v>
      </c>
      <c r="C239" s="3" t="n">
        <v>10672.0</v>
      </c>
      <c r="D239" s="3" t="n">
        <v>10172.0</v>
      </c>
      <c r="E239" s="3" t="n">
        <v>9784.0</v>
      </c>
      <c r="F239" s="3" t="n">
        <v>9652.0</v>
      </c>
      <c r="G239" s="3" t="n">
        <v>9636.0</v>
      </c>
      <c r="H239" s="3" t="n">
        <v>9320.0</v>
      </c>
      <c r="I239" s="3" t="n">
        <v>9043.0</v>
      </c>
      <c r="J239" s="3" t="n">
        <v>8973.0</v>
      </c>
      <c r="K239" s="3" t="n">
        <v>9212.0</v>
      </c>
      <c r="L239" s="3" t="n">
        <v>9382.0</v>
      </c>
      <c r="M239" s="3" t="n">
        <v>9844.0</v>
      </c>
      <c r="N239" s="3" t="n">
        <v>10394.0</v>
      </c>
      <c r="O239" s="3" t="n">
        <v>11269.0</v>
      </c>
      <c r="P239" s="3" t="n">
        <v>11377.0</v>
      </c>
      <c r="Q239" s="3" t="n">
        <v>10998.0</v>
      </c>
      <c r="R239" s="3" t="n">
        <v>10194.0</v>
      </c>
      <c r="S239" s="3" t="n">
        <v>10235.0</v>
      </c>
      <c r="T239" s="3" t="n">
        <v>9808.0</v>
      </c>
      <c r="U239" s="3" t="n">
        <v>9862.0</v>
      </c>
      <c r="V239" s="3" t="n">
        <v>9652.0</v>
      </c>
      <c r="W239" s="3" t="n">
        <v>9911.0</v>
      </c>
      <c r="X239" s="3" t="n">
        <v>10101.0</v>
      </c>
      <c r="Y239" s="3" t="n">
        <v>9719.0</v>
      </c>
      <c r="Z239" s="3" t="n">
        <v>9295.0</v>
      </c>
      <c r="AA239" s="3" t="n">
        <v>8725.0</v>
      </c>
      <c r="AB239" s="3" t="n">
        <v>8075.0</v>
      </c>
      <c r="AC239" s="3" t="n">
        <v>7216.0</v>
      </c>
      <c r="AD239" s="3" t="n">
        <v>6946.0</v>
      </c>
      <c r="AE239" s="3" t="n">
        <v>6706.0</v>
      </c>
      <c r="AF239" s="3" t="n">
        <v>6490.0</v>
      </c>
      <c r="AG239" s="3" t="n">
        <v>6291.0</v>
      </c>
      <c r="AH239" s="3" t="n">
        <v>6109.0</v>
      </c>
      <c r="AI239" s="3" t="n">
        <v>5951.0</v>
      </c>
      <c r="AJ239" s="3" t="n">
        <v>5816.0</v>
      </c>
      <c r="AK239" s="3" t="n">
        <v>5693.0</v>
      </c>
      <c r="AL239" s="3" t="n">
        <v>5590.0</v>
      </c>
      <c r="AM239" s="3" t="n">
        <v>5509.0</v>
      </c>
      <c r="AN239" s="3" t="n">
        <v>5427.0</v>
      </c>
      <c r="AO239" s="3" t="n">
        <v>5392.0</v>
      </c>
    </row>
    <row r="240" spans="1:41" x14ac:dyDescent="0.2">
      <c r="A240" s="128"/>
      <c r="B240" s="9">
        <v>27</v>
      </c>
      <c r="C240" s="3" t="n">
        <v>10901.0</v>
      </c>
      <c r="D240" s="3" t="n">
        <v>10614.0</v>
      </c>
      <c r="E240" s="3" t="n">
        <v>10118.0</v>
      </c>
      <c r="F240" s="3" t="n">
        <v>9732.0</v>
      </c>
      <c r="G240" s="3" t="n">
        <v>9591.0</v>
      </c>
      <c r="H240" s="3" t="n">
        <v>9593.0</v>
      </c>
      <c r="I240" s="3" t="n">
        <v>9284.0</v>
      </c>
      <c r="J240" s="3" t="n">
        <v>8996.0</v>
      </c>
      <c r="K240" s="3" t="n">
        <v>8922.0</v>
      </c>
      <c r="L240" s="3" t="n">
        <v>9161.0</v>
      </c>
      <c r="M240" s="3" t="n">
        <v>9328.0</v>
      </c>
      <c r="N240" s="3" t="n">
        <v>9785.0</v>
      </c>
      <c r="O240" s="3" t="n">
        <v>10323.0</v>
      </c>
      <c r="P240" s="3" t="n">
        <v>11201.0</v>
      </c>
      <c r="Q240" s="3" t="n">
        <v>11310.0</v>
      </c>
      <c r="R240" s="3" t="n">
        <v>10930.0</v>
      </c>
      <c r="S240" s="3" t="n">
        <v>10134.0</v>
      </c>
      <c r="T240" s="3" t="n">
        <v>10176.0</v>
      </c>
      <c r="U240" s="3" t="n">
        <v>9754.0</v>
      </c>
      <c r="V240" s="3" t="n">
        <v>9808.0</v>
      </c>
      <c r="W240" s="3" t="n">
        <v>9600.0</v>
      </c>
      <c r="X240" s="3" t="n">
        <v>9856.0</v>
      </c>
      <c r="Y240" s="3" t="n">
        <v>10052.0</v>
      </c>
      <c r="Z240" s="3" t="n">
        <v>9669.0</v>
      </c>
      <c r="AA240" s="3" t="n">
        <v>9241.0</v>
      </c>
      <c r="AB240" s="3" t="n">
        <v>8675.0</v>
      </c>
      <c r="AC240" s="3" t="n">
        <v>8041.0</v>
      </c>
      <c r="AD240" s="3" t="n">
        <v>7182.0</v>
      </c>
      <c r="AE240" s="3" t="n">
        <v>6913.0</v>
      </c>
      <c r="AF240" s="3" t="n">
        <v>6670.0</v>
      </c>
      <c r="AG240" s="3" t="n">
        <v>6462.0</v>
      </c>
      <c r="AH240" s="3" t="n">
        <v>6262.0</v>
      </c>
      <c r="AI240" s="3" t="n">
        <v>6076.0</v>
      </c>
      <c r="AJ240" s="3" t="n">
        <v>5922.0</v>
      </c>
      <c r="AK240" s="3" t="n">
        <v>5786.0</v>
      </c>
      <c r="AL240" s="3" t="n">
        <v>5660.0</v>
      </c>
      <c r="AM240" s="3" t="n">
        <v>5559.0</v>
      </c>
      <c r="AN240" s="3" t="n">
        <v>5480.0</v>
      </c>
      <c r="AO240" s="3" t="n">
        <v>5398.0</v>
      </c>
    </row>
    <row r="241" spans="1:41" x14ac:dyDescent="0.2">
      <c r="A241" s="128"/>
      <c r="B241" s="9">
        <v>28</v>
      </c>
      <c r="C241" s="3" t="n">
        <v>11537.0</v>
      </c>
      <c r="D241" s="3" t="n">
        <v>10839.0</v>
      </c>
      <c r="E241" s="3" t="n">
        <v>10554.0</v>
      </c>
      <c r="F241" s="3" t="n">
        <v>10061.0</v>
      </c>
      <c r="G241" s="3" t="n">
        <v>9683.0</v>
      </c>
      <c r="H241" s="3" t="n">
        <v>9543.0</v>
      </c>
      <c r="I241" s="3" t="n">
        <v>9552.0</v>
      </c>
      <c r="J241" s="3" t="n">
        <v>9236.0</v>
      </c>
      <c r="K241" s="3" t="n">
        <v>8946.0</v>
      </c>
      <c r="L241" s="3" t="n">
        <v>8866.0</v>
      </c>
      <c r="M241" s="3" t="n">
        <v>9107.0</v>
      </c>
      <c r="N241" s="3" t="n">
        <v>9269.0</v>
      </c>
      <c r="O241" s="3" t="n">
        <v>9721.0</v>
      </c>
      <c r="P241" s="3" t="n">
        <v>10253.0</v>
      </c>
      <c r="Q241" s="3" t="n">
        <v>11123.0</v>
      </c>
      <c r="R241" s="3" t="n">
        <v>11234.0</v>
      </c>
      <c r="S241" s="3" t="n">
        <v>10856.0</v>
      </c>
      <c r="T241" s="3" t="n">
        <v>10074.0</v>
      </c>
      <c r="U241" s="3" t="n">
        <v>10112.0</v>
      </c>
      <c r="V241" s="3" t="n">
        <v>9695.0</v>
      </c>
      <c r="W241" s="3" t="n">
        <v>9748.0</v>
      </c>
      <c r="X241" s="3" t="n">
        <v>9548.0</v>
      </c>
      <c r="Y241" s="3" t="n">
        <v>9797.0</v>
      </c>
      <c r="Z241" s="3" t="n">
        <v>9992.0</v>
      </c>
      <c r="AA241" s="3" t="n">
        <v>9616.0</v>
      </c>
      <c r="AB241" s="3" t="n">
        <v>9184.0</v>
      </c>
      <c r="AC241" s="3" t="n">
        <v>8623.0</v>
      </c>
      <c r="AD241" s="3" t="n">
        <v>8000.0</v>
      </c>
      <c r="AE241" s="3" t="n">
        <v>7144.0</v>
      </c>
      <c r="AF241" s="3" t="n">
        <v>6880.0</v>
      </c>
      <c r="AG241" s="3" t="n">
        <v>6638.0</v>
      </c>
      <c r="AH241" s="3" t="n">
        <v>6431.0</v>
      </c>
      <c r="AI241" s="3" t="n">
        <v>6233.0</v>
      </c>
      <c r="AJ241" s="3" t="n">
        <v>6046.0</v>
      </c>
      <c r="AK241" s="3" t="n">
        <v>5891.0</v>
      </c>
      <c r="AL241" s="3" t="n">
        <v>5753.0</v>
      </c>
      <c r="AM241" s="3" t="n">
        <v>5630.0</v>
      </c>
      <c r="AN241" s="3" t="n">
        <v>5527.0</v>
      </c>
      <c r="AO241" s="3" t="n">
        <v>5449.0</v>
      </c>
    </row>
    <row r="242" spans="1:41" x14ac:dyDescent="0.2">
      <c r="A242" s="128"/>
      <c r="B242" s="9">
        <v>29</v>
      </c>
      <c r="C242" s="3" t="n">
        <v>12163.0</v>
      </c>
      <c r="D242" s="3" t="n">
        <v>11462.0</v>
      </c>
      <c r="E242" s="3" t="n">
        <v>10771.0</v>
      </c>
      <c r="F242" s="3" t="n">
        <v>10489.0</v>
      </c>
      <c r="G242" s="3" t="n">
        <v>9999.0</v>
      </c>
      <c r="H242" s="3" t="n">
        <v>9633.0</v>
      </c>
      <c r="I242" s="3" t="n">
        <v>9495.0</v>
      </c>
      <c r="J242" s="3" t="n">
        <v>9494.0</v>
      </c>
      <c r="K242" s="3" t="n">
        <v>9176.0</v>
      </c>
      <c r="L242" s="3" t="n">
        <v>8888.0</v>
      </c>
      <c r="M242" s="3" t="n">
        <v>8802.0</v>
      </c>
      <c r="N242" s="3" t="n">
        <v>9046.0</v>
      </c>
      <c r="O242" s="3" t="n">
        <v>9209.0</v>
      </c>
      <c r="P242" s="3" t="n">
        <v>9652.0</v>
      </c>
      <c r="Q242" s="3" t="n">
        <v>10179.0</v>
      </c>
      <c r="R242" s="3" t="n">
        <v>11042.0</v>
      </c>
      <c r="S242" s="3" t="n">
        <v>11153.0</v>
      </c>
      <c r="T242" s="3" t="n">
        <v>10780.0</v>
      </c>
      <c r="U242" s="3" t="n">
        <v>10004.0</v>
      </c>
      <c r="V242" s="3" t="n">
        <v>10042.0</v>
      </c>
      <c r="W242" s="3" t="n">
        <v>9625.0</v>
      </c>
      <c r="X242" s="3" t="n">
        <v>9682.0</v>
      </c>
      <c r="Y242" s="3" t="n">
        <v>9481.0</v>
      </c>
      <c r="Z242" s="3" t="n">
        <v>9732.0</v>
      </c>
      <c r="AA242" s="3" t="n">
        <v>9929.0</v>
      </c>
      <c r="AB242" s="3" t="n">
        <v>9557.0</v>
      </c>
      <c r="AC242" s="3" t="n">
        <v>9124.0</v>
      </c>
      <c r="AD242" s="3" t="n">
        <v>8566.0</v>
      </c>
      <c r="AE242" s="3" t="n">
        <v>7949.0</v>
      </c>
      <c r="AF242" s="3" t="n">
        <v>7102.0</v>
      </c>
      <c r="AG242" s="3" t="n">
        <v>6838.0</v>
      </c>
      <c r="AH242" s="3" t="n">
        <v>6598.0</v>
      </c>
      <c r="AI242" s="3" t="n">
        <v>6389.0</v>
      </c>
      <c r="AJ242" s="3" t="n">
        <v>6189.0</v>
      </c>
      <c r="AK242" s="3" t="n">
        <v>6008.0</v>
      </c>
      <c r="AL242" s="3" t="n">
        <v>5853.0</v>
      </c>
      <c r="AM242" s="3" t="n">
        <v>5715.0</v>
      </c>
      <c r="AN242" s="3" t="n">
        <v>5596.0</v>
      </c>
      <c r="AO242" s="3" t="n">
        <v>5493.0</v>
      </c>
    </row>
    <row r="243" spans="1:41" x14ac:dyDescent="0.2">
      <c r="A243" s="128"/>
      <c r="B243" s="9">
        <v>30</v>
      </c>
      <c r="C243" s="3" t="n">
        <v>12340.0</v>
      </c>
      <c r="D243" s="3" t="n">
        <v>12082.0</v>
      </c>
      <c r="E243" s="3" t="n">
        <v>11379.0</v>
      </c>
      <c r="F243" s="3" t="n">
        <v>10697.0</v>
      </c>
      <c r="G243" s="3" t="n">
        <v>10422.0</v>
      </c>
      <c r="H243" s="3" t="n">
        <v>9954.0</v>
      </c>
      <c r="I243" s="3" t="n">
        <v>9588.0</v>
      </c>
      <c r="J243" s="3" t="n">
        <v>9439.0</v>
      </c>
      <c r="K243" s="3" t="n">
        <v>9432.0</v>
      </c>
      <c r="L243" s="3" t="n">
        <v>9113.0</v>
      </c>
      <c r="M243" s="3" t="n">
        <v>8822.0</v>
      </c>
      <c r="N243" s="3" t="n">
        <v>8736.0</v>
      </c>
      <c r="O243" s="3" t="n">
        <v>8977.0</v>
      </c>
      <c r="P243" s="3" t="n">
        <v>9137.0</v>
      </c>
      <c r="Q243" s="3" t="n">
        <v>9584.0</v>
      </c>
      <c r="R243" s="3" t="n">
        <v>10099.0</v>
      </c>
      <c r="S243" s="3" t="n">
        <v>10957.0</v>
      </c>
      <c r="T243" s="3" t="n">
        <v>11063.0</v>
      </c>
      <c r="U243" s="3" t="n">
        <v>10698.0</v>
      </c>
      <c r="V243" s="3" t="n">
        <v>9934.0</v>
      </c>
      <c r="W243" s="3" t="n">
        <v>9975.0</v>
      </c>
      <c r="X243" s="3" t="n">
        <v>9552.0</v>
      </c>
      <c r="Y243" s="3" t="n">
        <v>9612.0</v>
      </c>
      <c r="Z243" s="3" t="n">
        <v>9413.0</v>
      </c>
      <c r="AA243" s="3" t="n">
        <v>9664.0</v>
      </c>
      <c r="AB243" s="3" t="n">
        <v>9863.0</v>
      </c>
      <c r="AC243" s="3" t="n">
        <v>9487.0</v>
      </c>
      <c r="AD243" s="3" t="n">
        <v>9061.0</v>
      </c>
      <c r="AE243" s="3" t="n">
        <v>8508.0</v>
      </c>
      <c r="AF243" s="3" t="n">
        <v>7898.0</v>
      </c>
      <c r="AG243" s="3" t="n">
        <v>7057.0</v>
      </c>
      <c r="AH243" s="3" t="n">
        <v>6792.0</v>
      </c>
      <c r="AI243" s="3" t="n">
        <v>6556.0</v>
      </c>
      <c r="AJ243" s="3" t="n">
        <v>6346.0</v>
      </c>
      <c r="AK243" s="3" t="n">
        <v>6145.0</v>
      </c>
      <c r="AL243" s="3" t="n">
        <v>5966.0</v>
      </c>
      <c r="AM243" s="3" t="n">
        <v>5814.0</v>
      </c>
      <c r="AN243" s="3" t="n">
        <v>5681.0</v>
      </c>
      <c r="AO243" s="3" t="n">
        <v>5563.0</v>
      </c>
    </row>
    <row r="244" spans="1:41" x14ac:dyDescent="0.2">
      <c r="A244" s="128"/>
      <c r="B244" s="9">
        <v>31</v>
      </c>
      <c r="C244" s="3" t="n">
        <v>13183.0</v>
      </c>
      <c r="D244" s="3" t="n">
        <v>12275.0</v>
      </c>
      <c r="E244" s="3" t="n">
        <v>12025.0</v>
      </c>
      <c r="F244" s="3" t="n">
        <v>11317.0</v>
      </c>
      <c r="G244" s="3" t="n">
        <v>10636.0</v>
      </c>
      <c r="H244" s="3" t="n">
        <v>10384.0</v>
      </c>
      <c r="I244" s="3" t="n">
        <v>9929.0</v>
      </c>
      <c r="J244" s="3" t="n">
        <v>9550.0</v>
      </c>
      <c r="K244" s="3" t="n">
        <v>9394.0</v>
      </c>
      <c r="L244" s="3" t="n">
        <v>9383.0</v>
      </c>
      <c r="M244" s="3" t="n">
        <v>9060.0</v>
      </c>
      <c r="N244" s="3" t="n">
        <v>8775.0</v>
      </c>
      <c r="O244" s="3" t="n">
        <v>8687.0</v>
      </c>
      <c r="P244" s="3" t="n">
        <v>8925.0</v>
      </c>
      <c r="Q244" s="3" t="n">
        <v>9085.0</v>
      </c>
      <c r="R244" s="3" t="n">
        <v>9525.0</v>
      </c>
      <c r="S244" s="3" t="n">
        <v>10037.0</v>
      </c>
      <c r="T244" s="3" t="n">
        <v>10888.0</v>
      </c>
      <c r="U244" s="3" t="n">
        <v>10989.0</v>
      </c>
      <c r="V244" s="3" t="n">
        <v>10626.0</v>
      </c>
      <c r="W244" s="3" t="n">
        <v>9869.0</v>
      </c>
      <c r="X244" s="3" t="n">
        <v>9912.0</v>
      </c>
      <c r="Y244" s="3" t="n">
        <v>9497.0</v>
      </c>
      <c r="Z244" s="3" t="n">
        <v>9558.0</v>
      </c>
      <c r="AA244" s="3" t="n">
        <v>9359.0</v>
      </c>
      <c r="AB244" s="3" t="n">
        <v>9609.0</v>
      </c>
      <c r="AC244" s="3" t="n">
        <v>9808.0</v>
      </c>
      <c r="AD244" s="3" t="n">
        <v>9431.0</v>
      </c>
      <c r="AE244" s="3" t="n">
        <v>9006.0</v>
      </c>
      <c r="AF244" s="3" t="n">
        <v>8457.0</v>
      </c>
      <c r="AG244" s="3" t="n">
        <v>7860.0</v>
      </c>
      <c r="AH244" s="3" t="n">
        <v>7023.0</v>
      </c>
      <c r="AI244" s="3" t="n">
        <v>6758.0</v>
      </c>
      <c r="AJ244" s="3" t="n">
        <v>6528.0</v>
      </c>
      <c r="AK244" s="3" t="n">
        <v>6316.0</v>
      </c>
      <c r="AL244" s="3" t="n">
        <v>6117.0</v>
      </c>
      <c r="AM244" s="3" t="n">
        <v>5936.0</v>
      </c>
      <c r="AN244" s="3" t="n">
        <v>5781.0</v>
      </c>
      <c r="AO244" s="3" t="n">
        <v>5645.0</v>
      </c>
    </row>
    <row r="245" spans="1:41" x14ac:dyDescent="0.2">
      <c r="A245" s="128"/>
      <c r="B245" s="9">
        <v>32</v>
      </c>
      <c r="C245" s="3" t="n">
        <v>13652.0</v>
      </c>
      <c r="D245" s="3" t="n">
        <v>13114.0</v>
      </c>
      <c r="E245" s="3" t="n">
        <v>12213.0</v>
      </c>
      <c r="F245" s="3" t="n">
        <v>11959.0</v>
      </c>
      <c r="G245" s="3" t="n">
        <v>11257.0</v>
      </c>
      <c r="H245" s="3" t="n">
        <v>10597.0</v>
      </c>
      <c r="I245" s="3" t="n">
        <v>10349.0</v>
      </c>
      <c r="J245" s="3" t="n">
        <v>9885.0</v>
      </c>
      <c r="K245" s="3" t="n">
        <v>9501.0</v>
      </c>
      <c r="L245" s="3" t="n">
        <v>9345.0</v>
      </c>
      <c r="M245" s="3" t="n">
        <v>9332.0</v>
      </c>
      <c r="N245" s="3" t="n">
        <v>9007.0</v>
      </c>
      <c r="O245" s="3" t="n">
        <v>8723.0</v>
      </c>
      <c r="P245" s="3" t="n">
        <v>8634.0</v>
      </c>
      <c r="Q245" s="3" t="n">
        <v>8871.0</v>
      </c>
      <c r="R245" s="3" t="n">
        <v>9035.0</v>
      </c>
      <c r="S245" s="3" t="n">
        <v>9469.0</v>
      </c>
      <c r="T245" s="3" t="n">
        <v>9968.0</v>
      </c>
      <c r="U245" s="3" t="n">
        <v>10819.0</v>
      </c>
      <c r="V245" s="3" t="n">
        <v>10918.0</v>
      </c>
      <c r="W245" s="3" t="n">
        <v>10559.0</v>
      </c>
      <c r="X245" s="3" t="n">
        <v>9816.0</v>
      </c>
      <c r="Y245" s="3" t="n">
        <v>9860.0</v>
      </c>
      <c r="Z245" s="3" t="n">
        <v>9445.0</v>
      </c>
      <c r="AA245" s="3" t="n">
        <v>9509.0</v>
      </c>
      <c r="AB245" s="3" t="n">
        <v>9307.0</v>
      </c>
      <c r="AC245" s="3" t="n">
        <v>9558.0</v>
      </c>
      <c r="AD245" s="3" t="n">
        <v>9758.0</v>
      </c>
      <c r="AE245" s="3" t="n">
        <v>9384.0</v>
      </c>
      <c r="AF245" s="3" t="n">
        <v>8956.0</v>
      </c>
      <c r="AG245" s="3" t="n">
        <v>8408.0</v>
      </c>
      <c r="AH245" s="3" t="n">
        <v>7820.0</v>
      </c>
      <c r="AI245" s="3" t="n">
        <v>6991.0</v>
      </c>
      <c r="AJ245" s="3" t="n">
        <v>6726.0</v>
      </c>
      <c r="AK245" s="3" t="n">
        <v>6493.0</v>
      </c>
      <c r="AL245" s="3" t="n">
        <v>6282.0</v>
      </c>
      <c r="AM245" s="3" t="n">
        <v>6082.0</v>
      </c>
      <c r="AN245" s="3" t="n">
        <v>5903.0</v>
      </c>
      <c r="AO245" s="3" t="n">
        <v>5749.0</v>
      </c>
    </row>
    <row r="246" spans="1:41" x14ac:dyDescent="0.2">
      <c r="A246" s="128"/>
      <c r="B246" s="9">
        <v>33</v>
      </c>
      <c r="C246" s="3" t="n">
        <v>13604.0</v>
      </c>
      <c r="D246" s="3" t="n">
        <v>13600.0</v>
      </c>
      <c r="E246" s="3" t="n">
        <v>13061.0</v>
      </c>
      <c r="F246" s="3" t="n">
        <v>12166.0</v>
      </c>
      <c r="G246" s="3" t="n">
        <v>11913.0</v>
      </c>
      <c r="H246" s="3" t="n">
        <v>11229.0</v>
      </c>
      <c r="I246" s="3" t="n">
        <v>10579.0</v>
      </c>
      <c r="J246" s="3" t="n">
        <v>10319.0</v>
      </c>
      <c r="K246" s="3" t="n">
        <v>9840.0</v>
      </c>
      <c r="L246" s="3" t="n">
        <v>9462.0</v>
      </c>
      <c r="M246" s="3" t="n">
        <v>9308.0</v>
      </c>
      <c r="N246" s="3" t="n">
        <v>9292.0</v>
      </c>
      <c r="O246" s="3" t="n">
        <v>8971.0</v>
      </c>
      <c r="P246" s="3" t="n">
        <v>8688.0</v>
      </c>
      <c r="Q246" s="3" t="n">
        <v>8598.0</v>
      </c>
      <c r="R246" s="3" t="n">
        <v>8833.0</v>
      </c>
      <c r="S246" s="3" t="n">
        <v>8995.0</v>
      </c>
      <c r="T246" s="3" t="n">
        <v>9427.0</v>
      </c>
      <c r="U246" s="3" t="n">
        <v>9921.0</v>
      </c>
      <c r="V246" s="3" t="n">
        <v>10766.0</v>
      </c>
      <c r="W246" s="3" t="n">
        <v>10872.0</v>
      </c>
      <c r="X246" s="3" t="n">
        <v>10509.0</v>
      </c>
      <c r="Y246" s="3" t="n">
        <v>9768.0</v>
      </c>
      <c r="Z246" s="3" t="n">
        <v>9817.0</v>
      </c>
      <c r="AA246" s="3" t="n">
        <v>9405.0</v>
      </c>
      <c r="AB246" s="3" t="n">
        <v>9469.0</v>
      </c>
      <c r="AC246" s="3" t="n">
        <v>9270.0</v>
      </c>
      <c r="AD246" s="3" t="n">
        <v>9518.0</v>
      </c>
      <c r="AE246" s="3" t="n">
        <v>9718.0</v>
      </c>
      <c r="AF246" s="3" t="n">
        <v>9347.0</v>
      </c>
      <c r="AG246" s="3" t="n">
        <v>8918.0</v>
      </c>
      <c r="AH246" s="3" t="n">
        <v>8377.0</v>
      </c>
      <c r="AI246" s="3" t="n">
        <v>7790.0</v>
      </c>
      <c r="AJ246" s="3" t="n">
        <v>6965.0</v>
      </c>
      <c r="AK246" s="3" t="n">
        <v>6697.0</v>
      </c>
      <c r="AL246" s="3" t="n">
        <v>6467.0</v>
      </c>
      <c r="AM246" s="3" t="n">
        <v>6254.0</v>
      </c>
      <c r="AN246" s="3" t="n">
        <v>6052.0</v>
      </c>
      <c r="AO246" s="3" t="n">
        <v>5879.0</v>
      </c>
    </row>
    <row r="247" spans="1:41" x14ac:dyDescent="0.2">
      <c r="A247" s="128"/>
      <c r="B247" s="9">
        <v>34</v>
      </c>
      <c r="C247" s="3" t="n">
        <v>13890.0</v>
      </c>
      <c r="D247" s="3" t="n">
        <v>13562.0</v>
      </c>
      <c r="E247" s="3" t="n">
        <v>13562.0</v>
      </c>
      <c r="F247" s="3" t="n">
        <v>13023.0</v>
      </c>
      <c r="G247" s="3" t="n">
        <v>12140.0</v>
      </c>
      <c r="H247" s="3" t="n">
        <v>11899.0</v>
      </c>
      <c r="I247" s="3" t="n">
        <v>11221.0</v>
      </c>
      <c r="J247" s="3" t="n">
        <v>10555.0</v>
      </c>
      <c r="K247" s="3" t="n">
        <v>10299.0</v>
      </c>
      <c r="L247" s="3" t="n">
        <v>9817.0</v>
      </c>
      <c r="M247" s="3" t="n">
        <v>9432.0</v>
      </c>
      <c r="N247" s="3" t="n">
        <v>9278.0</v>
      </c>
      <c r="O247" s="3" t="n">
        <v>9262.0</v>
      </c>
      <c r="P247" s="3" t="n">
        <v>8944.0</v>
      </c>
      <c r="Q247" s="3" t="n">
        <v>8661.0</v>
      </c>
      <c r="R247" s="3" t="n">
        <v>8565.0</v>
      </c>
      <c r="S247" s="3" t="n">
        <v>8803.0</v>
      </c>
      <c r="T247" s="3" t="n">
        <v>8964.0</v>
      </c>
      <c r="U247" s="3" t="n">
        <v>9394.0</v>
      </c>
      <c r="V247" s="3" t="n">
        <v>9883.0</v>
      </c>
      <c r="W247" s="3" t="n">
        <v>10722.0</v>
      </c>
      <c r="X247" s="3" t="n">
        <v>10827.0</v>
      </c>
      <c r="Y247" s="3" t="n">
        <v>10470.0</v>
      </c>
      <c r="Z247" s="3" t="n">
        <v>9737.0</v>
      </c>
      <c r="AA247" s="3" t="n">
        <v>9785.0</v>
      </c>
      <c r="AB247" s="3" t="n">
        <v>9369.0</v>
      </c>
      <c r="AC247" s="3" t="n">
        <v>9437.0</v>
      </c>
      <c r="AD247" s="3" t="n">
        <v>9239.0</v>
      </c>
      <c r="AE247" s="3" t="n">
        <v>9491.0</v>
      </c>
      <c r="AF247" s="3" t="n">
        <v>9683.0</v>
      </c>
      <c r="AG247" s="3" t="n">
        <v>9314.0</v>
      </c>
      <c r="AH247" s="3" t="n">
        <v>8886.0</v>
      </c>
      <c r="AI247" s="3" t="n">
        <v>8348.0</v>
      </c>
      <c r="AJ247" s="3" t="n">
        <v>7765.0</v>
      </c>
      <c r="AK247" s="3" t="n">
        <v>6943.0</v>
      </c>
      <c r="AL247" s="3" t="n">
        <v>6676.0</v>
      </c>
      <c r="AM247" s="3" t="n">
        <v>6457.0</v>
      </c>
      <c r="AN247" s="3" t="n">
        <v>6242.0</v>
      </c>
      <c r="AO247" s="3" t="n">
        <v>6039.0</v>
      </c>
    </row>
    <row r="248" spans="1:41" x14ac:dyDescent="0.2">
      <c r="A248" s="128"/>
      <c r="B248" s="9">
        <v>35</v>
      </c>
      <c r="C248" s="3" t="n">
        <v>14513.0</v>
      </c>
      <c r="D248" s="3" t="n">
        <v>13846.0</v>
      </c>
      <c r="E248" s="3" t="n">
        <v>13513.0</v>
      </c>
      <c r="F248" s="3" t="n">
        <v>13511.0</v>
      </c>
      <c r="G248" s="3" t="n">
        <v>12966.0</v>
      </c>
      <c r="H248" s="3" t="n">
        <v>12110.0</v>
      </c>
      <c r="I248" s="3" t="n">
        <v>11882.0</v>
      </c>
      <c r="J248" s="3" t="n">
        <v>11196.0</v>
      </c>
      <c r="K248" s="3" t="n">
        <v>10522.0</v>
      </c>
      <c r="L248" s="3" t="n">
        <v>10259.0</v>
      </c>
      <c r="M248" s="3" t="n">
        <v>9781.0</v>
      </c>
      <c r="N248" s="3" t="n">
        <v>9396.0</v>
      </c>
      <c r="O248" s="3" t="n">
        <v>9238.0</v>
      </c>
      <c r="P248" s="3" t="n">
        <v>9218.0</v>
      </c>
      <c r="Q248" s="3" t="n">
        <v>8903.0</v>
      </c>
      <c r="R248" s="3" t="n">
        <v>8618.0</v>
      </c>
      <c r="S248" s="3" t="n">
        <v>8523.0</v>
      </c>
      <c r="T248" s="3" t="n">
        <v>8759.0</v>
      </c>
      <c r="U248" s="3" t="n">
        <v>8924.0</v>
      </c>
      <c r="V248" s="3" t="n">
        <v>9351.0</v>
      </c>
      <c r="W248" s="3" t="n">
        <v>9835.0</v>
      </c>
      <c r="X248" s="3" t="n">
        <v>10668.0</v>
      </c>
      <c r="Y248" s="3" t="n">
        <v>10773.0</v>
      </c>
      <c r="Z248" s="3" t="n">
        <v>10423.0</v>
      </c>
      <c r="AA248" s="3" t="n">
        <v>9691.0</v>
      </c>
      <c r="AB248" s="3" t="n">
        <v>9740.0</v>
      </c>
      <c r="AC248" s="3" t="n">
        <v>9322.0</v>
      </c>
      <c r="AD248" s="3" t="n">
        <v>9388.0</v>
      </c>
      <c r="AE248" s="3" t="n">
        <v>9190.0</v>
      </c>
      <c r="AF248" s="3" t="n">
        <v>9447.0</v>
      </c>
      <c r="AG248" s="3" t="n">
        <v>9638.0</v>
      </c>
      <c r="AH248" s="3" t="n">
        <v>9269.0</v>
      </c>
      <c r="AI248" s="3" t="n">
        <v>8839.0</v>
      </c>
      <c r="AJ248" s="3" t="n">
        <v>8303.0</v>
      </c>
      <c r="AK248" s="3" t="n">
        <v>7733.0</v>
      </c>
      <c r="AL248" s="3" t="n">
        <v>6911.0</v>
      </c>
      <c r="AM248" s="3" t="n">
        <v>6649.0</v>
      </c>
      <c r="AN248" s="3" t="n">
        <v>6432.0</v>
      </c>
      <c r="AO248" s="3" t="n">
        <v>6218.0</v>
      </c>
    </row>
    <row r="249" spans="1:41" x14ac:dyDescent="0.2">
      <c r="A249" s="128"/>
      <c r="B249" s="9">
        <v>36</v>
      </c>
      <c r="C249" s="3" t="n">
        <v>15010.0</v>
      </c>
      <c r="D249" s="3" t="n">
        <v>14461.0</v>
      </c>
      <c r="E249" s="3" t="n">
        <v>13804.0</v>
      </c>
      <c r="F249" s="3" t="n">
        <v>13469.0</v>
      </c>
      <c r="G249" s="3" t="n">
        <v>13469.0</v>
      </c>
      <c r="H249" s="3" t="n">
        <v>12951.0</v>
      </c>
      <c r="I249" s="3" t="n">
        <v>12103.0</v>
      </c>
      <c r="J249" s="3" t="n">
        <v>11856.0</v>
      </c>
      <c r="K249" s="3" t="n">
        <v>11168.0</v>
      </c>
      <c r="L249" s="3" t="n">
        <v>10494.0</v>
      </c>
      <c r="M249" s="3" t="n">
        <v>10229.0</v>
      </c>
      <c r="N249" s="3" t="n">
        <v>9745.0</v>
      </c>
      <c r="O249" s="3" t="n">
        <v>9363.0</v>
      </c>
      <c r="P249" s="3" t="n">
        <v>9208.0</v>
      </c>
      <c r="Q249" s="3" t="n">
        <v>9188.0</v>
      </c>
      <c r="R249" s="3" t="n">
        <v>8868.0</v>
      </c>
      <c r="S249" s="3" t="n">
        <v>8581.0</v>
      </c>
      <c r="T249" s="3" t="n">
        <v>8490.0</v>
      </c>
      <c r="U249" s="3" t="n">
        <v>8723.0</v>
      </c>
      <c r="V249" s="3" t="n">
        <v>8887.0</v>
      </c>
      <c r="W249" s="3" t="n">
        <v>9308.0</v>
      </c>
      <c r="X249" s="3" t="n">
        <v>9797.0</v>
      </c>
      <c r="Y249" s="3" t="n">
        <v>10623.0</v>
      </c>
      <c r="Z249" s="3" t="n">
        <v>10729.0</v>
      </c>
      <c r="AA249" s="3" t="n">
        <v>10382.0</v>
      </c>
      <c r="AB249" s="3" t="n">
        <v>9651.0</v>
      </c>
      <c r="AC249" s="3" t="n">
        <v>9697.0</v>
      </c>
      <c r="AD249" s="3" t="n">
        <v>9283.0</v>
      </c>
      <c r="AE249" s="3" t="n">
        <v>9350.0</v>
      </c>
      <c r="AF249" s="3" t="n">
        <v>9155.0</v>
      </c>
      <c r="AG249" s="3" t="n">
        <v>9412.0</v>
      </c>
      <c r="AH249" s="3" t="n">
        <v>9599.0</v>
      </c>
      <c r="AI249" s="3" t="n">
        <v>9232.0</v>
      </c>
      <c r="AJ249" s="3" t="n">
        <v>8808.0</v>
      </c>
      <c r="AK249" s="3" t="n">
        <v>8272.0</v>
      </c>
      <c r="AL249" s="3" t="n">
        <v>7706.0</v>
      </c>
      <c r="AM249" s="3" t="n">
        <v>6890.0</v>
      </c>
      <c r="AN249" s="3" t="n">
        <v>6634.0</v>
      </c>
      <c r="AO249" s="3" t="n">
        <v>6415.0</v>
      </c>
    </row>
    <row r="250" spans="1:41" x14ac:dyDescent="0.2">
      <c r="A250" s="128"/>
      <c r="B250" s="9">
        <v>37</v>
      </c>
      <c r="C250" s="3" t="n">
        <v>16200.0</v>
      </c>
      <c r="D250" s="3" t="n">
        <v>14974.0</v>
      </c>
      <c r="E250" s="3" t="n">
        <v>14429.0</v>
      </c>
      <c r="F250" s="3" t="n">
        <v>13774.0</v>
      </c>
      <c r="G250" s="3" t="n">
        <v>13440.0</v>
      </c>
      <c r="H250" s="3" t="n">
        <v>13463.0</v>
      </c>
      <c r="I250" s="3" t="n">
        <v>12947.0</v>
      </c>
      <c r="J250" s="3" t="n">
        <v>12081.0</v>
      </c>
      <c r="K250" s="3" t="n">
        <v>11828.0</v>
      </c>
      <c r="L250" s="3" t="n">
        <v>11138.0</v>
      </c>
      <c r="M250" s="3" t="n">
        <v>10466.0</v>
      </c>
      <c r="N250" s="3" t="n">
        <v>10205.0</v>
      </c>
      <c r="O250" s="3" t="n">
        <v>9719.0</v>
      </c>
      <c r="P250" s="3" t="n">
        <v>9338.0</v>
      </c>
      <c r="Q250" s="3" t="n">
        <v>9183.0</v>
      </c>
      <c r="R250" s="3" t="n">
        <v>9162.0</v>
      </c>
      <c r="S250" s="3" t="n">
        <v>8844.0</v>
      </c>
      <c r="T250" s="3" t="n">
        <v>8556.0</v>
      </c>
      <c r="U250" s="3" t="n">
        <v>8467.0</v>
      </c>
      <c r="V250" s="3" t="n">
        <v>8697.0</v>
      </c>
      <c r="W250" s="3" t="n">
        <v>8862.0</v>
      </c>
      <c r="X250" s="3" t="n">
        <v>9276.0</v>
      </c>
      <c r="Y250" s="3" t="n">
        <v>9763.0</v>
      </c>
      <c r="Z250" s="3" t="n">
        <v>10584.0</v>
      </c>
      <c r="AA250" s="3" t="n">
        <v>10694.0</v>
      </c>
      <c r="AB250" s="3" t="n">
        <v>10351.0</v>
      </c>
      <c r="AC250" s="3" t="n">
        <v>9621.0</v>
      </c>
      <c r="AD250" s="3" t="n">
        <v>9668.0</v>
      </c>
      <c r="AE250" s="3" t="n">
        <v>9252.0</v>
      </c>
      <c r="AF250" s="3" t="n">
        <v>9319.0</v>
      </c>
      <c r="AG250" s="3" t="n">
        <v>9127.0</v>
      </c>
      <c r="AH250" s="3" t="n">
        <v>9380.0</v>
      </c>
      <c r="AI250" s="3" t="n">
        <v>9573.0</v>
      </c>
      <c r="AJ250" s="3" t="n">
        <v>9206.0</v>
      </c>
      <c r="AK250" s="3" t="n">
        <v>8783.0</v>
      </c>
      <c r="AL250" s="3" t="n">
        <v>8249.0</v>
      </c>
      <c r="AM250" s="3" t="n">
        <v>7680.0</v>
      </c>
      <c r="AN250" s="3" t="n">
        <v>6872.0</v>
      </c>
      <c r="AO250" s="3" t="n">
        <v>6610.0</v>
      </c>
    </row>
    <row r="251" spans="1:41" x14ac:dyDescent="0.2">
      <c r="A251" s="128"/>
      <c r="B251" s="9">
        <v>38</v>
      </c>
      <c r="C251" s="3" t="n">
        <v>16804.0</v>
      </c>
      <c r="D251" s="3" t="n">
        <v>16166.0</v>
      </c>
      <c r="E251" s="3" t="n">
        <v>14946.0</v>
      </c>
      <c r="F251" s="3" t="n">
        <v>14406.0</v>
      </c>
      <c r="G251" s="3" t="n">
        <v>13750.0</v>
      </c>
      <c r="H251" s="3" t="n">
        <v>13436.0</v>
      </c>
      <c r="I251" s="3" t="n">
        <v>13464.0</v>
      </c>
      <c r="J251" s="3" t="n">
        <v>12936.0</v>
      </c>
      <c r="K251" s="3" t="n">
        <v>12065.0</v>
      </c>
      <c r="L251" s="3" t="n">
        <v>11807.0</v>
      </c>
      <c r="M251" s="3" t="n">
        <v>11120.0</v>
      </c>
      <c r="N251" s="3" t="n">
        <v>10442.0</v>
      </c>
      <c r="O251" s="3" t="n">
        <v>10182.0</v>
      </c>
      <c r="P251" s="3" t="n">
        <v>9700.0</v>
      </c>
      <c r="Q251" s="3" t="n">
        <v>9312.0</v>
      </c>
      <c r="R251" s="3" t="n">
        <v>9158.0</v>
      </c>
      <c r="S251" s="3" t="n">
        <v>9134.0</v>
      </c>
      <c r="T251" s="3" t="n">
        <v>8818.0</v>
      </c>
      <c r="U251" s="3" t="n">
        <v>8531.0</v>
      </c>
      <c r="V251" s="3" t="n">
        <v>8441.0</v>
      </c>
      <c r="W251" s="3" t="n">
        <v>8673.0</v>
      </c>
      <c r="X251" s="3" t="n">
        <v>8837.0</v>
      </c>
      <c r="Y251" s="3" t="n">
        <v>9245.0</v>
      </c>
      <c r="Z251" s="3" t="n">
        <v>9728.0</v>
      </c>
      <c r="AA251" s="3" t="n">
        <v>10547.0</v>
      </c>
      <c r="AB251" s="3" t="n">
        <v>10661.0</v>
      </c>
      <c r="AC251" s="3" t="n">
        <v>10317.0</v>
      </c>
      <c r="AD251" s="3" t="n">
        <v>9593.0</v>
      </c>
      <c r="AE251" s="3" t="n">
        <v>9639.0</v>
      </c>
      <c r="AF251" s="3" t="n">
        <v>9218.0</v>
      </c>
      <c r="AG251" s="3" t="n">
        <v>9289.0</v>
      </c>
      <c r="AH251" s="3" t="n">
        <v>9095.0</v>
      </c>
      <c r="AI251" s="3" t="n">
        <v>9350.0</v>
      </c>
      <c r="AJ251" s="3" t="n">
        <v>9545.0</v>
      </c>
      <c r="AK251" s="3" t="n">
        <v>9175.0</v>
      </c>
      <c r="AL251" s="3" t="n">
        <v>8755.0</v>
      </c>
      <c r="AM251" s="3" t="n">
        <v>8220.0</v>
      </c>
      <c r="AN251" s="3" t="n">
        <v>7653.0</v>
      </c>
      <c r="AO251" s="3" t="n">
        <v>6848.0</v>
      </c>
    </row>
    <row r="252" spans="1:41" x14ac:dyDescent="0.2">
      <c r="A252" s="128"/>
      <c r="B252" s="9">
        <v>39</v>
      </c>
      <c r="C252" s="3" t="n">
        <v>17259.0</v>
      </c>
      <c r="D252" s="3" t="n">
        <v>16762.0</v>
      </c>
      <c r="E252" s="3" t="n">
        <v>16123.0</v>
      </c>
      <c r="F252" s="3" t="n">
        <v>14912.0</v>
      </c>
      <c r="G252" s="3" t="n">
        <v>14370.0</v>
      </c>
      <c r="H252" s="3" t="n">
        <v>13743.0</v>
      </c>
      <c r="I252" s="3" t="n">
        <v>13432.0</v>
      </c>
      <c r="J252" s="3" t="n">
        <v>13441.0</v>
      </c>
      <c r="K252" s="3" t="n">
        <v>12908.0</v>
      </c>
      <c r="L252" s="3" t="n">
        <v>12035.0</v>
      </c>
      <c r="M252" s="3" t="n">
        <v>11778.0</v>
      </c>
      <c r="N252" s="3" t="n">
        <v>11094.0</v>
      </c>
      <c r="O252" s="3" t="n">
        <v>10416.0</v>
      </c>
      <c r="P252" s="3" t="n">
        <v>10155.0</v>
      </c>
      <c r="Q252" s="3" t="n">
        <v>9675.0</v>
      </c>
      <c r="R252" s="3" t="n">
        <v>9289.0</v>
      </c>
      <c r="S252" s="3" t="n">
        <v>9134.0</v>
      </c>
      <c r="T252" s="3" t="n">
        <v>9109.0</v>
      </c>
      <c r="U252" s="3" t="n">
        <v>8794.0</v>
      </c>
      <c r="V252" s="3" t="n">
        <v>8509.0</v>
      </c>
      <c r="W252" s="3" t="n">
        <v>8420.0</v>
      </c>
      <c r="X252" s="3" t="n">
        <v>8649.0</v>
      </c>
      <c r="Y252" s="3" t="n">
        <v>8812.0</v>
      </c>
      <c r="Z252" s="3" t="n">
        <v>9216.0</v>
      </c>
      <c r="AA252" s="3" t="n">
        <v>9697.0</v>
      </c>
      <c r="AB252" s="3" t="n">
        <v>10508.0</v>
      </c>
      <c r="AC252" s="3" t="n">
        <v>10624.0</v>
      </c>
      <c r="AD252" s="3" t="n">
        <v>10281.0</v>
      </c>
      <c r="AE252" s="3" t="n">
        <v>9559.0</v>
      </c>
      <c r="AF252" s="3" t="n">
        <v>9607.0</v>
      </c>
      <c r="AG252" s="3" t="n">
        <v>9189.0</v>
      </c>
      <c r="AH252" s="3" t="n">
        <v>9261.0</v>
      </c>
      <c r="AI252" s="3" t="n">
        <v>9067.0</v>
      </c>
      <c r="AJ252" s="3" t="n">
        <v>9322.0</v>
      </c>
      <c r="AK252" s="3" t="n">
        <v>9517.0</v>
      </c>
      <c r="AL252" s="3" t="n">
        <v>9143.0</v>
      </c>
      <c r="AM252" s="3" t="n">
        <v>8727.0</v>
      </c>
      <c r="AN252" s="3" t="n">
        <v>8192.0</v>
      </c>
      <c r="AO252" s="3" t="n">
        <v>7629.0</v>
      </c>
    </row>
    <row r="253" spans="1:41" x14ac:dyDescent="0.2">
      <c r="A253" s="128"/>
      <c r="B253" s="9">
        <v>40</v>
      </c>
      <c r="C253" s="3" t="n">
        <v>16665.0</v>
      </c>
      <c r="D253" s="3" t="n">
        <v>17225.0</v>
      </c>
      <c r="E253" s="3" t="n">
        <v>16726.0</v>
      </c>
      <c r="F253" s="3" t="n">
        <v>16084.0</v>
      </c>
      <c r="G253" s="3" t="n">
        <v>14877.0</v>
      </c>
      <c r="H253" s="3" t="n">
        <v>14350.0</v>
      </c>
      <c r="I253" s="3" t="n">
        <v>13731.0</v>
      </c>
      <c r="J253" s="3" t="n">
        <v>13414.0</v>
      </c>
      <c r="K253" s="3" t="n">
        <v>13416.0</v>
      </c>
      <c r="L253" s="3" t="n">
        <v>12883.0</v>
      </c>
      <c r="M253" s="3" t="n">
        <v>12014.0</v>
      </c>
      <c r="N253" s="3" t="n">
        <v>11752.0</v>
      </c>
      <c r="O253" s="3" t="n">
        <v>11073.0</v>
      </c>
      <c r="P253" s="3" t="n">
        <v>10399.0</v>
      </c>
      <c r="Q253" s="3" t="n">
        <v>10139.0</v>
      </c>
      <c r="R253" s="3" t="n">
        <v>9659.0</v>
      </c>
      <c r="S253" s="3" t="n">
        <v>9274.0</v>
      </c>
      <c r="T253" s="3" t="n">
        <v>9113.0</v>
      </c>
      <c r="U253" s="3" t="n">
        <v>9088.0</v>
      </c>
      <c r="V253" s="3" t="n">
        <v>8773.0</v>
      </c>
      <c r="W253" s="3" t="n">
        <v>8487.0</v>
      </c>
      <c r="X253" s="3" t="n">
        <v>8398.0</v>
      </c>
      <c r="Y253" s="3" t="n">
        <v>8625.0</v>
      </c>
      <c r="Z253" s="3" t="n">
        <v>8789.0</v>
      </c>
      <c r="AA253" s="3" t="n">
        <v>9193.0</v>
      </c>
      <c r="AB253" s="3" t="n">
        <v>9673.0</v>
      </c>
      <c r="AC253" s="3" t="n">
        <v>10481.0</v>
      </c>
      <c r="AD253" s="3" t="n">
        <v>10598.0</v>
      </c>
      <c r="AE253" s="3" t="n">
        <v>10260.0</v>
      </c>
      <c r="AF253" s="3" t="n">
        <v>9536.0</v>
      </c>
      <c r="AG253" s="3" t="n">
        <v>9580.0</v>
      </c>
      <c r="AH253" s="3" t="n">
        <v>9166.0</v>
      </c>
      <c r="AI253" s="3" t="n">
        <v>9235.0</v>
      </c>
      <c r="AJ253" s="3" t="n">
        <v>9043.0</v>
      </c>
      <c r="AK253" s="3" t="n">
        <v>9300.0</v>
      </c>
      <c r="AL253" s="3" t="n">
        <v>9497.0</v>
      </c>
      <c r="AM253" s="3" t="n">
        <v>9118.0</v>
      </c>
      <c r="AN253" s="3" t="n">
        <v>8695.0</v>
      </c>
      <c r="AO253" s="3" t="n">
        <v>8161.0</v>
      </c>
    </row>
    <row r="254" spans="1:41" x14ac:dyDescent="0.2">
      <c r="A254" s="128"/>
      <c r="B254" s="9">
        <v>41</v>
      </c>
      <c r="C254" s="3" t="n">
        <v>15954.0</v>
      </c>
      <c r="D254" s="3" t="n">
        <v>16633.0</v>
      </c>
      <c r="E254" s="3" t="n">
        <v>17193.0</v>
      </c>
      <c r="F254" s="3" t="n">
        <v>16691.0</v>
      </c>
      <c r="G254" s="3" t="n">
        <v>16054.0</v>
      </c>
      <c r="H254" s="3" t="n">
        <v>14865.0</v>
      </c>
      <c r="I254" s="3" t="n">
        <v>14351.0</v>
      </c>
      <c r="J254" s="3" t="n">
        <v>13719.0</v>
      </c>
      <c r="K254" s="3" t="n">
        <v>13397.0</v>
      </c>
      <c r="L254" s="3" t="n">
        <v>13396.0</v>
      </c>
      <c r="M254" s="3" t="n">
        <v>12865.0</v>
      </c>
      <c r="N254" s="3" t="n">
        <v>11995.0</v>
      </c>
      <c r="O254" s="3" t="n">
        <v>11734.0</v>
      </c>
      <c r="P254" s="3" t="n">
        <v>11054.0</v>
      </c>
      <c r="Q254" s="3" t="n">
        <v>10383.0</v>
      </c>
      <c r="R254" s="3" t="n">
        <v>10120.0</v>
      </c>
      <c r="S254" s="3" t="n">
        <v>9641.0</v>
      </c>
      <c r="T254" s="3" t="n">
        <v>9256.0</v>
      </c>
      <c r="U254" s="3" t="n">
        <v>9096.0</v>
      </c>
      <c r="V254" s="3" t="n">
        <v>9071.0</v>
      </c>
      <c r="W254" s="3" t="n">
        <v>8757.0</v>
      </c>
      <c r="X254" s="3" t="n">
        <v>8470.0</v>
      </c>
      <c r="Y254" s="3" t="n">
        <v>8381.0</v>
      </c>
      <c r="Z254" s="3" t="n">
        <v>8610.0</v>
      </c>
      <c r="AA254" s="3" t="n">
        <v>8768.0</v>
      </c>
      <c r="AB254" s="3" t="n">
        <v>9174.0</v>
      </c>
      <c r="AC254" s="3" t="n">
        <v>9654.0</v>
      </c>
      <c r="AD254" s="3" t="n">
        <v>10458.0</v>
      </c>
      <c r="AE254" s="3" t="n">
        <v>10573.0</v>
      </c>
      <c r="AF254" s="3" t="n">
        <v>10238.0</v>
      </c>
      <c r="AG254" s="3" t="n">
        <v>9518.0</v>
      </c>
      <c r="AH254" s="3" t="n">
        <v>9561.0</v>
      </c>
      <c r="AI254" s="3" t="n">
        <v>9144.0</v>
      </c>
      <c r="AJ254" s="3" t="n">
        <v>9217.0</v>
      </c>
      <c r="AK254" s="3" t="n">
        <v>9027.0</v>
      </c>
      <c r="AL254" s="3" t="n">
        <v>9284.0</v>
      </c>
      <c r="AM254" s="3" t="n">
        <v>9480.0</v>
      </c>
      <c r="AN254" s="3" t="n">
        <v>9104.0</v>
      </c>
      <c r="AO254" s="3" t="n">
        <v>8679.0</v>
      </c>
    </row>
    <row r="255" spans="1:41" x14ac:dyDescent="0.2">
      <c r="A255" s="128"/>
      <c r="B255" s="9">
        <v>42</v>
      </c>
      <c r="C255" s="3" t="n">
        <v>16215.0</v>
      </c>
      <c r="D255" s="3" t="n">
        <v>15923.0</v>
      </c>
      <c r="E255" s="3" t="n">
        <v>16596.0</v>
      </c>
      <c r="F255" s="3" t="n">
        <v>17158.0</v>
      </c>
      <c r="G255" s="3" t="n">
        <v>16660.0</v>
      </c>
      <c r="H255" s="3" t="n">
        <v>16040.0</v>
      </c>
      <c r="I255" s="3" t="n">
        <v>14862.0</v>
      </c>
      <c r="J255" s="3" t="n">
        <v>14338.0</v>
      </c>
      <c r="K255" s="3" t="n">
        <v>13696.0</v>
      </c>
      <c r="L255" s="3" t="n">
        <v>13370.0</v>
      </c>
      <c r="M255" s="3" t="n">
        <v>13362.0</v>
      </c>
      <c r="N255" s="3" t="n">
        <v>12835.0</v>
      </c>
      <c r="O255" s="3" t="n">
        <v>11968.0</v>
      </c>
      <c r="P255" s="3" t="n">
        <v>11712.0</v>
      </c>
      <c r="Q255" s="3" t="n">
        <v>11035.0</v>
      </c>
      <c r="R255" s="3" t="n">
        <v>10363.0</v>
      </c>
      <c r="S255" s="3" t="n">
        <v>10102.0</v>
      </c>
      <c r="T255" s="3" t="n">
        <v>9622.0</v>
      </c>
      <c r="U255" s="3" t="n">
        <v>9236.0</v>
      </c>
      <c r="V255" s="3" t="n">
        <v>9076.0</v>
      </c>
      <c r="W255" s="3" t="n">
        <v>9049.0</v>
      </c>
      <c r="X255" s="3" t="n">
        <v>8734.0</v>
      </c>
      <c r="Y255" s="3" t="n">
        <v>8449.0</v>
      </c>
      <c r="Z255" s="3" t="n">
        <v>8360.0</v>
      </c>
      <c r="AA255" s="3" t="n">
        <v>8586.0</v>
      </c>
      <c r="AB255" s="3" t="n">
        <v>8742.0</v>
      </c>
      <c r="AC255" s="3" t="n">
        <v>9148.0</v>
      </c>
      <c r="AD255" s="3" t="n">
        <v>9625.0</v>
      </c>
      <c r="AE255" s="3" t="n">
        <v>10427.0</v>
      </c>
      <c r="AF255" s="3" t="n">
        <v>10544.0</v>
      </c>
      <c r="AG255" s="3" t="n">
        <v>10212.0</v>
      </c>
      <c r="AH255" s="3" t="n">
        <v>9490.0</v>
      </c>
      <c r="AI255" s="3" t="n">
        <v>9538.0</v>
      </c>
      <c r="AJ255" s="3" t="n">
        <v>9119.0</v>
      </c>
      <c r="AK255" s="3" t="n">
        <v>9191.0</v>
      </c>
      <c r="AL255" s="3" t="n">
        <v>9002.0</v>
      </c>
      <c r="AM255" s="3" t="n">
        <v>9255.0</v>
      </c>
      <c r="AN255" s="3" t="n">
        <v>9454.0</v>
      </c>
      <c r="AO255" s="3" t="n">
        <v>9077.0</v>
      </c>
    </row>
    <row r="256" spans="1:41" x14ac:dyDescent="0.2">
      <c r="A256" s="128"/>
      <c r="B256" s="9">
        <v>43</v>
      </c>
      <c r="C256" s="3" t="n">
        <v>16023.0</v>
      </c>
      <c r="D256" s="3" t="n">
        <v>16194.0</v>
      </c>
      <c r="E256" s="3" t="n">
        <v>15904.0</v>
      </c>
      <c r="F256" s="3" t="n">
        <v>16573.0</v>
      </c>
      <c r="G256" s="3" t="n">
        <v>17136.0</v>
      </c>
      <c r="H256" s="3" t="n">
        <v>16652.0</v>
      </c>
      <c r="I256" s="3" t="n">
        <v>16043.0</v>
      </c>
      <c r="J256" s="3" t="n">
        <v>14858.0</v>
      </c>
      <c r="K256" s="3" t="n">
        <v>14324.0</v>
      </c>
      <c r="L256" s="3" t="n">
        <v>13687.0</v>
      </c>
      <c r="M256" s="3" t="n">
        <v>13356.0</v>
      </c>
      <c r="N256" s="3" t="n">
        <v>13344.0</v>
      </c>
      <c r="O256" s="3" t="n">
        <v>12821.0</v>
      </c>
      <c r="P256" s="3" t="n">
        <v>11955.0</v>
      </c>
      <c r="Q256" s="3" t="n">
        <v>11701.0</v>
      </c>
      <c r="R256" s="3" t="n">
        <v>11026.0</v>
      </c>
      <c r="S256" s="3" t="n">
        <v>10355.0</v>
      </c>
      <c r="T256" s="3" t="n">
        <v>10096.0</v>
      </c>
      <c r="U256" s="3" t="n">
        <v>9611.0</v>
      </c>
      <c r="V256" s="3" t="n">
        <v>9225.0</v>
      </c>
      <c r="W256" s="3" t="n">
        <v>9065.0</v>
      </c>
      <c r="X256" s="3" t="n">
        <v>9040.0</v>
      </c>
      <c r="Y256" s="3" t="n">
        <v>8724.0</v>
      </c>
      <c r="Z256" s="3" t="n">
        <v>8440.0</v>
      </c>
      <c r="AA256" s="3" t="n">
        <v>8348.0</v>
      </c>
      <c r="AB256" s="3" t="n">
        <v>8574.0</v>
      </c>
      <c r="AC256" s="3" t="n">
        <v>8728.0</v>
      </c>
      <c r="AD256" s="3" t="n">
        <v>9134.0</v>
      </c>
      <c r="AE256" s="3" t="n">
        <v>9612.0</v>
      </c>
      <c r="AF256" s="3" t="n">
        <v>10409.0</v>
      </c>
      <c r="AG256" s="3" t="n">
        <v>10527.0</v>
      </c>
      <c r="AH256" s="3" t="n">
        <v>10195.0</v>
      </c>
      <c r="AI256" s="3" t="n">
        <v>9477.0</v>
      </c>
      <c r="AJ256" s="3" t="n">
        <v>9524.0</v>
      </c>
      <c r="AK256" s="3" t="n">
        <v>9105.0</v>
      </c>
      <c r="AL256" s="3" t="n">
        <v>9179.0</v>
      </c>
      <c r="AM256" s="3" t="n">
        <v>8989.0</v>
      </c>
      <c r="AN256" s="3" t="n">
        <v>9241.0</v>
      </c>
      <c r="AO256" s="3" t="n">
        <v>9439.0</v>
      </c>
    </row>
    <row r="257" spans="1:41" x14ac:dyDescent="0.2">
      <c r="A257" s="128"/>
      <c r="B257" s="9">
        <v>44</v>
      </c>
      <c r="C257" s="3" t="n">
        <v>15693.0</v>
      </c>
      <c r="D257" s="3" t="n">
        <v>16001.0</v>
      </c>
      <c r="E257" s="3" t="n">
        <v>16169.0</v>
      </c>
      <c r="F257" s="3" t="n">
        <v>15880.0</v>
      </c>
      <c r="G257" s="3" t="n">
        <v>16548.0</v>
      </c>
      <c r="H257" s="3" t="n">
        <v>17124.0</v>
      </c>
      <c r="I257" s="3" t="n">
        <v>16646.0</v>
      </c>
      <c r="J257" s="3" t="n">
        <v>16029.0</v>
      </c>
      <c r="K257" s="3" t="n">
        <v>14845.0</v>
      </c>
      <c r="L257" s="3" t="n">
        <v>14309.0</v>
      </c>
      <c r="M257" s="3" t="n">
        <v>13672.0</v>
      </c>
      <c r="N257" s="3" t="n">
        <v>13343.0</v>
      </c>
      <c r="O257" s="3" t="n">
        <v>13330.0</v>
      </c>
      <c r="P257" s="3" t="n">
        <v>12806.0</v>
      </c>
      <c r="Q257" s="3" t="n">
        <v>11940.0</v>
      </c>
      <c r="R257" s="3" t="n">
        <v>11686.0</v>
      </c>
      <c r="S257" s="3" t="n">
        <v>11013.0</v>
      </c>
      <c r="T257" s="3" t="n">
        <v>10339.0</v>
      </c>
      <c r="U257" s="3" t="n">
        <v>10081.0</v>
      </c>
      <c r="V257" s="3" t="n">
        <v>9600.0</v>
      </c>
      <c r="W257" s="3" t="n">
        <v>9208.0</v>
      </c>
      <c r="X257" s="3" t="n">
        <v>9050.0</v>
      </c>
      <c r="Y257" s="3" t="n">
        <v>9025.0</v>
      </c>
      <c r="Z257" s="3" t="n">
        <v>8712.0</v>
      </c>
      <c r="AA257" s="3" t="n">
        <v>8430.0</v>
      </c>
      <c r="AB257" s="3" t="n">
        <v>8339.0</v>
      </c>
      <c r="AC257" s="3" t="n">
        <v>8565.0</v>
      </c>
      <c r="AD257" s="3" t="n">
        <v>8713.0</v>
      </c>
      <c r="AE257" s="3" t="n">
        <v>9114.0</v>
      </c>
      <c r="AF257" s="3" t="n">
        <v>9591.0</v>
      </c>
      <c r="AG257" s="3" t="n">
        <v>10387.0</v>
      </c>
      <c r="AH257" s="3" t="n">
        <v>10509.0</v>
      </c>
      <c r="AI257" s="3" t="n">
        <v>10175.0</v>
      </c>
      <c r="AJ257" s="3" t="n">
        <v>9458.0</v>
      </c>
      <c r="AK257" s="3" t="n">
        <v>9501.0</v>
      </c>
      <c r="AL257" s="3" t="n">
        <v>9087.0</v>
      </c>
      <c r="AM257" s="3" t="n">
        <v>9159.0</v>
      </c>
      <c r="AN257" s="3" t="n">
        <v>8971.0</v>
      </c>
      <c r="AO257" s="3" t="n">
        <v>9224.0</v>
      </c>
    </row>
    <row r="258" spans="1:41" x14ac:dyDescent="0.2">
      <c r="A258" s="128"/>
      <c r="B258" s="9">
        <v>45</v>
      </c>
      <c r="C258" s="3" t="n">
        <v>15430.0</v>
      </c>
      <c r="D258" s="3" t="n">
        <v>15677.0</v>
      </c>
      <c r="E258" s="3" t="n">
        <v>15984.0</v>
      </c>
      <c r="F258" s="3" t="n">
        <v>16150.0</v>
      </c>
      <c r="G258" s="3" t="n">
        <v>15857.0</v>
      </c>
      <c r="H258" s="3" t="n">
        <v>16537.0</v>
      </c>
      <c r="I258" s="3" t="n">
        <v>17119.0</v>
      </c>
      <c r="J258" s="3" t="n">
        <v>16634.0</v>
      </c>
      <c r="K258" s="3" t="n">
        <v>16011.0</v>
      </c>
      <c r="L258" s="3" t="n">
        <v>14830.0</v>
      </c>
      <c r="M258" s="3" t="n">
        <v>14295.0</v>
      </c>
      <c r="N258" s="3" t="n">
        <v>13659.0</v>
      </c>
      <c r="O258" s="3" t="n">
        <v>13331.0</v>
      </c>
      <c r="P258" s="3" t="n">
        <v>13317.0</v>
      </c>
      <c r="Q258" s="3" t="n">
        <v>12788.0</v>
      </c>
      <c r="R258" s="3" t="n">
        <v>11919.0</v>
      </c>
      <c r="S258" s="3" t="n">
        <v>11668.0</v>
      </c>
      <c r="T258" s="3" t="n">
        <v>10997.0</v>
      </c>
      <c r="U258" s="3" t="n">
        <v>10321.0</v>
      </c>
      <c r="V258" s="3" t="n">
        <v>10066.0</v>
      </c>
      <c r="W258" s="3" t="n">
        <v>9583.0</v>
      </c>
      <c r="X258" s="3" t="n">
        <v>9199.0</v>
      </c>
      <c r="Y258" s="3" t="n">
        <v>9041.0</v>
      </c>
      <c r="Z258" s="3" t="n">
        <v>9014.0</v>
      </c>
      <c r="AA258" s="3" t="n">
        <v>8705.0</v>
      </c>
      <c r="AB258" s="3" t="n">
        <v>8419.0</v>
      </c>
      <c r="AC258" s="3" t="n">
        <v>8330.0</v>
      </c>
      <c r="AD258" s="3" t="n">
        <v>8559.0</v>
      </c>
      <c r="AE258" s="3" t="n">
        <v>8700.0</v>
      </c>
      <c r="AF258" s="3" t="n">
        <v>9100.0</v>
      </c>
      <c r="AG258" s="3" t="n">
        <v>9574.0</v>
      </c>
      <c r="AH258" s="3" t="n">
        <v>10368.0</v>
      </c>
      <c r="AI258" s="3" t="n">
        <v>10490.0</v>
      </c>
      <c r="AJ258" s="3" t="n">
        <v>10155.0</v>
      </c>
      <c r="AK258" s="3" t="n">
        <v>9444.0</v>
      </c>
      <c r="AL258" s="3" t="n">
        <v>9491.0</v>
      </c>
      <c r="AM258" s="3" t="n">
        <v>9075.0</v>
      </c>
      <c r="AN258" s="3" t="n">
        <v>9149.0</v>
      </c>
      <c r="AO258" s="3" t="n">
        <v>8961.0</v>
      </c>
    </row>
    <row r="259" spans="1:41" x14ac:dyDescent="0.2">
      <c r="A259" s="128"/>
      <c r="B259" s="9">
        <v>46</v>
      </c>
      <c r="C259" s="3" t="n">
        <v>16106.0</v>
      </c>
      <c r="D259" s="3" t="n">
        <v>15392.0</v>
      </c>
      <c r="E259" s="3" t="n">
        <v>15639.0</v>
      </c>
      <c r="F259" s="3" t="n">
        <v>15952.0</v>
      </c>
      <c r="G259" s="3" t="n">
        <v>16119.0</v>
      </c>
      <c r="H259" s="3" t="n">
        <v>15836.0</v>
      </c>
      <c r="I259" s="3" t="n">
        <v>16517.0</v>
      </c>
      <c r="J259" s="3" t="n">
        <v>17091.0</v>
      </c>
      <c r="K259" s="3" t="n">
        <v>16604.0</v>
      </c>
      <c r="L259" s="3" t="n">
        <v>15985.0</v>
      </c>
      <c r="M259" s="3" t="n">
        <v>14800.0</v>
      </c>
      <c r="N259" s="3" t="n">
        <v>14271.0</v>
      </c>
      <c r="O259" s="3" t="n">
        <v>13635.0</v>
      </c>
      <c r="P259" s="3" t="n">
        <v>13309.0</v>
      </c>
      <c r="Q259" s="3" t="n">
        <v>13295.0</v>
      </c>
      <c r="R259" s="3" t="n">
        <v>12767.0</v>
      </c>
      <c r="S259" s="3" t="n">
        <v>11896.0</v>
      </c>
      <c r="T259" s="3" t="n">
        <v>11646.0</v>
      </c>
      <c r="U259" s="3" t="n">
        <v>10978.0</v>
      </c>
      <c r="V259" s="3" t="n">
        <v>10305.0</v>
      </c>
      <c r="W259" s="3" t="n">
        <v>10051.0</v>
      </c>
      <c r="X259" s="3" t="n">
        <v>9567.0</v>
      </c>
      <c r="Y259" s="3" t="n">
        <v>9185.0</v>
      </c>
      <c r="Z259" s="3" t="n">
        <v>9025.0</v>
      </c>
      <c r="AA259" s="3" t="n">
        <v>8998.0</v>
      </c>
      <c r="AB259" s="3" t="n">
        <v>8691.0</v>
      </c>
      <c r="AC259" s="3" t="n">
        <v>8400.0</v>
      </c>
      <c r="AD259" s="3" t="n">
        <v>8312.0</v>
      </c>
      <c r="AE259" s="3" t="n">
        <v>8543.0</v>
      </c>
      <c r="AF259" s="3" t="n">
        <v>8681.0</v>
      </c>
      <c r="AG259" s="3" t="n">
        <v>9086.0</v>
      </c>
      <c r="AH259" s="3" t="n">
        <v>9550.0</v>
      </c>
      <c r="AI259" s="3" t="n">
        <v>10342.0</v>
      </c>
      <c r="AJ259" s="3" t="n">
        <v>10466.0</v>
      </c>
      <c r="AK259" s="3" t="n">
        <v>10134.0</v>
      </c>
      <c r="AL259" s="3" t="n">
        <v>9424.0</v>
      </c>
      <c r="AM259" s="3" t="n">
        <v>9471.0</v>
      </c>
      <c r="AN259" s="3" t="n">
        <v>9057.0</v>
      </c>
      <c r="AO259" s="3" t="n">
        <v>9128.0</v>
      </c>
    </row>
    <row r="260" spans="1:41" x14ac:dyDescent="0.2">
      <c r="A260" s="128"/>
      <c r="B260" s="9">
        <v>47</v>
      </c>
      <c r="C260" s="3" t="n">
        <v>15473.0</v>
      </c>
      <c r="D260" s="3" t="n">
        <v>16085.0</v>
      </c>
      <c r="E260" s="3" t="n">
        <v>15372.0</v>
      </c>
      <c r="F260" s="3" t="n">
        <v>15622.0</v>
      </c>
      <c r="G260" s="3" t="n">
        <v>15934.0</v>
      </c>
      <c r="H260" s="3" t="n">
        <v>16110.0</v>
      </c>
      <c r="I260" s="3" t="n">
        <v>15834.0</v>
      </c>
      <c r="J260" s="3" t="n">
        <v>16498.0</v>
      </c>
      <c r="K260" s="3" t="n">
        <v>17065.0</v>
      </c>
      <c r="L260" s="3" t="n">
        <v>16580.0</v>
      </c>
      <c r="M260" s="3" t="n">
        <v>15965.0</v>
      </c>
      <c r="N260" s="3" t="n">
        <v>14779.0</v>
      </c>
      <c r="O260" s="3" t="n">
        <v>14250.0</v>
      </c>
      <c r="P260" s="3" t="n">
        <v>13615.0</v>
      </c>
      <c r="Q260" s="3" t="n">
        <v>13289.0</v>
      </c>
      <c r="R260" s="3" t="n">
        <v>13277.0</v>
      </c>
      <c r="S260" s="3" t="n">
        <v>12753.0</v>
      </c>
      <c r="T260" s="3" t="n">
        <v>11878.0</v>
      </c>
      <c r="U260" s="3" t="n">
        <v>11627.0</v>
      </c>
      <c r="V260" s="3" t="n">
        <v>10963.0</v>
      </c>
      <c r="W260" s="3" t="n">
        <v>10288.0</v>
      </c>
      <c r="X260" s="3" t="n">
        <v>10028.0</v>
      </c>
      <c r="Y260" s="3" t="n">
        <v>9549.0</v>
      </c>
      <c r="Z260" s="3" t="n">
        <v>9164.0</v>
      </c>
      <c r="AA260" s="3" t="n">
        <v>9005.0</v>
      </c>
      <c r="AB260" s="3" t="n">
        <v>8978.0</v>
      </c>
      <c r="AC260" s="3" t="n">
        <v>8670.0</v>
      </c>
      <c r="AD260" s="3" t="n">
        <v>8383.0</v>
      </c>
      <c r="AE260" s="3" t="n">
        <v>8292.0</v>
      </c>
      <c r="AF260" s="3" t="n">
        <v>8524.0</v>
      </c>
      <c r="AG260" s="3" t="n">
        <v>8658.0</v>
      </c>
      <c r="AH260" s="3" t="n">
        <v>9064.0</v>
      </c>
      <c r="AI260" s="3" t="n">
        <v>9529.0</v>
      </c>
      <c r="AJ260" s="3" t="n">
        <v>10318.0</v>
      </c>
      <c r="AK260" s="3" t="n">
        <v>10441.0</v>
      </c>
      <c r="AL260" s="3" t="n">
        <v>10108.0</v>
      </c>
      <c r="AM260" s="3" t="n">
        <v>9401.0</v>
      </c>
      <c r="AN260" s="3" t="n">
        <v>9448.0</v>
      </c>
      <c r="AO260" s="3" t="n">
        <v>9034.0</v>
      </c>
    </row>
    <row r="261" spans="1:41" x14ac:dyDescent="0.2">
      <c r="A261" s="128"/>
      <c r="B261" s="9">
        <v>48</v>
      </c>
      <c r="C261" s="3" t="n">
        <v>14692.0</v>
      </c>
      <c r="D261" s="3" t="n">
        <v>15443.0</v>
      </c>
      <c r="E261" s="3" t="n">
        <v>16051.0</v>
      </c>
      <c r="F261" s="3" t="n">
        <v>15339.0</v>
      </c>
      <c r="G261" s="3" t="n">
        <v>15592.0</v>
      </c>
      <c r="H261" s="3" t="n">
        <v>15917.0</v>
      </c>
      <c r="I261" s="3" t="n">
        <v>16093.0</v>
      </c>
      <c r="J261" s="3" t="n">
        <v>15812.0</v>
      </c>
      <c r="K261" s="3" t="n">
        <v>16473.0</v>
      </c>
      <c r="L261" s="3" t="n">
        <v>17036.0</v>
      </c>
      <c r="M261" s="3" t="n">
        <v>16549.0</v>
      </c>
      <c r="N261" s="3" t="n">
        <v>15933.0</v>
      </c>
      <c r="O261" s="3" t="n">
        <v>14751.0</v>
      </c>
      <c r="P261" s="3" t="n">
        <v>14225.0</v>
      </c>
      <c r="Q261" s="3" t="n">
        <v>13589.0</v>
      </c>
      <c r="R261" s="3" t="n">
        <v>13268.0</v>
      </c>
      <c r="S261" s="3" t="n">
        <v>13254.0</v>
      </c>
      <c r="T261" s="3" t="n">
        <v>12732.0</v>
      </c>
      <c r="U261" s="3" t="n">
        <v>11858.0</v>
      </c>
      <c r="V261" s="3" t="n">
        <v>11605.0</v>
      </c>
      <c r="W261" s="3" t="n">
        <v>10942.0</v>
      </c>
      <c r="X261" s="3" t="n">
        <v>10271.0</v>
      </c>
      <c r="Y261" s="3" t="n">
        <v>10017.0</v>
      </c>
      <c r="Z261" s="3" t="n">
        <v>9534.0</v>
      </c>
      <c r="AA261" s="3" t="n">
        <v>9149.0</v>
      </c>
      <c r="AB261" s="3" t="n">
        <v>8992.0</v>
      </c>
      <c r="AC261" s="3" t="n">
        <v>8963.0</v>
      </c>
      <c r="AD261" s="3" t="n">
        <v>8656.0</v>
      </c>
      <c r="AE261" s="3" t="n">
        <v>8368.0</v>
      </c>
      <c r="AF261" s="3" t="n">
        <v>8278.0</v>
      </c>
      <c r="AG261" s="3" t="n">
        <v>8510.0</v>
      </c>
      <c r="AH261" s="3" t="n">
        <v>8645.0</v>
      </c>
      <c r="AI261" s="3" t="n">
        <v>9050.0</v>
      </c>
      <c r="AJ261" s="3" t="n">
        <v>9515.0</v>
      </c>
      <c r="AK261" s="3" t="n">
        <v>10302.0</v>
      </c>
      <c r="AL261" s="3" t="n">
        <v>10426.0</v>
      </c>
      <c r="AM261" s="3" t="n">
        <v>10092.0</v>
      </c>
      <c r="AN261" s="3" t="n">
        <v>9388.0</v>
      </c>
      <c r="AO261" s="3" t="n">
        <v>9432.0</v>
      </c>
    </row>
    <row r="262" spans="1:41" x14ac:dyDescent="0.2">
      <c r="A262" s="128"/>
      <c r="B262" s="9">
        <v>49</v>
      </c>
      <c r="C262" s="3" t="n">
        <v>14469.0</v>
      </c>
      <c r="D262" s="3" t="n">
        <v>14650.0</v>
      </c>
      <c r="E262" s="3" t="n">
        <v>15402.0</v>
      </c>
      <c r="F262" s="3" t="n">
        <v>16004.0</v>
      </c>
      <c r="G262" s="3" t="n">
        <v>15297.0</v>
      </c>
      <c r="H262" s="3" t="n">
        <v>15565.0</v>
      </c>
      <c r="I262" s="3" t="n">
        <v>15891.0</v>
      </c>
      <c r="J262" s="3" t="n">
        <v>16058.0</v>
      </c>
      <c r="K262" s="3" t="n">
        <v>15772.0</v>
      </c>
      <c r="L262" s="3" t="n">
        <v>16427.0</v>
      </c>
      <c r="M262" s="3" t="n">
        <v>16992.0</v>
      </c>
      <c r="N262" s="3" t="n">
        <v>16502.0</v>
      </c>
      <c r="O262" s="3" t="n">
        <v>15889.0</v>
      </c>
      <c r="P262" s="3" t="n">
        <v>14713.0</v>
      </c>
      <c r="Q262" s="3" t="n">
        <v>14191.0</v>
      </c>
      <c r="R262" s="3" t="n">
        <v>13559.0</v>
      </c>
      <c r="S262" s="3" t="n">
        <v>13242.0</v>
      </c>
      <c r="T262" s="3" t="n">
        <v>13223.0</v>
      </c>
      <c r="U262" s="3" t="n">
        <v>12704.0</v>
      </c>
      <c r="V262" s="3" t="n">
        <v>11831.0</v>
      </c>
      <c r="W262" s="3" t="n">
        <v>11578.0</v>
      </c>
      <c r="X262" s="3" t="n">
        <v>10916.0</v>
      </c>
      <c r="Y262" s="3" t="n">
        <v>10246.0</v>
      </c>
      <c r="Z262" s="3" t="n">
        <v>9989.0</v>
      </c>
      <c r="AA262" s="3" t="n">
        <v>9506.0</v>
      </c>
      <c r="AB262" s="3" t="n">
        <v>9121.0</v>
      </c>
      <c r="AC262" s="3" t="n">
        <v>8964.0</v>
      </c>
      <c r="AD262" s="3" t="n">
        <v>8936.0</v>
      </c>
      <c r="AE262" s="3" t="n">
        <v>8626.0</v>
      </c>
      <c r="AF262" s="3" t="n">
        <v>8340.0</v>
      </c>
      <c r="AG262" s="3" t="n">
        <v>8251.0</v>
      </c>
      <c r="AH262" s="3" t="n">
        <v>8484.0</v>
      </c>
      <c r="AI262" s="3" t="n">
        <v>8618.0</v>
      </c>
      <c r="AJ262" s="3" t="n">
        <v>9018.0</v>
      </c>
      <c r="AK262" s="3" t="n">
        <v>9485.0</v>
      </c>
      <c r="AL262" s="3" t="n">
        <v>10272.0</v>
      </c>
      <c r="AM262" s="3" t="n">
        <v>10396.0</v>
      </c>
      <c r="AN262" s="3" t="n">
        <v>10062.0</v>
      </c>
      <c r="AO262" s="3" t="n">
        <v>9358.0</v>
      </c>
    </row>
    <row r="263" spans="1:41" x14ac:dyDescent="0.2">
      <c r="A263" s="128"/>
      <c r="B263" s="9">
        <v>50</v>
      </c>
      <c r="C263" s="3" t="n">
        <v>13830.0</v>
      </c>
      <c r="D263" s="3" t="n">
        <v>14420.0</v>
      </c>
      <c r="E263" s="3" t="n">
        <v>14603.0</v>
      </c>
      <c r="F263" s="3" t="n">
        <v>15356.0</v>
      </c>
      <c r="G263" s="3" t="n">
        <v>15956.0</v>
      </c>
      <c r="H263" s="3" t="n">
        <v>15262.0</v>
      </c>
      <c r="I263" s="3" t="n">
        <v>15538.0</v>
      </c>
      <c r="J263" s="3" t="n">
        <v>15853.0</v>
      </c>
      <c r="K263" s="3" t="n">
        <v>16016.0</v>
      </c>
      <c r="L263" s="3" t="n">
        <v>15729.0</v>
      </c>
      <c r="M263" s="3" t="n">
        <v>16382.0</v>
      </c>
      <c r="N263" s="3" t="n">
        <v>16946.0</v>
      </c>
      <c r="O263" s="3" t="n">
        <v>16458.0</v>
      </c>
      <c r="P263" s="3" t="n">
        <v>15847.0</v>
      </c>
      <c r="Q263" s="3" t="n">
        <v>14672.0</v>
      </c>
      <c r="R263" s="3" t="n">
        <v>14148.0</v>
      </c>
      <c r="S263" s="3" t="n">
        <v>13521.0</v>
      </c>
      <c r="T263" s="3" t="n">
        <v>13203.0</v>
      </c>
      <c r="U263" s="3" t="n">
        <v>13184.0</v>
      </c>
      <c r="V263" s="3" t="n">
        <v>12667.0</v>
      </c>
      <c r="W263" s="3" t="n">
        <v>11798.0</v>
      </c>
      <c r="X263" s="3" t="n">
        <v>11548.0</v>
      </c>
      <c r="Y263" s="3" t="n">
        <v>10887.0</v>
      </c>
      <c r="Z263" s="3" t="n">
        <v>10215.0</v>
      </c>
      <c r="AA263" s="3" t="n">
        <v>9961.0</v>
      </c>
      <c r="AB263" s="3" t="n">
        <v>9479.0</v>
      </c>
      <c r="AC263" s="3" t="n">
        <v>9094.0</v>
      </c>
      <c r="AD263" s="3" t="n">
        <v>8933.0</v>
      </c>
      <c r="AE263" s="3" t="n">
        <v>8907.0</v>
      </c>
      <c r="AF263" s="3" t="n">
        <v>8598.0</v>
      </c>
      <c r="AG263" s="3" t="n">
        <v>8312.0</v>
      </c>
      <c r="AH263" s="3" t="n">
        <v>8224.0</v>
      </c>
      <c r="AI263" s="3" t="n">
        <v>8456.0</v>
      </c>
      <c r="AJ263" s="3" t="n">
        <v>8588.0</v>
      </c>
      <c r="AK263" s="3" t="n">
        <v>8989.0</v>
      </c>
      <c r="AL263" s="3" t="n">
        <v>9453.0</v>
      </c>
      <c r="AM263" s="3" t="n">
        <v>10236.0</v>
      </c>
      <c r="AN263" s="3" t="n">
        <v>10362.0</v>
      </c>
      <c r="AO263" s="3" t="n">
        <v>10029.0</v>
      </c>
    </row>
    <row r="264" spans="1:41" x14ac:dyDescent="0.2">
      <c r="A264" s="128"/>
      <c r="B264" s="9">
        <v>51</v>
      </c>
      <c r="C264" s="3" t="n">
        <v>13580.0</v>
      </c>
      <c r="D264" s="3" t="n">
        <v>13793.0</v>
      </c>
      <c r="E264" s="3" t="n">
        <v>14381.0</v>
      </c>
      <c r="F264" s="3" t="n">
        <v>14561.0</v>
      </c>
      <c r="G264" s="3" t="n">
        <v>15314.0</v>
      </c>
      <c r="H264" s="3" t="n">
        <v>15920.0</v>
      </c>
      <c r="I264" s="3" t="n">
        <v>15232.0</v>
      </c>
      <c r="J264" s="3" t="n">
        <v>15502.0</v>
      </c>
      <c r="K264" s="3" t="n">
        <v>15811.0</v>
      </c>
      <c r="L264" s="3" t="n">
        <v>15973.0</v>
      </c>
      <c r="M264" s="3" t="n">
        <v>15684.0</v>
      </c>
      <c r="N264" s="3" t="n">
        <v>16337.0</v>
      </c>
      <c r="O264" s="3" t="n">
        <v>16902.0</v>
      </c>
      <c r="P264" s="3" t="n">
        <v>16414.0</v>
      </c>
      <c r="Q264" s="3" t="n">
        <v>15804.0</v>
      </c>
      <c r="R264" s="3" t="n">
        <v>14635.0</v>
      </c>
      <c r="S264" s="3" t="n">
        <v>14115.0</v>
      </c>
      <c r="T264" s="3" t="n">
        <v>13489.0</v>
      </c>
      <c r="U264" s="3" t="n">
        <v>13171.0</v>
      </c>
      <c r="V264" s="3" t="n">
        <v>13151.0</v>
      </c>
      <c r="W264" s="3" t="n">
        <v>12639.0</v>
      </c>
      <c r="X264" s="3" t="n">
        <v>11774.0</v>
      </c>
      <c r="Y264" s="3" t="n">
        <v>11524.0</v>
      </c>
      <c r="Z264" s="3" t="n">
        <v>10862.0</v>
      </c>
      <c r="AA264" s="3" t="n">
        <v>10187.0</v>
      </c>
      <c r="AB264" s="3" t="n">
        <v>9933.0</v>
      </c>
      <c r="AC264" s="3" t="n">
        <v>9450.0</v>
      </c>
      <c r="AD264" s="3" t="n">
        <v>9068.0</v>
      </c>
      <c r="AE264" s="3" t="n">
        <v>8910.0</v>
      </c>
      <c r="AF264" s="3" t="n">
        <v>8880.0</v>
      </c>
      <c r="AG264" s="3" t="n">
        <v>8573.0</v>
      </c>
      <c r="AH264" s="3" t="n">
        <v>8282.0</v>
      </c>
      <c r="AI264" s="3" t="n">
        <v>8196.0</v>
      </c>
      <c r="AJ264" s="3" t="n">
        <v>8427.0</v>
      </c>
      <c r="AK264" s="3" t="n">
        <v>8556.0</v>
      </c>
      <c r="AL264" s="3" t="n">
        <v>8963.0</v>
      </c>
      <c r="AM264" s="3" t="n">
        <v>9429.0</v>
      </c>
      <c r="AN264" s="3" t="n">
        <v>10206.0</v>
      </c>
      <c r="AO264" s="3" t="n">
        <v>10331.0</v>
      </c>
    </row>
    <row r="265" spans="1:41" x14ac:dyDescent="0.2">
      <c r="A265" s="128"/>
      <c r="B265" s="9">
        <v>52</v>
      </c>
      <c r="C265" s="3" t="n">
        <v>12815.0</v>
      </c>
      <c r="D265" s="3" t="n">
        <v>13522.0</v>
      </c>
      <c r="E265" s="3" t="n">
        <v>13735.0</v>
      </c>
      <c r="F265" s="3" t="n">
        <v>14324.0</v>
      </c>
      <c r="G265" s="3" t="n">
        <v>14503.0</v>
      </c>
      <c r="H265" s="3" t="n">
        <v>15267.0</v>
      </c>
      <c r="I265" s="3" t="n">
        <v>15872.0</v>
      </c>
      <c r="J265" s="3" t="n">
        <v>15179.0</v>
      </c>
      <c r="K265" s="3" t="n">
        <v>15449.0</v>
      </c>
      <c r="L265" s="3" t="n">
        <v>15755.0</v>
      </c>
      <c r="M265" s="3" t="n">
        <v>15915.0</v>
      </c>
      <c r="N265" s="3" t="n">
        <v>15627.0</v>
      </c>
      <c r="O265" s="3" t="n">
        <v>16278.0</v>
      </c>
      <c r="P265" s="3" t="n">
        <v>16840.0</v>
      </c>
      <c r="Q265" s="3" t="n">
        <v>16351.0</v>
      </c>
      <c r="R265" s="3" t="n">
        <v>15745.0</v>
      </c>
      <c r="S265" s="3" t="n">
        <v>14580.0</v>
      </c>
      <c r="T265" s="3" t="n">
        <v>14058.0</v>
      </c>
      <c r="U265" s="3" t="n">
        <v>13435.0</v>
      </c>
      <c r="V265" s="3" t="n">
        <v>13119.0</v>
      </c>
      <c r="W265" s="3" t="n">
        <v>13098.0</v>
      </c>
      <c r="X265" s="3" t="n">
        <v>12590.0</v>
      </c>
      <c r="Y265" s="3" t="n">
        <v>11727.0</v>
      </c>
      <c r="Z265" s="3" t="n">
        <v>11480.0</v>
      </c>
      <c r="AA265" s="3" t="n">
        <v>10820.0</v>
      </c>
      <c r="AB265" s="3" t="n">
        <v>10146.0</v>
      </c>
      <c r="AC265" s="3" t="n">
        <v>9894.0</v>
      </c>
      <c r="AD265" s="3" t="n">
        <v>9410.0</v>
      </c>
      <c r="AE265" s="3" t="n">
        <v>9028.0</v>
      </c>
      <c r="AF265" s="3" t="n">
        <v>8870.0</v>
      </c>
      <c r="AG265" s="3" t="n">
        <v>8842.0</v>
      </c>
      <c r="AH265" s="3" t="n">
        <v>8539.0</v>
      </c>
      <c r="AI265" s="3" t="n">
        <v>8250.0</v>
      </c>
      <c r="AJ265" s="3" t="n">
        <v>8163.0</v>
      </c>
      <c r="AK265" s="3" t="n">
        <v>8391.0</v>
      </c>
      <c r="AL265" s="3" t="n">
        <v>8519.0</v>
      </c>
      <c r="AM265" s="3" t="n">
        <v>8926.0</v>
      </c>
      <c r="AN265" s="3" t="n">
        <v>9388.0</v>
      </c>
      <c r="AO265" s="3" t="n">
        <v>10160.0</v>
      </c>
    </row>
    <row r="266" spans="1:41" x14ac:dyDescent="0.2">
      <c r="A266" s="128"/>
      <c r="B266" s="9">
        <v>53</v>
      </c>
      <c r="C266" s="3" t="n">
        <v>12664.0</v>
      </c>
      <c r="D266" s="3" t="n">
        <v>12756.0</v>
      </c>
      <c r="E266" s="3" t="n">
        <v>13456.0</v>
      </c>
      <c r="F266" s="3" t="n">
        <v>13671.0</v>
      </c>
      <c r="G266" s="3" t="n">
        <v>14257.0</v>
      </c>
      <c r="H266" s="3" t="n">
        <v>14446.0</v>
      </c>
      <c r="I266" s="3" t="n">
        <v>15215.0</v>
      </c>
      <c r="J266" s="3" t="n">
        <v>15803.0</v>
      </c>
      <c r="K266" s="3" t="n">
        <v>15109.0</v>
      </c>
      <c r="L266" s="3" t="n">
        <v>15380.0</v>
      </c>
      <c r="M266" s="3" t="n">
        <v>15684.0</v>
      </c>
      <c r="N266" s="3" t="n">
        <v>15845.0</v>
      </c>
      <c r="O266" s="3" t="n">
        <v>15559.0</v>
      </c>
      <c r="P266" s="3" t="n">
        <v>16206.0</v>
      </c>
      <c r="Q266" s="3" t="n">
        <v>16767.0</v>
      </c>
      <c r="R266" s="3" t="n">
        <v>16278.0</v>
      </c>
      <c r="S266" s="3" t="n">
        <v>15674.0</v>
      </c>
      <c r="T266" s="3" t="n">
        <v>14512.0</v>
      </c>
      <c r="U266" s="3" t="n">
        <v>13997.0</v>
      </c>
      <c r="V266" s="3" t="n">
        <v>13376.0</v>
      </c>
      <c r="W266" s="3" t="n">
        <v>13065.0</v>
      </c>
      <c r="X266" s="3" t="n">
        <v>13040.0</v>
      </c>
      <c r="Y266" s="3" t="n">
        <v>12537.0</v>
      </c>
      <c r="Z266" s="3" t="n">
        <v>11676.0</v>
      </c>
      <c r="AA266" s="3" t="n">
        <v>11429.0</v>
      </c>
      <c r="AB266" s="3" t="n">
        <v>10773.0</v>
      </c>
      <c r="AC266" s="3" t="n">
        <v>10098.0</v>
      </c>
      <c r="AD266" s="3" t="n">
        <v>9850.0</v>
      </c>
      <c r="AE266" s="3" t="n">
        <v>9370.0</v>
      </c>
      <c r="AF266" s="3" t="n">
        <v>8989.0</v>
      </c>
      <c r="AG266" s="3" t="n">
        <v>8829.0</v>
      </c>
      <c r="AH266" s="3" t="n">
        <v>8800.0</v>
      </c>
      <c r="AI266" s="3" t="n">
        <v>8496.0</v>
      </c>
      <c r="AJ266" s="3" t="n">
        <v>8208.0</v>
      </c>
      <c r="AK266" s="3" t="n">
        <v>8123.0</v>
      </c>
      <c r="AL266" s="3" t="n">
        <v>8350.0</v>
      </c>
      <c r="AM266" s="3" t="n">
        <v>8477.0</v>
      </c>
      <c r="AN266" s="3" t="n">
        <v>8885.0</v>
      </c>
      <c r="AO266" s="3" t="n">
        <v>9344.0</v>
      </c>
    </row>
    <row r="267" spans="1:41" x14ac:dyDescent="0.2">
      <c r="A267" s="128"/>
      <c r="B267" s="9">
        <v>54</v>
      </c>
      <c r="C267" s="3" t="n">
        <v>12314.0</v>
      </c>
      <c r="D267" s="3" t="n">
        <v>12615.0</v>
      </c>
      <c r="E267" s="3" t="n">
        <v>12707.0</v>
      </c>
      <c r="F267" s="3" t="n">
        <v>13401.0</v>
      </c>
      <c r="G267" s="3" t="n">
        <v>13614.0</v>
      </c>
      <c r="H267" s="3" t="n">
        <v>14206.0</v>
      </c>
      <c r="I267" s="3" t="n">
        <v>14395.0</v>
      </c>
      <c r="J267" s="3" t="n">
        <v>15156.0</v>
      </c>
      <c r="K267" s="3" t="n">
        <v>15741.0</v>
      </c>
      <c r="L267" s="3" t="n">
        <v>15048.0</v>
      </c>
      <c r="M267" s="3" t="n">
        <v>15319.0</v>
      </c>
      <c r="N267" s="3" t="n">
        <v>15622.0</v>
      </c>
      <c r="O267" s="3" t="n">
        <v>15782.0</v>
      </c>
      <c r="P267" s="3" t="n">
        <v>15494.0</v>
      </c>
      <c r="Q267" s="3" t="n">
        <v>16140.0</v>
      </c>
      <c r="R267" s="3" t="n">
        <v>16698.0</v>
      </c>
      <c r="S267" s="3" t="n">
        <v>16211.0</v>
      </c>
      <c r="T267" s="3" t="n">
        <v>15613.0</v>
      </c>
      <c r="U267" s="3" t="n">
        <v>14452.0</v>
      </c>
      <c r="V267" s="3" t="n">
        <v>13938.0</v>
      </c>
      <c r="W267" s="3" t="n">
        <v>13321.0</v>
      </c>
      <c r="X267" s="3" t="n">
        <v>13012.0</v>
      </c>
      <c r="Y267" s="3" t="n">
        <v>12987.0</v>
      </c>
      <c r="Z267" s="3" t="n">
        <v>12490.0</v>
      </c>
      <c r="AA267" s="3" t="n">
        <v>11628.0</v>
      </c>
      <c r="AB267" s="3" t="n">
        <v>11385.0</v>
      </c>
      <c r="AC267" s="3" t="n">
        <v>10734.0</v>
      </c>
      <c r="AD267" s="3" t="n">
        <v>10056.0</v>
      </c>
      <c r="AE267" s="3" t="n">
        <v>9812.0</v>
      </c>
      <c r="AF267" s="3" t="n">
        <v>9331.0</v>
      </c>
      <c r="AG267" s="3" t="n">
        <v>8951.0</v>
      </c>
      <c r="AH267" s="3" t="n">
        <v>8789.0</v>
      </c>
      <c r="AI267" s="3" t="n">
        <v>8760.0</v>
      </c>
      <c r="AJ267" s="3" t="n">
        <v>8457.0</v>
      </c>
      <c r="AK267" s="3" t="n">
        <v>8167.0</v>
      </c>
      <c r="AL267" s="3" t="n">
        <v>8084.0</v>
      </c>
      <c r="AM267" s="3" t="n">
        <v>8311.0</v>
      </c>
      <c r="AN267" s="3" t="n">
        <v>8439.0</v>
      </c>
      <c r="AO267" s="3" t="n">
        <v>8844.0</v>
      </c>
    </row>
    <row r="268" spans="1:41" x14ac:dyDescent="0.2">
      <c r="A268" s="128"/>
      <c r="B268" s="9">
        <v>55</v>
      </c>
      <c r="C268" s="3" t="n">
        <v>12193.0</v>
      </c>
      <c r="D268" s="3" t="n">
        <v>12275.0</v>
      </c>
      <c r="E268" s="3" t="n">
        <v>12575.0</v>
      </c>
      <c r="F268" s="3" t="n">
        <v>12667.0</v>
      </c>
      <c r="G268" s="3" t="n">
        <v>13358.0</v>
      </c>
      <c r="H268" s="3" t="n">
        <v>13571.0</v>
      </c>
      <c r="I268" s="3" t="n">
        <v>14169.0</v>
      </c>
      <c r="J268" s="3" t="n">
        <v>14355.0</v>
      </c>
      <c r="K268" s="3" t="n">
        <v>15113.0</v>
      </c>
      <c r="L268" s="3" t="n">
        <v>15695.0</v>
      </c>
      <c r="M268" s="3" t="n">
        <v>15009.0</v>
      </c>
      <c r="N268" s="3" t="n">
        <v>15275.0</v>
      </c>
      <c r="O268" s="3" t="n">
        <v>15576.0</v>
      </c>
      <c r="P268" s="3" t="n">
        <v>15735.0</v>
      </c>
      <c r="Q268" s="3" t="n">
        <v>15450.0</v>
      </c>
      <c r="R268" s="3" t="n">
        <v>16090.0</v>
      </c>
      <c r="S268" s="3" t="n">
        <v>16648.0</v>
      </c>
      <c r="T268" s="3" t="n">
        <v>16162.0</v>
      </c>
      <c r="U268" s="3" t="n">
        <v>15567.0</v>
      </c>
      <c r="V268" s="3" t="n">
        <v>14417.0</v>
      </c>
      <c r="W268" s="3" t="n">
        <v>13906.0</v>
      </c>
      <c r="X268" s="3" t="n">
        <v>13286.0</v>
      </c>
      <c r="Y268" s="3" t="n">
        <v>12980.0</v>
      </c>
      <c r="Z268" s="3" t="n">
        <v>12956.0</v>
      </c>
      <c r="AA268" s="3" t="n">
        <v>12460.0</v>
      </c>
      <c r="AB268" s="3" t="n">
        <v>11600.0</v>
      </c>
      <c r="AC268" s="3" t="n">
        <v>11361.0</v>
      </c>
      <c r="AD268" s="3" t="n">
        <v>10703.0</v>
      </c>
      <c r="AE268" s="3" t="n">
        <v>10029.0</v>
      </c>
      <c r="AF268" s="3" t="n">
        <v>9784.0</v>
      </c>
      <c r="AG268" s="3" t="n">
        <v>9304.0</v>
      </c>
      <c r="AH268" s="3" t="n">
        <v>8923.0</v>
      </c>
      <c r="AI268" s="3" t="n">
        <v>8759.0</v>
      </c>
      <c r="AJ268" s="3" t="n">
        <v>8731.0</v>
      </c>
      <c r="AK268" s="3" t="n">
        <v>8429.0</v>
      </c>
      <c r="AL268" s="3" t="n">
        <v>8141.0</v>
      </c>
      <c r="AM268" s="3" t="n">
        <v>8057.0</v>
      </c>
      <c r="AN268" s="3" t="n">
        <v>8283.0</v>
      </c>
      <c r="AO268" s="3" t="n">
        <v>8409.0</v>
      </c>
    </row>
    <row r="269" spans="1:41" x14ac:dyDescent="0.2">
      <c r="A269" s="128"/>
      <c r="B269" s="9">
        <v>56</v>
      </c>
      <c r="C269" s="3" t="n">
        <v>12001.0</v>
      </c>
      <c r="D269" s="3" t="n">
        <v>12144.0</v>
      </c>
      <c r="E269" s="3" t="n">
        <v>12227.0</v>
      </c>
      <c r="F269" s="3" t="n">
        <v>12525.0</v>
      </c>
      <c r="G269" s="3" t="n">
        <v>12618.0</v>
      </c>
      <c r="H269" s="3" t="n">
        <v>13305.0</v>
      </c>
      <c r="I269" s="3" t="n">
        <v>13519.0</v>
      </c>
      <c r="J269" s="3" t="n">
        <v>14120.0</v>
      </c>
      <c r="K269" s="3" t="n">
        <v>14301.0</v>
      </c>
      <c r="L269" s="3" t="n">
        <v>15056.0</v>
      </c>
      <c r="M269" s="3" t="n">
        <v>15637.0</v>
      </c>
      <c r="N269" s="3" t="n">
        <v>14956.0</v>
      </c>
      <c r="O269" s="3" t="n">
        <v>15225.0</v>
      </c>
      <c r="P269" s="3" t="n">
        <v>15524.0</v>
      </c>
      <c r="Q269" s="3" t="n">
        <v>15683.0</v>
      </c>
      <c r="R269" s="3" t="n">
        <v>15399.0</v>
      </c>
      <c r="S269" s="3" t="n">
        <v>16032.0</v>
      </c>
      <c r="T269" s="3" t="n">
        <v>16584.0</v>
      </c>
      <c r="U269" s="3" t="n">
        <v>16103.0</v>
      </c>
      <c r="V269" s="3" t="n">
        <v>15514.0</v>
      </c>
      <c r="W269" s="3" t="n">
        <v>14370.0</v>
      </c>
      <c r="X269" s="3" t="n">
        <v>13862.0</v>
      </c>
      <c r="Y269" s="3" t="n">
        <v>13241.0</v>
      </c>
      <c r="Z269" s="3" t="n">
        <v>12935.0</v>
      </c>
      <c r="AA269" s="3" t="n">
        <v>12912.0</v>
      </c>
      <c r="AB269" s="3" t="n">
        <v>12417.0</v>
      </c>
      <c r="AC269" s="3" t="n">
        <v>11558.0</v>
      </c>
      <c r="AD269" s="3" t="n">
        <v>11320.0</v>
      </c>
      <c r="AE269" s="3" t="n">
        <v>10673.0</v>
      </c>
      <c r="AF269" s="3" t="n">
        <v>10000.0</v>
      </c>
      <c r="AG269" s="3" t="n">
        <v>9756.0</v>
      </c>
      <c r="AH269" s="3" t="n">
        <v>9281.0</v>
      </c>
      <c r="AI269" s="3" t="n">
        <v>8902.0</v>
      </c>
      <c r="AJ269" s="3" t="n">
        <v>8738.0</v>
      </c>
      <c r="AK269" s="3" t="n">
        <v>8706.0</v>
      </c>
      <c r="AL269" s="3" t="n">
        <v>8403.0</v>
      </c>
      <c r="AM269" s="3" t="n">
        <v>8118.0</v>
      </c>
      <c r="AN269" s="3" t="n">
        <v>8032.0</v>
      </c>
      <c r="AO269" s="3" t="n">
        <v>8256.0</v>
      </c>
    </row>
    <row r="270" spans="1:41" x14ac:dyDescent="0.2">
      <c r="A270" s="128"/>
      <c r="B270" s="9">
        <v>57</v>
      </c>
      <c r="C270" s="3" t="n">
        <v>12414.0</v>
      </c>
      <c r="D270" s="3" t="n">
        <v>11938.0</v>
      </c>
      <c r="E270" s="3" t="n">
        <v>12081.0</v>
      </c>
      <c r="F270" s="3" t="n">
        <v>12164.0</v>
      </c>
      <c r="G270" s="3" t="n">
        <v>12461.0</v>
      </c>
      <c r="H270" s="3" t="n">
        <v>12565.0</v>
      </c>
      <c r="I270" s="3" t="n">
        <v>13246.0</v>
      </c>
      <c r="J270" s="3" t="n">
        <v>13452.0</v>
      </c>
      <c r="K270" s="3" t="n">
        <v>14047.0</v>
      </c>
      <c r="L270" s="3" t="n">
        <v>14229.0</v>
      </c>
      <c r="M270" s="3" t="n">
        <v>14977.0</v>
      </c>
      <c r="N270" s="3" t="n">
        <v>15560.0</v>
      </c>
      <c r="O270" s="3" t="n">
        <v>14885.0</v>
      </c>
      <c r="P270" s="3" t="n">
        <v>15151.0</v>
      </c>
      <c r="Q270" s="3" t="n">
        <v>15450.0</v>
      </c>
      <c r="R270" s="3" t="n">
        <v>15608.0</v>
      </c>
      <c r="S270" s="3" t="n">
        <v>15324.0</v>
      </c>
      <c r="T270" s="3" t="n">
        <v>15955.0</v>
      </c>
      <c r="U270" s="3" t="n">
        <v>16503.0</v>
      </c>
      <c r="V270" s="3" t="n">
        <v>16021.0</v>
      </c>
      <c r="W270" s="3" t="n">
        <v>15438.0</v>
      </c>
      <c r="X270" s="3" t="n">
        <v>14305.0</v>
      </c>
      <c r="Y270" s="3" t="n">
        <v>13799.0</v>
      </c>
      <c r="Z270" s="3" t="n">
        <v>13184.0</v>
      </c>
      <c r="AA270" s="3" t="n">
        <v>12882.0</v>
      </c>
      <c r="AB270" s="3" t="n">
        <v>12854.0</v>
      </c>
      <c r="AC270" s="3" t="n">
        <v>12364.0</v>
      </c>
      <c r="AD270" s="3" t="n">
        <v>11508.0</v>
      </c>
      <c r="AE270" s="3" t="n">
        <v>11272.0</v>
      </c>
      <c r="AF270" s="3" t="n">
        <v>10627.0</v>
      </c>
      <c r="AG270" s="3" t="n">
        <v>9960.0</v>
      </c>
      <c r="AH270" s="3" t="n">
        <v>9712.0</v>
      </c>
      <c r="AI270" s="3" t="n">
        <v>9239.0</v>
      </c>
      <c r="AJ270" s="3" t="n">
        <v>8864.0</v>
      </c>
      <c r="AK270" s="3" t="n">
        <v>8699.0</v>
      </c>
      <c r="AL270" s="3" t="n">
        <v>8668.0</v>
      </c>
      <c r="AM270" s="3" t="n">
        <v>8365.0</v>
      </c>
      <c r="AN270" s="3" t="n">
        <v>8080.0</v>
      </c>
      <c r="AO270" s="3" t="n">
        <v>7995.0</v>
      </c>
    </row>
    <row r="271" spans="1:41" x14ac:dyDescent="0.2">
      <c r="A271" s="128"/>
      <c r="B271" s="9">
        <v>58</v>
      </c>
      <c r="C271" s="3" t="n">
        <v>12441.0</v>
      </c>
      <c r="D271" s="3" t="n">
        <v>12347.0</v>
      </c>
      <c r="E271" s="3" t="n">
        <v>11871.0</v>
      </c>
      <c r="F271" s="3" t="n">
        <v>12016.0</v>
      </c>
      <c r="G271" s="3" t="n">
        <v>12099.0</v>
      </c>
      <c r="H271" s="3" t="n">
        <v>12398.0</v>
      </c>
      <c r="I271" s="3" t="n">
        <v>12503.0</v>
      </c>
      <c r="J271" s="3" t="n">
        <v>13179.0</v>
      </c>
      <c r="K271" s="3" t="n">
        <v>13381.0</v>
      </c>
      <c r="L271" s="3" t="n">
        <v>13971.0</v>
      </c>
      <c r="M271" s="3" t="n">
        <v>14151.0</v>
      </c>
      <c r="N271" s="3" t="n">
        <v>14900.0</v>
      </c>
      <c r="O271" s="3" t="n">
        <v>15480.0</v>
      </c>
      <c r="P271" s="3" t="n">
        <v>14807.0</v>
      </c>
      <c r="Q271" s="3" t="n">
        <v>15077.0</v>
      </c>
      <c r="R271" s="3" t="n">
        <v>15373.0</v>
      </c>
      <c r="S271" s="3" t="n">
        <v>15527.0</v>
      </c>
      <c r="T271" s="3" t="n">
        <v>15247.0</v>
      </c>
      <c r="U271" s="3" t="n">
        <v>15875.0</v>
      </c>
      <c r="V271" s="3" t="n">
        <v>16423.0</v>
      </c>
      <c r="W271" s="3" t="n">
        <v>15943.0</v>
      </c>
      <c r="X271" s="3" t="n">
        <v>15360.0</v>
      </c>
      <c r="Y271" s="3" t="n">
        <v>14237.0</v>
      </c>
      <c r="Z271" s="3" t="n">
        <v>13732.0</v>
      </c>
      <c r="AA271" s="3" t="n">
        <v>13116.0</v>
      </c>
      <c r="AB271" s="3" t="n">
        <v>12816.0</v>
      </c>
      <c r="AC271" s="3" t="n">
        <v>12788.0</v>
      </c>
      <c r="AD271" s="3" t="n">
        <v>12305.0</v>
      </c>
      <c r="AE271" s="3" t="n">
        <v>11454.0</v>
      </c>
      <c r="AF271" s="3" t="n">
        <v>11218.0</v>
      </c>
      <c r="AG271" s="3" t="n">
        <v>10575.0</v>
      </c>
      <c r="AH271" s="3" t="n">
        <v>9911.0</v>
      </c>
      <c r="AI271" s="3" t="n">
        <v>9669.0</v>
      </c>
      <c r="AJ271" s="3" t="n">
        <v>9197.0</v>
      </c>
      <c r="AK271" s="3" t="n">
        <v>8825.0</v>
      </c>
      <c r="AL271" s="3" t="n">
        <v>8658.0</v>
      </c>
      <c r="AM271" s="3" t="n">
        <v>8625.0</v>
      </c>
      <c r="AN271" s="3" t="n">
        <v>8323.0</v>
      </c>
      <c r="AO271" s="3" t="n">
        <v>8041.0</v>
      </c>
    </row>
    <row r="272" spans="1:41" x14ac:dyDescent="0.2">
      <c r="A272" s="128"/>
      <c r="B272" s="9">
        <v>59</v>
      </c>
      <c r="C272" s="3" t="n">
        <v>12958.0</v>
      </c>
      <c r="D272" s="3" t="n">
        <v>12368.0</v>
      </c>
      <c r="E272" s="3" t="n">
        <v>12273.0</v>
      </c>
      <c r="F272" s="3" t="n">
        <v>11800.0</v>
      </c>
      <c r="G272" s="3" t="n">
        <v>11946.0</v>
      </c>
      <c r="H272" s="3" t="n">
        <v>12034.0</v>
      </c>
      <c r="I272" s="3" t="n">
        <v>12335.0</v>
      </c>
      <c r="J272" s="3" t="n">
        <v>12434.0</v>
      </c>
      <c r="K272" s="3" t="n">
        <v>13109.0</v>
      </c>
      <c r="L272" s="3" t="n">
        <v>13307.0</v>
      </c>
      <c r="M272" s="3" t="n">
        <v>13888.0</v>
      </c>
      <c r="N272" s="3" t="n">
        <v>14071.0</v>
      </c>
      <c r="O272" s="3" t="n">
        <v>14813.0</v>
      </c>
      <c r="P272" s="3" t="n">
        <v>15393.0</v>
      </c>
      <c r="Q272" s="3" t="n">
        <v>14724.0</v>
      </c>
      <c r="R272" s="3" t="n">
        <v>14992.0</v>
      </c>
      <c r="S272" s="3" t="n">
        <v>15290.0</v>
      </c>
      <c r="T272" s="3" t="n">
        <v>15440.0</v>
      </c>
      <c r="U272" s="3" t="n">
        <v>15165.0</v>
      </c>
      <c r="V272" s="3" t="n">
        <v>15789.0</v>
      </c>
      <c r="W272" s="3" t="n">
        <v>16332.0</v>
      </c>
      <c r="X272" s="3" t="n">
        <v>15854.0</v>
      </c>
      <c r="Y272" s="3" t="n">
        <v>15278.0</v>
      </c>
      <c r="Z272" s="3" t="n">
        <v>14162.0</v>
      </c>
      <c r="AA272" s="3" t="n">
        <v>13660.0</v>
      </c>
      <c r="AB272" s="3" t="n">
        <v>13048.0</v>
      </c>
      <c r="AC272" s="3" t="n">
        <v>12752.0</v>
      </c>
      <c r="AD272" s="3" t="n">
        <v>12724.0</v>
      </c>
      <c r="AE272" s="3" t="n">
        <v>12240.0</v>
      </c>
      <c r="AF272" s="3" t="n">
        <v>11395.0</v>
      </c>
      <c r="AG272" s="3" t="n">
        <v>11160.0</v>
      </c>
      <c r="AH272" s="3" t="n">
        <v>10520.0</v>
      </c>
      <c r="AI272" s="3" t="n">
        <v>9862.0</v>
      </c>
      <c r="AJ272" s="3" t="n">
        <v>9621.0</v>
      </c>
      <c r="AK272" s="3" t="n">
        <v>9154.0</v>
      </c>
      <c r="AL272" s="3" t="n">
        <v>8785.0</v>
      </c>
      <c r="AM272" s="3" t="n">
        <v>8618.0</v>
      </c>
      <c r="AN272" s="3" t="n">
        <v>8586.0</v>
      </c>
      <c r="AO272" s="3" t="n">
        <v>8284.0</v>
      </c>
    </row>
    <row r="273" spans="1:41" x14ac:dyDescent="0.2">
      <c r="A273" s="128"/>
      <c r="B273" s="9">
        <v>60</v>
      </c>
      <c r="C273" s="3" t="n">
        <v>13005.0</v>
      </c>
      <c r="D273" s="3" t="n">
        <v>12870.0</v>
      </c>
      <c r="E273" s="3" t="n">
        <v>12282.0</v>
      </c>
      <c r="F273" s="3" t="n">
        <v>12187.0</v>
      </c>
      <c r="G273" s="3" t="n">
        <v>11716.0</v>
      </c>
      <c r="H273" s="3" t="n">
        <v>11866.0</v>
      </c>
      <c r="I273" s="3" t="n">
        <v>11954.0</v>
      </c>
      <c r="J273" s="3" t="n">
        <v>12251.0</v>
      </c>
      <c r="K273" s="3" t="n">
        <v>12349.0</v>
      </c>
      <c r="L273" s="3" t="n">
        <v>13020.0</v>
      </c>
      <c r="M273" s="3" t="n">
        <v>13217.0</v>
      </c>
      <c r="N273" s="3" t="n">
        <v>13794.0</v>
      </c>
      <c r="O273" s="3" t="n">
        <v>13973.0</v>
      </c>
      <c r="P273" s="3" t="n">
        <v>14709.0</v>
      </c>
      <c r="Q273" s="3" t="n">
        <v>15286.0</v>
      </c>
      <c r="R273" s="3" t="n">
        <v>14622.0</v>
      </c>
      <c r="S273" s="3" t="n">
        <v>14892.0</v>
      </c>
      <c r="T273" s="3" t="n">
        <v>15189.0</v>
      </c>
      <c r="U273" s="3" t="n">
        <v>15339.0</v>
      </c>
      <c r="V273" s="3" t="n">
        <v>15065.0</v>
      </c>
      <c r="W273" s="3" t="n">
        <v>15690.0</v>
      </c>
      <c r="X273" s="3" t="n">
        <v>16231.0</v>
      </c>
      <c r="Y273" s="3" t="n">
        <v>15753.0</v>
      </c>
      <c r="Z273" s="3" t="n">
        <v>15179.0</v>
      </c>
      <c r="AA273" s="3" t="n">
        <v>14068.0</v>
      </c>
      <c r="AB273" s="3" t="n">
        <v>13575.0</v>
      </c>
      <c r="AC273" s="3" t="n">
        <v>12969.0</v>
      </c>
      <c r="AD273" s="3" t="n">
        <v>12677.0</v>
      </c>
      <c r="AE273" s="3" t="n">
        <v>12649.0</v>
      </c>
      <c r="AF273" s="3" t="n">
        <v>12168.0</v>
      </c>
      <c r="AG273" s="3" t="n">
        <v>11332.0</v>
      </c>
      <c r="AH273" s="3" t="n">
        <v>11094.0</v>
      </c>
      <c r="AI273" s="3" t="n">
        <v>10458.0</v>
      </c>
      <c r="AJ273" s="3" t="n">
        <v>9806.0</v>
      </c>
      <c r="AK273" s="3" t="n">
        <v>9564.0</v>
      </c>
      <c r="AL273" s="3" t="n">
        <v>9099.0</v>
      </c>
      <c r="AM273" s="3" t="n">
        <v>8730.0</v>
      </c>
      <c r="AN273" s="3" t="n">
        <v>8563.0</v>
      </c>
      <c r="AO273" s="3" t="n">
        <v>8532.0</v>
      </c>
    </row>
    <row r="274" spans="1:41" x14ac:dyDescent="0.2">
      <c r="A274" s="128"/>
      <c r="B274" s="9">
        <v>61</v>
      </c>
      <c r="C274" s="3" t="n">
        <v>13366.0</v>
      </c>
      <c r="D274" s="3" t="n">
        <v>12907.0</v>
      </c>
      <c r="E274" s="3" t="n">
        <v>12774.0</v>
      </c>
      <c r="F274" s="3" t="n">
        <v>12188.0</v>
      </c>
      <c r="G274" s="3" t="n">
        <v>12092.0</v>
      </c>
      <c r="H274" s="3" t="n">
        <v>11633.0</v>
      </c>
      <c r="I274" s="3" t="n">
        <v>11783.0</v>
      </c>
      <c r="J274" s="3" t="n">
        <v>11866.0</v>
      </c>
      <c r="K274" s="3" t="n">
        <v>12161.0</v>
      </c>
      <c r="L274" s="3" t="n">
        <v>12258.0</v>
      </c>
      <c r="M274" s="3" t="n">
        <v>12930.0</v>
      </c>
      <c r="N274" s="3" t="n">
        <v>13121.0</v>
      </c>
      <c r="O274" s="3" t="n">
        <v>13698.0</v>
      </c>
      <c r="P274" s="3" t="n">
        <v>13879.0</v>
      </c>
      <c r="Q274" s="3" t="n">
        <v>14610.0</v>
      </c>
      <c r="R274" s="3" t="n">
        <v>15182.0</v>
      </c>
      <c r="S274" s="3" t="n">
        <v>14524.0</v>
      </c>
      <c r="T274" s="3" t="n">
        <v>14796.0</v>
      </c>
      <c r="U274" s="3" t="n">
        <v>15091.0</v>
      </c>
      <c r="V274" s="3" t="n">
        <v>15241.0</v>
      </c>
      <c r="W274" s="3" t="n">
        <v>14972.0</v>
      </c>
      <c r="X274" s="3" t="n">
        <v>15590.0</v>
      </c>
      <c r="Y274" s="3" t="n">
        <v>16126.0</v>
      </c>
      <c r="Z274" s="3" t="n">
        <v>15652.0</v>
      </c>
      <c r="AA274" s="3" t="n">
        <v>15078.0</v>
      </c>
      <c r="AB274" s="3" t="n">
        <v>13976.0</v>
      </c>
      <c r="AC274" s="3" t="n">
        <v>13493.0</v>
      </c>
      <c r="AD274" s="3" t="n">
        <v>12890.0</v>
      </c>
      <c r="AE274" s="3" t="n">
        <v>12597.0</v>
      </c>
      <c r="AF274" s="3" t="n">
        <v>12569.0</v>
      </c>
      <c r="AG274" s="3" t="n">
        <v>12093.0</v>
      </c>
      <c r="AH274" s="3" t="n">
        <v>11264.0</v>
      </c>
      <c r="AI274" s="3" t="n">
        <v>11025.0</v>
      </c>
      <c r="AJ274" s="3" t="n">
        <v>10393.0</v>
      </c>
      <c r="AK274" s="3" t="n">
        <v>9744.0</v>
      </c>
      <c r="AL274" s="3" t="n">
        <v>9506.0</v>
      </c>
      <c r="AM274" s="3" t="n">
        <v>9040.0</v>
      </c>
      <c r="AN274" s="3" t="n">
        <v>8677.0</v>
      </c>
      <c r="AO274" s="3" t="n">
        <v>8511.0</v>
      </c>
    </row>
    <row r="275" spans="1:41" x14ac:dyDescent="0.2">
      <c r="A275" s="128"/>
      <c r="B275" s="9">
        <v>62</v>
      </c>
      <c r="C275" s="3" t="n">
        <v>14221.0</v>
      </c>
      <c r="D275" s="3" t="n">
        <v>13242.0</v>
      </c>
      <c r="E275" s="3" t="n">
        <v>12789.0</v>
      </c>
      <c r="F275" s="3" t="n">
        <v>12660.0</v>
      </c>
      <c r="G275" s="3" t="n">
        <v>12083.0</v>
      </c>
      <c r="H275" s="3" t="n">
        <v>11994.0</v>
      </c>
      <c r="I275" s="3" t="n">
        <v>11547.0</v>
      </c>
      <c r="J275" s="3" t="n">
        <v>11690.0</v>
      </c>
      <c r="K275" s="3" t="n">
        <v>11767.0</v>
      </c>
      <c r="L275" s="3" t="n">
        <v>12057.0</v>
      </c>
      <c r="M275" s="3" t="n">
        <v>12155.0</v>
      </c>
      <c r="N275" s="3" t="n">
        <v>12818.0</v>
      </c>
      <c r="O275" s="3" t="n">
        <v>13010.0</v>
      </c>
      <c r="P275" s="3" t="n">
        <v>13585.0</v>
      </c>
      <c r="Q275" s="3" t="n">
        <v>13765.0</v>
      </c>
      <c r="R275" s="3" t="n">
        <v>14495.0</v>
      </c>
      <c r="S275" s="3" t="n">
        <v>15060.0</v>
      </c>
      <c r="T275" s="3" t="n">
        <v>14410.0</v>
      </c>
      <c r="U275" s="3" t="n">
        <v>14683.0</v>
      </c>
      <c r="V275" s="3" t="n">
        <v>14973.0</v>
      </c>
      <c r="W275" s="3" t="n">
        <v>15123.0</v>
      </c>
      <c r="X275" s="3" t="n">
        <v>14857.0</v>
      </c>
      <c r="Y275" s="3" t="n">
        <v>15470.0</v>
      </c>
      <c r="Z275" s="3" t="n">
        <v>16008.0</v>
      </c>
      <c r="AA275" s="3" t="n">
        <v>15534.0</v>
      </c>
      <c r="AB275" s="3" t="n">
        <v>14962.0</v>
      </c>
      <c r="AC275" s="3" t="n">
        <v>13867.0</v>
      </c>
      <c r="AD275" s="3" t="n">
        <v>13387.0</v>
      </c>
      <c r="AE275" s="3" t="n">
        <v>12790.0</v>
      </c>
      <c r="AF275" s="3" t="n">
        <v>12502.0</v>
      </c>
      <c r="AG275" s="3" t="n">
        <v>12476.0</v>
      </c>
      <c r="AH275" s="3" t="n">
        <v>12003.0</v>
      </c>
      <c r="AI275" s="3" t="n">
        <v>11183.0</v>
      </c>
      <c r="AJ275" s="3" t="n">
        <v>10948.0</v>
      </c>
      <c r="AK275" s="3" t="n">
        <v>10321.0</v>
      </c>
      <c r="AL275" s="3" t="n">
        <v>9680.0</v>
      </c>
      <c r="AM275" s="3" t="n">
        <v>9441.0</v>
      </c>
      <c r="AN275" s="3" t="n">
        <v>8977.0</v>
      </c>
      <c r="AO275" s="3" t="n">
        <v>8620.0</v>
      </c>
    </row>
    <row r="276" spans="1:41" x14ac:dyDescent="0.2">
      <c r="A276" s="128"/>
      <c r="B276" s="9">
        <v>63</v>
      </c>
      <c r="C276" s="3" t="n">
        <v>14900.0</v>
      </c>
      <c r="D276" s="3" t="n">
        <v>14090.0</v>
      </c>
      <c r="E276" s="3" t="n">
        <v>13118.0</v>
      </c>
      <c r="F276" s="3" t="n">
        <v>12672.0</v>
      </c>
      <c r="G276" s="3" t="n">
        <v>12547.0</v>
      </c>
      <c r="H276" s="3" t="n">
        <v>11976.0</v>
      </c>
      <c r="I276" s="3" t="n">
        <v>11892.0</v>
      </c>
      <c r="J276" s="3" t="n">
        <v>11443.0</v>
      </c>
      <c r="K276" s="3" t="n">
        <v>11580.0</v>
      </c>
      <c r="L276" s="3" t="n">
        <v>11659.0</v>
      </c>
      <c r="M276" s="3" t="n">
        <v>11946.0</v>
      </c>
      <c r="N276" s="3" t="n">
        <v>12047.0</v>
      </c>
      <c r="O276" s="3" t="n">
        <v>12705.0</v>
      </c>
      <c r="P276" s="3" t="n">
        <v>12892.0</v>
      </c>
      <c r="Q276" s="3" t="n">
        <v>13468.0</v>
      </c>
      <c r="R276" s="3" t="n">
        <v>13647.0</v>
      </c>
      <c r="S276" s="3" t="n">
        <v>14372.0</v>
      </c>
      <c r="T276" s="3" t="n">
        <v>14932.0</v>
      </c>
      <c r="U276" s="3" t="n">
        <v>14292.0</v>
      </c>
      <c r="V276" s="3" t="n">
        <v>14563.0</v>
      </c>
      <c r="W276" s="3" t="n">
        <v>14850.0</v>
      </c>
      <c r="X276" s="3" t="n">
        <v>15001.0</v>
      </c>
      <c r="Y276" s="3" t="n">
        <v>14732.0</v>
      </c>
      <c r="Z276" s="3" t="n">
        <v>15341.0</v>
      </c>
      <c r="AA276" s="3" t="n">
        <v>15871.0</v>
      </c>
      <c r="AB276" s="3" t="n">
        <v>15404.0</v>
      </c>
      <c r="AC276" s="3" t="n">
        <v>14837.0</v>
      </c>
      <c r="AD276" s="3" t="n">
        <v>13753.0</v>
      </c>
      <c r="AE276" s="3" t="n">
        <v>13281.0</v>
      </c>
      <c r="AF276" s="3" t="n">
        <v>12685.0</v>
      </c>
      <c r="AG276" s="3" t="n">
        <v>12400.0</v>
      </c>
      <c r="AH276" s="3" t="n">
        <v>12372.0</v>
      </c>
      <c r="AI276" s="3" t="n">
        <v>11903.0</v>
      </c>
      <c r="AJ276" s="3" t="n">
        <v>11092.0</v>
      </c>
      <c r="AK276" s="3" t="n">
        <v>10855.0</v>
      </c>
      <c r="AL276" s="3" t="n">
        <v>10232.0</v>
      </c>
      <c r="AM276" s="3" t="n">
        <v>9593.0</v>
      </c>
      <c r="AN276" s="3" t="n">
        <v>9356.0</v>
      </c>
      <c r="AO276" s="3" t="n">
        <v>8896.0</v>
      </c>
    </row>
    <row r="277" spans="1:41" x14ac:dyDescent="0.2">
      <c r="A277" s="128"/>
      <c r="B277" s="9">
        <v>64</v>
      </c>
      <c r="C277" s="3" t="n">
        <v>15608.0</v>
      </c>
      <c r="D277" s="3" t="n">
        <v>14752.0</v>
      </c>
      <c r="E277" s="3" t="n">
        <v>13954.0</v>
      </c>
      <c r="F277" s="3" t="n">
        <v>12987.0</v>
      </c>
      <c r="G277" s="3" t="n">
        <v>12549.0</v>
      </c>
      <c r="H277" s="3" t="n">
        <v>12429.0</v>
      </c>
      <c r="I277" s="3" t="n">
        <v>11866.0</v>
      </c>
      <c r="J277" s="3" t="n">
        <v>11780.0</v>
      </c>
      <c r="K277" s="3" t="n">
        <v>11334.0</v>
      </c>
      <c r="L277" s="3" t="n">
        <v>11468.0</v>
      </c>
      <c r="M277" s="3" t="n">
        <v>11548.0</v>
      </c>
      <c r="N277" s="3" t="n">
        <v>11833.0</v>
      </c>
      <c r="O277" s="3" t="n">
        <v>11932.0</v>
      </c>
      <c r="P277" s="3" t="n">
        <v>12588.0</v>
      </c>
      <c r="Q277" s="3" t="n">
        <v>12772.0</v>
      </c>
      <c r="R277" s="3" t="n">
        <v>13342.0</v>
      </c>
      <c r="S277" s="3" t="n">
        <v>13522.0</v>
      </c>
      <c r="T277" s="3" t="n">
        <v>14241.0</v>
      </c>
      <c r="U277" s="3" t="n">
        <v>14794.0</v>
      </c>
      <c r="V277" s="3" t="n">
        <v>14158.0</v>
      </c>
      <c r="W277" s="3" t="n">
        <v>14430.0</v>
      </c>
      <c r="X277" s="3" t="n">
        <v>14714.0</v>
      </c>
      <c r="Y277" s="3" t="n">
        <v>14869.0</v>
      </c>
      <c r="Z277" s="3" t="n">
        <v>14601.0</v>
      </c>
      <c r="AA277" s="3" t="n">
        <v>15206.0</v>
      </c>
      <c r="AB277" s="3" t="n">
        <v>15731.0</v>
      </c>
      <c r="AC277" s="3" t="n">
        <v>15269.0</v>
      </c>
      <c r="AD277" s="3" t="n">
        <v>14703.0</v>
      </c>
      <c r="AE277" s="3" t="n">
        <v>13629.0</v>
      </c>
      <c r="AF277" s="3" t="n">
        <v>13163.0</v>
      </c>
      <c r="AG277" s="3" t="n">
        <v>12570.0</v>
      </c>
      <c r="AH277" s="3" t="n">
        <v>12290.0</v>
      </c>
      <c r="AI277" s="3" t="n">
        <v>12264.0</v>
      </c>
      <c r="AJ277" s="3" t="n">
        <v>11796.0</v>
      </c>
      <c r="AK277" s="3" t="n">
        <v>10995.0</v>
      </c>
      <c r="AL277" s="3" t="n">
        <v>10761.0</v>
      </c>
      <c r="AM277" s="3" t="n">
        <v>10142.0</v>
      </c>
      <c r="AN277" s="3" t="n">
        <v>9511.0</v>
      </c>
      <c r="AO277" s="3" t="n">
        <v>9273.0</v>
      </c>
    </row>
    <row r="278" spans="1:41" x14ac:dyDescent="0.2">
      <c r="A278" s="128"/>
      <c r="B278" s="9">
        <v>65</v>
      </c>
      <c r="C278" s="3" t="n">
        <v>15782.0</v>
      </c>
      <c r="D278" s="3" t="n">
        <v>15438.0</v>
      </c>
      <c r="E278" s="3" t="n">
        <v>14588.0</v>
      </c>
      <c r="F278" s="3" t="n">
        <v>13796.0</v>
      </c>
      <c r="G278" s="3" t="n">
        <v>12846.0</v>
      </c>
      <c r="H278" s="3" t="n">
        <v>12418.0</v>
      </c>
      <c r="I278" s="3" t="n">
        <v>12300.0</v>
      </c>
      <c r="J278" s="3" t="n">
        <v>11738.0</v>
      </c>
      <c r="K278" s="3" t="n">
        <v>11648.0</v>
      </c>
      <c r="L278" s="3" t="n">
        <v>11209.0</v>
      </c>
      <c r="M278" s="3" t="n">
        <v>11339.0</v>
      </c>
      <c r="N278" s="3" t="n">
        <v>11418.0</v>
      </c>
      <c r="O278" s="3" t="n">
        <v>11702.0</v>
      </c>
      <c r="P278" s="3" t="n">
        <v>11804.0</v>
      </c>
      <c r="Q278" s="3" t="n">
        <v>12453.0</v>
      </c>
      <c r="R278" s="3" t="n">
        <v>12632.0</v>
      </c>
      <c r="S278" s="3" t="n">
        <v>13201.0</v>
      </c>
      <c r="T278" s="3" t="n">
        <v>13380.0</v>
      </c>
      <c r="U278" s="3" t="n">
        <v>14095.0</v>
      </c>
      <c r="V278" s="3" t="n">
        <v>14641.0</v>
      </c>
      <c r="W278" s="3" t="n">
        <v>14016.0</v>
      </c>
      <c r="X278" s="3" t="n">
        <v>14288.0</v>
      </c>
      <c r="Y278" s="3" t="n">
        <v>14570.0</v>
      </c>
      <c r="Z278" s="3" t="n">
        <v>14726.0</v>
      </c>
      <c r="AA278" s="3" t="n">
        <v>14454.0</v>
      </c>
      <c r="AB278" s="3" t="n">
        <v>15061.0</v>
      </c>
      <c r="AC278" s="3" t="n">
        <v>15580.0</v>
      </c>
      <c r="AD278" s="3" t="n">
        <v>15122.0</v>
      </c>
      <c r="AE278" s="3" t="n">
        <v>14557.0</v>
      </c>
      <c r="AF278" s="3" t="n">
        <v>13493.0</v>
      </c>
      <c r="AG278" s="3" t="n">
        <v>13033.0</v>
      </c>
      <c r="AH278" s="3" t="n">
        <v>12450.0</v>
      </c>
      <c r="AI278" s="3" t="n">
        <v>12166.0</v>
      </c>
      <c r="AJ278" s="3" t="n">
        <v>12140.0</v>
      </c>
      <c r="AK278" s="3" t="n">
        <v>11678.0</v>
      </c>
      <c r="AL278" s="3" t="n">
        <v>10888.0</v>
      </c>
      <c r="AM278" s="3" t="n">
        <v>10651.0</v>
      </c>
      <c r="AN278" s="3" t="n">
        <v>10044.0</v>
      </c>
      <c r="AO278" s="3" t="n">
        <v>9419.0</v>
      </c>
    </row>
    <row r="279" spans="1:41" x14ac:dyDescent="0.2">
      <c r="A279" s="128"/>
      <c r="B279" s="9">
        <v>66</v>
      </c>
      <c r="C279" s="3" t="n">
        <v>15429.0</v>
      </c>
      <c r="D279" s="3" t="n">
        <v>15601.0</v>
      </c>
      <c r="E279" s="3" t="n">
        <v>15265.0</v>
      </c>
      <c r="F279" s="3" t="n">
        <v>14422.0</v>
      </c>
      <c r="G279" s="3" t="n">
        <v>13645.0</v>
      </c>
      <c r="H279" s="3" t="n">
        <v>12705.0</v>
      </c>
      <c r="I279" s="3" t="n">
        <v>12286.0</v>
      </c>
      <c r="J279" s="3" t="n">
        <v>12167.0</v>
      </c>
      <c r="K279" s="3" t="n">
        <v>11610.0</v>
      </c>
      <c r="L279" s="3" t="n">
        <v>11524.0</v>
      </c>
      <c r="M279" s="3" t="n">
        <v>11090.0</v>
      </c>
      <c r="N279" s="3" t="n">
        <v>11213.0</v>
      </c>
      <c r="O279" s="3" t="n">
        <v>11297.0</v>
      </c>
      <c r="P279" s="3" t="n">
        <v>11572.0</v>
      </c>
      <c r="Q279" s="3" t="n">
        <v>11680.0</v>
      </c>
      <c r="R279" s="3" t="n">
        <v>12321.0</v>
      </c>
      <c r="S279" s="3" t="n">
        <v>12501.0</v>
      </c>
      <c r="T279" s="3" t="n">
        <v>13062.0</v>
      </c>
      <c r="U279" s="3" t="n">
        <v>13240.0</v>
      </c>
      <c r="V279" s="3" t="n">
        <v>13951.0</v>
      </c>
      <c r="W279" s="3" t="n">
        <v>14491.0</v>
      </c>
      <c r="X279" s="3" t="n">
        <v>13876.0</v>
      </c>
      <c r="Y279" s="3" t="n">
        <v>14139.0</v>
      </c>
      <c r="Z279" s="3" t="n">
        <v>14420.0</v>
      </c>
      <c r="AA279" s="3" t="n">
        <v>14580.0</v>
      </c>
      <c r="AB279" s="3" t="n">
        <v>14314.0</v>
      </c>
      <c r="AC279" s="3" t="n">
        <v>14909.0</v>
      </c>
      <c r="AD279" s="3" t="n">
        <v>15428.0</v>
      </c>
      <c r="AE279" s="3" t="n">
        <v>14975.0</v>
      </c>
      <c r="AF279" s="3" t="n">
        <v>14418.0</v>
      </c>
      <c r="AG279" s="3" t="n">
        <v>13355.0</v>
      </c>
      <c r="AH279" s="3" t="n">
        <v>12900.0</v>
      </c>
      <c r="AI279" s="3" t="n">
        <v>12329.0</v>
      </c>
      <c r="AJ279" s="3" t="n">
        <v>12043.0</v>
      </c>
      <c r="AK279" s="3" t="n">
        <v>12021.0</v>
      </c>
      <c r="AL279" s="3" t="n">
        <v>11567.0</v>
      </c>
      <c r="AM279" s="3" t="n">
        <v>10782.0</v>
      </c>
      <c r="AN279" s="3" t="n">
        <v>10549.0</v>
      </c>
      <c r="AO279" s="3" t="n">
        <v>9945.0</v>
      </c>
    </row>
    <row r="280" spans="1:41" x14ac:dyDescent="0.2">
      <c r="A280" s="128"/>
      <c r="B280" s="9">
        <v>67</v>
      </c>
      <c r="C280" s="3" t="n">
        <v>15187.0</v>
      </c>
      <c r="D280" s="3" t="n">
        <v>15236.0</v>
      </c>
      <c r="E280" s="3" t="n">
        <v>15404.0</v>
      </c>
      <c r="F280" s="3" t="n">
        <v>15077.0</v>
      </c>
      <c r="G280" s="3" t="n">
        <v>14248.0</v>
      </c>
      <c r="H280" s="3" t="n">
        <v>13494.0</v>
      </c>
      <c r="I280" s="3" t="n">
        <v>12560.0</v>
      </c>
      <c r="J280" s="3" t="n">
        <v>12147.0</v>
      </c>
      <c r="K280" s="3" t="n">
        <v>12029.0</v>
      </c>
      <c r="L280" s="3" t="n">
        <v>11482.0</v>
      </c>
      <c r="M280" s="3" t="n">
        <v>11398.0</v>
      </c>
      <c r="N280" s="3" t="n">
        <v>10968.0</v>
      </c>
      <c r="O280" s="3" t="n">
        <v>11091.0</v>
      </c>
      <c r="P280" s="3" t="n">
        <v>11174.0</v>
      </c>
      <c r="Q280" s="3" t="n">
        <v>11445.0</v>
      </c>
      <c r="R280" s="3" t="n">
        <v>11553.0</v>
      </c>
      <c r="S280" s="3" t="n">
        <v>12184.0</v>
      </c>
      <c r="T280" s="3" t="n">
        <v>12366.0</v>
      </c>
      <c r="U280" s="3" t="n">
        <v>12921.0</v>
      </c>
      <c r="V280" s="3" t="n">
        <v>13095.0</v>
      </c>
      <c r="W280" s="3" t="n">
        <v>13799.0</v>
      </c>
      <c r="X280" s="3" t="n">
        <v>14336.0</v>
      </c>
      <c r="Y280" s="3" t="n">
        <v>13728.0</v>
      </c>
      <c r="Z280" s="3" t="n">
        <v>13989.0</v>
      </c>
      <c r="AA280" s="3" t="n">
        <v>14265.0</v>
      </c>
      <c r="AB280" s="3" t="n">
        <v>14424.0</v>
      </c>
      <c r="AC280" s="3" t="n">
        <v>14160.0</v>
      </c>
      <c r="AD280" s="3" t="n">
        <v>14750.0</v>
      </c>
      <c r="AE280" s="3" t="n">
        <v>15264.0</v>
      </c>
      <c r="AF280" s="3" t="n">
        <v>14817.0</v>
      </c>
      <c r="AG280" s="3" t="n">
        <v>14266.0</v>
      </c>
      <c r="AH280" s="3" t="n">
        <v>13214.0</v>
      </c>
      <c r="AI280" s="3" t="n">
        <v>12768.0</v>
      </c>
      <c r="AJ280" s="3" t="n">
        <v>12205.0</v>
      </c>
      <c r="AK280" s="3" t="n">
        <v>11924.0</v>
      </c>
      <c r="AL280" s="3" t="n">
        <v>11900.0</v>
      </c>
      <c r="AM280" s="3" t="n">
        <v>11447.0</v>
      </c>
      <c r="AN280" s="3" t="n">
        <v>10673.0</v>
      </c>
      <c r="AO280" s="3" t="n">
        <v>10448.0</v>
      </c>
    </row>
    <row r="281" spans="1:41" x14ac:dyDescent="0.2">
      <c r="A281" s="128"/>
      <c r="B281" s="9">
        <v>68</v>
      </c>
      <c r="C281" s="3" t="n">
        <v>14510.0</v>
      </c>
      <c r="D281" s="3" t="n">
        <v>14983.0</v>
      </c>
      <c r="E281" s="3" t="n">
        <v>15030.0</v>
      </c>
      <c r="F281" s="3" t="n">
        <v>15199.0</v>
      </c>
      <c r="G281" s="3" t="n">
        <v>14881.0</v>
      </c>
      <c r="H281" s="3" t="n">
        <v>14071.0</v>
      </c>
      <c r="I281" s="3" t="n">
        <v>13326.0</v>
      </c>
      <c r="J281" s="3" t="n">
        <v>12393.0</v>
      </c>
      <c r="K281" s="3" t="n">
        <v>11988.0</v>
      </c>
      <c r="L281" s="3" t="n">
        <v>11871.0</v>
      </c>
      <c r="M281" s="3" t="n">
        <v>11334.0</v>
      </c>
      <c r="N281" s="3" t="n">
        <v>11251.0</v>
      </c>
      <c r="O281" s="3" t="n">
        <v>10829.0</v>
      </c>
      <c r="P281" s="3" t="n">
        <v>10948.0</v>
      </c>
      <c r="Q281" s="3" t="n">
        <v>11032.0</v>
      </c>
      <c r="R281" s="3" t="n">
        <v>11297.0</v>
      </c>
      <c r="S281" s="3" t="n">
        <v>11407.0</v>
      </c>
      <c r="T281" s="3" t="n">
        <v>12028.0</v>
      </c>
      <c r="U281" s="3" t="n">
        <v>12214.0</v>
      </c>
      <c r="V281" s="3" t="n">
        <v>12759.0</v>
      </c>
      <c r="W281" s="3" t="n">
        <v>12935.0</v>
      </c>
      <c r="X281" s="3" t="n">
        <v>13631.0</v>
      </c>
      <c r="Y281" s="3" t="n">
        <v>14167.0</v>
      </c>
      <c r="Z281" s="3" t="n">
        <v>13562.0</v>
      </c>
      <c r="AA281" s="3" t="n">
        <v>13823.0</v>
      </c>
      <c r="AB281" s="3" t="n">
        <v>14098.0</v>
      </c>
      <c r="AC281" s="3" t="n">
        <v>14256.0</v>
      </c>
      <c r="AD281" s="3" t="n">
        <v>13991.0</v>
      </c>
      <c r="AE281" s="3" t="n">
        <v>14580.0</v>
      </c>
      <c r="AF281" s="3" t="n">
        <v>15089.0</v>
      </c>
      <c r="AG281" s="3" t="n">
        <v>14642.0</v>
      </c>
      <c r="AH281" s="3" t="n">
        <v>14098.0</v>
      </c>
      <c r="AI281" s="3" t="n">
        <v>13062.0</v>
      </c>
      <c r="AJ281" s="3" t="n">
        <v>12622.0</v>
      </c>
      <c r="AK281" s="3" t="n">
        <v>12068.0</v>
      </c>
      <c r="AL281" s="3" t="n">
        <v>11789.0</v>
      </c>
      <c r="AM281" s="3" t="n">
        <v>11760.0</v>
      </c>
      <c r="AN281" s="3" t="n">
        <v>11315.0</v>
      </c>
      <c r="AO281" s="3" t="n">
        <v>10551.0</v>
      </c>
    </row>
    <row r="282" spans="1:41" x14ac:dyDescent="0.2">
      <c r="A282" s="128"/>
      <c r="B282" s="9">
        <v>69</v>
      </c>
      <c r="C282" s="3" t="n">
        <v>14115.0</v>
      </c>
      <c r="D282" s="3" t="n">
        <v>14289.0</v>
      </c>
      <c r="E282" s="3" t="n">
        <v>14757.0</v>
      </c>
      <c r="F282" s="3" t="n">
        <v>14806.0</v>
      </c>
      <c r="G282" s="3" t="n">
        <v>14972.0</v>
      </c>
      <c r="H282" s="3" t="n">
        <v>14664.0</v>
      </c>
      <c r="I282" s="3" t="n">
        <v>13870.0</v>
      </c>
      <c r="J282" s="3" t="n">
        <v>13132.0</v>
      </c>
      <c r="K282" s="3" t="n">
        <v>12211.0</v>
      </c>
      <c r="L282" s="3" t="n">
        <v>11809.0</v>
      </c>
      <c r="M282" s="3" t="n">
        <v>11696.0</v>
      </c>
      <c r="N282" s="3" t="n">
        <v>11166.0</v>
      </c>
      <c r="O282" s="3" t="n">
        <v>11091.0</v>
      </c>
      <c r="P282" s="3" t="n">
        <v>10669.0</v>
      </c>
      <c r="Q282" s="3" t="n">
        <v>10790.0</v>
      </c>
      <c r="R282" s="3" t="n">
        <v>10875.0</v>
      </c>
      <c r="S282" s="3" t="n">
        <v>11139.0</v>
      </c>
      <c r="T282" s="3" t="n">
        <v>11244.0</v>
      </c>
      <c r="U282" s="3" t="n">
        <v>11861.0</v>
      </c>
      <c r="V282" s="3" t="n">
        <v>12047.0</v>
      </c>
      <c r="W282" s="3" t="n">
        <v>12585.0</v>
      </c>
      <c r="X282" s="3" t="n">
        <v>12752.0</v>
      </c>
      <c r="Y282" s="3" t="n">
        <v>13444.0</v>
      </c>
      <c r="Z282" s="3" t="n">
        <v>13976.0</v>
      </c>
      <c r="AA282" s="3" t="n">
        <v>13378.0</v>
      </c>
      <c r="AB282" s="3" t="n">
        <v>13639.0</v>
      </c>
      <c r="AC282" s="3" t="n">
        <v>13909.0</v>
      </c>
      <c r="AD282" s="3" t="n">
        <v>14064.0</v>
      </c>
      <c r="AE282" s="3" t="n">
        <v>13805.0</v>
      </c>
      <c r="AF282" s="3" t="n">
        <v>14386.0</v>
      </c>
      <c r="AG282" s="3" t="n">
        <v>14890.0</v>
      </c>
      <c r="AH282" s="3" t="n">
        <v>14447.0</v>
      </c>
      <c r="AI282" s="3" t="n">
        <v>13911.0</v>
      </c>
      <c r="AJ282" s="3" t="n">
        <v>12891.0</v>
      </c>
      <c r="AK282" s="3" t="n">
        <v>12461.0</v>
      </c>
      <c r="AL282" s="3" t="n">
        <v>11915.0</v>
      </c>
      <c r="AM282" s="3" t="n">
        <v>11640.0</v>
      </c>
      <c r="AN282" s="3" t="n">
        <v>11611.0</v>
      </c>
      <c r="AO282" s="3" t="n">
        <v>11172.0</v>
      </c>
    </row>
    <row r="283" spans="1:41" x14ac:dyDescent="0.2">
      <c r="A283" s="128"/>
      <c r="B283" s="9">
        <v>70</v>
      </c>
      <c r="C283" s="3" t="n">
        <v>13766.0</v>
      </c>
      <c r="D283" s="3" t="n">
        <v>13879.0</v>
      </c>
      <c r="E283" s="3" t="n">
        <v>14052.0</v>
      </c>
      <c r="F283" s="3" t="n">
        <v>14511.0</v>
      </c>
      <c r="G283" s="3" t="n">
        <v>14563.0</v>
      </c>
      <c r="H283" s="3" t="n">
        <v>14727.0</v>
      </c>
      <c r="I283" s="3" t="n">
        <v>14424.0</v>
      </c>
      <c r="J283" s="3" t="n">
        <v>13646.0</v>
      </c>
      <c r="K283" s="3" t="n">
        <v>12916.0</v>
      </c>
      <c r="L283" s="3" t="n">
        <v>12016.0</v>
      </c>
      <c r="M283" s="3" t="n">
        <v>11620.0</v>
      </c>
      <c r="N283" s="3" t="n">
        <v>11510.0</v>
      </c>
      <c r="O283" s="3" t="n">
        <v>10992.0</v>
      </c>
      <c r="P283" s="3" t="n">
        <v>10918.0</v>
      </c>
      <c r="Q283" s="3" t="n">
        <v>10507.0</v>
      </c>
      <c r="R283" s="3" t="n">
        <v>10625.0</v>
      </c>
      <c r="S283" s="3" t="n">
        <v>10711.0</v>
      </c>
      <c r="T283" s="3" t="n">
        <v>10969.0</v>
      </c>
      <c r="U283" s="3" t="n">
        <v>11074.0</v>
      </c>
      <c r="V283" s="3" t="n">
        <v>11678.0</v>
      </c>
      <c r="W283" s="3" t="n">
        <v>11866.0</v>
      </c>
      <c r="X283" s="3" t="n">
        <v>12390.0</v>
      </c>
      <c r="Y283" s="3" t="n">
        <v>12558.0</v>
      </c>
      <c r="Z283" s="3" t="n">
        <v>13243.0</v>
      </c>
      <c r="AA283" s="3" t="n">
        <v>13767.0</v>
      </c>
      <c r="AB283" s="3" t="n">
        <v>13178.0</v>
      </c>
      <c r="AC283" s="3" t="n">
        <v>13435.0</v>
      </c>
      <c r="AD283" s="3" t="n">
        <v>13700.0</v>
      </c>
      <c r="AE283" s="3" t="n">
        <v>13856.0</v>
      </c>
      <c r="AF283" s="3" t="n">
        <v>13596.0</v>
      </c>
      <c r="AG283" s="3" t="n">
        <v>14171.0</v>
      </c>
      <c r="AH283" s="3" t="n">
        <v>14669.0</v>
      </c>
      <c r="AI283" s="3" t="n">
        <v>14236.0</v>
      </c>
      <c r="AJ283" s="3" t="n">
        <v>13707.0</v>
      </c>
      <c r="AK283" s="3" t="n">
        <v>12701.0</v>
      </c>
      <c r="AL283" s="3" t="n">
        <v>12281.0</v>
      </c>
      <c r="AM283" s="3" t="n">
        <v>11747.0</v>
      </c>
      <c r="AN283" s="3" t="n">
        <v>11477.0</v>
      </c>
      <c r="AO283" s="3" t="n">
        <v>11452.0</v>
      </c>
    </row>
    <row r="284" spans="1:41" x14ac:dyDescent="0.2">
      <c r="A284" s="128"/>
      <c r="B284" s="9">
        <v>71</v>
      </c>
      <c r="C284" s="3" t="n">
        <v>13492.0</v>
      </c>
      <c r="D284" s="3" t="n">
        <v>13529.0</v>
      </c>
      <c r="E284" s="3" t="n">
        <v>13641.0</v>
      </c>
      <c r="F284" s="3" t="n">
        <v>13816.0</v>
      </c>
      <c r="G284" s="3" t="n">
        <v>14267.0</v>
      </c>
      <c r="H284" s="3" t="n">
        <v>14320.0</v>
      </c>
      <c r="I284" s="3" t="n">
        <v>14480.0</v>
      </c>
      <c r="J284" s="3" t="n">
        <v>14190.0</v>
      </c>
      <c r="K284" s="3" t="n">
        <v>13424.0</v>
      </c>
      <c r="L284" s="3" t="n">
        <v>12702.0</v>
      </c>
      <c r="M284" s="3" t="n">
        <v>11820.0</v>
      </c>
      <c r="N284" s="3" t="n">
        <v>11433.0</v>
      </c>
      <c r="O284" s="3" t="n">
        <v>11322.0</v>
      </c>
      <c r="P284" s="3" t="n">
        <v>10818.0</v>
      </c>
      <c r="Q284" s="3" t="n">
        <v>10747.0</v>
      </c>
      <c r="R284" s="3" t="n">
        <v>10339.0</v>
      </c>
      <c r="S284" s="3" t="n">
        <v>10461.0</v>
      </c>
      <c r="T284" s="3" t="n">
        <v>10541.0</v>
      </c>
      <c r="U284" s="3" t="n">
        <v>10796.0</v>
      </c>
      <c r="V284" s="3" t="n">
        <v>10902.0</v>
      </c>
      <c r="W284" s="3" t="n">
        <v>11499.0</v>
      </c>
      <c r="X284" s="3" t="n">
        <v>11682.0</v>
      </c>
      <c r="Y284" s="3" t="n">
        <v>12202.0</v>
      </c>
      <c r="Z284" s="3" t="n">
        <v>12368.0</v>
      </c>
      <c r="AA284" s="3" t="n">
        <v>13035.0</v>
      </c>
      <c r="AB284" s="3" t="n">
        <v>13559.0</v>
      </c>
      <c r="AC284" s="3" t="n">
        <v>12981.0</v>
      </c>
      <c r="AD284" s="3" t="n">
        <v>13236.0</v>
      </c>
      <c r="AE284" s="3" t="n">
        <v>13494.0</v>
      </c>
      <c r="AF284" s="3" t="n">
        <v>13649.0</v>
      </c>
      <c r="AG284" s="3" t="n">
        <v>13394.0</v>
      </c>
      <c r="AH284" s="3" t="n">
        <v>13961.0</v>
      </c>
      <c r="AI284" s="3" t="n">
        <v>14455.0</v>
      </c>
      <c r="AJ284" s="3" t="n">
        <v>14026.0</v>
      </c>
      <c r="AK284" s="3" t="n">
        <v>13511.0</v>
      </c>
      <c r="AL284" s="3" t="n">
        <v>12516.0</v>
      </c>
      <c r="AM284" s="3" t="n">
        <v>12102.0</v>
      </c>
      <c r="AN284" s="3" t="n">
        <v>11576.0</v>
      </c>
      <c r="AO284" s="3" t="n">
        <v>11314.0</v>
      </c>
    </row>
    <row r="285" spans="1:41" x14ac:dyDescent="0.2">
      <c r="A285" s="128"/>
      <c r="B285" s="9">
        <v>72</v>
      </c>
      <c r="C285" s="3" t="n">
        <v>13174.0</v>
      </c>
      <c r="D285" s="3" t="n">
        <v>13232.0</v>
      </c>
      <c r="E285" s="3" t="n">
        <v>13275.0</v>
      </c>
      <c r="F285" s="3" t="n">
        <v>13384.0</v>
      </c>
      <c r="G285" s="3" t="n">
        <v>13558.0</v>
      </c>
      <c r="H285" s="3" t="n">
        <v>14002.0</v>
      </c>
      <c r="I285" s="3" t="n">
        <v>14056.0</v>
      </c>
      <c r="J285" s="3" t="n">
        <v>14211.0</v>
      </c>
      <c r="K285" s="3" t="n">
        <v>13936.0</v>
      </c>
      <c r="L285" s="3" t="n">
        <v>13183.0</v>
      </c>
      <c r="M285" s="3" t="n">
        <v>12478.0</v>
      </c>
      <c r="N285" s="3" t="n">
        <v>11613.0</v>
      </c>
      <c r="O285" s="3" t="n">
        <v>11234.0</v>
      </c>
      <c r="P285" s="3" t="n">
        <v>11126.0</v>
      </c>
      <c r="Q285" s="3" t="n">
        <v>10633.0</v>
      </c>
      <c r="R285" s="3" t="n">
        <v>10564.0</v>
      </c>
      <c r="S285" s="3" t="n">
        <v>10166.0</v>
      </c>
      <c r="T285" s="3" t="n">
        <v>10283.0</v>
      </c>
      <c r="U285" s="3" t="n">
        <v>10365.0</v>
      </c>
      <c r="V285" s="3" t="n">
        <v>10615.0</v>
      </c>
      <c r="W285" s="3" t="n">
        <v>10722.0</v>
      </c>
      <c r="X285" s="3" t="n">
        <v>11308.0</v>
      </c>
      <c r="Y285" s="3" t="n">
        <v>11490.0</v>
      </c>
      <c r="Z285" s="3" t="n">
        <v>12000.0</v>
      </c>
      <c r="AA285" s="3" t="n">
        <v>12168.0</v>
      </c>
      <c r="AB285" s="3" t="n">
        <v>12821.0</v>
      </c>
      <c r="AC285" s="3" t="n">
        <v>13338.0</v>
      </c>
      <c r="AD285" s="3" t="n">
        <v>12766.0</v>
      </c>
      <c r="AE285" s="3" t="n">
        <v>13023.0</v>
      </c>
      <c r="AF285" s="3" t="n">
        <v>13276.0</v>
      </c>
      <c r="AG285" s="3" t="n">
        <v>13428.0</v>
      </c>
      <c r="AH285" s="3" t="n">
        <v>13176.0</v>
      </c>
      <c r="AI285" s="3" t="n">
        <v>13733.0</v>
      </c>
      <c r="AJ285" s="3" t="n">
        <v>14221.0</v>
      </c>
      <c r="AK285" s="3" t="n">
        <v>13802.0</v>
      </c>
      <c r="AL285" s="3" t="n">
        <v>13298.0</v>
      </c>
      <c r="AM285" s="3" t="n">
        <v>12318.0</v>
      </c>
      <c r="AN285" s="3" t="n">
        <v>11912.0</v>
      </c>
      <c r="AO285" s="3" t="n">
        <v>11398.0</v>
      </c>
    </row>
    <row r="286" spans="1:41" x14ac:dyDescent="0.2">
      <c r="A286" s="128"/>
      <c r="B286" s="9">
        <v>73</v>
      </c>
      <c r="C286" s="3" t="n">
        <v>12552.0</v>
      </c>
      <c r="D286" s="3" t="n">
        <v>12891.0</v>
      </c>
      <c r="E286" s="3" t="n">
        <v>12952.0</v>
      </c>
      <c r="F286" s="3" t="n">
        <v>12997.0</v>
      </c>
      <c r="G286" s="3" t="n">
        <v>13108.0</v>
      </c>
      <c r="H286" s="3" t="n">
        <v>13281.0</v>
      </c>
      <c r="I286" s="3" t="n">
        <v>13717.0</v>
      </c>
      <c r="J286" s="3" t="n">
        <v>13769.0</v>
      </c>
      <c r="K286" s="3" t="n">
        <v>13925.0</v>
      </c>
      <c r="L286" s="3" t="n">
        <v>13658.0</v>
      </c>
      <c r="M286" s="3" t="n">
        <v>12918.0</v>
      </c>
      <c r="N286" s="3" t="n">
        <v>12231.0</v>
      </c>
      <c r="O286" s="3" t="n">
        <v>11386.0</v>
      </c>
      <c r="P286" s="3" t="n">
        <v>11019.0</v>
      </c>
      <c r="Q286" s="3" t="n">
        <v>10908.0</v>
      </c>
      <c r="R286" s="3" t="n">
        <v>10430.0</v>
      </c>
      <c r="S286" s="3" t="n">
        <v>10359.0</v>
      </c>
      <c r="T286" s="3" t="n">
        <v>9970.0</v>
      </c>
      <c r="U286" s="3" t="n">
        <v>10089.0</v>
      </c>
      <c r="V286" s="3" t="n">
        <v>10167.0</v>
      </c>
      <c r="W286" s="3" t="n">
        <v>10414.0</v>
      </c>
      <c r="X286" s="3" t="n">
        <v>10524.0</v>
      </c>
      <c r="Y286" s="3" t="n">
        <v>11102.0</v>
      </c>
      <c r="Z286" s="3" t="n">
        <v>11280.0</v>
      </c>
      <c r="AA286" s="3" t="n">
        <v>11776.0</v>
      </c>
      <c r="AB286" s="3" t="n">
        <v>11942.0</v>
      </c>
      <c r="AC286" s="3" t="n">
        <v>12582.0</v>
      </c>
      <c r="AD286" s="3" t="n">
        <v>13090.0</v>
      </c>
      <c r="AE286" s="3" t="n">
        <v>12533.0</v>
      </c>
      <c r="AF286" s="3" t="n">
        <v>12784.0</v>
      </c>
      <c r="AG286" s="3" t="n">
        <v>13034.0</v>
      </c>
      <c r="AH286" s="3" t="n">
        <v>13182.0</v>
      </c>
      <c r="AI286" s="3" t="n">
        <v>12933.0</v>
      </c>
      <c r="AJ286" s="3" t="n">
        <v>13481.0</v>
      </c>
      <c r="AK286" s="3" t="n">
        <v>13960.0</v>
      </c>
      <c r="AL286" s="3" t="n">
        <v>13554.0</v>
      </c>
      <c r="AM286" s="3" t="n">
        <v>13055.0</v>
      </c>
      <c r="AN286" s="3" t="n">
        <v>12099.0</v>
      </c>
      <c r="AO286" s="3" t="n">
        <v>11706.0</v>
      </c>
    </row>
    <row r="287" spans="1:41" x14ac:dyDescent="0.2">
      <c r="A287" s="128"/>
      <c r="B287" s="9">
        <v>74</v>
      </c>
      <c r="C287" s="3" t="n">
        <v>11750.0</v>
      </c>
      <c r="D287" s="3" t="n">
        <v>12268.0</v>
      </c>
      <c r="E287" s="3" t="n">
        <v>12599.0</v>
      </c>
      <c r="F287" s="3" t="n">
        <v>12661.0</v>
      </c>
      <c r="G287" s="3" t="n">
        <v>12708.0</v>
      </c>
      <c r="H287" s="3" t="n">
        <v>12819.0</v>
      </c>
      <c r="I287" s="3" t="n">
        <v>12984.0</v>
      </c>
      <c r="J287" s="3" t="n">
        <v>13413.0</v>
      </c>
      <c r="K287" s="3" t="n">
        <v>13466.0</v>
      </c>
      <c r="L287" s="3" t="n">
        <v>13619.0</v>
      </c>
      <c r="M287" s="3" t="n">
        <v>13363.0</v>
      </c>
      <c r="N287" s="3" t="n">
        <v>12642.0</v>
      </c>
      <c r="O287" s="3" t="n">
        <v>11974.0</v>
      </c>
      <c r="P287" s="3" t="n">
        <v>11150.0</v>
      </c>
      <c r="Q287" s="3" t="n">
        <v>10793.0</v>
      </c>
      <c r="R287" s="3" t="n">
        <v>10682.0</v>
      </c>
      <c r="S287" s="3" t="n">
        <v>10219.0</v>
      </c>
      <c r="T287" s="3" t="n">
        <v>10148.0</v>
      </c>
      <c r="U287" s="3" t="n">
        <v>9768.0</v>
      </c>
      <c r="V287" s="3" t="n">
        <v>9887.0</v>
      </c>
      <c r="W287" s="3" t="n">
        <v>9963.0</v>
      </c>
      <c r="X287" s="3" t="n">
        <v>10207.0</v>
      </c>
      <c r="Y287" s="3" t="n">
        <v>10318.0</v>
      </c>
      <c r="Z287" s="3" t="n">
        <v>10883.0</v>
      </c>
      <c r="AA287" s="3" t="n">
        <v>11056.0</v>
      </c>
      <c r="AB287" s="3" t="n">
        <v>11546.0</v>
      </c>
      <c r="AC287" s="3" t="n">
        <v>11712.0</v>
      </c>
      <c r="AD287" s="3" t="n">
        <v>12334.0</v>
      </c>
      <c r="AE287" s="3" t="n">
        <v>12838.0</v>
      </c>
      <c r="AF287" s="3" t="n">
        <v>12287.0</v>
      </c>
      <c r="AG287" s="3" t="n">
        <v>12535.0</v>
      </c>
      <c r="AH287" s="3" t="n">
        <v>12782.0</v>
      </c>
      <c r="AI287" s="3" t="n">
        <v>12924.0</v>
      </c>
      <c r="AJ287" s="3" t="n">
        <v>12681.0</v>
      </c>
      <c r="AK287" s="3" t="n">
        <v>13219.0</v>
      </c>
      <c r="AL287" s="3" t="n">
        <v>13685.0</v>
      </c>
      <c r="AM287" s="3" t="n">
        <v>13291.0</v>
      </c>
      <c r="AN287" s="3" t="n">
        <v>12804.0</v>
      </c>
      <c r="AO287" s="3" t="n">
        <v>11872.0</v>
      </c>
    </row>
    <row r="288" spans="1:41" x14ac:dyDescent="0.2">
      <c r="A288" s="128"/>
      <c r="B288" s="9">
        <v>75</v>
      </c>
      <c r="C288" s="3" t="n">
        <v>10855.0</v>
      </c>
      <c r="D288" s="3" t="n">
        <v>11445.0</v>
      </c>
      <c r="E288" s="3" t="n">
        <v>11955.0</v>
      </c>
      <c r="F288" s="3" t="n">
        <v>12278.0</v>
      </c>
      <c r="G288" s="3" t="n">
        <v>12345.0</v>
      </c>
      <c r="H288" s="3" t="n">
        <v>12401.0</v>
      </c>
      <c r="I288" s="3" t="n">
        <v>12509.0</v>
      </c>
      <c r="J288" s="3" t="n">
        <v>12668.0</v>
      </c>
      <c r="K288" s="3" t="n">
        <v>13088.0</v>
      </c>
      <c r="L288" s="3" t="n">
        <v>13146.0</v>
      </c>
      <c r="M288" s="3" t="n">
        <v>13293.0</v>
      </c>
      <c r="N288" s="3" t="n">
        <v>13044.0</v>
      </c>
      <c r="O288" s="3" t="n">
        <v>12337.0</v>
      </c>
      <c r="P288" s="3" t="n">
        <v>11688.0</v>
      </c>
      <c r="Q288" s="3" t="n">
        <v>10889.0</v>
      </c>
      <c r="R288" s="3" t="n">
        <v>10538.0</v>
      </c>
      <c r="S288" s="3" t="n">
        <v>10435.0</v>
      </c>
      <c r="T288" s="3" t="n">
        <v>9981.0</v>
      </c>
      <c r="U288" s="3" t="n">
        <v>9917.0</v>
      </c>
      <c r="V288" s="3" t="n">
        <v>9548.0</v>
      </c>
      <c r="W288" s="3" t="n">
        <v>9666.0</v>
      </c>
      <c r="X288" s="3" t="n">
        <v>9741.0</v>
      </c>
      <c r="Y288" s="3" t="n">
        <v>9977.0</v>
      </c>
      <c r="Z288" s="3" t="n">
        <v>10088.0</v>
      </c>
      <c r="AA288" s="3" t="n">
        <v>10639.0</v>
      </c>
      <c r="AB288" s="3" t="n">
        <v>10811.0</v>
      </c>
      <c r="AC288" s="3" t="n">
        <v>11289.0</v>
      </c>
      <c r="AD288" s="3" t="n">
        <v>11447.0</v>
      </c>
      <c r="AE288" s="3" t="n">
        <v>12060.0</v>
      </c>
      <c r="AF288" s="3" t="n">
        <v>12555.0</v>
      </c>
      <c r="AG288" s="3" t="n">
        <v>12016.0</v>
      </c>
      <c r="AH288" s="3" t="n">
        <v>12261.0</v>
      </c>
      <c r="AI288" s="3" t="n">
        <v>12504.0</v>
      </c>
      <c r="AJ288" s="3" t="n">
        <v>12644.0</v>
      </c>
      <c r="AK288" s="3" t="n">
        <v>12411.0</v>
      </c>
      <c r="AL288" s="3" t="n">
        <v>12932.0</v>
      </c>
      <c r="AM288" s="3" t="n">
        <v>13395.0</v>
      </c>
      <c r="AN288" s="3" t="n">
        <v>13008.0</v>
      </c>
      <c r="AO288" s="3" t="n">
        <v>12530.0</v>
      </c>
    </row>
    <row r="289" spans="1:41" x14ac:dyDescent="0.2">
      <c r="A289" s="128"/>
      <c r="B289" s="9">
        <v>76</v>
      </c>
      <c r="C289" s="3" t="n">
        <v>10086.0</v>
      </c>
      <c r="D289" s="3" t="n">
        <v>10547.0</v>
      </c>
      <c r="E289" s="3" t="n">
        <v>11123.0</v>
      </c>
      <c r="F289" s="3" t="n">
        <v>11615.0</v>
      </c>
      <c r="G289" s="3" t="n">
        <v>11938.0</v>
      </c>
      <c r="H289" s="3" t="n">
        <v>12009.0</v>
      </c>
      <c r="I289" s="3" t="n">
        <v>12065.0</v>
      </c>
      <c r="J289" s="3" t="n">
        <v>12171.0</v>
      </c>
      <c r="K289" s="3" t="n">
        <v>12334.0</v>
      </c>
      <c r="L289" s="3" t="n">
        <v>12744.0</v>
      </c>
      <c r="M289" s="3" t="n">
        <v>12800.0</v>
      </c>
      <c r="N289" s="3" t="n">
        <v>12946.0</v>
      </c>
      <c r="O289" s="3" t="n">
        <v>12700.0</v>
      </c>
      <c r="P289" s="3" t="n">
        <v>12015.0</v>
      </c>
      <c r="Q289" s="3" t="n">
        <v>11391.0</v>
      </c>
      <c r="R289" s="3" t="n">
        <v>10611.0</v>
      </c>
      <c r="S289" s="3" t="n">
        <v>10277.0</v>
      </c>
      <c r="T289" s="3" t="n">
        <v>10175.0</v>
      </c>
      <c r="U289" s="3" t="n">
        <v>9733.0</v>
      </c>
      <c r="V289" s="3" t="n">
        <v>9670.0</v>
      </c>
      <c r="W289" s="3" t="n">
        <v>9314.0</v>
      </c>
      <c r="X289" s="3" t="n">
        <v>9424.0</v>
      </c>
      <c r="Y289" s="3" t="n">
        <v>9503.0</v>
      </c>
      <c r="Z289" s="3" t="n">
        <v>9735.0</v>
      </c>
      <c r="AA289" s="3" t="n">
        <v>9840.0</v>
      </c>
      <c r="AB289" s="3" t="n">
        <v>10380.0</v>
      </c>
      <c r="AC289" s="3" t="n">
        <v>10552.0</v>
      </c>
      <c r="AD289" s="3" t="n">
        <v>11014.0</v>
      </c>
      <c r="AE289" s="3" t="n">
        <v>11172.0</v>
      </c>
      <c r="AF289" s="3" t="n">
        <v>11765.0</v>
      </c>
      <c r="AG289" s="3" t="n">
        <v>12251.0</v>
      </c>
      <c r="AH289" s="3" t="n">
        <v>11731.0</v>
      </c>
      <c r="AI289" s="3" t="n">
        <v>11971.0</v>
      </c>
      <c r="AJ289" s="3" t="n">
        <v>12205.0</v>
      </c>
      <c r="AK289" s="3" t="n">
        <v>12345.0</v>
      </c>
      <c r="AL289" s="3" t="n">
        <v>12121.0</v>
      </c>
      <c r="AM289" s="3" t="n">
        <v>12628.0</v>
      </c>
      <c r="AN289" s="3" t="n">
        <v>13081.0</v>
      </c>
      <c r="AO289" s="3" t="n">
        <v>12707.0</v>
      </c>
    </row>
    <row r="290" spans="1:41" x14ac:dyDescent="0.2">
      <c r="A290" s="128"/>
      <c r="B290" s="9">
        <v>77</v>
      </c>
      <c r="C290" s="3" t="n">
        <v>5889.0</v>
      </c>
      <c r="D290" s="3" t="n">
        <v>9772.0</v>
      </c>
      <c r="E290" s="3" t="n">
        <v>10225.0</v>
      </c>
      <c r="F290" s="3" t="n">
        <v>10782.0</v>
      </c>
      <c r="G290" s="3" t="n">
        <v>11265.0</v>
      </c>
      <c r="H290" s="3" t="n">
        <v>11584.0</v>
      </c>
      <c r="I290" s="3" t="n">
        <v>11654.0</v>
      </c>
      <c r="J290" s="3" t="n">
        <v>11710.0</v>
      </c>
      <c r="K290" s="3" t="n">
        <v>11820.0</v>
      </c>
      <c r="L290" s="3" t="n">
        <v>11976.0</v>
      </c>
      <c r="M290" s="3" t="n">
        <v>12372.0</v>
      </c>
      <c r="N290" s="3" t="n">
        <v>12431.0</v>
      </c>
      <c r="O290" s="3" t="n">
        <v>12575.0</v>
      </c>
      <c r="P290" s="3" t="n">
        <v>12337.0</v>
      </c>
      <c r="Q290" s="3" t="n">
        <v>11677.0</v>
      </c>
      <c r="R290" s="3" t="n">
        <v>11069.0</v>
      </c>
      <c r="S290" s="3" t="n">
        <v>10314.0</v>
      </c>
      <c r="T290" s="3" t="n">
        <v>9991.0</v>
      </c>
      <c r="U290" s="3" t="n">
        <v>9892.0</v>
      </c>
      <c r="V290" s="3" t="n">
        <v>9465.0</v>
      </c>
      <c r="W290" s="3" t="n">
        <v>9406.0</v>
      </c>
      <c r="X290" s="3" t="n">
        <v>9058.0</v>
      </c>
      <c r="Y290" s="3" t="n">
        <v>9170.0</v>
      </c>
      <c r="Z290" s="3" t="n">
        <v>9245.0</v>
      </c>
      <c r="AA290" s="3" t="n">
        <v>9472.0</v>
      </c>
      <c r="AB290" s="3" t="n">
        <v>9579.0</v>
      </c>
      <c r="AC290" s="3" t="n">
        <v>10105.0</v>
      </c>
      <c r="AD290" s="3" t="n">
        <v>10270.0</v>
      </c>
      <c r="AE290" s="3" t="n">
        <v>10723.0</v>
      </c>
      <c r="AF290" s="3" t="n">
        <v>10877.0</v>
      </c>
      <c r="AG290" s="3" t="n">
        <v>11454.0</v>
      </c>
      <c r="AH290" s="3" t="n">
        <v>11928.0</v>
      </c>
      <c r="AI290" s="3" t="n">
        <v>11420.0</v>
      </c>
      <c r="AJ290" s="3" t="n">
        <v>11661.0</v>
      </c>
      <c r="AK290" s="3" t="n">
        <v>11888.0</v>
      </c>
      <c r="AL290" s="3" t="n">
        <v>12025.0</v>
      </c>
      <c r="AM290" s="3" t="n">
        <v>11804.0</v>
      </c>
      <c r="AN290" s="3" t="n">
        <v>12299.0</v>
      </c>
      <c r="AO290" s="3" t="n">
        <v>12745.0</v>
      </c>
    </row>
    <row r="291" spans="1:41" x14ac:dyDescent="0.2">
      <c r="A291" s="128"/>
      <c r="B291" s="9">
        <v>78</v>
      </c>
      <c r="C291" s="3" t="n">
        <v>5737.0</v>
      </c>
      <c r="D291" s="3" t="n">
        <v>5690.0</v>
      </c>
      <c r="E291" s="3" t="n">
        <v>9448.0</v>
      </c>
      <c r="F291" s="3" t="n">
        <v>9890.0</v>
      </c>
      <c r="G291" s="3" t="n">
        <v>10433.0</v>
      </c>
      <c r="H291" s="3" t="n">
        <v>10903.0</v>
      </c>
      <c r="I291" s="3" t="n">
        <v>11216.0</v>
      </c>
      <c r="J291" s="3" t="n">
        <v>11287.0</v>
      </c>
      <c r="K291" s="3" t="n">
        <v>11350.0</v>
      </c>
      <c r="L291" s="3" t="n">
        <v>11460.0</v>
      </c>
      <c r="M291" s="3" t="n">
        <v>11608.0</v>
      </c>
      <c r="N291" s="3" t="n">
        <v>11996.0</v>
      </c>
      <c r="O291" s="3" t="n">
        <v>12055.0</v>
      </c>
      <c r="P291" s="3" t="n">
        <v>12199.0</v>
      </c>
      <c r="Q291" s="3" t="n">
        <v>11972.0</v>
      </c>
      <c r="R291" s="3" t="n">
        <v>11330.0</v>
      </c>
      <c r="S291" s="3" t="n">
        <v>10740.0</v>
      </c>
      <c r="T291" s="3" t="n">
        <v>10007.0</v>
      </c>
      <c r="U291" s="3" t="n">
        <v>9698.0</v>
      </c>
      <c r="V291" s="3" t="n">
        <v>9602.0</v>
      </c>
      <c r="W291" s="3" t="n">
        <v>9187.0</v>
      </c>
      <c r="X291" s="3" t="n">
        <v>9134.0</v>
      </c>
      <c r="Y291" s="3" t="n">
        <v>8799.0</v>
      </c>
      <c r="Z291" s="3" t="n">
        <v>8906.0</v>
      </c>
      <c r="AA291" s="3" t="n">
        <v>8979.0</v>
      </c>
      <c r="AB291" s="3" t="n">
        <v>9199.0</v>
      </c>
      <c r="AC291" s="3" t="n">
        <v>9304.0</v>
      </c>
      <c r="AD291" s="3" t="n">
        <v>9815.0</v>
      </c>
      <c r="AE291" s="3" t="n">
        <v>9980.0</v>
      </c>
      <c r="AF291" s="3" t="n">
        <v>10424.0</v>
      </c>
      <c r="AG291" s="3" t="n">
        <v>10572.0</v>
      </c>
      <c r="AH291" s="3" t="n">
        <v>11138.0</v>
      </c>
      <c r="AI291" s="3" t="n">
        <v>11599.0</v>
      </c>
      <c r="AJ291" s="3" t="n">
        <v>11105.0</v>
      </c>
      <c r="AK291" s="3" t="n">
        <v>11343.0</v>
      </c>
      <c r="AL291" s="3" t="n">
        <v>11561.0</v>
      </c>
      <c r="AM291" s="3" t="n">
        <v>11697.0</v>
      </c>
      <c r="AN291" s="3" t="n">
        <v>11483.0</v>
      </c>
      <c r="AO291" s="3" t="n">
        <v>11965.0</v>
      </c>
    </row>
    <row r="292" spans="1:41" x14ac:dyDescent="0.2">
      <c r="A292" s="128"/>
      <c r="B292" s="9">
        <v>79</v>
      </c>
      <c r="C292" s="3" t="n">
        <v>5858.0</v>
      </c>
      <c r="D292" s="3" t="n">
        <v>5521.0</v>
      </c>
      <c r="E292" s="3" t="n">
        <v>5477.0</v>
      </c>
      <c r="F292" s="3" t="n">
        <v>9093.0</v>
      </c>
      <c r="G292" s="3" t="n">
        <v>9527.0</v>
      </c>
      <c r="H292" s="3" t="n">
        <v>10054.0</v>
      </c>
      <c r="I292" s="3" t="n">
        <v>10512.0</v>
      </c>
      <c r="J292" s="3" t="n">
        <v>10819.0</v>
      </c>
      <c r="K292" s="3" t="n">
        <v>10891.0</v>
      </c>
      <c r="L292" s="3" t="n">
        <v>10955.0</v>
      </c>
      <c r="M292" s="3" t="n">
        <v>11061.0</v>
      </c>
      <c r="N292" s="3" t="n">
        <v>11208.0</v>
      </c>
      <c r="O292" s="3" t="n">
        <v>11584.0</v>
      </c>
      <c r="P292" s="3" t="n">
        <v>11639.0</v>
      </c>
      <c r="Q292" s="3" t="n">
        <v>11780.0</v>
      </c>
      <c r="R292" s="3" t="n">
        <v>11563.0</v>
      </c>
      <c r="S292" s="3" t="n">
        <v>10948.0</v>
      </c>
      <c r="T292" s="3" t="n">
        <v>10374.0</v>
      </c>
      <c r="U292" s="3" t="n">
        <v>9669.0</v>
      </c>
      <c r="V292" s="3" t="n">
        <v>9374.0</v>
      </c>
      <c r="W292" s="3" t="n">
        <v>9285.0</v>
      </c>
      <c r="X292" s="3" t="n">
        <v>8880.0</v>
      </c>
      <c r="Y292" s="3" t="n">
        <v>8833.0</v>
      </c>
      <c r="Z292" s="3" t="n">
        <v>8510.0</v>
      </c>
      <c r="AA292" s="3" t="n">
        <v>8617.0</v>
      </c>
      <c r="AB292" s="3" t="n">
        <v>8687.0</v>
      </c>
      <c r="AC292" s="3" t="n">
        <v>8895.0</v>
      </c>
      <c r="AD292" s="3" t="n">
        <v>8999.0</v>
      </c>
      <c r="AE292" s="3" t="n">
        <v>9494.0</v>
      </c>
      <c r="AF292" s="3" t="n">
        <v>9658.0</v>
      </c>
      <c r="AG292" s="3" t="n">
        <v>10091.0</v>
      </c>
      <c r="AH292" s="3" t="n">
        <v>10238.0</v>
      </c>
      <c r="AI292" s="3" t="n">
        <v>10779.0</v>
      </c>
      <c r="AJ292" s="3" t="n">
        <v>11231.0</v>
      </c>
      <c r="AK292" s="3" t="n">
        <v>10757.0</v>
      </c>
      <c r="AL292" s="3" t="n">
        <v>10985.0</v>
      </c>
      <c r="AM292" s="3" t="n">
        <v>11201.0</v>
      </c>
      <c r="AN292" s="3" t="n">
        <v>11331.0</v>
      </c>
      <c r="AO292" s="3" t="n">
        <v>11127.0</v>
      </c>
    </row>
    <row r="293" spans="1:41" x14ac:dyDescent="0.2">
      <c r="A293" s="128"/>
      <c r="B293" s="9">
        <v>80</v>
      </c>
      <c r="C293" s="3" t="n">
        <v>5672.0</v>
      </c>
      <c r="D293" s="3" t="n">
        <v>5612.0</v>
      </c>
      <c r="E293" s="3" t="n">
        <v>5291.0</v>
      </c>
      <c r="F293" s="3" t="n">
        <v>5253.0</v>
      </c>
      <c r="G293" s="3" t="n">
        <v>8724.0</v>
      </c>
      <c r="H293" s="3" t="n">
        <v>9142.0</v>
      </c>
      <c r="I293" s="3" t="n">
        <v>9654.0</v>
      </c>
      <c r="J293" s="3" t="n">
        <v>10094.0</v>
      </c>
      <c r="K293" s="3" t="n">
        <v>10395.0</v>
      </c>
      <c r="L293" s="3" t="n">
        <v>10472.0</v>
      </c>
      <c r="M293" s="3" t="n">
        <v>10536.0</v>
      </c>
      <c r="N293" s="3" t="n">
        <v>10642.0</v>
      </c>
      <c r="O293" s="3" t="n">
        <v>10783.0</v>
      </c>
      <c r="P293" s="3" t="n">
        <v>11143.0</v>
      </c>
      <c r="Q293" s="3" t="n">
        <v>11200.0</v>
      </c>
      <c r="R293" s="3" t="n">
        <v>11336.0</v>
      </c>
      <c r="S293" s="3" t="n">
        <v>11131.0</v>
      </c>
      <c r="T293" s="3" t="n">
        <v>10540.0</v>
      </c>
      <c r="U293" s="3" t="n">
        <v>9992.0</v>
      </c>
      <c r="V293" s="3" t="n">
        <v>9310.0</v>
      </c>
      <c r="W293" s="3" t="n">
        <v>9031.0</v>
      </c>
      <c r="X293" s="3" t="n">
        <v>8949.0</v>
      </c>
      <c r="Y293" s="3" t="n">
        <v>8559.0</v>
      </c>
      <c r="Z293" s="3" t="n">
        <v>8515.0</v>
      </c>
      <c r="AA293" s="3" t="n">
        <v>8202.0</v>
      </c>
      <c r="AB293" s="3" t="n">
        <v>8305.0</v>
      </c>
      <c r="AC293" s="3" t="n">
        <v>8373.0</v>
      </c>
      <c r="AD293" s="3" t="n">
        <v>8573.0</v>
      </c>
      <c r="AE293" s="3" t="n">
        <v>8677.0</v>
      </c>
      <c r="AF293" s="3" t="n">
        <v>9153.0</v>
      </c>
      <c r="AG293" s="3" t="n">
        <v>9312.0</v>
      </c>
      <c r="AH293" s="3" t="n">
        <v>9734.0</v>
      </c>
      <c r="AI293" s="3" t="n">
        <v>9875.0</v>
      </c>
      <c r="AJ293" s="3" t="n">
        <v>10401.0</v>
      </c>
      <c r="AK293" s="3" t="n">
        <v>10841.0</v>
      </c>
      <c r="AL293" s="3" t="n">
        <v>10384.0</v>
      </c>
      <c r="AM293" s="3" t="n">
        <v>10605.0</v>
      </c>
      <c r="AN293" s="3" t="n">
        <v>10809.0</v>
      </c>
      <c r="AO293" s="3" t="n">
        <v>10939.0</v>
      </c>
    </row>
    <row r="294" spans="1:41" x14ac:dyDescent="0.2">
      <c r="A294" s="128"/>
      <c r="B294" s="9">
        <v>81</v>
      </c>
      <c r="C294" s="3" t="n">
        <v>5667.0</v>
      </c>
      <c r="D294" s="3" t="n">
        <v>5405.0</v>
      </c>
      <c r="E294" s="3" t="n">
        <v>5350.0</v>
      </c>
      <c r="F294" s="3" t="n">
        <v>5050.0</v>
      </c>
      <c r="G294" s="3" t="n">
        <v>5019.0</v>
      </c>
      <c r="H294" s="3" t="n">
        <v>8337.0</v>
      </c>
      <c r="I294" s="3" t="n">
        <v>8734.0</v>
      </c>
      <c r="J294" s="3" t="n">
        <v>9225.0</v>
      </c>
      <c r="K294" s="3" t="n">
        <v>9650.0</v>
      </c>
      <c r="L294" s="3" t="n">
        <v>9946.0</v>
      </c>
      <c r="M294" s="3" t="n">
        <v>10019.0</v>
      </c>
      <c r="N294" s="3" t="n">
        <v>10083.0</v>
      </c>
      <c r="O294" s="3" t="n">
        <v>10190.0</v>
      </c>
      <c r="P294" s="3" t="n">
        <v>10326.0</v>
      </c>
      <c r="Q294" s="3" t="n">
        <v>10676.0</v>
      </c>
      <c r="R294" s="3" t="n">
        <v>10728.0</v>
      </c>
      <c r="S294" s="3" t="n">
        <v>10861.0</v>
      </c>
      <c r="T294" s="3" t="n">
        <v>10669.0</v>
      </c>
      <c r="U294" s="3" t="n">
        <v>10106.0</v>
      </c>
      <c r="V294" s="3" t="n">
        <v>9576.0</v>
      </c>
      <c r="W294" s="3" t="n">
        <v>8928.0</v>
      </c>
      <c r="X294" s="3" t="n">
        <v>8658.0</v>
      </c>
      <c r="Y294" s="3" t="n">
        <v>8587.0</v>
      </c>
      <c r="Z294" s="3" t="n">
        <v>8212.0</v>
      </c>
      <c r="AA294" s="3" t="n">
        <v>8166.0</v>
      </c>
      <c r="AB294" s="3" t="n">
        <v>7873.0</v>
      </c>
      <c r="AC294" s="3" t="n">
        <v>7971.0</v>
      </c>
      <c r="AD294" s="3" t="n">
        <v>8034.0</v>
      </c>
      <c r="AE294" s="3" t="n">
        <v>8231.0</v>
      </c>
      <c r="AF294" s="3" t="n">
        <v>8333.0</v>
      </c>
      <c r="AG294" s="3" t="n">
        <v>8788.0</v>
      </c>
      <c r="AH294" s="3" t="n">
        <v>8944.0</v>
      </c>
      <c r="AI294" s="3" t="n">
        <v>9344.0</v>
      </c>
      <c r="AJ294" s="3" t="n">
        <v>9487.0</v>
      </c>
      <c r="AK294" s="3" t="n">
        <v>9996.0</v>
      </c>
      <c r="AL294" s="3" t="n">
        <v>10418.0</v>
      </c>
      <c r="AM294" s="3" t="n">
        <v>9981.0</v>
      </c>
      <c r="AN294" s="3" t="n">
        <v>10194.0</v>
      </c>
      <c r="AO294" s="3" t="n">
        <v>10394.0</v>
      </c>
    </row>
    <row r="295" spans="1:41" x14ac:dyDescent="0.2">
      <c r="A295" s="128"/>
      <c r="B295" s="9">
        <v>82</v>
      </c>
      <c r="C295" s="3" t="n">
        <v>5415.0</v>
      </c>
      <c r="D295" s="3" t="n">
        <v>5359.0</v>
      </c>
      <c r="E295" s="3" t="n">
        <v>5113.0</v>
      </c>
      <c r="F295" s="3" t="n">
        <v>5066.0</v>
      </c>
      <c r="G295" s="3" t="n">
        <v>4787.0</v>
      </c>
      <c r="H295" s="3" t="n">
        <v>4752.0</v>
      </c>
      <c r="I295" s="3" t="n">
        <v>7900.0</v>
      </c>
      <c r="J295" s="3" t="n">
        <v>8285.0</v>
      </c>
      <c r="K295" s="3" t="n">
        <v>8751.0</v>
      </c>
      <c r="L295" s="3" t="n">
        <v>9158.0</v>
      </c>
      <c r="M295" s="3" t="n">
        <v>9444.0</v>
      </c>
      <c r="N295" s="3" t="n">
        <v>9514.0</v>
      </c>
      <c r="O295" s="3" t="n">
        <v>9585.0</v>
      </c>
      <c r="P295" s="3" t="n">
        <v>9684.0</v>
      </c>
      <c r="Q295" s="3" t="n">
        <v>9819.0</v>
      </c>
      <c r="R295" s="3" t="n">
        <v>10151.0</v>
      </c>
      <c r="S295" s="3" t="n">
        <v>10202.0</v>
      </c>
      <c r="T295" s="3" t="n">
        <v>10331.0</v>
      </c>
      <c r="U295" s="3" t="n">
        <v>10158.0</v>
      </c>
      <c r="V295" s="3" t="n">
        <v>9621.0</v>
      </c>
      <c r="W295" s="3" t="n">
        <v>9120.0</v>
      </c>
      <c r="X295" s="3" t="n">
        <v>8504.0</v>
      </c>
      <c r="Y295" s="3" t="n">
        <v>8248.0</v>
      </c>
      <c r="Z295" s="3" t="n">
        <v>8183.0</v>
      </c>
      <c r="AA295" s="3" t="n">
        <v>7825.0</v>
      </c>
      <c r="AB295" s="3" t="n">
        <v>7783.0</v>
      </c>
      <c r="AC295" s="3" t="n">
        <v>7502.0</v>
      </c>
      <c r="AD295" s="3" t="n">
        <v>7599.0</v>
      </c>
      <c r="AE295" s="3" t="n">
        <v>7661.0</v>
      </c>
      <c r="AF295" s="3" t="n">
        <v>7851.0</v>
      </c>
      <c r="AG295" s="3" t="n">
        <v>7947.0</v>
      </c>
      <c r="AH295" s="3" t="n">
        <v>8388.0</v>
      </c>
      <c r="AI295" s="3" t="n">
        <v>8532.0</v>
      </c>
      <c r="AJ295" s="3" t="n">
        <v>8916.0</v>
      </c>
      <c r="AK295" s="3" t="n">
        <v>9056.0</v>
      </c>
      <c r="AL295" s="3" t="n">
        <v>9541.0</v>
      </c>
      <c r="AM295" s="3" t="n">
        <v>9942.0</v>
      </c>
      <c r="AN295" s="3" t="n">
        <v>9531.0</v>
      </c>
      <c r="AO295" s="3" t="n">
        <v>9736.0</v>
      </c>
    </row>
    <row r="296" spans="1:41" x14ac:dyDescent="0.2">
      <c r="A296" s="128"/>
      <c r="B296" s="9">
        <v>83</v>
      </c>
      <c r="C296" s="3" t="n">
        <v>5169.0</v>
      </c>
      <c r="D296" s="3" t="n">
        <v>5072.0</v>
      </c>
      <c r="E296" s="3" t="n">
        <v>5023.0</v>
      </c>
      <c r="F296" s="3" t="n">
        <v>4797.0</v>
      </c>
      <c r="G296" s="3" t="n">
        <v>4754.0</v>
      </c>
      <c r="H296" s="3" t="n">
        <v>4495.0</v>
      </c>
      <c r="I296" s="3" t="n">
        <v>4469.0</v>
      </c>
      <c r="J296" s="3" t="n">
        <v>7423.0</v>
      </c>
      <c r="K296" s="3" t="n">
        <v>7789.0</v>
      </c>
      <c r="L296" s="3" t="n">
        <v>8233.0</v>
      </c>
      <c r="M296" s="3" t="n">
        <v>8614.0</v>
      </c>
      <c r="N296" s="3" t="n">
        <v>8895.0</v>
      </c>
      <c r="O296" s="3" t="n">
        <v>8965.0</v>
      </c>
      <c r="P296" s="3" t="n">
        <v>9030.0</v>
      </c>
      <c r="Q296" s="3" t="n">
        <v>9127.0</v>
      </c>
      <c r="R296" s="3" t="n">
        <v>9252.0</v>
      </c>
      <c r="S296" s="3" t="n">
        <v>9575.0</v>
      </c>
      <c r="T296" s="3" t="n">
        <v>9623.0</v>
      </c>
      <c r="U296" s="3" t="n">
        <v>9750.0</v>
      </c>
      <c r="V296" s="3" t="n">
        <v>9586.0</v>
      </c>
      <c r="W296" s="3" t="n">
        <v>9082.0</v>
      </c>
      <c r="X296" s="3" t="n">
        <v>8604.0</v>
      </c>
      <c r="Y296" s="3" t="n">
        <v>8032.0</v>
      </c>
      <c r="Z296" s="3" t="n">
        <v>7788.0</v>
      </c>
      <c r="AA296" s="3" t="n">
        <v>7724.0</v>
      </c>
      <c r="AB296" s="3" t="n">
        <v>7395.0</v>
      </c>
      <c r="AC296" s="3" t="n">
        <v>7357.0</v>
      </c>
      <c r="AD296" s="3" t="n">
        <v>7091.0</v>
      </c>
      <c r="AE296" s="3" t="n">
        <v>7185.0</v>
      </c>
      <c r="AF296" s="3" t="n">
        <v>7241.0</v>
      </c>
      <c r="AG296" s="3" t="n">
        <v>7427.0</v>
      </c>
      <c r="AH296" s="3" t="n">
        <v>7519.0</v>
      </c>
      <c r="AI296" s="3" t="n">
        <v>7934.0</v>
      </c>
      <c r="AJ296" s="3" t="n">
        <v>8071.0</v>
      </c>
      <c r="AK296" s="3" t="n">
        <v>8437.0</v>
      </c>
      <c r="AL296" s="3" t="n">
        <v>8576.0</v>
      </c>
      <c r="AM296" s="3" t="n">
        <v>9031.0</v>
      </c>
      <c r="AN296" s="3" t="n">
        <v>9410.0</v>
      </c>
      <c r="AO296" s="3" t="n">
        <v>9032.0</v>
      </c>
    </row>
    <row r="297" spans="1:41" x14ac:dyDescent="0.2">
      <c r="A297" s="128"/>
      <c r="B297" s="9">
        <v>84</v>
      </c>
      <c r="C297" s="3" t="n">
        <v>4925.0</v>
      </c>
      <c r="D297" s="3" t="n">
        <v>4790.0</v>
      </c>
      <c r="E297" s="3" t="n">
        <v>4705.0</v>
      </c>
      <c r="F297" s="3" t="n">
        <v>4667.0</v>
      </c>
      <c r="G297" s="3" t="n">
        <v>4457.0</v>
      </c>
      <c r="H297" s="3" t="n">
        <v>4426.0</v>
      </c>
      <c r="I297" s="3" t="n">
        <v>4185.0</v>
      </c>
      <c r="J297" s="3" t="n">
        <v>4162.0</v>
      </c>
      <c r="K297" s="3" t="n">
        <v>6918.0</v>
      </c>
      <c r="L297" s="3" t="n">
        <v>7255.0</v>
      </c>
      <c r="M297" s="3" t="n">
        <v>7675.0</v>
      </c>
      <c r="N297" s="3" t="n">
        <v>8039.0</v>
      </c>
      <c r="O297" s="3" t="n">
        <v>8307.0</v>
      </c>
      <c r="P297" s="3" t="n">
        <v>8371.0</v>
      </c>
      <c r="Q297" s="3" t="n">
        <v>8439.0</v>
      </c>
      <c r="R297" s="3" t="n">
        <v>8528.0</v>
      </c>
      <c r="S297" s="3" t="n">
        <v>8650.0</v>
      </c>
      <c r="T297" s="3" t="n">
        <v>8953.0</v>
      </c>
      <c r="U297" s="3" t="n">
        <v>8999.0</v>
      </c>
      <c r="V297" s="3" t="n">
        <v>9116.0</v>
      </c>
      <c r="W297" s="3" t="n">
        <v>8968.0</v>
      </c>
      <c r="X297" s="3" t="n">
        <v>8502.0</v>
      </c>
      <c r="Y297" s="3" t="n">
        <v>8062.0</v>
      </c>
      <c r="Z297" s="3" t="n">
        <v>7530.0</v>
      </c>
      <c r="AA297" s="3" t="n">
        <v>7299.0</v>
      </c>
      <c r="AB297" s="3" t="n">
        <v>7247.0</v>
      </c>
      <c r="AC297" s="3" t="n">
        <v>6934.0</v>
      </c>
      <c r="AD297" s="3" t="n">
        <v>6894.0</v>
      </c>
      <c r="AE297" s="3" t="n">
        <v>6651.0</v>
      </c>
      <c r="AF297" s="3" t="n">
        <v>6738.0</v>
      </c>
      <c r="AG297" s="3" t="n">
        <v>6792.0</v>
      </c>
      <c r="AH297" s="3" t="n">
        <v>6972.0</v>
      </c>
      <c r="AI297" s="3" t="n">
        <v>7060.0</v>
      </c>
      <c r="AJ297" s="3" t="n">
        <v>7450.0</v>
      </c>
      <c r="AK297" s="3" t="n">
        <v>7584.0</v>
      </c>
      <c r="AL297" s="3" t="n">
        <v>7925.0</v>
      </c>
      <c r="AM297" s="3" t="n">
        <v>8055.0</v>
      </c>
      <c r="AN297" s="3" t="n">
        <v>8478.0</v>
      </c>
      <c r="AO297" s="3" t="n">
        <v>8837.0</v>
      </c>
    </row>
    <row r="298" spans="1:41" x14ac:dyDescent="0.2">
      <c r="A298" s="128"/>
      <c r="B298" s="9">
        <v>85</v>
      </c>
      <c r="C298" s="3" t="n">
        <v>4604.0</v>
      </c>
      <c r="D298" s="3" t="n">
        <v>4515.0</v>
      </c>
      <c r="E298" s="3" t="n">
        <v>4392.0</v>
      </c>
      <c r="F298" s="3" t="n">
        <v>4318.0</v>
      </c>
      <c r="G298" s="3" t="n">
        <v>4285.0</v>
      </c>
      <c r="H298" s="3" t="n">
        <v>4098.0</v>
      </c>
      <c r="I298" s="3" t="n">
        <v>4069.0</v>
      </c>
      <c r="J298" s="3" t="n">
        <v>3852.0</v>
      </c>
      <c r="K298" s="3" t="n">
        <v>3834.0</v>
      </c>
      <c r="L298" s="3" t="n">
        <v>6378.0</v>
      </c>
      <c r="M298" s="3" t="n">
        <v>6688.0</v>
      </c>
      <c r="N298" s="3" t="n">
        <v>7076.0</v>
      </c>
      <c r="O298" s="3" t="n">
        <v>7420.0</v>
      </c>
      <c r="P298" s="3" t="n">
        <v>7671.0</v>
      </c>
      <c r="Q298" s="3" t="n">
        <v>7736.0</v>
      </c>
      <c r="R298" s="3" t="n">
        <v>7805.0</v>
      </c>
      <c r="S298" s="3" t="n">
        <v>7892.0</v>
      </c>
      <c r="T298" s="3" t="n">
        <v>8005.0</v>
      </c>
      <c r="U298" s="3" t="n">
        <v>8291.0</v>
      </c>
      <c r="V298" s="3" t="n">
        <v>8332.0</v>
      </c>
      <c r="W298" s="3" t="n">
        <v>8445.0</v>
      </c>
      <c r="X298" s="3" t="n">
        <v>8305.0</v>
      </c>
      <c r="Y298" s="3" t="n">
        <v>7883.0</v>
      </c>
      <c r="Z298" s="3" t="n">
        <v>7476.0</v>
      </c>
      <c r="AA298" s="3" t="n">
        <v>6981.0</v>
      </c>
      <c r="AB298" s="3" t="n">
        <v>6770.0</v>
      </c>
      <c r="AC298" s="3" t="n">
        <v>6722.0</v>
      </c>
      <c r="AD298" s="3" t="n">
        <v>6433.0</v>
      </c>
      <c r="AE298" s="3" t="n">
        <v>6398.0</v>
      </c>
      <c r="AF298" s="3" t="n">
        <v>6174.0</v>
      </c>
      <c r="AG298" s="3" t="n">
        <v>6257.0</v>
      </c>
      <c r="AH298" s="3" t="n">
        <v>6311.0</v>
      </c>
      <c r="AI298" s="3" t="n">
        <v>6475.0</v>
      </c>
      <c r="AJ298" s="3" t="n">
        <v>6562.0</v>
      </c>
      <c r="AK298" s="3" t="n">
        <v>6926.0</v>
      </c>
      <c r="AL298" s="3" t="n">
        <v>7052.0</v>
      </c>
      <c r="AM298" s="3" t="n">
        <v>7368.0</v>
      </c>
      <c r="AN298" s="3" t="n">
        <v>7491.0</v>
      </c>
      <c r="AO298" s="3" t="n">
        <v>7890.0</v>
      </c>
    </row>
    <row r="299" spans="1:41" x14ac:dyDescent="0.2">
      <c r="A299" s="128"/>
      <c r="B299" s="9">
        <v>86</v>
      </c>
      <c r="C299" s="3" t="n">
        <v>4122.0</v>
      </c>
      <c r="D299" s="3" t="n">
        <v>4185.0</v>
      </c>
      <c r="E299" s="3" t="n">
        <v>4106.0</v>
      </c>
      <c r="F299" s="3" t="n">
        <v>3998.0</v>
      </c>
      <c r="G299" s="3" t="n">
        <v>3937.0</v>
      </c>
      <c r="H299" s="3" t="n">
        <v>3914.0</v>
      </c>
      <c r="I299" s="3" t="n">
        <v>3741.0</v>
      </c>
      <c r="J299" s="3" t="n">
        <v>3713.0</v>
      </c>
      <c r="K299" s="3" t="n">
        <v>3522.0</v>
      </c>
      <c r="L299" s="3" t="n">
        <v>3509.0</v>
      </c>
      <c r="M299" s="3" t="n">
        <v>5828.0</v>
      </c>
      <c r="N299" s="3" t="n">
        <v>6112.0</v>
      </c>
      <c r="O299" s="3" t="n">
        <v>6473.0</v>
      </c>
      <c r="P299" s="3" t="n">
        <v>6788.0</v>
      </c>
      <c r="Q299" s="3" t="n">
        <v>7024.0</v>
      </c>
      <c r="R299" s="3" t="n">
        <v>7087.0</v>
      </c>
      <c r="S299" s="3" t="n">
        <v>7156.0</v>
      </c>
      <c r="T299" s="3" t="n">
        <v>7235.0</v>
      </c>
      <c r="U299" s="3" t="n">
        <v>7341.0</v>
      </c>
      <c r="V299" s="3" t="n">
        <v>7602.0</v>
      </c>
      <c r="W299" s="3" t="n">
        <v>7648.0</v>
      </c>
      <c r="X299" s="3" t="n">
        <v>7748.0</v>
      </c>
      <c r="Y299" s="3" t="n">
        <v>7630.0</v>
      </c>
      <c r="Z299" s="3" t="n">
        <v>7242.0</v>
      </c>
      <c r="AA299" s="3" t="n">
        <v>6867.0</v>
      </c>
      <c r="AB299" s="3" t="n">
        <v>6420.0</v>
      </c>
      <c r="AC299" s="3" t="n">
        <v>6224.0</v>
      </c>
      <c r="AD299" s="3" t="n">
        <v>6183.0</v>
      </c>
      <c r="AE299" s="3" t="n">
        <v>5927.0</v>
      </c>
      <c r="AF299" s="3" t="n">
        <v>5893.0</v>
      </c>
      <c r="AG299" s="3" t="n">
        <v>5687.0</v>
      </c>
      <c r="AH299" s="3" t="n">
        <v>5766.0</v>
      </c>
      <c r="AI299" s="3" t="n">
        <v>5820.0</v>
      </c>
      <c r="AJ299" s="3" t="n">
        <v>5968.0</v>
      </c>
      <c r="AK299" s="3" t="n">
        <v>6049.0</v>
      </c>
      <c r="AL299" s="3" t="n">
        <v>6390.0</v>
      </c>
      <c r="AM299" s="3" t="n">
        <v>6503.0</v>
      </c>
      <c r="AN299" s="3" t="n">
        <v>6796.0</v>
      </c>
      <c r="AO299" s="3" t="n">
        <v>6916.0</v>
      </c>
    </row>
    <row r="300" spans="1:41" x14ac:dyDescent="0.2">
      <c r="A300" s="128"/>
      <c r="B300" s="9">
        <v>87</v>
      </c>
      <c r="C300" s="3" t="n">
        <v>3809.0</v>
      </c>
      <c r="D300" s="3" t="n">
        <v>3696.0</v>
      </c>
      <c r="E300" s="3" t="n">
        <v>3755.0</v>
      </c>
      <c r="F300" s="3" t="n">
        <v>3687.0</v>
      </c>
      <c r="G300" s="3" t="n">
        <v>3591.0</v>
      </c>
      <c r="H300" s="3" t="n">
        <v>3546.0</v>
      </c>
      <c r="I300" s="3" t="n">
        <v>3522.0</v>
      </c>
      <c r="J300" s="3" t="n">
        <v>3371.0</v>
      </c>
      <c r="K300" s="3" t="n">
        <v>3348.0</v>
      </c>
      <c r="L300" s="3" t="n">
        <v>3181.0</v>
      </c>
      <c r="M300" s="3" t="n">
        <v>3166.0</v>
      </c>
      <c r="N300" s="3" t="n">
        <v>5263.0</v>
      </c>
      <c r="O300" s="3" t="n">
        <v>5516.0</v>
      </c>
      <c r="P300" s="3" t="n">
        <v>5847.0</v>
      </c>
      <c r="Q300" s="3" t="n">
        <v>6139.0</v>
      </c>
      <c r="R300" s="3" t="n">
        <v>6351.0</v>
      </c>
      <c r="S300" s="3" t="n">
        <v>6417.0</v>
      </c>
      <c r="T300" s="3" t="n">
        <v>6479.0</v>
      </c>
      <c r="U300" s="3" t="n">
        <v>6558.0</v>
      </c>
      <c r="V300" s="3" t="n">
        <v>6654.0</v>
      </c>
      <c r="W300" s="3" t="n">
        <v>6901.0</v>
      </c>
      <c r="X300" s="3" t="n">
        <v>6941.0</v>
      </c>
      <c r="Y300" s="3" t="n">
        <v>7035.0</v>
      </c>
      <c r="Z300" s="3" t="n">
        <v>6930.0</v>
      </c>
      <c r="AA300" s="3" t="n">
        <v>6576.0</v>
      </c>
      <c r="AB300" s="3" t="n">
        <v>6243.0</v>
      </c>
      <c r="AC300" s="3" t="n">
        <v>5836.0</v>
      </c>
      <c r="AD300" s="3" t="n">
        <v>5657.0</v>
      </c>
      <c r="AE300" s="3" t="n">
        <v>5627.0</v>
      </c>
      <c r="AF300" s="3" t="n">
        <v>5395.0</v>
      </c>
      <c r="AG300" s="3" t="n">
        <v>5364.0</v>
      </c>
      <c r="AH300" s="3" t="n">
        <v>5180.0</v>
      </c>
      <c r="AI300" s="3" t="n">
        <v>5254.0</v>
      </c>
      <c r="AJ300" s="3" t="n">
        <v>5300.0</v>
      </c>
      <c r="AK300" s="3" t="n">
        <v>5442.0</v>
      </c>
      <c r="AL300" s="3" t="n">
        <v>5516.0</v>
      </c>
      <c r="AM300" s="3" t="n">
        <v>5824.0</v>
      </c>
      <c r="AN300" s="3" t="n">
        <v>5931.0</v>
      </c>
      <c r="AO300" s="3" t="n">
        <v>6201.0</v>
      </c>
    </row>
    <row r="301" spans="1:41" x14ac:dyDescent="0.2">
      <c r="A301" s="128"/>
      <c r="B301" s="9">
        <v>88</v>
      </c>
      <c r="C301" s="3" t="n">
        <v>3212.0</v>
      </c>
      <c r="D301" s="3" t="n">
        <v>3367.0</v>
      </c>
      <c r="E301" s="3" t="n">
        <v>3271.0</v>
      </c>
      <c r="F301" s="3" t="n">
        <v>3331.0</v>
      </c>
      <c r="G301" s="3" t="n">
        <v>3270.0</v>
      </c>
      <c r="H301" s="3" t="n">
        <v>3187.0</v>
      </c>
      <c r="I301" s="3" t="n">
        <v>3150.0</v>
      </c>
      <c r="J301" s="3" t="n">
        <v>3131.0</v>
      </c>
      <c r="K301" s="3" t="n">
        <v>2997.0</v>
      </c>
      <c r="L301" s="3" t="n">
        <v>2980.0</v>
      </c>
      <c r="M301" s="3" t="n">
        <v>2832.0</v>
      </c>
      <c r="N301" s="3" t="n">
        <v>2826.0</v>
      </c>
      <c r="O301" s="3" t="n">
        <v>4698.0</v>
      </c>
      <c r="P301" s="3" t="n">
        <v>4926.0</v>
      </c>
      <c r="Q301" s="3" t="n">
        <v>5226.0</v>
      </c>
      <c r="R301" s="3" t="n">
        <v>5489.0</v>
      </c>
      <c r="S301" s="3" t="n">
        <v>5682.0</v>
      </c>
      <c r="T301" s="3" t="n">
        <v>5746.0</v>
      </c>
      <c r="U301" s="3" t="n">
        <v>5810.0</v>
      </c>
      <c r="V301" s="3" t="n">
        <v>5881.0</v>
      </c>
      <c r="W301" s="3" t="n">
        <v>5968.0</v>
      </c>
      <c r="X301" s="3" t="n">
        <v>6190.0</v>
      </c>
      <c r="Y301" s="3" t="n">
        <v>6236.0</v>
      </c>
      <c r="Z301" s="3" t="n">
        <v>6320.0</v>
      </c>
      <c r="AA301" s="3" t="n">
        <v>6224.0</v>
      </c>
      <c r="AB301" s="3" t="n">
        <v>5916.0</v>
      </c>
      <c r="AC301" s="3" t="n">
        <v>5613.0</v>
      </c>
      <c r="AD301" s="3" t="n">
        <v>5246.0</v>
      </c>
      <c r="AE301" s="3" t="n">
        <v>5093.0</v>
      </c>
      <c r="AF301" s="3" t="n">
        <v>5064.0</v>
      </c>
      <c r="AG301" s="3" t="n">
        <v>4858.0</v>
      </c>
      <c r="AH301" s="3" t="n">
        <v>4832.0</v>
      </c>
      <c r="AI301" s="3" t="n">
        <v>4670.0</v>
      </c>
      <c r="AJ301" s="3" t="n">
        <v>4733.0</v>
      </c>
      <c r="AK301" s="3" t="n">
        <v>4780.0</v>
      </c>
      <c r="AL301" s="3" t="n">
        <v>4905.0</v>
      </c>
      <c r="AM301" s="3" t="n">
        <v>4975.0</v>
      </c>
      <c r="AN301" s="3" t="n">
        <v>5254.0</v>
      </c>
      <c r="AO301" s="3" t="n">
        <v>5357.0</v>
      </c>
    </row>
    <row r="302" spans="1:41" x14ac:dyDescent="0.2">
      <c r="A302" s="128"/>
      <c r="B302" s="9">
        <v>89</v>
      </c>
      <c r="C302" s="3" t="n">
        <v>2734.0</v>
      </c>
      <c r="D302" s="3" t="n">
        <v>2811.0</v>
      </c>
      <c r="E302" s="3" t="n">
        <v>2944.0</v>
      </c>
      <c r="F302" s="3" t="n">
        <v>2866.0</v>
      </c>
      <c r="G302" s="3" t="n">
        <v>2924.0</v>
      </c>
      <c r="H302" s="3" t="n">
        <v>2870.0</v>
      </c>
      <c r="I302" s="3" t="n">
        <v>2798.0</v>
      </c>
      <c r="J302" s="3" t="n">
        <v>2770.0</v>
      </c>
      <c r="K302" s="3" t="n">
        <v>2752.0</v>
      </c>
      <c r="L302" s="3" t="n">
        <v>2640.0</v>
      </c>
      <c r="M302" s="3" t="n">
        <v>2623.0</v>
      </c>
      <c r="N302" s="3" t="n">
        <v>2497.0</v>
      </c>
      <c r="O302" s="3" t="n">
        <v>2499.0</v>
      </c>
      <c r="P302" s="3" t="n">
        <v>4149.0</v>
      </c>
      <c r="Q302" s="3" t="n">
        <v>4354.0</v>
      </c>
      <c r="R302" s="3" t="n">
        <v>4623.0</v>
      </c>
      <c r="S302" s="3" t="n">
        <v>4862.0</v>
      </c>
      <c r="T302" s="3" t="n">
        <v>5031.0</v>
      </c>
      <c r="U302" s="3" t="n">
        <v>5095.0</v>
      </c>
      <c r="V302" s="3" t="n">
        <v>5153.0</v>
      </c>
      <c r="W302" s="3" t="n">
        <v>5220.0</v>
      </c>
      <c r="X302" s="3" t="n">
        <v>5298.0</v>
      </c>
      <c r="Y302" s="3" t="n">
        <v>5503.0</v>
      </c>
      <c r="Z302" s="3" t="n">
        <v>5545.0</v>
      </c>
      <c r="AA302" s="3" t="n">
        <v>5618.0</v>
      </c>
      <c r="AB302" s="3" t="n">
        <v>5537.0</v>
      </c>
      <c r="AC302" s="3" t="n">
        <v>5269.0</v>
      </c>
      <c r="AD302" s="3" t="n">
        <v>4999.0</v>
      </c>
      <c r="AE302" s="3" t="n">
        <v>4671.0</v>
      </c>
      <c r="AF302" s="3" t="n">
        <v>4539.0</v>
      </c>
      <c r="AG302" s="3" t="n">
        <v>4512.0</v>
      </c>
      <c r="AH302" s="3" t="n">
        <v>4335.0</v>
      </c>
      <c r="AI302" s="3" t="n">
        <v>4310.0</v>
      </c>
      <c r="AJ302" s="3" t="n">
        <v>4167.0</v>
      </c>
      <c r="AK302" s="3" t="n">
        <v>4225.0</v>
      </c>
      <c r="AL302" s="3" t="n">
        <v>4266.0</v>
      </c>
      <c r="AM302" s="3" t="n">
        <v>4383.0</v>
      </c>
      <c r="AN302" s="3" t="n">
        <v>4442.0</v>
      </c>
      <c r="AO302" s="3" t="n">
        <v>4700.0</v>
      </c>
    </row>
    <row r="303" spans="1:41" x14ac:dyDescent="0.2">
      <c r="A303" s="128"/>
      <c r="B303" s="9">
        <v>90</v>
      </c>
      <c r="C303" s="3" t="n">
        <v>2401.0</v>
      </c>
      <c r="D303" s="3" t="n">
        <v>2357.0</v>
      </c>
      <c r="E303" s="3" t="n">
        <v>2424.0</v>
      </c>
      <c r="F303" s="3" t="n">
        <v>2544.0</v>
      </c>
      <c r="G303" s="3" t="n">
        <v>2480.0</v>
      </c>
      <c r="H303" s="3" t="n">
        <v>2537.0</v>
      </c>
      <c r="I303" s="3" t="n">
        <v>2488.0</v>
      </c>
      <c r="J303" s="3" t="n">
        <v>2427.0</v>
      </c>
      <c r="K303" s="3" t="n">
        <v>2408.0</v>
      </c>
      <c r="L303" s="3" t="n">
        <v>2392.0</v>
      </c>
      <c r="M303" s="3" t="n">
        <v>2294.0</v>
      </c>
      <c r="N303" s="3" t="n">
        <v>2279.0</v>
      </c>
      <c r="O303" s="3" t="n">
        <v>2174.0</v>
      </c>
      <c r="P303" s="3" t="n">
        <v>2178.0</v>
      </c>
      <c r="Q303" s="3" t="n">
        <v>3620.0</v>
      </c>
      <c r="R303" s="3" t="n">
        <v>3797.0</v>
      </c>
      <c r="S303" s="3" t="n">
        <v>4038.0</v>
      </c>
      <c r="T303" s="3" t="n">
        <v>4251.0</v>
      </c>
      <c r="U303" s="3" t="n">
        <v>4399.0</v>
      </c>
      <c r="V303" s="3" t="n">
        <v>4458.0</v>
      </c>
      <c r="W303" s="3" t="n">
        <v>4514.0</v>
      </c>
      <c r="X303" s="3" t="n">
        <v>4569.0</v>
      </c>
      <c r="Y303" s="3" t="n">
        <v>4647.0</v>
      </c>
      <c r="Z303" s="3" t="n">
        <v>4828.0</v>
      </c>
      <c r="AA303" s="3" t="n">
        <v>4864.0</v>
      </c>
      <c r="AB303" s="3" t="n">
        <v>4936.0</v>
      </c>
      <c r="AC303" s="3" t="n">
        <v>4860.0</v>
      </c>
      <c r="AD303" s="3" t="n">
        <v>4627.0</v>
      </c>
      <c r="AE303" s="3" t="n">
        <v>4396.0</v>
      </c>
      <c r="AF303" s="3" t="n">
        <v>4109.0</v>
      </c>
      <c r="AG303" s="3" t="n">
        <v>3990.0</v>
      </c>
      <c r="AH303" s="3" t="n">
        <v>3974.0</v>
      </c>
      <c r="AI303" s="3" t="n">
        <v>3816.0</v>
      </c>
      <c r="AJ303" s="3" t="n">
        <v>3800.0</v>
      </c>
      <c r="AK303" s="3" t="n">
        <v>3672.0</v>
      </c>
      <c r="AL303" s="3" t="n">
        <v>3729.0</v>
      </c>
      <c r="AM303" s="3" t="n">
        <v>3761.0</v>
      </c>
      <c r="AN303" s="3" t="n">
        <v>3864.0</v>
      </c>
      <c r="AO303" s="3" t="n">
        <v>3922.0</v>
      </c>
    </row>
    <row r="304" spans="1:41" x14ac:dyDescent="0.2">
      <c r="A304" s="128"/>
      <c r="B304" s="9">
        <v>91</v>
      </c>
      <c r="C304" s="3" t="n">
        <v>1980.0</v>
      </c>
      <c r="D304" s="3" t="n">
        <v>2036.0</v>
      </c>
      <c r="E304" s="3" t="n">
        <v>2000.0</v>
      </c>
      <c r="F304" s="3" t="n">
        <v>2061.0</v>
      </c>
      <c r="G304" s="3" t="n">
        <v>2161.0</v>
      </c>
      <c r="H304" s="3" t="n">
        <v>2112.0</v>
      </c>
      <c r="I304" s="3" t="n">
        <v>2166.0</v>
      </c>
      <c r="J304" s="3" t="n">
        <v>2123.0</v>
      </c>
      <c r="K304" s="3" t="n">
        <v>2075.0</v>
      </c>
      <c r="L304" s="3" t="n">
        <v>2062.0</v>
      </c>
      <c r="M304" s="3" t="n">
        <v>2048.0</v>
      </c>
      <c r="N304" s="3" t="n">
        <v>1964.0</v>
      </c>
      <c r="O304" s="3" t="n">
        <v>1957.0</v>
      </c>
      <c r="P304" s="3" t="n">
        <v>1864.0</v>
      </c>
      <c r="Q304" s="3" t="n">
        <v>1873.0</v>
      </c>
      <c r="R304" s="3" t="n">
        <v>3107.0</v>
      </c>
      <c r="S304" s="3" t="n">
        <v>3269.0</v>
      </c>
      <c r="T304" s="3" t="n">
        <v>3481.0</v>
      </c>
      <c r="U304" s="3" t="n">
        <v>3665.0</v>
      </c>
      <c r="V304" s="3" t="n">
        <v>3793.0</v>
      </c>
      <c r="W304" s="3" t="n">
        <v>3848.0</v>
      </c>
      <c r="X304" s="3" t="n">
        <v>3895.0</v>
      </c>
      <c r="Y304" s="3" t="n">
        <v>3947.0</v>
      </c>
      <c r="Z304" s="3" t="n">
        <v>4019.0</v>
      </c>
      <c r="AA304" s="3" t="n">
        <v>4172.0</v>
      </c>
      <c r="AB304" s="3" t="n">
        <v>4210.0</v>
      </c>
      <c r="AC304" s="3" t="n">
        <v>4272.0</v>
      </c>
      <c r="AD304" s="3" t="n">
        <v>4203.0</v>
      </c>
      <c r="AE304" s="3" t="n">
        <v>4011.0</v>
      </c>
      <c r="AF304" s="3" t="n">
        <v>3811.0</v>
      </c>
      <c r="AG304" s="3" t="n">
        <v>3562.0</v>
      </c>
      <c r="AH304" s="3" t="n">
        <v>3463.0</v>
      </c>
      <c r="AI304" s="3" t="n">
        <v>3453.0</v>
      </c>
      <c r="AJ304" s="3" t="n">
        <v>3312.0</v>
      </c>
      <c r="AK304" s="3" t="n">
        <v>3303.0</v>
      </c>
      <c r="AL304" s="3" t="n">
        <v>3193.0</v>
      </c>
      <c r="AM304" s="3" t="n">
        <v>3239.0</v>
      </c>
      <c r="AN304" s="3" t="n">
        <v>3269.0</v>
      </c>
      <c r="AO304" s="3" t="n">
        <v>3369.0</v>
      </c>
    </row>
    <row r="305" spans="1:41" x14ac:dyDescent="0.2">
      <c r="A305" s="128"/>
      <c r="B305" s="9">
        <v>92</v>
      </c>
      <c r="C305" s="3" t="n">
        <v>1659.0</v>
      </c>
      <c r="D305" s="3" t="n">
        <v>1649.0</v>
      </c>
      <c r="E305" s="3" t="n">
        <v>1697.0</v>
      </c>
      <c r="F305" s="3" t="n">
        <v>1671.0</v>
      </c>
      <c r="G305" s="3" t="n">
        <v>1730.0</v>
      </c>
      <c r="H305" s="3" t="n">
        <v>1817.0</v>
      </c>
      <c r="I305" s="3" t="n">
        <v>1774.0</v>
      </c>
      <c r="J305" s="3" t="n">
        <v>1823.0</v>
      </c>
      <c r="K305" s="3" t="n">
        <v>1783.0</v>
      </c>
      <c r="L305" s="3" t="n">
        <v>1753.0</v>
      </c>
      <c r="M305" s="3" t="n">
        <v>1737.0</v>
      </c>
      <c r="N305" s="3" t="n">
        <v>1732.0</v>
      </c>
      <c r="O305" s="3" t="n">
        <v>1663.0</v>
      </c>
      <c r="P305" s="3" t="n">
        <v>1654.0</v>
      </c>
      <c r="Q305" s="3" t="n">
        <v>1578.0</v>
      </c>
      <c r="R305" s="3" t="n">
        <v>1587.0</v>
      </c>
      <c r="S305" s="3" t="n">
        <v>2635.0</v>
      </c>
      <c r="T305" s="3" t="n">
        <v>2771.0</v>
      </c>
      <c r="U305" s="3" t="n">
        <v>2952.0</v>
      </c>
      <c r="V305" s="3" t="n">
        <v>3109.0</v>
      </c>
      <c r="W305" s="3" t="n">
        <v>3226.0</v>
      </c>
      <c r="X305" s="3" t="n">
        <v>3273.0</v>
      </c>
      <c r="Y305" s="3" t="n">
        <v>3318.0</v>
      </c>
      <c r="Z305" s="3" t="n">
        <v>3364.0</v>
      </c>
      <c r="AA305" s="3" t="n">
        <v>3424.0</v>
      </c>
      <c r="AB305" s="3" t="n">
        <v>3563.0</v>
      </c>
      <c r="AC305" s="3" t="n">
        <v>3593.0</v>
      </c>
      <c r="AD305" s="3" t="n">
        <v>3646.0</v>
      </c>
      <c r="AE305" s="3" t="n">
        <v>3593.0</v>
      </c>
      <c r="AF305" s="3" t="n">
        <v>3426.0</v>
      </c>
      <c r="AG305" s="3" t="n">
        <v>3258.0</v>
      </c>
      <c r="AH305" s="3" t="n">
        <v>3051.0</v>
      </c>
      <c r="AI305" s="3" t="n">
        <v>2965.0</v>
      </c>
      <c r="AJ305" s="3" t="n">
        <v>2956.0</v>
      </c>
      <c r="AK305" s="3" t="n">
        <v>2840.0</v>
      </c>
      <c r="AL305" s="3" t="n">
        <v>2835.0</v>
      </c>
      <c r="AM305" s="3" t="n">
        <v>2737.0</v>
      </c>
      <c r="AN305" s="3" t="n">
        <v>2777.0</v>
      </c>
      <c r="AO305" s="3" t="n">
        <v>2806.0</v>
      </c>
    </row>
    <row r="306" spans="1:41" x14ac:dyDescent="0.2">
      <c r="A306" s="128"/>
      <c r="B306" s="9">
        <v>93</v>
      </c>
      <c r="C306" s="3" t="n">
        <v>1212.0</v>
      </c>
      <c r="D306" s="3" t="n">
        <v>1363.0</v>
      </c>
      <c r="E306" s="3" t="n">
        <v>1355.0</v>
      </c>
      <c r="F306" s="3" t="n">
        <v>1396.0</v>
      </c>
      <c r="G306" s="3" t="n">
        <v>1377.0</v>
      </c>
      <c r="H306" s="3" t="n">
        <v>1427.0</v>
      </c>
      <c r="I306" s="3" t="n">
        <v>1502.0</v>
      </c>
      <c r="J306" s="3" t="n">
        <v>1470.0</v>
      </c>
      <c r="K306" s="3" t="n">
        <v>1510.0</v>
      </c>
      <c r="L306" s="3" t="n">
        <v>1482.0</v>
      </c>
      <c r="M306" s="3" t="n">
        <v>1455.0</v>
      </c>
      <c r="N306" s="3" t="n">
        <v>1443.0</v>
      </c>
      <c r="O306" s="3" t="n">
        <v>1446.0</v>
      </c>
      <c r="P306" s="3" t="n">
        <v>1388.0</v>
      </c>
      <c r="Q306" s="3" t="n">
        <v>1383.0</v>
      </c>
      <c r="R306" s="3" t="n">
        <v>1318.0</v>
      </c>
      <c r="S306" s="3" t="n">
        <v>1328.0</v>
      </c>
      <c r="T306" s="3" t="n">
        <v>2199.0</v>
      </c>
      <c r="U306" s="3" t="n">
        <v>2319.0</v>
      </c>
      <c r="V306" s="3" t="n">
        <v>2469.0</v>
      </c>
      <c r="W306" s="3" t="n">
        <v>2604.0</v>
      </c>
      <c r="X306" s="3" t="n">
        <v>2702.0</v>
      </c>
      <c r="Y306" s="3" t="n">
        <v>2749.0</v>
      </c>
      <c r="Z306" s="3" t="n">
        <v>2788.0</v>
      </c>
      <c r="AA306" s="3" t="n">
        <v>2830.0</v>
      </c>
      <c r="AB306" s="3" t="n">
        <v>2886.0</v>
      </c>
      <c r="AC306" s="3" t="n">
        <v>2999.0</v>
      </c>
      <c r="AD306" s="3" t="n">
        <v>3029.0</v>
      </c>
      <c r="AE306" s="3" t="n">
        <v>3074.0</v>
      </c>
      <c r="AF306" s="3" t="n">
        <v>3029.0</v>
      </c>
      <c r="AG306" s="3" t="n">
        <v>2883.0</v>
      </c>
      <c r="AH306" s="3" t="n">
        <v>2752.0</v>
      </c>
      <c r="AI306" s="3" t="n">
        <v>2576.0</v>
      </c>
      <c r="AJ306" s="3" t="n">
        <v>2501.0</v>
      </c>
      <c r="AK306" s="3" t="n">
        <v>2496.0</v>
      </c>
      <c r="AL306" s="3" t="n">
        <v>2405.0</v>
      </c>
      <c r="AM306" s="3" t="n">
        <v>2393.0</v>
      </c>
      <c r="AN306" s="3" t="n">
        <v>2312.0</v>
      </c>
      <c r="AO306" s="3" t="n">
        <v>2352.0</v>
      </c>
    </row>
    <row r="307" spans="1:41" x14ac:dyDescent="0.2">
      <c r="A307" s="128"/>
      <c r="B307" s="9">
        <v>94</v>
      </c>
      <c r="C307" s="3" t="n">
        <v>903.0</v>
      </c>
      <c r="D307" s="3" t="n">
        <v>971.0</v>
      </c>
      <c r="E307" s="3" t="n">
        <v>1092.0</v>
      </c>
      <c r="F307" s="3" t="n">
        <v>1090.0</v>
      </c>
      <c r="G307" s="3" t="n">
        <v>1124.0</v>
      </c>
      <c r="H307" s="3" t="n">
        <v>1112.0</v>
      </c>
      <c r="I307" s="3" t="n">
        <v>1153.0</v>
      </c>
      <c r="J307" s="3" t="n">
        <v>1214.0</v>
      </c>
      <c r="K307" s="3" t="n">
        <v>1190.0</v>
      </c>
      <c r="L307" s="3" t="n">
        <v>1224.0</v>
      </c>
      <c r="M307" s="3" t="n">
        <v>1201.0</v>
      </c>
      <c r="N307" s="3" t="n">
        <v>1184.0</v>
      </c>
      <c r="O307" s="3" t="n">
        <v>1176.0</v>
      </c>
      <c r="P307" s="3" t="n">
        <v>1178.0</v>
      </c>
      <c r="Q307" s="3" t="n">
        <v>1135.0</v>
      </c>
      <c r="R307" s="3" t="n">
        <v>1128.0</v>
      </c>
      <c r="S307" s="3" t="n">
        <v>1075.0</v>
      </c>
      <c r="T307" s="3" t="n">
        <v>1085.0</v>
      </c>
      <c r="U307" s="3" t="n">
        <v>1804.0</v>
      </c>
      <c r="V307" s="3" t="n">
        <v>1897.0</v>
      </c>
      <c r="W307" s="3" t="n">
        <v>2027.0</v>
      </c>
      <c r="X307" s="3" t="n">
        <v>2139.0</v>
      </c>
      <c r="Y307" s="3" t="n">
        <v>2220.0</v>
      </c>
      <c r="Z307" s="3" t="n">
        <v>2256.0</v>
      </c>
      <c r="AA307" s="3" t="n">
        <v>2288.0</v>
      </c>
      <c r="AB307" s="3" t="n">
        <v>2331.0</v>
      </c>
      <c r="AC307" s="3" t="n">
        <v>2379.0</v>
      </c>
      <c r="AD307" s="3" t="n">
        <v>2472.0</v>
      </c>
      <c r="AE307" s="3" t="n">
        <v>2500.0</v>
      </c>
      <c r="AF307" s="3" t="n">
        <v>2533.0</v>
      </c>
      <c r="AG307" s="3" t="n">
        <v>2500.0</v>
      </c>
      <c r="AH307" s="3" t="n">
        <v>2384.0</v>
      </c>
      <c r="AI307" s="3" t="n">
        <v>2277.0</v>
      </c>
      <c r="AJ307" s="3" t="n">
        <v>2133.0</v>
      </c>
      <c r="AK307" s="3" t="n">
        <v>2074.0</v>
      </c>
      <c r="AL307" s="3" t="n">
        <v>2064.0</v>
      </c>
      <c r="AM307" s="3" t="n">
        <v>1995.0</v>
      </c>
      <c r="AN307" s="3" t="n">
        <v>1985.0</v>
      </c>
      <c r="AO307" s="3" t="n">
        <v>1918.0</v>
      </c>
    </row>
    <row r="308" spans="1:41" x14ac:dyDescent="0.2">
      <c r="A308" s="128"/>
      <c r="B308" s="9">
        <v>95</v>
      </c>
      <c r="C308" s="3" t="n">
        <v>692.0</v>
      </c>
      <c r="D308" s="3" t="n">
        <v>699.0</v>
      </c>
      <c r="E308" s="3" t="n">
        <v>758.0</v>
      </c>
      <c r="F308" s="3" t="n">
        <v>850.0</v>
      </c>
      <c r="G308" s="3" t="n">
        <v>852.0</v>
      </c>
      <c r="H308" s="3" t="n">
        <v>880.0</v>
      </c>
      <c r="I308" s="3" t="n">
        <v>873.0</v>
      </c>
      <c r="J308" s="3" t="n">
        <v>903.0</v>
      </c>
      <c r="K308" s="3" t="n">
        <v>957.0</v>
      </c>
      <c r="L308" s="3" t="n">
        <v>935.0</v>
      </c>
      <c r="M308" s="3" t="n">
        <v>964.0</v>
      </c>
      <c r="N308" s="3" t="n">
        <v>950.0</v>
      </c>
      <c r="O308" s="3" t="n">
        <v>938.0</v>
      </c>
      <c r="P308" s="3" t="n">
        <v>933.0</v>
      </c>
      <c r="Q308" s="3" t="n">
        <v>937.0</v>
      </c>
      <c r="R308" s="3" t="n">
        <v>902.0</v>
      </c>
      <c r="S308" s="3" t="n">
        <v>895.0</v>
      </c>
      <c r="T308" s="3" t="n">
        <v>852.0</v>
      </c>
      <c r="U308" s="3" t="n">
        <v>864.0</v>
      </c>
      <c r="V308" s="3" t="n">
        <v>1440.0</v>
      </c>
      <c r="W308" s="3" t="n">
        <v>1515.0</v>
      </c>
      <c r="X308" s="3" t="n">
        <v>1625.0</v>
      </c>
      <c r="Y308" s="3" t="n">
        <v>1720.0</v>
      </c>
      <c r="Z308" s="3" t="n">
        <v>1784.0</v>
      </c>
      <c r="AA308" s="3" t="n">
        <v>1814.0</v>
      </c>
      <c r="AB308" s="3" t="n">
        <v>1843.0</v>
      </c>
      <c r="AC308" s="3" t="n">
        <v>1876.0</v>
      </c>
      <c r="AD308" s="3" t="n">
        <v>1919.0</v>
      </c>
      <c r="AE308" s="3" t="n">
        <v>2000.0</v>
      </c>
      <c r="AF308" s="3" t="n">
        <v>2017.0</v>
      </c>
      <c r="AG308" s="3" t="n">
        <v>2044.0</v>
      </c>
      <c r="AH308" s="3" t="n">
        <v>2024.0</v>
      </c>
      <c r="AI308" s="3" t="n">
        <v>1931.0</v>
      </c>
      <c r="AJ308" s="3" t="n">
        <v>1843.0</v>
      </c>
      <c r="AK308" s="3" t="n">
        <v>1723.0</v>
      </c>
      <c r="AL308" s="3" t="n">
        <v>1675.0</v>
      </c>
      <c r="AM308" s="3" t="n">
        <v>1669.0</v>
      </c>
      <c r="AN308" s="3" t="n">
        <v>1615.0</v>
      </c>
      <c r="AO308" s="3" t="n">
        <v>1608.0</v>
      </c>
    </row>
    <row r="309" spans="1:41" x14ac:dyDescent="0.2">
      <c r="A309" s="128"/>
      <c r="B309" s="9">
        <v>96</v>
      </c>
      <c r="C309" s="3" t="n">
        <v>444.0</v>
      </c>
      <c r="D309" s="3" t="n">
        <v>530.0</v>
      </c>
      <c r="E309" s="3" t="n">
        <v>533.0</v>
      </c>
      <c r="F309" s="3" t="n">
        <v>582.0</v>
      </c>
      <c r="G309" s="3" t="n">
        <v>652.0</v>
      </c>
      <c r="H309" s="3" t="n">
        <v>656.0</v>
      </c>
      <c r="I309" s="3" t="n">
        <v>678.0</v>
      </c>
      <c r="J309" s="3" t="n">
        <v>678.0</v>
      </c>
      <c r="K309" s="3" t="n">
        <v>701.0</v>
      </c>
      <c r="L309" s="3" t="n">
        <v>744.0</v>
      </c>
      <c r="M309" s="3" t="n">
        <v>725.0</v>
      </c>
      <c r="N309" s="3" t="n">
        <v>749.0</v>
      </c>
      <c r="O309" s="3" t="n">
        <v>738.0</v>
      </c>
      <c r="P309" s="3" t="n">
        <v>732.0</v>
      </c>
      <c r="Q309" s="3" t="n">
        <v>730.0</v>
      </c>
      <c r="R309" s="3" t="n">
        <v>732.0</v>
      </c>
      <c r="S309" s="3" t="n">
        <v>707.0</v>
      </c>
      <c r="T309" s="3" t="n">
        <v>704.0</v>
      </c>
      <c r="U309" s="3" t="n">
        <v>673.0</v>
      </c>
      <c r="V309" s="3" t="n">
        <v>682.0</v>
      </c>
      <c r="W309" s="3" t="n">
        <v>1131.0</v>
      </c>
      <c r="X309" s="3" t="n">
        <v>1192.0</v>
      </c>
      <c r="Y309" s="3" t="n">
        <v>1281.0</v>
      </c>
      <c r="Z309" s="3" t="n">
        <v>1360.0</v>
      </c>
      <c r="AA309" s="3" t="n">
        <v>1410.0</v>
      </c>
      <c r="AB309" s="3" t="n">
        <v>1439.0</v>
      </c>
      <c r="AC309" s="3" t="n">
        <v>1461.0</v>
      </c>
      <c r="AD309" s="3" t="n">
        <v>1486.0</v>
      </c>
      <c r="AE309" s="3" t="n">
        <v>1521.0</v>
      </c>
      <c r="AF309" s="3" t="n">
        <v>1587.0</v>
      </c>
      <c r="AG309" s="3" t="n">
        <v>1602.0</v>
      </c>
      <c r="AH309" s="3" t="n">
        <v>1628.0</v>
      </c>
      <c r="AI309" s="3" t="n">
        <v>1611.0</v>
      </c>
      <c r="AJ309" s="3" t="n">
        <v>1536.0</v>
      </c>
      <c r="AK309" s="3" t="n">
        <v>1469.0</v>
      </c>
      <c r="AL309" s="3" t="n">
        <v>1373.0</v>
      </c>
      <c r="AM309" s="3" t="n">
        <v>1338.0</v>
      </c>
      <c r="AN309" s="3" t="n">
        <v>1333.0</v>
      </c>
      <c r="AO309" s="3" t="n">
        <v>1291.0</v>
      </c>
    </row>
    <row r="310" spans="1:41" x14ac:dyDescent="0.2">
      <c r="A310" s="128"/>
      <c r="B310" s="9">
        <v>97</v>
      </c>
      <c r="C310" s="3" t="n">
        <v>407.0</v>
      </c>
      <c r="D310" s="3" t="n">
        <v>329.0</v>
      </c>
      <c r="E310" s="3" t="n">
        <v>391.0</v>
      </c>
      <c r="F310" s="3" t="n">
        <v>399.0</v>
      </c>
      <c r="G310" s="3" t="n">
        <v>430.0</v>
      </c>
      <c r="H310" s="3" t="n">
        <v>484.0</v>
      </c>
      <c r="I310" s="3" t="n">
        <v>491.0</v>
      </c>
      <c r="J310" s="3" t="n">
        <v>505.0</v>
      </c>
      <c r="K310" s="3" t="n">
        <v>508.0</v>
      </c>
      <c r="L310" s="3" t="n">
        <v>527.0</v>
      </c>
      <c r="M310" s="3" t="n">
        <v>565.0</v>
      </c>
      <c r="N310" s="3" t="n">
        <v>547.0</v>
      </c>
      <c r="O310" s="3" t="n">
        <v>568.0</v>
      </c>
      <c r="P310" s="3" t="n">
        <v>559.0</v>
      </c>
      <c r="Q310" s="3" t="n">
        <v>550.0</v>
      </c>
      <c r="R310" s="3" t="n">
        <v>552.0</v>
      </c>
      <c r="S310" s="3" t="n">
        <v>554.0</v>
      </c>
      <c r="T310" s="3" t="n">
        <v>533.0</v>
      </c>
      <c r="U310" s="3" t="n">
        <v>533.0</v>
      </c>
      <c r="V310" s="3" t="n">
        <v>515.0</v>
      </c>
      <c r="W310" s="3" t="n">
        <v>521.0</v>
      </c>
      <c r="X310" s="3" t="n">
        <v>867.0</v>
      </c>
      <c r="Y310" s="3" t="n">
        <v>915.0</v>
      </c>
      <c r="Z310" s="3" t="n">
        <v>986.0</v>
      </c>
      <c r="AA310" s="3" t="n">
        <v>1047.0</v>
      </c>
      <c r="AB310" s="3" t="n">
        <v>1086.0</v>
      </c>
      <c r="AC310" s="3" t="n">
        <v>1111.0</v>
      </c>
      <c r="AD310" s="3" t="n">
        <v>1126.0</v>
      </c>
      <c r="AE310" s="3" t="n">
        <v>1150.0</v>
      </c>
      <c r="AF310" s="3" t="n">
        <v>1179.0</v>
      </c>
      <c r="AG310" s="3" t="n">
        <v>1230.0</v>
      </c>
      <c r="AH310" s="3" t="n">
        <v>1245.0</v>
      </c>
      <c r="AI310" s="3" t="n">
        <v>1261.0</v>
      </c>
      <c r="AJ310" s="3" t="n">
        <v>1250.0</v>
      </c>
      <c r="AK310" s="3" t="n">
        <v>1195.0</v>
      </c>
      <c r="AL310" s="3" t="n">
        <v>1145.0</v>
      </c>
      <c r="AM310" s="3" t="n">
        <v>1067.0</v>
      </c>
      <c r="AN310" s="3" t="n">
        <v>1042.0</v>
      </c>
      <c r="AO310" s="3" t="n">
        <v>1037.0</v>
      </c>
    </row>
    <row r="311" spans="1:41" x14ac:dyDescent="0.2">
      <c r="A311" s="128"/>
      <c r="B311" s="9">
        <v>98</v>
      </c>
      <c r="C311" s="3" t="n">
        <v>287.0</v>
      </c>
      <c r="D311" s="3" t="n">
        <v>289.0</v>
      </c>
      <c r="E311" s="3" t="n">
        <v>234.0</v>
      </c>
      <c r="F311" s="3" t="n">
        <v>282.0</v>
      </c>
      <c r="G311" s="3" t="n">
        <v>289.0</v>
      </c>
      <c r="H311" s="3" t="n">
        <v>311.0</v>
      </c>
      <c r="I311" s="3" t="n">
        <v>352.0</v>
      </c>
      <c r="J311" s="3" t="n">
        <v>358.0</v>
      </c>
      <c r="K311" s="3" t="n">
        <v>370.0</v>
      </c>
      <c r="L311" s="3" t="n">
        <v>373.0</v>
      </c>
      <c r="M311" s="3" t="n">
        <v>384.0</v>
      </c>
      <c r="N311" s="3" t="n">
        <v>415.0</v>
      </c>
      <c r="O311" s="3" t="n">
        <v>402.0</v>
      </c>
      <c r="P311" s="3" t="n">
        <v>417.0</v>
      </c>
      <c r="Q311" s="3" t="n">
        <v>416.0</v>
      </c>
      <c r="R311" s="3" t="n">
        <v>406.0</v>
      </c>
      <c r="S311" s="3" t="n">
        <v>409.0</v>
      </c>
      <c r="T311" s="3" t="n">
        <v>411.0</v>
      </c>
      <c r="U311" s="3" t="n">
        <v>396.0</v>
      </c>
      <c r="V311" s="3" t="n">
        <v>392.0</v>
      </c>
      <c r="W311" s="3" t="n">
        <v>382.0</v>
      </c>
      <c r="X311" s="3" t="n">
        <v>385.0</v>
      </c>
      <c r="Y311" s="3" t="n">
        <v>651.0</v>
      </c>
      <c r="Z311" s="3" t="n">
        <v>683.0</v>
      </c>
      <c r="AA311" s="3" t="n">
        <v>737.0</v>
      </c>
      <c r="AB311" s="3" t="n">
        <v>783.0</v>
      </c>
      <c r="AC311" s="3" t="n">
        <v>814.0</v>
      </c>
      <c r="AD311" s="3" t="n">
        <v>834.0</v>
      </c>
      <c r="AE311" s="3" t="n">
        <v>847.0</v>
      </c>
      <c r="AF311" s="3" t="n">
        <v>866.0</v>
      </c>
      <c r="AG311" s="3" t="n">
        <v>892.0</v>
      </c>
      <c r="AH311" s="3" t="n">
        <v>930.0</v>
      </c>
      <c r="AI311" s="3" t="n">
        <v>943.0</v>
      </c>
      <c r="AJ311" s="3" t="n">
        <v>960.0</v>
      </c>
      <c r="AK311" s="3" t="n">
        <v>951.0</v>
      </c>
      <c r="AL311" s="3" t="n">
        <v>909.0</v>
      </c>
      <c r="AM311" s="3" t="n">
        <v>867.0</v>
      </c>
      <c r="AN311" s="3" t="n">
        <v>811.0</v>
      </c>
      <c r="AO311" s="3" t="n">
        <v>794.0</v>
      </c>
    </row>
    <row r="312" spans="1:41" x14ac:dyDescent="0.2">
      <c r="A312" s="128"/>
      <c r="B312" s="9">
        <v>99</v>
      </c>
      <c r="C312" s="3" t="n">
        <v>166.0</v>
      </c>
      <c r="D312" s="3" t="n">
        <v>202.0</v>
      </c>
      <c r="E312" s="3" t="n">
        <v>199.0</v>
      </c>
      <c r="F312" s="3" t="n">
        <v>165.0</v>
      </c>
      <c r="G312" s="3" t="n">
        <v>195.0</v>
      </c>
      <c r="H312" s="3" t="n">
        <v>206.0</v>
      </c>
      <c r="I312" s="3" t="n">
        <v>219.0</v>
      </c>
      <c r="J312" s="3" t="n">
        <v>249.0</v>
      </c>
      <c r="K312" s="3" t="n">
        <v>256.0</v>
      </c>
      <c r="L312" s="3" t="n">
        <v>263.0</v>
      </c>
      <c r="M312" s="3" t="n">
        <v>264.0</v>
      </c>
      <c r="N312" s="3" t="n">
        <v>275.0</v>
      </c>
      <c r="O312" s="3" t="n">
        <v>299.0</v>
      </c>
      <c r="P312" s="3" t="n">
        <v>291.0</v>
      </c>
      <c r="Q312" s="3" t="n">
        <v>305.0</v>
      </c>
      <c r="R312" s="3" t="n">
        <v>302.0</v>
      </c>
      <c r="S312" s="3" t="n">
        <v>298.0</v>
      </c>
      <c r="T312" s="3" t="n">
        <v>299.0</v>
      </c>
      <c r="U312" s="3" t="n">
        <v>299.0</v>
      </c>
      <c r="V312" s="3" t="n">
        <v>289.0</v>
      </c>
      <c r="W312" s="3" t="n">
        <v>286.0</v>
      </c>
      <c r="X312" s="3" t="n">
        <v>280.0</v>
      </c>
      <c r="Y312" s="3" t="n">
        <v>281.0</v>
      </c>
      <c r="Z312" s="3" t="n">
        <v>474.0</v>
      </c>
      <c r="AA312" s="3" t="n">
        <v>500.0</v>
      </c>
      <c r="AB312" s="3" t="n">
        <v>542.0</v>
      </c>
      <c r="AC312" s="3" t="n">
        <v>574.0</v>
      </c>
      <c r="AD312" s="3" t="n">
        <v>596.0</v>
      </c>
      <c r="AE312" s="3" t="n">
        <v>613.0</v>
      </c>
      <c r="AF312" s="3" t="n">
        <v>624.0</v>
      </c>
      <c r="AG312" s="3" t="n">
        <v>639.0</v>
      </c>
      <c r="AH312" s="3" t="n">
        <v>661.0</v>
      </c>
      <c r="AI312" s="3" t="n">
        <v>688.0</v>
      </c>
      <c r="AJ312" s="3" t="n">
        <v>697.0</v>
      </c>
      <c r="AK312" s="3" t="n">
        <v>711.0</v>
      </c>
      <c r="AL312" s="3" t="n">
        <v>702.0</v>
      </c>
      <c r="AM312" s="3" t="n">
        <v>670.0</v>
      </c>
      <c r="AN312" s="3" t="n">
        <v>639.0</v>
      </c>
      <c r="AO312" s="3" t="n">
        <v>602.0</v>
      </c>
    </row>
    <row r="313" spans="1:41" x14ac:dyDescent="0.2">
      <c r="A313" s="128"/>
      <c r="B313" s="10" t="s">
        <v>79</v>
      </c>
      <c r="C313" s="4" t="n">
        <v>283.0</v>
      </c>
      <c r="D313" s="4" t="n">
        <v>301.0</v>
      </c>
      <c r="E313" s="4" t="n">
        <v>338.0</v>
      </c>
      <c r="F313" s="4" t="n">
        <v>357.0</v>
      </c>
      <c r="G313" s="4" t="n">
        <v>348.0</v>
      </c>
      <c r="H313" s="4" t="n">
        <v>361.0</v>
      </c>
      <c r="I313" s="4" t="n">
        <v>372.0</v>
      </c>
      <c r="J313" s="4" t="n">
        <v>388.0</v>
      </c>
      <c r="K313" s="4" t="n">
        <v>425.0</v>
      </c>
      <c r="L313" s="4" t="n">
        <v>456.0</v>
      </c>
      <c r="M313" s="4" t="n">
        <v>484.0</v>
      </c>
      <c r="N313" s="4" t="n">
        <v>501.0</v>
      </c>
      <c r="O313" s="4" t="n">
        <v>520.0</v>
      </c>
      <c r="P313" s="4" t="n">
        <v>550.0</v>
      </c>
      <c r="Q313" s="4" t="n">
        <v>567.0</v>
      </c>
      <c r="R313" s="4" t="n">
        <v>581.0</v>
      </c>
      <c r="S313" s="4" t="n">
        <v>597.0</v>
      </c>
      <c r="T313" s="4" t="n">
        <v>608.0</v>
      </c>
      <c r="U313" s="4" t="n">
        <v>617.0</v>
      </c>
      <c r="V313" s="4" t="n">
        <v>619.0</v>
      </c>
      <c r="W313" s="4" t="n">
        <v>614.0</v>
      </c>
      <c r="X313" s="4" t="n">
        <v>612.0</v>
      </c>
      <c r="Y313" s="4" t="n">
        <v>610.0</v>
      </c>
      <c r="Z313" s="4" t="n">
        <v>606.0</v>
      </c>
      <c r="AA313" s="4" t="n">
        <v>738.0</v>
      </c>
      <c r="AB313" s="4" t="n">
        <v>845.0</v>
      </c>
      <c r="AC313" s="4" t="n">
        <v>948.0</v>
      </c>
      <c r="AD313" s="4" t="n">
        <v>1041.0</v>
      </c>
      <c r="AE313" s="4" t="n">
        <v>1119.0</v>
      </c>
      <c r="AF313" s="4" t="n">
        <v>1186.0</v>
      </c>
      <c r="AG313" s="4" t="n">
        <v>1237.0</v>
      </c>
      <c r="AH313" s="4" t="n">
        <v>1290.0</v>
      </c>
      <c r="AI313" s="4" t="n">
        <v>1340.0</v>
      </c>
      <c r="AJ313" s="4" t="n">
        <v>1396.0</v>
      </c>
      <c r="AK313" s="4" t="n">
        <v>1439.0</v>
      </c>
      <c r="AL313" s="4" t="n">
        <v>1482.0</v>
      </c>
      <c r="AM313" s="4" t="n">
        <v>1503.0</v>
      </c>
      <c r="AN313" s="4" t="n">
        <v>1495.0</v>
      </c>
      <c r="AO313" s="4" t="n">
        <v>1472.0</v>
      </c>
    </row>
  </sheetData>
  <mergeCells count="5"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FF6966"/>
  </sheetPr>
  <dimension ref="A1:AO7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3"/>
      <c r="B1" s="83"/>
      <c r="C1" s="13" t="s">
        <v>86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D2" s="33" t="s">
        <v>40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131" t="s">
        <v>83</v>
      </c>
      <c r="B3" s="131"/>
      <c r="D3" s="24" t="s">
        <v>68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49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105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2" t="s">
        <v>47</v>
      </c>
      <c r="B8" s="37" t="s">
        <v>48</v>
      </c>
      <c r="C8" s="15" t="n">
        <v>2006876.0</v>
      </c>
      <c r="D8" s="15" t="n">
        <v>1996240.0</v>
      </c>
      <c r="E8" s="15" t="n">
        <v>1984932.0</v>
      </c>
      <c r="F8" s="15" t="n">
        <v>1972978.0</v>
      </c>
      <c r="G8" s="15" t="n">
        <v>1960484.0</v>
      </c>
      <c r="H8" s="15" t="n">
        <v>1948820.0</v>
      </c>
      <c r="I8" s="15" t="n">
        <v>1937037.0</v>
      </c>
      <c r="J8" s="15" t="n">
        <v>1923783.0</v>
      </c>
      <c r="K8" s="15" t="n">
        <v>1909608.0</v>
      </c>
      <c r="L8" s="15" t="n">
        <v>1894795.0</v>
      </c>
      <c r="M8" s="15" t="n">
        <v>1879284.0</v>
      </c>
      <c r="N8" s="15" t="n">
        <v>1863187.0</v>
      </c>
      <c r="O8" s="15" t="n">
        <v>1846701.0</v>
      </c>
      <c r="P8" s="15" t="n">
        <v>1829754.0</v>
      </c>
      <c r="Q8" s="15" t="n">
        <v>1812544.0</v>
      </c>
      <c r="R8" s="15" t="n">
        <v>1794814.0</v>
      </c>
      <c r="S8" s="15" t="n">
        <v>1776878.0</v>
      </c>
      <c r="T8" s="15" t="n">
        <v>1758510.0</v>
      </c>
      <c r="U8" s="15" t="n">
        <v>1739970.0</v>
      </c>
      <c r="V8" s="15" t="n">
        <v>1721187.0</v>
      </c>
      <c r="W8" s="15" t="n">
        <v>1702230.0</v>
      </c>
      <c r="X8" s="15" t="n">
        <v>1683127.0</v>
      </c>
      <c r="Y8" s="15" t="n">
        <v>1663903.0</v>
      </c>
      <c r="Z8" s="15" t="n">
        <v>1644496.0</v>
      </c>
      <c r="AA8" s="15" t="n">
        <v>1624884.0</v>
      </c>
      <c r="AB8" s="15" t="n">
        <v>1605235.0</v>
      </c>
      <c r="AC8" s="15" t="n">
        <v>1585510.0</v>
      </c>
      <c r="AD8" s="15" t="n">
        <v>1565624.0</v>
      </c>
      <c r="AE8" s="15" t="n">
        <v>1545776.0</v>
      </c>
      <c r="AF8" s="15" t="n">
        <v>1525760.0</v>
      </c>
      <c r="AG8" s="15" t="n">
        <v>1505722.0</v>
      </c>
      <c r="AH8" s="15" t="n">
        <v>1485604.0</v>
      </c>
      <c r="AI8" s="15" t="n">
        <v>1465297.0</v>
      </c>
      <c r="AJ8" s="15" t="n">
        <v>1444933.0</v>
      </c>
      <c r="AK8" s="15" t="n">
        <v>1424413.0</v>
      </c>
      <c r="AL8" s="15" t="n">
        <v>1403753.0</v>
      </c>
      <c r="AM8" s="15" t="n">
        <v>1382964.0</v>
      </c>
      <c r="AN8" s="15" t="n">
        <v>1362005.0</v>
      </c>
      <c r="AO8" s="15" t="n">
        <v>1340976.0</v>
      </c>
    </row>
    <row r="9" spans="1:41" x14ac:dyDescent="0.2">
      <c r="A9" s="133"/>
      <c r="B9" s="64" t="s">
        <v>20</v>
      </c>
      <c r="C9" s="3" t="n">
        <v>89207.0</v>
      </c>
      <c r="D9" s="3" t="n">
        <v>82994.0</v>
      </c>
      <c r="E9" s="3" t="n">
        <v>77217.0</v>
      </c>
      <c r="F9" s="3" t="n">
        <v>72391.0</v>
      </c>
      <c r="G9" s="3" t="n">
        <v>68459.0</v>
      </c>
      <c r="H9" s="3" t="n">
        <v>66218.0</v>
      </c>
      <c r="I9" s="3" t="n">
        <v>64383.0</v>
      </c>
      <c r="J9" s="3" t="n">
        <v>62680.0</v>
      </c>
      <c r="K9" s="3" t="n">
        <v>61160.0</v>
      </c>
      <c r="L9" s="3" t="n">
        <v>59834.0</v>
      </c>
      <c r="M9" s="3" t="n">
        <v>58702.0</v>
      </c>
      <c r="N9" s="3" t="n">
        <v>57724.0</v>
      </c>
      <c r="O9" s="3" t="n">
        <v>56951.0</v>
      </c>
      <c r="P9" s="3" t="n">
        <v>56322.0</v>
      </c>
      <c r="Q9" s="3" t="n">
        <v>55856.0</v>
      </c>
      <c r="R9" s="3" t="n">
        <v>55511.0</v>
      </c>
      <c r="S9" s="3" t="n">
        <v>55300.0</v>
      </c>
      <c r="T9" s="3" t="n">
        <v>55141.0</v>
      </c>
      <c r="U9" s="3" t="n">
        <v>55015.0</v>
      </c>
      <c r="V9" s="3" t="n">
        <v>54894.0</v>
      </c>
      <c r="W9" s="3" t="n">
        <v>54733.0</v>
      </c>
      <c r="X9" s="3" t="n">
        <v>54506.0</v>
      </c>
      <c r="Y9" s="3" t="n">
        <v>54175.0</v>
      </c>
      <c r="Z9" s="3" t="n">
        <v>53760.0</v>
      </c>
      <c r="AA9" s="3" t="n">
        <v>53211.0</v>
      </c>
      <c r="AB9" s="3" t="n">
        <v>52518.0</v>
      </c>
      <c r="AC9" s="3" t="n">
        <v>51691.0</v>
      </c>
      <c r="AD9" s="3" t="n">
        <v>50726.0</v>
      </c>
      <c r="AE9" s="3" t="n">
        <v>49606.0</v>
      </c>
      <c r="AF9" s="3" t="n">
        <v>48398.0</v>
      </c>
      <c r="AG9" s="3" t="n">
        <v>47103.0</v>
      </c>
      <c r="AH9" s="3" t="n">
        <v>45724.0</v>
      </c>
      <c r="AI9" s="3" t="n">
        <v>44318.0</v>
      </c>
      <c r="AJ9" s="3" t="n">
        <v>42904.0</v>
      </c>
      <c r="AK9" s="3" t="n">
        <v>41486.0</v>
      </c>
      <c r="AL9" s="3" t="n">
        <v>40092.0</v>
      </c>
      <c r="AM9" s="3" t="n">
        <v>38744.0</v>
      </c>
      <c r="AN9" s="3" t="n">
        <v>37461.0</v>
      </c>
      <c r="AO9" s="3" t="n">
        <v>36257.0</v>
      </c>
    </row>
    <row r="10" spans="1:41" x14ac:dyDescent="0.2">
      <c r="A10" s="133"/>
      <c r="B10" s="64" t="s">
        <v>21</v>
      </c>
      <c r="C10" s="3" t="n">
        <v>102839.0</v>
      </c>
      <c r="D10" s="3" t="n">
        <v>102681.0</v>
      </c>
      <c r="E10" s="3" t="n">
        <v>101550.0</v>
      </c>
      <c r="F10" s="3" t="n">
        <v>99548.0</v>
      </c>
      <c r="G10" s="3" t="n">
        <v>95825.0</v>
      </c>
      <c r="H10" s="3" t="n">
        <v>89635.0</v>
      </c>
      <c r="I10" s="3" t="n">
        <v>83766.0</v>
      </c>
      <c r="J10" s="3" t="n">
        <v>78165.0</v>
      </c>
      <c r="K10" s="3" t="n">
        <v>73426.0</v>
      </c>
      <c r="L10" s="3" t="n">
        <v>69522.0</v>
      </c>
      <c r="M10" s="3" t="n">
        <v>67146.0</v>
      </c>
      <c r="N10" s="3" t="n">
        <v>65114.0</v>
      </c>
      <c r="O10" s="3" t="n">
        <v>63301.0</v>
      </c>
      <c r="P10" s="3" t="n">
        <v>61733.0</v>
      </c>
      <c r="Q10" s="3" t="n">
        <v>60365.0</v>
      </c>
      <c r="R10" s="3" t="n">
        <v>59225.0</v>
      </c>
      <c r="S10" s="3" t="n">
        <v>58237.0</v>
      </c>
      <c r="T10" s="3" t="n">
        <v>57449.0</v>
      </c>
      <c r="U10" s="3" t="n">
        <v>56792.0</v>
      </c>
      <c r="V10" s="3" t="n">
        <v>56295.0</v>
      </c>
      <c r="W10" s="3" t="n">
        <v>55923.0</v>
      </c>
      <c r="X10" s="3" t="n">
        <v>55703.0</v>
      </c>
      <c r="Y10" s="3" t="n">
        <v>55537.0</v>
      </c>
      <c r="Z10" s="3" t="n">
        <v>55414.0</v>
      </c>
      <c r="AA10" s="3" t="n">
        <v>55293.0</v>
      </c>
      <c r="AB10" s="3" t="n">
        <v>55138.0</v>
      </c>
      <c r="AC10" s="3" t="n">
        <v>54918.0</v>
      </c>
      <c r="AD10" s="3" t="n">
        <v>54597.0</v>
      </c>
      <c r="AE10" s="3" t="n">
        <v>54204.0</v>
      </c>
      <c r="AF10" s="3" t="n">
        <v>53686.0</v>
      </c>
      <c r="AG10" s="3" t="n">
        <v>53023.0</v>
      </c>
      <c r="AH10" s="3" t="n">
        <v>52217.0</v>
      </c>
      <c r="AI10" s="3" t="n">
        <v>51277.0</v>
      </c>
      <c r="AJ10" s="3" t="n">
        <v>50170.0</v>
      </c>
      <c r="AK10" s="3" t="n">
        <v>48975.0</v>
      </c>
      <c r="AL10" s="3" t="n">
        <v>47700.0</v>
      </c>
      <c r="AM10" s="3" t="n">
        <v>46347.0</v>
      </c>
      <c r="AN10" s="3" t="n">
        <v>44959.0</v>
      </c>
      <c r="AO10" s="3" t="n">
        <v>43550.0</v>
      </c>
    </row>
    <row r="11" spans="1:41" x14ac:dyDescent="0.2">
      <c r="A11" s="133"/>
      <c r="B11" s="65" t="s">
        <v>22</v>
      </c>
      <c r="C11" s="3" t="n">
        <v>113025.0</v>
      </c>
      <c r="D11" s="3" t="n">
        <v>110073.0</v>
      </c>
      <c r="E11" s="3" t="n">
        <v>106999.0</v>
      </c>
      <c r="F11" s="3" t="n">
        <v>103956.0</v>
      </c>
      <c r="G11" s="3" t="n">
        <v>102990.0</v>
      </c>
      <c r="H11" s="3" t="n">
        <v>102979.0</v>
      </c>
      <c r="I11" s="3" t="n">
        <v>103105.0</v>
      </c>
      <c r="J11" s="3" t="n">
        <v>102105.0</v>
      </c>
      <c r="K11" s="3" t="n">
        <v>100186.0</v>
      </c>
      <c r="L11" s="3" t="n">
        <v>96527.0</v>
      </c>
      <c r="M11" s="3" t="n">
        <v>90165.0</v>
      </c>
      <c r="N11" s="3" t="n">
        <v>84102.0</v>
      </c>
      <c r="O11" s="3" t="n">
        <v>78446.0</v>
      </c>
      <c r="P11" s="3" t="n">
        <v>73695.0</v>
      </c>
      <c r="Q11" s="3" t="n">
        <v>69796.0</v>
      </c>
      <c r="R11" s="3" t="n">
        <v>67414.0</v>
      </c>
      <c r="S11" s="3" t="n">
        <v>65359.0</v>
      </c>
      <c r="T11" s="3" t="n">
        <v>63538.0</v>
      </c>
      <c r="U11" s="3" t="n">
        <v>61954.0</v>
      </c>
      <c r="V11" s="3" t="n">
        <v>60569.0</v>
      </c>
      <c r="W11" s="3" t="n">
        <v>59404.0</v>
      </c>
      <c r="X11" s="3" t="n">
        <v>58398.0</v>
      </c>
      <c r="Y11" s="3" t="n">
        <v>57590.0</v>
      </c>
      <c r="Z11" s="3" t="n">
        <v>56913.0</v>
      </c>
      <c r="AA11" s="3" t="n">
        <v>56385.0</v>
      </c>
      <c r="AB11" s="3" t="n">
        <v>56000.0</v>
      </c>
      <c r="AC11" s="3" t="n">
        <v>55772.0</v>
      </c>
      <c r="AD11" s="3" t="n">
        <v>55603.0</v>
      </c>
      <c r="AE11" s="3" t="n">
        <v>55478.0</v>
      </c>
      <c r="AF11" s="3" t="n">
        <v>55356.0</v>
      </c>
      <c r="AG11" s="3" t="n">
        <v>55204.0</v>
      </c>
      <c r="AH11" s="3" t="n">
        <v>54994.0</v>
      </c>
      <c r="AI11" s="3" t="n">
        <v>54687.0</v>
      </c>
      <c r="AJ11" s="3" t="n">
        <v>54317.0</v>
      </c>
      <c r="AK11" s="3" t="n">
        <v>53817.0</v>
      </c>
      <c r="AL11" s="3" t="n">
        <v>53168.0</v>
      </c>
      <c r="AM11" s="3" t="n">
        <v>52383.0</v>
      </c>
      <c r="AN11" s="3" t="n">
        <v>51462.0</v>
      </c>
      <c r="AO11" s="3" t="n">
        <v>50377.0</v>
      </c>
    </row>
    <row r="12" spans="1:41" x14ac:dyDescent="0.2">
      <c r="A12" s="133"/>
      <c r="B12" s="64" t="s">
        <v>23</v>
      </c>
      <c r="C12" s="3" t="n">
        <v>99872.0</v>
      </c>
      <c r="D12" s="3" t="n">
        <v>104349.0</v>
      </c>
      <c r="E12" s="3" t="n">
        <v>108837.0</v>
      </c>
      <c r="F12" s="3" t="n">
        <v>112308.0</v>
      </c>
      <c r="G12" s="3" t="n">
        <v>113164.0</v>
      </c>
      <c r="H12" s="3" t="n">
        <v>113022.0</v>
      </c>
      <c r="I12" s="3" t="n">
        <v>110297.0</v>
      </c>
      <c r="J12" s="3" t="n">
        <v>107382.0</v>
      </c>
      <c r="K12" s="3" t="n">
        <v>104439.0</v>
      </c>
      <c r="L12" s="3" t="n">
        <v>103563.0</v>
      </c>
      <c r="M12" s="3" t="n">
        <v>103423.0</v>
      </c>
      <c r="N12" s="3" t="n">
        <v>103291.0</v>
      </c>
      <c r="O12" s="3" t="n">
        <v>102181.0</v>
      </c>
      <c r="P12" s="3" t="n">
        <v>100193.0</v>
      </c>
      <c r="Q12" s="3" t="n">
        <v>96510.0</v>
      </c>
      <c r="R12" s="3" t="n">
        <v>90183.0</v>
      </c>
      <c r="S12" s="3" t="n">
        <v>84154.0</v>
      </c>
      <c r="T12" s="3" t="n">
        <v>78541.0</v>
      </c>
      <c r="U12" s="3" t="n">
        <v>73835.0</v>
      </c>
      <c r="V12" s="3" t="n">
        <v>69963.0</v>
      </c>
      <c r="W12" s="3" t="n">
        <v>67583.0</v>
      </c>
      <c r="X12" s="3" t="n">
        <v>65525.0</v>
      </c>
      <c r="Y12" s="3" t="n">
        <v>63698.0</v>
      </c>
      <c r="Z12" s="3" t="n">
        <v>62100.0</v>
      </c>
      <c r="AA12" s="3" t="n">
        <v>60697.0</v>
      </c>
      <c r="AB12" s="3" t="n">
        <v>59506.0</v>
      </c>
      <c r="AC12" s="3" t="n">
        <v>58460.0</v>
      </c>
      <c r="AD12" s="3" t="n">
        <v>57621.0</v>
      </c>
      <c r="AE12" s="3" t="n">
        <v>56928.0</v>
      </c>
      <c r="AF12" s="3" t="n">
        <v>56396.0</v>
      </c>
      <c r="AG12" s="3" t="n">
        <v>56003.0</v>
      </c>
      <c r="AH12" s="3" t="n">
        <v>55770.0</v>
      </c>
      <c r="AI12" s="3" t="n">
        <v>55597.0</v>
      </c>
      <c r="AJ12" s="3" t="n">
        <v>55470.0</v>
      </c>
      <c r="AK12" s="3" t="n">
        <v>55350.0</v>
      </c>
      <c r="AL12" s="3" t="n">
        <v>55200.0</v>
      </c>
      <c r="AM12" s="3" t="n">
        <v>54991.0</v>
      </c>
      <c r="AN12" s="3" t="n">
        <v>54687.0</v>
      </c>
      <c r="AO12" s="3" t="n">
        <v>54321.0</v>
      </c>
    </row>
    <row r="13" spans="1:41" x14ac:dyDescent="0.2">
      <c r="A13" s="133"/>
      <c r="B13" s="64" t="s">
        <v>24</v>
      </c>
      <c r="C13" s="3" t="n">
        <v>98630.0</v>
      </c>
      <c r="D13" s="3" t="n">
        <v>96899.0</v>
      </c>
      <c r="E13" s="3" t="n">
        <v>95878.0</v>
      </c>
      <c r="F13" s="3" t="n">
        <v>95454.0</v>
      </c>
      <c r="G13" s="3" t="n">
        <v>96291.0</v>
      </c>
      <c r="H13" s="3" t="n">
        <v>99216.0</v>
      </c>
      <c r="I13" s="3" t="n">
        <v>103761.0</v>
      </c>
      <c r="J13" s="3" t="n">
        <v>108255.0</v>
      </c>
      <c r="K13" s="3" t="n">
        <v>111738.0</v>
      </c>
      <c r="L13" s="3" t="n">
        <v>112642.0</v>
      </c>
      <c r="M13" s="3" t="n">
        <v>112417.0</v>
      </c>
      <c r="N13" s="3" t="n">
        <v>109591.0</v>
      </c>
      <c r="O13" s="3" t="n">
        <v>106666.0</v>
      </c>
      <c r="P13" s="3" t="n">
        <v>103752.0</v>
      </c>
      <c r="Q13" s="3" t="n">
        <v>102879.0</v>
      </c>
      <c r="R13" s="3" t="n">
        <v>102747.0</v>
      </c>
      <c r="S13" s="3" t="n">
        <v>102635.0</v>
      </c>
      <c r="T13" s="3" t="n">
        <v>101528.0</v>
      </c>
      <c r="U13" s="3" t="n">
        <v>99545.0</v>
      </c>
      <c r="V13" s="3" t="n">
        <v>95873.0</v>
      </c>
      <c r="W13" s="3" t="n">
        <v>89626.0</v>
      </c>
      <c r="X13" s="3" t="n">
        <v>83669.0</v>
      </c>
      <c r="Y13" s="3" t="n">
        <v>78121.0</v>
      </c>
      <c r="Z13" s="3" t="n">
        <v>73486.0</v>
      </c>
      <c r="AA13" s="3" t="n">
        <v>69660.0</v>
      </c>
      <c r="AB13" s="3" t="n">
        <v>67295.0</v>
      </c>
      <c r="AC13" s="3" t="n">
        <v>65232.0</v>
      </c>
      <c r="AD13" s="3" t="n">
        <v>63411.0</v>
      </c>
      <c r="AE13" s="3" t="n">
        <v>61812.0</v>
      </c>
      <c r="AF13" s="3" t="n">
        <v>60394.0</v>
      </c>
      <c r="AG13" s="3" t="n">
        <v>59193.0</v>
      </c>
      <c r="AH13" s="3" t="n">
        <v>58140.0</v>
      </c>
      <c r="AI13" s="3" t="n">
        <v>57293.0</v>
      </c>
      <c r="AJ13" s="3" t="n">
        <v>56592.0</v>
      </c>
      <c r="AK13" s="3" t="n">
        <v>56047.0</v>
      </c>
      <c r="AL13" s="3" t="n">
        <v>55643.0</v>
      </c>
      <c r="AM13" s="3" t="n">
        <v>55394.0</v>
      </c>
      <c r="AN13" s="3" t="n">
        <v>55206.0</v>
      </c>
      <c r="AO13" s="3" t="n">
        <v>55067.0</v>
      </c>
    </row>
    <row r="14" spans="1:41" x14ac:dyDescent="0.2">
      <c r="A14" s="133"/>
      <c r="B14" s="64" t="s">
        <v>25</v>
      </c>
      <c r="C14" s="3" t="n">
        <v>113500.0</v>
      </c>
      <c r="D14" s="3" t="n">
        <v>108733.0</v>
      </c>
      <c r="E14" s="3" t="n">
        <v>104591.0</v>
      </c>
      <c r="F14" s="3" t="n">
        <v>101976.0</v>
      </c>
      <c r="G14" s="3" t="n">
        <v>99367.0</v>
      </c>
      <c r="H14" s="3" t="n">
        <v>96994.0</v>
      </c>
      <c r="I14" s="3" t="n">
        <v>95289.0</v>
      </c>
      <c r="J14" s="3" t="n">
        <v>94299.0</v>
      </c>
      <c r="K14" s="3" t="n">
        <v>93888.0</v>
      </c>
      <c r="L14" s="3" t="n">
        <v>94711.0</v>
      </c>
      <c r="M14" s="3" t="n">
        <v>97533.0</v>
      </c>
      <c r="N14" s="3" t="n">
        <v>101912.0</v>
      </c>
      <c r="O14" s="3" t="n">
        <v>106251.0</v>
      </c>
      <c r="P14" s="3" t="n">
        <v>109626.0</v>
      </c>
      <c r="Q14" s="3" t="n">
        <v>110471.0</v>
      </c>
      <c r="R14" s="3" t="n">
        <v>110262.0</v>
      </c>
      <c r="S14" s="3" t="n">
        <v>107510.0</v>
      </c>
      <c r="T14" s="3" t="n">
        <v>104696.0</v>
      </c>
      <c r="U14" s="3" t="n">
        <v>101887.0</v>
      </c>
      <c r="V14" s="3" t="n">
        <v>101092.0</v>
      </c>
      <c r="W14" s="3" t="n">
        <v>101006.0</v>
      </c>
      <c r="X14" s="3" t="n">
        <v>100936.0</v>
      </c>
      <c r="Y14" s="3" t="n">
        <v>99846.0</v>
      </c>
      <c r="Z14" s="3" t="n">
        <v>97883.0</v>
      </c>
      <c r="AA14" s="3" t="n">
        <v>94296.0</v>
      </c>
      <c r="AB14" s="3" t="n">
        <v>88169.0</v>
      </c>
      <c r="AC14" s="3" t="n">
        <v>82362.0</v>
      </c>
      <c r="AD14" s="3" t="n">
        <v>76977.0</v>
      </c>
      <c r="AE14" s="3" t="n">
        <v>72468.0</v>
      </c>
      <c r="AF14" s="3" t="n">
        <v>68692.0</v>
      </c>
      <c r="AG14" s="3" t="n">
        <v>66375.0</v>
      </c>
      <c r="AH14" s="3" t="n">
        <v>64358.0</v>
      </c>
      <c r="AI14" s="3" t="n">
        <v>62559.0</v>
      </c>
      <c r="AJ14" s="3" t="n">
        <v>60956.0</v>
      </c>
      <c r="AK14" s="3" t="n">
        <v>59541.0</v>
      </c>
      <c r="AL14" s="3" t="n">
        <v>58344.0</v>
      </c>
      <c r="AM14" s="3" t="n">
        <v>57297.0</v>
      </c>
      <c r="AN14" s="3" t="n">
        <v>56446.0</v>
      </c>
      <c r="AO14" s="3" t="n">
        <v>55735.0</v>
      </c>
    </row>
    <row r="15" spans="1:41" x14ac:dyDescent="0.2">
      <c r="A15" s="133"/>
      <c r="B15" s="64" t="s">
        <v>26</v>
      </c>
      <c r="C15" s="3" t="n">
        <v>135914.0</v>
      </c>
      <c r="D15" s="3" t="n">
        <v>131615.0</v>
      </c>
      <c r="E15" s="3" t="n">
        <v>126975.0</v>
      </c>
      <c r="F15" s="3" t="n">
        <v>120652.0</v>
      </c>
      <c r="G15" s="3" t="n">
        <v>115222.0</v>
      </c>
      <c r="H15" s="3" t="n">
        <v>110538.0</v>
      </c>
      <c r="I15" s="3" t="n">
        <v>106028.0</v>
      </c>
      <c r="J15" s="3" t="n">
        <v>102032.0</v>
      </c>
      <c r="K15" s="3" t="n">
        <v>99462.0</v>
      </c>
      <c r="L15" s="3" t="n">
        <v>96839.0</v>
      </c>
      <c r="M15" s="3" t="n">
        <v>94401.0</v>
      </c>
      <c r="N15" s="3" t="n">
        <v>92601.0</v>
      </c>
      <c r="O15" s="3" t="n">
        <v>91558.0</v>
      </c>
      <c r="P15" s="3" t="n">
        <v>91116.0</v>
      </c>
      <c r="Q15" s="3" t="n">
        <v>91891.0</v>
      </c>
      <c r="R15" s="3" t="n">
        <v>94577.0</v>
      </c>
      <c r="S15" s="3" t="n">
        <v>98812.0</v>
      </c>
      <c r="T15" s="3" t="n">
        <v>102993.0</v>
      </c>
      <c r="U15" s="3" t="n">
        <v>106247.0</v>
      </c>
      <c r="V15" s="3" t="n">
        <v>107050.0</v>
      </c>
      <c r="W15" s="3" t="n">
        <v>106887.0</v>
      </c>
      <c r="X15" s="3" t="n">
        <v>104255.0</v>
      </c>
      <c r="Y15" s="3" t="n">
        <v>101600.0</v>
      </c>
      <c r="Z15" s="3" t="n">
        <v>98940.0</v>
      </c>
      <c r="AA15" s="3" t="n">
        <v>98207.0</v>
      </c>
      <c r="AB15" s="3" t="n">
        <v>98138.0</v>
      </c>
      <c r="AC15" s="3" t="n">
        <v>98090.0</v>
      </c>
      <c r="AD15" s="3" t="n">
        <v>97026.0</v>
      </c>
      <c r="AE15" s="3" t="n">
        <v>95113.0</v>
      </c>
      <c r="AF15" s="3" t="n">
        <v>91662.0</v>
      </c>
      <c r="AG15" s="3" t="n">
        <v>85729.0</v>
      </c>
      <c r="AH15" s="3" t="n">
        <v>80111.0</v>
      </c>
      <c r="AI15" s="3" t="n">
        <v>74924.0</v>
      </c>
      <c r="AJ15" s="3" t="n">
        <v>70604.0</v>
      </c>
      <c r="AK15" s="3" t="n">
        <v>66935.0</v>
      </c>
      <c r="AL15" s="3" t="n">
        <v>64665.0</v>
      </c>
      <c r="AM15" s="3" t="n">
        <v>62701.0</v>
      </c>
      <c r="AN15" s="3" t="n">
        <v>60911.0</v>
      </c>
      <c r="AO15" s="3" t="n">
        <v>59326.0</v>
      </c>
    </row>
    <row r="16" spans="1:41" x14ac:dyDescent="0.2">
      <c r="A16" s="133"/>
      <c r="B16" s="64" t="s">
        <v>27</v>
      </c>
      <c r="C16" s="3" t="n">
        <v>161828.0</v>
      </c>
      <c r="D16" s="3" t="n">
        <v>154749.0</v>
      </c>
      <c r="E16" s="3" t="n">
        <v>147779.0</v>
      </c>
      <c r="F16" s="3" t="n">
        <v>142197.0</v>
      </c>
      <c r="G16" s="3" t="n">
        <v>137768.0</v>
      </c>
      <c r="H16" s="3" t="n">
        <v>133443.0</v>
      </c>
      <c r="I16" s="3" t="n">
        <v>129364.0</v>
      </c>
      <c r="J16" s="3" t="n">
        <v>124848.0</v>
      </c>
      <c r="K16" s="3" t="n">
        <v>118661.0</v>
      </c>
      <c r="L16" s="3" t="n">
        <v>113328.0</v>
      </c>
      <c r="M16" s="3" t="n">
        <v>108577.0</v>
      </c>
      <c r="N16" s="3" t="n">
        <v>103972.0</v>
      </c>
      <c r="O16" s="3" t="n">
        <v>99954.0</v>
      </c>
      <c r="P16" s="3" t="n">
        <v>97382.0</v>
      </c>
      <c r="Q16" s="3" t="n">
        <v>94762.0</v>
      </c>
      <c r="R16" s="3" t="n">
        <v>92350.0</v>
      </c>
      <c r="S16" s="3" t="n">
        <v>90556.0</v>
      </c>
      <c r="T16" s="3" t="n">
        <v>89506.0</v>
      </c>
      <c r="U16" s="3" t="n">
        <v>89056.0</v>
      </c>
      <c r="V16" s="3" t="n">
        <v>89774.0</v>
      </c>
      <c r="W16" s="3" t="n">
        <v>92358.0</v>
      </c>
      <c r="X16" s="3" t="n">
        <v>96443.0</v>
      </c>
      <c r="Y16" s="3" t="n">
        <v>100496.0</v>
      </c>
      <c r="Z16" s="3" t="n">
        <v>103651.0</v>
      </c>
      <c r="AA16" s="3" t="n">
        <v>104470.0</v>
      </c>
      <c r="AB16" s="3" t="n">
        <v>104364.0</v>
      </c>
      <c r="AC16" s="3" t="n">
        <v>101831.0</v>
      </c>
      <c r="AD16" s="3" t="n">
        <v>99266.0</v>
      </c>
      <c r="AE16" s="3" t="n">
        <v>96668.0</v>
      </c>
      <c r="AF16" s="3" t="n">
        <v>95962.0</v>
      </c>
      <c r="AG16" s="3" t="n">
        <v>95906.0</v>
      </c>
      <c r="AH16" s="3" t="n">
        <v>95868.0</v>
      </c>
      <c r="AI16" s="3" t="n">
        <v>94823.0</v>
      </c>
      <c r="AJ16" s="3" t="n">
        <v>92954.0</v>
      </c>
      <c r="AK16" s="3" t="n">
        <v>89610.0</v>
      </c>
      <c r="AL16" s="3" t="n">
        <v>83827.0</v>
      </c>
      <c r="AM16" s="3" t="n">
        <v>78362.0</v>
      </c>
      <c r="AN16" s="3" t="n">
        <v>73332.0</v>
      </c>
      <c r="AO16" s="3" t="n">
        <v>69128.0</v>
      </c>
    </row>
    <row r="17" spans="1:41" x14ac:dyDescent="0.2">
      <c r="A17" s="133"/>
      <c r="B17" s="64" t="s">
        <v>28</v>
      </c>
      <c r="C17" s="3" t="n">
        <v>163099.0</v>
      </c>
      <c r="D17" s="3" t="n">
        <v>165984.0</v>
      </c>
      <c r="E17" s="3" t="n">
        <v>167085.0</v>
      </c>
      <c r="F17" s="3" t="n">
        <v>166714.0</v>
      </c>
      <c r="G17" s="3" t="n">
        <v>164601.0</v>
      </c>
      <c r="H17" s="3" t="n">
        <v>159506.0</v>
      </c>
      <c r="I17" s="3" t="n">
        <v>152746.0</v>
      </c>
      <c r="J17" s="3" t="n">
        <v>146016.0</v>
      </c>
      <c r="K17" s="3" t="n">
        <v>140583.0</v>
      </c>
      <c r="L17" s="3" t="n">
        <v>136257.0</v>
      </c>
      <c r="M17" s="3" t="n">
        <v>131879.0</v>
      </c>
      <c r="N17" s="3" t="n">
        <v>127680.0</v>
      </c>
      <c r="O17" s="3" t="n">
        <v>123138.0</v>
      </c>
      <c r="P17" s="3" t="n">
        <v>117000.0</v>
      </c>
      <c r="Q17" s="3" t="n">
        <v>111723.0</v>
      </c>
      <c r="R17" s="3" t="n">
        <v>107015.0</v>
      </c>
      <c r="S17" s="3" t="n">
        <v>102450.0</v>
      </c>
      <c r="T17" s="3" t="n">
        <v>98455.0</v>
      </c>
      <c r="U17" s="3" t="n">
        <v>95873.0</v>
      </c>
      <c r="V17" s="3" t="n">
        <v>93268.0</v>
      </c>
      <c r="W17" s="3" t="n">
        <v>90861.0</v>
      </c>
      <c r="X17" s="3" t="n">
        <v>89090.0</v>
      </c>
      <c r="Y17" s="3" t="n">
        <v>88041.0</v>
      </c>
      <c r="Z17" s="3" t="n">
        <v>87602.0</v>
      </c>
      <c r="AA17" s="3" t="n">
        <v>88280.0</v>
      </c>
      <c r="AB17" s="3" t="n">
        <v>90787.0</v>
      </c>
      <c r="AC17" s="3" t="n">
        <v>94763.0</v>
      </c>
      <c r="AD17" s="3" t="n">
        <v>98720.0</v>
      </c>
      <c r="AE17" s="3" t="n">
        <v>101837.0</v>
      </c>
      <c r="AF17" s="3" t="n">
        <v>102653.0</v>
      </c>
      <c r="AG17" s="3" t="n">
        <v>102563.0</v>
      </c>
      <c r="AH17" s="3" t="n">
        <v>100086.0</v>
      </c>
      <c r="AI17" s="3" t="n">
        <v>97568.0</v>
      </c>
      <c r="AJ17" s="3" t="n">
        <v>95023.0</v>
      </c>
      <c r="AK17" s="3" t="n">
        <v>94344.0</v>
      </c>
      <c r="AL17" s="3" t="n">
        <v>94301.0</v>
      </c>
      <c r="AM17" s="3" t="n">
        <v>94268.0</v>
      </c>
      <c r="AN17" s="3" t="n">
        <v>93235.0</v>
      </c>
      <c r="AO17" s="3" t="n">
        <v>91375.0</v>
      </c>
    </row>
    <row r="18" spans="1:41" x14ac:dyDescent="0.2">
      <c r="A18" s="133"/>
      <c r="B18" s="64" t="s">
        <v>29</v>
      </c>
      <c r="C18" s="3" t="n">
        <v>152714.0</v>
      </c>
      <c r="D18" s="3" t="n">
        <v>154791.0</v>
      </c>
      <c r="E18" s="3" t="n">
        <v>157328.0</v>
      </c>
      <c r="F18" s="3" t="n">
        <v>158669.0</v>
      </c>
      <c r="G18" s="3" t="n">
        <v>158339.0</v>
      </c>
      <c r="H18" s="3" t="n">
        <v>160767.0</v>
      </c>
      <c r="I18" s="3" t="n">
        <v>163697.0</v>
      </c>
      <c r="J18" s="3" t="n">
        <v>164839.0</v>
      </c>
      <c r="K18" s="3" t="n">
        <v>164523.0</v>
      </c>
      <c r="L18" s="3" t="n">
        <v>162502.0</v>
      </c>
      <c r="M18" s="3" t="n">
        <v>157470.0</v>
      </c>
      <c r="N18" s="3" t="n">
        <v>150722.0</v>
      </c>
      <c r="O18" s="3" t="n">
        <v>144092.0</v>
      </c>
      <c r="P18" s="3" t="n">
        <v>138746.0</v>
      </c>
      <c r="Q18" s="3" t="n">
        <v>134475.0</v>
      </c>
      <c r="R18" s="3" t="n">
        <v>130153.0</v>
      </c>
      <c r="S18" s="3" t="n">
        <v>126022.0</v>
      </c>
      <c r="T18" s="3" t="n">
        <v>121522.0</v>
      </c>
      <c r="U18" s="3" t="n">
        <v>115457.0</v>
      </c>
      <c r="V18" s="3" t="n">
        <v>110222.0</v>
      </c>
      <c r="W18" s="3" t="n">
        <v>105579.0</v>
      </c>
      <c r="X18" s="3" t="n">
        <v>101066.0</v>
      </c>
      <c r="Y18" s="3" t="n">
        <v>97128.0</v>
      </c>
      <c r="Z18" s="3" t="n">
        <v>94568.0</v>
      </c>
      <c r="AA18" s="3" t="n">
        <v>91966.0</v>
      </c>
      <c r="AB18" s="3" t="n">
        <v>89588.0</v>
      </c>
      <c r="AC18" s="3" t="n">
        <v>87824.0</v>
      </c>
      <c r="AD18" s="3" t="n">
        <v>86788.0</v>
      </c>
      <c r="AE18" s="3" t="n">
        <v>86330.0</v>
      </c>
      <c r="AF18" s="3" t="n">
        <v>86996.0</v>
      </c>
      <c r="AG18" s="3" t="n">
        <v>89455.0</v>
      </c>
      <c r="AH18" s="3" t="n">
        <v>93350.0</v>
      </c>
      <c r="AI18" s="3" t="n">
        <v>97215.0</v>
      </c>
      <c r="AJ18" s="3" t="n">
        <v>100260.0</v>
      </c>
      <c r="AK18" s="3" t="n">
        <v>101064.0</v>
      </c>
      <c r="AL18" s="3" t="n">
        <v>100986.0</v>
      </c>
      <c r="AM18" s="3" t="n">
        <v>98543.0</v>
      </c>
      <c r="AN18" s="3" t="n">
        <v>96088.0</v>
      </c>
      <c r="AO18" s="3" t="n">
        <v>93600.0</v>
      </c>
    </row>
    <row r="19" spans="1:41" x14ac:dyDescent="0.2">
      <c r="A19" s="133"/>
      <c r="B19" s="64" t="s">
        <v>30</v>
      </c>
      <c r="C19" s="3" t="n">
        <v>128869.0</v>
      </c>
      <c r="D19" s="3" t="n">
        <v>132908.0</v>
      </c>
      <c r="E19" s="3" t="n">
        <v>136877.0</v>
      </c>
      <c r="F19" s="3" t="n">
        <v>141513.0</v>
      </c>
      <c r="G19" s="3" t="n">
        <v>146358.0</v>
      </c>
      <c r="H19" s="3" t="n">
        <v>149285.0</v>
      </c>
      <c r="I19" s="3" t="n">
        <v>151441.0</v>
      </c>
      <c r="J19" s="3" t="n">
        <v>153996.0</v>
      </c>
      <c r="K19" s="3" t="n">
        <v>155354.0</v>
      </c>
      <c r="L19" s="3" t="n">
        <v>155073.0</v>
      </c>
      <c r="M19" s="3" t="n">
        <v>157387.0</v>
      </c>
      <c r="N19" s="3" t="n">
        <v>160174.0</v>
      </c>
      <c r="O19" s="3" t="n">
        <v>161251.0</v>
      </c>
      <c r="P19" s="3" t="n">
        <v>160916.0</v>
      </c>
      <c r="Q19" s="3" t="n">
        <v>158928.0</v>
      </c>
      <c r="R19" s="3" t="n">
        <v>154020.0</v>
      </c>
      <c r="S19" s="3" t="n">
        <v>147449.0</v>
      </c>
      <c r="T19" s="3" t="n">
        <v>141017.0</v>
      </c>
      <c r="U19" s="3" t="n">
        <v>135822.0</v>
      </c>
      <c r="V19" s="3" t="n">
        <v>131691.0</v>
      </c>
      <c r="W19" s="3" t="n">
        <v>127447.0</v>
      </c>
      <c r="X19" s="3" t="n">
        <v>123383.0</v>
      </c>
      <c r="Y19" s="3" t="n">
        <v>118969.0</v>
      </c>
      <c r="Z19" s="3" t="n">
        <v>113035.0</v>
      </c>
      <c r="AA19" s="3" t="n">
        <v>107904.0</v>
      </c>
      <c r="AB19" s="3" t="n">
        <v>103339.0</v>
      </c>
      <c r="AC19" s="3" t="n">
        <v>98905.0</v>
      </c>
      <c r="AD19" s="3" t="n">
        <v>95019.0</v>
      </c>
      <c r="AE19" s="3" t="n">
        <v>92512.0</v>
      </c>
      <c r="AF19" s="3" t="n">
        <v>89944.0</v>
      </c>
      <c r="AG19" s="3" t="n">
        <v>87622.0</v>
      </c>
      <c r="AH19" s="3" t="n">
        <v>85886.0</v>
      </c>
      <c r="AI19" s="3" t="n">
        <v>84871.0</v>
      </c>
      <c r="AJ19" s="3" t="n">
        <v>84423.0</v>
      </c>
      <c r="AK19" s="3" t="n">
        <v>85067.0</v>
      </c>
      <c r="AL19" s="3" t="n">
        <v>87466.0</v>
      </c>
      <c r="AM19" s="3" t="n">
        <v>91281.0</v>
      </c>
      <c r="AN19" s="3" t="n">
        <v>95056.0</v>
      </c>
      <c r="AO19" s="3" t="n">
        <v>98036.0</v>
      </c>
    </row>
    <row r="20" spans="1:41" x14ac:dyDescent="0.2">
      <c r="A20" s="133"/>
      <c r="B20" s="64" t="s">
        <v>31</v>
      </c>
      <c r="C20" s="3" t="n">
        <v>120090.0</v>
      </c>
      <c r="D20" s="3" t="n">
        <v>118504.0</v>
      </c>
      <c r="E20" s="3" t="n">
        <v>118157.0</v>
      </c>
      <c r="F20" s="3" t="n">
        <v>118943.0</v>
      </c>
      <c r="G20" s="3" t="n">
        <v>121330.0</v>
      </c>
      <c r="H20" s="3" t="n">
        <v>124321.0</v>
      </c>
      <c r="I20" s="3" t="n">
        <v>128283.0</v>
      </c>
      <c r="J20" s="3" t="n">
        <v>132191.0</v>
      </c>
      <c r="K20" s="3" t="n">
        <v>136731.0</v>
      </c>
      <c r="L20" s="3" t="n">
        <v>141457.0</v>
      </c>
      <c r="M20" s="3" t="n">
        <v>144280.0</v>
      </c>
      <c r="N20" s="3" t="n">
        <v>146331.0</v>
      </c>
      <c r="O20" s="3" t="n">
        <v>148800.0</v>
      </c>
      <c r="P20" s="3" t="n">
        <v>150132.0</v>
      </c>
      <c r="Q20" s="3" t="n">
        <v>149886.0</v>
      </c>
      <c r="R20" s="3" t="n">
        <v>152139.0</v>
      </c>
      <c r="S20" s="3" t="n">
        <v>154832.0</v>
      </c>
      <c r="T20" s="3" t="n">
        <v>155852.0</v>
      </c>
      <c r="U20" s="3" t="n">
        <v>155539.0</v>
      </c>
      <c r="V20" s="3" t="n">
        <v>153619.0</v>
      </c>
      <c r="W20" s="3" t="n">
        <v>148909.0</v>
      </c>
      <c r="X20" s="3" t="n">
        <v>142611.0</v>
      </c>
      <c r="Y20" s="3" t="n">
        <v>136471.0</v>
      </c>
      <c r="Z20" s="3" t="n">
        <v>131499.0</v>
      </c>
      <c r="AA20" s="3" t="n">
        <v>127533.0</v>
      </c>
      <c r="AB20" s="3" t="n">
        <v>123414.0</v>
      </c>
      <c r="AC20" s="3" t="n">
        <v>119490.0</v>
      </c>
      <c r="AD20" s="3" t="n">
        <v>115227.0</v>
      </c>
      <c r="AE20" s="3" t="n">
        <v>109477.0</v>
      </c>
      <c r="AF20" s="3" t="n">
        <v>104501.0</v>
      </c>
      <c r="AG20" s="3" t="n">
        <v>100066.0</v>
      </c>
      <c r="AH20" s="3" t="n">
        <v>95746.0</v>
      </c>
      <c r="AI20" s="3" t="n">
        <v>91969.0</v>
      </c>
      <c r="AJ20" s="3" t="n">
        <v>89508.0</v>
      </c>
      <c r="AK20" s="3" t="n">
        <v>87005.0</v>
      </c>
      <c r="AL20" s="3" t="n">
        <v>84742.0</v>
      </c>
      <c r="AM20" s="3" t="n">
        <v>83039.0</v>
      </c>
      <c r="AN20" s="3" t="n">
        <v>82040.0</v>
      </c>
      <c r="AO20" s="3" t="n">
        <v>81607.0</v>
      </c>
    </row>
    <row r="21" spans="1:41" x14ac:dyDescent="0.2">
      <c r="A21" s="133"/>
      <c r="B21" s="64" t="s">
        <v>32</v>
      </c>
      <c r="C21" s="3" t="n">
        <v>134658.0</v>
      </c>
      <c r="D21" s="3" t="n">
        <v>128407.0</v>
      </c>
      <c r="E21" s="3" t="n">
        <v>122977.0</v>
      </c>
      <c r="F21" s="3" t="n">
        <v>118922.0</v>
      </c>
      <c r="G21" s="3" t="n">
        <v>115740.0</v>
      </c>
      <c r="H21" s="3" t="n">
        <v>113498.0</v>
      </c>
      <c r="I21" s="3" t="n">
        <v>112084.0</v>
      </c>
      <c r="J21" s="3" t="n">
        <v>111824.0</v>
      </c>
      <c r="K21" s="3" t="n">
        <v>112610.0</v>
      </c>
      <c r="L21" s="3" t="n">
        <v>114912.0</v>
      </c>
      <c r="M21" s="3" t="n">
        <v>117748.0</v>
      </c>
      <c r="N21" s="3" t="n">
        <v>121495.0</v>
      </c>
      <c r="O21" s="3" t="n">
        <v>125193.0</v>
      </c>
      <c r="P21" s="3" t="n">
        <v>129524.0</v>
      </c>
      <c r="Q21" s="3" t="n">
        <v>134052.0</v>
      </c>
      <c r="R21" s="3" t="n">
        <v>136766.0</v>
      </c>
      <c r="S21" s="3" t="n">
        <v>138766.0</v>
      </c>
      <c r="T21" s="3" t="n">
        <v>141154.0</v>
      </c>
      <c r="U21" s="3" t="n">
        <v>142465.0</v>
      </c>
      <c r="V21" s="3" t="n">
        <v>142267.0</v>
      </c>
      <c r="W21" s="3" t="n">
        <v>144445.0</v>
      </c>
      <c r="X21" s="3" t="n">
        <v>147042.0</v>
      </c>
      <c r="Y21" s="3" t="n">
        <v>148028.0</v>
      </c>
      <c r="Z21" s="3" t="n">
        <v>147734.0</v>
      </c>
      <c r="AA21" s="3" t="n">
        <v>145891.0</v>
      </c>
      <c r="AB21" s="3" t="n">
        <v>141437.0</v>
      </c>
      <c r="AC21" s="3" t="n">
        <v>135474.0</v>
      </c>
      <c r="AD21" s="3" t="n">
        <v>129677.0</v>
      </c>
      <c r="AE21" s="3" t="n">
        <v>125018.0</v>
      </c>
      <c r="AF21" s="3" t="n">
        <v>121308.0</v>
      </c>
      <c r="AG21" s="3" t="n">
        <v>117399.0</v>
      </c>
      <c r="AH21" s="3" t="n">
        <v>113692.0</v>
      </c>
      <c r="AI21" s="3" t="n">
        <v>109635.0</v>
      </c>
      <c r="AJ21" s="3" t="n">
        <v>104178.0</v>
      </c>
      <c r="AK21" s="3" t="n">
        <v>99451.0</v>
      </c>
      <c r="AL21" s="3" t="n">
        <v>95216.0</v>
      </c>
      <c r="AM21" s="3" t="n">
        <v>91111.0</v>
      </c>
      <c r="AN21" s="3" t="n">
        <v>87511.0</v>
      </c>
      <c r="AO21" s="3" t="n">
        <v>85161.0</v>
      </c>
    </row>
    <row r="22" spans="1:41" x14ac:dyDescent="0.2">
      <c r="A22" s="133"/>
      <c r="B22" s="65" t="s">
        <v>33</v>
      </c>
      <c r="C22" s="3" t="n">
        <v>137233.0</v>
      </c>
      <c r="D22" s="3" t="n">
        <v>138288.0</v>
      </c>
      <c r="E22" s="3" t="n">
        <v>137525.0</v>
      </c>
      <c r="F22" s="3" t="n">
        <v>134141.0</v>
      </c>
      <c r="G22" s="3" t="n">
        <v>129272.0</v>
      </c>
      <c r="H22" s="3" t="n">
        <v>123564.0</v>
      </c>
      <c r="I22" s="3" t="n">
        <v>117944.0</v>
      </c>
      <c r="J22" s="3" t="n">
        <v>113039.0</v>
      </c>
      <c r="K22" s="3" t="n">
        <v>109376.0</v>
      </c>
      <c r="L22" s="3" t="n">
        <v>106527.0</v>
      </c>
      <c r="M22" s="3" t="n">
        <v>104518.0</v>
      </c>
      <c r="N22" s="3" t="n">
        <v>103232.0</v>
      </c>
      <c r="O22" s="3" t="n">
        <v>103064.0</v>
      </c>
      <c r="P22" s="3" t="n">
        <v>103831.0</v>
      </c>
      <c r="Q22" s="3" t="n">
        <v>106013.0</v>
      </c>
      <c r="R22" s="3" t="n">
        <v>108661.0</v>
      </c>
      <c r="S22" s="3" t="n">
        <v>112183.0</v>
      </c>
      <c r="T22" s="3" t="n">
        <v>115633.0</v>
      </c>
      <c r="U22" s="3" t="n">
        <v>119703.0</v>
      </c>
      <c r="V22" s="3" t="n">
        <v>123944.0</v>
      </c>
      <c r="W22" s="3" t="n">
        <v>126485.0</v>
      </c>
      <c r="X22" s="3" t="n">
        <v>128392.0</v>
      </c>
      <c r="Y22" s="3" t="n">
        <v>130645.0</v>
      </c>
      <c r="Z22" s="3" t="n">
        <v>131897.0</v>
      </c>
      <c r="AA22" s="3" t="n">
        <v>131764.0</v>
      </c>
      <c r="AB22" s="3" t="n">
        <v>133810.0</v>
      </c>
      <c r="AC22" s="3" t="n">
        <v>136250.0</v>
      </c>
      <c r="AD22" s="3" t="n">
        <v>137191.0</v>
      </c>
      <c r="AE22" s="3" t="n">
        <v>136920.0</v>
      </c>
      <c r="AF22" s="3" t="n">
        <v>135207.0</v>
      </c>
      <c r="AG22" s="3" t="n">
        <v>131113.0</v>
      </c>
      <c r="AH22" s="3" t="n">
        <v>125587.0</v>
      </c>
      <c r="AI22" s="3" t="n">
        <v>120255.0</v>
      </c>
      <c r="AJ22" s="3" t="n">
        <v>116001.0</v>
      </c>
      <c r="AK22" s="3" t="n">
        <v>112607.0</v>
      </c>
      <c r="AL22" s="3" t="n">
        <v>108997.0</v>
      </c>
      <c r="AM22" s="3" t="n">
        <v>105552.0</v>
      </c>
      <c r="AN22" s="3" t="n">
        <v>101781.0</v>
      </c>
      <c r="AO22" s="3" t="n">
        <v>96723.0</v>
      </c>
    </row>
    <row r="23" spans="1:41" x14ac:dyDescent="0.2">
      <c r="A23" s="133"/>
      <c r="B23" s="64" t="s">
        <v>34</v>
      </c>
      <c r="C23" s="3" t="n">
        <v>111967.0</v>
      </c>
      <c r="D23" s="3" t="n">
        <v>114171.0</v>
      </c>
      <c r="E23" s="3" t="n">
        <v>115751.0</v>
      </c>
      <c r="F23" s="3" t="n">
        <v>117762.0</v>
      </c>
      <c r="G23" s="3" t="n">
        <v>119697.0</v>
      </c>
      <c r="H23" s="3" t="n">
        <v>121671.0</v>
      </c>
      <c r="I23" s="3" t="n">
        <v>122697.0</v>
      </c>
      <c r="J23" s="3" t="n">
        <v>122095.0</v>
      </c>
      <c r="K23" s="3" t="n">
        <v>119175.0</v>
      </c>
      <c r="L23" s="3" t="n">
        <v>114903.0</v>
      </c>
      <c r="M23" s="3" t="n">
        <v>109888.0</v>
      </c>
      <c r="N23" s="3" t="n">
        <v>104960.0</v>
      </c>
      <c r="O23" s="3" t="n">
        <v>100677.0</v>
      </c>
      <c r="P23" s="3" t="n">
        <v>97517.0</v>
      </c>
      <c r="Q23" s="3" t="n">
        <v>95062.0</v>
      </c>
      <c r="R23" s="3" t="n">
        <v>93327.0</v>
      </c>
      <c r="S23" s="3" t="n">
        <v>92261.0</v>
      </c>
      <c r="T23" s="3" t="n">
        <v>92152.0</v>
      </c>
      <c r="U23" s="3" t="n">
        <v>92892.0</v>
      </c>
      <c r="V23" s="3" t="n">
        <v>94901.0</v>
      </c>
      <c r="W23" s="3" t="n">
        <v>97330.0</v>
      </c>
      <c r="X23" s="3" t="n">
        <v>100542.0</v>
      </c>
      <c r="Y23" s="3" t="n">
        <v>103691.0</v>
      </c>
      <c r="Z23" s="3" t="n">
        <v>107373.0</v>
      </c>
      <c r="AA23" s="3" t="n">
        <v>111208.0</v>
      </c>
      <c r="AB23" s="3" t="n">
        <v>113515.0</v>
      </c>
      <c r="AC23" s="3" t="n">
        <v>115266.0</v>
      </c>
      <c r="AD23" s="3" t="n">
        <v>117303.0</v>
      </c>
      <c r="AE23" s="3" t="n">
        <v>118508.0</v>
      </c>
      <c r="AF23" s="3" t="n">
        <v>118423.0</v>
      </c>
      <c r="AG23" s="3" t="n">
        <v>120309.0</v>
      </c>
      <c r="AH23" s="3" t="n">
        <v>122534.0</v>
      </c>
      <c r="AI23" s="3" t="n">
        <v>123412.0</v>
      </c>
      <c r="AJ23" s="3" t="n">
        <v>123184.0</v>
      </c>
      <c r="AK23" s="3" t="n">
        <v>121632.0</v>
      </c>
      <c r="AL23" s="3" t="n">
        <v>117969.0</v>
      </c>
      <c r="AM23" s="3" t="n">
        <v>113069.0</v>
      </c>
      <c r="AN23" s="3" t="n">
        <v>108341.0</v>
      </c>
      <c r="AO23" s="3" t="n">
        <v>104582.0</v>
      </c>
    </row>
    <row r="24" spans="1:41" x14ac:dyDescent="0.2">
      <c r="A24" s="133"/>
      <c r="B24" s="64" t="s">
        <v>35</v>
      </c>
      <c r="C24" s="3" t="n">
        <v>62928.0</v>
      </c>
      <c r="D24" s="3" t="n">
        <v>70654.0</v>
      </c>
      <c r="E24" s="3" t="n">
        <v>79511.0</v>
      </c>
      <c r="F24" s="3" t="n">
        <v>88367.0</v>
      </c>
      <c r="G24" s="3" t="n">
        <v>91626.0</v>
      </c>
      <c r="H24" s="3" t="n">
        <v>94336.0</v>
      </c>
      <c r="I24" s="3" t="n">
        <v>96314.0</v>
      </c>
      <c r="J24" s="3" t="n">
        <v>97761.0</v>
      </c>
      <c r="K24" s="3" t="n">
        <v>99592.0</v>
      </c>
      <c r="L24" s="3" t="n">
        <v>101353.0</v>
      </c>
      <c r="M24" s="3" t="n">
        <v>103084.0</v>
      </c>
      <c r="N24" s="3" t="n">
        <v>104005.0</v>
      </c>
      <c r="O24" s="3" t="n">
        <v>103501.0</v>
      </c>
      <c r="P24" s="3" t="n">
        <v>101065.0</v>
      </c>
      <c r="Q24" s="3" t="n">
        <v>97526.0</v>
      </c>
      <c r="R24" s="3" t="n">
        <v>93342.0</v>
      </c>
      <c r="S24" s="3" t="n">
        <v>89279.0</v>
      </c>
      <c r="T24" s="3" t="n">
        <v>85729.0</v>
      </c>
      <c r="U24" s="3" t="n">
        <v>83113.0</v>
      </c>
      <c r="V24" s="3" t="n">
        <v>81095.0</v>
      </c>
      <c r="W24" s="3" t="n">
        <v>79710.0</v>
      </c>
      <c r="X24" s="3" t="n">
        <v>78854.0</v>
      </c>
      <c r="Y24" s="3" t="n">
        <v>78868.0</v>
      </c>
      <c r="Z24" s="3" t="n">
        <v>79562.0</v>
      </c>
      <c r="AA24" s="3" t="n">
        <v>81335.0</v>
      </c>
      <c r="AB24" s="3" t="n">
        <v>83454.0</v>
      </c>
      <c r="AC24" s="3" t="n">
        <v>86238.0</v>
      </c>
      <c r="AD24" s="3" t="n">
        <v>88943.0</v>
      </c>
      <c r="AE24" s="3" t="n">
        <v>92168.0</v>
      </c>
      <c r="AF24" s="3" t="n">
        <v>95511.0</v>
      </c>
      <c r="AG24" s="3" t="n">
        <v>97516.0</v>
      </c>
      <c r="AH24" s="3" t="n">
        <v>99063.0</v>
      </c>
      <c r="AI24" s="3" t="n">
        <v>100848.0</v>
      </c>
      <c r="AJ24" s="3" t="n">
        <v>101930.0</v>
      </c>
      <c r="AK24" s="3" t="n">
        <v>101909.0</v>
      </c>
      <c r="AL24" s="3" t="n">
        <v>103557.0</v>
      </c>
      <c r="AM24" s="3" t="n">
        <v>105528.0</v>
      </c>
      <c r="AN24" s="3" t="n">
        <v>106334.0</v>
      </c>
      <c r="AO24" s="3" t="n">
        <v>106145.0</v>
      </c>
    </row>
    <row r="25" spans="1:41" x14ac:dyDescent="0.2">
      <c r="A25" s="133"/>
      <c r="B25" s="64" t="s">
        <v>36</v>
      </c>
      <c r="C25" s="3" t="n">
        <v>40812.0</v>
      </c>
      <c r="D25" s="3" t="n">
        <v>40091.0</v>
      </c>
      <c r="E25" s="3" t="n">
        <v>39135.0</v>
      </c>
      <c r="F25" s="3" t="n">
        <v>38371.0</v>
      </c>
      <c r="G25" s="3" t="n">
        <v>43120.0</v>
      </c>
      <c r="H25" s="3" t="n">
        <v>48501.0</v>
      </c>
      <c r="I25" s="3" t="n">
        <v>54611.0</v>
      </c>
      <c r="J25" s="3" t="n">
        <v>61418.0</v>
      </c>
      <c r="K25" s="3" t="n">
        <v>68122.0</v>
      </c>
      <c r="L25" s="3" t="n">
        <v>70741.0</v>
      </c>
      <c r="M25" s="3" t="n">
        <v>72912.0</v>
      </c>
      <c r="N25" s="3" t="n">
        <v>74539.0</v>
      </c>
      <c r="O25" s="3" t="n">
        <v>75793.0</v>
      </c>
      <c r="P25" s="3" t="n">
        <v>77301.0</v>
      </c>
      <c r="Q25" s="3" t="n">
        <v>78746.0</v>
      </c>
      <c r="R25" s="3" t="n">
        <v>80149.0</v>
      </c>
      <c r="S25" s="3" t="n">
        <v>80906.0</v>
      </c>
      <c r="T25" s="3" t="n">
        <v>80509.0</v>
      </c>
      <c r="U25" s="3" t="n">
        <v>78651.0</v>
      </c>
      <c r="V25" s="3" t="n">
        <v>75892.0</v>
      </c>
      <c r="W25" s="3" t="n">
        <v>72705.0</v>
      </c>
      <c r="X25" s="3" t="n">
        <v>69647.0</v>
      </c>
      <c r="Y25" s="3" t="n">
        <v>66993.0</v>
      </c>
      <c r="Z25" s="3" t="n">
        <v>65064.0</v>
      </c>
      <c r="AA25" s="3" t="n">
        <v>63522.0</v>
      </c>
      <c r="AB25" s="3" t="n">
        <v>62518.0</v>
      </c>
      <c r="AC25" s="3" t="n">
        <v>61912.0</v>
      </c>
      <c r="AD25" s="3" t="n">
        <v>61979.0</v>
      </c>
      <c r="AE25" s="3" t="n">
        <v>62590.0</v>
      </c>
      <c r="AF25" s="3" t="n">
        <v>64073.0</v>
      </c>
      <c r="AG25" s="3" t="n">
        <v>65815.0</v>
      </c>
      <c r="AH25" s="3" t="n">
        <v>68097.0</v>
      </c>
      <c r="AI25" s="3" t="n">
        <v>70265.0</v>
      </c>
      <c r="AJ25" s="3" t="n">
        <v>72845.0</v>
      </c>
      <c r="AK25" s="3" t="n">
        <v>75561.0</v>
      </c>
      <c r="AL25" s="3" t="n">
        <v>77146.0</v>
      </c>
      <c r="AM25" s="3" t="n">
        <v>78410.0</v>
      </c>
      <c r="AN25" s="3" t="n">
        <v>79838.0</v>
      </c>
      <c r="AO25" s="3" t="n">
        <v>80742.0</v>
      </c>
    </row>
    <row r="26" spans="1:41" x14ac:dyDescent="0.2">
      <c r="A26" s="133"/>
      <c r="B26" s="64" t="s">
        <v>37</v>
      </c>
      <c r="C26" s="3" t="n">
        <v>25950.0</v>
      </c>
      <c r="D26" s="3" t="n">
        <v>26166.0</v>
      </c>
      <c r="E26" s="3" t="n">
        <v>26135.0</v>
      </c>
      <c r="F26" s="3" t="n">
        <v>25934.0</v>
      </c>
      <c r="G26" s="3" t="n">
        <v>25789.0</v>
      </c>
      <c r="H26" s="3" t="n">
        <v>25421.0</v>
      </c>
      <c r="I26" s="3" t="n">
        <v>25048.0</v>
      </c>
      <c r="J26" s="3" t="n">
        <v>24514.0</v>
      </c>
      <c r="K26" s="3" t="n">
        <v>24112.0</v>
      </c>
      <c r="L26" s="3" t="n">
        <v>27535.0</v>
      </c>
      <c r="M26" s="3" t="n">
        <v>31224.0</v>
      </c>
      <c r="N26" s="3" t="n">
        <v>35257.0</v>
      </c>
      <c r="O26" s="3" t="n">
        <v>39564.0</v>
      </c>
      <c r="P26" s="3" t="n">
        <v>43684.0</v>
      </c>
      <c r="Q26" s="3" t="n">
        <v>45412.0</v>
      </c>
      <c r="R26" s="3" t="n">
        <v>46843.0</v>
      </c>
      <c r="S26" s="3" t="n">
        <v>47995.0</v>
      </c>
      <c r="T26" s="3" t="n">
        <v>48871.0</v>
      </c>
      <c r="U26" s="3" t="n">
        <v>49987.0</v>
      </c>
      <c r="V26" s="3" t="n">
        <v>50989.0</v>
      </c>
      <c r="W26" s="3" t="n">
        <v>51979.0</v>
      </c>
      <c r="X26" s="3" t="n">
        <v>52494.0</v>
      </c>
      <c r="Y26" s="3" t="n">
        <v>52246.0</v>
      </c>
      <c r="Z26" s="3" t="n">
        <v>51024.0</v>
      </c>
      <c r="AA26" s="3" t="n">
        <v>49221.0</v>
      </c>
      <c r="AB26" s="3" t="n">
        <v>47224.0</v>
      </c>
      <c r="AC26" s="3" t="n">
        <v>45360.0</v>
      </c>
      <c r="AD26" s="3" t="n">
        <v>43700.0</v>
      </c>
      <c r="AE26" s="3" t="n">
        <v>42525.0</v>
      </c>
      <c r="AF26" s="3" t="n">
        <v>41584.0</v>
      </c>
      <c r="AG26" s="3" t="n">
        <v>41010.0</v>
      </c>
      <c r="AH26" s="3" t="n">
        <v>40703.0</v>
      </c>
      <c r="AI26" s="3" t="n">
        <v>40843.0</v>
      </c>
      <c r="AJ26" s="3" t="n">
        <v>41332.0</v>
      </c>
      <c r="AK26" s="3" t="n">
        <v>42408.0</v>
      </c>
      <c r="AL26" s="3" t="n">
        <v>43617.0</v>
      </c>
      <c r="AM26" s="3" t="n">
        <v>45173.0</v>
      </c>
      <c r="AN26" s="3" t="n">
        <v>46660.0</v>
      </c>
      <c r="AO26" s="3" t="n">
        <v>48453.0</v>
      </c>
    </row>
    <row r="27" spans="1:41" x14ac:dyDescent="0.2">
      <c r="A27" s="133"/>
      <c r="B27" s="74" t="s">
        <v>80</v>
      </c>
      <c r="C27" s="3" t="n">
        <v>10871.0</v>
      </c>
      <c r="D27" s="3" t="n">
        <v>11207.0</v>
      </c>
      <c r="E27" s="3" t="n">
        <v>11484.0</v>
      </c>
      <c r="F27" s="3" t="n">
        <v>11793.0</v>
      </c>
      <c r="G27" s="3" t="n">
        <v>11963.0</v>
      </c>
      <c r="H27" s="3" t="n">
        <v>12154.0</v>
      </c>
      <c r="I27" s="3" t="n">
        <v>12301.0</v>
      </c>
      <c r="J27" s="3" t="n">
        <v>12319.0</v>
      </c>
      <c r="K27" s="3" t="n">
        <v>12278.0</v>
      </c>
      <c r="L27" s="3" t="n">
        <v>12263.0</v>
      </c>
      <c r="M27" s="3" t="n">
        <v>12112.0</v>
      </c>
      <c r="N27" s="3" t="n">
        <v>11985.0</v>
      </c>
      <c r="O27" s="3" t="n">
        <v>11769.0</v>
      </c>
      <c r="P27" s="3" t="n">
        <v>11628.0</v>
      </c>
      <c r="Q27" s="3" t="n">
        <v>13546.0</v>
      </c>
      <c r="R27" s="3" t="n">
        <v>15489.0</v>
      </c>
      <c r="S27" s="3" t="n">
        <v>17538.0</v>
      </c>
      <c r="T27" s="3" t="n">
        <v>19643.0</v>
      </c>
      <c r="U27" s="3" t="n">
        <v>21563.0</v>
      </c>
      <c r="V27" s="3" t="n">
        <v>22446.0</v>
      </c>
      <c r="W27" s="3" t="n">
        <v>23211.0</v>
      </c>
      <c r="X27" s="3" t="n">
        <v>23813.0</v>
      </c>
      <c r="Y27" s="3" t="n">
        <v>24305.0</v>
      </c>
      <c r="Z27" s="3" t="n">
        <v>24937.0</v>
      </c>
      <c r="AA27" s="3" t="n">
        <v>25494.0</v>
      </c>
      <c r="AB27" s="3" t="n">
        <v>26054.0</v>
      </c>
      <c r="AC27" s="3" t="n">
        <v>26332.0</v>
      </c>
      <c r="AD27" s="3" t="n">
        <v>26181.0</v>
      </c>
      <c r="AE27" s="3" t="n">
        <v>25587.0</v>
      </c>
      <c r="AF27" s="3" t="n">
        <v>24673.0</v>
      </c>
      <c r="AG27" s="3" t="n">
        <v>23697.0</v>
      </c>
      <c r="AH27" s="3" t="n">
        <v>22864.0</v>
      </c>
      <c r="AI27" s="3" t="n">
        <v>22126.0</v>
      </c>
      <c r="AJ27" s="3" t="n">
        <v>21594.0</v>
      </c>
      <c r="AK27" s="3" t="n">
        <v>21153.0</v>
      </c>
      <c r="AL27" s="3" t="n">
        <v>20921.0</v>
      </c>
      <c r="AM27" s="3" t="n">
        <v>20819.0</v>
      </c>
      <c r="AN27" s="3" t="n">
        <v>20935.0</v>
      </c>
      <c r="AO27" s="3" t="n">
        <v>21246.0</v>
      </c>
    </row>
    <row r="28" spans="1:41" x14ac:dyDescent="0.2">
      <c r="A28" s="133"/>
      <c r="B28" s="74" t="s">
        <v>81</v>
      </c>
      <c r="C28" s="3" t="n">
        <v>2505.0</v>
      </c>
      <c r="D28" s="3" t="n">
        <v>2593.0</v>
      </c>
      <c r="E28" s="3" t="n">
        <v>2712.0</v>
      </c>
      <c r="F28" s="3" t="n">
        <v>2929.0</v>
      </c>
      <c r="G28" s="3" t="n">
        <v>3130.0</v>
      </c>
      <c r="H28" s="3" t="n">
        <v>3298.0</v>
      </c>
      <c r="I28" s="3" t="n">
        <v>3410.0</v>
      </c>
      <c r="J28" s="3" t="n">
        <v>3515.0</v>
      </c>
      <c r="K28" s="3" t="n">
        <v>3654.0</v>
      </c>
      <c r="L28" s="3" t="n">
        <v>3725.0</v>
      </c>
      <c r="M28" s="3" t="n">
        <v>3808.0</v>
      </c>
      <c r="N28" s="3" t="n">
        <v>3870.0</v>
      </c>
      <c r="O28" s="3" t="n">
        <v>3897.0</v>
      </c>
      <c r="P28" s="3" t="n">
        <v>3903.0</v>
      </c>
      <c r="Q28" s="3" t="n">
        <v>3932.0</v>
      </c>
      <c r="R28" s="3" t="n">
        <v>3906.0</v>
      </c>
      <c r="S28" s="3" t="n">
        <v>3883.0</v>
      </c>
      <c r="T28" s="3" t="n">
        <v>3812.0</v>
      </c>
      <c r="U28" s="3" t="n">
        <v>3786.0</v>
      </c>
      <c r="V28" s="3" t="n">
        <v>4551.0</v>
      </c>
      <c r="W28" s="3" t="n">
        <v>5256.0</v>
      </c>
      <c r="X28" s="3" t="n">
        <v>5959.0</v>
      </c>
      <c r="Y28" s="3" t="n">
        <v>6662.0</v>
      </c>
      <c r="Z28" s="3" t="n">
        <v>7262.0</v>
      </c>
      <c r="AA28" s="3" t="n">
        <v>7580.0</v>
      </c>
      <c r="AB28" s="3" t="n">
        <v>7855.0</v>
      </c>
      <c r="AC28" s="3" t="n">
        <v>8083.0</v>
      </c>
      <c r="AD28" s="3" t="n">
        <v>8284.0</v>
      </c>
      <c r="AE28" s="3" t="n">
        <v>8532.0</v>
      </c>
      <c r="AF28" s="3" t="n">
        <v>8751.0</v>
      </c>
      <c r="AG28" s="3" t="n">
        <v>8957.0</v>
      </c>
      <c r="AH28" s="3" t="n">
        <v>9075.0</v>
      </c>
      <c r="AI28" s="3" t="n">
        <v>9005.0</v>
      </c>
      <c r="AJ28" s="3" t="n">
        <v>8806.0</v>
      </c>
      <c r="AK28" s="3" t="n">
        <v>8502.0</v>
      </c>
      <c r="AL28" s="3" t="n">
        <v>8182.0</v>
      </c>
      <c r="AM28" s="3" t="n">
        <v>7904.0</v>
      </c>
      <c r="AN28" s="3" t="n">
        <v>7685.0</v>
      </c>
      <c r="AO28" s="3" t="n">
        <v>7538.0</v>
      </c>
    </row>
    <row r="29" spans="1:41" x14ac:dyDescent="0.2">
      <c r="A29" s="134"/>
      <c r="B29" s="66" t="s">
        <v>79</v>
      </c>
      <c r="C29" s="4" t="n">
        <v>365.0</v>
      </c>
      <c r="D29" s="4" t="n">
        <v>383.0</v>
      </c>
      <c r="E29" s="4" t="n">
        <v>429.0</v>
      </c>
      <c r="F29" s="4" t="n">
        <v>438.0</v>
      </c>
      <c r="G29" s="4" t="n">
        <v>433.0</v>
      </c>
      <c r="H29" s="4" t="n">
        <v>453.0</v>
      </c>
      <c r="I29" s="4" t="n">
        <v>468.0</v>
      </c>
      <c r="J29" s="4" t="n">
        <v>490.0</v>
      </c>
      <c r="K29" s="4" t="n">
        <v>538.0</v>
      </c>
      <c r="L29" s="4" t="n">
        <v>581.0</v>
      </c>
      <c r="M29" s="4" t="n">
        <v>610.0</v>
      </c>
      <c r="N29" s="4" t="n">
        <v>630.0</v>
      </c>
      <c r="O29" s="4" t="n">
        <v>654.0</v>
      </c>
      <c r="P29" s="4" t="n">
        <v>688.0</v>
      </c>
      <c r="Q29" s="4" t="n">
        <v>713.0</v>
      </c>
      <c r="R29" s="4" t="n">
        <v>735.0</v>
      </c>
      <c r="S29" s="4" t="n">
        <v>751.0</v>
      </c>
      <c r="T29" s="4" t="n">
        <v>769.0</v>
      </c>
      <c r="U29" s="4" t="n">
        <v>788.0</v>
      </c>
      <c r="V29" s="4" t="n">
        <v>792.0</v>
      </c>
      <c r="W29" s="4" t="n">
        <v>793.0</v>
      </c>
      <c r="X29" s="4" t="n">
        <v>799.0</v>
      </c>
      <c r="Y29" s="4" t="n">
        <v>793.0</v>
      </c>
      <c r="Z29" s="4" t="n">
        <v>792.0</v>
      </c>
      <c r="AA29" s="4" t="n">
        <v>967.0</v>
      </c>
      <c r="AB29" s="4" t="n">
        <v>1112.0</v>
      </c>
      <c r="AC29" s="4" t="n">
        <v>1257.0</v>
      </c>
      <c r="AD29" s="4" t="n">
        <v>1385.0</v>
      </c>
      <c r="AE29" s="4" t="n">
        <v>1495.0</v>
      </c>
      <c r="AF29" s="4" t="n">
        <v>1590.0</v>
      </c>
      <c r="AG29" s="4" t="n">
        <v>1664.0</v>
      </c>
      <c r="AH29" s="4" t="n">
        <v>1739.0</v>
      </c>
      <c r="AI29" s="4" t="n">
        <v>1807.0</v>
      </c>
      <c r="AJ29" s="4" t="n">
        <v>1882.0</v>
      </c>
      <c r="AK29" s="4" t="n">
        <v>1949.0</v>
      </c>
      <c r="AL29" s="4" t="n">
        <v>2014.0</v>
      </c>
      <c r="AM29" s="4" t="n">
        <v>2048.0</v>
      </c>
      <c r="AN29" s="4" t="n">
        <v>2037.0</v>
      </c>
      <c r="AO29" s="4" t="n">
        <v>2007.0</v>
      </c>
    </row>
    <row r="30" spans="1:41" x14ac:dyDescent="0.2">
      <c r="A30" s="133" t="s">
        <v>50</v>
      </c>
      <c r="B30" s="63" t="s">
        <v>64</v>
      </c>
      <c r="C30" s="26" t="n">
        <v>971048.0</v>
      </c>
      <c r="D30" s="16" t="n">
        <v>965573.0</v>
      </c>
      <c r="E30" s="16" t="n">
        <v>959778.0</v>
      </c>
      <c r="F30" s="16" t="n">
        <v>953606.0</v>
      </c>
      <c r="G30" s="16" t="n">
        <v>947109.0</v>
      </c>
      <c r="H30" s="16" t="n">
        <v>940801.0</v>
      </c>
      <c r="I30" s="16" t="n">
        <v>934373.0</v>
      </c>
      <c r="J30" s="16" t="n">
        <v>927400.0</v>
      </c>
      <c r="K30" s="16" t="n">
        <v>920039.0</v>
      </c>
      <c r="L30" s="16" t="n">
        <v>912384.0</v>
      </c>
      <c r="M30" s="16" t="n">
        <v>904442.0</v>
      </c>
      <c r="N30" s="16" t="n">
        <v>896204.0</v>
      </c>
      <c r="O30" s="16" t="n">
        <v>887787.0</v>
      </c>
      <c r="P30" s="16" t="n">
        <v>879207.0</v>
      </c>
      <c r="Q30" s="16" t="n">
        <v>870515.0</v>
      </c>
      <c r="R30" s="16" t="n">
        <v>861638.0</v>
      </c>
      <c r="S30" s="16" t="n">
        <v>852679.0</v>
      </c>
      <c r="T30" s="16" t="n">
        <v>843565.0</v>
      </c>
      <c r="U30" s="16" t="n">
        <v>834395.0</v>
      </c>
      <c r="V30" s="16" t="n">
        <v>825196.0</v>
      </c>
      <c r="W30" s="16" t="n">
        <v>815886.0</v>
      </c>
      <c r="X30" s="16" t="n">
        <v>806593.0</v>
      </c>
      <c r="Y30" s="16" t="n">
        <v>797185.0</v>
      </c>
      <c r="Z30" s="16" t="n">
        <v>787701.0</v>
      </c>
      <c r="AA30" s="16" t="n">
        <v>778192.0</v>
      </c>
      <c r="AB30" s="16" t="n">
        <v>768592.0</v>
      </c>
      <c r="AC30" s="16" t="n">
        <v>759023.0</v>
      </c>
      <c r="AD30" s="16" t="n">
        <v>749374.0</v>
      </c>
      <c r="AE30" s="16" t="n">
        <v>739692.0</v>
      </c>
      <c r="AF30" s="16" t="n">
        <v>729919.0</v>
      </c>
      <c r="AG30" s="16" t="n">
        <v>720142.0</v>
      </c>
      <c r="AH30" s="16" t="n">
        <v>710268.0</v>
      </c>
      <c r="AI30" s="16" t="n">
        <v>700282.0</v>
      </c>
      <c r="AJ30" s="16" t="n">
        <v>690293.0</v>
      </c>
      <c r="AK30" s="16" t="n">
        <v>680164.0</v>
      </c>
      <c r="AL30" s="16" t="n">
        <v>669943.0</v>
      </c>
      <c r="AM30" s="16" t="n">
        <v>659750.0</v>
      </c>
      <c r="AN30" s="16" t="n">
        <v>649448.0</v>
      </c>
      <c r="AO30" s="16" t="n">
        <v>639082.0</v>
      </c>
    </row>
    <row r="31" spans="1:41" x14ac:dyDescent="0.2">
      <c r="A31" s="133"/>
      <c r="B31" s="64" t="s">
        <v>20</v>
      </c>
      <c r="C31" s="11" t="n">
        <v>46033.0</v>
      </c>
      <c r="D31" s="3" t="n">
        <v>42763.0</v>
      </c>
      <c r="E31" s="3" t="n">
        <v>39755.0</v>
      </c>
      <c r="F31" s="3" t="n">
        <v>37299.0</v>
      </c>
      <c r="G31" s="3" t="n">
        <v>35205.0</v>
      </c>
      <c r="H31" s="3" t="n">
        <v>34033.0</v>
      </c>
      <c r="I31" s="3" t="n">
        <v>33091.0</v>
      </c>
      <c r="J31" s="3" t="n">
        <v>32215.0</v>
      </c>
      <c r="K31" s="3" t="n">
        <v>31437.0</v>
      </c>
      <c r="L31" s="3" t="n">
        <v>30760.0</v>
      </c>
      <c r="M31" s="3" t="n">
        <v>30180.0</v>
      </c>
      <c r="N31" s="3" t="n">
        <v>29676.0</v>
      </c>
      <c r="O31" s="3" t="n">
        <v>29275.0</v>
      </c>
      <c r="P31" s="3" t="n">
        <v>28939.0</v>
      </c>
      <c r="Q31" s="3" t="n">
        <v>28688.0</v>
      </c>
      <c r="R31" s="3" t="n">
        <v>28504.0</v>
      </c>
      <c r="S31" s="3" t="n">
        <v>28393.0</v>
      </c>
      <c r="T31" s="3" t="n">
        <v>28312.0</v>
      </c>
      <c r="U31" s="3" t="n">
        <v>28250.0</v>
      </c>
      <c r="V31" s="3" t="n">
        <v>28193.0</v>
      </c>
      <c r="W31" s="3" t="n">
        <v>28114.0</v>
      </c>
      <c r="X31" s="3" t="n">
        <v>28004.0</v>
      </c>
      <c r="Y31" s="3" t="n">
        <v>27836.0</v>
      </c>
      <c r="Z31" s="3" t="n">
        <v>27624.0</v>
      </c>
      <c r="AA31" s="3" t="n">
        <v>27342.0</v>
      </c>
      <c r="AB31" s="3" t="n">
        <v>26985.0</v>
      </c>
      <c r="AC31" s="3" t="n">
        <v>26565.0</v>
      </c>
      <c r="AD31" s="3" t="n">
        <v>26073.0</v>
      </c>
      <c r="AE31" s="3" t="n">
        <v>25502.0</v>
      </c>
      <c r="AF31" s="3" t="n">
        <v>24877.0</v>
      </c>
      <c r="AG31" s="3" t="n">
        <v>24205.0</v>
      </c>
      <c r="AH31" s="3" t="n">
        <v>23493.0</v>
      </c>
      <c r="AI31" s="3" t="n">
        <v>22769.0</v>
      </c>
      <c r="AJ31" s="3" t="n">
        <v>22044.0</v>
      </c>
      <c r="AK31" s="3" t="n">
        <v>21317.0</v>
      </c>
      <c r="AL31" s="3" t="n">
        <v>20598.0</v>
      </c>
      <c r="AM31" s="3" t="n">
        <v>19904.0</v>
      </c>
      <c r="AN31" s="3" t="n">
        <v>19242.0</v>
      </c>
      <c r="AO31" s="3" t="n">
        <v>18621.0</v>
      </c>
    </row>
    <row r="32" spans="1:41" x14ac:dyDescent="0.2">
      <c r="A32" s="133"/>
      <c r="B32" s="64" t="s">
        <v>21</v>
      </c>
      <c r="C32" s="11" t="n">
        <v>52893.0</v>
      </c>
      <c r="D32" s="3" t="n">
        <v>52889.0</v>
      </c>
      <c r="E32" s="3" t="n">
        <v>52366.0</v>
      </c>
      <c r="F32" s="3" t="n">
        <v>51331.0</v>
      </c>
      <c r="G32" s="3" t="n">
        <v>49531.0</v>
      </c>
      <c r="H32" s="3" t="n">
        <v>46225.0</v>
      </c>
      <c r="I32" s="3" t="n">
        <v>43137.0</v>
      </c>
      <c r="J32" s="3" t="n">
        <v>40219.0</v>
      </c>
      <c r="K32" s="3" t="n">
        <v>37806.0</v>
      </c>
      <c r="L32" s="3" t="n">
        <v>35732.0</v>
      </c>
      <c r="M32" s="3" t="n">
        <v>34482.0</v>
      </c>
      <c r="N32" s="3" t="n">
        <v>33439.0</v>
      </c>
      <c r="O32" s="3" t="n">
        <v>32515.0</v>
      </c>
      <c r="P32" s="3" t="n">
        <v>31716.0</v>
      </c>
      <c r="Q32" s="3" t="n">
        <v>31014.0</v>
      </c>
      <c r="R32" s="3" t="n">
        <v>30430.0</v>
      </c>
      <c r="S32" s="3" t="n">
        <v>29924.0</v>
      </c>
      <c r="T32" s="3" t="n">
        <v>29516.0</v>
      </c>
      <c r="U32" s="3" t="n">
        <v>29171.0</v>
      </c>
      <c r="V32" s="3" t="n">
        <v>28901.0</v>
      </c>
      <c r="W32" s="3" t="n">
        <v>28704.0</v>
      </c>
      <c r="X32" s="3" t="n">
        <v>28587.0</v>
      </c>
      <c r="Y32" s="3" t="n">
        <v>28501.0</v>
      </c>
      <c r="Z32" s="3" t="n">
        <v>28440.0</v>
      </c>
      <c r="AA32" s="3" t="n">
        <v>28384.0</v>
      </c>
      <c r="AB32" s="3" t="n">
        <v>28310.0</v>
      </c>
      <c r="AC32" s="3" t="n">
        <v>28203.0</v>
      </c>
      <c r="AD32" s="3" t="n">
        <v>28041.0</v>
      </c>
      <c r="AE32" s="3" t="n">
        <v>27840.0</v>
      </c>
      <c r="AF32" s="3" t="n">
        <v>27578.0</v>
      </c>
      <c r="AG32" s="3" t="n">
        <v>27237.0</v>
      </c>
      <c r="AH32" s="3" t="n">
        <v>26819.0</v>
      </c>
      <c r="AI32" s="3" t="n">
        <v>26331.0</v>
      </c>
      <c r="AJ32" s="3" t="n">
        <v>25763.0</v>
      </c>
      <c r="AK32" s="3" t="n">
        <v>25144.0</v>
      </c>
      <c r="AL32" s="3" t="n">
        <v>24480.0</v>
      </c>
      <c r="AM32" s="3" t="n">
        <v>23780.0</v>
      </c>
      <c r="AN32" s="3" t="n">
        <v>23067.0</v>
      </c>
      <c r="AO32" s="3" t="n">
        <v>22347.0</v>
      </c>
    </row>
    <row r="33" spans="1:41" x14ac:dyDescent="0.2">
      <c r="A33" s="133"/>
      <c r="B33" s="64" t="s">
        <v>22</v>
      </c>
      <c r="C33" s="11" t="n">
        <v>57936.0</v>
      </c>
      <c r="D33" s="3" t="n">
        <v>56539.0</v>
      </c>
      <c r="E33" s="3" t="n">
        <v>55097.0</v>
      </c>
      <c r="F33" s="3" t="n">
        <v>53496.0</v>
      </c>
      <c r="G33" s="3" t="n">
        <v>52889.0</v>
      </c>
      <c r="H33" s="3" t="n">
        <v>52982.0</v>
      </c>
      <c r="I33" s="3" t="n">
        <v>53115.0</v>
      </c>
      <c r="J33" s="3" t="n">
        <v>52653.0</v>
      </c>
      <c r="K33" s="3" t="n">
        <v>51660.0</v>
      </c>
      <c r="L33" s="3" t="n">
        <v>49888.0</v>
      </c>
      <c r="M33" s="3" t="n">
        <v>46503.0</v>
      </c>
      <c r="N33" s="3" t="n">
        <v>43310.0</v>
      </c>
      <c r="O33" s="3" t="n">
        <v>40349.0</v>
      </c>
      <c r="P33" s="3" t="n">
        <v>37921.0</v>
      </c>
      <c r="Q33" s="3" t="n">
        <v>35856.0</v>
      </c>
      <c r="R33" s="3" t="n">
        <v>34618.0</v>
      </c>
      <c r="S33" s="3" t="n">
        <v>33563.0</v>
      </c>
      <c r="T33" s="3" t="n">
        <v>32636.0</v>
      </c>
      <c r="U33" s="3" t="n">
        <v>31830.0</v>
      </c>
      <c r="V33" s="3" t="n">
        <v>31122.0</v>
      </c>
      <c r="W33" s="3" t="n">
        <v>30528.0</v>
      </c>
      <c r="X33" s="3" t="n">
        <v>30014.0</v>
      </c>
      <c r="Y33" s="3" t="n">
        <v>29598.0</v>
      </c>
      <c r="Z33" s="3" t="n">
        <v>29240.0</v>
      </c>
      <c r="AA33" s="3" t="n">
        <v>28958.0</v>
      </c>
      <c r="AB33" s="3" t="n">
        <v>28753.0</v>
      </c>
      <c r="AC33" s="3" t="n">
        <v>28630.0</v>
      </c>
      <c r="AD33" s="3" t="n">
        <v>28545.0</v>
      </c>
      <c r="AE33" s="3" t="n">
        <v>28484.0</v>
      </c>
      <c r="AF33" s="3" t="n">
        <v>28426.0</v>
      </c>
      <c r="AG33" s="3" t="n">
        <v>28352.0</v>
      </c>
      <c r="AH33" s="3" t="n">
        <v>28250.0</v>
      </c>
      <c r="AI33" s="3" t="n">
        <v>28096.0</v>
      </c>
      <c r="AJ33" s="3" t="n">
        <v>27903.0</v>
      </c>
      <c r="AK33" s="3" t="n">
        <v>27648.0</v>
      </c>
      <c r="AL33" s="3" t="n">
        <v>27310.0</v>
      </c>
      <c r="AM33" s="3" t="n">
        <v>26898.0</v>
      </c>
      <c r="AN33" s="3" t="n">
        <v>26416.0</v>
      </c>
      <c r="AO33" s="3" t="n">
        <v>25857.0</v>
      </c>
    </row>
    <row r="34" spans="1:41" x14ac:dyDescent="0.2">
      <c r="A34" s="133"/>
      <c r="B34" s="64" t="s">
        <v>23</v>
      </c>
      <c r="C34" s="11" t="n">
        <v>51202.0</v>
      </c>
      <c r="D34" s="3" t="n">
        <v>53334.0</v>
      </c>
      <c r="E34" s="3" t="n">
        <v>55587.0</v>
      </c>
      <c r="F34" s="3" t="n">
        <v>57416.0</v>
      </c>
      <c r="G34" s="3" t="n">
        <v>57940.0</v>
      </c>
      <c r="H34" s="3" t="n">
        <v>57930.0</v>
      </c>
      <c r="I34" s="3" t="n">
        <v>56645.0</v>
      </c>
      <c r="J34" s="3" t="n">
        <v>55287.0</v>
      </c>
      <c r="K34" s="3" t="n">
        <v>53746.0</v>
      </c>
      <c r="L34" s="3" t="n">
        <v>53187.0</v>
      </c>
      <c r="M34" s="3" t="n">
        <v>53212.0</v>
      </c>
      <c r="N34" s="3" t="n">
        <v>53210.0</v>
      </c>
      <c r="O34" s="3" t="n">
        <v>52682.0</v>
      </c>
      <c r="P34" s="3" t="n">
        <v>51654.0</v>
      </c>
      <c r="Q34" s="3" t="n">
        <v>49857.0</v>
      </c>
      <c r="R34" s="3" t="n">
        <v>46487.0</v>
      </c>
      <c r="S34" s="3" t="n">
        <v>43319.0</v>
      </c>
      <c r="T34" s="3" t="n">
        <v>40389.0</v>
      </c>
      <c r="U34" s="3" t="n">
        <v>37990.0</v>
      </c>
      <c r="V34" s="3" t="n">
        <v>35940.0</v>
      </c>
      <c r="W34" s="3" t="n">
        <v>34696.0</v>
      </c>
      <c r="X34" s="3" t="n">
        <v>33634.0</v>
      </c>
      <c r="Y34" s="3" t="n">
        <v>32703.0</v>
      </c>
      <c r="Z34" s="3" t="n">
        <v>31892.0</v>
      </c>
      <c r="AA34" s="3" t="n">
        <v>31178.0</v>
      </c>
      <c r="AB34" s="3" t="n">
        <v>30574.0</v>
      </c>
      <c r="AC34" s="3" t="n">
        <v>30041.0</v>
      </c>
      <c r="AD34" s="3" t="n">
        <v>29609.0</v>
      </c>
      <c r="AE34" s="3" t="n">
        <v>29243.0</v>
      </c>
      <c r="AF34" s="3" t="n">
        <v>28958.0</v>
      </c>
      <c r="AG34" s="3" t="n">
        <v>28748.0</v>
      </c>
      <c r="AH34" s="3" t="n">
        <v>28624.0</v>
      </c>
      <c r="AI34" s="3" t="n">
        <v>28539.0</v>
      </c>
      <c r="AJ34" s="3" t="n">
        <v>28478.0</v>
      </c>
      <c r="AK34" s="3" t="n">
        <v>28422.0</v>
      </c>
      <c r="AL34" s="3" t="n">
        <v>28351.0</v>
      </c>
      <c r="AM34" s="3" t="n">
        <v>28250.0</v>
      </c>
      <c r="AN34" s="3" t="n">
        <v>28097.0</v>
      </c>
      <c r="AO34" s="3" t="n">
        <v>27903.0</v>
      </c>
    </row>
    <row r="35" spans="1:41" x14ac:dyDescent="0.2">
      <c r="A35" s="133"/>
      <c r="B35" s="64" t="s">
        <v>24</v>
      </c>
      <c r="C35" s="11" t="n">
        <v>50603.0</v>
      </c>
      <c r="D35" s="3" t="n">
        <v>49686.0</v>
      </c>
      <c r="E35" s="3" t="n">
        <v>49126.0</v>
      </c>
      <c r="F35" s="3" t="n">
        <v>48974.0</v>
      </c>
      <c r="G35" s="3" t="n">
        <v>49290.0</v>
      </c>
      <c r="H35" s="3" t="n">
        <v>50801.0</v>
      </c>
      <c r="I35" s="3" t="n">
        <v>52937.0</v>
      </c>
      <c r="J35" s="3" t="n">
        <v>55180.0</v>
      </c>
      <c r="K35" s="3" t="n">
        <v>57023.0</v>
      </c>
      <c r="L35" s="3" t="n">
        <v>57585.0</v>
      </c>
      <c r="M35" s="3" t="n">
        <v>57546.0</v>
      </c>
      <c r="N35" s="3" t="n">
        <v>56225.0</v>
      </c>
      <c r="O35" s="3" t="n">
        <v>54862.0</v>
      </c>
      <c r="P35" s="3" t="n">
        <v>53332.0</v>
      </c>
      <c r="Q35" s="3" t="n">
        <v>52779.0</v>
      </c>
      <c r="R35" s="3" t="n">
        <v>52793.0</v>
      </c>
      <c r="S35" s="3" t="n">
        <v>52795.0</v>
      </c>
      <c r="T35" s="3" t="n">
        <v>52252.0</v>
      </c>
      <c r="U35" s="3" t="n">
        <v>51221.0</v>
      </c>
      <c r="V35" s="3" t="n">
        <v>49437.0</v>
      </c>
      <c r="W35" s="3" t="n">
        <v>46118.0</v>
      </c>
      <c r="X35" s="3" t="n">
        <v>42991.0</v>
      </c>
      <c r="Y35" s="3" t="n">
        <v>40080.0</v>
      </c>
      <c r="Z35" s="3" t="n">
        <v>37713.0</v>
      </c>
      <c r="AA35" s="3" t="n">
        <v>35693.0</v>
      </c>
      <c r="AB35" s="3" t="n">
        <v>34450.0</v>
      </c>
      <c r="AC35" s="3" t="n">
        <v>33394.0</v>
      </c>
      <c r="AD35" s="3" t="n">
        <v>32467.0</v>
      </c>
      <c r="AE35" s="3" t="n">
        <v>31655.0</v>
      </c>
      <c r="AF35" s="3" t="n">
        <v>30936.0</v>
      </c>
      <c r="AG35" s="3" t="n">
        <v>30326.0</v>
      </c>
      <c r="AH35" s="3" t="n">
        <v>29791.0</v>
      </c>
      <c r="AI35" s="3" t="n">
        <v>29354.0</v>
      </c>
      <c r="AJ35" s="3" t="n">
        <v>28992.0</v>
      </c>
      <c r="AK35" s="3" t="n">
        <v>28704.0</v>
      </c>
      <c r="AL35" s="3" t="n">
        <v>28489.0</v>
      </c>
      <c r="AM35" s="3" t="n">
        <v>28357.0</v>
      </c>
      <c r="AN35" s="3" t="n">
        <v>28265.0</v>
      </c>
      <c r="AO35" s="3" t="n">
        <v>28195.0</v>
      </c>
    </row>
    <row r="36" spans="1:41" x14ac:dyDescent="0.2">
      <c r="A36" s="133"/>
      <c r="B36" s="64" t="s">
        <v>25</v>
      </c>
      <c r="C36" s="11" t="n">
        <v>58008.0</v>
      </c>
      <c r="D36" s="3" t="n">
        <v>55814.0</v>
      </c>
      <c r="E36" s="3" t="n">
        <v>53666.0</v>
      </c>
      <c r="F36" s="3" t="n">
        <v>52368.0</v>
      </c>
      <c r="G36" s="3" t="n">
        <v>51106.0</v>
      </c>
      <c r="H36" s="3" t="n">
        <v>49830.0</v>
      </c>
      <c r="I36" s="3" t="n">
        <v>48908.0</v>
      </c>
      <c r="J36" s="3" t="n">
        <v>48346.0</v>
      </c>
      <c r="K36" s="3" t="n">
        <v>48199.0</v>
      </c>
      <c r="L36" s="3" t="n">
        <v>48514.0</v>
      </c>
      <c r="M36" s="3" t="n">
        <v>49997.0</v>
      </c>
      <c r="N36" s="3" t="n">
        <v>52082.0</v>
      </c>
      <c r="O36" s="3" t="n">
        <v>54281.0</v>
      </c>
      <c r="P36" s="3" t="n">
        <v>56083.0</v>
      </c>
      <c r="Q36" s="3" t="n">
        <v>56614.0</v>
      </c>
      <c r="R36" s="3" t="n">
        <v>56575.0</v>
      </c>
      <c r="S36" s="3" t="n">
        <v>55264.0</v>
      </c>
      <c r="T36" s="3" t="n">
        <v>53943.0</v>
      </c>
      <c r="U36" s="3" t="n">
        <v>52455.0</v>
      </c>
      <c r="V36" s="3" t="n">
        <v>51939.0</v>
      </c>
      <c r="W36" s="3" t="n">
        <v>51976.0</v>
      </c>
      <c r="X36" s="3" t="n">
        <v>51982.0</v>
      </c>
      <c r="Y36" s="3" t="n">
        <v>51457.0</v>
      </c>
      <c r="Z36" s="3" t="n">
        <v>50432.0</v>
      </c>
      <c r="AA36" s="3" t="n">
        <v>48683.0</v>
      </c>
      <c r="AB36" s="3" t="n">
        <v>45432.0</v>
      </c>
      <c r="AC36" s="3" t="n">
        <v>42382.0</v>
      </c>
      <c r="AD36" s="3" t="n">
        <v>39545.0</v>
      </c>
      <c r="AE36" s="3" t="n">
        <v>37240.0</v>
      </c>
      <c r="AF36" s="3" t="n">
        <v>35235.0</v>
      </c>
      <c r="AG36" s="3" t="n">
        <v>34014.0</v>
      </c>
      <c r="AH36" s="3" t="n">
        <v>32986.0</v>
      </c>
      <c r="AI36" s="3" t="n">
        <v>32076.0</v>
      </c>
      <c r="AJ36" s="3" t="n">
        <v>31267.0</v>
      </c>
      <c r="AK36" s="3" t="n">
        <v>30552.0</v>
      </c>
      <c r="AL36" s="3" t="n">
        <v>29955.0</v>
      </c>
      <c r="AM36" s="3" t="n">
        <v>29430.0</v>
      </c>
      <c r="AN36" s="3" t="n">
        <v>28996.0</v>
      </c>
      <c r="AO36" s="3" t="n">
        <v>28627.0</v>
      </c>
    </row>
    <row r="37" spans="1:41" x14ac:dyDescent="0.2">
      <c r="A37" s="133"/>
      <c r="B37" s="64" t="s">
        <v>26</v>
      </c>
      <c r="C37" s="11" t="n">
        <v>69245.0</v>
      </c>
      <c r="D37" s="3" t="n">
        <v>66982.0</v>
      </c>
      <c r="E37" s="3" t="n">
        <v>64735.0</v>
      </c>
      <c r="F37" s="3" t="n">
        <v>61490.0</v>
      </c>
      <c r="G37" s="3" t="n">
        <v>58854.0</v>
      </c>
      <c r="H37" s="3" t="n">
        <v>56475.0</v>
      </c>
      <c r="I37" s="3" t="n">
        <v>54362.0</v>
      </c>
      <c r="J37" s="3" t="n">
        <v>52284.0</v>
      </c>
      <c r="K37" s="3" t="n">
        <v>50996.0</v>
      </c>
      <c r="L37" s="3" t="n">
        <v>49719.0</v>
      </c>
      <c r="M37" s="3" t="n">
        <v>48447.0</v>
      </c>
      <c r="N37" s="3" t="n">
        <v>47513.0</v>
      </c>
      <c r="O37" s="3" t="n">
        <v>46938.0</v>
      </c>
      <c r="P37" s="3" t="n">
        <v>46788.0</v>
      </c>
      <c r="Q37" s="3" t="n">
        <v>47092.0</v>
      </c>
      <c r="R37" s="3" t="n">
        <v>48520.0</v>
      </c>
      <c r="S37" s="3" t="n">
        <v>50551.0</v>
      </c>
      <c r="T37" s="3" t="n">
        <v>52683.0</v>
      </c>
      <c r="U37" s="3" t="n">
        <v>54426.0</v>
      </c>
      <c r="V37" s="3" t="n">
        <v>54923.0</v>
      </c>
      <c r="W37" s="3" t="n">
        <v>54890.0</v>
      </c>
      <c r="X37" s="3" t="n">
        <v>53639.0</v>
      </c>
      <c r="Y37" s="3" t="n">
        <v>52393.0</v>
      </c>
      <c r="Z37" s="3" t="n">
        <v>50970.0</v>
      </c>
      <c r="AA37" s="3" t="n">
        <v>50485.0</v>
      </c>
      <c r="AB37" s="3" t="n">
        <v>50521.0</v>
      </c>
      <c r="AC37" s="3" t="n">
        <v>50530.0</v>
      </c>
      <c r="AD37" s="3" t="n">
        <v>50019.0</v>
      </c>
      <c r="AE37" s="3" t="n">
        <v>49006.0</v>
      </c>
      <c r="AF37" s="3" t="n">
        <v>47321.0</v>
      </c>
      <c r="AG37" s="3" t="n">
        <v>44172.0</v>
      </c>
      <c r="AH37" s="3" t="n">
        <v>41213.0</v>
      </c>
      <c r="AI37" s="3" t="n">
        <v>38481.0</v>
      </c>
      <c r="AJ37" s="3" t="n">
        <v>36274.0</v>
      </c>
      <c r="AK37" s="3" t="n">
        <v>34341.0</v>
      </c>
      <c r="AL37" s="3" t="n">
        <v>33157.0</v>
      </c>
      <c r="AM37" s="3" t="n">
        <v>32158.0</v>
      </c>
      <c r="AN37" s="3" t="n">
        <v>31252.0</v>
      </c>
      <c r="AO37" s="3" t="n">
        <v>30451.0</v>
      </c>
    </row>
    <row r="38" spans="1:41" x14ac:dyDescent="0.2">
      <c r="A38" s="133"/>
      <c r="B38" s="64" t="s">
        <v>27</v>
      </c>
      <c r="C38" s="11" t="n">
        <v>82042.0</v>
      </c>
      <c r="D38" s="3" t="n">
        <v>78540.0</v>
      </c>
      <c r="E38" s="3" t="n">
        <v>74964.0</v>
      </c>
      <c r="F38" s="3" t="n">
        <v>72125.0</v>
      </c>
      <c r="G38" s="3" t="n">
        <v>69773.0</v>
      </c>
      <c r="H38" s="3" t="n">
        <v>67740.0</v>
      </c>
      <c r="I38" s="3" t="n">
        <v>65536.0</v>
      </c>
      <c r="J38" s="3" t="n">
        <v>63338.0</v>
      </c>
      <c r="K38" s="3" t="n">
        <v>60170.0</v>
      </c>
      <c r="L38" s="3" t="n">
        <v>57595.0</v>
      </c>
      <c r="M38" s="3" t="n">
        <v>55203.0</v>
      </c>
      <c r="N38" s="3" t="n">
        <v>53090.0</v>
      </c>
      <c r="O38" s="3" t="n">
        <v>51036.0</v>
      </c>
      <c r="P38" s="3" t="n">
        <v>49763.0</v>
      </c>
      <c r="Q38" s="3" t="n">
        <v>48501.0</v>
      </c>
      <c r="R38" s="3" t="n">
        <v>47255.0</v>
      </c>
      <c r="S38" s="3" t="n">
        <v>46340.0</v>
      </c>
      <c r="T38" s="3" t="n">
        <v>45774.0</v>
      </c>
      <c r="U38" s="3" t="n">
        <v>45617.0</v>
      </c>
      <c r="V38" s="3" t="n">
        <v>45889.0</v>
      </c>
      <c r="W38" s="3" t="n">
        <v>47260.0</v>
      </c>
      <c r="X38" s="3" t="n">
        <v>49216.0</v>
      </c>
      <c r="Y38" s="3" t="n">
        <v>51280.0</v>
      </c>
      <c r="Z38" s="3" t="n">
        <v>52971.0</v>
      </c>
      <c r="AA38" s="3" t="n">
        <v>53459.0</v>
      </c>
      <c r="AB38" s="3" t="n">
        <v>53453.0</v>
      </c>
      <c r="AC38" s="3" t="n">
        <v>52250.0</v>
      </c>
      <c r="AD38" s="3" t="n">
        <v>51053.0</v>
      </c>
      <c r="AE38" s="3" t="n">
        <v>49678.0</v>
      </c>
      <c r="AF38" s="3" t="n">
        <v>49216.0</v>
      </c>
      <c r="AG38" s="3" t="n">
        <v>49251.0</v>
      </c>
      <c r="AH38" s="3" t="n">
        <v>49264.0</v>
      </c>
      <c r="AI38" s="3" t="n">
        <v>48762.0</v>
      </c>
      <c r="AJ38" s="3" t="n">
        <v>47770.0</v>
      </c>
      <c r="AK38" s="3" t="n">
        <v>46130.0</v>
      </c>
      <c r="AL38" s="3" t="n">
        <v>43063.0</v>
      </c>
      <c r="AM38" s="3" t="n">
        <v>40196.0</v>
      </c>
      <c r="AN38" s="3" t="n">
        <v>37549.0</v>
      </c>
      <c r="AO38" s="3" t="n">
        <v>35408.0</v>
      </c>
    </row>
    <row r="39" spans="1:41" x14ac:dyDescent="0.2">
      <c r="A39" s="133"/>
      <c r="B39" s="64" t="s">
        <v>28</v>
      </c>
      <c r="C39" s="11" t="n">
        <v>82549.0</v>
      </c>
      <c r="D39" s="3" t="n">
        <v>84008.0</v>
      </c>
      <c r="E39" s="3" t="n">
        <v>84497.0</v>
      </c>
      <c r="F39" s="3" t="n">
        <v>84328.0</v>
      </c>
      <c r="G39" s="3" t="n">
        <v>83326.0</v>
      </c>
      <c r="H39" s="3" t="n">
        <v>80475.0</v>
      </c>
      <c r="I39" s="3" t="n">
        <v>77113.0</v>
      </c>
      <c r="J39" s="3" t="n">
        <v>73658.0</v>
      </c>
      <c r="K39" s="3" t="n">
        <v>70905.0</v>
      </c>
      <c r="L39" s="3" t="n">
        <v>68612.0</v>
      </c>
      <c r="M39" s="3" t="n">
        <v>66610.0</v>
      </c>
      <c r="N39" s="3" t="n">
        <v>64411.0</v>
      </c>
      <c r="O39" s="3" t="n">
        <v>62212.0</v>
      </c>
      <c r="P39" s="3" t="n">
        <v>59074.0</v>
      </c>
      <c r="Q39" s="3" t="n">
        <v>56525.0</v>
      </c>
      <c r="R39" s="3" t="n">
        <v>54161.0</v>
      </c>
      <c r="S39" s="3" t="n">
        <v>52065.0</v>
      </c>
      <c r="T39" s="3" t="n">
        <v>50029.0</v>
      </c>
      <c r="U39" s="3" t="n">
        <v>48761.0</v>
      </c>
      <c r="V39" s="3" t="n">
        <v>47523.0</v>
      </c>
      <c r="W39" s="3" t="n">
        <v>46295.0</v>
      </c>
      <c r="X39" s="3" t="n">
        <v>45398.0</v>
      </c>
      <c r="Y39" s="3" t="n">
        <v>44837.0</v>
      </c>
      <c r="Z39" s="3" t="n">
        <v>44691.0</v>
      </c>
      <c r="AA39" s="3" t="n">
        <v>44955.0</v>
      </c>
      <c r="AB39" s="3" t="n">
        <v>46285.0</v>
      </c>
      <c r="AC39" s="3" t="n">
        <v>48187.0</v>
      </c>
      <c r="AD39" s="3" t="n">
        <v>50192.0</v>
      </c>
      <c r="AE39" s="3" t="n">
        <v>51851.0</v>
      </c>
      <c r="AF39" s="3" t="n">
        <v>52335.0</v>
      </c>
      <c r="AG39" s="3" t="n">
        <v>52339.0</v>
      </c>
      <c r="AH39" s="3" t="n">
        <v>51165.0</v>
      </c>
      <c r="AI39" s="3" t="n">
        <v>49999.0</v>
      </c>
      <c r="AJ39" s="3" t="n">
        <v>48662.0</v>
      </c>
      <c r="AK39" s="3" t="n">
        <v>48220.0</v>
      </c>
      <c r="AL39" s="3" t="n">
        <v>48252.0</v>
      </c>
      <c r="AM39" s="3" t="n">
        <v>48267.0</v>
      </c>
      <c r="AN39" s="3" t="n">
        <v>47770.0</v>
      </c>
      <c r="AO39" s="3" t="n">
        <v>46795.0</v>
      </c>
    </row>
    <row r="40" spans="1:41" x14ac:dyDescent="0.2">
      <c r="A40" s="133"/>
      <c r="B40" s="64" t="s">
        <v>29</v>
      </c>
      <c r="C40" s="11" t="n">
        <v>76544.0</v>
      </c>
      <c r="D40" s="3" t="n">
        <v>77544.0</v>
      </c>
      <c r="E40" s="3" t="n">
        <v>78880.0</v>
      </c>
      <c r="F40" s="3" t="n">
        <v>79602.0</v>
      </c>
      <c r="G40" s="3" t="n">
        <v>79540.0</v>
      </c>
      <c r="H40" s="3" t="n">
        <v>80802.0</v>
      </c>
      <c r="I40" s="3" t="n">
        <v>82243.0</v>
      </c>
      <c r="J40" s="3" t="n">
        <v>82746.0</v>
      </c>
      <c r="K40" s="3" t="n">
        <v>82598.0</v>
      </c>
      <c r="L40" s="3" t="n">
        <v>81644.0</v>
      </c>
      <c r="M40" s="3" t="n">
        <v>78869.0</v>
      </c>
      <c r="N40" s="3" t="n">
        <v>75578.0</v>
      </c>
      <c r="O40" s="3" t="n">
        <v>72236.0</v>
      </c>
      <c r="P40" s="3" t="n">
        <v>69567.0</v>
      </c>
      <c r="Q40" s="3" t="n">
        <v>67323.0</v>
      </c>
      <c r="R40" s="3" t="n">
        <v>65363.0</v>
      </c>
      <c r="S40" s="3" t="n">
        <v>63209.0</v>
      </c>
      <c r="T40" s="3" t="n">
        <v>61046.0</v>
      </c>
      <c r="U40" s="3" t="n">
        <v>57969.0</v>
      </c>
      <c r="V40" s="3" t="n">
        <v>55452.0</v>
      </c>
      <c r="W40" s="3" t="n">
        <v>53137.0</v>
      </c>
      <c r="X40" s="3" t="n">
        <v>51085.0</v>
      </c>
      <c r="Y40" s="3" t="n">
        <v>49090.0</v>
      </c>
      <c r="Z40" s="3" t="n">
        <v>47842.0</v>
      </c>
      <c r="AA40" s="3" t="n">
        <v>46603.0</v>
      </c>
      <c r="AB40" s="3" t="n">
        <v>45387.0</v>
      </c>
      <c r="AC40" s="3" t="n">
        <v>44497.0</v>
      </c>
      <c r="AD40" s="3" t="n">
        <v>43942.0</v>
      </c>
      <c r="AE40" s="3" t="n">
        <v>43801.0</v>
      </c>
      <c r="AF40" s="3" t="n">
        <v>44073.0</v>
      </c>
      <c r="AG40" s="3" t="n">
        <v>45376.0</v>
      </c>
      <c r="AH40" s="3" t="n">
        <v>47239.0</v>
      </c>
      <c r="AI40" s="3" t="n">
        <v>49186.0</v>
      </c>
      <c r="AJ40" s="3" t="n">
        <v>50788.0</v>
      </c>
      <c r="AK40" s="3" t="n">
        <v>51258.0</v>
      </c>
      <c r="AL40" s="3" t="n">
        <v>51265.0</v>
      </c>
      <c r="AM40" s="3" t="n">
        <v>50108.0</v>
      </c>
      <c r="AN40" s="3" t="n">
        <v>48984.0</v>
      </c>
      <c r="AO40" s="3" t="n">
        <v>47687.0</v>
      </c>
    </row>
    <row r="41" spans="1:41" x14ac:dyDescent="0.2">
      <c r="A41" s="133"/>
      <c r="B41" s="64" t="s">
        <v>30</v>
      </c>
      <c r="C41" s="11" t="n">
        <v>63666.0</v>
      </c>
      <c r="D41" s="3" t="n">
        <v>65802.0</v>
      </c>
      <c r="E41" s="3" t="n">
        <v>67995.0</v>
      </c>
      <c r="F41" s="3" t="n">
        <v>70200.0</v>
      </c>
      <c r="G41" s="3" t="n">
        <v>72714.0</v>
      </c>
      <c r="H41" s="3" t="n">
        <v>74184.0</v>
      </c>
      <c r="I41" s="3" t="n">
        <v>75189.0</v>
      </c>
      <c r="J41" s="3" t="n">
        <v>76503.0</v>
      </c>
      <c r="K41" s="3" t="n">
        <v>77228.0</v>
      </c>
      <c r="L41" s="3" t="n">
        <v>77188.0</v>
      </c>
      <c r="M41" s="3" t="n">
        <v>78403.0</v>
      </c>
      <c r="N41" s="3" t="n">
        <v>79797.0</v>
      </c>
      <c r="O41" s="3" t="n">
        <v>80272.0</v>
      </c>
      <c r="P41" s="3" t="n">
        <v>80115.0</v>
      </c>
      <c r="Q41" s="3" t="n">
        <v>79194.0</v>
      </c>
      <c r="R41" s="3" t="n">
        <v>76516.0</v>
      </c>
      <c r="S41" s="3" t="n">
        <v>73348.0</v>
      </c>
      <c r="T41" s="3" t="n">
        <v>70142.0</v>
      </c>
      <c r="U41" s="3" t="n">
        <v>67583.0</v>
      </c>
      <c r="V41" s="3" t="n">
        <v>65440.0</v>
      </c>
      <c r="W41" s="3" t="n">
        <v>63526.0</v>
      </c>
      <c r="X41" s="3" t="n">
        <v>61419.0</v>
      </c>
      <c r="Y41" s="3" t="n">
        <v>59307.0</v>
      </c>
      <c r="Z41" s="3" t="n">
        <v>56312.0</v>
      </c>
      <c r="AA41" s="3" t="n">
        <v>53879.0</v>
      </c>
      <c r="AB41" s="3" t="n">
        <v>51623.0</v>
      </c>
      <c r="AC41" s="3" t="n">
        <v>49635.0</v>
      </c>
      <c r="AD41" s="3" t="n">
        <v>47702.0</v>
      </c>
      <c r="AE41" s="3" t="n">
        <v>46485.0</v>
      </c>
      <c r="AF41" s="3" t="n">
        <v>45276.0</v>
      </c>
      <c r="AG41" s="3" t="n">
        <v>44115.0</v>
      </c>
      <c r="AH41" s="3" t="n">
        <v>43252.0</v>
      </c>
      <c r="AI41" s="3" t="n">
        <v>42713.0</v>
      </c>
      <c r="AJ41" s="3" t="n">
        <v>42580.0</v>
      </c>
      <c r="AK41" s="3" t="n">
        <v>42841.0</v>
      </c>
      <c r="AL41" s="3" t="n">
        <v>44097.0</v>
      </c>
      <c r="AM41" s="3" t="n">
        <v>45902.0</v>
      </c>
      <c r="AN41" s="3" t="n">
        <v>47776.0</v>
      </c>
      <c r="AO41" s="3" t="n">
        <v>49328.0</v>
      </c>
    </row>
    <row r="42" spans="1:41" x14ac:dyDescent="0.2">
      <c r="A42" s="133"/>
      <c r="B42" s="64" t="s">
        <v>31</v>
      </c>
      <c r="C42" s="11" t="n">
        <v>58083.0</v>
      </c>
      <c r="D42" s="3" t="n">
        <v>57432.0</v>
      </c>
      <c r="E42" s="3" t="n">
        <v>57130.0</v>
      </c>
      <c r="F42" s="3" t="n">
        <v>57771.0</v>
      </c>
      <c r="G42" s="3" t="n">
        <v>58848.0</v>
      </c>
      <c r="H42" s="3" t="n">
        <v>60448.0</v>
      </c>
      <c r="I42" s="3" t="n">
        <v>62511.0</v>
      </c>
      <c r="J42" s="3" t="n">
        <v>64651.0</v>
      </c>
      <c r="K42" s="3" t="n">
        <v>66780.0</v>
      </c>
      <c r="L42" s="3" t="n">
        <v>69199.0</v>
      </c>
      <c r="M42" s="3" t="n">
        <v>70618.0</v>
      </c>
      <c r="N42" s="3" t="n">
        <v>71569.0</v>
      </c>
      <c r="O42" s="3" t="n">
        <v>72821.0</v>
      </c>
      <c r="P42" s="3" t="n">
        <v>73522.0</v>
      </c>
      <c r="Q42" s="3" t="n">
        <v>73502.0</v>
      </c>
      <c r="R42" s="3" t="n">
        <v>74677.0</v>
      </c>
      <c r="S42" s="3" t="n">
        <v>76011.0</v>
      </c>
      <c r="T42" s="3" t="n">
        <v>76464.0</v>
      </c>
      <c r="U42" s="3" t="n">
        <v>76326.0</v>
      </c>
      <c r="V42" s="3" t="n">
        <v>75455.0</v>
      </c>
      <c r="W42" s="3" t="n">
        <v>72920.0</v>
      </c>
      <c r="X42" s="3" t="n">
        <v>69944.0</v>
      </c>
      <c r="Y42" s="3" t="n">
        <v>66936.0</v>
      </c>
      <c r="Z42" s="3" t="n">
        <v>64530.0</v>
      </c>
      <c r="AA42" s="3" t="n">
        <v>62503.0</v>
      </c>
      <c r="AB42" s="3" t="n">
        <v>60679.0</v>
      </c>
      <c r="AC42" s="3" t="n">
        <v>58667.0</v>
      </c>
      <c r="AD42" s="3" t="n">
        <v>56667.0</v>
      </c>
      <c r="AE42" s="3" t="n">
        <v>53809.0</v>
      </c>
      <c r="AF42" s="3" t="n">
        <v>51477.0</v>
      </c>
      <c r="AG42" s="3" t="n">
        <v>49311.0</v>
      </c>
      <c r="AH42" s="3" t="n">
        <v>47399.0</v>
      </c>
      <c r="AI42" s="3" t="n">
        <v>45538.0</v>
      </c>
      <c r="AJ42" s="3" t="n">
        <v>44357.0</v>
      </c>
      <c r="AK42" s="3" t="n">
        <v>43192.0</v>
      </c>
      <c r="AL42" s="3" t="n">
        <v>42087.0</v>
      </c>
      <c r="AM42" s="3" t="n">
        <v>41256.0</v>
      </c>
      <c r="AN42" s="3" t="n">
        <v>40736.0</v>
      </c>
      <c r="AO42" s="3" t="n">
        <v>40622.0</v>
      </c>
    </row>
    <row r="43" spans="1:41" x14ac:dyDescent="0.2">
      <c r="A43" s="133"/>
      <c r="B43" s="64" t="s">
        <v>32</v>
      </c>
      <c r="C43" s="3" t="n">
        <v>63558.0</v>
      </c>
      <c r="D43" s="3" t="n">
        <v>60546.0</v>
      </c>
      <c r="E43" s="3" t="n">
        <v>58060.0</v>
      </c>
      <c r="F43" s="3" t="n">
        <v>56228.0</v>
      </c>
      <c r="G43" s="3" t="n">
        <v>54753.0</v>
      </c>
      <c r="H43" s="3" t="n">
        <v>53600.0</v>
      </c>
      <c r="I43" s="3" t="n">
        <v>53042.0</v>
      </c>
      <c r="J43" s="3" t="n">
        <v>52794.0</v>
      </c>
      <c r="K43" s="3" t="n">
        <v>53419.0</v>
      </c>
      <c r="L43" s="3" t="n">
        <v>54450.0</v>
      </c>
      <c r="M43" s="3" t="n">
        <v>55952.0</v>
      </c>
      <c r="N43" s="3" t="n">
        <v>57882.0</v>
      </c>
      <c r="O43" s="3" t="n">
        <v>59875.0</v>
      </c>
      <c r="P43" s="3" t="n">
        <v>61871.0</v>
      </c>
      <c r="Q43" s="3" t="n">
        <v>64151.0</v>
      </c>
      <c r="R43" s="3" t="n">
        <v>65478.0</v>
      </c>
      <c r="S43" s="3" t="n">
        <v>66396.0</v>
      </c>
      <c r="T43" s="3" t="n">
        <v>67586.0</v>
      </c>
      <c r="U43" s="3" t="n">
        <v>68266.0</v>
      </c>
      <c r="V43" s="3" t="n">
        <v>68267.0</v>
      </c>
      <c r="W43" s="3" t="n">
        <v>69380.0</v>
      </c>
      <c r="X43" s="3" t="n">
        <v>70649.0</v>
      </c>
      <c r="Y43" s="3" t="n">
        <v>71078.0</v>
      </c>
      <c r="Z43" s="3" t="n">
        <v>70953.0</v>
      </c>
      <c r="AA43" s="3" t="n">
        <v>70134.0</v>
      </c>
      <c r="AB43" s="3" t="n">
        <v>67789.0</v>
      </c>
      <c r="AC43" s="3" t="n">
        <v>65039.0</v>
      </c>
      <c r="AD43" s="3" t="n">
        <v>62267.0</v>
      </c>
      <c r="AE43" s="3" t="n">
        <v>60072.0</v>
      </c>
      <c r="AF43" s="3" t="n">
        <v>58221.0</v>
      </c>
      <c r="AG43" s="3" t="n">
        <v>56528.0</v>
      </c>
      <c r="AH43" s="3" t="n">
        <v>54669.0</v>
      </c>
      <c r="AI43" s="3" t="n">
        <v>52802.0</v>
      </c>
      <c r="AJ43" s="3" t="n">
        <v>50143.0</v>
      </c>
      <c r="AK43" s="3" t="n">
        <v>47972.0</v>
      </c>
      <c r="AL43" s="3" t="n">
        <v>45938.0</v>
      </c>
      <c r="AM43" s="3" t="n">
        <v>44165.0</v>
      </c>
      <c r="AN43" s="3" t="n">
        <v>42427.0</v>
      </c>
      <c r="AO43" s="3" t="n">
        <v>41329.0</v>
      </c>
    </row>
    <row r="44" spans="1:41" x14ac:dyDescent="0.2">
      <c r="A44" s="133"/>
      <c r="B44" s="65" t="s">
        <v>33</v>
      </c>
      <c r="C44" s="3" t="n">
        <v>62210.0</v>
      </c>
      <c r="D44" s="3" t="n">
        <v>62741.0</v>
      </c>
      <c r="E44" s="3" t="n">
        <v>62481.0</v>
      </c>
      <c r="F44" s="3" t="n">
        <v>60841.0</v>
      </c>
      <c r="G44" s="3" t="n">
        <v>58680.0</v>
      </c>
      <c r="H44" s="3" t="n">
        <v>56212.0</v>
      </c>
      <c r="I44" s="3" t="n">
        <v>53602.0</v>
      </c>
      <c r="J44" s="3" t="n">
        <v>51462.0</v>
      </c>
      <c r="K44" s="3" t="n">
        <v>49890.0</v>
      </c>
      <c r="L44" s="3" t="n">
        <v>48632.0</v>
      </c>
      <c r="M44" s="3" t="n">
        <v>47661.0</v>
      </c>
      <c r="N44" s="3" t="n">
        <v>47216.0</v>
      </c>
      <c r="O44" s="3" t="n">
        <v>47054.0</v>
      </c>
      <c r="P44" s="3" t="n">
        <v>47664.0</v>
      </c>
      <c r="Q44" s="3" t="n">
        <v>48613.0</v>
      </c>
      <c r="R44" s="3" t="n">
        <v>49983.0</v>
      </c>
      <c r="S44" s="3" t="n">
        <v>51751.0</v>
      </c>
      <c r="T44" s="3" t="n">
        <v>53553.0</v>
      </c>
      <c r="U44" s="3" t="n">
        <v>55372.0</v>
      </c>
      <c r="V44" s="3" t="n">
        <v>57451.0</v>
      </c>
      <c r="W44" s="3" t="n">
        <v>58659.0</v>
      </c>
      <c r="X44" s="3" t="n">
        <v>59509.0</v>
      </c>
      <c r="Y44" s="3" t="n">
        <v>60597.0</v>
      </c>
      <c r="Z44" s="3" t="n">
        <v>61224.0</v>
      </c>
      <c r="AA44" s="3" t="n">
        <v>61264.0</v>
      </c>
      <c r="AB44" s="3" t="n">
        <v>62274.0</v>
      </c>
      <c r="AC44" s="3" t="n">
        <v>63436.0</v>
      </c>
      <c r="AD44" s="3" t="n">
        <v>63836.0</v>
      </c>
      <c r="AE44" s="3" t="n">
        <v>63739.0</v>
      </c>
      <c r="AF44" s="3" t="n">
        <v>63004.0</v>
      </c>
      <c r="AG44" s="3" t="n">
        <v>60927.0</v>
      </c>
      <c r="AH44" s="3" t="n">
        <v>58478.0</v>
      </c>
      <c r="AI44" s="3" t="n">
        <v>56019.0</v>
      </c>
      <c r="AJ44" s="3" t="n">
        <v>54100.0</v>
      </c>
      <c r="AK44" s="3" t="n">
        <v>52455.0</v>
      </c>
      <c r="AL44" s="3" t="n">
        <v>50938.0</v>
      </c>
      <c r="AM44" s="3" t="n">
        <v>49272.0</v>
      </c>
      <c r="AN44" s="3" t="n">
        <v>47589.0</v>
      </c>
      <c r="AO44" s="3" t="n">
        <v>45188.0</v>
      </c>
    </row>
    <row r="45" spans="1:41" x14ac:dyDescent="0.2">
      <c r="A45" s="133"/>
      <c r="B45" s="64" t="s">
        <v>34</v>
      </c>
      <c r="C45" s="3" t="n">
        <v>47233.0</v>
      </c>
      <c r="D45" s="3" t="n">
        <v>48372.0</v>
      </c>
      <c r="E45" s="3" t="n">
        <v>49232.0</v>
      </c>
      <c r="F45" s="3" t="n">
        <v>50393.0</v>
      </c>
      <c r="G45" s="3" t="n">
        <v>51493.0</v>
      </c>
      <c r="H45" s="3" t="n">
        <v>52522.0</v>
      </c>
      <c r="I45" s="3" t="n">
        <v>53036.0</v>
      </c>
      <c r="J45" s="3" t="n">
        <v>52866.0</v>
      </c>
      <c r="K45" s="3" t="n">
        <v>51508.0</v>
      </c>
      <c r="L45" s="3" t="n">
        <v>49725.0</v>
      </c>
      <c r="M45" s="3" t="n">
        <v>47689.0</v>
      </c>
      <c r="N45" s="3" t="n">
        <v>45531.0</v>
      </c>
      <c r="O45" s="3" t="n">
        <v>43769.0</v>
      </c>
      <c r="P45" s="3" t="n">
        <v>42486.0</v>
      </c>
      <c r="Q45" s="3" t="n">
        <v>41474.0</v>
      </c>
      <c r="R45" s="3" t="n">
        <v>40687.0</v>
      </c>
      <c r="S45" s="3" t="n">
        <v>40345.0</v>
      </c>
      <c r="T45" s="3" t="n">
        <v>40241.0</v>
      </c>
      <c r="U45" s="3" t="n">
        <v>40800.0</v>
      </c>
      <c r="V45" s="3" t="n">
        <v>41652.0</v>
      </c>
      <c r="W45" s="3" t="n">
        <v>42866.0</v>
      </c>
      <c r="X45" s="3" t="n">
        <v>44431.0</v>
      </c>
      <c r="Y45" s="3" t="n">
        <v>46021.0</v>
      </c>
      <c r="Z45" s="3" t="n">
        <v>47599.0</v>
      </c>
      <c r="AA45" s="3" t="n">
        <v>49406.0</v>
      </c>
      <c r="AB45" s="3" t="n">
        <v>50469.0</v>
      </c>
      <c r="AC45" s="3" t="n">
        <v>51218.0</v>
      </c>
      <c r="AD45" s="3" t="n">
        <v>52177.0</v>
      </c>
      <c r="AE45" s="3" t="n">
        <v>52764.0</v>
      </c>
      <c r="AF45" s="3" t="n">
        <v>52831.0</v>
      </c>
      <c r="AG45" s="3" t="n">
        <v>53747.0</v>
      </c>
      <c r="AH45" s="3" t="n">
        <v>54764.0</v>
      </c>
      <c r="AI45" s="3" t="n">
        <v>55131.0</v>
      </c>
      <c r="AJ45" s="3" t="n">
        <v>55068.0</v>
      </c>
      <c r="AK45" s="3" t="n">
        <v>54439.0</v>
      </c>
      <c r="AL45" s="3" t="n">
        <v>52635.0</v>
      </c>
      <c r="AM45" s="3" t="n">
        <v>50556.0</v>
      </c>
      <c r="AN45" s="3" t="n">
        <v>48473.0</v>
      </c>
      <c r="AO45" s="3" t="n">
        <v>46840.0</v>
      </c>
    </row>
    <row r="46" spans="1:41" x14ac:dyDescent="0.2">
      <c r="A46" s="133"/>
      <c r="B46" s="64" t="s">
        <v>35</v>
      </c>
      <c r="C46" s="3" t="n">
        <v>24503.0</v>
      </c>
      <c r="D46" s="3" t="n">
        <v>27679.0</v>
      </c>
      <c r="E46" s="3" t="n">
        <v>31283.0</v>
      </c>
      <c r="F46" s="3" t="n">
        <v>34709.0</v>
      </c>
      <c r="G46" s="3" t="n">
        <v>36118.0</v>
      </c>
      <c r="H46" s="3" t="n">
        <v>37385.0</v>
      </c>
      <c r="I46" s="3" t="n">
        <v>38358.0</v>
      </c>
      <c r="J46" s="3" t="n">
        <v>39106.0</v>
      </c>
      <c r="K46" s="3" t="n">
        <v>40109.0</v>
      </c>
      <c r="L46" s="3" t="n">
        <v>41072.0</v>
      </c>
      <c r="M46" s="3" t="n">
        <v>41950.0</v>
      </c>
      <c r="N46" s="3" t="n">
        <v>42380.0</v>
      </c>
      <c r="O46" s="3" t="n">
        <v>42250.0</v>
      </c>
      <c r="P46" s="3" t="n">
        <v>41187.0</v>
      </c>
      <c r="Q46" s="3" t="n">
        <v>39817.0</v>
      </c>
      <c r="R46" s="3" t="n">
        <v>38231.0</v>
      </c>
      <c r="S46" s="3" t="n">
        <v>36565.0</v>
      </c>
      <c r="T46" s="3" t="n">
        <v>35201.0</v>
      </c>
      <c r="U46" s="3" t="n">
        <v>34204.0</v>
      </c>
      <c r="V46" s="3" t="n">
        <v>33436.0</v>
      </c>
      <c r="W46" s="3" t="n">
        <v>32852.0</v>
      </c>
      <c r="X46" s="3" t="n">
        <v>32617.0</v>
      </c>
      <c r="Y46" s="3" t="n">
        <v>32586.0</v>
      </c>
      <c r="Z46" s="3" t="n">
        <v>33078.0</v>
      </c>
      <c r="AA46" s="3" t="n">
        <v>33788.0</v>
      </c>
      <c r="AB46" s="3" t="n">
        <v>34798.0</v>
      </c>
      <c r="AC46" s="3" t="n">
        <v>36093.0</v>
      </c>
      <c r="AD46" s="3" t="n">
        <v>37398.0</v>
      </c>
      <c r="AE46" s="3" t="n">
        <v>38739.0</v>
      </c>
      <c r="AF46" s="3" t="n">
        <v>40232.0</v>
      </c>
      <c r="AG46" s="3" t="n">
        <v>41132.0</v>
      </c>
      <c r="AH46" s="3" t="n">
        <v>41767.0</v>
      </c>
      <c r="AI46" s="3" t="n">
        <v>42575.0</v>
      </c>
      <c r="AJ46" s="3" t="n">
        <v>43084.0</v>
      </c>
      <c r="AK46" s="3" t="n">
        <v>43165.0</v>
      </c>
      <c r="AL46" s="3" t="n">
        <v>43933.0</v>
      </c>
      <c r="AM46" s="3" t="n">
        <v>44803.0</v>
      </c>
      <c r="AN46" s="3" t="n">
        <v>45132.0</v>
      </c>
      <c r="AO46" s="3" t="n">
        <v>45071.0</v>
      </c>
    </row>
    <row r="47" spans="1:41" x14ac:dyDescent="0.2">
      <c r="A47" s="133"/>
      <c r="B47" s="64" t="s">
        <v>36</v>
      </c>
      <c r="C47" s="3" t="n">
        <v>13964.0</v>
      </c>
      <c r="D47" s="3" t="n">
        <v>13853.0</v>
      </c>
      <c r="E47" s="3" t="n">
        <v>13653.0</v>
      </c>
      <c r="F47" s="3" t="n">
        <v>13538.0</v>
      </c>
      <c r="G47" s="3" t="n">
        <v>15379.0</v>
      </c>
      <c r="H47" s="3" t="n">
        <v>17349.0</v>
      </c>
      <c r="I47" s="3" t="n">
        <v>19669.0</v>
      </c>
      <c r="J47" s="3" t="n">
        <v>22229.0</v>
      </c>
      <c r="K47" s="3" t="n">
        <v>24619.0</v>
      </c>
      <c r="L47" s="3" t="n">
        <v>25677.0</v>
      </c>
      <c r="M47" s="3" t="n">
        <v>26624.0</v>
      </c>
      <c r="N47" s="3" t="n">
        <v>27366.0</v>
      </c>
      <c r="O47" s="3" t="n">
        <v>27963.0</v>
      </c>
      <c r="P47" s="3" t="n">
        <v>28747.0</v>
      </c>
      <c r="Q47" s="3" t="n">
        <v>29485.0</v>
      </c>
      <c r="R47" s="3" t="n">
        <v>30154.0</v>
      </c>
      <c r="S47" s="3" t="n">
        <v>30487.0</v>
      </c>
      <c r="T47" s="3" t="n">
        <v>30393.0</v>
      </c>
      <c r="U47" s="3" t="n">
        <v>29646.0</v>
      </c>
      <c r="V47" s="3" t="n">
        <v>28683.0</v>
      </c>
      <c r="W47" s="3" t="n">
        <v>27576.0</v>
      </c>
      <c r="X47" s="3" t="n">
        <v>26430.0</v>
      </c>
      <c r="Y47" s="3" t="n">
        <v>25505.0</v>
      </c>
      <c r="Z47" s="3" t="n">
        <v>24836.0</v>
      </c>
      <c r="AA47" s="3" t="n">
        <v>24306.0</v>
      </c>
      <c r="AB47" s="3" t="n">
        <v>23915.0</v>
      </c>
      <c r="AC47" s="3" t="n">
        <v>23775.0</v>
      </c>
      <c r="AD47" s="3" t="n">
        <v>23788.0</v>
      </c>
      <c r="AE47" s="3" t="n">
        <v>24185.0</v>
      </c>
      <c r="AF47" s="3" t="n">
        <v>24757.0</v>
      </c>
      <c r="AG47" s="3" t="n">
        <v>25549.0</v>
      </c>
      <c r="AH47" s="3" t="n">
        <v>26540.0</v>
      </c>
      <c r="AI47" s="3" t="n">
        <v>27520.0</v>
      </c>
      <c r="AJ47" s="3" t="n">
        <v>28520.0</v>
      </c>
      <c r="AK47" s="3" t="n">
        <v>29647.0</v>
      </c>
      <c r="AL47" s="3" t="n">
        <v>30302.0</v>
      </c>
      <c r="AM47" s="3" t="n">
        <v>30796.0</v>
      </c>
      <c r="AN47" s="3" t="n">
        <v>31416.0</v>
      </c>
      <c r="AO47" s="3" t="n">
        <v>31804.0</v>
      </c>
    </row>
    <row r="48" spans="1:41" x14ac:dyDescent="0.2">
      <c r="A48" s="133"/>
      <c r="B48" s="64" t="s">
        <v>37</v>
      </c>
      <c r="C48" s="3" t="n">
        <v>7469.0</v>
      </c>
      <c r="D48" s="3" t="n">
        <v>7592.0</v>
      </c>
      <c r="E48" s="3" t="n">
        <v>7667.0</v>
      </c>
      <c r="F48" s="3" t="n">
        <v>7734.0</v>
      </c>
      <c r="G48" s="3" t="n">
        <v>7782.0</v>
      </c>
      <c r="H48" s="3" t="n">
        <v>7806.0</v>
      </c>
      <c r="I48" s="3" t="n">
        <v>7768.0</v>
      </c>
      <c r="J48" s="3" t="n">
        <v>7677.0</v>
      </c>
      <c r="K48" s="3" t="n">
        <v>7659.0</v>
      </c>
      <c r="L48" s="3" t="n">
        <v>8847.0</v>
      </c>
      <c r="M48" s="3" t="n">
        <v>10087.0</v>
      </c>
      <c r="N48" s="3" t="n">
        <v>11483.0</v>
      </c>
      <c r="O48" s="3" t="n">
        <v>12958.0</v>
      </c>
      <c r="P48" s="3" t="n">
        <v>14303.0</v>
      </c>
      <c r="Q48" s="3" t="n">
        <v>14933.0</v>
      </c>
      <c r="R48" s="3" t="n">
        <v>15488.0</v>
      </c>
      <c r="S48" s="3" t="n">
        <v>15986.0</v>
      </c>
      <c r="T48" s="3" t="n">
        <v>16375.0</v>
      </c>
      <c r="U48" s="3" t="n">
        <v>16892.0</v>
      </c>
      <c r="V48" s="3" t="n">
        <v>17367.0</v>
      </c>
      <c r="W48" s="3" t="n">
        <v>17797.0</v>
      </c>
      <c r="X48" s="3" t="n">
        <v>18012.0</v>
      </c>
      <c r="Y48" s="3" t="n">
        <v>17959.0</v>
      </c>
      <c r="Z48" s="3" t="n">
        <v>17511.0</v>
      </c>
      <c r="AA48" s="3" t="n">
        <v>16955.0</v>
      </c>
      <c r="AB48" s="3" t="n">
        <v>16338.0</v>
      </c>
      <c r="AC48" s="3" t="n">
        <v>15696.0</v>
      </c>
      <c r="AD48" s="3" t="n">
        <v>15182.0</v>
      </c>
      <c r="AE48" s="3" t="n">
        <v>14809.0</v>
      </c>
      <c r="AF48" s="3" t="n">
        <v>14519.0</v>
      </c>
      <c r="AG48" s="3" t="n">
        <v>14332.0</v>
      </c>
      <c r="AH48" s="3" t="n">
        <v>14279.0</v>
      </c>
      <c r="AI48" s="3" t="n">
        <v>14314.0</v>
      </c>
      <c r="AJ48" s="3" t="n">
        <v>14602.0</v>
      </c>
      <c r="AK48" s="3" t="n">
        <v>14986.0</v>
      </c>
      <c r="AL48" s="3" t="n">
        <v>15488.0</v>
      </c>
      <c r="AM48" s="3" t="n">
        <v>16120.0</v>
      </c>
      <c r="AN48" s="3" t="n">
        <v>16746.0</v>
      </c>
      <c r="AO48" s="3" t="n">
        <v>17389.0</v>
      </c>
    </row>
    <row r="49" spans="1:41" x14ac:dyDescent="0.2">
      <c r="A49" s="133"/>
      <c r="B49" s="74" t="s">
        <v>80</v>
      </c>
      <c r="C49" s="3" t="n">
        <v>2716.0</v>
      </c>
      <c r="D49" s="3" t="n">
        <v>2831.0</v>
      </c>
      <c r="E49" s="3" t="n">
        <v>2916.0</v>
      </c>
      <c r="F49" s="3" t="n">
        <v>3031.0</v>
      </c>
      <c r="G49" s="3" t="n">
        <v>3091.0</v>
      </c>
      <c r="H49" s="3" t="n">
        <v>3149.0</v>
      </c>
      <c r="I49" s="3" t="n">
        <v>3218.0</v>
      </c>
      <c r="J49" s="3" t="n">
        <v>3262.0</v>
      </c>
      <c r="K49" s="3" t="n">
        <v>3312.0</v>
      </c>
      <c r="L49" s="3" t="n">
        <v>3350.0</v>
      </c>
      <c r="M49" s="3" t="n">
        <v>3377.0</v>
      </c>
      <c r="N49" s="3" t="n">
        <v>3383.0</v>
      </c>
      <c r="O49" s="3" t="n">
        <v>3353.0</v>
      </c>
      <c r="P49" s="3" t="n">
        <v>3366.0</v>
      </c>
      <c r="Q49" s="3" t="n">
        <v>3957.0</v>
      </c>
      <c r="R49" s="3" t="n">
        <v>4552.0</v>
      </c>
      <c r="S49" s="3" t="n">
        <v>5193.0</v>
      </c>
      <c r="T49" s="3" t="n">
        <v>5856.0</v>
      </c>
      <c r="U49" s="3" t="n">
        <v>6424.0</v>
      </c>
      <c r="V49" s="3" t="n">
        <v>6720.0</v>
      </c>
      <c r="W49" s="3" t="n">
        <v>6992.0</v>
      </c>
      <c r="X49" s="3" t="n">
        <v>7235.0</v>
      </c>
      <c r="Y49" s="3" t="n">
        <v>7424.0</v>
      </c>
      <c r="Z49" s="3" t="n">
        <v>7682.0</v>
      </c>
      <c r="AA49" s="3" t="n">
        <v>7916.0</v>
      </c>
      <c r="AB49" s="3" t="n">
        <v>8128.0</v>
      </c>
      <c r="AC49" s="3" t="n">
        <v>8229.0</v>
      </c>
      <c r="AD49" s="3" t="n">
        <v>8204.0</v>
      </c>
      <c r="AE49" s="3" t="n">
        <v>8013.0</v>
      </c>
      <c r="AF49" s="3" t="n">
        <v>7765.0</v>
      </c>
      <c r="AG49" s="3" t="n">
        <v>7504.0</v>
      </c>
      <c r="AH49" s="3" t="n">
        <v>7240.0</v>
      </c>
      <c r="AI49" s="3" t="n">
        <v>7039.0</v>
      </c>
      <c r="AJ49" s="3" t="n">
        <v>6892.0</v>
      </c>
      <c r="AK49" s="3" t="n">
        <v>6768.0</v>
      </c>
      <c r="AL49" s="3" t="n">
        <v>6695.0</v>
      </c>
      <c r="AM49" s="3" t="n">
        <v>6694.0</v>
      </c>
      <c r="AN49" s="3" t="n">
        <v>6728.0</v>
      </c>
      <c r="AO49" s="3" t="n">
        <v>6879.0</v>
      </c>
    </row>
    <row r="50" spans="1:41" x14ac:dyDescent="0.2">
      <c r="A50" s="133"/>
      <c r="B50" s="74" t="s">
        <v>81</v>
      </c>
      <c r="C50" s="3" t="n">
        <v>509.0</v>
      </c>
      <c r="D50" s="3" t="n">
        <v>544.0</v>
      </c>
      <c r="E50" s="3" t="n">
        <v>597.0</v>
      </c>
      <c r="F50" s="3" t="n">
        <v>651.0</v>
      </c>
      <c r="G50" s="3" t="n">
        <v>712.0</v>
      </c>
      <c r="H50" s="3" t="n">
        <v>761.0</v>
      </c>
      <c r="I50" s="3" t="n">
        <v>797.0</v>
      </c>
      <c r="J50" s="3" t="n">
        <v>822.0</v>
      </c>
      <c r="K50" s="3" t="n">
        <v>862.0</v>
      </c>
      <c r="L50" s="3" t="n">
        <v>883.0</v>
      </c>
      <c r="M50" s="3" t="n">
        <v>906.0</v>
      </c>
      <c r="N50" s="3" t="n">
        <v>934.0</v>
      </c>
      <c r="O50" s="3" t="n">
        <v>952.0</v>
      </c>
      <c r="P50" s="3" t="n">
        <v>971.0</v>
      </c>
      <c r="Q50" s="3" t="n">
        <v>994.0</v>
      </c>
      <c r="R50" s="3" t="n">
        <v>1012.0</v>
      </c>
      <c r="S50" s="3" t="n">
        <v>1020.0</v>
      </c>
      <c r="T50" s="3" t="n">
        <v>1013.0</v>
      </c>
      <c r="U50" s="3" t="n">
        <v>1021.0</v>
      </c>
      <c r="V50" s="3" t="n">
        <v>1233.0</v>
      </c>
      <c r="W50" s="3" t="n">
        <v>1421.0</v>
      </c>
      <c r="X50" s="3" t="n">
        <v>1610.0</v>
      </c>
      <c r="Y50" s="3" t="n">
        <v>1814.0</v>
      </c>
      <c r="Z50" s="3" t="n">
        <v>1975.0</v>
      </c>
      <c r="AA50" s="3" t="n">
        <v>2072.0</v>
      </c>
      <c r="AB50" s="3" t="n">
        <v>2162.0</v>
      </c>
      <c r="AC50" s="3" t="n">
        <v>2247.0</v>
      </c>
      <c r="AD50" s="3" t="n">
        <v>2323.0</v>
      </c>
      <c r="AE50" s="3" t="n">
        <v>2401.0</v>
      </c>
      <c r="AF50" s="3" t="n">
        <v>2478.0</v>
      </c>
      <c r="AG50" s="3" t="n">
        <v>2550.0</v>
      </c>
      <c r="AH50" s="3" t="n">
        <v>2587.0</v>
      </c>
      <c r="AI50" s="3" t="n">
        <v>2571.0</v>
      </c>
      <c r="AJ50" s="3" t="n">
        <v>2520.0</v>
      </c>
      <c r="AK50" s="3" t="n">
        <v>2453.0</v>
      </c>
      <c r="AL50" s="3" t="n">
        <v>2378.0</v>
      </c>
      <c r="AM50" s="3" t="n">
        <v>2293.0</v>
      </c>
      <c r="AN50" s="3" t="n">
        <v>2245.0</v>
      </c>
      <c r="AO50" s="3" t="n">
        <v>2206.0</v>
      </c>
    </row>
    <row r="51" spans="1:41" x14ac:dyDescent="0.2">
      <c r="A51" s="133"/>
      <c r="B51" s="66" t="s">
        <v>79</v>
      </c>
      <c r="C51" s="3" t="n">
        <v>82.0</v>
      </c>
      <c r="D51" s="3" t="n">
        <v>82.0</v>
      </c>
      <c r="E51" s="3" t="n">
        <v>91.0</v>
      </c>
      <c r="F51" s="3" t="n">
        <v>81.0</v>
      </c>
      <c r="G51" s="3" t="n">
        <v>85.0</v>
      </c>
      <c r="H51" s="3" t="n">
        <v>92.0</v>
      </c>
      <c r="I51" s="3" t="n">
        <v>96.0</v>
      </c>
      <c r="J51" s="3" t="n">
        <v>102.0</v>
      </c>
      <c r="K51" s="3" t="n">
        <v>113.0</v>
      </c>
      <c r="L51" s="3" t="n">
        <v>125.0</v>
      </c>
      <c r="M51" s="3" t="n">
        <v>126.0</v>
      </c>
      <c r="N51" s="3" t="n">
        <v>129.0</v>
      </c>
      <c r="O51" s="3" t="n">
        <v>134.0</v>
      </c>
      <c r="P51" s="3" t="n">
        <v>138.0</v>
      </c>
      <c r="Q51" s="3" t="n">
        <v>146.0</v>
      </c>
      <c r="R51" s="3" t="n">
        <v>154.0</v>
      </c>
      <c r="S51" s="3" t="n">
        <v>154.0</v>
      </c>
      <c r="T51" s="3" t="n">
        <v>161.0</v>
      </c>
      <c r="U51" s="3" t="n">
        <v>171.0</v>
      </c>
      <c r="V51" s="3" t="n">
        <v>173.0</v>
      </c>
      <c r="W51" s="3" t="n">
        <v>179.0</v>
      </c>
      <c r="X51" s="3" t="n">
        <v>187.0</v>
      </c>
      <c r="Y51" s="3" t="n">
        <v>183.0</v>
      </c>
      <c r="Z51" s="3" t="n">
        <v>186.0</v>
      </c>
      <c r="AA51" s="3" t="n">
        <v>229.0</v>
      </c>
      <c r="AB51" s="3" t="n">
        <v>267.0</v>
      </c>
      <c r="AC51" s="3" t="n">
        <v>309.0</v>
      </c>
      <c r="AD51" s="3" t="n">
        <v>344.0</v>
      </c>
      <c r="AE51" s="3" t="n">
        <v>376.0</v>
      </c>
      <c r="AF51" s="3" t="n">
        <v>404.0</v>
      </c>
      <c r="AG51" s="3" t="n">
        <v>427.0</v>
      </c>
      <c r="AH51" s="3" t="n">
        <v>449.0</v>
      </c>
      <c r="AI51" s="3" t="n">
        <v>467.0</v>
      </c>
      <c r="AJ51" s="3" t="n">
        <v>486.0</v>
      </c>
      <c r="AK51" s="3" t="n">
        <v>510.0</v>
      </c>
      <c r="AL51" s="3" t="n">
        <v>532.0</v>
      </c>
      <c r="AM51" s="3" t="n">
        <v>545.0</v>
      </c>
      <c r="AN51" s="3" t="n">
        <v>542.0</v>
      </c>
      <c r="AO51" s="3" t="n">
        <v>535.0</v>
      </c>
    </row>
    <row r="52" spans="1:41" x14ac:dyDescent="0.2">
      <c r="A52" s="132" t="s">
        <v>51</v>
      </c>
      <c r="B52" s="63" t="s">
        <v>64</v>
      </c>
      <c r="C52" s="15" t="n">
        <v>1035828.0</v>
      </c>
      <c r="D52" s="15" t="n">
        <v>1030667.0</v>
      </c>
      <c r="E52" s="15" t="n">
        <v>1025154.0</v>
      </c>
      <c r="F52" s="15" t="n">
        <v>1019372.0</v>
      </c>
      <c r="G52" s="15" t="n">
        <v>1013375.0</v>
      </c>
      <c r="H52" s="15" t="n">
        <v>1008019.0</v>
      </c>
      <c r="I52" s="15" t="n">
        <v>1002664.0</v>
      </c>
      <c r="J52" s="15" t="n">
        <v>996383.0</v>
      </c>
      <c r="K52" s="15" t="n">
        <v>989569.0</v>
      </c>
      <c r="L52" s="15" t="n">
        <v>982411.0</v>
      </c>
      <c r="M52" s="15" t="n">
        <v>974842.0</v>
      </c>
      <c r="N52" s="15" t="n">
        <v>966983.0</v>
      </c>
      <c r="O52" s="15" t="n">
        <v>958914.0</v>
      </c>
      <c r="P52" s="15" t="n">
        <v>950547.0</v>
      </c>
      <c r="Q52" s="15" t="n">
        <v>942029.0</v>
      </c>
      <c r="R52" s="15" t="n">
        <v>933176.0</v>
      </c>
      <c r="S52" s="15" t="n">
        <v>924199.0</v>
      </c>
      <c r="T52" s="15" t="n">
        <v>914945.0</v>
      </c>
      <c r="U52" s="15" t="n">
        <v>905575.0</v>
      </c>
      <c r="V52" s="15" t="n">
        <v>895991.0</v>
      </c>
      <c r="W52" s="15" t="n">
        <v>886344.0</v>
      </c>
      <c r="X52" s="15" t="n">
        <v>876534.0</v>
      </c>
      <c r="Y52" s="15" t="n">
        <v>866718.0</v>
      </c>
      <c r="Z52" s="15" t="n">
        <v>856795.0</v>
      </c>
      <c r="AA52" s="15" t="n">
        <v>846692.0</v>
      </c>
      <c r="AB52" s="15" t="n">
        <v>836643.0</v>
      </c>
      <c r="AC52" s="15" t="n">
        <v>826487.0</v>
      </c>
      <c r="AD52" s="15" t="n">
        <v>816250.0</v>
      </c>
      <c r="AE52" s="15" t="n">
        <v>806084.0</v>
      </c>
      <c r="AF52" s="15" t="n">
        <v>795841.0</v>
      </c>
      <c r="AG52" s="15" t="n">
        <v>785580.0</v>
      </c>
      <c r="AH52" s="15" t="n">
        <v>775336.0</v>
      </c>
      <c r="AI52" s="15" t="n">
        <v>765015.0</v>
      </c>
      <c r="AJ52" s="15" t="n">
        <v>754640.0</v>
      </c>
      <c r="AK52" s="15" t="n">
        <v>744249.0</v>
      </c>
      <c r="AL52" s="15" t="n">
        <v>733810.0</v>
      </c>
      <c r="AM52" s="15" t="n">
        <v>723214.0</v>
      </c>
      <c r="AN52" s="15" t="n">
        <v>712557.0</v>
      </c>
      <c r="AO52" s="15" t="n">
        <v>701894.0</v>
      </c>
    </row>
    <row r="53" spans="1:41" x14ac:dyDescent="0.2">
      <c r="A53" s="133"/>
      <c r="B53" s="64" t="s">
        <v>20</v>
      </c>
      <c r="C53" s="3" t="n">
        <v>43174.0</v>
      </c>
      <c r="D53" s="3" t="n">
        <v>40231.0</v>
      </c>
      <c r="E53" s="3" t="n">
        <v>37462.0</v>
      </c>
      <c r="F53" s="3" t="n">
        <v>35092.0</v>
      </c>
      <c r="G53" s="3" t="n">
        <v>33254.0</v>
      </c>
      <c r="H53" s="3" t="n">
        <v>32185.0</v>
      </c>
      <c r="I53" s="3" t="n">
        <v>31292.0</v>
      </c>
      <c r="J53" s="3" t="n">
        <v>30465.0</v>
      </c>
      <c r="K53" s="3" t="n">
        <v>29723.0</v>
      </c>
      <c r="L53" s="3" t="n">
        <v>29074.0</v>
      </c>
      <c r="M53" s="3" t="n">
        <v>28522.0</v>
      </c>
      <c r="N53" s="3" t="n">
        <v>28048.0</v>
      </c>
      <c r="O53" s="3" t="n">
        <v>27676.0</v>
      </c>
      <c r="P53" s="3" t="n">
        <v>27383.0</v>
      </c>
      <c r="Q53" s="3" t="n">
        <v>27168.0</v>
      </c>
      <c r="R53" s="3" t="n">
        <v>27007.0</v>
      </c>
      <c r="S53" s="3" t="n">
        <v>26907.0</v>
      </c>
      <c r="T53" s="3" t="n">
        <v>26829.0</v>
      </c>
      <c r="U53" s="3" t="n">
        <v>26765.0</v>
      </c>
      <c r="V53" s="3" t="n">
        <v>26701.0</v>
      </c>
      <c r="W53" s="3" t="n">
        <v>26619.0</v>
      </c>
      <c r="X53" s="3" t="n">
        <v>26502.0</v>
      </c>
      <c r="Y53" s="3" t="n">
        <v>26339.0</v>
      </c>
      <c r="Z53" s="3" t="n">
        <v>26136.0</v>
      </c>
      <c r="AA53" s="3" t="n">
        <v>25869.0</v>
      </c>
      <c r="AB53" s="3" t="n">
        <v>25533.0</v>
      </c>
      <c r="AC53" s="3" t="n">
        <v>25126.0</v>
      </c>
      <c r="AD53" s="3" t="n">
        <v>24653.0</v>
      </c>
      <c r="AE53" s="3" t="n">
        <v>24104.0</v>
      </c>
      <c r="AF53" s="3" t="n">
        <v>23521.0</v>
      </c>
      <c r="AG53" s="3" t="n">
        <v>22898.0</v>
      </c>
      <c r="AH53" s="3" t="n">
        <v>22231.0</v>
      </c>
      <c r="AI53" s="3" t="n">
        <v>21549.0</v>
      </c>
      <c r="AJ53" s="3" t="n">
        <v>20860.0</v>
      </c>
      <c r="AK53" s="3" t="n">
        <v>20169.0</v>
      </c>
      <c r="AL53" s="3" t="n">
        <v>19494.0</v>
      </c>
      <c r="AM53" s="3" t="n">
        <v>18840.0</v>
      </c>
      <c r="AN53" s="3" t="n">
        <v>18219.0</v>
      </c>
      <c r="AO53" s="3" t="n">
        <v>17636.0</v>
      </c>
    </row>
    <row r="54" spans="1:41" x14ac:dyDescent="0.2">
      <c r="A54" s="133"/>
      <c r="B54" s="64" t="s">
        <v>21</v>
      </c>
      <c r="C54" s="3" t="n">
        <v>49946.0</v>
      </c>
      <c r="D54" s="3" t="n">
        <v>49792.0</v>
      </c>
      <c r="E54" s="3" t="n">
        <v>49184.0</v>
      </c>
      <c r="F54" s="3" t="n">
        <v>48217.0</v>
      </c>
      <c r="G54" s="3" t="n">
        <v>46294.0</v>
      </c>
      <c r="H54" s="3" t="n">
        <v>43410.0</v>
      </c>
      <c r="I54" s="3" t="n">
        <v>40629.0</v>
      </c>
      <c r="J54" s="3" t="n">
        <v>37946.0</v>
      </c>
      <c r="K54" s="3" t="n">
        <v>35620.0</v>
      </c>
      <c r="L54" s="3" t="n">
        <v>33790.0</v>
      </c>
      <c r="M54" s="3" t="n">
        <v>32664.0</v>
      </c>
      <c r="N54" s="3" t="n">
        <v>31675.0</v>
      </c>
      <c r="O54" s="3" t="n">
        <v>30786.0</v>
      </c>
      <c r="P54" s="3" t="n">
        <v>30017.0</v>
      </c>
      <c r="Q54" s="3" t="n">
        <v>29351.0</v>
      </c>
      <c r="R54" s="3" t="n">
        <v>28795.0</v>
      </c>
      <c r="S54" s="3" t="n">
        <v>28313.0</v>
      </c>
      <c r="T54" s="3" t="n">
        <v>27933.0</v>
      </c>
      <c r="U54" s="3" t="n">
        <v>27621.0</v>
      </c>
      <c r="V54" s="3" t="n">
        <v>27394.0</v>
      </c>
      <c r="W54" s="3" t="n">
        <v>27219.0</v>
      </c>
      <c r="X54" s="3" t="n">
        <v>27116.0</v>
      </c>
      <c r="Y54" s="3" t="n">
        <v>27036.0</v>
      </c>
      <c r="Z54" s="3" t="n">
        <v>26974.0</v>
      </c>
      <c r="AA54" s="3" t="n">
        <v>26909.0</v>
      </c>
      <c r="AB54" s="3" t="n">
        <v>26828.0</v>
      </c>
      <c r="AC54" s="3" t="n">
        <v>26715.0</v>
      </c>
      <c r="AD54" s="3" t="n">
        <v>26556.0</v>
      </c>
      <c r="AE54" s="3" t="n">
        <v>26364.0</v>
      </c>
      <c r="AF54" s="3" t="n">
        <v>26108.0</v>
      </c>
      <c r="AG54" s="3" t="n">
        <v>25786.0</v>
      </c>
      <c r="AH54" s="3" t="n">
        <v>25398.0</v>
      </c>
      <c r="AI54" s="3" t="n">
        <v>24946.0</v>
      </c>
      <c r="AJ54" s="3" t="n">
        <v>24407.0</v>
      </c>
      <c r="AK54" s="3" t="n">
        <v>23831.0</v>
      </c>
      <c r="AL54" s="3" t="n">
        <v>23220.0</v>
      </c>
      <c r="AM54" s="3" t="n">
        <v>22567.0</v>
      </c>
      <c r="AN54" s="3" t="n">
        <v>21892.0</v>
      </c>
      <c r="AO54" s="3" t="n">
        <v>21203.0</v>
      </c>
    </row>
    <row r="55" spans="1:41" x14ac:dyDescent="0.2">
      <c r="A55" s="133"/>
      <c r="B55" s="64" t="s">
        <v>22</v>
      </c>
      <c r="C55" s="3" t="n">
        <v>55089.0</v>
      </c>
      <c r="D55" s="3" t="n">
        <v>53534.0</v>
      </c>
      <c r="E55" s="3" t="n">
        <v>51902.0</v>
      </c>
      <c r="F55" s="3" t="n">
        <v>50460.0</v>
      </c>
      <c r="G55" s="3" t="n">
        <v>50101.0</v>
      </c>
      <c r="H55" s="3" t="n">
        <v>49997.0</v>
      </c>
      <c r="I55" s="3" t="n">
        <v>49990.0</v>
      </c>
      <c r="J55" s="3" t="n">
        <v>49452.0</v>
      </c>
      <c r="K55" s="3" t="n">
        <v>48526.0</v>
      </c>
      <c r="L55" s="3" t="n">
        <v>46639.0</v>
      </c>
      <c r="M55" s="3" t="n">
        <v>43662.0</v>
      </c>
      <c r="N55" s="3" t="n">
        <v>40792.0</v>
      </c>
      <c r="O55" s="3" t="n">
        <v>38097.0</v>
      </c>
      <c r="P55" s="3" t="n">
        <v>35774.0</v>
      </c>
      <c r="Q55" s="3" t="n">
        <v>33940.0</v>
      </c>
      <c r="R55" s="3" t="n">
        <v>32796.0</v>
      </c>
      <c r="S55" s="3" t="n">
        <v>31796.0</v>
      </c>
      <c r="T55" s="3" t="n">
        <v>30902.0</v>
      </c>
      <c r="U55" s="3" t="n">
        <v>30124.0</v>
      </c>
      <c r="V55" s="3" t="n">
        <v>29447.0</v>
      </c>
      <c r="W55" s="3" t="n">
        <v>28876.0</v>
      </c>
      <c r="X55" s="3" t="n">
        <v>28384.0</v>
      </c>
      <c r="Y55" s="3" t="n">
        <v>27992.0</v>
      </c>
      <c r="Z55" s="3" t="n">
        <v>27673.0</v>
      </c>
      <c r="AA55" s="3" t="n">
        <v>27427.0</v>
      </c>
      <c r="AB55" s="3" t="n">
        <v>27247.0</v>
      </c>
      <c r="AC55" s="3" t="n">
        <v>27142.0</v>
      </c>
      <c r="AD55" s="3" t="n">
        <v>27058.0</v>
      </c>
      <c r="AE55" s="3" t="n">
        <v>26994.0</v>
      </c>
      <c r="AF55" s="3" t="n">
        <v>26930.0</v>
      </c>
      <c r="AG55" s="3" t="n">
        <v>26852.0</v>
      </c>
      <c r="AH55" s="3" t="n">
        <v>26744.0</v>
      </c>
      <c r="AI55" s="3" t="n">
        <v>26591.0</v>
      </c>
      <c r="AJ55" s="3" t="n">
        <v>26414.0</v>
      </c>
      <c r="AK55" s="3" t="n">
        <v>26169.0</v>
      </c>
      <c r="AL55" s="3" t="n">
        <v>25858.0</v>
      </c>
      <c r="AM55" s="3" t="n">
        <v>25485.0</v>
      </c>
      <c r="AN55" s="3" t="n">
        <v>25046.0</v>
      </c>
      <c r="AO55" s="3" t="n">
        <v>24520.0</v>
      </c>
    </row>
    <row r="56" spans="1:41" x14ac:dyDescent="0.2">
      <c r="A56" s="133"/>
      <c r="B56" s="64" t="s">
        <v>23</v>
      </c>
      <c r="C56" s="3" t="n">
        <v>48670.0</v>
      </c>
      <c r="D56" s="3" t="n">
        <v>51015.0</v>
      </c>
      <c r="E56" s="3" t="n">
        <v>53250.0</v>
      </c>
      <c r="F56" s="3" t="n">
        <v>54892.0</v>
      </c>
      <c r="G56" s="3" t="n">
        <v>55224.0</v>
      </c>
      <c r="H56" s="3" t="n">
        <v>55092.0</v>
      </c>
      <c r="I56" s="3" t="n">
        <v>53652.0</v>
      </c>
      <c r="J56" s="3" t="n">
        <v>52095.0</v>
      </c>
      <c r="K56" s="3" t="n">
        <v>50693.0</v>
      </c>
      <c r="L56" s="3" t="n">
        <v>50376.0</v>
      </c>
      <c r="M56" s="3" t="n">
        <v>50211.0</v>
      </c>
      <c r="N56" s="3" t="n">
        <v>50081.0</v>
      </c>
      <c r="O56" s="3" t="n">
        <v>49499.0</v>
      </c>
      <c r="P56" s="3" t="n">
        <v>48539.0</v>
      </c>
      <c r="Q56" s="3" t="n">
        <v>46653.0</v>
      </c>
      <c r="R56" s="3" t="n">
        <v>43696.0</v>
      </c>
      <c r="S56" s="3" t="n">
        <v>40835.0</v>
      </c>
      <c r="T56" s="3" t="n">
        <v>38152.0</v>
      </c>
      <c r="U56" s="3" t="n">
        <v>35845.0</v>
      </c>
      <c r="V56" s="3" t="n">
        <v>34023.0</v>
      </c>
      <c r="W56" s="3" t="n">
        <v>32887.0</v>
      </c>
      <c r="X56" s="3" t="n">
        <v>31891.0</v>
      </c>
      <c r="Y56" s="3" t="n">
        <v>30995.0</v>
      </c>
      <c r="Z56" s="3" t="n">
        <v>30208.0</v>
      </c>
      <c r="AA56" s="3" t="n">
        <v>29519.0</v>
      </c>
      <c r="AB56" s="3" t="n">
        <v>28932.0</v>
      </c>
      <c r="AC56" s="3" t="n">
        <v>28419.0</v>
      </c>
      <c r="AD56" s="3" t="n">
        <v>28012.0</v>
      </c>
      <c r="AE56" s="3" t="n">
        <v>27685.0</v>
      </c>
      <c r="AF56" s="3" t="n">
        <v>27438.0</v>
      </c>
      <c r="AG56" s="3" t="n">
        <v>27255.0</v>
      </c>
      <c r="AH56" s="3" t="n">
        <v>27146.0</v>
      </c>
      <c r="AI56" s="3" t="n">
        <v>27058.0</v>
      </c>
      <c r="AJ56" s="3" t="n">
        <v>26992.0</v>
      </c>
      <c r="AK56" s="3" t="n">
        <v>26928.0</v>
      </c>
      <c r="AL56" s="3" t="n">
        <v>26849.0</v>
      </c>
      <c r="AM56" s="3" t="n">
        <v>26741.0</v>
      </c>
      <c r="AN56" s="3" t="n">
        <v>26590.0</v>
      </c>
      <c r="AO56" s="3" t="n">
        <v>26418.0</v>
      </c>
    </row>
    <row r="57" spans="1:41" x14ac:dyDescent="0.2">
      <c r="A57" s="133"/>
      <c r="B57" s="64" t="s">
        <v>24</v>
      </c>
      <c r="C57" s="3" t="n">
        <v>48027.0</v>
      </c>
      <c r="D57" s="3" t="n">
        <v>47213.0</v>
      </c>
      <c r="E57" s="3" t="n">
        <v>46752.0</v>
      </c>
      <c r="F57" s="3" t="n">
        <v>46480.0</v>
      </c>
      <c r="G57" s="3" t="n">
        <v>47001.0</v>
      </c>
      <c r="H57" s="3" t="n">
        <v>48415.0</v>
      </c>
      <c r="I57" s="3" t="n">
        <v>50824.0</v>
      </c>
      <c r="J57" s="3" t="n">
        <v>53075.0</v>
      </c>
      <c r="K57" s="3" t="n">
        <v>54715.0</v>
      </c>
      <c r="L57" s="3" t="n">
        <v>55057.0</v>
      </c>
      <c r="M57" s="3" t="n">
        <v>54871.0</v>
      </c>
      <c r="N57" s="3" t="n">
        <v>53366.0</v>
      </c>
      <c r="O57" s="3" t="n">
        <v>51804.0</v>
      </c>
      <c r="P57" s="3" t="n">
        <v>50420.0</v>
      </c>
      <c r="Q57" s="3" t="n">
        <v>50100.0</v>
      </c>
      <c r="R57" s="3" t="n">
        <v>49954.0</v>
      </c>
      <c r="S57" s="3" t="n">
        <v>49840.0</v>
      </c>
      <c r="T57" s="3" t="n">
        <v>49276.0</v>
      </c>
      <c r="U57" s="3" t="n">
        <v>48324.0</v>
      </c>
      <c r="V57" s="3" t="n">
        <v>46436.0</v>
      </c>
      <c r="W57" s="3" t="n">
        <v>43508.0</v>
      </c>
      <c r="X57" s="3" t="n">
        <v>40678.0</v>
      </c>
      <c r="Y57" s="3" t="n">
        <v>38041.0</v>
      </c>
      <c r="Z57" s="3" t="n">
        <v>35773.0</v>
      </c>
      <c r="AA57" s="3" t="n">
        <v>33967.0</v>
      </c>
      <c r="AB57" s="3" t="n">
        <v>32845.0</v>
      </c>
      <c r="AC57" s="3" t="n">
        <v>31838.0</v>
      </c>
      <c r="AD57" s="3" t="n">
        <v>30944.0</v>
      </c>
      <c r="AE57" s="3" t="n">
        <v>30157.0</v>
      </c>
      <c r="AF57" s="3" t="n">
        <v>29458.0</v>
      </c>
      <c r="AG57" s="3" t="n">
        <v>28867.0</v>
      </c>
      <c r="AH57" s="3" t="n">
        <v>28349.0</v>
      </c>
      <c r="AI57" s="3" t="n">
        <v>27939.0</v>
      </c>
      <c r="AJ57" s="3" t="n">
        <v>27600.0</v>
      </c>
      <c r="AK57" s="3" t="n">
        <v>27343.0</v>
      </c>
      <c r="AL57" s="3" t="n">
        <v>27154.0</v>
      </c>
      <c r="AM57" s="3" t="n">
        <v>27037.0</v>
      </c>
      <c r="AN57" s="3" t="n">
        <v>26941.0</v>
      </c>
      <c r="AO57" s="3" t="n">
        <v>26872.0</v>
      </c>
    </row>
    <row r="58" spans="1:41" x14ac:dyDescent="0.2">
      <c r="A58" s="133"/>
      <c r="B58" s="64" t="s">
        <v>25</v>
      </c>
      <c r="C58" s="3" t="n">
        <v>55492.0</v>
      </c>
      <c r="D58" s="3" t="n">
        <v>52919.0</v>
      </c>
      <c r="E58" s="3" t="n">
        <v>50925.0</v>
      </c>
      <c r="F58" s="3" t="n">
        <v>49608.0</v>
      </c>
      <c r="G58" s="3" t="n">
        <v>48261.0</v>
      </c>
      <c r="H58" s="3" t="n">
        <v>47164.0</v>
      </c>
      <c r="I58" s="3" t="n">
        <v>46381.0</v>
      </c>
      <c r="J58" s="3" t="n">
        <v>45953.0</v>
      </c>
      <c r="K58" s="3" t="n">
        <v>45689.0</v>
      </c>
      <c r="L58" s="3" t="n">
        <v>46197.0</v>
      </c>
      <c r="M58" s="3" t="n">
        <v>47536.0</v>
      </c>
      <c r="N58" s="3" t="n">
        <v>49830.0</v>
      </c>
      <c r="O58" s="3" t="n">
        <v>51970.0</v>
      </c>
      <c r="P58" s="3" t="n">
        <v>53543.0</v>
      </c>
      <c r="Q58" s="3" t="n">
        <v>53857.0</v>
      </c>
      <c r="R58" s="3" t="n">
        <v>53687.0</v>
      </c>
      <c r="S58" s="3" t="n">
        <v>52246.0</v>
      </c>
      <c r="T58" s="3" t="n">
        <v>50753.0</v>
      </c>
      <c r="U58" s="3" t="n">
        <v>49432.0</v>
      </c>
      <c r="V58" s="3" t="n">
        <v>49153.0</v>
      </c>
      <c r="W58" s="3" t="n">
        <v>49030.0</v>
      </c>
      <c r="X58" s="3" t="n">
        <v>48954.0</v>
      </c>
      <c r="Y58" s="3" t="n">
        <v>48389.0</v>
      </c>
      <c r="Z58" s="3" t="n">
        <v>47451.0</v>
      </c>
      <c r="AA58" s="3" t="n">
        <v>45613.0</v>
      </c>
      <c r="AB58" s="3" t="n">
        <v>42737.0</v>
      </c>
      <c r="AC58" s="3" t="n">
        <v>39980.0</v>
      </c>
      <c r="AD58" s="3" t="n">
        <v>37432.0</v>
      </c>
      <c r="AE58" s="3" t="n">
        <v>35228.0</v>
      </c>
      <c r="AF58" s="3" t="n">
        <v>33457.0</v>
      </c>
      <c r="AG58" s="3" t="n">
        <v>32361.0</v>
      </c>
      <c r="AH58" s="3" t="n">
        <v>31372.0</v>
      </c>
      <c r="AI58" s="3" t="n">
        <v>30483.0</v>
      </c>
      <c r="AJ58" s="3" t="n">
        <v>29689.0</v>
      </c>
      <c r="AK58" s="3" t="n">
        <v>28989.0</v>
      </c>
      <c r="AL58" s="3" t="n">
        <v>28389.0</v>
      </c>
      <c r="AM58" s="3" t="n">
        <v>27867.0</v>
      </c>
      <c r="AN58" s="3" t="n">
        <v>27450.0</v>
      </c>
      <c r="AO58" s="3" t="n">
        <v>27108.0</v>
      </c>
    </row>
    <row r="59" spans="1:41" x14ac:dyDescent="0.2">
      <c r="A59" s="133"/>
      <c r="B59" s="64" t="s">
        <v>26</v>
      </c>
      <c r="C59" s="3" t="n">
        <v>66669.0</v>
      </c>
      <c r="D59" s="3" t="n">
        <v>64633.0</v>
      </c>
      <c r="E59" s="3" t="n">
        <v>62240.0</v>
      </c>
      <c r="F59" s="3" t="n">
        <v>59162.0</v>
      </c>
      <c r="G59" s="3" t="n">
        <v>56368.0</v>
      </c>
      <c r="H59" s="3" t="n">
        <v>54063.0</v>
      </c>
      <c r="I59" s="3" t="n">
        <v>51666.0</v>
      </c>
      <c r="J59" s="3" t="n">
        <v>49748.0</v>
      </c>
      <c r="K59" s="3" t="n">
        <v>48466.0</v>
      </c>
      <c r="L59" s="3" t="n">
        <v>47120.0</v>
      </c>
      <c r="M59" s="3" t="n">
        <v>45954.0</v>
      </c>
      <c r="N59" s="3" t="n">
        <v>45088.0</v>
      </c>
      <c r="O59" s="3" t="n">
        <v>44620.0</v>
      </c>
      <c r="P59" s="3" t="n">
        <v>44328.0</v>
      </c>
      <c r="Q59" s="3" t="n">
        <v>44799.0</v>
      </c>
      <c r="R59" s="3" t="n">
        <v>46057.0</v>
      </c>
      <c r="S59" s="3" t="n">
        <v>48261.0</v>
      </c>
      <c r="T59" s="3" t="n">
        <v>50310.0</v>
      </c>
      <c r="U59" s="3" t="n">
        <v>51821.0</v>
      </c>
      <c r="V59" s="3" t="n">
        <v>52127.0</v>
      </c>
      <c r="W59" s="3" t="n">
        <v>51997.0</v>
      </c>
      <c r="X59" s="3" t="n">
        <v>50616.0</v>
      </c>
      <c r="Y59" s="3" t="n">
        <v>49207.0</v>
      </c>
      <c r="Z59" s="3" t="n">
        <v>47970.0</v>
      </c>
      <c r="AA59" s="3" t="n">
        <v>47722.0</v>
      </c>
      <c r="AB59" s="3" t="n">
        <v>47617.0</v>
      </c>
      <c r="AC59" s="3" t="n">
        <v>47560.0</v>
      </c>
      <c r="AD59" s="3" t="n">
        <v>47007.0</v>
      </c>
      <c r="AE59" s="3" t="n">
        <v>46107.0</v>
      </c>
      <c r="AF59" s="3" t="n">
        <v>44341.0</v>
      </c>
      <c r="AG59" s="3" t="n">
        <v>41557.0</v>
      </c>
      <c r="AH59" s="3" t="n">
        <v>38898.0</v>
      </c>
      <c r="AI59" s="3" t="n">
        <v>36443.0</v>
      </c>
      <c r="AJ59" s="3" t="n">
        <v>34330.0</v>
      </c>
      <c r="AK59" s="3" t="n">
        <v>32594.0</v>
      </c>
      <c r="AL59" s="3" t="n">
        <v>31508.0</v>
      </c>
      <c r="AM59" s="3" t="n">
        <v>30543.0</v>
      </c>
      <c r="AN59" s="3" t="n">
        <v>29659.0</v>
      </c>
      <c r="AO59" s="3" t="n">
        <v>28875.0</v>
      </c>
    </row>
    <row r="60" spans="1:41" x14ac:dyDescent="0.2">
      <c r="A60" s="133"/>
      <c r="B60" s="64" t="s">
        <v>27</v>
      </c>
      <c r="C60" s="3" t="n">
        <v>79786.0</v>
      </c>
      <c r="D60" s="3" t="n">
        <v>76209.0</v>
      </c>
      <c r="E60" s="3" t="n">
        <v>72815.0</v>
      </c>
      <c r="F60" s="3" t="n">
        <v>70072.0</v>
      </c>
      <c r="G60" s="3" t="n">
        <v>67995.0</v>
      </c>
      <c r="H60" s="3" t="n">
        <v>65703.0</v>
      </c>
      <c r="I60" s="3" t="n">
        <v>63828.0</v>
      </c>
      <c r="J60" s="3" t="n">
        <v>61510.0</v>
      </c>
      <c r="K60" s="3" t="n">
        <v>58491.0</v>
      </c>
      <c r="L60" s="3" t="n">
        <v>55733.0</v>
      </c>
      <c r="M60" s="3" t="n">
        <v>53374.0</v>
      </c>
      <c r="N60" s="3" t="n">
        <v>50882.0</v>
      </c>
      <c r="O60" s="3" t="n">
        <v>48918.0</v>
      </c>
      <c r="P60" s="3" t="n">
        <v>47619.0</v>
      </c>
      <c r="Q60" s="3" t="n">
        <v>46261.0</v>
      </c>
      <c r="R60" s="3" t="n">
        <v>45095.0</v>
      </c>
      <c r="S60" s="3" t="n">
        <v>44216.0</v>
      </c>
      <c r="T60" s="3" t="n">
        <v>43732.0</v>
      </c>
      <c r="U60" s="3" t="n">
        <v>43439.0</v>
      </c>
      <c r="V60" s="3" t="n">
        <v>43885.0</v>
      </c>
      <c r="W60" s="3" t="n">
        <v>45098.0</v>
      </c>
      <c r="X60" s="3" t="n">
        <v>47227.0</v>
      </c>
      <c r="Y60" s="3" t="n">
        <v>49216.0</v>
      </c>
      <c r="Z60" s="3" t="n">
        <v>50680.0</v>
      </c>
      <c r="AA60" s="3" t="n">
        <v>51011.0</v>
      </c>
      <c r="AB60" s="3" t="n">
        <v>50911.0</v>
      </c>
      <c r="AC60" s="3" t="n">
        <v>49581.0</v>
      </c>
      <c r="AD60" s="3" t="n">
        <v>48213.0</v>
      </c>
      <c r="AE60" s="3" t="n">
        <v>46990.0</v>
      </c>
      <c r="AF60" s="3" t="n">
        <v>46746.0</v>
      </c>
      <c r="AG60" s="3" t="n">
        <v>46655.0</v>
      </c>
      <c r="AH60" s="3" t="n">
        <v>46604.0</v>
      </c>
      <c r="AI60" s="3" t="n">
        <v>46061.0</v>
      </c>
      <c r="AJ60" s="3" t="n">
        <v>45184.0</v>
      </c>
      <c r="AK60" s="3" t="n">
        <v>43480.0</v>
      </c>
      <c r="AL60" s="3" t="n">
        <v>40764.0</v>
      </c>
      <c r="AM60" s="3" t="n">
        <v>38166.0</v>
      </c>
      <c r="AN60" s="3" t="n">
        <v>35783.0</v>
      </c>
      <c r="AO60" s="3" t="n">
        <v>33720.0</v>
      </c>
    </row>
    <row r="61" spans="1:41" x14ac:dyDescent="0.2">
      <c r="A61" s="133"/>
      <c r="B61" s="64" t="s">
        <v>28</v>
      </c>
      <c r="C61" s="3" t="n">
        <v>80550.0</v>
      </c>
      <c r="D61" s="3" t="n">
        <v>81976.0</v>
      </c>
      <c r="E61" s="3" t="n">
        <v>82588.0</v>
      </c>
      <c r="F61" s="3" t="n">
        <v>82386.0</v>
      </c>
      <c r="G61" s="3" t="n">
        <v>81275.0</v>
      </c>
      <c r="H61" s="3" t="n">
        <v>79031.0</v>
      </c>
      <c r="I61" s="3" t="n">
        <v>75633.0</v>
      </c>
      <c r="J61" s="3" t="n">
        <v>72358.0</v>
      </c>
      <c r="K61" s="3" t="n">
        <v>69678.0</v>
      </c>
      <c r="L61" s="3" t="n">
        <v>67645.0</v>
      </c>
      <c r="M61" s="3" t="n">
        <v>65269.0</v>
      </c>
      <c r="N61" s="3" t="n">
        <v>63269.0</v>
      </c>
      <c r="O61" s="3" t="n">
        <v>60926.0</v>
      </c>
      <c r="P61" s="3" t="n">
        <v>57926.0</v>
      </c>
      <c r="Q61" s="3" t="n">
        <v>55198.0</v>
      </c>
      <c r="R61" s="3" t="n">
        <v>52854.0</v>
      </c>
      <c r="S61" s="3" t="n">
        <v>50385.0</v>
      </c>
      <c r="T61" s="3" t="n">
        <v>48426.0</v>
      </c>
      <c r="U61" s="3" t="n">
        <v>47112.0</v>
      </c>
      <c r="V61" s="3" t="n">
        <v>45745.0</v>
      </c>
      <c r="W61" s="3" t="n">
        <v>44566.0</v>
      </c>
      <c r="X61" s="3" t="n">
        <v>43692.0</v>
      </c>
      <c r="Y61" s="3" t="n">
        <v>43204.0</v>
      </c>
      <c r="Z61" s="3" t="n">
        <v>42911.0</v>
      </c>
      <c r="AA61" s="3" t="n">
        <v>43325.0</v>
      </c>
      <c r="AB61" s="3" t="n">
        <v>44502.0</v>
      </c>
      <c r="AC61" s="3" t="n">
        <v>46576.0</v>
      </c>
      <c r="AD61" s="3" t="n">
        <v>48528.0</v>
      </c>
      <c r="AE61" s="3" t="n">
        <v>49986.0</v>
      </c>
      <c r="AF61" s="3" t="n">
        <v>50318.0</v>
      </c>
      <c r="AG61" s="3" t="n">
        <v>50224.0</v>
      </c>
      <c r="AH61" s="3" t="n">
        <v>48921.0</v>
      </c>
      <c r="AI61" s="3" t="n">
        <v>47569.0</v>
      </c>
      <c r="AJ61" s="3" t="n">
        <v>46361.0</v>
      </c>
      <c r="AK61" s="3" t="n">
        <v>46124.0</v>
      </c>
      <c r="AL61" s="3" t="n">
        <v>46049.0</v>
      </c>
      <c r="AM61" s="3" t="n">
        <v>46001.0</v>
      </c>
      <c r="AN61" s="3" t="n">
        <v>45465.0</v>
      </c>
      <c r="AO61" s="3" t="n">
        <v>44580.0</v>
      </c>
    </row>
    <row r="62" spans="1:41" x14ac:dyDescent="0.2">
      <c r="A62" s="133"/>
      <c r="B62" s="64" t="s">
        <v>29</v>
      </c>
      <c r="C62" s="3" t="n">
        <v>76170.0</v>
      </c>
      <c r="D62" s="3" t="n">
        <v>77247.0</v>
      </c>
      <c r="E62" s="3" t="n">
        <v>78448.0</v>
      </c>
      <c r="F62" s="3" t="n">
        <v>79067.0</v>
      </c>
      <c r="G62" s="3" t="n">
        <v>78799.0</v>
      </c>
      <c r="H62" s="3" t="n">
        <v>79965.0</v>
      </c>
      <c r="I62" s="3" t="n">
        <v>81454.0</v>
      </c>
      <c r="J62" s="3" t="n">
        <v>82093.0</v>
      </c>
      <c r="K62" s="3" t="n">
        <v>81925.0</v>
      </c>
      <c r="L62" s="3" t="n">
        <v>80858.0</v>
      </c>
      <c r="M62" s="3" t="n">
        <v>78601.0</v>
      </c>
      <c r="N62" s="3" t="n">
        <v>75144.0</v>
      </c>
      <c r="O62" s="3" t="n">
        <v>71856.0</v>
      </c>
      <c r="P62" s="3" t="n">
        <v>69179.0</v>
      </c>
      <c r="Q62" s="3" t="n">
        <v>67152.0</v>
      </c>
      <c r="R62" s="3" t="n">
        <v>64790.0</v>
      </c>
      <c r="S62" s="3" t="n">
        <v>62813.0</v>
      </c>
      <c r="T62" s="3" t="n">
        <v>60476.0</v>
      </c>
      <c r="U62" s="3" t="n">
        <v>57488.0</v>
      </c>
      <c r="V62" s="3" t="n">
        <v>54770.0</v>
      </c>
      <c r="W62" s="3" t="n">
        <v>52442.0</v>
      </c>
      <c r="X62" s="3" t="n">
        <v>49981.0</v>
      </c>
      <c r="Y62" s="3" t="n">
        <v>48038.0</v>
      </c>
      <c r="Z62" s="3" t="n">
        <v>46726.0</v>
      </c>
      <c r="AA62" s="3" t="n">
        <v>45363.0</v>
      </c>
      <c r="AB62" s="3" t="n">
        <v>44201.0</v>
      </c>
      <c r="AC62" s="3" t="n">
        <v>43327.0</v>
      </c>
      <c r="AD62" s="3" t="n">
        <v>42846.0</v>
      </c>
      <c r="AE62" s="3" t="n">
        <v>42529.0</v>
      </c>
      <c r="AF62" s="3" t="n">
        <v>42923.0</v>
      </c>
      <c r="AG62" s="3" t="n">
        <v>44079.0</v>
      </c>
      <c r="AH62" s="3" t="n">
        <v>46111.0</v>
      </c>
      <c r="AI62" s="3" t="n">
        <v>48029.0</v>
      </c>
      <c r="AJ62" s="3" t="n">
        <v>49472.0</v>
      </c>
      <c r="AK62" s="3" t="n">
        <v>49806.0</v>
      </c>
      <c r="AL62" s="3" t="n">
        <v>49721.0</v>
      </c>
      <c r="AM62" s="3" t="n">
        <v>48435.0</v>
      </c>
      <c r="AN62" s="3" t="n">
        <v>47104.0</v>
      </c>
      <c r="AO62" s="3" t="n">
        <v>45913.0</v>
      </c>
    </row>
    <row r="63" spans="1:41" x14ac:dyDescent="0.2">
      <c r="A63" s="133"/>
      <c r="B63" s="64" t="s">
        <v>30</v>
      </c>
      <c r="C63" s="3" t="n">
        <v>65203.0</v>
      </c>
      <c r="D63" s="3" t="n">
        <v>67106.0</v>
      </c>
      <c r="E63" s="3" t="n">
        <v>68882.0</v>
      </c>
      <c r="F63" s="3" t="n">
        <v>71313.0</v>
      </c>
      <c r="G63" s="3" t="n">
        <v>73644.0</v>
      </c>
      <c r="H63" s="3" t="n">
        <v>75101.0</v>
      </c>
      <c r="I63" s="3" t="n">
        <v>76252.0</v>
      </c>
      <c r="J63" s="3" t="n">
        <v>77493.0</v>
      </c>
      <c r="K63" s="3" t="n">
        <v>78126.0</v>
      </c>
      <c r="L63" s="3" t="n">
        <v>77885.0</v>
      </c>
      <c r="M63" s="3" t="n">
        <v>78984.0</v>
      </c>
      <c r="N63" s="3" t="n">
        <v>80377.0</v>
      </c>
      <c r="O63" s="3" t="n">
        <v>80979.0</v>
      </c>
      <c r="P63" s="3" t="n">
        <v>80801.0</v>
      </c>
      <c r="Q63" s="3" t="n">
        <v>79734.0</v>
      </c>
      <c r="R63" s="3" t="n">
        <v>77504.0</v>
      </c>
      <c r="S63" s="3" t="n">
        <v>74101.0</v>
      </c>
      <c r="T63" s="3" t="n">
        <v>70875.0</v>
      </c>
      <c r="U63" s="3" t="n">
        <v>68239.0</v>
      </c>
      <c r="V63" s="3" t="n">
        <v>66251.0</v>
      </c>
      <c r="W63" s="3" t="n">
        <v>63921.0</v>
      </c>
      <c r="X63" s="3" t="n">
        <v>61964.0</v>
      </c>
      <c r="Y63" s="3" t="n">
        <v>59662.0</v>
      </c>
      <c r="Z63" s="3" t="n">
        <v>56723.0</v>
      </c>
      <c r="AA63" s="3" t="n">
        <v>54025.0</v>
      </c>
      <c r="AB63" s="3" t="n">
        <v>51716.0</v>
      </c>
      <c r="AC63" s="3" t="n">
        <v>49270.0</v>
      </c>
      <c r="AD63" s="3" t="n">
        <v>47317.0</v>
      </c>
      <c r="AE63" s="3" t="n">
        <v>46027.0</v>
      </c>
      <c r="AF63" s="3" t="n">
        <v>44668.0</v>
      </c>
      <c r="AG63" s="3" t="n">
        <v>43507.0</v>
      </c>
      <c r="AH63" s="3" t="n">
        <v>42634.0</v>
      </c>
      <c r="AI63" s="3" t="n">
        <v>42158.0</v>
      </c>
      <c r="AJ63" s="3" t="n">
        <v>41843.0</v>
      </c>
      <c r="AK63" s="3" t="n">
        <v>42226.0</v>
      </c>
      <c r="AL63" s="3" t="n">
        <v>43369.0</v>
      </c>
      <c r="AM63" s="3" t="n">
        <v>45379.0</v>
      </c>
      <c r="AN63" s="3" t="n">
        <v>47280.0</v>
      </c>
      <c r="AO63" s="3" t="n">
        <v>48708.0</v>
      </c>
    </row>
    <row r="64" spans="1:41" x14ac:dyDescent="0.2">
      <c r="A64" s="133"/>
      <c r="B64" s="64" t="s">
        <v>31</v>
      </c>
      <c r="C64" s="3" t="n">
        <v>62007.0</v>
      </c>
      <c r="D64" s="3" t="n">
        <v>61072.0</v>
      </c>
      <c r="E64" s="3" t="n">
        <v>61027.0</v>
      </c>
      <c r="F64" s="3" t="n">
        <v>61172.0</v>
      </c>
      <c r="G64" s="3" t="n">
        <v>62482.0</v>
      </c>
      <c r="H64" s="3" t="n">
        <v>63873.0</v>
      </c>
      <c r="I64" s="3" t="n">
        <v>65772.0</v>
      </c>
      <c r="J64" s="3" t="n">
        <v>67540.0</v>
      </c>
      <c r="K64" s="3" t="n">
        <v>69951.0</v>
      </c>
      <c r="L64" s="3" t="n">
        <v>72258.0</v>
      </c>
      <c r="M64" s="3" t="n">
        <v>73662.0</v>
      </c>
      <c r="N64" s="3" t="n">
        <v>74762.0</v>
      </c>
      <c r="O64" s="3" t="n">
        <v>75979.0</v>
      </c>
      <c r="P64" s="3" t="n">
        <v>76610.0</v>
      </c>
      <c r="Q64" s="3" t="n">
        <v>76384.0</v>
      </c>
      <c r="R64" s="3" t="n">
        <v>77462.0</v>
      </c>
      <c r="S64" s="3" t="n">
        <v>78821.0</v>
      </c>
      <c r="T64" s="3" t="n">
        <v>79388.0</v>
      </c>
      <c r="U64" s="3" t="n">
        <v>79213.0</v>
      </c>
      <c r="V64" s="3" t="n">
        <v>78164.0</v>
      </c>
      <c r="W64" s="3" t="n">
        <v>75989.0</v>
      </c>
      <c r="X64" s="3" t="n">
        <v>72667.0</v>
      </c>
      <c r="Y64" s="3" t="n">
        <v>69535.0</v>
      </c>
      <c r="Z64" s="3" t="n">
        <v>66969.0</v>
      </c>
      <c r="AA64" s="3" t="n">
        <v>65030.0</v>
      </c>
      <c r="AB64" s="3" t="n">
        <v>62735.0</v>
      </c>
      <c r="AC64" s="3" t="n">
        <v>60823.0</v>
      </c>
      <c r="AD64" s="3" t="n">
        <v>58560.0</v>
      </c>
      <c r="AE64" s="3" t="n">
        <v>55668.0</v>
      </c>
      <c r="AF64" s="3" t="n">
        <v>53024.0</v>
      </c>
      <c r="AG64" s="3" t="n">
        <v>50755.0</v>
      </c>
      <c r="AH64" s="3" t="n">
        <v>48347.0</v>
      </c>
      <c r="AI64" s="3" t="n">
        <v>46431.0</v>
      </c>
      <c r="AJ64" s="3" t="n">
        <v>45151.0</v>
      </c>
      <c r="AK64" s="3" t="n">
        <v>43813.0</v>
      </c>
      <c r="AL64" s="3" t="n">
        <v>42655.0</v>
      </c>
      <c r="AM64" s="3" t="n">
        <v>41783.0</v>
      </c>
      <c r="AN64" s="3" t="n">
        <v>41304.0</v>
      </c>
      <c r="AO64" s="3" t="n">
        <v>40985.0</v>
      </c>
    </row>
    <row r="65" spans="1:41" x14ac:dyDescent="0.2">
      <c r="A65" s="133"/>
      <c r="B65" s="64" t="s">
        <v>32</v>
      </c>
      <c r="C65" s="3" t="n">
        <v>71100.0</v>
      </c>
      <c r="D65" s="3" t="n">
        <v>67861.0</v>
      </c>
      <c r="E65" s="3" t="n">
        <v>64917.0</v>
      </c>
      <c r="F65" s="3" t="n">
        <v>62694.0</v>
      </c>
      <c r="G65" s="3" t="n">
        <v>60987.0</v>
      </c>
      <c r="H65" s="3" t="n">
        <v>59898.0</v>
      </c>
      <c r="I65" s="3" t="n">
        <v>59042.0</v>
      </c>
      <c r="J65" s="3" t="n">
        <v>59030.0</v>
      </c>
      <c r="K65" s="3" t="n">
        <v>59191.0</v>
      </c>
      <c r="L65" s="3" t="n">
        <v>60462.0</v>
      </c>
      <c r="M65" s="3" t="n">
        <v>61796.0</v>
      </c>
      <c r="N65" s="3" t="n">
        <v>63613.0</v>
      </c>
      <c r="O65" s="3" t="n">
        <v>65318.0</v>
      </c>
      <c r="P65" s="3" t="n">
        <v>67653.0</v>
      </c>
      <c r="Q65" s="3" t="n">
        <v>69901.0</v>
      </c>
      <c r="R65" s="3" t="n">
        <v>71288.0</v>
      </c>
      <c r="S65" s="3" t="n">
        <v>72370.0</v>
      </c>
      <c r="T65" s="3" t="n">
        <v>73568.0</v>
      </c>
      <c r="U65" s="3" t="n">
        <v>74199.0</v>
      </c>
      <c r="V65" s="3" t="n">
        <v>74000.0</v>
      </c>
      <c r="W65" s="3" t="n">
        <v>75065.0</v>
      </c>
      <c r="X65" s="3" t="n">
        <v>76393.0</v>
      </c>
      <c r="Y65" s="3" t="n">
        <v>76950.0</v>
      </c>
      <c r="Z65" s="3" t="n">
        <v>76781.0</v>
      </c>
      <c r="AA65" s="3" t="n">
        <v>75757.0</v>
      </c>
      <c r="AB65" s="3" t="n">
        <v>73648.0</v>
      </c>
      <c r="AC65" s="3" t="n">
        <v>70435.0</v>
      </c>
      <c r="AD65" s="3" t="n">
        <v>67410.0</v>
      </c>
      <c r="AE65" s="3" t="n">
        <v>64946.0</v>
      </c>
      <c r="AF65" s="3" t="n">
        <v>63087.0</v>
      </c>
      <c r="AG65" s="3" t="n">
        <v>60871.0</v>
      </c>
      <c r="AH65" s="3" t="n">
        <v>59023.0</v>
      </c>
      <c r="AI65" s="3" t="n">
        <v>56833.0</v>
      </c>
      <c r="AJ65" s="3" t="n">
        <v>54035.0</v>
      </c>
      <c r="AK65" s="3" t="n">
        <v>51479.0</v>
      </c>
      <c r="AL65" s="3" t="n">
        <v>49278.0</v>
      </c>
      <c r="AM65" s="3" t="n">
        <v>46946.0</v>
      </c>
      <c r="AN65" s="3" t="n">
        <v>45084.0</v>
      </c>
      <c r="AO65" s="3" t="n">
        <v>43832.0</v>
      </c>
    </row>
    <row r="66" spans="1:41" x14ac:dyDescent="0.2">
      <c r="A66" s="133"/>
      <c r="B66" s="65" t="s">
        <v>33</v>
      </c>
      <c r="C66" s="3" t="n">
        <v>75023.0</v>
      </c>
      <c r="D66" s="3" t="n">
        <v>75547.0</v>
      </c>
      <c r="E66" s="3" t="n">
        <v>75044.0</v>
      </c>
      <c r="F66" s="3" t="n">
        <v>73300.0</v>
      </c>
      <c r="G66" s="3" t="n">
        <v>70592.0</v>
      </c>
      <c r="H66" s="3" t="n">
        <v>67352.0</v>
      </c>
      <c r="I66" s="3" t="n">
        <v>64342.0</v>
      </c>
      <c r="J66" s="3" t="n">
        <v>61577.0</v>
      </c>
      <c r="K66" s="3" t="n">
        <v>59486.0</v>
      </c>
      <c r="L66" s="3" t="n">
        <v>57895.0</v>
      </c>
      <c r="M66" s="3" t="n">
        <v>56857.0</v>
      </c>
      <c r="N66" s="3" t="n">
        <v>56016.0</v>
      </c>
      <c r="O66" s="3" t="n">
        <v>56010.0</v>
      </c>
      <c r="P66" s="3" t="n">
        <v>56167.0</v>
      </c>
      <c r="Q66" s="3" t="n">
        <v>57400.0</v>
      </c>
      <c r="R66" s="3" t="n">
        <v>58678.0</v>
      </c>
      <c r="S66" s="3" t="n">
        <v>60432.0</v>
      </c>
      <c r="T66" s="3" t="n">
        <v>62080.0</v>
      </c>
      <c r="U66" s="3" t="n">
        <v>64331.0</v>
      </c>
      <c r="V66" s="3" t="n">
        <v>66493.0</v>
      </c>
      <c r="W66" s="3" t="n">
        <v>67826.0</v>
      </c>
      <c r="X66" s="3" t="n">
        <v>68883.0</v>
      </c>
      <c r="Y66" s="3" t="n">
        <v>70048.0</v>
      </c>
      <c r="Z66" s="3" t="n">
        <v>70673.0</v>
      </c>
      <c r="AA66" s="3" t="n">
        <v>70500.0</v>
      </c>
      <c r="AB66" s="3" t="n">
        <v>71536.0</v>
      </c>
      <c r="AC66" s="3" t="n">
        <v>72814.0</v>
      </c>
      <c r="AD66" s="3" t="n">
        <v>73355.0</v>
      </c>
      <c r="AE66" s="3" t="n">
        <v>73181.0</v>
      </c>
      <c r="AF66" s="3" t="n">
        <v>72203.0</v>
      </c>
      <c r="AG66" s="3" t="n">
        <v>70186.0</v>
      </c>
      <c r="AH66" s="3" t="n">
        <v>67109.0</v>
      </c>
      <c r="AI66" s="3" t="n">
        <v>64236.0</v>
      </c>
      <c r="AJ66" s="3" t="n">
        <v>61901.0</v>
      </c>
      <c r="AK66" s="3" t="n">
        <v>60152.0</v>
      </c>
      <c r="AL66" s="3" t="n">
        <v>58059.0</v>
      </c>
      <c r="AM66" s="3" t="n">
        <v>56280.0</v>
      </c>
      <c r="AN66" s="3" t="n">
        <v>54192.0</v>
      </c>
      <c r="AO66" s="3" t="n">
        <v>51535.0</v>
      </c>
    </row>
    <row r="67" spans="1:41" x14ac:dyDescent="0.2">
      <c r="A67" s="133"/>
      <c r="B67" s="64" t="s">
        <v>34</v>
      </c>
      <c r="C67" s="3" t="n">
        <v>64734.0</v>
      </c>
      <c r="D67" s="3" t="n">
        <v>65799.0</v>
      </c>
      <c r="E67" s="3" t="n">
        <v>66519.0</v>
      </c>
      <c r="F67" s="3" t="n">
        <v>67369.0</v>
      </c>
      <c r="G67" s="3" t="n">
        <v>68204.0</v>
      </c>
      <c r="H67" s="3" t="n">
        <v>69149.0</v>
      </c>
      <c r="I67" s="3" t="n">
        <v>69661.0</v>
      </c>
      <c r="J67" s="3" t="n">
        <v>69229.0</v>
      </c>
      <c r="K67" s="3" t="n">
        <v>67667.0</v>
      </c>
      <c r="L67" s="3" t="n">
        <v>65178.0</v>
      </c>
      <c r="M67" s="3" t="n">
        <v>62199.0</v>
      </c>
      <c r="N67" s="3" t="n">
        <v>59429.0</v>
      </c>
      <c r="O67" s="3" t="n">
        <v>56908.0</v>
      </c>
      <c r="P67" s="3" t="n">
        <v>55031.0</v>
      </c>
      <c r="Q67" s="3" t="n">
        <v>53588.0</v>
      </c>
      <c r="R67" s="3" t="n">
        <v>52640.0</v>
      </c>
      <c r="S67" s="3" t="n">
        <v>51916.0</v>
      </c>
      <c r="T67" s="3" t="n">
        <v>51911.0</v>
      </c>
      <c r="U67" s="3" t="n">
        <v>52092.0</v>
      </c>
      <c r="V67" s="3" t="n">
        <v>53249.0</v>
      </c>
      <c r="W67" s="3" t="n">
        <v>54464.0</v>
      </c>
      <c r="X67" s="3" t="n">
        <v>56111.0</v>
      </c>
      <c r="Y67" s="3" t="n">
        <v>57670.0</v>
      </c>
      <c r="Z67" s="3" t="n">
        <v>59774.0</v>
      </c>
      <c r="AA67" s="3" t="n">
        <v>61802.0</v>
      </c>
      <c r="AB67" s="3" t="n">
        <v>63046.0</v>
      </c>
      <c r="AC67" s="3" t="n">
        <v>64048.0</v>
      </c>
      <c r="AD67" s="3" t="n">
        <v>65126.0</v>
      </c>
      <c r="AE67" s="3" t="n">
        <v>65744.0</v>
      </c>
      <c r="AF67" s="3" t="n">
        <v>65592.0</v>
      </c>
      <c r="AG67" s="3" t="n">
        <v>66562.0</v>
      </c>
      <c r="AH67" s="3" t="n">
        <v>67770.0</v>
      </c>
      <c r="AI67" s="3" t="n">
        <v>68281.0</v>
      </c>
      <c r="AJ67" s="3" t="n">
        <v>68116.0</v>
      </c>
      <c r="AK67" s="3" t="n">
        <v>67193.0</v>
      </c>
      <c r="AL67" s="3" t="n">
        <v>65334.0</v>
      </c>
      <c r="AM67" s="3" t="n">
        <v>62513.0</v>
      </c>
      <c r="AN67" s="3" t="n">
        <v>59868.0</v>
      </c>
      <c r="AO67" s="3" t="n">
        <v>57742.0</v>
      </c>
    </row>
    <row r="68" spans="1:41" x14ac:dyDescent="0.2">
      <c r="A68" s="133"/>
      <c r="B68" s="64" t="s">
        <v>35</v>
      </c>
      <c r="C68" s="3" t="n">
        <v>38425.0</v>
      </c>
      <c r="D68" s="3" t="n">
        <v>42975.0</v>
      </c>
      <c r="E68" s="3" t="n">
        <v>48228.0</v>
      </c>
      <c r="F68" s="3" t="n">
        <v>53658.0</v>
      </c>
      <c r="G68" s="3" t="n">
        <v>55508.0</v>
      </c>
      <c r="H68" s="3" t="n">
        <v>56951.0</v>
      </c>
      <c r="I68" s="3" t="n">
        <v>57956.0</v>
      </c>
      <c r="J68" s="3" t="n">
        <v>58655.0</v>
      </c>
      <c r="K68" s="3" t="n">
        <v>59483.0</v>
      </c>
      <c r="L68" s="3" t="n">
        <v>60281.0</v>
      </c>
      <c r="M68" s="3" t="n">
        <v>61134.0</v>
      </c>
      <c r="N68" s="3" t="n">
        <v>61625.0</v>
      </c>
      <c r="O68" s="3" t="n">
        <v>61251.0</v>
      </c>
      <c r="P68" s="3" t="n">
        <v>59878.0</v>
      </c>
      <c r="Q68" s="3" t="n">
        <v>57709.0</v>
      </c>
      <c r="R68" s="3" t="n">
        <v>55111.0</v>
      </c>
      <c r="S68" s="3" t="n">
        <v>52714.0</v>
      </c>
      <c r="T68" s="3" t="n">
        <v>50528.0</v>
      </c>
      <c r="U68" s="3" t="n">
        <v>48909.0</v>
      </c>
      <c r="V68" s="3" t="n">
        <v>47659.0</v>
      </c>
      <c r="W68" s="3" t="n">
        <v>46858.0</v>
      </c>
      <c r="X68" s="3" t="n">
        <v>46237.0</v>
      </c>
      <c r="Y68" s="3" t="n">
        <v>46282.0</v>
      </c>
      <c r="Z68" s="3" t="n">
        <v>46484.0</v>
      </c>
      <c r="AA68" s="3" t="n">
        <v>47547.0</v>
      </c>
      <c r="AB68" s="3" t="n">
        <v>48656.0</v>
      </c>
      <c r="AC68" s="3" t="n">
        <v>50145.0</v>
      </c>
      <c r="AD68" s="3" t="n">
        <v>51545.0</v>
      </c>
      <c r="AE68" s="3" t="n">
        <v>53429.0</v>
      </c>
      <c r="AF68" s="3" t="n">
        <v>55279.0</v>
      </c>
      <c r="AG68" s="3" t="n">
        <v>56384.0</v>
      </c>
      <c r="AH68" s="3" t="n">
        <v>57296.0</v>
      </c>
      <c r="AI68" s="3" t="n">
        <v>58273.0</v>
      </c>
      <c r="AJ68" s="3" t="n">
        <v>58846.0</v>
      </c>
      <c r="AK68" s="3" t="n">
        <v>58744.0</v>
      </c>
      <c r="AL68" s="3" t="n">
        <v>59624.0</v>
      </c>
      <c r="AM68" s="3" t="n">
        <v>60725.0</v>
      </c>
      <c r="AN68" s="3" t="n">
        <v>61202.0</v>
      </c>
      <c r="AO68" s="3" t="n">
        <v>61074.0</v>
      </c>
    </row>
    <row r="69" spans="1:41" x14ac:dyDescent="0.2">
      <c r="A69" s="133"/>
      <c r="B69" s="64" t="s">
        <v>36</v>
      </c>
      <c r="C69" s="3" t="n">
        <v>26848.0</v>
      </c>
      <c r="D69" s="3" t="n">
        <v>26238.0</v>
      </c>
      <c r="E69" s="3" t="n">
        <v>25482.0</v>
      </c>
      <c r="F69" s="3" t="n">
        <v>24833.0</v>
      </c>
      <c r="G69" s="3" t="n">
        <v>27741.0</v>
      </c>
      <c r="H69" s="3" t="n">
        <v>31152.0</v>
      </c>
      <c r="I69" s="3" t="n">
        <v>34942.0</v>
      </c>
      <c r="J69" s="3" t="n">
        <v>39189.0</v>
      </c>
      <c r="K69" s="3" t="n">
        <v>43503.0</v>
      </c>
      <c r="L69" s="3" t="n">
        <v>45064.0</v>
      </c>
      <c r="M69" s="3" t="n">
        <v>46288.0</v>
      </c>
      <c r="N69" s="3" t="n">
        <v>47173.0</v>
      </c>
      <c r="O69" s="3" t="n">
        <v>47830.0</v>
      </c>
      <c r="P69" s="3" t="n">
        <v>48554.0</v>
      </c>
      <c r="Q69" s="3" t="n">
        <v>49261.0</v>
      </c>
      <c r="R69" s="3" t="n">
        <v>49995.0</v>
      </c>
      <c r="S69" s="3" t="n">
        <v>50419.0</v>
      </c>
      <c r="T69" s="3" t="n">
        <v>50116.0</v>
      </c>
      <c r="U69" s="3" t="n">
        <v>49005.0</v>
      </c>
      <c r="V69" s="3" t="n">
        <v>47209.0</v>
      </c>
      <c r="W69" s="3" t="n">
        <v>45129.0</v>
      </c>
      <c r="X69" s="3" t="n">
        <v>43217.0</v>
      </c>
      <c r="Y69" s="3" t="n">
        <v>41488.0</v>
      </c>
      <c r="Z69" s="3" t="n">
        <v>40228.0</v>
      </c>
      <c r="AA69" s="3" t="n">
        <v>39216.0</v>
      </c>
      <c r="AB69" s="3" t="n">
        <v>38603.0</v>
      </c>
      <c r="AC69" s="3" t="n">
        <v>38137.0</v>
      </c>
      <c r="AD69" s="3" t="n">
        <v>38191.0</v>
      </c>
      <c r="AE69" s="3" t="n">
        <v>38405.0</v>
      </c>
      <c r="AF69" s="3" t="n">
        <v>39316.0</v>
      </c>
      <c r="AG69" s="3" t="n">
        <v>40266.0</v>
      </c>
      <c r="AH69" s="3" t="n">
        <v>41557.0</v>
      </c>
      <c r="AI69" s="3" t="n">
        <v>42745.0</v>
      </c>
      <c r="AJ69" s="3" t="n">
        <v>44325.0</v>
      </c>
      <c r="AK69" s="3" t="n">
        <v>45914.0</v>
      </c>
      <c r="AL69" s="3" t="n">
        <v>46844.0</v>
      </c>
      <c r="AM69" s="3" t="n">
        <v>47614.0</v>
      </c>
      <c r="AN69" s="3" t="n">
        <v>48422.0</v>
      </c>
      <c r="AO69" s="3" t="n">
        <v>48938.0</v>
      </c>
    </row>
    <row r="70" spans="1:41" x14ac:dyDescent="0.2">
      <c r="A70" s="133"/>
      <c r="B70" s="64" t="s">
        <v>37</v>
      </c>
      <c r="C70" s="3" t="n">
        <v>18481.0</v>
      </c>
      <c r="D70" s="3" t="n">
        <v>18574.0</v>
      </c>
      <c r="E70" s="3" t="n">
        <v>18468.0</v>
      </c>
      <c r="F70" s="3" t="n">
        <v>18200.0</v>
      </c>
      <c r="G70" s="3" t="n">
        <v>18007.0</v>
      </c>
      <c r="H70" s="3" t="n">
        <v>17615.0</v>
      </c>
      <c r="I70" s="3" t="n">
        <v>17280.0</v>
      </c>
      <c r="J70" s="3" t="n">
        <v>16837.0</v>
      </c>
      <c r="K70" s="3" t="n">
        <v>16453.0</v>
      </c>
      <c r="L70" s="3" t="n">
        <v>18688.0</v>
      </c>
      <c r="M70" s="3" t="n">
        <v>21137.0</v>
      </c>
      <c r="N70" s="3" t="n">
        <v>23774.0</v>
      </c>
      <c r="O70" s="3" t="n">
        <v>26606.0</v>
      </c>
      <c r="P70" s="3" t="n">
        <v>29381.0</v>
      </c>
      <c r="Q70" s="3" t="n">
        <v>30479.0</v>
      </c>
      <c r="R70" s="3" t="n">
        <v>31355.0</v>
      </c>
      <c r="S70" s="3" t="n">
        <v>32009.0</v>
      </c>
      <c r="T70" s="3" t="n">
        <v>32496.0</v>
      </c>
      <c r="U70" s="3" t="n">
        <v>33095.0</v>
      </c>
      <c r="V70" s="3" t="n">
        <v>33622.0</v>
      </c>
      <c r="W70" s="3" t="n">
        <v>34182.0</v>
      </c>
      <c r="X70" s="3" t="n">
        <v>34482.0</v>
      </c>
      <c r="Y70" s="3" t="n">
        <v>34287.0</v>
      </c>
      <c r="Z70" s="3" t="n">
        <v>33513.0</v>
      </c>
      <c r="AA70" s="3" t="n">
        <v>32266.0</v>
      </c>
      <c r="AB70" s="3" t="n">
        <v>30886.0</v>
      </c>
      <c r="AC70" s="3" t="n">
        <v>29664.0</v>
      </c>
      <c r="AD70" s="3" t="n">
        <v>28518.0</v>
      </c>
      <c r="AE70" s="3" t="n">
        <v>27716.0</v>
      </c>
      <c r="AF70" s="3" t="n">
        <v>27065.0</v>
      </c>
      <c r="AG70" s="3" t="n">
        <v>26678.0</v>
      </c>
      <c r="AH70" s="3" t="n">
        <v>26424.0</v>
      </c>
      <c r="AI70" s="3" t="n">
        <v>26529.0</v>
      </c>
      <c r="AJ70" s="3" t="n">
        <v>26730.0</v>
      </c>
      <c r="AK70" s="3" t="n">
        <v>27422.0</v>
      </c>
      <c r="AL70" s="3" t="n">
        <v>28129.0</v>
      </c>
      <c r="AM70" s="3" t="n">
        <v>29053.0</v>
      </c>
      <c r="AN70" s="3" t="n">
        <v>29914.0</v>
      </c>
      <c r="AO70" s="3" t="n">
        <v>31064.0</v>
      </c>
    </row>
    <row r="71" spans="1:41" x14ac:dyDescent="0.2">
      <c r="A71" s="133"/>
      <c r="B71" s="64" t="s">
        <v>80</v>
      </c>
      <c r="C71" s="3" t="n">
        <v>8155.0</v>
      </c>
      <c r="D71" s="3" t="n">
        <v>8376.0</v>
      </c>
      <c r="E71" s="3" t="n">
        <v>8568.0</v>
      </c>
      <c r="F71" s="3" t="n">
        <v>8762.0</v>
      </c>
      <c r="G71" s="3" t="n">
        <v>8872.0</v>
      </c>
      <c r="H71" s="3" t="n">
        <v>9005.0</v>
      </c>
      <c r="I71" s="3" t="n">
        <v>9083.0</v>
      </c>
      <c r="J71" s="3" t="n">
        <v>9057.0</v>
      </c>
      <c r="K71" s="3" t="n">
        <v>8966.0</v>
      </c>
      <c r="L71" s="3" t="n">
        <v>8913.0</v>
      </c>
      <c r="M71" s="3" t="n">
        <v>8735.0</v>
      </c>
      <c r="N71" s="3" t="n">
        <v>8602.0</v>
      </c>
      <c r="O71" s="3" t="n">
        <v>8416.0</v>
      </c>
      <c r="P71" s="3" t="n">
        <v>8262.0</v>
      </c>
      <c r="Q71" s="3" t="n">
        <v>9589.0</v>
      </c>
      <c r="R71" s="3" t="n">
        <v>10937.0</v>
      </c>
      <c r="S71" s="3" t="n">
        <v>12345.0</v>
      </c>
      <c r="T71" s="3" t="n">
        <v>13787.0</v>
      </c>
      <c r="U71" s="3" t="n">
        <v>15139.0</v>
      </c>
      <c r="V71" s="3" t="n">
        <v>15726.0</v>
      </c>
      <c r="W71" s="3" t="n">
        <v>16219.0</v>
      </c>
      <c r="X71" s="3" t="n">
        <v>16578.0</v>
      </c>
      <c r="Y71" s="3" t="n">
        <v>16881.0</v>
      </c>
      <c r="Z71" s="3" t="n">
        <v>17255.0</v>
      </c>
      <c r="AA71" s="3" t="n">
        <v>17578.0</v>
      </c>
      <c r="AB71" s="3" t="n">
        <v>17926.0</v>
      </c>
      <c r="AC71" s="3" t="n">
        <v>18103.0</v>
      </c>
      <c r="AD71" s="3" t="n">
        <v>17977.0</v>
      </c>
      <c r="AE71" s="3" t="n">
        <v>17574.0</v>
      </c>
      <c r="AF71" s="3" t="n">
        <v>16908.0</v>
      </c>
      <c r="AG71" s="3" t="n">
        <v>16193.0</v>
      </c>
      <c r="AH71" s="3" t="n">
        <v>15624.0</v>
      </c>
      <c r="AI71" s="3" t="n">
        <v>15087.0</v>
      </c>
      <c r="AJ71" s="3" t="n">
        <v>14702.0</v>
      </c>
      <c r="AK71" s="3" t="n">
        <v>14385.0</v>
      </c>
      <c r="AL71" s="3" t="n">
        <v>14226.0</v>
      </c>
      <c r="AM71" s="3" t="n">
        <v>14125.0</v>
      </c>
      <c r="AN71" s="3" t="n">
        <v>14207.0</v>
      </c>
      <c r="AO71" s="3" t="n">
        <v>14367.0</v>
      </c>
    </row>
    <row r="72" spans="1:41" x14ac:dyDescent="0.2">
      <c r="A72" s="133"/>
      <c r="B72" s="74" t="s">
        <v>81</v>
      </c>
      <c r="C72" s="3" t="n">
        <v>1996.0</v>
      </c>
      <c r="D72" s="3" t="n">
        <v>2049.0</v>
      </c>
      <c r="E72" s="3" t="n">
        <v>2115.0</v>
      </c>
      <c r="F72" s="3" t="n">
        <v>2278.0</v>
      </c>
      <c r="G72" s="3" t="n">
        <v>2418.0</v>
      </c>
      <c r="H72" s="3" t="n">
        <v>2537.0</v>
      </c>
      <c r="I72" s="3" t="n">
        <v>2613.0</v>
      </c>
      <c r="J72" s="3" t="n">
        <v>2693.0</v>
      </c>
      <c r="K72" s="3" t="n">
        <v>2792.0</v>
      </c>
      <c r="L72" s="3" t="n">
        <v>2842.0</v>
      </c>
      <c r="M72" s="3" t="n">
        <v>2902.0</v>
      </c>
      <c r="N72" s="3" t="n">
        <v>2936.0</v>
      </c>
      <c r="O72" s="3" t="n">
        <v>2945.0</v>
      </c>
      <c r="P72" s="3" t="n">
        <v>2932.0</v>
      </c>
      <c r="Q72" s="3" t="n">
        <v>2938.0</v>
      </c>
      <c r="R72" s="3" t="n">
        <v>2894.0</v>
      </c>
      <c r="S72" s="3" t="n">
        <v>2863.0</v>
      </c>
      <c r="T72" s="3" t="n">
        <v>2799.0</v>
      </c>
      <c r="U72" s="3" t="n">
        <v>2765.0</v>
      </c>
      <c r="V72" s="3" t="n">
        <v>3318.0</v>
      </c>
      <c r="W72" s="3" t="n">
        <v>3835.0</v>
      </c>
      <c r="X72" s="3" t="n">
        <v>4349.0</v>
      </c>
      <c r="Y72" s="3" t="n">
        <v>4848.0</v>
      </c>
      <c r="Z72" s="3" t="n">
        <v>5287.0</v>
      </c>
      <c r="AA72" s="3" t="n">
        <v>5508.0</v>
      </c>
      <c r="AB72" s="3" t="n">
        <v>5693.0</v>
      </c>
      <c r="AC72" s="3" t="n">
        <v>5836.0</v>
      </c>
      <c r="AD72" s="3" t="n">
        <v>5961.0</v>
      </c>
      <c r="AE72" s="3" t="n">
        <v>6131.0</v>
      </c>
      <c r="AF72" s="3" t="n">
        <v>6273.0</v>
      </c>
      <c r="AG72" s="3" t="n">
        <v>6407.0</v>
      </c>
      <c r="AH72" s="3" t="n">
        <v>6488.0</v>
      </c>
      <c r="AI72" s="3" t="n">
        <v>6434.0</v>
      </c>
      <c r="AJ72" s="3" t="n">
        <v>6286.0</v>
      </c>
      <c r="AK72" s="3" t="n">
        <v>6049.0</v>
      </c>
      <c r="AL72" s="3" t="n">
        <v>5804.0</v>
      </c>
      <c r="AM72" s="3" t="n">
        <v>5611.0</v>
      </c>
      <c r="AN72" s="3" t="n">
        <v>5440.0</v>
      </c>
      <c r="AO72" s="3" t="n">
        <v>5332.0</v>
      </c>
    </row>
    <row r="73" spans="1:41" x14ac:dyDescent="0.2">
      <c r="A73" s="134"/>
      <c r="B73" s="66" t="s">
        <v>79</v>
      </c>
      <c r="C73" s="4" t="n">
        <v>283.0</v>
      </c>
      <c r="D73" s="4" t="n">
        <v>301.0</v>
      </c>
      <c r="E73" s="4" t="n">
        <v>338.0</v>
      </c>
      <c r="F73" s="4" t="n">
        <v>357.0</v>
      </c>
      <c r="G73" s="4" t="n">
        <v>348.0</v>
      </c>
      <c r="H73" s="4" t="n">
        <v>361.0</v>
      </c>
      <c r="I73" s="4" t="n">
        <v>372.0</v>
      </c>
      <c r="J73" s="4" t="n">
        <v>388.0</v>
      </c>
      <c r="K73" s="4" t="n">
        <v>425.0</v>
      </c>
      <c r="L73" s="4" t="n">
        <v>456.0</v>
      </c>
      <c r="M73" s="4" t="n">
        <v>484.0</v>
      </c>
      <c r="N73" s="4" t="n">
        <v>501.0</v>
      </c>
      <c r="O73" s="4" t="n">
        <v>520.0</v>
      </c>
      <c r="P73" s="4" t="n">
        <v>550.0</v>
      </c>
      <c r="Q73" s="4" t="n">
        <v>567.0</v>
      </c>
      <c r="R73" s="4" t="n">
        <v>581.0</v>
      </c>
      <c r="S73" s="4" t="n">
        <v>597.0</v>
      </c>
      <c r="T73" s="4" t="n">
        <v>608.0</v>
      </c>
      <c r="U73" s="4" t="n">
        <v>617.0</v>
      </c>
      <c r="V73" s="4" t="n">
        <v>619.0</v>
      </c>
      <c r="W73" s="4" t="n">
        <v>614.0</v>
      </c>
      <c r="X73" s="4" t="n">
        <v>612.0</v>
      </c>
      <c r="Y73" s="4" t="n">
        <v>610.0</v>
      </c>
      <c r="Z73" s="4" t="n">
        <v>606.0</v>
      </c>
      <c r="AA73" s="4" t="n">
        <v>738.0</v>
      </c>
      <c r="AB73" s="4" t="n">
        <v>845.0</v>
      </c>
      <c r="AC73" s="4" t="n">
        <v>948.0</v>
      </c>
      <c r="AD73" s="4" t="n">
        <v>1041.0</v>
      </c>
      <c r="AE73" s="4" t="n">
        <v>1119.0</v>
      </c>
      <c r="AF73" s="4" t="n">
        <v>1186.0</v>
      </c>
      <c r="AG73" s="4" t="n">
        <v>1237.0</v>
      </c>
      <c r="AH73" s="4" t="n">
        <v>1290.0</v>
      </c>
      <c r="AI73" s="4" t="n">
        <v>1340.0</v>
      </c>
      <c r="AJ73" s="4" t="n">
        <v>1396.0</v>
      </c>
      <c r="AK73" s="4" t="n">
        <v>1439.0</v>
      </c>
      <c r="AL73" s="4" t="n">
        <v>1482.0</v>
      </c>
      <c r="AM73" s="4" t="n">
        <v>1503.0</v>
      </c>
      <c r="AN73" s="4" t="n">
        <v>1495.0</v>
      </c>
      <c r="AO73" s="4" t="n">
        <v>1472.0</v>
      </c>
    </row>
  </sheetData>
  <mergeCells count="5">
    <mergeCell ref="A8:A29"/>
    <mergeCell ref="A30:A51"/>
    <mergeCell ref="A52:A73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8"/>
      <c r="B1" s="138"/>
      <c r="C1" s="12" t="s">
        <v>66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C2" s="36"/>
      <c r="D2" s="33" t="s">
        <v>40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131" t="s">
        <v>83</v>
      </c>
      <c r="B3" s="131"/>
      <c r="D3" s="24" t="s">
        <v>67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41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49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105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5" t="s">
        <v>47</v>
      </c>
      <c r="B8" s="63" t="s">
        <v>64</v>
      </c>
      <c r="C8" s="15" t="n">
        <v>2006876.0</v>
      </c>
      <c r="D8" s="15" t="n">
        <v>1996240.0</v>
      </c>
      <c r="E8" s="15" t="n">
        <v>1984932.0</v>
      </c>
      <c r="F8" s="15" t="n">
        <v>1972978.0</v>
      </c>
      <c r="G8" s="15" t="n">
        <v>1960484.0</v>
      </c>
      <c r="H8" s="15" t="n">
        <v>1948820.0</v>
      </c>
      <c r="I8" s="15" t="n">
        <v>1937037.0</v>
      </c>
      <c r="J8" s="15" t="n">
        <v>1923783.0</v>
      </c>
      <c r="K8" s="15" t="n">
        <v>1909608.0</v>
      </c>
      <c r="L8" s="15" t="n">
        <v>1894795.0</v>
      </c>
      <c r="M8" s="15" t="n">
        <v>1879284.0</v>
      </c>
      <c r="N8" s="15" t="n">
        <v>1863187.0</v>
      </c>
      <c r="O8" s="15" t="n">
        <v>1846701.0</v>
      </c>
      <c r="P8" s="15" t="n">
        <v>1829754.0</v>
      </c>
      <c r="Q8" s="15" t="n">
        <v>1812544.0</v>
      </c>
      <c r="R8" s="15" t="n">
        <v>1794814.0</v>
      </c>
      <c r="S8" s="15" t="n">
        <v>1776878.0</v>
      </c>
      <c r="T8" s="15" t="n">
        <v>1758510.0</v>
      </c>
      <c r="U8" s="15" t="n">
        <v>1739970.0</v>
      </c>
      <c r="V8" s="15" t="n">
        <v>1721187.0</v>
      </c>
      <c r="W8" s="15" t="n">
        <v>1702230.0</v>
      </c>
      <c r="X8" s="15" t="n">
        <v>1683127.0</v>
      </c>
      <c r="Y8" s="15" t="n">
        <v>1663903.0</v>
      </c>
      <c r="Z8" s="15" t="n">
        <v>1644496.0</v>
      </c>
      <c r="AA8" s="15" t="n">
        <v>1624884.0</v>
      </c>
      <c r="AB8" s="15" t="n">
        <v>1605235.0</v>
      </c>
      <c r="AC8" s="15" t="n">
        <v>1585510.0</v>
      </c>
      <c r="AD8" s="15" t="n">
        <v>1565624.0</v>
      </c>
      <c r="AE8" s="15" t="n">
        <v>1545776.0</v>
      </c>
      <c r="AF8" s="15" t="n">
        <v>1525760.0</v>
      </c>
      <c r="AG8" s="15" t="n">
        <v>1505722.0</v>
      </c>
      <c r="AH8" s="15" t="n">
        <v>1485604.0</v>
      </c>
      <c r="AI8" s="15" t="n">
        <v>1465297.0</v>
      </c>
      <c r="AJ8" s="15" t="n">
        <v>1444933.0</v>
      </c>
      <c r="AK8" s="15" t="n">
        <v>1424413.0</v>
      </c>
      <c r="AL8" s="15" t="n">
        <v>1403753.0</v>
      </c>
      <c r="AM8" s="15" t="n">
        <v>1382964.0</v>
      </c>
      <c r="AN8" s="15" t="n">
        <v>1362005.0</v>
      </c>
      <c r="AO8" s="15" t="n">
        <v>1340976.0</v>
      </c>
    </row>
    <row r="9" spans="1:41" x14ac:dyDescent="0.2">
      <c r="A9" s="136"/>
      <c r="B9" s="64" t="s">
        <v>8</v>
      </c>
      <c r="C9" s="3" t="n">
        <v>366988.0</v>
      </c>
      <c r="D9" s="3" t="n">
        <v>361501.0</v>
      </c>
      <c r="E9" s="3" t="n">
        <v>354518.0</v>
      </c>
      <c r="F9" s="3" t="n">
        <v>345969.0</v>
      </c>
      <c r="G9" s="3" t="n">
        <v>335382.0</v>
      </c>
      <c r="H9" s="3" t="n">
        <v>324916.0</v>
      </c>
      <c r="I9" s="3" t="n">
        <v>314893.0</v>
      </c>
      <c r="J9" s="3" t="n">
        <v>305756.0</v>
      </c>
      <c r="K9" s="3" t="n">
        <v>296208.0</v>
      </c>
      <c r="L9" s="3" t="n">
        <v>287376.0</v>
      </c>
      <c r="M9" s="3" t="n">
        <v>278248.0</v>
      </c>
      <c r="N9" s="3" t="n">
        <v>269453.0</v>
      </c>
      <c r="O9" s="3" t="n">
        <v>260131.0</v>
      </c>
      <c r="P9" s="3" t="n">
        <v>249982.0</v>
      </c>
      <c r="Q9" s="3" t="n">
        <v>240743.0</v>
      </c>
      <c r="R9" s="3" t="n">
        <v>232388.0</v>
      </c>
      <c r="S9" s="3" t="n">
        <v>225369.0</v>
      </c>
      <c r="T9" s="3" t="n">
        <v>219576.0</v>
      </c>
      <c r="U9" s="3" t="n">
        <v>215600.0</v>
      </c>
      <c r="V9" s="3" t="n">
        <v>212235.0</v>
      </c>
      <c r="W9" s="3" t="n">
        <v>209311.0</v>
      </c>
      <c r="X9" s="3" t="n">
        <v>206759.0</v>
      </c>
      <c r="Y9" s="3" t="n">
        <v>204473.0</v>
      </c>
      <c r="Z9" s="3" t="n">
        <v>202437.0</v>
      </c>
      <c r="AA9" s="3" t="n">
        <v>200538.0</v>
      </c>
      <c r="AB9" s="3" t="n">
        <v>198719.0</v>
      </c>
      <c r="AC9" s="3" t="n">
        <v>196902.0</v>
      </c>
      <c r="AD9" s="3" t="n">
        <v>195034.0</v>
      </c>
      <c r="AE9" s="3" t="n">
        <v>193072.0</v>
      </c>
      <c r="AF9" s="3" t="n">
        <v>191027.0</v>
      </c>
      <c r="AG9" s="3" t="n">
        <v>188772.0</v>
      </c>
      <c r="AH9" s="3" t="n">
        <v>186298.0</v>
      </c>
      <c r="AI9" s="3" t="n">
        <v>183595.0</v>
      </c>
      <c r="AJ9" s="3" t="n">
        <v>180642.0</v>
      </c>
      <c r="AK9" s="3" t="n">
        <v>177446.0</v>
      </c>
      <c r="AL9" s="3" t="n">
        <v>174008.0</v>
      </c>
      <c r="AM9" s="3" t="n">
        <v>170364.0</v>
      </c>
      <c r="AN9" s="3" t="n">
        <v>166538.0</v>
      </c>
      <c r="AO9" s="3" t="n">
        <v>162559.0</v>
      </c>
    </row>
    <row r="10" spans="1:41" x14ac:dyDescent="0.2">
      <c r="A10" s="136"/>
      <c r="B10" s="64" t="s">
        <v>9</v>
      </c>
      <c r="C10" s="3" t="n">
        <v>1176157.0</v>
      </c>
      <c r="D10" s="3" t="n">
        <v>1163325.0</v>
      </c>
      <c r="E10" s="3" t="n">
        <v>1152815.0</v>
      </c>
      <c r="F10" s="3" t="n">
        <v>1144580.0</v>
      </c>
      <c r="G10" s="3" t="n">
        <v>1139085.0</v>
      </c>
      <c r="H10" s="3" t="n">
        <v>1134608.0</v>
      </c>
      <c r="I10" s="3" t="n">
        <v>1130309.0</v>
      </c>
      <c r="J10" s="3" t="n">
        <v>1123846.0</v>
      </c>
      <c r="K10" s="3" t="n">
        <v>1117362.0</v>
      </c>
      <c r="L10" s="3" t="n">
        <v>1109329.0</v>
      </c>
      <c r="M10" s="3" t="n">
        <v>1101084.0</v>
      </c>
      <c r="N10" s="3" t="n">
        <v>1091643.0</v>
      </c>
      <c r="O10" s="3" t="n">
        <v>1082333.0</v>
      </c>
      <c r="P10" s="3" t="n">
        <v>1072502.0</v>
      </c>
      <c r="Q10" s="3" t="n">
        <v>1060950.0</v>
      </c>
      <c r="R10" s="3" t="n">
        <v>1048686.0</v>
      </c>
      <c r="S10" s="3" t="n">
        <v>1034343.0</v>
      </c>
      <c r="T10" s="3" t="n">
        <v>1018248.0</v>
      </c>
      <c r="U10" s="3" t="n">
        <v>999688.0</v>
      </c>
      <c r="V10" s="3" t="n">
        <v>980342.0</v>
      </c>
      <c r="W10" s="3" t="n">
        <v>960385.0</v>
      </c>
      <c r="X10" s="3" t="n">
        <v>939475.0</v>
      </c>
      <c r="Y10" s="3" t="n">
        <v>918277.0</v>
      </c>
      <c r="Z10" s="3" t="n">
        <v>897367.0</v>
      </c>
      <c r="AA10" s="3" t="n">
        <v>877498.0</v>
      </c>
      <c r="AB10" s="3" t="n">
        <v>857326.0</v>
      </c>
      <c r="AC10" s="3" t="n">
        <v>837475.0</v>
      </c>
      <c r="AD10" s="3" t="n">
        <v>818214.0</v>
      </c>
      <c r="AE10" s="3" t="n">
        <v>799433.0</v>
      </c>
      <c r="AF10" s="3" t="n">
        <v>781834.0</v>
      </c>
      <c r="AG10" s="3" t="n">
        <v>765998.0</v>
      </c>
      <c r="AH10" s="3" t="n">
        <v>750621.0</v>
      </c>
      <c r="AI10" s="3" t="n">
        <v>736308.0</v>
      </c>
      <c r="AJ10" s="3" t="n">
        <v>722682.0</v>
      </c>
      <c r="AK10" s="3" t="n">
        <v>709767.0</v>
      </c>
      <c r="AL10" s="3" t="n">
        <v>698064.0</v>
      </c>
      <c r="AM10" s="3" t="n">
        <v>687151.0</v>
      </c>
      <c r="AN10" s="3" t="n">
        <v>676772.0</v>
      </c>
      <c r="AO10" s="3" t="n">
        <v>667149.0</v>
      </c>
    </row>
    <row r="11" spans="1:41" x14ac:dyDescent="0.2">
      <c r="A11" s="136"/>
      <c r="B11" s="64" t="s">
        <v>11</v>
      </c>
      <c r="C11" s="3" t="n">
        <v>710926.0</v>
      </c>
      <c r="D11" s="3" t="n">
        <v>696576.0</v>
      </c>
      <c r="E11" s="3" t="n">
        <v>682393.0</v>
      </c>
      <c r="F11" s="3" t="n">
        <v>669227.0</v>
      </c>
      <c r="G11" s="3" t="n">
        <v>658305.0</v>
      </c>
      <c r="H11" s="3" t="n">
        <v>646635.0</v>
      </c>
      <c r="I11" s="3" t="n">
        <v>633846.0</v>
      </c>
      <c r="J11" s="3" t="n">
        <v>620026.0</v>
      </c>
      <c r="K11" s="3" t="n">
        <v>607335.0</v>
      </c>
      <c r="L11" s="3" t="n">
        <v>595847.0</v>
      </c>
      <c r="M11" s="3" t="n">
        <v>585995.0</v>
      </c>
      <c r="N11" s="3" t="n">
        <v>576534.0</v>
      </c>
      <c r="O11" s="3" t="n">
        <v>568315.0</v>
      </c>
      <c r="P11" s="3" t="n">
        <v>560837.0</v>
      </c>
      <c r="Q11" s="3" t="n">
        <v>553510.0</v>
      </c>
      <c r="R11" s="3" t="n">
        <v>546896.0</v>
      </c>
      <c r="S11" s="3" t="n">
        <v>539644.0</v>
      </c>
      <c r="T11" s="3" t="n">
        <v>532271.0</v>
      </c>
      <c r="U11" s="3" t="n">
        <v>524604.0</v>
      </c>
      <c r="V11" s="3" t="n">
        <v>516543.0</v>
      </c>
      <c r="W11" s="3" t="n">
        <v>509070.0</v>
      </c>
      <c r="X11" s="3" t="n">
        <v>501766.0</v>
      </c>
      <c r="Y11" s="3" t="n">
        <v>494631.0</v>
      </c>
      <c r="Z11" s="3" t="n">
        <v>487312.0</v>
      </c>
      <c r="AA11" s="3" t="n">
        <v>479961.0</v>
      </c>
      <c r="AB11" s="3" t="n">
        <v>473196.0</v>
      </c>
      <c r="AC11" s="3" t="n">
        <v>466217.0</v>
      </c>
      <c r="AD11" s="3" t="n">
        <v>458913.0</v>
      </c>
      <c r="AE11" s="3" t="n">
        <v>451042.0</v>
      </c>
      <c r="AF11" s="3" t="n">
        <v>442172.0</v>
      </c>
      <c r="AG11" s="3" t="n">
        <v>432327.0</v>
      </c>
      <c r="AH11" s="3" t="n">
        <v>420970.0</v>
      </c>
      <c r="AI11" s="3" t="n">
        <v>409451.0</v>
      </c>
      <c r="AJ11" s="3" t="n">
        <v>398348.0</v>
      </c>
      <c r="AK11" s="3" t="n">
        <v>388659.0</v>
      </c>
      <c r="AL11" s="3" t="n">
        <v>378932.0</v>
      </c>
      <c r="AM11" s="3" t="n">
        <v>370123.0</v>
      </c>
      <c r="AN11" s="3" t="n">
        <v>361161.0</v>
      </c>
      <c r="AO11" s="3" t="n">
        <v>352577.0</v>
      </c>
    </row>
    <row r="12" spans="1:41" x14ac:dyDescent="0.2">
      <c r="A12" s="136"/>
      <c r="B12" s="64" t="s">
        <v>12</v>
      </c>
      <c r="C12" s="3" t="n">
        <v>465231.0</v>
      </c>
      <c r="D12" s="3" t="n">
        <v>466749.0</v>
      </c>
      <c r="E12" s="3" t="n">
        <v>470422.0</v>
      </c>
      <c r="F12" s="3" t="n">
        <v>475353.0</v>
      </c>
      <c r="G12" s="3" t="n">
        <v>480780.0</v>
      </c>
      <c r="H12" s="3" t="n">
        <v>487973.0</v>
      </c>
      <c r="I12" s="3" t="n">
        <v>496463.0</v>
      </c>
      <c r="J12" s="3" t="n">
        <v>503820.0</v>
      </c>
      <c r="K12" s="3" t="n">
        <v>510027.0</v>
      </c>
      <c r="L12" s="3" t="n">
        <v>513482.0</v>
      </c>
      <c r="M12" s="3" t="n">
        <v>515089.0</v>
      </c>
      <c r="N12" s="3" t="n">
        <v>515109.0</v>
      </c>
      <c r="O12" s="3" t="n">
        <v>514018.0</v>
      </c>
      <c r="P12" s="3" t="n">
        <v>511665.0</v>
      </c>
      <c r="Q12" s="3" t="n">
        <v>507440.0</v>
      </c>
      <c r="R12" s="3" t="n">
        <v>501790.0</v>
      </c>
      <c r="S12" s="3" t="n">
        <v>494699.0</v>
      </c>
      <c r="T12" s="3" t="n">
        <v>485977.0</v>
      </c>
      <c r="U12" s="3" t="n">
        <v>475084.0</v>
      </c>
      <c r="V12" s="3" t="n">
        <v>463799.0</v>
      </c>
      <c r="W12" s="3" t="n">
        <v>451315.0</v>
      </c>
      <c r="X12" s="3" t="n">
        <v>437709.0</v>
      </c>
      <c r="Y12" s="3" t="n">
        <v>423646.0</v>
      </c>
      <c r="Z12" s="3" t="n">
        <v>410055.0</v>
      </c>
      <c r="AA12" s="3" t="n">
        <v>397537.0</v>
      </c>
      <c r="AB12" s="3" t="n">
        <v>384130.0</v>
      </c>
      <c r="AC12" s="3" t="n">
        <v>371258.0</v>
      </c>
      <c r="AD12" s="3" t="n">
        <v>359301.0</v>
      </c>
      <c r="AE12" s="3" t="n">
        <v>348391.0</v>
      </c>
      <c r="AF12" s="3" t="n">
        <v>339662.0</v>
      </c>
      <c r="AG12" s="3" t="n">
        <v>333671.0</v>
      </c>
      <c r="AH12" s="3" t="n">
        <v>329651.0</v>
      </c>
      <c r="AI12" s="3" t="n">
        <v>326857.0</v>
      </c>
      <c r="AJ12" s="3" t="n">
        <v>324334.0</v>
      </c>
      <c r="AK12" s="3" t="n">
        <v>321108.0</v>
      </c>
      <c r="AL12" s="3" t="n">
        <v>319132.0</v>
      </c>
      <c r="AM12" s="3" t="n">
        <v>317028.0</v>
      </c>
      <c r="AN12" s="3" t="n">
        <v>315611.0</v>
      </c>
      <c r="AO12" s="3" t="n">
        <v>314572.0</v>
      </c>
    </row>
    <row r="13" spans="1:41" x14ac:dyDescent="0.2">
      <c r="A13" s="136"/>
      <c r="B13" s="64" t="s">
        <v>10</v>
      </c>
      <c r="C13" s="3" t="n">
        <v>463731.0</v>
      </c>
      <c r="D13" s="3" t="n">
        <v>471414.0</v>
      </c>
      <c r="E13" s="3" t="n">
        <v>477599.0</v>
      </c>
      <c r="F13" s="3" t="n">
        <v>482429.0</v>
      </c>
      <c r="G13" s="3" t="n">
        <v>486017.0</v>
      </c>
      <c r="H13" s="3" t="n">
        <v>489296.0</v>
      </c>
      <c r="I13" s="3" t="n">
        <v>491835.0</v>
      </c>
      <c r="J13" s="3" t="n">
        <v>494181.0</v>
      </c>
      <c r="K13" s="3" t="n">
        <v>496038.0</v>
      </c>
      <c r="L13" s="3" t="n">
        <v>498090.0</v>
      </c>
      <c r="M13" s="3" t="n">
        <v>499952.0</v>
      </c>
      <c r="N13" s="3" t="n">
        <v>502091.0</v>
      </c>
      <c r="O13" s="3" t="n">
        <v>504237.0</v>
      </c>
      <c r="P13" s="3" t="n">
        <v>507270.0</v>
      </c>
      <c r="Q13" s="3" t="n">
        <v>510851.0</v>
      </c>
      <c r="R13" s="3" t="n">
        <v>513740.0</v>
      </c>
      <c r="S13" s="3" t="n">
        <v>517166.0</v>
      </c>
      <c r="T13" s="3" t="n">
        <v>520686.0</v>
      </c>
      <c r="U13" s="3" t="n">
        <v>524682.0</v>
      </c>
      <c r="V13" s="3" t="n">
        <v>528610.0</v>
      </c>
      <c r="W13" s="3" t="n">
        <v>532534.0</v>
      </c>
      <c r="X13" s="3" t="n">
        <v>536893.0</v>
      </c>
      <c r="Y13" s="3" t="n">
        <v>541153.0</v>
      </c>
      <c r="Z13" s="3" t="n">
        <v>544692.0</v>
      </c>
      <c r="AA13" s="3" t="n">
        <v>546848.0</v>
      </c>
      <c r="AB13" s="3" t="n">
        <v>549190.0</v>
      </c>
      <c r="AC13" s="3" t="n">
        <v>551133.0</v>
      </c>
      <c r="AD13" s="3" t="n">
        <v>552376.0</v>
      </c>
      <c r="AE13" s="3" t="n">
        <v>553271.0</v>
      </c>
      <c r="AF13" s="3" t="n">
        <v>552899.0</v>
      </c>
      <c r="AG13" s="3" t="n">
        <v>550952.0</v>
      </c>
      <c r="AH13" s="3" t="n">
        <v>548685.0</v>
      </c>
      <c r="AI13" s="3" t="n">
        <v>545394.0</v>
      </c>
      <c r="AJ13" s="3" t="n">
        <v>541609.0</v>
      </c>
      <c r="AK13" s="3" t="n">
        <v>537200.0</v>
      </c>
      <c r="AL13" s="3" t="n">
        <v>531681.0</v>
      </c>
      <c r="AM13" s="3" t="n">
        <v>525449.0</v>
      </c>
      <c r="AN13" s="3" t="n">
        <v>518695.0</v>
      </c>
      <c r="AO13" s="3" t="n">
        <v>511268.0</v>
      </c>
    </row>
    <row r="14" spans="1:41" x14ac:dyDescent="0.2">
      <c r="A14" s="136"/>
      <c r="B14" s="64" t="s">
        <v>0</v>
      </c>
      <c r="C14" s="3" t="n">
        <v>49483.0</v>
      </c>
      <c r="D14" s="3" t="n">
        <v>45577.0</v>
      </c>
      <c r="E14" s="3" t="n">
        <v>42465.0</v>
      </c>
      <c r="F14" s="3" t="n">
        <v>40832.0</v>
      </c>
      <c r="G14" s="3" t="n">
        <v>39479.0</v>
      </c>
      <c r="H14" s="3" t="n">
        <v>38357.0</v>
      </c>
      <c r="I14" s="3" t="n">
        <v>37397.0</v>
      </c>
      <c r="J14" s="3" t="n">
        <v>36510.0</v>
      </c>
      <c r="K14" s="3" t="n">
        <v>35744.0</v>
      </c>
      <c r="L14" s="3" t="n">
        <v>35073.0</v>
      </c>
      <c r="M14" s="3" t="n">
        <v>34517.0</v>
      </c>
      <c r="N14" s="3" t="n">
        <v>34021.0</v>
      </c>
      <c r="O14" s="3" t="n">
        <v>33659.0</v>
      </c>
      <c r="P14" s="3" t="n">
        <v>33384.0</v>
      </c>
      <c r="Q14" s="3" t="n">
        <v>33209.0</v>
      </c>
      <c r="R14" s="3" t="n">
        <v>33083.0</v>
      </c>
      <c r="S14" s="3" t="n">
        <v>33011.0</v>
      </c>
      <c r="T14" s="3" t="n">
        <v>32960.0</v>
      </c>
      <c r="U14" s="3" t="n">
        <v>32895.0</v>
      </c>
      <c r="V14" s="3" t="n">
        <v>32807.0</v>
      </c>
      <c r="W14" s="3" t="n">
        <v>32672.0</v>
      </c>
      <c r="X14" s="3" t="n">
        <v>32493.0</v>
      </c>
      <c r="Y14" s="3" t="n">
        <v>32236.0</v>
      </c>
      <c r="Z14" s="3" t="n">
        <v>31920.0</v>
      </c>
      <c r="AA14" s="3" t="n">
        <v>31505.0</v>
      </c>
      <c r="AB14" s="3" t="n">
        <v>31004.0</v>
      </c>
      <c r="AC14" s="3" t="n">
        <v>30404.0</v>
      </c>
      <c r="AD14" s="3" t="n">
        <v>29725.0</v>
      </c>
      <c r="AE14" s="3" t="n">
        <v>28988.0</v>
      </c>
      <c r="AF14" s="3" t="n">
        <v>28199.0</v>
      </c>
      <c r="AG14" s="3" t="n">
        <v>27366.0</v>
      </c>
      <c r="AH14" s="3" t="n">
        <v>26510.0</v>
      </c>
      <c r="AI14" s="3" t="n">
        <v>25635.0</v>
      </c>
      <c r="AJ14" s="3" t="n">
        <v>24770.0</v>
      </c>
      <c r="AK14" s="3" t="n">
        <v>23936.0</v>
      </c>
      <c r="AL14" s="3" t="n">
        <v>23120.0</v>
      </c>
      <c r="AM14" s="3" t="n">
        <v>22334.0</v>
      </c>
      <c r="AN14" s="3" t="n">
        <v>21604.0</v>
      </c>
      <c r="AO14" s="3" t="n">
        <v>20935.0</v>
      </c>
    </row>
    <row r="15" spans="1:41" x14ac:dyDescent="0.2">
      <c r="A15" s="136"/>
      <c r="B15" s="64" t="s">
        <v>1</v>
      </c>
      <c r="C15" s="3" t="n">
        <v>81473.0</v>
      </c>
      <c r="D15" s="3" t="n">
        <v>79017.0</v>
      </c>
      <c r="E15" s="3" t="n">
        <v>74510.0</v>
      </c>
      <c r="F15" s="3" t="n">
        <v>69015.0</v>
      </c>
      <c r="G15" s="3" t="n">
        <v>63789.0</v>
      </c>
      <c r="H15" s="3" t="n">
        <v>59569.0</v>
      </c>
      <c r="I15" s="3" t="n">
        <v>56208.0</v>
      </c>
      <c r="J15" s="3" t="n">
        <v>54265.0</v>
      </c>
      <c r="K15" s="3" t="n">
        <v>52562.0</v>
      </c>
      <c r="L15" s="3" t="n">
        <v>51067.0</v>
      </c>
      <c r="M15" s="3" t="n">
        <v>49721.0</v>
      </c>
      <c r="N15" s="3" t="n">
        <v>48568.0</v>
      </c>
      <c r="O15" s="3" t="n">
        <v>47578.0</v>
      </c>
      <c r="P15" s="3" t="n">
        <v>46738.0</v>
      </c>
      <c r="Q15" s="3" t="n">
        <v>46037.0</v>
      </c>
      <c r="R15" s="3" t="n">
        <v>45475.0</v>
      </c>
      <c r="S15" s="3" t="n">
        <v>45038.0</v>
      </c>
      <c r="T15" s="3" t="n">
        <v>44704.0</v>
      </c>
      <c r="U15" s="3" t="n">
        <v>44495.0</v>
      </c>
      <c r="V15" s="3" t="n">
        <v>44348.0</v>
      </c>
      <c r="W15" s="3" t="n">
        <v>44259.0</v>
      </c>
      <c r="X15" s="3" t="n">
        <v>44179.0</v>
      </c>
      <c r="Y15" s="3" t="n">
        <v>44078.0</v>
      </c>
      <c r="Z15" s="3" t="n">
        <v>43932.0</v>
      </c>
      <c r="AA15" s="3" t="n">
        <v>43726.0</v>
      </c>
      <c r="AB15" s="3" t="n">
        <v>43437.0</v>
      </c>
      <c r="AC15" s="3" t="n">
        <v>43077.0</v>
      </c>
      <c r="AD15" s="3" t="n">
        <v>42597.0</v>
      </c>
      <c r="AE15" s="3" t="n">
        <v>41992.0</v>
      </c>
      <c r="AF15" s="3" t="n">
        <v>41298.0</v>
      </c>
      <c r="AG15" s="3" t="n">
        <v>40462.0</v>
      </c>
      <c r="AH15" s="3" t="n">
        <v>39520.0</v>
      </c>
      <c r="AI15" s="3" t="n">
        <v>38520.0</v>
      </c>
      <c r="AJ15" s="3" t="n">
        <v>37449.0</v>
      </c>
      <c r="AK15" s="3" t="n">
        <v>36334.0</v>
      </c>
      <c r="AL15" s="3" t="n">
        <v>35215.0</v>
      </c>
      <c r="AM15" s="3" t="n">
        <v>34071.0</v>
      </c>
      <c r="AN15" s="3" t="n">
        <v>32937.0</v>
      </c>
      <c r="AO15" s="3" t="n">
        <v>31832.0</v>
      </c>
    </row>
    <row r="16" spans="1:41" x14ac:dyDescent="0.2">
      <c r="A16" s="136"/>
      <c r="B16" s="65" t="s">
        <v>18</v>
      </c>
      <c r="C16" s="3" t="n">
        <v>174115.0</v>
      </c>
      <c r="D16" s="3" t="n">
        <v>171154.0</v>
      </c>
      <c r="E16" s="3" t="n">
        <v>168791.0</v>
      </c>
      <c r="F16" s="3" t="n">
        <v>166048.0</v>
      </c>
      <c r="G16" s="3" t="n">
        <v>164006.0</v>
      </c>
      <c r="H16" s="3" t="n">
        <v>160906.0</v>
      </c>
      <c r="I16" s="3" t="n">
        <v>157649.0</v>
      </c>
      <c r="J16" s="3" t="n">
        <v>152175.0</v>
      </c>
      <c r="K16" s="3" t="n">
        <v>146466.0</v>
      </c>
      <c r="L16" s="3" t="n">
        <v>139743.0</v>
      </c>
      <c r="M16" s="3" t="n">
        <v>131775.0</v>
      </c>
      <c r="N16" s="3" t="n">
        <v>124351.0</v>
      </c>
      <c r="O16" s="3" t="n">
        <v>117461.0</v>
      </c>
      <c r="P16" s="3" t="n">
        <v>111628.0</v>
      </c>
      <c r="Q16" s="3" t="n">
        <v>106771.0</v>
      </c>
      <c r="R16" s="3" t="n">
        <v>103592.0</v>
      </c>
      <c r="S16" s="3" t="n">
        <v>100847.0</v>
      </c>
      <c r="T16" s="3" t="n">
        <v>98464.0</v>
      </c>
      <c r="U16" s="3" t="n">
        <v>96371.0</v>
      </c>
      <c r="V16" s="3" t="n">
        <v>94603.0</v>
      </c>
      <c r="W16" s="3" t="n">
        <v>93129.0</v>
      </c>
      <c r="X16" s="3" t="n">
        <v>91935.0</v>
      </c>
      <c r="Y16" s="3" t="n">
        <v>90988.0</v>
      </c>
      <c r="Z16" s="3" t="n">
        <v>90235.0</v>
      </c>
      <c r="AA16" s="3" t="n">
        <v>89658.0</v>
      </c>
      <c r="AB16" s="3" t="n">
        <v>89215.0</v>
      </c>
      <c r="AC16" s="3" t="n">
        <v>88900.0</v>
      </c>
      <c r="AD16" s="3" t="n">
        <v>88604.0</v>
      </c>
      <c r="AE16" s="3" t="n">
        <v>88308.0</v>
      </c>
      <c r="AF16" s="3" t="n">
        <v>87943.0</v>
      </c>
      <c r="AG16" s="3" t="n">
        <v>87502.0</v>
      </c>
      <c r="AH16" s="3" t="n">
        <v>86905.0</v>
      </c>
      <c r="AI16" s="3" t="n">
        <v>86127.0</v>
      </c>
      <c r="AJ16" s="3" t="n">
        <v>85172.0</v>
      </c>
      <c r="AK16" s="3" t="n">
        <v>84008.0</v>
      </c>
      <c r="AL16" s="3" t="n">
        <v>82625.0</v>
      </c>
      <c r="AM16" s="3" t="n">
        <v>81069.0</v>
      </c>
      <c r="AN16" s="3" t="n">
        <v>79341.0</v>
      </c>
      <c r="AO16" s="3" t="n">
        <v>77417.0</v>
      </c>
    </row>
    <row r="17" spans="1:41" x14ac:dyDescent="0.2">
      <c r="A17" s="136"/>
      <c r="B17" s="64" t="s">
        <v>19</v>
      </c>
      <c r="C17" s="3" t="n">
        <v>80998.0</v>
      </c>
      <c r="D17" s="3" t="n">
        <v>85313.0</v>
      </c>
      <c r="E17" s="3" t="n">
        <v>89324.0</v>
      </c>
      <c r="F17" s="3" t="n">
        <v>91792.0</v>
      </c>
      <c r="G17" s="3" t="n">
        <v>91500.0</v>
      </c>
      <c r="H17" s="3" t="n">
        <v>89663.0</v>
      </c>
      <c r="I17" s="3" t="n">
        <v>86744.0</v>
      </c>
      <c r="J17" s="3" t="n">
        <v>84319.0</v>
      </c>
      <c r="K17" s="3" t="n">
        <v>82974.0</v>
      </c>
      <c r="L17" s="3" t="n">
        <v>82076.0</v>
      </c>
      <c r="M17" s="3" t="n">
        <v>82893.0</v>
      </c>
      <c r="N17" s="3" t="n">
        <v>82684.0</v>
      </c>
      <c r="O17" s="3" t="n">
        <v>82060.0</v>
      </c>
      <c r="P17" s="3" t="n">
        <v>79619.0</v>
      </c>
      <c r="Q17" s="3" t="n">
        <v>75178.0</v>
      </c>
      <c r="R17" s="3" t="n">
        <v>69784.0</v>
      </c>
      <c r="S17" s="3" t="n">
        <v>64661.0</v>
      </c>
      <c r="T17" s="3" t="n">
        <v>60396.0</v>
      </c>
      <c r="U17" s="3" t="n">
        <v>56917.0</v>
      </c>
      <c r="V17" s="3" t="n">
        <v>54909.0</v>
      </c>
      <c r="W17" s="3" t="n">
        <v>53175.0</v>
      </c>
      <c r="X17" s="3" t="n">
        <v>51627.0</v>
      </c>
      <c r="Y17" s="3" t="n">
        <v>50242.0</v>
      </c>
      <c r="Z17" s="3" t="n">
        <v>49045.0</v>
      </c>
      <c r="AA17" s="3" t="n">
        <v>48023.0</v>
      </c>
      <c r="AB17" s="3" t="n">
        <v>47154.0</v>
      </c>
      <c r="AC17" s="3" t="n">
        <v>46391.0</v>
      </c>
      <c r="AD17" s="3" t="n">
        <v>45775.0</v>
      </c>
      <c r="AE17" s="3" t="n">
        <v>45285.0</v>
      </c>
      <c r="AF17" s="3" t="n">
        <v>44918.0</v>
      </c>
      <c r="AG17" s="3" t="n">
        <v>44698.0</v>
      </c>
      <c r="AH17" s="3" t="n">
        <v>44539.0</v>
      </c>
      <c r="AI17" s="3" t="n">
        <v>44447.0</v>
      </c>
      <c r="AJ17" s="3" t="n">
        <v>44363.0</v>
      </c>
      <c r="AK17" s="3" t="n">
        <v>44266.0</v>
      </c>
      <c r="AL17" s="3" t="n">
        <v>44130.0</v>
      </c>
      <c r="AM17" s="3" t="n">
        <v>43938.0</v>
      </c>
      <c r="AN17" s="3" t="n">
        <v>43669.0</v>
      </c>
      <c r="AO17" s="3" t="n">
        <v>43337.0</v>
      </c>
    </row>
    <row r="18" spans="1:41" x14ac:dyDescent="0.2">
      <c r="A18" s="136"/>
      <c r="B18" s="64" t="s">
        <v>2</v>
      </c>
      <c r="C18" s="3" t="n">
        <v>117504.0</v>
      </c>
      <c r="D18" s="3" t="n">
        <v>115935.0</v>
      </c>
      <c r="E18" s="3" t="n">
        <v>115391.0</v>
      </c>
      <c r="F18" s="3" t="n">
        <v>115970.0</v>
      </c>
      <c r="G18" s="3" t="n">
        <v>117955.0</v>
      </c>
      <c r="H18" s="3" t="n">
        <v>122575.0</v>
      </c>
      <c r="I18" s="3" t="n">
        <v>127314.0</v>
      </c>
      <c r="J18" s="3" t="n">
        <v>131318.0</v>
      </c>
      <c r="K18" s="3" t="n">
        <v>133203.0</v>
      </c>
      <c r="L18" s="3" t="n">
        <v>134129.0</v>
      </c>
      <c r="M18" s="3" t="n">
        <v>132947.0</v>
      </c>
      <c r="N18" s="3" t="n">
        <v>130198.0</v>
      </c>
      <c r="O18" s="3" t="n">
        <v>126787.0</v>
      </c>
      <c r="P18" s="3" t="n">
        <v>124326.0</v>
      </c>
      <c r="Q18" s="3" t="n">
        <v>124211.0</v>
      </c>
      <c r="R18" s="3" t="n">
        <v>123146.0</v>
      </c>
      <c r="S18" s="3" t="n">
        <v>122128.0</v>
      </c>
      <c r="T18" s="3" t="n">
        <v>119673.0</v>
      </c>
      <c r="U18" s="3" t="n">
        <v>116463.0</v>
      </c>
      <c r="V18" s="3" t="n">
        <v>110927.0</v>
      </c>
      <c r="W18" s="3" t="n">
        <v>104034.0</v>
      </c>
      <c r="X18" s="3" t="n">
        <v>97567.0</v>
      </c>
      <c r="Y18" s="3" t="n">
        <v>91577.0</v>
      </c>
      <c r="Z18" s="3" t="n">
        <v>86541.0</v>
      </c>
      <c r="AA18" s="3" t="n">
        <v>82334.0</v>
      </c>
      <c r="AB18" s="3" t="n">
        <v>79647.0</v>
      </c>
      <c r="AC18" s="3" t="n">
        <v>77301.0</v>
      </c>
      <c r="AD18" s="3" t="n">
        <v>75257.0</v>
      </c>
      <c r="AE18" s="3" t="n">
        <v>73455.0</v>
      </c>
      <c r="AF18" s="3" t="n">
        <v>71872.0</v>
      </c>
      <c r="AG18" s="3" t="n">
        <v>70498.0</v>
      </c>
      <c r="AH18" s="3" t="n">
        <v>69371.0</v>
      </c>
      <c r="AI18" s="3" t="n">
        <v>68443.0</v>
      </c>
      <c r="AJ18" s="3" t="n">
        <v>67699.0</v>
      </c>
      <c r="AK18" s="3" t="n">
        <v>67131.0</v>
      </c>
      <c r="AL18" s="3" t="n">
        <v>66713.0</v>
      </c>
      <c r="AM18" s="3" t="n">
        <v>66447.0</v>
      </c>
      <c r="AN18" s="3" t="n">
        <v>66224.0</v>
      </c>
      <c r="AO18" s="3" t="n">
        <v>66051.0</v>
      </c>
    </row>
    <row r="19" spans="1:41" x14ac:dyDescent="0.2">
      <c r="A19" s="136"/>
      <c r="B19" s="64" t="s">
        <v>3</v>
      </c>
      <c r="C19" s="3" t="n">
        <v>305071.0</v>
      </c>
      <c r="D19" s="3" t="n">
        <v>295748.0</v>
      </c>
      <c r="E19" s="3" t="n">
        <v>285766.0</v>
      </c>
      <c r="F19" s="3" t="n">
        <v>275895.0</v>
      </c>
      <c r="G19" s="3" t="n">
        <v>267274.0</v>
      </c>
      <c r="H19" s="3" t="n">
        <v>258832.0</v>
      </c>
      <c r="I19" s="3" t="n">
        <v>251254.0</v>
      </c>
      <c r="J19" s="3" t="n">
        <v>242950.0</v>
      </c>
      <c r="K19" s="3" t="n">
        <v>234772.0</v>
      </c>
      <c r="L19" s="3" t="n">
        <v>225883.0</v>
      </c>
      <c r="M19" s="3" t="n">
        <v>216013.0</v>
      </c>
      <c r="N19" s="3" t="n">
        <v>206940.0</v>
      </c>
      <c r="O19" s="3" t="n">
        <v>198698.0</v>
      </c>
      <c r="P19" s="3" t="n">
        <v>191750.0</v>
      </c>
      <c r="Q19" s="3" t="n">
        <v>186017.0</v>
      </c>
      <c r="R19" s="3" t="n">
        <v>182150.0</v>
      </c>
      <c r="S19" s="3" t="n">
        <v>178896.0</v>
      </c>
      <c r="T19" s="3" t="n">
        <v>176128.0</v>
      </c>
      <c r="U19" s="3" t="n">
        <v>173761.0</v>
      </c>
      <c r="V19" s="3" t="n">
        <v>171758.0</v>
      </c>
      <c r="W19" s="3" t="n">
        <v>170060.0</v>
      </c>
      <c r="X19" s="3" t="n">
        <v>168607.0</v>
      </c>
      <c r="Y19" s="3" t="n">
        <v>167302.0</v>
      </c>
      <c r="Z19" s="3" t="n">
        <v>166087.0</v>
      </c>
      <c r="AA19" s="3" t="n">
        <v>164889.0</v>
      </c>
      <c r="AB19" s="3" t="n">
        <v>163656.0</v>
      </c>
      <c r="AC19" s="3" t="n">
        <v>162381.0</v>
      </c>
      <c r="AD19" s="3" t="n">
        <v>160926.0</v>
      </c>
      <c r="AE19" s="3" t="n">
        <v>159288.0</v>
      </c>
      <c r="AF19" s="3" t="n">
        <v>157440.0</v>
      </c>
      <c r="AG19" s="3" t="n">
        <v>155330.0</v>
      </c>
      <c r="AH19" s="3" t="n">
        <v>152935.0</v>
      </c>
      <c r="AI19" s="3" t="n">
        <v>150282.0</v>
      </c>
      <c r="AJ19" s="3" t="n">
        <v>147391.0</v>
      </c>
      <c r="AK19" s="3" t="n">
        <v>144278.0</v>
      </c>
      <c r="AL19" s="3" t="n">
        <v>140960.0</v>
      </c>
      <c r="AM19" s="3" t="n">
        <v>137474.0</v>
      </c>
      <c r="AN19" s="3" t="n">
        <v>133882.0</v>
      </c>
      <c r="AO19" s="3" t="n">
        <v>130184.0</v>
      </c>
    </row>
    <row r="20" spans="1:41" x14ac:dyDescent="0.2">
      <c r="A20" s="136"/>
      <c r="B20" s="64" t="s">
        <v>4</v>
      </c>
      <c r="C20" s="3" t="n">
        <v>1309174.0</v>
      </c>
      <c r="D20" s="3" t="n">
        <v>1296939.0</v>
      </c>
      <c r="E20" s="3" t="n">
        <v>1286484.0</v>
      </c>
      <c r="F20" s="3" t="n">
        <v>1277348.0</v>
      </c>
      <c r="G20" s="3" t="n">
        <v>1268180.0</v>
      </c>
      <c r="H20" s="3" t="n">
        <v>1260590.0</v>
      </c>
      <c r="I20" s="3" t="n">
        <v>1252990.0</v>
      </c>
      <c r="J20" s="3" t="n">
        <v>1245682.0</v>
      </c>
      <c r="K20" s="3" t="n">
        <v>1237989.0</v>
      </c>
      <c r="L20" s="3" t="n">
        <v>1231284.0</v>
      </c>
      <c r="M20" s="3" t="n">
        <v>1225115.0</v>
      </c>
      <c r="N20" s="3" t="n">
        <v>1217769.0</v>
      </c>
      <c r="O20" s="3" t="n">
        <v>1209084.0</v>
      </c>
      <c r="P20" s="3" t="n">
        <v>1198387.0</v>
      </c>
      <c r="Q20" s="3" t="n">
        <v>1185577.0</v>
      </c>
      <c r="R20" s="3" t="n">
        <v>1170212.0</v>
      </c>
      <c r="S20" s="3" t="n">
        <v>1153186.0</v>
      </c>
      <c r="T20" s="3" t="n">
        <v>1135264.0</v>
      </c>
      <c r="U20" s="3" t="n">
        <v>1115726.0</v>
      </c>
      <c r="V20" s="3" t="n">
        <v>1094819.0</v>
      </c>
      <c r="W20" s="3" t="n">
        <v>1074701.0</v>
      </c>
      <c r="X20" s="3" t="n">
        <v>1054020.0</v>
      </c>
      <c r="Y20" s="3" t="n">
        <v>1032398.0</v>
      </c>
      <c r="Z20" s="3" t="n">
        <v>1010498.0</v>
      </c>
      <c r="AA20" s="3" t="n">
        <v>988904.0</v>
      </c>
      <c r="AB20" s="3" t="n">
        <v>966037.0</v>
      </c>
      <c r="AC20" s="3" t="n">
        <v>942431.0</v>
      </c>
      <c r="AD20" s="3" t="n">
        <v>919732.0</v>
      </c>
      <c r="AE20" s="3" t="n">
        <v>898163.0</v>
      </c>
      <c r="AF20" s="3" t="n">
        <v>878508.0</v>
      </c>
      <c r="AG20" s="3" t="n">
        <v>860311.0</v>
      </c>
      <c r="AH20" s="3" t="n">
        <v>843007.0</v>
      </c>
      <c r="AI20" s="3" t="n">
        <v>826454.0</v>
      </c>
      <c r="AJ20" s="3" t="n">
        <v>809968.0</v>
      </c>
      <c r="AK20" s="3" t="n">
        <v>794414.0</v>
      </c>
      <c r="AL20" s="3" t="n">
        <v>780390.0</v>
      </c>
      <c r="AM20" s="3" t="n">
        <v>766987.0</v>
      </c>
      <c r="AN20" s="3" t="n">
        <v>754512.0</v>
      </c>
      <c r="AO20" s="3" t="n">
        <v>743356.0</v>
      </c>
    </row>
    <row r="21" spans="1:41" x14ac:dyDescent="0.2">
      <c r="A21" s="136"/>
      <c r="B21" s="64" t="s">
        <v>5</v>
      </c>
      <c r="C21" s="3" t="n">
        <v>392631.0</v>
      </c>
      <c r="D21" s="3" t="n">
        <v>403553.0</v>
      </c>
      <c r="E21" s="3" t="n">
        <v>412682.0</v>
      </c>
      <c r="F21" s="3" t="n">
        <v>419735.0</v>
      </c>
      <c r="G21" s="3" t="n">
        <v>425030.0</v>
      </c>
      <c r="H21" s="3" t="n">
        <v>429398.0</v>
      </c>
      <c r="I21" s="3" t="n">
        <v>432793.0</v>
      </c>
      <c r="J21" s="3" t="n">
        <v>435151.0</v>
      </c>
      <c r="K21" s="3" t="n">
        <v>436847.0</v>
      </c>
      <c r="L21" s="3" t="n">
        <v>437628.0</v>
      </c>
      <c r="M21" s="3" t="n">
        <v>438156.0</v>
      </c>
      <c r="N21" s="3" t="n">
        <v>438478.0</v>
      </c>
      <c r="O21" s="3" t="n">
        <v>438919.0</v>
      </c>
      <c r="P21" s="3" t="n">
        <v>439617.0</v>
      </c>
      <c r="Q21" s="3" t="n">
        <v>440950.0</v>
      </c>
      <c r="R21" s="3" t="n">
        <v>442452.0</v>
      </c>
      <c r="S21" s="3" t="n">
        <v>444796.0</v>
      </c>
      <c r="T21" s="3" t="n">
        <v>447118.0</v>
      </c>
      <c r="U21" s="3" t="n">
        <v>450483.0</v>
      </c>
      <c r="V21" s="3" t="n">
        <v>454610.0</v>
      </c>
      <c r="W21" s="3" t="n">
        <v>457469.0</v>
      </c>
      <c r="X21" s="3" t="n">
        <v>460500.0</v>
      </c>
      <c r="Y21" s="3" t="n">
        <v>464203.0</v>
      </c>
      <c r="Z21" s="3" t="n">
        <v>467911.0</v>
      </c>
      <c r="AA21" s="3" t="n">
        <v>471091.0</v>
      </c>
      <c r="AB21" s="3" t="n">
        <v>475542.0</v>
      </c>
      <c r="AC21" s="3" t="n">
        <v>480698.0</v>
      </c>
      <c r="AD21" s="3" t="n">
        <v>484966.0</v>
      </c>
      <c r="AE21" s="3" t="n">
        <v>488325.0</v>
      </c>
      <c r="AF21" s="3" t="n">
        <v>489812.0</v>
      </c>
      <c r="AG21" s="3" t="n">
        <v>490081.0</v>
      </c>
      <c r="AH21" s="3" t="n">
        <v>489662.0</v>
      </c>
      <c r="AI21" s="3" t="n">
        <v>488561.0</v>
      </c>
      <c r="AJ21" s="3" t="n">
        <v>487574.0</v>
      </c>
      <c r="AK21" s="3" t="n">
        <v>485721.0</v>
      </c>
      <c r="AL21" s="3" t="n">
        <v>482403.0</v>
      </c>
      <c r="AM21" s="3" t="n">
        <v>478503.0</v>
      </c>
      <c r="AN21" s="3" t="n">
        <v>473611.0</v>
      </c>
      <c r="AO21" s="3" t="n">
        <v>467436.0</v>
      </c>
    </row>
    <row r="22" spans="1:41" x14ac:dyDescent="0.2">
      <c r="A22" s="137"/>
      <c r="B22" s="66" t="s">
        <v>6</v>
      </c>
      <c r="C22" s="4" t="n">
        <v>80503.0</v>
      </c>
      <c r="D22" s="4" t="n">
        <v>80440.0</v>
      </c>
      <c r="E22" s="4" t="n">
        <v>79895.0</v>
      </c>
      <c r="F22" s="4" t="n">
        <v>79465.0</v>
      </c>
      <c r="G22" s="4" t="n">
        <v>84435.0</v>
      </c>
      <c r="H22" s="4" t="n">
        <v>89827.0</v>
      </c>
      <c r="I22" s="4" t="n">
        <v>95838.0</v>
      </c>
      <c r="J22" s="4" t="n">
        <v>102256.0</v>
      </c>
      <c r="K22" s="4" t="n">
        <v>108704.0</v>
      </c>
      <c r="L22" s="4" t="n">
        <v>114845.0</v>
      </c>
      <c r="M22" s="4" t="n">
        <v>120666.0</v>
      </c>
      <c r="N22" s="4" t="n">
        <v>126281.0</v>
      </c>
      <c r="O22" s="4" t="n">
        <v>131677.0</v>
      </c>
      <c r="P22" s="4" t="n">
        <v>137204.0</v>
      </c>
      <c r="Q22" s="4" t="n">
        <v>142349.0</v>
      </c>
      <c r="R22" s="4" t="n">
        <v>147122.0</v>
      </c>
      <c r="S22" s="4" t="n">
        <v>151073.0</v>
      </c>
      <c r="T22" s="4" t="n">
        <v>153604.0</v>
      </c>
      <c r="U22" s="4" t="n">
        <v>154775.0</v>
      </c>
      <c r="V22" s="4" t="n">
        <v>154670.0</v>
      </c>
      <c r="W22" s="4" t="n">
        <v>153944.0</v>
      </c>
      <c r="X22" s="4" t="n">
        <v>152712.0</v>
      </c>
      <c r="Y22" s="4" t="n">
        <v>150999.0</v>
      </c>
      <c r="Z22" s="4" t="n">
        <v>149079.0</v>
      </c>
      <c r="AA22" s="4" t="n">
        <v>146784.0</v>
      </c>
      <c r="AB22" s="4" t="n">
        <v>144763.0</v>
      </c>
      <c r="AC22" s="4" t="n">
        <v>142944.0</v>
      </c>
      <c r="AD22" s="4" t="n">
        <v>141529.0</v>
      </c>
      <c r="AE22" s="4" t="n">
        <v>140729.0</v>
      </c>
      <c r="AF22" s="4" t="n">
        <v>140671.0</v>
      </c>
      <c r="AG22" s="4" t="n">
        <v>141143.0</v>
      </c>
      <c r="AH22" s="4" t="n">
        <v>142478.0</v>
      </c>
      <c r="AI22" s="4" t="n">
        <v>144046.0</v>
      </c>
      <c r="AJ22" s="4" t="n">
        <v>146459.0</v>
      </c>
      <c r="AK22" s="4" t="n">
        <v>149573.0</v>
      </c>
      <c r="AL22" s="4" t="n">
        <v>151880.0</v>
      </c>
      <c r="AM22" s="4" t="n">
        <v>154354.0</v>
      </c>
      <c r="AN22" s="4" t="n">
        <v>157155.0</v>
      </c>
      <c r="AO22" s="4" t="n">
        <v>159986.0</v>
      </c>
    </row>
    <row r="23" spans="1:41" x14ac:dyDescent="0.2">
      <c r="A23" s="136" t="s">
        <v>50</v>
      </c>
      <c r="B23" s="63" t="s">
        <v>64</v>
      </c>
      <c r="C23" s="26" t="n">
        <v>971048.0</v>
      </c>
      <c r="D23" s="16" t="n">
        <v>965573.0</v>
      </c>
      <c r="E23" s="16" t="n">
        <v>959778.0</v>
      </c>
      <c r="F23" s="16" t="n">
        <v>953606.0</v>
      </c>
      <c r="G23" s="16" t="n">
        <v>947109.0</v>
      </c>
      <c r="H23" s="16" t="n">
        <v>940801.0</v>
      </c>
      <c r="I23" s="16" t="n">
        <v>934373.0</v>
      </c>
      <c r="J23" s="16" t="n">
        <v>927400.0</v>
      </c>
      <c r="K23" s="16" t="n">
        <v>920039.0</v>
      </c>
      <c r="L23" s="16" t="n">
        <v>912384.0</v>
      </c>
      <c r="M23" s="16" t="n">
        <v>904442.0</v>
      </c>
      <c r="N23" s="16" t="n">
        <v>896204.0</v>
      </c>
      <c r="O23" s="16" t="n">
        <v>887787.0</v>
      </c>
      <c r="P23" s="16" t="n">
        <v>879207.0</v>
      </c>
      <c r="Q23" s="16" t="n">
        <v>870515.0</v>
      </c>
      <c r="R23" s="16" t="n">
        <v>861638.0</v>
      </c>
      <c r="S23" s="16" t="n">
        <v>852679.0</v>
      </c>
      <c r="T23" s="16" t="n">
        <v>843565.0</v>
      </c>
      <c r="U23" s="16" t="n">
        <v>834395.0</v>
      </c>
      <c r="V23" s="16" t="n">
        <v>825196.0</v>
      </c>
      <c r="W23" s="16" t="n">
        <v>815886.0</v>
      </c>
      <c r="X23" s="16" t="n">
        <v>806593.0</v>
      </c>
      <c r="Y23" s="16" t="n">
        <v>797185.0</v>
      </c>
      <c r="Z23" s="16" t="n">
        <v>787701.0</v>
      </c>
      <c r="AA23" s="16" t="n">
        <v>778192.0</v>
      </c>
      <c r="AB23" s="16" t="n">
        <v>768592.0</v>
      </c>
      <c r="AC23" s="16" t="n">
        <v>759023.0</v>
      </c>
      <c r="AD23" s="16" t="n">
        <v>749374.0</v>
      </c>
      <c r="AE23" s="16" t="n">
        <v>739692.0</v>
      </c>
      <c r="AF23" s="16" t="n">
        <v>729919.0</v>
      </c>
      <c r="AG23" s="16" t="n">
        <v>720142.0</v>
      </c>
      <c r="AH23" s="16" t="n">
        <v>710268.0</v>
      </c>
      <c r="AI23" s="16" t="n">
        <v>700282.0</v>
      </c>
      <c r="AJ23" s="16" t="n">
        <v>690293.0</v>
      </c>
      <c r="AK23" s="16" t="n">
        <v>680164.0</v>
      </c>
      <c r="AL23" s="16" t="n">
        <v>669943.0</v>
      </c>
      <c r="AM23" s="16" t="n">
        <v>659750.0</v>
      </c>
      <c r="AN23" s="16" t="n">
        <v>649448.0</v>
      </c>
      <c r="AO23" s="16" t="n">
        <v>639082.0</v>
      </c>
    </row>
    <row r="24" spans="1:41" x14ac:dyDescent="0.2">
      <c r="A24" s="136"/>
      <c r="B24" s="64" t="s">
        <v>8</v>
      </c>
      <c r="C24" s="11" t="n">
        <v>188621.0</v>
      </c>
      <c r="D24" s="3" t="n">
        <v>185841.0</v>
      </c>
      <c r="E24" s="3" t="n">
        <v>182278.0</v>
      </c>
      <c r="F24" s="3" t="n">
        <v>177900.0</v>
      </c>
      <c r="G24" s="3" t="n">
        <v>172576.0</v>
      </c>
      <c r="H24" s="3" t="n">
        <v>167344.0</v>
      </c>
      <c r="I24" s="3" t="n">
        <v>162173.0</v>
      </c>
      <c r="J24" s="3" t="n">
        <v>157409.0</v>
      </c>
      <c r="K24" s="3" t="n">
        <v>152464.0</v>
      </c>
      <c r="L24" s="3" t="n">
        <v>147932.0</v>
      </c>
      <c r="M24" s="3" t="n">
        <v>143240.0</v>
      </c>
      <c r="N24" s="3" t="n">
        <v>138728.0</v>
      </c>
      <c r="O24" s="3" t="n">
        <v>133963.0</v>
      </c>
      <c r="P24" s="3" t="n">
        <v>128603.0</v>
      </c>
      <c r="Q24" s="3" t="n">
        <v>123776.0</v>
      </c>
      <c r="R24" s="3" t="n">
        <v>119440.0</v>
      </c>
      <c r="S24" s="3" t="n">
        <v>115850.0</v>
      </c>
      <c r="T24" s="3" t="n">
        <v>112805.0</v>
      </c>
      <c r="U24" s="3" t="n">
        <v>110742.0</v>
      </c>
      <c r="V24" s="3" t="n">
        <v>109016.0</v>
      </c>
      <c r="W24" s="3" t="n">
        <v>107523.0</v>
      </c>
      <c r="X24" s="3" t="n">
        <v>106215.0</v>
      </c>
      <c r="Y24" s="3" t="n">
        <v>105034.0</v>
      </c>
      <c r="Z24" s="3" t="n">
        <v>103990.0</v>
      </c>
      <c r="AA24" s="3" t="n">
        <v>103024.0</v>
      </c>
      <c r="AB24" s="3" t="n">
        <v>102093.0</v>
      </c>
      <c r="AC24" s="3" t="n">
        <v>101158.0</v>
      </c>
      <c r="AD24" s="3" t="n">
        <v>100195.0</v>
      </c>
      <c r="AE24" s="3" t="n">
        <v>99187.0</v>
      </c>
      <c r="AF24" s="3" t="n">
        <v>98138.0</v>
      </c>
      <c r="AG24" s="3" t="n">
        <v>96977.0</v>
      </c>
      <c r="AH24" s="3" t="n">
        <v>95703.0</v>
      </c>
      <c r="AI24" s="3" t="n">
        <v>94314.0</v>
      </c>
      <c r="AJ24" s="3" t="n">
        <v>92802.0</v>
      </c>
      <c r="AK24" s="3" t="n">
        <v>91164.0</v>
      </c>
      <c r="AL24" s="3" t="n">
        <v>89384.0</v>
      </c>
      <c r="AM24" s="3" t="n">
        <v>87497.0</v>
      </c>
      <c r="AN24" s="3" t="n">
        <v>85523.0</v>
      </c>
      <c r="AO24" s="3" t="n">
        <v>83473.0</v>
      </c>
    </row>
    <row r="25" spans="1:41" x14ac:dyDescent="0.2">
      <c r="A25" s="136"/>
      <c r="B25" s="64" t="s">
        <v>14</v>
      </c>
      <c r="C25" s="11" t="n">
        <v>623741.0</v>
      </c>
      <c r="D25" s="3" t="n">
        <v>616038.0</v>
      </c>
      <c r="E25" s="3" t="n">
        <v>609580.0</v>
      </c>
      <c r="F25" s="3" t="n">
        <v>604728.0</v>
      </c>
      <c r="G25" s="3" t="n">
        <v>601193.0</v>
      </c>
      <c r="H25" s="3" t="n">
        <v>598181.0</v>
      </c>
      <c r="I25" s="3" t="n">
        <v>595656.0</v>
      </c>
      <c r="J25" s="3" t="n">
        <v>592465.0</v>
      </c>
      <c r="K25" s="3" t="n">
        <v>589503.0</v>
      </c>
      <c r="L25" s="3" t="n">
        <v>586141.0</v>
      </c>
      <c r="M25" s="3" t="n">
        <v>582782.0</v>
      </c>
      <c r="N25" s="3" t="n">
        <v>579054.0</v>
      </c>
      <c r="O25" s="3" t="n">
        <v>575391.0</v>
      </c>
      <c r="P25" s="3" t="n">
        <v>571742.0</v>
      </c>
      <c r="Q25" s="3" t="n">
        <v>567320.0</v>
      </c>
      <c r="R25" s="3" t="n">
        <v>561937.0</v>
      </c>
      <c r="S25" s="3" t="n">
        <v>555328.0</v>
      </c>
      <c r="T25" s="3" t="n">
        <v>547967.0</v>
      </c>
      <c r="U25" s="3" t="n">
        <v>539123.0</v>
      </c>
      <c r="V25" s="3" t="n">
        <v>529465.0</v>
      </c>
      <c r="W25" s="3" t="n">
        <v>520021.0</v>
      </c>
      <c r="X25" s="3" t="n">
        <v>510347.0</v>
      </c>
      <c r="Y25" s="3" t="n">
        <v>500062.0</v>
      </c>
      <c r="Z25" s="3" t="n">
        <v>489620.0</v>
      </c>
      <c r="AA25" s="3" t="n">
        <v>479232.0</v>
      </c>
      <c r="AB25" s="3" t="n">
        <v>468148.0</v>
      </c>
      <c r="AC25" s="3" t="n">
        <v>456862.0</v>
      </c>
      <c r="AD25" s="3" t="n">
        <v>445927.0</v>
      </c>
      <c r="AE25" s="3" t="n">
        <v>435479.0</v>
      </c>
      <c r="AF25" s="3" t="n">
        <v>425791.0</v>
      </c>
      <c r="AG25" s="3" t="n">
        <v>416997.0</v>
      </c>
      <c r="AH25" s="3" t="n">
        <v>408461.0</v>
      </c>
      <c r="AI25" s="3" t="n">
        <v>400332.0</v>
      </c>
      <c r="AJ25" s="3" t="n">
        <v>392219.0</v>
      </c>
      <c r="AK25" s="3" t="n">
        <v>384577.0</v>
      </c>
      <c r="AL25" s="3" t="n">
        <v>377658.0</v>
      </c>
      <c r="AM25" s="3" t="n">
        <v>371174.0</v>
      </c>
      <c r="AN25" s="3" t="n">
        <v>365054.0</v>
      </c>
      <c r="AO25" s="3" t="n">
        <v>359697.0</v>
      </c>
    </row>
    <row r="26" spans="1:41" x14ac:dyDescent="0.2">
      <c r="A26" s="136"/>
      <c r="B26" s="64" t="s">
        <v>11</v>
      </c>
      <c r="C26" s="11" t="n">
        <v>361890.0</v>
      </c>
      <c r="D26" s="3" t="n">
        <v>354714.0</v>
      </c>
      <c r="E26" s="3" t="n">
        <v>347515.0</v>
      </c>
      <c r="F26" s="3" t="n">
        <v>340927.0</v>
      </c>
      <c r="G26" s="3" t="n">
        <v>335338.0</v>
      </c>
      <c r="H26" s="3" t="n">
        <v>329147.0</v>
      </c>
      <c r="I26" s="3" t="n">
        <v>322671.0</v>
      </c>
      <c r="J26" s="3" t="n">
        <v>315771.0</v>
      </c>
      <c r="K26" s="3" t="n">
        <v>309478.0</v>
      </c>
      <c r="L26" s="3" t="n">
        <v>303660.0</v>
      </c>
      <c r="M26" s="3" t="n">
        <v>298940.0</v>
      </c>
      <c r="N26" s="3" t="n">
        <v>294228.0</v>
      </c>
      <c r="O26" s="3" t="n">
        <v>290187.0</v>
      </c>
      <c r="P26" s="3" t="n">
        <v>286667.0</v>
      </c>
      <c r="Q26" s="3" t="n">
        <v>283150.0</v>
      </c>
      <c r="R26" s="3" t="n">
        <v>279903.0</v>
      </c>
      <c r="S26" s="3" t="n">
        <v>276364.0</v>
      </c>
      <c r="T26" s="3" t="n">
        <v>272729.0</v>
      </c>
      <c r="U26" s="3" t="n">
        <v>268979.0</v>
      </c>
      <c r="V26" s="3" t="n">
        <v>264851.0</v>
      </c>
      <c r="W26" s="3" t="n">
        <v>261058.0</v>
      </c>
      <c r="X26" s="3" t="n">
        <v>257250.0</v>
      </c>
      <c r="Y26" s="3" t="n">
        <v>253651.0</v>
      </c>
      <c r="Z26" s="3" t="n">
        <v>249983.0</v>
      </c>
      <c r="AA26" s="3" t="n">
        <v>246113.0</v>
      </c>
      <c r="AB26" s="3" t="n">
        <v>242670.0</v>
      </c>
      <c r="AC26" s="3" t="n">
        <v>239024.0</v>
      </c>
      <c r="AD26" s="3" t="n">
        <v>235349.0</v>
      </c>
      <c r="AE26" s="3" t="n">
        <v>231312.0</v>
      </c>
      <c r="AF26" s="3" t="n">
        <v>226744.0</v>
      </c>
      <c r="AG26" s="3" t="n">
        <v>221667.0</v>
      </c>
      <c r="AH26" s="3" t="n">
        <v>215902.0</v>
      </c>
      <c r="AI26" s="3" t="n">
        <v>210093.0</v>
      </c>
      <c r="AJ26" s="3" t="n">
        <v>204351.0</v>
      </c>
      <c r="AK26" s="3" t="n">
        <v>199314.0</v>
      </c>
      <c r="AL26" s="3" t="n">
        <v>194271.0</v>
      </c>
      <c r="AM26" s="3" t="n">
        <v>189743.0</v>
      </c>
      <c r="AN26" s="3" t="n">
        <v>185131.0</v>
      </c>
      <c r="AO26" s="3" t="n">
        <v>180731.0</v>
      </c>
    </row>
    <row r="27" spans="1:41" x14ac:dyDescent="0.2">
      <c r="A27" s="136"/>
      <c r="B27" s="64" t="s">
        <v>13</v>
      </c>
      <c r="C27" s="11" t="n">
        <v>261851.0</v>
      </c>
      <c r="D27" s="3" t="n">
        <v>261324.0</v>
      </c>
      <c r="E27" s="3" t="n">
        <v>262065.0</v>
      </c>
      <c r="F27" s="3" t="n">
        <v>263801.0</v>
      </c>
      <c r="G27" s="3" t="n">
        <v>265855.0</v>
      </c>
      <c r="H27" s="3" t="n">
        <v>269034.0</v>
      </c>
      <c r="I27" s="3" t="n">
        <v>272985.0</v>
      </c>
      <c r="J27" s="3" t="n">
        <v>276694.0</v>
      </c>
      <c r="K27" s="3" t="n">
        <v>280025.0</v>
      </c>
      <c r="L27" s="3" t="n">
        <v>282481.0</v>
      </c>
      <c r="M27" s="3" t="n">
        <v>283842.0</v>
      </c>
      <c r="N27" s="3" t="n">
        <v>284826.0</v>
      </c>
      <c r="O27" s="3" t="n">
        <v>285204.0</v>
      </c>
      <c r="P27" s="3" t="n">
        <v>285075.0</v>
      </c>
      <c r="Q27" s="3" t="n">
        <v>284170.0</v>
      </c>
      <c r="R27" s="3" t="n">
        <v>282034.0</v>
      </c>
      <c r="S27" s="3" t="n">
        <v>278964.0</v>
      </c>
      <c r="T27" s="3" t="n">
        <v>275238.0</v>
      </c>
      <c r="U27" s="3" t="n">
        <v>270144.0</v>
      </c>
      <c r="V27" s="3" t="n">
        <v>264614.0</v>
      </c>
      <c r="W27" s="3" t="n">
        <v>258963.0</v>
      </c>
      <c r="X27" s="3" t="n">
        <v>253097.0</v>
      </c>
      <c r="Y27" s="3" t="n">
        <v>246411.0</v>
      </c>
      <c r="Z27" s="3" t="n">
        <v>239637.0</v>
      </c>
      <c r="AA27" s="3" t="n">
        <v>233119.0</v>
      </c>
      <c r="AB27" s="3" t="n">
        <v>225478.0</v>
      </c>
      <c r="AC27" s="3" t="n">
        <v>217838.0</v>
      </c>
      <c r="AD27" s="3" t="n">
        <v>210578.0</v>
      </c>
      <c r="AE27" s="3" t="n">
        <v>204167.0</v>
      </c>
      <c r="AF27" s="3" t="n">
        <v>199047.0</v>
      </c>
      <c r="AG27" s="3" t="n">
        <v>195330.0</v>
      </c>
      <c r="AH27" s="3" t="n">
        <v>192559.0</v>
      </c>
      <c r="AI27" s="3" t="n">
        <v>190239.0</v>
      </c>
      <c r="AJ27" s="3" t="n">
        <v>187868.0</v>
      </c>
      <c r="AK27" s="3" t="n">
        <v>185263.0</v>
      </c>
      <c r="AL27" s="3" t="n">
        <v>183387.0</v>
      </c>
      <c r="AM27" s="3" t="n">
        <v>181431.0</v>
      </c>
      <c r="AN27" s="3" t="n">
        <v>179923.0</v>
      </c>
      <c r="AO27" s="3" t="n">
        <v>178966.0</v>
      </c>
    </row>
    <row r="28" spans="1:41" x14ac:dyDescent="0.2">
      <c r="A28" s="136"/>
      <c r="B28" s="64" t="s">
        <v>5</v>
      </c>
      <c r="C28" s="11" t="n">
        <v>158686.0</v>
      </c>
      <c r="D28" s="3" t="n">
        <v>163694.0</v>
      </c>
      <c r="E28" s="3" t="n">
        <v>167920.0</v>
      </c>
      <c r="F28" s="3" t="n">
        <v>170978.0</v>
      </c>
      <c r="G28" s="3" t="n">
        <v>173340.0</v>
      </c>
      <c r="H28" s="3" t="n">
        <v>175276.0</v>
      </c>
      <c r="I28" s="3" t="n">
        <v>176544.0</v>
      </c>
      <c r="J28" s="3" t="n">
        <v>177526.0</v>
      </c>
      <c r="K28" s="3" t="n">
        <v>178072.0</v>
      </c>
      <c r="L28" s="3" t="n">
        <v>178311.0</v>
      </c>
      <c r="M28" s="3" t="n">
        <v>178420.0</v>
      </c>
      <c r="N28" s="3" t="n">
        <v>178422.0</v>
      </c>
      <c r="O28" s="3" t="n">
        <v>178433.0</v>
      </c>
      <c r="P28" s="3" t="n">
        <v>178862.0</v>
      </c>
      <c r="Q28" s="3" t="n">
        <v>179419.0</v>
      </c>
      <c r="R28" s="3" t="n">
        <v>180261.0</v>
      </c>
      <c r="S28" s="3" t="n">
        <v>181501.0</v>
      </c>
      <c r="T28" s="3" t="n">
        <v>182793.0</v>
      </c>
      <c r="U28" s="3" t="n">
        <v>184530.0</v>
      </c>
      <c r="V28" s="3" t="n">
        <v>186715.0</v>
      </c>
      <c r="W28" s="3" t="n">
        <v>188342.0</v>
      </c>
      <c r="X28" s="3" t="n">
        <v>190031.0</v>
      </c>
      <c r="Y28" s="3" t="n">
        <v>192089.0</v>
      </c>
      <c r="Z28" s="3" t="n">
        <v>194091.0</v>
      </c>
      <c r="AA28" s="3" t="n">
        <v>195936.0</v>
      </c>
      <c r="AB28" s="3" t="n">
        <v>198351.0</v>
      </c>
      <c r="AC28" s="3" t="n">
        <v>201003.0</v>
      </c>
      <c r="AD28" s="3" t="n">
        <v>203252.0</v>
      </c>
      <c r="AE28" s="3" t="n">
        <v>205026.0</v>
      </c>
      <c r="AF28" s="3" t="n">
        <v>205990.0</v>
      </c>
      <c r="AG28" s="3" t="n">
        <v>206168.0</v>
      </c>
      <c r="AH28" s="3" t="n">
        <v>206104.0</v>
      </c>
      <c r="AI28" s="3" t="n">
        <v>205636.0</v>
      </c>
      <c r="AJ28" s="3" t="n">
        <v>205272.0</v>
      </c>
      <c r="AK28" s="3" t="n">
        <v>204423.0</v>
      </c>
      <c r="AL28" s="3" t="n">
        <v>202901.0</v>
      </c>
      <c r="AM28" s="3" t="n">
        <v>201079.0</v>
      </c>
      <c r="AN28" s="3" t="n">
        <v>198871.0</v>
      </c>
      <c r="AO28" s="3" t="n">
        <v>195912.0</v>
      </c>
    </row>
    <row r="29" spans="1:41" x14ac:dyDescent="0.2">
      <c r="A29" s="136"/>
      <c r="B29" s="64" t="s">
        <v>0</v>
      </c>
      <c r="C29" s="3" t="n">
        <v>25505.0</v>
      </c>
      <c r="D29" s="3" t="n">
        <v>23520.0</v>
      </c>
      <c r="E29" s="3" t="n">
        <v>21848.0</v>
      </c>
      <c r="F29" s="3" t="n">
        <v>20980.0</v>
      </c>
      <c r="G29" s="3" t="n">
        <v>20288.0</v>
      </c>
      <c r="H29" s="3" t="n">
        <v>19712.0</v>
      </c>
      <c r="I29" s="3" t="n">
        <v>19219.0</v>
      </c>
      <c r="J29" s="3" t="n">
        <v>18763.0</v>
      </c>
      <c r="K29" s="3" t="n">
        <v>18372.0</v>
      </c>
      <c r="L29" s="3" t="n">
        <v>18033.0</v>
      </c>
      <c r="M29" s="3" t="n">
        <v>17748.0</v>
      </c>
      <c r="N29" s="3" t="n">
        <v>17490.0</v>
      </c>
      <c r="O29" s="3" t="n">
        <v>17297.0</v>
      </c>
      <c r="P29" s="3" t="n">
        <v>17147.0</v>
      </c>
      <c r="Q29" s="3" t="n">
        <v>17053.0</v>
      </c>
      <c r="R29" s="3" t="n">
        <v>16987.0</v>
      </c>
      <c r="S29" s="3" t="n">
        <v>16951.0</v>
      </c>
      <c r="T29" s="3" t="n">
        <v>16926.0</v>
      </c>
      <c r="U29" s="3" t="n">
        <v>16894.0</v>
      </c>
      <c r="V29" s="3" t="n">
        <v>16853.0</v>
      </c>
      <c r="W29" s="3" t="n">
        <v>16785.0</v>
      </c>
      <c r="X29" s="3" t="n">
        <v>16696.0</v>
      </c>
      <c r="Y29" s="3" t="n">
        <v>16562.0</v>
      </c>
      <c r="Z29" s="3" t="n">
        <v>16400.0</v>
      </c>
      <c r="AA29" s="3" t="n">
        <v>16189.0</v>
      </c>
      <c r="AB29" s="3" t="n">
        <v>15929.0</v>
      </c>
      <c r="AC29" s="3" t="n">
        <v>15624.0</v>
      </c>
      <c r="AD29" s="3" t="n">
        <v>15275.0</v>
      </c>
      <c r="AE29" s="3" t="n">
        <v>14899.0</v>
      </c>
      <c r="AF29" s="3" t="n">
        <v>14493.0</v>
      </c>
      <c r="AG29" s="3" t="n">
        <v>14063.0</v>
      </c>
      <c r="AH29" s="3" t="n">
        <v>13617.0</v>
      </c>
      <c r="AI29" s="3" t="n">
        <v>13164.0</v>
      </c>
      <c r="AJ29" s="3" t="n">
        <v>12726.0</v>
      </c>
      <c r="AK29" s="3" t="n">
        <v>12302.0</v>
      </c>
      <c r="AL29" s="3" t="n">
        <v>11879.0</v>
      </c>
      <c r="AM29" s="3" t="n">
        <v>11468.0</v>
      </c>
      <c r="AN29" s="3" t="n">
        <v>11092.0</v>
      </c>
      <c r="AO29" s="3" t="n">
        <v>10749.0</v>
      </c>
    </row>
    <row r="30" spans="1:41" x14ac:dyDescent="0.2">
      <c r="A30" s="136"/>
      <c r="B30" s="64" t="s">
        <v>1</v>
      </c>
      <c r="C30" s="3" t="n">
        <v>42087.0</v>
      </c>
      <c r="D30" s="3" t="n">
        <v>40844.0</v>
      </c>
      <c r="E30" s="3" t="n">
        <v>38459.0</v>
      </c>
      <c r="F30" s="3" t="n">
        <v>35586.0</v>
      </c>
      <c r="G30" s="3" t="n">
        <v>32855.0</v>
      </c>
      <c r="H30" s="3" t="n">
        <v>30708.0</v>
      </c>
      <c r="I30" s="3" t="n">
        <v>28915.0</v>
      </c>
      <c r="J30" s="3" t="n">
        <v>27890.0</v>
      </c>
      <c r="K30" s="3" t="n">
        <v>27015.0</v>
      </c>
      <c r="L30" s="3" t="n">
        <v>26252.0</v>
      </c>
      <c r="M30" s="3" t="n">
        <v>25561.0</v>
      </c>
      <c r="N30" s="3" t="n">
        <v>24969.0</v>
      </c>
      <c r="O30" s="3" t="n">
        <v>24461.0</v>
      </c>
      <c r="P30" s="3" t="n">
        <v>24030.0</v>
      </c>
      <c r="Q30" s="3" t="n">
        <v>23664.0</v>
      </c>
      <c r="R30" s="3" t="n">
        <v>23366.0</v>
      </c>
      <c r="S30" s="3" t="n">
        <v>23130.0</v>
      </c>
      <c r="T30" s="3" t="n">
        <v>22955.0</v>
      </c>
      <c r="U30" s="3" t="n">
        <v>22847.0</v>
      </c>
      <c r="V30" s="3" t="n">
        <v>22769.0</v>
      </c>
      <c r="W30" s="3" t="n">
        <v>22725.0</v>
      </c>
      <c r="X30" s="3" t="n">
        <v>22687.0</v>
      </c>
      <c r="Y30" s="3" t="n">
        <v>22640.0</v>
      </c>
      <c r="Z30" s="3" t="n">
        <v>22571.0</v>
      </c>
      <c r="AA30" s="3" t="n">
        <v>22467.0</v>
      </c>
      <c r="AB30" s="3" t="n">
        <v>22321.0</v>
      </c>
      <c r="AC30" s="3" t="n">
        <v>22137.0</v>
      </c>
      <c r="AD30" s="3" t="n">
        <v>21895.0</v>
      </c>
      <c r="AE30" s="3" t="n">
        <v>21586.0</v>
      </c>
      <c r="AF30" s="3" t="n">
        <v>21230.0</v>
      </c>
      <c r="AG30" s="3" t="n">
        <v>20796.0</v>
      </c>
      <c r="AH30" s="3" t="n">
        <v>20308.0</v>
      </c>
      <c r="AI30" s="3" t="n">
        <v>19793.0</v>
      </c>
      <c r="AJ30" s="3" t="n">
        <v>19243.0</v>
      </c>
      <c r="AK30" s="3" t="n">
        <v>18670.0</v>
      </c>
      <c r="AL30" s="3" t="n">
        <v>18089.0</v>
      </c>
      <c r="AM30" s="3" t="n">
        <v>17500.0</v>
      </c>
      <c r="AN30" s="3" t="n">
        <v>16920.0</v>
      </c>
      <c r="AO30" s="3" t="n">
        <v>16355.0</v>
      </c>
    </row>
    <row r="31" spans="1:41" x14ac:dyDescent="0.2">
      <c r="A31" s="136"/>
      <c r="B31" s="65" t="s">
        <v>18</v>
      </c>
      <c r="C31" s="3" t="n">
        <v>89270.0</v>
      </c>
      <c r="D31" s="3" t="n">
        <v>87827.0</v>
      </c>
      <c r="E31" s="3" t="n">
        <v>86911.0</v>
      </c>
      <c r="F31" s="3" t="n">
        <v>85560.0</v>
      </c>
      <c r="G31" s="3" t="n">
        <v>84482.0</v>
      </c>
      <c r="H31" s="3" t="n">
        <v>82820.0</v>
      </c>
      <c r="I31" s="3" t="n">
        <v>81209.0</v>
      </c>
      <c r="J31" s="3" t="n">
        <v>78434.0</v>
      </c>
      <c r="K31" s="3" t="n">
        <v>75516.0</v>
      </c>
      <c r="L31" s="3" t="n">
        <v>72095.0</v>
      </c>
      <c r="M31" s="3" t="n">
        <v>67856.0</v>
      </c>
      <c r="N31" s="3" t="n">
        <v>63966.0</v>
      </c>
      <c r="O31" s="3" t="n">
        <v>60381.0</v>
      </c>
      <c r="P31" s="3" t="n">
        <v>57399.0</v>
      </c>
      <c r="Q31" s="3" t="n">
        <v>54841.0</v>
      </c>
      <c r="R31" s="3" t="n">
        <v>53199.0</v>
      </c>
      <c r="S31" s="3" t="n">
        <v>51799.0</v>
      </c>
      <c r="T31" s="3" t="n">
        <v>50583.0</v>
      </c>
      <c r="U31" s="3" t="n">
        <v>49510.0</v>
      </c>
      <c r="V31" s="3" t="n">
        <v>48594.0</v>
      </c>
      <c r="W31" s="3" t="n">
        <v>47836.0</v>
      </c>
      <c r="X31" s="3" t="n">
        <v>47222.0</v>
      </c>
      <c r="Y31" s="3" t="n">
        <v>46733.0</v>
      </c>
      <c r="Z31" s="3" t="n">
        <v>46333.0</v>
      </c>
      <c r="AA31" s="3" t="n">
        <v>46028.0</v>
      </c>
      <c r="AB31" s="3" t="n">
        <v>45798.0</v>
      </c>
      <c r="AC31" s="3" t="n">
        <v>45637.0</v>
      </c>
      <c r="AD31" s="3" t="n">
        <v>45489.0</v>
      </c>
      <c r="AE31" s="3" t="n">
        <v>45341.0</v>
      </c>
      <c r="AF31" s="3" t="n">
        <v>45158.0</v>
      </c>
      <c r="AG31" s="3" t="n">
        <v>44935.0</v>
      </c>
      <c r="AH31" s="3" t="n">
        <v>44637.0</v>
      </c>
      <c r="AI31" s="3" t="n">
        <v>44239.0</v>
      </c>
      <c r="AJ31" s="3" t="n">
        <v>43741.0</v>
      </c>
      <c r="AK31" s="3" t="n">
        <v>43137.0</v>
      </c>
      <c r="AL31" s="3" t="n">
        <v>42420.0</v>
      </c>
      <c r="AM31" s="3" t="n">
        <v>41614.0</v>
      </c>
      <c r="AN31" s="3" t="n">
        <v>40713.0</v>
      </c>
      <c r="AO31" s="3" t="n">
        <v>39721.0</v>
      </c>
    </row>
    <row r="32" spans="1:41" x14ac:dyDescent="0.2">
      <c r="A32" s="136"/>
      <c r="B32" s="64" t="s">
        <v>19</v>
      </c>
      <c r="C32" s="3" t="n">
        <v>41462.0</v>
      </c>
      <c r="D32" s="3" t="n">
        <v>43659.0</v>
      </c>
      <c r="E32" s="3" t="n">
        <v>45608.0</v>
      </c>
      <c r="F32" s="3" t="n">
        <v>46905.0</v>
      </c>
      <c r="G32" s="3" t="n">
        <v>46843.0</v>
      </c>
      <c r="H32" s="3" t="n">
        <v>46063.0</v>
      </c>
      <c r="I32" s="3" t="n">
        <v>44710.0</v>
      </c>
      <c r="J32" s="3" t="n">
        <v>43439.0</v>
      </c>
      <c r="K32" s="3" t="n">
        <v>42661.0</v>
      </c>
      <c r="L32" s="3" t="n">
        <v>42121.0</v>
      </c>
      <c r="M32" s="3" t="n">
        <v>42675.0</v>
      </c>
      <c r="N32" s="3" t="n">
        <v>42642.0</v>
      </c>
      <c r="O32" s="3" t="n">
        <v>42374.0</v>
      </c>
      <c r="P32" s="3" t="n">
        <v>41137.0</v>
      </c>
      <c r="Q32" s="3" t="n">
        <v>38782.0</v>
      </c>
      <c r="R32" s="3" t="n">
        <v>35956.0</v>
      </c>
      <c r="S32" s="3" t="n">
        <v>33286.0</v>
      </c>
      <c r="T32" s="3" t="n">
        <v>31103.0</v>
      </c>
      <c r="U32" s="3" t="n">
        <v>29249.0</v>
      </c>
      <c r="V32" s="3" t="n">
        <v>28203.0</v>
      </c>
      <c r="W32" s="3" t="n">
        <v>27313.0</v>
      </c>
      <c r="X32" s="3" t="n">
        <v>26522.0</v>
      </c>
      <c r="Y32" s="3" t="n">
        <v>25810.0</v>
      </c>
      <c r="Z32" s="3" t="n">
        <v>25198.0</v>
      </c>
      <c r="AA32" s="3" t="n">
        <v>24685.0</v>
      </c>
      <c r="AB32" s="3" t="n">
        <v>24248.0</v>
      </c>
      <c r="AC32" s="3" t="n">
        <v>23858.0</v>
      </c>
      <c r="AD32" s="3" t="n">
        <v>23532.0</v>
      </c>
      <c r="AE32" s="3" t="n">
        <v>23268.0</v>
      </c>
      <c r="AF32" s="3" t="n">
        <v>23072.0</v>
      </c>
      <c r="AG32" s="3" t="n">
        <v>22955.0</v>
      </c>
      <c r="AH32" s="3" t="n">
        <v>22874.0</v>
      </c>
      <c r="AI32" s="3" t="n">
        <v>22828.0</v>
      </c>
      <c r="AJ32" s="3" t="n">
        <v>22791.0</v>
      </c>
      <c r="AK32" s="3" t="n">
        <v>22746.0</v>
      </c>
      <c r="AL32" s="3" t="n">
        <v>22683.0</v>
      </c>
      <c r="AM32" s="3" t="n">
        <v>22587.0</v>
      </c>
      <c r="AN32" s="3" t="n">
        <v>22450.0</v>
      </c>
      <c r="AO32" s="3" t="n">
        <v>22276.0</v>
      </c>
    </row>
    <row r="33" spans="1:41" x14ac:dyDescent="0.2">
      <c r="A33" s="136"/>
      <c r="B33" s="64" t="s">
        <v>2</v>
      </c>
      <c r="C33" s="3" t="n">
        <v>60343.0</v>
      </c>
      <c r="D33" s="3" t="n">
        <v>59361.0</v>
      </c>
      <c r="E33" s="3" t="n">
        <v>59105.0</v>
      </c>
      <c r="F33" s="3" t="n">
        <v>59485.0</v>
      </c>
      <c r="G33" s="3" t="n">
        <v>60387.0</v>
      </c>
      <c r="H33" s="3" t="n">
        <v>62668.0</v>
      </c>
      <c r="I33" s="3" t="n">
        <v>64872.0</v>
      </c>
      <c r="J33" s="3" t="n">
        <v>67028.0</v>
      </c>
      <c r="K33" s="3" t="n">
        <v>68108.0</v>
      </c>
      <c r="L33" s="3" t="n">
        <v>68651.0</v>
      </c>
      <c r="M33" s="3" t="n">
        <v>68083.0</v>
      </c>
      <c r="N33" s="3" t="n">
        <v>66793.0</v>
      </c>
      <c r="O33" s="3" t="n">
        <v>65170.0</v>
      </c>
      <c r="P33" s="3" t="n">
        <v>63849.0</v>
      </c>
      <c r="Q33" s="3" t="n">
        <v>63854.0</v>
      </c>
      <c r="R33" s="3" t="n">
        <v>63324.0</v>
      </c>
      <c r="S33" s="3" t="n">
        <v>62828.0</v>
      </c>
      <c r="T33" s="3" t="n">
        <v>61538.0</v>
      </c>
      <c r="U33" s="3" t="n">
        <v>59962.0</v>
      </c>
      <c r="V33" s="3" t="n">
        <v>57174.0</v>
      </c>
      <c r="W33" s="3" t="n">
        <v>53501.0</v>
      </c>
      <c r="X33" s="3" t="n">
        <v>50103.0</v>
      </c>
      <c r="Y33" s="3" t="n">
        <v>46973.0</v>
      </c>
      <c r="Z33" s="3" t="n">
        <v>44407.0</v>
      </c>
      <c r="AA33" s="3" t="n">
        <v>42186.0</v>
      </c>
      <c r="AB33" s="3" t="n">
        <v>40776.0</v>
      </c>
      <c r="AC33" s="3" t="n">
        <v>39577.0</v>
      </c>
      <c r="AD33" s="3" t="n">
        <v>38544.0</v>
      </c>
      <c r="AE33" s="3" t="n">
        <v>37630.0</v>
      </c>
      <c r="AF33" s="3" t="n">
        <v>36822.0</v>
      </c>
      <c r="AG33" s="3" t="n">
        <v>36119.0</v>
      </c>
      <c r="AH33" s="3" t="n">
        <v>35541.0</v>
      </c>
      <c r="AI33" s="3" t="n">
        <v>35065.0</v>
      </c>
      <c r="AJ33" s="3" t="n">
        <v>34679.0</v>
      </c>
      <c r="AK33" s="3" t="n">
        <v>34380.0</v>
      </c>
      <c r="AL33" s="3" t="n">
        <v>34157.0</v>
      </c>
      <c r="AM33" s="3" t="n">
        <v>34020.0</v>
      </c>
      <c r="AN33" s="3" t="n">
        <v>33912.0</v>
      </c>
      <c r="AO33" s="3" t="n">
        <v>33822.0</v>
      </c>
    </row>
    <row r="34" spans="1:41" x14ac:dyDescent="0.2">
      <c r="A34" s="136"/>
      <c r="B34" s="64" t="s">
        <v>3</v>
      </c>
      <c r="C34" s="3" t="n">
        <v>156862.0</v>
      </c>
      <c r="D34" s="3" t="n">
        <v>152191.0</v>
      </c>
      <c r="E34" s="3" t="n">
        <v>147218.0</v>
      </c>
      <c r="F34" s="3" t="n">
        <v>142126.0</v>
      </c>
      <c r="G34" s="3" t="n">
        <v>137625.0</v>
      </c>
      <c r="H34" s="3" t="n">
        <v>133240.0</v>
      </c>
      <c r="I34" s="3" t="n">
        <v>129343.0</v>
      </c>
      <c r="J34" s="3" t="n">
        <v>125087.0</v>
      </c>
      <c r="K34" s="3" t="n">
        <v>120903.0</v>
      </c>
      <c r="L34" s="3" t="n">
        <v>116380.0</v>
      </c>
      <c r="M34" s="3" t="n">
        <v>111165.0</v>
      </c>
      <c r="N34" s="3" t="n">
        <v>106425.0</v>
      </c>
      <c r="O34" s="3" t="n">
        <v>102139.0</v>
      </c>
      <c r="P34" s="3" t="n">
        <v>98576.0</v>
      </c>
      <c r="Q34" s="3" t="n">
        <v>95558.0</v>
      </c>
      <c r="R34" s="3" t="n">
        <v>93552.0</v>
      </c>
      <c r="S34" s="3" t="n">
        <v>91880.0</v>
      </c>
      <c r="T34" s="3" t="n">
        <v>90464.0</v>
      </c>
      <c r="U34" s="3" t="n">
        <v>89251.0</v>
      </c>
      <c r="V34" s="3" t="n">
        <v>88216.0</v>
      </c>
      <c r="W34" s="3" t="n">
        <v>87346.0</v>
      </c>
      <c r="X34" s="3" t="n">
        <v>86605.0</v>
      </c>
      <c r="Y34" s="3" t="n">
        <v>85935.0</v>
      </c>
      <c r="Z34" s="3" t="n">
        <v>85304.0</v>
      </c>
      <c r="AA34" s="3" t="n">
        <v>84684.0</v>
      </c>
      <c r="AB34" s="3" t="n">
        <v>84048.0</v>
      </c>
      <c r="AC34" s="3" t="n">
        <v>83398.0</v>
      </c>
      <c r="AD34" s="3" t="n">
        <v>82659.0</v>
      </c>
      <c r="AE34" s="3" t="n">
        <v>81826.0</v>
      </c>
      <c r="AF34" s="3" t="n">
        <v>80881.0</v>
      </c>
      <c r="AG34" s="3" t="n">
        <v>79794.0</v>
      </c>
      <c r="AH34" s="3" t="n">
        <v>78562.0</v>
      </c>
      <c r="AI34" s="3" t="n">
        <v>77196.0</v>
      </c>
      <c r="AJ34" s="3" t="n">
        <v>75710.0</v>
      </c>
      <c r="AK34" s="3" t="n">
        <v>74109.0</v>
      </c>
      <c r="AL34" s="3" t="n">
        <v>72388.0</v>
      </c>
      <c r="AM34" s="3" t="n">
        <v>70582.0</v>
      </c>
      <c r="AN34" s="3" t="n">
        <v>68725.0</v>
      </c>
      <c r="AO34" s="3" t="n">
        <v>66825.0</v>
      </c>
    </row>
    <row r="35" spans="1:41" x14ac:dyDescent="0.2">
      <c r="A35" s="136"/>
      <c r="B35" s="64" t="s">
        <v>4</v>
      </c>
      <c r="C35" s="3" t="n">
        <v>655500.0</v>
      </c>
      <c r="D35" s="3" t="n">
        <v>649688.0</v>
      </c>
      <c r="E35" s="3" t="n">
        <v>644640.0</v>
      </c>
      <c r="F35" s="3" t="n">
        <v>640502.0</v>
      </c>
      <c r="G35" s="3" t="n">
        <v>636144.0</v>
      </c>
      <c r="H35" s="3" t="n">
        <v>632285.0</v>
      </c>
      <c r="I35" s="3" t="n">
        <v>628486.0</v>
      </c>
      <c r="J35" s="3" t="n">
        <v>624787.0</v>
      </c>
      <c r="K35" s="3" t="n">
        <v>621064.0</v>
      </c>
      <c r="L35" s="3" t="n">
        <v>617693.0</v>
      </c>
      <c r="M35" s="3" t="n">
        <v>614857.0</v>
      </c>
      <c r="N35" s="3" t="n">
        <v>611357.0</v>
      </c>
      <c r="O35" s="3" t="n">
        <v>607215.0</v>
      </c>
      <c r="P35" s="3" t="n">
        <v>601769.0</v>
      </c>
      <c r="Q35" s="3" t="n">
        <v>595538.0</v>
      </c>
      <c r="R35" s="3" t="n">
        <v>587825.0</v>
      </c>
      <c r="S35" s="3" t="n">
        <v>579298.0</v>
      </c>
      <c r="T35" s="3" t="n">
        <v>570308.0</v>
      </c>
      <c r="U35" s="3" t="n">
        <v>560614.0</v>
      </c>
      <c r="V35" s="3" t="n">
        <v>550265.0</v>
      </c>
      <c r="W35" s="3" t="n">
        <v>540198.0</v>
      </c>
      <c r="X35" s="3" t="n">
        <v>529957.0</v>
      </c>
      <c r="Y35" s="3" t="n">
        <v>519161.0</v>
      </c>
      <c r="Z35" s="3" t="n">
        <v>508306.0</v>
      </c>
      <c r="AA35" s="3" t="n">
        <v>497572.0</v>
      </c>
      <c r="AB35" s="3" t="n">
        <v>486193.0</v>
      </c>
      <c r="AC35" s="3" t="n">
        <v>474622.0</v>
      </c>
      <c r="AD35" s="3" t="n">
        <v>463463.0</v>
      </c>
      <c r="AE35" s="3" t="n">
        <v>452840.0</v>
      </c>
      <c r="AF35" s="3" t="n">
        <v>443048.0</v>
      </c>
      <c r="AG35" s="3" t="n">
        <v>434180.0</v>
      </c>
      <c r="AH35" s="3" t="n">
        <v>425602.0</v>
      </c>
      <c r="AI35" s="3" t="n">
        <v>417450.0</v>
      </c>
      <c r="AJ35" s="3" t="n">
        <v>409311.0</v>
      </c>
      <c r="AK35" s="3" t="n">
        <v>401632.0</v>
      </c>
      <c r="AL35" s="3" t="n">
        <v>394654.0</v>
      </c>
      <c r="AM35" s="3" t="n">
        <v>388089.0</v>
      </c>
      <c r="AN35" s="3" t="n">
        <v>381852.0</v>
      </c>
      <c r="AO35" s="3" t="n">
        <v>376345.0</v>
      </c>
    </row>
    <row r="36" spans="1:41" x14ac:dyDescent="0.2">
      <c r="A36" s="136"/>
      <c r="B36" s="64" t="s">
        <v>5</v>
      </c>
      <c r="C36" s="3" t="n">
        <v>158686.0</v>
      </c>
      <c r="D36" s="3" t="n">
        <v>163694.0</v>
      </c>
      <c r="E36" s="3" t="n">
        <v>167920.0</v>
      </c>
      <c r="F36" s="3" t="n">
        <v>170978.0</v>
      </c>
      <c r="G36" s="3" t="n">
        <v>173340.0</v>
      </c>
      <c r="H36" s="3" t="n">
        <v>175276.0</v>
      </c>
      <c r="I36" s="3" t="n">
        <v>176544.0</v>
      </c>
      <c r="J36" s="3" t="n">
        <v>177526.0</v>
      </c>
      <c r="K36" s="3" t="n">
        <v>178072.0</v>
      </c>
      <c r="L36" s="3" t="n">
        <v>178311.0</v>
      </c>
      <c r="M36" s="3" t="n">
        <v>178420.0</v>
      </c>
      <c r="N36" s="3" t="n">
        <v>178422.0</v>
      </c>
      <c r="O36" s="3" t="n">
        <v>178433.0</v>
      </c>
      <c r="P36" s="3" t="n">
        <v>178862.0</v>
      </c>
      <c r="Q36" s="3" t="n">
        <v>179419.0</v>
      </c>
      <c r="R36" s="3" t="n">
        <v>180261.0</v>
      </c>
      <c r="S36" s="3" t="n">
        <v>181501.0</v>
      </c>
      <c r="T36" s="3" t="n">
        <v>182793.0</v>
      </c>
      <c r="U36" s="3" t="n">
        <v>184530.0</v>
      </c>
      <c r="V36" s="3" t="n">
        <v>186715.0</v>
      </c>
      <c r="W36" s="3" t="n">
        <v>188342.0</v>
      </c>
      <c r="X36" s="3" t="n">
        <v>190031.0</v>
      </c>
      <c r="Y36" s="3" t="n">
        <v>192089.0</v>
      </c>
      <c r="Z36" s="3" t="n">
        <v>194091.0</v>
      </c>
      <c r="AA36" s="3" t="n">
        <v>195936.0</v>
      </c>
      <c r="AB36" s="3" t="n">
        <v>198351.0</v>
      </c>
      <c r="AC36" s="3" t="n">
        <v>201003.0</v>
      </c>
      <c r="AD36" s="3" t="n">
        <v>203252.0</v>
      </c>
      <c r="AE36" s="3" t="n">
        <v>205026.0</v>
      </c>
      <c r="AF36" s="3" t="n">
        <v>205990.0</v>
      </c>
      <c r="AG36" s="3" t="n">
        <v>206168.0</v>
      </c>
      <c r="AH36" s="3" t="n">
        <v>206104.0</v>
      </c>
      <c r="AI36" s="3" t="n">
        <v>205636.0</v>
      </c>
      <c r="AJ36" s="3" t="n">
        <v>205272.0</v>
      </c>
      <c r="AK36" s="3" t="n">
        <v>204423.0</v>
      </c>
      <c r="AL36" s="3" t="n">
        <v>202901.0</v>
      </c>
      <c r="AM36" s="3" t="n">
        <v>201079.0</v>
      </c>
      <c r="AN36" s="3" t="n">
        <v>198871.0</v>
      </c>
      <c r="AO36" s="3" t="n">
        <v>195912.0</v>
      </c>
    </row>
    <row r="37" spans="1:41" x14ac:dyDescent="0.2">
      <c r="A37" s="136"/>
      <c r="B37" s="66" t="s">
        <v>6</v>
      </c>
      <c r="C37" s="3" t="n">
        <v>24740.0</v>
      </c>
      <c r="D37" s="3" t="n">
        <v>24902.0</v>
      </c>
      <c r="E37" s="3" t="n">
        <v>24924.0</v>
      </c>
      <c r="F37" s="3" t="n">
        <v>25035.0</v>
      </c>
      <c r="G37" s="3" t="n">
        <v>27049.0</v>
      </c>
      <c r="H37" s="3" t="n">
        <v>29157.0</v>
      </c>
      <c r="I37" s="3" t="n">
        <v>31548.0</v>
      </c>
      <c r="J37" s="3" t="n">
        <v>34092.0</v>
      </c>
      <c r="K37" s="3" t="n">
        <v>36565.0</v>
      </c>
      <c r="L37" s="3" t="n">
        <v>38882.0</v>
      </c>
      <c r="M37" s="3" t="n">
        <v>41120.0</v>
      </c>
      <c r="N37" s="3" t="n">
        <v>43295.0</v>
      </c>
      <c r="O37" s="3" t="n">
        <v>45360.0</v>
      </c>
      <c r="P37" s="3" t="n">
        <v>47525.0</v>
      </c>
      <c r="Q37" s="3" t="n">
        <v>49515.0</v>
      </c>
      <c r="R37" s="3" t="n">
        <v>51360.0</v>
      </c>
      <c r="S37" s="3" t="n">
        <v>52840.0</v>
      </c>
      <c r="T37" s="3" t="n">
        <v>53798.0</v>
      </c>
      <c r="U37" s="3" t="n">
        <v>54154.0</v>
      </c>
      <c r="V37" s="3" t="n">
        <v>54176.0</v>
      </c>
      <c r="W37" s="3" t="n">
        <v>53965.0</v>
      </c>
      <c r="X37" s="3" t="n">
        <v>53474.0</v>
      </c>
      <c r="Y37" s="3" t="n">
        <v>52885.0</v>
      </c>
      <c r="Z37" s="3" t="n">
        <v>52190.0</v>
      </c>
      <c r="AA37" s="3" t="n">
        <v>51478.0</v>
      </c>
      <c r="AB37" s="3" t="n">
        <v>50810.0</v>
      </c>
      <c r="AC37" s="3" t="n">
        <v>50256.0</v>
      </c>
      <c r="AD37" s="3" t="n">
        <v>49841.0</v>
      </c>
      <c r="AE37" s="3" t="n">
        <v>49784.0</v>
      </c>
      <c r="AF37" s="3" t="n">
        <v>49923.0</v>
      </c>
      <c r="AG37" s="3" t="n">
        <v>50362.0</v>
      </c>
      <c r="AH37" s="3" t="n">
        <v>51095.0</v>
      </c>
      <c r="AI37" s="3" t="n">
        <v>51911.0</v>
      </c>
      <c r="AJ37" s="3" t="n">
        <v>53020.0</v>
      </c>
      <c r="AK37" s="3" t="n">
        <v>54364.0</v>
      </c>
      <c r="AL37" s="3" t="n">
        <v>55395.0</v>
      </c>
      <c r="AM37" s="3" t="n">
        <v>56448.0</v>
      </c>
      <c r="AN37" s="3" t="n">
        <v>57677.0</v>
      </c>
      <c r="AO37" s="3" t="n">
        <v>58813.0</v>
      </c>
    </row>
    <row r="38" spans="1:41" x14ac:dyDescent="0.2">
      <c r="A38" s="135" t="s">
        <v>51</v>
      </c>
      <c r="B38" s="63" t="s">
        <v>64</v>
      </c>
      <c r="C38" s="15" t="n">
        <v>1035828.0</v>
      </c>
      <c r="D38" s="15" t="n">
        <v>1030667.0</v>
      </c>
      <c r="E38" s="15" t="n">
        <v>1025154.0</v>
      </c>
      <c r="F38" s="15" t="n">
        <v>1019372.0</v>
      </c>
      <c r="G38" s="15" t="n">
        <v>1013375.0</v>
      </c>
      <c r="H38" s="15" t="n">
        <v>1008019.0</v>
      </c>
      <c r="I38" s="15" t="n">
        <v>1002664.0</v>
      </c>
      <c r="J38" s="15" t="n">
        <v>996383.0</v>
      </c>
      <c r="K38" s="15" t="n">
        <v>989569.0</v>
      </c>
      <c r="L38" s="15" t="n">
        <v>982411.0</v>
      </c>
      <c r="M38" s="15" t="n">
        <v>974842.0</v>
      </c>
      <c r="N38" s="15" t="n">
        <v>966983.0</v>
      </c>
      <c r="O38" s="15" t="n">
        <v>958914.0</v>
      </c>
      <c r="P38" s="15" t="n">
        <v>950547.0</v>
      </c>
      <c r="Q38" s="15" t="n">
        <v>942029.0</v>
      </c>
      <c r="R38" s="15" t="n">
        <v>933176.0</v>
      </c>
      <c r="S38" s="15" t="n">
        <v>924199.0</v>
      </c>
      <c r="T38" s="15" t="n">
        <v>914945.0</v>
      </c>
      <c r="U38" s="15" t="n">
        <v>905575.0</v>
      </c>
      <c r="V38" s="15" t="n">
        <v>895991.0</v>
      </c>
      <c r="W38" s="15" t="n">
        <v>886344.0</v>
      </c>
      <c r="X38" s="15" t="n">
        <v>876534.0</v>
      </c>
      <c r="Y38" s="15" t="n">
        <v>866718.0</v>
      </c>
      <c r="Z38" s="15" t="n">
        <v>856795.0</v>
      </c>
      <c r="AA38" s="15" t="n">
        <v>846692.0</v>
      </c>
      <c r="AB38" s="15" t="n">
        <v>836643.0</v>
      </c>
      <c r="AC38" s="15" t="n">
        <v>826487.0</v>
      </c>
      <c r="AD38" s="15" t="n">
        <v>816250.0</v>
      </c>
      <c r="AE38" s="15" t="n">
        <v>806084.0</v>
      </c>
      <c r="AF38" s="15" t="n">
        <v>795841.0</v>
      </c>
      <c r="AG38" s="15" t="n">
        <v>785580.0</v>
      </c>
      <c r="AH38" s="15" t="n">
        <v>775336.0</v>
      </c>
      <c r="AI38" s="15" t="n">
        <v>765015.0</v>
      </c>
      <c r="AJ38" s="15" t="n">
        <v>754640.0</v>
      </c>
      <c r="AK38" s="15" t="n">
        <v>744249.0</v>
      </c>
      <c r="AL38" s="15" t="n">
        <v>733810.0</v>
      </c>
      <c r="AM38" s="15" t="n">
        <v>723214.0</v>
      </c>
      <c r="AN38" s="15" t="n">
        <v>712557.0</v>
      </c>
      <c r="AO38" s="15" t="n">
        <v>701894.0</v>
      </c>
    </row>
    <row r="39" spans="1:41" x14ac:dyDescent="0.2">
      <c r="A39" s="136"/>
      <c r="B39" s="64" t="s">
        <v>8</v>
      </c>
      <c r="C39" s="3" t="n">
        <v>178367.0</v>
      </c>
      <c r="D39" s="3" t="n">
        <v>175660.0</v>
      </c>
      <c r="E39" s="3" t="n">
        <v>172240.0</v>
      </c>
      <c r="F39" s="3" t="n">
        <v>168069.0</v>
      </c>
      <c r="G39" s="3" t="n">
        <v>162806.0</v>
      </c>
      <c r="H39" s="3" t="n">
        <v>157572.0</v>
      </c>
      <c r="I39" s="3" t="n">
        <v>152720.0</v>
      </c>
      <c r="J39" s="3" t="n">
        <v>148347.0</v>
      </c>
      <c r="K39" s="3" t="n">
        <v>143744.0</v>
      </c>
      <c r="L39" s="3" t="n">
        <v>139444.0</v>
      </c>
      <c r="M39" s="3" t="n">
        <v>135008.0</v>
      </c>
      <c r="N39" s="3" t="n">
        <v>130725.0</v>
      </c>
      <c r="O39" s="3" t="n">
        <v>126168.0</v>
      </c>
      <c r="P39" s="3" t="n">
        <v>121379.0</v>
      </c>
      <c r="Q39" s="3" t="n">
        <v>116967.0</v>
      </c>
      <c r="R39" s="3" t="n">
        <v>112948.0</v>
      </c>
      <c r="S39" s="3" t="n">
        <v>109519.0</v>
      </c>
      <c r="T39" s="3" t="n">
        <v>106771.0</v>
      </c>
      <c r="U39" s="3" t="n">
        <v>104858.0</v>
      </c>
      <c r="V39" s="3" t="n">
        <v>103219.0</v>
      </c>
      <c r="W39" s="3" t="n">
        <v>101788.0</v>
      </c>
      <c r="X39" s="3" t="n">
        <v>100544.0</v>
      </c>
      <c r="Y39" s="3" t="n">
        <v>99439.0</v>
      </c>
      <c r="Z39" s="3" t="n">
        <v>98447.0</v>
      </c>
      <c r="AA39" s="3" t="n">
        <v>97514.0</v>
      </c>
      <c r="AB39" s="3" t="n">
        <v>96626.0</v>
      </c>
      <c r="AC39" s="3" t="n">
        <v>95744.0</v>
      </c>
      <c r="AD39" s="3" t="n">
        <v>94839.0</v>
      </c>
      <c r="AE39" s="3" t="n">
        <v>93885.0</v>
      </c>
      <c r="AF39" s="3" t="n">
        <v>92889.0</v>
      </c>
      <c r="AG39" s="3" t="n">
        <v>91795.0</v>
      </c>
      <c r="AH39" s="3" t="n">
        <v>90595.0</v>
      </c>
      <c r="AI39" s="3" t="n">
        <v>89281.0</v>
      </c>
      <c r="AJ39" s="3" t="n">
        <v>87840.0</v>
      </c>
      <c r="AK39" s="3" t="n">
        <v>86282.0</v>
      </c>
      <c r="AL39" s="3" t="n">
        <v>84624.0</v>
      </c>
      <c r="AM39" s="3" t="n">
        <v>82867.0</v>
      </c>
      <c r="AN39" s="3" t="n">
        <v>81015.0</v>
      </c>
      <c r="AO39" s="3" t="n">
        <v>79086.0</v>
      </c>
    </row>
    <row r="40" spans="1:41" x14ac:dyDescent="0.2">
      <c r="A40" s="136"/>
      <c r="B40" s="64" t="s">
        <v>15</v>
      </c>
      <c r="C40" s="3" t="n">
        <v>552416.0</v>
      </c>
      <c r="D40" s="3" t="n">
        <v>547287.0</v>
      </c>
      <c r="E40" s="3" t="n">
        <v>543235.0</v>
      </c>
      <c r="F40" s="3" t="n">
        <v>539852.0</v>
      </c>
      <c r="G40" s="3" t="n">
        <v>537892.0</v>
      </c>
      <c r="H40" s="3" t="n">
        <v>536427.0</v>
      </c>
      <c r="I40" s="3" t="n">
        <v>534653.0</v>
      </c>
      <c r="J40" s="3" t="n">
        <v>531381.0</v>
      </c>
      <c r="K40" s="3" t="n">
        <v>527859.0</v>
      </c>
      <c r="L40" s="3" t="n">
        <v>523188.0</v>
      </c>
      <c r="M40" s="3" t="n">
        <v>518302.0</v>
      </c>
      <c r="N40" s="3" t="n">
        <v>512589.0</v>
      </c>
      <c r="O40" s="3" t="n">
        <v>506942.0</v>
      </c>
      <c r="P40" s="3" t="n">
        <v>500760.0</v>
      </c>
      <c r="Q40" s="3" t="n">
        <v>493630.0</v>
      </c>
      <c r="R40" s="3" t="n">
        <v>486749.0</v>
      </c>
      <c r="S40" s="3" t="n">
        <v>479015.0</v>
      </c>
      <c r="T40" s="3" t="n">
        <v>470281.0</v>
      </c>
      <c r="U40" s="3" t="n">
        <v>460565.0</v>
      </c>
      <c r="V40" s="3" t="n">
        <v>450877.0</v>
      </c>
      <c r="W40" s="3" t="n">
        <v>440364.0</v>
      </c>
      <c r="X40" s="3" t="n">
        <v>429128.0</v>
      </c>
      <c r="Y40" s="3" t="n">
        <v>418215.0</v>
      </c>
      <c r="Z40" s="3" t="n">
        <v>407747.0</v>
      </c>
      <c r="AA40" s="3" t="n">
        <v>398266.0</v>
      </c>
      <c r="AB40" s="3" t="n">
        <v>389178.0</v>
      </c>
      <c r="AC40" s="3" t="n">
        <v>380613.0</v>
      </c>
      <c r="AD40" s="3" t="n">
        <v>372287.0</v>
      </c>
      <c r="AE40" s="3" t="n">
        <v>363954.0</v>
      </c>
      <c r="AF40" s="3" t="n">
        <v>356043.0</v>
      </c>
      <c r="AG40" s="3" t="n">
        <v>349001.0</v>
      </c>
      <c r="AH40" s="3" t="n">
        <v>342160.0</v>
      </c>
      <c r="AI40" s="3" t="n">
        <v>335976.0</v>
      </c>
      <c r="AJ40" s="3" t="n">
        <v>330463.0</v>
      </c>
      <c r="AK40" s="3" t="n">
        <v>325190.0</v>
      </c>
      <c r="AL40" s="3" t="n">
        <v>320406.0</v>
      </c>
      <c r="AM40" s="3" t="n">
        <v>315977.0</v>
      </c>
      <c r="AN40" s="3" t="n">
        <v>311718.0</v>
      </c>
      <c r="AO40" s="3" t="n">
        <v>307452.0</v>
      </c>
    </row>
    <row r="41" spans="1:41" x14ac:dyDescent="0.2">
      <c r="A41" s="136"/>
      <c r="B41" s="64" t="s">
        <v>11</v>
      </c>
      <c r="C41" s="3" t="n">
        <v>349036.0</v>
      </c>
      <c r="D41" s="3" t="n">
        <v>341862.0</v>
      </c>
      <c r="E41" s="3" t="n">
        <v>334878.0</v>
      </c>
      <c r="F41" s="3" t="n">
        <v>328300.0</v>
      </c>
      <c r="G41" s="3" t="n">
        <v>322967.0</v>
      </c>
      <c r="H41" s="3" t="n">
        <v>317488.0</v>
      </c>
      <c r="I41" s="3" t="n">
        <v>311175.0</v>
      </c>
      <c r="J41" s="3" t="n">
        <v>304255.0</v>
      </c>
      <c r="K41" s="3" t="n">
        <v>297857.0</v>
      </c>
      <c r="L41" s="3" t="n">
        <v>292187.0</v>
      </c>
      <c r="M41" s="3" t="n">
        <v>287055.0</v>
      </c>
      <c r="N41" s="3" t="n">
        <v>282306.0</v>
      </c>
      <c r="O41" s="3" t="n">
        <v>278128.0</v>
      </c>
      <c r="P41" s="3" t="n">
        <v>274170.0</v>
      </c>
      <c r="Q41" s="3" t="n">
        <v>270360.0</v>
      </c>
      <c r="R41" s="3" t="n">
        <v>266993.0</v>
      </c>
      <c r="S41" s="3" t="n">
        <v>263280.0</v>
      </c>
      <c r="T41" s="3" t="n">
        <v>259542.0</v>
      </c>
      <c r="U41" s="3" t="n">
        <v>255625.0</v>
      </c>
      <c r="V41" s="3" t="n">
        <v>251692.0</v>
      </c>
      <c r="W41" s="3" t="n">
        <v>248012.0</v>
      </c>
      <c r="X41" s="3" t="n">
        <v>244516.0</v>
      </c>
      <c r="Y41" s="3" t="n">
        <v>240980.0</v>
      </c>
      <c r="Z41" s="3" t="n">
        <v>237329.0</v>
      </c>
      <c r="AA41" s="3" t="n">
        <v>233848.0</v>
      </c>
      <c r="AB41" s="3" t="n">
        <v>230526.0</v>
      </c>
      <c r="AC41" s="3" t="n">
        <v>227193.0</v>
      </c>
      <c r="AD41" s="3" t="n">
        <v>223564.0</v>
      </c>
      <c r="AE41" s="3" t="n">
        <v>219730.0</v>
      </c>
      <c r="AF41" s="3" t="n">
        <v>215428.0</v>
      </c>
      <c r="AG41" s="3" t="n">
        <v>210660.0</v>
      </c>
      <c r="AH41" s="3" t="n">
        <v>205068.0</v>
      </c>
      <c r="AI41" s="3" t="n">
        <v>199358.0</v>
      </c>
      <c r="AJ41" s="3" t="n">
        <v>193997.0</v>
      </c>
      <c r="AK41" s="3" t="n">
        <v>189345.0</v>
      </c>
      <c r="AL41" s="3" t="n">
        <v>184661.0</v>
      </c>
      <c r="AM41" s="3" t="n">
        <v>180380.0</v>
      </c>
      <c r="AN41" s="3" t="n">
        <v>176030.0</v>
      </c>
      <c r="AO41" s="3" t="n">
        <v>171846.0</v>
      </c>
    </row>
    <row r="42" spans="1:41" x14ac:dyDescent="0.2">
      <c r="A42" s="136"/>
      <c r="B42" s="64" t="s">
        <v>16</v>
      </c>
      <c r="C42" s="3" t="n">
        <v>203380.0</v>
      </c>
      <c r="D42" s="3" t="n">
        <v>205425.0</v>
      </c>
      <c r="E42" s="3" t="n">
        <v>208357.0</v>
      </c>
      <c r="F42" s="3" t="n">
        <v>211552.0</v>
      </c>
      <c r="G42" s="3" t="n">
        <v>214925.0</v>
      </c>
      <c r="H42" s="3" t="n">
        <v>218939.0</v>
      </c>
      <c r="I42" s="3" t="n">
        <v>223478.0</v>
      </c>
      <c r="J42" s="3" t="n">
        <v>227126.0</v>
      </c>
      <c r="K42" s="3" t="n">
        <v>230002.0</v>
      </c>
      <c r="L42" s="3" t="n">
        <v>231001.0</v>
      </c>
      <c r="M42" s="3" t="n">
        <v>231247.0</v>
      </c>
      <c r="N42" s="3" t="n">
        <v>230283.0</v>
      </c>
      <c r="O42" s="3" t="n">
        <v>228814.0</v>
      </c>
      <c r="P42" s="3" t="n">
        <v>226590.0</v>
      </c>
      <c r="Q42" s="3" t="n">
        <v>223270.0</v>
      </c>
      <c r="R42" s="3" t="n">
        <v>219756.0</v>
      </c>
      <c r="S42" s="3" t="n">
        <v>215735.0</v>
      </c>
      <c r="T42" s="3" t="n">
        <v>210739.0</v>
      </c>
      <c r="U42" s="3" t="n">
        <v>204940.0</v>
      </c>
      <c r="V42" s="3" t="n">
        <v>199185.0</v>
      </c>
      <c r="W42" s="3" t="n">
        <v>192352.0</v>
      </c>
      <c r="X42" s="3" t="n">
        <v>184612.0</v>
      </c>
      <c r="Y42" s="3" t="n">
        <v>177235.0</v>
      </c>
      <c r="Z42" s="3" t="n">
        <v>170418.0</v>
      </c>
      <c r="AA42" s="3" t="n">
        <v>164418.0</v>
      </c>
      <c r="AB42" s="3" t="n">
        <v>158652.0</v>
      </c>
      <c r="AC42" s="3" t="n">
        <v>153420.0</v>
      </c>
      <c r="AD42" s="3" t="n">
        <v>148723.0</v>
      </c>
      <c r="AE42" s="3" t="n">
        <v>144224.0</v>
      </c>
      <c r="AF42" s="3" t="n">
        <v>140615.0</v>
      </c>
      <c r="AG42" s="3" t="n">
        <v>138341.0</v>
      </c>
      <c r="AH42" s="3" t="n">
        <v>137092.0</v>
      </c>
      <c r="AI42" s="3" t="n">
        <v>136618.0</v>
      </c>
      <c r="AJ42" s="3" t="n">
        <v>136466.0</v>
      </c>
      <c r="AK42" s="3" t="n">
        <v>135845.0</v>
      </c>
      <c r="AL42" s="3" t="n">
        <v>135745.0</v>
      </c>
      <c r="AM42" s="3" t="n">
        <v>135597.0</v>
      </c>
      <c r="AN42" s="3" t="n">
        <v>135688.0</v>
      </c>
      <c r="AO42" s="3" t="n">
        <v>135606.0</v>
      </c>
    </row>
    <row r="43" spans="1:41" x14ac:dyDescent="0.2">
      <c r="A43" s="136"/>
      <c r="B43" s="64" t="s">
        <v>17</v>
      </c>
      <c r="C43" s="3" t="n">
        <v>305045.0</v>
      </c>
      <c r="D43" s="3" t="n">
        <v>307720.0</v>
      </c>
      <c r="E43" s="3" t="n">
        <v>309679.0</v>
      </c>
      <c r="F43" s="3" t="n">
        <v>311451.0</v>
      </c>
      <c r="G43" s="3" t="n">
        <v>312677.0</v>
      </c>
      <c r="H43" s="3" t="n">
        <v>314020.0</v>
      </c>
      <c r="I43" s="3" t="n">
        <v>315291.0</v>
      </c>
      <c r="J43" s="3" t="n">
        <v>316655.0</v>
      </c>
      <c r="K43" s="3" t="n">
        <v>317966.0</v>
      </c>
      <c r="L43" s="3" t="n">
        <v>319779.0</v>
      </c>
      <c r="M43" s="3" t="n">
        <v>321532.0</v>
      </c>
      <c r="N43" s="3" t="n">
        <v>323669.0</v>
      </c>
      <c r="O43" s="3" t="n">
        <v>325804.0</v>
      </c>
      <c r="P43" s="3" t="n">
        <v>328408.0</v>
      </c>
      <c r="Q43" s="3" t="n">
        <v>331432.0</v>
      </c>
      <c r="R43" s="3" t="n">
        <v>333479.0</v>
      </c>
      <c r="S43" s="3" t="n">
        <v>335665.0</v>
      </c>
      <c r="T43" s="3" t="n">
        <v>337893.0</v>
      </c>
      <c r="U43" s="3" t="n">
        <v>340152.0</v>
      </c>
      <c r="V43" s="3" t="n">
        <v>341895.0</v>
      </c>
      <c r="W43" s="3" t="n">
        <v>344192.0</v>
      </c>
      <c r="X43" s="3" t="n">
        <v>346862.0</v>
      </c>
      <c r="Y43" s="3" t="n">
        <v>349064.0</v>
      </c>
      <c r="Z43" s="3" t="n">
        <v>350601.0</v>
      </c>
      <c r="AA43" s="3" t="n">
        <v>350912.0</v>
      </c>
      <c r="AB43" s="3" t="n">
        <v>350839.0</v>
      </c>
      <c r="AC43" s="3" t="n">
        <v>350130.0</v>
      </c>
      <c r="AD43" s="3" t="n">
        <v>349124.0</v>
      </c>
      <c r="AE43" s="3" t="n">
        <v>348245.0</v>
      </c>
      <c r="AF43" s="3" t="n">
        <v>346909.0</v>
      </c>
      <c r="AG43" s="3" t="n">
        <v>344784.0</v>
      </c>
      <c r="AH43" s="3" t="n">
        <v>342581.0</v>
      </c>
      <c r="AI43" s="3" t="n">
        <v>339758.0</v>
      </c>
      <c r="AJ43" s="3" t="n">
        <v>336337.0</v>
      </c>
      <c r="AK43" s="3" t="n">
        <v>332777.0</v>
      </c>
      <c r="AL43" s="3" t="n">
        <v>328780.0</v>
      </c>
      <c r="AM43" s="3" t="n">
        <v>324370.0</v>
      </c>
      <c r="AN43" s="3" t="n">
        <v>319824.0</v>
      </c>
      <c r="AO43" s="3" t="n">
        <v>315356.0</v>
      </c>
    </row>
    <row r="44" spans="1:41" x14ac:dyDescent="0.2">
      <c r="A44" s="136"/>
      <c r="B44" s="64" t="s">
        <v>0</v>
      </c>
      <c r="C44" s="3" t="n">
        <v>23978.0</v>
      </c>
      <c r="D44" s="3" t="n">
        <v>22057.0</v>
      </c>
      <c r="E44" s="3" t="n">
        <v>20617.0</v>
      </c>
      <c r="F44" s="3" t="n">
        <v>19852.0</v>
      </c>
      <c r="G44" s="3" t="n">
        <v>19191.0</v>
      </c>
      <c r="H44" s="3" t="n">
        <v>18645.0</v>
      </c>
      <c r="I44" s="3" t="n">
        <v>18178.0</v>
      </c>
      <c r="J44" s="3" t="n">
        <v>17747.0</v>
      </c>
      <c r="K44" s="3" t="n">
        <v>17372.0</v>
      </c>
      <c r="L44" s="3" t="n">
        <v>17040.0</v>
      </c>
      <c r="M44" s="3" t="n">
        <v>16769.0</v>
      </c>
      <c r="N44" s="3" t="n">
        <v>16531.0</v>
      </c>
      <c r="O44" s="3" t="n">
        <v>16362.0</v>
      </c>
      <c r="P44" s="3" t="n">
        <v>16237.0</v>
      </c>
      <c r="Q44" s="3" t="n">
        <v>16156.0</v>
      </c>
      <c r="R44" s="3" t="n">
        <v>16096.0</v>
      </c>
      <c r="S44" s="3" t="n">
        <v>16060.0</v>
      </c>
      <c r="T44" s="3" t="n">
        <v>16034.0</v>
      </c>
      <c r="U44" s="3" t="n">
        <v>16001.0</v>
      </c>
      <c r="V44" s="3" t="n">
        <v>15954.0</v>
      </c>
      <c r="W44" s="3" t="n">
        <v>15887.0</v>
      </c>
      <c r="X44" s="3" t="n">
        <v>15797.0</v>
      </c>
      <c r="Y44" s="3" t="n">
        <v>15674.0</v>
      </c>
      <c r="Z44" s="3" t="n">
        <v>15520.0</v>
      </c>
      <c r="AA44" s="3" t="n">
        <v>15316.0</v>
      </c>
      <c r="AB44" s="3" t="n">
        <v>15075.0</v>
      </c>
      <c r="AC44" s="3" t="n">
        <v>14780.0</v>
      </c>
      <c r="AD44" s="3" t="n">
        <v>14450.0</v>
      </c>
      <c r="AE44" s="3" t="n">
        <v>14089.0</v>
      </c>
      <c r="AF44" s="3" t="n">
        <v>13706.0</v>
      </c>
      <c r="AG44" s="3" t="n">
        <v>13303.0</v>
      </c>
      <c r="AH44" s="3" t="n">
        <v>12893.0</v>
      </c>
      <c r="AI44" s="3" t="n">
        <v>12471.0</v>
      </c>
      <c r="AJ44" s="3" t="n">
        <v>12044.0</v>
      </c>
      <c r="AK44" s="3" t="n">
        <v>11634.0</v>
      </c>
      <c r="AL44" s="3" t="n">
        <v>11241.0</v>
      </c>
      <c r="AM44" s="3" t="n">
        <v>10866.0</v>
      </c>
      <c r="AN44" s="3" t="n">
        <v>10512.0</v>
      </c>
      <c r="AO44" s="3" t="n">
        <v>10186.0</v>
      </c>
    </row>
    <row r="45" spans="1:41" x14ac:dyDescent="0.2">
      <c r="A45" s="136"/>
      <c r="B45" s="64" t="s">
        <v>1</v>
      </c>
      <c r="C45" s="3" t="n">
        <v>39386.0</v>
      </c>
      <c r="D45" s="3" t="n">
        <v>38173.0</v>
      </c>
      <c r="E45" s="3" t="n">
        <v>36051.0</v>
      </c>
      <c r="F45" s="3" t="n">
        <v>33429.0</v>
      </c>
      <c r="G45" s="3" t="n">
        <v>30934.0</v>
      </c>
      <c r="H45" s="3" t="n">
        <v>28861.0</v>
      </c>
      <c r="I45" s="3" t="n">
        <v>27293.0</v>
      </c>
      <c r="J45" s="3" t="n">
        <v>26375.0</v>
      </c>
      <c r="K45" s="3" t="n">
        <v>25547.0</v>
      </c>
      <c r="L45" s="3" t="n">
        <v>24815.0</v>
      </c>
      <c r="M45" s="3" t="n">
        <v>24160.0</v>
      </c>
      <c r="N45" s="3" t="n">
        <v>23599.0</v>
      </c>
      <c r="O45" s="3" t="n">
        <v>23117.0</v>
      </c>
      <c r="P45" s="3" t="n">
        <v>22708.0</v>
      </c>
      <c r="Q45" s="3" t="n">
        <v>22373.0</v>
      </c>
      <c r="R45" s="3" t="n">
        <v>22109.0</v>
      </c>
      <c r="S45" s="3" t="n">
        <v>21908.0</v>
      </c>
      <c r="T45" s="3" t="n">
        <v>21749.0</v>
      </c>
      <c r="U45" s="3" t="n">
        <v>21648.0</v>
      </c>
      <c r="V45" s="3" t="n">
        <v>21579.0</v>
      </c>
      <c r="W45" s="3" t="n">
        <v>21534.0</v>
      </c>
      <c r="X45" s="3" t="n">
        <v>21492.0</v>
      </c>
      <c r="Y45" s="3" t="n">
        <v>21438.0</v>
      </c>
      <c r="Z45" s="3" t="n">
        <v>21361.0</v>
      </c>
      <c r="AA45" s="3" t="n">
        <v>21259.0</v>
      </c>
      <c r="AB45" s="3" t="n">
        <v>21116.0</v>
      </c>
      <c r="AC45" s="3" t="n">
        <v>20940.0</v>
      </c>
      <c r="AD45" s="3" t="n">
        <v>20702.0</v>
      </c>
      <c r="AE45" s="3" t="n">
        <v>20406.0</v>
      </c>
      <c r="AF45" s="3" t="n">
        <v>20068.0</v>
      </c>
      <c r="AG45" s="3" t="n">
        <v>19666.0</v>
      </c>
      <c r="AH45" s="3" t="n">
        <v>19212.0</v>
      </c>
      <c r="AI45" s="3" t="n">
        <v>18727.0</v>
      </c>
      <c r="AJ45" s="3" t="n">
        <v>18206.0</v>
      </c>
      <c r="AK45" s="3" t="n">
        <v>17664.0</v>
      </c>
      <c r="AL45" s="3" t="n">
        <v>17126.0</v>
      </c>
      <c r="AM45" s="3" t="n">
        <v>16571.0</v>
      </c>
      <c r="AN45" s="3" t="n">
        <v>16017.0</v>
      </c>
      <c r="AO45" s="3" t="n">
        <v>15477.0</v>
      </c>
    </row>
    <row r="46" spans="1:41" x14ac:dyDescent="0.2">
      <c r="A46" s="136"/>
      <c r="B46" s="65" t="s">
        <v>18</v>
      </c>
      <c r="C46" s="3" t="n">
        <v>84845.0</v>
      </c>
      <c r="D46" s="3" t="n">
        <v>83327.0</v>
      </c>
      <c r="E46" s="3" t="n">
        <v>81880.0</v>
      </c>
      <c r="F46" s="3" t="n">
        <v>80488.0</v>
      </c>
      <c r="G46" s="3" t="n">
        <v>79524.0</v>
      </c>
      <c r="H46" s="3" t="n">
        <v>78086.0</v>
      </c>
      <c r="I46" s="3" t="n">
        <v>76440.0</v>
      </c>
      <c r="J46" s="3" t="n">
        <v>73741.0</v>
      </c>
      <c r="K46" s="3" t="n">
        <v>70950.0</v>
      </c>
      <c r="L46" s="3" t="n">
        <v>67648.0</v>
      </c>
      <c r="M46" s="3" t="n">
        <v>63919.0</v>
      </c>
      <c r="N46" s="3" t="n">
        <v>60385.0</v>
      </c>
      <c r="O46" s="3" t="n">
        <v>57080.0</v>
      </c>
      <c r="P46" s="3" t="n">
        <v>54229.0</v>
      </c>
      <c r="Q46" s="3" t="n">
        <v>51930.0</v>
      </c>
      <c r="R46" s="3" t="n">
        <v>50393.0</v>
      </c>
      <c r="S46" s="3" t="n">
        <v>49048.0</v>
      </c>
      <c r="T46" s="3" t="n">
        <v>47881.0</v>
      </c>
      <c r="U46" s="3" t="n">
        <v>46861.0</v>
      </c>
      <c r="V46" s="3" t="n">
        <v>46009.0</v>
      </c>
      <c r="W46" s="3" t="n">
        <v>45293.0</v>
      </c>
      <c r="X46" s="3" t="n">
        <v>44713.0</v>
      </c>
      <c r="Y46" s="3" t="n">
        <v>44255.0</v>
      </c>
      <c r="Z46" s="3" t="n">
        <v>43902.0</v>
      </c>
      <c r="AA46" s="3" t="n">
        <v>43630.0</v>
      </c>
      <c r="AB46" s="3" t="n">
        <v>43417.0</v>
      </c>
      <c r="AC46" s="3" t="n">
        <v>43263.0</v>
      </c>
      <c r="AD46" s="3" t="n">
        <v>43115.0</v>
      </c>
      <c r="AE46" s="3" t="n">
        <v>42967.0</v>
      </c>
      <c r="AF46" s="3" t="n">
        <v>42785.0</v>
      </c>
      <c r="AG46" s="3" t="n">
        <v>42567.0</v>
      </c>
      <c r="AH46" s="3" t="n">
        <v>42268.0</v>
      </c>
      <c r="AI46" s="3" t="n">
        <v>41888.0</v>
      </c>
      <c r="AJ46" s="3" t="n">
        <v>41431.0</v>
      </c>
      <c r="AK46" s="3" t="n">
        <v>40871.0</v>
      </c>
      <c r="AL46" s="3" t="n">
        <v>40205.0</v>
      </c>
      <c r="AM46" s="3" t="n">
        <v>39455.0</v>
      </c>
      <c r="AN46" s="3" t="n">
        <v>38628.0</v>
      </c>
      <c r="AO46" s="3" t="n">
        <v>37696.0</v>
      </c>
    </row>
    <row r="47" spans="1:41" x14ac:dyDescent="0.2">
      <c r="A47" s="136"/>
      <c r="B47" s="64" t="s">
        <v>19</v>
      </c>
      <c r="C47" s="3" t="n">
        <v>39536.0</v>
      </c>
      <c r="D47" s="3" t="n">
        <v>41654.0</v>
      </c>
      <c r="E47" s="3" t="n">
        <v>43716.0</v>
      </c>
      <c r="F47" s="3" t="n">
        <v>44887.0</v>
      </c>
      <c r="G47" s="3" t="n">
        <v>44657.0</v>
      </c>
      <c r="H47" s="3" t="n">
        <v>43600.0</v>
      </c>
      <c r="I47" s="3" t="n">
        <v>42034.0</v>
      </c>
      <c r="J47" s="3" t="n">
        <v>40880.0</v>
      </c>
      <c r="K47" s="3" t="n">
        <v>40313.0</v>
      </c>
      <c r="L47" s="3" t="n">
        <v>39955.0</v>
      </c>
      <c r="M47" s="3" t="n">
        <v>40218.0</v>
      </c>
      <c r="N47" s="3" t="n">
        <v>40042.0</v>
      </c>
      <c r="O47" s="3" t="n">
        <v>39686.0</v>
      </c>
      <c r="P47" s="3" t="n">
        <v>38482.0</v>
      </c>
      <c r="Q47" s="3" t="n">
        <v>36396.0</v>
      </c>
      <c r="R47" s="3" t="n">
        <v>33828.0</v>
      </c>
      <c r="S47" s="3" t="n">
        <v>31375.0</v>
      </c>
      <c r="T47" s="3" t="n">
        <v>29293.0</v>
      </c>
      <c r="U47" s="3" t="n">
        <v>27668.0</v>
      </c>
      <c r="V47" s="3" t="n">
        <v>26706.0</v>
      </c>
      <c r="W47" s="3" t="n">
        <v>25862.0</v>
      </c>
      <c r="X47" s="3" t="n">
        <v>25105.0</v>
      </c>
      <c r="Y47" s="3" t="n">
        <v>24432.0</v>
      </c>
      <c r="Z47" s="3" t="n">
        <v>23847.0</v>
      </c>
      <c r="AA47" s="3" t="n">
        <v>23338.0</v>
      </c>
      <c r="AB47" s="3" t="n">
        <v>22906.0</v>
      </c>
      <c r="AC47" s="3" t="n">
        <v>22533.0</v>
      </c>
      <c r="AD47" s="3" t="n">
        <v>22243.0</v>
      </c>
      <c r="AE47" s="3" t="n">
        <v>22017.0</v>
      </c>
      <c r="AF47" s="3" t="n">
        <v>21846.0</v>
      </c>
      <c r="AG47" s="3" t="n">
        <v>21743.0</v>
      </c>
      <c r="AH47" s="3" t="n">
        <v>21665.0</v>
      </c>
      <c r="AI47" s="3" t="n">
        <v>21619.0</v>
      </c>
      <c r="AJ47" s="3" t="n">
        <v>21572.0</v>
      </c>
      <c r="AK47" s="3" t="n">
        <v>21520.0</v>
      </c>
      <c r="AL47" s="3" t="n">
        <v>21447.0</v>
      </c>
      <c r="AM47" s="3" t="n">
        <v>21351.0</v>
      </c>
      <c r="AN47" s="3" t="n">
        <v>21219.0</v>
      </c>
      <c r="AO47" s="3" t="n">
        <v>21061.0</v>
      </c>
    </row>
    <row r="48" spans="1:41" x14ac:dyDescent="0.2">
      <c r="A48" s="136"/>
      <c r="B48" s="64" t="s">
        <v>2</v>
      </c>
      <c r="C48" s="3" t="n">
        <v>57161.0</v>
      </c>
      <c r="D48" s="3" t="n">
        <v>56574.0</v>
      </c>
      <c r="E48" s="3" t="n">
        <v>56286.0</v>
      </c>
      <c r="F48" s="3" t="n">
        <v>56485.0</v>
      </c>
      <c r="G48" s="3" t="n">
        <v>57568.0</v>
      </c>
      <c r="H48" s="3" t="n">
        <v>59907.0</v>
      </c>
      <c r="I48" s="3" t="n">
        <v>62442.0</v>
      </c>
      <c r="J48" s="3" t="n">
        <v>64290.0</v>
      </c>
      <c r="K48" s="3" t="n">
        <v>65095.0</v>
      </c>
      <c r="L48" s="3" t="n">
        <v>65478.0</v>
      </c>
      <c r="M48" s="3" t="n">
        <v>64864.0</v>
      </c>
      <c r="N48" s="3" t="n">
        <v>63405.0</v>
      </c>
      <c r="O48" s="3" t="n">
        <v>61617.0</v>
      </c>
      <c r="P48" s="3" t="n">
        <v>60477.0</v>
      </c>
      <c r="Q48" s="3" t="n">
        <v>60357.0</v>
      </c>
      <c r="R48" s="3" t="n">
        <v>59822.0</v>
      </c>
      <c r="S48" s="3" t="n">
        <v>59300.0</v>
      </c>
      <c r="T48" s="3" t="n">
        <v>58135.0</v>
      </c>
      <c r="U48" s="3" t="n">
        <v>56501.0</v>
      </c>
      <c r="V48" s="3" t="n">
        <v>53753.0</v>
      </c>
      <c r="W48" s="3" t="n">
        <v>50533.0</v>
      </c>
      <c r="X48" s="3" t="n">
        <v>47464.0</v>
      </c>
      <c r="Y48" s="3" t="n">
        <v>44604.0</v>
      </c>
      <c r="Z48" s="3" t="n">
        <v>42134.0</v>
      </c>
      <c r="AA48" s="3" t="n">
        <v>40148.0</v>
      </c>
      <c r="AB48" s="3" t="n">
        <v>38871.0</v>
      </c>
      <c r="AC48" s="3" t="n">
        <v>37724.0</v>
      </c>
      <c r="AD48" s="3" t="n">
        <v>36713.0</v>
      </c>
      <c r="AE48" s="3" t="n">
        <v>35825.0</v>
      </c>
      <c r="AF48" s="3" t="n">
        <v>35050.0</v>
      </c>
      <c r="AG48" s="3" t="n">
        <v>34379.0</v>
      </c>
      <c r="AH48" s="3" t="n">
        <v>33830.0</v>
      </c>
      <c r="AI48" s="3" t="n">
        <v>33378.0</v>
      </c>
      <c r="AJ48" s="3" t="n">
        <v>33020.0</v>
      </c>
      <c r="AK48" s="3" t="n">
        <v>32751.0</v>
      </c>
      <c r="AL48" s="3" t="n">
        <v>32556.0</v>
      </c>
      <c r="AM48" s="3" t="n">
        <v>32427.0</v>
      </c>
      <c r="AN48" s="3" t="n">
        <v>32312.0</v>
      </c>
      <c r="AO48" s="3" t="n">
        <v>32229.0</v>
      </c>
    </row>
    <row r="49" spans="1:41" x14ac:dyDescent="0.2">
      <c r="A49" s="136"/>
      <c r="B49" s="64" t="s">
        <v>3</v>
      </c>
      <c r="C49" s="3" t="n">
        <v>148209.0</v>
      </c>
      <c r="D49" s="3" t="n">
        <v>143557.0</v>
      </c>
      <c r="E49" s="3" t="n">
        <v>138548.0</v>
      </c>
      <c r="F49" s="3" t="n">
        <v>133769.0</v>
      </c>
      <c r="G49" s="3" t="n">
        <v>129649.0</v>
      </c>
      <c r="H49" s="3" t="n">
        <v>125592.0</v>
      </c>
      <c r="I49" s="3" t="n">
        <v>121911.0</v>
      </c>
      <c r="J49" s="3" t="n">
        <v>117863.0</v>
      </c>
      <c r="K49" s="3" t="n">
        <v>113869.0</v>
      </c>
      <c r="L49" s="3" t="n">
        <v>109503.0</v>
      </c>
      <c r="M49" s="3" t="n">
        <v>104848.0</v>
      </c>
      <c r="N49" s="3" t="n">
        <v>100515.0</v>
      </c>
      <c r="O49" s="3" t="n">
        <v>96559.0</v>
      </c>
      <c r="P49" s="3" t="n">
        <v>93174.0</v>
      </c>
      <c r="Q49" s="3" t="n">
        <v>90459.0</v>
      </c>
      <c r="R49" s="3" t="n">
        <v>88598.0</v>
      </c>
      <c r="S49" s="3" t="n">
        <v>87016.0</v>
      </c>
      <c r="T49" s="3" t="n">
        <v>85664.0</v>
      </c>
      <c r="U49" s="3" t="n">
        <v>84510.0</v>
      </c>
      <c r="V49" s="3" t="n">
        <v>83542.0</v>
      </c>
      <c r="W49" s="3" t="n">
        <v>82714.0</v>
      </c>
      <c r="X49" s="3" t="n">
        <v>82002.0</v>
      </c>
      <c r="Y49" s="3" t="n">
        <v>81367.0</v>
      </c>
      <c r="Z49" s="3" t="n">
        <v>80783.0</v>
      </c>
      <c r="AA49" s="3" t="n">
        <v>80205.0</v>
      </c>
      <c r="AB49" s="3" t="n">
        <v>79608.0</v>
      </c>
      <c r="AC49" s="3" t="n">
        <v>78983.0</v>
      </c>
      <c r="AD49" s="3" t="n">
        <v>78267.0</v>
      </c>
      <c r="AE49" s="3" t="n">
        <v>77462.0</v>
      </c>
      <c r="AF49" s="3" t="n">
        <v>76559.0</v>
      </c>
      <c r="AG49" s="3" t="n">
        <v>75536.0</v>
      </c>
      <c r="AH49" s="3" t="n">
        <v>74373.0</v>
      </c>
      <c r="AI49" s="3" t="n">
        <v>73086.0</v>
      </c>
      <c r="AJ49" s="3" t="n">
        <v>71681.0</v>
      </c>
      <c r="AK49" s="3" t="n">
        <v>70169.0</v>
      </c>
      <c r="AL49" s="3" t="n">
        <v>68572.0</v>
      </c>
      <c r="AM49" s="3" t="n">
        <v>66892.0</v>
      </c>
      <c r="AN49" s="3" t="n">
        <v>65157.0</v>
      </c>
      <c r="AO49" s="3" t="n">
        <v>63359.0</v>
      </c>
    </row>
    <row r="50" spans="1:41" x14ac:dyDescent="0.2">
      <c r="A50" s="136"/>
      <c r="B50" s="64" t="s">
        <v>4</v>
      </c>
      <c r="C50" s="3" t="n">
        <v>653674.0</v>
      </c>
      <c r="D50" s="3" t="n">
        <v>647251.0</v>
      </c>
      <c r="E50" s="3" t="n">
        <v>641844.0</v>
      </c>
      <c r="F50" s="3" t="n">
        <v>636846.0</v>
      </c>
      <c r="G50" s="3" t="n">
        <v>632036.0</v>
      </c>
      <c r="H50" s="3" t="n">
        <v>628305.0</v>
      </c>
      <c r="I50" s="3" t="n">
        <v>624504.0</v>
      </c>
      <c r="J50" s="3" t="n">
        <v>620895.0</v>
      </c>
      <c r="K50" s="3" t="n">
        <v>616925.0</v>
      </c>
      <c r="L50" s="3" t="n">
        <v>613591.0</v>
      </c>
      <c r="M50" s="3" t="n">
        <v>610258.0</v>
      </c>
      <c r="N50" s="3" t="n">
        <v>606412.0</v>
      </c>
      <c r="O50" s="3" t="n">
        <v>601869.0</v>
      </c>
      <c r="P50" s="3" t="n">
        <v>596618.0</v>
      </c>
      <c r="Q50" s="3" t="n">
        <v>590039.0</v>
      </c>
      <c r="R50" s="3" t="n">
        <v>582387.0</v>
      </c>
      <c r="S50" s="3" t="n">
        <v>573888.0</v>
      </c>
      <c r="T50" s="3" t="n">
        <v>564956.0</v>
      </c>
      <c r="U50" s="3" t="n">
        <v>555112.0</v>
      </c>
      <c r="V50" s="3" t="n">
        <v>544554.0</v>
      </c>
      <c r="W50" s="3" t="n">
        <v>534503.0</v>
      </c>
      <c r="X50" s="3" t="n">
        <v>524063.0</v>
      </c>
      <c r="Y50" s="3" t="n">
        <v>513237.0</v>
      </c>
      <c r="Z50" s="3" t="n">
        <v>502192.0</v>
      </c>
      <c r="AA50" s="3" t="n">
        <v>491332.0</v>
      </c>
      <c r="AB50" s="3" t="n">
        <v>479844.0</v>
      </c>
      <c r="AC50" s="3" t="n">
        <v>467809.0</v>
      </c>
      <c r="AD50" s="3" t="n">
        <v>456269.0</v>
      </c>
      <c r="AE50" s="3" t="n">
        <v>445323.0</v>
      </c>
      <c r="AF50" s="3" t="n">
        <v>435460.0</v>
      </c>
      <c r="AG50" s="3" t="n">
        <v>426131.0</v>
      </c>
      <c r="AH50" s="3" t="n">
        <v>417405.0</v>
      </c>
      <c r="AI50" s="3" t="n">
        <v>409004.0</v>
      </c>
      <c r="AJ50" s="3" t="n">
        <v>400657.0</v>
      </c>
      <c r="AK50" s="3" t="n">
        <v>392782.0</v>
      </c>
      <c r="AL50" s="3" t="n">
        <v>385736.0</v>
      </c>
      <c r="AM50" s="3" t="n">
        <v>378898.0</v>
      </c>
      <c r="AN50" s="3" t="n">
        <v>372660.0</v>
      </c>
      <c r="AO50" s="3" t="n">
        <v>367011.0</v>
      </c>
    </row>
    <row r="51" spans="1:41" x14ac:dyDescent="0.2">
      <c r="A51" s="136"/>
      <c r="B51" s="64" t="s">
        <v>5</v>
      </c>
      <c r="C51" s="3" t="n">
        <v>233945.0</v>
      </c>
      <c r="D51" s="3" t="n">
        <v>239859.0</v>
      </c>
      <c r="E51" s="3" t="n">
        <v>244762.0</v>
      </c>
      <c r="F51" s="3" t="n">
        <v>248757.0</v>
      </c>
      <c r="G51" s="3" t="n">
        <v>251690.0</v>
      </c>
      <c r="H51" s="3" t="n">
        <v>254122.0</v>
      </c>
      <c r="I51" s="3" t="n">
        <v>256249.0</v>
      </c>
      <c r="J51" s="3" t="n">
        <v>257625.0</v>
      </c>
      <c r="K51" s="3" t="n">
        <v>258775.0</v>
      </c>
      <c r="L51" s="3" t="n">
        <v>259317.0</v>
      </c>
      <c r="M51" s="3" t="n">
        <v>259736.0</v>
      </c>
      <c r="N51" s="3" t="n">
        <v>260056.0</v>
      </c>
      <c r="O51" s="3" t="n">
        <v>260486.0</v>
      </c>
      <c r="P51" s="3" t="n">
        <v>260755.0</v>
      </c>
      <c r="Q51" s="3" t="n">
        <v>261531.0</v>
      </c>
      <c r="R51" s="3" t="n">
        <v>262191.0</v>
      </c>
      <c r="S51" s="3" t="n">
        <v>263295.0</v>
      </c>
      <c r="T51" s="3" t="n">
        <v>264325.0</v>
      </c>
      <c r="U51" s="3" t="n">
        <v>265953.0</v>
      </c>
      <c r="V51" s="3" t="n">
        <v>267895.0</v>
      </c>
      <c r="W51" s="3" t="n">
        <v>269127.0</v>
      </c>
      <c r="X51" s="3" t="n">
        <v>270469.0</v>
      </c>
      <c r="Y51" s="3" t="n">
        <v>272114.0</v>
      </c>
      <c r="Z51" s="3" t="n">
        <v>273820.0</v>
      </c>
      <c r="AA51" s="3" t="n">
        <v>275155.0</v>
      </c>
      <c r="AB51" s="3" t="n">
        <v>277191.0</v>
      </c>
      <c r="AC51" s="3" t="n">
        <v>279695.0</v>
      </c>
      <c r="AD51" s="3" t="n">
        <v>281714.0</v>
      </c>
      <c r="AE51" s="3" t="n">
        <v>283299.0</v>
      </c>
      <c r="AF51" s="3" t="n">
        <v>283822.0</v>
      </c>
      <c r="AG51" s="3" t="n">
        <v>283913.0</v>
      </c>
      <c r="AH51" s="3" t="n">
        <v>283558.0</v>
      </c>
      <c r="AI51" s="3" t="n">
        <v>282925.0</v>
      </c>
      <c r="AJ51" s="3" t="n">
        <v>282302.0</v>
      </c>
      <c r="AK51" s="3" t="n">
        <v>281298.0</v>
      </c>
      <c r="AL51" s="3" t="n">
        <v>279502.0</v>
      </c>
      <c r="AM51" s="3" t="n">
        <v>277424.0</v>
      </c>
      <c r="AN51" s="3" t="n">
        <v>274740.0</v>
      </c>
      <c r="AO51" s="3" t="n">
        <v>271524.0</v>
      </c>
    </row>
    <row r="52" spans="1:41" x14ac:dyDescent="0.2">
      <c r="A52" s="136"/>
      <c r="B52" s="64" t="s">
        <v>6</v>
      </c>
      <c r="C52" s="3" t="n">
        <v>55763.0</v>
      </c>
      <c r="D52" s="3" t="n">
        <v>55538.0</v>
      </c>
      <c r="E52" s="3" t="n">
        <v>54971.0</v>
      </c>
      <c r="F52" s="3" t="n">
        <v>54430.0</v>
      </c>
      <c r="G52" s="3" t="n">
        <v>57386.0</v>
      </c>
      <c r="H52" s="3" t="n">
        <v>60670.0</v>
      </c>
      <c r="I52" s="3" t="n">
        <v>64290.0</v>
      </c>
      <c r="J52" s="3" t="n">
        <v>68164.0</v>
      </c>
      <c r="K52" s="3" t="n">
        <v>72139.0</v>
      </c>
      <c r="L52" s="3" t="n">
        <v>75963.0</v>
      </c>
      <c r="M52" s="3" t="n">
        <v>79546.0</v>
      </c>
      <c r="N52" s="3" t="n">
        <v>82986.0</v>
      </c>
      <c r="O52" s="3" t="n">
        <v>86317.0</v>
      </c>
      <c r="P52" s="3" t="n">
        <v>89679.0</v>
      </c>
      <c r="Q52" s="3" t="n">
        <v>92834.0</v>
      </c>
      <c r="R52" s="3" t="n">
        <v>95762.0</v>
      </c>
      <c r="S52" s="3" t="n">
        <v>98233.0</v>
      </c>
      <c r="T52" s="3" t="n">
        <v>99806.0</v>
      </c>
      <c r="U52" s="3" t="n">
        <v>100621.0</v>
      </c>
      <c r="V52" s="3" t="n">
        <v>100494.0</v>
      </c>
      <c r="W52" s="3" t="n">
        <v>99979.0</v>
      </c>
      <c r="X52" s="3" t="n">
        <v>99238.0</v>
      </c>
      <c r="Y52" s="3" t="n">
        <v>98114.0</v>
      </c>
      <c r="Z52" s="3" t="n">
        <v>96889.0</v>
      </c>
      <c r="AA52" s="3" t="n">
        <v>95306.0</v>
      </c>
      <c r="AB52" s="3" t="n">
        <v>93953.0</v>
      </c>
      <c r="AC52" s="3" t="n">
        <v>92688.0</v>
      </c>
      <c r="AD52" s="3" t="n">
        <v>91688.0</v>
      </c>
      <c r="AE52" s="3" t="n">
        <v>90945.0</v>
      </c>
      <c r="AF52" s="3" t="n">
        <v>90748.0</v>
      </c>
      <c r="AG52" s="3" t="n">
        <v>90781.0</v>
      </c>
      <c r="AH52" s="3" t="n">
        <v>91383.0</v>
      </c>
      <c r="AI52" s="3" t="n">
        <v>92135.0</v>
      </c>
      <c r="AJ52" s="3" t="n">
        <v>93439.0</v>
      </c>
      <c r="AK52" s="3" t="n">
        <v>95209.0</v>
      </c>
      <c r="AL52" s="3" t="n">
        <v>96485.0</v>
      </c>
      <c r="AM52" s="3" t="n">
        <v>97906.0</v>
      </c>
      <c r="AN52" s="3" t="n">
        <v>99478.0</v>
      </c>
      <c r="AO52" s="3" t="n">
        <v>101173.0</v>
      </c>
    </row>
    <row r="53" spans="1:41" x14ac:dyDescent="0.2">
      <c r="A53" s="137"/>
      <c r="B53" s="66" t="s">
        <v>7</v>
      </c>
      <c r="C53" s="4" t="n">
        <v>455364.0</v>
      </c>
      <c r="D53" s="4" t="n">
        <v>451212.0</v>
      </c>
      <c r="E53" s="4" t="n">
        <v>447018.0</v>
      </c>
      <c r="F53" s="4" t="n">
        <v>441667.0</v>
      </c>
      <c r="G53" s="4" t="n">
        <v>434923.0</v>
      </c>
      <c r="H53" s="4" t="n">
        <v>429433.0</v>
      </c>
      <c r="I53" s="4" t="n">
        <v>423438.0</v>
      </c>
      <c r="J53" s="4" t="n">
        <v>416832.0</v>
      </c>
      <c r="K53" s="4" t="n">
        <v>409657.0</v>
      </c>
      <c r="L53" s="4" t="n">
        <v>402986.0</v>
      </c>
      <c r="M53" s="4" t="n">
        <v>395816.0</v>
      </c>
      <c r="N53" s="4" t="n">
        <v>387660.0</v>
      </c>
      <c r="O53" s="4" t="n">
        <v>379593.0</v>
      </c>
      <c r="P53" s="4" t="n">
        <v>371554.0</v>
      </c>
      <c r="Q53" s="4" t="n">
        <v>364020.0</v>
      </c>
      <c r="R53" s="4" t="n">
        <v>356133.0</v>
      </c>
      <c r="S53" s="4" t="n">
        <v>348596.0</v>
      </c>
      <c r="T53" s="4" t="n">
        <v>341125.0</v>
      </c>
      <c r="U53" s="4" t="n">
        <v>333461.0</v>
      </c>
      <c r="V53" s="4" t="n">
        <v>326139.0</v>
      </c>
      <c r="W53" s="4" t="n">
        <v>319528.0</v>
      </c>
      <c r="X53" s="4" t="n">
        <v>313039.0</v>
      </c>
      <c r="Y53" s="4" t="n">
        <v>307090.0</v>
      </c>
      <c r="Z53" s="4" t="n">
        <v>301719.0</v>
      </c>
      <c r="AA53" s="4" t="n">
        <v>296520.0</v>
      </c>
      <c r="AB53" s="4" t="n">
        <v>291745.0</v>
      </c>
      <c r="AC53" s="4" t="n">
        <v>287281.0</v>
      </c>
      <c r="AD53" s="4" t="n">
        <v>282982.0</v>
      </c>
      <c r="AE53" s="4" t="n">
        <v>278682.0</v>
      </c>
      <c r="AF53" s="4" t="n">
        <v>274681.0</v>
      </c>
      <c r="AG53" s="4" t="n">
        <v>270998.0</v>
      </c>
      <c r="AH53" s="4" t="n">
        <v>267401.0</v>
      </c>
      <c r="AI53" s="4" t="n">
        <v>263582.0</v>
      </c>
      <c r="AJ53" s="4" t="n">
        <v>259628.0</v>
      </c>
      <c r="AK53" s="4" t="n">
        <v>255264.0</v>
      </c>
      <c r="AL53" s="4" t="n">
        <v>250434.0</v>
      </c>
      <c r="AM53" s="4" t="n">
        <v>244790.0</v>
      </c>
      <c r="AN53" s="4" t="n">
        <v>238992.0</v>
      </c>
      <c r="AO53" s="4" t="n">
        <v>233486.0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47" t="s">
        <v>55</v>
      </c>
      <c r="C1" s="147"/>
      <c r="D1" s="147"/>
      <c r="E1" s="40"/>
      <c r="F1" s="40"/>
      <c r="G1" s="41"/>
      <c r="H1" s="8"/>
      <c r="I1" s="8"/>
    </row>
    <row r="2" spans="1:9" ht="12" customHeight="1" x14ac:dyDescent="0.2">
      <c r="A2" s="130" t="s">
        <v>82</v>
      </c>
      <c r="B2" s="130"/>
      <c r="C2" s="45" t="s">
        <v>56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1" t="s">
        <v>83</v>
      </c>
      <c r="B3" s="82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105</v>
      </c>
      <c r="B4" s="23"/>
      <c r="C4" s="23"/>
      <c r="D4" s="23"/>
      <c r="E4" s="23"/>
      <c r="F4" s="23"/>
      <c r="G4" s="32"/>
    </row>
    <row r="5" spans="1:9" ht="31.9" customHeight="1" x14ac:dyDescent="0.2">
      <c r="A5" s="139" t="s">
        <v>65</v>
      </c>
      <c r="B5" s="141" t="s">
        <v>59</v>
      </c>
      <c r="C5" s="142"/>
      <c r="D5" s="143" t="s">
        <v>57</v>
      </c>
      <c r="E5" s="144"/>
      <c r="F5" s="145" t="s">
        <v>58</v>
      </c>
      <c r="G5" s="146"/>
    </row>
    <row r="6" spans="1:9" ht="25.15" customHeight="1" x14ac:dyDescent="0.2">
      <c r="A6" s="140"/>
      <c r="B6" s="46" t="s">
        <v>104</v>
      </c>
      <c r="C6" s="52" t="s">
        <v>60</v>
      </c>
      <c r="D6" s="57" t="s">
        <v>61</v>
      </c>
      <c r="E6" s="58" t="s">
        <v>62</v>
      </c>
      <c r="F6" s="48" t="s">
        <v>103</v>
      </c>
      <c r="G6" s="47" t="s">
        <v>63</v>
      </c>
    </row>
    <row r="7" spans="1:9" x14ac:dyDescent="0.2">
      <c r="A7" s="49">
        <v>2023</v>
      </c>
      <c r="B7" s="1" t="n">
        <v>14082.0</v>
      </c>
      <c r="C7" s="53" t="n">
        <v>23075.0</v>
      </c>
      <c r="D7" s="59" t="n">
        <v>20964.0</v>
      </c>
      <c r="E7" s="53" t="n">
        <v>22486.0</v>
      </c>
      <c r="F7" s="2" t="n">
        <v>546.0</v>
      </c>
      <c r="G7" s="2" t="n">
        <v>670.0</v>
      </c>
    </row>
    <row r="8" spans="1:9" x14ac:dyDescent="0.2">
      <c r="A8" s="50">
        <v>2024</v>
      </c>
      <c r="B8" s="1" t="n">
        <v>13575.0</v>
      </c>
      <c r="C8" s="54" t="n">
        <v>23244.0</v>
      </c>
      <c r="D8" s="59" t="n">
        <v>20618.0</v>
      </c>
      <c r="E8" s="54" t="n">
        <v>22057.0</v>
      </c>
      <c r="F8" s="2" t="n">
        <v>531.0</v>
      </c>
      <c r="G8" s="2" t="n">
        <v>731.0</v>
      </c>
    </row>
    <row r="9" spans="1:9" x14ac:dyDescent="0.2">
      <c r="A9" s="50">
        <v>2025</v>
      </c>
      <c r="B9" s="1" t="n">
        <v>13119.0</v>
      </c>
      <c r="C9" s="54" t="n">
        <v>23466.0</v>
      </c>
      <c r="D9" s="59" t="n">
        <v>20295.0</v>
      </c>
      <c r="E9" s="54" t="n">
        <v>21661.0</v>
      </c>
      <c r="F9" s="2" t="n">
        <v>536.0</v>
      </c>
      <c r="G9" s="2" t="n">
        <v>777.0</v>
      </c>
    </row>
    <row r="10" spans="1:9" x14ac:dyDescent="0.2">
      <c r="A10" s="50">
        <v>2026</v>
      </c>
      <c r="B10" s="1" t="n">
        <v>12721.0</v>
      </c>
      <c r="C10" s="54" t="n">
        <v>23726.0</v>
      </c>
      <c r="D10" s="59" t="n">
        <v>19992.0</v>
      </c>
      <c r="E10" s="54" t="n">
        <v>21221.0</v>
      </c>
      <c r="F10" s="2" t="n">
        <v>565.0</v>
      </c>
      <c r="G10" s="2" t="n">
        <v>825.0</v>
      </c>
    </row>
    <row r="11" spans="1:9" x14ac:dyDescent="0.2">
      <c r="A11" s="50">
        <v>2027</v>
      </c>
      <c r="B11" s="1" t="n">
        <v>12392.0</v>
      </c>
      <c r="C11" s="54" t="n">
        <v>23944.0</v>
      </c>
      <c r="D11" s="59" t="n">
        <v>19701.0</v>
      </c>
      <c r="E11" s="54" t="n">
        <v>20886.0</v>
      </c>
      <c r="F11" s="2" t="n">
        <v>1926.0</v>
      </c>
      <c r="G11" s="2" t="n">
        <v>853.0</v>
      </c>
    </row>
    <row r="12" spans="1:9" x14ac:dyDescent="0.2">
      <c r="A12" s="50">
        <v>2028</v>
      </c>
      <c r="B12" s="1" t="n">
        <v>12126.0</v>
      </c>
      <c r="C12" s="54" t="n">
        <v>24294.0</v>
      </c>
      <c r="D12" s="59" t="n">
        <v>19405.0</v>
      </c>
      <c r="E12" s="54" t="n">
        <v>20550.0</v>
      </c>
      <c r="F12" s="2" t="n">
        <v>2406.0</v>
      </c>
      <c r="G12" s="2" t="n">
        <v>876.0</v>
      </c>
    </row>
    <row r="13" spans="1:9" x14ac:dyDescent="0.2">
      <c r="A13" s="50">
        <v>2029</v>
      </c>
      <c r="B13" s="1" t="n">
        <v>11870.0</v>
      </c>
      <c r="C13" s="54" t="n">
        <v>24548.0</v>
      </c>
      <c r="D13" s="59" t="n">
        <v>19182.0</v>
      </c>
      <c r="E13" s="54" t="n">
        <v>20221.0</v>
      </c>
      <c r="F13" s="2" t="n">
        <v>1370.0</v>
      </c>
      <c r="G13" s="2" t="n">
        <v>907.0</v>
      </c>
    </row>
    <row r="14" spans="1:9" x14ac:dyDescent="0.2">
      <c r="A14" s="50">
        <v>2030</v>
      </c>
      <c r="B14" s="1" t="n">
        <v>11666.0</v>
      </c>
      <c r="C14" s="54" t="n">
        <v>24796.0</v>
      </c>
      <c r="D14" s="59" t="n">
        <v>18980.0</v>
      </c>
      <c r="E14" s="54" t="n">
        <v>19941.0</v>
      </c>
      <c r="F14" s="2" t="n">
        <v>848.0</v>
      </c>
      <c r="G14" s="2" t="n">
        <v>932.0</v>
      </c>
    </row>
    <row r="15" spans="1:9" x14ac:dyDescent="0.2">
      <c r="A15" s="50">
        <v>2031</v>
      </c>
      <c r="B15" s="1" t="n">
        <v>11467.0</v>
      </c>
      <c r="C15" s="54" t="n">
        <v>25094.0</v>
      </c>
      <c r="D15" s="59" t="n">
        <v>18787.0</v>
      </c>
      <c r="E15" s="54" t="n">
        <v>19679.0</v>
      </c>
      <c r="F15" s="2" t="n">
        <v>652.0</v>
      </c>
      <c r="G15" s="2" t="n">
        <v>946.0</v>
      </c>
    </row>
    <row r="16" spans="1:9" x14ac:dyDescent="0.2">
      <c r="A16" s="50">
        <v>2032</v>
      </c>
      <c r="B16" s="1" t="n">
        <v>11316.0</v>
      </c>
      <c r="C16" s="54" t="n">
        <v>25495.0</v>
      </c>
      <c r="D16" s="59" t="n">
        <v>18553.0</v>
      </c>
      <c r="E16" s="54" t="n">
        <v>19476.0</v>
      </c>
      <c r="F16" s="2" t="n">
        <v>553.0</v>
      </c>
      <c r="G16" s="2" t="n">
        <v>962.0</v>
      </c>
    </row>
    <row r="17" spans="1:7" x14ac:dyDescent="0.2">
      <c r="A17" s="50">
        <v>2033</v>
      </c>
      <c r="B17" s="1" t="n">
        <v>11179.0</v>
      </c>
      <c r="C17" s="54" t="n">
        <v>25878.0</v>
      </c>
      <c r="D17" s="59" t="n">
        <v>18364.0</v>
      </c>
      <c r="E17" s="54" t="n">
        <v>19273.0</v>
      </c>
      <c r="F17" s="2" t="n">
        <v>485.0</v>
      </c>
      <c r="G17" s="2" t="n">
        <v>974.0</v>
      </c>
    </row>
    <row r="18" spans="1:7" x14ac:dyDescent="0.2">
      <c r="A18" s="50">
        <v>2034</v>
      </c>
      <c r="B18" s="1" t="n">
        <v>11109.0</v>
      </c>
      <c r="C18" s="55" t="n">
        <v>26178.0</v>
      </c>
      <c r="D18" s="59" t="n">
        <v>18191.0</v>
      </c>
      <c r="E18" s="55" t="n">
        <v>19075.0</v>
      </c>
      <c r="F18" s="2" t="n">
        <v>462.0</v>
      </c>
      <c r="G18" s="2" t="n">
        <v>995.0</v>
      </c>
    </row>
    <row r="19" spans="1:7" x14ac:dyDescent="0.2">
      <c r="A19" s="50">
        <v>2035</v>
      </c>
      <c r="B19" s="1" t="n">
        <v>11049.0</v>
      </c>
      <c r="C19" s="55" t="n">
        <v>26571.0</v>
      </c>
      <c r="D19" s="59" t="n">
        <v>18029.0</v>
      </c>
      <c r="E19" s="55" t="n">
        <v>18902.0</v>
      </c>
      <c r="F19" s="2" t="n">
        <v>459.0</v>
      </c>
      <c r="G19" s="2" t="n">
        <v>1011.0</v>
      </c>
    </row>
    <row r="20" spans="1:7" x14ac:dyDescent="0.2">
      <c r="A20" s="50">
        <v>2036</v>
      </c>
      <c r="B20" s="1" t="n">
        <v>11007.0</v>
      </c>
      <c r="C20" s="54" t="n">
        <v>26800.0</v>
      </c>
      <c r="D20" s="59" t="n">
        <v>17833.0</v>
      </c>
      <c r="E20" s="54" t="n">
        <v>18696.0</v>
      </c>
      <c r="F20" s="2" t="n">
        <v>458.0</v>
      </c>
      <c r="G20" s="2" t="n">
        <v>1012.0</v>
      </c>
    </row>
    <row r="21" spans="1:7" x14ac:dyDescent="0.2">
      <c r="A21" s="50">
        <v>2037</v>
      </c>
      <c r="B21" s="1" t="n">
        <v>10988.0</v>
      </c>
      <c r="C21" s="54" t="n">
        <v>27279.0</v>
      </c>
      <c r="D21" s="59" t="n">
        <v>17678.0</v>
      </c>
      <c r="E21" s="54" t="n">
        <v>18542.0</v>
      </c>
      <c r="F21" s="2" t="n">
        <v>458.0</v>
      </c>
      <c r="G21" s="2" t="n">
        <v>1033.0</v>
      </c>
    </row>
    <row r="22" spans="1:7" x14ac:dyDescent="0.2">
      <c r="A22" s="50">
        <v>2038</v>
      </c>
      <c r="B22" s="1" t="n">
        <v>10976.0</v>
      </c>
      <c r="C22" s="54" t="n">
        <v>27463.0</v>
      </c>
      <c r="D22" s="59" t="n">
        <v>17507.0</v>
      </c>
      <c r="E22" s="54" t="n">
        <v>18367.0</v>
      </c>
      <c r="F22" s="2" t="n">
        <v>455.0</v>
      </c>
      <c r="G22" s="2" t="n">
        <v>1044.0</v>
      </c>
    </row>
    <row r="23" spans="1:7" x14ac:dyDescent="0.2">
      <c r="A23" s="50">
        <v>2039</v>
      </c>
      <c r="B23" s="1" t="n">
        <v>10956.0</v>
      </c>
      <c r="C23" s="54" t="n">
        <v>27860.0</v>
      </c>
      <c r="D23" s="59" t="n">
        <v>17347.0</v>
      </c>
      <c r="E23" s="54" t="n">
        <v>18205.0</v>
      </c>
      <c r="F23" s="2" t="n">
        <v>452.0</v>
      </c>
      <c r="G23" s="2" t="n">
        <v>1058.0</v>
      </c>
    </row>
    <row r="24" spans="1:7" x14ac:dyDescent="0.2">
      <c r="A24" s="50">
        <v>2040</v>
      </c>
      <c r="B24" s="1" t="n">
        <v>10920.0</v>
      </c>
      <c r="C24" s="54" t="n">
        <v>27968.0</v>
      </c>
      <c r="D24" s="59" t="n">
        <v>17186.0</v>
      </c>
      <c r="E24" s="54" t="n">
        <v>18049.0</v>
      </c>
      <c r="F24" s="2" t="n">
        <v>449.0</v>
      </c>
      <c r="G24" s="2" t="n">
        <v>1078.0</v>
      </c>
    </row>
    <row r="25" spans="1:7" x14ac:dyDescent="0.2">
      <c r="A25" s="50">
        <v>2041</v>
      </c>
      <c r="B25" s="1" t="n">
        <v>10878.0</v>
      </c>
      <c r="C25" s="54" t="n">
        <v>28207.0</v>
      </c>
      <c r="D25" s="59" t="n">
        <v>17023.0</v>
      </c>
      <c r="E25" s="54" t="n">
        <v>17836.0</v>
      </c>
      <c r="F25" s="2" t="n">
        <v>446.0</v>
      </c>
      <c r="G25" s="2" t="n">
        <v>1087.0</v>
      </c>
    </row>
    <row r="26" spans="1:7" x14ac:dyDescent="0.2">
      <c r="A26" s="50">
        <v>2042</v>
      </c>
      <c r="B26" s="1" t="n">
        <v>10816.0</v>
      </c>
      <c r="C26" s="54" t="n">
        <v>28354.0</v>
      </c>
      <c r="D26" s="59" t="n">
        <v>16874.0</v>
      </c>
      <c r="E26" s="54" t="n">
        <v>17650.0</v>
      </c>
      <c r="F26" s="2" t="n">
        <v>446.0</v>
      </c>
      <c r="G26" s="2" t="n">
        <v>1089.0</v>
      </c>
    </row>
    <row r="27" spans="1:7" x14ac:dyDescent="0.2">
      <c r="A27" s="50">
        <v>2043</v>
      </c>
      <c r="B27" s="1" t="n">
        <v>10736.0</v>
      </c>
      <c r="C27" s="54" t="n">
        <v>28454.0</v>
      </c>
      <c r="D27" s="59" t="n">
        <v>16712.0</v>
      </c>
      <c r="E27" s="54" t="n">
        <v>17437.0</v>
      </c>
      <c r="F27" s="2" t="n">
        <v>444.0</v>
      </c>
      <c r="G27" s="2" t="n">
        <v>1104.0</v>
      </c>
    </row>
    <row r="28" spans="1:7" x14ac:dyDescent="0.2">
      <c r="A28" s="50">
        <v>2044</v>
      </c>
      <c r="B28" s="1" t="n">
        <v>10611.0</v>
      </c>
      <c r="C28" s="54" t="n">
        <v>28491.0</v>
      </c>
      <c r="D28" s="59" t="n">
        <v>16526.0</v>
      </c>
      <c r="E28" s="54" t="n">
        <v>17199.0</v>
      </c>
      <c r="F28" s="2" t="n">
        <v>442.0</v>
      </c>
      <c r="G28" s="2" t="n">
        <v>1113.0</v>
      </c>
    </row>
    <row r="29" spans="1:7" x14ac:dyDescent="0.2">
      <c r="A29" s="50">
        <v>2045</v>
      </c>
      <c r="B29" s="1" t="n">
        <v>10491.0</v>
      </c>
      <c r="C29" s="54" t="n">
        <v>28569.0</v>
      </c>
      <c r="D29" s="59" t="n">
        <v>16323.0</v>
      </c>
      <c r="E29" s="54" t="n">
        <v>16978.0</v>
      </c>
      <c r="F29" s="2" t="n">
        <v>440.0</v>
      </c>
      <c r="G29" s="2" t="n">
        <v>1114.0</v>
      </c>
    </row>
    <row r="30" spans="1:7" x14ac:dyDescent="0.2">
      <c r="A30" s="50">
        <v>2046</v>
      </c>
      <c r="B30" s="1" t="n">
        <v>10309.0</v>
      </c>
      <c r="C30" s="54" t="n">
        <v>28566.0</v>
      </c>
      <c r="D30" s="59" t="n">
        <v>16088.0</v>
      </c>
      <c r="E30" s="54" t="n">
        <v>16752.0</v>
      </c>
      <c r="F30" s="2" t="n">
        <v>438.0</v>
      </c>
      <c r="G30" s="2" t="n">
        <v>1129.0</v>
      </c>
    </row>
    <row r="31" spans="1:7" x14ac:dyDescent="0.2">
      <c r="A31" s="50">
        <v>2047</v>
      </c>
      <c r="B31" s="1" t="n">
        <v>10101.0</v>
      </c>
      <c r="C31" s="54" t="n">
        <v>28443.0</v>
      </c>
      <c r="D31" s="59" t="n">
        <v>15864.0</v>
      </c>
      <c r="E31" s="54" t="n">
        <v>16468.0</v>
      </c>
      <c r="F31" s="2" t="n">
        <v>437.0</v>
      </c>
      <c r="G31" s="2" t="n">
        <v>1140.0</v>
      </c>
    </row>
    <row r="32" spans="1:7" x14ac:dyDescent="0.2">
      <c r="A32" s="50">
        <v>2048</v>
      </c>
      <c r="B32" s="1" t="n">
        <v>9886.0</v>
      </c>
      <c r="C32" s="54" t="n">
        <v>28354.0</v>
      </c>
      <c r="D32" s="59" t="n">
        <v>15616.0</v>
      </c>
      <c r="E32" s="54" t="n">
        <v>16172.0</v>
      </c>
      <c r="F32" s="2" t="n">
        <v>436.0</v>
      </c>
      <c r="G32" s="2" t="n">
        <v>1137.0</v>
      </c>
    </row>
    <row r="33" spans="1:7" x14ac:dyDescent="0.2">
      <c r="A33" s="50">
        <v>2049</v>
      </c>
      <c r="B33" s="1" t="n">
        <v>9626.0</v>
      </c>
      <c r="C33" s="54" t="n">
        <v>28327.0</v>
      </c>
      <c r="D33" s="59" t="n">
        <v>15381.0</v>
      </c>
      <c r="E33" s="54" t="n">
        <v>15847.0</v>
      </c>
      <c r="F33" s="2" t="n">
        <v>436.0</v>
      </c>
      <c r="G33" s="2" t="n">
        <v>1155.0</v>
      </c>
    </row>
    <row r="34" spans="1:7" x14ac:dyDescent="0.2">
      <c r="A34" s="50">
        <v>2050</v>
      </c>
      <c r="B34" s="1" t="n">
        <v>9358.0</v>
      </c>
      <c r="C34" s="54" t="n">
        <v>28043.0</v>
      </c>
      <c r="D34" s="59" t="n">
        <v>15101.0</v>
      </c>
      <c r="E34" s="54" t="n">
        <v>15539.0</v>
      </c>
      <c r="F34" s="2" t="n">
        <v>435.0</v>
      </c>
      <c r="G34" s="2" t="n">
        <v>1160.0</v>
      </c>
    </row>
    <row r="35" spans="1:7" x14ac:dyDescent="0.2">
      <c r="A35" s="50">
        <v>2051</v>
      </c>
      <c r="B35" s="1" t="n">
        <v>9090.0</v>
      </c>
      <c r="C35" s="54" t="n">
        <v>27967.0</v>
      </c>
      <c r="D35" s="59" t="n">
        <v>14865.0</v>
      </c>
      <c r="E35" s="54" t="n">
        <v>15256.0</v>
      </c>
      <c r="F35" s="2" t="n">
        <v>432.0</v>
      </c>
      <c r="G35" s="2" t="n">
        <v>1180.0</v>
      </c>
    </row>
    <row r="36" spans="1:7" x14ac:dyDescent="0.2">
      <c r="A36" s="50">
        <v>2052</v>
      </c>
      <c r="B36" s="1" t="n">
        <v>8792.0</v>
      </c>
      <c r="C36" s="54" t="n">
        <v>27762.0</v>
      </c>
      <c r="D36" s="59" t="n">
        <v>14585.0</v>
      </c>
      <c r="E36" s="54" t="n">
        <v>14911.0</v>
      </c>
      <c r="F36" s="2" t="n">
        <v>432.0</v>
      </c>
      <c r="G36" s="2" t="n">
        <v>1174.0</v>
      </c>
    </row>
    <row r="37" spans="1:7" x14ac:dyDescent="0.2">
      <c r="A37" s="50">
        <v>2053</v>
      </c>
      <c r="B37" s="1" t="n">
        <v>8487.0</v>
      </c>
      <c r="C37" s="54" t="n">
        <v>27566.0</v>
      </c>
      <c r="D37" s="59" t="n">
        <v>14341.0</v>
      </c>
      <c r="E37" s="54" t="n">
        <v>14619.0</v>
      </c>
      <c r="F37" s="2" t="n">
        <v>432.0</v>
      </c>
      <c r="G37" s="2" t="n">
        <v>1193.0</v>
      </c>
    </row>
    <row r="38" spans="1:7" x14ac:dyDescent="0.2">
      <c r="A38" s="50">
        <v>2054</v>
      </c>
      <c r="B38" s="1" t="n">
        <v>8198.0</v>
      </c>
      <c r="C38" s="54" t="n">
        <v>27536.0</v>
      </c>
      <c r="D38" s="59" t="n">
        <v>14097.0</v>
      </c>
      <c r="E38" s="54" t="n">
        <v>14301.0</v>
      </c>
      <c r="F38" s="2" t="n">
        <v>432.0</v>
      </c>
      <c r="G38" s="2" t="n">
        <v>1197.0</v>
      </c>
    </row>
    <row r="39" spans="1:7" x14ac:dyDescent="0.2">
      <c r="A39" s="50">
        <v>2055</v>
      </c>
      <c r="B39" s="1" t="n">
        <v>7918.0</v>
      </c>
      <c r="C39" s="54" t="n">
        <v>27347.0</v>
      </c>
      <c r="D39" s="59" t="n">
        <v>13850.0</v>
      </c>
      <c r="E39" s="54" t="n">
        <v>14012.0</v>
      </c>
      <c r="F39" s="2" t="n">
        <v>432.0</v>
      </c>
      <c r="G39" s="2" t="n">
        <v>1205.0</v>
      </c>
    </row>
    <row r="40" spans="1:7" x14ac:dyDescent="0.2">
      <c r="A40" s="50">
        <v>2056</v>
      </c>
      <c r="B40" s="1" t="n">
        <v>7643.0</v>
      </c>
      <c r="C40" s="54" t="n">
        <v>27256.0</v>
      </c>
      <c r="D40" s="59" t="n">
        <v>13594.0</v>
      </c>
      <c r="E40" s="54" t="n">
        <v>13735.0</v>
      </c>
      <c r="F40" s="2" t="n">
        <v>432.0</v>
      </c>
      <c r="G40" s="2" t="n">
        <v>1198.0</v>
      </c>
    </row>
    <row r="41" spans="1:7" x14ac:dyDescent="0.2">
      <c r="A41" s="50">
        <v>2057</v>
      </c>
      <c r="B41" s="1" t="n">
        <v>7377.0</v>
      </c>
      <c r="C41" s="54" t="n">
        <v>27193.0</v>
      </c>
      <c r="D41" s="59" t="n">
        <v>13357.0</v>
      </c>
      <c r="E41" s="54" t="n">
        <v>13428.0</v>
      </c>
      <c r="F41" s="2" t="n">
        <v>432.0</v>
      </c>
      <c r="G41" s="2" t="n">
        <v>1205.0</v>
      </c>
    </row>
    <row r="42" spans="1:7" x14ac:dyDescent="0.2">
      <c r="A42" s="50">
        <v>2058</v>
      </c>
      <c r="B42" s="1" t="n">
        <v>7135.0</v>
      </c>
      <c r="C42" s="54" t="n">
        <v>27108.0</v>
      </c>
      <c r="D42" s="59" t="n">
        <v>13136.0</v>
      </c>
      <c r="E42" s="54" t="n">
        <v>13165.0</v>
      </c>
      <c r="F42" s="2" t="n">
        <v>432.0</v>
      </c>
      <c r="G42" s="2" t="n">
        <v>1219.0</v>
      </c>
    </row>
    <row r="43" spans="1:7" x14ac:dyDescent="0.2">
      <c r="A43" s="50">
        <v>2059</v>
      </c>
      <c r="B43" s="1" t="n">
        <v>6917.0</v>
      </c>
      <c r="C43" s="54" t="n">
        <v>27067.0</v>
      </c>
      <c r="D43" s="59" t="n">
        <v>12875.0</v>
      </c>
      <c r="E43" s="54" t="n">
        <v>12887.0</v>
      </c>
      <c r="F43" s="2" t="n">
        <v>432.0</v>
      </c>
      <c r="G43" s="2" t="n">
        <v>1229.0</v>
      </c>
    </row>
    <row r="44" spans="1:7" x14ac:dyDescent="0.2">
      <c r="A44" s="51">
        <v>2060</v>
      </c>
      <c r="B44" s="5" t="n">
        <v>6704.0</v>
      </c>
      <c r="C44" s="56" t="n">
        <v>26984.0</v>
      </c>
      <c r="D44" s="60" t="n">
        <v>12688.0</v>
      </c>
      <c r="E44" s="56" t="n">
        <v>12643.0</v>
      </c>
      <c r="F44" s="6" t="n">
        <v>431.0</v>
      </c>
      <c r="G44" s="6" t="n">
        <v>1225.0</v>
      </c>
    </row>
  </sheetData>
  <mergeCells count="6">
    <mergeCell ref="A5:A6"/>
    <mergeCell ref="B5:C5"/>
    <mergeCell ref="D5:E5"/>
    <mergeCell ref="F5:G5"/>
    <mergeCell ref="B1:D1"/>
    <mergeCell ref="A2:B2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FF6966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85" width="23.7109375"/>
    <col min="4" max="4" customWidth="true" style="85" width="11.7109375"/>
    <col min="5" max="5" style="85" width="9.140625"/>
    <col min="6" max="6" customWidth="true" style="85" width="7.28515625"/>
    <col min="7" max="8" customWidth="true" style="85" width="11.85546875"/>
    <col min="9" max="21" style="85" width="9.140625"/>
    <col min="22" max="26" style="86" width="9.140625"/>
    <col min="27" max="29" style="87" width="9.140625"/>
    <col min="30" max="32" customWidth="true" style="87" width="15.42578125"/>
    <col min="33" max="33" customWidth="true" style="86" width="15.42578125"/>
    <col min="34" max="35" style="85" width="9.140625"/>
    <col min="36" max="16384" style="88" width="9.140625"/>
  </cols>
  <sheetData>
    <row r="1" spans="1:39" ht="22.9" customHeight="1" x14ac:dyDescent="0.25">
      <c r="A1" s="125"/>
      <c r="B1" s="151" t="s">
        <v>88</v>
      </c>
      <c r="C1" s="152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8"/>
      <c r="R1" s="91"/>
      <c r="S1" s="91"/>
      <c r="T1" s="91"/>
      <c r="U1" s="91"/>
      <c r="V1" s="90"/>
      <c r="W1" s="90"/>
      <c r="X1" s="90"/>
      <c r="Y1" s="90"/>
      <c r="Z1" s="90"/>
      <c r="AA1" s="96"/>
      <c r="AB1" s="96"/>
      <c r="AC1" s="96"/>
      <c r="AD1" s="96"/>
      <c r="AE1" s="96"/>
      <c r="AF1" s="96"/>
      <c r="AG1" s="119"/>
      <c r="AH1" s="120"/>
      <c r="AI1" s="120"/>
      <c r="AJ1" s="121"/>
      <c r="AK1" s="121"/>
      <c r="AL1" s="121"/>
      <c r="AM1" s="121"/>
    </row>
    <row r="2" spans="1:39" ht="12" customHeight="1" x14ac:dyDescent="0.25">
      <c r="A2" s="110" t="s">
        <v>82</v>
      </c>
      <c r="B2" s="153" t="s">
        <v>89</v>
      </c>
      <c r="C2" s="154"/>
      <c r="D2" s="107"/>
      <c r="E2" s="107"/>
      <c r="F2" s="107"/>
      <c r="G2" s="107"/>
      <c r="H2" s="84"/>
      <c r="I2" s="84"/>
      <c r="J2" s="84"/>
      <c r="K2" s="84"/>
      <c r="L2" s="84"/>
      <c r="M2" s="84"/>
      <c r="N2" s="84"/>
      <c r="O2" s="84"/>
      <c r="P2" s="84"/>
      <c r="Q2" s="84"/>
      <c r="R2" s="91"/>
      <c r="S2" s="91"/>
      <c r="T2" s="91"/>
      <c r="U2" s="91"/>
      <c r="V2" s="90"/>
      <c r="W2" s="90"/>
      <c r="X2" s="90"/>
      <c r="Y2" s="90"/>
      <c r="Z2" s="90"/>
      <c r="AA2" s="96"/>
      <c r="AB2" s="96"/>
      <c r="AC2" s="96"/>
      <c r="AD2" s="96"/>
      <c r="AE2" s="96"/>
      <c r="AF2" s="96"/>
      <c r="AG2" s="119"/>
      <c r="AH2" s="120"/>
      <c r="AI2" s="120"/>
      <c r="AJ2" s="121"/>
      <c r="AK2" s="121"/>
      <c r="AL2" s="121"/>
      <c r="AM2" s="121"/>
    </row>
    <row r="3" spans="1:39" ht="12" customHeight="1" thickBot="1" x14ac:dyDescent="0.3">
      <c r="A3" s="111" t="s">
        <v>83</v>
      </c>
      <c r="B3" s="155"/>
      <c r="C3" s="156"/>
      <c r="D3" s="107"/>
      <c r="E3" s="107"/>
      <c r="F3" s="107"/>
      <c r="G3" s="107"/>
      <c r="H3" s="42"/>
      <c r="I3" s="42"/>
      <c r="J3" s="89"/>
      <c r="O3" s="85" t="s">
        <v>38</v>
      </c>
      <c r="P3" s="91"/>
      <c r="Q3" s="91"/>
      <c r="R3" s="91"/>
      <c r="S3" s="91"/>
      <c r="T3" s="91"/>
      <c r="U3" s="91"/>
      <c r="V3" s="90"/>
      <c r="W3" s="90"/>
      <c r="X3" s="90"/>
      <c r="Y3" s="90"/>
      <c r="Z3" s="90"/>
      <c r="AA3" s="96"/>
      <c r="AB3" s="96"/>
      <c r="AC3" s="96"/>
      <c r="AD3" s="96"/>
      <c r="AE3" s="96"/>
      <c r="AF3" s="96"/>
      <c r="AG3" s="119"/>
      <c r="AH3" s="120"/>
      <c r="AI3" s="120"/>
      <c r="AJ3" s="121"/>
      <c r="AK3" s="121"/>
      <c r="AL3" s="121"/>
      <c r="AM3" s="121"/>
    </row>
    <row r="4" spans="1:39" ht="22.9" customHeight="1" thickBot="1" x14ac:dyDescent="0.3">
      <c r="A4" s="148" t="s">
        <v>105</v>
      </c>
      <c r="B4" s="149"/>
      <c r="C4" s="150"/>
      <c r="I4" s="89"/>
      <c r="J4" s="89"/>
      <c r="P4" s="91"/>
      <c r="Q4" s="91"/>
      <c r="R4" s="91"/>
      <c r="S4" s="91"/>
      <c r="T4" s="91"/>
      <c r="U4" s="91"/>
      <c r="V4" s="90"/>
      <c r="W4" s="90"/>
      <c r="X4" s="90"/>
      <c r="Y4" s="90"/>
      <c r="Z4" s="90"/>
      <c r="AA4" s="96"/>
      <c r="AB4" s="96"/>
      <c r="AC4" s="96"/>
      <c r="AD4" s="96"/>
      <c r="AE4" s="96"/>
      <c r="AF4" s="96"/>
      <c r="AG4" s="119"/>
      <c r="AH4" s="120"/>
      <c r="AI4" s="120"/>
      <c r="AJ4" s="121"/>
      <c r="AK4" s="121"/>
      <c r="AL4" s="121"/>
      <c r="AM4" s="121"/>
    </row>
    <row r="5" spans="1:39" ht="16.899999999999999" customHeight="1" x14ac:dyDescent="0.25">
      <c r="A5" s="92"/>
      <c r="B5" s="93"/>
      <c r="C5" s="112"/>
      <c r="P5" s="91"/>
      <c r="Q5" s="91"/>
      <c r="R5" s="91"/>
      <c r="S5" s="91"/>
      <c r="T5" s="91"/>
      <c r="U5" s="91"/>
      <c r="V5" s="90"/>
      <c r="W5" s="90"/>
      <c r="X5" s="90"/>
      <c r="Y5" s="90"/>
      <c r="Z5" s="90"/>
      <c r="AA5" s="96"/>
      <c r="AB5" s="96"/>
      <c r="AC5" s="96"/>
      <c r="AD5" s="96"/>
      <c r="AE5" s="96"/>
      <c r="AF5" s="96"/>
      <c r="AG5" s="119"/>
      <c r="AH5" s="120"/>
      <c r="AI5" s="120"/>
      <c r="AJ5" s="121"/>
      <c r="AK5" s="121"/>
      <c r="AL5" s="121"/>
      <c r="AM5" s="121"/>
    </row>
    <row r="6" spans="1:39" ht="16.899999999999999" customHeight="1" thickBot="1" x14ac:dyDescent="0.3">
      <c r="A6" s="94" t="s">
        <v>38</v>
      </c>
      <c r="B6" s="124" t="s">
        <v>101</v>
      </c>
      <c r="C6" s="113"/>
      <c r="I6" s="95"/>
      <c r="P6" s="91"/>
      <c r="Q6" s="91"/>
      <c r="R6" s="91"/>
      <c r="S6" s="91"/>
      <c r="T6" s="91"/>
      <c r="U6" s="91"/>
      <c r="V6" s="90"/>
      <c r="W6" s="90"/>
      <c r="X6" s="90"/>
      <c r="Y6" s="90"/>
      <c r="Z6" s="90"/>
      <c r="AA6" s="96"/>
      <c r="AB6" s="96"/>
      <c r="AC6" s="96"/>
      <c r="AD6" s="96"/>
      <c r="AE6" s="96"/>
      <c r="AF6" s="96"/>
      <c r="AG6" s="119"/>
      <c r="AH6" s="120"/>
      <c r="AI6" s="120"/>
      <c r="AJ6" s="121"/>
      <c r="AK6" s="121"/>
      <c r="AL6" s="121"/>
      <c r="AM6" s="121"/>
    </row>
    <row r="7" spans="1:39" ht="16.899999999999999" customHeight="1" thickBot="1" x14ac:dyDescent="0.35">
      <c r="A7" s="97"/>
      <c r="B7" s="123"/>
      <c r="C7" s="122">
        <v>2022</v>
      </c>
      <c r="I7" s="95"/>
      <c r="P7" s="91"/>
      <c r="Q7" s="91"/>
      <c r="R7" s="91"/>
      <c r="S7" s="91"/>
      <c r="T7" s="91"/>
      <c r="U7" s="91"/>
      <c r="V7" s="90"/>
      <c r="W7" s="90"/>
      <c r="X7" s="90"/>
      <c r="Y7" s="90"/>
      <c r="Z7" s="90"/>
      <c r="AA7" s="96">
        <v>2022</v>
      </c>
      <c r="AB7" s="96">
        <v>0</v>
      </c>
      <c r="AC7" s="96"/>
      <c r="AD7" s="96" t="s">
        <v>90</v>
      </c>
      <c r="AE7" s="96" t="s">
        <v>91</v>
      </c>
      <c r="AF7" s="96" t="s">
        <v>99</v>
      </c>
      <c r="AG7" s="119" t="s">
        <v>100</v>
      </c>
      <c r="AH7" s="120"/>
      <c r="AI7" s="120"/>
      <c r="AJ7" s="121"/>
      <c r="AK7" s="121"/>
      <c r="AL7" s="121"/>
      <c r="AM7" s="121"/>
    </row>
    <row r="8" spans="1:39" ht="16.899999999999999" customHeight="1" x14ac:dyDescent="0.25">
      <c r="A8" s="97"/>
      <c r="B8" s="124" t="s">
        <v>102</v>
      </c>
      <c r="C8" s="113"/>
      <c r="I8" s="99"/>
      <c r="P8" s="91"/>
      <c r="Q8" s="91"/>
      <c r="R8" s="91"/>
      <c r="S8" s="91"/>
      <c r="T8" s="91"/>
      <c r="U8" s="91"/>
      <c r="V8" s="90"/>
      <c r="W8" s="90"/>
      <c r="X8" s="90"/>
      <c r="Y8" s="90"/>
      <c r="Z8" s="90"/>
      <c r="AA8" s="96">
        <v>2023</v>
      </c>
      <c r="AB8" s="96">
        <v>1</v>
      </c>
      <c r="AC8" s="96"/>
      <c r="AD8" s="100">
        <f>(-1*B12)-AF8</f>
        <v>-9999999</v>
      </c>
      <c r="AE8" s="101">
        <f>C12-AG8</f>
        <v>9999999</v>
      </c>
      <c r="AF8" s="96">
        <f>IF(B12&gt;C12,-1*(B12-C12),0)</f>
        <v>0</v>
      </c>
      <c r="AG8" s="101">
        <f>IF(C12&gt;B12,C12-B12,0)</f>
        <v>0</v>
      </c>
      <c r="AH8" s="120"/>
      <c r="AI8" s="120"/>
      <c r="AJ8" s="121"/>
      <c r="AK8" s="121"/>
      <c r="AL8" s="121"/>
      <c r="AM8" s="121"/>
    </row>
    <row r="9" spans="1:39" ht="16.899999999999999" customHeight="1" x14ac:dyDescent="0.25">
      <c r="A9" s="97"/>
      <c r="B9" s="98"/>
      <c r="C9" s="113"/>
      <c r="I9" s="99"/>
      <c r="P9" s="91"/>
      <c r="Q9" s="91"/>
      <c r="R9" s="91"/>
      <c r="S9" s="91"/>
      <c r="T9" s="91"/>
      <c r="U9" s="91"/>
      <c r="V9" s="90"/>
      <c r="W9" s="90"/>
      <c r="X9" s="90"/>
      <c r="Y9" s="90"/>
      <c r="Z9" s="90"/>
      <c r="AA9" s="96">
        <v>2024</v>
      </c>
      <c r="AB9" s="96">
        <v>2</v>
      </c>
      <c r="AC9" s="96"/>
      <c r="AD9" s="100">
        <f>(-1*B13)-AF9</f>
        <v>-9999999</v>
      </c>
      <c r="AE9" s="101">
        <f>C13-AG9</f>
        <v>9999999</v>
      </c>
      <c r="AF9" s="96">
        <f>IF(B13&gt;C13,-1*(B13-C13),0)</f>
        <v>0</v>
      </c>
      <c r="AG9" s="101">
        <f>IF(C13&gt;B13,C13-B13,0)</f>
        <v>0</v>
      </c>
      <c r="AH9" s="120"/>
      <c r="AI9" s="120"/>
      <c r="AJ9" s="121"/>
      <c r="AK9" s="121"/>
      <c r="AL9" s="121"/>
      <c r="AM9" s="121"/>
    </row>
    <row r="10" spans="1:39" ht="16.899999999999999" customHeight="1" x14ac:dyDescent="0.25">
      <c r="A10" s="98"/>
      <c r="B10" s="89"/>
      <c r="C10" s="113"/>
      <c r="I10" s="99"/>
      <c r="P10" s="91"/>
      <c r="Q10" s="91"/>
      <c r="R10" s="91"/>
      <c r="S10" s="91"/>
      <c r="T10" s="91"/>
      <c r="U10" s="91"/>
      <c r="V10" s="90"/>
      <c r="W10" s="90"/>
      <c r="X10" s="90"/>
      <c r="Y10" s="90"/>
      <c r="Z10" s="90"/>
      <c r="AA10" s="96">
        <v>2025</v>
      </c>
      <c r="AB10" s="96">
        <v>3</v>
      </c>
      <c r="AC10" s="96"/>
      <c r="AD10" s="100">
        <f t="shared" ref="AD10:AD72" si="0">(-1*B14)-AF10</f>
        <v>-9999999</v>
      </c>
      <c r="AE10" s="101">
        <f t="shared" ref="AE10:AE72" si="1">C14-AG10</f>
        <v>9999999</v>
      </c>
      <c r="AF10" s="96">
        <f t="shared" ref="AF10:AF72" si="2">IF(B14&gt;C14,-1*(B14-C14),0)</f>
        <v>0</v>
      </c>
      <c r="AG10" s="101">
        <f t="shared" ref="AG10:AG72" si="3">IF(C14&gt;B14,C14-B14,0)</f>
        <v>0</v>
      </c>
      <c r="AH10" s="120"/>
      <c r="AI10" s="120"/>
      <c r="AJ10" s="121"/>
      <c r="AK10" s="121"/>
      <c r="AL10" s="121"/>
      <c r="AM10" s="121"/>
    </row>
    <row r="11" spans="1:39" ht="16.899999999999999" customHeight="1" x14ac:dyDescent="0.25">
      <c r="A11" s="114" t="s">
        <v>96</v>
      </c>
      <c r="B11" s="114" t="s">
        <v>97</v>
      </c>
      <c r="C11" s="114" t="s">
        <v>98</v>
      </c>
      <c r="I11" s="99"/>
      <c r="P11" s="91"/>
      <c r="Q11" s="120"/>
      <c r="R11" s="91"/>
      <c r="S11" s="91"/>
      <c r="T11" s="91"/>
      <c r="U11" s="91"/>
      <c r="V11" s="90"/>
      <c r="W11" s="90"/>
      <c r="X11" s="90"/>
      <c r="Y11" s="90"/>
      <c r="Z11" s="90"/>
      <c r="AA11" s="96">
        <v>2026</v>
      </c>
      <c r="AB11" s="96">
        <v>4</v>
      </c>
      <c r="AC11" s="96"/>
      <c r="AD11" s="100">
        <f t="shared" si="0"/>
        <v>-9999999</v>
      </c>
      <c r="AE11" s="101">
        <f t="shared" si="1"/>
        <v>9999999</v>
      </c>
      <c r="AF11" s="96">
        <f t="shared" si="2"/>
        <v>0</v>
      </c>
      <c r="AG11" s="101">
        <f t="shared" si="3"/>
        <v>0</v>
      </c>
      <c r="AH11" s="120"/>
      <c r="AI11" s="120"/>
      <c r="AJ11" s="121"/>
      <c r="AK11" s="121"/>
      <c r="AL11" s="121"/>
      <c r="AM11" s="121"/>
    </row>
    <row r="12" spans="1:39" x14ac:dyDescent="0.25">
      <c r="A12" s="117">
        <v>0</v>
      </c>
      <c r="B12" s="118">
        <f>INDEX('Tabl. 1'!$C$8:$AO$313,104+$AB7,MATCH($C$7,$AA$7:$AA$45))</f>
        <v>9999999</v>
      </c>
      <c r="C12" s="118">
        <f>INDEX('Tabl. 1'!$C$8:$AO$313,206+$AB7,MATCH($C$7,$AA$7:$AA$45))</f>
        <v>9999999</v>
      </c>
      <c r="I12" s="99"/>
      <c r="P12" s="91"/>
      <c r="Q12" s="91"/>
      <c r="R12" s="91"/>
      <c r="S12" s="91"/>
      <c r="T12" s="91"/>
      <c r="U12" s="91"/>
      <c r="V12" s="90"/>
      <c r="W12" s="90"/>
      <c r="X12" s="90"/>
      <c r="Y12" s="90"/>
      <c r="Z12" s="90"/>
      <c r="AA12" s="96">
        <v>2027</v>
      </c>
      <c r="AB12" s="96">
        <v>5</v>
      </c>
      <c r="AC12" s="96"/>
      <c r="AD12" s="100">
        <f t="shared" si="0"/>
        <v>-9999999</v>
      </c>
      <c r="AE12" s="101">
        <f t="shared" si="1"/>
        <v>9999999</v>
      </c>
      <c r="AF12" s="96">
        <f t="shared" si="2"/>
        <v>0</v>
      </c>
      <c r="AG12" s="101">
        <f t="shared" si="3"/>
        <v>0</v>
      </c>
      <c r="AH12" s="120"/>
      <c r="AI12" s="120"/>
      <c r="AJ12" s="121"/>
      <c r="AK12" s="121"/>
      <c r="AL12" s="121"/>
      <c r="AM12" s="121"/>
    </row>
    <row r="13" spans="1:39" x14ac:dyDescent="0.25">
      <c r="A13" s="117">
        <v>1</v>
      </c>
      <c r="B13" s="118">
        <f>INDEX('Tabl. 1'!$C$8:$AO$313,104+$AB8,MATCH($C$7,$AA$7:$AA$45))</f>
        <v>9999999</v>
      </c>
      <c r="C13" s="118">
        <f>INDEX('Tabl. 1'!$C$8:$AO$313,206+$AB8,MATCH($C$7,$AA$7:$AA$45))</f>
        <v>9999999</v>
      </c>
      <c r="I13" s="99"/>
      <c r="P13" s="91"/>
      <c r="Q13" s="91"/>
      <c r="R13" s="91"/>
      <c r="S13" s="91"/>
      <c r="T13" s="91"/>
      <c r="U13" s="91"/>
      <c r="V13" s="90"/>
      <c r="W13" s="90"/>
      <c r="X13" s="90"/>
      <c r="Y13" s="90"/>
      <c r="Z13" s="90"/>
      <c r="AA13" s="96">
        <v>2028</v>
      </c>
      <c r="AB13" s="96">
        <v>6</v>
      </c>
      <c r="AC13" s="96"/>
      <c r="AD13" s="100">
        <f t="shared" si="0"/>
        <v>-9999999</v>
      </c>
      <c r="AE13" s="101">
        <f t="shared" si="1"/>
        <v>9999999</v>
      </c>
      <c r="AF13" s="96">
        <f t="shared" si="2"/>
        <v>0</v>
      </c>
      <c r="AG13" s="101">
        <f t="shared" si="3"/>
        <v>0</v>
      </c>
      <c r="AH13" s="120"/>
      <c r="AI13" s="120"/>
      <c r="AJ13" s="121"/>
      <c r="AK13" s="121"/>
      <c r="AL13" s="121"/>
      <c r="AM13" s="121"/>
    </row>
    <row r="14" spans="1:39" x14ac:dyDescent="0.25">
      <c r="A14" s="117">
        <v>2</v>
      </c>
      <c r="B14" s="118">
        <f>INDEX('Tabl. 1'!$C$8:$AO$313,104+$AB9,MATCH($C$7,$AA$7:$AA$45))</f>
        <v>9999999</v>
      </c>
      <c r="C14" s="118">
        <f>INDEX('Tabl. 1'!$C$8:$AO$313,206+$AB9,MATCH($C$7,$AA$7:$AA$45))</f>
        <v>9999999</v>
      </c>
      <c r="I14" s="99"/>
      <c r="P14" s="91"/>
      <c r="Q14" s="91"/>
      <c r="R14" s="91"/>
      <c r="S14" s="91"/>
      <c r="T14" s="91"/>
      <c r="U14" s="91"/>
      <c r="V14" s="90"/>
      <c r="W14" s="90"/>
      <c r="X14" s="90"/>
      <c r="Y14" s="90"/>
      <c r="Z14" s="90"/>
      <c r="AA14" s="96">
        <v>2029</v>
      </c>
      <c r="AB14" s="96">
        <v>7</v>
      </c>
      <c r="AC14" s="96"/>
      <c r="AD14" s="100">
        <f t="shared" si="0"/>
        <v>-9999999</v>
      </c>
      <c r="AE14" s="101">
        <f t="shared" si="1"/>
        <v>9999999</v>
      </c>
      <c r="AF14" s="96">
        <f t="shared" si="2"/>
        <v>0</v>
      </c>
      <c r="AG14" s="101">
        <f t="shared" si="3"/>
        <v>0</v>
      </c>
      <c r="AH14" s="120"/>
      <c r="AI14" s="120"/>
      <c r="AJ14" s="121"/>
      <c r="AK14" s="121"/>
      <c r="AL14" s="121"/>
      <c r="AM14" s="121"/>
    </row>
    <row r="15" spans="1:39" x14ac:dyDescent="0.25">
      <c r="A15" s="117">
        <v>3</v>
      </c>
      <c r="B15" s="118">
        <f>INDEX('Tabl. 1'!$C$8:$AO$313,104+$AB10,MATCH($C$7,$AA$7:$AA$45))</f>
        <v>9999999</v>
      </c>
      <c r="C15" s="118">
        <f>INDEX('Tabl. 1'!$C$8:$AO$313,206+$AB10,MATCH($C$7,$AA$7:$AA$45))</f>
        <v>9999999</v>
      </c>
      <c r="I15" s="99"/>
      <c r="P15" s="91"/>
      <c r="Q15" s="91"/>
      <c r="R15" s="91"/>
      <c r="S15" s="91"/>
      <c r="T15" s="91"/>
      <c r="U15" s="91"/>
      <c r="V15" s="90"/>
      <c r="W15" s="90"/>
      <c r="X15" s="90"/>
      <c r="Y15" s="90"/>
      <c r="Z15" s="90"/>
      <c r="AA15" s="96">
        <v>2030</v>
      </c>
      <c r="AB15" s="96">
        <v>8</v>
      </c>
      <c r="AC15" s="96"/>
      <c r="AD15" s="100">
        <f t="shared" si="0"/>
        <v>-9999999</v>
      </c>
      <c r="AE15" s="101">
        <f t="shared" si="1"/>
        <v>9999999</v>
      </c>
      <c r="AF15" s="96">
        <f t="shared" si="2"/>
        <v>0</v>
      </c>
      <c r="AG15" s="101">
        <f t="shared" si="3"/>
        <v>0</v>
      </c>
      <c r="AH15" s="120"/>
      <c r="AI15" s="120"/>
      <c r="AJ15" s="121"/>
      <c r="AK15" s="121"/>
      <c r="AL15" s="121"/>
      <c r="AM15" s="121"/>
    </row>
    <row r="16" spans="1:39" x14ac:dyDescent="0.25">
      <c r="A16" s="117">
        <v>4</v>
      </c>
      <c r="B16" s="118">
        <f>INDEX('Tabl. 1'!$C$8:$AO$313,104+$AB11,MATCH($C$7,$AA$7:$AA$45))</f>
        <v>9999999</v>
      </c>
      <c r="C16" s="118">
        <f>INDEX('Tabl. 1'!$C$8:$AO$313,206+$AB11,MATCH($C$7,$AA$7:$AA$45))</f>
        <v>9999999</v>
      </c>
      <c r="I16" s="99"/>
      <c r="P16" s="91"/>
      <c r="Q16" s="91"/>
      <c r="R16" s="91"/>
      <c r="S16" s="91"/>
      <c r="T16" s="91"/>
      <c r="U16" s="91"/>
      <c r="V16" s="90"/>
      <c r="W16" s="90"/>
      <c r="X16" s="90"/>
      <c r="Y16" s="90"/>
      <c r="Z16" s="90"/>
      <c r="AA16" s="96">
        <v>2031</v>
      </c>
      <c r="AB16" s="96">
        <v>9</v>
      </c>
      <c r="AC16" s="96"/>
      <c r="AD16" s="100">
        <f t="shared" si="0"/>
        <v>-9999999</v>
      </c>
      <c r="AE16" s="101">
        <f t="shared" si="1"/>
        <v>9999999</v>
      </c>
      <c r="AF16" s="96">
        <f t="shared" si="2"/>
        <v>0</v>
      </c>
      <c r="AG16" s="101">
        <f t="shared" si="3"/>
        <v>0</v>
      </c>
      <c r="AH16" s="120"/>
      <c r="AI16" s="120"/>
      <c r="AJ16" s="121"/>
      <c r="AK16" s="121"/>
      <c r="AL16" s="121"/>
      <c r="AM16" s="121"/>
    </row>
    <row r="17" spans="1:39" x14ac:dyDescent="0.25">
      <c r="A17" s="115">
        <v>5</v>
      </c>
      <c r="B17" s="116">
        <f>INDEX('Tabl. 1'!$C$8:$AO$313,104+$AB12,MATCH($C$7,$AA$7:$AA$45))</f>
        <v>9999999</v>
      </c>
      <c r="C17" s="116">
        <f>INDEX('Tabl. 1'!$C$8:$AO$313,206+$AB12,MATCH($C$7,$AA$7:$AA$45))</f>
        <v>9999999</v>
      </c>
      <c r="I17" s="99"/>
      <c r="P17" s="91"/>
      <c r="Q17" s="91"/>
      <c r="R17" s="91"/>
      <c r="S17" s="91"/>
      <c r="T17" s="91"/>
      <c r="U17" s="91"/>
      <c r="V17" s="90"/>
      <c r="W17" s="90"/>
      <c r="X17" s="90"/>
      <c r="Y17" s="90"/>
      <c r="Z17" s="90"/>
      <c r="AA17" s="96">
        <v>2032</v>
      </c>
      <c r="AB17" s="96">
        <v>10</v>
      </c>
      <c r="AC17" s="96"/>
      <c r="AD17" s="100">
        <f t="shared" si="0"/>
        <v>-9999999</v>
      </c>
      <c r="AE17" s="101">
        <f t="shared" si="1"/>
        <v>9999999</v>
      </c>
      <c r="AF17" s="96">
        <f t="shared" si="2"/>
        <v>0</v>
      </c>
      <c r="AG17" s="101">
        <f t="shared" si="3"/>
        <v>0</v>
      </c>
      <c r="AH17" s="120"/>
      <c r="AI17" s="120"/>
      <c r="AJ17" s="121"/>
      <c r="AK17" s="121"/>
      <c r="AL17" s="121"/>
      <c r="AM17" s="121"/>
    </row>
    <row r="18" spans="1:39" x14ac:dyDescent="0.25">
      <c r="A18" s="103">
        <v>6</v>
      </c>
      <c r="B18" s="102">
        <f>INDEX('Tabl. 1'!$C$8:$AO$313,104+$AB13,MATCH($C$7,$AA$7:$AA$45))</f>
        <v>9999999</v>
      </c>
      <c r="C18" s="102">
        <f>INDEX('Tabl. 1'!$C$8:$AO$313,206+$AB13,MATCH($C$7,$AA$7:$AA$45))</f>
        <v>9999999</v>
      </c>
      <c r="I18" s="99"/>
      <c r="P18" s="91"/>
      <c r="Q18" s="91"/>
      <c r="R18" s="91"/>
      <c r="S18" s="91"/>
      <c r="T18" s="91"/>
      <c r="U18" s="91"/>
      <c r="V18" s="90"/>
      <c r="W18" s="90"/>
      <c r="X18" s="90"/>
      <c r="Y18" s="90"/>
      <c r="Z18" s="90"/>
      <c r="AA18" s="96">
        <v>2033</v>
      </c>
      <c r="AB18" s="96">
        <v>11</v>
      </c>
      <c r="AC18" s="96"/>
      <c r="AD18" s="100">
        <f t="shared" si="0"/>
        <v>-9999999</v>
      </c>
      <c r="AE18" s="101">
        <f t="shared" si="1"/>
        <v>9999999</v>
      </c>
      <c r="AF18" s="96">
        <f t="shared" si="2"/>
        <v>0</v>
      </c>
      <c r="AG18" s="101">
        <f t="shared" si="3"/>
        <v>0</v>
      </c>
      <c r="AH18" s="120"/>
      <c r="AI18" s="120"/>
      <c r="AJ18" s="121"/>
      <c r="AK18" s="121"/>
      <c r="AL18" s="121"/>
      <c r="AM18" s="121"/>
    </row>
    <row r="19" spans="1:39" x14ac:dyDescent="0.25">
      <c r="A19" s="103">
        <v>7</v>
      </c>
      <c r="B19" s="102">
        <f>INDEX('Tabl. 1'!$C$8:$AO$313,104+$AB14,MATCH($C$7,$AA$7:$AA$45))</f>
        <v>9999999</v>
      </c>
      <c r="C19" s="102">
        <f>INDEX('Tabl. 1'!$C$8:$AO$313,206+$AB14,MATCH($C$7,$AA$7:$AA$45))</f>
        <v>9999999</v>
      </c>
      <c r="I19" s="99"/>
      <c r="P19" s="91"/>
      <c r="Q19" s="91"/>
      <c r="R19" s="91"/>
      <c r="S19" s="91"/>
      <c r="T19" s="91"/>
      <c r="U19" s="91"/>
      <c r="V19" s="90"/>
      <c r="W19" s="90"/>
      <c r="X19" s="90"/>
      <c r="Y19" s="90"/>
      <c r="Z19" s="90"/>
      <c r="AA19" s="96">
        <v>2034</v>
      </c>
      <c r="AB19" s="96">
        <v>12</v>
      </c>
      <c r="AC19" s="96"/>
      <c r="AD19" s="100">
        <f t="shared" si="0"/>
        <v>-9999999</v>
      </c>
      <c r="AE19" s="101">
        <f t="shared" si="1"/>
        <v>9999999</v>
      </c>
      <c r="AF19" s="96">
        <f t="shared" si="2"/>
        <v>0</v>
      </c>
      <c r="AG19" s="101">
        <f t="shared" si="3"/>
        <v>0</v>
      </c>
      <c r="AH19" s="120"/>
      <c r="AI19" s="120"/>
      <c r="AJ19" s="121"/>
      <c r="AK19" s="121"/>
      <c r="AL19" s="121"/>
      <c r="AM19" s="121"/>
    </row>
    <row r="20" spans="1:39" x14ac:dyDescent="0.25">
      <c r="A20" s="103">
        <v>8</v>
      </c>
      <c r="B20" s="102">
        <f>INDEX('Tabl. 1'!$C$8:$AO$313,104+$AB15,MATCH($C$7,$AA$7:$AA$45))</f>
        <v>9999999</v>
      </c>
      <c r="C20" s="102">
        <f>INDEX('Tabl. 1'!$C$8:$AO$313,206+$AB15,MATCH($C$7,$AA$7:$AA$45))</f>
        <v>9999999</v>
      </c>
      <c r="I20" s="99"/>
      <c r="P20" s="91"/>
      <c r="Q20" s="91"/>
      <c r="R20" s="91"/>
      <c r="S20" s="91"/>
      <c r="T20" s="91"/>
      <c r="U20" s="91"/>
      <c r="V20" s="90"/>
      <c r="W20" s="90"/>
      <c r="X20" s="90"/>
      <c r="Y20" s="90"/>
      <c r="Z20" s="90"/>
      <c r="AA20" s="96">
        <v>2035</v>
      </c>
      <c r="AB20" s="96">
        <v>13</v>
      </c>
      <c r="AC20" s="96"/>
      <c r="AD20" s="100">
        <f t="shared" si="0"/>
        <v>-9999999</v>
      </c>
      <c r="AE20" s="101">
        <f t="shared" si="1"/>
        <v>9999999</v>
      </c>
      <c r="AF20" s="96">
        <f t="shared" si="2"/>
        <v>0</v>
      </c>
      <c r="AG20" s="101">
        <f t="shared" si="3"/>
        <v>0</v>
      </c>
      <c r="AH20" s="120"/>
      <c r="AI20" s="120"/>
      <c r="AJ20" s="121"/>
      <c r="AK20" s="121"/>
      <c r="AL20" s="121"/>
      <c r="AM20" s="121"/>
    </row>
    <row r="21" spans="1:39" x14ac:dyDescent="0.25">
      <c r="A21" s="103">
        <v>9</v>
      </c>
      <c r="B21" s="102">
        <f>INDEX('Tabl. 1'!$C$8:$AO$313,104+$AB16,MATCH($C$7,$AA$7:$AA$45))</f>
        <v>9999999</v>
      </c>
      <c r="C21" s="102">
        <f>INDEX('Tabl. 1'!$C$8:$AO$313,206+$AB16,MATCH($C$7,$AA$7:$AA$45))</f>
        <v>9999999</v>
      </c>
      <c r="I21" s="99"/>
      <c r="P21" s="91"/>
      <c r="Q21" s="91"/>
      <c r="R21" s="91"/>
      <c r="S21" s="91"/>
      <c r="T21" s="91"/>
      <c r="U21" s="91"/>
      <c r="V21" s="90"/>
      <c r="W21" s="90"/>
      <c r="X21" s="90"/>
      <c r="Y21" s="90"/>
      <c r="Z21" s="90"/>
      <c r="AA21" s="96">
        <v>2036</v>
      </c>
      <c r="AB21" s="96">
        <v>14</v>
      </c>
      <c r="AC21" s="96"/>
      <c r="AD21" s="100">
        <f t="shared" si="0"/>
        <v>-9999999</v>
      </c>
      <c r="AE21" s="101">
        <f t="shared" si="1"/>
        <v>9999999</v>
      </c>
      <c r="AF21" s="96">
        <f t="shared" si="2"/>
        <v>0</v>
      </c>
      <c r="AG21" s="101">
        <f t="shared" si="3"/>
        <v>0</v>
      </c>
      <c r="AH21" s="120"/>
      <c r="AI21" s="120"/>
      <c r="AJ21" s="121"/>
      <c r="AK21" s="121"/>
      <c r="AL21" s="121"/>
      <c r="AM21" s="121"/>
    </row>
    <row r="22" spans="1:39" x14ac:dyDescent="0.25">
      <c r="A22" s="103">
        <v>10</v>
      </c>
      <c r="B22" s="102">
        <f>INDEX('Tabl. 1'!$C$8:$AO$313,104+$AB17,MATCH($C$7,$AA$7:$AA$45))</f>
        <v>9999999</v>
      </c>
      <c r="C22" s="102">
        <f>INDEX('Tabl. 1'!$C$8:$AO$313,206+$AB17,MATCH($C$7,$AA$7:$AA$45))</f>
        <v>9999999</v>
      </c>
      <c r="I22" s="99"/>
      <c r="P22" s="91"/>
      <c r="Q22" s="91"/>
      <c r="R22" s="91"/>
      <c r="S22" s="91"/>
      <c r="T22" s="91"/>
      <c r="U22" s="91"/>
      <c r="V22" s="90"/>
      <c r="W22" s="90"/>
      <c r="X22" s="90"/>
      <c r="Y22" s="90"/>
      <c r="Z22" s="90"/>
      <c r="AA22" s="96">
        <v>2037</v>
      </c>
      <c r="AB22" s="96">
        <v>15</v>
      </c>
      <c r="AC22" s="96"/>
      <c r="AD22" s="100">
        <f t="shared" si="0"/>
        <v>-9999999</v>
      </c>
      <c r="AE22" s="101">
        <f t="shared" si="1"/>
        <v>9999999</v>
      </c>
      <c r="AF22" s="96">
        <f t="shared" si="2"/>
        <v>0</v>
      </c>
      <c r="AG22" s="101">
        <f t="shared" si="3"/>
        <v>0</v>
      </c>
      <c r="AH22" s="120"/>
      <c r="AI22" s="120"/>
      <c r="AJ22" s="121"/>
      <c r="AK22" s="121"/>
      <c r="AL22" s="121"/>
      <c r="AM22" s="121"/>
    </row>
    <row r="23" spans="1:39" x14ac:dyDescent="0.25">
      <c r="A23" s="103">
        <v>11</v>
      </c>
      <c r="B23" s="102">
        <f>INDEX('Tabl. 1'!$C$8:$AO$313,104+$AB18,MATCH($C$7,$AA$7:$AA$45))</f>
        <v>9999999</v>
      </c>
      <c r="C23" s="102">
        <f>INDEX('Tabl. 1'!$C$8:$AO$313,206+$AB18,MATCH($C$7,$AA$7:$AA$45))</f>
        <v>9999999</v>
      </c>
      <c r="I23" s="99"/>
      <c r="P23" s="91"/>
      <c r="Q23" s="91"/>
      <c r="R23" s="91"/>
      <c r="S23" s="91"/>
      <c r="T23" s="91"/>
      <c r="U23" s="91"/>
      <c r="V23" s="90"/>
      <c r="W23" s="90"/>
      <c r="X23" s="90"/>
      <c r="Y23" s="90"/>
      <c r="Z23" s="90"/>
      <c r="AA23" s="96">
        <v>2038</v>
      </c>
      <c r="AB23" s="96">
        <v>16</v>
      </c>
      <c r="AC23" s="96"/>
      <c r="AD23" s="100">
        <f t="shared" si="0"/>
        <v>-9999999</v>
      </c>
      <c r="AE23" s="101">
        <f t="shared" si="1"/>
        <v>9999999</v>
      </c>
      <c r="AF23" s="96">
        <f t="shared" si="2"/>
        <v>0</v>
      </c>
      <c r="AG23" s="101">
        <f t="shared" si="3"/>
        <v>0</v>
      </c>
      <c r="AH23" s="120"/>
      <c r="AI23" s="120"/>
      <c r="AJ23" s="121"/>
      <c r="AK23" s="121"/>
      <c r="AL23" s="121"/>
      <c r="AM23" s="121"/>
    </row>
    <row r="24" spans="1:39" x14ac:dyDescent="0.25">
      <c r="A24" s="103">
        <v>12</v>
      </c>
      <c r="B24" s="102">
        <f>INDEX('Tabl. 1'!$C$8:$AO$313,104+$AB19,MATCH($C$7,$AA$7:$AA$45))</f>
        <v>9999999</v>
      </c>
      <c r="C24" s="102">
        <f>INDEX('Tabl. 1'!$C$8:$AO$313,206+$AB19,MATCH($C$7,$AA$7:$AA$45))</f>
        <v>9999999</v>
      </c>
      <c r="I24" s="99"/>
      <c r="P24" s="91"/>
      <c r="Q24" s="91"/>
      <c r="R24" s="91"/>
      <c r="S24" s="91"/>
      <c r="T24" s="91"/>
      <c r="U24" s="91"/>
      <c r="V24" s="90"/>
      <c r="W24" s="90"/>
      <c r="X24" s="90"/>
      <c r="Y24" s="90"/>
      <c r="Z24" s="90"/>
      <c r="AA24" s="96">
        <v>2039</v>
      </c>
      <c r="AB24" s="96">
        <v>17</v>
      </c>
      <c r="AC24" s="96"/>
      <c r="AD24" s="100">
        <f t="shared" si="0"/>
        <v>-9999999</v>
      </c>
      <c r="AE24" s="101">
        <f t="shared" si="1"/>
        <v>9999999</v>
      </c>
      <c r="AF24" s="96">
        <f t="shared" si="2"/>
        <v>0</v>
      </c>
      <c r="AG24" s="101">
        <f t="shared" si="3"/>
        <v>0</v>
      </c>
      <c r="AH24" s="120"/>
      <c r="AI24" s="120"/>
      <c r="AJ24" s="121"/>
      <c r="AK24" s="121"/>
      <c r="AL24" s="121"/>
      <c r="AM24" s="121"/>
    </row>
    <row r="25" spans="1:39" x14ac:dyDescent="0.25">
      <c r="A25" s="103">
        <v>13</v>
      </c>
      <c r="B25" s="102">
        <f>INDEX('Tabl. 1'!$C$8:$AO$313,104+$AB20,MATCH($C$7,$AA$7:$AA$45))</f>
        <v>9999999</v>
      </c>
      <c r="C25" s="102">
        <f>INDEX('Tabl. 1'!$C$8:$AO$313,206+$AB20,MATCH($C$7,$AA$7:$AA$45))</f>
        <v>9999999</v>
      </c>
      <c r="I25" s="99"/>
      <c r="P25" s="91"/>
      <c r="Q25" s="91"/>
      <c r="R25" s="91"/>
      <c r="S25" s="91"/>
      <c r="T25" s="91"/>
      <c r="U25" s="91"/>
      <c r="V25" s="90"/>
      <c r="W25" s="90"/>
      <c r="X25" s="90"/>
      <c r="Y25" s="90"/>
      <c r="Z25" s="90"/>
      <c r="AA25" s="96">
        <v>2040</v>
      </c>
      <c r="AB25" s="96">
        <v>18</v>
      </c>
      <c r="AC25" s="96"/>
      <c r="AD25" s="100">
        <f t="shared" si="0"/>
        <v>-9999999</v>
      </c>
      <c r="AE25" s="101">
        <f t="shared" si="1"/>
        <v>9999999</v>
      </c>
      <c r="AF25" s="96">
        <f t="shared" si="2"/>
        <v>0</v>
      </c>
      <c r="AG25" s="101">
        <f t="shared" si="3"/>
        <v>0</v>
      </c>
      <c r="AH25" s="120"/>
      <c r="AI25" s="120"/>
      <c r="AJ25" s="121"/>
      <c r="AK25" s="121"/>
      <c r="AL25" s="121"/>
      <c r="AM25" s="121"/>
    </row>
    <row r="26" spans="1:39" x14ac:dyDescent="0.25">
      <c r="A26" s="103">
        <v>14</v>
      </c>
      <c r="B26" s="102">
        <f>INDEX('Tabl. 1'!$C$8:$AO$313,104+$AB21,MATCH($C$7,$AA$7:$AA$45))</f>
        <v>9999999</v>
      </c>
      <c r="C26" s="102">
        <f>INDEX('Tabl. 1'!$C$8:$AO$313,206+$AB21,MATCH($C$7,$AA$7:$AA$45))</f>
        <v>9999999</v>
      </c>
      <c r="I26" s="99"/>
      <c r="P26" s="91"/>
      <c r="Q26" s="91"/>
      <c r="R26" s="91"/>
      <c r="S26" s="91"/>
      <c r="T26" s="91"/>
      <c r="U26" s="91"/>
      <c r="V26" s="90"/>
      <c r="W26" s="90"/>
      <c r="X26" s="90"/>
      <c r="Y26" s="90"/>
      <c r="Z26" s="90"/>
      <c r="AA26" s="96">
        <v>2041</v>
      </c>
      <c r="AB26" s="96">
        <v>19</v>
      </c>
      <c r="AC26" s="96"/>
      <c r="AD26" s="100">
        <f t="shared" si="0"/>
        <v>-9999999</v>
      </c>
      <c r="AE26" s="101">
        <f t="shared" si="1"/>
        <v>9999999</v>
      </c>
      <c r="AF26" s="96">
        <f t="shared" si="2"/>
        <v>0</v>
      </c>
      <c r="AG26" s="101">
        <f t="shared" si="3"/>
        <v>0</v>
      </c>
      <c r="AH26" s="120"/>
      <c r="AI26" s="120"/>
      <c r="AJ26" s="121"/>
      <c r="AK26" s="121"/>
      <c r="AL26" s="121"/>
      <c r="AM26" s="121"/>
    </row>
    <row r="27" spans="1:39" x14ac:dyDescent="0.25">
      <c r="A27" s="103">
        <v>15</v>
      </c>
      <c r="B27" s="102">
        <f>INDEX('Tabl. 1'!$C$8:$AO$313,104+$AB22,MATCH($C$7,$AA$7:$AA$45))</f>
        <v>9999999</v>
      </c>
      <c r="C27" s="102">
        <f>INDEX('Tabl. 1'!$C$8:$AO$313,206+$AB22,MATCH($C$7,$AA$7:$AA$45))</f>
        <v>9999999</v>
      </c>
      <c r="I27" s="99"/>
      <c r="P27" s="91"/>
      <c r="Q27" s="91"/>
      <c r="R27" s="91"/>
      <c r="S27" s="91"/>
      <c r="T27" s="91"/>
      <c r="U27" s="91"/>
      <c r="V27" s="90"/>
      <c r="W27" s="90"/>
      <c r="X27" s="90"/>
      <c r="Y27" s="90"/>
      <c r="Z27" s="90"/>
      <c r="AA27" s="96">
        <v>2042</v>
      </c>
      <c r="AB27" s="96">
        <v>20</v>
      </c>
      <c r="AC27" s="96"/>
      <c r="AD27" s="100">
        <f t="shared" si="0"/>
        <v>-9999999</v>
      </c>
      <c r="AE27" s="101">
        <f t="shared" si="1"/>
        <v>9999999</v>
      </c>
      <c r="AF27" s="96">
        <f t="shared" si="2"/>
        <v>0</v>
      </c>
      <c r="AG27" s="101">
        <f t="shared" si="3"/>
        <v>0</v>
      </c>
      <c r="AH27" s="120"/>
      <c r="AI27" s="120"/>
      <c r="AJ27" s="121"/>
      <c r="AK27" s="121"/>
      <c r="AL27" s="121"/>
      <c r="AM27" s="121"/>
    </row>
    <row r="28" spans="1:39" x14ac:dyDescent="0.25">
      <c r="A28" s="103">
        <v>16</v>
      </c>
      <c r="B28" s="102">
        <f>INDEX('Tabl. 1'!$C$8:$AO$313,104+$AB23,MATCH($C$7,$AA$7:$AA$45))</f>
        <v>9999999</v>
      </c>
      <c r="C28" s="102">
        <f>INDEX('Tabl. 1'!$C$8:$AO$313,206+$AB23,MATCH($C$7,$AA$7:$AA$45))</f>
        <v>9999999</v>
      </c>
      <c r="I28" s="99"/>
      <c r="P28" s="91"/>
      <c r="Q28" s="91"/>
      <c r="R28" s="91"/>
      <c r="S28" s="91"/>
      <c r="T28" s="91"/>
      <c r="U28" s="91"/>
      <c r="V28" s="90"/>
      <c r="W28" s="90"/>
      <c r="X28" s="90"/>
      <c r="Y28" s="90"/>
      <c r="Z28" s="90"/>
      <c r="AA28" s="96">
        <v>2043</v>
      </c>
      <c r="AB28" s="96">
        <v>21</v>
      </c>
      <c r="AC28" s="96"/>
      <c r="AD28" s="100">
        <f t="shared" si="0"/>
        <v>-9999999</v>
      </c>
      <c r="AE28" s="101">
        <f t="shared" si="1"/>
        <v>9999999</v>
      </c>
      <c r="AF28" s="96">
        <f t="shared" si="2"/>
        <v>0</v>
      </c>
      <c r="AG28" s="101">
        <f t="shared" si="3"/>
        <v>0</v>
      </c>
      <c r="AH28" s="120"/>
      <c r="AI28" s="120"/>
      <c r="AJ28" s="121"/>
      <c r="AK28" s="121"/>
      <c r="AL28" s="121"/>
      <c r="AM28" s="121"/>
    </row>
    <row r="29" spans="1:39" x14ac:dyDescent="0.25">
      <c r="A29" s="103">
        <v>17</v>
      </c>
      <c r="B29" s="102">
        <f>INDEX('Tabl. 1'!$C$8:$AO$313,104+$AB24,MATCH($C$7,$AA$7:$AA$45))</f>
        <v>9999999</v>
      </c>
      <c r="C29" s="102">
        <f>INDEX('Tabl. 1'!$C$8:$AO$313,206+$AB24,MATCH($C$7,$AA$7:$AA$45))</f>
        <v>9999999</v>
      </c>
      <c r="I29" s="99"/>
      <c r="P29" s="91"/>
      <c r="Q29" s="91"/>
      <c r="R29" s="91"/>
      <c r="S29" s="91"/>
      <c r="T29" s="91"/>
      <c r="U29" s="91"/>
      <c r="V29" s="90"/>
      <c r="W29" s="90"/>
      <c r="X29" s="90"/>
      <c r="Y29" s="90"/>
      <c r="Z29" s="90"/>
      <c r="AA29" s="96">
        <v>2044</v>
      </c>
      <c r="AB29" s="96">
        <v>22</v>
      </c>
      <c r="AC29" s="96"/>
      <c r="AD29" s="100">
        <f t="shared" si="0"/>
        <v>-9999999</v>
      </c>
      <c r="AE29" s="101">
        <f t="shared" si="1"/>
        <v>9999999</v>
      </c>
      <c r="AF29" s="96">
        <f t="shared" si="2"/>
        <v>0</v>
      </c>
      <c r="AG29" s="101">
        <f t="shared" si="3"/>
        <v>0</v>
      </c>
      <c r="AH29" s="120"/>
      <c r="AI29" s="120"/>
      <c r="AJ29" s="121"/>
      <c r="AK29" s="121"/>
      <c r="AL29" s="121"/>
      <c r="AM29" s="121"/>
    </row>
    <row r="30" spans="1:39" x14ac:dyDescent="0.25">
      <c r="A30" s="103">
        <v>18</v>
      </c>
      <c r="B30" s="102">
        <f>INDEX('Tabl. 1'!$C$8:$AO$313,104+$AB25,MATCH($C$7,$AA$7:$AA$45))</f>
        <v>9999999</v>
      </c>
      <c r="C30" s="102">
        <f>INDEX('Tabl. 1'!$C$8:$AO$313,206+$AB25,MATCH($C$7,$AA$7:$AA$45))</f>
        <v>9999999</v>
      </c>
      <c r="I30" s="99"/>
      <c r="P30" s="91"/>
      <c r="Q30" s="91"/>
      <c r="R30" s="91"/>
      <c r="S30" s="91"/>
      <c r="T30" s="91"/>
      <c r="U30" s="91"/>
      <c r="V30" s="90"/>
      <c r="W30" s="90"/>
      <c r="X30" s="90"/>
      <c r="Y30" s="90"/>
      <c r="Z30" s="90"/>
      <c r="AA30" s="96">
        <v>2045</v>
      </c>
      <c r="AB30" s="96">
        <v>23</v>
      </c>
      <c r="AC30" s="96"/>
      <c r="AD30" s="100">
        <f t="shared" si="0"/>
        <v>-9999999</v>
      </c>
      <c r="AE30" s="101">
        <f t="shared" si="1"/>
        <v>9999999</v>
      </c>
      <c r="AF30" s="96">
        <f t="shared" si="2"/>
        <v>0</v>
      </c>
      <c r="AG30" s="101">
        <f t="shared" si="3"/>
        <v>0</v>
      </c>
      <c r="AH30" s="120"/>
      <c r="AI30" s="120"/>
      <c r="AJ30" s="121"/>
      <c r="AK30" s="121"/>
      <c r="AL30" s="121"/>
      <c r="AM30" s="121"/>
    </row>
    <row r="31" spans="1:39" x14ac:dyDescent="0.25">
      <c r="A31" s="103">
        <v>19</v>
      </c>
      <c r="B31" s="102">
        <f>INDEX('Tabl. 1'!$C$8:$AO$313,104+$AB26,MATCH($C$7,$AA$7:$AA$45))</f>
        <v>9999999</v>
      </c>
      <c r="C31" s="102">
        <f>INDEX('Tabl. 1'!$C$8:$AO$313,206+$AB26,MATCH($C$7,$AA$7:$AA$45))</f>
        <v>9999999</v>
      </c>
      <c r="I31" s="99"/>
      <c r="P31" s="91"/>
      <c r="Q31" s="91"/>
      <c r="R31" s="91"/>
      <c r="S31" s="91"/>
      <c r="T31" s="91"/>
      <c r="U31" s="91"/>
      <c r="V31" s="90"/>
      <c r="W31" s="90"/>
      <c r="X31" s="90"/>
      <c r="Y31" s="90"/>
      <c r="Z31" s="90"/>
      <c r="AA31" s="96">
        <v>2046</v>
      </c>
      <c r="AB31" s="96">
        <v>24</v>
      </c>
      <c r="AC31" s="96"/>
      <c r="AD31" s="100">
        <f t="shared" si="0"/>
        <v>-9999999</v>
      </c>
      <c r="AE31" s="101">
        <f t="shared" si="1"/>
        <v>9999999</v>
      </c>
      <c r="AF31" s="96">
        <f t="shared" si="2"/>
        <v>0</v>
      </c>
      <c r="AG31" s="101">
        <f t="shared" si="3"/>
        <v>0</v>
      </c>
      <c r="AH31" s="120"/>
      <c r="AI31" s="120"/>
      <c r="AJ31" s="121"/>
      <c r="AK31" s="121"/>
      <c r="AL31" s="121"/>
      <c r="AM31" s="121"/>
    </row>
    <row r="32" spans="1:39" x14ac:dyDescent="0.25">
      <c r="A32" s="103">
        <v>20</v>
      </c>
      <c r="B32" s="102">
        <f>INDEX('Tabl. 1'!$C$8:$AO$313,104+$AB27,MATCH($C$7,$AA$7:$AA$45))</f>
        <v>9999999</v>
      </c>
      <c r="C32" s="102">
        <f>INDEX('Tabl. 1'!$C$8:$AO$313,206+$AB27,MATCH($C$7,$AA$7:$AA$45))</f>
        <v>9999999</v>
      </c>
      <c r="I32" s="99"/>
      <c r="P32" s="91"/>
      <c r="Q32" s="91"/>
      <c r="R32" s="91"/>
      <c r="S32" s="91"/>
      <c r="T32" s="91"/>
      <c r="U32" s="91"/>
      <c r="V32" s="90"/>
      <c r="W32" s="90"/>
      <c r="X32" s="90"/>
      <c r="Y32" s="90"/>
      <c r="Z32" s="90"/>
      <c r="AA32" s="96">
        <v>2047</v>
      </c>
      <c r="AB32" s="96">
        <v>25</v>
      </c>
      <c r="AC32" s="96"/>
      <c r="AD32" s="100">
        <f t="shared" si="0"/>
        <v>-9999999</v>
      </c>
      <c r="AE32" s="101">
        <f t="shared" si="1"/>
        <v>9999999</v>
      </c>
      <c r="AF32" s="96">
        <f t="shared" si="2"/>
        <v>0</v>
      </c>
      <c r="AG32" s="101">
        <f t="shared" si="3"/>
        <v>0</v>
      </c>
      <c r="AH32" s="120"/>
      <c r="AI32" s="120"/>
      <c r="AJ32" s="121"/>
      <c r="AK32" s="121"/>
      <c r="AL32" s="121"/>
      <c r="AM32" s="121"/>
    </row>
    <row r="33" spans="1:39" x14ac:dyDescent="0.25">
      <c r="A33" s="103">
        <v>21</v>
      </c>
      <c r="B33" s="102">
        <f>INDEX('Tabl. 1'!$C$8:$AO$313,104+$AB28,MATCH($C$7,$AA$7:$AA$45))</f>
        <v>9999999</v>
      </c>
      <c r="C33" s="102">
        <f>INDEX('Tabl. 1'!$C$8:$AO$313,206+$AB28,MATCH($C$7,$AA$7:$AA$45))</f>
        <v>9999999</v>
      </c>
      <c r="I33" s="99"/>
      <c r="P33" s="91"/>
      <c r="Q33" s="91"/>
      <c r="R33" s="91"/>
      <c r="S33" s="91"/>
      <c r="T33" s="91"/>
      <c r="U33" s="91"/>
      <c r="V33" s="90"/>
      <c r="W33" s="90"/>
      <c r="X33" s="90"/>
      <c r="Y33" s="90"/>
      <c r="Z33" s="90"/>
      <c r="AA33" s="96">
        <v>2048</v>
      </c>
      <c r="AB33" s="96">
        <v>26</v>
      </c>
      <c r="AC33" s="96"/>
      <c r="AD33" s="100">
        <f t="shared" si="0"/>
        <v>-9999999</v>
      </c>
      <c r="AE33" s="101">
        <f t="shared" si="1"/>
        <v>9999999</v>
      </c>
      <c r="AF33" s="96">
        <f t="shared" si="2"/>
        <v>0</v>
      </c>
      <c r="AG33" s="101">
        <f t="shared" si="3"/>
        <v>0</v>
      </c>
      <c r="AH33" s="120"/>
      <c r="AI33" s="120"/>
      <c r="AJ33" s="121"/>
      <c r="AK33" s="121"/>
      <c r="AL33" s="121"/>
      <c r="AM33" s="121"/>
    </row>
    <row r="34" spans="1:39" x14ac:dyDescent="0.25">
      <c r="A34" s="103">
        <v>22</v>
      </c>
      <c r="B34" s="102">
        <f>INDEX('Tabl. 1'!$C$8:$AO$313,104+$AB29,MATCH($C$7,$AA$7:$AA$45))</f>
        <v>9999999</v>
      </c>
      <c r="C34" s="102">
        <f>INDEX('Tabl. 1'!$C$8:$AO$313,206+$AB29,MATCH($C$7,$AA$7:$AA$45))</f>
        <v>9999999</v>
      </c>
      <c r="I34" s="99"/>
      <c r="P34" s="91"/>
      <c r="Q34" s="91"/>
      <c r="R34" s="91"/>
      <c r="S34" s="91"/>
      <c r="T34" s="91"/>
      <c r="U34" s="91"/>
      <c r="V34" s="90"/>
      <c r="W34" s="90"/>
      <c r="X34" s="90"/>
      <c r="Y34" s="90"/>
      <c r="Z34" s="90"/>
      <c r="AA34" s="96">
        <v>2049</v>
      </c>
      <c r="AB34" s="96">
        <v>27</v>
      </c>
      <c r="AC34" s="96"/>
      <c r="AD34" s="100">
        <f t="shared" si="0"/>
        <v>-9999999</v>
      </c>
      <c r="AE34" s="101">
        <f t="shared" si="1"/>
        <v>9999999</v>
      </c>
      <c r="AF34" s="96">
        <f t="shared" si="2"/>
        <v>0</v>
      </c>
      <c r="AG34" s="101">
        <f t="shared" si="3"/>
        <v>0</v>
      </c>
      <c r="AH34" s="120"/>
      <c r="AI34" s="120"/>
      <c r="AJ34" s="121"/>
      <c r="AK34" s="121"/>
      <c r="AL34" s="121"/>
      <c r="AM34" s="121"/>
    </row>
    <row r="35" spans="1:39" x14ac:dyDescent="0.25">
      <c r="A35" s="103">
        <v>23</v>
      </c>
      <c r="B35" s="102">
        <f>INDEX('Tabl. 1'!$C$8:$AO$313,104+$AB30,MATCH($C$7,$AA$7:$AA$45))</f>
        <v>9999999</v>
      </c>
      <c r="C35" s="102">
        <f>INDEX('Tabl. 1'!$C$8:$AO$313,206+$AB30,MATCH($C$7,$AA$7:$AA$45))</f>
        <v>9999999</v>
      </c>
      <c r="I35" s="99"/>
      <c r="P35" s="91"/>
      <c r="Q35" s="91"/>
      <c r="R35" s="91"/>
      <c r="S35" s="91"/>
      <c r="T35" s="91"/>
      <c r="U35" s="91"/>
      <c r="V35" s="90"/>
      <c r="W35" s="90"/>
      <c r="X35" s="90"/>
      <c r="Y35" s="90"/>
      <c r="Z35" s="90"/>
      <c r="AA35" s="96">
        <v>2050</v>
      </c>
      <c r="AB35" s="96">
        <v>28</v>
      </c>
      <c r="AC35" s="96"/>
      <c r="AD35" s="100">
        <f t="shared" si="0"/>
        <v>-9999999</v>
      </c>
      <c r="AE35" s="101">
        <f t="shared" si="1"/>
        <v>9999999</v>
      </c>
      <c r="AF35" s="96">
        <f t="shared" si="2"/>
        <v>0</v>
      </c>
      <c r="AG35" s="101">
        <f t="shared" si="3"/>
        <v>0</v>
      </c>
      <c r="AH35" s="120"/>
      <c r="AI35" s="120"/>
      <c r="AJ35" s="121"/>
      <c r="AK35" s="121"/>
      <c r="AL35" s="121"/>
      <c r="AM35" s="121"/>
    </row>
    <row r="36" spans="1:39" x14ac:dyDescent="0.25">
      <c r="A36" s="103">
        <v>24</v>
      </c>
      <c r="B36" s="102">
        <f>INDEX('Tabl. 1'!$C$8:$AO$313,104+$AB31,MATCH($C$7,$AA$7:$AA$45))</f>
        <v>9999999</v>
      </c>
      <c r="C36" s="102">
        <f>INDEX('Tabl. 1'!$C$8:$AO$313,206+$AB31,MATCH($C$7,$AA$7:$AA$45))</f>
        <v>9999999</v>
      </c>
      <c r="I36" s="99"/>
      <c r="P36" s="91"/>
      <c r="Q36" s="91"/>
      <c r="R36" s="91"/>
      <c r="S36" s="91"/>
      <c r="T36" s="91"/>
      <c r="U36" s="91"/>
      <c r="V36" s="90"/>
      <c r="W36" s="90"/>
      <c r="X36" s="90"/>
      <c r="Y36" s="90"/>
      <c r="Z36" s="90"/>
      <c r="AA36" s="96">
        <v>2051</v>
      </c>
      <c r="AB36" s="96">
        <v>29</v>
      </c>
      <c r="AC36" s="96"/>
      <c r="AD36" s="100">
        <f t="shared" si="0"/>
        <v>-9999999</v>
      </c>
      <c r="AE36" s="101">
        <f t="shared" si="1"/>
        <v>9999999</v>
      </c>
      <c r="AF36" s="96">
        <f t="shared" si="2"/>
        <v>0</v>
      </c>
      <c r="AG36" s="101">
        <f t="shared" si="3"/>
        <v>0</v>
      </c>
      <c r="AH36" s="120"/>
      <c r="AI36" s="120"/>
      <c r="AJ36" s="121"/>
      <c r="AK36" s="121"/>
      <c r="AL36" s="121"/>
      <c r="AM36" s="121"/>
    </row>
    <row r="37" spans="1:39" x14ac:dyDescent="0.25">
      <c r="A37" s="103">
        <v>25</v>
      </c>
      <c r="B37" s="102">
        <f>INDEX('Tabl. 1'!$C$8:$AO$313,104+$AB32,MATCH($C$7,$AA$7:$AA$45))</f>
        <v>9999999</v>
      </c>
      <c r="C37" s="102">
        <f>INDEX('Tabl. 1'!$C$8:$AO$313,206+$AB32,MATCH($C$7,$AA$7:$AA$45))</f>
        <v>9999999</v>
      </c>
      <c r="I37" s="99"/>
      <c r="P37" s="91"/>
      <c r="Q37" s="91"/>
      <c r="R37" s="91"/>
      <c r="S37" s="91"/>
      <c r="T37" s="91"/>
      <c r="U37" s="91"/>
      <c r="V37" s="90"/>
      <c r="W37" s="90"/>
      <c r="X37" s="90"/>
      <c r="Y37" s="90"/>
      <c r="Z37" s="90"/>
      <c r="AA37" s="96">
        <v>2052</v>
      </c>
      <c r="AB37" s="96">
        <v>30</v>
      </c>
      <c r="AC37" s="96"/>
      <c r="AD37" s="100">
        <f t="shared" si="0"/>
        <v>-9999999</v>
      </c>
      <c r="AE37" s="101">
        <f t="shared" si="1"/>
        <v>9999999</v>
      </c>
      <c r="AF37" s="96">
        <f t="shared" si="2"/>
        <v>0</v>
      </c>
      <c r="AG37" s="101">
        <f t="shared" si="3"/>
        <v>0</v>
      </c>
      <c r="AH37" s="120"/>
      <c r="AI37" s="120"/>
      <c r="AJ37" s="121"/>
      <c r="AK37" s="121"/>
      <c r="AL37" s="121"/>
      <c r="AM37" s="121"/>
    </row>
    <row r="38" spans="1:39" x14ac:dyDescent="0.25">
      <c r="A38" s="103">
        <v>26</v>
      </c>
      <c r="B38" s="102">
        <f>INDEX('Tabl. 1'!$C$8:$AO$313,104+$AB33,MATCH($C$7,$AA$7:$AA$45))</f>
        <v>9999999</v>
      </c>
      <c r="C38" s="102">
        <f>INDEX('Tabl. 1'!$C$8:$AO$313,206+$AB33,MATCH($C$7,$AA$7:$AA$45))</f>
        <v>9999999</v>
      </c>
      <c r="I38" s="99"/>
      <c r="P38" s="91"/>
      <c r="Q38" s="91"/>
      <c r="R38" s="91"/>
      <c r="S38" s="91"/>
      <c r="T38" s="91"/>
      <c r="U38" s="91"/>
      <c r="V38" s="90"/>
      <c r="W38" s="90"/>
      <c r="X38" s="90"/>
      <c r="Y38" s="90"/>
      <c r="Z38" s="90"/>
      <c r="AA38" s="96">
        <v>2053</v>
      </c>
      <c r="AB38" s="96">
        <v>31</v>
      </c>
      <c r="AC38" s="96"/>
      <c r="AD38" s="100">
        <f t="shared" si="0"/>
        <v>-9999999</v>
      </c>
      <c r="AE38" s="101">
        <f t="shared" si="1"/>
        <v>9999999</v>
      </c>
      <c r="AF38" s="96">
        <f t="shared" si="2"/>
        <v>0</v>
      </c>
      <c r="AG38" s="101">
        <f t="shared" si="3"/>
        <v>0</v>
      </c>
      <c r="AH38" s="120"/>
      <c r="AI38" s="120"/>
      <c r="AJ38" s="121"/>
      <c r="AK38" s="121"/>
      <c r="AL38" s="121"/>
      <c r="AM38" s="121"/>
    </row>
    <row r="39" spans="1:39" x14ac:dyDescent="0.25">
      <c r="A39" s="103">
        <v>27</v>
      </c>
      <c r="B39" s="102">
        <f>INDEX('Tabl. 1'!$C$8:$AO$313,104+$AB34,MATCH($C$7,$AA$7:$AA$45))</f>
        <v>9999999</v>
      </c>
      <c r="C39" s="102">
        <f>INDEX('Tabl. 1'!$C$8:$AO$313,206+$AB34,MATCH($C$7,$AA$7:$AA$45))</f>
        <v>9999999</v>
      </c>
      <c r="I39" s="99"/>
      <c r="P39" s="91"/>
      <c r="Q39" s="91"/>
      <c r="R39" s="91"/>
      <c r="S39" s="91"/>
      <c r="T39" s="91"/>
      <c r="U39" s="91"/>
      <c r="V39" s="90"/>
      <c r="W39" s="90"/>
      <c r="X39" s="90"/>
      <c r="Y39" s="90"/>
      <c r="Z39" s="90"/>
      <c r="AA39" s="96">
        <v>2054</v>
      </c>
      <c r="AB39" s="96">
        <v>32</v>
      </c>
      <c r="AC39" s="96"/>
      <c r="AD39" s="100">
        <f t="shared" si="0"/>
        <v>-9999999</v>
      </c>
      <c r="AE39" s="101">
        <f t="shared" si="1"/>
        <v>9999999</v>
      </c>
      <c r="AF39" s="96">
        <f t="shared" si="2"/>
        <v>0</v>
      </c>
      <c r="AG39" s="101">
        <f t="shared" si="3"/>
        <v>0</v>
      </c>
      <c r="AH39" s="120"/>
      <c r="AI39" s="120"/>
      <c r="AJ39" s="121"/>
      <c r="AK39" s="121"/>
      <c r="AL39" s="121"/>
      <c r="AM39" s="121"/>
    </row>
    <row r="40" spans="1:39" x14ac:dyDescent="0.25">
      <c r="A40" s="103">
        <v>28</v>
      </c>
      <c r="B40" s="102">
        <f>INDEX('Tabl. 1'!$C$8:$AO$313,104+$AB35,MATCH($C$7,$AA$7:$AA$45))</f>
        <v>9999999</v>
      </c>
      <c r="C40" s="102">
        <f>INDEX('Tabl. 1'!$C$8:$AO$313,206+$AB35,MATCH($C$7,$AA$7:$AA$45))</f>
        <v>9999999</v>
      </c>
      <c r="I40" s="99"/>
      <c r="P40" s="91"/>
      <c r="Q40" s="91"/>
      <c r="R40" s="91"/>
      <c r="S40" s="91"/>
      <c r="T40" s="91"/>
      <c r="U40" s="91"/>
      <c r="V40" s="90"/>
      <c r="W40" s="90"/>
      <c r="X40" s="90"/>
      <c r="Y40" s="90"/>
      <c r="Z40" s="90"/>
      <c r="AA40" s="96">
        <v>2055</v>
      </c>
      <c r="AB40" s="96">
        <v>33</v>
      </c>
      <c r="AC40" s="96"/>
      <c r="AD40" s="100">
        <f t="shared" si="0"/>
        <v>-9999999</v>
      </c>
      <c r="AE40" s="101">
        <f t="shared" si="1"/>
        <v>9999999</v>
      </c>
      <c r="AF40" s="96">
        <f t="shared" si="2"/>
        <v>0</v>
      </c>
      <c r="AG40" s="101">
        <f t="shared" si="3"/>
        <v>0</v>
      </c>
      <c r="AH40" s="120"/>
      <c r="AI40" s="120"/>
      <c r="AJ40" s="121"/>
      <c r="AK40" s="121"/>
      <c r="AL40" s="121"/>
      <c r="AM40" s="121"/>
    </row>
    <row r="41" spans="1:39" x14ac:dyDescent="0.25">
      <c r="A41" s="103">
        <v>29</v>
      </c>
      <c r="B41" s="102">
        <f>INDEX('Tabl. 1'!$C$8:$AO$313,104+$AB36,MATCH($C$7,$AA$7:$AA$45))</f>
        <v>9999999</v>
      </c>
      <c r="C41" s="102">
        <f>INDEX('Tabl. 1'!$C$8:$AO$313,206+$AB36,MATCH($C$7,$AA$7:$AA$45))</f>
        <v>9999999</v>
      </c>
      <c r="I41" s="99"/>
      <c r="P41" s="91"/>
      <c r="Q41" s="91"/>
      <c r="R41" s="91"/>
      <c r="S41" s="91"/>
      <c r="T41" s="91"/>
      <c r="U41" s="91"/>
      <c r="V41" s="90"/>
      <c r="W41" s="90"/>
      <c r="X41" s="90"/>
      <c r="Y41" s="90"/>
      <c r="Z41" s="90"/>
      <c r="AA41" s="96">
        <v>2056</v>
      </c>
      <c r="AB41" s="96">
        <v>34</v>
      </c>
      <c r="AC41" s="96"/>
      <c r="AD41" s="100">
        <f t="shared" si="0"/>
        <v>-9999999</v>
      </c>
      <c r="AE41" s="101">
        <f t="shared" si="1"/>
        <v>9999999</v>
      </c>
      <c r="AF41" s="96">
        <f t="shared" si="2"/>
        <v>0</v>
      </c>
      <c r="AG41" s="101">
        <f t="shared" si="3"/>
        <v>0</v>
      </c>
      <c r="AH41" s="120"/>
      <c r="AI41" s="120"/>
      <c r="AJ41" s="121"/>
      <c r="AK41" s="121"/>
      <c r="AL41" s="121"/>
      <c r="AM41" s="121"/>
    </row>
    <row r="42" spans="1:39" x14ac:dyDescent="0.25">
      <c r="A42" s="103">
        <v>30</v>
      </c>
      <c r="B42" s="102">
        <f>INDEX('Tabl. 1'!$C$8:$AO$313,104+$AB37,MATCH($C$7,$AA$7:$AA$45))</f>
        <v>9999999</v>
      </c>
      <c r="C42" s="102">
        <f>INDEX('Tabl. 1'!$C$8:$AO$313,206+$AB37,MATCH($C$7,$AA$7:$AA$45))</f>
        <v>9999999</v>
      </c>
      <c r="I42" s="99"/>
      <c r="P42" s="91"/>
      <c r="Q42" s="91"/>
      <c r="R42" s="91"/>
      <c r="S42" s="91"/>
      <c r="T42" s="91"/>
      <c r="U42" s="91"/>
      <c r="V42" s="90"/>
      <c r="W42" s="90"/>
      <c r="X42" s="90"/>
      <c r="Y42" s="90"/>
      <c r="Z42" s="90"/>
      <c r="AA42" s="96">
        <v>2057</v>
      </c>
      <c r="AB42" s="96">
        <v>35</v>
      </c>
      <c r="AC42" s="96"/>
      <c r="AD42" s="100">
        <f t="shared" si="0"/>
        <v>-9999999</v>
      </c>
      <c r="AE42" s="101">
        <f t="shared" si="1"/>
        <v>9999999</v>
      </c>
      <c r="AF42" s="96">
        <f t="shared" si="2"/>
        <v>0</v>
      </c>
      <c r="AG42" s="101">
        <f t="shared" si="3"/>
        <v>0</v>
      </c>
      <c r="AH42" s="120"/>
      <c r="AI42" s="120"/>
      <c r="AJ42" s="121"/>
      <c r="AK42" s="121"/>
      <c r="AL42" s="121"/>
      <c r="AM42" s="121"/>
    </row>
    <row r="43" spans="1:39" x14ac:dyDescent="0.25">
      <c r="A43" s="103">
        <v>31</v>
      </c>
      <c r="B43" s="102">
        <f>INDEX('Tabl. 1'!$C$8:$AO$313,104+$AB38,MATCH($C$7,$AA$7:$AA$45))</f>
        <v>9999999</v>
      </c>
      <c r="C43" s="102">
        <f>INDEX('Tabl. 1'!$C$8:$AO$313,206+$AB38,MATCH($C$7,$AA$7:$AA$45))</f>
        <v>9999999</v>
      </c>
      <c r="I43" s="99"/>
      <c r="P43" s="91"/>
      <c r="Q43" s="91"/>
      <c r="R43" s="91"/>
      <c r="S43" s="91"/>
      <c r="T43" s="91"/>
      <c r="U43" s="91"/>
      <c r="V43" s="90"/>
      <c r="W43" s="90"/>
      <c r="X43" s="90"/>
      <c r="Y43" s="90"/>
      <c r="Z43" s="90"/>
      <c r="AA43" s="96">
        <v>2058</v>
      </c>
      <c r="AB43" s="96">
        <v>36</v>
      </c>
      <c r="AC43" s="96"/>
      <c r="AD43" s="100">
        <f t="shared" si="0"/>
        <v>-9999999</v>
      </c>
      <c r="AE43" s="101">
        <f t="shared" si="1"/>
        <v>9999999</v>
      </c>
      <c r="AF43" s="96">
        <f t="shared" si="2"/>
        <v>0</v>
      </c>
      <c r="AG43" s="101">
        <f t="shared" si="3"/>
        <v>0</v>
      </c>
      <c r="AH43" s="120"/>
      <c r="AI43" s="120"/>
      <c r="AJ43" s="121"/>
      <c r="AK43" s="121"/>
      <c r="AL43" s="121"/>
      <c r="AM43" s="121"/>
    </row>
    <row r="44" spans="1:39" x14ac:dyDescent="0.25">
      <c r="A44" s="103">
        <v>32</v>
      </c>
      <c r="B44" s="102">
        <f>INDEX('Tabl. 1'!$C$8:$AO$313,104+$AB39,MATCH($C$7,$AA$7:$AA$45))</f>
        <v>9999999</v>
      </c>
      <c r="C44" s="102">
        <f>INDEX('Tabl. 1'!$C$8:$AO$313,206+$AB39,MATCH($C$7,$AA$7:$AA$45))</f>
        <v>9999999</v>
      </c>
      <c r="I44" s="99"/>
      <c r="P44" s="91"/>
      <c r="Q44" s="91"/>
      <c r="R44" s="91"/>
      <c r="S44" s="91"/>
      <c r="T44" s="91"/>
      <c r="U44" s="91"/>
      <c r="V44" s="90"/>
      <c r="W44" s="90"/>
      <c r="X44" s="90"/>
      <c r="Y44" s="90"/>
      <c r="Z44" s="90"/>
      <c r="AA44" s="96">
        <v>2059</v>
      </c>
      <c r="AB44" s="96">
        <v>37</v>
      </c>
      <c r="AC44" s="96"/>
      <c r="AD44" s="100">
        <f t="shared" si="0"/>
        <v>-9999999</v>
      </c>
      <c r="AE44" s="101">
        <f t="shared" si="1"/>
        <v>9999999</v>
      </c>
      <c r="AF44" s="96">
        <f t="shared" si="2"/>
        <v>0</v>
      </c>
      <c r="AG44" s="101">
        <f t="shared" si="3"/>
        <v>0</v>
      </c>
      <c r="AH44" s="120"/>
      <c r="AI44" s="120"/>
      <c r="AJ44" s="121"/>
      <c r="AK44" s="121"/>
      <c r="AL44" s="121"/>
      <c r="AM44" s="121"/>
    </row>
    <row r="45" spans="1:39" x14ac:dyDescent="0.25">
      <c r="A45" s="103">
        <v>33</v>
      </c>
      <c r="B45" s="102">
        <f>INDEX('Tabl. 1'!$C$8:$AO$313,104+$AB40,MATCH($C$7,$AA$7:$AA$45))</f>
        <v>9999999</v>
      </c>
      <c r="C45" s="102">
        <f>INDEX('Tabl. 1'!$C$8:$AO$313,206+$AB40,MATCH($C$7,$AA$7:$AA$45))</f>
        <v>9999999</v>
      </c>
      <c r="I45" s="99"/>
      <c r="P45" s="91"/>
      <c r="Q45" s="91"/>
      <c r="R45" s="91"/>
      <c r="S45" s="91"/>
      <c r="T45" s="91"/>
      <c r="U45" s="91"/>
      <c r="V45" s="90"/>
      <c r="W45" s="90"/>
      <c r="X45" s="90"/>
      <c r="Y45" s="90"/>
      <c r="Z45" s="90"/>
      <c r="AA45" s="96">
        <v>2060</v>
      </c>
      <c r="AB45" s="96">
        <v>38</v>
      </c>
      <c r="AC45" s="96"/>
      <c r="AD45" s="100">
        <f t="shared" si="0"/>
        <v>-9999999</v>
      </c>
      <c r="AE45" s="101">
        <f t="shared" si="1"/>
        <v>9999999</v>
      </c>
      <c r="AF45" s="96">
        <f t="shared" si="2"/>
        <v>0</v>
      </c>
      <c r="AG45" s="101">
        <f t="shared" si="3"/>
        <v>0</v>
      </c>
      <c r="AH45" s="120"/>
      <c r="AI45" s="120"/>
      <c r="AJ45" s="121"/>
      <c r="AK45" s="121"/>
      <c r="AL45" s="121"/>
      <c r="AM45" s="121"/>
    </row>
    <row r="46" spans="1:39" x14ac:dyDescent="0.25">
      <c r="A46" s="103">
        <v>34</v>
      </c>
      <c r="B46" s="102">
        <f>INDEX('Tabl. 1'!$C$8:$AO$313,104+$AB41,MATCH($C$7,$AA$7:$AA$45))</f>
        <v>9999999</v>
      </c>
      <c r="C46" s="102">
        <f>INDEX('Tabl. 1'!$C$8:$AO$313,206+$AB41,MATCH($C$7,$AA$7:$AA$45))</f>
        <v>9999999</v>
      </c>
      <c r="I46" s="99"/>
      <c r="P46" s="91"/>
      <c r="Q46" s="91"/>
      <c r="R46" s="91"/>
      <c r="S46" s="91"/>
      <c r="T46" s="91"/>
      <c r="U46" s="91"/>
      <c r="V46" s="90"/>
      <c r="W46" s="90"/>
      <c r="X46" s="90"/>
      <c r="Y46" s="90"/>
      <c r="Z46" s="90"/>
      <c r="AA46" s="96"/>
      <c r="AB46" s="96">
        <v>39</v>
      </c>
      <c r="AC46" s="96"/>
      <c r="AD46" s="100">
        <f t="shared" si="0"/>
        <v>-9999999</v>
      </c>
      <c r="AE46" s="101">
        <f t="shared" si="1"/>
        <v>9999999</v>
      </c>
      <c r="AF46" s="96">
        <f t="shared" si="2"/>
        <v>0</v>
      </c>
      <c r="AG46" s="101">
        <f t="shared" si="3"/>
        <v>0</v>
      </c>
      <c r="AH46" s="120"/>
      <c r="AI46" s="120"/>
      <c r="AJ46" s="121"/>
      <c r="AK46" s="121"/>
      <c r="AL46" s="121"/>
      <c r="AM46" s="121"/>
    </row>
    <row r="47" spans="1:39" x14ac:dyDescent="0.25">
      <c r="A47" s="103">
        <v>35</v>
      </c>
      <c r="B47" s="102">
        <f>INDEX('Tabl. 1'!$C$8:$AO$313,104+$AB42,MATCH($C$7,$AA$7:$AA$45))</f>
        <v>9999999</v>
      </c>
      <c r="C47" s="102">
        <f>INDEX('Tabl. 1'!$C$8:$AO$313,206+$AB42,MATCH($C$7,$AA$7:$AA$45))</f>
        <v>9999999</v>
      </c>
      <c r="I47" s="99"/>
      <c r="P47" s="91"/>
      <c r="Q47" s="91"/>
      <c r="R47" s="91"/>
      <c r="S47" s="91"/>
      <c r="T47" s="91"/>
      <c r="U47" s="91"/>
      <c r="V47" s="90"/>
      <c r="W47" s="90"/>
      <c r="X47" s="90"/>
      <c r="Y47" s="90"/>
      <c r="Z47" s="90"/>
      <c r="AA47" s="96"/>
      <c r="AB47" s="96">
        <v>40</v>
      </c>
      <c r="AC47" s="96"/>
      <c r="AD47" s="100">
        <f t="shared" si="0"/>
        <v>-9999999</v>
      </c>
      <c r="AE47" s="101">
        <f t="shared" si="1"/>
        <v>9999999</v>
      </c>
      <c r="AF47" s="96">
        <f t="shared" si="2"/>
        <v>0</v>
      </c>
      <c r="AG47" s="101">
        <f t="shared" si="3"/>
        <v>0</v>
      </c>
      <c r="AH47" s="120"/>
      <c r="AI47" s="120"/>
      <c r="AJ47" s="121"/>
      <c r="AK47" s="121"/>
      <c r="AL47" s="121"/>
      <c r="AM47" s="121"/>
    </row>
    <row r="48" spans="1:39" x14ac:dyDescent="0.25">
      <c r="A48" s="103">
        <v>36</v>
      </c>
      <c r="B48" s="102">
        <f>INDEX('Tabl. 1'!$C$8:$AO$313,104+$AB43,MATCH($C$7,$AA$7:$AA$45))</f>
        <v>9999999</v>
      </c>
      <c r="C48" s="102">
        <f>INDEX('Tabl. 1'!$C$8:$AO$313,206+$AB43,MATCH($C$7,$AA$7:$AA$45))</f>
        <v>9999999</v>
      </c>
      <c r="I48" s="99"/>
      <c r="P48" s="91"/>
      <c r="Q48" s="91"/>
      <c r="R48" s="91"/>
      <c r="S48" s="91"/>
      <c r="T48" s="91"/>
      <c r="U48" s="91"/>
      <c r="V48" s="90"/>
      <c r="W48" s="90"/>
      <c r="X48" s="90"/>
      <c r="Y48" s="90"/>
      <c r="Z48" s="90"/>
      <c r="AA48" s="96"/>
      <c r="AB48" s="96">
        <v>41</v>
      </c>
      <c r="AC48" s="96"/>
      <c r="AD48" s="100">
        <f t="shared" si="0"/>
        <v>-9999999</v>
      </c>
      <c r="AE48" s="101">
        <f t="shared" si="1"/>
        <v>9999999</v>
      </c>
      <c r="AF48" s="96">
        <f t="shared" si="2"/>
        <v>0</v>
      </c>
      <c r="AG48" s="101">
        <f t="shared" si="3"/>
        <v>0</v>
      </c>
      <c r="AH48" s="120"/>
      <c r="AI48" s="120"/>
      <c r="AJ48" s="121"/>
      <c r="AK48" s="121"/>
      <c r="AL48" s="121"/>
      <c r="AM48" s="121"/>
    </row>
    <row r="49" spans="1:39" x14ac:dyDescent="0.25">
      <c r="A49" s="103">
        <v>37</v>
      </c>
      <c r="B49" s="102">
        <f>INDEX('Tabl. 1'!$C$8:$AO$313,104+$AB44,MATCH($C$7,$AA$7:$AA$45))</f>
        <v>9999999</v>
      </c>
      <c r="C49" s="102">
        <f>INDEX('Tabl. 1'!$C$8:$AO$313,206+$AB44,MATCH($C$7,$AA$7:$AA$45))</f>
        <v>9999999</v>
      </c>
      <c r="I49" s="99"/>
      <c r="P49" s="91"/>
      <c r="Q49" s="91"/>
      <c r="R49" s="91"/>
      <c r="S49" s="91"/>
      <c r="T49" s="91"/>
      <c r="U49" s="91"/>
      <c r="V49" s="90"/>
      <c r="W49" s="90"/>
      <c r="X49" s="90"/>
      <c r="Y49" s="90"/>
      <c r="Z49" s="90"/>
      <c r="AA49" s="96"/>
      <c r="AB49" s="96">
        <v>42</v>
      </c>
      <c r="AC49" s="96"/>
      <c r="AD49" s="100">
        <f t="shared" si="0"/>
        <v>-9999999</v>
      </c>
      <c r="AE49" s="101">
        <f t="shared" si="1"/>
        <v>9999999</v>
      </c>
      <c r="AF49" s="96">
        <f t="shared" si="2"/>
        <v>0</v>
      </c>
      <c r="AG49" s="101">
        <f t="shared" si="3"/>
        <v>0</v>
      </c>
      <c r="AH49" s="120"/>
      <c r="AI49" s="120"/>
      <c r="AJ49" s="121"/>
      <c r="AK49" s="121"/>
      <c r="AL49" s="121"/>
      <c r="AM49" s="121"/>
    </row>
    <row r="50" spans="1:39" x14ac:dyDescent="0.25">
      <c r="A50" s="103">
        <v>38</v>
      </c>
      <c r="B50" s="102">
        <f>INDEX('Tabl. 1'!$C$8:$AO$313,104+$AB45,MATCH($C$7,$AA$7:$AA$45))</f>
        <v>9999999</v>
      </c>
      <c r="C50" s="102">
        <f>INDEX('Tabl. 1'!$C$8:$AO$313,206+$AB45,MATCH($C$7,$AA$7:$AA$45))</f>
        <v>9999999</v>
      </c>
      <c r="I50" s="99"/>
      <c r="P50" s="91"/>
      <c r="Q50" s="91"/>
      <c r="R50" s="91"/>
      <c r="S50" s="91"/>
      <c r="T50" s="91"/>
      <c r="U50" s="91"/>
      <c r="V50" s="90"/>
      <c r="W50" s="90"/>
      <c r="X50" s="90"/>
      <c r="Y50" s="90"/>
      <c r="Z50" s="90"/>
      <c r="AA50" s="96"/>
      <c r="AB50" s="96">
        <v>43</v>
      </c>
      <c r="AC50" s="96"/>
      <c r="AD50" s="100">
        <f t="shared" si="0"/>
        <v>-9999999</v>
      </c>
      <c r="AE50" s="101">
        <f t="shared" si="1"/>
        <v>9999999</v>
      </c>
      <c r="AF50" s="96">
        <f t="shared" si="2"/>
        <v>0</v>
      </c>
      <c r="AG50" s="101">
        <f t="shared" si="3"/>
        <v>0</v>
      </c>
      <c r="AH50" s="120"/>
      <c r="AI50" s="120"/>
      <c r="AJ50" s="121"/>
      <c r="AK50" s="121"/>
      <c r="AL50" s="121"/>
      <c r="AM50" s="121"/>
    </row>
    <row r="51" spans="1:39" x14ac:dyDescent="0.25">
      <c r="A51" s="103">
        <v>39</v>
      </c>
      <c r="B51" s="102">
        <f>INDEX('Tabl. 1'!$C$8:$AO$313,104+$AB46,MATCH($C$7,$AA$7:$AA$45))</f>
        <v>9999999</v>
      </c>
      <c r="C51" s="102">
        <f>INDEX('Tabl. 1'!$C$8:$AO$313,206+$AB46,MATCH($C$7,$AA$7:$AA$45))</f>
        <v>9999999</v>
      </c>
      <c r="I51" s="99"/>
      <c r="P51" s="91"/>
      <c r="Q51" s="91"/>
      <c r="R51" s="91"/>
      <c r="S51" s="91"/>
      <c r="T51" s="91"/>
      <c r="U51" s="91"/>
      <c r="V51" s="90"/>
      <c r="W51" s="90"/>
      <c r="X51" s="90"/>
      <c r="Y51" s="90"/>
      <c r="Z51" s="90"/>
      <c r="AA51" s="96"/>
      <c r="AB51" s="96">
        <v>44</v>
      </c>
      <c r="AC51" s="96"/>
      <c r="AD51" s="100">
        <f t="shared" si="0"/>
        <v>-9999999</v>
      </c>
      <c r="AE51" s="101">
        <f t="shared" si="1"/>
        <v>9999999</v>
      </c>
      <c r="AF51" s="96">
        <f t="shared" si="2"/>
        <v>0</v>
      </c>
      <c r="AG51" s="101">
        <f t="shared" si="3"/>
        <v>0</v>
      </c>
      <c r="AH51" s="120"/>
      <c r="AI51" s="120"/>
      <c r="AJ51" s="121"/>
      <c r="AK51" s="121"/>
      <c r="AL51" s="121"/>
      <c r="AM51" s="121"/>
    </row>
    <row r="52" spans="1:39" x14ac:dyDescent="0.25">
      <c r="A52" s="103">
        <v>40</v>
      </c>
      <c r="B52" s="102">
        <f>INDEX('Tabl. 1'!$C$8:$AO$313,104+$AB47,MATCH($C$7,$AA$7:$AA$45))</f>
        <v>9999999</v>
      </c>
      <c r="C52" s="102">
        <f>INDEX('Tabl. 1'!$C$8:$AO$313,206+$AB47,MATCH($C$7,$AA$7:$AA$45))</f>
        <v>9999999</v>
      </c>
      <c r="I52" s="99"/>
      <c r="P52" s="91"/>
      <c r="Q52" s="91"/>
      <c r="R52" s="91"/>
      <c r="S52" s="91"/>
      <c r="T52" s="91"/>
      <c r="U52" s="91"/>
      <c r="V52" s="90"/>
      <c r="W52" s="90"/>
      <c r="X52" s="90"/>
      <c r="Y52" s="90"/>
      <c r="Z52" s="90"/>
      <c r="AA52" s="96"/>
      <c r="AB52" s="96">
        <v>45</v>
      </c>
      <c r="AC52" s="96"/>
      <c r="AD52" s="100">
        <f t="shared" si="0"/>
        <v>-9999999</v>
      </c>
      <c r="AE52" s="101">
        <f t="shared" si="1"/>
        <v>9999999</v>
      </c>
      <c r="AF52" s="96">
        <f t="shared" si="2"/>
        <v>0</v>
      </c>
      <c r="AG52" s="101">
        <f t="shared" si="3"/>
        <v>0</v>
      </c>
      <c r="AH52" s="120"/>
      <c r="AI52" s="120"/>
      <c r="AJ52" s="121"/>
      <c r="AK52" s="121"/>
      <c r="AL52" s="121"/>
      <c r="AM52" s="121"/>
    </row>
    <row r="53" spans="1:39" x14ac:dyDescent="0.25">
      <c r="A53" s="103">
        <v>41</v>
      </c>
      <c r="B53" s="102">
        <f>INDEX('Tabl. 1'!$C$8:$AO$313,104+$AB48,MATCH($C$7,$AA$7:$AA$45))</f>
        <v>9999999</v>
      </c>
      <c r="C53" s="102">
        <f>INDEX('Tabl. 1'!$C$8:$AO$313,206+$AB48,MATCH($C$7,$AA$7:$AA$45))</f>
        <v>9999999</v>
      </c>
      <c r="I53" s="99"/>
      <c r="P53" s="91"/>
      <c r="Q53" s="91"/>
      <c r="R53" s="91"/>
      <c r="S53" s="91"/>
      <c r="T53" s="91"/>
      <c r="U53" s="91"/>
      <c r="V53" s="90"/>
      <c r="W53" s="90"/>
      <c r="X53" s="90"/>
      <c r="Y53" s="90"/>
      <c r="Z53" s="90"/>
      <c r="AA53" s="96"/>
      <c r="AB53" s="96">
        <v>46</v>
      </c>
      <c r="AC53" s="96"/>
      <c r="AD53" s="100">
        <f t="shared" si="0"/>
        <v>-9999999</v>
      </c>
      <c r="AE53" s="101">
        <f t="shared" si="1"/>
        <v>9999999</v>
      </c>
      <c r="AF53" s="96">
        <f t="shared" si="2"/>
        <v>0</v>
      </c>
      <c r="AG53" s="101">
        <f t="shared" si="3"/>
        <v>0</v>
      </c>
      <c r="AH53" s="120"/>
      <c r="AI53" s="120"/>
      <c r="AJ53" s="121"/>
      <c r="AK53" s="121"/>
      <c r="AL53" s="121"/>
      <c r="AM53" s="121"/>
    </row>
    <row r="54" spans="1:39" x14ac:dyDescent="0.25">
      <c r="A54" s="103">
        <v>42</v>
      </c>
      <c r="B54" s="102">
        <f>INDEX('Tabl. 1'!$C$8:$AO$313,104+$AB49,MATCH($C$7,$AA$7:$AA$45))</f>
        <v>9999999</v>
      </c>
      <c r="C54" s="102">
        <f>INDEX('Tabl. 1'!$C$8:$AO$313,206+$AB49,MATCH($C$7,$AA$7:$AA$45))</f>
        <v>9999999</v>
      </c>
      <c r="I54" s="99"/>
      <c r="P54" s="91"/>
      <c r="Q54" s="91"/>
      <c r="R54" s="91"/>
      <c r="S54" s="91"/>
      <c r="T54" s="91"/>
      <c r="U54" s="91"/>
      <c r="V54" s="90"/>
      <c r="W54" s="90"/>
      <c r="X54" s="90"/>
      <c r="Y54" s="90"/>
      <c r="Z54" s="90"/>
      <c r="AA54" s="96"/>
      <c r="AB54" s="96">
        <v>47</v>
      </c>
      <c r="AC54" s="96"/>
      <c r="AD54" s="100">
        <f t="shared" si="0"/>
        <v>-9999999</v>
      </c>
      <c r="AE54" s="101">
        <f t="shared" si="1"/>
        <v>9999999</v>
      </c>
      <c r="AF54" s="96">
        <f t="shared" si="2"/>
        <v>0</v>
      </c>
      <c r="AG54" s="101">
        <f t="shared" si="3"/>
        <v>0</v>
      </c>
      <c r="AH54" s="120"/>
      <c r="AI54" s="120"/>
      <c r="AJ54" s="121"/>
      <c r="AK54" s="121"/>
      <c r="AL54" s="121"/>
      <c r="AM54" s="121"/>
    </row>
    <row r="55" spans="1:39" x14ac:dyDescent="0.25">
      <c r="A55" s="103">
        <v>43</v>
      </c>
      <c r="B55" s="102">
        <f>INDEX('Tabl. 1'!$C$8:$AO$313,104+$AB50,MATCH($C$7,$AA$7:$AA$45))</f>
        <v>9999999</v>
      </c>
      <c r="C55" s="102">
        <f>INDEX('Tabl. 1'!$C$8:$AO$313,206+$AB50,MATCH($C$7,$AA$7:$AA$45))</f>
        <v>9999999</v>
      </c>
      <c r="I55" s="99"/>
      <c r="P55" s="91"/>
      <c r="Q55" s="91"/>
      <c r="R55" s="91"/>
      <c r="S55" s="91"/>
      <c r="T55" s="91"/>
      <c r="U55" s="91"/>
      <c r="V55" s="90"/>
      <c r="W55" s="90"/>
      <c r="X55" s="90"/>
      <c r="Y55" s="90"/>
      <c r="Z55" s="90"/>
      <c r="AA55" s="96"/>
      <c r="AB55" s="96">
        <v>48</v>
      </c>
      <c r="AC55" s="96"/>
      <c r="AD55" s="100">
        <f t="shared" si="0"/>
        <v>-9999999</v>
      </c>
      <c r="AE55" s="101">
        <f t="shared" si="1"/>
        <v>9999999</v>
      </c>
      <c r="AF55" s="96">
        <f t="shared" si="2"/>
        <v>0</v>
      </c>
      <c r="AG55" s="101">
        <f t="shared" si="3"/>
        <v>0</v>
      </c>
      <c r="AH55" s="120"/>
      <c r="AI55" s="120"/>
      <c r="AJ55" s="121"/>
      <c r="AK55" s="121"/>
      <c r="AL55" s="121"/>
      <c r="AM55" s="121"/>
    </row>
    <row r="56" spans="1:39" x14ac:dyDescent="0.25">
      <c r="A56" s="103">
        <v>44</v>
      </c>
      <c r="B56" s="102">
        <f>INDEX('Tabl. 1'!$C$8:$AO$313,104+$AB51,MATCH($C$7,$AA$7:$AA$45))</f>
        <v>9999999</v>
      </c>
      <c r="C56" s="102">
        <f>INDEX('Tabl. 1'!$C$8:$AO$313,206+$AB51,MATCH($C$7,$AA$7:$AA$45))</f>
        <v>9999999</v>
      </c>
      <c r="I56" s="99"/>
      <c r="P56" s="91"/>
      <c r="Q56" s="91"/>
      <c r="R56" s="91"/>
      <c r="S56" s="91"/>
      <c r="T56" s="91"/>
      <c r="U56" s="91"/>
      <c r="V56" s="90"/>
      <c r="W56" s="90"/>
      <c r="X56" s="90"/>
      <c r="Y56" s="90"/>
      <c r="Z56" s="90"/>
      <c r="AA56" s="96"/>
      <c r="AB56" s="96">
        <v>49</v>
      </c>
      <c r="AC56" s="96"/>
      <c r="AD56" s="100">
        <f t="shared" si="0"/>
        <v>-9999999</v>
      </c>
      <c r="AE56" s="101">
        <f t="shared" si="1"/>
        <v>9999999</v>
      </c>
      <c r="AF56" s="96">
        <f t="shared" si="2"/>
        <v>0</v>
      </c>
      <c r="AG56" s="101">
        <f t="shared" si="3"/>
        <v>0</v>
      </c>
      <c r="AH56" s="120"/>
      <c r="AI56" s="120"/>
      <c r="AJ56" s="121"/>
      <c r="AK56" s="121"/>
      <c r="AL56" s="121"/>
      <c r="AM56" s="121"/>
    </row>
    <row r="57" spans="1:39" x14ac:dyDescent="0.25">
      <c r="A57" s="103">
        <v>45</v>
      </c>
      <c r="B57" s="102">
        <f>INDEX('Tabl. 1'!$C$8:$AO$313,104+$AB52,MATCH($C$7,$AA$7:$AA$45))</f>
        <v>9999999</v>
      </c>
      <c r="C57" s="102">
        <f>INDEX('Tabl. 1'!$C$8:$AO$313,206+$AB52,MATCH($C$7,$AA$7:$AA$45))</f>
        <v>9999999</v>
      </c>
      <c r="I57" s="99"/>
      <c r="P57" s="91"/>
      <c r="Q57" s="91"/>
      <c r="R57" s="91"/>
      <c r="S57" s="91"/>
      <c r="T57" s="91"/>
      <c r="U57" s="91"/>
      <c r="V57" s="90"/>
      <c r="W57" s="90"/>
      <c r="X57" s="90"/>
      <c r="Y57" s="90"/>
      <c r="Z57" s="90"/>
      <c r="AA57" s="96"/>
      <c r="AB57" s="96">
        <v>50</v>
      </c>
      <c r="AC57" s="96"/>
      <c r="AD57" s="100">
        <f t="shared" si="0"/>
        <v>-9999999</v>
      </c>
      <c r="AE57" s="101">
        <f t="shared" si="1"/>
        <v>9999999</v>
      </c>
      <c r="AF57" s="96">
        <f t="shared" si="2"/>
        <v>0</v>
      </c>
      <c r="AG57" s="101">
        <f t="shared" si="3"/>
        <v>0</v>
      </c>
      <c r="AH57" s="120"/>
      <c r="AI57" s="120"/>
      <c r="AJ57" s="121"/>
      <c r="AK57" s="121"/>
      <c r="AL57" s="121"/>
      <c r="AM57" s="121"/>
    </row>
    <row r="58" spans="1:39" x14ac:dyDescent="0.25">
      <c r="A58" s="103">
        <v>46</v>
      </c>
      <c r="B58" s="102">
        <f>INDEX('Tabl. 1'!$C$8:$AO$313,104+$AB53,MATCH($C$7,$AA$7:$AA$45))</f>
        <v>9999999</v>
      </c>
      <c r="C58" s="102">
        <f>INDEX('Tabl. 1'!$C$8:$AO$313,206+$AB53,MATCH($C$7,$AA$7:$AA$45))</f>
        <v>9999999</v>
      </c>
      <c r="I58" s="99"/>
      <c r="P58" s="91"/>
      <c r="Q58" s="91"/>
      <c r="R58" s="91"/>
      <c r="S58" s="91"/>
      <c r="T58" s="91"/>
      <c r="U58" s="91"/>
      <c r="V58" s="90"/>
      <c r="W58" s="90"/>
      <c r="X58" s="90"/>
      <c r="Y58" s="90"/>
      <c r="Z58" s="90"/>
      <c r="AA58" s="96"/>
      <c r="AB58" s="96">
        <v>51</v>
      </c>
      <c r="AC58" s="96"/>
      <c r="AD58" s="100">
        <f t="shared" si="0"/>
        <v>-9999999</v>
      </c>
      <c r="AE58" s="101">
        <f t="shared" si="1"/>
        <v>9999999</v>
      </c>
      <c r="AF58" s="96">
        <f t="shared" si="2"/>
        <v>0</v>
      </c>
      <c r="AG58" s="101">
        <f t="shared" si="3"/>
        <v>0</v>
      </c>
      <c r="AH58" s="120"/>
      <c r="AI58" s="120"/>
      <c r="AJ58" s="121"/>
      <c r="AK58" s="121"/>
      <c r="AL58" s="121"/>
      <c r="AM58" s="121"/>
    </row>
    <row r="59" spans="1:39" x14ac:dyDescent="0.25">
      <c r="A59" s="103">
        <v>47</v>
      </c>
      <c r="B59" s="102">
        <f>INDEX('Tabl. 1'!$C$8:$AO$313,104+$AB54,MATCH($C$7,$AA$7:$AA$45))</f>
        <v>9999999</v>
      </c>
      <c r="C59" s="102">
        <f>INDEX('Tabl. 1'!$C$8:$AO$313,206+$AB54,MATCH($C$7,$AA$7:$AA$45))</f>
        <v>9999999</v>
      </c>
      <c r="I59" s="99"/>
      <c r="P59" s="91"/>
      <c r="Q59" s="91"/>
      <c r="R59" s="91"/>
      <c r="S59" s="91"/>
      <c r="T59" s="91"/>
      <c r="U59" s="91"/>
      <c r="V59" s="90"/>
      <c r="W59" s="90"/>
      <c r="X59" s="90"/>
      <c r="Y59" s="90"/>
      <c r="Z59" s="90"/>
      <c r="AA59" s="96"/>
      <c r="AB59" s="96">
        <v>52</v>
      </c>
      <c r="AC59" s="96"/>
      <c r="AD59" s="100">
        <f t="shared" si="0"/>
        <v>-9999999</v>
      </c>
      <c r="AE59" s="101">
        <f t="shared" si="1"/>
        <v>9999999</v>
      </c>
      <c r="AF59" s="96">
        <f t="shared" si="2"/>
        <v>0</v>
      </c>
      <c r="AG59" s="101">
        <f t="shared" si="3"/>
        <v>0</v>
      </c>
      <c r="AH59" s="120"/>
      <c r="AI59" s="120"/>
      <c r="AJ59" s="121"/>
      <c r="AK59" s="121"/>
      <c r="AL59" s="121"/>
      <c r="AM59" s="121"/>
    </row>
    <row r="60" spans="1:39" x14ac:dyDescent="0.25">
      <c r="A60" s="103">
        <v>48</v>
      </c>
      <c r="B60" s="102">
        <f>INDEX('Tabl. 1'!$C$8:$AO$313,104+$AB55,MATCH($C$7,$AA$7:$AA$45))</f>
        <v>9999999</v>
      </c>
      <c r="C60" s="102">
        <f>INDEX('Tabl. 1'!$C$8:$AO$313,206+$AB55,MATCH($C$7,$AA$7:$AA$45))</f>
        <v>9999999</v>
      </c>
      <c r="I60" s="99"/>
      <c r="P60" s="91"/>
      <c r="Q60" s="91"/>
      <c r="R60" s="91"/>
      <c r="S60" s="91"/>
      <c r="T60" s="91"/>
      <c r="U60" s="91"/>
      <c r="V60" s="90"/>
      <c r="W60" s="90"/>
      <c r="X60" s="90"/>
      <c r="Y60" s="90"/>
      <c r="Z60" s="90"/>
      <c r="AA60" s="96"/>
      <c r="AB60" s="96">
        <v>53</v>
      </c>
      <c r="AC60" s="96"/>
      <c r="AD60" s="100">
        <f t="shared" si="0"/>
        <v>-9999999</v>
      </c>
      <c r="AE60" s="101">
        <f t="shared" si="1"/>
        <v>9999999</v>
      </c>
      <c r="AF60" s="96">
        <f t="shared" si="2"/>
        <v>0</v>
      </c>
      <c r="AG60" s="101">
        <f t="shared" si="3"/>
        <v>0</v>
      </c>
      <c r="AH60" s="120"/>
      <c r="AI60" s="120"/>
      <c r="AJ60" s="121"/>
      <c r="AK60" s="121"/>
      <c r="AL60" s="121"/>
      <c r="AM60" s="121"/>
    </row>
    <row r="61" spans="1:39" x14ac:dyDescent="0.25">
      <c r="A61" s="103">
        <v>49</v>
      </c>
      <c r="B61" s="102">
        <f>INDEX('Tabl. 1'!$C$8:$AO$313,104+$AB56,MATCH($C$7,$AA$7:$AA$45))</f>
        <v>9999999</v>
      </c>
      <c r="C61" s="102">
        <f>INDEX('Tabl. 1'!$C$8:$AO$313,206+$AB56,MATCH($C$7,$AA$7:$AA$45))</f>
        <v>9999999</v>
      </c>
      <c r="I61" s="99"/>
      <c r="P61" s="91"/>
      <c r="Q61" s="91"/>
      <c r="R61" s="91"/>
      <c r="S61" s="91"/>
      <c r="T61" s="91"/>
      <c r="U61" s="91"/>
      <c r="V61" s="90"/>
      <c r="W61" s="90"/>
      <c r="X61" s="90"/>
      <c r="Y61" s="90"/>
      <c r="Z61" s="90"/>
      <c r="AA61" s="96"/>
      <c r="AB61" s="96">
        <v>54</v>
      </c>
      <c r="AC61" s="96"/>
      <c r="AD61" s="100">
        <f t="shared" si="0"/>
        <v>-9999999</v>
      </c>
      <c r="AE61" s="101">
        <f t="shared" si="1"/>
        <v>9999999</v>
      </c>
      <c r="AF61" s="96">
        <f t="shared" si="2"/>
        <v>0</v>
      </c>
      <c r="AG61" s="101">
        <f t="shared" si="3"/>
        <v>0</v>
      </c>
      <c r="AH61" s="120"/>
      <c r="AI61" s="120"/>
      <c r="AJ61" s="121"/>
      <c r="AK61" s="121"/>
      <c r="AL61" s="121"/>
      <c r="AM61" s="121"/>
    </row>
    <row r="62" spans="1:39" x14ac:dyDescent="0.25">
      <c r="A62" s="103">
        <v>50</v>
      </c>
      <c r="B62" s="102">
        <f>INDEX('Tabl. 1'!$C$8:$AO$313,104+$AB57,MATCH($C$7,$AA$7:$AA$45))</f>
        <v>9999999</v>
      </c>
      <c r="C62" s="102">
        <f>INDEX('Tabl. 1'!$C$8:$AO$313,206+$AB57,MATCH($C$7,$AA$7:$AA$45))</f>
        <v>9999999</v>
      </c>
      <c r="I62" s="99"/>
      <c r="P62" s="91"/>
      <c r="Q62" s="91"/>
      <c r="R62" s="91"/>
      <c r="S62" s="91"/>
      <c r="T62" s="91"/>
      <c r="U62" s="91"/>
      <c r="V62" s="90"/>
      <c r="W62" s="90"/>
      <c r="X62" s="90"/>
      <c r="Y62" s="90"/>
      <c r="Z62" s="90"/>
      <c r="AA62" s="96"/>
      <c r="AB62" s="96">
        <v>55</v>
      </c>
      <c r="AC62" s="96"/>
      <c r="AD62" s="100">
        <f t="shared" si="0"/>
        <v>-9999999</v>
      </c>
      <c r="AE62" s="101">
        <f t="shared" si="1"/>
        <v>9999999</v>
      </c>
      <c r="AF62" s="96">
        <f t="shared" si="2"/>
        <v>0</v>
      </c>
      <c r="AG62" s="101">
        <f t="shared" si="3"/>
        <v>0</v>
      </c>
      <c r="AH62" s="120"/>
      <c r="AI62" s="120"/>
      <c r="AJ62" s="121"/>
      <c r="AK62" s="121"/>
      <c r="AL62" s="121"/>
      <c r="AM62" s="121"/>
    </row>
    <row r="63" spans="1:39" x14ac:dyDescent="0.25">
      <c r="A63" s="103">
        <v>51</v>
      </c>
      <c r="B63" s="102">
        <f>INDEX('Tabl. 1'!$C$8:$AO$313,104+$AB58,MATCH($C$7,$AA$7:$AA$45))</f>
        <v>9999999</v>
      </c>
      <c r="C63" s="102">
        <f>INDEX('Tabl. 1'!$C$8:$AO$313,206+$AB58,MATCH($C$7,$AA$7:$AA$45))</f>
        <v>9999999</v>
      </c>
      <c r="I63" s="99"/>
      <c r="P63" s="91"/>
      <c r="Q63" s="91"/>
      <c r="R63" s="91"/>
      <c r="S63" s="91"/>
      <c r="T63" s="91"/>
      <c r="U63" s="91"/>
      <c r="V63" s="90"/>
      <c r="W63" s="90"/>
      <c r="X63" s="90"/>
      <c r="Y63" s="90"/>
      <c r="Z63" s="90"/>
      <c r="AA63" s="96"/>
      <c r="AB63" s="96">
        <v>56</v>
      </c>
      <c r="AC63" s="96"/>
      <c r="AD63" s="100">
        <f t="shared" si="0"/>
        <v>-9999999</v>
      </c>
      <c r="AE63" s="101">
        <f t="shared" si="1"/>
        <v>9999999</v>
      </c>
      <c r="AF63" s="96">
        <f t="shared" si="2"/>
        <v>0</v>
      </c>
      <c r="AG63" s="101">
        <f t="shared" si="3"/>
        <v>0</v>
      </c>
      <c r="AH63" s="120"/>
      <c r="AI63" s="120"/>
      <c r="AJ63" s="121"/>
      <c r="AK63" s="121"/>
      <c r="AL63" s="121"/>
      <c r="AM63" s="121"/>
    </row>
    <row r="64" spans="1:39" x14ac:dyDescent="0.25">
      <c r="A64" s="103">
        <v>52</v>
      </c>
      <c r="B64" s="102">
        <f>INDEX('Tabl. 1'!$C$8:$AO$313,104+$AB59,MATCH($C$7,$AA$7:$AA$45))</f>
        <v>9999999</v>
      </c>
      <c r="C64" s="102">
        <f>INDEX('Tabl. 1'!$C$8:$AO$313,206+$AB59,MATCH($C$7,$AA$7:$AA$45))</f>
        <v>9999999</v>
      </c>
      <c r="I64" s="99"/>
      <c r="P64" s="91"/>
      <c r="Q64" s="91"/>
      <c r="R64" s="91"/>
      <c r="S64" s="91"/>
      <c r="T64" s="91"/>
      <c r="U64" s="91"/>
      <c r="V64" s="90"/>
      <c r="W64" s="90"/>
      <c r="X64" s="90"/>
      <c r="Y64" s="90"/>
      <c r="Z64" s="90"/>
      <c r="AA64" s="96"/>
      <c r="AB64" s="96">
        <v>57</v>
      </c>
      <c r="AC64" s="96"/>
      <c r="AD64" s="100">
        <f t="shared" si="0"/>
        <v>-9999999</v>
      </c>
      <c r="AE64" s="101">
        <f t="shared" si="1"/>
        <v>9999999</v>
      </c>
      <c r="AF64" s="96">
        <f t="shared" si="2"/>
        <v>0</v>
      </c>
      <c r="AG64" s="101">
        <f t="shared" si="3"/>
        <v>0</v>
      </c>
      <c r="AH64" s="120"/>
      <c r="AI64" s="120"/>
      <c r="AJ64" s="121"/>
      <c r="AK64" s="121"/>
      <c r="AL64" s="121"/>
      <c r="AM64" s="121"/>
    </row>
    <row r="65" spans="1:39" x14ac:dyDescent="0.25">
      <c r="A65" s="103">
        <v>53</v>
      </c>
      <c r="B65" s="102">
        <f>INDEX('Tabl. 1'!$C$8:$AO$313,104+$AB60,MATCH($C$7,$AA$7:$AA$45))</f>
        <v>9999999</v>
      </c>
      <c r="C65" s="102">
        <f>INDEX('Tabl. 1'!$C$8:$AO$313,206+$AB60,MATCH($C$7,$AA$7:$AA$45))</f>
        <v>9999999</v>
      </c>
      <c r="I65" s="99"/>
      <c r="P65" s="91"/>
      <c r="Q65" s="91"/>
      <c r="R65" s="91"/>
      <c r="S65" s="91"/>
      <c r="T65" s="91"/>
      <c r="U65" s="91"/>
      <c r="V65" s="90"/>
      <c r="W65" s="90"/>
      <c r="X65" s="90"/>
      <c r="Y65" s="90"/>
      <c r="Z65" s="90"/>
      <c r="AA65" s="96"/>
      <c r="AB65" s="96">
        <v>58</v>
      </c>
      <c r="AC65" s="96"/>
      <c r="AD65" s="100">
        <f t="shared" si="0"/>
        <v>-9999999</v>
      </c>
      <c r="AE65" s="101">
        <f t="shared" si="1"/>
        <v>9999999</v>
      </c>
      <c r="AF65" s="96">
        <f t="shared" si="2"/>
        <v>0</v>
      </c>
      <c r="AG65" s="101">
        <f t="shared" si="3"/>
        <v>0</v>
      </c>
      <c r="AH65" s="120"/>
      <c r="AI65" s="120"/>
      <c r="AJ65" s="121"/>
      <c r="AK65" s="121"/>
      <c r="AL65" s="121"/>
      <c r="AM65" s="121"/>
    </row>
    <row r="66" spans="1:39" x14ac:dyDescent="0.25">
      <c r="A66" s="103">
        <v>54</v>
      </c>
      <c r="B66" s="102">
        <f>INDEX('Tabl. 1'!$C$8:$AO$313,104+$AB61,MATCH($C$7,$AA$7:$AA$45))</f>
        <v>9999999</v>
      </c>
      <c r="C66" s="102">
        <f>INDEX('Tabl. 1'!$C$8:$AO$313,206+$AB61,MATCH($C$7,$AA$7:$AA$45))</f>
        <v>9999999</v>
      </c>
      <c r="I66" s="99"/>
      <c r="P66" s="91"/>
      <c r="Q66" s="91"/>
      <c r="R66" s="91"/>
      <c r="S66" s="91"/>
      <c r="T66" s="91"/>
      <c r="U66" s="91"/>
      <c r="V66" s="90"/>
      <c r="W66" s="90"/>
      <c r="X66" s="90"/>
      <c r="Y66" s="90"/>
      <c r="Z66" s="90"/>
      <c r="AA66" s="96"/>
      <c r="AB66" s="96">
        <v>59</v>
      </c>
      <c r="AC66" s="96"/>
      <c r="AD66" s="100">
        <f t="shared" si="0"/>
        <v>-9999999</v>
      </c>
      <c r="AE66" s="101">
        <f t="shared" si="1"/>
        <v>9999999</v>
      </c>
      <c r="AF66" s="96">
        <f t="shared" si="2"/>
        <v>0</v>
      </c>
      <c r="AG66" s="101">
        <f t="shared" si="3"/>
        <v>0</v>
      </c>
      <c r="AH66" s="120"/>
      <c r="AI66" s="120"/>
      <c r="AJ66" s="121"/>
      <c r="AK66" s="121"/>
      <c r="AL66" s="121"/>
      <c r="AM66" s="121"/>
    </row>
    <row r="67" spans="1:39" x14ac:dyDescent="0.25">
      <c r="A67" s="103">
        <v>55</v>
      </c>
      <c r="B67" s="102">
        <f>INDEX('Tabl. 1'!$C$8:$AO$313,104+$AB62,MATCH($C$7,$AA$7:$AA$45))</f>
        <v>9999999</v>
      </c>
      <c r="C67" s="102">
        <f>INDEX('Tabl. 1'!$C$8:$AO$313,206+$AB62,MATCH($C$7,$AA$7:$AA$45))</f>
        <v>9999999</v>
      </c>
      <c r="I67" s="99"/>
      <c r="P67" s="91"/>
      <c r="Q67" s="91"/>
      <c r="R67" s="91"/>
      <c r="S67" s="91"/>
      <c r="T67" s="91"/>
      <c r="U67" s="91"/>
      <c r="V67" s="90"/>
      <c r="W67" s="90"/>
      <c r="X67" s="90"/>
      <c r="Y67" s="90"/>
      <c r="Z67" s="90"/>
      <c r="AA67" s="96"/>
      <c r="AB67" s="96">
        <v>60</v>
      </c>
      <c r="AC67" s="96"/>
      <c r="AD67" s="100">
        <f t="shared" si="0"/>
        <v>-9999999</v>
      </c>
      <c r="AE67" s="101">
        <f t="shared" si="1"/>
        <v>9999999</v>
      </c>
      <c r="AF67" s="96">
        <f t="shared" si="2"/>
        <v>0</v>
      </c>
      <c r="AG67" s="101">
        <f t="shared" si="3"/>
        <v>0</v>
      </c>
      <c r="AH67" s="120"/>
      <c r="AI67" s="120"/>
      <c r="AJ67" s="121"/>
      <c r="AK67" s="121"/>
      <c r="AL67" s="121"/>
      <c r="AM67" s="121"/>
    </row>
    <row r="68" spans="1:39" x14ac:dyDescent="0.25">
      <c r="A68" s="103">
        <v>56</v>
      </c>
      <c r="B68" s="102">
        <f>INDEX('Tabl. 1'!$C$8:$AO$313,104+$AB63,MATCH($C$7,$AA$7:$AA$45))</f>
        <v>9999999</v>
      </c>
      <c r="C68" s="102">
        <f>INDEX('Tabl. 1'!$C$8:$AO$313,206+$AB63,MATCH($C$7,$AA$7:$AA$45))</f>
        <v>9999999</v>
      </c>
      <c r="I68" s="99"/>
      <c r="P68" s="91"/>
      <c r="Q68" s="91"/>
      <c r="R68" s="91"/>
      <c r="S68" s="91"/>
      <c r="T68" s="91"/>
      <c r="U68" s="91"/>
      <c r="V68" s="90"/>
      <c r="W68" s="90"/>
      <c r="X68" s="90"/>
      <c r="Y68" s="90"/>
      <c r="Z68" s="90"/>
      <c r="AA68" s="96"/>
      <c r="AB68" s="96">
        <v>61</v>
      </c>
      <c r="AC68" s="96"/>
      <c r="AD68" s="100">
        <f t="shared" si="0"/>
        <v>-9999999</v>
      </c>
      <c r="AE68" s="101">
        <f t="shared" si="1"/>
        <v>9999999</v>
      </c>
      <c r="AF68" s="96">
        <f t="shared" si="2"/>
        <v>0</v>
      </c>
      <c r="AG68" s="101">
        <f t="shared" si="3"/>
        <v>0</v>
      </c>
      <c r="AH68" s="120"/>
      <c r="AI68" s="120"/>
      <c r="AJ68" s="121"/>
      <c r="AK68" s="121"/>
      <c r="AL68" s="121"/>
      <c r="AM68" s="121"/>
    </row>
    <row r="69" spans="1:39" x14ac:dyDescent="0.25">
      <c r="A69" s="103">
        <v>57</v>
      </c>
      <c r="B69" s="102">
        <f>INDEX('Tabl. 1'!$C$8:$AO$313,104+$AB64,MATCH($C$7,$AA$7:$AA$45))</f>
        <v>9999999</v>
      </c>
      <c r="C69" s="102">
        <f>INDEX('Tabl. 1'!$C$8:$AO$313,206+$AB64,MATCH($C$7,$AA$7:$AA$45))</f>
        <v>9999999</v>
      </c>
      <c r="I69" s="99"/>
      <c r="P69" s="91"/>
      <c r="Q69" s="91"/>
      <c r="R69" s="91"/>
      <c r="S69" s="91"/>
      <c r="T69" s="91"/>
      <c r="U69" s="91"/>
      <c r="V69" s="90"/>
      <c r="W69" s="90"/>
      <c r="X69" s="90"/>
      <c r="Y69" s="90"/>
      <c r="Z69" s="90"/>
      <c r="AA69" s="96"/>
      <c r="AB69" s="96">
        <v>62</v>
      </c>
      <c r="AC69" s="96"/>
      <c r="AD69" s="100">
        <f t="shared" si="0"/>
        <v>-9999999</v>
      </c>
      <c r="AE69" s="101">
        <f t="shared" si="1"/>
        <v>9999999</v>
      </c>
      <c r="AF69" s="96">
        <f t="shared" si="2"/>
        <v>0</v>
      </c>
      <c r="AG69" s="101">
        <f t="shared" si="3"/>
        <v>0</v>
      </c>
      <c r="AH69" s="120"/>
      <c r="AI69" s="120"/>
      <c r="AJ69" s="121"/>
      <c r="AK69" s="121"/>
      <c r="AL69" s="121"/>
      <c r="AM69" s="121"/>
    </row>
    <row r="70" spans="1:39" x14ac:dyDescent="0.25">
      <c r="A70" s="103">
        <v>58</v>
      </c>
      <c r="B70" s="102">
        <f>INDEX('Tabl. 1'!$C$8:$AO$313,104+$AB65,MATCH($C$7,$AA$7:$AA$45))</f>
        <v>9999999</v>
      </c>
      <c r="C70" s="102">
        <f>INDEX('Tabl. 1'!$C$8:$AO$313,206+$AB65,MATCH($C$7,$AA$7:$AA$45))</f>
        <v>9999999</v>
      </c>
      <c r="I70" s="99"/>
      <c r="P70" s="91"/>
      <c r="Q70" s="91"/>
      <c r="R70" s="91"/>
      <c r="S70" s="91"/>
      <c r="T70" s="91"/>
      <c r="U70" s="91"/>
      <c r="V70" s="90"/>
      <c r="W70" s="90"/>
      <c r="X70" s="90"/>
      <c r="Y70" s="90"/>
      <c r="Z70" s="90"/>
      <c r="AA70" s="96"/>
      <c r="AB70" s="96">
        <v>63</v>
      </c>
      <c r="AC70" s="96"/>
      <c r="AD70" s="100">
        <f t="shared" si="0"/>
        <v>-9999999</v>
      </c>
      <c r="AE70" s="101">
        <f t="shared" si="1"/>
        <v>9999999</v>
      </c>
      <c r="AF70" s="96">
        <f t="shared" si="2"/>
        <v>0</v>
      </c>
      <c r="AG70" s="101">
        <f t="shared" si="3"/>
        <v>0</v>
      </c>
      <c r="AH70" s="120"/>
      <c r="AI70" s="120"/>
      <c r="AJ70" s="121"/>
      <c r="AK70" s="121"/>
      <c r="AL70" s="121"/>
      <c r="AM70" s="121"/>
    </row>
    <row r="71" spans="1:39" x14ac:dyDescent="0.25">
      <c r="A71" s="103">
        <v>59</v>
      </c>
      <c r="B71" s="102">
        <f>INDEX('Tabl. 1'!$C$8:$AO$313,104+$AB66,MATCH($C$7,$AA$7:$AA$45))</f>
        <v>9999999</v>
      </c>
      <c r="C71" s="102">
        <f>INDEX('Tabl. 1'!$C$8:$AO$313,206+$AB66,MATCH($C$7,$AA$7:$AA$45))</f>
        <v>9999999</v>
      </c>
      <c r="I71" s="99"/>
      <c r="P71" s="91"/>
      <c r="Q71" s="91"/>
      <c r="R71" s="91"/>
      <c r="S71" s="91"/>
      <c r="T71" s="91"/>
      <c r="U71" s="91"/>
      <c r="V71" s="90"/>
      <c r="W71" s="90"/>
      <c r="X71" s="90"/>
      <c r="Y71" s="90"/>
      <c r="Z71" s="90"/>
      <c r="AA71" s="96"/>
      <c r="AB71" s="96">
        <v>64</v>
      </c>
      <c r="AC71" s="96"/>
      <c r="AD71" s="100">
        <f t="shared" si="0"/>
        <v>-9999999</v>
      </c>
      <c r="AE71" s="101">
        <f t="shared" si="1"/>
        <v>9999999</v>
      </c>
      <c r="AF71" s="96">
        <f t="shared" si="2"/>
        <v>0</v>
      </c>
      <c r="AG71" s="101">
        <f t="shared" si="3"/>
        <v>0</v>
      </c>
      <c r="AH71" s="120"/>
      <c r="AI71" s="120"/>
      <c r="AJ71" s="121"/>
      <c r="AK71" s="121"/>
      <c r="AL71" s="121"/>
      <c r="AM71" s="121"/>
    </row>
    <row r="72" spans="1:39" x14ac:dyDescent="0.25">
      <c r="A72" s="103">
        <v>60</v>
      </c>
      <c r="B72" s="102">
        <f>INDEX('Tabl. 1'!$C$8:$AO$313,104+$AB67,MATCH($C$7,$AA$7:$AA$45))</f>
        <v>9999999</v>
      </c>
      <c r="C72" s="102">
        <f>INDEX('Tabl. 1'!$C$8:$AO$313,206+$AB67,MATCH($C$7,$AA$7:$AA$45))</f>
        <v>9999999</v>
      </c>
      <c r="I72" s="99"/>
      <c r="P72" s="91"/>
      <c r="Q72" s="91"/>
      <c r="R72" s="91"/>
      <c r="S72" s="91"/>
      <c r="T72" s="91"/>
      <c r="U72" s="91"/>
      <c r="V72" s="90"/>
      <c r="W72" s="90"/>
      <c r="X72" s="90"/>
      <c r="Y72" s="90"/>
      <c r="Z72" s="90"/>
      <c r="AA72" s="96"/>
      <c r="AB72" s="96">
        <v>65</v>
      </c>
      <c r="AC72" s="96"/>
      <c r="AD72" s="100">
        <f t="shared" si="0"/>
        <v>-9999999</v>
      </c>
      <c r="AE72" s="101">
        <f t="shared" si="1"/>
        <v>9999999</v>
      </c>
      <c r="AF72" s="96">
        <f t="shared" si="2"/>
        <v>0</v>
      </c>
      <c r="AG72" s="101">
        <f t="shared" si="3"/>
        <v>0</v>
      </c>
      <c r="AH72" s="120"/>
      <c r="AI72" s="120"/>
      <c r="AJ72" s="121"/>
      <c r="AK72" s="121"/>
      <c r="AL72" s="121"/>
      <c r="AM72" s="121"/>
    </row>
    <row r="73" spans="1:39" x14ac:dyDescent="0.25">
      <c r="A73" s="103">
        <v>61</v>
      </c>
      <c r="B73" s="102">
        <f>INDEX('Tabl. 1'!$C$8:$AO$313,104+$AB68,MATCH($C$7,$AA$7:$AA$45))</f>
        <v>9999999</v>
      </c>
      <c r="C73" s="102">
        <f>INDEX('Tabl. 1'!$C$8:$AO$313,206+$AB68,MATCH($C$7,$AA$7:$AA$45))</f>
        <v>9999999</v>
      </c>
      <c r="I73" s="99"/>
      <c r="P73" s="91"/>
      <c r="Q73" s="91"/>
      <c r="R73" s="91"/>
      <c r="S73" s="91"/>
      <c r="T73" s="91"/>
      <c r="U73" s="91"/>
      <c r="V73" s="90"/>
      <c r="W73" s="90"/>
      <c r="X73" s="90"/>
      <c r="Y73" s="90"/>
      <c r="Z73" s="90"/>
      <c r="AA73" s="96"/>
      <c r="AB73" s="96">
        <v>66</v>
      </c>
      <c r="AC73" s="96"/>
      <c r="AD73" s="100">
        <f t="shared" ref="AD73:AD108" si="4">(-1*B77)-AF73</f>
        <v>-9999999</v>
      </c>
      <c r="AE73" s="101">
        <f t="shared" ref="AE73:AE108" si="5">C77-AG73</f>
        <v>9999999</v>
      </c>
      <c r="AF73" s="96">
        <f t="shared" ref="AF73:AF109" si="6">IF(B77&gt;C77,-1*(B77-C77),0)</f>
        <v>0</v>
      </c>
      <c r="AG73" s="101">
        <f t="shared" ref="AG73:AG109" si="7">IF(C77&gt;B77,C77-B77,0)</f>
        <v>0</v>
      </c>
      <c r="AH73" s="120"/>
      <c r="AI73" s="120"/>
      <c r="AJ73" s="121"/>
      <c r="AK73" s="121"/>
      <c r="AL73" s="121"/>
      <c r="AM73" s="121"/>
    </row>
    <row r="74" spans="1:39" x14ac:dyDescent="0.25">
      <c r="A74" s="103">
        <v>62</v>
      </c>
      <c r="B74" s="102">
        <f>INDEX('Tabl. 1'!$C$8:$AO$313,104+$AB69,MATCH($C$7,$AA$7:$AA$45))</f>
        <v>9999999</v>
      </c>
      <c r="C74" s="102">
        <f>INDEX('Tabl. 1'!$C$8:$AO$313,206+$AB69,MATCH($C$7,$AA$7:$AA$45))</f>
        <v>9999999</v>
      </c>
      <c r="I74" s="99"/>
      <c r="P74" s="91"/>
      <c r="Q74" s="91"/>
      <c r="R74" s="91"/>
      <c r="S74" s="91"/>
      <c r="T74" s="91"/>
      <c r="U74" s="91"/>
      <c r="V74" s="90"/>
      <c r="W74" s="90"/>
      <c r="X74" s="90"/>
      <c r="Y74" s="90"/>
      <c r="Z74" s="90"/>
      <c r="AA74" s="96"/>
      <c r="AB74" s="96">
        <v>67</v>
      </c>
      <c r="AC74" s="96"/>
      <c r="AD74" s="100">
        <f t="shared" si="4"/>
        <v>-9999999</v>
      </c>
      <c r="AE74" s="101">
        <f t="shared" si="5"/>
        <v>9999999</v>
      </c>
      <c r="AF74" s="96">
        <f t="shared" si="6"/>
        <v>0</v>
      </c>
      <c r="AG74" s="101">
        <f t="shared" si="7"/>
        <v>0</v>
      </c>
      <c r="AH74" s="120"/>
      <c r="AI74" s="120"/>
      <c r="AJ74" s="121"/>
      <c r="AK74" s="121"/>
      <c r="AL74" s="121"/>
      <c r="AM74" s="121"/>
    </row>
    <row r="75" spans="1:39" x14ac:dyDescent="0.25">
      <c r="A75" s="103">
        <v>63</v>
      </c>
      <c r="B75" s="102">
        <f>INDEX('Tabl. 1'!$C$8:$AO$313,104+$AB70,MATCH($C$7,$AA$7:$AA$45))</f>
        <v>9999999</v>
      </c>
      <c r="C75" s="102">
        <f>INDEX('Tabl. 1'!$C$8:$AO$313,206+$AB70,MATCH($C$7,$AA$7:$AA$45))</f>
        <v>9999999</v>
      </c>
      <c r="I75" s="99"/>
      <c r="P75" s="91"/>
      <c r="Q75" s="91"/>
      <c r="R75" s="91"/>
      <c r="S75" s="91"/>
      <c r="T75" s="91"/>
      <c r="U75" s="91"/>
      <c r="V75" s="90"/>
      <c r="W75" s="90"/>
      <c r="X75" s="90"/>
      <c r="Y75" s="90"/>
      <c r="Z75" s="90"/>
      <c r="AA75" s="96"/>
      <c r="AB75" s="96">
        <v>68</v>
      </c>
      <c r="AC75" s="96"/>
      <c r="AD75" s="100">
        <f t="shared" si="4"/>
        <v>-9999999</v>
      </c>
      <c r="AE75" s="101">
        <f t="shared" si="5"/>
        <v>9999999</v>
      </c>
      <c r="AF75" s="96">
        <f t="shared" si="6"/>
        <v>0</v>
      </c>
      <c r="AG75" s="101">
        <f t="shared" si="7"/>
        <v>0</v>
      </c>
      <c r="AH75" s="120"/>
      <c r="AI75" s="120"/>
      <c r="AJ75" s="121"/>
      <c r="AK75" s="121"/>
      <c r="AL75" s="121"/>
      <c r="AM75" s="121"/>
    </row>
    <row r="76" spans="1:39" x14ac:dyDescent="0.25">
      <c r="A76" s="103">
        <v>64</v>
      </c>
      <c r="B76" s="102">
        <f>INDEX('Tabl. 1'!$C$8:$AO$313,104+$AB71,MATCH($C$7,$AA$7:$AA$45))</f>
        <v>9999999</v>
      </c>
      <c r="C76" s="102">
        <f>INDEX('Tabl. 1'!$C$8:$AO$313,206+$AB71,MATCH($C$7,$AA$7:$AA$45))</f>
        <v>9999999</v>
      </c>
      <c r="I76" s="99"/>
      <c r="P76" s="91"/>
      <c r="Q76" s="91"/>
      <c r="R76" s="91"/>
      <c r="S76" s="91"/>
      <c r="T76" s="91"/>
      <c r="U76" s="91"/>
      <c r="V76" s="90"/>
      <c r="W76" s="90"/>
      <c r="X76" s="90"/>
      <c r="Y76" s="90"/>
      <c r="Z76" s="90"/>
      <c r="AA76" s="96"/>
      <c r="AB76" s="96">
        <v>69</v>
      </c>
      <c r="AC76" s="96"/>
      <c r="AD76" s="100">
        <f t="shared" si="4"/>
        <v>-9999999</v>
      </c>
      <c r="AE76" s="101">
        <f t="shared" si="5"/>
        <v>9999999</v>
      </c>
      <c r="AF76" s="96">
        <f t="shared" si="6"/>
        <v>0</v>
      </c>
      <c r="AG76" s="101">
        <f t="shared" si="7"/>
        <v>0</v>
      </c>
      <c r="AH76" s="120"/>
      <c r="AI76" s="120"/>
      <c r="AJ76" s="121"/>
      <c r="AK76" s="121"/>
      <c r="AL76" s="121"/>
      <c r="AM76" s="121"/>
    </row>
    <row r="77" spans="1:39" x14ac:dyDescent="0.25">
      <c r="A77" s="103">
        <v>65</v>
      </c>
      <c r="B77" s="102">
        <f>INDEX('Tabl. 1'!$C$8:$AO$313,104+$AB72,MATCH($C$7,$AA$7:$AA$45))</f>
        <v>9999999</v>
      </c>
      <c r="C77" s="102">
        <f>INDEX('Tabl. 1'!$C$8:$AO$313,206+$AB72,MATCH($C$7,$AA$7:$AA$45))</f>
        <v>9999999</v>
      </c>
      <c r="I77" s="99"/>
      <c r="P77" s="91"/>
      <c r="Q77" s="91"/>
      <c r="R77" s="91"/>
      <c r="S77" s="91"/>
      <c r="T77" s="91"/>
      <c r="U77" s="91"/>
      <c r="V77" s="90"/>
      <c r="W77" s="90"/>
      <c r="X77" s="90"/>
      <c r="Y77" s="90"/>
      <c r="Z77" s="90"/>
      <c r="AA77" s="96"/>
      <c r="AB77" s="96">
        <v>70</v>
      </c>
      <c r="AC77" s="96"/>
      <c r="AD77" s="100">
        <f t="shared" si="4"/>
        <v>-9999999</v>
      </c>
      <c r="AE77" s="101">
        <f t="shared" si="5"/>
        <v>9999999</v>
      </c>
      <c r="AF77" s="96">
        <f t="shared" si="6"/>
        <v>0</v>
      </c>
      <c r="AG77" s="101">
        <f t="shared" si="7"/>
        <v>0</v>
      </c>
      <c r="AH77" s="120"/>
      <c r="AI77" s="120"/>
      <c r="AJ77" s="121"/>
      <c r="AK77" s="121"/>
      <c r="AL77" s="121"/>
      <c r="AM77" s="121"/>
    </row>
    <row r="78" spans="1:39" x14ac:dyDescent="0.25">
      <c r="A78" s="103">
        <v>66</v>
      </c>
      <c r="B78" s="102">
        <f>INDEX('Tabl. 1'!$C$8:$AO$313,104+$AB73,MATCH($C$7,$AA$7:$AA$45))</f>
        <v>9999999</v>
      </c>
      <c r="C78" s="102">
        <f>INDEX('Tabl. 1'!$C$8:$AO$313,206+$AB73,MATCH($C$7,$AA$7:$AA$45))</f>
        <v>9999999</v>
      </c>
      <c r="I78" s="99"/>
      <c r="P78" s="91"/>
      <c r="Q78" s="91"/>
      <c r="R78" s="91"/>
      <c r="S78" s="91"/>
      <c r="T78" s="91"/>
      <c r="U78" s="91"/>
      <c r="V78" s="90"/>
      <c r="W78" s="90"/>
      <c r="X78" s="90"/>
      <c r="Y78" s="90"/>
      <c r="Z78" s="90"/>
      <c r="AA78" s="96"/>
      <c r="AB78" s="96">
        <v>71</v>
      </c>
      <c r="AC78" s="96"/>
      <c r="AD78" s="100">
        <f t="shared" si="4"/>
        <v>-9999999</v>
      </c>
      <c r="AE78" s="101">
        <f t="shared" si="5"/>
        <v>9999999</v>
      </c>
      <c r="AF78" s="96">
        <f t="shared" si="6"/>
        <v>0</v>
      </c>
      <c r="AG78" s="101">
        <f t="shared" si="7"/>
        <v>0</v>
      </c>
      <c r="AH78" s="120"/>
      <c r="AI78" s="120"/>
      <c r="AJ78" s="121"/>
      <c r="AK78" s="121"/>
      <c r="AL78" s="121"/>
      <c r="AM78" s="121"/>
    </row>
    <row r="79" spans="1:39" x14ac:dyDescent="0.25">
      <c r="A79" s="103">
        <v>67</v>
      </c>
      <c r="B79" s="102">
        <f>INDEX('Tabl. 1'!$C$8:$AO$313,104+$AB74,MATCH($C$7,$AA$7:$AA$45))</f>
        <v>9999999</v>
      </c>
      <c r="C79" s="102">
        <f>INDEX('Tabl. 1'!$C$8:$AO$313,206+$AB74,MATCH($C$7,$AA$7:$AA$45))</f>
        <v>9999999</v>
      </c>
      <c r="I79" s="99"/>
      <c r="P79" s="91"/>
      <c r="Q79" s="91"/>
      <c r="R79" s="91"/>
      <c r="S79" s="91"/>
      <c r="T79" s="91"/>
      <c r="U79" s="91"/>
      <c r="V79" s="90"/>
      <c r="W79" s="90"/>
      <c r="X79" s="90"/>
      <c r="Y79" s="90"/>
      <c r="Z79" s="90"/>
      <c r="AA79" s="96"/>
      <c r="AB79" s="96">
        <v>72</v>
      </c>
      <c r="AC79" s="96"/>
      <c r="AD79" s="100">
        <f t="shared" si="4"/>
        <v>-9999999</v>
      </c>
      <c r="AE79" s="101">
        <f t="shared" si="5"/>
        <v>9999999</v>
      </c>
      <c r="AF79" s="96">
        <f t="shared" si="6"/>
        <v>0</v>
      </c>
      <c r="AG79" s="101">
        <f t="shared" si="7"/>
        <v>0</v>
      </c>
      <c r="AH79" s="120"/>
      <c r="AI79" s="120"/>
      <c r="AJ79" s="121"/>
      <c r="AK79" s="121"/>
      <c r="AL79" s="121"/>
      <c r="AM79" s="121"/>
    </row>
    <row r="80" spans="1:39" x14ac:dyDescent="0.25">
      <c r="A80" s="103">
        <v>68</v>
      </c>
      <c r="B80" s="102">
        <f>INDEX('Tabl. 1'!$C$8:$AO$313,104+$AB75,MATCH($C$7,$AA$7:$AA$45))</f>
        <v>9999999</v>
      </c>
      <c r="C80" s="102">
        <f>INDEX('Tabl. 1'!$C$8:$AO$313,206+$AB75,MATCH($C$7,$AA$7:$AA$45))</f>
        <v>9999999</v>
      </c>
      <c r="I80" s="99"/>
      <c r="P80" s="91"/>
      <c r="Q80" s="91"/>
      <c r="R80" s="91"/>
      <c r="S80" s="91"/>
      <c r="T80" s="91"/>
      <c r="U80" s="91"/>
      <c r="V80" s="90"/>
      <c r="W80" s="90"/>
      <c r="X80" s="90"/>
      <c r="Y80" s="90"/>
      <c r="Z80" s="90"/>
      <c r="AA80" s="96"/>
      <c r="AB80" s="96">
        <v>73</v>
      </c>
      <c r="AC80" s="96"/>
      <c r="AD80" s="100">
        <f t="shared" si="4"/>
        <v>-9999999</v>
      </c>
      <c r="AE80" s="101">
        <f t="shared" si="5"/>
        <v>9999999</v>
      </c>
      <c r="AF80" s="96">
        <f t="shared" si="6"/>
        <v>0</v>
      </c>
      <c r="AG80" s="101">
        <f t="shared" si="7"/>
        <v>0</v>
      </c>
      <c r="AH80" s="120"/>
      <c r="AI80" s="120"/>
      <c r="AJ80" s="121"/>
      <c r="AK80" s="121"/>
      <c r="AL80" s="121"/>
      <c r="AM80" s="121"/>
    </row>
    <row r="81" spans="1:39" x14ac:dyDescent="0.25">
      <c r="A81" s="103">
        <v>69</v>
      </c>
      <c r="B81" s="102">
        <f>INDEX('Tabl. 1'!$C$8:$AO$313,104+$AB76,MATCH($C$7,$AA$7:$AA$45))</f>
        <v>9999999</v>
      </c>
      <c r="C81" s="102">
        <f>INDEX('Tabl. 1'!$C$8:$AO$313,206+$AB76,MATCH($C$7,$AA$7:$AA$45))</f>
        <v>9999999</v>
      </c>
      <c r="I81" s="99"/>
      <c r="P81" s="91"/>
      <c r="Q81" s="91"/>
      <c r="R81" s="91"/>
      <c r="S81" s="91"/>
      <c r="T81" s="91"/>
      <c r="U81" s="91"/>
      <c r="V81" s="90"/>
      <c r="W81" s="90"/>
      <c r="X81" s="90"/>
      <c r="Y81" s="90"/>
      <c r="Z81" s="90"/>
      <c r="AA81" s="96"/>
      <c r="AB81" s="96">
        <v>74</v>
      </c>
      <c r="AC81" s="96"/>
      <c r="AD81" s="100">
        <f t="shared" si="4"/>
        <v>-9999999</v>
      </c>
      <c r="AE81" s="101">
        <f t="shared" si="5"/>
        <v>9999999</v>
      </c>
      <c r="AF81" s="96">
        <f t="shared" si="6"/>
        <v>0</v>
      </c>
      <c r="AG81" s="101">
        <f t="shared" si="7"/>
        <v>0</v>
      </c>
      <c r="AH81" s="120"/>
      <c r="AI81" s="120"/>
      <c r="AJ81" s="121"/>
      <c r="AK81" s="121"/>
      <c r="AL81" s="121"/>
      <c r="AM81" s="121"/>
    </row>
    <row r="82" spans="1:39" x14ac:dyDescent="0.25">
      <c r="A82" s="103">
        <v>70</v>
      </c>
      <c r="B82" s="102">
        <f>INDEX('Tabl. 1'!$C$8:$AO$313,104+$AB77,MATCH($C$7,$AA$7:$AA$45))</f>
        <v>9999999</v>
      </c>
      <c r="C82" s="102">
        <f>INDEX('Tabl. 1'!$C$8:$AO$313,206+$AB77,MATCH($C$7,$AA$7:$AA$45))</f>
        <v>9999999</v>
      </c>
      <c r="I82" s="99"/>
      <c r="P82" s="91"/>
      <c r="Q82" s="91"/>
      <c r="R82" s="91"/>
      <c r="S82" s="91"/>
      <c r="T82" s="91"/>
      <c r="U82" s="91"/>
      <c r="V82" s="90"/>
      <c r="W82" s="90"/>
      <c r="X82" s="90"/>
      <c r="Y82" s="90"/>
      <c r="Z82" s="90"/>
      <c r="AA82" s="96"/>
      <c r="AB82" s="96">
        <v>75</v>
      </c>
      <c r="AC82" s="96"/>
      <c r="AD82" s="100">
        <f t="shared" si="4"/>
        <v>-9999999</v>
      </c>
      <c r="AE82" s="101">
        <f t="shared" si="5"/>
        <v>9999999</v>
      </c>
      <c r="AF82" s="96">
        <f t="shared" si="6"/>
        <v>0</v>
      </c>
      <c r="AG82" s="101">
        <f t="shared" si="7"/>
        <v>0</v>
      </c>
      <c r="AH82" s="120"/>
      <c r="AI82" s="120"/>
      <c r="AJ82" s="121"/>
      <c r="AK82" s="121"/>
      <c r="AL82" s="121"/>
      <c r="AM82" s="121"/>
    </row>
    <row r="83" spans="1:39" x14ac:dyDescent="0.25">
      <c r="A83" s="103">
        <v>71</v>
      </c>
      <c r="B83" s="102">
        <f>INDEX('Tabl. 1'!$C$8:$AO$313,104+$AB78,MATCH($C$7,$AA$7:$AA$45))</f>
        <v>9999999</v>
      </c>
      <c r="C83" s="102">
        <f>INDEX('Tabl. 1'!$C$8:$AO$313,206+$AB78,MATCH($C$7,$AA$7:$AA$45))</f>
        <v>9999999</v>
      </c>
      <c r="I83" s="99"/>
      <c r="P83" s="91"/>
      <c r="Q83" s="91"/>
      <c r="R83" s="91"/>
      <c r="S83" s="91"/>
      <c r="T83" s="91"/>
      <c r="U83" s="91"/>
      <c r="V83" s="90"/>
      <c r="W83" s="90"/>
      <c r="X83" s="90"/>
      <c r="Y83" s="90"/>
      <c r="Z83" s="90"/>
      <c r="AA83" s="96"/>
      <c r="AB83" s="96">
        <v>76</v>
      </c>
      <c r="AC83" s="96"/>
      <c r="AD83" s="100">
        <f t="shared" si="4"/>
        <v>-9999999</v>
      </c>
      <c r="AE83" s="101">
        <f t="shared" si="5"/>
        <v>9999999</v>
      </c>
      <c r="AF83" s="96">
        <f t="shared" si="6"/>
        <v>0</v>
      </c>
      <c r="AG83" s="101">
        <f t="shared" si="7"/>
        <v>0</v>
      </c>
      <c r="AH83" s="120"/>
      <c r="AI83" s="120"/>
      <c r="AJ83" s="121"/>
      <c r="AK83" s="121"/>
      <c r="AL83" s="121"/>
      <c r="AM83" s="121"/>
    </row>
    <row r="84" spans="1:39" x14ac:dyDescent="0.25">
      <c r="A84" s="103">
        <v>72</v>
      </c>
      <c r="B84" s="102">
        <f>INDEX('Tabl. 1'!$C$8:$AO$313,104+$AB79,MATCH($C$7,$AA$7:$AA$45))</f>
        <v>9999999</v>
      </c>
      <c r="C84" s="102">
        <f>INDEX('Tabl. 1'!$C$8:$AO$313,206+$AB79,MATCH($C$7,$AA$7:$AA$45))</f>
        <v>9999999</v>
      </c>
      <c r="I84" s="99"/>
      <c r="P84" s="91"/>
      <c r="Q84" s="91"/>
      <c r="R84" s="91"/>
      <c r="S84" s="91"/>
      <c r="T84" s="91"/>
      <c r="U84" s="91"/>
      <c r="V84" s="90"/>
      <c r="W84" s="90"/>
      <c r="X84" s="90"/>
      <c r="Y84" s="90"/>
      <c r="Z84" s="90"/>
      <c r="AA84" s="96"/>
      <c r="AB84" s="96">
        <v>77</v>
      </c>
      <c r="AC84" s="96"/>
      <c r="AD84" s="100">
        <f t="shared" si="4"/>
        <v>-9999999</v>
      </c>
      <c r="AE84" s="101">
        <f t="shared" si="5"/>
        <v>9999999</v>
      </c>
      <c r="AF84" s="96">
        <f t="shared" si="6"/>
        <v>0</v>
      </c>
      <c r="AG84" s="101">
        <f t="shared" si="7"/>
        <v>0</v>
      </c>
      <c r="AH84" s="120"/>
      <c r="AI84" s="120"/>
      <c r="AJ84" s="121"/>
      <c r="AK84" s="121"/>
      <c r="AL84" s="121"/>
      <c r="AM84" s="121"/>
    </row>
    <row r="85" spans="1:39" x14ac:dyDescent="0.25">
      <c r="A85" s="103">
        <v>73</v>
      </c>
      <c r="B85" s="102">
        <f>INDEX('Tabl. 1'!$C$8:$AO$313,104+$AB80,MATCH($C$7,$AA$7:$AA$45))</f>
        <v>9999999</v>
      </c>
      <c r="C85" s="102">
        <f>INDEX('Tabl. 1'!$C$8:$AO$313,206+$AB80,MATCH($C$7,$AA$7:$AA$45))</f>
        <v>9999999</v>
      </c>
      <c r="I85" s="99"/>
      <c r="P85" s="91"/>
      <c r="Q85" s="91"/>
      <c r="R85" s="91"/>
      <c r="S85" s="91"/>
      <c r="T85" s="91"/>
      <c r="U85" s="91"/>
      <c r="V85" s="90"/>
      <c r="W85" s="90"/>
      <c r="X85" s="90"/>
      <c r="Y85" s="90"/>
      <c r="Z85" s="90"/>
      <c r="AA85" s="96"/>
      <c r="AB85" s="96">
        <v>78</v>
      </c>
      <c r="AC85" s="96"/>
      <c r="AD85" s="100">
        <f t="shared" si="4"/>
        <v>-9999999</v>
      </c>
      <c r="AE85" s="101">
        <f t="shared" si="5"/>
        <v>9999999</v>
      </c>
      <c r="AF85" s="96">
        <f t="shared" si="6"/>
        <v>0</v>
      </c>
      <c r="AG85" s="101">
        <f t="shared" si="7"/>
        <v>0</v>
      </c>
      <c r="AH85" s="120"/>
      <c r="AI85" s="120"/>
      <c r="AJ85" s="121"/>
      <c r="AK85" s="121"/>
      <c r="AL85" s="121"/>
      <c r="AM85" s="121"/>
    </row>
    <row r="86" spans="1:39" x14ac:dyDescent="0.25">
      <c r="A86" s="103">
        <v>74</v>
      </c>
      <c r="B86" s="102">
        <f>INDEX('Tabl. 1'!$C$8:$AO$313,104+$AB81,MATCH($C$7,$AA$7:$AA$45))</f>
        <v>9999999</v>
      </c>
      <c r="C86" s="102">
        <f>INDEX('Tabl. 1'!$C$8:$AO$313,206+$AB81,MATCH($C$7,$AA$7:$AA$45))</f>
        <v>9999999</v>
      </c>
      <c r="I86" s="99"/>
      <c r="P86" s="91"/>
      <c r="Q86" s="91"/>
      <c r="R86" s="91"/>
      <c r="S86" s="91"/>
      <c r="T86" s="91"/>
      <c r="U86" s="91"/>
      <c r="V86" s="90"/>
      <c r="W86" s="90"/>
      <c r="X86" s="90"/>
      <c r="Y86" s="90"/>
      <c r="Z86" s="90"/>
      <c r="AA86" s="96"/>
      <c r="AB86" s="96">
        <v>79</v>
      </c>
      <c r="AC86" s="96"/>
      <c r="AD86" s="100">
        <f t="shared" si="4"/>
        <v>-9999999</v>
      </c>
      <c r="AE86" s="101">
        <f t="shared" si="5"/>
        <v>9999999</v>
      </c>
      <c r="AF86" s="96">
        <f t="shared" si="6"/>
        <v>0</v>
      </c>
      <c r="AG86" s="101">
        <f t="shared" si="7"/>
        <v>0</v>
      </c>
      <c r="AH86" s="120"/>
      <c r="AI86" s="120"/>
      <c r="AJ86" s="121"/>
      <c r="AK86" s="121"/>
      <c r="AL86" s="121"/>
      <c r="AM86" s="121"/>
    </row>
    <row r="87" spans="1:39" x14ac:dyDescent="0.25">
      <c r="A87" s="103">
        <v>75</v>
      </c>
      <c r="B87" s="102">
        <f>INDEX('Tabl. 1'!$C$8:$AO$313,104+$AB82,MATCH($C$7,$AA$7:$AA$45))</f>
        <v>9999999</v>
      </c>
      <c r="C87" s="102">
        <f>INDEX('Tabl. 1'!$C$8:$AO$313,206+$AB82,MATCH($C$7,$AA$7:$AA$45))</f>
        <v>9999999</v>
      </c>
      <c r="I87" s="99"/>
      <c r="P87" s="91"/>
      <c r="Q87" s="91"/>
      <c r="R87" s="91"/>
      <c r="S87" s="91"/>
      <c r="T87" s="91"/>
      <c r="U87" s="91"/>
      <c r="V87" s="90"/>
      <c r="W87" s="90"/>
      <c r="X87" s="90"/>
      <c r="Y87" s="90"/>
      <c r="Z87" s="90"/>
      <c r="AA87" s="96"/>
      <c r="AB87" s="96">
        <v>80</v>
      </c>
      <c r="AC87" s="96"/>
      <c r="AD87" s="100">
        <f t="shared" si="4"/>
        <v>-9999999</v>
      </c>
      <c r="AE87" s="101">
        <f t="shared" si="5"/>
        <v>9999999</v>
      </c>
      <c r="AF87" s="96">
        <f t="shared" si="6"/>
        <v>0</v>
      </c>
      <c r="AG87" s="101">
        <f t="shared" si="7"/>
        <v>0</v>
      </c>
      <c r="AH87" s="120"/>
      <c r="AI87" s="120"/>
      <c r="AJ87" s="121"/>
      <c r="AK87" s="121"/>
      <c r="AL87" s="121"/>
      <c r="AM87" s="121"/>
    </row>
    <row r="88" spans="1:39" x14ac:dyDescent="0.25">
      <c r="A88" s="103">
        <v>76</v>
      </c>
      <c r="B88" s="102">
        <f>INDEX('Tabl. 1'!$C$8:$AO$313,104+$AB83,MATCH($C$7,$AA$7:$AA$45))</f>
        <v>9999999</v>
      </c>
      <c r="C88" s="102">
        <f>INDEX('Tabl. 1'!$C$8:$AO$313,206+$AB83,MATCH($C$7,$AA$7:$AA$45))</f>
        <v>9999999</v>
      </c>
      <c r="I88" s="99"/>
      <c r="P88" s="91"/>
      <c r="Q88" s="91"/>
      <c r="R88" s="91"/>
      <c r="S88" s="91"/>
      <c r="T88" s="91"/>
      <c r="U88" s="91"/>
      <c r="V88" s="90"/>
      <c r="W88" s="90"/>
      <c r="X88" s="90"/>
      <c r="Y88" s="90"/>
      <c r="Z88" s="90"/>
      <c r="AA88" s="96"/>
      <c r="AB88" s="96">
        <v>81</v>
      </c>
      <c r="AC88" s="96"/>
      <c r="AD88" s="100">
        <f t="shared" si="4"/>
        <v>-9999999</v>
      </c>
      <c r="AE88" s="101">
        <f t="shared" si="5"/>
        <v>9999999</v>
      </c>
      <c r="AF88" s="96">
        <f t="shared" si="6"/>
        <v>0</v>
      </c>
      <c r="AG88" s="101">
        <f t="shared" si="7"/>
        <v>0</v>
      </c>
      <c r="AH88" s="120"/>
      <c r="AI88" s="120"/>
      <c r="AJ88" s="121"/>
      <c r="AK88" s="121"/>
      <c r="AL88" s="121"/>
      <c r="AM88" s="121"/>
    </row>
    <row r="89" spans="1:39" x14ac:dyDescent="0.25">
      <c r="A89" s="103">
        <v>77</v>
      </c>
      <c r="B89" s="102">
        <f>INDEX('Tabl. 1'!$C$8:$AO$313,104+$AB84,MATCH($C$7,$AA$7:$AA$45))</f>
        <v>9999999</v>
      </c>
      <c r="C89" s="102">
        <f>INDEX('Tabl. 1'!$C$8:$AO$313,206+$AB84,MATCH($C$7,$AA$7:$AA$45))</f>
        <v>9999999</v>
      </c>
      <c r="I89" s="99"/>
      <c r="P89" s="91"/>
      <c r="Q89" s="91"/>
      <c r="R89" s="91"/>
      <c r="S89" s="91"/>
      <c r="T89" s="91"/>
      <c r="U89" s="91"/>
      <c r="V89" s="90"/>
      <c r="W89" s="90"/>
      <c r="X89" s="90"/>
      <c r="Y89" s="90"/>
      <c r="Z89" s="90"/>
      <c r="AA89" s="96"/>
      <c r="AB89" s="96">
        <v>82</v>
      </c>
      <c r="AC89" s="96"/>
      <c r="AD89" s="100">
        <f t="shared" si="4"/>
        <v>-9999999</v>
      </c>
      <c r="AE89" s="101">
        <f t="shared" si="5"/>
        <v>9999999</v>
      </c>
      <c r="AF89" s="96">
        <f t="shared" si="6"/>
        <v>0</v>
      </c>
      <c r="AG89" s="101">
        <f t="shared" si="7"/>
        <v>0</v>
      </c>
      <c r="AH89" s="120"/>
      <c r="AI89" s="120"/>
      <c r="AJ89" s="121"/>
      <c r="AK89" s="121"/>
      <c r="AL89" s="121"/>
      <c r="AM89" s="121"/>
    </row>
    <row r="90" spans="1:39" x14ac:dyDescent="0.25">
      <c r="A90" s="103">
        <v>78</v>
      </c>
      <c r="B90" s="102">
        <f>INDEX('Tabl. 1'!$C$8:$AO$313,104+$AB85,MATCH($C$7,$AA$7:$AA$45))</f>
        <v>9999999</v>
      </c>
      <c r="C90" s="102">
        <f>INDEX('Tabl. 1'!$C$8:$AO$313,206+$AB85,MATCH($C$7,$AA$7:$AA$45))</f>
        <v>9999999</v>
      </c>
      <c r="I90" s="99"/>
      <c r="P90" s="91"/>
      <c r="Q90" s="91"/>
      <c r="R90" s="91"/>
      <c r="S90" s="91"/>
      <c r="T90" s="91"/>
      <c r="U90" s="91"/>
      <c r="V90" s="90"/>
      <c r="W90" s="90"/>
      <c r="X90" s="90"/>
      <c r="Y90" s="90"/>
      <c r="Z90" s="90"/>
      <c r="AA90" s="96"/>
      <c r="AB90" s="96">
        <v>83</v>
      </c>
      <c r="AC90" s="96"/>
      <c r="AD90" s="100">
        <f t="shared" si="4"/>
        <v>-9999999</v>
      </c>
      <c r="AE90" s="101">
        <f t="shared" si="5"/>
        <v>9999999</v>
      </c>
      <c r="AF90" s="96">
        <f t="shared" si="6"/>
        <v>0</v>
      </c>
      <c r="AG90" s="101">
        <f t="shared" si="7"/>
        <v>0</v>
      </c>
      <c r="AH90" s="120"/>
      <c r="AI90" s="120"/>
      <c r="AJ90" s="121"/>
      <c r="AK90" s="121"/>
      <c r="AL90" s="121"/>
      <c r="AM90" s="121"/>
    </row>
    <row r="91" spans="1:39" x14ac:dyDescent="0.25">
      <c r="A91" s="103">
        <v>79</v>
      </c>
      <c r="B91" s="102">
        <f>INDEX('Tabl. 1'!$C$8:$AO$313,104+$AB86,MATCH($C$7,$AA$7:$AA$45))</f>
        <v>9999999</v>
      </c>
      <c r="C91" s="102">
        <f>INDEX('Tabl. 1'!$C$8:$AO$313,206+$AB86,MATCH($C$7,$AA$7:$AA$45))</f>
        <v>9999999</v>
      </c>
      <c r="I91" s="99"/>
      <c r="P91" s="91"/>
      <c r="Q91" s="91"/>
      <c r="R91" s="91"/>
      <c r="S91" s="91"/>
      <c r="T91" s="91"/>
      <c r="U91" s="91"/>
      <c r="V91" s="90"/>
      <c r="W91" s="90"/>
      <c r="X91" s="90"/>
      <c r="Y91" s="90"/>
      <c r="Z91" s="90"/>
      <c r="AA91" s="96"/>
      <c r="AB91" s="96">
        <v>84</v>
      </c>
      <c r="AC91" s="96"/>
      <c r="AD91" s="100">
        <f t="shared" si="4"/>
        <v>-9999999</v>
      </c>
      <c r="AE91" s="101">
        <f t="shared" si="5"/>
        <v>9999999</v>
      </c>
      <c r="AF91" s="96">
        <f t="shared" si="6"/>
        <v>0</v>
      </c>
      <c r="AG91" s="101">
        <f t="shared" si="7"/>
        <v>0</v>
      </c>
      <c r="AH91" s="120"/>
      <c r="AI91" s="120"/>
      <c r="AJ91" s="121"/>
      <c r="AK91" s="121"/>
      <c r="AL91" s="121"/>
      <c r="AM91" s="121"/>
    </row>
    <row r="92" spans="1:39" x14ac:dyDescent="0.25">
      <c r="A92" s="103">
        <v>80</v>
      </c>
      <c r="B92" s="102">
        <f>INDEX('Tabl. 1'!$C$8:$AO$313,104+$AB87,MATCH($C$7,$AA$7:$AA$45))</f>
        <v>9999999</v>
      </c>
      <c r="C92" s="102">
        <f>INDEX('Tabl. 1'!$C$8:$AO$313,206+$AB87,MATCH($C$7,$AA$7:$AA$45))</f>
        <v>9999999</v>
      </c>
      <c r="I92" s="99"/>
      <c r="P92" s="91"/>
      <c r="Q92" s="91"/>
      <c r="R92" s="91"/>
      <c r="S92" s="91"/>
      <c r="T92" s="91"/>
      <c r="U92" s="91"/>
      <c r="V92" s="90"/>
      <c r="W92" s="90"/>
      <c r="X92" s="90"/>
      <c r="Y92" s="90"/>
      <c r="Z92" s="90"/>
      <c r="AA92" s="96"/>
      <c r="AB92" s="96">
        <v>85</v>
      </c>
      <c r="AC92" s="96"/>
      <c r="AD92" s="100">
        <f t="shared" si="4"/>
        <v>-9999999</v>
      </c>
      <c r="AE92" s="101">
        <f t="shared" si="5"/>
        <v>9999999</v>
      </c>
      <c r="AF92" s="96">
        <f t="shared" si="6"/>
        <v>0</v>
      </c>
      <c r="AG92" s="101">
        <f t="shared" si="7"/>
        <v>0</v>
      </c>
      <c r="AH92" s="120"/>
      <c r="AI92" s="120"/>
      <c r="AJ92" s="121"/>
      <c r="AK92" s="121"/>
      <c r="AL92" s="121"/>
      <c r="AM92" s="121"/>
    </row>
    <row r="93" spans="1:39" x14ac:dyDescent="0.25">
      <c r="A93" s="103">
        <v>81</v>
      </c>
      <c r="B93" s="102">
        <f>INDEX('Tabl. 1'!$C$8:$AO$313,104+$AB88,MATCH($C$7,$AA$7:$AA$45))</f>
        <v>9999999</v>
      </c>
      <c r="C93" s="102">
        <f>INDEX('Tabl. 1'!$C$8:$AO$313,206+$AB88,MATCH($C$7,$AA$7:$AA$45))</f>
        <v>9999999</v>
      </c>
      <c r="I93" s="99"/>
      <c r="P93" s="91"/>
      <c r="Q93" s="91"/>
      <c r="R93" s="91"/>
      <c r="S93" s="91"/>
      <c r="T93" s="91"/>
      <c r="U93" s="91"/>
      <c r="V93" s="90"/>
      <c r="W93" s="90"/>
      <c r="X93" s="90"/>
      <c r="Y93" s="90"/>
      <c r="Z93" s="90"/>
      <c r="AA93" s="96"/>
      <c r="AB93" s="96">
        <v>86</v>
      </c>
      <c r="AC93" s="96"/>
      <c r="AD93" s="100">
        <f t="shared" si="4"/>
        <v>-9999999</v>
      </c>
      <c r="AE93" s="101">
        <f t="shared" si="5"/>
        <v>9999999</v>
      </c>
      <c r="AF93" s="96">
        <f t="shared" si="6"/>
        <v>0</v>
      </c>
      <c r="AG93" s="101">
        <f t="shared" si="7"/>
        <v>0</v>
      </c>
      <c r="AH93" s="120"/>
      <c r="AI93" s="120"/>
      <c r="AJ93" s="121"/>
      <c r="AK93" s="121"/>
      <c r="AL93" s="121"/>
      <c r="AM93" s="121"/>
    </row>
    <row r="94" spans="1:39" x14ac:dyDescent="0.25">
      <c r="A94" s="103">
        <v>82</v>
      </c>
      <c r="B94" s="102">
        <f>INDEX('Tabl. 1'!$C$8:$AO$313,104+$AB89,MATCH($C$7,$AA$7:$AA$45))</f>
        <v>9999999</v>
      </c>
      <c r="C94" s="102">
        <f>INDEX('Tabl. 1'!$C$8:$AO$313,206+$AB89,MATCH($C$7,$AA$7:$AA$45))</f>
        <v>9999999</v>
      </c>
      <c r="I94" s="99"/>
      <c r="P94" s="91"/>
      <c r="Q94" s="91"/>
      <c r="R94" s="91"/>
      <c r="S94" s="91"/>
      <c r="T94" s="91"/>
      <c r="U94" s="91"/>
      <c r="V94" s="90"/>
      <c r="W94" s="90"/>
      <c r="X94" s="90"/>
      <c r="Y94" s="90"/>
      <c r="Z94" s="90"/>
      <c r="AA94" s="96"/>
      <c r="AB94" s="96">
        <v>87</v>
      </c>
      <c r="AC94" s="96"/>
      <c r="AD94" s="100">
        <f t="shared" si="4"/>
        <v>-9999999</v>
      </c>
      <c r="AE94" s="101">
        <f t="shared" si="5"/>
        <v>9999999</v>
      </c>
      <c r="AF94" s="96">
        <f t="shared" si="6"/>
        <v>0</v>
      </c>
      <c r="AG94" s="101">
        <f t="shared" si="7"/>
        <v>0</v>
      </c>
      <c r="AH94" s="120"/>
      <c r="AI94" s="120"/>
      <c r="AJ94" s="121"/>
      <c r="AK94" s="121"/>
      <c r="AL94" s="121"/>
      <c r="AM94" s="121"/>
    </row>
    <row r="95" spans="1:39" x14ac:dyDescent="0.25">
      <c r="A95" s="103">
        <v>83</v>
      </c>
      <c r="B95" s="102">
        <f>INDEX('Tabl. 1'!$C$8:$AO$313,104+$AB90,MATCH($C$7,$AA$7:$AA$45))</f>
        <v>9999999</v>
      </c>
      <c r="C95" s="102">
        <f>INDEX('Tabl. 1'!$C$8:$AO$313,206+$AB90,MATCH($C$7,$AA$7:$AA$45))</f>
        <v>9999999</v>
      </c>
      <c r="I95" s="99"/>
      <c r="P95" s="91"/>
      <c r="Q95" s="91"/>
      <c r="R95" s="91"/>
      <c r="S95" s="91"/>
      <c r="T95" s="91"/>
      <c r="U95" s="91"/>
      <c r="V95" s="90"/>
      <c r="W95" s="90"/>
      <c r="X95" s="90"/>
      <c r="Y95" s="90"/>
      <c r="Z95" s="90"/>
      <c r="AA95" s="96"/>
      <c r="AB95" s="96">
        <v>88</v>
      </c>
      <c r="AC95" s="96"/>
      <c r="AD95" s="100">
        <f t="shared" si="4"/>
        <v>-9999999</v>
      </c>
      <c r="AE95" s="101">
        <f t="shared" si="5"/>
        <v>9999999</v>
      </c>
      <c r="AF95" s="96">
        <f t="shared" si="6"/>
        <v>0</v>
      </c>
      <c r="AG95" s="101">
        <f t="shared" si="7"/>
        <v>0</v>
      </c>
      <c r="AH95" s="120"/>
      <c r="AI95" s="120"/>
      <c r="AJ95" s="121"/>
      <c r="AK95" s="121"/>
      <c r="AL95" s="121"/>
      <c r="AM95" s="121"/>
    </row>
    <row r="96" spans="1:39" x14ac:dyDescent="0.25">
      <c r="A96" s="103">
        <v>84</v>
      </c>
      <c r="B96" s="102">
        <f>INDEX('Tabl. 1'!$C$8:$AO$313,104+$AB91,MATCH($C$7,$AA$7:$AA$45))</f>
        <v>9999999</v>
      </c>
      <c r="C96" s="102">
        <f>INDEX('Tabl. 1'!$C$8:$AO$313,206+$AB91,MATCH($C$7,$AA$7:$AA$45))</f>
        <v>9999999</v>
      </c>
      <c r="I96" s="99"/>
      <c r="P96" s="91"/>
      <c r="Q96" s="91"/>
      <c r="R96" s="91"/>
      <c r="S96" s="91"/>
      <c r="T96" s="91"/>
      <c r="U96" s="91"/>
      <c r="V96" s="90"/>
      <c r="W96" s="90"/>
      <c r="X96" s="90"/>
      <c r="Y96" s="90"/>
      <c r="Z96" s="90"/>
      <c r="AA96" s="96"/>
      <c r="AB96" s="96">
        <v>89</v>
      </c>
      <c r="AC96" s="96"/>
      <c r="AD96" s="100">
        <f t="shared" si="4"/>
        <v>-9999999</v>
      </c>
      <c r="AE96" s="101">
        <f t="shared" si="5"/>
        <v>9999999</v>
      </c>
      <c r="AF96" s="96">
        <f t="shared" si="6"/>
        <v>0</v>
      </c>
      <c r="AG96" s="101">
        <f t="shared" si="7"/>
        <v>0</v>
      </c>
      <c r="AH96" s="120"/>
      <c r="AI96" s="120"/>
      <c r="AJ96" s="121"/>
      <c r="AK96" s="121"/>
      <c r="AL96" s="121"/>
      <c r="AM96" s="121"/>
    </row>
    <row r="97" spans="1:39" x14ac:dyDescent="0.25">
      <c r="A97" s="103">
        <v>85</v>
      </c>
      <c r="B97" s="102">
        <f>INDEX('Tabl. 1'!$C$8:$AO$313,104+$AB92,MATCH($C$7,$AA$7:$AA$45))</f>
        <v>9999999</v>
      </c>
      <c r="C97" s="102">
        <f>INDEX('Tabl. 1'!$C$8:$AO$313,206+$AB92,MATCH($C$7,$AA$7:$AA$45))</f>
        <v>9999999</v>
      </c>
      <c r="I97" s="99"/>
      <c r="P97" s="91"/>
      <c r="Q97" s="91"/>
      <c r="R97" s="91"/>
      <c r="S97" s="91"/>
      <c r="T97" s="91"/>
      <c r="U97" s="91"/>
      <c r="V97" s="90"/>
      <c r="W97" s="90"/>
      <c r="X97" s="90"/>
      <c r="Y97" s="90"/>
      <c r="Z97" s="90"/>
      <c r="AA97" s="96"/>
      <c r="AB97" s="96">
        <v>90</v>
      </c>
      <c r="AC97" s="96"/>
      <c r="AD97" s="100">
        <f t="shared" si="4"/>
        <v>-9999999</v>
      </c>
      <c r="AE97" s="101">
        <f t="shared" si="5"/>
        <v>9999999</v>
      </c>
      <c r="AF97" s="96">
        <f t="shared" si="6"/>
        <v>0</v>
      </c>
      <c r="AG97" s="101">
        <f t="shared" si="7"/>
        <v>0</v>
      </c>
      <c r="AH97" s="120"/>
      <c r="AI97" s="120"/>
      <c r="AJ97" s="121"/>
      <c r="AK97" s="121"/>
      <c r="AL97" s="121"/>
      <c r="AM97" s="121"/>
    </row>
    <row r="98" spans="1:39" x14ac:dyDescent="0.25">
      <c r="A98" s="103">
        <v>86</v>
      </c>
      <c r="B98" s="102">
        <f>INDEX('Tabl. 1'!$C$8:$AO$313,104+$AB93,MATCH($C$7,$AA$7:$AA$45))</f>
        <v>9999999</v>
      </c>
      <c r="C98" s="102">
        <f>INDEX('Tabl. 1'!$C$8:$AO$313,206+$AB93,MATCH($C$7,$AA$7:$AA$45))</f>
        <v>9999999</v>
      </c>
      <c r="I98" s="99"/>
      <c r="P98" s="91"/>
      <c r="Q98" s="91"/>
      <c r="R98" s="91"/>
      <c r="S98" s="91"/>
      <c r="T98" s="91"/>
      <c r="U98" s="91"/>
      <c r="V98" s="90"/>
      <c r="W98" s="90"/>
      <c r="X98" s="90"/>
      <c r="Y98" s="90"/>
      <c r="Z98" s="90"/>
      <c r="AA98" s="96"/>
      <c r="AB98" s="96">
        <v>91</v>
      </c>
      <c r="AC98" s="96"/>
      <c r="AD98" s="100">
        <f t="shared" si="4"/>
        <v>-9999999</v>
      </c>
      <c r="AE98" s="101">
        <f t="shared" si="5"/>
        <v>9999999</v>
      </c>
      <c r="AF98" s="96">
        <f t="shared" si="6"/>
        <v>0</v>
      </c>
      <c r="AG98" s="101">
        <f t="shared" si="7"/>
        <v>0</v>
      </c>
      <c r="AH98" s="120"/>
      <c r="AI98" s="120"/>
      <c r="AJ98" s="121"/>
      <c r="AK98" s="121"/>
      <c r="AL98" s="121"/>
      <c r="AM98" s="121"/>
    </row>
    <row r="99" spans="1:39" x14ac:dyDescent="0.25">
      <c r="A99" s="103">
        <v>87</v>
      </c>
      <c r="B99" s="102">
        <f>INDEX('Tabl. 1'!$C$8:$AO$313,104+$AB94,MATCH($C$7,$AA$7:$AA$45))</f>
        <v>9999999</v>
      </c>
      <c r="C99" s="102">
        <f>INDEX('Tabl. 1'!$C$8:$AO$313,206+$AB94,MATCH($C$7,$AA$7:$AA$45))</f>
        <v>9999999</v>
      </c>
      <c r="I99" s="99"/>
      <c r="P99" s="91"/>
      <c r="Q99" s="91"/>
      <c r="R99" s="91"/>
      <c r="S99" s="91"/>
      <c r="T99" s="91"/>
      <c r="U99" s="91"/>
      <c r="V99" s="90"/>
      <c r="W99" s="90"/>
      <c r="X99" s="90"/>
      <c r="Y99" s="90"/>
      <c r="Z99" s="90"/>
      <c r="AA99" s="96"/>
      <c r="AB99" s="96">
        <v>92</v>
      </c>
      <c r="AC99" s="96"/>
      <c r="AD99" s="100">
        <f t="shared" si="4"/>
        <v>-9999999</v>
      </c>
      <c r="AE99" s="101">
        <f t="shared" si="5"/>
        <v>9999999</v>
      </c>
      <c r="AF99" s="96">
        <f t="shared" si="6"/>
        <v>0</v>
      </c>
      <c r="AG99" s="101">
        <f t="shared" si="7"/>
        <v>0</v>
      </c>
      <c r="AH99" s="120"/>
      <c r="AI99" s="120"/>
      <c r="AJ99" s="121"/>
      <c r="AK99" s="121"/>
      <c r="AL99" s="121"/>
      <c r="AM99" s="121"/>
    </row>
    <row r="100" spans="1:39" x14ac:dyDescent="0.25">
      <c r="A100" s="103">
        <v>88</v>
      </c>
      <c r="B100" s="102">
        <f>INDEX('Tabl. 1'!$C$8:$AO$313,104+$AB95,MATCH($C$7,$AA$7:$AA$45))</f>
        <v>9999999</v>
      </c>
      <c r="C100" s="102">
        <f>INDEX('Tabl. 1'!$C$8:$AO$313,206+$AB95,MATCH($C$7,$AA$7:$AA$45))</f>
        <v>9999999</v>
      </c>
      <c r="I100" s="99"/>
      <c r="P100" s="91"/>
      <c r="Q100" s="91"/>
      <c r="R100" s="91"/>
      <c r="S100" s="91"/>
      <c r="T100" s="91"/>
      <c r="U100" s="91"/>
      <c r="V100" s="90"/>
      <c r="W100" s="90"/>
      <c r="X100" s="90"/>
      <c r="Y100" s="90"/>
      <c r="Z100" s="90"/>
      <c r="AA100" s="96"/>
      <c r="AB100" s="96">
        <v>93</v>
      </c>
      <c r="AC100" s="96"/>
      <c r="AD100" s="100">
        <f t="shared" si="4"/>
        <v>-9999999</v>
      </c>
      <c r="AE100" s="101">
        <f t="shared" si="5"/>
        <v>9999999</v>
      </c>
      <c r="AF100" s="96">
        <f t="shared" si="6"/>
        <v>0</v>
      </c>
      <c r="AG100" s="101">
        <f t="shared" si="7"/>
        <v>0</v>
      </c>
      <c r="AH100" s="120"/>
      <c r="AI100" s="120"/>
      <c r="AJ100" s="121"/>
      <c r="AK100" s="121"/>
      <c r="AL100" s="121"/>
      <c r="AM100" s="121"/>
    </row>
    <row r="101" spans="1:39" x14ac:dyDescent="0.25">
      <c r="A101" s="103">
        <v>89</v>
      </c>
      <c r="B101" s="102">
        <f>INDEX('Tabl. 1'!$C$8:$AO$313,104+$AB96,MATCH($C$7,$AA$7:$AA$45))</f>
        <v>9999999</v>
      </c>
      <c r="C101" s="102">
        <f>INDEX('Tabl. 1'!$C$8:$AO$313,206+$AB96,MATCH($C$7,$AA$7:$AA$45))</f>
        <v>9999999</v>
      </c>
      <c r="I101" s="99"/>
      <c r="P101" s="91"/>
      <c r="Q101" s="91"/>
      <c r="R101" s="91"/>
      <c r="S101" s="91"/>
      <c r="T101" s="91"/>
      <c r="U101" s="91"/>
      <c r="V101" s="90"/>
      <c r="W101" s="90"/>
      <c r="X101" s="90"/>
      <c r="Y101" s="90"/>
      <c r="Z101" s="90"/>
      <c r="AA101" s="96"/>
      <c r="AB101" s="96">
        <v>94</v>
      </c>
      <c r="AC101" s="96"/>
      <c r="AD101" s="100">
        <f t="shared" si="4"/>
        <v>-9999999</v>
      </c>
      <c r="AE101" s="101">
        <f t="shared" si="5"/>
        <v>9999999</v>
      </c>
      <c r="AF101" s="96">
        <f t="shared" si="6"/>
        <v>0</v>
      </c>
      <c r="AG101" s="101">
        <f t="shared" si="7"/>
        <v>0</v>
      </c>
      <c r="AH101" s="120"/>
      <c r="AI101" s="120"/>
      <c r="AJ101" s="121"/>
      <c r="AK101" s="121"/>
      <c r="AL101" s="121"/>
      <c r="AM101" s="121"/>
    </row>
    <row r="102" spans="1:39" x14ac:dyDescent="0.25">
      <c r="A102" s="103">
        <v>90</v>
      </c>
      <c r="B102" s="102">
        <f>INDEX('Tabl. 1'!$C$8:$AO$313,104+$AB97,MATCH($C$7,$AA$7:$AA$45))</f>
        <v>9999999</v>
      </c>
      <c r="C102" s="102">
        <f>INDEX('Tabl. 1'!$C$8:$AO$313,206+$AB97,MATCH($C$7,$AA$7:$AA$45))</f>
        <v>9999999</v>
      </c>
      <c r="I102" s="99"/>
      <c r="P102" s="91"/>
      <c r="Q102" s="91"/>
      <c r="R102" s="91"/>
      <c r="S102" s="91"/>
      <c r="T102" s="91"/>
      <c r="U102" s="91"/>
      <c r="V102" s="90"/>
      <c r="W102" s="90"/>
      <c r="X102" s="90"/>
      <c r="Y102" s="90"/>
      <c r="Z102" s="90"/>
      <c r="AA102" s="96"/>
      <c r="AB102" s="96">
        <v>95</v>
      </c>
      <c r="AC102" s="96"/>
      <c r="AD102" s="100">
        <f t="shared" si="4"/>
        <v>-9999999</v>
      </c>
      <c r="AE102" s="101">
        <f t="shared" si="5"/>
        <v>9999999</v>
      </c>
      <c r="AF102" s="96">
        <f t="shared" si="6"/>
        <v>0</v>
      </c>
      <c r="AG102" s="101">
        <f t="shared" si="7"/>
        <v>0</v>
      </c>
      <c r="AH102" s="120"/>
      <c r="AI102" s="120"/>
      <c r="AJ102" s="121"/>
      <c r="AK102" s="121"/>
      <c r="AL102" s="121"/>
      <c r="AM102" s="121"/>
    </row>
    <row r="103" spans="1:39" x14ac:dyDescent="0.25">
      <c r="A103" s="103">
        <v>91</v>
      </c>
      <c r="B103" s="102">
        <f>INDEX('Tabl. 1'!$C$8:$AO$313,104+$AB98,MATCH($C$7,$AA$7:$AA$45))</f>
        <v>9999999</v>
      </c>
      <c r="C103" s="102">
        <f>INDEX('Tabl. 1'!$C$8:$AO$313,206+$AB98,MATCH($C$7,$AA$7:$AA$45))</f>
        <v>9999999</v>
      </c>
      <c r="I103" s="99"/>
      <c r="P103" s="91"/>
      <c r="Q103" s="91"/>
      <c r="R103" s="91"/>
      <c r="S103" s="91"/>
      <c r="T103" s="91"/>
      <c r="U103" s="91"/>
      <c r="V103" s="90"/>
      <c r="W103" s="90"/>
      <c r="X103" s="90"/>
      <c r="Y103" s="90"/>
      <c r="Z103" s="90"/>
      <c r="AA103" s="96"/>
      <c r="AB103" s="96">
        <v>96</v>
      </c>
      <c r="AC103" s="96"/>
      <c r="AD103" s="100">
        <f t="shared" si="4"/>
        <v>-9999999</v>
      </c>
      <c r="AE103" s="101">
        <f t="shared" si="5"/>
        <v>9999999</v>
      </c>
      <c r="AF103" s="96">
        <f t="shared" si="6"/>
        <v>0</v>
      </c>
      <c r="AG103" s="101">
        <f t="shared" si="7"/>
        <v>0</v>
      </c>
      <c r="AH103" s="120"/>
      <c r="AI103" s="120"/>
      <c r="AJ103" s="121"/>
      <c r="AK103" s="121"/>
      <c r="AL103" s="121"/>
      <c r="AM103" s="121"/>
    </row>
    <row r="104" spans="1:39" x14ac:dyDescent="0.25">
      <c r="A104" s="103">
        <v>92</v>
      </c>
      <c r="B104" s="102">
        <f>INDEX('Tabl. 1'!$C$8:$AO$313,104+$AB99,MATCH($C$7,$AA$7:$AA$45))</f>
        <v>9999999</v>
      </c>
      <c r="C104" s="102">
        <f>INDEX('Tabl. 1'!$C$8:$AO$313,206+$AB99,MATCH($C$7,$AA$7:$AA$45))</f>
        <v>9999999</v>
      </c>
      <c r="I104" s="99"/>
      <c r="P104" s="91"/>
      <c r="Q104" s="91"/>
      <c r="R104" s="91"/>
      <c r="S104" s="91"/>
      <c r="T104" s="91"/>
      <c r="U104" s="91"/>
      <c r="V104" s="90"/>
      <c r="W104" s="90"/>
      <c r="X104" s="90"/>
      <c r="Y104" s="90"/>
      <c r="Z104" s="90"/>
      <c r="AA104" s="96"/>
      <c r="AB104" s="96">
        <v>97</v>
      </c>
      <c r="AC104" s="96"/>
      <c r="AD104" s="100">
        <f t="shared" si="4"/>
        <v>-9999999</v>
      </c>
      <c r="AE104" s="101">
        <f t="shared" si="5"/>
        <v>9999999</v>
      </c>
      <c r="AF104" s="96">
        <f t="shared" si="6"/>
        <v>0</v>
      </c>
      <c r="AG104" s="101">
        <f t="shared" si="7"/>
        <v>0</v>
      </c>
      <c r="AH104" s="120"/>
      <c r="AI104" s="120"/>
      <c r="AJ104" s="121"/>
      <c r="AK104" s="121"/>
      <c r="AL104" s="121"/>
      <c r="AM104" s="121"/>
    </row>
    <row r="105" spans="1:39" x14ac:dyDescent="0.25">
      <c r="A105" s="103">
        <v>93</v>
      </c>
      <c r="B105" s="102">
        <f>INDEX('Tabl. 1'!$C$8:$AO$313,104+$AB100,MATCH($C$7,$AA$7:$AA$45))</f>
        <v>9999999</v>
      </c>
      <c r="C105" s="102">
        <f>INDEX('Tabl. 1'!$C$8:$AO$313,206+$AB100,MATCH($C$7,$AA$7:$AA$45))</f>
        <v>9999999</v>
      </c>
      <c r="I105" s="99"/>
      <c r="P105" s="91"/>
      <c r="Q105" s="91"/>
      <c r="R105" s="91"/>
      <c r="S105" s="91"/>
      <c r="T105" s="91"/>
      <c r="U105" s="91"/>
      <c r="V105" s="90"/>
      <c r="W105" s="90"/>
      <c r="X105" s="90"/>
      <c r="Y105" s="90"/>
      <c r="Z105" s="90"/>
      <c r="AA105" s="96"/>
      <c r="AB105" s="96">
        <v>98</v>
      </c>
      <c r="AC105" s="96"/>
      <c r="AD105" s="100">
        <f t="shared" si="4"/>
        <v>-9999999</v>
      </c>
      <c r="AE105" s="101">
        <f t="shared" si="5"/>
        <v>9999999</v>
      </c>
      <c r="AF105" s="96">
        <f t="shared" si="6"/>
        <v>0</v>
      </c>
      <c r="AG105" s="101">
        <f t="shared" si="7"/>
        <v>0</v>
      </c>
      <c r="AH105" s="120"/>
      <c r="AI105" s="120"/>
      <c r="AJ105" s="121"/>
      <c r="AK105" s="121"/>
      <c r="AL105" s="121"/>
      <c r="AM105" s="121"/>
    </row>
    <row r="106" spans="1:39" x14ac:dyDescent="0.25">
      <c r="A106" s="103">
        <v>94</v>
      </c>
      <c r="B106" s="102">
        <f>INDEX('Tabl. 1'!$C$8:$AO$313,104+$AB101,MATCH($C$7,$AA$7:$AA$45))</f>
        <v>9999999</v>
      </c>
      <c r="C106" s="102">
        <f>INDEX('Tabl. 1'!$C$8:$AO$313,206+$AB101,MATCH($C$7,$AA$7:$AA$45))</f>
        <v>9999999</v>
      </c>
      <c r="I106" s="99"/>
      <c r="P106" s="91"/>
      <c r="Q106" s="91"/>
      <c r="R106" s="91"/>
      <c r="S106" s="91"/>
      <c r="T106" s="91"/>
      <c r="U106" s="91"/>
      <c r="V106" s="90"/>
      <c r="W106" s="90"/>
      <c r="X106" s="90"/>
      <c r="Y106" s="90"/>
      <c r="Z106" s="90"/>
      <c r="AA106" s="96"/>
      <c r="AB106" s="96">
        <v>99</v>
      </c>
      <c r="AC106" s="96"/>
      <c r="AD106" s="100">
        <f t="shared" si="4"/>
        <v>-9999999</v>
      </c>
      <c r="AE106" s="101">
        <f t="shared" si="5"/>
        <v>9999999</v>
      </c>
      <c r="AF106" s="96">
        <f t="shared" si="6"/>
        <v>0</v>
      </c>
      <c r="AG106" s="101">
        <f t="shared" si="7"/>
        <v>0</v>
      </c>
      <c r="AH106" s="120"/>
      <c r="AI106" s="120"/>
      <c r="AJ106" s="121"/>
      <c r="AK106" s="121"/>
      <c r="AL106" s="121"/>
      <c r="AM106" s="121"/>
    </row>
    <row r="107" spans="1:39" x14ac:dyDescent="0.25">
      <c r="A107" s="103">
        <v>95</v>
      </c>
      <c r="B107" s="102">
        <f>INDEX('Tabl. 1'!$C$8:$AO$313,104+$AB102,MATCH($C$7,$AA$7:$AA$45))</f>
        <v>9999999</v>
      </c>
      <c r="C107" s="102">
        <f>INDEX('Tabl. 1'!$C$8:$AO$313,206+$AB102,MATCH($C$7,$AA$7:$AA$45))</f>
        <v>9999999</v>
      </c>
      <c r="I107" s="99"/>
      <c r="P107" s="91"/>
      <c r="Q107" s="91"/>
      <c r="R107" s="91"/>
      <c r="S107" s="91"/>
      <c r="T107" s="91"/>
      <c r="U107" s="91"/>
      <c r="V107" s="90"/>
      <c r="W107" s="90"/>
      <c r="X107" s="90"/>
      <c r="Y107" s="90"/>
      <c r="Z107" s="90"/>
      <c r="AA107" s="96"/>
      <c r="AB107" s="96">
        <v>100</v>
      </c>
      <c r="AC107" s="96"/>
      <c r="AD107" s="100">
        <f t="shared" si="4"/>
        <v>-9999999</v>
      </c>
      <c r="AE107" s="101">
        <f t="shared" si="5"/>
        <v>9999999</v>
      </c>
      <c r="AF107" s="96">
        <f t="shared" si="6"/>
        <v>0</v>
      </c>
      <c r="AG107" s="101">
        <f t="shared" si="7"/>
        <v>0</v>
      </c>
      <c r="AH107" s="120"/>
      <c r="AI107" s="120"/>
      <c r="AJ107" s="121"/>
      <c r="AK107" s="121"/>
      <c r="AL107" s="121"/>
      <c r="AM107" s="121"/>
    </row>
    <row r="108" spans="1:39" x14ac:dyDescent="0.25">
      <c r="A108" s="103">
        <v>96</v>
      </c>
      <c r="B108" s="102">
        <f>INDEX('Tabl. 1'!$C$8:$AO$313,104+$AB103,MATCH($C$7,$AA$7:$AA$45))</f>
        <v>9999999</v>
      </c>
      <c r="C108" s="102">
        <f>INDEX('Tabl. 1'!$C$8:$AO$313,206+$AB103,MATCH($C$7,$AA$7:$AA$45))</f>
        <v>9999999</v>
      </c>
      <c r="I108" s="99"/>
      <c r="P108" s="91"/>
      <c r="Q108" s="91"/>
      <c r="R108" s="91"/>
      <c r="S108" s="91"/>
      <c r="T108" s="91"/>
      <c r="U108" s="91"/>
      <c r="V108" s="90"/>
      <c r="W108" s="90"/>
      <c r="X108" s="90"/>
      <c r="Y108" s="90"/>
      <c r="Z108" s="90"/>
      <c r="AA108" s="96"/>
      <c r="AB108" s="96">
        <v>101</v>
      </c>
      <c r="AC108" s="96"/>
      <c r="AD108" s="100">
        <f t="shared" si="4"/>
        <v>-9999999</v>
      </c>
      <c r="AE108" s="101">
        <f t="shared" si="5"/>
        <v>9999999</v>
      </c>
      <c r="AF108" s="96">
        <f t="shared" si="6"/>
        <v>0</v>
      </c>
      <c r="AG108" s="101">
        <f t="shared" si="7"/>
        <v>0</v>
      </c>
      <c r="AH108" s="120"/>
      <c r="AI108" s="120"/>
      <c r="AJ108" s="121"/>
      <c r="AK108" s="121"/>
      <c r="AL108" s="121"/>
      <c r="AM108" s="121"/>
    </row>
    <row r="109" spans="1:39" x14ac:dyDescent="0.25">
      <c r="A109" s="103">
        <v>97</v>
      </c>
      <c r="B109" s="102">
        <f>INDEX('Tabl. 1'!$C$8:$AO$313,104+$AB104,MATCH($C$7,$AA$7:$AA$45))</f>
        <v>9999999</v>
      </c>
      <c r="C109" s="102">
        <f>INDEX('Tabl. 1'!$C$8:$AO$313,206+$AB104,MATCH($C$7,$AA$7:$AA$45))</f>
        <v>9999999</v>
      </c>
      <c r="AA109" s="96"/>
      <c r="AB109" s="96"/>
      <c r="AC109" s="96"/>
      <c r="AD109" s="100">
        <f>MAX('Tabl. 1'!C111:C211)*-1</f>
        <v>-9999999</v>
      </c>
      <c r="AE109" s="101">
        <f>MAX('Tabl. 1'!C213:C313)</f>
        <v>9999999</v>
      </c>
      <c r="AF109" s="96">
        <f t="shared" si="6"/>
        <v>0</v>
      </c>
      <c r="AG109" s="101">
        <f t="shared" si="7"/>
        <v>0</v>
      </c>
      <c r="AH109" s="120"/>
      <c r="AI109" s="120"/>
      <c r="AJ109" s="121"/>
      <c r="AK109" s="121"/>
      <c r="AL109" s="121"/>
      <c r="AM109" s="121"/>
    </row>
    <row r="110" spans="1:39" x14ac:dyDescent="0.25">
      <c r="A110" s="103">
        <v>98</v>
      </c>
      <c r="B110" s="102">
        <f>INDEX('Tabl. 1'!$C$8:$AO$313,104+$AB105,MATCH($C$7,$AA$7:$AA$45))</f>
        <v>9999999</v>
      </c>
      <c r="C110" s="102">
        <f>INDEX('Tabl. 1'!$C$8:$AO$313,206+$AB105,MATCH($C$7,$AA$7:$AA$45))</f>
        <v>9999999</v>
      </c>
      <c r="AA110" s="96"/>
      <c r="AB110" s="96"/>
      <c r="AC110" s="96"/>
      <c r="AD110" s="96"/>
      <c r="AE110" s="96"/>
      <c r="AF110" s="96"/>
      <c r="AG110" s="119"/>
      <c r="AH110" s="120"/>
      <c r="AI110" s="120"/>
      <c r="AJ110" s="121"/>
      <c r="AK110" s="121"/>
      <c r="AL110" s="121"/>
      <c r="AM110" s="121"/>
    </row>
    <row r="111" spans="1:39" x14ac:dyDescent="0.25">
      <c r="A111" s="103">
        <v>99</v>
      </c>
      <c r="B111" s="102">
        <f>INDEX('Tabl. 1'!$C$8:$AO$313,104+$AB106,MATCH($C$7,$AA$7:$AA$45))</f>
        <v>9999999</v>
      </c>
      <c r="C111" s="102">
        <f>INDEX('Tabl. 1'!$C$8:$AO$313,206+$AB106,MATCH($C$7,$AA$7:$AA$45))</f>
        <v>9999999</v>
      </c>
      <c r="AA111" s="96"/>
      <c r="AB111" s="96"/>
      <c r="AC111" s="96"/>
      <c r="AD111" s="96"/>
      <c r="AE111" s="96"/>
      <c r="AF111" s="96"/>
      <c r="AG111" s="119"/>
      <c r="AH111" s="120"/>
      <c r="AI111" s="120"/>
      <c r="AJ111" s="121"/>
      <c r="AK111" s="121"/>
      <c r="AL111" s="121"/>
      <c r="AM111" s="121"/>
    </row>
    <row r="112" spans="1:39" x14ac:dyDescent="0.25">
      <c r="A112" s="104" t="s">
        <v>79</v>
      </c>
      <c r="B112" s="105">
        <f>INDEX('Tabl. 1'!$C$8:$AO$313,104+$AB107,MATCH($C$7,$AA$7:$AA$45))</f>
        <v>9999999</v>
      </c>
      <c r="C112" s="105">
        <f>INDEX('Tabl. 1'!$C$8:$AO$313,206+$AB107,MATCH($C$7,$AA$7:$AA$45))</f>
        <v>9999999</v>
      </c>
      <c r="AA112" s="96"/>
      <c r="AB112" s="96"/>
      <c r="AC112" s="96"/>
      <c r="AD112" s="96"/>
      <c r="AE112" s="96"/>
      <c r="AF112" s="96"/>
      <c r="AG112" s="119"/>
      <c r="AH112" s="120"/>
      <c r="AI112" s="120"/>
      <c r="AJ112" s="121"/>
      <c r="AK112" s="121"/>
      <c r="AL112" s="121"/>
      <c r="AM112" s="121"/>
    </row>
  </sheetData>
  <sheetCalcPr fullCalcOnLoad="true"/>
  <sheetProtection algorithmName="SHA-512" hashValue="f5mu+x1wghhwmLGO+qvKH7ADzajypIRc3azxhCaHpa8LPvoybaFnJL8A6k11vihk3BNPcBp2gg7nNBAmwlKL9g==" saltValue="FfqZ96TnCU/TbAblA3TjDw==" spinCount="100000" sheet="1" objects="1" scenarios="1" selectLockedCells="1"/>
  <mergeCells count="3">
    <mergeCell ref="A4:C4"/>
    <mergeCell ref="B1:C1"/>
    <mergeCell ref="B2:C3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drawing r:id="rId2"/>
  <legacyDrawing r:id="rId3"/>
  <mc:AlternateContent>
    <mc:Choice Requires="x14">
      <controls>
        <mc:AlternateContent>
          <mc:Choice Requires="x14">
            <control shapeId="1025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2023-08-29T13:53:36Z</dcterms:modified>
</cp:coreProperties>
</file>