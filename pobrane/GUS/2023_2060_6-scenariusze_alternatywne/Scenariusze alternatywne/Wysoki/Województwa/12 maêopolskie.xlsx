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4" r:id="rId1"/>
    <sheet name="Tabl. 1" sheetId="12" r:id="rId2"/>
    <sheet name="Tabl. 2" sheetId="13" r:id="rId3"/>
    <sheet name="Tabl. 3" sheetId="11" r:id="rId4"/>
    <sheet name="Tabl. 4" sheetId="5" r:id="rId5"/>
    <sheet name="Wykres 1 Chart 1" sheetId="19" r:id="rId6"/>
  </sheets>
  <calcPr calcId="152511"/>
</workbook>
</file>

<file path=xl/calcChain.xml><?xml version="1.0" encoding="utf-8"?>
<calcChain xmlns="http://schemas.openxmlformats.org/spreadsheetml/2006/main">
  <c r="AE109" i="19" l="1"/>
  <c r="AD109" i="19"/>
  <c r="B13" i="19"/>
  <c r="C13" i="19"/>
  <c r="B14" i="19"/>
  <c r="C14" i="19"/>
  <c r="B15" i="19"/>
  <c r="C15" i="19"/>
  <c r="B16" i="19"/>
  <c r="C16" i="19"/>
  <c r="B17" i="19"/>
  <c r="C17" i="19"/>
  <c r="B18" i="19"/>
  <c r="C18" i="19"/>
  <c r="B19" i="19"/>
  <c r="C19" i="19"/>
  <c r="B20" i="19"/>
  <c r="C20" i="19"/>
  <c r="B21" i="19"/>
  <c r="C21" i="19"/>
  <c r="B22" i="19"/>
  <c r="C22" i="19"/>
  <c r="B23" i="19"/>
  <c r="C23" i="19"/>
  <c r="B24" i="19"/>
  <c r="C24" i="19"/>
  <c r="B25" i="19"/>
  <c r="C25" i="19"/>
  <c r="B26" i="19"/>
  <c r="C26" i="19"/>
  <c r="B27" i="19"/>
  <c r="C27" i="19"/>
  <c r="B28" i="19"/>
  <c r="C28" i="19"/>
  <c r="B29" i="19"/>
  <c r="C29" i="19"/>
  <c r="B30" i="19"/>
  <c r="C30" i="19"/>
  <c r="B31" i="19"/>
  <c r="C31" i="19"/>
  <c r="B32" i="19"/>
  <c r="C32" i="19"/>
  <c r="B33" i="19"/>
  <c r="C33" i="19"/>
  <c r="B34" i="19"/>
  <c r="C34" i="19"/>
  <c r="B35" i="19"/>
  <c r="C35" i="19"/>
  <c r="B36" i="19"/>
  <c r="C36" i="19"/>
  <c r="B37" i="19"/>
  <c r="C37" i="19"/>
  <c r="B38" i="19"/>
  <c r="C38" i="19"/>
  <c r="B39" i="19"/>
  <c r="C39" i="19"/>
  <c r="B40" i="19"/>
  <c r="C40" i="19"/>
  <c r="B41" i="19"/>
  <c r="C41" i="19"/>
  <c r="B42" i="19"/>
  <c r="C42" i="19"/>
  <c r="B43" i="19"/>
  <c r="C43" i="19"/>
  <c r="B44" i="19"/>
  <c r="C44" i="19"/>
  <c r="B45" i="19"/>
  <c r="C45" i="19"/>
  <c r="B46" i="19"/>
  <c r="C46" i="19"/>
  <c r="B47" i="19"/>
  <c r="C47" i="19"/>
  <c r="B48" i="19"/>
  <c r="C48" i="19"/>
  <c r="B49" i="19"/>
  <c r="C49" i="19"/>
  <c r="B50" i="19"/>
  <c r="C50" i="19"/>
  <c r="B51" i="19"/>
  <c r="C51" i="19"/>
  <c r="B52" i="19"/>
  <c r="C52" i="19"/>
  <c r="B53" i="19"/>
  <c r="C53" i="19"/>
  <c r="B54" i="19"/>
  <c r="C54" i="19"/>
  <c r="B55" i="19"/>
  <c r="C55" i="19"/>
  <c r="B56" i="19"/>
  <c r="C56" i="19"/>
  <c r="B57" i="19"/>
  <c r="C57" i="19"/>
  <c r="B58" i="19"/>
  <c r="C58" i="19"/>
  <c r="B59" i="19"/>
  <c r="C59" i="19"/>
  <c r="B60" i="19"/>
  <c r="C60" i="19"/>
  <c r="B61" i="19"/>
  <c r="C61" i="19"/>
  <c r="B62" i="19"/>
  <c r="C62" i="19"/>
  <c r="B63" i="19"/>
  <c r="C63" i="19"/>
  <c r="B64" i="19"/>
  <c r="C64" i="19"/>
  <c r="B65" i="19"/>
  <c r="C65" i="19"/>
  <c r="B66" i="19"/>
  <c r="C66" i="19"/>
  <c r="B67" i="19"/>
  <c r="C67" i="19"/>
  <c r="B68" i="19"/>
  <c r="C68" i="19"/>
  <c r="B69" i="19"/>
  <c r="C69" i="19"/>
  <c r="B70" i="19"/>
  <c r="C70" i="19"/>
  <c r="B71" i="19"/>
  <c r="C71" i="19"/>
  <c r="B72" i="19"/>
  <c r="C72" i="19"/>
  <c r="B73" i="19"/>
  <c r="C73" i="19"/>
  <c r="B74" i="19"/>
  <c r="C74" i="19"/>
  <c r="B75" i="19"/>
  <c r="C75" i="19"/>
  <c r="B76" i="19"/>
  <c r="C76" i="19"/>
  <c r="B77" i="19"/>
  <c r="C77" i="19"/>
  <c r="B78" i="19"/>
  <c r="C78" i="19"/>
  <c r="B79" i="19"/>
  <c r="C79" i="19"/>
  <c r="B80" i="19"/>
  <c r="C80" i="19"/>
  <c r="B81" i="19"/>
  <c r="C81" i="19"/>
  <c r="B82" i="19"/>
  <c r="C82" i="19"/>
  <c r="B83" i="19"/>
  <c r="C83" i="19"/>
  <c r="B84" i="19"/>
  <c r="C84" i="19"/>
  <c r="B85" i="19"/>
  <c r="C85" i="19"/>
  <c r="B86" i="19"/>
  <c r="C86" i="19"/>
  <c r="B87" i="19"/>
  <c r="C87" i="19"/>
  <c r="B88" i="19"/>
  <c r="C88" i="19"/>
  <c r="B89" i="19"/>
  <c r="C89" i="19"/>
  <c r="B90" i="19"/>
  <c r="C90" i="19"/>
  <c r="B91" i="19"/>
  <c r="C91" i="19"/>
  <c r="B92" i="19"/>
  <c r="C92" i="19"/>
  <c r="B93" i="19"/>
  <c r="C93" i="19"/>
  <c r="B94" i="19"/>
  <c r="C94" i="19"/>
  <c r="B95" i="19"/>
  <c r="C95" i="19"/>
  <c r="B96" i="19"/>
  <c r="C96" i="19"/>
  <c r="B97" i="19"/>
  <c r="C97" i="19"/>
  <c r="B98" i="19"/>
  <c r="C98" i="19"/>
  <c r="B99" i="19"/>
  <c r="C99" i="19"/>
  <c r="B100" i="19"/>
  <c r="C100" i="19"/>
  <c r="B101" i="19"/>
  <c r="C101" i="19"/>
  <c r="B102" i="19"/>
  <c r="C102" i="19"/>
  <c r="B103" i="19"/>
  <c r="C103" i="19"/>
  <c r="B104" i="19"/>
  <c r="C104" i="19"/>
  <c r="B105" i="19"/>
  <c r="C105" i="19"/>
  <c r="B106" i="19"/>
  <c r="C106" i="19"/>
  <c r="B107" i="19"/>
  <c r="C107" i="19"/>
  <c r="B108" i="19"/>
  <c r="C108" i="19"/>
  <c r="B109" i="19"/>
  <c r="C109" i="19"/>
  <c r="B110" i="19"/>
  <c r="C110" i="19"/>
  <c r="B111" i="19"/>
  <c r="C111" i="19"/>
  <c r="B112" i="19"/>
  <c r="C112" i="19"/>
  <c r="C12" i="19"/>
  <c r="B12" i="19"/>
  <c r="AF108" i="19" l="1"/>
  <c r="AD108" i="19" s="1"/>
  <c r="AG107" i="19"/>
  <c r="AE107" i="19" s="1"/>
  <c r="AF106" i="19"/>
  <c r="AD106" i="19" s="1"/>
  <c r="AG109" i="19"/>
  <c r="AF109" i="19"/>
  <c r="AG105" i="19"/>
  <c r="AE105" i="19" s="1"/>
  <c r="AG108" i="19"/>
  <c r="AE108" i="19" s="1"/>
  <c r="AF107" i="19"/>
  <c r="AD107" i="19" s="1"/>
  <c r="AG103" i="19"/>
  <c r="AE103" i="19" s="1"/>
  <c r="AG102" i="19"/>
  <c r="AG101" i="19"/>
  <c r="AE101" i="19" s="1"/>
  <c r="AF104" i="19"/>
  <c r="AF100" i="19"/>
  <c r="AF103" i="19"/>
  <c r="AD103" i="19" s="1"/>
  <c r="AG99" i="19"/>
  <c r="AE99" i="19" s="1"/>
  <c r="AF98" i="19"/>
  <c r="AG97" i="19"/>
  <c r="AE97" i="19" s="1"/>
  <c r="AF96" i="19"/>
  <c r="AF99" i="19"/>
  <c r="AG95" i="19"/>
  <c r="AE95" i="19" s="1"/>
  <c r="AG94" i="19"/>
  <c r="AF97" i="19"/>
  <c r="AF93" i="19"/>
  <c r="AD93" i="19" s="1"/>
  <c r="AF92" i="19"/>
  <c r="AF90" i="19"/>
  <c r="AF89" i="19"/>
  <c r="AD89" i="19" s="1"/>
  <c r="AG86" i="19"/>
  <c r="AF85" i="19"/>
  <c r="AF84" i="19"/>
  <c r="AF87" i="19"/>
  <c r="AG83" i="19"/>
  <c r="AE83" i="19" s="1"/>
  <c r="AF79" i="19"/>
  <c r="AD79" i="19" s="1"/>
  <c r="AF82" i="19"/>
  <c r="AG76" i="19"/>
  <c r="AF75" i="19"/>
  <c r="AD75" i="19" s="1"/>
  <c r="AF74" i="19"/>
  <c r="AF77" i="19"/>
  <c r="AD77" i="19" s="1"/>
  <c r="AG73" i="19"/>
  <c r="AE73" i="19" s="1"/>
  <c r="AG70" i="19"/>
  <c r="AF69" i="19"/>
  <c r="AD69" i="19" s="1"/>
  <c r="AF71" i="19"/>
  <c r="AD71" i="19" s="1"/>
  <c r="AF66" i="19"/>
  <c r="AF67" i="19"/>
  <c r="AG63" i="19"/>
  <c r="AE63" i="19" s="1"/>
  <c r="AG62" i="19"/>
  <c r="AF61" i="19"/>
  <c r="AD61" i="19" s="1"/>
  <c r="AF60" i="19"/>
  <c r="AF58" i="19"/>
  <c r="AF56" i="19"/>
  <c r="AF59" i="19"/>
  <c r="AD59" i="19" s="1"/>
  <c r="AF55" i="19"/>
  <c r="AG54" i="19"/>
  <c r="AF57" i="19"/>
  <c r="AG52" i="19"/>
  <c r="AF51" i="19"/>
  <c r="AG46" i="19"/>
  <c r="AG44" i="19"/>
  <c r="AF47" i="19"/>
  <c r="AG43" i="19"/>
  <c r="AE43" i="19" s="1"/>
  <c r="AF41" i="19"/>
  <c r="AF35" i="19"/>
  <c r="AF37" i="19"/>
  <c r="AF33" i="19"/>
  <c r="AF27" i="19"/>
  <c r="AD27" i="19" s="1"/>
  <c r="AF29" i="19"/>
  <c r="AF25" i="19"/>
  <c r="AF23" i="19"/>
  <c r="AG22" i="19"/>
  <c r="AE22" i="19" s="1"/>
  <c r="AF19" i="19"/>
  <c r="AG18" i="19"/>
  <c r="AF21" i="19"/>
  <c r="AG14" i="19"/>
  <c r="AF17" i="19"/>
  <c r="AG12" i="19"/>
  <c r="AF11" i="19"/>
  <c r="AF13" i="19"/>
  <c r="AF9" i="19"/>
  <c r="AG8" i="19"/>
  <c r="AE8" i="19" s="1"/>
  <c r="AF10" i="19" l="1"/>
  <c r="AD10" i="19" s="1"/>
  <c r="AF16" i="19"/>
  <c r="AD16" i="19" s="1"/>
  <c r="AG20" i="19"/>
  <c r="AE20" i="19" s="1"/>
  <c r="AG23" i="19"/>
  <c r="AE23" i="19" s="1"/>
  <c r="AF39" i="19"/>
  <c r="AD39" i="19" s="1"/>
  <c r="AF45" i="19"/>
  <c r="AD45" i="19" s="1"/>
  <c r="AD47" i="19"/>
  <c r="AF49" i="19"/>
  <c r="AD49" i="19" s="1"/>
  <c r="AD57" i="19"/>
  <c r="AG61" i="19"/>
  <c r="AE61" i="19" s="1"/>
  <c r="AG85" i="19"/>
  <c r="AE85" i="19" s="1"/>
  <c r="AF88" i="19"/>
  <c r="AD88" i="19" s="1"/>
  <c r="AG106" i="19"/>
  <c r="AE106" i="19" s="1"/>
  <c r="AD67" i="19"/>
  <c r="AF8" i="19"/>
  <c r="AD8" i="19" s="1"/>
  <c r="AG84" i="19"/>
  <c r="AE84" i="19" s="1"/>
  <c r="AD87" i="19"/>
  <c r="AF95" i="19"/>
  <c r="AD95" i="19" s="1"/>
  <c r="AD99" i="19"/>
  <c r="AF105" i="19"/>
  <c r="AD105" i="19" s="1"/>
  <c r="AF101" i="19"/>
  <c r="AD101" i="19" s="1"/>
  <c r="AF12" i="19"/>
  <c r="AD12" i="19" s="1"/>
  <c r="AF26" i="19"/>
  <c r="AD26" i="19" s="1"/>
  <c r="AF31" i="19"/>
  <c r="AD31" i="19" s="1"/>
  <c r="AD35" i="19"/>
  <c r="AG48" i="19"/>
  <c r="AE48" i="19" s="1"/>
  <c r="AG50" i="19"/>
  <c r="AF53" i="19"/>
  <c r="AD53" i="19" s="1"/>
  <c r="AD55" i="19"/>
  <c r="AG65" i="19"/>
  <c r="AE65" i="19" s="1"/>
  <c r="AG68" i="19"/>
  <c r="AG78" i="19"/>
  <c r="AE78" i="19" s="1"/>
  <c r="AF83" i="19"/>
  <c r="AD83" i="19" s="1"/>
  <c r="AG81" i="19"/>
  <c r="AE81" i="19" s="1"/>
  <c r="AF91" i="19"/>
  <c r="AD91" i="19" s="1"/>
  <c r="AD97" i="19"/>
  <c r="AG100" i="19"/>
  <c r="AE100" i="19" s="1"/>
  <c r="AD51" i="19"/>
  <c r="AF65" i="19"/>
  <c r="AD65" i="19" s="1"/>
  <c r="AG10" i="19"/>
  <c r="AE10" i="19" s="1"/>
  <c r="AG16" i="19"/>
  <c r="AE16" i="19" s="1"/>
  <c r="AF20" i="19"/>
  <c r="AD20" i="19" s="1"/>
  <c r="AG24" i="19"/>
  <c r="AE24" i="19" s="1"/>
  <c r="AG28" i="19"/>
  <c r="AE28" i="19" s="1"/>
  <c r="AF30" i="19"/>
  <c r="AD30" i="19" s="1"/>
  <c r="AG32" i="19"/>
  <c r="AE32" i="19" s="1"/>
  <c r="AF34" i="19"/>
  <c r="AD34" i="19" s="1"/>
  <c r="AG36" i="19"/>
  <c r="AE36" i="19" s="1"/>
  <c r="AF38" i="19"/>
  <c r="AD38" i="19" s="1"/>
  <c r="AG40" i="19"/>
  <c r="AE40" i="19" s="1"/>
  <c r="AF50" i="19"/>
  <c r="AD50" i="19" s="1"/>
  <c r="AF52" i="19"/>
  <c r="AD52" i="19" s="1"/>
  <c r="AG60" i="19"/>
  <c r="AE60" i="19" s="1"/>
  <c r="AG64" i="19"/>
  <c r="AE64" i="19" s="1"/>
  <c r="AF68" i="19"/>
  <c r="AF73" i="19"/>
  <c r="AD73" i="19" s="1"/>
  <c r="AG71" i="19"/>
  <c r="AE71" i="19" s="1"/>
  <c r="AF76" i="19"/>
  <c r="AD76" i="19" s="1"/>
  <c r="AF81" i="19"/>
  <c r="AD81" i="19" s="1"/>
  <c r="AG79" i="19"/>
  <c r="AE79" i="19" s="1"/>
  <c r="AG80" i="19"/>
  <c r="AE80" i="19" s="1"/>
  <c r="AG92" i="19"/>
  <c r="AE92" i="19" s="1"/>
  <c r="AF15" i="19"/>
  <c r="AD15" i="19" s="1"/>
  <c r="AD13" i="19"/>
  <c r="AF14" i="19"/>
  <c r="AD14" i="19" s="1"/>
  <c r="AD17" i="19"/>
  <c r="AF18" i="19"/>
  <c r="AD18" i="19" s="1"/>
  <c r="AD21" i="19"/>
  <c r="AG25" i="19"/>
  <c r="AE25" i="19" s="1"/>
  <c r="AG29" i="19"/>
  <c r="AE29" i="19" s="1"/>
  <c r="AG33" i="19"/>
  <c r="AE33" i="19" s="1"/>
  <c r="AG37" i="19"/>
  <c r="AE37" i="19" s="1"/>
  <c r="AG41" i="19"/>
  <c r="AE41" i="19" s="1"/>
  <c r="AF42" i="19"/>
  <c r="AD42" i="19" s="1"/>
  <c r="AG55" i="19"/>
  <c r="AE55" i="19" s="1"/>
  <c r="AG57" i="19"/>
  <c r="AE57" i="19" s="1"/>
  <c r="AG59" i="19"/>
  <c r="AE59" i="19" s="1"/>
  <c r="AF63" i="19"/>
  <c r="AD63" i="19" s="1"/>
  <c r="AG69" i="19"/>
  <c r="AE69" i="19" s="1"/>
  <c r="AG77" i="19"/>
  <c r="AE77" i="19" s="1"/>
  <c r="AD85" i="19"/>
  <c r="AG89" i="19"/>
  <c r="AE89" i="19" s="1"/>
  <c r="AG91" i="19"/>
  <c r="AE91" i="19" s="1"/>
  <c r="AG93" i="19"/>
  <c r="AE93" i="19" s="1"/>
  <c r="AD19" i="19"/>
  <c r="AD23" i="19"/>
  <c r="AG27" i="19"/>
  <c r="AE27" i="19" s="1"/>
  <c r="AG31" i="19"/>
  <c r="AE31" i="19" s="1"/>
  <c r="AG35" i="19"/>
  <c r="AE35" i="19" s="1"/>
  <c r="AG39" i="19"/>
  <c r="AE39" i="19" s="1"/>
  <c r="AF43" i="19"/>
  <c r="AD43" i="19" s="1"/>
  <c r="AG45" i="19"/>
  <c r="AE45" i="19" s="1"/>
  <c r="AG47" i="19"/>
  <c r="AE47" i="19" s="1"/>
  <c r="AG49" i="19"/>
  <c r="AE49" i="19" s="1"/>
  <c r="AG51" i="19"/>
  <c r="AE51" i="19" s="1"/>
  <c r="AG53" i="19"/>
  <c r="AE53" i="19" s="1"/>
  <c r="AG56" i="19"/>
  <c r="AE56" i="19" s="1"/>
  <c r="AG67" i="19"/>
  <c r="AE67" i="19" s="1"/>
  <c r="AG75" i="19"/>
  <c r="AE75" i="19" s="1"/>
  <c r="AG87" i="19"/>
  <c r="AE87" i="19" s="1"/>
  <c r="AG88" i="19"/>
  <c r="AE88" i="19" s="1"/>
  <c r="AG9" i="19"/>
  <c r="AE9" i="19" s="1"/>
  <c r="AD11" i="19"/>
  <c r="AG11" i="19"/>
  <c r="AE11" i="19" s="1"/>
  <c r="AD9" i="19"/>
  <c r="AG38" i="19"/>
  <c r="AE38" i="19" s="1"/>
  <c r="AG42" i="19"/>
  <c r="AF48" i="19"/>
  <c r="AD48" i="19" s="1"/>
  <c r="AE54" i="19"/>
  <c r="AF64" i="19"/>
  <c r="AF80" i="19"/>
  <c r="AD80" i="19" s="1"/>
  <c r="AE86" i="19"/>
  <c r="AD96" i="19"/>
  <c r="AD104" i="19"/>
  <c r="AG13" i="19"/>
  <c r="AE13" i="19" s="1"/>
  <c r="AE14" i="19"/>
  <c r="AG17" i="19"/>
  <c r="AE17" i="19" s="1"/>
  <c r="AE18" i="19"/>
  <c r="AG19" i="19"/>
  <c r="AE19" i="19" s="1"/>
  <c r="AG21" i="19"/>
  <c r="AE21" i="19" s="1"/>
  <c r="AF24" i="19"/>
  <c r="AD24" i="19" s="1"/>
  <c r="AD25" i="19"/>
  <c r="AF28" i="19"/>
  <c r="AD28" i="19" s="1"/>
  <c r="AD29" i="19"/>
  <c r="AF32" i="19"/>
  <c r="AD32" i="19" s="1"/>
  <c r="AD33" i="19"/>
  <c r="AF36" i="19"/>
  <c r="AD36" i="19" s="1"/>
  <c r="AD37" i="19"/>
  <c r="AF40" i="19"/>
  <c r="AD40" i="19" s="1"/>
  <c r="AD41" i="19"/>
  <c r="AF44" i="19"/>
  <c r="AD44" i="19" s="1"/>
  <c r="AE42" i="19"/>
  <c r="AD58" i="19"/>
  <c r="AD66" i="19"/>
  <c r="AG72" i="19"/>
  <c r="AE72" i="19" s="1"/>
  <c r="AD74" i="19"/>
  <c r="AD82" i="19"/>
  <c r="AD90" i="19"/>
  <c r="AG96" i="19"/>
  <c r="AE96" i="19" s="1"/>
  <c r="AD98" i="19"/>
  <c r="AG104" i="19"/>
  <c r="AE104" i="19" s="1"/>
  <c r="AE46" i="19"/>
  <c r="AD56" i="19"/>
  <c r="AE62" i="19"/>
  <c r="AF72" i="19"/>
  <c r="AD72" i="19" s="1"/>
  <c r="AE94" i="19"/>
  <c r="AE102" i="19"/>
  <c r="AE12" i="19"/>
  <c r="AG15" i="19"/>
  <c r="AE15" i="19" s="1"/>
  <c r="AF22" i="19"/>
  <c r="AD22" i="19" s="1"/>
  <c r="AE50" i="19"/>
  <c r="AG58" i="19"/>
  <c r="AE58" i="19" s="1"/>
  <c r="AD60" i="19"/>
  <c r="AG66" i="19"/>
  <c r="AE66" i="19" s="1"/>
  <c r="AD68" i="19"/>
  <c r="AG74" i="19"/>
  <c r="AE74" i="19" s="1"/>
  <c r="AG82" i="19"/>
  <c r="AE82" i="19" s="1"/>
  <c r="AD84" i="19"/>
  <c r="AG90" i="19"/>
  <c r="AE90" i="19" s="1"/>
  <c r="AD92" i="19"/>
  <c r="AG98" i="19"/>
  <c r="AE98" i="19" s="1"/>
  <c r="AD100" i="19"/>
  <c r="AG26" i="19"/>
  <c r="AE26" i="19" s="1"/>
  <c r="AG30" i="19"/>
  <c r="AE30" i="19" s="1"/>
  <c r="AG34" i="19"/>
  <c r="AE34" i="19" s="1"/>
  <c r="AD64" i="19"/>
  <c r="AE70" i="19"/>
  <c r="AF46" i="19"/>
  <c r="AD46" i="19" s="1"/>
  <c r="AE44" i="19"/>
  <c r="AF54" i="19"/>
  <c r="AD54" i="19" s="1"/>
  <c r="AE52" i="19"/>
  <c r="AF62" i="19"/>
  <c r="AD62" i="19" s="1"/>
  <c r="AF70" i="19"/>
  <c r="AD70" i="19" s="1"/>
  <c r="AE68" i="19"/>
  <c r="AF78" i="19"/>
  <c r="AD78" i="19" s="1"/>
  <c r="AE76" i="19"/>
  <c r="AF86" i="19"/>
  <c r="AD86" i="19" s="1"/>
  <c r="AF94" i="19"/>
  <c r="AD94" i="19" s="1"/>
  <c r="AF102" i="19"/>
  <c r="AD102" i="19" s="1"/>
</calcChain>
</file>

<file path=xl/sharedStrings.xml><?xml version="1.0" encoding="utf-8"?>
<sst xmlns="http://schemas.openxmlformats.org/spreadsheetml/2006/main" count="222" uniqueCount="106">
  <si>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</si>
  <si>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</si>
  <si>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</si>
  <si>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</si>
  <si>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</si>
  <si>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</si>
  <si>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</si>
  <si>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</si>
  <si>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</si>
  <si>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</si>
  <si>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</si>
  <si>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</si>
  <si>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</si>
  <si>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</si>
  <si>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</si>
  <si>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</si>
  <si>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</si>
  <si>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</si>
  <si>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</si>
  <si>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</si>
  <si>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</si>
  <si>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</si>
  <si>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</si>
  <si>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</si>
  <si>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</si>
  <si>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</si>
  <si>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</si>
  <si>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</si>
  <si>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</si>
  <si>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</si>
  <si>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</si>
  <si>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</si>
  <si>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</si>
  <si>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</si>
  <si>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</si>
  <si>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</si>
  <si>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</si>
  <si>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</si>
  <si>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</si>
  <si>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</si>
  <si>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</si>
  <si>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</si>
  <si>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</si>
  <si>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</si>
  <si>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</si>
  <si>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</si>
  <si>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</si>
  <si>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</si>
  <si>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</si>
  <si>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</si>
  <si>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</si>
  <si>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</si>
  <si>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</si>
  <si>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</si>
  <si>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</si>
  <si>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</si>
  <si>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</si>
  <si>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</si>
  <si>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</si>
  <si>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</si>
  <si>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</si>
  <si>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</si>
  <si>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</si>
  <si>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</si>
  <si>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</si>
  <si>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</si>
  <si>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</si>
  <si>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nazwa</t>
  </si>
  <si>
    <t>100+</t>
  </si>
  <si>
    <t>90-94</t>
  </si>
  <si>
    <t>95-99</t>
  </si>
  <si>
    <t>PROGNOZA LUDNOŚCI NA LATA 2023-2060</t>
  </si>
  <si>
    <t>POPULATION PROJECTION 2023-2060</t>
  </si>
  <si>
    <t>Spis tablic</t>
  </si>
  <si>
    <t>List of tables</t>
  </si>
  <si>
    <t>TABL. 1.</t>
  </si>
  <si>
    <t>LUDNOŚĆ WEDŁUG PŁCI I POJEDYNCZYCH ROCZNIKÓW WIEKU</t>
  </si>
  <si>
    <t>TABL. 2.</t>
  </si>
  <si>
    <t>TABL. 3.</t>
  </si>
  <si>
    <t>LUDNOŚĆ WEDŁUG PŁCI I WYBRANYCH GRUP WIEKU</t>
  </si>
  <si>
    <t>TABL. 4.</t>
  </si>
  <si>
    <t>RUCH NATURALNY I MIGRACYJNY LUDNOŚCI</t>
  </si>
  <si>
    <t>Powrót do spisu tablic</t>
  </si>
  <si>
    <t>Return to the list of tables</t>
  </si>
  <si>
    <t>Scenariusz wysoki</t>
  </si>
  <si>
    <t>High scenario</t>
  </si>
  <si>
    <t>TABL. 2. LUDNOŚĆ WEDŁUG PŁCI I PIĘCIOLETNICH GRUP WIEKU</t>
  </si>
  <si>
    <t>LUDNOŚĆ WEDŁUG PŁCI I PIĘCIOLETNICH GRUP WIEKU</t>
  </si>
  <si>
    <t>WYKRES 1.</t>
  </si>
  <si>
    <t>PIRAMIDA LUDNOŚCI</t>
  </si>
  <si>
    <t>POPULATION PYRAMID</t>
  </si>
  <si>
    <t>WYKRES 1. PIRAMIDA LUDNOŚCI</t>
  </si>
  <si>
    <t>CHART 1. POPULATION PYRAMID</t>
  </si>
  <si>
    <t>M</t>
  </si>
  <si>
    <t>K</t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</si>
  <si>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</si>
  <si>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</si>
  <si>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t>CHART 1.</t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</si>
  <si>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</si>
  <si>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</si>
  <si>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</si>
  <si>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</si>
  <si>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</si>
  <si>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Immigracja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</si>
  <si>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</si>
  <si>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małopolskie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</si>
</sst>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sz val="8"/>
      <name val="Calibri"/>
      <family val="2"/>
      <scheme val="minor"/>
    </font>
    <font>
      <i/>
      <sz val="12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i/>
      <sz val="10"/>
      <color theme="0"/>
      <name val="Arial"/>
      <family val="2"/>
      <charset val="238"/>
    </font>
    <font>
      <sz val="11"/>
      <color theme="0"/>
      <name val="Calibri"/>
      <family val="2"/>
      <scheme val="minor"/>
    </font>
    <font>
      <b/>
      <sz val="16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C3E5A9"/>
        <bgColor indexed="64"/>
      </patternFill>
    </fill>
    <fill>
      <patternFill patternType="solid">
        <fgColor rgb="FF87CB53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/>
      <right/>
      <top/>
      <bottom style="thick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2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19" xfId="24" applyNumberFormat="1" applyFont="1" applyFill="1" applyBorder="1" applyAlignment="1">
      <alignment horizontal="center" vertical="center" wrapText="1"/>
    </xf>
    <xf numFmtId="1" fontId="12" fillId="3" borderId="21" xfId="25" applyNumberFormat="1" applyFont="1" applyFill="1" applyBorder="1" applyAlignment="1">
      <alignment horizontal="center" vertical="top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4" fontId="2" fillId="3" borderId="27" xfId="24" applyNumberFormat="1" applyFill="1" applyBorder="1" applyAlignment="1">
      <alignment horizontal="center"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25" xfId="25" applyNumberFormat="1" applyFont="1" applyBorder="1" applyAlignment="1">
      <alignment vertical="center" wrapText="1"/>
    </xf>
    <xf numFmtId="4" fontId="3" fillId="3" borderId="26" xfId="24" applyNumberFormat="1" applyFont="1" applyFill="1" applyBorder="1" applyAlignment="1">
      <alignment horizontal="center"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4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2" fillId="3" borderId="13" xfId="26" applyFont="1" applyFill="1" applyBorder="1" applyAlignment="1">
      <alignment horizontal="left" vertical="top"/>
    </xf>
    <xf numFmtId="49" fontId="22" fillId="3" borderId="13" xfId="26" applyNumberFormat="1" applyFont="1" applyFill="1" applyBorder="1" applyAlignment="1">
      <alignment horizontal="left" vertical="top"/>
    </xf>
    <xf numFmtId="0" fontId="22" fillId="3" borderId="14" xfId="26" applyFont="1" applyFill="1" applyBorder="1" applyAlignment="1">
      <alignment horizontal="left" vertical="top"/>
    </xf>
    <xf numFmtId="0" fontId="22" fillId="3" borderId="33" xfId="26" applyFont="1" applyFill="1" applyBorder="1" applyAlignment="1">
      <alignment horizontal="left" vertical="top"/>
    </xf>
    <xf numFmtId="0" fontId="5" fillId="4" borderId="12" xfId="0" applyFont="1" applyFill="1" applyBorder="1" applyAlignment="1">
      <alignment horizontal="right"/>
    </xf>
    <xf numFmtId="3" fontId="10" fillId="4" borderId="7" xfId="0" applyNumberFormat="1" applyFont="1" applyFill="1" applyBorder="1"/>
    <xf numFmtId="3" fontId="10" fillId="4" borderId="5" xfId="0" applyNumberFormat="1" applyFont="1" applyFill="1" applyBorder="1"/>
    <xf numFmtId="0" fontId="23" fillId="4" borderId="12" xfId="26" applyFont="1" applyFill="1" applyBorder="1" applyAlignment="1">
      <alignment horizontal="left" vertical="top"/>
    </xf>
    <xf numFmtId="0" fontId="24" fillId="3" borderId="0" xfId="0" applyFont="1" applyFill="1"/>
    <xf numFmtId="0" fontId="26" fillId="3" borderId="0" xfId="0" applyFont="1" applyFill="1"/>
    <xf numFmtId="0" fontId="27" fillId="3" borderId="0" xfId="0" applyFont="1" applyFill="1"/>
    <xf numFmtId="0" fontId="14" fillId="3" borderId="0" xfId="0" applyFont="1" applyFill="1"/>
    <xf numFmtId="0" fontId="28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35" xfId="0" applyFont="1" applyFill="1" applyBorder="1"/>
    <xf numFmtId="0" fontId="8" fillId="3" borderId="0" xfId="0" applyFont="1" applyFill="1" applyBorder="1"/>
    <xf numFmtId="0" fontId="8" fillId="3" borderId="36" xfId="0" applyFont="1" applyFill="1" applyBorder="1"/>
    <xf numFmtId="0" fontId="11" fillId="3" borderId="0" xfId="0" applyFont="1" applyFill="1"/>
    <xf numFmtId="0" fontId="16" fillId="3" borderId="0" xfId="24" applyFont="1" applyFill="1" applyBorder="1" applyAlignment="1" applyProtection="1">
      <alignment vertical="top" wrapText="1"/>
      <protection locked="0"/>
    </xf>
    <xf numFmtId="0" fontId="2" fillId="3" borderId="0" xfId="25" applyFill="1"/>
    <xf numFmtId="0" fontId="2" fillId="3" borderId="0" xfId="25" applyFill="1" applyProtection="1"/>
    <xf numFmtId="0" fontId="2" fillId="3" borderId="0" xfId="25" applyFill="1" applyProtection="1">
      <protection hidden="1"/>
    </xf>
    <xf numFmtId="0" fontId="0" fillId="3" borderId="0" xfId="0" applyFill="1"/>
    <xf numFmtId="0" fontId="2" fillId="3" borderId="0" xfId="25" applyFill="1" applyBorder="1"/>
    <xf numFmtId="0" fontId="2" fillId="3" borderId="0" xfId="25" applyFont="1" applyFill="1" applyProtection="1"/>
    <xf numFmtId="0" fontId="2" fillId="3" borderId="0" xfId="25" applyFont="1" applyFill="1"/>
    <xf numFmtId="0" fontId="2" fillId="3" borderId="37" xfId="25" applyFill="1" applyBorder="1"/>
    <xf numFmtId="0" fontId="2" fillId="3" borderId="38" xfId="25" applyFill="1" applyBorder="1"/>
    <xf numFmtId="0" fontId="2" fillId="3" borderId="35" xfId="25" applyFont="1" applyFill="1" applyBorder="1" applyProtection="1">
      <protection locked="0"/>
    </xf>
    <xf numFmtId="0" fontId="2" fillId="3" borderId="0" xfId="25" applyFill="1" applyProtection="1">
      <protection locked="0" hidden="1"/>
    </xf>
    <xf numFmtId="0" fontId="32" fillId="3" borderId="0" xfId="25" applyFont="1" applyFill="1" applyProtection="1">
      <protection hidden="1"/>
    </xf>
    <xf numFmtId="0" fontId="32" fillId="3" borderId="0" xfId="25" applyFont="1" applyFill="1" applyProtection="1"/>
    <xf numFmtId="0" fontId="2" fillId="3" borderId="35" xfId="25" applyFill="1" applyBorder="1" applyProtection="1">
      <protection locked="0" hidden="1"/>
    </xf>
    <xf numFmtId="0" fontId="2" fillId="3" borderId="0" xfId="25" applyFill="1" applyBorder="1" applyProtection="1">
      <protection locked="0" hidden="1"/>
    </xf>
    <xf numFmtId="3" fontId="2" fillId="3" borderId="0" xfId="25" applyNumberFormat="1" applyFont="1" applyFill="1" applyProtection="1">
      <protection locked="0" hidden="1"/>
    </xf>
    <xf numFmtId="1" fontId="32" fillId="3" borderId="0" xfId="25" applyNumberFormat="1" applyFont="1" applyFill="1" applyProtection="1">
      <protection hidden="1"/>
    </xf>
    <xf numFmtId="165" fontId="32" fillId="3" borderId="0" xfId="25" applyNumberFormat="1" applyFont="1" applyFill="1" applyProtection="1">
      <protection hidden="1"/>
    </xf>
    <xf numFmtId="49" fontId="23" fillId="3" borderId="13" xfId="53" applyNumberFormat="1" applyFont="1" applyFill="1" applyBorder="1" applyAlignment="1" applyProtection="1">
      <alignment horizontal="right" vertical="center"/>
      <protection locked="0"/>
    </xf>
    <xf numFmtId="49" fontId="23" fillId="3" borderId="14" xfId="53" applyNumberFormat="1" applyFont="1" applyFill="1" applyBorder="1" applyAlignment="1" applyProtection="1">
      <alignment horizontal="right" vertical="center"/>
      <protection locked="0"/>
    </xf>
    <xf numFmtId="0" fontId="8" fillId="5" borderId="0" xfId="0" applyFont="1" applyFill="1" applyBorder="1"/>
    <xf numFmtId="0" fontId="13" fillId="5" borderId="0" xfId="24" applyFont="1" applyFill="1" applyBorder="1" applyAlignment="1">
      <alignment vertical="center" wrapText="1"/>
    </xf>
    <xf numFmtId="0" fontId="13" fillId="5" borderId="4" xfId="24" applyFont="1" applyFill="1" applyBorder="1" applyAlignment="1">
      <alignment vertical="center" wrapText="1"/>
    </xf>
    <xf numFmtId="0" fontId="13" fillId="5" borderId="0" xfId="24" applyFont="1" applyFill="1" applyAlignment="1">
      <alignment horizontal="left" vertical="center"/>
    </xf>
    <xf numFmtId="0" fontId="13" fillId="5" borderId="0" xfId="24" applyFont="1" applyFill="1" applyAlignment="1">
      <alignment vertical="center"/>
    </xf>
    <xf numFmtId="0" fontId="13" fillId="5" borderId="4" xfId="24" applyFont="1" applyFill="1" applyBorder="1" applyAlignment="1">
      <alignment vertical="center"/>
    </xf>
    <xf numFmtId="0" fontId="14" fillId="5" borderId="0" xfId="0" applyFont="1" applyFill="1" applyBorder="1" applyAlignment="1">
      <alignment vertical="center"/>
    </xf>
    <xf numFmtId="0" fontId="24" fillId="5" borderId="0" xfId="0" applyFont="1" applyFill="1" applyBorder="1" applyAlignment="1">
      <alignment vertical="center"/>
    </xf>
    <xf numFmtId="0" fontId="13" fillId="5" borderId="0" xfId="24" applyFont="1" applyFill="1" applyBorder="1" applyAlignment="1">
      <alignment horizontal="left" vertical="center"/>
    </xf>
    <xf numFmtId="0" fontId="13" fillId="5" borderId="4" xfId="24" applyFont="1" applyFill="1" applyBorder="1" applyAlignment="1">
      <alignment horizontal="left" vertical="center"/>
    </xf>
    <xf numFmtId="0" fontId="16" fillId="3" borderId="0" xfId="24" applyFont="1" applyFill="1" applyBorder="1" applyAlignment="1" applyProtection="1">
      <alignment vertical="center" wrapText="1"/>
      <protection locked="0"/>
    </xf>
    <xf numFmtId="0" fontId="13" fillId="3" borderId="0" xfId="24" applyFont="1" applyFill="1" applyBorder="1" applyAlignment="1">
      <alignment vertical="center" wrapText="1"/>
    </xf>
    <xf numFmtId="0" fontId="13" fillId="3" borderId="0" xfId="24" applyFont="1" applyFill="1" applyBorder="1" applyAlignment="1" applyProtection="1">
      <alignment vertical="center" wrapText="1"/>
      <protection locked="0"/>
    </xf>
    <xf numFmtId="0" fontId="32" fillId="3" borderId="0" xfId="25" applyFont="1" applyFill="1"/>
    <xf numFmtId="0" fontId="34" fillId="3" borderId="0" xfId="0" applyFont="1" applyFill="1"/>
    <xf numFmtId="0" fontId="30" fillId="3" borderId="0" xfId="0" applyFont="1" applyFill="1" applyBorder="1" applyAlignment="1" applyProtection="1">
      <alignment horizontal="left"/>
      <protection locked="0"/>
    </xf>
    <xf numFmtId="0" fontId="31" fillId="3" borderId="0" xfId="0" applyFont="1" applyFill="1" applyBorder="1" applyAlignment="1" applyProtection="1">
      <alignment horizontal="left"/>
      <protection locked="0"/>
    </xf>
    <xf numFmtId="0" fontId="2" fillId="3" borderId="4" xfId="25" applyFill="1" applyBorder="1"/>
    <xf numFmtId="0" fontId="11" fillId="0" borderId="0" xfId="0" applyFont="1" applyAlignment="1">
      <alignment vertical="center"/>
    </xf>
    <xf numFmtId="0" fontId="35" fillId="3" borderId="4" xfId="24" applyNumberFormat="1" applyFont="1" applyFill="1" applyBorder="1" applyAlignment="1" applyProtection="1">
      <alignment vertical="center" wrapText="1"/>
      <protection locked="0"/>
    </xf>
    <xf numFmtId="0" fontId="36" fillId="3" borderId="0" xfId="25" applyFont="1" applyFill="1" applyBorder="1" applyAlignment="1" applyProtection="1">
      <alignment horizontal="center"/>
      <protection locked="0" hidden="1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3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3" fillId="0" borderId="42" xfId="53" applyNumberFormat="1" applyFont="1" applyFill="1" applyBorder="1" applyAlignment="1" applyProtection="1">
      <alignment horizontal="right" vertical="center"/>
      <protection locked="0"/>
    </xf>
    <xf numFmtId="0" fontId="36" fillId="4" borderId="40" xfId="24" applyNumberFormat="1" applyFont="1" applyFill="1" applyBorder="1" applyAlignment="1" applyProtection="1">
      <alignment horizontal="center" vertical="center" wrapText="1"/>
      <protection locked="0"/>
    </xf>
    <xf numFmtId="0" fontId="3" fillId="5" borderId="0" xfId="24" applyFont="1" applyFill="1" applyBorder="1" applyAlignment="1" applyProtection="1">
      <alignment vertical="center" wrapText="1"/>
      <protection locked="0"/>
    </xf>
    <xf numFmtId="165" fontId="2" fillId="0" borderId="8" xfId="25" applyNumberFormat="1" applyFill="1" applyBorder="1" applyAlignment="1" applyProtection="1">
      <alignment vertical="center"/>
      <protection locked="0" hidden="1"/>
    </xf>
    <xf numFmtId="0" fontId="11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24" fillId="5" borderId="0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3" borderId="0" xfId="0" applyFont="1" applyFill="1" applyAlignment="1">
      <alignment horizontal="left"/>
    </xf>
    <xf numFmtId="0" fontId="31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5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5" borderId="0" xfId="24" applyFont="1" applyFill="1" applyAlignment="1">
      <alignment horizontal="center"/>
    </xf>
    <xf numFmtId="4" fontId="3" fillId="3" borderId="18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31" xfId="24" applyFont="1" applyFill="1" applyBorder="1" applyAlignment="1">
      <alignment horizontal="center" vertical="center" wrapText="1"/>
    </xf>
    <xf numFmtId="0" fontId="3" fillId="3" borderId="24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5" borderId="0" xfId="24" applyFont="1" applyFill="1" applyBorder="1" applyAlignment="1">
      <alignment horizontal="left" vertical="center" wrapText="1"/>
    </xf>
    <xf numFmtId="0" fontId="13" fillId="5" borderId="0" xfId="24" applyFont="1" applyFill="1" applyBorder="1" applyAlignment="1" applyProtection="1">
      <alignment horizontal="left" vertical="center" wrapText="1"/>
      <protection locked="0"/>
    </xf>
    <xf numFmtId="0" fontId="13" fillId="5" borderId="4" xfId="24" applyFont="1" applyFill="1" applyBorder="1" applyAlignment="1" applyProtection="1">
      <alignment horizontal="left" vertical="center" wrapText="1"/>
      <protection locked="0"/>
    </xf>
    <xf numFmtId="0" fontId="16" fillId="3" borderId="0" xfId="24" applyFont="1" applyFill="1" applyBorder="1" applyAlignment="1" applyProtection="1">
      <alignment horizontal="left" vertical="center" wrapText="1"/>
      <protection locked="0"/>
    </xf>
    <xf numFmtId="0" fontId="16" fillId="3" borderId="4" xfId="24" applyFont="1" applyFill="1" applyBorder="1" applyAlignment="1" applyProtection="1">
      <alignment horizontal="left" vertical="center" wrapText="1"/>
      <protection locked="0"/>
    </xf>
    <xf numFmtId="0" fontId="16" fillId="3" borderId="39" xfId="24" applyFont="1" applyFill="1" applyBorder="1" applyAlignment="1" applyProtection="1">
      <alignment horizontal="left" vertical="center" wrapText="1"/>
      <protection locked="0"/>
    </xf>
    <xf numFmtId="0" fontId="16" fillId="3" borderId="16" xfId="24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7" xfId="0" applyFont="1" applyFill="1" applyBorder="1" applyAlignment="1" applyProtection="1">
      <alignment horizontal="left" vertical="center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C3E5A9"/>
      <color rgb="FF87CB53"/>
      <color rgb="FF69BE28"/>
      <color rgb="FFA5D87E"/>
      <color rgb="FFCCEA89"/>
      <color rgb="FFCCEAED"/>
      <color rgb="FF66C2C9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-99999999999</c:v>
                </c:pt>
                <c:pt idx="1">
                  <c:v>-99999999999</c:v>
                </c:pt>
                <c:pt idx="2">
                  <c:v>-99999999999</c:v>
                </c:pt>
                <c:pt idx="3">
                  <c:v>-99999999999</c:v>
                </c:pt>
                <c:pt idx="4">
                  <c:v>-99999999999</c:v>
                </c:pt>
                <c:pt idx="5">
                  <c:v>-99999999999</c:v>
                </c:pt>
                <c:pt idx="6">
                  <c:v>-99999999999</c:v>
                </c:pt>
                <c:pt idx="7">
                  <c:v>-99999999999</c:v>
                </c:pt>
                <c:pt idx="8">
                  <c:v>-99999999999</c:v>
                </c:pt>
                <c:pt idx="9">
                  <c:v>-99999999999</c:v>
                </c:pt>
                <c:pt idx="10">
                  <c:v>-99999999999</c:v>
                </c:pt>
                <c:pt idx="11">
                  <c:v>-99999999999</c:v>
                </c:pt>
                <c:pt idx="12">
                  <c:v>-99999999999</c:v>
                </c:pt>
                <c:pt idx="13">
                  <c:v>-99999999999</c:v>
                </c:pt>
                <c:pt idx="14">
                  <c:v>-99999999999</c:v>
                </c:pt>
                <c:pt idx="15">
                  <c:v>-99999999999</c:v>
                </c:pt>
                <c:pt idx="16">
                  <c:v>-99999999999</c:v>
                </c:pt>
                <c:pt idx="17">
                  <c:v>-99999999999</c:v>
                </c:pt>
                <c:pt idx="18">
                  <c:v>-99999999999</c:v>
                </c:pt>
                <c:pt idx="19">
                  <c:v>-99999999999</c:v>
                </c:pt>
                <c:pt idx="20">
                  <c:v>-99999999999</c:v>
                </c:pt>
                <c:pt idx="21">
                  <c:v>-99999999999</c:v>
                </c:pt>
                <c:pt idx="22">
                  <c:v>-99999999999</c:v>
                </c:pt>
                <c:pt idx="23">
                  <c:v>-99999999999</c:v>
                </c:pt>
                <c:pt idx="24">
                  <c:v>-99999999999</c:v>
                </c:pt>
                <c:pt idx="25">
                  <c:v>-99999999999</c:v>
                </c:pt>
                <c:pt idx="26">
                  <c:v>-99999999999</c:v>
                </c:pt>
                <c:pt idx="27">
                  <c:v>-99999999999</c:v>
                </c:pt>
                <c:pt idx="28">
                  <c:v>-99999999999</c:v>
                </c:pt>
                <c:pt idx="29">
                  <c:v>-99999999999</c:v>
                </c:pt>
                <c:pt idx="30">
                  <c:v>-99999999999</c:v>
                </c:pt>
                <c:pt idx="31">
                  <c:v>-99999999999</c:v>
                </c:pt>
                <c:pt idx="32">
                  <c:v>-99999999999</c:v>
                </c:pt>
                <c:pt idx="33">
                  <c:v>-99999999999</c:v>
                </c:pt>
                <c:pt idx="34">
                  <c:v>-99999999999</c:v>
                </c:pt>
                <c:pt idx="35">
                  <c:v>-99999999999</c:v>
                </c:pt>
                <c:pt idx="36">
                  <c:v>-99999999999</c:v>
                </c:pt>
                <c:pt idx="37">
                  <c:v>-99999999999</c:v>
                </c:pt>
                <c:pt idx="38">
                  <c:v>-99999999999</c:v>
                </c:pt>
                <c:pt idx="39">
                  <c:v>-99999999999</c:v>
                </c:pt>
                <c:pt idx="40">
                  <c:v>-99999999999</c:v>
                </c:pt>
                <c:pt idx="41">
                  <c:v>-99999999999</c:v>
                </c:pt>
                <c:pt idx="42">
                  <c:v>-99999999999</c:v>
                </c:pt>
                <c:pt idx="43">
                  <c:v>-99999999999</c:v>
                </c:pt>
                <c:pt idx="44">
                  <c:v>-99999999999</c:v>
                </c:pt>
                <c:pt idx="45">
                  <c:v>-99999999999</c:v>
                </c:pt>
                <c:pt idx="46">
                  <c:v>-99999999999</c:v>
                </c:pt>
                <c:pt idx="47">
                  <c:v>-99999999999</c:v>
                </c:pt>
                <c:pt idx="48">
                  <c:v>-99999999999</c:v>
                </c:pt>
                <c:pt idx="49">
                  <c:v>-99999999999</c:v>
                </c:pt>
                <c:pt idx="50">
                  <c:v>-99999999999</c:v>
                </c:pt>
                <c:pt idx="51">
                  <c:v>-99999999999</c:v>
                </c:pt>
                <c:pt idx="52">
                  <c:v>-99999999999</c:v>
                </c:pt>
                <c:pt idx="53">
                  <c:v>-99999999999</c:v>
                </c:pt>
                <c:pt idx="54">
                  <c:v>-99999999999</c:v>
                </c:pt>
                <c:pt idx="55">
                  <c:v>-99999999999</c:v>
                </c:pt>
                <c:pt idx="56">
                  <c:v>-99999999999</c:v>
                </c:pt>
                <c:pt idx="57">
                  <c:v>-99999999999</c:v>
                </c:pt>
                <c:pt idx="58">
                  <c:v>-99999999999</c:v>
                </c:pt>
                <c:pt idx="59">
                  <c:v>-99999999999</c:v>
                </c:pt>
                <c:pt idx="60">
                  <c:v>-99999999999</c:v>
                </c:pt>
                <c:pt idx="61">
                  <c:v>-99999999999</c:v>
                </c:pt>
                <c:pt idx="62">
                  <c:v>-99999999999</c:v>
                </c:pt>
                <c:pt idx="63">
                  <c:v>-99999999999</c:v>
                </c:pt>
                <c:pt idx="64">
                  <c:v>-99999999999</c:v>
                </c:pt>
                <c:pt idx="65">
                  <c:v>-99999999999</c:v>
                </c:pt>
                <c:pt idx="66">
                  <c:v>-99999999999</c:v>
                </c:pt>
                <c:pt idx="67">
                  <c:v>-99999999999</c:v>
                </c:pt>
                <c:pt idx="68">
                  <c:v>-99999999999</c:v>
                </c:pt>
                <c:pt idx="69">
                  <c:v>-99999999999</c:v>
                </c:pt>
                <c:pt idx="70">
                  <c:v>-99999999999</c:v>
                </c:pt>
                <c:pt idx="71">
                  <c:v>-99999999999</c:v>
                </c:pt>
                <c:pt idx="72">
                  <c:v>-99999999999</c:v>
                </c:pt>
                <c:pt idx="73">
                  <c:v>-99999999999</c:v>
                </c:pt>
                <c:pt idx="74">
                  <c:v>-99999999999</c:v>
                </c:pt>
                <c:pt idx="75">
                  <c:v>-99999999999</c:v>
                </c:pt>
                <c:pt idx="76">
                  <c:v>-99999999999</c:v>
                </c:pt>
                <c:pt idx="77">
                  <c:v>-99999999999</c:v>
                </c:pt>
                <c:pt idx="78">
                  <c:v>-99999999999</c:v>
                </c:pt>
                <c:pt idx="79">
                  <c:v>-99999999999</c:v>
                </c:pt>
                <c:pt idx="80">
                  <c:v>-99999999999</c:v>
                </c:pt>
                <c:pt idx="81">
                  <c:v>-99999999999</c:v>
                </c:pt>
                <c:pt idx="82">
                  <c:v>-99999999999</c:v>
                </c:pt>
                <c:pt idx="83">
                  <c:v>-99999999999</c:v>
                </c:pt>
                <c:pt idx="84">
                  <c:v>-99999999999</c:v>
                </c:pt>
                <c:pt idx="85">
                  <c:v>-99999999999</c:v>
                </c:pt>
                <c:pt idx="86">
                  <c:v>-99999999999</c:v>
                </c:pt>
                <c:pt idx="87">
                  <c:v>-99999999999</c:v>
                </c:pt>
                <c:pt idx="88">
                  <c:v>-99999999999</c:v>
                </c:pt>
                <c:pt idx="89">
                  <c:v>-99999999999</c:v>
                </c:pt>
                <c:pt idx="90">
                  <c:v>-99999999999</c:v>
                </c:pt>
                <c:pt idx="91">
                  <c:v>-99999999999</c:v>
                </c:pt>
                <c:pt idx="92">
                  <c:v>-99999999999</c:v>
                </c:pt>
                <c:pt idx="93">
                  <c:v>-99999999999</c:v>
                </c:pt>
                <c:pt idx="94">
                  <c:v>-99999999999</c:v>
                </c:pt>
                <c:pt idx="95">
                  <c:v>-99999999999</c:v>
                </c:pt>
                <c:pt idx="96">
                  <c:v>-99999999999</c:v>
                </c:pt>
                <c:pt idx="97">
                  <c:v>-99999999999</c:v>
                </c:pt>
                <c:pt idx="98">
                  <c:v>-99999999999</c:v>
                </c:pt>
                <c:pt idx="99">
                  <c:v>-99999999999</c:v>
                </c:pt>
                <c:pt idx="100">
                  <c:v>-99999999999</c:v>
                </c:pt>
                <c:pt idx="101">
                  <c:v>-99999999999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99999999999</c:v>
                </c:pt>
                <c:pt idx="1">
                  <c:v>99999999999</c:v>
                </c:pt>
                <c:pt idx="2">
                  <c:v>99999999999</c:v>
                </c:pt>
                <c:pt idx="3">
                  <c:v>99999999999</c:v>
                </c:pt>
                <c:pt idx="4">
                  <c:v>99999999999</c:v>
                </c:pt>
                <c:pt idx="5">
                  <c:v>99999999999</c:v>
                </c:pt>
                <c:pt idx="6">
                  <c:v>99999999999</c:v>
                </c:pt>
                <c:pt idx="7">
                  <c:v>99999999999</c:v>
                </c:pt>
                <c:pt idx="8">
                  <c:v>99999999999</c:v>
                </c:pt>
                <c:pt idx="9">
                  <c:v>99999999999</c:v>
                </c:pt>
                <c:pt idx="10">
                  <c:v>99999999999</c:v>
                </c:pt>
                <c:pt idx="11">
                  <c:v>99999999999</c:v>
                </c:pt>
                <c:pt idx="12">
                  <c:v>99999999999</c:v>
                </c:pt>
                <c:pt idx="13">
                  <c:v>99999999999</c:v>
                </c:pt>
                <c:pt idx="14">
                  <c:v>99999999999</c:v>
                </c:pt>
                <c:pt idx="15">
                  <c:v>99999999999</c:v>
                </c:pt>
                <c:pt idx="16">
                  <c:v>99999999999</c:v>
                </c:pt>
                <c:pt idx="17">
                  <c:v>99999999999</c:v>
                </c:pt>
                <c:pt idx="18">
                  <c:v>99999999999</c:v>
                </c:pt>
                <c:pt idx="19">
                  <c:v>99999999999</c:v>
                </c:pt>
                <c:pt idx="20">
                  <c:v>99999999999</c:v>
                </c:pt>
                <c:pt idx="21">
                  <c:v>99999999999</c:v>
                </c:pt>
                <c:pt idx="22">
                  <c:v>99999999999</c:v>
                </c:pt>
                <c:pt idx="23">
                  <c:v>99999999999</c:v>
                </c:pt>
                <c:pt idx="24">
                  <c:v>99999999999</c:v>
                </c:pt>
                <c:pt idx="25">
                  <c:v>99999999999</c:v>
                </c:pt>
                <c:pt idx="26">
                  <c:v>99999999999</c:v>
                </c:pt>
                <c:pt idx="27">
                  <c:v>99999999999</c:v>
                </c:pt>
                <c:pt idx="28">
                  <c:v>99999999999</c:v>
                </c:pt>
                <c:pt idx="29">
                  <c:v>99999999999</c:v>
                </c:pt>
                <c:pt idx="30">
                  <c:v>99999999999</c:v>
                </c:pt>
                <c:pt idx="31">
                  <c:v>99999999999</c:v>
                </c:pt>
                <c:pt idx="32">
                  <c:v>99999999999</c:v>
                </c:pt>
                <c:pt idx="33">
                  <c:v>99999999999</c:v>
                </c:pt>
                <c:pt idx="34">
                  <c:v>99999999999</c:v>
                </c:pt>
                <c:pt idx="35">
                  <c:v>99999999999</c:v>
                </c:pt>
                <c:pt idx="36">
                  <c:v>99999999999</c:v>
                </c:pt>
                <c:pt idx="37">
                  <c:v>99999999999</c:v>
                </c:pt>
                <c:pt idx="38">
                  <c:v>99999999999</c:v>
                </c:pt>
                <c:pt idx="39">
                  <c:v>99999999999</c:v>
                </c:pt>
                <c:pt idx="40">
                  <c:v>99999999999</c:v>
                </c:pt>
                <c:pt idx="41">
                  <c:v>99999999999</c:v>
                </c:pt>
                <c:pt idx="42">
                  <c:v>99999999999</c:v>
                </c:pt>
                <c:pt idx="43">
                  <c:v>99999999999</c:v>
                </c:pt>
                <c:pt idx="44">
                  <c:v>99999999999</c:v>
                </c:pt>
                <c:pt idx="45">
                  <c:v>99999999999</c:v>
                </c:pt>
                <c:pt idx="46">
                  <c:v>99999999999</c:v>
                </c:pt>
                <c:pt idx="47">
                  <c:v>99999999999</c:v>
                </c:pt>
                <c:pt idx="48">
                  <c:v>99999999999</c:v>
                </c:pt>
                <c:pt idx="49">
                  <c:v>99999999999</c:v>
                </c:pt>
                <c:pt idx="50">
                  <c:v>99999999999</c:v>
                </c:pt>
                <c:pt idx="51">
                  <c:v>99999999999</c:v>
                </c:pt>
                <c:pt idx="52">
                  <c:v>99999999999</c:v>
                </c:pt>
                <c:pt idx="53">
                  <c:v>99999999999</c:v>
                </c:pt>
                <c:pt idx="54">
                  <c:v>99999999999</c:v>
                </c:pt>
                <c:pt idx="55">
                  <c:v>99999999999</c:v>
                </c:pt>
                <c:pt idx="56">
                  <c:v>99999999999</c:v>
                </c:pt>
                <c:pt idx="57">
                  <c:v>99999999999</c:v>
                </c:pt>
                <c:pt idx="58">
                  <c:v>99999999999</c:v>
                </c:pt>
                <c:pt idx="59">
                  <c:v>99999999999</c:v>
                </c:pt>
                <c:pt idx="60">
                  <c:v>99999999999</c:v>
                </c:pt>
                <c:pt idx="61">
                  <c:v>99999999999</c:v>
                </c:pt>
                <c:pt idx="62">
                  <c:v>99999999999</c:v>
                </c:pt>
                <c:pt idx="63">
                  <c:v>99999999999</c:v>
                </c:pt>
                <c:pt idx="64">
                  <c:v>99999999999</c:v>
                </c:pt>
                <c:pt idx="65">
                  <c:v>99999999999</c:v>
                </c:pt>
                <c:pt idx="66">
                  <c:v>99999999999</c:v>
                </c:pt>
                <c:pt idx="67">
                  <c:v>99999999999</c:v>
                </c:pt>
                <c:pt idx="68">
                  <c:v>99999999999</c:v>
                </c:pt>
                <c:pt idx="69">
                  <c:v>99999999999</c:v>
                </c:pt>
                <c:pt idx="70">
                  <c:v>99999999999</c:v>
                </c:pt>
                <c:pt idx="71">
                  <c:v>99999999999</c:v>
                </c:pt>
                <c:pt idx="72">
                  <c:v>99999999999</c:v>
                </c:pt>
                <c:pt idx="73">
                  <c:v>99999999999</c:v>
                </c:pt>
                <c:pt idx="74">
                  <c:v>99999999999</c:v>
                </c:pt>
                <c:pt idx="75">
                  <c:v>99999999999</c:v>
                </c:pt>
                <c:pt idx="76">
                  <c:v>99999999999</c:v>
                </c:pt>
                <c:pt idx="77">
                  <c:v>99999999999</c:v>
                </c:pt>
                <c:pt idx="78">
                  <c:v>99999999999</c:v>
                </c:pt>
                <c:pt idx="79">
                  <c:v>99999999999</c:v>
                </c:pt>
                <c:pt idx="80">
                  <c:v>99999999999</c:v>
                </c:pt>
                <c:pt idx="81">
                  <c:v>99999999999</c:v>
                </c:pt>
                <c:pt idx="82">
                  <c:v>99999999999</c:v>
                </c:pt>
                <c:pt idx="83">
                  <c:v>99999999999</c:v>
                </c:pt>
                <c:pt idx="84">
                  <c:v>99999999999</c:v>
                </c:pt>
                <c:pt idx="85">
                  <c:v>99999999999</c:v>
                </c:pt>
                <c:pt idx="86">
                  <c:v>99999999999</c:v>
                </c:pt>
                <c:pt idx="87">
                  <c:v>99999999999</c:v>
                </c:pt>
                <c:pt idx="88">
                  <c:v>99999999999</c:v>
                </c:pt>
                <c:pt idx="89">
                  <c:v>99999999999</c:v>
                </c:pt>
                <c:pt idx="90">
                  <c:v>99999999999</c:v>
                </c:pt>
                <c:pt idx="91">
                  <c:v>99999999999</c:v>
                </c:pt>
                <c:pt idx="92">
                  <c:v>99999999999</c:v>
                </c:pt>
                <c:pt idx="93">
                  <c:v>99999999999</c:v>
                </c:pt>
                <c:pt idx="94">
                  <c:v>99999999999</c:v>
                </c:pt>
                <c:pt idx="95">
                  <c:v>99999999999</c:v>
                </c:pt>
                <c:pt idx="96">
                  <c:v>99999999999</c:v>
                </c:pt>
                <c:pt idx="97">
                  <c:v>99999999999</c:v>
                </c:pt>
                <c:pt idx="98">
                  <c:v>99999999999</c:v>
                </c:pt>
                <c:pt idx="99">
                  <c:v>99999999999</c:v>
                </c:pt>
                <c:pt idx="100">
                  <c:v>99999999999</c:v>
                </c:pt>
                <c:pt idx="101">
                  <c:v>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36296384"/>
        <c:axId val="1236297472"/>
      </c:barChart>
      <c:catAx>
        <c:axId val="1236296384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629747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23629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6296384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10241" name="Spinner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0.7827</cdr:x>
      <cdr:y>0.11412</cdr:y>
    </cdr:from>
    <cdr:to>
      <cdr:x>0.9765</cdr:x>
      <cdr:y>0.20332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634666" y="564796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0.24213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616878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0.33739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95545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0" t="s">
        <v>71</v>
      </c>
    </row>
    <row r="3" spans="1:18" ht="15" x14ac:dyDescent="0.2">
      <c r="B3" s="61" t="s">
        <v>72</v>
      </c>
    </row>
    <row r="4" spans="1:18" ht="6" customHeight="1" x14ac:dyDescent="0.2">
      <c r="B4" s="61"/>
    </row>
    <row r="5" spans="1:18" ht="15" x14ac:dyDescent="0.25">
      <c r="B5" s="69" t="s">
        <v>84</v>
      </c>
    </row>
    <row r="6" spans="1:18" x14ac:dyDescent="0.2">
      <c r="B6" s="64" t="s">
        <v>85</v>
      </c>
    </row>
    <row r="7" spans="1:18" ht="18.75" x14ac:dyDescent="0.3">
      <c r="B7" s="62"/>
    </row>
    <row r="8" spans="1:18" ht="15.75" x14ac:dyDescent="0.25">
      <c r="B8" s="63" t="s">
        <v>73</v>
      </c>
    </row>
    <row r="9" spans="1:18" x14ac:dyDescent="0.2">
      <c r="B9" s="64" t="s">
        <v>74</v>
      </c>
    </row>
    <row r="10" spans="1:18" ht="16.5" thickBot="1" x14ac:dyDescent="0.25">
      <c r="B10" s="65"/>
    </row>
    <row r="11" spans="1:18" ht="15" thickTop="1" x14ac:dyDescent="0.2"/>
    <row r="12" spans="1:18" ht="15" x14ac:dyDescent="0.25">
      <c r="B12" s="7" t="s">
        <v>75</v>
      </c>
      <c r="C12" s="66"/>
      <c r="D12" s="119" t="s">
        <v>76</v>
      </c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</row>
    <row r="13" spans="1:18" x14ac:dyDescent="0.2">
      <c r="C13" s="66"/>
      <c r="D13" s="120" t="s">
        <v>42</v>
      </c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</row>
    <row r="14" spans="1:18" x14ac:dyDescent="0.2">
      <c r="C14" s="66"/>
    </row>
    <row r="15" spans="1:18" ht="15" x14ac:dyDescent="0.25">
      <c r="B15" s="7" t="s">
        <v>77</v>
      </c>
      <c r="C15" s="66"/>
      <c r="D15" s="119" t="s">
        <v>87</v>
      </c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</row>
    <row r="16" spans="1:18" x14ac:dyDescent="0.2">
      <c r="C16" s="66"/>
      <c r="D16" s="120" t="s">
        <v>66</v>
      </c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</row>
    <row r="17" spans="2:18" x14ac:dyDescent="0.2">
      <c r="C17" s="66"/>
    </row>
    <row r="18" spans="2:18" ht="15" x14ac:dyDescent="0.25">
      <c r="B18" s="7" t="s">
        <v>78</v>
      </c>
      <c r="C18" s="66"/>
      <c r="D18" s="119" t="s">
        <v>79</v>
      </c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</row>
    <row r="19" spans="2:18" x14ac:dyDescent="0.2">
      <c r="C19" s="66"/>
      <c r="D19" s="120" t="s">
        <v>65</v>
      </c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</row>
    <row r="20" spans="2:18" x14ac:dyDescent="0.2">
      <c r="C20" s="66"/>
    </row>
    <row r="21" spans="2:18" ht="15" x14ac:dyDescent="0.25">
      <c r="B21" s="7" t="s">
        <v>80</v>
      </c>
      <c r="C21" s="66"/>
      <c r="D21" s="119" t="s">
        <v>81</v>
      </c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</row>
    <row r="22" spans="2:18" ht="15" customHeight="1" x14ac:dyDescent="0.2">
      <c r="C22" s="66"/>
      <c r="D22" s="120" t="s">
        <v>54</v>
      </c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</row>
    <row r="23" spans="2:18" x14ac:dyDescent="0.2">
      <c r="B23" s="68"/>
      <c r="K23" s="7" t="s">
        <v>38</v>
      </c>
    </row>
    <row r="24" spans="2:18" ht="15" x14ac:dyDescent="0.25">
      <c r="B24" s="7" t="s">
        <v>88</v>
      </c>
      <c r="C24" s="66"/>
      <c r="D24" s="119" t="s">
        <v>89</v>
      </c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</row>
    <row r="25" spans="2:18" x14ac:dyDescent="0.2">
      <c r="B25" s="64" t="s">
        <v>97</v>
      </c>
      <c r="C25" s="66"/>
      <c r="D25" s="120" t="s">
        <v>90</v>
      </c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  <hyperlink ref="D24:R25" location="'Wykres 1'!A1" display="PIRAMIDA LUDNOŚCI"/>
    <hyperlink ref="D24:R24" location="'Wykres 1 Chart 1'!A1" display="PIRAMIDA LUDNOŚCI"/>
    <hyperlink ref="D25:R25" location="'Wykres 1 Chart 1'!A1" display="POPULATION PYRAMID"/>
    <hyperlink ref="B24" location="'Wykres 1 Chart 1'!A1" display="WYKRES 1."/>
    <hyperlink ref="B25" location="'Wykres 1 Chart 1'!A1" display="CHART 1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313"/>
  <sheetViews>
    <sheetView zoomScaleNormal="100"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67" customFormat="1" ht="22.9" customHeight="1" x14ac:dyDescent="0.2">
      <c r="A1" s="121"/>
      <c r="B1" s="121"/>
      <c r="C1" s="97" t="s">
        <v>43</v>
      </c>
      <c r="D1" s="98"/>
      <c r="E1" s="98"/>
      <c r="F1" s="98"/>
      <c r="G1" s="98"/>
      <c r="H1" s="98"/>
      <c r="I1" s="98"/>
      <c r="J1" s="98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100"/>
    </row>
    <row r="2" spans="1:41" ht="12" customHeight="1" x14ac:dyDescent="0.2">
      <c r="A2" s="124" t="s">
        <v>82</v>
      </c>
      <c r="B2" s="124"/>
      <c r="D2" s="26" t="s">
        <v>40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125" t="s">
        <v>83</v>
      </c>
      <c r="B3" s="125"/>
      <c r="D3" s="22" t="s">
        <v>42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41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48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105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15" t="s">
        <v>45</v>
      </c>
      <c r="C7" s="15" t="s">
        <v>39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122" t="s">
        <v>46</v>
      </c>
      <c r="B8" s="56" t="s">
        <v>47</v>
      </c>
      <c r="C8" s="57" t="n">
        <v>3429014.0</v>
      </c>
      <c r="D8" s="57" t="n">
        <v>3430361.0</v>
      </c>
      <c r="E8" s="57" t="n">
        <v>3432698.0</v>
      </c>
      <c r="F8" s="57" t="n">
        <v>3435619.0</v>
      </c>
      <c r="G8" s="57" t="n">
        <v>3439093.0</v>
      </c>
      <c r="H8" s="57" t="n">
        <v>3456350.0</v>
      </c>
      <c r="I8" s="57" t="n">
        <v>3478788.0</v>
      </c>
      <c r="J8" s="57" t="n">
        <v>3490538.0</v>
      </c>
      <c r="K8" s="57" t="n">
        <v>3496654.0</v>
      </c>
      <c r="L8" s="57" t="n">
        <v>3500645.0</v>
      </c>
      <c r="M8" s="57" t="n">
        <v>3503222.0</v>
      </c>
      <c r="N8" s="57" t="n">
        <v>3504826.0</v>
      </c>
      <c r="O8" s="57" t="n">
        <v>3505452.0</v>
      </c>
      <c r="P8" s="57" t="n">
        <v>3505638.0</v>
      </c>
      <c r="Q8" s="57" t="n">
        <v>3505601.0</v>
      </c>
      <c r="R8" s="57" t="n">
        <v>3505303.0</v>
      </c>
      <c r="S8" s="57" t="n">
        <v>3504832.0</v>
      </c>
      <c r="T8" s="57" t="n">
        <v>3504305.0</v>
      </c>
      <c r="U8" s="57" t="n">
        <v>3503693.0</v>
      </c>
      <c r="V8" s="57" t="n">
        <v>3503292.0</v>
      </c>
      <c r="W8" s="57" t="n">
        <v>3502945.0</v>
      </c>
      <c r="X8" s="57" t="n">
        <v>3502554.0</v>
      </c>
      <c r="Y8" s="57" t="n">
        <v>3502396.0</v>
      </c>
      <c r="Z8" s="57" t="n">
        <v>3501931.0</v>
      </c>
      <c r="AA8" s="57" t="n">
        <v>3501425.0</v>
      </c>
      <c r="AB8" s="57" t="n">
        <v>3501031.0</v>
      </c>
      <c r="AC8" s="57" t="n">
        <v>3500425.0</v>
      </c>
      <c r="AD8" s="57" t="n">
        <v>3499641.0</v>
      </c>
      <c r="AE8" s="57" t="n">
        <v>3498662.0</v>
      </c>
      <c r="AF8" s="57" t="n">
        <v>3497419.0</v>
      </c>
      <c r="AG8" s="57" t="n">
        <v>3495862.0</v>
      </c>
      <c r="AH8" s="57" t="n">
        <v>3494207.0</v>
      </c>
      <c r="AI8" s="57" t="n">
        <v>3492184.0</v>
      </c>
      <c r="AJ8" s="57" t="n">
        <v>3490127.0</v>
      </c>
      <c r="AK8" s="57" t="n">
        <v>3487547.0</v>
      </c>
      <c r="AL8" s="57" t="n">
        <v>3484688.0</v>
      </c>
      <c r="AM8" s="57" t="n">
        <v>3481818.0</v>
      </c>
      <c r="AN8" s="57" t="n">
        <v>3478783.0</v>
      </c>
      <c r="AO8" s="57" t="n">
        <v>3475560.0</v>
      </c>
    </row>
    <row r="9" spans="1:41" x14ac:dyDescent="0.2">
      <c r="A9" s="122"/>
      <c r="B9" s="9">
        <v>0</v>
      </c>
      <c r="C9" s="3" t="n">
        <v>30661.0</v>
      </c>
      <c r="D9" s="3" t="n">
        <v>32193.0</v>
      </c>
      <c r="E9" s="3" t="n">
        <v>32754.0</v>
      </c>
      <c r="F9" s="3" t="n">
        <v>33157.0</v>
      </c>
      <c r="G9" s="3" t="n">
        <v>33422.0</v>
      </c>
      <c r="H9" s="3" t="n">
        <v>33649.0</v>
      </c>
      <c r="I9" s="3" t="n">
        <v>33918.0</v>
      </c>
      <c r="J9" s="3" t="n">
        <v>34088.0</v>
      </c>
      <c r="K9" s="3" t="n">
        <v>34045.0</v>
      </c>
      <c r="L9" s="3" t="n">
        <v>33939.0</v>
      </c>
      <c r="M9" s="3" t="n">
        <v>33713.0</v>
      </c>
      <c r="N9" s="3" t="n">
        <v>33460.0</v>
      </c>
      <c r="O9" s="3" t="n">
        <v>33222.0</v>
      </c>
      <c r="P9" s="3" t="n">
        <v>33068.0</v>
      </c>
      <c r="Q9" s="3" t="n">
        <v>33011.0</v>
      </c>
      <c r="R9" s="3" t="n">
        <v>33073.0</v>
      </c>
      <c r="S9" s="3" t="n">
        <v>33206.0</v>
      </c>
      <c r="T9" s="3" t="n">
        <v>33457.0</v>
      </c>
      <c r="U9" s="3" t="n">
        <v>33727.0</v>
      </c>
      <c r="V9" s="3" t="n">
        <v>34046.0</v>
      </c>
      <c r="W9" s="3" t="n">
        <v>34350.0</v>
      </c>
      <c r="X9" s="3" t="n">
        <v>34624.0</v>
      </c>
      <c r="Y9" s="3" t="n">
        <v>34872.0</v>
      </c>
      <c r="Z9" s="3" t="n">
        <v>35056.0</v>
      </c>
      <c r="AA9" s="3" t="n">
        <v>35192.0</v>
      </c>
      <c r="AB9" s="3" t="n">
        <v>35268.0</v>
      </c>
      <c r="AC9" s="3" t="n">
        <v>35277.0</v>
      </c>
      <c r="AD9" s="3" t="n">
        <v>35245.0</v>
      </c>
      <c r="AE9" s="3" t="n">
        <v>35107.0</v>
      </c>
      <c r="AF9" s="3" t="n">
        <v>34969.0</v>
      </c>
      <c r="AG9" s="3" t="n">
        <v>34778.0</v>
      </c>
      <c r="AH9" s="3" t="n">
        <v>34542.0</v>
      </c>
      <c r="AI9" s="3" t="n">
        <v>34301.0</v>
      </c>
      <c r="AJ9" s="3" t="n">
        <v>34089.0</v>
      </c>
      <c r="AK9" s="3" t="n">
        <v>33883.0</v>
      </c>
      <c r="AL9" s="3" t="n">
        <v>33700.0</v>
      </c>
      <c r="AM9" s="3" t="n">
        <v>33555.0</v>
      </c>
      <c r="AN9" s="3" t="n">
        <v>33484.0</v>
      </c>
      <c r="AO9" s="3" t="n">
        <v>33423.0</v>
      </c>
    </row>
    <row r="10" spans="1:41" x14ac:dyDescent="0.2">
      <c r="A10" s="122"/>
      <c r="B10" s="9">
        <v>1</v>
      </c>
      <c r="C10" s="3" t="n">
        <v>33694.0</v>
      </c>
      <c r="D10" s="3" t="n">
        <v>30873.0</v>
      </c>
      <c r="E10" s="3" t="n">
        <v>32423.0</v>
      </c>
      <c r="F10" s="3" t="n">
        <v>32994.0</v>
      </c>
      <c r="G10" s="3" t="n">
        <v>33419.0</v>
      </c>
      <c r="H10" s="3" t="n">
        <v>33904.0</v>
      </c>
      <c r="I10" s="3" t="n">
        <v>34221.0</v>
      </c>
      <c r="J10" s="3" t="n">
        <v>34347.0</v>
      </c>
      <c r="K10" s="3" t="n">
        <v>34440.0</v>
      </c>
      <c r="L10" s="3" t="n">
        <v>34390.0</v>
      </c>
      <c r="M10" s="3" t="n">
        <v>34281.0</v>
      </c>
      <c r="N10" s="3" t="n">
        <v>34057.0</v>
      </c>
      <c r="O10" s="3" t="n">
        <v>33804.0</v>
      </c>
      <c r="P10" s="3" t="n">
        <v>33578.0</v>
      </c>
      <c r="Q10" s="3" t="n">
        <v>33434.0</v>
      </c>
      <c r="R10" s="3" t="n">
        <v>33392.0</v>
      </c>
      <c r="S10" s="3" t="n">
        <v>33465.0</v>
      </c>
      <c r="T10" s="3" t="n">
        <v>33605.0</v>
      </c>
      <c r="U10" s="3" t="n">
        <v>33866.0</v>
      </c>
      <c r="V10" s="3" t="n">
        <v>34139.0</v>
      </c>
      <c r="W10" s="3" t="n">
        <v>34458.0</v>
      </c>
      <c r="X10" s="3" t="n">
        <v>34761.0</v>
      </c>
      <c r="Y10" s="3" t="n">
        <v>35038.0</v>
      </c>
      <c r="Z10" s="3" t="n">
        <v>35288.0</v>
      </c>
      <c r="AA10" s="3" t="n">
        <v>35471.0</v>
      </c>
      <c r="AB10" s="3" t="n">
        <v>35605.0</v>
      </c>
      <c r="AC10" s="3" t="n">
        <v>35679.0</v>
      </c>
      <c r="AD10" s="3" t="n">
        <v>35688.0</v>
      </c>
      <c r="AE10" s="3" t="n">
        <v>35651.0</v>
      </c>
      <c r="AF10" s="3" t="n">
        <v>35514.0</v>
      </c>
      <c r="AG10" s="3" t="n">
        <v>35379.0</v>
      </c>
      <c r="AH10" s="3" t="n">
        <v>35192.0</v>
      </c>
      <c r="AI10" s="3" t="n">
        <v>34952.0</v>
      </c>
      <c r="AJ10" s="3" t="n">
        <v>34710.0</v>
      </c>
      <c r="AK10" s="3" t="n">
        <v>34500.0</v>
      </c>
      <c r="AL10" s="3" t="n">
        <v>34296.0</v>
      </c>
      <c r="AM10" s="3" t="n">
        <v>34115.0</v>
      </c>
      <c r="AN10" s="3" t="n">
        <v>33974.0</v>
      </c>
      <c r="AO10" s="3" t="n">
        <v>33906.0</v>
      </c>
    </row>
    <row r="11" spans="1:41" x14ac:dyDescent="0.2">
      <c r="A11" s="122"/>
      <c r="B11" s="9">
        <v>2</v>
      </c>
      <c r="C11" s="3" t="n">
        <v>35106.0</v>
      </c>
      <c r="D11" s="3" t="n">
        <v>33876.0</v>
      </c>
      <c r="E11" s="3" t="n">
        <v>31066.0</v>
      </c>
      <c r="F11" s="3" t="n">
        <v>32638.0</v>
      </c>
      <c r="G11" s="3" t="n">
        <v>33225.0</v>
      </c>
      <c r="H11" s="3" t="n">
        <v>33960.0</v>
      </c>
      <c r="I11" s="3" t="n">
        <v>34565.0</v>
      </c>
      <c r="J11" s="3" t="n">
        <v>34658.0</v>
      </c>
      <c r="K11" s="3" t="n">
        <v>34679.0</v>
      </c>
      <c r="L11" s="3" t="n">
        <v>34748.0</v>
      </c>
      <c r="M11" s="3" t="n">
        <v>34688.0</v>
      </c>
      <c r="N11" s="3" t="n">
        <v>34577.0</v>
      </c>
      <c r="O11" s="3" t="n">
        <v>34354.0</v>
      </c>
      <c r="P11" s="3" t="n">
        <v>34107.0</v>
      </c>
      <c r="Q11" s="3" t="n">
        <v>33889.0</v>
      </c>
      <c r="R11" s="3" t="n">
        <v>33751.0</v>
      </c>
      <c r="S11" s="3" t="n">
        <v>33716.0</v>
      </c>
      <c r="T11" s="3" t="n">
        <v>33799.0</v>
      </c>
      <c r="U11" s="3" t="n">
        <v>33944.0</v>
      </c>
      <c r="V11" s="3" t="n">
        <v>34208.0</v>
      </c>
      <c r="W11" s="3" t="n">
        <v>34487.0</v>
      </c>
      <c r="X11" s="3" t="n">
        <v>34808.0</v>
      </c>
      <c r="Y11" s="3" t="n">
        <v>35108.0</v>
      </c>
      <c r="Z11" s="3" t="n">
        <v>35390.0</v>
      </c>
      <c r="AA11" s="3" t="n">
        <v>35638.0</v>
      </c>
      <c r="AB11" s="3" t="n">
        <v>35821.0</v>
      </c>
      <c r="AC11" s="3" t="n">
        <v>35960.0</v>
      </c>
      <c r="AD11" s="3" t="n">
        <v>36036.0</v>
      </c>
      <c r="AE11" s="3" t="n">
        <v>36046.0</v>
      </c>
      <c r="AF11" s="3" t="n">
        <v>36012.0</v>
      </c>
      <c r="AG11" s="3" t="n">
        <v>35873.0</v>
      </c>
      <c r="AH11" s="3" t="n">
        <v>35741.0</v>
      </c>
      <c r="AI11" s="3" t="n">
        <v>35551.0</v>
      </c>
      <c r="AJ11" s="3" t="n">
        <v>35308.0</v>
      </c>
      <c r="AK11" s="3" t="n">
        <v>35064.0</v>
      </c>
      <c r="AL11" s="3" t="n">
        <v>34854.0</v>
      </c>
      <c r="AM11" s="3" t="n">
        <v>34651.0</v>
      </c>
      <c r="AN11" s="3" t="n">
        <v>34470.0</v>
      </c>
      <c r="AO11" s="3" t="n">
        <v>34331.0</v>
      </c>
    </row>
    <row r="12" spans="1:41" x14ac:dyDescent="0.2">
      <c r="A12" s="122"/>
      <c r="B12" s="9">
        <v>3</v>
      </c>
      <c r="C12" s="3" t="n">
        <v>37416.0</v>
      </c>
      <c r="D12" s="3" t="n">
        <v>35301.0</v>
      </c>
      <c r="E12" s="3" t="n">
        <v>34088.0</v>
      </c>
      <c r="F12" s="3" t="n">
        <v>31284.0</v>
      </c>
      <c r="G12" s="3" t="n">
        <v>32865.0</v>
      </c>
      <c r="H12" s="3" t="n">
        <v>33765.0</v>
      </c>
      <c r="I12" s="3" t="n">
        <v>34636.0</v>
      </c>
      <c r="J12" s="3" t="n">
        <v>35011.0</v>
      </c>
      <c r="K12" s="3" t="n">
        <v>34986.0</v>
      </c>
      <c r="L12" s="3" t="n">
        <v>34976.0</v>
      </c>
      <c r="M12" s="3" t="n">
        <v>35037.0</v>
      </c>
      <c r="N12" s="3" t="n">
        <v>34967.0</v>
      </c>
      <c r="O12" s="3" t="n">
        <v>34856.0</v>
      </c>
      <c r="P12" s="3" t="n">
        <v>34639.0</v>
      </c>
      <c r="Q12" s="3" t="n">
        <v>34401.0</v>
      </c>
      <c r="R12" s="3" t="n">
        <v>34196.0</v>
      </c>
      <c r="S12" s="3" t="n">
        <v>34066.0</v>
      </c>
      <c r="T12" s="3" t="n">
        <v>34035.0</v>
      </c>
      <c r="U12" s="3" t="n">
        <v>34122.0</v>
      </c>
      <c r="V12" s="3" t="n">
        <v>34272.0</v>
      </c>
      <c r="W12" s="3" t="n">
        <v>34542.0</v>
      </c>
      <c r="X12" s="3" t="n">
        <v>34825.0</v>
      </c>
      <c r="Y12" s="3" t="n">
        <v>35150.0</v>
      </c>
      <c r="Z12" s="3" t="n">
        <v>35449.0</v>
      </c>
      <c r="AA12" s="3" t="n">
        <v>35737.0</v>
      </c>
      <c r="AB12" s="3" t="n">
        <v>35985.0</v>
      </c>
      <c r="AC12" s="3" t="n">
        <v>36173.0</v>
      </c>
      <c r="AD12" s="3" t="n">
        <v>36313.0</v>
      </c>
      <c r="AE12" s="3" t="n">
        <v>36393.0</v>
      </c>
      <c r="AF12" s="3" t="n">
        <v>36400.0</v>
      </c>
      <c r="AG12" s="3" t="n">
        <v>36363.0</v>
      </c>
      <c r="AH12" s="3" t="n">
        <v>36223.0</v>
      </c>
      <c r="AI12" s="3" t="n">
        <v>36087.0</v>
      </c>
      <c r="AJ12" s="3" t="n">
        <v>35896.0</v>
      </c>
      <c r="AK12" s="3" t="n">
        <v>35655.0</v>
      </c>
      <c r="AL12" s="3" t="n">
        <v>35410.0</v>
      </c>
      <c r="AM12" s="3" t="n">
        <v>35195.0</v>
      </c>
      <c r="AN12" s="3" t="n">
        <v>34993.0</v>
      </c>
      <c r="AO12" s="3" t="n">
        <v>34812.0</v>
      </c>
    </row>
    <row r="13" spans="1:41" x14ac:dyDescent="0.2">
      <c r="A13" s="122"/>
      <c r="B13" s="9">
        <v>4</v>
      </c>
      <c r="C13" s="3" t="n">
        <v>38746.0</v>
      </c>
      <c r="D13" s="3" t="n">
        <v>37588.0</v>
      </c>
      <c r="E13" s="3" t="n">
        <v>35497.0</v>
      </c>
      <c r="F13" s="3" t="n">
        <v>34300.0</v>
      </c>
      <c r="G13" s="3" t="n">
        <v>31506.0</v>
      </c>
      <c r="H13" s="3" t="n">
        <v>33396.0</v>
      </c>
      <c r="I13" s="3" t="n">
        <v>34410.0</v>
      </c>
      <c r="J13" s="3" t="n">
        <v>35068.0</v>
      </c>
      <c r="K13" s="3" t="n">
        <v>35328.0</v>
      </c>
      <c r="L13" s="3" t="n">
        <v>35259.0</v>
      </c>
      <c r="M13" s="3" t="n">
        <v>35231.0</v>
      </c>
      <c r="N13" s="3" t="n">
        <v>35286.0</v>
      </c>
      <c r="O13" s="3" t="n">
        <v>35218.0</v>
      </c>
      <c r="P13" s="3" t="n">
        <v>35117.0</v>
      </c>
      <c r="Q13" s="3" t="n">
        <v>34903.0</v>
      </c>
      <c r="R13" s="3" t="n">
        <v>34671.0</v>
      </c>
      <c r="S13" s="3" t="n">
        <v>34472.0</v>
      </c>
      <c r="T13" s="3" t="n">
        <v>34351.0</v>
      </c>
      <c r="U13" s="3" t="n">
        <v>34326.0</v>
      </c>
      <c r="V13" s="3" t="n">
        <v>34419.0</v>
      </c>
      <c r="W13" s="3" t="n">
        <v>34571.0</v>
      </c>
      <c r="X13" s="3" t="n">
        <v>34841.0</v>
      </c>
      <c r="Y13" s="3" t="n">
        <v>35123.0</v>
      </c>
      <c r="Z13" s="3" t="n">
        <v>35450.0</v>
      </c>
      <c r="AA13" s="3" t="n">
        <v>35758.0</v>
      </c>
      <c r="AB13" s="3" t="n">
        <v>36047.0</v>
      </c>
      <c r="AC13" s="3" t="n">
        <v>36292.0</v>
      </c>
      <c r="AD13" s="3" t="n">
        <v>36482.0</v>
      </c>
      <c r="AE13" s="3" t="n">
        <v>36619.0</v>
      </c>
      <c r="AF13" s="3" t="n">
        <v>36703.0</v>
      </c>
      <c r="AG13" s="3" t="n">
        <v>36708.0</v>
      </c>
      <c r="AH13" s="3" t="n">
        <v>36672.0</v>
      </c>
      <c r="AI13" s="3" t="n">
        <v>36529.0</v>
      </c>
      <c r="AJ13" s="3" t="n">
        <v>36392.0</v>
      </c>
      <c r="AK13" s="3" t="n">
        <v>36203.0</v>
      </c>
      <c r="AL13" s="3" t="n">
        <v>35966.0</v>
      </c>
      <c r="AM13" s="3" t="n">
        <v>35724.0</v>
      </c>
      <c r="AN13" s="3" t="n">
        <v>35512.0</v>
      </c>
      <c r="AO13" s="3" t="n">
        <v>35302.0</v>
      </c>
    </row>
    <row r="14" spans="1:41" x14ac:dyDescent="0.2">
      <c r="A14" s="122"/>
      <c r="B14" s="9">
        <v>5</v>
      </c>
      <c r="C14" s="3" t="n">
        <v>39561.0</v>
      </c>
      <c r="D14" s="3" t="n">
        <v>38909.0</v>
      </c>
      <c r="E14" s="3" t="n">
        <v>37757.0</v>
      </c>
      <c r="F14" s="3" t="n">
        <v>35681.0</v>
      </c>
      <c r="G14" s="3" t="n">
        <v>34485.0</v>
      </c>
      <c r="H14" s="3" t="n">
        <v>32028.0</v>
      </c>
      <c r="I14" s="3" t="n">
        <v>34039.0</v>
      </c>
      <c r="J14" s="3" t="n">
        <v>34795.0</v>
      </c>
      <c r="K14" s="3" t="n">
        <v>35335.0</v>
      </c>
      <c r="L14" s="3" t="n">
        <v>35560.0</v>
      </c>
      <c r="M14" s="3" t="n">
        <v>35470.0</v>
      </c>
      <c r="N14" s="3" t="n">
        <v>35429.0</v>
      </c>
      <c r="O14" s="3" t="n">
        <v>35478.0</v>
      </c>
      <c r="P14" s="3" t="n">
        <v>35419.0</v>
      </c>
      <c r="Q14" s="3" t="n">
        <v>35325.0</v>
      </c>
      <c r="R14" s="3" t="n">
        <v>35115.0</v>
      </c>
      <c r="S14" s="3" t="n">
        <v>34890.0</v>
      </c>
      <c r="T14" s="3" t="n">
        <v>34696.0</v>
      </c>
      <c r="U14" s="3" t="n">
        <v>34579.0</v>
      </c>
      <c r="V14" s="3" t="n">
        <v>34560.0</v>
      </c>
      <c r="W14" s="3" t="n">
        <v>34662.0</v>
      </c>
      <c r="X14" s="3" t="n">
        <v>34817.0</v>
      </c>
      <c r="Y14" s="3" t="n">
        <v>35088.0</v>
      </c>
      <c r="Z14" s="3" t="n">
        <v>35378.0</v>
      </c>
      <c r="AA14" s="3" t="n">
        <v>35704.0</v>
      </c>
      <c r="AB14" s="3" t="n">
        <v>36012.0</v>
      </c>
      <c r="AC14" s="3" t="n">
        <v>36307.0</v>
      </c>
      <c r="AD14" s="3" t="n">
        <v>36551.0</v>
      </c>
      <c r="AE14" s="3" t="n">
        <v>36741.0</v>
      </c>
      <c r="AF14" s="3" t="n">
        <v>36879.0</v>
      </c>
      <c r="AG14" s="3" t="n">
        <v>36961.0</v>
      </c>
      <c r="AH14" s="3" t="n">
        <v>36963.0</v>
      </c>
      <c r="AI14" s="3" t="n">
        <v>36932.0</v>
      </c>
      <c r="AJ14" s="3" t="n">
        <v>36784.0</v>
      </c>
      <c r="AK14" s="3" t="n">
        <v>36641.0</v>
      </c>
      <c r="AL14" s="3" t="n">
        <v>36448.0</v>
      </c>
      <c r="AM14" s="3" t="n">
        <v>36217.0</v>
      </c>
      <c r="AN14" s="3" t="n">
        <v>35971.0</v>
      </c>
      <c r="AO14" s="3" t="n">
        <v>35755.0</v>
      </c>
    </row>
    <row r="15" spans="1:41" x14ac:dyDescent="0.2">
      <c r="A15" s="122"/>
      <c r="B15" s="9">
        <v>6</v>
      </c>
      <c r="C15" s="3" t="n">
        <v>38340.0</v>
      </c>
      <c r="D15" s="3" t="n">
        <v>39697.0</v>
      </c>
      <c r="E15" s="3" t="n">
        <v>39042.0</v>
      </c>
      <c r="F15" s="3" t="n">
        <v>37905.0</v>
      </c>
      <c r="G15" s="3" t="n">
        <v>35845.0</v>
      </c>
      <c r="H15" s="3" t="n">
        <v>34993.0</v>
      </c>
      <c r="I15" s="3" t="n">
        <v>32667.0</v>
      </c>
      <c r="J15" s="3" t="n">
        <v>34418.0</v>
      </c>
      <c r="K15" s="3" t="n">
        <v>35043.0</v>
      </c>
      <c r="L15" s="3" t="n">
        <v>35540.0</v>
      </c>
      <c r="M15" s="3" t="n">
        <v>35739.0</v>
      </c>
      <c r="N15" s="3" t="n">
        <v>35636.0</v>
      </c>
      <c r="O15" s="3" t="n">
        <v>35596.0</v>
      </c>
      <c r="P15" s="3" t="n">
        <v>35647.0</v>
      </c>
      <c r="Q15" s="3" t="n">
        <v>35591.0</v>
      </c>
      <c r="R15" s="3" t="n">
        <v>35503.0</v>
      </c>
      <c r="S15" s="3" t="n">
        <v>35296.0</v>
      </c>
      <c r="T15" s="3" t="n">
        <v>35078.0</v>
      </c>
      <c r="U15" s="3" t="n">
        <v>34889.0</v>
      </c>
      <c r="V15" s="3" t="n">
        <v>34777.0</v>
      </c>
      <c r="W15" s="3" t="n">
        <v>34759.0</v>
      </c>
      <c r="X15" s="3" t="n">
        <v>34860.0</v>
      </c>
      <c r="Y15" s="3" t="n">
        <v>35021.0</v>
      </c>
      <c r="Z15" s="3" t="n">
        <v>35289.0</v>
      </c>
      <c r="AA15" s="3" t="n">
        <v>35582.0</v>
      </c>
      <c r="AB15" s="3" t="n">
        <v>35910.0</v>
      </c>
      <c r="AC15" s="3" t="n">
        <v>36219.0</v>
      </c>
      <c r="AD15" s="3" t="n">
        <v>36513.0</v>
      </c>
      <c r="AE15" s="3" t="n">
        <v>36760.0</v>
      </c>
      <c r="AF15" s="3" t="n">
        <v>36948.0</v>
      </c>
      <c r="AG15" s="3" t="n">
        <v>37082.0</v>
      </c>
      <c r="AH15" s="3" t="n">
        <v>37164.0</v>
      </c>
      <c r="AI15" s="3" t="n">
        <v>37163.0</v>
      </c>
      <c r="AJ15" s="3" t="n">
        <v>37131.0</v>
      </c>
      <c r="AK15" s="3" t="n">
        <v>36981.0</v>
      </c>
      <c r="AL15" s="3" t="n">
        <v>36841.0</v>
      </c>
      <c r="AM15" s="3" t="n">
        <v>36651.0</v>
      </c>
      <c r="AN15" s="3" t="n">
        <v>36418.0</v>
      </c>
      <c r="AO15" s="3" t="n">
        <v>36174.0</v>
      </c>
    </row>
    <row r="16" spans="1:41" x14ac:dyDescent="0.2">
      <c r="A16" s="122"/>
      <c r="B16" s="9">
        <v>7</v>
      </c>
      <c r="C16" s="3" t="n">
        <v>37251.0</v>
      </c>
      <c r="D16" s="3" t="n">
        <v>38440.0</v>
      </c>
      <c r="E16" s="3" t="n">
        <v>39810.0</v>
      </c>
      <c r="F16" s="3" t="n">
        <v>39156.0</v>
      </c>
      <c r="G16" s="3" t="n">
        <v>38034.0</v>
      </c>
      <c r="H16" s="3" t="n">
        <v>36335.0</v>
      </c>
      <c r="I16" s="3" t="n">
        <v>35622.0</v>
      </c>
      <c r="J16" s="3" t="n">
        <v>33012.0</v>
      </c>
      <c r="K16" s="3" t="n">
        <v>34625.0</v>
      </c>
      <c r="L16" s="3" t="n">
        <v>35204.0</v>
      </c>
      <c r="M16" s="3" t="n">
        <v>35675.0</v>
      </c>
      <c r="N16" s="3" t="n">
        <v>35856.0</v>
      </c>
      <c r="O16" s="3" t="n">
        <v>35752.0</v>
      </c>
      <c r="P16" s="3" t="n">
        <v>35711.0</v>
      </c>
      <c r="Q16" s="3" t="n">
        <v>35767.0</v>
      </c>
      <c r="R16" s="3" t="n">
        <v>35714.0</v>
      </c>
      <c r="S16" s="3" t="n">
        <v>35634.0</v>
      </c>
      <c r="T16" s="3" t="n">
        <v>35430.0</v>
      </c>
      <c r="U16" s="3" t="n">
        <v>35217.0</v>
      </c>
      <c r="V16" s="3" t="n">
        <v>35030.0</v>
      </c>
      <c r="W16" s="3" t="n">
        <v>34921.0</v>
      </c>
      <c r="X16" s="3" t="n">
        <v>34905.0</v>
      </c>
      <c r="Y16" s="3" t="n">
        <v>35012.0</v>
      </c>
      <c r="Z16" s="3" t="n">
        <v>35173.0</v>
      </c>
      <c r="AA16" s="3" t="n">
        <v>35442.0</v>
      </c>
      <c r="AB16" s="3" t="n">
        <v>35735.0</v>
      </c>
      <c r="AC16" s="3" t="n">
        <v>36060.0</v>
      </c>
      <c r="AD16" s="3" t="n">
        <v>36368.0</v>
      </c>
      <c r="AE16" s="3" t="n">
        <v>36658.0</v>
      </c>
      <c r="AF16" s="3" t="n">
        <v>36910.0</v>
      </c>
      <c r="AG16" s="3" t="n">
        <v>37097.0</v>
      </c>
      <c r="AH16" s="3" t="n">
        <v>37230.0</v>
      </c>
      <c r="AI16" s="3" t="n">
        <v>37308.0</v>
      </c>
      <c r="AJ16" s="3" t="n">
        <v>37307.0</v>
      </c>
      <c r="AK16" s="3" t="n">
        <v>37272.0</v>
      </c>
      <c r="AL16" s="3" t="n">
        <v>37122.0</v>
      </c>
      <c r="AM16" s="3" t="n">
        <v>36983.0</v>
      </c>
      <c r="AN16" s="3" t="n">
        <v>36792.0</v>
      </c>
      <c r="AO16" s="3" t="n">
        <v>36560.0</v>
      </c>
    </row>
    <row r="17" spans="1:41" x14ac:dyDescent="0.2">
      <c r="A17" s="122"/>
      <c r="B17" s="9">
        <v>8</v>
      </c>
      <c r="C17" s="3" t="n">
        <v>36911.0</v>
      </c>
      <c r="D17" s="3" t="n">
        <v>37317.0</v>
      </c>
      <c r="E17" s="3" t="n">
        <v>38506.0</v>
      </c>
      <c r="F17" s="3" t="n">
        <v>39887.0</v>
      </c>
      <c r="G17" s="3" t="n">
        <v>39236.0</v>
      </c>
      <c r="H17" s="3" t="n">
        <v>38504.0</v>
      </c>
      <c r="I17" s="3" t="n">
        <v>36958.0</v>
      </c>
      <c r="J17" s="3" t="n">
        <v>35937.0</v>
      </c>
      <c r="K17" s="3" t="n">
        <v>33189.0</v>
      </c>
      <c r="L17" s="3" t="n">
        <v>34742.0</v>
      </c>
      <c r="M17" s="3" t="n">
        <v>35300.0</v>
      </c>
      <c r="N17" s="3" t="n">
        <v>35751.0</v>
      </c>
      <c r="O17" s="3" t="n">
        <v>35922.0</v>
      </c>
      <c r="P17" s="3" t="n">
        <v>35820.0</v>
      </c>
      <c r="Q17" s="3" t="n">
        <v>35782.0</v>
      </c>
      <c r="R17" s="3" t="n">
        <v>35840.0</v>
      </c>
      <c r="S17" s="3" t="n">
        <v>35791.0</v>
      </c>
      <c r="T17" s="3" t="n">
        <v>35714.0</v>
      </c>
      <c r="U17" s="3" t="n">
        <v>35508.0</v>
      </c>
      <c r="V17" s="3" t="n">
        <v>35298.0</v>
      </c>
      <c r="W17" s="3" t="n">
        <v>35116.0</v>
      </c>
      <c r="X17" s="3" t="n">
        <v>35009.0</v>
      </c>
      <c r="Y17" s="3" t="n">
        <v>34998.0</v>
      </c>
      <c r="Z17" s="3" t="n">
        <v>35107.0</v>
      </c>
      <c r="AA17" s="3" t="n">
        <v>35268.0</v>
      </c>
      <c r="AB17" s="3" t="n">
        <v>35544.0</v>
      </c>
      <c r="AC17" s="3" t="n">
        <v>35835.0</v>
      </c>
      <c r="AD17" s="3" t="n">
        <v>36160.0</v>
      </c>
      <c r="AE17" s="3" t="n">
        <v>36469.0</v>
      </c>
      <c r="AF17" s="3" t="n">
        <v>36759.0</v>
      </c>
      <c r="AG17" s="3" t="n">
        <v>37010.0</v>
      </c>
      <c r="AH17" s="3" t="n">
        <v>37198.0</v>
      </c>
      <c r="AI17" s="3" t="n">
        <v>37325.0</v>
      </c>
      <c r="AJ17" s="3" t="n">
        <v>37405.0</v>
      </c>
      <c r="AK17" s="3" t="n">
        <v>37407.0</v>
      </c>
      <c r="AL17" s="3" t="n">
        <v>37370.0</v>
      </c>
      <c r="AM17" s="3" t="n">
        <v>37219.0</v>
      </c>
      <c r="AN17" s="3" t="n">
        <v>37079.0</v>
      </c>
      <c r="AO17" s="3" t="n">
        <v>36890.0</v>
      </c>
    </row>
    <row r="18" spans="1:41" x14ac:dyDescent="0.2">
      <c r="A18" s="122"/>
      <c r="B18" s="9">
        <v>9</v>
      </c>
      <c r="C18" s="3" t="n">
        <v>36551.0</v>
      </c>
      <c r="D18" s="3" t="n">
        <v>36945.0</v>
      </c>
      <c r="E18" s="3" t="n">
        <v>37348.0</v>
      </c>
      <c r="F18" s="3" t="n">
        <v>38547.0</v>
      </c>
      <c r="G18" s="3" t="n">
        <v>39943.0</v>
      </c>
      <c r="H18" s="3" t="n">
        <v>39684.0</v>
      </c>
      <c r="I18" s="3" t="n">
        <v>39095.0</v>
      </c>
      <c r="J18" s="3" t="n">
        <v>37255.0</v>
      </c>
      <c r="K18" s="3" t="n">
        <v>36079.0</v>
      </c>
      <c r="L18" s="3" t="n">
        <v>33281.0</v>
      </c>
      <c r="M18" s="3" t="n">
        <v>34805.0</v>
      </c>
      <c r="N18" s="3" t="n">
        <v>35345.0</v>
      </c>
      <c r="O18" s="3" t="n">
        <v>35788.0</v>
      </c>
      <c r="P18" s="3" t="n">
        <v>35956.0</v>
      </c>
      <c r="Q18" s="3" t="n">
        <v>35858.0</v>
      </c>
      <c r="R18" s="3" t="n">
        <v>35825.0</v>
      </c>
      <c r="S18" s="3" t="n">
        <v>35882.0</v>
      </c>
      <c r="T18" s="3" t="n">
        <v>35833.0</v>
      </c>
      <c r="U18" s="3" t="n">
        <v>35758.0</v>
      </c>
      <c r="V18" s="3" t="n">
        <v>35555.0</v>
      </c>
      <c r="W18" s="3" t="n">
        <v>35347.0</v>
      </c>
      <c r="X18" s="3" t="n">
        <v>35169.0</v>
      </c>
      <c r="Y18" s="3" t="n">
        <v>35065.0</v>
      </c>
      <c r="Z18" s="3" t="n">
        <v>35058.0</v>
      </c>
      <c r="AA18" s="3" t="n">
        <v>35167.0</v>
      </c>
      <c r="AB18" s="3" t="n">
        <v>35326.0</v>
      </c>
      <c r="AC18" s="3" t="n">
        <v>35599.0</v>
      </c>
      <c r="AD18" s="3" t="n">
        <v>35893.0</v>
      </c>
      <c r="AE18" s="3" t="n">
        <v>36217.0</v>
      </c>
      <c r="AF18" s="3" t="n">
        <v>36526.0</v>
      </c>
      <c r="AG18" s="3" t="n">
        <v>36815.0</v>
      </c>
      <c r="AH18" s="3" t="n">
        <v>37065.0</v>
      </c>
      <c r="AI18" s="3" t="n">
        <v>37251.0</v>
      </c>
      <c r="AJ18" s="3" t="n">
        <v>37376.0</v>
      </c>
      <c r="AK18" s="3" t="n">
        <v>37455.0</v>
      </c>
      <c r="AL18" s="3" t="n">
        <v>37457.0</v>
      </c>
      <c r="AM18" s="3" t="n">
        <v>37423.0</v>
      </c>
      <c r="AN18" s="3" t="n">
        <v>37269.0</v>
      </c>
      <c r="AO18" s="3" t="n">
        <v>37128.0</v>
      </c>
    </row>
    <row r="19" spans="1:41" x14ac:dyDescent="0.2">
      <c r="A19" s="122"/>
      <c r="B19" s="9">
        <v>10</v>
      </c>
      <c r="C19" s="3" t="n">
        <v>37840.0</v>
      </c>
      <c r="D19" s="3" t="n">
        <v>36569.0</v>
      </c>
      <c r="E19" s="3" t="n">
        <v>36967.0</v>
      </c>
      <c r="F19" s="3" t="n">
        <v>37375.0</v>
      </c>
      <c r="G19" s="3" t="n">
        <v>38587.0</v>
      </c>
      <c r="H19" s="3" t="n">
        <v>40389.0</v>
      </c>
      <c r="I19" s="3" t="n">
        <v>40275.0</v>
      </c>
      <c r="J19" s="3" t="n">
        <v>39387.0</v>
      </c>
      <c r="K19" s="3" t="n">
        <v>37389.0</v>
      </c>
      <c r="L19" s="3" t="n">
        <v>36156.0</v>
      </c>
      <c r="M19" s="3" t="n">
        <v>33327.0</v>
      </c>
      <c r="N19" s="3" t="n">
        <v>34824.0</v>
      </c>
      <c r="O19" s="3" t="n">
        <v>35355.0</v>
      </c>
      <c r="P19" s="3" t="n">
        <v>35799.0</v>
      </c>
      <c r="Q19" s="3" t="n">
        <v>35968.0</v>
      </c>
      <c r="R19" s="3" t="n">
        <v>35871.0</v>
      </c>
      <c r="S19" s="3" t="n">
        <v>35839.0</v>
      </c>
      <c r="T19" s="3" t="n">
        <v>35897.0</v>
      </c>
      <c r="U19" s="3" t="n">
        <v>35848.0</v>
      </c>
      <c r="V19" s="3" t="n">
        <v>35775.0</v>
      </c>
      <c r="W19" s="3" t="n">
        <v>35576.0</v>
      </c>
      <c r="X19" s="3" t="n">
        <v>35371.0</v>
      </c>
      <c r="Y19" s="3" t="n">
        <v>35193.0</v>
      </c>
      <c r="Z19" s="3" t="n">
        <v>35093.0</v>
      </c>
      <c r="AA19" s="3" t="n">
        <v>35089.0</v>
      </c>
      <c r="AB19" s="3" t="n">
        <v>35199.0</v>
      </c>
      <c r="AC19" s="3" t="n">
        <v>35359.0</v>
      </c>
      <c r="AD19" s="3" t="n">
        <v>35636.0</v>
      </c>
      <c r="AE19" s="3" t="n">
        <v>35932.0</v>
      </c>
      <c r="AF19" s="3" t="n">
        <v>36254.0</v>
      </c>
      <c r="AG19" s="3" t="n">
        <v>36563.0</v>
      </c>
      <c r="AH19" s="3" t="n">
        <v>36849.0</v>
      </c>
      <c r="AI19" s="3" t="n">
        <v>37096.0</v>
      </c>
      <c r="AJ19" s="3" t="n">
        <v>37280.0</v>
      </c>
      <c r="AK19" s="3" t="n">
        <v>37405.0</v>
      </c>
      <c r="AL19" s="3" t="n">
        <v>37483.0</v>
      </c>
      <c r="AM19" s="3" t="n">
        <v>37483.0</v>
      </c>
      <c r="AN19" s="3" t="n">
        <v>37448.0</v>
      </c>
      <c r="AO19" s="3" t="n">
        <v>37296.0</v>
      </c>
    </row>
    <row r="20" spans="1:41" x14ac:dyDescent="0.2">
      <c r="A20" s="122"/>
      <c r="B20" s="9">
        <v>11</v>
      </c>
      <c r="C20" s="3" t="n">
        <v>37963.0</v>
      </c>
      <c r="D20" s="3" t="n">
        <v>37854.0</v>
      </c>
      <c r="E20" s="3" t="n">
        <v>36586.0</v>
      </c>
      <c r="F20" s="3" t="n">
        <v>36993.0</v>
      </c>
      <c r="G20" s="3" t="n">
        <v>37406.0</v>
      </c>
      <c r="H20" s="3" t="n">
        <v>39001.0</v>
      </c>
      <c r="I20" s="3" t="n">
        <v>40949.0</v>
      </c>
      <c r="J20" s="3" t="n">
        <v>40531.0</v>
      </c>
      <c r="K20" s="3" t="n">
        <v>39501.0</v>
      </c>
      <c r="L20" s="3" t="n">
        <v>37451.0</v>
      </c>
      <c r="M20" s="3" t="n">
        <v>36185.0</v>
      </c>
      <c r="N20" s="3" t="n">
        <v>33343.0</v>
      </c>
      <c r="O20" s="3" t="n">
        <v>34831.0</v>
      </c>
      <c r="P20" s="3" t="n">
        <v>35361.0</v>
      </c>
      <c r="Q20" s="3" t="n">
        <v>35806.0</v>
      </c>
      <c r="R20" s="3" t="n">
        <v>35974.0</v>
      </c>
      <c r="S20" s="3" t="n">
        <v>35876.0</v>
      </c>
      <c r="T20" s="3" t="n">
        <v>35846.0</v>
      </c>
      <c r="U20" s="3" t="n">
        <v>35904.0</v>
      </c>
      <c r="V20" s="3" t="n">
        <v>35856.0</v>
      </c>
      <c r="W20" s="3" t="n">
        <v>35784.0</v>
      </c>
      <c r="X20" s="3" t="n">
        <v>35587.0</v>
      </c>
      <c r="Y20" s="3" t="n">
        <v>35384.0</v>
      </c>
      <c r="Z20" s="3" t="n">
        <v>35208.0</v>
      </c>
      <c r="AA20" s="3" t="n">
        <v>35106.0</v>
      </c>
      <c r="AB20" s="3" t="n">
        <v>35104.0</v>
      </c>
      <c r="AC20" s="3" t="n">
        <v>35215.0</v>
      </c>
      <c r="AD20" s="3" t="n">
        <v>35373.0</v>
      </c>
      <c r="AE20" s="3" t="n">
        <v>35649.0</v>
      </c>
      <c r="AF20" s="3" t="n">
        <v>35950.0</v>
      </c>
      <c r="AG20" s="3" t="n">
        <v>36276.0</v>
      </c>
      <c r="AH20" s="3" t="n">
        <v>36585.0</v>
      </c>
      <c r="AI20" s="3" t="n">
        <v>36869.0</v>
      </c>
      <c r="AJ20" s="3" t="n">
        <v>37116.0</v>
      </c>
      <c r="AK20" s="3" t="n">
        <v>37299.0</v>
      </c>
      <c r="AL20" s="3" t="n">
        <v>37421.0</v>
      </c>
      <c r="AM20" s="3" t="n">
        <v>37498.0</v>
      </c>
      <c r="AN20" s="3" t="n">
        <v>37497.0</v>
      </c>
      <c r="AO20" s="3" t="n">
        <v>37460.0</v>
      </c>
    </row>
    <row r="21" spans="1:41" x14ac:dyDescent="0.2">
      <c r="A21" s="122"/>
      <c r="B21" s="9">
        <v>12</v>
      </c>
      <c r="C21" s="3" t="n">
        <v>39644.0</v>
      </c>
      <c r="D21" s="3" t="n">
        <v>37956.0</v>
      </c>
      <c r="E21" s="3" t="n">
        <v>37857.0</v>
      </c>
      <c r="F21" s="3" t="n">
        <v>36596.0</v>
      </c>
      <c r="G21" s="3" t="n">
        <v>37010.0</v>
      </c>
      <c r="H21" s="3" t="n">
        <v>37780.0</v>
      </c>
      <c r="I21" s="3" t="n">
        <v>39516.0</v>
      </c>
      <c r="J21" s="3" t="n">
        <v>41180.0</v>
      </c>
      <c r="K21" s="3" t="n">
        <v>40620.0</v>
      </c>
      <c r="L21" s="3" t="n">
        <v>39547.0</v>
      </c>
      <c r="M21" s="3" t="n">
        <v>37474.0</v>
      </c>
      <c r="N21" s="3" t="n">
        <v>36184.0</v>
      </c>
      <c r="O21" s="3" t="n">
        <v>33332.0</v>
      </c>
      <c r="P21" s="3" t="n">
        <v>34815.0</v>
      </c>
      <c r="Q21" s="3" t="n">
        <v>35343.0</v>
      </c>
      <c r="R21" s="3" t="n">
        <v>35790.0</v>
      </c>
      <c r="S21" s="3" t="n">
        <v>35957.0</v>
      </c>
      <c r="T21" s="3" t="n">
        <v>35857.0</v>
      </c>
      <c r="U21" s="3" t="n">
        <v>35826.0</v>
      </c>
      <c r="V21" s="3" t="n">
        <v>35887.0</v>
      </c>
      <c r="W21" s="3" t="n">
        <v>35842.0</v>
      </c>
      <c r="X21" s="3" t="n">
        <v>35770.0</v>
      </c>
      <c r="Y21" s="3" t="n">
        <v>35575.0</v>
      </c>
      <c r="Z21" s="3" t="n">
        <v>35376.0</v>
      </c>
      <c r="AA21" s="3" t="n">
        <v>35204.0</v>
      </c>
      <c r="AB21" s="3" t="n">
        <v>35102.0</v>
      </c>
      <c r="AC21" s="3" t="n">
        <v>35100.0</v>
      </c>
      <c r="AD21" s="3" t="n">
        <v>35216.0</v>
      </c>
      <c r="AE21" s="3" t="n">
        <v>35373.0</v>
      </c>
      <c r="AF21" s="3" t="n">
        <v>35649.0</v>
      </c>
      <c r="AG21" s="3" t="n">
        <v>35950.0</v>
      </c>
      <c r="AH21" s="3" t="n">
        <v>36279.0</v>
      </c>
      <c r="AI21" s="3" t="n">
        <v>36586.0</v>
      </c>
      <c r="AJ21" s="3" t="n">
        <v>36870.0</v>
      </c>
      <c r="AK21" s="3" t="n">
        <v>37116.0</v>
      </c>
      <c r="AL21" s="3" t="n">
        <v>37298.0</v>
      </c>
      <c r="AM21" s="3" t="n">
        <v>37420.0</v>
      </c>
      <c r="AN21" s="3" t="n">
        <v>37494.0</v>
      </c>
      <c r="AO21" s="3" t="n">
        <v>37493.0</v>
      </c>
    </row>
    <row r="22" spans="1:41" x14ac:dyDescent="0.2">
      <c r="A22" s="122"/>
      <c r="B22" s="9">
        <v>13</v>
      </c>
      <c r="C22" s="3" t="n">
        <v>39847.0</v>
      </c>
      <c r="D22" s="3" t="n">
        <v>39649.0</v>
      </c>
      <c r="E22" s="3" t="n">
        <v>37965.0</v>
      </c>
      <c r="F22" s="3" t="n">
        <v>37870.0</v>
      </c>
      <c r="G22" s="3" t="n">
        <v>36618.0</v>
      </c>
      <c r="H22" s="3" t="n">
        <v>37376.0</v>
      </c>
      <c r="I22" s="3" t="n">
        <v>38278.0</v>
      </c>
      <c r="J22" s="3" t="n">
        <v>39746.0</v>
      </c>
      <c r="K22" s="3" t="n">
        <v>41283.0</v>
      </c>
      <c r="L22" s="3" t="n">
        <v>40665.0</v>
      </c>
      <c r="M22" s="3" t="n">
        <v>39571.0</v>
      </c>
      <c r="N22" s="3" t="n">
        <v>37472.0</v>
      </c>
      <c r="O22" s="3" t="n">
        <v>36178.0</v>
      </c>
      <c r="P22" s="3" t="n">
        <v>33321.0</v>
      </c>
      <c r="Q22" s="3" t="n">
        <v>34801.0</v>
      </c>
      <c r="R22" s="3" t="n">
        <v>35322.0</v>
      </c>
      <c r="S22" s="3" t="n">
        <v>35769.0</v>
      </c>
      <c r="T22" s="3" t="n">
        <v>35936.0</v>
      </c>
      <c r="U22" s="3" t="n">
        <v>35833.0</v>
      </c>
      <c r="V22" s="3" t="n">
        <v>35803.0</v>
      </c>
      <c r="W22" s="3" t="n">
        <v>35866.0</v>
      </c>
      <c r="X22" s="3" t="n">
        <v>35822.0</v>
      </c>
      <c r="Y22" s="3" t="n">
        <v>35752.0</v>
      </c>
      <c r="Z22" s="3" t="n">
        <v>35557.0</v>
      </c>
      <c r="AA22" s="3" t="n">
        <v>35360.0</v>
      </c>
      <c r="AB22" s="3" t="n">
        <v>35192.0</v>
      </c>
      <c r="AC22" s="3" t="n">
        <v>35092.0</v>
      </c>
      <c r="AD22" s="3" t="n">
        <v>35093.0</v>
      </c>
      <c r="AE22" s="3" t="n">
        <v>35212.0</v>
      </c>
      <c r="AF22" s="3" t="n">
        <v>35371.0</v>
      </c>
      <c r="AG22" s="3" t="n">
        <v>35649.0</v>
      </c>
      <c r="AH22" s="3" t="n">
        <v>35950.0</v>
      </c>
      <c r="AI22" s="3" t="n">
        <v>36281.0</v>
      </c>
      <c r="AJ22" s="3" t="n">
        <v>36588.0</v>
      </c>
      <c r="AK22" s="3" t="n">
        <v>36872.0</v>
      </c>
      <c r="AL22" s="3" t="n">
        <v>37116.0</v>
      </c>
      <c r="AM22" s="3" t="n">
        <v>37298.0</v>
      </c>
      <c r="AN22" s="3" t="n">
        <v>37418.0</v>
      </c>
      <c r="AO22" s="3" t="n">
        <v>37492.0</v>
      </c>
    </row>
    <row r="23" spans="1:41" x14ac:dyDescent="0.2">
      <c r="A23" s="122"/>
      <c r="B23" s="9">
        <v>14</v>
      </c>
      <c r="C23" s="3" t="n">
        <v>39052.0</v>
      </c>
      <c r="D23" s="3" t="n">
        <v>39837.0</v>
      </c>
      <c r="E23" s="3" t="n">
        <v>39644.0</v>
      </c>
      <c r="F23" s="3" t="n">
        <v>37968.0</v>
      </c>
      <c r="G23" s="3" t="n">
        <v>37889.0</v>
      </c>
      <c r="H23" s="3" t="n">
        <v>36986.0</v>
      </c>
      <c r="I23" s="3" t="n">
        <v>37879.0</v>
      </c>
      <c r="J23" s="3" t="n">
        <v>38512.0</v>
      </c>
      <c r="K23" s="3" t="n">
        <v>39840.0</v>
      </c>
      <c r="L23" s="3" t="n">
        <v>41323.0</v>
      </c>
      <c r="M23" s="3" t="n">
        <v>40677.0</v>
      </c>
      <c r="N23" s="3" t="n">
        <v>39560.0</v>
      </c>
      <c r="O23" s="3" t="n">
        <v>37450.0</v>
      </c>
      <c r="P23" s="3" t="n">
        <v>36160.0</v>
      </c>
      <c r="Q23" s="3" t="n">
        <v>33303.0</v>
      </c>
      <c r="R23" s="3" t="n">
        <v>34782.0</v>
      </c>
      <c r="S23" s="3" t="n">
        <v>35302.0</v>
      </c>
      <c r="T23" s="3" t="n">
        <v>35747.0</v>
      </c>
      <c r="U23" s="3" t="n">
        <v>35915.0</v>
      </c>
      <c r="V23" s="3" t="n">
        <v>35811.0</v>
      </c>
      <c r="W23" s="3" t="n">
        <v>35781.0</v>
      </c>
      <c r="X23" s="3" t="n">
        <v>35845.0</v>
      </c>
      <c r="Y23" s="3" t="n">
        <v>35804.0</v>
      </c>
      <c r="Z23" s="3" t="n">
        <v>35733.0</v>
      </c>
      <c r="AA23" s="3" t="n">
        <v>35537.0</v>
      </c>
      <c r="AB23" s="3" t="n">
        <v>35344.0</v>
      </c>
      <c r="AC23" s="3" t="n">
        <v>35178.0</v>
      </c>
      <c r="AD23" s="3" t="n">
        <v>35076.0</v>
      </c>
      <c r="AE23" s="3" t="n">
        <v>35079.0</v>
      </c>
      <c r="AF23" s="3" t="n">
        <v>35199.0</v>
      </c>
      <c r="AG23" s="3" t="n">
        <v>35358.0</v>
      </c>
      <c r="AH23" s="3" t="n">
        <v>35637.0</v>
      </c>
      <c r="AI23" s="3" t="n">
        <v>35936.0</v>
      </c>
      <c r="AJ23" s="3" t="n">
        <v>36267.0</v>
      </c>
      <c r="AK23" s="3" t="n">
        <v>36573.0</v>
      </c>
      <c r="AL23" s="3" t="n">
        <v>36852.0</v>
      </c>
      <c r="AM23" s="3" t="n">
        <v>37095.0</v>
      </c>
      <c r="AN23" s="3" t="n">
        <v>37280.0</v>
      </c>
      <c r="AO23" s="3" t="n">
        <v>37399.0</v>
      </c>
    </row>
    <row r="24" spans="1:41" x14ac:dyDescent="0.2">
      <c r="A24" s="122"/>
      <c r="B24" s="9">
        <v>15</v>
      </c>
      <c r="C24" s="3" t="n">
        <v>36169.0</v>
      </c>
      <c r="D24" s="3" t="n">
        <v>39051.0</v>
      </c>
      <c r="E24" s="3" t="n">
        <v>39846.0</v>
      </c>
      <c r="F24" s="3" t="n">
        <v>39650.0</v>
      </c>
      <c r="G24" s="3" t="n">
        <v>37984.0</v>
      </c>
      <c r="H24" s="3" t="n">
        <v>38233.0</v>
      </c>
      <c r="I24" s="3" t="n">
        <v>37446.0</v>
      </c>
      <c r="J24" s="3" t="n">
        <v>38088.0</v>
      </c>
      <c r="K24" s="3" t="n">
        <v>38596.0</v>
      </c>
      <c r="L24" s="3" t="n">
        <v>39878.0</v>
      </c>
      <c r="M24" s="3" t="n">
        <v>41339.0</v>
      </c>
      <c r="N24" s="3" t="n">
        <v>40675.0</v>
      </c>
      <c r="O24" s="3" t="n">
        <v>39547.0</v>
      </c>
      <c r="P24" s="3" t="n">
        <v>37442.0</v>
      </c>
      <c r="Q24" s="3" t="n">
        <v>36144.0</v>
      </c>
      <c r="R24" s="3" t="n">
        <v>33293.0</v>
      </c>
      <c r="S24" s="3" t="n">
        <v>34765.0</v>
      </c>
      <c r="T24" s="3" t="n">
        <v>35281.0</v>
      </c>
      <c r="U24" s="3" t="n">
        <v>35729.0</v>
      </c>
      <c r="V24" s="3" t="n">
        <v>35897.0</v>
      </c>
      <c r="W24" s="3" t="n">
        <v>35793.0</v>
      </c>
      <c r="X24" s="3" t="n">
        <v>35764.0</v>
      </c>
      <c r="Y24" s="3" t="n">
        <v>35829.0</v>
      </c>
      <c r="Z24" s="3" t="n">
        <v>35788.0</v>
      </c>
      <c r="AA24" s="3" t="n">
        <v>35718.0</v>
      </c>
      <c r="AB24" s="3" t="n">
        <v>35524.0</v>
      </c>
      <c r="AC24" s="3" t="n">
        <v>35334.0</v>
      </c>
      <c r="AD24" s="3" t="n">
        <v>35170.0</v>
      </c>
      <c r="AE24" s="3" t="n">
        <v>35068.0</v>
      </c>
      <c r="AF24" s="3" t="n">
        <v>35072.0</v>
      </c>
      <c r="AG24" s="3" t="n">
        <v>35195.0</v>
      </c>
      <c r="AH24" s="3" t="n">
        <v>35356.0</v>
      </c>
      <c r="AI24" s="3" t="n">
        <v>35635.0</v>
      </c>
      <c r="AJ24" s="3" t="n">
        <v>35936.0</v>
      </c>
      <c r="AK24" s="3" t="n">
        <v>36267.0</v>
      </c>
      <c r="AL24" s="3" t="n">
        <v>36571.0</v>
      </c>
      <c r="AM24" s="3" t="n">
        <v>36846.0</v>
      </c>
      <c r="AN24" s="3" t="n">
        <v>37085.0</v>
      </c>
      <c r="AO24" s="3" t="n">
        <v>37270.0</v>
      </c>
    </row>
    <row r="25" spans="1:41" x14ac:dyDescent="0.2">
      <c r="A25" s="122"/>
      <c r="B25" s="9">
        <v>16</v>
      </c>
      <c r="C25" s="3" t="n">
        <v>34128.0</v>
      </c>
      <c r="D25" s="3" t="n">
        <v>36177.0</v>
      </c>
      <c r="E25" s="3" t="n">
        <v>39057.0</v>
      </c>
      <c r="F25" s="3" t="n">
        <v>39857.0</v>
      </c>
      <c r="G25" s="3" t="n">
        <v>39667.0</v>
      </c>
      <c r="H25" s="3" t="n">
        <v>38280.0</v>
      </c>
      <c r="I25" s="3" t="n">
        <v>38629.0</v>
      </c>
      <c r="J25" s="3" t="n">
        <v>37629.0</v>
      </c>
      <c r="K25" s="3" t="n">
        <v>38166.0</v>
      </c>
      <c r="L25" s="3" t="n">
        <v>38633.0</v>
      </c>
      <c r="M25" s="3" t="n">
        <v>39892.0</v>
      </c>
      <c r="N25" s="3" t="n">
        <v>41336.0</v>
      </c>
      <c r="O25" s="3" t="n">
        <v>40666.0</v>
      </c>
      <c r="P25" s="3" t="n">
        <v>39531.0</v>
      </c>
      <c r="Q25" s="3" t="n">
        <v>37426.0</v>
      </c>
      <c r="R25" s="3" t="n">
        <v>36130.0</v>
      </c>
      <c r="S25" s="3" t="n">
        <v>33279.0</v>
      </c>
      <c r="T25" s="3" t="n">
        <v>34749.0</v>
      </c>
      <c r="U25" s="3" t="n">
        <v>35266.0</v>
      </c>
      <c r="V25" s="3" t="n">
        <v>35713.0</v>
      </c>
      <c r="W25" s="3" t="n">
        <v>35879.0</v>
      </c>
      <c r="X25" s="3" t="n">
        <v>35775.0</v>
      </c>
      <c r="Y25" s="3" t="n">
        <v>35747.0</v>
      </c>
      <c r="Z25" s="3" t="n">
        <v>35813.0</v>
      </c>
      <c r="AA25" s="3" t="n">
        <v>35772.0</v>
      </c>
      <c r="AB25" s="3" t="n">
        <v>35704.0</v>
      </c>
      <c r="AC25" s="3" t="n">
        <v>35512.0</v>
      </c>
      <c r="AD25" s="3" t="n">
        <v>35323.0</v>
      </c>
      <c r="AE25" s="3" t="n">
        <v>35160.0</v>
      </c>
      <c r="AF25" s="3" t="n">
        <v>35060.0</v>
      </c>
      <c r="AG25" s="3" t="n">
        <v>35063.0</v>
      </c>
      <c r="AH25" s="3" t="n">
        <v>35186.0</v>
      </c>
      <c r="AI25" s="3" t="n">
        <v>35348.0</v>
      </c>
      <c r="AJ25" s="3" t="n">
        <v>35630.0</v>
      </c>
      <c r="AK25" s="3" t="n">
        <v>35930.0</v>
      </c>
      <c r="AL25" s="3" t="n">
        <v>36260.0</v>
      </c>
      <c r="AM25" s="3" t="n">
        <v>36566.0</v>
      </c>
      <c r="AN25" s="3" t="n">
        <v>36843.0</v>
      </c>
      <c r="AO25" s="3" t="n">
        <v>37076.0</v>
      </c>
    </row>
    <row r="26" spans="1:41" x14ac:dyDescent="0.2">
      <c r="A26" s="122"/>
      <c r="B26" s="9">
        <v>17</v>
      </c>
      <c r="C26" s="3" t="n">
        <v>33489.0</v>
      </c>
      <c r="D26" s="3" t="n">
        <v>34112.0</v>
      </c>
      <c r="E26" s="3" t="n">
        <v>36160.0</v>
      </c>
      <c r="F26" s="3" t="n">
        <v>39054.0</v>
      </c>
      <c r="G26" s="3" t="n">
        <v>39866.0</v>
      </c>
      <c r="H26" s="3" t="n">
        <v>39963.0</v>
      </c>
      <c r="I26" s="3" t="n">
        <v>38683.0</v>
      </c>
      <c r="J26" s="3" t="n">
        <v>38808.0</v>
      </c>
      <c r="K26" s="3" t="n">
        <v>37696.0</v>
      </c>
      <c r="L26" s="3" t="n">
        <v>38194.0</v>
      </c>
      <c r="M26" s="3" t="n">
        <v>38640.0</v>
      </c>
      <c r="N26" s="3" t="n">
        <v>39884.0</v>
      </c>
      <c r="O26" s="3" t="n">
        <v>41318.0</v>
      </c>
      <c r="P26" s="3" t="n">
        <v>40646.0</v>
      </c>
      <c r="Q26" s="3" t="n">
        <v>39511.0</v>
      </c>
      <c r="R26" s="3" t="n">
        <v>37402.0</v>
      </c>
      <c r="S26" s="3" t="n">
        <v>36106.0</v>
      </c>
      <c r="T26" s="3" t="n">
        <v>33253.0</v>
      </c>
      <c r="U26" s="3" t="n">
        <v>34720.0</v>
      </c>
      <c r="V26" s="3" t="n">
        <v>35235.0</v>
      </c>
      <c r="W26" s="3" t="n">
        <v>35681.0</v>
      </c>
      <c r="X26" s="3" t="n">
        <v>35846.0</v>
      </c>
      <c r="Y26" s="3" t="n">
        <v>35743.0</v>
      </c>
      <c r="Z26" s="3" t="n">
        <v>35717.0</v>
      </c>
      <c r="AA26" s="3" t="n">
        <v>35783.0</v>
      </c>
      <c r="AB26" s="3" t="n">
        <v>35743.0</v>
      </c>
      <c r="AC26" s="3" t="n">
        <v>35675.0</v>
      </c>
      <c r="AD26" s="3" t="n">
        <v>35484.0</v>
      </c>
      <c r="AE26" s="3" t="n">
        <v>35297.0</v>
      </c>
      <c r="AF26" s="3" t="n">
        <v>35135.0</v>
      </c>
      <c r="AG26" s="3" t="n">
        <v>35037.0</v>
      </c>
      <c r="AH26" s="3" t="n">
        <v>35042.0</v>
      </c>
      <c r="AI26" s="3" t="n">
        <v>35165.0</v>
      </c>
      <c r="AJ26" s="3" t="n">
        <v>35330.0</v>
      </c>
      <c r="AK26" s="3" t="n">
        <v>35611.0</v>
      </c>
      <c r="AL26" s="3" t="n">
        <v>35911.0</v>
      </c>
      <c r="AM26" s="3" t="n">
        <v>36240.0</v>
      </c>
      <c r="AN26" s="3" t="n">
        <v>36543.0</v>
      </c>
      <c r="AO26" s="3" t="n">
        <v>36820.0</v>
      </c>
    </row>
    <row r="27" spans="1:41" x14ac:dyDescent="0.2">
      <c r="A27" s="122"/>
      <c r="B27" s="9">
        <v>18</v>
      </c>
      <c r="C27" s="3" t="n">
        <v>32532.0</v>
      </c>
      <c r="D27" s="3" t="n">
        <v>33491.0</v>
      </c>
      <c r="E27" s="3" t="n">
        <v>34115.0</v>
      </c>
      <c r="F27" s="3" t="n">
        <v>36164.0</v>
      </c>
      <c r="G27" s="3" t="n">
        <v>39069.0</v>
      </c>
      <c r="H27" s="3" t="n">
        <v>40193.0</v>
      </c>
      <c r="I27" s="3" t="n">
        <v>40415.0</v>
      </c>
      <c r="J27" s="3" t="n">
        <v>38897.0</v>
      </c>
      <c r="K27" s="3" t="n">
        <v>38890.0</v>
      </c>
      <c r="L27" s="3" t="n">
        <v>37734.0</v>
      </c>
      <c r="M27" s="3" t="n">
        <v>38207.0</v>
      </c>
      <c r="N27" s="3" t="n">
        <v>38641.0</v>
      </c>
      <c r="O27" s="3" t="n">
        <v>39879.0</v>
      </c>
      <c r="P27" s="3" t="n">
        <v>41308.0</v>
      </c>
      <c r="Q27" s="3" t="n">
        <v>40634.0</v>
      </c>
      <c r="R27" s="3" t="n">
        <v>39500.0</v>
      </c>
      <c r="S27" s="3" t="n">
        <v>37394.0</v>
      </c>
      <c r="T27" s="3" t="n">
        <v>36102.0</v>
      </c>
      <c r="U27" s="3" t="n">
        <v>33246.0</v>
      </c>
      <c r="V27" s="3" t="n">
        <v>34714.0</v>
      </c>
      <c r="W27" s="3" t="n">
        <v>35225.0</v>
      </c>
      <c r="X27" s="3" t="n">
        <v>35667.0</v>
      </c>
      <c r="Y27" s="3" t="n">
        <v>35832.0</v>
      </c>
      <c r="Z27" s="3" t="n">
        <v>35729.0</v>
      </c>
      <c r="AA27" s="3" t="n">
        <v>35704.0</v>
      </c>
      <c r="AB27" s="3" t="n">
        <v>35771.0</v>
      </c>
      <c r="AC27" s="3" t="n">
        <v>35731.0</v>
      </c>
      <c r="AD27" s="3" t="n">
        <v>35662.0</v>
      </c>
      <c r="AE27" s="3" t="n">
        <v>35474.0</v>
      </c>
      <c r="AF27" s="3" t="n">
        <v>35286.0</v>
      </c>
      <c r="AG27" s="3" t="n">
        <v>35126.0</v>
      </c>
      <c r="AH27" s="3" t="n">
        <v>35031.0</v>
      </c>
      <c r="AI27" s="3" t="n">
        <v>35036.0</v>
      </c>
      <c r="AJ27" s="3" t="n">
        <v>35159.0</v>
      </c>
      <c r="AK27" s="3" t="n">
        <v>35325.0</v>
      </c>
      <c r="AL27" s="3" t="n">
        <v>35607.0</v>
      </c>
      <c r="AM27" s="3" t="n">
        <v>35908.0</v>
      </c>
      <c r="AN27" s="3" t="n">
        <v>36237.0</v>
      </c>
      <c r="AO27" s="3" t="n">
        <v>36539.0</v>
      </c>
    </row>
    <row r="28" spans="1:41" x14ac:dyDescent="0.2">
      <c r="A28" s="122"/>
      <c r="B28" s="9">
        <v>19</v>
      </c>
      <c r="C28" s="3" t="n">
        <v>32256.0</v>
      </c>
      <c r="D28" s="3" t="n">
        <v>32552.0</v>
      </c>
      <c r="E28" s="3" t="n">
        <v>33513.0</v>
      </c>
      <c r="F28" s="3" t="n">
        <v>34147.0</v>
      </c>
      <c r="G28" s="3" t="n">
        <v>36200.0</v>
      </c>
      <c r="H28" s="3" t="n">
        <v>39339.0</v>
      </c>
      <c r="I28" s="3" t="n">
        <v>40548.0</v>
      </c>
      <c r="J28" s="3" t="n">
        <v>40586.0</v>
      </c>
      <c r="K28" s="3" t="n">
        <v>38967.0</v>
      </c>
      <c r="L28" s="3" t="n">
        <v>38943.0</v>
      </c>
      <c r="M28" s="3" t="n">
        <v>37775.0</v>
      </c>
      <c r="N28" s="3" t="n">
        <v>38239.0</v>
      </c>
      <c r="O28" s="3" t="n">
        <v>38667.0</v>
      </c>
      <c r="P28" s="3" t="n">
        <v>39897.0</v>
      </c>
      <c r="Q28" s="3" t="n">
        <v>41324.0</v>
      </c>
      <c r="R28" s="3" t="n">
        <v>40646.0</v>
      </c>
      <c r="S28" s="3" t="n">
        <v>39521.0</v>
      </c>
      <c r="T28" s="3" t="n">
        <v>37411.0</v>
      </c>
      <c r="U28" s="3" t="n">
        <v>36116.0</v>
      </c>
      <c r="V28" s="3" t="n">
        <v>33251.0</v>
      </c>
      <c r="W28" s="3" t="n">
        <v>34719.0</v>
      </c>
      <c r="X28" s="3" t="n">
        <v>35234.0</v>
      </c>
      <c r="Y28" s="3" t="n">
        <v>35674.0</v>
      </c>
      <c r="Z28" s="3" t="n">
        <v>35834.0</v>
      </c>
      <c r="AA28" s="3" t="n">
        <v>35733.0</v>
      </c>
      <c r="AB28" s="3" t="n">
        <v>35707.0</v>
      </c>
      <c r="AC28" s="3" t="n">
        <v>35774.0</v>
      </c>
      <c r="AD28" s="3" t="n">
        <v>35734.0</v>
      </c>
      <c r="AE28" s="3" t="n">
        <v>35664.0</v>
      </c>
      <c r="AF28" s="3" t="n">
        <v>35478.0</v>
      </c>
      <c r="AG28" s="3" t="n">
        <v>35291.0</v>
      </c>
      <c r="AH28" s="3" t="n">
        <v>35132.0</v>
      </c>
      <c r="AI28" s="3" t="n">
        <v>35040.0</v>
      </c>
      <c r="AJ28" s="3" t="n">
        <v>35048.0</v>
      </c>
      <c r="AK28" s="3" t="n">
        <v>35170.0</v>
      </c>
      <c r="AL28" s="3" t="n">
        <v>35338.0</v>
      </c>
      <c r="AM28" s="3" t="n">
        <v>35620.0</v>
      </c>
      <c r="AN28" s="3" t="n">
        <v>35921.0</v>
      </c>
      <c r="AO28" s="3" t="n">
        <v>36250.0</v>
      </c>
    </row>
    <row r="29" spans="1:41" x14ac:dyDescent="0.2">
      <c r="A29" s="122"/>
      <c r="B29" s="9">
        <v>20</v>
      </c>
      <c r="C29" s="3" t="n">
        <v>33051.0</v>
      </c>
      <c r="D29" s="3" t="n">
        <v>32264.0</v>
      </c>
      <c r="E29" s="3" t="n">
        <v>32564.0</v>
      </c>
      <c r="F29" s="3" t="n">
        <v>33528.0</v>
      </c>
      <c r="G29" s="3" t="n">
        <v>34173.0</v>
      </c>
      <c r="H29" s="3" t="n">
        <v>36364.0</v>
      </c>
      <c r="I29" s="3" t="n">
        <v>39540.0</v>
      </c>
      <c r="J29" s="3" t="n">
        <v>40636.0</v>
      </c>
      <c r="K29" s="3" t="n">
        <v>40623.0</v>
      </c>
      <c r="L29" s="3" t="n">
        <v>38987.0</v>
      </c>
      <c r="M29" s="3" t="n">
        <v>38962.0</v>
      </c>
      <c r="N29" s="3" t="n">
        <v>37795.0</v>
      </c>
      <c r="O29" s="3" t="n">
        <v>38253.0</v>
      </c>
      <c r="P29" s="3" t="n">
        <v>38682.0</v>
      </c>
      <c r="Q29" s="3" t="n">
        <v>39905.0</v>
      </c>
      <c r="R29" s="3" t="n">
        <v>41332.0</v>
      </c>
      <c r="S29" s="3" t="n">
        <v>40648.0</v>
      </c>
      <c r="T29" s="3" t="n">
        <v>39525.0</v>
      </c>
      <c r="U29" s="3" t="n">
        <v>37417.0</v>
      </c>
      <c r="V29" s="3" t="n">
        <v>36119.0</v>
      </c>
      <c r="W29" s="3" t="n">
        <v>33253.0</v>
      </c>
      <c r="X29" s="3" t="n">
        <v>34722.0</v>
      </c>
      <c r="Y29" s="3" t="n">
        <v>35234.0</v>
      </c>
      <c r="Z29" s="3" t="n">
        <v>35674.0</v>
      </c>
      <c r="AA29" s="3" t="n">
        <v>35832.0</v>
      </c>
      <c r="AB29" s="3" t="n">
        <v>35731.0</v>
      </c>
      <c r="AC29" s="3" t="n">
        <v>35705.0</v>
      </c>
      <c r="AD29" s="3" t="n">
        <v>35772.0</v>
      </c>
      <c r="AE29" s="3" t="n">
        <v>35735.0</v>
      </c>
      <c r="AF29" s="3" t="n">
        <v>35664.0</v>
      </c>
      <c r="AG29" s="3" t="n">
        <v>35478.0</v>
      </c>
      <c r="AH29" s="3" t="n">
        <v>35293.0</v>
      </c>
      <c r="AI29" s="3" t="n">
        <v>35135.0</v>
      </c>
      <c r="AJ29" s="3" t="n">
        <v>35043.0</v>
      </c>
      <c r="AK29" s="3" t="n">
        <v>35055.0</v>
      </c>
      <c r="AL29" s="3" t="n">
        <v>35179.0</v>
      </c>
      <c r="AM29" s="3" t="n">
        <v>35345.0</v>
      </c>
      <c r="AN29" s="3" t="n">
        <v>35625.0</v>
      </c>
      <c r="AO29" s="3" t="n">
        <v>35923.0</v>
      </c>
    </row>
    <row r="30" spans="1:41" x14ac:dyDescent="0.2">
      <c r="A30" s="122"/>
      <c r="B30" s="9">
        <v>21</v>
      </c>
      <c r="C30" s="3" t="n">
        <v>34495.0</v>
      </c>
      <c r="D30" s="3" t="n">
        <v>33047.0</v>
      </c>
      <c r="E30" s="3" t="n">
        <v>32263.0</v>
      </c>
      <c r="F30" s="3" t="n">
        <v>32576.0</v>
      </c>
      <c r="G30" s="3" t="n">
        <v>33547.0</v>
      </c>
      <c r="H30" s="3" t="n">
        <v>34307.0</v>
      </c>
      <c r="I30" s="3" t="n">
        <v>36549.0</v>
      </c>
      <c r="J30" s="3" t="n">
        <v>39637.0</v>
      </c>
      <c r="K30" s="3" t="n">
        <v>40686.0</v>
      </c>
      <c r="L30" s="3" t="n">
        <v>40654.0</v>
      </c>
      <c r="M30" s="3" t="n">
        <v>39005.0</v>
      </c>
      <c r="N30" s="3" t="n">
        <v>38974.0</v>
      </c>
      <c r="O30" s="3" t="n">
        <v>37804.0</v>
      </c>
      <c r="P30" s="3" t="n">
        <v>38263.0</v>
      </c>
      <c r="Q30" s="3" t="n">
        <v>38690.0</v>
      </c>
      <c r="R30" s="3" t="n">
        <v>39912.0</v>
      </c>
      <c r="S30" s="3" t="n">
        <v>41337.0</v>
      </c>
      <c r="T30" s="3" t="n">
        <v>40648.0</v>
      </c>
      <c r="U30" s="3" t="n">
        <v>39524.0</v>
      </c>
      <c r="V30" s="3" t="n">
        <v>37415.0</v>
      </c>
      <c r="W30" s="3" t="n">
        <v>36120.0</v>
      </c>
      <c r="X30" s="3" t="n">
        <v>33260.0</v>
      </c>
      <c r="Y30" s="3" t="n">
        <v>34726.0</v>
      </c>
      <c r="Z30" s="3" t="n">
        <v>35237.0</v>
      </c>
      <c r="AA30" s="3" t="n">
        <v>35675.0</v>
      </c>
      <c r="AB30" s="3" t="n">
        <v>35832.0</v>
      </c>
      <c r="AC30" s="3" t="n">
        <v>35734.0</v>
      </c>
      <c r="AD30" s="3" t="n">
        <v>35708.0</v>
      </c>
      <c r="AE30" s="3" t="n">
        <v>35775.0</v>
      </c>
      <c r="AF30" s="3" t="n">
        <v>35738.0</v>
      </c>
      <c r="AG30" s="3" t="n">
        <v>35666.0</v>
      </c>
      <c r="AH30" s="3" t="n">
        <v>35483.0</v>
      </c>
      <c r="AI30" s="3" t="n">
        <v>35300.0</v>
      </c>
      <c r="AJ30" s="3" t="n">
        <v>35141.0</v>
      </c>
      <c r="AK30" s="3" t="n">
        <v>35052.0</v>
      </c>
      <c r="AL30" s="3" t="n">
        <v>35067.0</v>
      </c>
      <c r="AM30" s="3" t="n">
        <v>35188.0</v>
      </c>
      <c r="AN30" s="3" t="n">
        <v>35357.0</v>
      </c>
      <c r="AO30" s="3" t="n">
        <v>35637.0</v>
      </c>
    </row>
    <row r="31" spans="1:41" x14ac:dyDescent="0.2">
      <c r="A31" s="122"/>
      <c r="B31" s="9">
        <v>22</v>
      </c>
      <c r="C31" s="3" t="n">
        <v>36374.0</v>
      </c>
      <c r="D31" s="3" t="n">
        <v>34495.0</v>
      </c>
      <c r="E31" s="3" t="n">
        <v>33057.0</v>
      </c>
      <c r="F31" s="3" t="n">
        <v>32281.0</v>
      </c>
      <c r="G31" s="3" t="n">
        <v>32602.0</v>
      </c>
      <c r="H31" s="3" t="n">
        <v>33688.0</v>
      </c>
      <c r="I31" s="3" t="n">
        <v>34497.0</v>
      </c>
      <c r="J31" s="3" t="n">
        <v>36653.0</v>
      </c>
      <c r="K31" s="3" t="n">
        <v>39691.0</v>
      </c>
      <c r="L31" s="3" t="n">
        <v>40726.0</v>
      </c>
      <c r="M31" s="3" t="n">
        <v>40683.0</v>
      </c>
      <c r="N31" s="3" t="n">
        <v>39025.0</v>
      </c>
      <c r="O31" s="3" t="n">
        <v>38997.0</v>
      </c>
      <c r="P31" s="3" t="n">
        <v>37824.0</v>
      </c>
      <c r="Q31" s="3" t="n">
        <v>38290.0</v>
      </c>
      <c r="R31" s="3" t="n">
        <v>38714.0</v>
      </c>
      <c r="S31" s="3" t="n">
        <v>39929.0</v>
      </c>
      <c r="T31" s="3" t="n">
        <v>41356.0</v>
      </c>
      <c r="U31" s="3" t="n">
        <v>40666.0</v>
      </c>
      <c r="V31" s="3" t="n">
        <v>39532.0</v>
      </c>
      <c r="W31" s="3" t="n">
        <v>37428.0</v>
      </c>
      <c r="X31" s="3" t="n">
        <v>36124.0</v>
      </c>
      <c r="Y31" s="3" t="n">
        <v>33272.0</v>
      </c>
      <c r="Z31" s="3" t="n">
        <v>34734.0</v>
      </c>
      <c r="AA31" s="3" t="n">
        <v>35245.0</v>
      </c>
      <c r="AB31" s="3" t="n">
        <v>35682.0</v>
      </c>
      <c r="AC31" s="3" t="n">
        <v>35835.0</v>
      </c>
      <c r="AD31" s="3" t="n">
        <v>35739.0</v>
      </c>
      <c r="AE31" s="3" t="n">
        <v>35712.0</v>
      </c>
      <c r="AF31" s="3" t="n">
        <v>35780.0</v>
      </c>
      <c r="AG31" s="3" t="n">
        <v>35744.0</v>
      </c>
      <c r="AH31" s="3" t="n">
        <v>35674.0</v>
      </c>
      <c r="AI31" s="3" t="n">
        <v>35491.0</v>
      </c>
      <c r="AJ31" s="3" t="n">
        <v>35312.0</v>
      </c>
      <c r="AK31" s="3" t="n">
        <v>35155.0</v>
      </c>
      <c r="AL31" s="3" t="n">
        <v>35064.0</v>
      </c>
      <c r="AM31" s="3" t="n">
        <v>35082.0</v>
      </c>
      <c r="AN31" s="3" t="n">
        <v>35207.0</v>
      </c>
      <c r="AO31" s="3" t="n">
        <v>35374.0</v>
      </c>
    </row>
    <row r="32" spans="1:41" x14ac:dyDescent="0.2">
      <c r="A32" s="122"/>
      <c r="B32" s="9">
        <v>23</v>
      </c>
      <c r="C32" s="3" t="n">
        <v>36564.0</v>
      </c>
      <c r="D32" s="3" t="n">
        <v>36381.0</v>
      </c>
      <c r="E32" s="3" t="n">
        <v>34507.0</v>
      </c>
      <c r="F32" s="3" t="n">
        <v>33082.0</v>
      </c>
      <c r="G32" s="3" t="n">
        <v>32318.0</v>
      </c>
      <c r="H32" s="3" t="n">
        <v>32767.0</v>
      </c>
      <c r="I32" s="3" t="n">
        <v>33901.0</v>
      </c>
      <c r="J32" s="3" t="n">
        <v>34620.0</v>
      </c>
      <c r="K32" s="3" t="n">
        <v>36736.0</v>
      </c>
      <c r="L32" s="3" t="n">
        <v>39752.0</v>
      </c>
      <c r="M32" s="3" t="n">
        <v>40783.0</v>
      </c>
      <c r="N32" s="3" t="n">
        <v>40731.0</v>
      </c>
      <c r="O32" s="3" t="n">
        <v>39066.0</v>
      </c>
      <c r="P32" s="3" t="n">
        <v>39035.0</v>
      </c>
      <c r="Q32" s="3" t="n">
        <v>37865.0</v>
      </c>
      <c r="R32" s="3" t="n">
        <v>38328.0</v>
      </c>
      <c r="S32" s="3" t="n">
        <v>38750.0</v>
      </c>
      <c r="T32" s="3" t="n">
        <v>39969.0</v>
      </c>
      <c r="U32" s="3" t="n">
        <v>41395.0</v>
      </c>
      <c r="V32" s="3" t="n">
        <v>40701.0</v>
      </c>
      <c r="W32" s="3" t="n">
        <v>39560.0</v>
      </c>
      <c r="X32" s="3" t="n">
        <v>37453.0</v>
      </c>
      <c r="Y32" s="3" t="n">
        <v>36149.0</v>
      </c>
      <c r="Z32" s="3" t="n">
        <v>33291.0</v>
      </c>
      <c r="AA32" s="3" t="n">
        <v>34758.0</v>
      </c>
      <c r="AB32" s="3" t="n">
        <v>35262.0</v>
      </c>
      <c r="AC32" s="3" t="n">
        <v>35703.0</v>
      </c>
      <c r="AD32" s="3" t="n">
        <v>35853.0</v>
      </c>
      <c r="AE32" s="3" t="n">
        <v>35757.0</v>
      </c>
      <c r="AF32" s="3" t="n">
        <v>35730.0</v>
      </c>
      <c r="AG32" s="3" t="n">
        <v>35799.0</v>
      </c>
      <c r="AH32" s="3" t="n">
        <v>35763.0</v>
      </c>
      <c r="AI32" s="3" t="n">
        <v>35693.0</v>
      </c>
      <c r="AJ32" s="3" t="n">
        <v>35512.0</v>
      </c>
      <c r="AK32" s="3" t="n">
        <v>35335.0</v>
      </c>
      <c r="AL32" s="3" t="n">
        <v>35180.0</v>
      </c>
      <c r="AM32" s="3" t="n">
        <v>35088.0</v>
      </c>
      <c r="AN32" s="3" t="n">
        <v>35110.0</v>
      </c>
      <c r="AO32" s="3" t="n">
        <v>35236.0</v>
      </c>
    </row>
    <row r="33" spans="1:41" x14ac:dyDescent="0.2">
      <c r="A33" s="122"/>
      <c r="B33" s="9">
        <v>24</v>
      </c>
      <c r="C33" s="3" t="n">
        <v>38165.0</v>
      </c>
      <c r="D33" s="3" t="n">
        <v>36626.0</v>
      </c>
      <c r="E33" s="3" t="n">
        <v>36448.0</v>
      </c>
      <c r="F33" s="3" t="n">
        <v>34582.0</v>
      </c>
      <c r="G33" s="3" t="n">
        <v>33167.0</v>
      </c>
      <c r="H33" s="3" t="n">
        <v>32530.0</v>
      </c>
      <c r="I33" s="3" t="n">
        <v>33032.0</v>
      </c>
      <c r="J33" s="3" t="n">
        <v>34078.0</v>
      </c>
      <c r="K33" s="3" t="n">
        <v>34763.0</v>
      </c>
      <c r="L33" s="3" t="n">
        <v>36862.0</v>
      </c>
      <c r="M33" s="3" t="n">
        <v>39872.0</v>
      </c>
      <c r="N33" s="3" t="n">
        <v>40906.0</v>
      </c>
      <c r="O33" s="3" t="n">
        <v>40846.0</v>
      </c>
      <c r="P33" s="3" t="n">
        <v>39175.0</v>
      </c>
      <c r="Q33" s="3" t="n">
        <v>39139.0</v>
      </c>
      <c r="R33" s="3" t="n">
        <v>37972.0</v>
      </c>
      <c r="S33" s="3" t="n">
        <v>38432.0</v>
      </c>
      <c r="T33" s="3" t="n">
        <v>38854.0</v>
      </c>
      <c r="U33" s="3" t="n">
        <v>40072.0</v>
      </c>
      <c r="V33" s="3" t="n">
        <v>41494.0</v>
      </c>
      <c r="W33" s="3" t="n">
        <v>40793.0</v>
      </c>
      <c r="X33" s="3" t="n">
        <v>39652.0</v>
      </c>
      <c r="Y33" s="3" t="n">
        <v>37537.0</v>
      </c>
      <c r="Z33" s="3" t="n">
        <v>36226.0</v>
      </c>
      <c r="AA33" s="3" t="n">
        <v>33366.0</v>
      </c>
      <c r="AB33" s="3" t="n">
        <v>34831.0</v>
      </c>
      <c r="AC33" s="3" t="n">
        <v>35332.0</v>
      </c>
      <c r="AD33" s="3" t="n">
        <v>35772.0</v>
      </c>
      <c r="AE33" s="3" t="n">
        <v>35921.0</v>
      </c>
      <c r="AF33" s="3" t="n">
        <v>35823.0</v>
      </c>
      <c r="AG33" s="3" t="n">
        <v>35798.0</v>
      </c>
      <c r="AH33" s="3" t="n">
        <v>35868.0</v>
      </c>
      <c r="AI33" s="3" t="n">
        <v>35835.0</v>
      </c>
      <c r="AJ33" s="3" t="n">
        <v>35770.0</v>
      </c>
      <c r="AK33" s="3" t="n">
        <v>35591.0</v>
      </c>
      <c r="AL33" s="3" t="n">
        <v>35413.0</v>
      </c>
      <c r="AM33" s="3" t="n">
        <v>35262.0</v>
      </c>
      <c r="AN33" s="3" t="n">
        <v>35172.0</v>
      </c>
      <c r="AO33" s="3" t="n">
        <v>35197.0</v>
      </c>
    </row>
    <row r="34" spans="1:41" x14ac:dyDescent="0.2">
      <c r="A34" s="122"/>
      <c r="B34" s="9">
        <v>25</v>
      </c>
      <c r="C34" s="3" t="n">
        <v>39435.0</v>
      </c>
      <c r="D34" s="3" t="n">
        <v>38299.0</v>
      </c>
      <c r="E34" s="3" t="n">
        <v>36755.0</v>
      </c>
      <c r="F34" s="3" t="n">
        <v>36582.0</v>
      </c>
      <c r="G34" s="3" t="n">
        <v>34733.0</v>
      </c>
      <c r="H34" s="3" t="n">
        <v>33465.0</v>
      </c>
      <c r="I34" s="3" t="n">
        <v>32882.0</v>
      </c>
      <c r="J34" s="3" t="n">
        <v>33289.0</v>
      </c>
      <c r="K34" s="3" t="n">
        <v>34292.0</v>
      </c>
      <c r="L34" s="3" t="n">
        <v>34978.0</v>
      </c>
      <c r="M34" s="3" t="n">
        <v>37077.0</v>
      </c>
      <c r="N34" s="3" t="n">
        <v>40082.0</v>
      </c>
      <c r="O34" s="3" t="n">
        <v>41116.0</v>
      </c>
      <c r="P34" s="3" t="n">
        <v>41046.0</v>
      </c>
      <c r="Q34" s="3" t="n">
        <v>39359.0</v>
      </c>
      <c r="R34" s="3" t="n">
        <v>39324.0</v>
      </c>
      <c r="S34" s="3" t="n">
        <v>38154.0</v>
      </c>
      <c r="T34" s="3" t="n">
        <v>38617.0</v>
      </c>
      <c r="U34" s="3" t="n">
        <v>39037.0</v>
      </c>
      <c r="V34" s="3" t="n">
        <v>40254.0</v>
      </c>
      <c r="W34" s="3" t="n">
        <v>41675.0</v>
      </c>
      <c r="X34" s="3" t="n">
        <v>40962.0</v>
      </c>
      <c r="Y34" s="3" t="n">
        <v>39813.0</v>
      </c>
      <c r="Z34" s="3" t="n">
        <v>37686.0</v>
      </c>
      <c r="AA34" s="3" t="n">
        <v>36371.0</v>
      </c>
      <c r="AB34" s="3" t="n">
        <v>33503.0</v>
      </c>
      <c r="AC34" s="3" t="n">
        <v>34967.0</v>
      </c>
      <c r="AD34" s="3" t="n">
        <v>35466.0</v>
      </c>
      <c r="AE34" s="3" t="n">
        <v>35904.0</v>
      </c>
      <c r="AF34" s="3" t="n">
        <v>36053.0</v>
      </c>
      <c r="AG34" s="3" t="n">
        <v>35958.0</v>
      </c>
      <c r="AH34" s="3" t="n">
        <v>35933.0</v>
      </c>
      <c r="AI34" s="3" t="n">
        <v>36004.0</v>
      </c>
      <c r="AJ34" s="3" t="n">
        <v>35973.0</v>
      </c>
      <c r="AK34" s="3" t="n">
        <v>35908.0</v>
      </c>
      <c r="AL34" s="3" t="n">
        <v>35731.0</v>
      </c>
      <c r="AM34" s="3" t="n">
        <v>35552.0</v>
      </c>
      <c r="AN34" s="3" t="n">
        <v>35405.0</v>
      </c>
      <c r="AO34" s="3" t="n">
        <v>35318.0</v>
      </c>
    </row>
    <row r="35" spans="1:41" x14ac:dyDescent="0.2">
      <c r="A35" s="122"/>
      <c r="B35" s="9">
        <v>26</v>
      </c>
      <c r="C35" s="3" t="n">
        <v>41417.0</v>
      </c>
      <c r="D35" s="3" t="n">
        <v>39615.0</v>
      </c>
      <c r="E35" s="3" t="n">
        <v>38474.0</v>
      </c>
      <c r="F35" s="3" t="n">
        <v>36923.0</v>
      </c>
      <c r="G35" s="3" t="n">
        <v>36757.0</v>
      </c>
      <c r="H35" s="3" t="n">
        <v>35062.0</v>
      </c>
      <c r="I35" s="3" t="n">
        <v>33871.0</v>
      </c>
      <c r="J35" s="3" t="n">
        <v>33180.0</v>
      </c>
      <c r="K35" s="3" t="n">
        <v>33536.0</v>
      </c>
      <c r="L35" s="3" t="n">
        <v>34536.0</v>
      </c>
      <c r="M35" s="3" t="n">
        <v>35223.0</v>
      </c>
      <c r="N35" s="3" t="n">
        <v>37331.0</v>
      </c>
      <c r="O35" s="3" t="n">
        <v>40335.0</v>
      </c>
      <c r="P35" s="3" t="n">
        <v>41366.0</v>
      </c>
      <c r="Q35" s="3" t="n">
        <v>41290.0</v>
      </c>
      <c r="R35" s="3" t="n">
        <v>39601.0</v>
      </c>
      <c r="S35" s="3" t="n">
        <v>39560.0</v>
      </c>
      <c r="T35" s="3" t="n">
        <v>38386.0</v>
      </c>
      <c r="U35" s="3" t="n">
        <v>38844.0</v>
      </c>
      <c r="V35" s="3" t="n">
        <v>39263.0</v>
      </c>
      <c r="W35" s="3" t="n">
        <v>40483.0</v>
      </c>
      <c r="X35" s="3" t="n">
        <v>41903.0</v>
      </c>
      <c r="Y35" s="3" t="n">
        <v>41178.0</v>
      </c>
      <c r="Z35" s="3" t="n">
        <v>40019.0</v>
      </c>
      <c r="AA35" s="3" t="n">
        <v>37861.0</v>
      </c>
      <c r="AB35" s="3" t="n">
        <v>36540.0</v>
      </c>
      <c r="AC35" s="3" t="n">
        <v>33668.0</v>
      </c>
      <c r="AD35" s="3" t="n">
        <v>35124.0</v>
      </c>
      <c r="AE35" s="3" t="n">
        <v>35623.0</v>
      </c>
      <c r="AF35" s="3" t="n">
        <v>36062.0</v>
      </c>
      <c r="AG35" s="3" t="n">
        <v>36209.0</v>
      </c>
      <c r="AH35" s="3" t="n">
        <v>36114.0</v>
      </c>
      <c r="AI35" s="3" t="n">
        <v>36090.0</v>
      </c>
      <c r="AJ35" s="3" t="n">
        <v>36163.0</v>
      </c>
      <c r="AK35" s="3" t="n">
        <v>36133.0</v>
      </c>
      <c r="AL35" s="3" t="n">
        <v>36071.0</v>
      </c>
      <c r="AM35" s="3" t="n">
        <v>35896.0</v>
      </c>
      <c r="AN35" s="3" t="n">
        <v>35721.0</v>
      </c>
      <c r="AO35" s="3" t="n">
        <v>35575.0</v>
      </c>
    </row>
    <row r="36" spans="1:41" x14ac:dyDescent="0.2">
      <c r="A36" s="122"/>
      <c r="B36" s="9">
        <v>27</v>
      </c>
      <c r="C36" s="3" t="n">
        <v>43285.0</v>
      </c>
      <c r="D36" s="3" t="n">
        <v>41603.0</v>
      </c>
      <c r="E36" s="3" t="n">
        <v>39801.0</v>
      </c>
      <c r="F36" s="3" t="n">
        <v>38660.0</v>
      </c>
      <c r="G36" s="3" t="n">
        <v>37111.0</v>
      </c>
      <c r="H36" s="3" t="n">
        <v>37105.0</v>
      </c>
      <c r="I36" s="3" t="n">
        <v>35471.0</v>
      </c>
      <c r="J36" s="3" t="n">
        <v>34171.0</v>
      </c>
      <c r="K36" s="3" t="n">
        <v>33435.0</v>
      </c>
      <c r="L36" s="3" t="n">
        <v>33774.0</v>
      </c>
      <c r="M36" s="3" t="n">
        <v>34777.0</v>
      </c>
      <c r="N36" s="3" t="n">
        <v>35473.0</v>
      </c>
      <c r="O36" s="3" t="n">
        <v>37588.0</v>
      </c>
      <c r="P36" s="3" t="n">
        <v>40610.0</v>
      </c>
      <c r="Q36" s="3" t="n">
        <v>41648.0</v>
      </c>
      <c r="R36" s="3" t="n">
        <v>41552.0</v>
      </c>
      <c r="S36" s="3" t="n">
        <v>39852.0</v>
      </c>
      <c r="T36" s="3" t="n">
        <v>39808.0</v>
      </c>
      <c r="U36" s="3" t="n">
        <v>38626.0</v>
      </c>
      <c r="V36" s="3" t="n">
        <v>39084.0</v>
      </c>
      <c r="W36" s="3" t="n">
        <v>39498.0</v>
      </c>
      <c r="X36" s="3" t="n">
        <v>40721.0</v>
      </c>
      <c r="Y36" s="3" t="n">
        <v>42142.0</v>
      </c>
      <c r="Z36" s="3" t="n">
        <v>41405.0</v>
      </c>
      <c r="AA36" s="3" t="n">
        <v>40234.0</v>
      </c>
      <c r="AB36" s="3" t="n">
        <v>38069.0</v>
      </c>
      <c r="AC36" s="3" t="n">
        <v>36720.0</v>
      </c>
      <c r="AD36" s="3" t="n">
        <v>33854.0</v>
      </c>
      <c r="AE36" s="3" t="n">
        <v>35304.0</v>
      </c>
      <c r="AF36" s="3" t="n">
        <v>35798.0</v>
      </c>
      <c r="AG36" s="3" t="n">
        <v>36237.0</v>
      </c>
      <c r="AH36" s="3" t="n">
        <v>36382.0</v>
      </c>
      <c r="AI36" s="3" t="n">
        <v>36288.0</v>
      </c>
      <c r="AJ36" s="3" t="n">
        <v>36265.0</v>
      </c>
      <c r="AK36" s="3" t="n">
        <v>36339.0</v>
      </c>
      <c r="AL36" s="3" t="n">
        <v>36312.0</v>
      </c>
      <c r="AM36" s="3" t="n">
        <v>36254.0</v>
      </c>
      <c r="AN36" s="3" t="n">
        <v>36084.0</v>
      </c>
      <c r="AO36" s="3" t="n">
        <v>35913.0</v>
      </c>
    </row>
    <row r="37" spans="1:41" x14ac:dyDescent="0.2">
      <c r="A37" s="122"/>
      <c r="B37" s="9">
        <v>28</v>
      </c>
      <c r="C37" s="3" t="n">
        <v>46274.0</v>
      </c>
      <c r="D37" s="3" t="n">
        <v>43471.0</v>
      </c>
      <c r="E37" s="3" t="n">
        <v>41797.0</v>
      </c>
      <c r="F37" s="3" t="n">
        <v>39993.0</v>
      </c>
      <c r="G37" s="3" t="n">
        <v>38857.0</v>
      </c>
      <c r="H37" s="3" t="n">
        <v>37456.0</v>
      </c>
      <c r="I37" s="3" t="n">
        <v>37521.0</v>
      </c>
      <c r="J37" s="3" t="n">
        <v>35782.0</v>
      </c>
      <c r="K37" s="3" t="n">
        <v>34430.0</v>
      </c>
      <c r="L37" s="3" t="n">
        <v>33688.0</v>
      </c>
      <c r="M37" s="3" t="n">
        <v>34025.0</v>
      </c>
      <c r="N37" s="3" t="n">
        <v>35027.0</v>
      </c>
      <c r="O37" s="3" t="n">
        <v>35742.0</v>
      </c>
      <c r="P37" s="3" t="n">
        <v>37867.0</v>
      </c>
      <c r="Q37" s="3" t="n">
        <v>40891.0</v>
      </c>
      <c r="R37" s="3" t="n">
        <v>41929.0</v>
      </c>
      <c r="S37" s="3" t="n">
        <v>41829.0</v>
      </c>
      <c r="T37" s="3" t="n">
        <v>40110.0</v>
      </c>
      <c r="U37" s="3" t="n">
        <v>40055.0</v>
      </c>
      <c r="V37" s="3" t="n">
        <v>38879.0</v>
      </c>
      <c r="W37" s="3" t="n">
        <v>39341.0</v>
      </c>
      <c r="X37" s="3" t="n">
        <v>39747.0</v>
      </c>
      <c r="Y37" s="3" t="n">
        <v>40975.0</v>
      </c>
      <c r="Z37" s="3" t="n">
        <v>42392.0</v>
      </c>
      <c r="AA37" s="3" t="n">
        <v>41638.0</v>
      </c>
      <c r="AB37" s="3" t="n">
        <v>40464.0</v>
      </c>
      <c r="AC37" s="3" t="n">
        <v>38283.0</v>
      </c>
      <c r="AD37" s="3" t="n">
        <v>36921.0</v>
      </c>
      <c r="AE37" s="3" t="n">
        <v>34052.0</v>
      </c>
      <c r="AF37" s="3" t="n">
        <v>35495.0</v>
      </c>
      <c r="AG37" s="3" t="n">
        <v>35986.0</v>
      </c>
      <c r="AH37" s="3" t="n">
        <v>36426.0</v>
      </c>
      <c r="AI37" s="3" t="n">
        <v>36574.0</v>
      </c>
      <c r="AJ37" s="3" t="n">
        <v>36482.0</v>
      </c>
      <c r="AK37" s="3" t="n">
        <v>36460.0</v>
      </c>
      <c r="AL37" s="3" t="n">
        <v>36535.0</v>
      </c>
      <c r="AM37" s="3" t="n">
        <v>36510.0</v>
      </c>
      <c r="AN37" s="3" t="n">
        <v>36450.0</v>
      </c>
      <c r="AO37" s="3" t="n">
        <v>36284.0</v>
      </c>
    </row>
    <row r="38" spans="1:41" x14ac:dyDescent="0.2">
      <c r="A38" s="122"/>
      <c r="B38" s="9">
        <v>29</v>
      </c>
      <c r="C38" s="3" t="n">
        <v>47951.0</v>
      </c>
      <c r="D38" s="3" t="n">
        <v>46483.0</v>
      </c>
      <c r="E38" s="3" t="n">
        <v>43684.0</v>
      </c>
      <c r="F38" s="3" t="n">
        <v>42011.0</v>
      </c>
      <c r="G38" s="3" t="n">
        <v>40204.0</v>
      </c>
      <c r="H38" s="3" t="n">
        <v>39216.0</v>
      </c>
      <c r="I38" s="3" t="n">
        <v>37874.0</v>
      </c>
      <c r="J38" s="3" t="n">
        <v>37836.0</v>
      </c>
      <c r="K38" s="3" t="n">
        <v>36046.0</v>
      </c>
      <c r="L38" s="3" t="n">
        <v>34671.0</v>
      </c>
      <c r="M38" s="3" t="n">
        <v>33931.0</v>
      </c>
      <c r="N38" s="3" t="n">
        <v>34275.0</v>
      </c>
      <c r="O38" s="3" t="n">
        <v>35278.0</v>
      </c>
      <c r="P38" s="3" t="n">
        <v>36011.0</v>
      </c>
      <c r="Q38" s="3" t="n">
        <v>38149.0</v>
      </c>
      <c r="R38" s="3" t="n">
        <v>41175.0</v>
      </c>
      <c r="S38" s="3" t="n">
        <v>42216.0</v>
      </c>
      <c r="T38" s="3" t="n">
        <v>42111.0</v>
      </c>
      <c r="U38" s="3" t="n">
        <v>40384.0</v>
      </c>
      <c r="V38" s="3" t="n">
        <v>40320.0</v>
      </c>
      <c r="W38" s="3" t="n">
        <v>39138.0</v>
      </c>
      <c r="X38" s="3" t="n">
        <v>39603.0</v>
      </c>
      <c r="Y38" s="3" t="n">
        <v>40012.0</v>
      </c>
      <c r="Z38" s="3" t="n">
        <v>41235.0</v>
      </c>
      <c r="AA38" s="3" t="n">
        <v>42654.0</v>
      </c>
      <c r="AB38" s="3" t="n">
        <v>41880.0</v>
      </c>
      <c r="AC38" s="3" t="n">
        <v>40696.0</v>
      </c>
      <c r="AD38" s="3" t="n">
        <v>38510.0</v>
      </c>
      <c r="AE38" s="3" t="n">
        <v>37133.0</v>
      </c>
      <c r="AF38" s="3" t="n">
        <v>34261.0</v>
      </c>
      <c r="AG38" s="3" t="n">
        <v>35701.0</v>
      </c>
      <c r="AH38" s="3" t="n">
        <v>36183.0</v>
      </c>
      <c r="AI38" s="3" t="n">
        <v>36624.0</v>
      </c>
      <c r="AJ38" s="3" t="n">
        <v>36774.0</v>
      </c>
      <c r="AK38" s="3" t="n">
        <v>36684.0</v>
      </c>
      <c r="AL38" s="3" t="n">
        <v>36662.0</v>
      </c>
      <c r="AM38" s="3" t="n">
        <v>36741.0</v>
      </c>
      <c r="AN38" s="3" t="n">
        <v>36716.0</v>
      </c>
      <c r="AO38" s="3" t="n">
        <v>36657.0</v>
      </c>
    </row>
    <row r="39" spans="1:41" x14ac:dyDescent="0.2">
      <c r="A39" s="122"/>
      <c r="B39" s="9">
        <v>30</v>
      </c>
      <c r="C39" s="3" t="n">
        <v>50504.0</v>
      </c>
      <c r="D39" s="3" t="n">
        <v>48156.0</v>
      </c>
      <c r="E39" s="3" t="n">
        <v>46690.0</v>
      </c>
      <c r="F39" s="3" t="n">
        <v>43882.0</v>
      </c>
      <c r="G39" s="3" t="n">
        <v>42225.0</v>
      </c>
      <c r="H39" s="3" t="n">
        <v>40614.0</v>
      </c>
      <c r="I39" s="3" t="n">
        <v>39684.0</v>
      </c>
      <c r="J39" s="3" t="n">
        <v>38197.0</v>
      </c>
      <c r="K39" s="3" t="n">
        <v>38100.0</v>
      </c>
      <c r="L39" s="3" t="n">
        <v>36290.0</v>
      </c>
      <c r="M39" s="3" t="n">
        <v>34913.0</v>
      </c>
      <c r="N39" s="3" t="n">
        <v>34170.0</v>
      </c>
      <c r="O39" s="3" t="n">
        <v>34520.0</v>
      </c>
      <c r="P39" s="3" t="n">
        <v>35535.0</v>
      </c>
      <c r="Q39" s="3" t="n">
        <v>36282.0</v>
      </c>
      <c r="R39" s="3" t="n">
        <v>38433.0</v>
      </c>
      <c r="S39" s="3" t="n">
        <v>41462.0</v>
      </c>
      <c r="T39" s="3" t="n">
        <v>42502.0</v>
      </c>
      <c r="U39" s="3" t="n">
        <v>42395.0</v>
      </c>
      <c r="V39" s="3" t="n">
        <v>40661.0</v>
      </c>
      <c r="W39" s="3" t="n">
        <v>40590.0</v>
      </c>
      <c r="X39" s="3" t="n">
        <v>39400.0</v>
      </c>
      <c r="Y39" s="3" t="n">
        <v>39866.0</v>
      </c>
      <c r="Z39" s="3" t="n">
        <v>40272.0</v>
      </c>
      <c r="AA39" s="3" t="n">
        <v>41500.0</v>
      </c>
      <c r="AB39" s="3" t="n">
        <v>42915.0</v>
      </c>
      <c r="AC39" s="3" t="n">
        <v>42126.0</v>
      </c>
      <c r="AD39" s="3" t="n">
        <v>40922.0</v>
      </c>
      <c r="AE39" s="3" t="n">
        <v>38731.0</v>
      </c>
      <c r="AF39" s="3" t="n">
        <v>37340.0</v>
      </c>
      <c r="AG39" s="3" t="n">
        <v>34466.0</v>
      </c>
      <c r="AH39" s="3" t="n">
        <v>35902.0</v>
      </c>
      <c r="AI39" s="3" t="n">
        <v>36383.0</v>
      </c>
      <c r="AJ39" s="3" t="n">
        <v>36827.0</v>
      </c>
      <c r="AK39" s="3" t="n">
        <v>36977.0</v>
      </c>
      <c r="AL39" s="3" t="n">
        <v>36887.0</v>
      </c>
      <c r="AM39" s="3" t="n">
        <v>36868.0</v>
      </c>
      <c r="AN39" s="3" t="n">
        <v>36947.0</v>
      </c>
      <c r="AO39" s="3" t="n">
        <v>36925.0</v>
      </c>
    </row>
    <row r="40" spans="1:41" x14ac:dyDescent="0.2">
      <c r="A40" s="122"/>
      <c r="B40" s="9">
        <v>31</v>
      </c>
      <c r="C40" s="3" t="n">
        <v>53194.0</v>
      </c>
      <c r="D40" s="3" t="n">
        <v>50664.0</v>
      </c>
      <c r="E40" s="3" t="n">
        <v>48338.0</v>
      </c>
      <c r="F40" s="3" t="n">
        <v>46876.0</v>
      </c>
      <c r="G40" s="3" t="n">
        <v>44065.0</v>
      </c>
      <c r="H40" s="3" t="n">
        <v>42627.0</v>
      </c>
      <c r="I40" s="3" t="n">
        <v>41109.0</v>
      </c>
      <c r="J40" s="3" t="n">
        <v>40006.0</v>
      </c>
      <c r="K40" s="3" t="n">
        <v>38439.0</v>
      </c>
      <c r="L40" s="3" t="n">
        <v>38312.0</v>
      </c>
      <c r="M40" s="3" t="n">
        <v>36498.0</v>
      </c>
      <c r="N40" s="3" t="n">
        <v>35127.0</v>
      </c>
      <c r="O40" s="3" t="n">
        <v>34380.0</v>
      </c>
      <c r="P40" s="3" t="n">
        <v>34738.0</v>
      </c>
      <c r="Q40" s="3" t="n">
        <v>35758.0</v>
      </c>
      <c r="R40" s="3" t="n">
        <v>36521.0</v>
      </c>
      <c r="S40" s="3" t="n">
        <v>38682.0</v>
      </c>
      <c r="T40" s="3" t="n">
        <v>41714.0</v>
      </c>
      <c r="U40" s="3" t="n">
        <v>42757.0</v>
      </c>
      <c r="V40" s="3" t="n">
        <v>42643.0</v>
      </c>
      <c r="W40" s="3" t="n">
        <v>40902.0</v>
      </c>
      <c r="X40" s="3" t="n">
        <v>40815.0</v>
      </c>
      <c r="Y40" s="3" t="n">
        <v>39635.0</v>
      </c>
      <c r="Z40" s="3" t="n">
        <v>40097.0</v>
      </c>
      <c r="AA40" s="3" t="n">
        <v>40501.0</v>
      </c>
      <c r="AB40" s="3" t="n">
        <v>41735.0</v>
      </c>
      <c r="AC40" s="3" t="n">
        <v>43149.0</v>
      </c>
      <c r="AD40" s="3" t="n">
        <v>42340.0</v>
      </c>
      <c r="AE40" s="3" t="n">
        <v>41125.0</v>
      </c>
      <c r="AF40" s="3" t="n">
        <v>38932.0</v>
      </c>
      <c r="AG40" s="3" t="n">
        <v>37525.0</v>
      </c>
      <c r="AH40" s="3" t="n">
        <v>34648.0</v>
      </c>
      <c r="AI40" s="3" t="n">
        <v>36083.0</v>
      </c>
      <c r="AJ40" s="3" t="n">
        <v>36558.0</v>
      </c>
      <c r="AK40" s="3" t="n">
        <v>37001.0</v>
      </c>
      <c r="AL40" s="3" t="n">
        <v>37155.0</v>
      </c>
      <c r="AM40" s="3" t="n">
        <v>37063.0</v>
      </c>
      <c r="AN40" s="3" t="n">
        <v>37042.0</v>
      </c>
      <c r="AO40" s="3" t="n">
        <v>37126.0</v>
      </c>
    </row>
    <row r="41" spans="1:41" x14ac:dyDescent="0.2">
      <c r="A41" s="122"/>
      <c r="B41" s="9">
        <v>32</v>
      </c>
      <c r="C41" s="3" t="n">
        <v>52733.0</v>
      </c>
      <c r="D41" s="3" t="n">
        <v>53331.0</v>
      </c>
      <c r="E41" s="3" t="n">
        <v>50799.0</v>
      </c>
      <c r="F41" s="3" t="n">
        <v>48479.0</v>
      </c>
      <c r="G41" s="3" t="n">
        <v>47029.0</v>
      </c>
      <c r="H41" s="3" t="n">
        <v>44441.0</v>
      </c>
      <c r="I41" s="3" t="n">
        <v>43091.0</v>
      </c>
      <c r="J41" s="3" t="n">
        <v>41404.0</v>
      </c>
      <c r="K41" s="3" t="n">
        <v>40214.0</v>
      </c>
      <c r="L41" s="3" t="n">
        <v>38623.0</v>
      </c>
      <c r="M41" s="3" t="n">
        <v>38485.0</v>
      </c>
      <c r="N41" s="3" t="n">
        <v>36667.0</v>
      </c>
      <c r="O41" s="3" t="n">
        <v>35303.0</v>
      </c>
      <c r="P41" s="3" t="n">
        <v>34567.0</v>
      </c>
      <c r="Q41" s="3" t="n">
        <v>34935.0</v>
      </c>
      <c r="R41" s="3" t="n">
        <v>35967.0</v>
      </c>
      <c r="S41" s="3" t="n">
        <v>36740.0</v>
      </c>
      <c r="T41" s="3" t="n">
        <v>38898.0</v>
      </c>
      <c r="U41" s="3" t="n">
        <v>41935.0</v>
      </c>
      <c r="V41" s="3" t="n">
        <v>42978.0</v>
      </c>
      <c r="W41" s="3" t="n">
        <v>42865.0</v>
      </c>
      <c r="X41" s="3" t="n">
        <v>41112.0</v>
      </c>
      <c r="Y41" s="3" t="n">
        <v>41027.0</v>
      </c>
      <c r="Z41" s="3" t="n">
        <v>39840.0</v>
      </c>
      <c r="AA41" s="3" t="n">
        <v>40301.0</v>
      </c>
      <c r="AB41" s="3" t="n">
        <v>40703.0</v>
      </c>
      <c r="AC41" s="3" t="n">
        <v>41929.0</v>
      </c>
      <c r="AD41" s="3" t="n">
        <v>43350.0</v>
      </c>
      <c r="AE41" s="3" t="n">
        <v>42536.0</v>
      </c>
      <c r="AF41" s="3" t="n">
        <v>41304.0</v>
      </c>
      <c r="AG41" s="3" t="n">
        <v>39103.0</v>
      </c>
      <c r="AH41" s="3" t="n">
        <v>37693.0</v>
      </c>
      <c r="AI41" s="3" t="n">
        <v>34812.0</v>
      </c>
      <c r="AJ41" s="3" t="n">
        <v>36241.0</v>
      </c>
      <c r="AK41" s="3" t="n">
        <v>36710.0</v>
      </c>
      <c r="AL41" s="3" t="n">
        <v>37156.0</v>
      </c>
      <c r="AM41" s="3" t="n">
        <v>37310.0</v>
      </c>
      <c r="AN41" s="3" t="n">
        <v>37216.0</v>
      </c>
      <c r="AO41" s="3" t="n">
        <v>37201.0</v>
      </c>
    </row>
    <row r="42" spans="1:41" x14ac:dyDescent="0.2">
      <c r="A42" s="122"/>
      <c r="B42" s="9">
        <v>33</v>
      </c>
      <c r="C42" s="3" t="n">
        <v>52796.0</v>
      </c>
      <c r="D42" s="3" t="n">
        <v>52846.0</v>
      </c>
      <c r="E42" s="3" t="n">
        <v>53431.0</v>
      </c>
      <c r="F42" s="3" t="n">
        <v>50902.0</v>
      </c>
      <c r="G42" s="3" t="n">
        <v>48588.0</v>
      </c>
      <c r="H42" s="3" t="n">
        <v>47359.0</v>
      </c>
      <c r="I42" s="3" t="n">
        <v>44865.0</v>
      </c>
      <c r="J42" s="3" t="n">
        <v>43346.0</v>
      </c>
      <c r="K42" s="3" t="n">
        <v>41585.0</v>
      </c>
      <c r="L42" s="3" t="n">
        <v>40366.0</v>
      </c>
      <c r="M42" s="3" t="n">
        <v>38758.0</v>
      </c>
      <c r="N42" s="3" t="n">
        <v>38621.0</v>
      </c>
      <c r="O42" s="3" t="n">
        <v>36805.0</v>
      </c>
      <c r="P42" s="3" t="n">
        <v>35440.0</v>
      </c>
      <c r="Q42" s="3" t="n">
        <v>34713.0</v>
      </c>
      <c r="R42" s="3" t="n">
        <v>35094.0</v>
      </c>
      <c r="S42" s="3" t="n">
        <v>36140.0</v>
      </c>
      <c r="T42" s="3" t="n">
        <v>36918.0</v>
      </c>
      <c r="U42" s="3" t="n">
        <v>39083.0</v>
      </c>
      <c r="V42" s="3" t="n">
        <v>42124.0</v>
      </c>
      <c r="W42" s="3" t="n">
        <v>43160.0</v>
      </c>
      <c r="X42" s="3" t="n">
        <v>43035.0</v>
      </c>
      <c r="Y42" s="3" t="n">
        <v>41288.0</v>
      </c>
      <c r="Z42" s="3" t="n">
        <v>41201.0</v>
      </c>
      <c r="AA42" s="3" t="n">
        <v>40014.0</v>
      </c>
      <c r="AB42" s="3" t="n">
        <v>40474.0</v>
      </c>
      <c r="AC42" s="3" t="n">
        <v>40873.0</v>
      </c>
      <c r="AD42" s="3" t="n">
        <v>42099.0</v>
      </c>
      <c r="AE42" s="3" t="n">
        <v>43524.0</v>
      </c>
      <c r="AF42" s="3" t="n">
        <v>42694.0</v>
      </c>
      <c r="AG42" s="3" t="n">
        <v>41448.0</v>
      </c>
      <c r="AH42" s="3" t="n">
        <v>39249.0</v>
      </c>
      <c r="AI42" s="3" t="n">
        <v>37835.0</v>
      </c>
      <c r="AJ42" s="3" t="n">
        <v>34952.0</v>
      </c>
      <c r="AK42" s="3" t="n">
        <v>36382.0</v>
      </c>
      <c r="AL42" s="3" t="n">
        <v>36850.0</v>
      </c>
      <c r="AM42" s="3" t="n">
        <v>37289.0</v>
      </c>
      <c r="AN42" s="3" t="n">
        <v>37446.0</v>
      </c>
      <c r="AO42" s="3" t="n">
        <v>37353.0</v>
      </c>
    </row>
    <row r="43" spans="1:41" x14ac:dyDescent="0.2">
      <c r="A43" s="122"/>
      <c r="B43" s="9">
        <v>34</v>
      </c>
      <c r="C43" s="3" t="n">
        <v>53778.0</v>
      </c>
      <c r="D43" s="3" t="n">
        <v>52902.0</v>
      </c>
      <c r="E43" s="3" t="n">
        <v>52946.0</v>
      </c>
      <c r="F43" s="3" t="n">
        <v>53523.0</v>
      </c>
      <c r="G43" s="3" t="n">
        <v>50989.0</v>
      </c>
      <c r="H43" s="3" t="n">
        <v>48916.0</v>
      </c>
      <c r="I43" s="3" t="n">
        <v>47763.0</v>
      </c>
      <c r="J43" s="3" t="n">
        <v>45111.0</v>
      </c>
      <c r="K43" s="3" t="n">
        <v>43511.0</v>
      </c>
      <c r="L43" s="3" t="n">
        <v>41724.0</v>
      </c>
      <c r="M43" s="3" t="n">
        <v>40485.0</v>
      </c>
      <c r="N43" s="3" t="n">
        <v>38872.0</v>
      </c>
      <c r="O43" s="3" t="n">
        <v>38738.0</v>
      </c>
      <c r="P43" s="3" t="n">
        <v>36928.0</v>
      </c>
      <c r="Q43" s="3" t="n">
        <v>35574.0</v>
      </c>
      <c r="R43" s="3" t="n">
        <v>34856.0</v>
      </c>
      <c r="S43" s="3" t="n">
        <v>35236.0</v>
      </c>
      <c r="T43" s="3" t="n">
        <v>36288.0</v>
      </c>
      <c r="U43" s="3" t="n">
        <v>37077.0</v>
      </c>
      <c r="V43" s="3" t="n">
        <v>39250.0</v>
      </c>
      <c r="W43" s="3" t="n">
        <v>42288.0</v>
      </c>
      <c r="X43" s="3" t="n">
        <v>43337.0</v>
      </c>
      <c r="Y43" s="3" t="n">
        <v>43198.0</v>
      </c>
      <c r="Z43" s="3" t="n">
        <v>41450.0</v>
      </c>
      <c r="AA43" s="3" t="n">
        <v>41356.0</v>
      </c>
      <c r="AB43" s="3" t="n">
        <v>40173.0</v>
      </c>
      <c r="AC43" s="3" t="n">
        <v>40636.0</v>
      </c>
      <c r="AD43" s="3" t="n">
        <v>41026.0</v>
      </c>
      <c r="AE43" s="3" t="n">
        <v>42255.0</v>
      </c>
      <c r="AF43" s="3" t="n">
        <v>43675.0</v>
      </c>
      <c r="AG43" s="3" t="n">
        <v>42839.0</v>
      </c>
      <c r="AH43" s="3" t="n">
        <v>41587.0</v>
      </c>
      <c r="AI43" s="3" t="n">
        <v>39385.0</v>
      </c>
      <c r="AJ43" s="3" t="n">
        <v>37966.0</v>
      </c>
      <c r="AK43" s="3" t="n">
        <v>35076.0</v>
      </c>
      <c r="AL43" s="3" t="n">
        <v>36508.0</v>
      </c>
      <c r="AM43" s="3" t="n">
        <v>36981.0</v>
      </c>
      <c r="AN43" s="3" t="n">
        <v>37419.0</v>
      </c>
      <c r="AO43" s="3" t="n">
        <v>37572.0</v>
      </c>
    </row>
    <row r="44" spans="1:41" x14ac:dyDescent="0.2">
      <c r="A44" s="122"/>
      <c r="B44" s="9">
        <v>35</v>
      </c>
      <c r="C44" s="3" t="n">
        <v>53842.0</v>
      </c>
      <c r="D44" s="3" t="n">
        <v>53846.0</v>
      </c>
      <c r="E44" s="3" t="n">
        <v>52968.0</v>
      </c>
      <c r="F44" s="3" t="n">
        <v>53013.0</v>
      </c>
      <c r="G44" s="3" t="n">
        <v>53591.0</v>
      </c>
      <c r="H44" s="3" t="n">
        <v>51309.0</v>
      </c>
      <c r="I44" s="3" t="n">
        <v>49321.0</v>
      </c>
      <c r="J44" s="3" t="n">
        <v>47993.0</v>
      </c>
      <c r="K44" s="3" t="n">
        <v>45237.0</v>
      </c>
      <c r="L44" s="3" t="n">
        <v>43617.0</v>
      </c>
      <c r="M44" s="3" t="n">
        <v>41822.0</v>
      </c>
      <c r="N44" s="3" t="n">
        <v>40569.0</v>
      </c>
      <c r="O44" s="3" t="n">
        <v>38963.0</v>
      </c>
      <c r="P44" s="3" t="n">
        <v>38836.0</v>
      </c>
      <c r="Q44" s="3" t="n">
        <v>37028.0</v>
      </c>
      <c r="R44" s="3" t="n">
        <v>35680.0</v>
      </c>
      <c r="S44" s="3" t="n">
        <v>34972.0</v>
      </c>
      <c r="T44" s="3" t="n">
        <v>35355.0</v>
      </c>
      <c r="U44" s="3" t="n">
        <v>36423.0</v>
      </c>
      <c r="V44" s="3" t="n">
        <v>37212.0</v>
      </c>
      <c r="W44" s="3" t="n">
        <v>39386.0</v>
      </c>
      <c r="X44" s="3" t="n">
        <v>42426.0</v>
      </c>
      <c r="Y44" s="3" t="n">
        <v>43470.0</v>
      </c>
      <c r="Z44" s="3" t="n">
        <v>43328.0</v>
      </c>
      <c r="AA44" s="3" t="n">
        <v>41575.0</v>
      </c>
      <c r="AB44" s="3" t="n">
        <v>41480.0</v>
      </c>
      <c r="AC44" s="3" t="n">
        <v>40298.0</v>
      </c>
      <c r="AD44" s="3" t="n">
        <v>40758.0</v>
      </c>
      <c r="AE44" s="3" t="n">
        <v>41149.0</v>
      </c>
      <c r="AF44" s="3" t="n">
        <v>42375.0</v>
      </c>
      <c r="AG44" s="3" t="n">
        <v>43794.0</v>
      </c>
      <c r="AH44" s="3" t="n">
        <v>42954.0</v>
      </c>
      <c r="AI44" s="3" t="n">
        <v>41694.0</v>
      </c>
      <c r="AJ44" s="3" t="n">
        <v>39497.0</v>
      </c>
      <c r="AK44" s="3" t="n">
        <v>38078.0</v>
      </c>
      <c r="AL44" s="3" t="n">
        <v>35183.0</v>
      </c>
      <c r="AM44" s="3" t="n">
        <v>36611.0</v>
      </c>
      <c r="AN44" s="3" t="n">
        <v>37083.0</v>
      </c>
      <c r="AO44" s="3" t="n">
        <v>37517.0</v>
      </c>
    </row>
    <row r="45" spans="1:41" x14ac:dyDescent="0.2">
      <c r="A45" s="122"/>
      <c r="B45" s="9">
        <v>36</v>
      </c>
      <c r="C45" s="3" t="n">
        <v>55407.0</v>
      </c>
      <c r="D45" s="3" t="n">
        <v>53881.0</v>
      </c>
      <c r="E45" s="3" t="n">
        <v>53892.0</v>
      </c>
      <c r="F45" s="3" t="n">
        <v>53015.0</v>
      </c>
      <c r="G45" s="3" t="n">
        <v>53048.0</v>
      </c>
      <c r="H45" s="3" t="n">
        <v>53885.0</v>
      </c>
      <c r="I45" s="3" t="n">
        <v>51698.0</v>
      </c>
      <c r="J45" s="3" t="n">
        <v>49517.0</v>
      </c>
      <c r="K45" s="3" t="n">
        <v>48086.0</v>
      </c>
      <c r="L45" s="3" t="n">
        <v>45305.0</v>
      </c>
      <c r="M45" s="3" t="n">
        <v>43681.0</v>
      </c>
      <c r="N45" s="3" t="n">
        <v>41879.0</v>
      </c>
      <c r="O45" s="3" t="n">
        <v>40615.0</v>
      </c>
      <c r="P45" s="3" t="n">
        <v>39015.0</v>
      </c>
      <c r="Q45" s="3" t="n">
        <v>38888.0</v>
      </c>
      <c r="R45" s="3" t="n">
        <v>37094.0</v>
      </c>
      <c r="S45" s="3" t="n">
        <v>35753.0</v>
      </c>
      <c r="T45" s="3" t="n">
        <v>35053.0</v>
      </c>
      <c r="U45" s="3" t="n">
        <v>35438.0</v>
      </c>
      <c r="V45" s="3" t="n">
        <v>36513.0</v>
      </c>
      <c r="W45" s="3" t="n">
        <v>37309.0</v>
      </c>
      <c r="X45" s="3" t="n">
        <v>39481.0</v>
      </c>
      <c r="Y45" s="3" t="n">
        <v>42527.0</v>
      </c>
      <c r="Z45" s="3" t="n">
        <v>43564.0</v>
      </c>
      <c r="AA45" s="3" t="n">
        <v>43419.0</v>
      </c>
      <c r="AB45" s="3" t="n">
        <v>41671.0</v>
      </c>
      <c r="AC45" s="3" t="n">
        <v>41578.0</v>
      </c>
      <c r="AD45" s="3" t="n">
        <v>40392.0</v>
      </c>
      <c r="AE45" s="3" t="n">
        <v>40855.0</v>
      </c>
      <c r="AF45" s="3" t="n">
        <v>41238.0</v>
      </c>
      <c r="AG45" s="3" t="n">
        <v>42464.0</v>
      </c>
      <c r="AH45" s="3" t="n">
        <v>43881.0</v>
      </c>
      <c r="AI45" s="3" t="n">
        <v>43035.0</v>
      </c>
      <c r="AJ45" s="3" t="n">
        <v>41767.0</v>
      </c>
      <c r="AK45" s="3" t="n">
        <v>39565.0</v>
      </c>
      <c r="AL45" s="3" t="n">
        <v>38155.0</v>
      </c>
      <c r="AM45" s="3" t="n">
        <v>35271.0</v>
      </c>
      <c r="AN45" s="3" t="n">
        <v>36692.0</v>
      </c>
      <c r="AO45" s="3" t="n">
        <v>37157.0</v>
      </c>
    </row>
    <row r="46" spans="1:41" x14ac:dyDescent="0.2">
      <c r="A46" s="122"/>
      <c r="B46" s="9">
        <v>37</v>
      </c>
      <c r="C46" s="3" t="n">
        <v>57886.0</v>
      </c>
      <c r="D46" s="3" t="n">
        <v>55428.0</v>
      </c>
      <c r="E46" s="3" t="n">
        <v>53902.0</v>
      </c>
      <c r="F46" s="3" t="n">
        <v>53910.0</v>
      </c>
      <c r="G46" s="3" t="n">
        <v>53034.0</v>
      </c>
      <c r="H46" s="3" t="n">
        <v>53322.0</v>
      </c>
      <c r="I46" s="3" t="n">
        <v>54249.0</v>
      </c>
      <c r="J46" s="3" t="n">
        <v>51860.0</v>
      </c>
      <c r="K46" s="3" t="n">
        <v>49596.0</v>
      </c>
      <c r="L46" s="3" t="n">
        <v>48124.0</v>
      </c>
      <c r="M46" s="3" t="n">
        <v>45331.0</v>
      </c>
      <c r="N46" s="3" t="n">
        <v>43704.0</v>
      </c>
      <c r="O46" s="3" t="n">
        <v>41897.0</v>
      </c>
      <c r="P46" s="3" t="n">
        <v>40642.0</v>
      </c>
      <c r="Q46" s="3" t="n">
        <v>39047.0</v>
      </c>
      <c r="R46" s="3" t="n">
        <v>38924.0</v>
      </c>
      <c r="S46" s="3" t="n">
        <v>37137.0</v>
      </c>
      <c r="T46" s="3" t="n">
        <v>35799.0</v>
      </c>
      <c r="U46" s="3" t="n">
        <v>35102.0</v>
      </c>
      <c r="V46" s="3" t="n">
        <v>35496.0</v>
      </c>
      <c r="W46" s="3" t="n">
        <v>36575.0</v>
      </c>
      <c r="X46" s="3" t="n">
        <v>37367.0</v>
      </c>
      <c r="Y46" s="3" t="n">
        <v>39542.0</v>
      </c>
      <c r="Z46" s="3" t="n">
        <v>42588.0</v>
      </c>
      <c r="AA46" s="3" t="n">
        <v>43624.0</v>
      </c>
      <c r="AB46" s="3" t="n">
        <v>43476.0</v>
      </c>
      <c r="AC46" s="3" t="n">
        <v>41731.0</v>
      </c>
      <c r="AD46" s="3" t="n">
        <v>41635.0</v>
      </c>
      <c r="AE46" s="3" t="n">
        <v>40440.0</v>
      </c>
      <c r="AF46" s="3" t="n">
        <v>40906.0</v>
      </c>
      <c r="AG46" s="3" t="n">
        <v>41297.0</v>
      </c>
      <c r="AH46" s="3" t="n">
        <v>42514.0</v>
      </c>
      <c r="AI46" s="3" t="n">
        <v>43926.0</v>
      </c>
      <c r="AJ46" s="3" t="n">
        <v>43078.0</v>
      </c>
      <c r="AK46" s="3" t="n">
        <v>41807.0</v>
      </c>
      <c r="AL46" s="3" t="n">
        <v>39611.0</v>
      </c>
      <c r="AM46" s="3" t="n">
        <v>38193.0</v>
      </c>
      <c r="AN46" s="3" t="n">
        <v>35310.0</v>
      </c>
      <c r="AO46" s="3" t="n">
        <v>36734.0</v>
      </c>
    </row>
    <row r="47" spans="1:41" x14ac:dyDescent="0.2">
      <c r="A47" s="122"/>
      <c r="B47" s="9">
        <v>38</v>
      </c>
      <c r="C47" s="3" t="n">
        <v>59291.0</v>
      </c>
      <c r="D47" s="3" t="n">
        <v>57886.0</v>
      </c>
      <c r="E47" s="3" t="n">
        <v>55421.0</v>
      </c>
      <c r="F47" s="3" t="n">
        <v>53909.0</v>
      </c>
      <c r="G47" s="3" t="n">
        <v>53917.0</v>
      </c>
      <c r="H47" s="3" t="n">
        <v>53305.0</v>
      </c>
      <c r="I47" s="3" t="n">
        <v>53677.0</v>
      </c>
      <c r="J47" s="3" t="n">
        <v>54391.0</v>
      </c>
      <c r="K47" s="3" t="n">
        <v>51885.0</v>
      </c>
      <c r="L47" s="3" t="n">
        <v>49602.0</v>
      </c>
      <c r="M47" s="3" t="n">
        <v>48123.0</v>
      </c>
      <c r="N47" s="3" t="n">
        <v>45326.0</v>
      </c>
      <c r="O47" s="3" t="n">
        <v>43703.0</v>
      </c>
      <c r="P47" s="3" t="n">
        <v>41900.0</v>
      </c>
      <c r="Q47" s="3" t="n">
        <v>40653.0</v>
      </c>
      <c r="R47" s="3" t="n">
        <v>39053.0</v>
      </c>
      <c r="S47" s="3" t="n">
        <v>38938.0</v>
      </c>
      <c r="T47" s="3" t="n">
        <v>37165.0</v>
      </c>
      <c r="U47" s="3" t="n">
        <v>35831.0</v>
      </c>
      <c r="V47" s="3" t="n">
        <v>35140.0</v>
      </c>
      <c r="W47" s="3" t="n">
        <v>35537.0</v>
      </c>
      <c r="X47" s="3" t="n">
        <v>36625.0</v>
      </c>
      <c r="Y47" s="3" t="n">
        <v>37415.0</v>
      </c>
      <c r="Z47" s="3" t="n">
        <v>39588.0</v>
      </c>
      <c r="AA47" s="3" t="n">
        <v>42628.0</v>
      </c>
      <c r="AB47" s="3" t="n">
        <v>43660.0</v>
      </c>
      <c r="AC47" s="3" t="n">
        <v>43509.0</v>
      </c>
      <c r="AD47" s="3" t="n">
        <v>41774.0</v>
      </c>
      <c r="AE47" s="3" t="n">
        <v>41677.0</v>
      </c>
      <c r="AF47" s="3" t="n">
        <v>40492.0</v>
      </c>
      <c r="AG47" s="3" t="n">
        <v>40952.0</v>
      </c>
      <c r="AH47" s="3" t="n">
        <v>41343.0</v>
      </c>
      <c r="AI47" s="3" t="n">
        <v>42553.0</v>
      </c>
      <c r="AJ47" s="3" t="n">
        <v>43963.0</v>
      </c>
      <c r="AK47" s="3" t="n">
        <v>43108.0</v>
      </c>
      <c r="AL47" s="3" t="n">
        <v>41836.0</v>
      </c>
      <c r="AM47" s="3" t="n">
        <v>39643.0</v>
      </c>
      <c r="AN47" s="3" t="n">
        <v>38222.0</v>
      </c>
      <c r="AO47" s="3" t="n">
        <v>35342.0</v>
      </c>
    </row>
    <row r="48" spans="1:41" x14ac:dyDescent="0.2">
      <c r="A48" s="122"/>
      <c r="B48" s="9">
        <v>39</v>
      </c>
      <c r="C48" s="3" t="n">
        <v>59981.0</v>
      </c>
      <c r="D48" s="3" t="n">
        <v>59282.0</v>
      </c>
      <c r="E48" s="3" t="n">
        <v>57874.0</v>
      </c>
      <c r="F48" s="3" t="n">
        <v>55422.0</v>
      </c>
      <c r="G48" s="3" t="n">
        <v>53903.0</v>
      </c>
      <c r="H48" s="3" t="n">
        <v>54173.0</v>
      </c>
      <c r="I48" s="3" t="n">
        <v>53664.0</v>
      </c>
      <c r="J48" s="3" t="n">
        <v>53830.0</v>
      </c>
      <c r="K48" s="3" t="n">
        <v>54435.0</v>
      </c>
      <c r="L48" s="3" t="n">
        <v>51896.0</v>
      </c>
      <c r="M48" s="3" t="n">
        <v>49595.0</v>
      </c>
      <c r="N48" s="3" t="n">
        <v>48100.0</v>
      </c>
      <c r="O48" s="3" t="n">
        <v>45319.0</v>
      </c>
      <c r="P48" s="3" t="n">
        <v>43699.0</v>
      </c>
      <c r="Q48" s="3" t="n">
        <v>41896.0</v>
      </c>
      <c r="R48" s="3" t="n">
        <v>40656.0</v>
      </c>
      <c r="S48" s="3" t="n">
        <v>39063.0</v>
      </c>
      <c r="T48" s="3" t="n">
        <v>38951.0</v>
      </c>
      <c r="U48" s="3" t="n">
        <v>37187.0</v>
      </c>
      <c r="V48" s="3" t="n">
        <v>35861.0</v>
      </c>
      <c r="W48" s="3" t="n">
        <v>35179.0</v>
      </c>
      <c r="X48" s="3" t="n">
        <v>35578.0</v>
      </c>
      <c r="Y48" s="3" t="n">
        <v>36665.0</v>
      </c>
      <c r="Z48" s="3" t="n">
        <v>37464.0</v>
      </c>
      <c r="AA48" s="3" t="n">
        <v>39633.0</v>
      </c>
      <c r="AB48" s="3" t="n">
        <v>42667.0</v>
      </c>
      <c r="AC48" s="3" t="n">
        <v>43702.0</v>
      </c>
      <c r="AD48" s="3" t="n">
        <v>43549.0</v>
      </c>
      <c r="AE48" s="3" t="n">
        <v>41819.0</v>
      </c>
      <c r="AF48" s="3" t="n">
        <v>41712.0</v>
      </c>
      <c r="AG48" s="3" t="n">
        <v>40530.0</v>
      </c>
      <c r="AH48" s="3" t="n">
        <v>40985.0</v>
      </c>
      <c r="AI48" s="3" t="n">
        <v>41377.0</v>
      </c>
      <c r="AJ48" s="3" t="n">
        <v>42588.0</v>
      </c>
      <c r="AK48" s="3" t="n">
        <v>43998.0</v>
      </c>
      <c r="AL48" s="3" t="n">
        <v>43134.0</v>
      </c>
      <c r="AM48" s="3" t="n">
        <v>41863.0</v>
      </c>
      <c r="AN48" s="3" t="n">
        <v>39681.0</v>
      </c>
      <c r="AO48" s="3" t="n">
        <v>38254.0</v>
      </c>
    </row>
    <row r="49" spans="1:41" x14ac:dyDescent="0.2">
      <c r="A49" s="122"/>
      <c r="B49" s="9">
        <v>40</v>
      </c>
      <c r="C49" s="3" t="n">
        <v>57394.0</v>
      </c>
      <c r="D49" s="3" t="n">
        <v>59956.0</v>
      </c>
      <c r="E49" s="3" t="n">
        <v>59253.0</v>
      </c>
      <c r="F49" s="3" t="n">
        <v>57850.0</v>
      </c>
      <c r="G49" s="3" t="n">
        <v>55413.0</v>
      </c>
      <c r="H49" s="3" t="n">
        <v>54114.0</v>
      </c>
      <c r="I49" s="3" t="n">
        <v>54461.0</v>
      </c>
      <c r="J49" s="3" t="n">
        <v>53774.0</v>
      </c>
      <c r="K49" s="3" t="n">
        <v>53853.0</v>
      </c>
      <c r="L49" s="3" t="n">
        <v>54413.0</v>
      </c>
      <c r="M49" s="3" t="n">
        <v>51867.0</v>
      </c>
      <c r="N49" s="3" t="n">
        <v>49562.0</v>
      </c>
      <c r="O49" s="3" t="n">
        <v>48070.0</v>
      </c>
      <c r="P49" s="3" t="n">
        <v>45292.0</v>
      </c>
      <c r="Q49" s="3" t="n">
        <v>43679.0</v>
      </c>
      <c r="R49" s="3" t="n">
        <v>41886.0</v>
      </c>
      <c r="S49" s="3" t="n">
        <v>40647.0</v>
      </c>
      <c r="T49" s="3" t="n">
        <v>39055.0</v>
      </c>
      <c r="U49" s="3" t="n">
        <v>38949.0</v>
      </c>
      <c r="V49" s="3" t="n">
        <v>37204.0</v>
      </c>
      <c r="W49" s="3" t="n">
        <v>35875.0</v>
      </c>
      <c r="X49" s="3" t="n">
        <v>35194.0</v>
      </c>
      <c r="Y49" s="3" t="n">
        <v>35598.0</v>
      </c>
      <c r="Z49" s="3" t="n">
        <v>36684.0</v>
      </c>
      <c r="AA49" s="3" t="n">
        <v>37490.0</v>
      </c>
      <c r="AB49" s="3" t="n">
        <v>39658.0</v>
      </c>
      <c r="AC49" s="3" t="n">
        <v>42689.0</v>
      </c>
      <c r="AD49" s="3" t="n">
        <v>43720.0</v>
      </c>
      <c r="AE49" s="3" t="n">
        <v>43567.0</v>
      </c>
      <c r="AF49" s="3" t="n">
        <v>41837.0</v>
      </c>
      <c r="AG49" s="3" t="n">
        <v>41737.0</v>
      </c>
      <c r="AH49" s="3" t="n">
        <v>40552.0</v>
      </c>
      <c r="AI49" s="3" t="n">
        <v>41007.0</v>
      </c>
      <c r="AJ49" s="3" t="n">
        <v>41397.0</v>
      </c>
      <c r="AK49" s="3" t="n">
        <v>42607.0</v>
      </c>
      <c r="AL49" s="3" t="n">
        <v>44016.0</v>
      </c>
      <c r="AM49" s="3" t="n">
        <v>43153.0</v>
      </c>
      <c r="AN49" s="3" t="n">
        <v>41876.0</v>
      </c>
      <c r="AO49" s="3" t="n">
        <v>39700.0</v>
      </c>
    </row>
    <row r="50" spans="1:41" x14ac:dyDescent="0.2">
      <c r="A50" s="122"/>
      <c r="B50" s="9">
        <v>41</v>
      </c>
      <c r="C50" s="3" t="n">
        <v>54836.0</v>
      </c>
      <c r="D50" s="3" t="n">
        <v>57322.0</v>
      </c>
      <c r="E50" s="3" t="n">
        <v>59883.0</v>
      </c>
      <c r="F50" s="3" t="n">
        <v>59182.0</v>
      </c>
      <c r="G50" s="3" t="n">
        <v>57793.0</v>
      </c>
      <c r="H50" s="3" t="n">
        <v>55555.0</v>
      </c>
      <c r="I50" s="3" t="n">
        <v>54325.0</v>
      </c>
      <c r="J50" s="3" t="n">
        <v>54528.0</v>
      </c>
      <c r="K50" s="3" t="n">
        <v>53758.0</v>
      </c>
      <c r="L50" s="3" t="n">
        <v>53805.0</v>
      </c>
      <c r="M50" s="3" t="n">
        <v>54349.0</v>
      </c>
      <c r="N50" s="3" t="n">
        <v>51793.0</v>
      </c>
      <c r="O50" s="3" t="n">
        <v>49488.0</v>
      </c>
      <c r="P50" s="3" t="n">
        <v>48010.0</v>
      </c>
      <c r="Q50" s="3" t="n">
        <v>45234.0</v>
      </c>
      <c r="R50" s="3" t="n">
        <v>43629.0</v>
      </c>
      <c r="S50" s="3" t="n">
        <v>41846.0</v>
      </c>
      <c r="T50" s="3" t="n">
        <v>40605.0</v>
      </c>
      <c r="U50" s="3" t="n">
        <v>39024.0</v>
      </c>
      <c r="V50" s="3" t="n">
        <v>38919.0</v>
      </c>
      <c r="W50" s="3" t="n">
        <v>37183.0</v>
      </c>
      <c r="X50" s="3" t="n">
        <v>35867.0</v>
      </c>
      <c r="Y50" s="3" t="n">
        <v>35195.0</v>
      </c>
      <c r="Z50" s="3" t="n">
        <v>35602.0</v>
      </c>
      <c r="AA50" s="3" t="n">
        <v>36691.0</v>
      </c>
      <c r="AB50" s="3" t="n">
        <v>37491.0</v>
      </c>
      <c r="AC50" s="3" t="n">
        <v>39661.0</v>
      </c>
      <c r="AD50" s="3" t="n">
        <v>42683.0</v>
      </c>
      <c r="AE50" s="3" t="n">
        <v>43713.0</v>
      </c>
      <c r="AF50" s="3" t="n">
        <v>43562.0</v>
      </c>
      <c r="AG50" s="3" t="n">
        <v>41832.0</v>
      </c>
      <c r="AH50" s="3" t="n">
        <v>41733.0</v>
      </c>
      <c r="AI50" s="3" t="n">
        <v>40548.0</v>
      </c>
      <c r="AJ50" s="3" t="n">
        <v>41007.0</v>
      </c>
      <c r="AK50" s="3" t="n">
        <v>41396.0</v>
      </c>
      <c r="AL50" s="3" t="n">
        <v>42597.0</v>
      </c>
      <c r="AM50" s="3" t="n">
        <v>44004.0</v>
      </c>
      <c r="AN50" s="3" t="n">
        <v>43141.0</v>
      </c>
      <c r="AO50" s="3" t="n">
        <v>41865.0</v>
      </c>
    </row>
    <row r="51" spans="1:41" x14ac:dyDescent="0.2">
      <c r="A51" s="122"/>
      <c r="B51" s="9">
        <v>42</v>
      </c>
      <c r="C51" s="3" t="n">
        <v>55589.0</v>
      </c>
      <c r="D51" s="3" t="n">
        <v>54755.0</v>
      </c>
      <c r="E51" s="3" t="n">
        <v>57241.0</v>
      </c>
      <c r="F51" s="3" t="n">
        <v>59798.0</v>
      </c>
      <c r="G51" s="3" t="n">
        <v>59098.0</v>
      </c>
      <c r="H51" s="3" t="n">
        <v>57908.0</v>
      </c>
      <c r="I51" s="3" t="n">
        <v>55757.0</v>
      </c>
      <c r="J51" s="3" t="n">
        <v>54373.0</v>
      </c>
      <c r="K51" s="3" t="n">
        <v>54507.0</v>
      </c>
      <c r="L51" s="3" t="n">
        <v>53703.0</v>
      </c>
      <c r="M51" s="3" t="n">
        <v>53726.0</v>
      </c>
      <c r="N51" s="3" t="n">
        <v>54259.0</v>
      </c>
      <c r="O51" s="3" t="n">
        <v>51706.0</v>
      </c>
      <c r="P51" s="3" t="n">
        <v>49422.0</v>
      </c>
      <c r="Q51" s="3" t="n">
        <v>47943.0</v>
      </c>
      <c r="R51" s="3" t="n">
        <v>45171.0</v>
      </c>
      <c r="S51" s="3" t="n">
        <v>43577.0</v>
      </c>
      <c r="T51" s="3" t="n">
        <v>41808.0</v>
      </c>
      <c r="U51" s="3" t="n">
        <v>40567.0</v>
      </c>
      <c r="V51" s="3" t="n">
        <v>38988.0</v>
      </c>
      <c r="W51" s="3" t="n">
        <v>38886.0</v>
      </c>
      <c r="X51" s="3" t="n">
        <v>37163.0</v>
      </c>
      <c r="Y51" s="3" t="n">
        <v>35850.0</v>
      </c>
      <c r="Z51" s="3" t="n">
        <v>35177.0</v>
      </c>
      <c r="AA51" s="3" t="n">
        <v>35590.0</v>
      </c>
      <c r="AB51" s="3" t="n">
        <v>36680.0</v>
      </c>
      <c r="AC51" s="3" t="n">
        <v>37483.0</v>
      </c>
      <c r="AD51" s="3" t="n">
        <v>39656.0</v>
      </c>
      <c r="AE51" s="3" t="n">
        <v>42673.0</v>
      </c>
      <c r="AF51" s="3" t="n">
        <v>43693.0</v>
      </c>
      <c r="AG51" s="3" t="n">
        <v>43548.0</v>
      </c>
      <c r="AH51" s="3" t="n">
        <v>41824.0</v>
      </c>
      <c r="AI51" s="3" t="n">
        <v>41728.0</v>
      </c>
      <c r="AJ51" s="3" t="n">
        <v>40543.0</v>
      </c>
      <c r="AK51" s="3" t="n">
        <v>40997.0</v>
      </c>
      <c r="AL51" s="3" t="n">
        <v>41389.0</v>
      </c>
      <c r="AM51" s="3" t="n">
        <v>42587.0</v>
      </c>
      <c r="AN51" s="3" t="n">
        <v>43988.0</v>
      </c>
      <c r="AO51" s="3" t="n">
        <v>43127.0</v>
      </c>
    </row>
    <row r="52" spans="1:41" x14ac:dyDescent="0.2">
      <c r="A52" s="122"/>
      <c r="B52" s="9">
        <v>43</v>
      </c>
      <c r="C52" s="3" t="n">
        <v>54719.0</v>
      </c>
      <c r="D52" s="3" t="n">
        <v>55502.0</v>
      </c>
      <c r="E52" s="3" t="n">
        <v>54662.0</v>
      </c>
      <c r="F52" s="3" t="n">
        <v>57151.0</v>
      </c>
      <c r="G52" s="3" t="n">
        <v>59710.0</v>
      </c>
      <c r="H52" s="3" t="n">
        <v>59199.0</v>
      </c>
      <c r="I52" s="3" t="n">
        <v>58089.0</v>
      </c>
      <c r="J52" s="3" t="n">
        <v>55792.0</v>
      </c>
      <c r="K52" s="3" t="n">
        <v>54330.0</v>
      </c>
      <c r="L52" s="3" t="n">
        <v>54434.0</v>
      </c>
      <c r="M52" s="3" t="n">
        <v>53620.0</v>
      </c>
      <c r="N52" s="3" t="n">
        <v>53638.0</v>
      </c>
      <c r="O52" s="3" t="n">
        <v>54156.0</v>
      </c>
      <c r="P52" s="3" t="n">
        <v>51610.0</v>
      </c>
      <c r="Q52" s="3" t="n">
        <v>49333.0</v>
      </c>
      <c r="R52" s="3" t="n">
        <v>47855.0</v>
      </c>
      <c r="S52" s="3" t="n">
        <v>45094.0</v>
      </c>
      <c r="T52" s="3" t="n">
        <v>43505.0</v>
      </c>
      <c r="U52" s="3" t="n">
        <v>41747.0</v>
      </c>
      <c r="V52" s="3" t="n">
        <v>40514.0</v>
      </c>
      <c r="W52" s="3" t="n">
        <v>38947.0</v>
      </c>
      <c r="X52" s="3" t="n">
        <v>38849.0</v>
      </c>
      <c r="Y52" s="3" t="n">
        <v>37133.0</v>
      </c>
      <c r="Z52" s="3" t="n">
        <v>35826.0</v>
      </c>
      <c r="AA52" s="3" t="n">
        <v>35156.0</v>
      </c>
      <c r="AB52" s="3" t="n">
        <v>35572.0</v>
      </c>
      <c r="AC52" s="3" t="n">
        <v>36661.0</v>
      </c>
      <c r="AD52" s="3" t="n">
        <v>37459.0</v>
      </c>
      <c r="AE52" s="3" t="n">
        <v>39624.0</v>
      </c>
      <c r="AF52" s="3" t="n">
        <v>42633.0</v>
      </c>
      <c r="AG52" s="3" t="n">
        <v>43652.0</v>
      </c>
      <c r="AH52" s="3" t="n">
        <v>43501.0</v>
      </c>
      <c r="AI52" s="3" t="n">
        <v>41782.0</v>
      </c>
      <c r="AJ52" s="3" t="n">
        <v>41690.0</v>
      </c>
      <c r="AK52" s="3" t="n">
        <v>40504.0</v>
      </c>
      <c r="AL52" s="3" t="n">
        <v>40957.0</v>
      </c>
      <c r="AM52" s="3" t="n">
        <v>41347.0</v>
      </c>
      <c r="AN52" s="3" t="n">
        <v>42545.0</v>
      </c>
      <c r="AO52" s="3" t="n">
        <v>43943.0</v>
      </c>
    </row>
    <row r="53" spans="1:41" x14ac:dyDescent="0.2">
      <c r="A53" s="122"/>
      <c r="B53" s="9">
        <v>44</v>
      </c>
      <c r="C53" s="3" t="n">
        <v>53742.0</v>
      </c>
      <c r="D53" s="3" t="n">
        <v>54606.0</v>
      </c>
      <c r="E53" s="3" t="n">
        <v>55393.0</v>
      </c>
      <c r="F53" s="3" t="n">
        <v>54561.0</v>
      </c>
      <c r="G53" s="3" t="n">
        <v>57054.0</v>
      </c>
      <c r="H53" s="3" t="n">
        <v>59807.0</v>
      </c>
      <c r="I53" s="3" t="n">
        <v>59364.0</v>
      </c>
      <c r="J53" s="3" t="n">
        <v>58111.0</v>
      </c>
      <c r="K53" s="3" t="n">
        <v>55729.0</v>
      </c>
      <c r="L53" s="3" t="n">
        <v>54248.0</v>
      </c>
      <c r="M53" s="3" t="n">
        <v>54331.0</v>
      </c>
      <c r="N53" s="3" t="n">
        <v>53511.0</v>
      </c>
      <c r="O53" s="3" t="n">
        <v>53523.0</v>
      </c>
      <c r="P53" s="3" t="n">
        <v>54032.0</v>
      </c>
      <c r="Q53" s="3" t="n">
        <v>51488.0</v>
      </c>
      <c r="R53" s="3" t="n">
        <v>49216.0</v>
      </c>
      <c r="S53" s="3" t="n">
        <v>47752.0</v>
      </c>
      <c r="T53" s="3" t="n">
        <v>45001.0</v>
      </c>
      <c r="U53" s="3" t="n">
        <v>43416.0</v>
      </c>
      <c r="V53" s="3" t="n">
        <v>41666.0</v>
      </c>
      <c r="W53" s="3" t="n">
        <v>40433.0</v>
      </c>
      <c r="X53" s="3" t="n">
        <v>38869.0</v>
      </c>
      <c r="Y53" s="3" t="n">
        <v>38786.0</v>
      </c>
      <c r="Z53" s="3" t="n">
        <v>37076.0</v>
      </c>
      <c r="AA53" s="3" t="n">
        <v>35767.0</v>
      </c>
      <c r="AB53" s="3" t="n">
        <v>35102.0</v>
      </c>
      <c r="AC53" s="3" t="n">
        <v>35515.0</v>
      </c>
      <c r="AD53" s="3" t="n">
        <v>36608.0</v>
      </c>
      <c r="AE53" s="3" t="n">
        <v>37413.0</v>
      </c>
      <c r="AF53" s="3" t="n">
        <v>39577.0</v>
      </c>
      <c r="AG53" s="3" t="n">
        <v>42585.0</v>
      </c>
      <c r="AH53" s="3" t="n">
        <v>43601.0</v>
      </c>
      <c r="AI53" s="3" t="n">
        <v>43450.0</v>
      </c>
      <c r="AJ53" s="3" t="n">
        <v>41734.0</v>
      </c>
      <c r="AK53" s="3" t="n">
        <v>41643.0</v>
      </c>
      <c r="AL53" s="3" t="n">
        <v>40456.0</v>
      </c>
      <c r="AM53" s="3" t="n">
        <v>40909.0</v>
      </c>
      <c r="AN53" s="3" t="n">
        <v>41296.0</v>
      </c>
      <c r="AO53" s="3" t="n">
        <v>42492.0</v>
      </c>
    </row>
    <row r="54" spans="1:41" x14ac:dyDescent="0.2">
      <c r="A54" s="122"/>
      <c r="B54" s="9">
        <v>45</v>
      </c>
      <c r="C54" s="3" t="n">
        <v>52362.0</v>
      </c>
      <c r="D54" s="3" t="n">
        <v>53633.0</v>
      </c>
      <c r="E54" s="3" t="n">
        <v>54504.0</v>
      </c>
      <c r="F54" s="3" t="n">
        <v>55298.0</v>
      </c>
      <c r="G54" s="3" t="n">
        <v>54474.0</v>
      </c>
      <c r="H54" s="3" t="n">
        <v>57121.0</v>
      </c>
      <c r="I54" s="3" t="n">
        <v>59925.0</v>
      </c>
      <c r="J54" s="3" t="n">
        <v>59361.0</v>
      </c>
      <c r="K54" s="3" t="n">
        <v>58053.0</v>
      </c>
      <c r="L54" s="3" t="n">
        <v>55643.0</v>
      </c>
      <c r="M54" s="3" t="n">
        <v>54155.0</v>
      </c>
      <c r="N54" s="3" t="n">
        <v>54226.0</v>
      </c>
      <c r="O54" s="3" t="n">
        <v>53410.0</v>
      </c>
      <c r="P54" s="3" t="n">
        <v>53416.0</v>
      </c>
      <c r="Q54" s="3" t="n">
        <v>53917.0</v>
      </c>
      <c r="R54" s="3" t="n">
        <v>51379.0</v>
      </c>
      <c r="S54" s="3" t="n">
        <v>49114.0</v>
      </c>
      <c r="T54" s="3" t="n">
        <v>47656.0</v>
      </c>
      <c r="U54" s="3" t="n">
        <v>44919.0</v>
      </c>
      <c r="V54" s="3" t="n">
        <v>43341.0</v>
      </c>
      <c r="W54" s="3" t="n">
        <v>41603.0</v>
      </c>
      <c r="X54" s="3" t="n">
        <v>40375.0</v>
      </c>
      <c r="Y54" s="3" t="n">
        <v>38813.0</v>
      </c>
      <c r="Z54" s="3" t="n">
        <v>38731.0</v>
      </c>
      <c r="AA54" s="3" t="n">
        <v>37030.0</v>
      </c>
      <c r="AB54" s="3" t="n">
        <v>35730.0</v>
      </c>
      <c r="AC54" s="3" t="n">
        <v>35068.0</v>
      </c>
      <c r="AD54" s="3" t="n">
        <v>35480.0</v>
      </c>
      <c r="AE54" s="3" t="n">
        <v>36575.0</v>
      </c>
      <c r="AF54" s="3" t="n">
        <v>37375.0</v>
      </c>
      <c r="AG54" s="3" t="n">
        <v>39535.0</v>
      </c>
      <c r="AH54" s="3" t="n">
        <v>42544.0</v>
      </c>
      <c r="AI54" s="3" t="n">
        <v>43560.0</v>
      </c>
      <c r="AJ54" s="3" t="n">
        <v>43407.0</v>
      </c>
      <c r="AK54" s="3" t="n">
        <v>41691.0</v>
      </c>
      <c r="AL54" s="3" t="n">
        <v>41605.0</v>
      </c>
      <c r="AM54" s="3" t="n">
        <v>40424.0</v>
      </c>
      <c r="AN54" s="3" t="n">
        <v>40877.0</v>
      </c>
      <c r="AO54" s="3" t="n">
        <v>41266.0</v>
      </c>
    </row>
    <row r="55" spans="1:41" x14ac:dyDescent="0.2">
      <c r="A55" s="122"/>
      <c r="B55" s="9">
        <v>46</v>
      </c>
      <c r="C55" s="3" t="n">
        <v>52089.0</v>
      </c>
      <c r="D55" s="3" t="n">
        <v>52238.0</v>
      </c>
      <c r="E55" s="3" t="n">
        <v>53506.0</v>
      </c>
      <c r="F55" s="3" t="n">
        <v>54373.0</v>
      </c>
      <c r="G55" s="3" t="n">
        <v>55175.0</v>
      </c>
      <c r="H55" s="3" t="n">
        <v>54491.0</v>
      </c>
      <c r="I55" s="3" t="n">
        <v>57175.0</v>
      </c>
      <c r="J55" s="3" t="n">
        <v>59874.0</v>
      </c>
      <c r="K55" s="3" t="n">
        <v>59258.0</v>
      </c>
      <c r="L55" s="3" t="n">
        <v>57938.0</v>
      </c>
      <c r="M55" s="3" t="n">
        <v>55531.0</v>
      </c>
      <c r="N55" s="3" t="n">
        <v>54031.0</v>
      </c>
      <c r="O55" s="3" t="n">
        <v>54096.0</v>
      </c>
      <c r="P55" s="3" t="n">
        <v>53287.0</v>
      </c>
      <c r="Q55" s="3" t="n">
        <v>53294.0</v>
      </c>
      <c r="R55" s="3" t="n">
        <v>53787.0</v>
      </c>
      <c r="S55" s="3" t="n">
        <v>51252.0</v>
      </c>
      <c r="T55" s="3" t="n">
        <v>48998.0</v>
      </c>
      <c r="U55" s="3" t="n">
        <v>47540.0</v>
      </c>
      <c r="V55" s="3" t="n">
        <v>44813.0</v>
      </c>
      <c r="W55" s="3" t="n">
        <v>43247.0</v>
      </c>
      <c r="X55" s="3" t="n">
        <v>41516.0</v>
      </c>
      <c r="Y55" s="3" t="n">
        <v>40294.0</v>
      </c>
      <c r="Z55" s="3" t="n">
        <v>38743.0</v>
      </c>
      <c r="AA55" s="3" t="n">
        <v>38664.0</v>
      </c>
      <c r="AB55" s="3" t="n">
        <v>36977.0</v>
      </c>
      <c r="AC55" s="3" t="n">
        <v>35681.0</v>
      </c>
      <c r="AD55" s="3" t="n">
        <v>35027.0</v>
      </c>
      <c r="AE55" s="3" t="n">
        <v>35436.0</v>
      </c>
      <c r="AF55" s="3" t="n">
        <v>36529.0</v>
      </c>
      <c r="AG55" s="3" t="n">
        <v>37326.0</v>
      </c>
      <c r="AH55" s="3" t="n">
        <v>39485.0</v>
      </c>
      <c r="AI55" s="3" t="n">
        <v>42480.0</v>
      </c>
      <c r="AJ55" s="3" t="n">
        <v>43495.0</v>
      </c>
      <c r="AK55" s="3" t="n">
        <v>43346.0</v>
      </c>
      <c r="AL55" s="3" t="n">
        <v>41636.0</v>
      </c>
      <c r="AM55" s="3" t="n">
        <v>41551.0</v>
      </c>
      <c r="AN55" s="3" t="n">
        <v>40374.0</v>
      </c>
      <c r="AO55" s="3" t="n">
        <v>40828.0</v>
      </c>
    </row>
    <row r="56" spans="1:41" x14ac:dyDescent="0.2">
      <c r="A56" s="122"/>
      <c r="B56" s="9">
        <v>47</v>
      </c>
      <c r="C56" s="3" t="n">
        <v>50171.0</v>
      </c>
      <c r="D56" s="3" t="n">
        <v>51938.0</v>
      </c>
      <c r="E56" s="3" t="n">
        <v>52090.0</v>
      </c>
      <c r="F56" s="3" t="n">
        <v>53365.0</v>
      </c>
      <c r="G56" s="3" t="n">
        <v>54236.0</v>
      </c>
      <c r="H56" s="3" t="n">
        <v>55166.0</v>
      </c>
      <c r="I56" s="3" t="n">
        <v>54533.0</v>
      </c>
      <c r="J56" s="3" t="n">
        <v>57111.0</v>
      </c>
      <c r="K56" s="3" t="n">
        <v>59763.0</v>
      </c>
      <c r="L56" s="3" t="n">
        <v>59118.0</v>
      </c>
      <c r="M56" s="3" t="n">
        <v>57804.0</v>
      </c>
      <c r="N56" s="3" t="n">
        <v>55393.0</v>
      </c>
      <c r="O56" s="3" t="n">
        <v>53893.0</v>
      </c>
      <c r="P56" s="3" t="n">
        <v>53959.0</v>
      </c>
      <c r="Q56" s="3" t="n">
        <v>53154.0</v>
      </c>
      <c r="R56" s="3" t="n">
        <v>53154.0</v>
      </c>
      <c r="S56" s="3" t="n">
        <v>53644.0</v>
      </c>
      <c r="T56" s="3" t="n">
        <v>51115.0</v>
      </c>
      <c r="U56" s="3" t="n">
        <v>48871.0</v>
      </c>
      <c r="V56" s="3" t="n">
        <v>47420.0</v>
      </c>
      <c r="W56" s="3" t="n">
        <v>44704.0</v>
      </c>
      <c r="X56" s="3" t="n">
        <v>43142.0</v>
      </c>
      <c r="Y56" s="3" t="n">
        <v>41420.0</v>
      </c>
      <c r="Z56" s="3" t="n">
        <v>40203.0</v>
      </c>
      <c r="AA56" s="3" t="n">
        <v>38658.0</v>
      </c>
      <c r="AB56" s="3" t="n">
        <v>38583.0</v>
      </c>
      <c r="AC56" s="3" t="n">
        <v>36901.0</v>
      </c>
      <c r="AD56" s="3" t="n">
        <v>35616.0</v>
      </c>
      <c r="AE56" s="3" t="n">
        <v>34967.0</v>
      </c>
      <c r="AF56" s="3" t="n">
        <v>35378.0</v>
      </c>
      <c r="AG56" s="3" t="n">
        <v>36468.0</v>
      </c>
      <c r="AH56" s="3" t="n">
        <v>37266.0</v>
      </c>
      <c r="AI56" s="3" t="n">
        <v>39422.0</v>
      </c>
      <c r="AJ56" s="3" t="n">
        <v>42414.0</v>
      </c>
      <c r="AK56" s="3" t="n">
        <v>43425.0</v>
      </c>
      <c r="AL56" s="3" t="n">
        <v>43275.0</v>
      </c>
      <c r="AM56" s="3" t="n">
        <v>41567.0</v>
      </c>
      <c r="AN56" s="3" t="n">
        <v>41479.0</v>
      </c>
      <c r="AO56" s="3" t="n">
        <v>40304.0</v>
      </c>
    </row>
    <row r="57" spans="1:41" x14ac:dyDescent="0.2">
      <c r="A57" s="122"/>
      <c r="B57" s="9">
        <v>48</v>
      </c>
      <c r="C57" s="3" t="n">
        <v>49102.0</v>
      </c>
      <c r="D57" s="3" t="n">
        <v>50022.0</v>
      </c>
      <c r="E57" s="3" t="n">
        <v>51793.0</v>
      </c>
      <c r="F57" s="3" t="n">
        <v>51948.0</v>
      </c>
      <c r="G57" s="3" t="n">
        <v>53224.0</v>
      </c>
      <c r="H57" s="3" t="n">
        <v>54233.0</v>
      </c>
      <c r="I57" s="3" t="n">
        <v>55205.0</v>
      </c>
      <c r="J57" s="3" t="n">
        <v>54481.0</v>
      </c>
      <c r="K57" s="3" t="n">
        <v>56995.0</v>
      </c>
      <c r="L57" s="3" t="n">
        <v>59619.0</v>
      </c>
      <c r="M57" s="3" t="n">
        <v>58970.0</v>
      </c>
      <c r="N57" s="3" t="n">
        <v>57654.0</v>
      </c>
      <c r="O57" s="3" t="n">
        <v>55252.0</v>
      </c>
      <c r="P57" s="3" t="n">
        <v>53753.0</v>
      </c>
      <c r="Q57" s="3" t="n">
        <v>53818.0</v>
      </c>
      <c r="R57" s="3" t="n">
        <v>53018.0</v>
      </c>
      <c r="S57" s="3" t="n">
        <v>53020.0</v>
      </c>
      <c r="T57" s="3" t="n">
        <v>53510.0</v>
      </c>
      <c r="U57" s="3" t="n">
        <v>50984.0</v>
      </c>
      <c r="V57" s="3" t="n">
        <v>48751.0</v>
      </c>
      <c r="W57" s="3" t="n">
        <v>47306.0</v>
      </c>
      <c r="X57" s="3" t="n">
        <v>44598.0</v>
      </c>
      <c r="Y57" s="3" t="n">
        <v>43043.0</v>
      </c>
      <c r="Z57" s="3" t="n">
        <v>41326.0</v>
      </c>
      <c r="AA57" s="3" t="n">
        <v>40115.0</v>
      </c>
      <c r="AB57" s="3" t="n">
        <v>38575.0</v>
      </c>
      <c r="AC57" s="3" t="n">
        <v>38502.0</v>
      </c>
      <c r="AD57" s="3" t="n">
        <v>36831.0</v>
      </c>
      <c r="AE57" s="3" t="n">
        <v>35557.0</v>
      </c>
      <c r="AF57" s="3" t="n">
        <v>34909.0</v>
      </c>
      <c r="AG57" s="3" t="n">
        <v>35322.0</v>
      </c>
      <c r="AH57" s="3" t="n">
        <v>36415.0</v>
      </c>
      <c r="AI57" s="3" t="n">
        <v>37210.0</v>
      </c>
      <c r="AJ57" s="3" t="n">
        <v>39360.0</v>
      </c>
      <c r="AK57" s="3" t="n">
        <v>42347.0</v>
      </c>
      <c r="AL57" s="3" t="n">
        <v>43357.0</v>
      </c>
      <c r="AM57" s="3" t="n">
        <v>43208.0</v>
      </c>
      <c r="AN57" s="3" t="n">
        <v>41500.0</v>
      </c>
      <c r="AO57" s="3" t="n">
        <v>41415.0</v>
      </c>
    </row>
    <row r="58" spans="1:41" x14ac:dyDescent="0.2">
      <c r="A58" s="122"/>
      <c r="B58" s="9">
        <v>49</v>
      </c>
      <c r="C58" s="3" t="n">
        <v>46340.0</v>
      </c>
      <c r="D58" s="3" t="n">
        <v>48941.0</v>
      </c>
      <c r="E58" s="3" t="n">
        <v>49867.0</v>
      </c>
      <c r="F58" s="3" t="n">
        <v>51640.0</v>
      </c>
      <c r="G58" s="3" t="n">
        <v>51800.0</v>
      </c>
      <c r="H58" s="3" t="n">
        <v>53205.0</v>
      </c>
      <c r="I58" s="3" t="n">
        <v>54264.0</v>
      </c>
      <c r="J58" s="3" t="n">
        <v>55136.0</v>
      </c>
      <c r="K58" s="3" t="n">
        <v>54368.0</v>
      </c>
      <c r="L58" s="3" t="n">
        <v>56860.0</v>
      </c>
      <c r="M58" s="3" t="n">
        <v>59460.0</v>
      </c>
      <c r="N58" s="3" t="n">
        <v>58807.0</v>
      </c>
      <c r="O58" s="3" t="n">
        <v>57496.0</v>
      </c>
      <c r="P58" s="3" t="n">
        <v>55092.0</v>
      </c>
      <c r="Q58" s="3" t="n">
        <v>53601.0</v>
      </c>
      <c r="R58" s="3" t="n">
        <v>53666.0</v>
      </c>
      <c r="S58" s="3" t="n">
        <v>52865.0</v>
      </c>
      <c r="T58" s="3" t="n">
        <v>52866.0</v>
      </c>
      <c r="U58" s="3" t="n">
        <v>53351.0</v>
      </c>
      <c r="V58" s="3" t="n">
        <v>50830.0</v>
      </c>
      <c r="W58" s="3" t="n">
        <v>48622.0</v>
      </c>
      <c r="X58" s="3" t="n">
        <v>47183.0</v>
      </c>
      <c r="Y58" s="3" t="n">
        <v>44485.0</v>
      </c>
      <c r="Z58" s="3" t="n">
        <v>42939.0</v>
      </c>
      <c r="AA58" s="3" t="n">
        <v>41230.0</v>
      </c>
      <c r="AB58" s="3" t="n">
        <v>40027.0</v>
      </c>
      <c r="AC58" s="3" t="n">
        <v>38493.0</v>
      </c>
      <c r="AD58" s="3" t="n">
        <v>38420.0</v>
      </c>
      <c r="AE58" s="3" t="n">
        <v>36760.0</v>
      </c>
      <c r="AF58" s="3" t="n">
        <v>35493.0</v>
      </c>
      <c r="AG58" s="3" t="n">
        <v>34851.0</v>
      </c>
      <c r="AH58" s="3" t="n">
        <v>35262.0</v>
      </c>
      <c r="AI58" s="3" t="n">
        <v>36355.0</v>
      </c>
      <c r="AJ58" s="3" t="n">
        <v>37153.0</v>
      </c>
      <c r="AK58" s="3" t="n">
        <v>39292.0</v>
      </c>
      <c r="AL58" s="3" t="n">
        <v>42276.0</v>
      </c>
      <c r="AM58" s="3" t="n">
        <v>43285.0</v>
      </c>
      <c r="AN58" s="3" t="n">
        <v>43137.0</v>
      </c>
      <c r="AO58" s="3" t="n">
        <v>41430.0</v>
      </c>
    </row>
    <row r="59" spans="1:41" x14ac:dyDescent="0.2">
      <c r="A59" s="122"/>
      <c r="B59" s="9">
        <v>50</v>
      </c>
      <c r="C59" s="3" t="n">
        <v>44779.0</v>
      </c>
      <c r="D59" s="3" t="n">
        <v>46167.0</v>
      </c>
      <c r="E59" s="3" t="n">
        <v>48772.0</v>
      </c>
      <c r="F59" s="3" t="n">
        <v>49703.0</v>
      </c>
      <c r="G59" s="3" t="n">
        <v>51472.0</v>
      </c>
      <c r="H59" s="3" t="n">
        <v>51744.0</v>
      </c>
      <c r="I59" s="3" t="n">
        <v>53187.0</v>
      </c>
      <c r="J59" s="3" t="n">
        <v>54160.0</v>
      </c>
      <c r="K59" s="3" t="n">
        <v>54992.0</v>
      </c>
      <c r="L59" s="3" t="n">
        <v>54217.0</v>
      </c>
      <c r="M59" s="3" t="n">
        <v>56697.0</v>
      </c>
      <c r="N59" s="3" t="n">
        <v>59281.0</v>
      </c>
      <c r="O59" s="3" t="n">
        <v>58626.0</v>
      </c>
      <c r="P59" s="3" t="n">
        <v>57321.0</v>
      </c>
      <c r="Q59" s="3" t="n">
        <v>54925.0</v>
      </c>
      <c r="R59" s="3" t="n">
        <v>53441.0</v>
      </c>
      <c r="S59" s="3" t="n">
        <v>53504.0</v>
      </c>
      <c r="T59" s="3" t="n">
        <v>52698.0</v>
      </c>
      <c r="U59" s="3" t="n">
        <v>52701.0</v>
      </c>
      <c r="V59" s="3" t="n">
        <v>53182.0</v>
      </c>
      <c r="W59" s="3" t="n">
        <v>50666.0</v>
      </c>
      <c r="X59" s="3" t="n">
        <v>48471.0</v>
      </c>
      <c r="Y59" s="3" t="n">
        <v>47036.0</v>
      </c>
      <c r="Z59" s="3" t="n">
        <v>44359.0</v>
      </c>
      <c r="AA59" s="3" t="n">
        <v>42815.0</v>
      </c>
      <c r="AB59" s="3" t="n">
        <v>41115.0</v>
      </c>
      <c r="AC59" s="3" t="n">
        <v>39924.0</v>
      </c>
      <c r="AD59" s="3" t="n">
        <v>38399.0</v>
      </c>
      <c r="AE59" s="3" t="n">
        <v>38326.0</v>
      </c>
      <c r="AF59" s="3" t="n">
        <v>36679.0</v>
      </c>
      <c r="AG59" s="3" t="n">
        <v>35413.0</v>
      </c>
      <c r="AH59" s="3" t="n">
        <v>34780.0</v>
      </c>
      <c r="AI59" s="3" t="n">
        <v>35189.0</v>
      </c>
      <c r="AJ59" s="3" t="n">
        <v>36287.0</v>
      </c>
      <c r="AK59" s="3" t="n">
        <v>37086.0</v>
      </c>
      <c r="AL59" s="3" t="n">
        <v>39221.0</v>
      </c>
      <c r="AM59" s="3" t="n">
        <v>42194.0</v>
      </c>
      <c r="AN59" s="3" t="n">
        <v>43202.0</v>
      </c>
      <c r="AO59" s="3" t="n">
        <v>43051.0</v>
      </c>
    </row>
    <row r="60" spans="1:41" x14ac:dyDescent="0.2">
      <c r="A60" s="122"/>
      <c r="B60" s="9">
        <v>51</v>
      </c>
      <c r="C60" s="3" t="n">
        <v>43328.0</v>
      </c>
      <c r="D60" s="3" t="n">
        <v>44587.0</v>
      </c>
      <c r="E60" s="3" t="n">
        <v>45979.0</v>
      </c>
      <c r="F60" s="3" t="n">
        <v>48571.0</v>
      </c>
      <c r="G60" s="3" t="n">
        <v>49505.0</v>
      </c>
      <c r="H60" s="3" t="n">
        <v>51372.0</v>
      </c>
      <c r="I60" s="3" t="n">
        <v>51679.0</v>
      </c>
      <c r="J60" s="3" t="n">
        <v>53050.0</v>
      </c>
      <c r="K60" s="3" t="n">
        <v>53985.0</v>
      </c>
      <c r="L60" s="3" t="n">
        <v>54804.0</v>
      </c>
      <c r="M60" s="3" t="n">
        <v>54026.0</v>
      </c>
      <c r="N60" s="3" t="n">
        <v>56493.0</v>
      </c>
      <c r="O60" s="3" t="n">
        <v>59069.0</v>
      </c>
      <c r="P60" s="3" t="n">
        <v>58412.0</v>
      </c>
      <c r="Q60" s="3" t="n">
        <v>57107.0</v>
      </c>
      <c r="R60" s="3" t="n">
        <v>54729.0</v>
      </c>
      <c r="S60" s="3" t="n">
        <v>53254.0</v>
      </c>
      <c r="T60" s="3" t="n">
        <v>53320.0</v>
      </c>
      <c r="U60" s="3" t="n">
        <v>52518.0</v>
      </c>
      <c r="V60" s="3" t="n">
        <v>52528.0</v>
      </c>
      <c r="W60" s="3" t="n">
        <v>53000.0</v>
      </c>
      <c r="X60" s="3" t="n">
        <v>50487.0</v>
      </c>
      <c r="Y60" s="3" t="n">
        <v>48304.0</v>
      </c>
      <c r="Z60" s="3" t="n">
        <v>46884.0</v>
      </c>
      <c r="AA60" s="3" t="n">
        <v>44216.0</v>
      </c>
      <c r="AB60" s="3" t="n">
        <v>42684.0</v>
      </c>
      <c r="AC60" s="3" t="n">
        <v>40995.0</v>
      </c>
      <c r="AD60" s="3" t="n">
        <v>39812.0</v>
      </c>
      <c r="AE60" s="3" t="n">
        <v>38291.0</v>
      </c>
      <c r="AF60" s="3" t="n">
        <v>38217.0</v>
      </c>
      <c r="AG60" s="3" t="n">
        <v>36588.0</v>
      </c>
      <c r="AH60" s="3" t="n">
        <v>35331.0</v>
      </c>
      <c r="AI60" s="3" t="n">
        <v>34700.0</v>
      </c>
      <c r="AJ60" s="3" t="n">
        <v>35112.0</v>
      </c>
      <c r="AK60" s="3" t="n">
        <v>36206.0</v>
      </c>
      <c r="AL60" s="3" t="n">
        <v>37008.0</v>
      </c>
      <c r="AM60" s="3" t="n">
        <v>39136.0</v>
      </c>
      <c r="AN60" s="3" t="n">
        <v>42101.0</v>
      </c>
      <c r="AO60" s="3" t="n">
        <v>43107.0</v>
      </c>
    </row>
    <row r="61" spans="1:41" x14ac:dyDescent="0.2">
      <c r="A61" s="122"/>
      <c r="B61" s="9">
        <v>52</v>
      </c>
      <c r="C61" s="3" t="n">
        <v>42477.0</v>
      </c>
      <c r="D61" s="3" t="n">
        <v>43133.0</v>
      </c>
      <c r="E61" s="3" t="n">
        <v>44404.0</v>
      </c>
      <c r="F61" s="3" t="n">
        <v>45795.0</v>
      </c>
      <c r="G61" s="3" t="n">
        <v>48386.0</v>
      </c>
      <c r="H61" s="3" t="n">
        <v>49418.0</v>
      </c>
      <c r="I61" s="3" t="n">
        <v>51313.0</v>
      </c>
      <c r="J61" s="3" t="n">
        <v>51549.0</v>
      </c>
      <c r="K61" s="3" t="n">
        <v>52879.0</v>
      </c>
      <c r="L61" s="3" t="n">
        <v>53804.0</v>
      </c>
      <c r="M61" s="3" t="n">
        <v>54613.0</v>
      </c>
      <c r="N61" s="3" t="n">
        <v>53840.0</v>
      </c>
      <c r="O61" s="3" t="n">
        <v>56302.0</v>
      </c>
      <c r="P61" s="3" t="n">
        <v>58866.0</v>
      </c>
      <c r="Q61" s="3" t="n">
        <v>58205.0</v>
      </c>
      <c r="R61" s="3" t="n">
        <v>56910.0</v>
      </c>
      <c r="S61" s="3" t="n">
        <v>54545.0</v>
      </c>
      <c r="T61" s="3" t="n">
        <v>53065.0</v>
      </c>
      <c r="U61" s="3" t="n">
        <v>53129.0</v>
      </c>
      <c r="V61" s="3" t="n">
        <v>52328.0</v>
      </c>
      <c r="W61" s="3" t="n">
        <v>52339.0</v>
      </c>
      <c r="X61" s="3" t="n">
        <v>52807.0</v>
      </c>
      <c r="Y61" s="3" t="n">
        <v>50296.0</v>
      </c>
      <c r="Z61" s="3" t="n">
        <v>48123.0</v>
      </c>
      <c r="AA61" s="3" t="n">
        <v>46717.0</v>
      </c>
      <c r="AB61" s="3" t="n">
        <v>44068.0</v>
      </c>
      <c r="AC61" s="3" t="n">
        <v>42542.0</v>
      </c>
      <c r="AD61" s="3" t="n">
        <v>40863.0</v>
      </c>
      <c r="AE61" s="3" t="n">
        <v>39689.0</v>
      </c>
      <c r="AF61" s="3" t="n">
        <v>38174.0</v>
      </c>
      <c r="AG61" s="3" t="n">
        <v>38107.0</v>
      </c>
      <c r="AH61" s="3" t="n">
        <v>36491.0</v>
      </c>
      <c r="AI61" s="3" t="n">
        <v>35242.0</v>
      </c>
      <c r="AJ61" s="3" t="n">
        <v>34613.0</v>
      </c>
      <c r="AK61" s="3" t="n">
        <v>35029.0</v>
      </c>
      <c r="AL61" s="3" t="n">
        <v>36121.0</v>
      </c>
      <c r="AM61" s="3" t="n">
        <v>36924.0</v>
      </c>
      <c r="AN61" s="3" t="n">
        <v>39042.0</v>
      </c>
      <c r="AO61" s="3" t="n">
        <v>42002.0</v>
      </c>
    </row>
    <row r="62" spans="1:41" x14ac:dyDescent="0.2">
      <c r="A62" s="122"/>
      <c r="B62" s="9">
        <v>53</v>
      </c>
      <c r="C62" s="3" t="n">
        <v>41028.0</v>
      </c>
      <c r="D62" s="3" t="n">
        <v>42258.0</v>
      </c>
      <c r="E62" s="3" t="n">
        <v>42919.0</v>
      </c>
      <c r="F62" s="3" t="n">
        <v>44195.0</v>
      </c>
      <c r="G62" s="3" t="n">
        <v>45582.0</v>
      </c>
      <c r="H62" s="3" t="n">
        <v>48259.0</v>
      </c>
      <c r="I62" s="3" t="n">
        <v>49326.0</v>
      </c>
      <c r="J62" s="3" t="n">
        <v>51140.0</v>
      </c>
      <c r="K62" s="3" t="n">
        <v>51346.0</v>
      </c>
      <c r="L62" s="3" t="n">
        <v>52651.0</v>
      </c>
      <c r="M62" s="3" t="n">
        <v>53573.0</v>
      </c>
      <c r="N62" s="3" t="n">
        <v>54387.0</v>
      </c>
      <c r="O62" s="3" t="n">
        <v>53623.0</v>
      </c>
      <c r="P62" s="3" t="n">
        <v>56072.0</v>
      </c>
      <c r="Q62" s="3" t="n">
        <v>58629.0</v>
      </c>
      <c r="R62" s="3" t="n">
        <v>57972.0</v>
      </c>
      <c r="S62" s="3" t="n">
        <v>56686.0</v>
      </c>
      <c r="T62" s="3" t="n">
        <v>54320.0</v>
      </c>
      <c r="U62" s="3" t="n">
        <v>52850.0</v>
      </c>
      <c r="V62" s="3" t="n">
        <v>52913.0</v>
      </c>
      <c r="W62" s="3" t="n">
        <v>52119.0</v>
      </c>
      <c r="X62" s="3" t="n">
        <v>52125.0</v>
      </c>
      <c r="Y62" s="3" t="n">
        <v>52597.0</v>
      </c>
      <c r="Z62" s="3" t="n">
        <v>50103.0</v>
      </c>
      <c r="AA62" s="3" t="n">
        <v>47943.0</v>
      </c>
      <c r="AB62" s="3" t="n">
        <v>46552.0</v>
      </c>
      <c r="AC62" s="3" t="n">
        <v>43916.0</v>
      </c>
      <c r="AD62" s="3" t="n">
        <v>42400.0</v>
      </c>
      <c r="AE62" s="3" t="n">
        <v>40727.0</v>
      </c>
      <c r="AF62" s="3" t="n">
        <v>39558.0</v>
      </c>
      <c r="AG62" s="3" t="n">
        <v>38048.0</v>
      </c>
      <c r="AH62" s="3" t="n">
        <v>37978.0</v>
      </c>
      <c r="AI62" s="3" t="n">
        <v>36377.0</v>
      </c>
      <c r="AJ62" s="3" t="n">
        <v>35134.0</v>
      </c>
      <c r="AK62" s="3" t="n">
        <v>34509.0</v>
      </c>
      <c r="AL62" s="3" t="n">
        <v>34926.0</v>
      </c>
      <c r="AM62" s="3" t="n">
        <v>36021.0</v>
      </c>
      <c r="AN62" s="3" t="n">
        <v>36825.0</v>
      </c>
      <c r="AO62" s="3" t="n">
        <v>38942.0</v>
      </c>
    </row>
    <row r="63" spans="1:41" x14ac:dyDescent="0.2">
      <c r="A63" s="122"/>
      <c r="B63" s="9">
        <v>54</v>
      </c>
      <c r="C63" s="3" t="n">
        <v>39982.0</v>
      </c>
      <c r="D63" s="3" t="n">
        <v>40806.0</v>
      </c>
      <c r="E63" s="3" t="n">
        <v>42048.0</v>
      </c>
      <c r="F63" s="3" t="n">
        <v>42715.0</v>
      </c>
      <c r="G63" s="3" t="n">
        <v>43990.0</v>
      </c>
      <c r="H63" s="3" t="n">
        <v>45459.0</v>
      </c>
      <c r="I63" s="3" t="n">
        <v>48159.0</v>
      </c>
      <c r="J63" s="3" t="n">
        <v>49159.0</v>
      </c>
      <c r="K63" s="3" t="n">
        <v>50934.0</v>
      </c>
      <c r="L63" s="3" t="n">
        <v>51129.0</v>
      </c>
      <c r="M63" s="3" t="n">
        <v>52424.0</v>
      </c>
      <c r="N63" s="3" t="n">
        <v>53333.0</v>
      </c>
      <c r="O63" s="3" t="n">
        <v>54142.0</v>
      </c>
      <c r="P63" s="3" t="n">
        <v>53389.0</v>
      </c>
      <c r="Q63" s="3" t="n">
        <v>55829.0</v>
      </c>
      <c r="R63" s="3" t="n">
        <v>58371.0</v>
      </c>
      <c r="S63" s="3" t="n">
        <v>57722.0</v>
      </c>
      <c r="T63" s="3" t="n">
        <v>56450.0</v>
      </c>
      <c r="U63" s="3" t="n">
        <v>54098.0</v>
      </c>
      <c r="V63" s="3" t="n">
        <v>52633.0</v>
      </c>
      <c r="W63" s="3" t="n">
        <v>52694.0</v>
      </c>
      <c r="X63" s="3" t="n">
        <v>51911.0</v>
      </c>
      <c r="Y63" s="3" t="n">
        <v>51917.0</v>
      </c>
      <c r="Z63" s="3" t="n">
        <v>52389.0</v>
      </c>
      <c r="AA63" s="3" t="n">
        <v>49907.0</v>
      </c>
      <c r="AB63" s="3" t="n">
        <v>47759.0</v>
      </c>
      <c r="AC63" s="3" t="n">
        <v>46374.0</v>
      </c>
      <c r="AD63" s="3" t="n">
        <v>43742.0</v>
      </c>
      <c r="AE63" s="3" t="n">
        <v>42241.0</v>
      </c>
      <c r="AF63" s="3" t="n">
        <v>40581.0</v>
      </c>
      <c r="AG63" s="3" t="n">
        <v>39420.0</v>
      </c>
      <c r="AH63" s="3" t="n">
        <v>37922.0</v>
      </c>
      <c r="AI63" s="3" t="n">
        <v>37857.0</v>
      </c>
      <c r="AJ63" s="3" t="n">
        <v>36264.0</v>
      </c>
      <c r="AK63" s="3" t="n">
        <v>35030.0</v>
      </c>
      <c r="AL63" s="3" t="n">
        <v>34412.0</v>
      </c>
      <c r="AM63" s="3" t="n">
        <v>34827.0</v>
      </c>
      <c r="AN63" s="3" t="n">
        <v>35922.0</v>
      </c>
      <c r="AO63" s="3" t="n">
        <v>36728.0</v>
      </c>
    </row>
    <row r="64" spans="1:41" x14ac:dyDescent="0.2">
      <c r="A64" s="122"/>
      <c r="B64" s="9">
        <v>55</v>
      </c>
      <c r="C64" s="3" t="n">
        <v>39566.0</v>
      </c>
      <c r="D64" s="3" t="n">
        <v>39723.0</v>
      </c>
      <c r="E64" s="3" t="n">
        <v>40556.0</v>
      </c>
      <c r="F64" s="3" t="n">
        <v>41795.0</v>
      </c>
      <c r="G64" s="3" t="n">
        <v>42469.0</v>
      </c>
      <c r="H64" s="3" t="n">
        <v>43831.0</v>
      </c>
      <c r="I64" s="3" t="n">
        <v>45324.0</v>
      </c>
      <c r="J64" s="3" t="n">
        <v>47952.0</v>
      </c>
      <c r="K64" s="3" t="n">
        <v>48930.0</v>
      </c>
      <c r="L64" s="3" t="n">
        <v>50683.0</v>
      </c>
      <c r="M64" s="3" t="n">
        <v>50874.0</v>
      </c>
      <c r="N64" s="3" t="n">
        <v>52158.0</v>
      </c>
      <c r="O64" s="3" t="n">
        <v>53065.0</v>
      </c>
      <c r="P64" s="3" t="n">
        <v>53878.0</v>
      </c>
      <c r="Q64" s="3" t="n">
        <v>53135.0</v>
      </c>
      <c r="R64" s="3" t="n">
        <v>55570.0</v>
      </c>
      <c r="S64" s="3" t="n">
        <v>58102.0</v>
      </c>
      <c r="T64" s="3" t="n">
        <v>57454.0</v>
      </c>
      <c r="U64" s="3" t="n">
        <v>56190.0</v>
      </c>
      <c r="V64" s="3" t="n">
        <v>53849.0</v>
      </c>
      <c r="W64" s="3" t="n">
        <v>52385.0</v>
      </c>
      <c r="X64" s="3" t="n">
        <v>52451.0</v>
      </c>
      <c r="Y64" s="3" t="n">
        <v>51680.0</v>
      </c>
      <c r="Z64" s="3" t="n">
        <v>51678.0</v>
      </c>
      <c r="AA64" s="3" t="n">
        <v>52151.0</v>
      </c>
      <c r="AB64" s="3" t="n">
        <v>49673.0</v>
      </c>
      <c r="AC64" s="3" t="n">
        <v>47542.0</v>
      </c>
      <c r="AD64" s="3" t="n">
        <v>46169.0</v>
      </c>
      <c r="AE64" s="3" t="n">
        <v>43555.0</v>
      </c>
      <c r="AF64" s="3" t="n">
        <v>42063.0</v>
      </c>
      <c r="AG64" s="3" t="n">
        <v>40422.0</v>
      </c>
      <c r="AH64" s="3" t="n">
        <v>39263.0</v>
      </c>
      <c r="AI64" s="3" t="n">
        <v>37778.0</v>
      </c>
      <c r="AJ64" s="3" t="n">
        <v>37718.0</v>
      </c>
      <c r="AK64" s="3" t="n">
        <v>36131.0</v>
      </c>
      <c r="AL64" s="3" t="n">
        <v>34903.0</v>
      </c>
      <c r="AM64" s="3" t="n">
        <v>34288.0</v>
      </c>
      <c r="AN64" s="3" t="n">
        <v>34710.0</v>
      </c>
      <c r="AO64" s="3" t="n">
        <v>35805.0</v>
      </c>
    </row>
    <row r="65" spans="1:41" x14ac:dyDescent="0.2">
      <c r="A65" s="122"/>
      <c r="B65" s="9">
        <v>56</v>
      </c>
      <c r="C65" s="3" t="n">
        <v>39370.0</v>
      </c>
      <c r="D65" s="3" t="n">
        <v>39307.0</v>
      </c>
      <c r="E65" s="3" t="n">
        <v>39477.0</v>
      </c>
      <c r="F65" s="3" t="n">
        <v>40314.0</v>
      </c>
      <c r="G65" s="3" t="n">
        <v>41552.0</v>
      </c>
      <c r="H65" s="3" t="n">
        <v>42301.0</v>
      </c>
      <c r="I65" s="3" t="n">
        <v>43691.0</v>
      </c>
      <c r="J65" s="3" t="n">
        <v>45123.0</v>
      </c>
      <c r="K65" s="3" t="n">
        <v>47712.0</v>
      </c>
      <c r="L65" s="3" t="n">
        <v>48679.0</v>
      </c>
      <c r="M65" s="3" t="n">
        <v>50420.0</v>
      </c>
      <c r="N65" s="3" t="n">
        <v>50607.0</v>
      </c>
      <c r="O65" s="3" t="n">
        <v>51884.0</v>
      </c>
      <c r="P65" s="3" t="n">
        <v>52790.0</v>
      </c>
      <c r="Q65" s="3" t="n">
        <v>53602.0</v>
      </c>
      <c r="R65" s="3" t="n">
        <v>52867.0</v>
      </c>
      <c r="S65" s="3" t="n">
        <v>55294.0</v>
      </c>
      <c r="T65" s="3" t="n">
        <v>57817.0</v>
      </c>
      <c r="U65" s="3" t="n">
        <v>57164.0</v>
      </c>
      <c r="V65" s="3" t="n">
        <v>55919.0</v>
      </c>
      <c r="W65" s="3" t="n">
        <v>53597.0</v>
      </c>
      <c r="X65" s="3" t="n">
        <v>52143.0</v>
      </c>
      <c r="Y65" s="3" t="n">
        <v>52211.0</v>
      </c>
      <c r="Z65" s="3" t="n">
        <v>51443.0</v>
      </c>
      <c r="AA65" s="3" t="n">
        <v>51442.0</v>
      </c>
      <c r="AB65" s="3" t="n">
        <v>51917.0</v>
      </c>
      <c r="AC65" s="3" t="n">
        <v>49455.0</v>
      </c>
      <c r="AD65" s="3" t="n">
        <v>47335.0</v>
      </c>
      <c r="AE65" s="3" t="n">
        <v>45970.0</v>
      </c>
      <c r="AF65" s="3" t="n">
        <v>43376.0</v>
      </c>
      <c r="AG65" s="3" t="n">
        <v>41891.0</v>
      </c>
      <c r="AH65" s="3" t="n">
        <v>40256.0</v>
      </c>
      <c r="AI65" s="3" t="n">
        <v>39104.0</v>
      </c>
      <c r="AJ65" s="3" t="n">
        <v>37629.0</v>
      </c>
      <c r="AK65" s="3" t="n">
        <v>37572.0</v>
      </c>
      <c r="AL65" s="3" t="n">
        <v>35996.0</v>
      </c>
      <c r="AM65" s="3" t="n">
        <v>34776.0</v>
      </c>
      <c r="AN65" s="3" t="n">
        <v>34170.0</v>
      </c>
      <c r="AO65" s="3" t="n">
        <v>34596.0</v>
      </c>
    </row>
    <row r="66" spans="1:41" x14ac:dyDescent="0.2">
      <c r="A66" s="122"/>
      <c r="B66" s="9">
        <v>57</v>
      </c>
      <c r="C66" s="3" t="n">
        <v>39731.0</v>
      </c>
      <c r="D66" s="3" t="n">
        <v>39084.0</v>
      </c>
      <c r="E66" s="3" t="n">
        <v>39027.0</v>
      </c>
      <c r="F66" s="3" t="n">
        <v>39207.0</v>
      </c>
      <c r="G66" s="3" t="n">
        <v>40054.0</v>
      </c>
      <c r="H66" s="3" t="n">
        <v>41362.0</v>
      </c>
      <c r="I66" s="3" t="n">
        <v>42137.0</v>
      </c>
      <c r="J66" s="3" t="n">
        <v>43465.0</v>
      </c>
      <c r="K66" s="3" t="n">
        <v>44869.0</v>
      </c>
      <c r="L66" s="3" t="n">
        <v>47440.0</v>
      </c>
      <c r="M66" s="3" t="n">
        <v>48399.0</v>
      </c>
      <c r="N66" s="3" t="n">
        <v>50136.0</v>
      </c>
      <c r="O66" s="3" t="n">
        <v>50320.0</v>
      </c>
      <c r="P66" s="3" t="n">
        <v>51593.0</v>
      </c>
      <c r="Q66" s="3" t="n">
        <v>52498.0</v>
      </c>
      <c r="R66" s="3" t="n">
        <v>53308.0</v>
      </c>
      <c r="S66" s="3" t="n">
        <v>52580.0</v>
      </c>
      <c r="T66" s="3" t="n">
        <v>55000.0</v>
      </c>
      <c r="U66" s="3" t="n">
        <v>57511.0</v>
      </c>
      <c r="V66" s="3" t="n">
        <v>56863.0</v>
      </c>
      <c r="W66" s="3" t="n">
        <v>55627.0</v>
      </c>
      <c r="X66" s="3" t="n">
        <v>53319.0</v>
      </c>
      <c r="Y66" s="3" t="n">
        <v>51877.0</v>
      </c>
      <c r="Z66" s="3" t="n">
        <v>51944.0</v>
      </c>
      <c r="AA66" s="3" t="n">
        <v>51186.0</v>
      </c>
      <c r="AB66" s="3" t="n">
        <v>51185.0</v>
      </c>
      <c r="AC66" s="3" t="n">
        <v>51662.0</v>
      </c>
      <c r="AD66" s="3" t="n">
        <v>49224.0</v>
      </c>
      <c r="AE66" s="3" t="n">
        <v>47111.0</v>
      </c>
      <c r="AF66" s="3" t="n">
        <v>45762.0</v>
      </c>
      <c r="AG66" s="3" t="n">
        <v>43183.0</v>
      </c>
      <c r="AH66" s="3" t="n">
        <v>41702.0</v>
      </c>
      <c r="AI66" s="3" t="n">
        <v>40082.0</v>
      </c>
      <c r="AJ66" s="3" t="n">
        <v>38938.0</v>
      </c>
      <c r="AK66" s="3" t="n">
        <v>37471.0</v>
      </c>
      <c r="AL66" s="3" t="n">
        <v>37420.0</v>
      </c>
      <c r="AM66" s="3" t="n">
        <v>35853.0</v>
      </c>
      <c r="AN66" s="3" t="n">
        <v>34644.0</v>
      </c>
      <c r="AO66" s="3" t="n">
        <v>34049.0</v>
      </c>
    </row>
    <row r="67" spans="1:41" x14ac:dyDescent="0.2">
      <c r="A67" s="122"/>
      <c r="B67" s="9">
        <v>58</v>
      </c>
      <c r="C67" s="3" t="n">
        <v>39755.0</v>
      </c>
      <c r="D67" s="3" t="n">
        <v>39399.0</v>
      </c>
      <c r="E67" s="3" t="n">
        <v>38775.0</v>
      </c>
      <c r="F67" s="3" t="n">
        <v>38728.0</v>
      </c>
      <c r="G67" s="3" t="n">
        <v>38910.0</v>
      </c>
      <c r="H67" s="3" t="n">
        <v>39842.0</v>
      </c>
      <c r="I67" s="3" t="n">
        <v>41169.0</v>
      </c>
      <c r="J67" s="3" t="n">
        <v>41877.0</v>
      </c>
      <c r="K67" s="3" t="n">
        <v>43172.0</v>
      </c>
      <c r="L67" s="3" t="n">
        <v>44562.0</v>
      </c>
      <c r="M67" s="3" t="n">
        <v>47121.0</v>
      </c>
      <c r="N67" s="3" t="n">
        <v>48084.0</v>
      </c>
      <c r="O67" s="3" t="n">
        <v>49810.0</v>
      </c>
      <c r="P67" s="3" t="n">
        <v>49993.0</v>
      </c>
      <c r="Q67" s="3" t="n">
        <v>51264.0</v>
      </c>
      <c r="R67" s="3" t="n">
        <v>52168.0</v>
      </c>
      <c r="S67" s="3" t="n">
        <v>52981.0</v>
      </c>
      <c r="T67" s="3" t="n">
        <v>52259.0</v>
      </c>
      <c r="U67" s="3" t="n">
        <v>54672.0</v>
      </c>
      <c r="V67" s="3" t="n">
        <v>57171.0</v>
      </c>
      <c r="W67" s="3" t="n">
        <v>56530.0</v>
      </c>
      <c r="X67" s="3" t="n">
        <v>55303.0</v>
      </c>
      <c r="Y67" s="3" t="n">
        <v>53018.0</v>
      </c>
      <c r="Z67" s="3" t="n">
        <v>51580.0</v>
      </c>
      <c r="AA67" s="3" t="n">
        <v>51649.0</v>
      </c>
      <c r="AB67" s="3" t="n">
        <v>50906.0</v>
      </c>
      <c r="AC67" s="3" t="n">
        <v>50895.0</v>
      </c>
      <c r="AD67" s="3" t="n">
        <v>51373.0</v>
      </c>
      <c r="AE67" s="3" t="n">
        <v>48959.0</v>
      </c>
      <c r="AF67" s="3" t="n">
        <v>46857.0</v>
      </c>
      <c r="AG67" s="3" t="n">
        <v>45518.0</v>
      </c>
      <c r="AH67" s="3" t="n">
        <v>42964.0</v>
      </c>
      <c r="AI67" s="3" t="n">
        <v>41498.0</v>
      </c>
      <c r="AJ67" s="3" t="n">
        <v>39894.0</v>
      </c>
      <c r="AK67" s="3" t="n">
        <v>38756.0</v>
      </c>
      <c r="AL67" s="3" t="n">
        <v>37299.0</v>
      </c>
      <c r="AM67" s="3" t="n">
        <v>37255.0</v>
      </c>
      <c r="AN67" s="3" t="n">
        <v>35701.0</v>
      </c>
      <c r="AO67" s="3" t="n">
        <v>34501.0</v>
      </c>
    </row>
    <row r="68" spans="1:41" x14ac:dyDescent="0.2">
      <c r="A68" s="122"/>
      <c r="B68" s="9">
        <v>59</v>
      </c>
      <c r="C68" s="3" t="n">
        <v>39564.0</v>
      </c>
      <c r="D68" s="3" t="n">
        <v>39395.0</v>
      </c>
      <c r="E68" s="3" t="n">
        <v>39061.0</v>
      </c>
      <c r="F68" s="3" t="n">
        <v>38443.0</v>
      </c>
      <c r="G68" s="3" t="n">
        <v>38403.0</v>
      </c>
      <c r="H68" s="3" t="n">
        <v>38676.0</v>
      </c>
      <c r="I68" s="3" t="n">
        <v>39633.0</v>
      </c>
      <c r="J68" s="3" t="n">
        <v>40907.0</v>
      </c>
      <c r="K68" s="3" t="n">
        <v>41581.0</v>
      </c>
      <c r="L68" s="3" t="n">
        <v>42864.0</v>
      </c>
      <c r="M68" s="3" t="n">
        <v>44246.0</v>
      </c>
      <c r="N68" s="3" t="n">
        <v>46783.0</v>
      </c>
      <c r="O68" s="3" t="n">
        <v>47746.0</v>
      </c>
      <c r="P68" s="3" t="n">
        <v>49467.0</v>
      </c>
      <c r="Q68" s="3" t="n">
        <v>49652.0</v>
      </c>
      <c r="R68" s="3" t="n">
        <v>50921.0</v>
      </c>
      <c r="S68" s="3" t="n">
        <v>51823.0</v>
      </c>
      <c r="T68" s="3" t="n">
        <v>52639.0</v>
      </c>
      <c r="U68" s="3" t="n">
        <v>51923.0</v>
      </c>
      <c r="V68" s="3" t="n">
        <v>54327.0</v>
      </c>
      <c r="W68" s="3" t="n">
        <v>56822.0</v>
      </c>
      <c r="X68" s="3" t="n">
        <v>56184.0</v>
      </c>
      <c r="Y68" s="3" t="n">
        <v>54965.0</v>
      </c>
      <c r="Z68" s="3" t="n">
        <v>52694.0</v>
      </c>
      <c r="AA68" s="3" t="n">
        <v>51271.0</v>
      </c>
      <c r="AB68" s="3" t="n">
        <v>51345.0</v>
      </c>
      <c r="AC68" s="3" t="n">
        <v>50609.0</v>
      </c>
      <c r="AD68" s="3" t="n">
        <v>50599.0</v>
      </c>
      <c r="AE68" s="3" t="n">
        <v>51081.0</v>
      </c>
      <c r="AF68" s="3" t="n">
        <v>48682.0</v>
      </c>
      <c r="AG68" s="3" t="n">
        <v>46602.0</v>
      </c>
      <c r="AH68" s="3" t="n">
        <v>45267.0</v>
      </c>
      <c r="AI68" s="3" t="n">
        <v>42733.0</v>
      </c>
      <c r="AJ68" s="3" t="n">
        <v>41281.0</v>
      </c>
      <c r="AK68" s="3" t="n">
        <v>39693.0</v>
      </c>
      <c r="AL68" s="3" t="n">
        <v>38562.0</v>
      </c>
      <c r="AM68" s="3" t="n">
        <v>37121.0</v>
      </c>
      <c r="AN68" s="3" t="n">
        <v>37081.0</v>
      </c>
      <c r="AO68" s="3" t="n">
        <v>35543.0</v>
      </c>
    </row>
    <row r="69" spans="1:41" x14ac:dyDescent="0.2">
      <c r="A69" s="122"/>
      <c r="B69" s="9">
        <v>60</v>
      </c>
      <c r="C69" s="3" t="n">
        <v>39916.0</v>
      </c>
      <c r="D69" s="3" t="n">
        <v>39170.0</v>
      </c>
      <c r="E69" s="3" t="n">
        <v>39015.0</v>
      </c>
      <c r="F69" s="3" t="n">
        <v>38694.0</v>
      </c>
      <c r="G69" s="3" t="n">
        <v>38091.0</v>
      </c>
      <c r="H69" s="3" t="n">
        <v>38147.0</v>
      </c>
      <c r="I69" s="3" t="n">
        <v>38455.0</v>
      </c>
      <c r="J69" s="3" t="n">
        <v>39345.0</v>
      </c>
      <c r="K69" s="3" t="n">
        <v>40581.0</v>
      </c>
      <c r="L69" s="3" t="n">
        <v>41249.0</v>
      </c>
      <c r="M69" s="3" t="n">
        <v>42522.0</v>
      </c>
      <c r="N69" s="3" t="n">
        <v>43896.0</v>
      </c>
      <c r="O69" s="3" t="n">
        <v>46418.0</v>
      </c>
      <c r="P69" s="3" t="n">
        <v>47379.0</v>
      </c>
      <c r="Q69" s="3" t="n">
        <v>49091.0</v>
      </c>
      <c r="R69" s="3" t="n">
        <v>49279.0</v>
      </c>
      <c r="S69" s="3" t="n">
        <v>50547.0</v>
      </c>
      <c r="T69" s="3" t="n">
        <v>51446.0</v>
      </c>
      <c r="U69" s="3" t="n">
        <v>52259.0</v>
      </c>
      <c r="V69" s="3" t="n">
        <v>51561.0</v>
      </c>
      <c r="W69" s="3" t="n">
        <v>53947.0</v>
      </c>
      <c r="X69" s="3" t="n">
        <v>56433.0</v>
      </c>
      <c r="Y69" s="3" t="n">
        <v>55800.0</v>
      </c>
      <c r="Z69" s="3" t="n">
        <v>54593.0</v>
      </c>
      <c r="AA69" s="3" t="n">
        <v>52346.0</v>
      </c>
      <c r="AB69" s="3" t="n">
        <v>50937.0</v>
      </c>
      <c r="AC69" s="3" t="n">
        <v>51023.0</v>
      </c>
      <c r="AD69" s="3" t="n">
        <v>50298.0</v>
      </c>
      <c r="AE69" s="3" t="n">
        <v>50288.0</v>
      </c>
      <c r="AF69" s="3" t="n">
        <v>50761.0</v>
      </c>
      <c r="AG69" s="3" t="n">
        <v>48385.0</v>
      </c>
      <c r="AH69" s="3" t="n">
        <v>46328.0</v>
      </c>
      <c r="AI69" s="3" t="n">
        <v>45000.0</v>
      </c>
      <c r="AJ69" s="3" t="n">
        <v>42497.0</v>
      </c>
      <c r="AK69" s="3" t="n">
        <v>41055.0</v>
      </c>
      <c r="AL69" s="3" t="n">
        <v>39480.0</v>
      </c>
      <c r="AM69" s="3" t="n">
        <v>38355.0</v>
      </c>
      <c r="AN69" s="3" t="n">
        <v>36930.0</v>
      </c>
      <c r="AO69" s="3" t="n">
        <v>36895.0</v>
      </c>
    </row>
    <row r="70" spans="1:41" x14ac:dyDescent="0.2">
      <c r="A70" s="122"/>
      <c r="B70" s="9">
        <v>61</v>
      </c>
      <c r="C70" s="3" t="n">
        <v>39974.0</v>
      </c>
      <c r="D70" s="3" t="n">
        <v>39488.0</v>
      </c>
      <c r="E70" s="3" t="n">
        <v>38764.0</v>
      </c>
      <c r="F70" s="3" t="n">
        <v>38620.0</v>
      </c>
      <c r="G70" s="3" t="n">
        <v>38311.0</v>
      </c>
      <c r="H70" s="3" t="n">
        <v>37812.0</v>
      </c>
      <c r="I70" s="3" t="n">
        <v>37906.0</v>
      </c>
      <c r="J70" s="3" t="n">
        <v>38159.0</v>
      </c>
      <c r="K70" s="3" t="n">
        <v>39006.0</v>
      </c>
      <c r="L70" s="3" t="n">
        <v>40221.0</v>
      </c>
      <c r="M70" s="3" t="n">
        <v>40885.0</v>
      </c>
      <c r="N70" s="3" t="n">
        <v>42153.0</v>
      </c>
      <c r="O70" s="3" t="n">
        <v>43514.0</v>
      </c>
      <c r="P70" s="3" t="n">
        <v>46020.0</v>
      </c>
      <c r="Q70" s="3" t="n">
        <v>46982.0</v>
      </c>
      <c r="R70" s="3" t="n">
        <v>48685.0</v>
      </c>
      <c r="S70" s="3" t="n">
        <v>48880.0</v>
      </c>
      <c r="T70" s="3" t="n">
        <v>50142.0</v>
      </c>
      <c r="U70" s="3" t="n">
        <v>51045.0</v>
      </c>
      <c r="V70" s="3" t="n">
        <v>51856.0</v>
      </c>
      <c r="W70" s="3" t="n">
        <v>51168.0</v>
      </c>
      <c r="X70" s="3" t="n">
        <v>53537.0</v>
      </c>
      <c r="Y70" s="3" t="n">
        <v>56010.0</v>
      </c>
      <c r="Z70" s="3" t="n">
        <v>55384.0</v>
      </c>
      <c r="AA70" s="3" t="n">
        <v>54193.0</v>
      </c>
      <c r="AB70" s="3" t="n">
        <v>51974.0</v>
      </c>
      <c r="AC70" s="3" t="n">
        <v>50578.0</v>
      </c>
      <c r="AD70" s="3" t="n">
        <v>50668.0</v>
      </c>
      <c r="AE70" s="3" t="n">
        <v>49953.0</v>
      </c>
      <c r="AF70" s="3" t="n">
        <v>49944.0</v>
      </c>
      <c r="AG70" s="3" t="n">
        <v>50414.0</v>
      </c>
      <c r="AH70" s="3" t="n">
        <v>48058.0</v>
      </c>
      <c r="AI70" s="3" t="n">
        <v>46023.0</v>
      </c>
      <c r="AJ70" s="3" t="n">
        <v>44714.0</v>
      </c>
      <c r="AK70" s="3" t="n">
        <v>42237.0</v>
      </c>
      <c r="AL70" s="3" t="n">
        <v>40813.0</v>
      </c>
      <c r="AM70" s="3" t="n">
        <v>39255.0</v>
      </c>
      <c r="AN70" s="3" t="n">
        <v>38136.0</v>
      </c>
      <c r="AO70" s="3" t="n">
        <v>36726.0</v>
      </c>
    </row>
    <row r="71" spans="1:41" x14ac:dyDescent="0.2">
      <c r="A71" s="122"/>
      <c r="B71" s="9">
        <v>62</v>
      </c>
      <c r="C71" s="3" t="n">
        <v>41544.0</v>
      </c>
      <c r="D71" s="3" t="n">
        <v>39502.0</v>
      </c>
      <c r="E71" s="3" t="n">
        <v>39031.0</v>
      </c>
      <c r="F71" s="3" t="n">
        <v>38332.0</v>
      </c>
      <c r="G71" s="3" t="n">
        <v>38206.0</v>
      </c>
      <c r="H71" s="3" t="n">
        <v>37999.0</v>
      </c>
      <c r="I71" s="3" t="n">
        <v>37556.0</v>
      </c>
      <c r="J71" s="3" t="n">
        <v>37578.0</v>
      </c>
      <c r="K71" s="3" t="n">
        <v>37796.0</v>
      </c>
      <c r="L71" s="3" t="n">
        <v>38630.0</v>
      </c>
      <c r="M71" s="3" t="n">
        <v>39836.0</v>
      </c>
      <c r="N71" s="3" t="n">
        <v>40497.0</v>
      </c>
      <c r="O71" s="3" t="n">
        <v>41764.0</v>
      </c>
      <c r="P71" s="3" t="n">
        <v>43111.0</v>
      </c>
      <c r="Q71" s="3" t="n">
        <v>45599.0</v>
      </c>
      <c r="R71" s="3" t="n">
        <v>46559.0</v>
      </c>
      <c r="S71" s="3" t="n">
        <v>48262.0</v>
      </c>
      <c r="T71" s="3" t="n">
        <v>48454.0</v>
      </c>
      <c r="U71" s="3" t="n">
        <v>49714.0</v>
      </c>
      <c r="V71" s="3" t="n">
        <v>50616.0</v>
      </c>
      <c r="W71" s="3" t="n">
        <v>51427.0</v>
      </c>
      <c r="X71" s="3" t="n">
        <v>50754.0</v>
      </c>
      <c r="Y71" s="3" t="n">
        <v>53105.0</v>
      </c>
      <c r="Z71" s="3" t="n">
        <v>55566.0</v>
      </c>
      <c r="AA71" s="3" t="n">
        <v>54952.0</v>
      </c>
      <c r="AB71" s="3" t="n">
        <v>53776.0</v>
      </c>
      <c r="AC71" s="3" t="n">
        <v>51577.0</v>
      </c>
      <c r="AD71" s="3" t="n">
        <v>50205.0</v>
      </c>
      <c r="AE71" s="3" t="n">
        <v>50296.0</v>
      </c>
      <c r="AF71" s="3" t="n">
        <v>49591.0</v>
      </c>
      <c r="AG71" s="3" t="n">
        <v>49577.0</v>
      </c>
      <c r="AH71" s="3" t="n">
        <v>50048.0</v>
      </c>
      <c r="AI71" s="3" t="n">
        <v>47712.0</v>
      </c>
      <c r="AJ71" s="3" t="n">
        <v>45706.0</v>
      </c>
      <c r="AK71" s="3" t="n">
        <v>44409.0</v>
      </c>
      <c r="AL71" s="3" t="n">
        <v>41955.0</v>
      </c>
      <c r="AM71" s="3" t="n">
        <v>40549.0</v>
      </c>
      <c r="AN71" s="3" t="n">
        <v>39009.0</v>
      </c>
      <c r="AO71" s="3" t="n">
        <v>37904.0</v>
      </c>
    </row>
    <row r="72" spans="1:41" x14ac:dyDescent="0.2">
      <c r="A72" s="122"/>
      <c r="B72" s="9">
        <v>63</v>
      </c>
      <c r="C72" s="3" t="n">
        <v>42534.0</v>
      </c>
      <c r="D72" s="3" t="n">
        <v>41025.0</v>
      </c>
      <c r="E72" s="3" t="n">
        <v>39022.0</v>
      </c>
      <c r="F72" s="3" t="n">
        <v>38575.0</v>
      </c>
      <c r="G72" s="3" t="n">
        <v>37892.0</v>
      </c>
      <c r="H72" s="3" t="n">
        <v>37860.0</v>
      </c>
      <c r="I72" s="3" t="n">
        <v>37696.0</v>
      </c>
      <c r="J72" s="3" t="n">
        <v>37184.0</v>
      </c>
      <c r="K72" s="3" t="n">
        <v>37174.0</v>
      </c>
      <c r="L72" s="3" t="n">
        <v>37396.0</v>
      </c>
      <c r="M72" s="3" t="n">
        <v>38226.0</v>
      </c>
      <c r="N72" s="3" t="n">
        <v>39431.0</v>
      </c>
      <c r="O72" s="3" t="n">
        <v>40073.0</v>
      </c>
      <c r="P72" s="3" t="n">
        <v>41346.0</v>
      </c>
      <c r="Q72" s="3" t="n">
        <v>42683.0</v>
      </c>
      <c r="R72" s="3" t="n">
        <v>45146.0</v>
      </c>
      <c r="S72" s="3" t="n">
        <v>46109.0</v>
      </c>
      <c r="T72" s="3" t="n">
        <v>47799.0</v>
      </c>
      <c r="U72" s="3" t="n">
        <v>47993.0</v>
      </c>
      <c r="V72" s="3" t="n">
        <v>49252.0</v>
      </c>
      <c r="W72" s="3" t="n">
        <v>50147.0</v>
      </c>
      <c r="X72" s="3" t="n">
        <v>50967.0</v>
      </c>
      <c r="Y72" s="3" t="n">
        <v>50304.0</v>
      </c>
      <c r="Z72" s="3" t="n">
        <v>52632.0</v>
      </c>
      <c r="AA72" s="3" t="n">
        <v>55078.0</v>
      </c>
      <c r="AB72" s="3" t="n">
        <v>54483.0</v>
      </c>
      <c r="AC72" s="3" t="n">
        <v>53321.0</v>
      </c>
      <c r="AD72" s="3" t="n">
        <v>51148.0</v>
      </c>
      <c r="AE72" s="3" t="n">
        <v>49797.0</v>
      </c>
      <c r="AF72" s="3" t="n">
        <v>49897.0</v>
      </c>
      <c r="AG72" s="3" t="n">
        <v>49207.0</v>
      </c>
      <c r="AH72" s="3" t="n">
        <v>49196.0</v>
      </c>
      <c r="AI72" s="3" t="n">
        <v>49667.0</v>
      </c>
      <c r="AJ72" s="3" t="n">
        <v>47358.0</v>
      </c>
      <c r="AK72" s="3" t="n">
        <v>45372.0</v>
      </c>
      <c r="AL72" s="3" t="n">
        <v>44087.0</v>
      </c>
      <c r="AM72" s="3" t="n">
        <v>41664.0</v>
      </c>
      <c r="AN72" s="3" t="n">
        <v>40275.0</v>
      </c>
      <c r="AO72" s="3" t="n">
        <v>38748.0</v>
      </c>
    </row>
    <row r="73" spans="1:41" x14ac:dyDescent="0.2">
      <c r="A73" s="122"/>
      <c r="B73" s="9">
        <v>64</v>
      </c>
      <c r="C73" s="3" t="n">
        <v>43114.0</v>
      </c>
      <c r="D73" s="3" t="n">
        <v>41950.0</v>
      </c>
      <c r="E73" s="3" t="n">
        <v>40477.0</v>
      </c>
      <c r="F73" s="3" t="n">
        <v>38510.0</v>
      </c>
      <c r="G73" s="3" t="n">
        <v>38078.0</v>
      </c>
      <c r="H73" s="3" t="n">
        <v>37505.0</v>
      </c>
      <c r="I73" s="3" t="n">
        <v>37520.0</v>
      </c>
      <c r="J73" s="3" t="n">
        <v>37298.0</v>
      </c>
      <c r="K73" s="3" t="n">
        <v>36760.0</v>
      </c>
      <c r="L73" s="3" t="n">
        <v>36743.0</v>
      </c>
      <c r="M73" s="3" t="n">
        <v>36966.0</v>
      </c>
      <c r="N73" s="3" t="n">
        <v>37793.0</v>
      </c>
      <c r="O73" s="3" t="n">
        <v>38985.0</v>
      </c>
      <c r="P73" s="3" t="n">
        <v>39631.0</v>
      </c>
      <c r="Q73" s="3" t="n">
        <v>40901.0</v>
      </c>
      <c r="R73" s="3" t="n">
        <v>42228.0</v>
      </c>
      <c r="S73" s="3" t="n">
        <v>44662.0</v>
      </c>
      <c r="T73" s="3" t="n">
        <v>45635.0</v>
      </c>
      <c r="U73" s="3" t="n">
        <v>47308.0</v>
      </c>
      <c r="V73" s="3" t="n">
        <v>47515.0</v>
      </c>
      <c r="W73" s="3" t="n">
        <v>48772.0</v>
      </c>
      <c r="X73" s="3" t="n">
        <v>49662.0</v>
      </c>
      <c r="Y73" s="3" t="n">
        <v>50482.0</v>
      </c>
      <c r="Z73" s="3" t="n">
        <v>49829.0</v>
      </c>
      <c r="AA73" s="3" t="n">
        <v>52139.0</v>
      </c>
      <c r="AB73" s="3" t="n">
        <v>54574.0</v>
      </c>
      <c r="AC73" s="3" t="n">
        <v>53987.0</v>
      </c>
      <c r="AD73" s="3" t="n">
        <v>52843.0</v>
      </c>
      <c r="AE73" s="3" t="n">
        <v>50697.0</v>
      </c>
      <c r="AF73" s="3" t="n">
        <v>49354.0</v>
      </c>
      <c r="AG73" s="3" t="n">
        <v>49462.0</v>
      </c>
      <c r="AH73" s="3" t="n">
        <v>48786.0</v>
      </c>
      <c r="AI73" s="3" t="n">
        <v>48777.0</v>
      </c>
      <c r="AJ73" s="3" t="n">
        <v>49252.0</v>
      </c>
      <c r="AK73" s="3" t="n">
        <v>46968.0</v>
      </c>
      <c r="AL73" s="3" t="n">
        <v>45013.0</v>
      </c>
      <c r="AM73" s="3" t="n">
        <v>43743.0</v>
      </c>
      <c r="AN73" s="3" t="n">
        <v>41347.0</v>
      </c>
      <c r="AO73" s="3" t="n">
        <v>39979.0</v>
      </c>
    </row>
    <row r="74" spans="1:41" x14ac:dyDescent="0.2">
      <c r="A74" s="122"/>
      <c r="B74" s="9">
        <v>65</v>
      </c>
      <c r="C74" s="3" t="n">
        <v>42186.0</v>
      </c>
      <c r="D74" s="3" t="n">
        <v>42476.0</v>
      </c>
      <c r="E74" s="3" t="n">
        <v>41351.0</v>
      </c>
      <c r="F74" s="3" t="n">
        <v>39915.0</v>
      </c>
      <c r="G74" s="3" t="n">
        <v>37985.0</v>
      </c>
      <c r="H74" s="3" t="n">
        <v>37652.0</v>
      </c>
      <c r="I74" s="3" t="n">
        <v>37123.0</v>
      </c>
      <c r="J74" s="3" t="n">
        <v>37079.0</v>
      </c>
      <c r="K74" s="3" t="n">
        <v>36842.0</v>
      </c>
      <c r="L74" s="3" t="n">
        <v>36310.0</v>
      </c>
      <c r="M74" s="3" t="n">
        <v>36290.0</v>
      </c>
      <c r="N74" s="3" t="n">
        <v>36523.0</v>
      </c>
      <c r="O74" s="3" t="n">
        <v>37344.0</v>
      </c>
      <c r="P74" s="3" t="n">
        <v>38530.0</v>
      </c>
      <c r="Q74" s="3" t="n">
        <v>39170.0</v>
      </c>
      <c r="R74" s="3" t="n">
        <v>40437.0</v>
      </c>
      <c r="S74" s="3" t="n">
        <v>41754.0</v>
      </c>
      <c r="T74" s="3" t="n">
        <v>44170.0</v>
      </c>
      <c r="U74" s="3" t="n">
        <v>45140.0</v>
      </c>
      <c r="V74" s="3" t="n">
        <v>46806.0</v>
      </c>
      <c r="W74" s="3" t="n">
        <v>47018.0</v>
      </c>
      <c r="X74" s="3" t="n">
        <v>48264.0</v>
      </c>
      <c r="Y74" s="3" t="n">
        <v>49155.0</v>
      </c>
      <c r="Z74" s="3" t="n">
        <v>49979.0</v>
      </c>
      <c r="AA74" s="3" t="n">
        <v>49337.0</v>
      </c>
      <c r="AB74" s="3" t="n">
        <v>51629.0</v>
      </c>
      <c r="AC74" s="3" t="n">
        <v>54050.0</v>
      </c>
      <c r="AD74" s="3" t="n">
        <v>53471.0</v>
      </c>
      <c r="AE74" s="3" t="n">
        <v>52351.0</v>
      </c>
      <c r="AF74" s="3" t="n">
        <v>50228.0</v>
      </c>
      <c r="AG74" s="3" t="n">
        <v>48901.0</v>
      </c>
      <c r="AH74" s="3" t="n">
        <v>49014.0</v>
      </c>
      <c r="AI74" s="3" t="n">
        <v>48354.0</v>
      </c>
      <c r="AJ74" s="3" t="n">
        <v>48354.0</v>
      </c>
      <c r="AK74" s="3" t="n">
        <v>48827.0</v>
      </c>
      <c r="AL74" s="3" t="n">
        <v>46569.0</v>
      </c>
      <c r="AM74" s="3" t="n">
        <v>44641.0</v>
      </c>
      <c r="AN74" s="3" t="n">
        <v>43390.0</v>
      </c>
      <c r="AO74" s="3" t="n">
        <v>41019.0</v>
      </c>
    </row>
    <row r="75" spans="1:41" x14ac:dyDescent="0.2">
      <c r="A75" s="122"/>
      <c r="B75" s="9">
        <v>66</v>
      </c>
      <c r="C75" s="3" t="n">
        <v>40981.0</v>
      </c>
      <c r="D75" s="3" t="n">
        <v>41497.0</v>
      </c>
      <c r="E75" s="3" t="n">
        <v>41798.0</v>
      </c>
      <c r="F75" s="3" t="n">
        <v>40702.0</v>
      </c>
      <c r="G75" s="3" t="n">
        <v>39311.0</v>
      </c>
      <c r="H75" s="3" t="n">
        <v>37485.0</v>
      </c>
      <c r="I75" s="3" t="n">
        <v>37187.0</v>
      </c>
      <c r="J75" s="3" t="n">
        <v>36620.0</v>
      </c>
      <c r="K75" s="3" t="n">
        <v>36560.0</v>
      </c>
      <c r="L75" s="3" t="n">
        <v>36318.0</v>
      </c>
      <c r="M75" s="3" t="n">
        <v>35805.0</v>
      </c>
      <c r="N75" s="3" t="n">
        <v>35791.0</v>
      </c>
      <c r="O75" s="3" t="n">
        <v>36023.0</v>
      </c>
      <c r="P75" s="3" t="n">
        <v>36847.0</v>
      </c>
      <c r="Q75" s="3" t="n">
        <v>38023.0</v>
      </c>
      <c r="R75" s="3" t="n">
        <v>38671.0</v>
      </c>
      <c r="S75" s="3" t="n">
        <v>39931.0</v>
      </c>
      <c r="T75" s="3" t="n">
        <v>41244.0</v>
      </c>
      <c r="U75" s="3" t="n">
        <v>43628.0</v>
      </c>
      <c r="V75" s="3" t="n">
        <v>44603.0</v>
      </c>
      <c r="W75" s="3" t="n">
        <v>46257.0</v>
      </c>
      <c r="X75" s="3" t="n">
        <v>46476.0</v>
      </c>
      <c r="Y75" s="3" t="n">
        <v>47722.0</v>
      </c>
      <c r="Z75" s="3" t="n">
        <v>48608.0</v>
      </c>
      <c r="AA75" s="3" t="n">
        <v>49427.0</v>
      </c>
      <c r="AB75" s="3" t="n">
        <v>48812.0</v>
      </c>
      <c r="AC75" s="3" t="n">
        <v>51075.0</v>
      </c>
      <c r="AD75" s="3" t="n">
        <v>53479.0</v>
      </c>
      <c r="AE75" s="3" t="n">
        <v>52912.0</v>
      </c>
      <c r="AF75" s="3" t="n">
        <v>51816.0</v>
      </c>
      <c r="AG75" s="3" t="n">
        <v>49713.0</v>
      </c>
      <c r="AH75" s="3" t="n">
        <v>48406.0</v>
      </c>
      <c r="AI75" s="3" t="n">
        <v>48525.0</v>
      </c>
      <c r="AJ75" s="3" t="n">
        <v>47884.0</v>
      </c>
      <c r="AK75" s="3" t="n">
        <v>47882.0</v>
      </c>
      <c r="AL75" s="3" t="n">
        <v>48358.0</v>
      </c>
      <c r="AM75" s="3" t="n">
        <v>46136.0</v>
      </c>
      <c r="AN75" s="3" t="n">
        <v>44235.0</v>
      </c>
      <c r="AO75" s="3" t="n">
        <v>43001.0</v>
      </c>
    </row>
    <row r="76" spans="1:41" x14ac:dyDescent="0.2">
      <c r="A76" s="122"/>
      <c r="B76" s="9">
        <v>67</v>
      </c>
      <c r="C76" s="3" t="n">
        <v>40970.0</v>
      </c>
      <c r="D76" s="3" t="n">
        <v>40265.0</v>
      </c>
      <c r="E76" s="3" t="n">
        <v>40796.0</v>
      </c>
      <c r="F76" s="3" t="n">
        <v>41103.0</v>
      </c>
      <c r="G76" s="3" t="n">
        <v>40036.0</v>
      </c>
      <c r="H76" s="3" t="n">
        <v>38746.0</v>
      </c>
      <c r="I76" s="3" t="n">
        <v>36982.0</v>
      </c>
      <c r="J76" s="3" t="n">
        <v>36645.0</v>
      </c>
      <c r="K76" s="3" t="n">
        <v>36074.0</v>
      </c>
      <c r="L76" s="3" t="n">
        <v>36017.0</v>
      </c>
      <c r="M76" s="3" t="n">
        <v>35787.0</v>
      </c>
      <c r="N76" s="3" t="n">
        <v>35288.0</v>
      </c>
      <c r="O76" s="3" t="n">
        <v>35276.0</v>
      </c>
      <c r="P76" s="3" t="n">
        <v>35517.0</v>
      </c>
      <c r="Q76" s="3" t="n">
        <v>36344.0</v>
      </c>
      <c r="R76" s="3" t="n">
        <v>37508.0</v>
      </c>
      <c r="S76" s="3" t="n">
        <v>38153.0</v>
      </c>
      <c r="T76" s="3" t="n">
        <v>39406.0</v>
      </c>
      <c r="U76" s="3" t="n">
        <v>40708.0</v>
      </c>
      <c r="V76" s="3" t="n">
        <v>43065.0</v>
      </c>
      <c r="W76" s="3" t="n">
        <v>44042.0</v>
      </c>
      <c r="X76" s="3" t="n">
        <v>45685.0</v>
      </c>
      <c r="Y76" s="3" t="n">
        <v>45908.0</v>
      </c>
      <c r="Z76" s="3" t="n">
        <v>47146.0</v>
      </c>
      <c r="AA76" s="3" t="n">
        <v>48029.0</v>
      </c>
      <c r="AB76" s="3" t="n">
        <v>48855.0</v>
      </c>
      <c r="AC76" s="3" t="n">
        <v>48264.0</v>
      </c>
      <c r="AD76" s="3" t="n">
        <v>50505.0</v>
      </c>
      <c r="AE76" s="3" t="n">
        <v>52886.0</v>
      </c>
      <c r="AF76" s="3" t="n">
        <v>52332.0</v>
      </c>
      <c r="AG76" s="3" t="n">
        <v>51258.0</v>
      </c>
      <c r="AH76" s="3" t="n">
        <v>49180.0</v>
      </c>
      <c r="AI76" s="3" t="n">
        <v>47888.0</v>
      </c>
      <c r="AJ76" s="3" t="n">
        <v>48013.0</v>
      </c>
      <c r="AK76" s="3" t="n">
        <v>47381.0</v>
      </c>
      <c r="AL76" s="3" t="n">
        <v>47388.0</v>
      </c>
      <c r="AM76" s="3" t="n">
        <v>47867.0</v>
      </c>
      <c r="AN76" s="3" t="n">
        <v>45678.0</v>
      </c>
      <c r="AO76" s="3" t="n">
        <v>43812.0</v>
      </c>
    </row>
    <row r="77" spans="1:41" x14ac:dyDescent="0.2">
      <c r="A77" s="122"/>
      <c r="B77" s="9">
        <v>68</v>
      </c>
      <c r="C77" s="3" t="n">
        <v>38728.0</v>
      </c>
      <c r="D77" s="3" t="n">
        <v>40194.0</v>
      </c>
      <c r="E77" s="3" t="n">
        <v>39530.0</v>
      </c>
      <c r="F77" s="3" t="n">
        <v>40064.0</v>
      </c>
      <c r="G77" s="3" t="n">
        <v>40384.0</v>
      </c>
      <c r="H77" s="3" t="n">
        <v>39395.0</v>
      </c>
      <c r="I77" s="3" t="n">
        <v>38158.0</v>
      </c>
      <c r="J77" s="3" t="n">
        <v>36390.0</v>
      </c>
      <c r="K77" s="3" t="n">
        <v>36047.0</v>
      </c>
      <c r="L77" s="3" t="n">
        <v>35490.0</v>
      </c>
      <c r="M77" s="3" t="n">
        <v>35435.0</v>
      </c>
      <c r="N77" s="3" t="n">
        <v>35220.0</v>
      </c>
      <c r="O77" s="3" t="n">
        <v>34735.0</v>
      </c>
      <c r="P77" s="3" t="n">
        <v>34733.0</v>
      </c>
      <c r="Q77" s="3" t="n">
        <v>34978.0</v>
      </c>
      <c r="R77" s="3" t="n">
        <v>35804.0</v>
      </c>
      <c r="S77" s="3" t="n">
        <v>36956.0</v>
      </c>
      <c r="T77" s="3" t="n">
        <v>37596.0</v>
      </c>
      <c r="U77" s="3" t="n">
        <v>38850.0</v>
      </c>
      <c r="V77" s="3" t="n">
        <v>40139.0</v>
      </c>
      <c r="W77" s="3" t="n">
        <v>42473.0</v>
      </c>
      <c r="X77" s="3" t="n">
        <v>43447.0</v>
      </c>
      <c r="Y77" s="3" t="n">
        <v>45071.0</v>
      </c>
      <c r="Z77" s="3" t="n">
        <v>45297.0</v>
      </c>
      <c r="AA77" s="3" t="n">
        <v>46531.0</v>
      </c>
      <c r="AB77" s="3" t="n">
        <v>47410.0</v>
      </c>
      <c r="AC77" s="3" t="n">
        <v>48235.0</v>
      </c>
      <c r="AD77" s="3" t="n">
        <v>47660.0</v>
      </c>
      <c r="AE77" s="3" t="n">
        <v>49876.0</v>
      </c>
      <c r="AF77" s="3" t="n">
        <v>52244.0</v>
      </c>
      <c r="AG77" s="3" t="n">
        <v>51703.0</v>
      </c>
      <c r="AH77" s="3" t="n">
        <v>50654.0</v>
      </c>
      <c r="AI77" s="3" t="n">
        <v>48607.0</v>
      </c>
      <c r="AJ77" s="3" t="n">
        <v>47338.0</v>
      </c>
      <c r="AK77" s="3" t="n">
        <v>47469.0</v>
      </c>
      <c r="AL77" s="3" t="n">
        <v>46858.0</v>
      </c>
      <c r="AM77" s="3" t="n">
        <v>46867.0</v>
      </c>
      <c r="AN77" s="3" t="n">
        <v>47348.0</v>
      </c>
      <c r="AO77" s="3" t="n">
        <v>45190.0</v>
      </c>
    </row>
    <row r="78" spans="1:41" x14ac:dyDescent="0.2">
      <c r="A78" s="122"/>
      <c r="B78" s="9">
        <v>69</v>
      </c>
      <c r="C78" s="3" t="n">
        <v>37874.0</v>
      </c>
      <c r="D78" s="3" t="n">
        <v>37959.0</v>
      </c>
      <c r="E78" s="3" t="n">
        <v>39418.0</v>
      </c>
      <c r="F78" s="3" t="n">
        <v>38780.0</v>
      </c>
      <c r="G78" s="3" t="n">
        <v>39312.0</v>
      </c>
      <c r="H78" s="3" t="n">
        <v>39684.0</v>
      </c>
      <c r="I78" s="3" t="n">
        <v>38740.0</v>
      </c>
      <c r="J78" s="3" t="n">
        <v>37507.0</v>
      </c>
      <c r="K78" s="3" t="n">
        <v>35756.0</v>
      </c>
      <c r="L78" s="3" t="n">
        <v>35425.0</v>
      </c>
      <c r="M78" s="3" t="n">
        <v>34875.0</v>
      </c>
      <c r="N78" s="3" t="n">
        <v>34840.0</v>
      </c>
      <c r="O78" s="3" t="n">
        <v>34631.0</v>
      </c>
      <c r="P78" s="3" t="n">
        <v>34166.0</v>
      </c>
      <c r="Q78" s="3" t="n">
        <v>34162.0</v>
      </c>
      <c r="R78" s="3" t="n">
        <v>34416.0</v>
      </c>
      <c r="S78" s="3" t="n">
        <v>35241.0</v>
      </c>
      <c r="T78" s="3" t="n">
        <v>36382.0</v>
      </c>
      <c r="U78" s="3" t="n">
        <v>37026.0</v>
      </c>
      <c r="V78" s="3" t="n">
        <v>38272.0</v>
      </c>
      <c r="W78" s="3" t="n">
        <v>39550.0</v>
      </c>
      <c r="X78" s="3" t="n">
        <v>41850.0</v>
      </c>
      <c r="Y78" s="3" t="n">
        <v>42827.0</v>
      </c>
      <c r="Z78" s="3" t="n">
        <v>44434.0</v>
      </c>
      <c r="AA78" s="3" t="n">
        <v>44663.0</v>
      </c>
      <c r="AB78" s="3" t="n">
        <v>45891.0</v>
      </c>
      <c r="AC78" s="3" t="n">
        <v>46762.0</v>
      </c>
      <c r="AD78" s="3" t="n">
        <v>47586.0</v>
      </c>
      <c r="AE78" s="3" t="n">
        <v>47032.0</v>
      </c>
      <c r="AF78" s="3" t="n">
        <v>49223.0</v>
      </c>
      <c r="AG78" s="3" t="n">
        <v>51582.0</v>
      </c>
      <c r="AH78" s="3" t="n">
        <v>51056.0</v>
      </c>
      <c r="AI78" s="3" t="n">
        <v>50025.0</v>
      </c>
      <c r="AJ78" s="3" t="n">
        <v>48012.0</v>
      </c>
      <c r="AK78" s="3" t="n">
        <v>46768.0</v>
      </c>
      <c r="AL78" s="3" t="n">
        <v>46905.0</v>
      </c>
      <c r="AM78" s="3" t="n">
        <v>46310.0</v>
      </c>
      <c r="AN78" s="3" t="n">
        <v>46324.0</v>
      </c>
      <c r="AO78" s="3" t="n">
        <v>46812.0</v>
      </c>
    </row>
    <row r="79" spans="1:41" x14ac:dyDescent="0.2">
      <c r="A79" s="122"/>
      <c r="B79" s="9">
        <v>70</v>
      </c>
      <c r="C79" s="3" t="n">
        <v>36481.0</v>
      </c>
      <c r="D79" s="3" t="n">
        <v>37052.0</v>
      </c>
      <c r="E79" s="3" t="n">
        <v>37163.0</v>
      </c>
      <c r="F79" s="3" t="n">
        <v>38608.0</v>
      </c>
      <c r="G79" s="3" t="n">
        <v>38005.0</v>
      </c>
      <c r="H79" s="3" t="n">
        <v>38583.0</v>
      </c>
      <c r="I79" s="3" t="n">
        <v>38970.0</v>
      </c>
      <c r="J79" s="3" t="n">
        <v>38012.0</v>
      </c>
      <c r="K79" s="3" t="n">
        <v>36796.0</v>
      </c>
      <c r="L79" s="3" t="n">
        <v>35086.0</v>
      </c>
      <c r="M79" s="3" t="n">
        <v>34768.0</v>
      </c>
      <c r="N79" s="3" t="n">
        <v>34232.0</v>
      </c>
      <c r="O79" s="3" t="n">
        <v>34206.0</v>
      </c>
      <c r="P79" s="3" t="n">
        <v>34012.0</v>
      </c>
      <c r="Q79" s="3" t="n">
        <v>33571.0</v>
      </c>
      <c r="R79" s="3" t="n">
        <v>33569.0</v>
      </c>
      <c r="S79" s="3" t="n">
        <v>33829.0</v>
      </c>
      <c r="T79" s="3" t="n">
        <v>34654.0</v>
      </c>
      <c r="U79" s="3" t="n">
        <v>35780.0</v>
      </c>
      <c r="V79" s="3" t="n">
        <v>36428.0</v>
      </c>
      <c r="W79" s="3" t="n">
        <v>37669.0</v>
      </c>
      <c r="X79" s="3" t="n">
        <v>38929.0</v>
      </c>
      <c r="Y79" s="3" t="n">
        <v>41208.0</v>
      </c>
      <c r="Z79" s="3" t="n">
        <v>42178.0</v>
      </c>
      <c r="AA79" s="3" t="n">
        <v>43776.0</v>
      </c>
      <c r="AB79" s="3" t="n">
        <v>44007.0</v>
      </c>
      <c r="AC79" s="3" t="n">
        <v>45226.0</v>
      </c>
      <c r="AD79" s="3" t="n">
        <v>46087.0</v>
      </c>
      <c r="AE79" s="3" t="n">
        <v>46915.0</v>
      </c>
      <c r="AF79" s="3" t="n">
        <v>46379.0</v>
      </c>
      <c r="AG79" s="3" t="n">
        <v>48544.0</v>
      </c>
      <c r="AH79" s="3" t="n">
        <v>50891.0</v>
      </c>
      <c r="AI79" s="3" t="n">
        <v>50378.0</v>
      </c>
      <c r="AJ79" s="3" t="n">
        <v>49368.0</v>
      </c>
      <c r="AK79" s="3" t="n">
        <v>47386.0</v>
      </c>
      <c r="AL79" s="3" t="n">
        <v>46169.0</v>
      </c>
      <c r="AM79" s="3" t="n">
        <v>46312.0</v>
      </c>
      <c r="AN79" s="3" t="n">
        <v>45737.0</v>
      </c>
      <c r="AO79" s="3" t="n">
        <v>45754.0</v>
      </c>
    </row>
    <row r="80" spans="1:41" x14ac:dyDescent="0.2">
      <c r="A80" s="122"/>
      <c r="B80" s="9">
        <v>71</v>
      </c>
      <c r="C80" s="3" t="n">
        <v>35167.0</v>
      </c>
      <c r="D80" s="3" t="n">
        <v>35628.0</v>
      </c>
      <c r="E80" s="3" t="n">
        <v>36212.0</v>
      </c>
      <c r="F80" s="3" t="n">
        <v>36334.0</v>
      </c>
      <c r="G80" s="3" t="n">
        <v>37763.0</v>
      </c>
      <c r="H80" s="3" t="n">
        <v>37234.0</v>
      </c>
      <c r="I80" s="3" t="n">
        <v>37823.0</v>
      </c>
      <c r="J80" s="3" t="n">
        <v>38177.0</v>
      </c>
      <c r="K80" s="3" t="n">
        <v>37236.0</v>
      </c>
      <c r="L80" s="3" t="n">
        <v>36049.0</v>
      </c>
      <c r="M80" s="3" t="n">
        <v>34380.0</v>
      </c>
      <c r="N80" s="3" t="n">
        <v>34081.0</v>
      </c>
      <c r="O80" s="3" t="n">
        <v>33557.0</v>
      </c>
      <c r="P80" s="3" t="n">
        <v>33543.0</v>
      </c>
      <c r="Q80" s="3" t="n">
        <v>33362.0</v>
      </c>
      <c r="R80" s="3" t="n">
        <v>32939.0</v>
      </c>
      <c r="S80" s="3" t="n">
        <v>32939.0</v>
      </c>
      <c r="T80" s="3" t="n">
        <v>33204.0</v>
      </c>
      <c r="U80" s="3" t="n">
        <v>34032.0</v>
      </c>
      <c r="V80" s="3" t="n">
        <v>35149.0</v>
      </c>
      <c r="W80" s="3" t="n">
        <v>35794.0</v>
      </c>
      <c r="X80" s="3" t="n">
        <v>37031.0</v>
      </c>
      <c r="Y80" s="3" t="n">
        <v>38281.0</v>
      </c>
      <c r="Z80" s="3" t="n">
        <v>40525.0</v>
      </c>
      <c r="AA80" s="3" t="n">
        <v>41488.0</v>
      </c>
      <c r="AB80" s="3" t="n">
        <v>43070.0</v>
      </c>
      <c r="AC80" s="3" t="n">
        <v>43301.0</v>
      </c>
      <c r="AD80" s="3" t="n">
        <v>44512.0</v>
      </c>
      <c r="AE80" s="3" t="n">
        <v>45372.0</v>
      </c>
      <c r="AF80" s="3" t="n">
        <v>46193.0</v>
      </c>
      <c r="AG80" s="3" t="n">
        <v>45677.0</v>
      </c>
      <c r="AH80" s="3" t="n">
        <v>47825.0</v>
      </c>
      <c r="AI80" s="3" t="n">
        <v>50147.0</v>
      </c>
      <c r="AJ80" s="3" t="n">
        <v>49652.0</v>
      </c>
      <c r="AK80" s="3" t="n">
        <v>48666.0</v>
      </c>
      <c r="AL80" s="3" t="n">
        <v>46718.0</v>
      </c>
      <c r="AM80" s="3" t="n">
        <v>45528.0</v>
      </c>
      <c r="AN80" s="3" t="n">
        <v>45684.0</v>
      </c>
      <c r="AO80" s="3" t="n">
        <v>45123.0</v>
      </c>
    </row>
    <row r="81" spans="1:41" x14ac:dyDescent="0.2">
      <c r="A81" s="122"/>
      <c r="B81" s="9">
        <v>72</v>
      </c>
      <c r="C81" s="3" t="n">
        <v>32434.0</v>
      </c>
      <c r="D81" s="3" t="n">
        <v>34289.0</v>
      </c>
      <c r="E81" s="3" t="n">
        <v>34768.0</v>
      </c>
      <c r="F81" s="3" t="n">
        <v>35355.0</v>
      </c>
      <c r="G81" s="3" t="n">
        <v>35493.0</v>
      </c>
      <c r="H81" s="3" t="n">
        <v>36939.0</v>
      </c>
      <c r="I81" s="3" t="n">
        <v>36443.0</v>
      </c>
      <c r="J81" s="3" t="n">
        <v>37005.0</v>
      </c>
      <c r="K81" s="3" t="n">
        <v>37344.0</v>
      </c>
      <c r="L81" s="3" t="n">
        <v>36431.0</v>
      </c>
      <c r="M81" s="3" t="n">
        <v>35279.0</v>
      </c>
      <c r="N81" s="3" t="n">
        <v>33657.0</v>
      </c>
      <c r="O81" s="3" t="n">
        <v>33365.0</v>
      </c>
      <c r="P81" s="3" t="n">
        <v>32862.0</v>
      </c>
      <c r="Q81" s="3" t="n">
        <v>32862.0</v>
      </c>
      <c r="R81" s="3" t="n">
        <v>32694.0</v>
      </c>
      <c r="S81" s="3" t="n">
        <v>32287.0</v>
      </c>
      <c r="T81" s="3" t="n">
        <v>32295.0</v>
      </c>
      <c r="U81" s="3" t="n">
        <v>32561.0</v>
      </c>
      <c r="V81" s="3" t="n">
        <v>33392.0</v>
      </c>
      <c r="W81" s="3" t="n">
        <v>34491.0</v>
      </c>
      <c r="X81" s="3" t="n">
        <v>35137.0</v>
      </c>
      <c r="Y81" s="3" t="n">
        <v>36365.0</v>
      </c>
      <c r="Z81" s="3" t="n">
        <v>37599.0</v>
      </c>
      <c r="AA81" s="3" t="n">
        <v>39816.0</v>
      </c>
      <c r="AB81" s="3" t="n">
        <v>40782.0</v>
      </c>
      <c r="AC81" s="3" t="n">
        <v>42342.0</v>
      </c>
      <c r="AD81" s="3" t="n">
        <v>42584.0</v>
      </c>
      <c r="AE81" s="3" t="n">
        <v>43774.0</v>
      </c>
      <c r="AF81" s="3" t="n">
        <v>44633.0</v>
      </c>
      <c r="AG81" s="3" t="n">
        <v>45449.0</v>
      </c>
      <c r="AH81" s="3" t="n">
        <v>44961.0</v>
      </c>
      <c r="AI81" s="3" t="n">
        <v>47084.0</v>
      </c>
      <c r="AJ81" s="3" t="n">
        <v>49389.0</v>
      </c>
      <c r="AK81" s="3" t="n">
        <v>48899.0</v>
      </c>
      <c r="AL81" s="3" t="n">
        <v>47938.0</v>
      </c>
      <c r="AM81" s="3" t="n">
        <v>46031.0</v>
      </c>
      <c r="AN81" s="3" t="n">
        <v>44868.0</v>
      </c>
      <c r="AO81" s="3" t="n">
        <v>45032.0</v>
      </c>
    </row>
    <row r="82" spans="1:41" x14ac:dyDescent="0.2">
      <c r="A82" s="122"/>
      <c r="B82" s="9">
        <v>73</v>
      </c>
      <c r="C82" s="3" t="n">
        <v>30354.0</v>
      </c>
      <c r="D82" s="3" t="n">
        <v>31555.0</v>
      </c>
      <c r="E82" s="3" t="n">
        <v>33390.0</v>
      </c>
      <c r="F82" s="3" t="n">
        <v>33874.0</v>
      </c>
      <c r="G82" s="3" t="n">
        <v>34460.0</v>
      </c>
      <c r="H82" s="3" t="n">
        <v>34642.0</v>
      </c>
      <c r="I82" s="3" t="n">
        <v>36080.0</v>
      </c>
      <c r="J82" s="3" t="n">
        <v>35584.0</v>
      </c>
      <c r="K82" s="3" t="n">
        <v>36123.0</v>
      </c>
      <c r="L82" s="3" t="n">
        <v>36460.0</v>
      </c>
      <c r="M82" s="3" t="n">
        <v>35569.0</v>
      </c>
      <c r="N82" s="3" t="n">
        <v>34465.0</v>
      </c>
      <c r="O82" s="3" t="n">
        <v>32877.0</v>
      </c>
      <c r="P82" s="3" t="n">
        <v>32602.0</v>
      </c>
      <c r="Q82" s="3" t="n">
        <v>32119.0</v>
      </c>
      <c r="R82" s="3" t="n">
        <v>32130.0</v>
      </c>
      <c r="S82" s="3" t="n">
        <v>31975.0</v>
      </c>
      <c r="T82" s="3" t="n">
        <v>31586.0</v>
      </c>
      <c r="U82" s="3" t="n">
        <v>31606.0</v>
      </c>
      <c r="V82" s="3" t="n">
        <v>31872.0</v>
      </c>
      <c r="W82" s="3" t="n">
        <v>32703.0</v>
      </c>
      <c r="X82" s="3" t="n">
        <v>33784.0</v>
      </c>
      <c r="Y82" s="3" t="n">
        <v>34431.0</v>
      </c>
      <c r="Z82" s="3" t="n">
        <v>35647.0</v>
      </c>
      <c r="AA82" s="3" t="n">
        <v>36868.0</v>
      </c>
      <c r="AB82" s="3" t="n">
        <v>39059.0</v>
      </c>
      <c r="AC82" s="3" t="n">
        <v>40023.0</v>
      </c>
      <c r="AD82" s="3" t="n">
        <v>41558.0</v>
      </c>
      <c r="AE82" s="3" t="n">
        <v>41805.0</v>
      </c>
      <c r="AF82" s="3" t="n">
        <v>42988.0</v>
      </c>
      <c r="AG82" s="3" t="n">
        <v>43848.0</v>
      </c>
      <c r="AH82" s="3" t="n">
        <v>44660.0</v>
      </c>
      <c r="AI82" s="3" t="n">
        <v>44199.0</v>
      </c>
      <c r="AJ82" s="3" t="n">
        <v>46294.0</v>
      </c>
      <c r="AK82" s="3" t="n">
        <v>48569.0</v>
      </c>
      <c r="AL82" s="3" t="n">
        <v>48095.0</v>
      </c>
      <c r="AM82" s="3" t="n">
        <v>47158.0</v>
      </c>
      <c r="AN82" s="3" t="n">
        <v>45295.0</v>
      </c>
      <c r="AO82" s="3" t="n">
        <v>44161.0</v>
      </c>
    </row>
    <row r="83" spans="1:41" x14ac:dyDescent="0.2">
      <c r="A83" s="122"/>
      <c r="B83" s="9">
        <v>74</v>
      </c>
      <c r="C83" s="3" t="n">
        <v>28960.0</v>
      </c>
      <c r="D83" s="3" t="n">
        <v>29476.0</v>
      </c>
      <c r="E83" s="3" t="n">
        <v>30666.0</v>
      </c>
      <c r="F83" s="3" t="n">
        <v>32464.0</v>
      </c>
      <c r="G83" s="3" t="n">
        <v>32951.0</v>
      </c>
      <c r="H83" s="3" t="n">
        <v>33557.0</v>
      </c>
      <c r="I83" s="3" t="n">
        <v>33757.0</v>
      </c>
      <c r="J83" s="3" t="n">
        <v>35147.0</v>
      </c>
      <c r="K83" s="3" t="n">
        <v>34672.0</v>
      </c>
      <c r="L83" s="3" t="n">
        <v>35200.0</v>
      </c>
      <c r="M83" s="3" t="n">
        <v>35550.0</v>
      </c>
      <c r="N83" s="3" t="n">
        <v>34688.0</v>
      </c>
      <c r="O83" s="3" t="n">
        <v>33619.0</v>
      </c>
      <c r="P83" s="3" t="n">
        <v>32078.0</v>
      </c>
      <c r="Q83" s="3" t="n">
        <v>31822.0</v>
      </c>
      <c r="R83" s="3" t="n">
        <v>31362.0</v>
      </c>
      <c r="S83" s="3" t="n">
        <v>31389.0</v>
      </c>
      <c r="T83" s="3" t="n">
        <v>31243.0</v>
      </c>
      <c r="U83" s="3" t="n">
        <v>30869.0</v>
      </c>
      <c r="V83" s="3" t="n">
        <v>30905.0</v>
      </c>
      <c r="W83" s="3" t="n">
        <v>31171.0</v>
      </c>
      <c r="X83" s="3" t="n">
        <v>31999.0</v>
      </c>
      <c r="Y83" s="3" t="n">
        <v>33069.0</v>
      </c>
      <c r="Z83" s="3" t="n">
        <v>33711.0</v>
      </c>
      <c r="AA83" s="3" t="n">
        <v>34917.0</v>
      </c>
      <c r="AB83" s="3" t="n">
        <v>36122.0</v>
      </c>
      <c r="AC83" s="3" t="n">
        <v>38279.0</v>
      </c>
      <c r="AD83" s="3" t="n">
        <v>39235.0</v>
      </c>
      <c r="AE83" s="3" t="n">
        <v>40751.0</v>
      </c>
      <c r="AF83" s="3" t="n">
        <v>41004.0</v>
      </c>
      <c r="AG83" s="3" t="n">
        <v>42172.0</v>
      </c>
      <c r="AH83" s="3" t="n">
        <v>43026.0</v>
      </c>
      <c r="AI83" s="3" t="n">
        <v>43842.0</v>
      </c>
      <c r="AJ83" s="3" t="n">
        <v>43404.0</v>
      </c>
      <c r="AK83" s="3" t="n">
        <v>45474.0</v>
      </c>
      <c r="AL83" s="3" t="n">
        <v>47712.0</v>
      </c>
      <c r="AM83" s="3" t="n">
        <v>47260.0</v>
      </c>
      <c r="AN83" s="3" t="n">
        <v>46353.0</v>
      </c>
      <c r="AO83" s="3" t="n">
        <v>44533.0</v>
      </c>
    </row>
    <row r="84" spans="1:41" x14ac:dyDescent="0.2">
      <c r="A84" s="122"/>
      <c r="B84" s="9">
        <v>75</v>
      </c>
      <c r="C84" s="3" t="n">
        <v>26606.0</v>
      </c>
      <c r="D84" s="3" t="n">
        <v>28068.0</v>
      </c>
      <c r="E84" s="3" t="n">
        <v>28600.0</v>
      </c>
      <c r="F84" s="3" t="n">
        <v>29762.0</v>
      </c>
      <c r="G84" s="3" t="n">
        <v>31525.0</v>
      </c>
      <c r="H84" s="3" t="n">
        <v>32034.0</v>
      </c>
      <c r="I84" s="3" t="n">
        <v>32640.0</v>
      </c>
      <c r="J84" s="3" t="n">
        <v>32816.0</v>
      </c>
      <c r="K84" s="3" t="n">
        <v>34168.0</v>
      </c>
      <c r="L84" s="3" t="n">
        <v>33726.0</v>
      </c>
      <c r="M84" s="3" t="n">
        <v>34247.0</v>
      </c>
      <c r="N84" s="3" t="n">
        <v>34608.0</v>
      </c>
      <c r="O84" s="3" t="n">
        <v>33775.0</v>
      </c>
      <c r="P84" s="3" t="n">
        <v>32748.0</v>
      </c>
      <c r="Q84" s="3" t="n">
        <v>31273.0</v>
      </c>
      <c r="R84" s="3" t="n">
        <v>31021.0</v>
      </c>
      <c r="S84" s="3" t="n">
        <v>30583.0</v>
      </c>
      <c r="T84" s="3" t="n">
        <v>30618.0</v>
      </c>
      <c r="U84" s="3" t="n">
        <v>30491.0</v>
      </c>
      <c r="V84" s="3" t="n">
        <v>30133.0</v>
      </c>
      <c r="W84" s="3" t="n">
        <v>30184.0</v>
      </c>
      <c r="X84" s="3" t="n">
        <v>30446.0</v>
      </c>
      <c r="Y84" s="3" t="n">
        <v>31278.0</v>
      </c>
      <c r="Z84" s="3" t="n">
        <v>32323.0</v>
      </c>
      <c r="AA84" s="3" t="n">
        <v>32962.0</v>
      </c>
      <c r="AB84" s="3" t="n">
        <v>34171.0</v>
      </c>
      <c r="AC84" s="3" t="n">
        <v>35355.0</v>
      </c>
      <c r="AD84" s="3" t="n">
        <v>37473.0</v>
      </c>
      <c r="AE84" s="3" t="n">
        <v>38417.0</v>
      </c>
      <c r="AF84" s="3" t="n">
        <v>39916.0</v>
      </c>
      <c r="AG84" s="3" t="n">
        <v>40178.0</v>
      </c>
      <c r="AH84" s="3" t="n">
        <v>41331.0</v>
      </c>
      <c r="AI84" s="3" t="n">
        <v>42181.0</v>
      </c>
      <c r="AJ84" s="3" t="n">
        <v>42997.0</v>
      </c>
      <c r="AK84" s="3" t="n">
        <v>42577.0</v>
      </c>
      <c r="AL84" s="3" t="n">
        <v>44617.0</v>
      </c>
      <c r="AM84" s="3" t="n">
        <v>46830.0</v>
      </c>
      <c r="AN84" s="3" t="n">
        <v>46394.0</v>
      </c>
      <c r="AO84" s="3" t="n">
        <v>45514.0</v>
      </c>
    </row>
    <row r="85" spans="1:41" x14ac:dyDescent="0.2">
      <c r="A85" s="122"/>
      <c r="B85" s="9">
        <v>76</v>
      </c>
      <c r="C85" s="3" t="n">
        <v>23150.0</v>
      </c>
      <c r="D85" s="3" t="n">
        <v>25718.0</v>
      </c>
      <c r="E85" s="3" t="n">
        <v>27151.0</v>
      </c>
      <c r="F85" s="3" t="n">
        <v>27693.0</v>
      </c>
      <c r="G85" s="3" t="n">
        <v>28831.0</v>
      </c>
      <c r="H85" s="3" t="n">
        <v>30571.0</v>
      </c>
      <c r="I85" s="3" t="n">
        <v>31093.0</v>
      </c>
      <c r="J85" s="3" t="n">
        <v>31673.0</v>
      </c>
      <c r="K85" s="3" t="n">
        <v>31851.0</v>
      </c>
      <c r="L85" s="3" t="n">
        <v>33170.0</v>
      </c>
      <c r="M85" s="3" t="n">
        <v>32757.0</v>
      </c>
      <c r="N85" s="3" t="n">
        <v>33270.0</v>
      </c>
      <c r="O85" s="3" t="n">
        <v>33632.0</v>
      </c>
      <c r="P85" s="3" t="n">
        <v>32831.0</v>
      </c>
      <c r="Q85" s="3" t="n">
        <v>31855.0</v>
      </c>
      <c r="R85" s="3" t="n">
        <v>30429.0</v>
      </c>
      <c r="S85" s="3" t="n">
        <v>30188.0</v>
      </c>
      <c r="T85" s="3" t="n">
        <v>29767.0</v>
      </c>
      <c r="U85" s="3" t="n">
        <v>29813.0</v>
      </c>
      <c r="V85" s="3" t="n">
        <v>29705.0</v>
      </c>
      <c r="W85" s="3" t="n">
        <v>29365.0</v>
      </c>
      <c r="X85" s="3" t="n">
        <v>29428.0</v>
      </c>
      <c r="Y85" s="3" t="n">
        <v>29700.0</v>
      </c>
      <c r="Z85" s="3" t="n">
        <v>30518.0</v>
      </c>
      <c r="AA85" s="3" t="n">
        <v>31549.0</v>
      </c>
      <c r="AB85" s="3" t="n">
        <v>32186.0</v>
      </c>
      <c r="AC85" s="3" t="n">
        <v>33381.0</v>
      </c>
      <c r="AD85" s="3" t="n">
        <v>34546.0</v>
      </c>
      <c r="AE85" s="3" t="n">
        <v>36637.0</v>
      </c>
      <c r="AF85" s="3" t="n">
        <v>37571.0</v>
      </c>
      <c r="AG85" s="3" t="n">
        <v>39048.0</v>
      </c>
      <c r="AH85" s="3" t="n">
        <v>39319.0</v>
      </c>
      <c r="AI85" s="3" t="n">
        <v>40456.0</v>
      </c>
      <c r="AJ85" s="3" t="n">
        <v>41304.0</v>
      </c>
      <c r="AK85" s="3" t="n">
        <v>42109.0</v>
      </c>
      <c r="AL85" s="3" t="n">
        <v>41709.0</v>
      </c>
      <c r="AM85" s="3" t="n">
        <v>43724.0</v>
      </c>
      <c r="AN85" s="3" t="n">
        <v>45906.0</v>
      </c>
      <c r="AO85" s="3" t="n">
        <v>45496.0</v>
      </c>
    </row>
    <row r="86" spans="1:41" x14ac:dyDescent="0.2">
      <c r="A86" s="122"/>
      <c r="B86" s="9">
        <v>77</v>
      </c>
      <c r="C86" s="3" t="n">
        <v>19345.0</v>
      </c>
      <c r="D86" s="3" t="n">
        <v>22318.0</v>
      </c>
      <c r="E86" s="3" t="n">
        <v>24820.0</v>
      </c>
      <c r="F86" s="3" t="n">
        <v>26210.0</v>
      </c>
      <c r="G86" s="3" t="n">
        <v>26760.0</v>
      </c>
      <c r="H86" s="3" t="n">
        <v>27881.0</v>
      </c>
      <c r="I86" s="3" t="n">
        <v>29587.0</v>
      </c>
      <c r="J86" s="3" t="n">
        <v>30080.0</v>
      </c>
      <c r="K86" s="3" t="n">
        <v>30652.0</v>
      </c>
      <c r="L86" s="3" t="n">
        <v>30842.0</v>
      </c>
      <c r="M86" s="3" t="n">
        <v>32138.0</v>
      </c>
      <c r="N86" s="3" t="n">
        <v>31756.0</v>
      </c>
      <c r="O86" s="3" t="n">
        <v>32257.0</v>
      </c>
      <c r="P86" s="3" t="n">
        <v>32607.0</v>
      </c>
      <c r="Q86" s="3" t="n">
        <v>31849.0</v>
      </c>
      <c r="R86" s="3" t="n">
        <v>30921.0</v>
      </c>
      <c r="S86" s="3" t="n">
        <v>29543.0</v>
      </c>
      <c r="T86" s="3" t="n">
        <v>29323.0</v>
      </c>
      <c r="U86" s="3" t="n">
        <v>28923.0</v>
      </c>
      <c r="V86" s="3" t="n">
        <v>28978.0</v>
      </c>
      <c r="W86" s="3" t="n">
        <v>28890.0</v>
      </c>
      <c r="X86" s="3" t="n">
        <v>28568.0</v>
      </c>
      <c r="Y86" s="3" t="n">
        <v>28641.0</v>
      </c>
      <c r="Z86" s="3" t="n">
        <v>28912.0</v>
      </c>
      <c r="AA86" s="3" t="n">
        <v>29719.0</v>
      </c>
      <c r="AB86" s="3" t="n">
        <v>30737.0</v>
      </c>
      <c r="AC86" s="3" t="n">
        <v>31371.0</v>
      </c>
      <c r="AD86" s="3" t="n">
        <v>32552.0</v>
      </c>
      <c r="AE86" s="3" t="n">
        <v>33698.0</v>
      </c>
      <c r="AF86" s="3" t="n">
        <v>35752.0</v>
      </c>
      <c r="AG86" s="3" t="n">
        <v>36679.0</v>
      </c>
      <c r="AH86" s="3" t="n">
        <v>38135.0</v>
      </c>
      <c r="AI86" s="3" t="n">
        <v>38416.0</v>
      </c>
      <c r="AJ86" s="3" t="n">
        <v>39542.0</v>
      </c>
      <c r="AK86" s="3" t="n">
        <v>40384.0</v>
      </c>
      <c r="AL86" s="3" t="n">
        <v>41179.0</v>
      </c>
      <c r="AM86" s="3" t="n">
        <v>40810.0</v>
      </c>
      <c r="AN86" s="3" t="n">
        <v>42786.0</v>
      </c>
      <c r="AO86" s="3" t="n">
        <v>44940.0</v>
      </c>
    </row>
    <row r="87" spans="1:41" x14ac:dyDescent="0.2">
      <c r="A87" s="122"/>
      <c r="B87" s="9">
        <v>78</v>
      </c>
      <c r="C87" s="3" t="n">
        <v>18459.0</v>
      </c>
      <c r="D87" s="3" t="n">
        <v>18572.0</v>
      </c>
      <c r="E87" s="3" t="n">
        <v>21459.0</v>
      </c>
      <c r="F87" s="3" t="n">
        <v>23876.0</v>
      </c>
      <c r="G87" s="3" t="n">
        <v>25227.0</v>
      </c>
      <c r="H87" s="3" t="n">
        <v>25799.0</v>
      </c>
      <c r="I87" s="3" t="n">
        <v>26889.0</v>
      </c>
      <c r="J87" s="3" t="n">
        <v>28543.0</v>
      </c>
      <c r="K87" s="3" t="n">
        <v>29023.0</v>
      </c>
      <c r="L87" s="3" t="n">
        <v>29581.0</v>
      </c>
      <c r="M87" s="3" t="n">
        <v>29774.0</v>
      </c>
      <c r="N87" s="3" t="n">
        <v>31043.0</v>
      </c>
      <c r="O87" s="3" t="n">
        <v>30683.0</v>
      </c>
      <c r="P87" s="3" t="n">
        <v>31182.0</v>
      </c>
      <c r="Q87" s="3" t="n">
        <v>31538.0</v>
      </c>
      <c r="R87" s="3" t="n">
        <v>30816.0</v>
      </c>
      <c r="S87" s="3" t="n">
        <v>29933.0</v>
      </c>
      <c r="T87" s="3" t="n">
        <v>28606.0</v>
      </c>
      <c r="U87" s="3" t="n">
        <v>28411.0</v>
      </c>
      <c r="V87" s="3" t="n">
        <v>28034.0</v>
      </c>
      <c r="W87" s="3" t="n">
        <v>28097.0</v>
      </c>
      <c r="X87" s="3" t="n">
        <v>28030.0</v>
      </c>
      <c r="Y87" s="3" t="n">
        <v>27731.0</v>
      </c>
      <c r="Z87" s="3" t="n">
        <v>27803.0</v>
      </c>
      <c r="AA87" s="3" t="n">
        <v>28082.0</v>
      </c>
      <c r="AB87" s="3" t="n">
        <v>28880.0</v>
      </c>
      <c r="AC87" s="3" t="n">
        <v>29878.0</v>
      </c>
      <c r="AD87" s="3" t="n">
        <v>30509.0</v>
      </c>
      <c r="AE87" s="3" t="n">
        <v>31673.0</v>
      </c>
      <c r="AF87" s="3" t="n">
        <v>32799.0</v>
      </c>
      <c r="AG87" s="3" t="n">
        <v>34809.0</v>
      </c>
      <c r="AH87" s="3" t="n">
        <v>35733.0</v>
      </c>
      <c r="AI87" s="3" t="n">
        <v>37165.0</v>
      </c>
      <c r="AJ87" s="3" t="n">
        <v>37460.0</v>
      </c>
      <c r="AK87" s="3" t="n">
        <v>38559.0</v>
      </c>
      <c r="AL87" s="3" t="n">
        <v>39393.0</v>
      </c>
      <c r="AM87" s="3" t="n">
        <v>40194.0</v>
      </c>
      <c r="AN87" s="3" t="n">
        <v>39844.0</v>
      </c>
      <c r="AO87" s="3" t="n">
        <v>41796.0</v>
      </c>
    </row>
    <row r="88" spans="1:41" x14ac:dyDescent="0.2">
      <c r="A88" s="122"/>
      <c r="B88" s="9">
        <v>79</v>
      </c>
      <c r="C88" s="3" t="n">
        <v>16270.0</v>
      </c>
      <c r="D88" s="3" t="n">
        <v>17647.0</v>
      </c>
      <c r="E88" s="3" t="n">
        <v>17769.0</v>
      </c>
      <c r="F88" s="3" t="n">
        <v>20557.0</v>
      </c>
      <c r="G88" s="3" t="n">
        <v>22896.0</v>
      </c>
      <c r="H88" s="3" t="n">
        <v>24220.0</v>
      </c>
      <c r="I88" s="3" t="n">
        <v>24797.0</v>
      </c>
      <c r="J88" s="3" t="n">
        <v>25840.0</v>
      </c>
      <c r="K88" s="3" t="n">
        <v>27438.0</v>
      </c>
      <c r="L88" s="3" t="n">
        <v>27912.0</v>
      </c>
      <c r="M88" s="3" t="n">
        <v>28463.0</v>
      </c>
      <c r="N88" s="3" t="n">
        <v>28670.0</v>
      </c>
      <c r="O88" s="3" t="n">
        <v>29896.0</v>
      </c>
      <c r="P88" s="3" t="n">
        <v>29566.0</v>
      </c>
      <c r="Q88" s="3" t="n">
        <v>30060.0</v>
      </c>
      <c r="R88" s="3" t="n">
        <v>30411.0</v>
      </c>
      <c r="S88" s="3" t="n">
        <v>29725.0</v>
      </c>
      <c r="T88" s="3" t="n">
        <v>28902.0</v>
      </c>
      <c r="U88" s="3" t="n">
        <v>27621.0</v>
      </c>
      <c r="V88" s="3" t="n">
        <v>27449.0</v>
      </c>
      <c r="W88" s="3" t="n">
        <v>27098.0</v>
      </c>
      <c r="X88" s="3" t="n">
        <v>27174.0</v>
      </c>
      <c r="Y88" s="3" t="n">
        <v>27118.0</v>
      </c>
      <c r="Z88" s="3" t="n">
        <v>26836.0</v>
      </c>
      <c r="AA88" s="3" t="n">
        <v>26925.0</v>
      </c>
      <c r="AB88" s="3" t="n">
        <v>27198.0</v>
      </c>
      <c r="AC88" s="3" t="n">
        <v>27988.0</v>
      </c>
      <c r="AD88" s="3" t="n">
        <v>28971.0</v>
      </c>
      <c r="AE88" s="3" t="n">
        <v>29599.0</v>
      </c>
      <c r="AF88" s="3" t="n">
        <v>30747.0</v>
      </c>
      <c r="AG88" s="3" t="n">
        <v>31846.0</v>
      </c>
      <c r="AH88" s="3" t="n">
        <v>33820.0</v>
      </c>
      <c r="AI88" s="3" t="n">
        <v>34732.0</v>
      </c>
      <c r="AJ88" s="3" t="n">
        <v>36135.0</v>
      </c>
      <c r="AK88" s="3" t="n">
        <v>36432.0</v>
      </c>
      <c r="AL88" s="3" t="n">
        <v>37519.0</v>
      </c>
      <c r="AM88" s="3" t="n">
        <v>38349.0</v>
      </c>
      <c r="AN88" s="3" t="n">
        <v>39145.0</v>
      </c>
      <c r="AO88" s="3" t="n">
        <v>38817.0</v>
      </c>
    </row>
    <row r="89" spans="1:41" x14ac:dyDescent="0.2">
      <c r="A89" s="122"/>
      <c r="B89" s="9">
        <v>80</v>
      </c>
      <c r="C89" s="3" t="n">
        <v>14019.0</v>
      </c>
      <c r="D89" s="3" t="n">
        <v>15486.0</v>
      </c>
      <c r="E89" s="3" t="n">
        <v>16816.0</v>
      </c>
      <c r="F89" s="3" t="n">
        <v>16950.0</v>
      </c>
      <c r="G89" s="3" t="n">
        <v>19627.0</v>
      </c>
      <c r="H89" s="3" t="n">
        <v>21887.0</v>
      </c>
      <c r="I89" s="3" t="n">
        <v>23171.0</v>
      </c>
      <c r="J89" s="3" t="n">
        <v>23731.0</v>
      </c>
      <c r="K89" s="3" t="n">
        <v>24728.0</v>
      </c>
      <c r="L89" s="3" t="n">
        <v>26281.0</v>
      </c>
      <c r="M89" s="3" t="n">
        <v>26753.0</v>
      </c>
      <c r="N89" s="3" t="n">
        <v>27292.0</v>
      </c>
      <c r="O89" s="3" t="n">
        <v>27501.0</v>
      </c>
      <c r="P89" s="3" t="n">
        <v>28694.0</v>
      </c>
      <c r="Q89" s="3" t="n">
        <v>28403.0</v>
      </c>
      <c r="R89" s="3" t="n">
        <v>28885.0</v>
      </c>
      <c r="S89" s="3" t="n">
        <v>29231.0</v>
      </c>
      <c r="T89" s="3" t="n">
        <v>28590.0</v>
      </c>
      <c r="U89" s="3" t="n">
        <v>27812.0</v>
      </c>
      <c r="V89" s="3" t="n">
        <v>26593.0</v>
      </c>
      <c r="W89" s="3" t="n">
        <v>26444.0</v>
      </c>
      <c r="X89" s="3" t="n">
        <v>26112.0</v>
      </c>
      <c r="Y89" s="3" t="n">
        <v>26198.0</v>
      </c>
      <c r="Z89" s="3" t="n">
        <v>26154.0</v>
      </c>
      <c r="AA89" s="3" t="n">
        <v>25899.0</v>
      </c>
      <c r="AB89" s="3" t="n">
        <v>25997.0</v>
      </c>
      <c r="AC89" s="3" t="n">
        <v>26266.0</v>
      </c>
      <c r="AD89" s="3" t="n">
        <v>27051.0</v>
      </c>
      <c r="AE89" s="3" t="n">
        <v>28015.0</v>
      </c>
      <c r="AF89" s="3" t="n">
        <v>28637.0</v>
      </c>
      <c r="AG89" s="3" t="n">
        <v>29760.0</v>
      </c>
      <c r="AH89" s="3" t="n">
        <v>30848.0</v>
      </c>
      <c r="AI89" s="3" t="n">
        <v>32774.0</v>
      </c>
      <c r="AJ89" s="3" t="n">
        <v>33684.0</v>
      </c>
      <c r="AK89" s="3" t="n">
        <v>35057.0</v>
      </c>
      <c r="AL89" s="3" t="n">
        <v>35357.0</v>
      </c>
      <c r="AM89" s="3" t="n">
        <v>36431.0</v>
      </c>
      <c r="AN89" s="3" t="n">
        <v>37255.0</v>
      </c>
      <c r="AO89" s="3" t="n">
        <v>38042.0</v>
      </c>
    </row>
    <row r="90" spans="1:41" x14ac:dyDescent="0.2">
      <c r="A90" s="122"/>
      <c r="B90" s="9">
        <v>81</v>
      </c>
      <c r="C90" s="3" t="n">
        <v>14204.0</v>
      </c>
      <c r="D90" s="3" t="n">
        <v>13274.0</v>
      </c>
      <c r="E90" s="3" t="n">
        <v>14671.0</v>
      </c>
      <c r="F90" s="3" t="n">
        <v>15953.0</v>
      </c>
      <c r="G90" s="3" t="n">
        <v>16097.0</v>
      </c>
      <c r="H90" s="3" t="n">
        <v>18685.0</v>
      </c>
      <c r="I90" s="3" t="n">
        <v>20848.0</v>
      </c>
      <c r="J90" s="3" t="n">
        <v>22068.0</v>
      </c>
      <c r="K90" s="3" t="n">
        <v>22609.0</v>
      </c>
      <c r="L90" s="3" t="n">
        <v>23572.0</v>
      </c>
      <c r="M90" s="3" t="n">
        <v>25064.0</v>
      </c>
      <c r="N90" s="3" t="n">
        <v>25537.0</v>
      </c>
      <c r="O90" s="3" t="n">
        <v>26057.0</v>
      </c>
      <c r="P90" s="3" t="n">
        <v>26273.0</v>
      </c>
      <c r="Q90" s="3" t="n">
        <v>27436.0</v>
      </c>
      <c r="R90" s="3" t="n">
        <v>27172.0</v>
      </c>
      <c r="S90" s="3" t="n">
        <v>27640.0</v>
      </c>
      <c r="T90" s="3" t="n">
        <v>27994.0</v>
      </c>
      <c r="U90" s="3" t="n">
        <v>27381.0</v>
      </c>
      <c r="V90" s="3" t="n">
        <v>26665.0</v>
      </c>
      <c r="W90" s="3" t="n">
        <v>25508.0</v>
      </c>
      <c r="X90" s="3" t="n">
        <v>25380.0</v>
      </c>
      <c r="Y90" s="3" t="n">
        <v>25073.0</v>
      </c>
      <c r="Z90" s="3" t="n">
        <v>25166.0</v>
      </c>
      <c r="AA90" s="3" t="n">
        <v>25135.0</v>
      </c>
      <c r="AB90" s="3" t="n">
        <v>24906.0</v>
      </c>
      <c r="AC90" s="3" t="n">
        <v>25015.0</v>
      </c>
      <c r="AD90" s="3" t="n">
        <v>25288.0</v>
      </c>
      <c r="AE90" s="3" t="n">
        <v>26058.0</v>
      </c>
      <c r="AF90" s="3" t="n">
        <v>27002.0</v>
      </c>
      <c r="AG90" s="3" t="n">
        <v>27617.0</v>
      </c>
      <c r="AH90" s="3" t="n">
        <v>28721.0</v>
      </c>
      <c r="AI90" s="3" t="n">
        <v>29783.0</v>
      </c>
      <c r="AJ90" s="3" t="n">
        <v>31662.0</v>
      </c>
      <c r="AK90" s="3" t="n">
        <v>32549.0</v>
      </c>
      <c r="AL90" s="3" t="n">
        <v>33895.0</v>
      </c>
      <c r="AM90" s="3" t="n">
        <v>34201.0</v>
      </c>
      <c r="AN90" s="3" t="n">
        <v>35263.0</v>
      </c>
      <c r="AO90" s="3" t="n">
        <v>36071.0</v>
      </c>
    </row>
    <row r="91" spans="1:41" x14ac:dyDescent="0.2">
      <c r="A91" s="122"/>
      <c r="B91" s="9">
        <v>82</v>
      </c>
      <c r="C91" s="3" t="n">
        <v>15149.0</v>
      </c>
      <c r="D91" s="3" t="n">
        <v>13347.0</v>
      </c>
      <c r="E91" s="3" t="n">
        <v>12494.0</v>
      </c>
      <c r="F91" s="3" t="n">
        <v>13815.0</v>
      </c>
      <c r="G91" s="3" t="n">
        <v>15040.0</v>
      </c>
      <c r="H91" s="3" t="n">
        <v>15199.0</v>
      </c>
      <c r="I91" s="3" t="n">
        <v>17674.0</v>
      </c>
      <c r="J91" s="3" t="n">
        <v>19718.0</v>
      </c>
      <c r="K91" s="3" t="n">
        <v>20874.0</v>
      </c>
      <c r="L91" s="3" t="n">
        <v>21408.0</v>
      </c>
      <c r="M91" s="3" t="n">
        <v>22329.0</v>
      </c>
      <c r="N91" s="3" t="n">
        <v>23765.0</v>
      </c>
      <c r="O91" s="3" t="n">
        <v>24222.0</v>
      </c>
      <c r="P91" s="3" t="n">
        <v>24732.0</v>
      </c>
      <c r="Q91" s="3" t="n">
        <v>24964.0</v>
      </c>
      <c r="R91" s="3" t="n">
        <v>26083.0</v>
      </c>
      <c r="S91" s="3" t="n">
        <v>25845.0</v>
      </c>
      <c r="T91" s="3" t="n">
        <v>26311.0</v>
      </c>
      <c r="U91" s="3" t="n">
        <v>26661.0</v>
      </c>
      <c r="V91" s="3" t="n">
        <v>26098.0</v>
      </c>
      <c r="W91" s="3" t="n">
        <v>25432.0</v>
      </c>
      <c r="X91" s="3" t="n">
        <v>24345.0</v>
      </c>
      <c r="Y91" s="3" t="n">
        <v>24235.0</v>
      </c>
      <c r="Z91" s="3" t="n">
        <v>23948.0</v>
      </c>
      <c r="AA91" s="3" t="n">
        <v>24057.0</v>
      </c>
      <c r="AB91" s="3" t="n">
        <v>24043.0</v>
      </c>
      <c r="AC91" s="3" t="n">
        <v>23841.0</v>
      </c>
      <c r="AD91" s="3" t="n">
        <v>23963.0</v>
      </c>
      <c r="AE91" s="3" t="n">
        <v>24226.0</v>
      </c>
      <c r="AF91" s="3" t="n">
        <v>24989.0</v>
      </c>
      <c r="AG91" s="3" t="n">
        <v>25904.0</v>
      </c>
      <c r="AH91" s="3" t="n">
        <v>26519.0</v>
      </c>
      <c r="AI91" s="3" t="n">
        <v>27586.0</v>
      </c>
      <c r="AJ91" s="3" t="n">
        <v>28631.0</v>
      </c>
      <c r="AK91" s="3" t="n">
        <v>30451.0</v>
      </c>
      <c r="AL91" s="3" t="n">
        <v>31318.0</v>
      </c>
      <c r="AM91" s="3" t="n">
        <v>32640.0</v>
      </c>
      <c r="AN91" s="3" t="n">
        <v>32948.0</v>
      </c>
      <c r="AO91" s="3" t="n">
        <v>33990.0</v>
      </c>
    </row>
    <row r="92" spans="1:41" x14ac:dyDescent="0.2">
      <c r="A92" s="122"/>
      <c r="B92" s="9">
        <v>83</v>
      </c>
      <c r="C92" s="3" t="n">
        <v>14700.0</v>
      </c>
      <c r="D92" s="3" t="n">
        <v>14112.0</v>
      </c>
      <c r="E92" s="3" t="n">
        <v>12457.0</v>
      </c>
      <c r="F92" s="3" t="n">
        <v>11680.0</v>
      </c>
      <c r="G92" s="3" t="n">
        <v>12925.0</v>
      </c>
      <c r="H92" s="3" t="n">
        <v>14100.0</v>
      </c>
      <c r="I92" s="3" t="n">
        <v>14272.0</v>
      </c>
      <c r="J92" s="3" t="n">
        <v>16591.0</v>
      </c>
      <c r="K92" s="3" t="n">
        <v>18520.0</v>
      </c>
      <c r="L92" s="3" t="n">
        <v>19624.0</v>
      </c>
      <c r="M92" s="3" t="n">
        <v>20142.0</v>
      </c>
      <c r="N92" s="3" t="n">
        <v>21034.0</v>
      </c>
      <c r="O92" s="3" t="n">
        <v>22391.0</v>
      </c>
      <c r="P92" s="3" t="n">
        <v>22842.0</v>
      </c>
      <c r="Q92" s="3" t="n">
        <v>23343.0</v>
      </c>
      <c r="R92" s="3" t="n">
        <v>23574.0</v>
      </c>
      <c r="S92" s="3" t="n">
        <v>24655.0</v>
      </c>
      <c r="T92" s="3" t="n">
        <v>24446.0</v>
      </c>
      <c r="U92" s="3" t="n">
        <v>24895.0</v>
      </c>
      <c r="V92" s="3" t="n">
        <v>25252.0</v>
      </c>
      <c r="W92" s="3" t="n">
        <v>24733.0</v>
      </c>
      <c r="X92" s="3" t="n">
        <v>24126.0</v>
      </c>
      <c r="Y92" s="3" t="n">
        <v>23116.0</v>
      </c>
      <c r="Z92" s="3" t="n">
        <v>23013.0</v>
      </c>
      <c r="AA92" s="3" t="n">
        <v>22760.0</v>
      </c>
      <c r="AB92" s="3" t="n">
        <v>22881.0</v>
      </c>
      <c r="AC92" s="3" t="n">
        <v>22888.0</v>
      </c>
      <c r="AD92" s="3" t="n">
        <v>22708.0</v>
      </c>
      <c r="AE92" s="3" t="n">
        <v>22840.0</v>
      </c>
      <c r="AF92" s="3" t="n">
        <v>23104.0</v>
      </c>
      <c r="AG92" s="3" t="n">
        <v>23844.0</v>
      </c>
      <c r="AH92" s="3" t="n">
        <v>24746.0</v>
      </c>
      <c r="AI92" s="3" t="n">
        <v>25350.0</v>
      </c>
      <c r="AJ92" s="3" t="n">
        <v>26395.0</v>
      </c>
      <c r="AK92" s="3" t="n">
        <v>27401.0</v>
      </c>
      <c r="AL92" s="3" t="n">
        <v>29160.0</v>
      </c>
      <c r="AM92" s="3" t="n">
        <v>30019.0</v>
      </c>
      <c r="AN92" s="3" t="n">
        <v>31300.0</v>
      </c>
      <c r="AO92" s="3" t="n">
        <v>31614.0</v>
      </c>
    </row>
    <row r="93" spans="1:41" x14ac:dyDescent="0.2">
      <c r="A93" s="122"/>
      <c r="B93" s="9">
        <v>84</v>
      </c>
      <c r="C93" s="3" t="n">
        <v>13358.0</v>
      </c>
      <c r="D93" s="3" t="n">
        <v>13558.0</v>
      </c>
      <c r="E93" s="3" t="n">
        <v>13034.0</v>
      </c>
      <c r="F93" s="3" t="n">
        <v>11527.0</v>
      </c>
      <c r="G93" s="3" t="n">
        <v>10829.0</v>
      </c>
      <c r="H93" s="3" t="n">
        <v>12000.0</v>
      </c>
      <c r="I93" s="3" t="n">
        <v>13118.0</v>
      </c>
      <c r="J93" s="3" t="n">
        <v>13273.0</v>
      </c>
      <c r="K93" s="3" t="n">
        <v>15447.0</v>
      </c>
      <c r="L93" s="3" t="n">
        <v>17261.0</v>
      </c>
      <c r="M93" s="3" t="n">
        <v>18304.0</v>
      </c>
      <c r="N93" s="3" t="n">
        <v>18810.0</v>
      </c>
      <c r="O93" s="3" t="n">
        <v>19651.0</v>
      </c>
      <c r="P93" s="3" t="n">
        <v>20936.0</v>
      </c>
      <c r="Q93" s="3" t="n">
        <v>21384.0</v>
      </c>
      <c r="R93" s="3" t="n">
        <v>21872.0</v>
      </c>
      <c r="S93" s="3" t="n">
        <v>22100.0</v>
      </c>
      <c r="T93" s="3" t="n">
        <v>23134.0</v>
      </c>
      <c r="U93" s="3" t="n">
        <v>22960.0</v>
      </c>
      <c r="V93" s="3" t="n">
        <v>23408.0</v>
      </c>
      <c r="W93" s="3" t="n">
        <v>23760.0</v>
      </c>
      <c r="X93" s="3" t="n">
        <v>23285.0</v>
      </c>
      <c r="Y93" s="3" t="n">
        <v>22746.0</v>
      </c>
      <c r="Z93" s="3" t="n">
        <v>21799.0</v>
      </c>
      <c r="AA93" s="3" t="n">
        <v>21721.0</v>
      </c>
      <c r="AB93" s="3" t="n">
        <v>21499.0</v>
      </c>
      <c r="AC93" s="3" t="n">
        <v>21637.0</v>
      </c>
      <c r="AD93" s="3" t="n">
        <v>21660.0</v>
      </c>
      <c r="AE93" s="3" t="n">
        <v>21509.0</v>
      </c>
      <c r="AF93" s="3" t="n">
        <v>21644.0</v>
      </c>
      <c r="AG93" s="3" t="n">
        <v>21910.0</v>
      </c>
      <c r="AH93" s="3" t="n">
        <v>22631.0</v>
      </c>
      <c r="AI93" s="3" t="n">
        <v>23510.0</v>
      </c>
      <c r="AJ93" s="3" t="n">
        <v>24105.0</v>
      </c>
      <c r="AK93" s="3" t="n">
        <v>25110.0</v>
      </c>
      <c r="AL93" s="3" t="n">
        <v>26080.0</v>
      </c>
      <c r="AM93" s="3" t="n">
        <v>27781.0</v>
      </c>
      <c r="AN93" s="3" t="n">
        <v>28621.0</v>
      </c>
      <c r="AO93" s="3" t="n">
        <v>29856.0</v>
      </c>
    </row>
    <row r="94" spans="1:41" x14ac:dyDescent="0.2">
      <c r="A94" s="122"/>
      <c r="B94" s="9">
        <v>85</v>
      </c>
      <c r="C94" s="3" t="n">
        <v>12295.0</v>
      </c>
      <c r="D94" s="3" t="n">
        <v>12206.0</v>
      </c>
      <c r="E94" s="3" t="n">
        <v>12414.0</v>
      </c>
      <c r="F94" s="3" t="n">
        <v>11954.0</v>
      </c>
      <c r="G94" s="3" t="n">
        <v>10588.0</v>
      </c>
      <c r="H94" s="3" t="n">
        <v>9982.0</v>
      </c>
      <c r="I94" s="3" t="n">
        <v>11077.0</v>
      </c>
      <c r="J94" s="3" t="n">
        <v>12104.0</v>
      </c>
      <c r="K94" s="3" t="n">
        <v>12251.0</v>
      </c>
      <c r="L94" s="3" t="n">
        <v>14279.0</v>
      </c>
      <c r="M94" s="3" t="n">
        <v>15968.0</v>
      </c>
      <c r="N94" s="3" t="n">
        <v>16951.0</v>
      </c>
      <c r="O94" s="3" t="n">
        <v>17435.0</v>
      </c>
      <c r="P94" s="3" t="n">
        <v>18229.0</v>
      </c>
      <c r="Q94" s="3" t="n">
        <v>19446.0</v>
      </c>
      <c r="R94" s="3" t="n">
        <v>19877.0</v>
      </c>
      <c r="S94" s="3" t="n">
        <v>20346.0</v>
      </c>
      <c r="T94" s="3" t="n">
        <v>20576.0</v>
      </c>
      <c r="U94" s="3" t="n">
        <v>21562.0</v>
      </c>
      <c r="V94" s="3" t="n">
        <v>21430.0</v>
      </c>
      <c r="W94" s="3" t="n">
        <v>21868.0</v>
      </c>
      <c r="X94" s="3" t="n">
        <v>22211.0</v>
      </c>
      <c r="Y94" s="3" t="n">
        <v>21796.0</v>
      </c>
      <c r="Z94" s="3" t="n">
        <v>21301.0</v>
      </c>
      <c r="AA94" s="3" t="n">
        <v>20430.0</v>
      </c>
      <c r="AB94" s="3" t="n">
        <v>20383.0</v>
      </c>
      <c r="AC94" s="3" t="n">
        <v>20188.0</v>
      </c>
      <c r="AD94" s="3" t="n">
        <v>20333.0</v>
      </c>
      <c r="AE94" s="3" t="n">
        <v>20370.0</v>
      </c>
      <c r="AF94" s="3" t="n">
        <v>20247.0</v>
      </c>
      <c r="AG94" s="3" t="n">
        <v>20388.0</v>
      </c>
      <c r="AH94" s="3" t="n">
        <v>20666.0</v>
      </c>
      <c r="AI94" s="3" t="n">
        <v>21369.0</v>
      </c>
      <c r="AJ94" s="3" t="n">
        <v>22218.0</v>
      </c>
      <c r="AK94" s="3" t="n">
        <v>22790.0</v>
      </c>
      <c r="AL94" s="3" t="n">
        <v>23756.0</v>
      </c>
      <c r="AM94" s="3" t="n">
        <v>24704.0</v>
      </c>
      <c r="AN94" s="3" t="n">
        <v>26333.0</v>
      </c>
      <c r="AO94" s="3" t="n">
        <v>27155.0</v>
      </c>
    </row>
    <row r="95" spans="1:41" x14ac:dyDescent="0.2">
      <c r="A95" s="122"/>
      <c r="B95" s="9">
        <v>86</v>
      </c>
      <c r="C95" s="3" t="n">
        <v>11366.0</v>
      </c>
      <c r="D95" s="3" t="n">
        <v>11117.0</v>
      </c>
      <c r="E95" s="3" t="n">
        <v>11072.0</v>
      </c>
      <c r="F95" s="3" t="n">
        <v>11280.0</v>
      </c>
      <c r="G95" s="3" t="n">
        <v>10878.0</v>
      </c>
      <c r="H95" s="3" t="n">
        <v>9662.0</v>
      </c>
      <c r="I95" s="3" t="n">
        <v>9127.0</v>
      </c>
      <c r="J95" s="3" t="n">
        <v>10122.0</v>
      </c>
      <c r="K95" s="3" t="n">
        <v>11071.0</v>
      </c>
      <c r="L95" s="3" t="n">
        <v>11218.0</v>
      </c>
      <c r="M95" s="3" t="n">
        <v>13092.0</v>
      </c>
      <c r="N95" s="3" t="n">
        <v>14671.0</v>
      </c>
      <c r="O95" s="3" t="n">
        <v>15578.0</v>
      </c>
      <c r="P95" s="3" t="n">
        <v>16042.0</v>
      </c>
      <c r="Q95" s="3" t="n">
        <v>16794.0</v>
      </c>
      <c r="R95" s="3" t="n">
        <v>17935.0</v>
      </c>
      <c r="S95" s="3" t="n">
        <v>18353.0</v>
      </c>
      <c r="T95" s="3" t="n">
        <v>18805.0</v>
      </c>
      <c r="U95" s="3" t="n">
        <v>19043.0</v>
      </c>
      <c r="V95" s="3" t="n">
        <v>19983.0</v>
      </c>
      <c r="W95" s="3" t="n">
        <v>19882.0</v>
      </c>
      <c r="X95" s="3" t="n">
        <v>20304.0</v>
      </c>
      <c r="Y95" s="3" t="n">
        <v>20645.0</v>
      </c>
      <c r="Z95" s="3" t="n">
        <v>20272.0</v>
      </c>
      <c r="AA95" s="3" t="n">
        <v>19837.0</v>
      </c>
      <c r="AB95" s="3" t="n">
        <v>19045.0</v>
      </c>
      <c r="AC95" s="3" t="n">
        <v>19013.0</v>
      </c>
      <c r="AD95" s="3" t="n">
        <v>18841.0</v>
      </c>
      <c r="AE95" s="3" t="n">
        <v>18999.0</v>
      </c>
      <c r="AF95" s="3" t="n">
        <v>19055.0</v>
      </c>
      <c r="AG95" s="3" t="n">
        <v>18955.0</v>
      </c>
      <c r="AH95" s="3" t="n">
        <v>19115.0</v>
      </c>
      <c r="AI95" s="3" t="n">
        <v>19386.0</v>
      </c>
      <c r="AJ95" s="3" t="n">
        <v>20075.0</v>
      </c>
      <c r="AK95" s="3" t="n">
        <v>20883.0</v>
      </c>
      <c r="AL95" s="3" t="n">
        <v>21438.0</v>
      </c>
      <c r="AM95" s="3" t="n">
        <v>22375.0</v>
      </c>
      <c r="AN95" s="3" t="n">
        <v>23280.0</v>
      </c>
      <c r="AO95" s="3" t="n">
        <v>24843.0</v>
      </c>
    </row>
    <row r="96" spans="1:41" x14ac:dyDescent="0.2">
      <c r="A96" s="122"/>
      <c r="B96" s="9">
        <v>87</v>
      </c>
      <c r="C96" s="3" t="n">
        <v>9762.0</v>
      </c>
      <c r="D96" s="3" t="n">
        <v>10154.0</v>
      </c>
      <c r="E96" s="3" t="n">
        <v>9969.0</v>
      </c>
      <c r="F96" s="3" t="n">
        <v>9944.0</v>
      </c>
      <c r="G96" s="3" t="n">
        <v>10150.0</v>
      </c>
      <c r="H96" s="3" t="n">
        <v>9815.0</v>
      </c>
      <c r="I96" s="3" t="n">
        <v>8736.0</v>
      </c>
      <c r="J96" s="3" t="n">
        <v>8253.0</v>
      </c>
      <c r="K96" s="3" t="n">
        <v>9157.0</v>
      </c>
      <c r="L96" s="3" t="n">
        <v>10035.0</v>
      </c>
      <c r="M96" s="3" t="n">
        <v>10182.0</v>
      </c>
      <c r="N96" s="3" t="n">
        <v>11899.0</v>
      </c>
      <c r="O96" s="3" t="n">
        <v>13352.0</v>
      </c>
      <c r="P96" s="3" t="n">
        <v>14194.0</v>
      </c>
      <c r="Q96" s="3" t="n">
        <v>14644.0</v>
      </c>
      <c r="R96" s="3" t="n">
        <v>15346.0</v>
      </c>
      <c r="S96" s="3" t="n">
        <v>16411.0</v>
      </c>
      <c r="T96" s="3" t="n">
        <v>16811.0</v>
      </c>
      <c r="U96" s="3" t="n">
        <v>17241.0</v>
      </c>
      <c r="V96" s="3" t="n">
        <v>17484.0</v>
      </c>
      <c r="W96" s="3" t="n">
        <v>18371.0</v>
      </c>
      <c r="X96" s="3" t="n">
        <v>18291.0</v>
      </c>
      <c r="Y96" s="3" t="n">
        <v>18715.0</v>
      </c>
      <c r="Z96" s="3" t="n">
        <v>19041.0</v>
      </c>
      <c r="AA96" s="3" t="n">
        <v>18718.0</v>
      </c>
      <c r="AB96" s="3" t="n">
        <v>18341.0</v>
      </c>
      <c r="AC96" s="3" t="n">
        <v>17624.0</v>
      </c>
      <c r="AD96" s="3" t="n">
        <v>17606.0</v>
      </c>
      <c r="AE96" s="3" t="n">
        <v>17466.0</v>
      </c>
      <c r="AF96" s="3" t="n">
        <v>17637.0</v>
      </c>
      <c r="AG96" s="3" t="n">
        <v>17700.0</v>
      </c>
      <c r="AH96" s="3" t="n">
        <v>17632.0</v>
      </c>
      <c r="AI96" s="3" t="n">
        <v>17800.0</v>
      </c>
      <c r="AJ96" s="3" t="n">
        <v>18073.0</v>
      </c>
      <c r="AK96" s="3" t="n">
        <v>18733.0</v>
      </c>
      <c r="AL96" s="3" t="n">
        <v>19503.0</v>
      </c>
      <c r="AM96" s="3" t="n">
        <v>20045.0</v>
      </c>
      <c r="AN96" s="3" t="n">
        <v>20950.0</v>
      </c>
      <c r="AO96" s="3" t="n">
        <v>21805.0</v>
      </c>
    </row>
    <row r="97" spans="1:41" x14ac:dyDescent="0.2">
      <c r="A97" s="122"/>
      <c r="B97" s="9">
        <v>88</v>
      </c>
      <c r="C97" s="3" t="n">
        <v>8072.0</v>
      </c>
      <c r="D97" s="3" t="n">
        <v>8623.0</v>
      </c>
      <c r="E97" s="3" t="n">
        <v>8996.0</v>
      </c>
      <c r="F97" s="3" t="n">
        <v>8852.0</v>
      </c>
      <c r="G97" s="3" t="n">
        <v>8847.0</v>
      </c>
      <c r="H97" s="3" t="n">
        <v>9064.0</v>
      </c>
      <c r="I97" s="3" t="n">
        <v>8786.0</v>
      </c>
      <c r="J97" s="3" t="n">
        <v>7818.0</v>
      </c>
      <c r="K97" s="3" t="n">
        <v>7396.0</v>
      </c>
      <c r="L97" s="3" t="n">
        <v>8215.0</v>
      </c>
      <c r="M97" s="3" t="n">
        <v>9011.0</v>
      </c>
      <c r="N97" s="3" t="n">
        <v>9164.0</v>
      </c>
      <c r="O97" s="3" t="n">
        <v>10720.0</v>
      </c>
      <c r="P97" s="3" t="n">
        <v>12040.0</v>
      </c>
      <c r="Q97" s="3" t="n">
        <v>12830.0</v>
      </c>
      <c r="R97" s="3" t="n">
        <v>13254.0</v>
      </c>
      <c r="S97" s="3" t="n">
        <v>13907.0</v>
      </c>
      <c r="T97" s="3" t="n">
        <v>14897.0</v>
      </c>
      <c r="U97" s="3" t="n">
        <v>15270.0</v>
      </c>
      <c r="V97" s="3" t="n">
        <v>15689.0</v>
      </c>
      <c r="W97" s="3" t="n">
        <v>15926.0</v>
      </c>
      <c r="X97" s="3" t="n">
        <v>16757.0</v>
      </c>
      <c r="Y97" s="3" t="n">
        <v>16720.0</v>
      </c>
      <c r="Z97" s="3" t="n">
        <v>17121.0</v>
      </c>
      <c r="AA97" s="3" t="n">
        <v>17429.0</v>
      </c>
      <c r="AB97" s="3" t="n">
        <v>17163.0</v>
      </c>
      <c r="AC97" s="3" t="n">
        <v>16834.0</v>
      </c>
      <c r="AD97" s="3" t="n">
        <v>16196.0</v>
      </c>
      <c r="AE97" s="3" t="n">
        <v>16195.0</v>
      </c>
      <c r="AF97" s="3" t="n">
        <v>16082.0</v>
      </c>
      <c r="AG97" s="3" t="n">
        <v>16257.0</v>
      </c>
      <c r="AH97" s="3" t="n">
        <v>16342.0</v>
      </c>
      <c r="AI97" s="3" t="n">
        <v>16296.0</v>
      </c>
      <c r="AJ97" s="3" t="n">
        <v>16473.0</v>
      </c>
      <c r="AK97" s="3" t="n">
        <v>16736.0</v>
      </c>
      <c r="AL97" s="3" t="n">
        <v>17363.0</v>
      </c>
      <c r="AM97" s="3" t="n">
        <v>18108.0</v>
      </c>
      <c r="AN97" s="3" t="n">
        <v>18625.0</v>
      </c>
      <c r="AO97" s="3" t="n">
        <v>19492.0</v>
      </c>
    </row>
    <row r="98" spans="1:41" x14ac:dyDescent="0.2">
      <c r="A98" s="122"/>
      <c r="B98" s="9">
        <v>89</v>
      </c>
      <c r="C98" s="3" t="n">
        <v>6912.0</v>
      </c>
      <c r="D98" s="3" t="n">
        <v>7048.0</v>
      </c>
      <c r="E98" s="3" t="n">
        <v>7553.0</v>
      </c>
      <c r="F98" s="3" t="n">
        <v>7902.0</v>
      </c>
      <c r="G98" s="3" t="n">
        <v>7797.0</v>
      </c>
      <c r="H98" s="3" t="n">
        <v>7815.0</v>
      </c>
      <c r="I98" s="3" t="n">
        <v>8027.0</v>
      </c>
      <c r="J98" s="3" t="n">
        <v>7786.0</v>
      </c>
      <c r="K98" s="3" t="n">
        <v>6931.0</v>
      </c>
      <c r="L98" s="3" t="n">
        <v>6573.0</v>
      </c>
      <c r="M98" s="3" t="n">
        <v>7306.0</v>
      </c>
      <c r="N98" s="3" t="n">
        <v>8029.0</v>
      </c>
      <c r="O98" s="3" t="n">
        <v>8174.0</v>
      </c>
      <c r="P98" s="3" t="n">
        <v>9585.0</v>
      </c>
      <c r="Q98" s="3" t="n">
        <v>10789.0</v>
      </c>
      <c r="R98" s="3" t="n">
        <v>11510.0</v>
      </c>
      <c r="S98" s="3" t="n">
        <v>11911.0</v>
      </c>
      <c r="T98" s="3" t="n">
        <v>12515.0</v>
      </c>
      <c r="U98" s="3" t="n">
        <v>13417.0</v>
      </c>
      <c r="V98" s="3" t="n">
        <v>13779.0</v>
      </c>
      <c r="W98" s="3" t="n">
        <v>14171.0</v>
      </c>
      <c r="X98" s="3" t="n">
        <v>14400.0</v>
      </c>
      <c r="Y98" s="3" t="n">
        <v>15189.0</v>
      </c>
      <c r="Z98" s="3" t="n">
        <v>15163.0</v>
      </c>
      <c r="AA98" s="3" t="n">
        <v>15548.0</v>
      </c>
      <c r="AB98" s="3" t="n">
        <v>15855.0</v>
      </c>
      <c r="AC98" s="3" t="n">
        <v>15629.0</v>
      </c>
      <c r="AD98" s="3" t="n">
        <v>15350.0</v>
      </c>
      <c r="AE98" s="3" t="n">
        <v>14787.0</v>
      </c>
      <c r="AF98" s="3" t="n">
        <v>14806.0</v>
      </c>
      <c r="AG98" s="3" t="n">
        <v>14719.0</v>
      </c>
      <c r="AH98" s="3" t="n">
        <v>14903.0</v>
      </c>
      <c r="AI98" s="3" t="n">
        <v>14995.0</v>
      </c>
      <c r="AJ98" s="3" t="n">
        <v>14984.0</v>
      </c>
      <c r="AK98" s="3" t="n">
        <v>15155.0</v>
      </c>
      <c r="AL98" s="3" t="n">
        <v>15406.0</v>
      </c>
      <c r="AM98" s="3" t="n">
        <v>16007.0</v>
      </c>
      <c r="AN98" s="3" t="n">
        <v>16711.0</v>
      </c>
      <c r="AO98" s="3" t="n">
        <v>17204.0</v>
      </c>
    </row>
    <row r="99" spans="1:41" x14ac:dyDescent="0.2">
      <c r="A99" s="122"/>
      <c r="B99" s="9">
        <v>90</v>
      </c>
      <c r="C99" s="3" t="n">
        <v>6178.0</v>
      </c>
      <c r="D99" s="3" t="n">
        <v>5951.0</v>
      </c>
      <c r="E99" s="3" t="n">
        <v>6096.0</v>
      </c>
      <c r="F99" s="3" t="n">
        <v>6551.0</v>
      </c>
      <c r="G99" s="3" t="n">
        <v>6875.0</v>
      </c>
      <c r="H99" s="3" t="n">
        <v>6798.0</v>
      </c>
      <c r="I99" s="3" t="n">
        <v>6831.0</v>
      </c>
      <c r="J99" s="3" t="n">
        <v>7030.0</v>
      </c>
      <c r="K99" s="3" t="n">
        <v>6821.0</v>
      </c>
      <c r="L99" s="3" t="n">
        <v>6088.0</v>
      </c>
      <c r="M99" s="3" t="n">
        <v>5776.0</v>
      </c>
      <c r="N99" s="3" t="n">
        <v>6432.0</v>
      </c>
      <c r="O99" s="3" t="n">
        <v>7079.0</v>
      </c>
      <c r="P99" s="3" t="n">
        <v>7221.0</v>
      </c>
      <c r="Q99" s="3" t="n">
        <v>8482.0</v>
      </c>
      <c r="R99" s="3" t="n">
        <v>9576.0</v>
      </c>
      <c r="S99" s="3" t="n">
        <v>10227.0</v>
      </c>
      <c r="T99" s="3" t="n">
        <v>10605.0</v>
      </c>
      <c r="U99" s="3" t="n">
        <v>11158.0</v>
      </c>
      <c r="V99" s="3" t="n">
        <v>11984.0</v>
      </c>
      <c r="W99" s="3" t="n">
        <v>12321.0</v>
      </c>
      <c r="X99" s="3" t="n">
        <v>12695.0</v>
      </c>
      <c r="Y99" s="3" t="n">
        <v>12929.0</v>
      </c>
      <c r="Z99" s="3" t="n">
        <v>13642.0</v>
      </c>
      <c r="AA99" s="3" t="n">
        <v>13640.0</v>
      </c>
      <c r="AB99" s="3" t="n">
        <v>14016.0</v>
      </c>
      <c r="AC99" s="3" t="n">
        <v>14318.0</v>
      </c>
      <c r="AD99" s="3" t="n">
        <v>14127.0</v>
      </c>
      <c r="AE99" s="3" t="n">
        <v>13899.0</v>
      </c>
      <c r="AF99" s="3" t="n">
        <v>13398.0</v>
      </c>
      <c r="AG99" s="3" t="n">
        <v>13426.0</v>
      </c>
      <c r="AH99" s="3" t="n">
        <v>13375.0</v>
      </c>
      <c r="AI99" s="3" t="n">
        <v>13555.0</v>
      </c>
      <c r="AJ99" s="3" t="n">
        <v>13665.0</v>
      </c>
      <c r="AK99" s="3" t="n">
        <v>13662.0</v>
      </c>
      <c r="AL99" s="3" t="n">
        <v>13837.0</v>
      </c>
      <c r="AM99" s="3" t="n">
        <v>14097.0</v>
      </c>
      <c r="AN99" s="3" t="n">
        <v>14667.0</v>
      </c>
      <c r="AO99" s="3" t="n">
        <v>15322.0</v>
      </c>
    </row>
    <row r="100" spans="1:41" x14ac:dyDescent="0.2">
      <c r="A100" s="122"/>
      <c r="B100" s="9">
        <v>91</v>
      </c>
      <c r="C100" s="3" t="n">
        <v>4964.0</v>
      </c>
      <c r="D100" s="3" t="n">
        <v>5249.0</v>
      </c>
      <c r="E100" s="3" t="n">
        <v>5083.0</v>
      </c>
      <c r="F100" s="3" t="n">
        <v>5217.0</v>
      </c>
      <c r="G100" s="3" t="n">
        <v>5624.0</v>
      </c>
      <c r="H100" s="3" t="n">
        <v>5914.0</v>
      </c>
      <c r="I100" s="3" t="n">
        <v>5867.0</v>
      </c>
      <c r="J100" s="3" t="n">
        <v>5902.0</v>
      </c>
      <c r="K100" s="3" t="n">
        <v>6085.0</v>
      </c>
      <c r="L100" s="3" t="n">
        <v>5917.0</v>
      </c>
      <c r="M100" s="3" t="n">
        <v>5286.0</v>
      </c>
      <c r="N100" s="3" t="n">
        <v>5028.0</v>
      </c>
      <c r="O100" s="3" t="n">
        <v>5608.0</v>
      </c>
      <c r="P100" s="3" t="n">
        <v>6184.0</v>
      </c>
      <c r="Q100" s="3" t="n">
        <v>6321.0</v>
      </c>
      <c r="R100" s="3" t="n">
        <v>7442.0</v>
      </c>
      <c r="S100" s="3" t="n">
        <v>8410.0</v>
      </c>
      <c r="T100" s="3" t="n">
        <v>9003.0</v>
      </c>
      <c r="U100" s="3" t="n">
        <v>9353.0</v>
      </c>
      <c r="V100" s="3" t="n">
        <v>9862.0</v>
      </c>
      <c r="W100" s="3" t="n">
        <v>10608.0</v>
      </c>
      <c r="X100" s="3" t="n">
        <v>10921.0</v>
      </c>
      <c r="Y100" s="3" t="n">
        <v>11277.0</v>
      </c>
      <c r="Z100" s="3" t="n">
        <v>11490.0</v>
      </c>
      <c r="AA100" s="3" t="n">
        <v>12152.0</v>
      </c>
      <c r="AB100" s="3" t="n">
        <v>12172.0</v>
      </c>
      <c r="AC100" s="3" t="n">
        <v>12523.0</v>
      </c>
      <c r="AD100" s="3" t="n">
        <v>12812.0</v>
      </c>
      <c r="AE100" s="3" t="n">
        <v>12660.0</v>
      </c>
      <c r="AF100" s="3" t="n">
        <v>12476.0</v>
      </c>
      <c r="AG100" s="3" t="n">
        <v>12036.0</v>
      </c>
      <c r="AH100" s="3" t="n">
        <v>12084.0</v>
      </c>
      <c r="AI100" s="3" t="n">
        <v>12057.0</v>
      </c>
      <c r="AJ100" s="3" t="n">
        <v>12244.0</v>
      </c>
      <c r="AK100" s="3" t="n">
        <v>12353.0</v>
      </c>
      <c r="AL100" s="3" t="n">
        <v>12363.0</v>
      </c>
      <c r="AM100" s="3" t="n">
        <v>12544.0</v>
      </c>
      <c r="AN100" s="3" t="n">
        <v>12797.0</v>
      </c>
      <c r="AO100" s="3" t="n">
        <v>13333.0</v>
      </c>
    </row>
    <row r="101" spans="1:41" x14ac:dyDescent="0.2">
      <c r="A101" s="122"/>
      <c r="B101" s="9">
        <v>92</v>
      </c>
      <c r="C101" s="3" t="n">
        <v>4019.0</v>
      </c>
      <c r="D101" s="3" t="n">
        <v>4143.0</v>
      </c>
      <c r="E101" s="3" t="n">
        <v>4401.0</v>
      </c>
      <c r="F101" s="3" t="n">
        <v>4280.0</v>
      </c>
      <c r="G101" s="3" t="n">
        <v>4402.0</v>
      </c>
      <c r="H101" s="3" t="n">
        <v>4770.0</v>
      </c>
      <c r="I101" s="3" t="n">
        <v>5031.0</v>
      </c>
      <c r="J101" s="3" t="n">
        <v>4989.0</v>
      </c>
      <c r="K101" s="3" t="n">
        <v>5029.0</v>
      </c>
      <c r="L101" s="3" t="n">
        <v>5207.0</v>
      </c>
      <c r="M101" s="3" t="n">
        <v>5067.0</v>
      </c>
      <c r="N101" s="3" t="n">
        <v>4539.0</v>
      </c>
      <c r="O101" s="3" t="n">
        <v>4323.0</v>
      </c>
      <c r="P101" s="3" t="n">
        <v>4827.0</v>
      </c>
      <c r="Q101" s="3" t="n">
        <v>5338.0</v>
      </c>
      <c r="R101" s="3" t="n">
        <v>5466.0</v>
      </c>
      <c r="S101" s="3" t="n">
        <v>6457.0</v>
      </c>
      <c r="T101" s="3" t="n">
        <v>7307.0</v>
      </c>
      <c r="U101" s="3" t="n">
        <v>7838.0</v>
      </c>
      <c r="V101" s="3" t="n">
        <v>8166.0</v>
      </c>
      <c r="W101" s="3" t="n">
        <v>8625.0</v>
      </c>
      <c r="X101" s="3" t="n">
        <v>9286.0</v>
      </c>
      <c r="Y101" s="3" t="n">
        <v>9587.0</v>
      </c>
      <c r="Z101" s="3" t="n">
        <v>9901.0</v>
      </c>
      <c r="AA101" s="3" t="n">
        <v>10107.0</v>
      </c>
      <c r="AB101" s="3" t="n">
        <v>10723.0</v>
      </c>
      <c r="AC101" s="3" t="n">
        <v>10754.0</v>
      </c>
      <c r="AD101" s="3" t="n">
        <v>11077.0</v>
      </c>
      <c r="AE101" s="3" t="n">
        <v>11351.0</v>
      </c>
      <c r="AF101" s="3" t="n">
        <v>11240.0</v>
      </c>
      <c r="AG101" s="3" t="n">
        <v>11089.0</v>
      </c>
      <c r="AH101" s="3" t="n">
        <v>10724.0</v>
      </c>
      <c r="AI101" s="3" t="n">
        <v>10773.0</v>
      </c>
      <c r="AJ101" s="3" t="n">
        <v>10773.0</v>
      </c>
      <c r="AK101" s="3" t="n">
        <v>10954.0</v>
      </c>
      <c r="AL101" s="3" t="n">
        <v>11069.0</v>
      </c>
      <c r="AM101" s="3" t="n">
        <v>11099.0</v>
      </c>
      <c r="AN101" s="3" t="n">
        <v>11274.0</v>
      </c>
      <c r="AO101" s="3" t="n">
        <v>11514.0</v>
      </c>
    </row>
    <row r="102" spans="1:41" x14ac:dyDescent="0.2">
      <c r="A102" s="122"/>
      <c r="B102" s="9">
        <v>93</v>
      </c>
      <c r="C102" s="3" t="n">
        <v>2874.0</v>
      </c>
      <c r="D102" s="3" t="n">
        <v>3299.0</v>
      </c>
      <c r="E102" s="3" t="n">
        <v>3422.0</v>
      </c>
      <c r="F102" s="3" t="n">
        <v>3650.0</v>
      </c>
      <c r="G102" s="3" t="n">
        <v>3558.0</v>
      </c>
      <c r="H102" s="3" t="n">
        <v>3674.0</v>
      </c>
      <c r="I102" s="3" t="n">
        <v>3990.0</v>
      </c>
      <c r="J102" s="3" t="n">
        <v>4218.0</v>
      </c>
      <c r="K102" s="3" t="n">
        <v>4186.0</v>
      </c>
      <c r="L102" s="3" t="n">
        <v>4235.0</v>
      </c>
      <c r="M102" s="3" t="n">
        <v>4393.0</v>
      </c>
      <c r="N102" s="3" t="n">
        <v>4291.0</v>
      </c>
      <c r="O102" s="3" t="n">
        <v>3849.0</v>
      </c>
      <c r="P102" s="3" t="n">
        <v>3672.0</v>
      </c>
      <c r="Q102" s="3" t="n">
        <v>4113.0</v>
      </c>
      <c r="R102" s="3" t="n">
        <v>4555.0</v>
      </c>
      <c r="S102" s="3" t="n">
        <v>4676.0</v>
      </c>
      <c r="T102" s="3" t="n">
        <v>5532.0</v>
      </c>
      <c r="U102" s="3" t="n">
        <v>6272.0</v>
      </c>
      <c r="V102" s="3" t="n">
        <v>6747.0</v>
      </c>
      <c r="W102" s="3" t="n">
        <v>7050.0</v>
      </c>
      <c r="X102" s="3" t="n">
        <v>7453.0</v>
      </c>
      <c r="Y102" s="3" t="n">
        <v>8045.0</v>
      </c>
      <c r="Z102" s="3" t="n">
        <v>8318.0</v>
      </c>
      <c r="AA102" s="3" t="n">
        <v>8605.0</v>
      </c>
      <c r="AB102" s="3" t="n">
        <v>8808.0</v>
      </c>
      <c r="AC102" s="3" t="n">
        <v>9359.0</v>
      </c>
      <c r="AD102" s="3" t="n">
        <v>9398.0</v>
      </c>
      <c r="AE102" s="3" t="n">
        <v>9704.0</v>
      </c>
      <c r="AF102" s="3" t="n">
        <v>9956.0</v>
      </c>
      <c r="AG102" s="3" t="n">
        <v>9875.0</v>
      </c>
      <c r="AH102" s="3" t="n">
        <v>9767.0</v>
      </c>
      <c r="AI102" s="3" t="n">
        <v>9458.0</v>
      </c>
      <c r="AJ102" s="3" t="n">
        <v>9520.0</v>
      </c>
      <c r="AK102" s="3" t="n">
        <v>9535.0</v>
      </c>
      <c r="AL102" s="3" t="n">
        <v>9707.0</v>
      </c>
      <c r="AM102" s="3" t="n">
        <v>9836.0</v>
      </c>
      <c r="AN102" s="3" t="n">
        <v>9878.0</v>
      </c>
      <c r="AO102" s="3" t="n">
        <v>10044.0</v>
      </c>
    </row>
    <row r="103" spans="1:41" x14ac:dyDescent="0.2">
      <c r="A103" s="122"/>
      <c r="B103" s="9">
        <v>94</v>
      </c>
      <c r="C103" s="3" t="n">
        <v>2105.0</v>
      </c>
      <c r="D103" s="3" t="n">
        <v>2315.0</v>
      </c>
      <c r="E103" s="3" t="n">
        <v>2675.0</v>
      </c>
      <c r="F103" s="3" t="n">
        <v>2786.0</v>
      </c>
      <c r="G103" s="3" t="n">
        <v>2981.0</v>
      </c>
      <c r="H103" s="3" t="n">
        <v>2916.0</v>
      </c>
      <c r="I103" s="3" t="n">
        <v>3019.0</v>
      </c>
      <c r="J103" s="3" t="n">
        <v>3289.0</v>
      </c>
      <c r="K103" s="3" t="n">
        <v>3479.0</v>
      </c>
      <c r="L103" s="3" t="n">
        <v>3462.0</v>
      </c>
      <c r="M103" s="3" t="n">
        <v>3513.0</v>
      </c>
      <c r="N103" s="3" t="n">
        <v>3657.0</v>
      </c>
      <c r="O103" s="3" t="n">
        <v>3580.0</v>
      </c>
      <c r="P103" s="3" t="n">
        <v>3214.0</v>
      </c>
      <c r="Q103" s="3" t="n">
        <v>3082.0</v>
      </c>
      <c r="R103" s="3" t="n">
        <v>3456.0</v>
      </c>
      <c r="S103" s="3" t="n">
        <v>3836.0</v>
      </c>
      <c r="T103" s="3" t="n">
        <v>3950.0</v>
      </c>
      <c r="U103" s="3" t="n">
        <v>4679.0</v>
      </c>
      <c r="V103" s="3" t="n">
        <v>5318.0</v>
      </c>
      <c r="W103" s="3" t="n">
        <v>5731.0</v>
      </c>
      <c r="X103" s="3" t="n">
        <v>6007.0</v>
      </c>
      <c r="Y103" s="3" t="n">
        <v>6365.0</v>
      </c>
      <c r="Z103" s="3" t="n">
        <v>6879.0</v>
      </c>
      <c r="AA103" s="3" t="n">
        <v>7130.0</v>
      </c>
      <c r="AB103" s="3" t="n">
        <v>7397.0</v>
      </c>
      <c r="AC103" s="3" t="n">
        <v>7587.0</v>
      </c>
      <c r="AD103" s="3" t="n">
        <v>8075.0</v>
      </c>
      <c r="AE103" s="3" t="n">
        <v>8132.0</v>
      </c>
      <c r="AF103" s="3" t="n">
        <v>8410.0</v>
      </c>
      <c r="AG103" s="3" t="n">
        <v>8642.0</v>
      </c>
      <c r="AH103" s="3" t="n">
        <v>8593.0</v>
      </c>
      <c r="AI103" s="3" t="n">
        <v>8511.0</v>
      </c>
      <c r="AJ103" s="3" t="n">
        <v>8264.0</v>
      </c>
      <c r="AK103" s="3" t="n">
        <v>8326.0</v>
      </c>
      <c r="AL103" s="3" t="n">
        <v>8352.0</v>
      </c>
      <c r="AM103" s="3" t="n">
        <v>8524.0</v>
      </c>
      <c r="AN103" s="3" t="n">
        <v>8653.0</v>
      </c>
      <c r="AO103" s="3" t="n">
        <v>8696.0</v>
      </c>
    </row>
    <row r="104" spans="1:41" x14ac:dyDescent="0.2">
      <c r="A104" s="122"/>
      <c r="B104" s="9">
        <v>95</v>
      </c>
      <c r="C104" s="3" t="n">
        <v>1424.0</v>
      </c>
      <c r="D104" s="3" t="n">
        <v>1656.0</v>
      </c>
      <c r="E104" s="3" t="n">
        <v>1836.0</v>
      </c>
      <c r="F104" s="3" t="n">
        <v>2131.0</v>
      </c>
      <c r="G104" s="3" t="n">
        <v>2233.0</v>
      </c>
      <c r="H104" s="3" t="n">
        <v>2389.0</v>
      </c>
      <c r="I104" s="3" t="n">
        <v>2352.0</v>
      </c>
      <c r="J104" s="3" t="n">
        <v>2435.0</v>
      </c>
      <c r="K104" s="3" t="n">
        <v>2663.0</v>
      </c>
      <c r="L104" s="3" t="n">
        <v>2823.0</v>
      </c>
      <c r="M104" s="3" t="n">
        <v>2817.0</v>
      </c>
      <c r="N104" s="3" t="n">
        <v>2871.0</v>
      </c>
      <c r="O104" s="3" t="n">
        <v>2994.0</v>
      </c>
      <c r="P104" s="3" t="n">
        <v>2940.0</v>
      </c>
      <c r="Q104" s="3" t="n">
        <v>2650.0</v>
      </c>
      <c r="R104" s="3" t="n">
        <v>2546.0</v>
      </c>
      <c r="S104" s="3" t="n">
        <v>2858.0</v>
      </c>
      <c r="T104" s="3" t="n">
        <v>3184.0</v>
      </c>
      <c r="U104" s="3" t="n">
        <v>3287.0</v>
      </c>
      <c r="V104" s="3" t="n">
        <v>3907.0</v>
      </c>
      <c r="W104" s="3" t="n">
        <v>4453.0</v>
      </c>
      <c r="X104" s="3" t="n">
        <v>4814.0</v>
      </c>
      <c r="Y104" s="3" t="n">
        <v>5060.0</v>
      </c>
      <c r="Z104" s="3" t="n">
        <v>5366.0</v>
      </c>
      <c r="AA104" s="3" t="n">
        <v>5808.0</v>
      </c>
      <c r="AB104" s="3" t="n">
        <v>6042.0</v>
      </c>
      <c r="AC104" s="3" t="n">
        <v>6275.0</v>
      </c>
      <c r="AD104" s="3" t="n">
        <v>6458.0</v>
      </c>
      <c r="AE104" s="3" t="n">
        <v>6889.0</v>
      </c>
      <c r="AF104" s="3" t="n">
        <v>6953.0</v>
      </c>
      <c r="AG104" s="3" t="n">
        <v>7201.0</v>
      </c>
      <c r="AH104" s="3" t="n">
        <v>7418.0</v>
      </c>
      <c r="AI104" s="3" t="n">
        <v>7388.0</v>
      </c>
      <c r="AJ104" s="3" t="n">
        <v>7337.0</v>
      </c>
      <c r="AK104" s="3" t="n">
        <v>7129.0</v>
      </c>
      <c r="AL104" s="3" t="n">
        <v>7197.0</v>
      </c>
      <c r="AM104" s="3" t="n">
        <v>7238.0</v>
      </c>
      <c r="AN104" s="3" t="n">
        <v>7397.0</v>
      </c>
      <c r="AO104" s="3" t="n">
        <v>7528.0</v>
      </c>
    </row>
    <row r="105" spans="1:41" x14ac:dyDescent="0.2">
      <c r="A105" s="122"/>
      <c r="B105" s="9">
        <v>96</v>
      </c>
      <c r="C105" s="3" t="n">
        <v>1056.0</v>
      </c>
      <c r="D105" s="3" t="n">
        <v>1099.0</v>
      </c>
      <c r="E105" s="3" t="n">
        <v>1286.0</v>
      </c>
      <c r="F105" s="3" t="n">
        <v>1429.0</v>
      </c>
      <c r="G105" s="3" t="n">
        <v>1670.0</v>
      </c>
      <c r="H105" s="3" t="n">
        <v>1760.0</v>
      </c>
      <c r="I105" s="3" t="n">
        <v>1890.0</v>
      </c>
      <c r="J105" s="3" t="n">
        <v>1866.0</v>
      </c>
      <c r="K105" s="3" t="n">
        <v>1934.0</v>
      </c>
      <c r="L105" s="3" t="n">
        <v>2120.0</v>
      </c>
      <c r="M105" s="3" t="n">
        <v>2254.0</v>
      </c>
      <c r="N105" s="3" t="n">
        <v>2262.0</v>
      </c>
      <c r="O105" s="3" t="n">
        <v>2308.0</v>
      </c>
      <c r="P105" s="3" t="n">
        <v>2412.0</v>
      </c>
      <c r="Q105" s="3" t="n">
        <v>2381.0</v>
      </c>
      <c r="R105" s="3" t="n">
        <v>2153.0</v>
      </c>
      <c r="S105" s="3" t="n">
        <v>2066.0</v>
      </c>
      <c r="T105" s="3" t="n">
        <v>2334.0</v>
      </c>
      <c r="U105" s="3" t="n">
        <v>2605.0</v>
      </c>
      <c r="V105" s="3" t="n">
        <v>2696.0</v>
      </c>
      <c r="W105" s="3" t="n">
        <v>3213.0</v>
      </c>
      <c r="X105" s="3" t="n">
        <v>3676.0</v>
      </c>
      <c r="Y105" s="3" t="n">
        <v>3986.0</v>
      </c>
      <c r="Z105" s="3" t="n">
        <v>4203.0</v>
      </c>
      <c r="AA105" s="3" t="n">
        <v>4463.0</v>
      </c>
      <c r="AB105" s="3" t="n">
        <v>4847.0</v>
      </c>
      <c r="AC105" s="3" t="n">
        <v>5052.0</v>
      </c>
      <c r="AD105" s="3" t="n">
        <v>5257.0</v>
      </c>
      <c r="AE105" s="3" t="n">
        <v>5425.0</v>
      </c>
      <c r="AF105" s="3" t="n">
        <v>5801.0</v>
      </c>
      <c r="AG105" s="3" t="n">
        <v>5863.0</v>
      </c>
      <c r="AH105" s="3" t="n">
        <v>6093.0</v>
      </c>
      <c r="AI105" s="3" t="n">
        <v>6289.0</v>
      </c>
      <c r="AJ105" s="3" t="n">
        <v>6282.0</v>
      </c>
      <c r="AK105" s="3" t="n">
        <v>6244.0</v>
      </c>
      <c r="AL105" s="3" t="n">
        <v>6081.0</v>
      </c>
      <c r="AM105" s="3" t="n">
        <v>6156.0</v>
      </c>
      <c r="AN105" s="3" t="n">
        <v>6204.0</v>
      </c>
      <c r="AO105" s="3" t="n">
        <v>6348.0</v>
      </c>
    </row>
    <row r="106" spans="1:41" x14ac:dyDescent="0.2">
      <c r="A106" s="122"/>
      <c r="B106" s="9">
        <v>97</v>
      </c>
      <c r="C106" s="3" t="n">
        <v>757.0</v>
      </c>
      <c r="D106" s="3" t="n">
        <v>800.0</v>
      </c>
      <c r="E106" s="3" t="n">
        <v>833.0</v>
      </c>
      <c r="F106" s="3" t="n">
        <v>979.0</v>
      </c>
      <c r="G106" s="3" t="n">
        <v>1098.0</v>
      </c>
      <c r="H106" s="3" t="n">
        <v>1280.0</v>
      </c>
      <c r="I106" s="3" t="n">
        <v>1355.0</v>
      </c>
      <c r="J106" s="3" t="n">
        <v>1461.0</v>
      </c>
      <c r="K106" s="3" t="n">
        <v>1448.0</v>
      </c>
      <c r="L106" s="3" t="n">
        <v>1503.0</v>
      </c>
      <c r="M106" s="3" t="n">
        <v>1652.0</v>
      </c>
      <c r="N106" s="3" t="n">
        <v>1766.0</v>
      </c>
      <c r="O106" s="3" t="n">
        <v>1775.0</v>
      </c>
      <c r="P106" s="3" t="n">
        <v>1820.0</v>
      </c>
      <c r="Q106" s="3" t="n">
        <v>1908.0</v>
      </c>
      <c r="R106" s="3" t="n">
        <v>1891.0</v>
      </c>
      <c r="S106" s="3" t="n">
        <v>1717.0</v>
      </c>
      <c r="T106" s="3" t="n">
        <v>1647.0</v>
      </c>
      <c r="U106" s="3" t="n">
        <v>1875.0</v>
      </c>
      <c r="V106" s="3" t="n">
        <v>2097.0</v>
      </c>
      <c r="W106" s="3" t="n">
        <v>2173.0</v>
      </c>
      <c r="X106" s="3" t="n">
        <v>2599.0</v>
      </c>
      <c r="Y106" s="3" t="n">
        <v>2994.0</v>
      </c>
      <c r="Z106" s="3" t="n">
        <v>3255.0</v>
      </c>
      <c r="AA106" s="3" t="n">
        <v>3428.0</v>
      </c>
      <c r="AB106" s="3" t="n">
        <v>3660.0</v>
      </c>
      <c r="AC106" s="3" t="n">
        <v>3985.0</v>
      </c>
      <c r="AD106" s="3" t="n">
        <v>4163.0</v>
      </c>
      <c r="AE106" s="3" t="n">
        <v>4339.0</v>
      </c>
      <c r="AF106" s="3" t="n">
        <v>4488.0</v>
      </c>
      <c r="AG106" s="3" t="n">
        <v>4807.0</v>
      </c>
      <c r="AH106" s="3" t="n">
        <v>4874.0</v>
      </c>
      <c r="AI106" s="3" t="n">
        <v>5082.0</v>
      </c>
      <c r="AJ106" s="3" t="n">
        <v>5255.0</v>
      </c>
      <c r="AK106" s="3" t="n">
        <v>5257.0</v>
      </c>
      <c r="AL106" s="3" t="n">
        <v>5238.0</v>
      </c>
      <c r="AM106" s="3" t="n">
        <v>5118.0</v>
      </c>
      <c r="AN106" s="3" t="n">
        <v>5194.0</v>
      </c>
      <c r="AO106" s="3" t="n">
        <v>5243.0</v>
      </c>
    </row>
    <row r="107" spans="1:41" x14ac:dyDescent="0.2">
      <c r="A107" s="122"/>
      <c r="B107" s="9">
        <v>98</v>
      </c>
      <c r="C107" s="3" t="n">
        <v>438.0</v>
      </c>
      <c r="D107" s="3" t="n">
        <v>554.0</v>
      </c>
      <c r="E107" s="3" t="n">
        <v>594.0</v>
      </c>
      <c r="F107" s="3" t="n">
        <v>621.0</v>
      </c>
      <c r="G107" s="3" t="n">
        <v>733.0</v>
      </c>
      <c r="H107" s="3" t="n">
        <v>820.0</v>
      </c>
      <c r="I107" s="3" t="n">
        <v>968.0</v>
      </c>
      <c r="J107" s="3" t="n">
        <v>1027.0</v>
      </c>
      <c r="K107" s="3" t="n">
        <v>1113.0</v>
      </c>
      <c r="L107" s="3" t="n">
        <v>1104.0</v>
      </c>
      <c r="M107" s="3" t="n">
        <v>1143.0</v>
      </c>
      <c r="N107" s="3" t="n">
        <v>1269.0</v>
      </c>
      <c r="O107" s="3" t="n">
        <v>1359.0</v>
      </c>
      <c r="P107" s="3" t="n">
        <v>1369.0</v>
      </c>
      <c r="Q107" s="3" t="n">
        <v>1410.0</v>
      </c>
      <c r="R107" s="3" t="n">
        <v>1485.0</v>
      </c>
      <c r="S107" s="3" t="n">
        <v>1479.0</v>
      </c>
      <c r="T107" s="3" t="n">
        <v>1343.0</v>
      </c>
      <c r="U107" s="3" t="n">
        <v>1295.0</v>
      </c>
      <c r="V107" s="3" t="n">
        <v>1476.0</v>
      </c>
      <c r="W107" s="3" t="n">
        <v>1657.0</v>
      </c>
      <c r="X107" s="3" t="n">
        <v>1725.0</v>
      </c>
      <c r="Y107" s="3" t="n">
        <v>2075.0</v>
      </c>
      <c r="Z107" s="3" t="n">
        <v>2395.0</v>
      </c>
      <c r="AA107" s="3" t="n">
        <v>2608.0</v>
      </c>
      <c r="AB107" s="3" t="n">
        <v>2757.0</v>
      </c>
      <c r="AC107" s="3" t="n">
        <v>2949.0</v>
      </c>
      <c r="AD107" s="3" t="n">
        <v>3219.0</v>
      </c>
      <c r="AE107" s="3" t="n">
        <v>3379.0</v>
      </c>
      <c r="AF107" s="3" t="n">
        <v>3525.0</v>
      </c>
      <c r="AG107" s="3" t="n">
        <v>3661.0</v>
      </c>
      <c r="AH107" s="3" t="n">
        <v>3933.0</v>
      </c>
      <c r="AI107" s="3" t="n">
        <v>3992.0</v>
      </c>
      <c r="AJ107" s="3" t="n">
        <v>4187.0</v>
      </c>
      <c r="AK107" s="3" t="n">
        <v>4330.0</v>
      </c>
      <c r="AL107" s="3" t="n">
        <v>4339.0</v>
      </c>
      <c r="AM107" s="3" t="n">
        <v>4342.0</v>
      </c>
      <c r="AN107" s="3" t="n">
        <v>4252.0</v>
      </c>
      <c r="AO107" s="3" t="n">
        <v>4320.0</v>
      </c>
    </row>
    <row r="108" spans="1:41" x14ac:dyDescent="0.2">
      <c r="A108" s="122"/>
      <c r="B108" s="9">
        <v>99</v>
      </c>
      <c r="C108" s="3" t="n">
        <v>339.0</v>
      </c>
      <c r="D108" s="3" t="n">
        <v>320.0</v>
      </c>
      <c r="E108" s="3" t="n">
        <v>403.0</v>
      </c>
      <c r="F108" s="3" t="n">
        <v>433.0</v>
      </c>
      <c r="G108" s="3" t="n">
        <v>452.0</v>
      </c>
      <c r="H108" s="3" t="n">
        <v>534.0</v>
      </c>
      <c r="I108" s="3" t="n">
        <v>599.0</v>
      </c>
      <c r="J108" s="3" t="n">
        <v>713.0</v>
      </c>
      <c r="K108" s="3" t="n">
        <v>757.0</v>
      </c>
      <c r="L108" s="3" t="n">
        <v>829.0</v>
      </c>
      <c r="M108" s="3" t="n">
        <v>824.0</v>
      </c>
      <c r="N108" s="3" t="n">
        <v>858.0</v>
      </c>
      <c r="O108" s="3" t="n">
        <v>951.0</v>
      </c>
      <c r="P108" s="3" t="n">
        <v>1023.0</v>
      </c>
      <c r="Q108" s="3" t="n">
        <v>1040.0</v>
      </c>
      <c r="R108" s="3" t="n">
        <v>1073.0</v>
      </c>
      <c r="S108" s="3" t="n">
        <v>1138.0</v>
      </c>
      <c r="T108" s="3" t="n">
        <v>1139.0</v>
      </c>
      <c r="U108" s="3" t="n">
        <v>1034.0</v>
      </c>
      <c r="V108" s="3" t="n">
        <v>1002.0</v>
      </c>
      <c r="W108" s="3" t="n">
        <v>1151.0</v>
      </c>
      <c r="X108" s="3" t="n">
        <v>1294.0</v>
      </c>
      <c r="Y108" s="3" t="n">
        <v>1343.0</v>
      </c>
      <c r="Z108" s="3" t="n">
        <v>1621.0</v>
      </c>
      <c r="AA108" s="3" t="n">
        <v>1883.0</v>
      </c>
      <c r="AB108" s="3" t="n">
        <v>2059.0</v>
      </c>
      <c r="AC108" s="3" t="n">
        <v>2183.0</v>
      </c>
      <c r="AD108" s="3" t="n">
        <v>2342.0</v>
      </c>
      <c r="AE108" s="3" t="n">
        <v>2559.0</v>
      </c>
      <c r="AF108" s="3" t="n">
        <v>2695.0</v>
      </c>
      <c r="AG108" s="3" t="n">
        <v>2818.0</v>
      </c>
      <c r="AH108" s="3" t="n">
        <v>2942.0</v>
      </c>
      <c r="AI108" s="3" t="n">
        <v>3171.0</v>
      </c>
      <c r="AJ108" s="3" t="n">
        <v>3234.0</v>
      </c>
      <c r="AK108" s="3" t="n">
        <v>3389.0</v>
      </c>
      <c r="AL108" s="3" t="n">
        <v>3516.0</v>
      </c>
      <c r="AM108" s="3" t="n">
        <v>3535.0</v>
      </c>
      <c r="AN108" s="3" t="n">
        <v>3551.0</v>
      </c>
      <c r="AO108" s="3" t="n">
        <v>3482.0</v>
      </c>
    </row>
    <row r="109" spans="1:41" x14ac:dyDescent="0.2">
      <c r="A109" s="122"/>
      <c r="B109" s="9" t="s">
        <v>68</v>
      </c>
      <c r="C109" s="4" t="n">
        <v>472.0</v>
      </c>
      <c r="D109" s="4" t="n">
        <v>536.0</v>
      </c>
      <c r="E109" s="4" t="n">
        <v>571.0</v>
      </c>
      <c r="F109" s="4" t="n">
        <v>653.0</v>
      </c>
      <c r="G109" s="4" t="n">
        <v>738.0</v>
      </c>
      <c r="H109" s="4" t="n">
        <v>809.0</v>
      </c>
      <c r="I109" s="4" t="n">
        <v>924.0</v>
      </c>
      <c r="J109" s="4" t="n">
        <v>1049.0</v>
      </c>
      <c r="K109" s="4" t="n">
        <v>1219.0</v>
      </c>
      <c r="L109" s="4" t="n">
        <v>1371.0</v>
      </c>
      <c r="M109" s="4" t="n">
        <v>1533.0</v>
      </c>
      <c r="N109" s="4" t="n">
        <v>1647.0</v>
      </c>
      <c r="O109" s="4" t="n">
        <v>1757.0</v>
      </c>
      <c r="P109" s="4" t="n">
        <v>1903.0</v>
      </c>
      <c r="Q109" s="4" t="n">
        <v>2071.0</v>
      </c>
      <c r="R109" s="4" t="n">
        <v>2202.0</v>
      </c>
      <c r="S109" s="4" t="n">
        <v>2325.0</v>
      </c>
      <c r="T109" s="4" t="n">
        <v>2465.0</v>
      </c>
      <c r="U109" s="4" t="n">
        <v>2566.0</v>
      </c>
      <c r="V109" s="4" t="n">
        <v>2582.0</v>
      </c>
      <c r="W109" s="4" t="n">
        <v>2581.0</v>
      </c>
      <c r="X109" s="4" t="n">
        <v>2692.0</v>
      </c>
      <c r="Y109" s="4" t="n">
        <v>2899.0</v>
      </c>
      <c r="Z109" s="4" t="n">
        <v>3082.0</v>
      </c>
      <c r="AA109" s="4" t="n">
        <v>3432.0</v>
      </c>
      <c r="AB109" s="4" t="n">
        <v>3894.0</v>
      </c>
      <c r="AC109" s="4" t="n">
        <v>4376.0</v>
      </c>
      <c r="AD109" s="4" t="n">
        <v>4831.0</v>
      </c>
      <c r="AE109" s="4" t="n">
        <v>5300.0</v>
      </c>
      <c r="AF109" s="4" t="n">
        <v>5821.0</v>
      </c>
      <c r="AG109" s="4" t="n">
        <v>6322.0</v>
      </c>
      <c r="AH109" s="4" t="n">
        <v>6805.0</v>
      </c>
      <c r="AI109" s="4" t="n">
        <v>7271.0</v>
      </c>
      <c r="AJ109" s="4" t="n">
        <v>7829.0</v>
      </c>
      <c r="AK109" s="4" t="n">
        <v>8306.0</v>
      </c>
      <c r="AL109" s="4" t="n">
        <v>8796.0</v>
      </c>
      <c r="AM109" s="4" t="n">
        <v>9288.0</v>
      </c>
      <c r="AN109" s="4" t="n">
        <v>9702.0</v>
      </c>
      <c r="AO109" s="3" t="n">
        <v>10041.0</v>
      </c>
    </row>
    <row r="110" spans="1:41" x14ac:dyDescent="0.2">
      <c r="A110" s="123" t="s">
        <v>49</v>
      </c>
      <c r="B110" s="56" t="s">
        <v>46</v>
      </c>
      <c r="C110" s="58" t="n">
        <v>1663091.0</v>
      </c>
      <c r="D110" s="58" t="n">
        <v>1663512.0</v>
      </c>
      <c r="E110" s="58" t="n">
        <v>1664426.0</v>
      </c>
      <c r="F110" s="58" t="n">
        <v>1665597.0</v>
      </c>
      <c r="G110" s="58" t="n">
        <v>1666951.0</v>
      </c>
      <c r="H110" s="58" t="n">
        <v>1673185.0</v>
      </c>
      <c r="I110" s="58" t="n">
        <v>1681118.0</v>
      </c>
      <c r="J110" s="58" t="n">
        <v>1685428.0</v>
      </c>
      <c r="K110" s="58" t="n">
        <v>1687817.0</v>
      </c>
      <c r="L110" s="58" t="n">
        <v>1689399.0</v>
      </c>
      <c r="M110" s="58" t="n">
        <v>1690460.0</v>
      </c>
      <c r="N110" s="58" t="n">
        <v>1691106.0</v>
      </c>
      <c r="O110" s="58" t="n">
        <v>1691275.0</v>
      </c>
      <c r="P110" s="58" t="n">
        <v>1691340.0</v>
      </c>
      <c r="Q110" s="58" t="n">
        <v>1691278.0</v>
      </c>
      <c r="R110" s="58" t="n">
        <v>1691183.0</v>
      </c>
      <c r="S110" s="58" t="n">
        <v>1691121.0</v>
      </c>
      <c r="T110" s="58" t="n">
        <v>1690912.0</v>
      </c>
      <c r="U110" s="58" t="n">
        <v>1690756.0</v>
      </c>
      <c r="V110" s="58" t="n">
        <v>1690717.0</v>
      </c>
      <c r="W110" s="58" t="n">
        <v>1690804.0</v>
      </c>
      <c r="X110" s="58" t="n">
        <v>1690978.0</v>
      </c>
      <c r="Y110" s="58" t="n">
        <v>1691277.0</v>
      </c>
      <c r="Z110" s="58" t="n">
        <v>1691452.0</v>
      </c>
      <c r="AA110" s="58" t="n">
        <v>1691721.0</v>
      </c>
      <c r="AB110" s="58" t="n">
        <v>1692027.0</v>
      </c>
      <c r="AC110" s="58" t="n">
        <v>1692363.0</v>
      </c>
      <c r="AD110" s="58" t="n">
        <v>1692641.0</v>
      </c>
      <c r="AE110" s="58" t="n">
        <v>1692680.0</v>
      </c>
      <c r="AF110" s="58" t="n">
        <v>1692670.0</v>
      </c>
      <c r="AG110" s="58" t="n">
        <v>1692602.0</v>
      </c>
      <c r="AH110" s="58" t="n">
        <v>1692438.0</v>
      </c>
      <c r="AI110" s="58" t="n">
        <v>1692128.0</v>
      </c>
      <c r="AJ110" s="58" t="n">
        <v>1691776.0</v>
      </c>
      <c r="AK110" s="58" t="n">
        <v>1691112.0</v>
      </c>
      <c r="AL110" s="58" t="n">
        <v>1690362.0</v>
      </c>
      <c r="AM110" s="58" t="n">
        <v>1689582.0</v>
      </c>
      <c r="AN110" s="58" t="n">
        <v>1688769.0</v>
      </c>
      <c r="AO110" s="57" t="n">
        <v>1687951.0</v>
      </c>
    </row>
    <row r="111" spans="1:41" x14ac:dyDescent="0.2">
      <c r="A111" s="122"/>
      <c r="B111" s="9">
        <v>0</v>
      </c>
      <c r="C111" s="3" t="n">
        <v>15728.0</v>
      </c>
      <c r="D111" s="3" t="n">
        <v>16567.0</v>
      </c>
      <c r="E111" s="3" t="n">
        <v>16860.0</v>
      </c>
      <c r="F111" s="3" t="n">
        <v>17066.0</v>
      </c>
      <c r="G111" s="3" t="n">
        <v>17201.0</v>
      </c>
      <c r="H111" s="3" t="n">
        <v>17320.0</v>
      </c>
      <c r="I111" s="3" t="n">
        <v>17456.0</v>
      </c>
      <c r="J111" s="3" t="n">
        <v>17542.0</v>
      </c>
      <c r="K111" s="3" t="n">
        <v>17523.0</v>
      </c>
      <c r="L111" s="3" t="n">
        <v>17471.0</v>
      </c>
      <c r="M111" s="3" t="n">
        <v>17355.0</v>
      </c>
      <c r="N111" s="3" t="n">
        <v>17225.0</v>
      </c>
      <c r="O111" s="3" t="n">
        <v>17103.0</v>
      </c>
      <c r="P111" s="3" t="n">
        <v>17026.0</v>
      </c>
      <c r="Q111" s="3" t="n">
        <v>16995.0</v>
      </c>
      <c r="R111" s="3" t="n">
        <v>17025.0</v>
      </c>
      <c r="S111" s="3" t="n">
        <v>17094.0</v>
      </c>
      <c r="T111" s="3" t="n">
        <v>17224.0</v>
      </c>
      <c r="U111" s="3" t="n">
        <v>17364.0</v>
      </c>
      <c r="V111" s="3" t="n">
        <v>17525.0</v>
      </c>
      <c r="W111" s="3" t="n">
        <v>17682.0</v>
      </c>
      <c r="X111" s="3" t="n">
        <v>17821.0</v>
      </c>
      <c r="Y111" s="3" t="n">
        <v>17948.0</v>
      </c>
      <c r="Z111" s="3" t="n">
        <v>18044.0</v>
      </c>
      <c r="AA111" s="3" t="n">
        <v>18119.0</v>
      </c>
      <c r="AB111" s="3" t="n">
        <v>18154.0</v>
      </c>
      <c r="AC111" s="3" t="n">
        <v>18161.0</v>
      </c>
      <c r="AD111" s="3" t="n">
        <v>18144.0</v>
      </c>
      <c r="AE111" s="3" t="n">
        <v>18074.0</v>
      </c>
      <c r="AF111" s="3" t="n">
        <v>18002.0</v>
      </c>
      <c r="AG111" s="3" t="n">
        <v>17905.0</v>
      </c>
      <c r="AH111" s="3" t="n">
        <v>17782.0</v>
      </c>
      <c r="AI111" s="3" t="n">
        <v>17664.0</v>
      </c>
      <c r="AJ111" s="3" t="n">
        <v>17549.0</v>
      </c>
      <c r="AK111" s="3" t="n">
        <v>17446.0</v>
      </c>
      <c r="AL111" s="3" t="n">
        <v>17350.0</v>
      </c>
      <c r="AM111" s="3" t="n">
        <v>17275.0</v>
      </c>
      <c r="AN111" s="3" t="n">
        <v>17239.0</v>
      </c>
      <c r="AO111" s="3" t="n">
        <v>17206.0</v>
      </c>
    </row>
    <row r="112" spans="1:41" x14ac:dyDescent="0.2">
      <c r="A112" s="122"/>
      <c r="B112" s="9">
        <v>1</v>
      </c>
      <c r="C112" s="3" t="n">
        <v>17231.0</v>
      </c>
      <c r="D112" s="3" t="n">
        <v>15847.0</v>
      </c>
      <c r="E112" s="3" t="n">
        <v>16695.0</v>
      </c>
      <c r="F112" s="3" t="n">
        <v>16991.0</v>
      </c>
      <c r="G112" s="3" t="n">
        <v>17210.0</v>
      </c>
      <c r="H112" s="3" t="n">
        <v>17456.0</v>
      </c>
      <c r="I112" s="3" t="n">
        <v>17623.0</v>
      </c>
      <c r="J112" s="3" t="n">
        <v>17684.0</v>
      </c>
      <c r="K112" s="3" t="n">
        <v>17733.0</v>
      </c>
      <c r="L112" s="3" t="n">
        <v>17714.0</v>
      </c>
      <c r="M112" s="3" t="n">
        <v>17659.0</v>
      </c>
      <c r="N112" s="3" t="n">
        <v>17543.0</v>
      </c>
      <c r="O112" s="3" t="n">
        <v>17414.0</v>
      </c>
      <c r="P112" s="3" t="n">
        <v>17298.0</v>
      </c>
      <c r="Q112" s="3" t="n">
        <v>17224.0</v>
      </c>
      <c r="R112" s="3" t="n">
        <v>17204.0</v>
      </c>
      <c r="S112" s="3" t="n">
        <v>17241.0</v>
      </c>
      <c r="T112" s="3" t="n">
        <v>17314.0</v>
      </c>
      <c r="U112" s="3" t="n">
        <v>17449.0</v>
      </c>
      <c r="V112" s="3" t="n">
        <v>17586.0</v>
      </c>
      <c r="W112" s="3" t="n">
        <v>17749.0</v>
      </c>
      <c r="X112" s="3" t="n">
        <v>17904.0</v>
      </c>
      <c r="Y112" s="3" t="n">
        <v>18046.0</v>
      </c>
      <c r="Z112" s="3" t="n">
        <v>18172.0</v>
      </c>
      <c r="AA112" s="3" t="n">
        <v>18269.0</v>
      </c>
      <c r="AB112" s="3" t="n">
        <v>18344.0</v>
      </c>
      <c r="AC112" s="3" t="n">
        <v>18377.0</v>
      </c>
      <c r="AD112" s="3" t="n">
        <v>18383.0</v>
      </c>
      <c r="AE112" s="3" t="n">
        <v>18362.0</v>
      </c>
      <c r="AF112" s="3" t="n">
        <v>18293.0</v>
      </c>
      <c r="AG112" s="3" t="n">
        <v>18222.0</v>
      </c>
      <c r="AH112" s="3" t="n">
        <v>18129.0</v>
      </c>
      <c r="AI112" s="3" t="n">
        <v>18004.0</v>
      </c>
      <c r="AJ112" s="3" t="n">
        <v>17885.0</v>
      </c>
      <c r="AK112" s="3" t="n">
        <v>17770.0</v>
      </c>
      <c r="AL112" s="3" t="n">
        <v>17669.0</v>
      </c>
      <c r="AM112" s="3" t="n">
        <v>17572.0</v>
      </c>
      <c r="AN112" s="3" t="n">
        <v>17496.0</v>
      </c>
      <c r="AO112" s="3" t="n">
        <v>17464.0</v>
      </c>
    </row>
    <row r="113" spans="1:41" x14ac:dyDescent="0.2">
      <c r="A113" s="122"/>
      <c r="B113" s="9">
        <v>2</v>
      </c>
      <c r="C113" s="3" t="n">
        <v>18075.0</v>
      </c>
      <c r="D113" s="3" t="n">
        <v>17334.0</v>
      </c>
      <c r="E113" s="3" t="n">
        <v>15948.0</v>
      </c>
      <c r="F113" s="3" t="n">
        <v>16810.0</v>
      </c>
      <c r="G113" s="3" t="n">
        <v>17111.0</v>
      </c>
      <c r="H113" s="3" t="n">
        <v>17500.0</v>
      </c>
      <c r="I113" s="3" t="n">
        <v>17803.0</v>
      </c>
      <c r="J113" s="3" t="n">
        <v>17854.0</v>
      </c>
      <c r="K113" s="3" t="n">
        <v>17860.0</v>
      </c>
      <c r="L113" s="3" t="n">
        <v>17895.0</v>
      </c>
      <c r="M113" s="3" t="n">
        <v>17873.0</v>
      </c>
      <c r="N113" s="3" t="n">
        <v>17816.0</v>
      </c>
      <c r="O113" s="3" t="n">
        <v>17700.0</v>
      </c>
      <c r="P113" s="3" t="n">
        <v>17574.0</v>
      </c>
      <c r="Q113" s="3" t="n">
        <v>17463.0</v>
      </c>
      <c r="R113" s="3" t="n">
        <v>17394.0</v>
      </c>
      <c r="S113" s="3" t="n">
        <v>17376.0</v>
      </c>
      <c r="T113" s="3" t="n">
        <v>17416.0</v>
      </c>
      <c r="U113" s="3" t="n">
        <v>17491.0</v>
      </c>
      <c r="V113" s="3" t="n">
        <v>17629.0</v>
      </c>
      <c r="W113" s="3" t="n">
        <v>17772.0</v>
      </c>
      <c r="X113" s="3" t="n">
        <v>17936.0</v>
      </c>
      <c r="Y113" s="3" t="n">
        <v>18092.0</v>
      </c>
      <c r="Z113" s="3" t="n">
        <v>18237.0</v>
      </c>
      <c r="AA113" s="3" t="n">
        <v>18362.0</v>
      </c>
      <c r="AB113" s="3" t="n">
        <v>18458.0</v>
      </c>
      <c r="AC113" s="3" t="n">
        <v>18537.0</v>
      </c>
      <c r="AD113" s="3" t="n">
        <v>18567.0</v>
      </c>
      <c r="AE113" s="3" t="n">
        <v>18573.0</v>
      </c>
      <c r="AF113" s="3" t="n">
        <v>18552.0</v>
      </c>
      <c r="AG113" s="3" t="n">
        <v>18481.0</v>
      </c>
      <c r="AH113" s="3" t="n">
        <v>18410.0</v>
      </c>
      <c r="AI113" s="3" t="n">
        <v>18317.0</v>
      </c>
      <c r="AJ113" s="3" t="n">
        <v>18192.0</v>
      </c>
      <c r="AK113" s="3" t="n">
        <v>18070.0</v>
      </c>
      <c r="AL113" s="3" t="n">
        <v>17958.0</v>
      </c>
      <c r="AM113" s="3" t="n">
        <v>17859.0</v>
      </c>
      <c r="AN113" s="3" t="n">
        <v>17761.0</v>
      </c>
      <c r="AO113" s="3" t="n">
        <v>17684.0</v>
      </c>
    </row>
    <row r="114" spans="1:41" x14ac:dyDescent="0.2">
      <c r="A114" s="122"/>
      <c r="B114" s="9">
        <v>3</v>
      </c>
      <c r="C114" s="3" t="n">
        <v>19107.0</v>
      </c>
      <c r="D114" s="3" t="n">
        <v>18182.0</v>
      </c>
      <c r="E114" s="3" t="n">
        <v>17448.0</v>
      </c>
      <c r="F114" s="3" t="n">
        <v>16064.0</v>
      </c>
      <c r="G114" s="3" t="n">
        <v>16934.0</v>
      </c>
      <c r="H114" s="3" t="n">
        <v>17395.0</v>
      </c>
      <c r="I114" s="3" t="n">
        <v>17853.0</v>
      </c>
      <c r="J114" s="3" t="n">
        <v>18043.0</v>
      </c>
      <c r="K114" s="3" t="n">
        <v>18036.0</v>
      </c>
      <c r="L114" s="3" t="n">
        <v>18024.0</v>
      </c>
      <c r="M114" s="3" t="n">
        <v>18055.0</v>
      </c>
      <c r="N114" s="3" t="n">
        <v>18027.0</v>
      </c>
      <c r="O114" s="3" t="n">
        <v>17970.0</v>
      </c>
      <c r="P114" s="3" t="n">
        <v>17857.0</v>
      </c>
      <c r="Q114" s="3" t="n">
        <v>17737.0</v>
      </c>
      <c r="R114" s="3" t="n">
        <v>17635.0</v>
      </c>
      <c r="S114" s="3" t="n">
        <v>17571.0</v>
      </c>
      <c r="T114" s="3" t="n">
        <v>17552.0</v>
      </c>
      <c r="U114" s="3" t="n">
        <v>17594.0</v>
      </c>
      <c r="V114" s="3" t="n">
        <v>17671.0</v>
      </c>
      <c r="W114" s="3" t="n">
        <v>17812.0</v>
      </c>
      <c r="X114" s="3" t="n">
        <v>17953.0</v>
      </c>
      <c r="Y114" s="3" t="n">
        <v>18117.0</v>
      </c>
      <c r="Z114" s="3" t="n">
        <v>18272.0</v>
      </c>
      <c r="AA114" s="3" t="n">
        <v>18422.0</v>
      </c>
      <c r="AB114" s="3" t="n">
        <v>18549.0</v>
      </c>
      <c r="AC114" s="3" t="n">
        <v>18646.0</v>
      </c>
      <c r="AD114" s="3" t="n">
        <v>18726.0</v>
      </c>
      <c r="AE114" s="3" t="n">
        <v>18758.0</v>
      </c>
      <c r="AF114" s="3" t="n">
        <v>18764.0</v>
      </c>
      <c r="AG114" s="3" t="n">
        <v>18743.0</v>
      </c>
      <c r="AH114" s="3" t="n">
        <v>18669.0</v>
      </c>
      <c r="AI114" s="3" t="n">
        <v>18597.0</v>
      </c>
      <c r="AJ114" s="3" t="n">
        <v>18506.0</v>
      </c>
      <c r="AK114" s="3" t="n">
        <v>18380.0</v>
      </c>
      <c r="AL114" s="3" t="n">
        <v>18258.0</v>
      </c>
      <c r="AM114" s="3" t="n">
        <v>18141.0</v>
      </c>
      <c r="AN114" s="3" t="n">
        <v>18046.0</v>
      </c>
      <c r="AO114" s="3" t="n">
        <v>17950.0</v>
      </c>
    </row>
    <row r="115" spans="1:41" x14ac:dyDescent="0.2">
      <c r="A115" s="122"/>
      <c r="B115" s="9">
        <v>4</v>
      </c>
      <c r="C115" s="3" t="n">
        <v>20074.0</v>
      </c>
      <c r="D115" s="3" t="n">
        <v>19192.0</v>
      </c>
      <c r="E115" s="3" t="n">
        <v>18281.0</v>
      </c>
      <c r="F115" s="3" t="n">
        <v>17554.0</v>
      </c>
      <c r="G115" s="3" t="n">
        <v>16176.0</v>
      </c>
      <c r="H115" s="3" t="n">
        <v>17197.0</v>
      </c>
      <c r="I115" s="3" t="n">
        <v>17715.0</v>
      </c>
      <c r="J115" s="3" t="n">
        <v>18065.0</v>
      </c>
      <c r="K115" s="3" t="n">
        <v>18203.0</v>
      </c>
      <c r="L115" s="3" t="n">
        <v>18171.0</v>
      </c>
      <c r="M115" s="3" t="n">
        <v>18149.0</v>
      </c>
      <c r="N115" s="3" t="n">
        <v>18177.0</v>
      </c>
      <c r="O115" s="3" t="n">
        <v>18154.0</v>
      </c>
      <c r="P115" s="3" t="n">
        <v>18101.0</v>
      </c>
      <c r="Q115" s="3" t="n">
        <v>17989.0</v>
      </c>
      <c r="R115" s="3" t="n">
        <v>17871.0</v>
      </c>
      <c r="S115" s="3" t="n">
        <v>17770.0</v>
      </c>
      <c r="T115" s="3" t="n">
        <v>17711.0</v>
      </c>
      <c r="U115" s="3" t="n">
        <v>17697.0</v>
      </c>
      <c r="V115" s="3" t="n">
        <v>17743.0</v>
      </c>
      <c r="W115" s="3" t="n">
        <v>17824.0</v>
      </c>
      <c r="X115" s="3" t="n">
        <v>17965.0</v>
      </c>
      <c r="Y115" s="3" t="n">
        <v>18106.0</v>
      </c>
      <c r="Z115" s="3" t="n">
        <v>18270.0</v>
      </c>
      <c r="AA115" s="3" t="n">
        <v>18429.0</v>
      </c>
      <c r="AB115" s="3" t="n">
        <v>18582.0</v>
      </c>
      <c r="AC115" s="3" t="n">
        <v>18705.0</v>
      </c>
      <c r="AD115" s="3" t="n">
        <v>18804.0</v>
      </c>
      <c r="AE115" s="3" t="n">
        <v>18882.0</v>
      </c>
      <c r="AF115" s="3" t="n">
        <v>18916.0</v>
      </c>
      <c r="AG115" s="3" t="n">
        <v>18920.0</v>
      </c>
      <c r="AH115" s="3" t="n">
        <v>18900.0</v>
      </c>
      <c r="AI115" s="3" t="n">
        <v>18826.0</v>
      </c>
      <c r="AJ115" s="3" t="n">
        <v>18752.0</v>
      </c>
      <c r="AK115" s="3" t="n">
        <v>18661.0</v>
      </c>
      <c r="AL115" s="3" t="n">
        <v>18537.0</v>
      </c>
      <c r="AM115" s="3" t="n">
        <v>18417.0</v>
      </c>
      <c r="AN115" s="3" t="n">
        <v>18303.0</v>
      </c>
      <c r="AO115" s="3" t="n">
        <v>18204.0</v>
      </c>
    </row>
    <row r="116" spans="1:41" x14ac:dyDescent="0.2">
      <c r="A116" s="122"/>
      <c r="B116" s="9">
        <v>5</v>
      </c>
      <c r="C116" s="3" t="n">
        <v>20408.0</v>
      </c>
      <c r="D116" s="3" t="n">
        <v>20159.0</v>
      </c>
      <c r="E116" s="3" t="n">
        <v>19279.0</v>
      </c>
      <c r="F116" s="3" t="n">
        <v>18375.0</v>
      </c>
      <c r="G116" s="3" t="n">
        <v>17648.0</v>
      </c>
      <c r="H116" s="3" t="n">
        <v>16443.0</v>
      </c>
      <c r="I116" s="3" t="n">
        <v>17519.0</v>
      </c>
      <c r="J116" s="3" t="n">
        <v>17909.0</v>
      </c>
      <c r="K116" s="3" t="n">
        <v>18201.0</v>
      </c>
      <c r="L116" s="3" t="n">
        <v>18322.0</v>
      </c>
      <c r="M116" s="3" t="n">
        <v>18278.0</v>
      </c>
      <c r="N116" s="3" t="n">
        <v>18248.0</v>
      </c>
      <c r="O116" s="3" t="n">
        <v>18270.0</v>
      </c>
      <c r="P116" s="3" t="n">
        <v>18252.0</v>
      </c>
      <c r="Q116" s="3" t="n">
        <v>18203.0</v>
      </c>
      <c r="R116" s="3" t="n">
        <v>18093.0</v>
      </c>
      <c r="S116" s="3" t="n">
        <v>17977.0</v>
      </c>
      <c r="T116" s="3" t="n">
        <v>17879.0</v>
      </c>
      <c r="U116" s="3" t="n">
        <v>17823.0</v>
      </c>
      <c r="V116" s="3" t="n">
        <v>17813.0</v>
      </c>
      <c r="W116" s="3" t="n">
        <v>17864.0</v>
      </c>
      <c r="X116" s="3" t="n">
        <v>17945.0</v>
      </c>
      <c r="Y116" s="3" t="n">
        <v>18084.0</v>
      </c>
      <c r="Z116" s="3" t="n">
        <v>18230.0</v>
      </c>
      <c r="AA116" s="3" t="n">
        <v>18393.0</v>
      </c>
      <c r="AB116" s="3" t="n">
        <v>18552.0</v>
      </c>
      <c r="AC116" s="3" t="n">
        <v>18709.0</v>
      </c>
      <c r="AD116" s="3" t="n">
        <v>18831.0</v>
      </c>
      <c r="AE116" s="3" t="n">
        <v>18931.0</v>
      </c>
      <c r="AF116" s="3" t="n">
        <v>19009.0</v>
      </c>
      <c r="AG116" s="3" t="n">
        <v>19043.0</v>
      </c>
      <c r="AH116" s="3" t="n">
        <v>19045.0</v>
      </c>
      <c r="AI116" s="3" t="n">
        <v>19029.0</v>
      </c>
      <c r="AJ116" s="3" t="n">
        <v>18954.0</v>
      </c>
      <c r="AK116" s="3" t="n">
        <v>18877.0</v>
      </c>
      <c r="AL116" s="3" t="n">
        <v>18784.0</v>
      </c>
      <c r="AM116" s="3" t="n">
        <v>18662.0</v>
      </c>
      <c r="AN116" s="3" t="n">
        <v>18539.0</v>
      </c>
      <c r="AO116" s="3" t="n">
        <v>18423.0</v>
      </c>
    </row>
    <row r="117" spans="1:41" x14ac:dyDescent="0.2">
      <c r="A117" s="122"/>
      <c r="B117" s="9">
        <v>6</v>
      </c>
      <c r="C117" s="3" t="n">
        <v>19731.0</v>
      </c>
      <c r="D117" s="3" t="n">
        <v>20477.0</v>
      </c>
      <c r="E117" s="3" t="n">
        <v>20230.0</v>
      </c>
      <c r="F117" s="3" t="n">
        <v>19357.0</v>
      </c>
      <c r="G117" s="3" t="n">
        <v>18457.0</v>
      </c>
      <c r="H117" s="3" t="n">
        <v>17905.0</v>
      </c>
      <c r="I117" s="3" t="n">
        <v>16766.0</v>
      </c>
      <c r="J117" s="3" t="n">
        <v>17711.0</v>
      </c>
      <c r="K117" s="3" t="n">
        <v>18034.0</v>
      </c>
      <c r="L117" s="3" t="n">
        <v>18305.0</v>
      </c>
      <c r="M117" s="3" t="n">
        <v>18412.0</v>
      </c>
      <c r="N117" s="3" t="n">
        <v>18365.0</v>
      </c>
      <c r="O117" s="3" t="n">
        <v>18334.0</v>
      </c>
      <c r="P117" s="3" t="n">
        <v>18356.0</v>
      </c>
      <c r="Q117" s="3" t="n">
        <v>18339.0</v>
      </c>
      <c r="R117" s="3" t="n">
        <v>18292.0</v>
      </c>
      <c r="S117" s="3" t="n">
        <v>18183.0</v>
      </c>
      <c r="T117" s="3" t="n">
        <v>18072.0</v>
      </c>
      <c r="U117" s="3" t="n">
        <v>17977.0</v>
      </c>
      <c r="V117" s="3" t="n">
        <v>17923.0</v>
      </c>
      <c r="W117" s="3" t="n">
        <v>17915.0</v>
      </c>
      <c r="X117" s="3" t="n">
        <v>17964.0</v>
      </c>
      <c r="Y117" s="3" t="n">
        <v>18047.0</v>
      </c>
      <c r="Z117" s="3" t="n">
        <v>18185.0</v>
      </c>
      <c r="AA117" s="3" t="n">
        <v>18331.0</v>
      </c>
      <c r="AB117" s="3" t="n">
        <v>18494.0</v>
      </c>
      <c r="AC117" s="3" t="n">
        <v>18654.0</v>
      </c>
      <c r="AD117" s="3" t="n">
        <v>18812.0</v>
      </c>
      <c r="AE117" s="3" t="n">
        <v>18935.0</v>
      </c>
      <c r="AF117" s="3" t="n">
        <v>19034.0</v>
      </c>
      <c r="AG117" s="3" t="n">
        <v>19110.0</v>
      </c>
      <c r="AH117" s="3" t="n">
        <v>19144.0</v>
      </c>
      <c r="AI117" s="3" t="n">
        <v>19143.0</v>
      </c>
      <c r="AJ117" s="3" t="n">
        <v>19125.0</v>
      </c>
      <c r="AK117" s="3" t="n">
        <v>19049.0</v>
      </c>
      <c r="AL117" s="3" t="n">
        <v>18972.0</v>
      </c>
      <c r="AM117" s="3" t="n">
        <v>18882.0</v>
      </c>
      <c r="AN117" s="3" t="n">
        <v>18759.0</v>
      </c>
      <c r="AO117" s="3" t="n">
        <v>18637.0</v>
      </c>
    </row>
    <row r="118" spans="1:41" x14ac:dyDescent="0.2">
      <c r="A118" s="122"/>
      <c r="B118" s="9">
        <v>7</v>
      </c>
      <c r="C118" s="3" t="n">
        <v>19212.0</v>
      </c>
      <c r="D118" s="3" t="n">
        <v>19786.0</v>
      </c>
      <c r="E118" s="3" t="n">
        <v>20540.0</v>
      </c>
      <c r="F118" s="3" t="n">
        <v>20294.0</v>
      </c>
      <c r="G118" s="3" t="n">
        <v>19431.0</v>
      </c>
      <c r="H118" s="3" t="n">
        <v>18709.0</v>
      </c>
      <c r="I118" s="3" t="n">
        <v>18229.0</v>
      </c>
      <c r="J118" s="3" t="n">
        <v>16948.0</v>
      </c>
      <c r="K118" s="3" t="n">
        <v>17821.0</v>
      </c>
      <c r="L118" s="3" t="n">
        <v>18123.0</v>
      </c>
      <c r="M118" s="3" t="n">
        <v>18382.0</v>
      </c>
      <c r="N118" s="3" t="n">
        <v>18480.0</v>
      </c>
      <c r="O118" s="3" t="n">
        <v>18430.0</v>
      </c>
      <c r="P118" s="3" t="n">
        <v>18399.0</v>
      </c>
      <c r="Q118" s="3" t="n">
        <v>18424.0</v>
      </c>
      <c r="R118" s="3" t="n">
        <v>18408.0</v>
      </c>
      <c r="S118" s="3" t="n">
        <v>18364.0</v>
      </c>
      <c r="T118" s="3" t="n">
        <v>18257.0</v>
      </c>
      <c r="U118" s="3" t="n">
        <v>18148.0</v>
      </c>
      <c r="V118" s="3" t="n">
        <v>18053.0</v>
      </c>
      <c r="W118" s="3" t="n">
        <v>18001.0</v>
      </c>
      <c r="X118" s="3" t="n">
        <v>17993.0</v>
      </c>
      <c r="Y118" s="3" t="n">
        <v>18045.0</v>
      </c>
      <c r="Z118" s="3" t="n">
        <v>18128.0</v>
      </c>
      <c r="AA118" s="3" t="n">
        <v>18267.0</v>
      </c>
      <c r="AB118" s="3" t="n">
        <v>18411.0</v>
      </c>
      <c r="AC118" s="3" t="n">
        <v>18575.0</v>
      </c>
      <c r="AD118" s="3" t="n">
        <v>18732.0</v>
      </c>
      <c r="AE118" s="3" t="n">
        <v>18888.0</v>
      </c>
      <c r="AF118" s="3" t="n">
        <v>19012.0</v>
      </c>
      <c r="AG118" s="3" t="n">
        <v>19109.0</v>
      </c>
      <c r="AH118" s="3" t="n">
        <v>19185.0</v>
      </c>
      <c r="AI118" s="3" t="n">
        <v>19217.0</v>
      </c>
      <c r="AJ118" s="3" t="n">
        <v>19216.0</v>
      </c>
      <c r="AK118" s="3" t="n">
        <v>19197.0</v>
      </c>
      <c r="AL118" s="3" t="n">
        <v>19122.0</v>
      </c>
      <c r="AM118" s="3" t="n">
        <v>19046.0</v>
      </c>
      <c r="AN118" s="3" t="n">
        <v>18954.0</v>
      </c>
      <c r="AO118" s="3" t="n">
        <v>18833.0</v>
      </c>
    </row>
    <row r="119" spans="1:41" x14ac:dyDescent="0.2">
      <c r="A119" s="122"/>
      <c r="B119" s="9">
        <v>8</v>
      </c>
      <c r="C119" s="3" t="n">
        <v>19038.0</v>
      </c>
      <c r="D119" s="3" t="n">
        <v>19244.0</v>
      </c>
      <c r="E119" s="3" t="n">
        <v>19821.0</v>
      </c>
      <c r="F119" s="3" t="n">
        <v>20579.0</v>
      </c>
      <c r="G119" s="3" t="n">
        <v>20333.0</v>
      </c>
      <c r="H119" s="3" t="n">
        <v>19672.0</v>
      </c>
      <c r="I119" s="3" t="n">
        <v>19031.0</v>
      </c>
      <c r="J119" s="3" t="n">
        <v>18391.0</v>
      </c>
      <c r="K119" s="3" t="n">
        <v>17041.0</v>
      </c>
      <c r="L119" s="3" t="n">
        <v>17882.0</v>
      </c>
      <c r="M119" s="3" t="n">
        <v>18177.0</v>
      </c>
      <c r="N119" s="3" t="n">
        <v>18423.0</v>
      </c>
      <c r="O119" s="3" t="n">
        <v>18519.0</v>
      </c>
      <c r="P119" s="3" t="n">
        <v>18469.0</v>
      </c>
      <c r="Q119" s="3" t="n">
        <v>18441.0</v>
      </c>
      <c r="R119" s="3" t="n">
        <v>18467.0</v>
      </c>
      <c r="S119" s="3" t="n">
        <v>18452.0</v>
      </c>
      <c r="T119" s="3" t="n">
        <v>18410.0</v>
      </c>
      <c r="U119" s="3" t="n">
        <v>18303.0</v>
      </c>
      <c r="V119" s="3" t="n">
        <v>18194.0</v>
      </c>
      <c r="W119" s="3" t="n">
        <v>18101.0</v>
      </c>
      <c r="X119" s="3" t="n">
        <v>18051.0</v>
      </c>
      <c r="Y119" s="3" t="n">
        <v>18045.0</v>
      </c>
      <c r="Z119" s="3" t="n">
        <v>18098.0</v>
      </c>
      <c r="AA119" s="3" t="n">
        <v>18180.0</v>
      </c>
      <c r="AB119" s="3" t="n">
        <v>18324.0</v>
      </c>
      <c r="AC119" s="3" t="n">
        <v>18467.0</v>
      </c>
      <c r="AD119" s="3" t="n">
        <v>18630.0</v>
      </c>
      <c r="AE119" s="3" t="n">
        <v>18790.0</v>
      </c>
      <c r="AF119" s="3" t="n">
        <v>18947.0</v>
      </c>
      <c r="AG119" s="3" t="n">
        <v>19070.0</v>
      </c>
      <c r="AH119" s="3" t="n">
        <v>19167.0</v>
      </c>
      <c r="AI119" s="3" t="n">
        <v>19239.0</v>
      </c>
      <c r="AJ119" s="3" t="n">
        <v>19272.0</v>
      </c>
      <c r="AK119" s="3" t="n">
        <v>19274.0</v>
      </c>
      <c r="AL119" s="3" t="n">
        <v>19254.0</v>
      </c>
      <c r="AM119" s="3" t="n">
        <v>19181.0</v>
      </c>
      <c r="AN119" s="3" t="n">
        <v>19104.0</v>
      </c>
      <c r="AO119" s="3" t="n">
        <v>19011.0</v>
      </c>
    </row>
    <row r="120" spans="1:41" x14ac:dyDescent="0.2">
      <c r="A120" s="122"/>
      <c r="B120" s="9">
        <v>9</v>
      </c>
      <c r="C120" s="3" t="n">
        <v>18810.0</v>
      </c>
      <c r="D120" s="3" t="n">
        <v>19061.0</v>
      </c>
      <c r="E120" s="3" t="n">
        <v>19266.0</v>
      </c>
      <c r="F120" s="3" t="n">
        <v>19847.0</v>
      </c>
      <c r="G120" s="3" t="n">
        <v>20607.0</v>
      </c>
      <c r="H120" s="3" t="n">
        <v>20558.0</v>
      </c>
      <c r="I120" s="3" t="n">
        <v>19973.0</v>
      </c>
      <c r="J120" s="3" t="n">
        <v>19187.0</v>
      </c>
      <c r="K120" s="3" t="n">
        <v>18464.0</v>
      </c>
      <c r="L120" s="3" t="n">
        <v>17090.0</v>
      </c>
      <c r="M120" s="3" t="n">
        <v>17916.0</v>
      </c>
      <c r="N120" s="3" t="n">
        <v>18201.0</v>
      </c>
      <c r="O120" s="3" t="n">
        <v>18443.0</v>
      </c>
      <c r="P120" s="3" t="n">
        <v>18539.0</v>
      </c>
      <c r="Q120" s="3" t="n">
        <v>18492.0</v>
      </c>
      <c r="R120" s="3" t="n">
        <v>18466.0</v>
      </c>
      <c r="S120" s="3" t="n">
        <v>18491.0</v>
      </c>
      <c r="T120" s="3" t="n">
        <v>18474.0</v>
      </c>
      <c r="U120" s="3" t="n">
        <v>18433.0</v>
      </c>
      <c r="V120" s="3" t="n">
        <v>18329.0</v>
      </c>
      <c r="W120" s="3" t="n">
        <v>18220.0</v>
      </c>
      <c r="X120" s="3" t="n">
        <v>18130.0</v>
      </c>
      <c r="Y120" s="3" t="n">
        <v>18082.0</v>
      </c>
      <c r="Z120" s="3" t="n">
        <v>18076.0</v>
      </c>
      <c r="AA120" s="3" t="n">
        <v>18130.0</v>
      </c>
      <c r="AB120" s="3" t="n">
        <v>18211.0</v>
      </c>
      <c r="AC120" s="3" t="n">
        <v>18354.0</v>
      </c>
      <c r="AD120" s="3" t="n">
        <v>18497.0</v>
      </c>
      <c r="AE120" s="3" t="n">
        <v>18658.0</v>
      </c>
      <c r="AF120" s="3" t="n">
        <v>18818.0</v>
      </c>
      <c r="AG120" s="3" t="n">
        <v>18975.0</v>
      </c>
      <c r="AH120" s="3" t="n">
        <v>19097.0</v>
      </c>
      <c r="AI120" s="3" t="n">
        <v>19193.0</v>
      </c>
      <c r="AJ120" s="3" t="n">
        <v>19265.0</v>
      </c>
      <c r="AK120" s="3" t="n">
        <v>19298.0</v>
      </c>
      <c r="AL120" s="3" t="n">
        <v>19300.0</v>
      </c>
      <c r="AM120" s="3" t="n">
        <v>19280.0</v>
      </c>
      <c r="AN120" s="3" t="n">
        <v>19207.0</v>
      </c>
      <c r="AO120" s="3" t="n">
        <v>19129.0</v>
      </c>
    </row>
    <row r="121" spans="1:41" x14ac:dyDescent="0.2">
      <c r="A121" s="122"/>
      <c r="B121" s="9">
        <v>10</v>
      </c>
      <c r="C121" s="3" t="n">
        <v>19404.0</v>
      </c>
      <c r="D121" s="3" t="n">
        <v>18821.0</v>
      </c>
      <c r="E121" s="3" t="n">
        <v>19072.0</v>
      </c>
      <c r="F121" s="3" t="n">
        <v>19279.0</v>
      </c>
      <c r="G121" s="3" t="n">
        <v>19867.0</v>
      </c>
      <c r="H121" s="3" t="n">
        <v>20835.0</v>
      </c>
      <c r="I121" s="3" t="n">
        <v>20859.0</v>
      </c>
      <c r="J121" s="3" t="n">
        <v>20125.0</v>
      </c>
      <c r="K121" s="3" t="n">
        <v>19256.0</v>
      </c>
      <c r="L121" s="3" t="n">
        <v>18507.0</v>
      </c>
      <c r="M121" s="3" t="n">
        <v>17112.0</v>
      </c>
      <c r="N121" s="3" t="n">
        <v>17924.0</v>
      </c>
      <c r="O121" s="3" t="n">
        <v>18203.0</v>
      </c>
      <c r="P121" s="3" t="n">
        <v>18447.0</v>
      </c>
      <c r="Q121" s="3" t="n">
        <v>18543.0</v>
      </c>
      <c r="R121" s="3" t="n">
        <v>18496.0</v>
      </c>
      <c r="S121" s="3" t="n">
        <v>18470.0</v>
      </c>
      <c r="T121" s="3" t="n">
        <v>18496.0</v>
      </c>
      <c r="U121" s="3" t="n">
        <v>18480.0</v>
      </c>
      <c r="V121" s="3" t="n">
        <v>18439.0</v>
      </c>
      <c r="W121" s="3" t="n">
        <v>18338.0</v>
      </c>
      <c r="X121" s="3" t="n">
        <v>18230.0</v>
      </c>
      <c r="Y121" s="3" t="n">
        <v>18141.0</v>
      </c>
      <c r="Z121" s="3" t="n">
        <v>18096.0</v>
      </c>
      <c r="AA121" s="3" t="n">
        <v>18090.0</v>
      </c>
      <c r="AB121" s="3" t="n">
        <v>18145.0</v>
      </c>
      <c r="AC121" s="3" t="n">
        <v>18227.0</v>
      </c>
      <c r="AD121" s="3" t="n">
        <v>18374.0</v>
      </c>
      <c r="AE121" s="3" t="n">
        <v>18518.0</v>
      </c>
      <c r="AF121" s="3" t="n">
        <v>18678.0</v>
      </c>
      <c r="AG121" s="3" t="n">
        <v>18838.0</v>
      </c>
      <c r="AH121" s="3" t="n">
        <v>18995.0</v>
      </c>
      <c r="AI121" s="3" t="n">
        <v>19116.0</v>
      </c>
      <c r="AJ121" s="3" t="n">
        <v>19210.0</v>
      </c>
      <c r="AK121" s="3" t="n">
        <v>19282.0</v>
      </c>
      <c r="AL121" s="3" t="n">
        <v>19314.0</v>
      </c>
      <c r="AM121" s="3" t="n">
        <v>19315.0</v>
      </c>
      <c r="AN121" s="3" t="n">
        <v>19293.0</v>
      </c>
      <c r="AO121" s="3" t="n">
        <v>19221.0</v>
      </c>
    </row>
    <row r="122" spans="1:41" x14ac:dyDescent="0.2">
      <c r="A122" s="122"/>
      <c r="B122" s="9">
        <v>11</v>
      </c>
      <c r="C122" s="3" t="n">
        <v>19519.0</v>
      </c>
      <c r="D122" s="3" t="n">
        <v>19403.0</v>
      </c>
      <c r="E122" s="3" t="n">
        <v>18824.0</v>
      </c>
      <c r="F122" s="3" t="n">
        <v>19076.0</v>
      </c>
      <c r="G122" s="3" t="n">
        <v>19288.0</v>
      </c>
      <c r="H122" s="3" t="n">
        <v>20069.0</v>
      </c>
      <c r="I122" s="3" t="n">
        <v>21109.0</v>
      </c>
      <c r="J122" s="3" t="n">
        <v>20980.0</v>
      </c>
      <c r="K122" s="3" t="n">
        <v>20175.0</v>
      </c>
      <c r="L122" s="3" t="n">
        <v>19278.0</v>
      </c>
      <c r="M122" s="3" t="n">
        <v>18517.0</v>
      </c>
      <c r="N122" s="3" t="n">
        <v>17115.0</v>
      </c>
      <c r="O122" s="3" t="n">
        <v>17923.0</v>
      </c>
      <c r="P122" s="3" t="n">
        <v>18202.0</v>
      </c>
      <c r="Q122" s="3" t="n">
        <v>18444.0</v>
      </c>
      <c r="R122" s="3" t="n">
        <v>18540.0</v>
      </c>
      <c r="S122" s="3" t="n">
        <v>18493.0</v>
      </c>
      <c r="T122" s="3" t="n">
        <v>18467.0</v>
      </c>
      <c r="U122" s="3" t="n">
        <v>18492.0</v>
      </c>
      <c r="V122" s="3" t="n">
        <v>18477.0</v>
      </c>
      <c r="W122" s="3" t="n">
        <v>18436.0</v>
      </c>
      <c r="X122" s="3" t="n">
        <v>18337.0</v>
      </c>
      <c r="Y122" s="3" t="n">
        <v>18229.0</v>
      </c>
      <c r="Z122" s="3" t="n">
        <v>18142.0</v>
      </c>
      <c r="AA122" s="3" t="n">
        <v>18096.0</v>
      </c>
      <c r="AB122" s="3" t="n">
        <v>18092.0</v>
      </c>
      <c r="AC122" s="3" t="n">
        <v>18145.0</v>
      </c>
      <c r="AD122" s="3" t="n">
        <v>18226.0</v>
      </c>
      <c r="AE122" s="3" t="n">
        <v>18372.0</v>
      </c>
      <c r="AF122" s="3" t="n">
        <v>18519.0</v>
      </c>
      <c r="AG122" s="3" t="n">
        <v>18681.0</v>
      </c>
      <c r="AH122" s="3" t="n">
        <v>18841.0</v>
      </c>
      <c r="AI122" s="3" t="n">
        <v>18996.0</v>
      </c>
      <c r="AJ122" s="3" t="n">
        <v>19118.0</v>
      </c>
      <c r="AK122" s="3" t="n">
        <v>19211.0</v>
      </c>
      <c r="AL122" s="3" t="n">
        <v>19282.0</v>
      </c>
      <c r="AM122" s="3" t="n">
        <v>19313.0</v>
      </c>
      <c r="AN122" s="3" t="n">
        <v>19313.0</v>
      </c>
      <c r="AO122" s="3" t="n">
        <v>19291.0</v>
      </c>
    </row>
    <row r="123" spans="1:41" x14ac:dyDescent="0.2">
      <c r="A123" s="122"/>
      <c r="B123" s="9">
        <v>12</v>
      </c>
      <c r="C123" s="3" t="n">
        <v>20547.0</v>
      </c>
      <c r="D123" s="3" t="n">
        <v>19506.0</v>
      </c>
      <c r="E123" s="3" t="n">
        <v>19395.0</v>
      </c>
      <c r="F123" s="3" t="n">
        <v>18818.0</v>
      </c>
      <c r="G123" s="3" t="n">
        <v>19075.0</v>
      </c>
      <c r="H123" s="3" t="n">
        <v>19468.0</v>
      </c>
      <c r="I123" s="3" t="n">
        <v>20320.0</v>
      </c>
      <c r="J123" s="3" t="n">
        <v>21219.0</v>
      </c>
      <c r="K123" s="3" t="n">
        <v>21013.0</v>
      </c>
      <c r="L123" s="3" t="n">
        <v>20190.0</v>
      </c>
      <c r="M123" s="3" t="n">
        <v>19282.0</v>
      </c>
      <c r="N123" s="3" t="n">
        <v>18509.0</v>
      </c>
      <c r="O123" s="3" t="n">
        <v>17102.0</v>
      </c>
      <c r="P123" s="3" t="n">
        <v>17907.0</v>
      </c>
      <c r="Q123" s="3" t="n">
        <v>18187.0</v>
      </c>
      <c r="R123" s="3" t="n">
        <v>18427.0</v>
      </c>
      <c r="S123" s="3" t="n">
        <v>18523.0</v>
      </c>
      <c r="T123" s="3" t="n">
        <v>18475.0</v>
      </c>
      <c r="U123" s="3" t="n">
        <v>18449.0</v>
      </c>
      <c r="V123" s="3" t="n">
        <v>18475.0</v>
      </c>
      <c r="W123" s="3" t="n">
        <v>18462.0</v>
      </c>
      <c r="X123" s="3" t="n">
        <v>18420.0</v>
      </c>
      <c r="Y123" s="3" t="n">
        <v>18322.0</v>
      </c>
      <c r="Z123" s="3" t="n">
        <v>18217.0</v>
      </c>
      <c r="AA123" s="3" t="n">
        <v>18132.0</v>
      </c>
      <c r="AB123" s="3" t="n">
        <v>18085.0</v>
      </c>
      <c r="AC123" s="3" t="n">
        <v>18080.0</v>
      </c>
      <c r="AD123" s="3" t="n">
        <v>18136.0</v>
      </c>
      <c r="AE123" s="3" t="n">
        <v>18216.0</v>
      </c>
      <c r="AF123" s="3" t="n">
        <v>18363.0</v>
      </c>
      <c r="AG123" s="3" t="n">
        <v>18510.0</v>
      </c>
      <c r="AH123" s="3" t="n">
        <v>18673.0</v>
      </c>
      <c r="AI123" s="3" t="n">
        <v>18832.0</v>
      </c>
      <c r="AJ123" s="3" t="n">
        <v>18987.0</v>
      </c>
      <c r="AK123" s="3" t="n">
        <v>19109.0</v>
      </c>
      <c r="AL123" s="3" t="n">
        <v>19202.0</v>
      </c>
      <c r="AM123" s="3" t="n">
        <v>19274.0</v>
      </c>
      <c r="AN123" s="3" t="n">
        <v>19303.0</v>
      </c>
      <c r="AO123" s="3" t="n">
        <v>19303.0</v>
      </c>
    </row>
    <row r="124" spans="1:41" x14ac:dyDescent="0.2">
      <c r="A124" s="122"/>
      <c r="B124" s="9">
        <v>13</v>
      </c>
      <c r="C124" s="3" t="n">
        <v>20423.0</v>
      </c>
      <c r="D124" s="3" t="n">
        <v>20542.0</v>
      </c>
      <c r="E124" s="3" t="n">
        <v>19502.0</v>
      </c>
      <c r="F124" s="3" t="n">
        <v>19393.0</v>
      </c>
      <c r="G124" s="3" t="n">
        <v>18821.0</v>
      </c>
      <c r="H124" s="3" t="n">
        <v>19250.0</v>
      </c>
      <c r="I124" s="3" t="n">
        <v>19709.0</v>
      </c>
      <c r="J124" s="3" t="n">
        <v>20428.0</v>
      </c>
      <c r="K124" s="3" t="n">
        <v>21262.0</v>
      </c>
      <c r="L124" s="3" t="n">
        <v>21027.0</v>
      </c>
      <c r="M124" s="3" t="n">
        <v>20195.0</v>
      </c>
      <c r="N124" s="3" t="n">
        <v>19273.0</v>
      </c>
      <c r="O124" s="3" t="n">
        <v>18495.0</v>
      </c>
      <c r="P124" s="3" t="n">
        <v>17088.0</v>
      </c>
      <c r="Q124" s="3" t="n">
        <v>17889.0</v>
      </c>
      <c r="R124" s="3" t="n">
        <v>18166.0</v>
      </c>
      <c r="S124" s="3" t="n">
        <v>18406.0</v>
      </c>
      <c r="T124" s="3" t="n">
        <v>18501.0</v>
      </c>
      <c r="U124" s="3" t="n">
        <v>18452.0</v>
      </c>
      <c r="V124" s="3" t="n">
        <v>18427.0</v>
      </c>
      <c r="W124" s="3" t="n">
        <v>18454.0</v>
      </c>
      <c r="X124" s="3" t="n">
        <v>18441.0</v>
      </c>
      <c r="Y124" s="3" t="n">
        <v>18400.0</v>
      </c>
      <c r="Z124" s="3" t="n">
        <v>18301.0</v>
      </c>
      <c r="AA124" s="3" t="n">
        <v>18196.0</v>
      </c>
      <c r="AB124" s="3" t="n">
        <v>18113.0</v>
      </c>
      <c r="AC124" s="3" t="n">
        <v>18067.0</v>
      </c>
      <c r="AD124" s="3" t="n">
        <v>18064.0</v>
      </c>
      <c r="AE124" s="3" t="n">
        <v>18121.0</v>
      </c>
      <c r="AF124" s="3" t="n">
        <v>18203.0</v>
      </c>
      <c r="AG124" s="3" t="n">
        <v>18351.0</v>
      </c>
      <c r="AH124" s="3" t="n">
        <v>18499.0</v>
      </c>
      <c r="AI124" s="3" t="n">
        <v>18663.0</v>
      </c>
      <c r="AJ124" s="3" t="n">
        <v>18823.0</v>
      </c>
      <c r="AK124" s="3" t="n">
        <v>18977.0</v>
      </c>
      <c r="AL124" s="3" t="n">
        <v>19097.0</v>
      </c>
      <c r="AM124" s="3" t="n">
        <v>19190.0</v>
      </c>
      <c r="AN124" s="3" t="n">
        <v>19262.0</v>
      </c>
      <c r="AO124" s="3" t="n">
        <v>19290.0</v>
      </c>
    </row>
    <row r="125" spans="1:41" x14ac:dyDescent="0.2">
      <c r="A125" s="122"/>
      <c r="B125" s="9">
        <v>14</v>
      </c>
      <c r="C125" s="3" t="n">
        <v>19848.0</v>
      </c>
      <c r="D125" s="3" t="n">
        <v>20416.0</v>
      </c>
      <c r="E125" s="3" t="n">
        <v>20537.0</v>
      </c>
      <c r="F125" s="3" t="n">
        <v>19499.0</v>
      </c>
      <c r="G125" s="3" t="n">
        <v>19398.0</v>
      </c>
      <c r="H125" s="3" t="n">
        <v>19003.0</v>
      </c>
      <c r="I125" s="3" t="n">
        <v>19496.0</v>
      </c>
      <c r="J125" s="3" t="n">
        <v>19822.0</v>
      </c>
      <c r="K125" s="3" t="n">
        <v>20471.0</v>
      </c>
      <c r="L125" s="3" t="n">
        <v>21276.0</v>
      </c>
      <c r="M125" s="3" t="n">
        <v>21028.0</v>
      </c>
      <c r="N125" s="3" t="n">
        <v>20187.0</v>
      </c>
      <c r="O125" s="3" t="n">
        <v>19262.0</v>
      </c>
      <c r="P125" s="3" t="n">
        <v>18486.0</v>
      </c>
      <c r="Q125" s="3" t="n">
        <v>17077.0</v>
      </c>
      <c r="R125" s="3" t="n">
        <v>17877.0</v>
      </c>
      <c r="S125" s="3" t="n">
        <v>18154.0</v>
      </c>
      <c r="T125" s="3" t="n">
        <v>18393.0</v>
      </c>
      <c r="U125" s="3" t="n">
        <v>18488.0</v>
      </c>
      <c r="V125" s="3" t="n">
        <v>18439.0</v>
      </c>
      <c r="W125" s="3" t="n">
        <v>18414.0</v>
      </c>
      <c r="X125" s="3" t="n">
        <v>18441.0</v>
      </c>
      <c r="Y125" s="3" t="n">
        <v>18430.0</v>
      </c>
      <c r="Z125" s="3" t="n">
        <v>18389.0</v>
      </c>
      <c r="AA125" s="3" t="n">
        <v>18289.0</v>
      </c>
      <c r="AB125" s="3" t="n">
        <v>18187.0</v>
      </c>
      <c r="AC125" s="3" t="n">
        <v>18105.0</v>
      </c>
      <c r="AD125" s="3" t="n">
        <v>18059.0</v>
      </c>
      <c r="AE125" s="3" t="n">
        <v>18057.0</v>
      </c>
      <c r="AF125" s="3" t="n">
        <v>18115.0</v>
      </c>
      <c r="AG125" s="3" t="n">
        <v>18196.0</v>
      </c>
      <c r="AH125" s="3" t="n">
        <v>18344.0</v>
      </c>
      <c r="AI125" s="3" t="n">
        <v>18491.0</v>
      </c>
      <c r="AJ125" s="3" t="n">
        <v>18657.0</v>
      </c>
      <c r="AK125" s="3" t="n">
        <v>18816.0</v>
      </c>
      <c r="AL125" s="3" t="n">
        <v>18968.0</v>
      </c>
      <c r="AM125" s="3" t="n">
        <v>19087.0</v>
      </c>
      <c r="AN125" s="3" t="n">
        <v>19181.0</v>
      </c>
      <c r="AO125" s="3" t="n">
        <v>19252.0</v>
      </c>
    </row>
    <row r="126" spans="1:41" x14ac:dyDescent="0.2">
      <c r="A126" s="122"/>
      <c r="B126" s="9">
        <v>15</v>
      </c>
      <c r="C126" s="3" t="n">
        <v>18490.0</v>
      </c>
      <c r="D126" s="3" t="n">
        <v>19847.0</v>
      </c>
      <c r="E126" s="3" t="n">
        <v>20418.0</v>
      </c>
      <c r="F126" s="3" t="n">
        <v>20535.0</v>
      </c>
      <c r="G126" s="3" t="n">
        <v>19504.0</v>
      </c>
      <c r="H126" s="3" t="n">
        <v>19558.0</v>
      </c>
      <c r="I126" s="3" t="n">
        <v>19221.0</v>
      </c>
      <c r="J126" s="3" t="n">
        <v>19592.0</v>
      </c>
      <c r="K126" s="3" t="n">
        <v>19855.0</v>
      </c>
      <c r="L126" s="3" t="n">
        <v>20488.0</v>
      </c>
      <c r="M126" s="3" t="n">
        <v>21283.0</v>
      </c>
      <c r="N126" s="3" t="n">
        <v>21022.0</v>
      </c>
      <c r="O126" s="3" t="n">
        <v>20177.0</v>
      </c>
      <c r="P126" s="3" t="n">
        <v>19253.0</v>
      </c>
      <c r="Q126" s="3" t="n">
        <v>18477.0</v>
      </c>
      <c r="R126" s="3" t="n">
        <v>17070.0</v>
      </c>
      <c r="S126" s="3" t="n">
        <v>17870.0</v>
      </c>
      <c r="T126" s="3" t="n">
        <v>18143.0</v>
      </c>
      <c r="U126" s="3" t="n">
        <v>18383.0</v>
      </c>
      <c r="V126" s="3" t="n">
        <v>18478.0</v>
      </c>
      <c r="W126" s="3" t="n">
        <v>18429.0</v>
      </c>
      <c r="X126" s="3" t="n">
        <v>18405.0</v>
      </c>
      <c r="Y126" s="3" t="n">
        <v>18432.0</v>
      </c>
      <c r="Z126" s="3" t="n">
        <v>18421.0</v>
      </c>
      <c r="AA126" s="3" t="n">
        <v>18380.0</v>
      </c>
      <c r="AB126" s="3" t="n">
        <v>18282.0</v>
      </c>
      <c r="AC126" s="3" t="n">
        <v>18181.0</v>
      </c>
      <c r="AD126" s="3" t="n">
        <v>18100.0</v>
      </c>
      <c r="AE126" s="3" t="n">
        <v>18054.0</v>
      </c>
      <c r="AF126" s="3" t="n">
        <v>18052.0</v>
      </c>
      <c r="AG126" s="3" t="n">
        <v>18112.0</v>
      </c>
      <c r="AH126" s="3" t="n">
        <v>18192.0</v>
      </c>
      <c r="AI126" s="3" t="n">
        <v>18341.0</v>
      </c>
      <c r="AJ126" s="3" t="n">
        <v>18491.0</v>
      </c>
      <c r="AK126" s="3" t="n">
        <v>18657.0</v>
      </c>
      <c r="AL126" s="3" t="n">
        <v>18816.0</v>
      </c>
      <c r="AM126" s="3" t="n">
        <v>18967.0</v>
      </c>
      <c r="AN126" s="3" t="n">
        <v>19082.0</v>
      </c>
      <c r="AO126" s="3" t="n">
        <v>19176.0</v>
      </c>
    </row>
    <row r="127" spans="1:41" x14ac:dyDescent="0.2">
      <c r="A127" s="122"/>
      <c r="B127" s="9">
        <v>16</v>
      </c>
      <c r="C127" s="3" t="n">
        <v>17309.0</v>
      </c>
      <c r="D127" s="3" t="n">
        <v>18490.0</v>
      </c>
      <c r="E127" s="3" t="n">
        <v>19847.0</v>
      </c>
      <c r="F127" s="3" t="n">
        <v>20423.0</v>
      </c>
      <c r="G127" s="3" t="n">
        <v>20541.0</v>
      </c>
      <c r="H127" s="3" t="n">
        <v>19651.0</v>
      </c>
      <c r="I127" s="3" t="n">
        <v>19752.0</v>
      </c>
      <c r="J127" s="3" t="n">
        <v>19309.0</v>
      </c>
      <c r="K127" s="3" t="n">
        <v>19632.0</v>
      </c>
      <c r="L127" s="3" t="n">
        <v>19870.0</v>
      </c>
      <c r="M127" s="3" t="n">
        <v>20492.0</v>
      </c>
      <c r="N127" s="3" t="n">
        <v>21280.0</v>
      </c>
      <c r="O127" s="3" t="n">
        <v>21016.0</v>
      </c>
      <c r="P127" s="3" t="n">
        <v>20167.0</v>
      </c>
      <c r="Q127" s="3" t="n">
        <v>19244.0</v>
      </c>
      <c r="R127" s="3" t="n">
        <v>18467.0</v>
      </c>
      <c r="S127" s="3" t="n">
        <v>17060.0</v>
      </c>
      <c r="T127" s="3" t="n">
        <v>17857.0</v>
      </c>
      <c r="U127" s="3" t="n">
        <v>18132.0</v>
      </c>
      <c r="V127" s="3" t="n">
        <v>18372.0</v>
      </c>
      <c r="W127" s="3" t="n">
        <v>18466.0</v>
      </c>
      <c r="X127" s="3" t="n">
        <v>18417.0</v>
      </c>
      <c r="Y127" s="3" t="n">
        <v>18394.0</v>
      </c>
      <c r="Z127" s="3" t="n">
        <v>18421.0</v>
      </c>
      <c r="AA127" s="3" t="n">
        <v>18410.0</v>
      </c>
      <c r="AB127" s="3" t="n">
        <v>18369.0</v>
      </c>
      <c r="AC127" s="3" t="n">
        <v>18273.0</v>
      </c>
      <c r="AD127" s="3" t="n">
        <v>18172.0</v>
      </c>
      <c r="AE127" s="3" t="n">
        <v>18091.0</v>
      </c>
      <c r="AF127" s="3" t="n">
        <v>18047.0</v>
      </c>
      <c r="AG127" s="3" t="n">
        <v>18044.0</v>
      </c>
      <c r="AH127" s="3" t="n">
        <v>18104.0</v>
      </c>
      <c r="AI127" s="3" t="n">
        <v>18184.0</v>
      </c>
      <c r="AJ127" s="3" t="n">
        <v>18335.0</v>
      </c>
      <c r="AK127" s="3" t="n">
        <v>18484.0</v>
      </c>
      <c r="AL127" s="3" t="n">
        <v>18650.0</v>
      </c>
      <c r="AM127" s="3" t="n">
        <v>18809.0</v>
      </c>
      <c r="AN127" s="3" t="n">
        <v>18961.0</v>
      </c>
      <c r="AO127" s="3" t="n">
        <v>19074.0</v>
      </c>
    </row>
    <row r="128" spans="1:41" x14ac:dyDescent="0.2">
      <c r="A128" s="122"/>
      <c r="B128" s="9">
        <v>17</v>
      </c>
      <c r="C128" s="3" t="n">
        <v>17168.0</v>
      </c>
      <c r="D128" s="3" t="n">
        <v>17299.0</v>
      </c>
      <c r="E128" s="3" t="n">
        <v>18480.0</v>
      </c>
      <c r="F128" s="3" t="n">
        <v>19841.0</v>
      </c>
      <c r="G128" s="3" t="n">
        <v>20421.0</v>
      </c>
      <c r="H128" s="3" t="n">
        <v>20688.0</v>
      </c>
      <c r="I128" s="3" t="n">
        <v>19858.0</v>
      </c>
      <c r="J128" s="3" t="n">
        <v>19841.0</v>
      </c>
      <c r="K128" s="3" t="n">
        <v>19339.0</v>
      </c>
      <c r="L128" s="3" t="n">
        <v>19643.0</v>
      </c>
      <c r="M128" s="3" t="n">
        <v>19872.0</v>
      </c>
      <c r="N128" s="3" t="n">
        <v>20486.0</v>
      </c>
      <c r="O128" s="3" t="n">
        <v>21269.0</v>
      </c>
      <c r="P128" s="3" t="n">
        <v>21004.0</v>
      </c>
      <c r="Q128" s="3" t="n">
        <v>20154.0</v>
      </c>
      <c r="R128" s="3" t="n">
        <v>19229.0</v>
      </c>
      <c r="S128" s="3" t="n">
        <v>18451.0</v>
      </c>
      <c r="T128" s="3" t="n">
        <v>17046.0</v>
      </c>
      <c r="U128" s="3" t="n">
        <v>17840.0</v>
      </c>
      <c r="V128" s="3" t="n">
        <v>18115.0</v>
      </c>
      <c r="W128" s="3" t="n">
        <v>18354.0</v>
      </c>
      <c r="X128" s="3" t="n">
        <v>18447.0</v>
      </c>
      <c r="Y128" s="3" t="n">
        <v>18400.0</v>
      </c>
      <c r="Z128" s="3" t="n">
        <v>18379.0</v>
      </c>
      <c r="AA128" s="3" t="n">
        <v>18406.0</v>
      </c>
      <c r="AB128" s="3" t="n">
        <v>18396.0</v>
      </c>
      <c r="AC128" s="3" t="n">
        <v>18355.0</v>
      </c>
      <c r="AD128" s="3" t="n">
        <v>18261.0</v>
      </c>
      <c r="AE128" s="3" t="n">
        <v>18160.0</v>
      </c>
      <c r="AF128" s="3" t="n">
        <v>18079.0</v>
      </c>
      <c r="AG128" s="3" t="n">
        <v>18037.0</v>
      </c>
      <c r="AH128" s="3" t="n">
        <v>18036.0</v>
      </c>
      <c r="AI128" s="3" t="n">
        <v>18096.0</v>
      </c>
      <c r="AJ128" s="3" t="n">
        <v>18176.0</v>
      </c>
      <c r="AK128" s="3" t="n">
        <v>18326.0</v>
      </c>
      <c r="AL128" s="3" t="n">
        <v>18474.0</v>
      </c>
      <c r="AM128" s="3" t="n">
        <v>18640.0</v>
      </c>
      <c r="AN128" s="3" t="n">
        <v>18796.0</v>
      </c>
      <c r="AO128" s="3" t="n">
        <v>18948.0</v>
      </c>
    </row>
    <row r="129" spans="1:41" x14ac:dyDescent="0.2">
      <c r="A129" s="122"/>
      <c r="B129" s="9">
        <v>18</v>
      </c>
      <c r="C129" s="3" t="n">
        <v>16807.0</v>
      </c>
      <c r="D129" s="3" t="n">
        <v>17167.0</v>
      </c>
      <c r="E129" s="3" t="n">
        <v>17299.0</v>
      </c>
      <c r="F129" s="3" t="n">
        <v>18482.0</v>
      </c>
      <c r="G129" s="3" t="n">
        <v>19847.0</v>
      </c>
      <c r="H129" s="3" t="n">
        <v>20597.0</v>
      </c>
      <c r="I129" s="3" t="n">
        <v>20932.0</v>
      </c>
      <c r="J129" s="3" t="n">
        <v>19974.0</v>
      </c>
      <c r="K129" s="3" t="n">
        <v>19884.0</v>
      </c>
      <c r="L129" s="3" t="n">
        <v>19360.0</v>
      </c>
      <c r="M129" s="3" t="n">
        <v>19648.0</v>
      </c>
      <c r="N129" s="3" t="n">
        <v>19869.0</v>
      </c>
      <c r="O129" s="3" t="n">
        <v>20480.0</v>
      </c>
      <c r="P129" s="3" t="n">
        <v>21260.0</v>
      </c>
      <c r="Q129" s="3" t="n">
        <v>20994.0</v>
      </c>
      <c r="R129" s="3" t="n">
        <v>20146.0</v>
      </c>
      <c r="S129" s="3" t="n">
        <v>19223.0</v>
      </c>
      <c r="T129" s="3" t="n">
        <v>18446.0</v>
      </c>
      <c r="U129" s="3" t="n">
        <v>17039.0</v>
      </c>
      <c r="V129" s="3" t="n">
        <v>17834.0</v>
      </c>
      <c r="W129" s="3" t="n">
        <v>18106.0</v>
      </c>
      <c r="X129" s="3" t="n">
        <v>18343.0</v>
      </c>
      <c r="Y129" s="3" t="n">
        <v>18436.0</v>
      </c>
      <c r="Z129" s="3" t="n">
        <v>18389.0</v>
      </c>
      <c r="AA129" s="3" t="n">
        <v>18369.0</v>
      </c>
      <c r="AB129" s="3" t="n">
        <v>18397.0</v>
      </c>
      <c r="AC129" s="3" t="n">
        <v>18387.0</v>
      </c>
      <c r="AD129" s="3" t="n">
        <v>18345.0</v>
      </c>
      <c r="AE129" s="3" t="n">
        <v>18253.0</v>
      </c>
      <c r="AF129" s="3" t="n">
        <v>18152.0</v>
      </c>
      <c r="AG129" s="3" t="n">
        <v>18071.0</v>
      </c>
      <c r="AH129" s="3" t="n">
        <v>18032.0</v>
      </c>
      <c r="AI129" s="3" t="n">
        <v>18031.0</v>
      </c>
      <c r="AJ129" s="3" t="n">
        <v>18092.0</v>
      </c>
      <c r="AK129" s="3" t="n">
        <v>18173.0</v>
      </c>
      <c r="AL129" s="3" t="n">
        <v>18323.0</v>
      </c>
      <c r="AM129" s="3" t="n">
        <v>18472.0</v>
      </c>
      <c r="AN129" s="3" t="n">
        <v>18639.0</v>
      </c>
      <c r="AO129" s="3" t="n">
        <v>18794.0</v>
      </c>
    </row>
    <row r="130" spans="1:41" x14ac:dyDescent="0.2">
      <c r="A130" s="122"/>
      <c r="B130" s="9">
        <v>19</v>
      </c>
      <c r="C130" s="3" t="n">
        <v>16405.0</v>
      </c>
      <c r="D130" s="3" t="n">
        <v>16808.0</v>
      </c>
      <c r="E130" s="3" t="n">
        <v>17170.0</v>
      </c>
      <c r="F130" s="3" t="n">
        <v>17306.0</v>
      </c>
      <c r="G130" s="3" t="n">
        <v>18493.0</v>
      </c>
      <c r="H130" s="3" t="n">
        <v>19962.0</v>
      </c>
      <c r="I130" s="3" t="n">
        <v>20748.0</v>
      </c>
      <c r="J130" s="3" t="n">
        <v>20999.0</v>
      </c>
      <c r="K130" s="3" t="n">
        <v>19996.0</v>
      </c>
      <c r="L130" s="3" t="n">
        <v>19898.0</v>
      </c>
      <c r="M130" s="3" t="n">
        <v>19369.0</v>
      </c>
      <c r="N130" s="3" t="n">
        <v>19654.0</v>
      </c>
      <c r="O130" s="3" t="n">
        <v>19873.0</v>
      </c>
      <c r="P130" s="3" t="n">
        <v>20480.0</v>
      </c>
      <c r="Q130" s="3" t="n">
        <v>21258.0</v>
      </c>
      <c r="R130" s="3" t="n">
        <v>20991.0</v>
      </c>
      <c r="S130" s="3" t="n">
        <v>20148.0</v>
      </c>
      <c r="T130" s="3" t="n">
        <v>19224.0</v>
      </c>
      <c r="U130" s="3" t="n">
        <v>18446.0</v>
      </c>
      <c r="V130" s="3" t="n">
        <v>17036.0</v>
      </c>
      <c r="W130" s="3" t="n">
        <v>17829.0</v>
      </c>
      <c r="X130" s="3" t="n">
        <v>18104.0</v>
      </c>
      <c r="Y130" s="3" t="n">
        <v>18340.0</v>
      </c>
      <c r="Z130" s="3" t="n">
        <v>18428.0</v>
      </c>
      <c r="AA130" s="3" t="n">
        <v>18383.0</v>
      </c>
      <c r="AB130" s="3" t="n">
        <v>18362.0</v>
      </c>
      <c r="AC130" s="3" t="n">
        <v>18391.0</v>
      </c>
      <c r="AD130" s="3" t="n">
        <v>18381.0</v>
      </c>
      <c r="AE130" s="3" t="n">
        <v>18339.0</v>
      </c>
      <c r="AF130" s="3" t="n">
        <v>18247.0</v>
      </c>
      <c r="AG130" s="3" t="n">
        <v>18147.0</v>
      </c>
      <c r="AH130" s="3" t="n">
        <v>18067.0</v>
      </c>
      <c r="AI130" s="3" t="n">
        <v>18030.0</v>
      </c>
      <c r="AJ130" s="3" t="n">
        <v>18030.0</v>
      </c>
      <c r="AK130" s="3" t="n">
        <v>18091.0</v>
      </c>
      <c r="AL130" s="3" t="n">
        <v>18171.0</v>
      </c>
      <c r="AM130" s="3" t="n">
        <v>18322.0</v>
      </c>
      <c r="AN130" s="3" t="n">
        <v>18470.0</v>
      </c>
      <c r="AO130" s="3" t="n">
        <v>18638.0</v>
      </c>
    </row>
    <row r="131" spans="1:41" x14ac:dyDescent="0.2">
      <c r="A131" s="122"/>
      <c r="B131" s="9">
        <v>20</v>
      </c>
      <c r="C131" s="3" t="n">
        <v>16813.0</v>
      </c>
      <c r="D131" s="3" t="n">
        <v>16398.0</v>
      </c>
      <c r="E131" s="3" t="n">
        <v>16805.0</v>
      </c>
      <c r="F131" s="3" t="n">
        <v>17168.0</v>
      </c>
      <c r="G131" s="3" t="n">
        <v>17310.0</v>
      </c>
      <c r="H131" s="3" t="n">
        <v>18527.0</v>
      </c>
      <c r="I131" s="3" t="n">
        <v>20000.0</v>
      </c>
      <c r="J131" s="3" t="n">
        <v>20759.0</v>
      </c>
      <c r="K131" s="3" t="n">
        <v>21000.0</v>
      </c>
      <c r="L131" s="3" t="n">
        <v>19993.0</v>
      </c>
      <c r="M131" s="3" t="n">
        <v>19897.0</v>
      </c>
      <c r="N131" s="3" t="n">
        <v>19370.0</v>
      </c>
      <c r="O131" s="3" t="n">
        <v>19652.0</v>
      </c>
      <c r="P131" s="3" t="n">
        <v>19873.0</v>
      </c>
      <c r="Q131" s="3" t="n">
        <v>20479.0</v>
      </c>
      <c r="R131" s="3" t="n">
        <v>21255.0</v>
      </c>
      <c r="S131" s="3" t="n">
        <v>20984.0</v>
      </c>
      <c r="T131" s="3" t="n">
        <v>20144.0</v>
      </c>
      <c r="U131" s="3" t="n">
        <v>19226.0</v>
      </c>
      <c r="V131" s="3" t="n">
        <v>18445.0</v>
      </c>
      <c r="W131" s="3" t="n">
        <v>17035.0</v>
      </c>
      <c r="X131" s="3" t="n">
        <v>17829.0</v>
      </c>
      <c r="Y131" s="3" t="n">
        <v>18102.0</v>
      </c>
      <c r="Z131" s="3" t="n">
        <v>18337.0</v>
      </c>
      <c r="AA131" s="3" t="n">
        <v>18425.0</v>
      </c>
      <c r="AB131" s="3" t="n">
        <v>18380.0</v>
      </c>
      <c r="AC131" s="3" t="n">
        <v>18359.0</v>
      </c>
      <c r="AD131" s="3" t="n">
        <v>18388.0</v>
      </c>
      <c r="AE131" s="3" t="n">
        <v>18378.0</v>
      </c>
      <c r="AF131" s="3" t="n">
        <v>18336.0</v>
      </c>
      <c r="AG131" s="3" t="n">
        <v>18245.0</v>
      </c>
      <c r="AH131" s="3" t="n">
        <v>18146.0</v>
      </c>
      <c r="AI131" s="3" t="n">
        <v>18066.0</v>
      </c>
      <c r="AJ131" s="3" t="n">
        <v>18029.0</v>
      </c>
      <c r="AK131" s="3" t="n">
        <v>18031.0</v>
      </c>
      <c r="AL131" s="3" t="n">
        <v>18093.0</v>
      </c>
      <c r="AM131" s="3" t="n">
        <v>18173.0</v>
      </c>
      <c r="AN131" s="3" t="n">
        <v>18324.0</v>
      </c>
      <c r="AO131" s="3" t="n">
        <v>18469.0</v>
      </c>
    </row>
    <row r="132" spans="1:41" x14ac:dyDescent="0.2">
      <c r="A132" s="122"/>
      <c r="B132" s="9">
        <v>21</v>
      </c>
      <c r="C132" s="3" t="n">
        <v>17494.0</v>
      </c>
      <c r="D132" s="3" t="n">
        <v>16811.0</v>
      </c>
      <c r="E132" s="3" t="n">
        <v>16398.0</v>
      </c>
      <c r="F132" s="3" t="n">
        <v>16811.0</v>
      </c>
      <c r="G132" s="3" t="n">
        <v>17173.0</v>
      </c>
      <c r="H132" s="3" t="n">
        <v>17343.0</v>
      </c>
      <c r="I132" s="3" t="n">
        <v>18571.0</v>
      </c>
      <c r="J132" s="3" t="n">
        <v>20022.0</v>
      </c>
      <c r="K132" s="3" t="n">
        <v>20772.0</v>
      </c>
      <c r="L132" s="3" t="n">
        <v>21008.0</v>
      </c>
      <c r="M132" s="3" t="n">
        <v>19999.0</v>
      </c>
      <c r="N132" s="3" t="n">
        <v>19899.0</v>
      </c>
      <c r="O132" s="3" t="n">
        <v>19371.0</v>
      </c>
      <c r="P132" s="3" t="n">
        <v>19655.0</v>
      </c>
      <c r="Q132" s="3" t="n">
        <v>19874.0</v>
      </c>
      <c r="R132" s="3" t="n">
        <v>20481.0</v>
      </c>
      <c r="S132" s="3" t="n">
        <v>21255.0</v>
      </c>
      <c r="T132" s="3" t="n">
        <v>20984.0</v>
      </c>
      <c r="U132" s="3" t="n">
        <v>20144.0</v>
      </c>
      <c r="V132" s="3" t="n">
        <v>19224.0</v>
      </c>
      <c r="W132" s="3" t="n">
        <v>18446.0</v>
      </c>
      <c r="X132" s="3" t="n">
        <v>17039.0</v>
      </c>
      <c r="Y132" s="3" t="n">
        <v>17832.0</v>
      </c>
      <c r="Z132" s="3" t="n">
        <v>18105.0</v>
      </c>
      <c r="AA132" s="3" t="n">
        <v>18339.0</v>
      </c>
      <c r="AB132" s="3" t="n">
        <v>18427.0</v>
      </c>
      <c r="AC132" s="3" t="n">
        <v>18383.0</v>
      </c>
      <c r="AD132" s="3" t="n">
        <v>18361.0</v>
      </c>
      <c r="AE132" s="3" t="n">
        <v>18391.0</v>
      </c>
      <c r="AF132" s="3" t="n">
        <v>18381.0</v>
      </c>
      <c r="AG132" s="3" t="n">
        <v>18337.0</v>
      </c>
      <c r="AH132" s="3" t="n">
        <v>18247.0</v>
      </c>
      <c r="AI132" s="3" t="n">
        <v>18150.0</v>
      </c>
      <c r="AJ132" s="3" t="n">
        <v>18070.0</v>
      </c>
      <c r="AK132" s="3" t="n">
        <v>18033.0</v>
      </c>
      <c r="AL132" s="3" t="n">
        <v>18037.0</v>
      </c>
      <c r="AM132" s="3" t="n">
        <v>18097.0</v>
      </c>
      <c r="AN132" s="3" t="n">
        <v>18180.0</v>
      </c>
      <c r="AO132" s="3" t="n">
        <v>18331.0</v>
      </c>
    </row>
    <row r="133" spans="1:41" x14ac:dyDescent="0.2">
      <c r="A133" s="122"/>
      <c r="B133" s="9">
        <v>22</v>
      </c>
      <c r="C133" s="3" t="n">
        <v>18493.0</v>
      </c>
      <c r="D133" s="3" t="n">
        <v>17482.0</v>
      </c>
      <c r="E133" s="3" t="n">
        <v>16802.0</v>
      </c>
      <c r="F133" s="3" t="n">
        <v>16396.0</v>
      </c>
      <c r="G133" s="3" t="n">
        <v>16806.0</v>
      </c>
      <c r="H133" s="3" t="n">
        <v>17200.0</v>
      </c>
      <c r="I133" s="3" t="n">
        <v>17383.0</v>
      </c>
      <c r="J133" s="3" t="n">
        <v>18594.0</v>
      </c>
      <c r="K133" s="3" t="n">
        <v>20029.0</v>
      </c>
      <c r="L133" s="3" t="n">
        <v>20774.0</v>
      </c>
      <c r="M133" s="3" t="n">
        <v>21009.0</v>
      </c>
      <c r="N133" s="3" t="n">
        <v>20000.0</v>
      </c>
      <c r="O133" s="3" t="n">
        <v>19902.0</v>
      </c>
      <c r="P133" s="3" t="n">
        <v>19370.0</v>
      </c>
      <c r="Q133" s="3" t="n">
        <v>19657.0</v>
      </c>
      <c r="R133" s="3" t="n">
        <v>19875.0</v>
      </c>
      <c r="S133" s="3" t="n">
        <v>20478.0</v>
      </c>
      <c r="T133" s="3" t="n">
        <v>21249.0</v>
      </c>
      <c r="U133" s="3" t="n">
        <v>20980.0</v>
      </c>
      <c r="V133" s="3" t="n">
        <v>20137.0</v>
      </c>
      <c r="W133" s="3" t="n">
        <v>19218.0</v>
      </c>
      <c r="X133" s="3" t="n">
        <v>18438.0</v>
      </c>
      <c r="Y133" s="3" t="n">
        <v>17033.0</v>
      </c>
      <c r="Z133" s="3" t="n">
        <v>17822.0</v>
      </c>
      <c r="AA133" s="3" t="n">
        <v>18095.0</v>
      </c>
      <c r="AB133" s="3" t="n">
        <v>18329.0</v>
      </c>
      <c r="AC133" s="3" t="n">
        <v>18416.0</v>
      </c>
      <c r="AD133" s="3" t="n">
        <v>18373.0</v>
      </c>
      <c r="AE133" s="3" t="n">
        <v>18351.0</v>
      </c>
      <c r="AF133" s="3" t="n">
        <v>18381.0</v>
      </c>
      <c r="AG133" s="3" t="n">
        <v>18372.0</v>
      </c>
      <c r="AH133" s="3" t="n">
        <v>18328.0</v>
      </c>
      <c r="AI133" s="3" t="n">
        <v>18238.0</v>
      </c>
      <c r="AJ133" s="3" t="n">
        <v>18144.0</v>
      </c>
      <c r="AK133" s="3" t="n">
        <v>18065.0</v>
      </c>
      <c r="AL133" s="3" t="n">
        <v>18028.0</v>
      </c>
      <c r="AM133" s="3" t="n">
        <v>18034.0</v>
      </c>
      <c r="AN133" s="3" t="n">
        <v>18095.0</v>
      </c>
      <c r="AO133" s="3" t="n">
        <v>18176.0</v>
      </c>
    </row>
    <row r="134" spans="1:41" x14ac:dyDescent="0.2">
      <c r="A134" s="122"/>
      <c r="B134" s="9">
        <v>23</v>
      </c>
      <c r="C134" s="3" t="n">
        <v>18486.0</v>
      </c>
      <c r="D134" s="3" t="n">
        <v>18485.0</v>
      </c>
      <c r="E134" s="3" t="n">
        <v>17477.0</v>
      </c>
      <c r="F134" s="3" t="n">
        <v>16800.0</v>
      </c>
      <c r="G134" s="3" t="n">
        <v>16396.0</v>
      </c>
      <c r="H134" s="3" t="n">
        <v>16838.0</v>
      </c>
      <c r="I134" s="3" t="n">
        <v>17245.0</v>
      </c>
      <c r="J134" s="3" t="n">
        <v>17409.0</v>
      </c>
      <c r="K134" s="3" t="n">
        <v>18609.0</v>
      </c>
      <c r="L134" s="3" t="n">
        <v>20035.0</v>
      </c>
      <c r="M134" s="3" t="n">
        <v>20780.0</v>
      </c>
      <c r="N134" s="3" t="n">
        <v>21014.0</v>
      </c>
      <c r="O134" s="3" t="n">
        <v>20001.0</v>
      </c>
      <c r="P134" s="3" t="n">
        <v>19905.0</v>
      </c>
      <c r="Q134" s="3" t="n">
        <v>19374.0</v>
      </c>
      <c r="R134" s="3" t="n">
        <v>19659.0</v>
      </c>
      <c r="S134" s="3" t="n">
        <v>19879.0</v>
      </c>
      <c r="T134" s="3" t="n">
        <v>20482.0</v>
      </c>
      <c r="U134" s="3" t="n">
        <v>21251.0</v>
      </c>
      <c r="V134" s="3" t="n">
        <v>20981.0</v>
      </c>
      <c r="W134" s="3" t="n">
        <v>20138.0</v>
      </c>
      <c r="X134" s="3" t="n">
        <v>19219.0</v>
      </c>
      <c r="Y134" s="3" t="n">
        <v>18439.0</v>
      </c>
      <c r="Z134" s="3" t="n">
        <v>17035.0</v>
      </c>
      <c r="AA134" s="3" t="n">
        <v>17824.0</v>
      </c>
      <c r="AB134" s="3" t="n">
        <v>18095.0</v>
      </c>
      <c r="AC134" s="3" t="n">
        <v>18330.0</v>
      </c>
      <c r="AD134" s="3" t="n">
        <v>18415.0</v>
      </c>
      <c r="AE134" s="3" t="n">
        <v>18372.0</v>
      </c>
      <c r="AF134" s="3" t="n">
        <v>18350.0</v>
      </c>
      <c r="AG134" s="3" t="n">
        <v>18381.0</v>
      </c>
      <c r="AH134" s="3" t="n">
        <v>18373.0</v>
      </c>
      <c r="AI134" s="3" t="n">
        <v>18330.0</v>
      </c>
      <c r="AJ134" s="3" t="n">
        <v>18241.0</v>
      </c>
      <c r="AK134" s="3" t="n">
        <v>18147.0</v>
      </c>
      <c r="AL134" s="3" t="n">
        <v>18068.0</v>
      </c>
      <c r="AM134" s="3" t="n">
        <v>18031.0</v>
      </c>
      <c r="AN134" s="3" t="n">
        <v>18039.0</v>
      </c>
      <c r="AO134" s="3" t="n">
        <v>18101.0</v>
      </c>
    </row>
    <row r="135" spans="1:41" x14ac:dyDescent="0.2">
      <c r="A135" s="122"/>
      <c r="B135" s="9">
        <v>24</v>
      </c>
      <c r="C135" s="3" t="n">
        <v>19138.0</v>
      </c>
      <c r="D135" s="3" t="n">
        <v>18502.0</v>
      </c>
      <c r="E135" s="3" t="n">
        <v>18502.0</v>
      </c>
      <c r="F135" s="3" t="n">
        <v>17494.0</v>
      </c>
      <c r="G135" s="3" t="n">
        <v>16823.0</v>
      </c>
      <c r="H135" s="3" t="n">
        <v>16448.0</v>
      </c>
      <c r="I135" s="3" t="n">
        <v>16902.0</v>
      </c>
      <c r="J135" s="3" t="n">
        <v>17288.0</v>
      </c>
      <c r="K135" s="3" t="n">
        <v>17451.0</v>
      </c>
      <c r="L135" s="3" t="n">
        <v>18644.0</v>
      </c>
      <c r="M135" s="3" t="n">
        <v>20069.0</v>
      </c>
      <c r="N135" s="3" t="n">
        <v>20816.0</v>
      </c>
      <c r="O135" s="3" t="n">
        <v>21047.0</v>
      </c>
      <c r="P135" s="3" t="n">
        <v>20036.0</v>
      </c>
      <c r="Q135" s="3" t="n">
        <v>19938.0</v>
      </c>
      <c r="R135" s="3" t="n">
        <v>19404.0</v>
      </c>
      <c r="S135" s="3" t="n">
        <v>19689.0</v>
      </c>
      <c r="T135" s="3" t="n">
        <v>19908.0</v>
      </c>
      <c r="U135" s="3" t="n">
        <v>20511.0</v>
      </c>
      <c r="V135" s="3" t="n">
        <v>21280.0</v>
      </c>
      <c r="W135" s="3" t="n">
        <v>21010.0</v>
      </c>
      <c r="X135" s="3" t="n">
        <v>20168.0</v>
      </c>
      <c r="Y135" s="3" t="n">
        <v>19245.0</v>
      </c>
      <c r="Z135" s="3" t="n">
        <v>18460.0</v>
      </c>
      <c r="AA135" s="3" t="n">
        <v>17059.0</v>
      </c>
      <c r="AB135" s="3" t="n">
        <v>17848.0</v>
      </c>
      <c r="AC135" s="3" t="n">
        <v>18121.0</v>
      </c>
      <c r="AD135" s="3" t="n">
        <v>18354.0</v>
      </c>
      <c r="AE135" s="3" t="n">
        <v>18439.0</v>
      </c>
      <c r="AF135" s="3" t="n">
        <v>18395.0</v>
      </c>
      <c r="AG135" s="3" t="n">
        <v>18374.0</v>
      </c>
      <c r="AH135" s="3" t="n">
        <v>18405.0</v>
      </c>
      <c r="AI135" s="3" t="n">
        <v>18398.0</v>
      </c>
      <c r="AJ135" s="3" t="n">
        <v>18357.0</v>
      </c>
      <c r="AK135" s="3" t="n">
        <v>18270.0</v>
      </c>
      <c r="AL135" s="3" t="n">
        <v>18175.0</v>
      </c>
      <c r="AM135" s="3" t="n">
        <v>18097.0</v>
      </c>
      <c r="AN135" s="3" t="n">
        <v>18061.0</v>
      </c>
      <c r="AO135" s="3" t="n">
        <v>18070.0</v>
      </c>
    </row>
    <row r="136" spans="1:41" x14ac:dyDescent="0.2">
      <c r="A136" s="122"/>
      <c r="B136" s="9">
        <v>25</v>
      </c>
      <c r="C136" s="3" t="n">
        <v>19897.0</v>
      </c>
      <c r="D136" s="3" t="n">
        <v>19184.0</v>
      </c>
      <c r="E136" s="3" t="n">
        <v>18546.0</v>
      </c>
      <c r="F136" s="3" t="n">
        <v>18547.0</v>
      </c>
      <c r="G136" s="3" t="n">
        <v>17549.0</v>
      </c>
      <c r="H136" s="3" t="n">
        <v>16915.0</v>
      </c>
      <c r="I136" s="3" t="n">
        <v>16553.0</v>
      </c>
      <c r="J136" s="3" t="n">
        <v>16979.0</v>
      </c>
      <c r="K136" s="3" t="n">
        <v>17358.0</v>
      </c>
      <c r="L136" s="3" t="n">
        <v>17527.0</v>
      </c>
      <c r="M136" s="3" t="n">
        <v>18719.0</v>
      </c>
      <c r="N136" s="3" t="n">
        <v>20144.0</v>
      </c>
      <c r="O136" s="3" t="n">
        <v>20890.0</v>
      </c>
      <c r="P136" s="3" t="n">
        <v>21113.0</v>
      </c>
      <c r="Q136" s="3" t="n">
        <v>20097.0</v>
      </c>
      <c r="R136" s="3" t="n">
        <v>20003.0</v>
      </c>
      <c r="S136" s="3" t="n">
        <v>19468.0</v>
      </c>
      <c r="T136" s="3" t="n">
        <v>19751.0</v>
      </c>
      <c r="U136" s="3" t="n">
        <v>19972.0</v>
      </c>
      <c r="V136" s="3" t="n">
        <v>20570.0</v>
      </c>
      <c r="W136" s="3" t="n">
        <v>21339.0</v>
      </c>
      <c r="X136" s="3" t="n">
        <v>21068.0</v>
      </c>
      <c r="Y136" s="3" t="n">
        <v>20223.0</v>
      </c>
      <c r="Z136" s="3" t="n">
        <v>19299.0</v>
      </c>
      <c r="AA136" s="3" t="n">
        <v>18512.0</v>
      </c>
      <c r="AB136" s="3" t="n">
        <v>17108.0</v>
      </c>
      <c r="AC136" s="3" t="n">
        <v>17899.0</v>
      </c>
      <c r="AD136" s="3" t="n">
        <v>18170.0</v>
      </c>
      <c r="AE136" s="3" t="n">
        <v>18402.0</v>
      </c>
      <c r="AF136" s="3" t="n">
        <v>18488.0</v>
      </c>
      <c r="AG136" s="3" t="n">
        <v>18446.0</v>
      </c>
      <c r="AH136" s="3" t="n">
        <v>18426.0</v>
      </c>
      <c r="AI136" s="3" t="n">
        <v>18457.0</v>
      </c>
      <c r="AJ136" s="3" t="n">
        <v>18450.0</v>
      </c>
      <c r="AK136" s="3" t="n">
        <v>18408.0</v>
      </c>
      <c r="AL136" s="3" t="n">
        <v>18323.0</v>
      </c>
      <c r="AM136" s="3" t="n">
        <v>18227.0</v>
      </c>
      <c r="AN136" s="3" t="n">
        <v>18150.0</v>
      </c>
      <c r="AO136" s="3" t="n">
        <v>18115.0</v>
      </c>
    </row>
    <row r="137" spans="1:41" x14ac:dyDescent="0.2">
      <c r="A137" s="122"/>
      <c r="B137" s="9">
        <v>26</v>
      </c>
      <c r="C137" s="3" t="n">
        <v>20822.0</v>
      </c>
      <c r="D137" s="3" t="n">
        <v>19959.0</v>
      </c>
      <c r="E137" s="3" t="n">
        <v>19249.0</v>
      </c>
      <c r="F137" s="3" t="n">
        <v>18605.0</v>
      </c>
      <c r="G137" s="3" t="n">
        <v>18608.0</v>
      </c>
      <c r="H137" s="3" t="n">
        <v>17649.0</v>
      </c>
      <c r="I137" s="3" t="n">
        <v>17038.0</v>
      </c>
      <c r="J137" s="3" t="n">
        <v>16650.0</v>
      </c>
      <c r="K137" s="3" t="n">
        <v>17065.0</v>
      </c>
      <c r="L137" s="3" t="n">
        <v>17444.0</v>
      </c>
      <c r="M137" s="3" t="n">
        <v>17617.0</v>
      </c>
      <c r="N137" s="3" t="n">
        <v>18814.0</v>
      </c>
      <c r="O137" s="3" t="n">
        <v>20234.0</v>
      </c>
      <c r="P137" s="3" t="n">
        <v>20975.0</v>
      </c>
      <c r="Q137" s="3" t="n">
        <v>21194.0</v>
      </c>
      <c r="R137" s="3" t="n">
        <v>20182.0</v>
      </c>
      <c r="S137" s="3" t="n">
        <v>20094.0</v>
      </c>
      <c r="T137" s="3" t="n">
        <v>19554.0</v>
      </c>
      <c r="U137" s="3" t="n">
        <v>19835.0</v>
      </c>
      <c r="V137" s="3" t="n">
        <v>20057.0</v>
      </c>
      <c r="W137" s="3" t="n">
        <v>20653.0</v>
      </c>
      <c r="X137" s="3" t="n">
        <v>21420.0</v>
      </c>
      <c r="Y137" s="3" t="n">
        <v>21149.0</v>
      </c>
      <c r="Z137" s="3" t="n">
        <v>20300.0</v>
      </c>
      <c r="AA137" s="3" t="n">
        <v>19362.0</v>
      </c>
      <c r="AB137" s="3" t="n">
        <v>18575.0</v>
      </c>
      <c r="AC137" s="3" t="n">
        <v>17169.0</v>
      </c>
      <c r="AD137" s="3" t="n">
        <v>17956.0</v>
      </c>
      <c r="AE137" s="3" t="n">
        <v>18228.0</v>
      </c>
      <c r="AF137" s="3" t="n">
        <v>18460.0</v>
      </c>
      <c r="AG137" s="3" t="n">
        <v>18545.0</v>
      </c>
      <c r="AH137" s="3" t="n">
        <v>18503.0</v>
      </c>
      <c r="AI137" s="3" t="n">
        <v>18483.0</v>
      </c>
      <c r="AJ137" s="3" t="n">
        <v>18515.0</v>
      </c>
      <c r="AK137" s="3" t="n">
        <v>18508.0</v>
      </c>
      <c r="AL137" s="3" t="n">
        <v>18466.0</v>
      </c>
      <c r="AM137" s="3" t="n">
        <v>18381.0</v>
      </c>
      <c r="AN137" s="3" t="n">
        <v>18287.0</v>
      </c>
      <c r="AO137" s="3" t="n">
        <v>18211.0</v>
      </c>
    </row>
    <row r="138" spans="1:41" x14ac:dyDescent="0.2">
      <c r="A138" s="122"/>
      <c r="B138" s="9">
        <v>27</v>
      </c>
      <c r="C138" s="3" t="n">
        <v>21721.0</v>
      </c>
      <c r="D138" s="3" t="n">
        <v>20883.0</v>
      </c>
      <c r="E138" s="3" t="n">
        <v>20018.0</v>
      </c>
      <c r="F138" s="3" t="n">
        <v>19314.0</v>
      </c>
      <c r="G138" s="3" t="n">
        <v>18673.0</v>
      </c>
      <c r="H138" s="3" t="n">
        <v>18713.0</v>
      </c>
      <c r="I138" s="3" t="n">
        <v>17768.0</v>
      </c>
      <c r="J138" s="3" t="n">
        <v>17134.0</v>
      </c>
      <c r="K138" s="3" t="n">
        <v>16733.0</v>
      </c>
      <c r="L138" s="3" t="n">
        <v>17142.0</v>
      </c>
      <c r="M138" s="3" t="n">
        <v>17526.0</v>
      </c>
      <c r="N138" s="3" t="n">
        <v>17709.0</v>
      </c>
      <c r="O138" s="3" t="n">
        <v>18906.0</v>
      </c>
      <c r="P138" s="3" t="n">
        <v>20336.0</v>
      </c>
      <c r="Q138" s="3" t="n">
        <v>21080.0</v>
      </c>
      <c r="R138" s="3" t="n">
        <v>21289.0</v>
      </c>
      <c r="S138" s="3" t="n">
        <v>20271.0</v>
      </c>
      <c r="T138" s="3" t="n">
        <v>20187.0</v>
      </c>
      <c r="U138" s="3" t="n">
        <v>19640.0</v>
      </c>
      <c r="V138" s="3" t="n">
        <v>19918.0</v>
      </c>
      <c r="W138" s="3" t="n">
        <v>20139.0</v>
      </c>
      <c r="X138" s="3" t="n">
        <v>20736.0</v>
      </c>
      <c r="Y138" s="3" t="n">
        <v>21504.0</v>
      </c>
      <c r="Z138" s="3" t="n">
        <v>21230.0</v>
      </c>
      <c r="AA138" s="3" t="n">
        <v>20379.0</v>
      </c>
      <c r="AB138" s="3" t="n">
        <v>19437.0</v>
      </c>
      <c r="AC138" s="3" t="n">
        <v>18640.0</v>
      </c>
      <c r="AD138" s="3" t="n">
        <v>17239.0</v>
      </c>
      <c r="AE138" s="3" t="n">
        <v>18023.0</v>
      </c>
      <c r="AF138" s="3" t="n">
        <v>18293.0</v>
      </c>
      <c r="AG138" s="3" t="n">
        <v>18525.0</v>
      </c>
      <c r="AH138" s="3" t="n">
        <v>18610.0</v>
      </c>
      <c r="AI138" s="3" t="n">
        <v>18569.0</v>
      </c>
      <c r="AJ138" s="3" t="n">
        <v>18549.0</v>
      </c>
      <c r="AK138" s="3" t="n">
        <v>18582.0</v>
      </c>
      <c r="AL138" s="3" t="n">
        <v>18577.0</v>
      </c>
      <c r="AM138" s="3" t="n">
        <v>18537.0</v>
      </c>
      <c r="AN138" s="3" t="n">
        <v>18455.0</v>
      </c>
      <c r="AO138" s="3" t="n">
        <v>18363.0</v>
      </c>
    </row>
    <row r="139" spans="1:41" x14ac:dyDescent="0.2">
      <c r="A139" s="122"/>
      <c r="B139" s="9">
        <v>28</v>
      </c>
      <c r="C139" s="3" t="n">
        <v>23163.0</v>
      </c>
      <c r="D139" s="3" t="n">
        <v>21794.0</v>
      </c>
      <c r="E139" s="3" t="n">
        <v>20958.0</v>
      </c>
      <c r="F139" s="3" t="n">
        <v>20093.0</v>
      </c>
      <c r="G139" s="3" t="n">
        <v>19393.0</v>
      </c>
      <c r="H139" s="3" t="n">
        <v>18791.0</v>
      </c>
      <c r="I139" s="3" t="n">
        <v>18845.0</v>
      </c>
      <c r="J139" s="3" t="n">
        <v>17878.0</v>
      </c>
      <c r="K139" s="3" t="n">
        <v>17239.0</v>
      </c>
      <c r="L139" s="3" t="n">
        <v>16837.0</v>
      </c>
      <c r="M139" s="3" t="n">
        <v>17241.0</v>
      </c>
      <c r="N139" s="3" t="n">
        <v>17626.0</v>
      </c>
      <c r="O139" s="3" t="n">
        <v>17821.0</v>
      </c>
      <c r="P139" s="3" t="n">
        <v>19022.0</v>
      </c>
      <c r="Q139" s="3" t="n">
        <v>20450.0</v>
      </c>
      <c r="R139" s="3" t="n">
        <v>21195.0</v>
      </c>
      <c r="S139" s="3" t="n">
        <v>21405.0</v>
      </c>
      <c r="T139" s="3" t="n">
        <v>20378.0</v>
      </c>
      <c r="U139" s="3" t="n">
        <v>20288.0</v>
      </c>
      <c r="V139" s="3" t="n">
        <v>19745.0</v>
      </c>
      <c r="W139" s="3" t="n">
        <v>20021.0</v>
      </c>
      <c r="X139" s="3" t="n">
        <v>20236.0</v>
      </c>
      <c r="Y139" s="3" t="n">
        <v>20842.0</v>
      </c>
      <c r="Z139" s="3" t="n">
        <v>21605.0</v>
      </c>
      <c r="AA139" s="3" t="n">
        <v>21321.0</v>
      </c>
      <c r="AB139" s="3" t="n">
        <v>20475.0</v>
      </c>
      <c r="AC139" s="3" t="n">
        <v>19527.0</v>
      </c>
      <c r="AD139" s="3" t="n">
        <v>18724.0</v>
      </c>
      <c r="AE139" s="3" t="n">
        <v>17323.0</v>
      </c>
      <c r="AF139" s="3" t="n">
        <v>18103.0</v>
      </c>
      <c r="AG139" s="3" t="n">
        <v>18375.0</v>
      </c>
      <c r="AH139" s="3" t="n">
        <v>18606.0</v>
      </c>
      <c r="AI139" s="3" t="n">
        <v>18692.0</v>
      </c>
      <c r="AJ139" s="3" t="n">
        <v>18650.0</v>
      </c>
      <c r="AK139" s="3" t="n">
        <v>18630.0</v>
      </c>
      <c r="AL139" s="3" t="n">
        <v>18665.0</v>
      </c>
      <c r="AM139" s="3" t="n">
        <v>18661.0</v>
      </c>
      <c r="AN139" s="3" t="n">
        <v>18621.0</v>
      </c>
      <c r="AO139" s="3" t="n">
        <v>18542.0</v>
      </c>
    </row>
    <row r="140" spans="1:41" x14ac:dyDescent="0.2">
      <c r="A140" s="122"/>
      <c r="B140" s="9">
        <v>29</v>
      </c>
      <c r="C140" s="3" t="n">
        <v>23964.0</v>
      </c>
      <c r="D140" s="3" t="n">
        <v>23248.0</v>
      </c>
      <c r="E140" s="3" t="n">
        <v>21882.0</v>
      </c>
      <c r="F140" s="3" t="n">
        <v>21050.0</v>
      </c>
      <c r="G140" s="3" t="n">
        <v>20181.0</v>
      </c>
      <c r="H140" s="3" t="n">
        <v>19519.0</v>
      </c>
      <c r="I140" s="3" t="n">
        <v>18929.0</v>
      </c>
      <c r="J140" s="3" t="n">
        <v>18958.0</v>
      </c>
      <c r="K140" s="3" t="n">
        <v>17983.0</v>
      </c>
      <c r="L140" s="3" t="n">
        <v>17338.0</v>
      </c>
      <c r="M140" s="3" t="n">
        <v>16939.0</v>
      </c>
      <c r="N140" s="3" t="n">
        <v>17346.0</v>
      </c>
      <c r="O140" s="3" t="n">
        <v>17733.0</v>
      </c>
      <c r="P140" s="3" t="n">
        <v>17939.0</v>
      </c>
      <c r="Q140" s="3" t="n">
        <v>19146.0</v>
      </c>
      <c r="R140" s="3" t="n">
        <v>20575.0</v>
      </c>
      <c r="S140" s="3" t="n">
        <v>21320.0</v>
      </c>
      <c r="T140" s="3" t="n">
        <v>21527.0</v>
      </c>
      <c r="U140" s="3" t="n">
        <v>20500.0</v>
      </c>
      <c r="V140" s="3" t="n">
        <v>20407.0</v>
      </c>
      <c r="W140" s="3" t="n">
        <v>19859.0</v>
      </c>
      <c r="X140" s="3" t="n">
        <v>20138.0</v>
      </c>
      <c r="Y140" s="3" t="n">
        <v>20355.0</v>
      </c>
      <c r="Z140" s="3" t="n">
        <v>20956.0</v>
      </c>
      <c r="AA140" s="3" t="n">
        <v>21722.0</v>
      </c>
      <c r="AB140" s="3" t="n">
        <v>21431.0</v>
      </c>
      <c r="AC140" s="3" t="n">
        <v>20581.0</v>
      </c>
      <c r="AD140" s="3" t="n">
        <v>19631.0</v>
      </c>
      <c r="AE140" s="3" t="n">
        <v>18819.0</v>
      </c>
      <c r="AF140" s="3" t="n">
        <v>17421.0</v>
      </c>
      <c r="AG140" s="3" t="n">
        <v>18204.0</v>
      </c>
      <c r="AH140" s="3" t="n">
        <v>18471.0</v>
      </c>
      <c r="AI140" s="3" t="n">
        <v>18702.0</v>
      </c>
      <c r="AJ140" s="3" t="n">
        <v>18790.0</v>
      </c>
      <c r="AK140" s="3" t="n">
        <v>18751.0</v>
      </c>
      <c r="AL140" s="3" t="n">
        <v>18730.0</v>
      </c>
      <c r="AM140" s="3" t="n">
        <v>18767.0</v>
      </c>
      <c r="AN140" s="3" t="n">
        <v>18764.0</v>
      </c>
      <c r="AO140" s="3" t="n">
        <v>18724.0</v>
      </c>
    </row>
    <row r="141" spans="1:41" x14ac:dyDescent="0.2">
      <c r="A141" s="122"/>
      <c r="B141" s="9">
        <v>30</v>
      </c>
      <c r="C141" s="3" t="n">
        <v>25483.0</v>
      </c>
      <c r="D141" s="3" t="n">
        <v>24052.0</v>
      </c>
      <c r="E141" s="3" t="n">
        <v>23339.0</v>
      </c>
      <c r="F141" s="3" t="n">
        <v>21967.0</v>
      </c>
      <c r="G141" s="3" t="n">
        <v>21141.0</v>
      </c>
      <c r="H141" s="3" t="n">
        <v>20323.0</v>
      </c>
      <c r="I141" s="3" t="n">
        <v>19676.0</v>
      </c>
      <c r="J141" s="3" t="n">
        <v>19050.0</v>
      </c>
      <c r="K141" s="3" t="n">
        <v>19067.0</v>
      </c>
      <c r="L141" s="3" t="n">
        <v>18095.0</v>
      </c>
      <c r="M141" s="3" t="n">
        <v>17450.0</v>
      </c>
      <c r="N141" s="3" t="n">
        <v>17051.0</v>
      </c>
      <c r="O141" s="3" t="n">
        <v>17460.0</v>
      </c>
      <c r="P141" s="3" t="n">
        <v>17851.0</v>
      </c>
      <c r="Q141" s="3" t="n">
        <v>18067.0</v>
      </c>
      <c r="R141" s="3" t="n">
        <v>19278.0</v>
      </c>
      <c r="S141" s="3" t="n">
        <v>20708.0</v>
      </c>
      <c r="T141" s="3" t="n">
        <v>21451.0</v>
      </c>
      <c r="U141" s="3" t="n">
        <v>21658.0</v>
      </c>
      <c r="V141" s="3" t="n">
        <v>20626.0</v>
      </c>
      <c r="W141" s="3" t="n">
        <v>20533.0</v>
      </c>
      <c r="X141" s="3" t="n">
        <v>19977.0</v>
      </c>
      <c r="Y141" s="3" t="n">
        <v>20259.0</v>
      </c>
      <c r="Z141" s="3" t="n">
        <v>20477.0</v>
      </c>
      <c r="AA141" s="3" t="n">
        <v>21077.0</v>
      </c>
      <c r="AB141" s="3" t="n">
        <v>21843.0</v>
      </c>
      <c r="AC141" s="3" t="n">
        <v>21543.0</v>
      </c>
      <c r="AD141" s="3" t="n">
        <v>20688.0</v>
      </c>
      <c r="AE141" s="3" t="n">
        <v>19738.0</v>
      </c>
      <c r="AF141" s="3" t="n">
        <v>18921.0</v>
      </c>
      <c r="AG141" s="3" t="n">
        <v>17517.0</v>
      </c>
      <c r="AH141" s="3" t="n">
        <v>18300.0</v>
      </c>
      <c r="AI141" s="3" t="n">
        <v>18567.0</v>
      </c>
      <c r="AJ141" s="3" t="n">
        <v>18800.0</v>
      </c>
      <c r="AK141" s="3" t="n">
        <v>18889.0</v>
      </c>
      <c r="AL141" s="3" t="n">
        <v>18849.0</v>
      </c>
      <c r="AM141" s="3" t="n">
        <v>18829.0</v>
      </c>
      <c r="AN141" s="3" t="n">
        <v>18867.0</v>
      </c>
      <c r="AO141" s="3" t="n">
        <v>18866.0</v>
      </c>
    </row>
    <row r="142" spans="1:41" x14ac:dyDescent="0.2">
      <c r="A142" s="122"/>
      <c r="B142" s="9">
        <v>31</v>
      </c>
      <c r="C142" s="3" t="n">
        <v>26780.0</v>
      </c>
      <c r="D142" s="3" t="n">
        <v>25547.0</v>
      </c>
      <c r="E142" s="3" t="n">
        <v>24129.0</v>
      </c>
      <c r="F142" s="3" t="n">
        <v>23421.0</v>
      </c>
      <c r="G142" s="3" t="n">
        <v>22043.0</v>
      </c>
      <c r="H142" s="3" t="n">
        <v>21269.0</v>
      </c>
      <c r="I142" s="3" t="n">
        <v>20478.0</v>
      </c>
      <c r="J142" s="3" t="n">
        <v>19791.0</v>
      </c>
      <c r="K142" s="3" t="n">
        <v>19150.0</v>
      </c>
      <c r="L142" s="3" t="n">
        <v>19156.0</v>
      </c>
      <c r="M142" s="3" t="n">
        <v>18184.0</v>
      </c>
      <c r="N142" s="3" t="n">
        <v>17548.0</v>
      </c>
      <c r="O142" s="3" t="n">
        <v>17147.0</v>
      </c>
      <c r="P142" s="3" t="n">
        <v>17561.0</v>
      </c>
      <c r="Q142" s="3" t="n">
        <v>17953.0</v>
      </c>
      <c r="R142" s="3" t="n">
        <v>18178.0</v>
      </c>
      <c r="S142" s="3" t="n">
        <v>19391.0</v>
      </c>
      <c r="T142" s="3" t="n">
        <v>20821.0</v>
      </c>
      <c r="U142" s="3" t="n">
        <v>21565.0</v>
      </c>
      <c r="V142" s="3" t="n">
        <v>21769.0</v>
      </c>
      <c r="W142" s="3" t="n">
        <v>20737.0</v>
      </c>
      <c r="X142" s="3" t="n">
        <v>20637.0</v>
      </c>
      <c r="Y142" s="3" t="n">
        <v>20084.0</v>
      </c>
      <c r="Z142" s="3" t="n">
        <v>20362.0</v>
      </c>
      <c r="AA142" s="3" t="n">
        <v>20580.0</v>
      </c>
      <c r="AB142" s="3" t="n">
        <v>21183.0</v>
      </c>
      <c r="AC142" s="3" t="n">
        <v>21950.0</v>
      </c>
      <c r="AD142" s="3" t="n">
        <v>21640.0</v>
      </c>
      <c r="AE142" s="3" t="n">
        <v>20786.0</v>
      </c>
      <c r="AF142" s="3" t="n">
        <v>19836.0</v>
      </c>
      <c r="AG142" s="3" t="n">
        <v>19012.0</v>
      </c>
      <c r="AH142" s="3" t="n">
        <v>17604.0</v>
      </c>
      <c r="AI142" s="3" t="n">
        <v>18389.0</v>
      </c>
      <c r="AJ142" s="3" t="n">
        <v>18651.0</v>
      </c>
      <c r="AK142" s="3" t="n">
        <v>18883.0</v>
      </c>
      <c r="AL142" s="3" t="n">
        <v>18976.0</v>
      </c>
      <c r="AM142" s="3" t="n">
        <v>18933.0</v>
      </c>
      <c r="AN142" s="3" t="n">
        <v>18910.0</v>
      </c>
      <c r="AO142" s="3" t="n">
        <v>18952.0</v>
      </c>
    </row>
    <row r="143" spans="1:41" x14ac:dyDescent="0.2">
      <c r="A143" s="122"/>
      <c r="B143" s="9">
        <v>32</v>
      </c>
      <c r="C143" s="3" t="n">
        <v>26793.0</v>
      </c>
      <c r="D143" s="3" t="n">
        <v>26834.0</v>
      </c>
      <c r="E143" s="3" t="n">
        <v>25606.0</v>
      </c>
      <c r="F143" s="3" t="n">
        <v>24187.0</v>
      </c>
      <c r="G143" s="3" t="n">
        <v>23486.0</v>
      </c>
      <c r="H143" s="3" t="n">
        <v>22169.0</v>
      </c>
      <c r="I143" s="3" t="n">
        <v>21417.0</v>
      </c>
      <c r="J143" s="3" t="n">
        <v>20586.0</v>
      </c>
      <c r="K143" s="3" t="n">
        <v>19881.0</v>
      </c>
      <c r="L143" s="3" t="n">
        <v>19231.0</v>
      </c>
      <c r="M143" s="3" t="n">
        <v>19235.0</v>
      </c>
      <c r="N143" s="3" t="n">
        <v>18265.0</v>
      </c>
      <c r="O143" s="3" t="n">
        <v>17635.0</v>
      </c>
      <c r="P143" s="3" t="n">
        <v>17235.0</v>
      </c>
      <c r="Q143" s="3" t="n">
        <v>17655.0</v>
      </c>
      <c r="R143" s="3" t="n">
        <v>18055.0</v>
      </c>
      <c r="S143" s="3" t="n">
        <v>18281.0</v>
      </c>
      <c r="T143" s="3" t="n">
        <v>19493.0</v>
      </c>
      <c r="U143" s="3" t="n">
        <v>20928.0</v>
      </c>
      <c r="V143" s="3" t="n">
        <v>21673.0</v>
      </c>
      <c r="W143" s="3" t="n">
        <v>21874.0</v>
      </c>
      <c r="X143" s="3" t="n">
        <v>20839.0</v>
      </c>
      <c r="Y143" s="3" t="n">
        <v>20741.0</v>
      </c>
      <c r="Z143" s="3" t="n">
        <v>20183.0</v>
      </c>
      <c r="AA143" s="3" t="n">
        <v>20460.0</v>
      </c>
      <c r="AB143" s="3" t="n">
        <v>20676.0</v>
      </c>
      <c r="AC143" s="3" t="n">
        <v>21275.0</v>
      </c>
      <c r="AD143" s="3" t="n">
        <v>22048.0</v>
      </c>
      <c r="AE143" s="3" t="n">
        <v>21735.0</v>
      </c>
      <c r="AF143" s="3" t="n">
        <v>20875.0</v>
      </c>
      <c r="AG143" s="3" t="n">
        <v>19920.0</v>
      </c>
      <c r="AH143" s="3" t="n">
        <v>19100.0</v>
      </c>
      <c r="AI143" s="3" t="n">
        <v>17686.0</v>
      </c>
      <c r="AJ143" s="3" t="n">
        <v>18471.0</v>
      </c>
      <c r="AK143" s="3" t="n">
        <v>18728.0</v>
      </c>
      <c r="AL143" s="3" t="n">
        <v>18965.0</v>
      </c>
      <c r="AM143" s="3" t="n">
        <v>19058.0</v>
      </c>
      <c r="AN143" s="3" t="n">
        <v>19014.0</v>
      </c>
      <c r="AO143" s="3" t="n">
        <v>18994.0</v>
      </c>
    </row>
    <row r="144" spans="1:41" x14ac:dyDescent="0.2">
      <c r="A144" s="122"/>
      <c r="B144" s="9">
        <v>33</v>
      </c>
      <c r="C144" s="3" t="n">
        <v>26463.0</v>
      </c>
      <c r="D144" s="3" t="n">
        <v>26839.0</v>
      </c>
      <c r="E144" s="3" t="n">
        <v>26878.0</v>
      </c>
      <c r="F144" s="3" t="n">
        <v>25656.0</v>
      </c>
      <c r="G144" s="3" t="n">
        <v>24240.0</v>
      </c>
      <c r="H144" s="3" t="n">
        <v>23584.0</v>
      </c>
      <c r="I144" s="3" t="n">
        <v>22296.0</v>
      </c>
      <c r="J144" s="3" t="n">
        <v>21509.0</v>
      </c>
      <c r="K144" s="3" t="n">
        <v>20662.0</v>
      </c>
      <c r="L144" s="3" t="n">
        <v>19949.0</v>
      </c>
      <c r="M144" s="3" t="n">
        <v>19298.0</v>
      </c>
      <c r="N144" s="3" t="n">
        <v>19305.0</v>
      </c>
      <c r="O144" s="3" t="n">
        <v>18335.0</v>
      </c>
      <c r="P144" s="3" t="n">
        <v>17710.0</v>
      </c>
      <c r="Q144" s="3" t="n">
        <v>17316.0</v>
      </c>
      <c r="R144" s="3" t="n">
        <v>17740.0</v>
      </c>
      <c r="S144" s="3" t="n">
        <v>18152.0</v>
      </c>
      <c r="T144" s="3" t="n">
        <v>18375.0</v>
      </c>
      <c r="U144" s="3" t="n">
        <v>19591.0</v>
      </c>
      <c r="V144" s="3" t="n">
        <v>21029.0</v>
      </c>
      <c r="W144" s="3" t="n">
        <v>21768.0</v>
      </c>
      <c r="X144" s="3" t="n">
        <v>21963.0</v>
      </c>
      <c r="Y144" s="3" t="n">
        <v>20935.0</v>
      </c>
      <c r="Z144" s="3" t="n">
        <v>20840.0</v>
      </c>
      <c r="AA144" s="3" t="n">
        <v>20278.0</v>
      </c>
      <c r="AB144" s="3" t="n">
        <v>20557.0</v>
      </c>
      <c r="AC144" s="3" t="n">
        <v>20768.0</v>
      </c>
      <c r="AD144" s="3" t="n">
        <v>21366.0</v>
      </c>
      <c r="AE144" s="3" t="n">
        <v>22139.0</v>
      </c>
      <c r="AF144" s="3" t="n">
        <v>21823.0</v>
      </c>
      <c r="AG144" s="3" t="n">
        <v>20957.0</v>
      </c>
      <c r="AH144" s="3" t="n">
        <v>20001.0</v>
      </c>
      <c r="AI144" s="3" t="n">
        <v>19187.0</v>
      </c>
      <c r="AJ144" s="3" t="n">
        <v>17770.0</v>
      </c>
      <c r="AK144" s="3" t="n">
        <v>18556.0</v>
      </c>
      <c r="AL144" s="3" t="n">
        <v>18812.0</v>
      </c>
      <c r="AM144" s="3" t="n">
        <v>19048.0</v>
      </c>
      <c r="AN144" s="3" t="n">
        <v>19143.0</v>
      </c>
      <c r="AO144" s="3" t="n">
        <v>19100.0</v>
      </c>
    </row>
    <row r="145" spans="1:41" x14ac:dyDescent="0.2">
      <c r="A145" s="122"/>
      <c r="B145" s="9">
        <v>34</v>
      </c>
      <c r="C145" s="3" t="n">
        <v>27122.0</v>
      </c>
      <c r="D145" s="3" t="n">
        <v>26508.0</v>
      </c>
      <c r="E145" s="3" t="n">
        <v>26885.0</v>
      </c>
      <c r="F145" s="3" t="n">
        <v>26919.0</v>
      </c>
      <c r="G145" s="3" t="n">
        <v>25697.0</v>
      </c>
      <c r="H145" s="3" t="n">
        <v>24346.0</v>
      </c>
      <c r="I145" s="3" t="n">
        <v>23706.0</v>
      </c>
      <c r="J145" s="3" t="n">
        <v>22387.0</v>
      </c>
      <c r="K145" s="3" t="n">
        <v>21584.0</v>
      </c>
      <c r="L145" s="3" t="n">
        <v>20734.0</v>
      </c>
      <c r="M145" s="3" t="n">
        <v>20010.0</v>
      </c>
      <c r="N145" s="3" t="n">
        <v>19358.0</v>
      </c>
      <c r="O145" s="3" t="n">
        <v>19371.0</v>
      </c>
      <c r="P145" s="3" t="n">
        <v>18406.0</v>
      </c>
      <c r="Q145" s="3" t="n">
        <v>17786.0</v>
      </c>
      <c r="R145" s="3" t="n">
        <v>17397.0</v>
      </c>
      <c r="S145" s="3" t="n">
        <v>17819.0</v>
      </c>
      <c r="T145" s="3" t="n">
        <v>18238.0</v>
      </c>
      <c r="U145" s="3" t="n">
        <v>18467.0</v>
      </c>
      <c r="V145" s="3" t="n">
        <v>19684.0</v>
      </c>
      <c r="W145" s="3" t="n">
        <v>21118.0</v>
      </c>
      <c r="X145" s="3" t="n">
        <v>21864.0</v>
      </c>
      <c r="Y145" s="3" t="n">
        <v>22053.0</v>
      </c>
      <c r="Z145" s="3" t="n">
        <v>21028.0</v>
      </c>
      <c r="AA145" s="3" t="n">
        <v>20931.0</v>
      </c>
      <c r="AB145" s="3" t="n">
        <v>20372.0</v>
      </c>
      <c r="AC145" s="3" t="n">
        <v>20655.0</v>
      </c>
      <c r="AD145" s="3" t="n">
        <v>20859.0</v>
      </c>
      <c r="AE145" s="3" t="n">
        <v>21457.0</v>
      </c>
      <c r="AF145" s="3" t="n">
        <v>22227.0</v>
      </c>
      <c r="AG145" s="3" t="n">
        <v>21910.0</v>
      </c>
      <c r="AH145" s="3" t="n">
        <v>21041.0</v>
      </c>
      <c r="AI145" s="3" t="n">
        <v>20083.0</v>
      </c>
      <c r="AJ145" s="3" t="n">
        <v>19265.0</v>
      </c>
      <c r="AK145" s="3" t="n">
        <v>17845.0</v>
      </c>
      <c r="AL145" s="3" t="n">
        <v>18631.0</v>
      </c>
      <c r="AM145" s="3" t="n">
        <v>18892.0</v>
      </c>
      <c r="AN145" s="3" t="n">
        <v>19127.0</v>
      </c>
      <c r="AO145" s="3" t="n">
        <v>19222.0</v>
      </c>
    </row>
    <row r="146" spans="1:41" x14ac:dyDescent="0.2">
      <c r="A146" s="122"/>
      <c r="B146" s="9">
        <v>35</v>
      </c>
      <c r="C146" s="3" t="n">
        <v>27219.0</v>
      </c>
      <c r="D146" s="3" t="n">
        <v>27148.0</v>
      </c>
      <c r="E146" s="3" t="n">
        <v>26539.0</v>
      </c>
      <c r="F146" s="3" t="n">
        <v>26918.0</v>
      </c>
      <c r="G146" s="3" t="n">
        <v>26953.0</v>
      </c>
      <c r="H146" s="3" t="n">
        <v>25791.0</v>
      </c>
      <c r="I146" s="3" t="n">
        <v>24457.0</v>
      </c>
      <c r="J146" s="3" t="n">
        <v>23783.0</v>
      </c>
      <c r="K146" s="3" t="n">
        <v>22436.0</v>
      </c>
      <c r="L146" s="3" t="n">
        <v>21637.0</v>
      </c>
      <c r="M146" s="3" t="n">
        <v>20788.0</v>
      </c>
      <c r="N146" s="3" t="n">
        <v>20060.0</v>
      </c>
      <c r="O146" s="3" t="n">
        <v>19409.0</v>
      </c>
      <c r="P146" s="3" t="n">
        <v>19427.0</v>
      </c>
      <c r="Q146" s="3" t="n">
        <v>18467.0</v>
      </c>
      <c r="R146" s="3" t="n">
        <v>17851.0</v>
      </c>
      <c r="S146" s="3" t="n">
        <v>17465.0</v>
      </c>
      <c r="T146" s="3" t="n">
        <v>17887.0</v>
      </c>
      <c r="U146" s="3" t="n">
        <v>18312.0</v>
      </c>
      <c r="V146" s="3" t="n">
        <v>18545.0</v>
      </c>
      <c r="W146" s="3" t="n">
        <v>19759.0</v>
      </c>
      <c r="X146" s="3" t="n">
        <v>21198.0</v>
      </c>
      <c r="Y146" s="3" t="n">
        <v>21937.0</v>
      </c>
      <c r="Z146" s="3" t="n">
        <v>22125.0</v>
      </c>
      <c r="AA146" s="3" t="n">
        <v>21099.0</v>
      </c>
      <c r="AB146" s="3" t="n">
        <v>21004.0</v>
      </c>
      <c r="AC146" s="3" t="n">
        <v>20445.0</v>
      </c>
      <c r="AD146" s="3" t="n">
        <v>20725.0</v>
      </c>
      <c r="AE146" s="3" t="n">
        <v>20932.0</v>
      </c>
      <c r="AF146" s="3" t="n">
        <v>21526.0</v>
      </c>
      <c r="AG146" s="3" t="n">
        <v>22294.0</v>
      </c>
      <c r="AH146" s="3" t="n">
        <v>21977.0</v>
      </c>
      <c r="AI146" s="3" t="n">
        <v>21107.0</v>
      </c>
      <c r="AJ146" s="3" t="n">
        <v>20155.0</v>
      </c>
      <c r="AK146" s="3" t="n">
        <v>19337.0</v>
      </c>
      <c r="AL146" s="3" t="n">
        <v>17916.0</v>
      </c>
      <c r="AM146" s="3" t="n">
        <v>18698.0</v>
      </c>
      <c r="AN146" s="3" t="n">
        <v>18958.0</v>
      </c>
      <c r="AO146" s="3" t="n">
        <v>19191.0</v>
      </c>
    </row>
    <row r="147" spans="1:41" x14ac:dyDescent="0.2">
      <c r="A147" s="122"/>
      <c r="B147" s="9">
        <v>36</v>
      </c>
      <c r="C147" s="3" t="n">
        <v>27988.0</v>
      </c>
      <c r="D147" s="3" t="n">
        <v>27245.0</v>
      </c>
      <c r="E147" s="3" t="n">
        <v>27181.0</v>
      </c>
      <c r="F147" s="3" t="n">
        <v>26569.0</v>
      </c>
      <c r="G147" s="3" t="n">
        <v>26945.0</v>
      </c>
      <c r="H147" s="3" t="n">
        <v>27036.0</v>
      </c>
      <c r="I147" s="3" t="n">
        <v>25894.0</v>
      </c>
      <c r="J147" s="3" t="n">
        <v>24516.0</v>
      </c>
      <c r="K147" s="3" t="n">
        <v>23823.0</v>
      </c>
      <c r="L147" s="3" t="n">
        <v>22476.0</v>
      </c>
      <c r="M147" s="3" t="n">
        <v>21680.0</v>
      </c>
      <c r="N147" s="3" t="n">
        <v>20829.0</v>
      </c>
      <c r="O147" s="3" t="n">
        <v>20103.0</v>
      </c>
      <c r="P147" s="3" t="n">
        <v>19454.0</v>
      </c>
      <c r="Q147" s="3" t="n">
        <v>19470.0</v>
      </c>
      <c r="R147" s="3" t="n">
        <v>18522.0</v>
      </c>
      <c r="S147" s="3" t="n">
        <v>17911.0</v>
      </c>
      <c r="T147" s="3" t="n">
        <v>17531.0</v>
      </c>
      <c r="U147" s="3" t="n">
        <v>17951.0</v>
      </c>
      <c r="V147" s="3" t="n">
        <v>18376.0</v>
      </c>
      <c r="W147" s="3" t="n">
        <v>18615.0</v>
      </c>
      <c r="X147" s="3" t="n">
        <v>19833.0</v>
      </c>
      <c r="Y147" s="3" t="n">
        <v>21275.0</v>
      </c>
      <c r="Z147" s="3" t="n">
        <v>22008.0</v>
      </c>
      <c r="AA147" s="3" t="n">
        <v>22194.0</v>
      </c>
      <c r="AB147" s="3" t="n">
        <v>21171.0</v>
      </c>
      <c r="AC147" s="3" t="n">
        <v>21082.0</v>
      </c>
      <c r="AD147" s="3" t="n">
        <v>20516.0</v>
      </c>
      <c r="AE147" s="3" t="n">
        <v>20796.0</v>
      </c>
      <c r="AF147" s="3" t="n">
        <v>21002.0</v>
      </c>
      <c r="AG147" s="3" t="n">
        <v>21596.0</v>
      </c>
      <c r="AH147" s="3" t="n">
        <v>22363.0</v>
      </c>
      <c r="AI147" s="3" t="n">
        <v>22043.0</v>
      </c>
      <c r="AJ147" s="3" t="n">
        <v>21167.0</v>
      </c>
      <c r="AK147" s="3" t="n">
        <v>20214.0</v>
      </c>
      <c r="AL147" s="3" t="n">
        <v>19404.0</v>
      </c>
      <c r="AM147" s="3" t="n">
        <v>17985.0</v>
      </c>
      <c r="AN147" s="3" t="n">
        <v>18763.0</v>
      </c>
      <c r="AO147" s="3" t="n">
        <v>19020.0</v>
      </c>
    </row>
    <row r="148" spans="1:41" x14ac:dyDescent="0.2">
      <c r="A148" s="122"/>
      <c r="B148" s="9">
        <v>37</v>
      </c>
      <c r="C148" s="3" t="n">
        <v>29173.0</v>
      </c>
      <c r="D148" s="3" t="n">
        <v>27991.0</v>
      </c>
      <c r="E148" s="3" t="n">
        <v>27251.0</v>
      </c>
      <c r="F148" s="3" t="n">
        <v>27186.0</v>
      </c>
      <c r="G148" s="3" t="n">
        <v>26578.0</v>
      </c>
      <c r="H148" s="3" t="n">
        <v>26997.0</v>
      </c>
      <c r="I148" s="3" t="n">
        <v>27105.0</v>
      </c>
      <c r="J148" s="3" t="n">
        <v>25929.0</v>
      </c>
      <c r="K148" s="3" t="n">
        <v>24543.0</v>
      </c>
      <c r="L148" s="3" t="n">
        <v>23840.0</v>
      </c>
      <c r="M148" s="3" t="n">
        <v>22489.0</v>
      </c>
      <c r="N148" s="3" t="n">
        <v>21703.0</v>
      </c>
      <c r="O148" s="3" t="n">
        <v>20848.0</v>
      </c>
      <c r="P148" s="3" t="n">
        <v>20127.0</v>
      </c>
      <c r="Q148" s="3" t="n">
        <v>19480.0</v>
      </c>
      <c r="R148" s="3" t="n">
        <v>19499.0</v>
      </c>
      <c r="S148" s="3" t="n">
        <v>18556.0</v>
      </c>
      <c r="T148" s="3" t="n">
        <v>17946.0</v>
      </c>
      <c r="U148" s="3" t="n">
        <v>17568.0</v>
      </c>
      <c r="V148" s="3" t="n">
        <v>17992.0</v>
      </c>
      <c r="W148" s="3" t="n">
        <v>18419.0</v>
      </c>
      <c r="X148" s="3" t="n">
        <v>18655.0</v>
      </c>
      <c r="Y148" s="3" t="n">
        <v>19877.0</v>
      </c>
      <c r="Z148" s="3" t="n">
        <v>21322.0</v>
      </c>
      <c r="AA148" s="3" t="n">
        <v>22051.0</v>
      </c>
      <c r="AB148" s="3" t="n">
        <v>22232.0</v>
      </c>
      <c r="AC148" s="3" t="n">
        <v>21215.0</v>
      </c>
      <c r="AD148" s="3" t="n">
        <v>21124.0</v>
      </c>
      <c r="AE148" s="3" t="n">
        <v>20552.0</v>
      </c>
      <c r="AF148" s="3" t="n">
        <v>20835.0</v>
      </c>
      <c r="AG148" s="3" t="n">
        <v>21047.0</v>
      </c>
      <c r="AH148" s="3" t="n">
        <v>21637.0</v>
      </c>
      <c r="AI148" s="3" t="n">
        <v>22401.0</v>
      </c>
      <c r="AJ148" s="3" t="n">
        <v>22081.0</v>
      </c>
      <c r="AK148" s="3" t="n">
        <v>21200.0</v>
      </c>
      <c r="AL148" s="3" t="n">
        <v>20253.0</v>
      </c>
      <c r="AM148" s="3" t="n">
        <v>19437.0</v>
      </c>
      <c r="AN148" s="3" t="n">
        <v>18023.0</v>
      </c>
      <c r="AO148" s="3" t="n">
        <v>18803.0</v>
      </c>
    </row>
    <row r="149" spans="1:41" x14ac:dyDescent="0.2">
      <c r="A149" s="122"/>
      <c r="B149" s="9">
        <v>38</v>
      </c>
      <c r="C149" s="3" t="n">
        <v>29818.0</v>
      </c>
      <c r="D149" s="3" t="n">
        <v>29161.0</v>
      </c>
      <c r="E149" s="3" t="n">
        <v>27976.0</v>
      </c>
      <c r="F149" s="3" t="n">
        <v>27248.0</v>
      </c>
      <c r="G149" s="3" t="n">
        <v>27188.0</v>
      </c>
      <c r="H149" s="3" t="n">
        <v>26636.0</v>
      </c>
      <c r="I149" s="3" t="n">
        <v>27064.0</v>
      </c>
      <c r="J149" s="3" t="n">
        <v>27127.0</v>
      </c>
      <c r="K149" s="3" t="n">
        <v>25923.0</v>
      </c>
      <c r="L149" s="3" t="n">
        <v>24537.0</v>
      </c>
      <c r="M149" s="3" t="n">
        <v>23839.0</v>
      </c>
      <c r="N149" s="3" t="n">
        <v>22489.0</v>
      </c>
      <c r="O149" s="3" t="n">
        <v>21703.0</v>
      </c>
      <c r="P149" s="3" t="n">
        <v>20853.0</v>
      </c>
      <c r="Q149" s="3" t="n">
        <v>20142.0</v>
      </c>
      <c r="R149" s="3" t="n">
        <v>19488.0</v>
      </c>
      <c r="S149" s="3" t="n">
        <v>19510.0</v>
      </c>
      <c r="T149" s="3" t="n">
        <v>18581.0</v>
      </c>
      <c r="U149" s="3" t="n">
        <v>17971.0</v>
      </c>
      <c r="V149" s="3" t="n">
        <v>17595.0</v>
      </c>
      <c r="W149" s="3" t="n">
        <v>18020.0</v>
      </c>
      <c r="X149" s="3" t="n">
        <v>18455.0</v>
      </c>
      <c r="Y149" s="3" t="n">
        <v>18688.0</v>
      </c>
      <c r="Z149" s="3" t="n">
        <v>19911.0</v>
      </c>
      <c r="AA149" s="3" t="n">
        <v>21350.0</v>
      </c>
      <c r="AB149" s="3" t="n">
        <v>22078.0</v>
      </c>
      <c r="AC149" s="3" t="n">
        <v>22257.0</v>
      </c>
      <c r="AD149" s="3" t="n">
        <v>21247.0</v>
      </c>
      <c r="AE149" s="3" t="n">
        <v>21155.0</v>
      </c>
      <c r="AF149" s="3" t="n">
        <v>20589.0</v>
      </c>
      <c r="AG149" s="3" t="n">
        <v>20868.0</v>
      </c>
      <c r="AH149" s="3" t="n">
        <v>21081.0</v>
      </c>
      <c r="AI149" s="3" t="n">
        <v>21667.0</v>
      </c>
      <c r="AJ149" s="3" t="n">
        <v>22429.0</v>
      </c>
      <c r="AK149" s="3" t="n">
        <v>22106.0</v>
      </c>
      <c r="AL149" s="3" t="n">
        <v>21228.0</v>
      </c>
      <c r="AM149" s="3" t="n">
        <v>20282.0</v>
      </c>
      <c r="AN149" s="3" t="n">
        <v>19467.0</v>
      </c>
      <c r="AO149" s="3" t="n">
        <v>18054.0</v>
      </c>
    </row>
    <row r="150" spans="1:41" x14ac:dyDescent="0.2">
      <c r="A150" s="122"/>
      <c r="B150" s="9">
        <v>39</v>
      </c>
      <c r="C150" s="3" t="n">
        <v>29800.0</v>
      </c>
      <c r="D150" s="3" t="n">
        <v>29803.0</v>
      </c>
      <c r="E150" s="3" t="n">
        <v>29146.0</v>
      </c>
      <c r="F150" s="3" t="n">
        <v>27971.0</v>
      </c>
      <c r="G150" s="3" t="n">
        <v>27236.0</v>
      </c>
      <c r="H150" s="3" t="n">
        <v>27231.0</v>
      </c>
      <c r="I150" s="3" t="n">
        <v>26705.0</v>
      </c>
      <c r="J150" s="3" t="n">
        <v>27092.0</v>
      </c>
      <c r="K150" s="3" t="n">
        <v>27129.0</v>
      </c>
      <c r="L150" s="3" t="n">
        <v>25921.0</v>
      </c>
      <c r="M150" s="3" t="n">
        <v>24537.0</v>
      </c>
      <c r="N150" s="3" t="n">
        <v>23832.0</v>
      </c>
      <c r="O150" s="3" t="n">
        <v>22494.0</v>
      </c>
      <c r="P150" s="3" t="n">
        <v>21707.0</v>
      </c>
      <c r="Q150" s="3" t="n">
        <v>20860.0</v>
      </c>
      <c r="R150" s="3" t="n">
        <v>20153.0</v>
      </c>
      <c r="S150" s="3" t="n">
        <v>19501.0</v>
      </c>
      <c r="T150" s="3" t="n">
        <v>19522.0</v>
      </c>
      <c r="U150" s="3" t="n">
        <v>18595.0</v>
      </c>
      <c r="V150" s="3" t="n">
        <v>17992.0</v>
      </c>
      <c r="W150" s="3" t="n">
        <v>17619.0</v>
      </c>
      <c r="X150" s="3" t="n">
        <v>18047.0</v>
      </c>
      <c r="Y150" s="3" t="n">
        <v>18487.0</v>
      </c>
      <c r="Z150" s="3" t="n">
        <v>18721.0</v>
      </c>
      <c r="AA150" s="3" t="n">
        <v>19942.0</v>
      </c>
      <c r="AB150" s="3" t="n">
        <v>21381.0</v>
      </c>
      <c r="AC150" s="3" t="n">
        <v>22109.0</v>
      </c>
      <c r="AD150" s="3" t="n">
        <v>22285.0</v>
      </c>
      <c r="AE150" s="3" t="n">
        <v>21275.0</v>
      </c>
      <c r="AF150" s="3" t="n">
        <v>21180.0</v>
      </c>
      <c r="AG150" s="3" t="n">
        <v>20620.0</v>
      </c>
      <c r="AH150" s="3" t="n">
        <v>20893.0</v>
      </c>
      <c r="AI150" s="3" t="n">
        <v>21107.0</v>
      </c>
      <c r="AJ150" s="3" t="n">
        <v>21696.0</v>
      </c>
      <c r="AK150" s="3" t="n">
        <v>22457.0</v>
      </c>
      <c r="AL150" s="3" t="n">
        <v>22128.0</v>
      </c>
      <c r="AM150" s="3" t="n">
        <v>21254.0</v>
      </c>
      <c r="AN150" s="3" t="n">
        <v>20314.0</v>
      </c>
      <c r="AO150" s="3" t="n">
        <v>19491.0</v>
      </c>
    </row>
    <row r="151" spans="1:41" x14ac:dyDescent="0.2">
      <c r="A151" s="122"/>
      <c r="B151" s="9">
        <v>40</v>
      </c>
      <c r="C151" s="3" t="n">
        <v>28825.0</v>
      </c>
      <c r="D151" s="3" t="n">
        <v>29772.0</v>
      </c>
      <c r="E151" s="3" t="n">
        <v>29774.0</v>
      </c>
      <c r="F151" s="3" t="n">
        <v>29119.0</v>
      </c>
      <c r="G151" s="3" t="n">
        <v>27950.0</v>
      </c>
      <c r="H151" s="3" t="n">
        <v>27259.0</v>
      </c>
      <c r="I151" s="3" t="n">
        <v>27268.0</v>
      </c>
      <c r="J151" s="3" t="n">
        <v>26705.0</v>
      </c>
      <c r="K151" s="3" t="n">
        <v>27078.0</v>
      </c>
      <c r="L151" s="3" t="n">
        <v>27104.0</v>
      </c>
      <c r="M151" s="3" t="n">
        <v>25899.0</v>
      </c>
      <c r="N151" s="3" t="n">
        <v>24519.0</v>
      </c>
      <c r="O151" s="3" t="n">
        <v>23817.0</v>
      </c>
      <c r="P151" s="3" t="n">
        <v>22480.0</v>
      </c>
      <c r="Q151" s="3" t="n">
        <v>21700.0</v>
      </c>
      <c r="R151" s="3" t="n">
        <v>20859.0</v>
      </c>
      <c r="S151" s="3" t="n">
        <v>20153.0</v>
      </c>
      <c r="T151" s="3" t="n">
        <v>19502.0</v>
      </c>
      <c r="U151" s="3" t="n">
        <v>19527.0</v>
      </c>
      <c r="V151" s="3" t="n">
        <v>18610.0</v>
      </c>
      <c r="W151" s="3" t="n">
        <v>18002.0</v>
      </c>
      <c r="X151" s="3" t="n">
        <v>17630.0</v>
      </c>
      <c r="Y151" s="3" t="n">
        <v>18061.0</v>
      </c>
      <c r="Z151" s="3" t="n">
        <v>18501.0</v>
      </c>
      <c r="AA151" s="3" t="n">
        <v>18739.0</v>
      </c>
      <c r="AB151" s="3" t="n">
        <v>19961.0</v>
      </c>
      <c r="AC151" s="3" t="n">
        <v>21399.0</v>
      </c>
      <c r="AD151" s="3" t="n">
        <v>22121.0</v>
      </c>
      <c r="AE151" s="3" t="n">
        <v>22298.0</v>
      </c>
      <c r="AF151" s="3" t="n">
        <v>21285.0</v>
      </c>
      <c r="AG151" s="3" t="n">
        <v>21199.0</v>
      </c>
      <c r="AH151" s="3" t="n">
        <v>20636.0</v>
      </c>
      <c r="AI151" s="3" t="n">
        <v>20908.0</v>
      </c>
      <c r="AJ151" s="3" t="n">
        <v>21121.0</v>
      </c>
      <c r="AK151" s="3" t="n">
        <v>21711.0</v>
      </c>
      <c r="AL151" s="3" t="n">
        <v>22470.0</v>
      </c>
      <c r="AM151" s="3" t="n">
        <v>22140.0</v>
      </c>
      <c r="AN151" s="3" t="n">
        <v>21266.0</v>
      </c>
      <c r="AO151" s="3" t="n">
        <v>20335.0</v>
      </c>
    </row>
    <row r="152" spans="1:41" x14ac:dyDescent="0.2">
      <c r="A152" s="122"/>
      <c r="B152" s="9">
        <v>41</v>
      </c>
      <c r="C152" s="3" t="n">
        <v>27453.0</v>
      </c>
      <c r="D152" s="3" t="n">
        <v>28775.0</v>
      </c>
      <c r="E152" s="3" t="n">
        <v>29723.0</v>
      </c>
      <c r="F152" s="3" t="n">
        <v>29726.0</v>
      </c>
      <c r="G152" s="3" t="n">
        <v>29072.0</v>
      </c>
      <c r="H152" s="3" t="n">
        <v>27951.0</v>
      </c>
      <c r="I152" s="3" t="n">
        <v>27270.0</v>
      </c>
      <c r="J152" s="3" t="n">
        <v>27256.0</v>
      </c>
      <c r="K152" s="3" t="n">
        <v>26676.0</v>
      </c>
      <c r="L152" s="3" t="n">
        <v>27039.0</v>
      </c>
      <c r="M152" s="3" t="n">
        <v>27058.0</v>
      </c>
      <c r="N152" s="3" t="n">
        <v>25851.0</v>
      </c>
      <c r="O152" s="3" t="n">
        <v>24475.0</v>
      </c>
      <c r="P152" s="3" t="n">
        <v>23788.0</v>
      </c>
      <c r="Q152" s="3" t="n">
        <v>22452.0</v>
      </c>
      <c r="R152" s="3" t="n">
        <v>21678.0</v>
      </c>
      <c r="S152" s="3" t="n">
        <v>20843.0</v>
      </c>
      <c r="T152" s="3" t="n">
        <v>20134.0</v>
      </c>
      <c r="U152" s="3" t="n">
        <v>19490.0</v>
      </c>
      <c r="V152" s="3" t="n">
        <v>19517.0</v>
      </c>
      <c r="W152" s="3" t="n">
        <v>18606.0</v>
      </c>
      <c r="X152" s="3" t="n">
        <v>18002.0</v>
      </c>
      <c r="Y152" s="3" t="n">
        <v>17636.0</v>
      </c>
      <c r="Z152" s="3" t="n">
        <v>18067.0</v>
      </c>
      <c r="AA152" s="3" t="n">
        <v>18509.0</v>
      </c>
      <c r="AB152" s="3" t="n">
        <v>18747.0</v>
      </c>
      <c r="AC152" s="3" t="n">
        <v>19967.0</v>
      </c>
      <c r="AD152" s="3" t="n">
        <v>21403.0</v>
      </c>
      <c r="AE152" s="3" t="n">
        <v>22124.0</v>
      </c>
      <c r="AF152" s="3" t="n">
        <v>22302.0</v>
      </c>
      <c r="AG152" s="3" t="n">
        <v>21288.0</v>
      </c>
      <c r="AH152" s="3" t="n">
        <v>21207.0</v>
      </c>
      <c r="AI152" s="3" t="n">
        <v>20641.0</v>
      </c>
      <c r="AJ152" s="3" t="n">
        <v>20913.0</v>
      </c>
      <c r="AK152" s="3" t="n">
        <v>21125.0</v>
      </c>
      <c r="AL152" s="3" t="n">
        <v>21712.0</v>
      </c>
      <c r="AM152" s="3" t="n">
        <v>22471.0</v>
      </c>
      <c r="AN152" s="3" t="n">
        <v>22142.0</v>
      </c>
      <c r="AO152" s="3" t="n">
        <v>21267.0</v>
      </c>
    </row>
    <row r="153" spans="1:41" x14ac:dyDescent="0.2">
      <c r="A153" s="122"/>
      <c r="B153" s="9">
        <v>42</v>
      </c>
      <c r="C153" s="3" t="n">
        <v>27940.0</v>
      </c>
      <c r="D153" s="3" t="n">
        <v>27399.0</v>
      </c>
      <c r="E153" s="3" t="n">
        <v>28722.0</v>
      </c>
      <c r="F153" s="3" t="n">
        <v>29670.0</v>
      </c>
      <c r="G153" s="3" t="n">
        <v>29675.0</v>
      </c>
      <c r="H153" s="3" t="n">
        <v>29058.0</v>
      </c>
      <c r="I153" s="3" t="n">
        <v>27957.0</v>
      </c>
      <c r="J153" s="3" t="n">
        <v>27246.0</v>
      </c>
      <c r="K153" s="3" t="n">
        <v>27221.0</v>
      </c>
      <c r="L153" s="3" t="n">
        <v>26633.0</v>
      </c>
      <c r="M153" s="3" t="n">
        <v>26990.0</v>
      </c>
      <c r="N153" s="3" t="n">
        <v>27004.0</v>
      </c>
      <c r="O153" s="3" t="n">
        <v>25797.0</v>
      </c>
      <c r="P153" s="3" t="n">
        <v>24435.0</v>
      </c>
      <c r="Q153" s="3" t="n">
        <v>23748.0</v>
      </c>
      <c r="R153" s="3" t="n">
        <v>22413.0</v>
      </c>
      <c r="S153" s="3" t="n">
        <v>21644.0</v>
      </c>
      <c r="T153" s="3" t="n">
        <v>20817.0</v>
      </c>
      <c r="U153" s="3" t="n">
        <v>20113.0</v>
      </c>
      <c r="V153" s="3" t="n">
        <v>19469.0</v>
      </c>
      <c r="W153" s="3" t="n">
        <v>19495.0</v>
      </c>
      <c r="X153" s="3" t="n">
        <v>18594.0</v>
      </c>
      <c r="Y153" s="3" t="n">
        <v>17993.0</v>
      </c>
      <c r="Z153" s="3" t="n">
        <v>17625.0</v>
      </c>
      <c r="AA153" s="3" t="n">
        <v>18059.0</v>
      </c>
      <c r="AB153" s="3" t="n">
        <v>18503.0</v>
      </c>
      <c r="AC153" s="3" t="n">
        <v>18742.0</v>
      </c>
      <c r="AD153" s="3" t="n">
        <v>19960.0</v>
      </c>
      <c r="AE153" s="3" t="n">
        <v>21394.0</v>
      </c>
      <c r="AF153" s="3" t="n">
        <v>22113.0</v>
      </c>
      <c r="AG153" s="3" t="n">
        <v>22291.0</v>
      </c>
      <c r="AH153" s="3" t="n">
        <v>21280.0</v>
      </c>
      <c r="AI153" s="3" t="n">
        <v>21201.0</v>
      </c>
      <c r="AJ153" s="3" t="n">
        <v>20636.0</v>
      </c>
      <c r="AK153" s="3" t="n">
        <v>20903.0</v>
      </c>
      <c r="AL153" s="3" t="n">
        <v>21119.0</v>
      </c>
      <c r="AM153" s="3" t="n">
        <v>21703.0</v>
      </c>
      <c r="AN153" s="3" t="n">
        <v>22457.0</v>
      </c>
      <c r="AO153" s="3" t="n">
        <v>22131.0</v>
      </c>
    </row>
    <row r="154" spans="1:41" x14ac:dyDescent="0.2">
      <c r="A154" s="122"/>
      <c r="B154" s="9">
        <v>43</v>
      </c>
      <c r="C154" s="3" t="n">
        <v>27669.0</v>
      </c>
      <c r="D154" s="3" t="n">
        <v>27876.0</v>
      </c>
      <c r="E154" s="3" t="n">
        <v>27337.0</v>
      </c>
      <c r="F154" s="3" t="n">
        <v>28661.0</v>
      </c>
      <c r="G154" s="3" t="n">
        <v>29609.0</v>
      </c>
      <c r="H154" s="3" t="n">
        <v>29649.0</v>
      </c>
      <c r="I154" s="3" t="n">
        <v>29047.0</v>
      </c>
      <c r="J154" s="3" t="n">
        <v>27916.0</v>
      </c>
      <c r="K154" s="3" t="n">
        <v>27200.0</v>
      </c>
      <c r="L154" s="3" t="n">
        <v>27167.0</v>
      </c>
      <c r="M154" s="3" t="n">
        <v>26580.0</v>
      </c>
      <c r="N154" s="3" t="n">
        <v>26940.0</v>
      </c>
      <c r="O154" s="3" t="n">
        <v>26945.0</v>
      </c>
      <c r="P154" s="3" t="n">
        <v>25743.0</v>
      </c>
      <c r="Q154" s="3" t="n">
        <v>24385.0</v>
      </c>
      <c r="R154" s="3" t="n">
        <v>23698.0</v>
      </c>
      <c r="S154" s="3" t="n">
        <v>22372.0</v>
      </c>
      <c r="T154" s="3" t="n">
        <v>21602.0</v>
      </c>
      <c r="U154" s="3" t="n">
        <v>20782.0</v>
      </c>
      <c r="V154" s="3" t="n">
        <v>20086.0</v>
      </c>
      <c r="W154" s="3" t="n">
        <v>19450.0</v>
      </c>
      <c r="X154" s="3" t="n">
        <v>19477.0</v>
      </c>
      <c r="Y154" s="3" t="n">
        <v>18581.0</v>
      </c>
      <c r="Z154" s="3" t="n">
        <v>17982.0</v>
      </c>
      <c r="AA154" s="3" t="n">
        <v>17620.0</v>
      </c>
      <c r="AB154" s="3" t="n">
        <v>18052.0</v>
      </c>
      <c r="AC154" s="3" t="n">
        <v>18496.0</v>
      </c>
      <c r="AD154" s="3" t="n">
        <v>18732.0</v>
      </c>
      <c r="AE154" s="3" t="n">
        <v>19944.0</v>
      </c>
      <c r="AF154" s="3" t="n">
        <v>21372.0</v>
      </c>
      <c r="AG154" s="3" t="n">
        <v>22090.0</v>
      </c>
      <c r="AH154" s="3" t="n">
        <v>22269.0</v>
      </c>
      <c r="AI154" s="3" t="n">
        <v>21256.0</v>
      </c>
      <c r="AJ154" s="3" t="n">
        <v>21181.0</v>
      </c>
      <c r="AK154" s="3" t="n">
        <v>20616.0</v>
      </c>
      <c r="AL154" s="3" t="n">
        <v>20882.0</v>
      </c>
      <c r="AM154" s="3" t="n">
        <v>21097.0</v>
      </c>
      <c r="AN154" s="3" t="n">
        <v>21680.0</v>
      </c>
      <c r="AO154" s="3" t="n">
        <v>22433.0</v>
      </c>
    </row>
    <row r="155" spans="1:41" x14ac:dyDescent="0.2">
      <c r="A155" s="122"/>
      <c r="B155" s="9">
        <v>44</v>
      </c>
      <c r="C155" s="3" t="n">
        <v>26955.0</v>
      </c>
      <c r="D155" s="3" t="n">
        <v>27588.0</v>
      </c>
      <c r="E155" s="3" t="n">
        <v>27798.0</v>
      </c>
      <c r="F155" s="3" t="n">
        <v>27266.0</v>
      </c>
      <c r="G155" s="3" t="n">
        <v>28592.0</v>
      </c>
      <c r="H155" s="3" t="n">
        <v>29577.0</v>
      </c>
      <c r="I155" s="3" t="n">
        <v>29626.0</v>
      </c>
      <c r="J155" s="3" t="n">
        <v>28997.0</v>
      </c>
      <c r="K155" s="3" t="n">
        <v>27848.0</v>
      </c>
      <c r="L155" s="3" t="n">
        <v>27134.0</v>
      </c>
      <c r="M155" s="3" t="n">
        <v>27093.0</v>
      </c>
      <c r="N155" s="3" t="n">
        <v>26509.0</v>
      </c>
      <c r="O155" s="3" t="n">
        <v>26869.0</v>
      </c>
      <c r="P155" s="3" t="n">
        <v>26867.0</v>
      </c>
      <c r="Q155" s="3" t="n">
        <v>25667.0</v>
      </c>
      <c r="R155" s="3" t="n">
        <v>24310.0</v>
      </c>
      <c r="S155" s="3" t="n">
        <v>23636.0</v>
      </c>
      <c r="T155" s="3" t="n">
        <v>22316.0</v>
      </c>
      <c r="U155" s="3" t="n">
        <v>21552.0</v>
      </c>
      <c r="V155" s="3" t="n">
        <v>20734.0</v>
      </c>
      <c r="W155" s="3" t="n">
        <v>20037.0</v>
      </c>
      <c r="X155" s="3" t="n">
        <v>19404.0</v>
      </c>
      <c r="Y155" s="3" t="n">
        <v>19440.0</v>
      </c>
      <c r="Z155" s="3" t="n">
        <v>18546.0</v>
      </c>
      <c r="AA155" s="3" t="n">
        <v>17947.0</v>
      </c>
      <c r="AB155" s="3" t="n">
        <v>17588.0</v>
      </c>
      <c r="AC155" s="3" t="n">
        <v>18018.0</v>
      </c>
      <c r="AD155" s="3" t="n">
        <v>18466.0</v>
      </c>
      <c r="AE155" s="3" t="n">
        <v>18707.0</v>
      </c>
      <c r="AF155" s="3" t="n">
        <v>19917.0</v>
      </c>
      <c r="AG155" s="3" t="n">
        <v>21343.0</v>
      </c>
      <c r="AH155" s="3" t="n">
        <v>22059.0</v>
      </c>
      <c r="AI155" s="3" t="n">
        <v>22239.0</v>
      </c>
      <c r="AJ155" s="3" t="n">
        <v>21230.0</v>
      </c>
      <c r="AK155" s="3" t="n">
        <v>21154.0</v>
      </c>
      <c r="AL155" s="3" t="n">
        <v>20588.0</v>
      </c>
      <c r="AM155" s="3" t="n">
        <v>20853.0</v>
      </c>
      <c r="AN155" s="3" t="n">
        <v>21065.0</v>
      </c>
      <c r="AO155" s="3" t="n">
        <v>21648.0</v>
      </c>
    </row>
    <row r="156" spans="1:41" x14ac:dyDescent="0.2">
      <c r="A156" s="122"/>
      <c r="B156" s="9">
        <v>45</v>
      </c>
      <c r="C156" s="3" t="n">
        <v>26263.0</v>
      </c>
      <c r="D156" s="3" t="n">
        <v>26875.0</v>
      </c>
      <c r="E156" s="3" t="n">
        <v>27516.0</v>
      </c>
      <c r="F156" s="3" t="n">
        <v>27729.0</v>
      </c>
      <c r="G156" s="3" t="n">
        <v>27201.0</v>
      </c>
      <c r="H156" s="3" t="n">
        <v>28554.0</v>
      </c>
      <c r="I156" s="3" t="n">
        <v>29544.0</v>
      </c>
      <c r="J156" s="3" t="n">
        <v>29569.0</v>
      </c>
      <c r="K156" s="3" t="n">
        <v>28931.0</v>
      </c>
      <c r="L156" s="3" t="n">
        <v>27779.0</v>
      </c>
      <c r="M156" s="3" t="n">
        <v>27066.0</v>
      </c>
      <c r="N156" s="3" t="n">
        <v>27023.0</v>
      </c>
      <c r="O156" s="3" t="n">
        <v>26447.0</v>
      </c>
      <c r="P156" s="3" t="n">
        <v>26803.0</v>
      </c>
      <c r="Q156" s="3" t="n">
        <v>26799.0</v>
      </c>
      <c r="R156" s="3" t="n">
        <v>25605.0</v>
      </c>
      <c r="S156" s="3" t="n">
        <v>24253.0</v>
      </c>
      <c r="T156" s="3" t="n">
        <v>23583.0</v>
      </c>
      <c r="U156" s="3" t="n">
        <v>22267.0</v>
      </c>
      <c r="V156" s="3" t="n">
        <v>21510.0</v>
      </c>
      <c r="W156" s="3" t="n">
        <v>20701.0</v>
      </c>
      <c r="X156" s="3" t="n">
        <v>20005.0</v>
      </c>
      <c r="Y156" s="3" t="n">
        <v>19374.0</v>
      </c>
      <c r="Z156" s="3" t="n">
        <v>19412.0</v>
      </c>
      <c r="AA156" s="3" t="n">
        <v>18525.0</v>
      </c>
      <c r="AB156" s="3" t="n">
        <v>17931.0</v>
      </c>
      <c r="AC156" s="3" t="n">
        <v>17573.0</v>
      </c>
      <c r="AD156" s="3" t="n">
        <v>18003.0</v>
      </c>
      <c r="AE156" s="3" t="n">
        <v>18454.0</v>
      </c>
      <c r="AF156" s="3" t="n">
        <v>18689.0</v>
      </c>
      <c r="AG156" s="3" t="n">
        <v>19895.0</v>
      </c>
      <c r="AH156" s="3" t="n">
        <v>21322.0</v>
      </c>
      <c r="AI156" s="3" t="n">
        <v>22036.0</v>
      </c>
      <c r="AJ156" s="3" t="n">
        <v>22215.0</v>
      </c>
      <c r="AK156" s="3" t="n">
        <v>21207.0</v>
      </c>
      <c r="AL156" s="3" t="n">
        <v>21134.0</v>
      </c>
      <c r="AM156" s="3" t="n">
        <v>20574.0</v>
      </c>
      <c r="AN156" s="3" t="n">
        <v>20839.0</v>
      </c>
      <c r="AO156" s="3" t="n">
        <v>21054.0</v>
      </c>
    </row>
    <row r="157" spans="1:41" x14ac:dyDescent="0.2">
      <c r="A157" s="122"/>
      <c r="B157" s="9">
        <v>46</v>
      </c>
      <c r="C157" s="3" t="n">
        <v>26004.0</v>
      </c>
      <c r="D157" s="3" t="n">
        <v>26184.0</v>
      </c>
      <c r="E157" s="3" t="n">
        <v>26792.0</v>
      </c>
      <c r="F157" s="3" t="n">
        <v>27430.0</v>
      </c>
      <c r="G157" s="3" t="n">
        <v>27642.0</v>
      </c>
      <c r="H157" s="3" t="n">
        <v>27147.0</v>
      </c>
      <c r="I157" s="3" t="n">
        <v>28500.0</v>
      </c>
      <c r="J157" s="3" t="n">
        <v>29468.0</v>
      </c>
      <c r="K157" s="3" t="n">
        <v>29487.0</v>
      </c>
      <c r="L157" s="3" t="n">
        <v>28847.0</v>
      </c>
      <c r="M157" s="3" t="n">
        <v>27704.0</v>
      </c>
      <c r="N157" s="3" t="n">
        <v>26986.0</v>
      </c>
      <c r="O157" s="3" t="n">
        <v>26942.0</v>
      </c>
      <c r="P157" s="3" t="n">
        <v>26371.0</v>
      </c>
      <c r="Q157" s="3" t="n">
        <v>26725.0</v>
      </c>
      <c r="R157" s="3" t="n">
        <v>26718.0</v>
      </c>
      <c r="S157" s="3" t="n">
        <v>25532.0</v>
      </c>
      <c r="T157" s="3" t="n">
        <v>24185.0</v>
      </c>
      <c r="U157" s="3" t="n">
        <v>23518.0</v>
      </c>
      <c r="V157" s="3" t="n">
        <v>22209.0</v>
      </c>
      <c r="W157" s="3" t="n">
        <v>21458.0</v>
      </c>
      <c r="X157" s="3" t="n">
        <v>20653.0</v>
      </c>
      <c r="Y157" s="3" t="n">
        <v>19961.0</v>
      </c>
      <c r="Z157" s="3" t="n">
        <v>19335.0</v>
      </c>
      <c r="AA157" s="3" t="n">
        <v>19373.0</v>
      </c>
      <c r="AB157" s="3" t="n">
        <v>18497.0</v>
      </c>
      <c r="AC157" s="3" t="n">
        <v>17906.0</v>
      </c>
      <c r="AD157" s="3" t="n">
        <v>17553.0</v>
      </c>
      <c r="AE157" s="3" t="n">
        <v>17978.0</v>
      </c>
      <c r="AF157" s="3" t="n">
        <v>18427.0</v>
      </c>
      <c r="AG157" s="3" t="n">
        <v>18665.0</v>
      </c>
      <c r="AH157" s="3" t="n">
        <v>19871.0</v>
      </c>
      <c r="AI157" s="3" t="n">
        <v>21289.0</v>
      </c>
      <c r="AJ157" s="3" t="n">
        <v>22002.0</v>
      </c>
      <c r="AK157" s="3" t="n">
        <v>22182.0</v>
      </c>
      <c r="AL157" s="3" t="n">
        <v>21180.0</v>
      </c>
      <c r="AM157" s="3" t="n">
        <v>21108.0</v>
      </c>
      <c r="AN157" s="3" t="n">
        <v>20550.0</v>
      </c>
      <c r="AO157" s="3" t="n">
        <v>20815.0</v>
      </c>
    </row>
    <row r="158" spans="1:41" x14ac:dyDescent="0.2">
      <c r="A158" s="122"/>
      <c r="B158" s="9">
        <v>47</v>
      </c>
      <c r="C158" s="3" t="n">
        <v>24914.0</v>
      </c>
      <c r="D158" s="3" t="n">
        <v>25905.0</v>
      </c>
      <c r="E158" s="3" t="n">
        <v>26085.0</v>
      </c>
      <c r="F158" s="3" t="n">
        <v>26697.0</v>
      </c>
      <c r="G158" s="3" t="n">
        <v>27335.0</v>
      </c>
      <c r="H158" s="3" t="n">
        <v>27572.0</v>
      </c>
      <c r="I158" s="3" t="n">
        <v>27089.0</v>
      </c>
      <c r="J158" s="3" t="n">
        <v>28417.0</v>
      </c>
      <c r="K158" s="3" t="n">
        <v>29377.0</v>
      </c>
      <c r="L158" s="3" t="n">
        <v>29389.0</v>
      </c>
      <c r="M158" s="3" t="n">
        <v>28756.0</v>
      </c>
      <c r="N158" s="3" t="n">
        <v>27610.0</v>
      </c>
      <c r="O158" s="3" t="n">
        <v>26894.0</v>
      </c>
      <c r="P158" s="3" t="n">
        <v>26852.0</v>
      </c>
      <c r="Q158" s="3" t="n">
        <v>26285.0</v>
      </c>
      <c r="R158" s="3" t="n">
        <v>26635.0</v>
      </c>
      <c r="S158" s="3" t="n">
        <v>26627.0</v>
      </c>
      <c r="T158" s="3" t="n">
        <v>25446.0</v>
      </c>
      <c r="U158" s="3" t="n">
        <v>24104.0</v>
      </c>
      <c r="V158" s="3" t="n">
        <v>23441.0</v>
      </c>
      <c r="W158" s="3" t="n">
        <v>22143.0</v>
      </c>
      <c r="X158" s="3" t="n">
        <v>21394.0</v>
      </c>
      <c r="Y158" s="3" t="n">
        <v>20598.0</v>
      </c>
      <c r="Z158" s="3" t="n">
        <v>19907.0</v>
      </c>
      <c r="AA158" s="3" t="n">
        <v>19287.0</v>
      </c>
      <c r="AB158" s="3" t="n">
        <v>19326.0</v>
      </c>
      <c r="AC158" s="3" t="n">
        <v>18452.0</v>
      </c>
      <c r="AD158" s="3" t="n">
        <v>17870.0</v>
      </c>
      <c r="AE158" s="3" t="n">
        <v>17518.0</v>
      </c>
      <c r="AF158" s="3" t="n">
        <v>17944.0</v>
      </c>
      <c r="AG158" s="3" t="n">
        <v>18391.0</v>
      </c>
      <c r="AH158" s="3" t="n">
        <v>18633.0</v>
      </c>
      <c r="AI158" s="3" t="n">
        <v>19837.0</v>
      </c>
      <c r="AJ158" s="3" t="n">
        <v>21250.0</v>
      </c>
      <c r="AK158" s="3" t="n">
        <v>21960.0</v>
      </c>
      <c r="AL158" s="3" t="n">
        <v>22141.0</v>
      </c>
      <c r="AM158" s="3" t="n">
        <v>21142.0</v>
      </c>
      <c r="AN158" s="3" t="n">
        <v>21068.0</v>
      </c>
      <c r="AO158" s="3" t="n">
        <v>20513.0</v>
      </c>
    </row>
    <row r="159" spans="1:41" x14ac:dyDescent="0.2">
      <c r="A159" s="122"/>
      <c r="B159" s="9">
        <v>48</v>
      </c>
      <c r="C159" s="3" t="n">
        <v>24443.0</v>
      </c>
      <c r="D159" s="3" t="n">
        <v>24804.0</v>
      </c>
      <c r="E159" s="3" t="n">
        <v>25797.0</v>
      </c>
      <c r="F159" s="3" t="n">
        <v>25976.0</v>
      </c>
      <c r="G159" s="3" t="n">
        <v>26589.0</v>
      </c>
      <c r="H159" s="3" t="n">
        <v>27259.0</v>
      </c>
      <c r="I159" s="3" t="n">
        <v>27502.0</v>
      </c>
      <c r="J159" s="3" t="n">
        <v>27005.0</v>
      </c>
      <c r="K159" s="3" t="n">
        <v>28317.0</v>
      </c>
      <c r="L159" s="3" t="n">
        <v>29264.0</v>
      </c>
      <c r="M159" s="3" t="n">
        <v>29275.0</v>
      </c>
      <c r="N159" s="3" t="n">
        <v>28644.0</v>
      </c>
      <c r="O159" s="3" t="n">
        <v>27508.0</v>
      </c>
      <c r="P159" s="3" t="n">
        <v>26791.0</v>
      </c>
      <c r="Q159" s="3" t="n">
        <v>26749.0</v>
      </c>
      <c r="R159" s="3" t="n">
        <v>26187.0</v>
      </c>
      <c r="S159" s="3" t="n">
        <v>26539.0</v>
      </c>
      <c r="T159" s="3" t="n">
        <v>26532.0</v>
      </c>
      <c r="U159" s="3" t="n">
        <v>25356.0</v>
      </c>
      <c r="V159" s="3" t="n">
        <v>24019.0</v>
      </c>
      <c r="W159" s="3" t="n">
        <v>23359.0</v>
      </c>
      <c r="X159" s="3" t="n">
        <v>22070.0</v>
      </c>
      <c r="Y159" s="3" t="n">
        <v>21325.0</v>
      </c>
      <c r="Z159" s="3" t="n">
        <v>20530.0</v>
      </c>
      <c r="AA159" s="3" t="n">
        <v>19847.0</v>
      </c>
      <c r="AB159" s="3" t="n">
        <v>19229.0</v>
      </c>
      <c r="AC159" s="3" t="n">
        <v>19270.0</v>
      </c>
      <c r="AD159" s="3" t="n">
        <v>18404.0</v>
      </c>
      <c r="AE159" s="3" t="n">
        <v>17827.0</v>
      </c>
      <c r="AF159" s="3" t="n">
        <v>17477.0</v>
      </c>
      <c r="AG159" s="3" t="n">
        <v>17903.0</v>
      </c>
      <c r="AH159" s="3" t="n">
        <v>18354.0</v>
      </c>
      <c r="AI159" s="3" t="n">
        <v>18590.0</v>
      </c>
      <c r="AJ159" s="3" t="n">
        <v>19791.0</v>
      </c>
      <c r="AK159" s="3" t="n">
        <v>21200.0</v>
      </c>
      <c r="AL159" s="3" t="n">
        <v>21910.0</v>
      </c>
      <c r="AM159" s="3" t="n">
        <v>22091.0</v>
      </c>
      <c r="AN159" s="3" t="n">
        <v>21091.0</v>
      </c>
      <c r="AO159" s="3" t="n">
        <v>21019.0</v>
      </c>
    </row>
    <row r="160" spans="1:41" x14ac:dyDescent="0.2">
      <c r="A160" s="122"/>
      <c r="B160" s="9">
        <v>49</v>
      </c>
      <c r="C160" s="3" t="n">
        <v>23060.0</v>
      </c>
      <c r="D160" s="3" t="n">
        <v>24326.0</v>
      </c>
      <c r="E160" s="3" t="n">
        <v>24690.0</v>
      </c>
      <c r="F160" s="3" t="n">
        <v>25684.0</v>
      </c>
      <c r="G160" s="3" t="n">
        <v>25863.0</v>
      </c>
      <c r="H160" s="3" t="n">
        <v>26497.0</v>
      </c>
      <c r="I160" s="3" t="n">
        <v>27178.0</v>
      </c>
      <c r="J160" s="3" t="n">
        <v>27405.0</v>
      </c>
      <c r="K160" s="3" t="n">
        <v>26904.0</v>
      </c>
      <c r="L160" s="3" t="n">
        <v>28210.0</v>
      </c>
      <c r="M160" s="3" t="n">
        <v>29149.0</v>
      </c>
      <c r="N160" s="3" t="n">
        <v>29157.0</v>
      </c>
      <c r="O160" s="3" t="n">
        <v>28528.0</v>
      </c>
      <c r="P160" s="3" t="n">
        <v>27394.0</v>
      </c>
      <c r="Q160" s="3" t="n">
        <v>26683.0</v>
      </c>
      <c r="R160" s="3" t="n">
        <v>26643.0</v>
      </c>
      <c r="S160" s="3" t="n">
        <v>26081.0</v>
      </c>
      <c r="T160" s="3" t="n">
        <v>26432.0</v>
      </c>
      <c r="U160" s="3" t="n">
        <v>26423.0</v>
      </c>
      <c r="V160" s="3" t="n">
        <v>25248.0</v>
      </c>
      <c r="W160" s="3" t="n">
        <v>23927.0</v>
      </c>
      <c r="X160" s="3" t="n">
        <v>23273.0</v>
      </c>
      <c r="Y160" s="3" t="n">
        <v>21991.0</v>
      </c>
      <c r="Z160" s="3" t="n">
        <v>21254.0</v>
      </c>
      <c r="AA160" s="3" t="n">
        <v>20463.0</v>
      </c>
      <c r="AB160" s="3" t="n">
        <v>19785.0</v>
      </c>
      <c r="AC160" s="3" t="n">
        <v>19170.0</v>
      </c>
      <c r="AD160" s="3" t="n">
        <v>19211.0</v>
      </c>
      <c r="AE160" s="3" t="n">
        <v>18354.0</v>
      </c>
      <c r="AF160" s="3" t="n">
        <v>17779.0</v>
      </c>
      <c r="AG160" s="3" t="n">
        <v>17431.0</v>
      </c>
      <c r="AH160" s="3" t="n">
        <v>17856.0</v>
      </c>
      <c r="AI160" s="3" t="n">
        <v>18307.0</v>
      </c>
      <c r="AJ160" s="3" t="n">
        <v>18548.0</v>
      </c>
      <c r="AK160" s="3" t="n">
        <v>19740.0</v>
      </c>
      <c r="AL160" s="3" t="n">
        <v>21146.0</v>
      </c>
      <c r="AM160" s="3" t="n">
        <v>21856.0</v>
      </c>
      <c r="AN160" s="3" t="n">
        <v>22035.0</v>
      </c>
      <c r="AO160" s="3" t="n">
        <v>21035.0</v>
      </c>
    </row>
    <row r="161" spans="1:41" x14ac:dyDescent="0.2">
      <c r="A161" s="122"/>
      <c r="B161" s="9">
        <v>50</v>
      </c>
      <c r="C161" s="3" t="n">
        <v>22043.0</v>
      </c>
      <c r="D161" s="3" t="n">
        <v>22929.0</v>
      </c>
      <c r="E161" s="3" t="n">
        <v>24191.0</v>
      </c>
      <c r="F161" s="3" t="n">
        <v>24560.0</v>
      </c>
      <c r="G161" s="3" t="n">
        <v>25549.0</v>
      </c>
      <c r="H161" s="3" t="n">
        <v>25749.0</v>
      </c>
      <c r="I161" s="3" t="n">
        <v>26384.0</v>
      </c>
      <c r="J161" s="3" t="n">
        <v>27054.0</v>
      </c>
      <c r="K161" s="3" t="n">
        <v>27278.0</v>
      </c>
      <c r="L161" s="3" t="n">
        <v>26779.0</v>
      </c>
      <c r="M161" s="3" t="n">
        <v>28080.0</v>
      </c>
      <c r="N161" s="3" t="n">
        <v>29012.0</v>
      </c>
      <c r="O161" s="3" t="n">
        <v>29018.0</v>
      </c>
      <c r="P161" s="3" t="n">
        <v>28397.0</v>
      </c>
      <c r="Q161" s="3" t="n">
        <v>27270.0</v>
      </c>
      <c r="R161" s="3" t="n">
        <v>26564.0</v>
      </c>
      <c r="S161" s="3" t="n">
        <v>26523.0</v>
      </c>
      <c r="T161" s="3" t="n">
        <v>25957.0</v>
      </c>
      <c r="U161" s="3" t="n">
        <v>26309.0</v>
      </c>
      <c r="V161" s="3" t="n">
        <v>26301.0</v>
      </c>
      <c r="W161" s="3" t="n">
        <v>25130.0</v>
      </c>
      <c r="X161" s="3" t="n">
        <v>23819.0</v>
      </c>
      <c r="Y161" s="3" t="n">
        <v>23169.0</v>
      </c>
      <c r="Z161" s="3" t="n">
        <v>21898.0</v>
      </c>
      <c r="AA161" s="3" t="n">
        <v>21163.0</v>
      </c>
      <c r="AB161" s="3" t="n">
        <v>20379.0</v>
      </c>
      <c r="AC161" s="3" t="n">
        <v>19709.0</v>
      </c>
      <c r="AD161" s="3" t="n">
        <v>19103.0</v>
      </c>
      <c r="AE161" s="3" t="n">
        <v>19141.0</v>
      </c>
      <c r="AF161" s="3" t="n">
        <v>18295.0</v>
      </c>
      <c r="AG161" s="3" t="n">
        <v>17721.0</v>
      </c>
      <c r="AH161" s="3" t="n">
        <v>17379.0</v>
      </c>
      <c r="AI161" s="3" t="n">
        <v>17801.0</v>
      </c>
      <c r="AJ161" s="3" t="n">
        <v>18255.0</v>
      </c>
      <c r="AK161" s="3" t="n">
        <v>18497.0</v>
      </c>
      <c r="AL161" s="3" t="n">
        <v>19686.0</v>
      </c>
      <c r="AM161" s="3" t="n">
        <v>21084.0</v>
      </c>
      <c r="AN161" s="3" t="n">
        <v>21793.0</v>
      </c>
      <c r="AO161" s="3" t="n">
        <v>21970.0</v>
      </c>
    </row>
    <row r="162" spans="1:41" x14ac:dyDescent="0.2">
      <c r="A162" s="122"/>
      <c r="B162" s="9">
        <v>51</v>
      </c>
      <c r="C162" s="3" t="n">
        <v>21613.0</v>
      </c>
      <c r="D162" s="3" t="n">
        <v>21901.0</v>
      </c>
      <c r="E162" s="3" t="n">
        <v>22790.0</v>
      </c>
      <c r="F162" s="3" t="n">
        <v>24046.0</v>
      </c>
      <c r="G162" s="3" t="n">
        <v>24413.0</v>
      </c>
      <c r="H162" s="3" t="n">
        <v>25420.0</v>
      </c>
      <c r="I162" s="3" t="n">
        <v>25624.0</v>
      </c>
      <c r="J162" s="3" t="n">
        <v>26250.0</v>
      </c>
      <c r="K162" s="3" t="n">
        <v>26912.0</v>
      </c>
      <c r="L162" s="3" t="n">
        <v>27133.0</v>
      </c>
      <c r="M162" s="3" t="n">
        <v>26633.0</v>
      </c>
      <c r="N162" s="3" t="n">
        <v>27930.0</v>
      </c>
      <c r="O162" s="3" t="n">
        <v>28859.0</v>
      </c>
      <c r="P162" s="3" t="n">
        <v>28865.0</v>
      </c>
      <c r="Q162" s="3" t="n">
        <v>28240.0</v>
      </c>
      <c r="R162" s="3" t="n">
        <v>27130.0</v>
      </c>
      <c r="S162" s="3" t="n">
        <v>26426.0</v>
      </c>
      <c r="T162" s="3" t="n">
        <v>26388.0</v>
      </c>
      <c r="U162" s="3" t="n">
        <v>25825.0</v>
      </c>
      <c r="V162" s="3" t="n">
        <v>26179.0</v>
      </c>
      <c r="W162" s="3" t="n">
        <v>26169.0</v>
      </c>
      <c r="X162" s="3" t="n">
        <v>25000.0</v>
      </c>
      <c r="Y162" s="3" t="n">
        <v>23696.0</v>
      </c>
      <c r="Z162" s="3" t="n">
        <v>23057.0</v>
      </c>
      <c r="AA162" s="3" t="n">
        <v>21789.0</v>
      </c>
      <c r="AB162" s="3" t="n">
        <v>21068.0</v>
      </c>
      <c r="AC162" s="3" t="n">
        <v>20290.0</v>
      </c>
      <c r="AD162" s="3" t="n">
        <v>19627.0</v>
      </c>
      <c r="AE162" s="3" t="n">
        <v>19025.0</v>
      </c>
      <c r="AF162" s="3" t="n">
        <v>19061.0</v>
      </c>
      <c r="AG162" s="3" t="n">
        <v>18227.0</v>
      </c>
      <c r="AH162" s="3" t="n">
        <v>17656.0</v>
      </c>
      <c r="AI162" s="3" t="n">
        <v>17314.0</v>
      </c>
      <c r="AJ162" s="3" t="n">
        <v>17738.0</v>
      </c>
      <c r="AK162" s="3" t="n">
        <v>18192.0</v>
      </c>
      <c r="AL162" s="3" t="n">
        <v>18435.0</v>
      </c>
      <c r="AM162" s="3" t="n">
        <v>19621.0</v>
      </c>
      <c r="AN162" s="3" t="n">
        <v>21010.0</v>
      </c>
      <c r="AO162" s="3" t="n">
        <v>21719.0</v>
      </c>
    </row>
    <row r="163" spans="1:41" x14ac:dyDescent="0.2">
      <c r="A163" s="122"/>
      <c r="B163" s="9">
        <v>52</v>
      </c>
      <c r="C163" s="3" t="n">
        <v>21007.0</v>
      </c>
      <c r="D163" s="3" t="n">
        <v>21468.0</v>
      </c>
      <c r="E163" s="3" t="n">
        <v>21763.0</v>
      </c>
      <c r="F163" s="3" t="n">
        <v>22649.0</v>
      </c>
      <c r="G163" s="3" t="n">
        <v>23904.0</v>
      </c>
      <c r="H163" s="3" t="n">
        <v>24289.0</v>
      </c>
      <c r="I163" s="3" t="n">
        <v>25297.0</v>
      </c>
      <c r="J163" s="3" t="n">
        <v>25489.0</v>
      </c>
      <c r="K163" s="3" t="n">
        <v>26103.0</v>
      </c>
      <c r="L163" s="3" t="n">
        <v>26764.0</v>
      </c>
      <c r="M163" s="3" t="n">
        <v>26984.0</v>
      </c>
      <c r="N163" s="3" t="n">
        <v>26492.0</v>
      </c>
      <c r="O163" s="3" t="n">
        <v>27785.0</v>
      </c>
      <c r="P163" s="3" t="n">
        <v>28706.0</v>
      </c>
      <c r="Q163" s="3" t="n">
        <v>28711.0</v>
      </c>
      <c r="R163" s="3" t="n">
        <v>28092.0</v>
      </c>
      <c r="S163" s="3" t="n">
        <v>26993.0</v>
      </c>
      <c r="T163" s="3" t="n">
        <v>26290.0</v>
      </c>
      <c r="U163" s="3" t="n">
        <v>26250.0</v>
      </c>
      <c r="V163" s="3" t="n">
        <v>25689.0</v>
      </c>
      <c r="W163" s="3" t="n">
        <v>26042.0</v>
      </c>
      <c r="X163" s="3" t="n">
        <v>26030.0</v>
      </c>
      <c r="Y163" s="3" t="n">
        <v>24867.0</v>
      </c>
      <c r="Z163" s="3" t="n">
        <v>23570.0</v>
      </c>
      <c r="AA163" s="3" t="n">
        <v>22943.0</v>
      </c>
      <c r="AB163" s="3" t="n">
        <v>21684.0</v>
      </c>
      <c r="AC163" s="3" t="n">
        <v>20969.0</v>
      </c>
      <c r="AD163" s="3" t="n">
        <v>20198.0</v>
      </c>
      <c r="AE163" s="3" t="n">
        <v>19539.0</v>
      </c>
      <c r="AF163" s="3" t="n">
        <v>18942.0</v>
      </c>
      <c r="AG163" s="3" t="n">
        <v>18982.0</v>
      </c>
      <c r="AH163" s="3" t="n">
        <v>18155.0</v>
      </c>
      <c r="AI163" s="3" t="n">
        <v>17592.0</v>
      </c>
      <c r="AJ163" s="3" t="n">
        <v>17250.0</v>
      </c>
      <c r="AK163" s="3" t="n">
        <v>17673.0</v>
      </c>
      <c r="AL163" s="3" t="n">
        <v>18127.0</v>
      </c>
      <c r="AM163" s="3" t="n">
        <v>18371.0</v>
      </c>
      <c r="AN163" s="3" t="n">
        <v>19551.0</v>
      </c>
      <c r="AO163" s="3" t="n">
        <v>20936.0</v>
      </c>
    </row>
    <row r="164" spans="1:41" x14ac:dyDescent="0.2">
      <c r="A164" s="122"/>
      <c r="B164" s="9">
        <v>53</v>
      </c>
      <c r="C164" s="3" t="n">
        <v>20261.0</v>
      </c>
      <c r="D164" s="3" t="n">
        <v>20843.0</v>
      </c>
      <c r="E164" s="3" t="n">
        <v>21308.0</v>
      </c>
      <c r="F164" s="3" t="n">
        <v>21604.0</v>
      </c>
      <c r="G164" s="3" t="n">
        <v>22485.0</v>
      </c>
      <c r="H164" s="3" t="n">
        <v>23747.0</v>
      </c>
      <c r="I164" s="3" t="n">
        <v>24142.0</v>
      </c>
      <c r="J164" s="3" t="n">
        <v>25132.0</v>
      </c>
      <c r="K164" s="3" t="n">
        <v>25323.0</v>
      </c>
      <c r="L164" s="3" t="n">
        <v>25928.0</v>
      </c>
      <c r="M164" s="3" t="n">
        <v>26584.0</v>
      </c>
      <c r="N164" s="3" t="n">
        <v>26807.0</v>
      </c>
      <c r="O164" s="3" t="n">
        <v>26324.0</v>
      </c>
      <c r="P164" s="3" t="n">
        <v>27608.0</v>
      </c>
      <c r="Q164" s="3" t="n">
        <v>28526.0</v>
      </c>
      <c r="R164" s="3" t="n">
        <v>28536.0</v>
      </c>
      <c r="S164" s="3" t="n">
        <v>27926.0</v>
      </c>
      <c r="T164" s="3" t="n">
        <v>26823.0</v>
      </c>
      <c r="U164" s="3" t="n">
        <v>26127.0</v>
      </c>
      <c r="V164" s="3" t="n">
        <v>26089.0</v>
      </c>
      <c r="W164" s="3" t="n">
        <v>25532.0</v>
      </c>
      <c r="X164" s="3" t="n">
        <v>25879.0</v>
      </c>
      <c r="Y164" s="3" t="n">
        <v>25871.0</v>
      </c>
      <c r="Z164" s="3" t="n">
        <v>24716.0</v>
      </c>
      <c r="AA164" s="3" t="n">
        <v>23433.0</v>
      </c>
      <c r="AB164" s="3" t="n">
        <v>22819.0</v>
      </c>
      <c r="AC164" s="3" t="n">
        <v>21569.0</v>
      </c>
      <c r="AD164" s="3" t="n">
        <v>20861.0</v>
      </c>
      <c r="AE164" s="3" t="n">
        <v>20092.0</v>
      </c>
      <c r="AF164" s="3" t="n">
        <v>19438.0</v>
      </c>
      <c r="AG164" s="3" t="n">
        <v>18844.0</v>
      </c>
      <c r="AH164" s="3" t="n">
        <v>18881.0</v>
      </c>
      <c r="AI164" s="3" t="n">
        <v>18065.0</v>
      </c>
      <c r="AJ164" s="3" t="n">
        <v>17506.0</v>
      </c>
      <c r="AK164" s="3" t="n">
        <v>17166.0</v>
      </c>
      <c r="AL164" s="3" t="n">
        <v>17590.0</v>
      </c>
      <c r="AM164" s="3" t="n">
        <v>18047.0</v>
      </c>
      <c r="AN164" s="3" t="n">
        <v>18291.0</v>
      </c>
      <c r="AO164" s="3" t="n">
        <v>19472.0</v>
      </c>
    </row>
    <row r="165" spans="1:41" x14ac:dyDescent="0.2">
      <c r="A165" s="122"/>
      <c r="B165" s="9">
        <v>54</v>
      </c>
      <c r="C165" s="3" t="n">
        <v>19957.0</v>
      </c>
      <c r="D165" s="3" t="n">
        <v>20103.0</v>
      </c>
      <c r="E165" s="3" t="n">
        <v>20687.0</v>
      </c>
      <c r="F165" s="3" t="n">
        <v>21153.0</v>
      </c>
      <c r="G165" s="3" t="n">
        <v>21447.0</v>
      </c>
      <c r="H165" s="3" t="n">
        <v>22335.0</v>
      </c>
      <c r="I165" s="3" t="n">
        <v>23596.0</v>
      </c>
      <c r="J165" s="3" t="n">
        <v>23981.0</v>
      </c>
      <c r="K165" s="3" t="n">
        <v>24965.0</v>
      </c>
      <c r="L165" s="3" t="n">
        <v>25149.0</v>
      </c>
      <c r="M165" s="3" t="n">
        <v>25752.0</v>
      </c>
      <c r="N165" s="3" t="n">
        <v>26403.0</v>
      </c>
      <c r="O165" s="3" t="n">
        <v>26627.0</v>
      </c>
      <c r="P165" s="3" t="n">
        <v>26153.0</v>
      </c>
      <c r="Q165" s="3" t="n">
        <v>27430.0</v>
      </c>
      <c r="R165" s="3" t="n">
        <v>28343.0</v>
      </c>
      <c r="S165" s="3" t="n">
        <v>28357.0</v>
      </c>
      <c r="T165" s="3" t="n">
        <v>27755.0</v>
      </c>
      <c r="U165" s="3" t="n">
        <v>26659.0</v>
      </c>
      <c r="V165" s="3" t="n">
        <v>25968.0</v>
      </c>
      <c r="W165" s="3" t="n">
        <v>25928.0</v>
      </c>
      <c r="X165" s="3" t="n">
        <v>25379.0</v>
      </c>
      <c r="Y165" s="3" t="n">
        <v>25725.0</v>
      </c>
      <c r="Z165" s="3" t="n">
        <v>25717.0</v>
      </c>
      <c r="AA165" s="3" t="n">
        <v>24574.0</v>
      </c>
      <c r="AB165" s="3" t="n">
        <v>23299.0</v>
      </c>
      <c r="AC165" s="3" t="n">
        <v>22689.0</v>
      </c>
      <c r="AD165" s="3" t="n">
        <v>21448.0</v>
      </c>
      <c r="AE165" s="3" t="n">
        <v>20746.0</v>
      </c>
      <c r="AF165" s="3" t="n">
        <v>19988.0</v>
      </c>
      <c r="AG165" s="3" t="n">
        <v>19340.0</v>
      </c>
      <c r="AH165" s="3" t="n">
        <v>18756.0</v>
      </c>
      <c r="AI165" s="3" t="n">
        <v>18794.0</v>
      </c>
      <c r="AJ165" s="3" t="n">
        <v>17983.0</v>
      </c>
      <c r="AK165" s="3" t="n">
        <v>17431.0</v>
      </c>
      <c r="AL165" s="3" t="n">
        <v>17094.0</v>
      </c>
      <c r="AM165" s="3" t="n">
        <v>17516.0</v>
      </c>
      <c r="AN165" s="3" t="n">
        <v>17973.0</v>
      </c>
      <c r="AO165" s="3" t="n">
        <v>18221.0</v>
      </c>
    </row>
    <row r="166" spans="1:41" x14ac:dyDescent="0.2">
      <c r="A166" s="122"/>
      <c r="B166" s="9">
        <v>55</v>
      </c>
      <c r="C166" s="3" t="n">
        <v>19662.0</v>
      </c>
      <c r="D166" s="3" t="n">
        <v>19771.0</v>
      </c>
      <c r="E166" s="3" t="n">
        <v>19920.0</v>
      </c>
      <c r="F166" s="3" t="n">
        <v>20502.0</v>
      </c>
      <c r="G166" s="3" t="n">
        <v>20969.0</v>
      </c>
      <c r="H166" s="3" t="n">
        <v>21280.0</v>
      </c>
      <c r="I166" s="3" t="n">
        <v>22166.0</v>
      </c>
      <c r="J166" s="3" t="n">
        <v>23414.0</v>
      </c>
      <c r="K166" s="3" t="n">
        <v>23799.0</v>
      </c>
      <c r="L166" s="3" t="n">
        <v>24775.0</v>
      </c>
      <c r="M166" s="3" t="n">
        <v>24958.0</v>
      </c>
      <c r="N166" s="3" t="n">
        <v>25556.0</v>
      </c>
      <c r="O166" s="3" t="n">
        <v>26202.0</v>
      </c>
      <c r="P166" s="3" t="n">
        <v>26430.0</v>
      </c>
      <c r="Q166" s="3" t="n">
        <v>25963.0</v>
      </c>
      <c r="R166" s="3" t="n">
        <v>27236.0</v>
      </c>
      <c r="S166" s="3" t="n">
        <v>28143.0</v>
      </c>
      <c r="T166" s="3" t="n">
        <v>28157.0</v>
      </c>
      <c r="U166" s="3" t="n">
        <v>27561.0</v>
      </c>
      <c r="V166" s="3" t="n">
        <v>26475.0</v>
      </c>
      <c r="W166" s="3" t="n">
        <v>25788.0</v>
      </c>
      <c r="X166" s="3" t="n">
        <v>25754.0</v>
      </c>
      <c r="Y166" s="3" t="n">
        <v>25214.0</v>
      </c>
      <c r="Z166" s="3" t="n">
        <v>25556.0</v>
      </c>
      <c r="AA166" s="3" t="n">
        <v>25548.0</v>
      </c>
      <c r="AB166" s="3" t="n">
        <v>24409.0</v>
      </c>
      <c r="AC166" s="3" t="n">
        <v>23149.0</v>
      </c>
      <c r="AD166" s="3" t="n">
        <v>22544.0</v>
      </c>
      <c r="AE166" s="3" t="n">
        <v>21316.0</v>
      </c>
      <c r="AF166" s="3" t="n">
        <v>20622.0</v>
      </c>
      <c r="AG166" s="3" t="n">
        <v>19876.0</v>
      </c>
      <c r="AH166" s="3" t="n">
        <v>19234.0</v>
      </c>
      <c r="AI166" s="3" t="n">
        <v>18657.0</v>
      </c>
      <c r="AJ166" s="3" t="n">
        <v>18698.0</v>
      </c>
      <c r="AK166" s="3" t="n">
        <v>17890.0</v>
      </c>
      <c r="AL166" s="3" t="n">
        <v>17344.0</v>
      </c>
      <c r="AM166" s="3" t="n">
        <v>17007.0</v>
      </c>
      <c r="AN166" s="3" t="n">
        <v>17433.0</v>
      </c>
      <c r="AO166" s="3" t="n">
        <v>17889.0</v>
      </c>
    </row>
    <row r="167" spans="1:41" x14ac:dyDescent="0.2">
      <c r="A167" s="122"/>
      <c r="B167" s="9">
        <v>56</v>
      </c>
      <c r="C167" s="3" t="n">
        <v>19347.0</v>
      </c>
      <c r="D167" s="3" t="n">
        <v>19466.0</v>
      </c>
      <c r="E167" s="3" t="n">
        <v>19584.0</v>
      </c>
      <c r="F167" s="3" t="n">
        <v>19735.0</v>
      </c>
      <c r="G167" s="3" t="n">
        <v>20315.0</v>
      </c>
      <c r="H167" s="3" t="n">
        <v>20791.0</v>
      </c>
      <c r="I167" s="3" t="n">
        <v>21113.0</v>
      </c>
      <c r="J167" s="3" t="n">
        <v>21989.0</v>
      </c>
      <c r="K167" s="3" t="n">
        <v>23228.0</v>
      </c>
      <c r="L167" s="3" t="n">
        <v>23608.0</v>
      </c>
      <c r="M167" s="3" t="n">
        <v>24580.0</v>
      </c>
      <c r="N167" s="3" t="n">
        <v>24759.0</v>
      </c>
      <c r="O167" s="3" t="n">
        <v>25352.0</v>
      </c>
      <c r="P167" s="3" t="n">
        <v>25998.0</v>
      </c>
      <c r="Q167" s="3" t="n">
        <v>26228.0</v>
      </c>
      <c r="R167" s="3" t="n">
        <v>25769.0</v>
      </c>
      <c r="S167" s="3" t="n">
        <v>27036.0</v>
      </c>
      <c r="T167" s="3" t="n">
        <v>27938.0</v>
      </c>
      <c r="U167" s="3" t="n">
        <v>27947.0</v>
      </c>
      <c r="V167" s="3" t="n">
        <v>27362.0</v>
      </c>
      <c r="W167" s="3" t="n">
        <v>26287.0</v>
      </c>
      <c r="X167" s="3" t="n">
        <v>25611.0</v>
      </c>
      <c r="Y167" s="3" t="n">
        <v>25579.0</v>
      </c>
      <c r="Z167" s="3" t="n">
        <v>25045.0</v>
      </c>
      <c r="AA167" s="3" t="n">
        <v>25389.0</v>
      </c>
      <c r="AB167" s="3" t="n">
        <v>25382.0</v>
      </c>
      <c r="AC167" s="3" t="n">
        <v>24253.0</v>
      </c>
      <c r="AD167" s="3" t="n">
        <v>23002.0</v>
      </c>
      <c r="AE167" s="3" t="n">
        <v>22400.0</v>
      </c>
      <c r="AF167" s="3" t="n">
        <v>21185.0</v>
      </c>
      <c r="AG167" s="3" t="n">
        <v>20494.0</v>
      </c>
      <c r="AH167" s="3" t="n">
        <v>19752.0</v>
      </c>
      <c r="AI167" s="3" t="n">
        <v>19118.0</v>
      </c>
      <c r="AJ167" s="3" t="n">
        <v>18549.0</v>
      </c>
      <c r="AK167" s="3" t="n">
        <v>18592.0</v>
      </c>
      <c r="AL167" s="3" t="n">
        <v>17793.0</v>
      </c>
      <c r="AM167" s="3" t="n">
        <v>17250.0</v>
      </c>
      <c r="AN167" s="3" t="n">
        <v>16920.0</v>
      </c>
      <c r="AO167" s="3" t="n">
        <v>17346.0</v>
      </c>
    </row>
    <row r="168" spans="1:41" x14ac:dyDescent="0.2">
      <c r="A168" s="122"/>
      <c r="B168" s="9">
        <v>57</v>
      </c>
      <c r="C168" s="3" t="n">
        <v>19533.0</v>
      </c>
      <c r="D168" s="3" t="n">
        <v>19136.0</v>
      </c>
      <c r="E168" s="3" t="n">
        <v>19259.0</v>
      </c>
      <c r="F168" s="3" t="n">
        <v>19381.0</v>
      </c>
      <c r="G168" s="3" t="n">
        <v>19536.0</v>
      </c>
      <c r="H168" s="3" t="n">
        <v>20124.0</v>
      </c>
      <c r="I168" s="3" t="n">
        <v>20599.0</v>
      </c>
      <c r="J168" s="3" t="n">
        <v>20916.0</v>
      </c>
      <c r="K168" s="3" t="n">
        <v>21788.0</v>
      </c>
      <c r="L168" s="3" t="n">
        <v>23019.0</v>
      </c>
      <c r="M168" s="3" t="n">
        <v>23396.0</v>
      </c>
      <c r="N168" s="3" t="n">
        <v>24365.0</v>
      </c>
      <c r="O168" s="3" t="n">
        <v>24541.0</v>
      </c>
      <c r="P168" s="3" t="n">
        <v>25133.0</v>
      </c>
      <c r="Q168" s="3" t="n">
        <v>25778.0</v>
      </c>
      <c r="R168" s="3" t="n">
        <v>26008.0</v>
      </c>
      <c r="S168" s="3" t="n">
        <v>25556.0</v>
      </c>
      <c r="T168" s="3" t="n">
        <v>26816.0</v>
      </c>
      <c r="U168" s="3" t="n">
        <v>27713.0</v>
      </c>
      <c r="V168" s="3" t="n">
        <v>27725.0</v>
      </c>
      <c r="W168" s="3" t="n">
        <v>27147.0</v>
      </c>
      <c r="X168" s="3" t="n">
        <v>26081.0</v>
      </c>
      <c r="Y168" s="3" t="n">
        <v>25415.0</v>
      </c>
      <c r="Z168" s="3" t="n">
        <v>25382.0</v>
      </c>
      <c r="AA168" s="3" t="n">
        <v>24856.0</v>
      </c>
      <c r="AB168" s="3" t="n">
        <v>25197.0</v>
      </c>
      <c r="AC168" s="3" t="n">
        <v>25195.0</v>
      </c>
      <c r="AD168" s="3" t="n">
        <v>24079.0</v>
      </c>
      <c r="AE168" s="3" t="n">
        <v>22833.0</v>
      </c>
      <c r="AF168" s="3" t="n">
        <v>22243.0</v>
      </c>
      <c r="AG168" s="3" t="n">
        <v>21044.0</v>
      </c>
      <c r="AH168" s="3" t="n">
        <v>20358.0</v>
      </c>
      <c r="AI168" s="3" t="n">
        <v>19625.0</v>
      </c>
      <c r="AJ168" s="3" t="n">
        <v>18997.0</v>
      </c>
      <c r="AK168" s="3" t="n">
        <v>18430.0</v>
      </c>
      <c r="AL168" s="3" t="n">
        <v>18476.0</v>
      </c>
      <c r="AM168" s="3" t="n">
        <v>17686.0</v>
      </c>
      <c r="AN168" s="3" t="n">
        <v>17150.0</v>
      </c>
      <c r="AO168" s="3" t="n">
        <v>16827.0</v>
      </c>
    </row>
    <row r="169" spans="1:41" x14ac:dyDescent="0.2">
      <c r="A169" s="122"/>
      <c r="B169" s="9">
        <v>58</v>
      </c>
      <c r="C169" s="3" t="n">
        <v>19498.0</v>
      </c>
      <c r="D169" s="3" t="n">
        <v>19295.0</v>
      </c>
      <c r="E169" s="3" t="n">
        <v>18913.0</v>
      </c>
      <c r="F169" s="3" t="n">
        <v>19039.0</v>
      </c>
      <c r="G169" s="3" t="n">
        <v>19163.0</v>
      </c>
      <c r="H169" s="3" t="n">
        <v>19337.0</v>
      </c>
      <c r="I169" s="3" t="n">
        <v>19925.0</v>
      </c>
      <c r="J169" s="3" t="n">
        <v>20386.0</v>
      </c>
      <c r="K169" s="3" t="n">
        <v>20697.0</v>
      </c>
      <c r="L169" s="3" t="n">
        <v>21565.0</v>
      </c>
      <c r="M169" s="3" t="n">
        <v>22787.0</v>
      </c>
      <c r="N169" s="3" t="n">
        <v>23172.0</v>
      </c>
      <c r="O169" s="3" t="n">
        <v>24131.0</v>
      </c>
      <c r="P169" s="3" t="n">
        <v>24305.0</v>
      </c>
      <c r="Q169" s="3" t="n">
        <v>24895.0</v>
      </c>
      <c r="R169" s="3" t="n">
        <v>25540.0</v>
      </c>
      <c r="S169" s="3" t="n">
        <v>25772.0</v>
      </c>
      <c r="T169" s="3" t="n">
        <v>25327.0</v>
      </c>
      <c r="U169" s="3" t="n">
        <v>26580.0</v>
      </c>
      <c r="V169" s="3" t="n">
        <v>27469.0</v>
      </c>
      <c r="W169" s="3" t="n">
        <v>27485.0</v>
      </c>
      <c r="X169" s="3" t="n">
        <v>26916.0</v>
      </c>
      <c r="Y169" s="3" t="n">
        <v>25862.0</v>
      </c>
      <c r="Z169" s="3" t="n">
        <v>25202.0</v>
      </c>
      <c r="AA169" s="3" t="n">
        <v>25174.0</v>
      </c>
      <c r="AB169" s="3" t="n">
        <v>24659.0</v>
      </c>
      <c r="AC169" s="3" t="n">
        <v>24993.0</v>
      </c>
      <c r="AD169" s="3" t="n">
        <v>24993.0</v>
      </c>
      <c r="AE169" s="3" t="n">
        <v>23890.0</v>
      </c>
      <c r="AF169" s="3" t="n">
        <v>22654.0</v>
      </c>
      <c r="AG169" s="3" t="n">
        <v>22070.0</v>
      </c>
      <c r="AH169" s="3" t="n">
        <v>20886.0</v>
      </c>
      <c r="AI169" s="3" t="n">
        <v>20208.0</v>
      </c>
      <c r="AJ169" s="3" t="n">
        <v>19487.0</v>
      </c>
      <c r="AK169" s="3" t="n">
        <v>18862.0</v>
      </c>
      <c r="AL169" s="3" t="n">
        <v>18304.0</v>
      </c>
      <c r="AM169" s="3" t="n">
        <v>18355.0</v>
      </c>
      <c r="AN169" s="3" t="n">
        <v>17577.0</v>
      </c>
      <c r="AO169" s="3" t="n">
        <v>17047.0</v>
      </c>
    </row>
    <row r="170" spans="1:41" x14ac:dyDescent="0.2">
      <c r="A170" s="122"/>
      <c r="B170" s="9">
        <v>59</v>
      </c>
      <c r="C170" s="3" t="n">
        <v>19342.0</v>
      </c>
      <c r="D170" s="3" t="n">
        <v>19238.0</v>
      </c>
      <c r="E170" s="3" t="n">
        <v>19048.0</v>
      </c>
      <c r="F170" s="3" t="n">
        <v>18674.0</v>
      </c>
      <c r="G170" s="3" t="n">
        <v>18802.0</v>
      </c>
      <c r="H170" s="3" t="n">
        <v>18941.0</v>
      </c>
      <c r="I170" s="3" t="n">
        <v>19120.0</v>
      </c>
      <c r="J170" s="3" t="n">
        <v>19705.0</v>
      </c>
      <c r="K170" s="3" t="n">
        <v>20159.0</v>
      </c>
      <c r="L170" s="3" t="n">
        <v>20470.0</v>
      </c>
      <c r="M170" s="3" t="n">
        <v>21332.0</v>
      </c>
      <c r="N170" s="3" t="n">
        <v>22543.0</v>
      </c>
      <c r="O170" s="3" t="n">
        <v>22926.0</v>
      </c>
      <c r="P170" s="3" t="n">
        <v>23881.0</v>
      </c>
      <c r="Q170" s="3" t="n">
        <v>24055.0</v>
      </c>
      <c r="R170" s="3" t="n">
        <v>24647.0</v>
      </c>
      <c r="S170" s="3" t="n">
        <v>25288.0</v>
      </c>
      <c r="T170" s="3" t="n">
        <v>25520.0</v>
      </c>
      <c r="U170" s="3" t="n">
        <v>25083.0</v>
      </c>
      <c r="V170" s="3" t="n">
        <v>26328.0</v>
      </c>
      <c r="W170" s="3" t="n">
        <v>27217.0</v>
      </c>
      <c r="X170" s="3" t="n">
        <v>27233.0</v>
      </c>
      <c r="Y170" s="3" t="n">
        <v>26672.0</v>
      </c>
      <c r="Z170" s="3" t="n">
        <v>25632.0</v>
      </c>
      <c r="AA170" s="3" t="n">
        <v>24978.0</v>
      </c>
      <c r="AB170" s="3" t="n">
        <v>24956.0</v>
      </c>
      <c r="AC170" s="3" t="n">
        <v>24445.0</v>
      </c>
      <c r="AD170" s="3" t="n">
        <v>24779.0</v>
      </c>
      <c r="AE170" s="3" t="n">
        <v>24781.0</v>
      </c>
      <c r="AF170" s="3" t="n">
        <v>23689.0</v>
      </c>
      <c r="AG170" s="3" t="n">
        <v>22473.0</v>
      </c>
      <c r="AH170" s="3" t="n">
        <v>21897.0</v>
      </c>
      <c r="AI170" s="3" t="n">
        <v>20721.0</v>
      </c>
      <c r="AJ170" s="3" t="n">
        <v>20052.0</v>
      </c>
      <c r="AK170" s="3" t="n">
        <v>19340.0</v>
      </c>
      <c r="AL170" s="3" t="n">
        <v>18721.0</v>
      </c>
      <c r="AM170" s="3" t="n">
        <v>18174.0</v>
      </c>
      <c r="AN170" s="3" t="n">
        <v>18227.0</v>
      </c>
      <c r="AO170" s="3" t="n">
        <v>17460.0</v>
      </c>
    </row>
    <row r="171" spans="1:41" x14ac:dyDescent="0.2">
      <c r="A171" s="122"/>
      <c r="B171" s="9">
        <v>60</v>
      </c>
      <c r="C171" s="3" t="n">
        <v>19274.0</v>
      </c>
      <c r="D171" s="3" t="n">
        <v>19062.0</v>
      </c>
      <c r="E171" s="3" t="n">
        <v>18968.0</v>
      </c>
      <c r="F171" s="3" t="n">
        <v>18786.0</v>
      </c>
      <c r="G171" s="3" t="n">
        <v>18422.0</v>
      </c>
      <c r="H171" s="3" t="n">
        <v>18572.0</v>
      </c>
      <c r="I171" s="3" t="n">
        <v>18719.0</v>
      </c>
      <c r="J171" s="3" t="n">
        <v>18884.0</v>
      </c>
      <c r="K171" s="3" t="n">
        <v>19462.0</v>
      </c>
      <c r="L171" s="3" t="n">
        <v>19917.0</v>
      </c>
      <c r="M171" s="3" t="n">
        <v>20226.0</v>
      </c>
      <c r="N171" s="3" t="n">
        <v>21080.0</v>
      </c>
      <c r="O171" s="3" t="n">
        <v>22283.0</v>
      </c>
      <c r="P171" s="3" t="n">
        <v>22663.0</v>
      </c>
      <c r="Q171" s="3" t="n">
        <v>23610.0</v>
      </c>
      <c r="R171" s="3" t="n">
        <v>23788.0</v>
      </c>
      <c r="S171" s="3" t="n">
        <v>24377.0</v>
      </c>
      <c r="T171" s="3" t="n">
        <v>25013.0</v>
      </c>
      <c r="U171" s="3" t="n">
        <v>25245.0</v>
      </c>
      <c r="V171" s="3" t="n">
        <v>24819.0</v>
      </c>
      <c r="W171" s="3" t="n">
        <v>26054.0</v>
      </c>
      <c r="X171" s="3" t="n">
        <v>26937.0</v>
      </c>
      <c r="Y171" s="3" t="n">
        <v>26953.0</v>
      </c>
      <c r="Z171" s="3" t="n">
        <v>26401.0</v>
      </c>
      <c r="AA171" s="3" t="n">
        <v>25382.0</v>
      </c>
      <c r="AB171" s="3" t="n">
        <v>24737.0</v>
      </c>
      <c r="AC171" s="3" t="n">
        <v>24724.0</v>
      </c>
      <c r="AD171" s="3" t="n">
        <v>24223.0</v>
      </c>
      <c r="AE171" s="3" t="n">
        <v>24555.0</v>
      </c>
      <c r="AF171" s="3" t="n">
        <v>24552.0</v>
      </c>
      <c r="AG171" s="3" t="n">
        <v>23479.0</v>
      </c>
      <c r="AH171" s="3" t="n">
        <v>22276.0</v>
      </c>
      <c r="AI171" s="3" t="n">
        <v>21707.0</v>
      </c>
      <c r="AJ171" s="3" t="n">
        <v>20551.0</v>
      </c>
      <c r="AK171" s="3" t="n">
        <v>19885.0</v>
      </c>
      <c r="AL171" s="3" t="n">
        <v>19183.0</v>
      </c>
      <c r="AM171" s="3" t="n">
        <v>18574.0</v>
      </c>
      <c r="AN171" s="3" t="n">
        <v>18036.0</v>
      </c>
      <c r="AO171" s="3" t="n">
        <v>18090.0</v>
      </c>
    </row>
    <row r="172" spans="1:41" x14ac:dyDescent="0.2">
      <c r="A172" s="122"/>
      <c r="B172" s="9">
        <v>61</v>
      </c>
      <c r="C172" s="3" t="n">
        <v>19111.0</v>
      </c>
      <c r="D172" s="3" t="n">
        <v>18970.0</v>
      </c>
      <c r="E172" s="3" t="n">
        <v>18768.0</v>
      </c>
      <c r="F172" s="3" t="n">
        <v>18682.0</v>
      </c>
      <c r="G172" s="3" t="n">
        <v>18509.0</v>
      </c>
      <c r="H172" s="3" t="n">
        <v>18180.0</v>
      </c>
      <c r="I172" s="3" t="n">
        <v>18338.0</v>
      </c>
      <c r="J172" s="3" t="n">
        <v>18475.0</v>
      </c>
      <c r="K172" s="3" t="n">
        <v>18629.0</v>
      </c>
      <c r="L172" s="3" t="n">
        <v>19200.0</v>
      </c>
      <c r="M172" s="3" t="n">
        <v>19655.0</v>
      </c>
      <c r="N172" s="3" t="n">
        <v>19962.0</v>
      </c>
      <c r="O172" s="3" t="n">
        <v>20807.0</v>
      </c>
      <c r="P172" s="3" t="n">
        <v>21999.0</v>
      </c>
      <c r="Q172" s="3" t="n">
        <v>22376.0</v>
      </c>
      <c r="R172" s="3" t="n">
        <v>23319.0</v>
      </c>
      <c r="S172" s="3" t="n">
        <v>23500.0</v>
      </c>
      <c r="T172" s="3" t="n">
        <v>24084.0</v>
      </c>
      <c r="U172" s="3" t="n">
        <v>24722.0</v>
      </c>
      <c r="V172" s="3" t="n">
        <v>24954.0</v>
      </c>
      <c r="W172" s="3" t="n">
        <v>24538.0</v>
      </c>
      <c r="X172" s="3" t="n">
        <v>25761.0</v>
      </c>
      <c r="Y172" s="3" t="n">
        <v>26637.0</v>
      </c>
      <c r="Z172" s="3" t="n">
        <v>26657.0</v>
      </c>
      <c r="AA172" s="3" t="n">
        <v>26120.0</v>
      </c>
      <c r="AB172" s="3" t="n">
        <v>25117.0</v>
      </c>
      <c r="AC172" s="3" t="n">
        <v>24477.0</v>
      </c>
      <c r="AD172" s="3" t="n">
        <v>24467.0</v>
      </c>
      <c r="AE172" s="3" t="n">
        <v>23973.0</v>
      </c>
      <c r="AF172" s="3" t="n">
        <v>24304.0</v>
      </c>
      <c r="AG172" s="3" t="n">
        <v>24302.0</v>
      </c>
      <c r="AH172" s="3" t="n">
        <v>23245.0</v>
      </c>
      <c r="AI172" s="3" t="n">
        <v>22058.0</v>
      </c>
      <c r="AJ172" s="3" t="n">
        <v>21501.0</v>
      </c>
      <c r="AK172" s="3" t="n">
        <v>20365.0</v>
      </c>
      <c r="AL172" s="3" t="n">
        <v>19709.0</v>
      </c>
      <c r="AM172" s="3" t="n">
        <v>19019.0</v>
      </c>
      <c r="AN172" s="3" t="n">
        <v>18416.0</v>
      </c>
      <c r="AO172" s="3" t="n">
        <v>17890.0</v>
      </c>
    </row>
    <row r="173" spans="1:41" x14ac:dyDescent="0.2">
      <c r="A173" s="122"/>
      <c r="B173" s="9">
        <v>62</v>
      </c>
      <c r="C173" s="3" t="n">
        <v>19717.0</v>
      </c>
      <c r="D173" s="3" t="n">
        <v>18781.0</v>
      </c>
      <c r="E173" s="3" t="n">
        <v>18651.0</v>
      </c>
      <c r="F173" s="3" t="n">
        <v>18459.0</v>
      </c>
      <c r="G173" s="3" t="n">
        <v>18383.0</v>
      </c>
      <c r="H173" s="3" t="n">
        <v>18245.0</v>
      </c>
      <c r="I173" s="3" t="n">
        <v>17935.0</v>
      </c>
      <c r="J173" s="3" t="n">
        <v>18079.0</v>
      </c>
      <c r="K173" s="3" t="n">
        <v>18208.0</v>
      </c>
      <c r="L173" s="3" t="n">
        <v>18359.0</v>
      </c>
      <c r="M173" s="3" t="n">
        <v>18927.0</v>
      </c>
      <c r="N173" s="3" t="n">
        <v>19376.0</v>
      </c>
      <c r="O173" s="3" t="n">
        <v>19685.0</v>
      </c>
      <c r="P173" s="3" t="n">
        <v>20520.0</v>
      </c>
      <c r="Q173" s="3" t="n">
        <v>21700.0</v>
      </c>
      <c r="R173" s="3" t="n">
        <v>22077.0</v>
      </c>
      <c r="S173" s="3" t="n">
        <v>23019.0</v>
      </c>
      <c r="T173" s="3" t="n">
        <v>23194.0</v>
      </c>
      <c r="U173" s="3" t="n">
        <v>23778.0</v>
      </c>
      <c r="V173" s="3" t="n">
        <v>24413.0</v>
      </c>
      <c r="W173" s="3" t="n">
        <v>24645.0</v>
      </c>
      <c r="X173" s="3" t="n">
        <v>24242.0</v>
      </c>
      <c r="Y173" s="3" t="n">
        <v>25452.0</v>
      </c>
      <c r="Z173" s="3" t="n">
        <v>26324.0</v>
      </c>
      <c r="AA173" s="3" t="n">
        <v>26349.0</v>
      </c>
      <c r="AB173" s="3" t="n">
        <v>25822.0</v>
      </c>
      <c r="AC173" s="3" t="n">
        <v>24831.0</v>
      </c>
      <c r="AD173" s="3" t="n">
        <v>24212.0</v>
      </c>
      <c r="AE173" s="3" t="n">
        <v>24200.0</v>
      </c>
      <c r="AF173" s="3" t="n">
        <v>23715.0</v>
      </c>
      <c r="AG173" s="3" t="n">
        <v>24043.0</v>
      </c>
      <c r="AH173" s="3" t="n">
        <v>24045.0</v>
      </c>
      <c r="AI173" s="3" t="n">
        <v>23003.0</v>
      </c>
      <c r="AJ173" s="3" t="n">
        <v>21837.0</v>
      </c>
      <c r="AK173" s="3" t="n">
        <v>21287.0</v>
      </c>
      <c r="AL173" s="3" t="n">
        <v>20164.0</v>
      </c>
      <c r="AM173" s="3" t="n">
        <v>19519.0</v>
      </c>
      <c r="AN173" s="3" t="n">
        <v>18841.0</v>
      </c>
      <c r="AO173" s="3" t="n">
        <v>18251.0</v>
      </c>
    </row>
    <row r="174" spans="1:41" x14ac:dyDescent="0.2">
      <c r="A174" s="122"/>
      <c r="B174" s="9">
        <v>63</v>
      </c>
      <c r="C174" s="3" t="n">
        <v>20215.0</v>
      </c>
      <c r="D174" s="3" t="n">
        <v>19356.0</v>
      </c>
      <c r="E174" s="3" t="n">
        <v>18448.0</v>
      </c>
      <c r="F174" s="3" t="n">
        <v>18326.0</v>
      </c>
      <c r="G174" s="3" t="n">
        <v>18142.0</v>
      </c>
      <c r="H174" s="3" t="n">
        <v>18100.0</v>
      </c>
      <c r="I174" s="3" t="n">
        <v>17976.0</v>
      </c>
      <c r="J174" s="3" t="n">
        <v>17652.0</v>
      </c>
      <c r="K174" s="3" t="n">
        <v>17787.0</v>
      </c>
      <c r="L174" s="3" t="n">
        <v>17922.0</v>
      </c>
      <c r="M174" s="3" t="n">
        <v>18075.0</v>
      </c>
      <c r="N174" s="3" t="n">
        <v>18639.0</v>
      </c>
      <c r="O174" s="3" t="n">
        <v>19076.0</v>
      </c>
      <c r="P174" s="3" t="n">
        <v>19392.0</v>
      </c>
      <c r="Q174" s="3" t="n">
        <v>20218.0</v>
      </c>
      <c r="R174" s="3" t="n">
        <v>21384.0</v>
      </c>
      <c r="S174" s="3" t="n">
        <v>21764.0</v>
      </c>
      <c r="T174" s="3" t="n">
        <v>22693.0</v>
      </c>
      <c r="U174" s="3" t="n">
        <v>22873.0</v>
      </c>
      <c r="V174" s="3" t="n">
        <v>23455.0</v>
      </c>
      <c r="W174" s="3" t="n">
        <v>24083.0</v>
      </c>
      <c r="X174" s="3" t="n">
        <v>24322.0</v>
      </c>
      <c r="Y174" s="3" t="n">
        <v>23929.0</v>
      </c>
      <c r="Z174" s="3" t="n">
        <v>25119.0</v>
      </c>
      <c r="AA174" s="3" t="n">
        <v>25986.0</v>
      </c>
      <c r="AB174" s="3" t="n">
        <v>26019.0</v>
      </c>
      <c r="AC174" s="3" t="n">
        <v>25503.0</v>
      </c>
      <c r="AD174" s="3" t="n">
        <v>24531.0</v>
      </c>
      <c r="AE174" s="3" t="n">
        <v>23922.0</v>
      </c>
      <c r="AF174" s="3" t="n">
        <v>23917.0</v>
      </c>
      <c r="AG174" s="3" t="n">
        <v>23441.0</v>
      </c>
      <c r="AH174" s="3" t="n">
        <v>23771.0</v>
      </c>
      <c r="AI174" s="3" t="n">
        <v>23774.0</v>
      </c>
      <c r="AJ174" s="3" t="n">
        <v>22752.0</v>
      </c>
      <c r="AK174" s="3" t="n">
        <v>21601.0</v>
      </c>
      <c r="AL174" s="3" t="n">
        <v>21059.0</v>
      </c>
      <c r="AM174" s="3" t="n">
        <v>19956.0</v>
      </c>
      <c r="AN174" s="3" t="n">
        <v>19322.0</v>
      </c>
      <c r="AO174" s="3" t="n">
        <v>18655.0</v>
      </c>
    </row>
    <row r="175" spans="1:41" x14ac:dyDescent="0.2">
      <c r="A175" s="122"/>
      <c r="B175" s="9">
        <v>64</v>
      </c>
      <c r="C175" s="3" t="n">
        <v>20285.0</v>
      </c>
      <c r="D175" s="3" t="n">
        <v>19807.0</v>
      </c>
      <c r="E175" s="3" t="n">
        <v>18976.0</v>
      </c>
      <c r="F175" s="3" t="n">
        <v>18092.0</v>
      </c>
      <c r="G175" s="3" t="n">
        <v>17977.0</v>
      </c>
      <c r="H175" s="3" t="n">
        <v>17827.0</v>
      </c>
      <c r="I175" s="3" t="n">
        <v>17802.0</v>
      </c>
      <c r="J175" s="3" t="n">
        <v>17668.0</v>
      </c>
      <c r="K175" s="3" t="n">
        <v>17346.0</v>
      </c>
      <c r="L175" s="3" t="n">
        <v>17479.0</v>
      </c>
      <c r="M175" s="3" t="n">
        <v>17619.0</v>
      </c>
      <c r="N175" s="3" t="n">
        <v>17773.0</v>
      </c>
      <c r="O175" s="3" t="n">
        <v>18330.0</v>
      </c>
      <c r="P175" s="3" t="n">
        <v>18766.0</v>
      </c>
      <c r="Q175" s="3" t="n">
        <v>19083.0</v>
      </c>
      <c r="R175" s="3" t="n">
        <v>19899.0</v>
      </c>
      <c r="S175" s="3" t="n">
        <v>21043.0</v>
      </c>
      <c r="T175" s="3" t="n">
        <v>21429.0</v>
      </c>
      <c r="U175" s="3" t="n">
        <v>22346.0</v>
      </c>
      <c r="V175" s="3" t="n">
        <v>22534.0</v>
      </c>
      <c r="W175" s="3" t="n">
        <v>23113.0</v>
      </c>
      <c r="X175" s="3" t="n">
        <v>23736.0</v>
      </c>
      <c r="Y175" s="3" t="n">
        <v>23978.0</v>
      </c>
      <c r="Z175" s="3" t="n">
        <v>23592.0</v>
      </c>
      <c r="AA175" s="3" t="n">
        <v>24772.0</v>
      </c>
      <c r="AB175" s="3" t="n">
        <v>25631.0</v>
      </c>
      <c r="AC175" s="3" t="n">
        <v>25670.0</v>
      </c>
      <c r="AD175" s="3" t="n">
        <v>25166.0</v>
      </c>
      <c r="AE175" s="3" t="n">
        <v>24212.0</v>
      </c>
      <c r="AF175" s="3" t="n">
        <v>23610.0</v>
      </c>
      <c r="AG175" s="3" t="n">
        <v>23613.0</v>
      </c>
      <c r="AH175" s="3" t="n">
        <v>23150.0</v>
      </c>
      <c r="AI175" s="3" t="n">
        <v>23478.0</v>
      </c>
      <c r="AJ175" s="3" t="n">
        <v>23486.0</v>
      </c>
      <c r="AK175" s="3" t="n">
        <v>22478.0</v>
      </c>
      <c r="AL175" s="3" t="n">
        <v>21347.0</v>
      </c>
      <c r="AM175" s="3" t="n">
        <v>20818.0</v>
      </c>
      <c r="AN175" s="3" t="n">
        <v>19731.0</v>
      </c>
      <c r="AO175" s="3" t="n">
        <v>19110.0</v>
      </c>
    </row>
    <row r="176" spans="1:41" x14ac:dyDescent="0.2">
      <c r="A176" s="122"/>
      <c r="B176" s="9">
        <v>65</v>
      </c>
      <c r="C176" s="3" t="n">
        <v>19655.0</v>
      </c>
      <c r="D176" s="3" t="n">
        <v>19845.0</v>
      </c>
      <c r="E176" s="3" t="n">
        <v>19388.0</v>
      </c>
      <c r="F176" s="3" t="n">
        <v>18583.0</v>
      </c>
      <c r="G176" s="3" t="n">
        <v>17724.0</v>
      </c>
      <c r="H176" s="3" t="n">
        <v>17644.0</v>
      </c>
      <c r="I176" s="3" t="n">
        <v>17513.0</v>
      </c>
      <c r="J176" s="3" t="n">
        <v>17474.0</v>
      </c>
      <c r="K176" s="3" t="n">
        <v>17340.0</v>
      </c>
      <c r="L176" s="3" t="n">
        <v>17026.0</v>
      </c>
      <c r="M176" s="3" t="n">
        <v>17160.0</v>
      </c>
      <c r="N176" s="3" t="n">
        <v>17303.0</v>
      </c>
      <c r="O176" s="3" t="n">
        <v>17457.0</v>
      </c>
      <c r="P176" s="3" t="n">
        <v>18011.0</v>
      </c>
      <c r="Q176" s="3" t="n">
        <v>18440.0</v>
      </c>
      <c r="R176" s="3" t="n">
        <v>18759.0</v>
      </c>
      <c r="S176" s="3" t="n">
        <v>19568.0</v>
      </c>
      <c r="T176" s="3" t="n">
        <v>20700.0</v>
      </c>
      <c r="U176" s="3" t="n">
        <v>21084.0</v>
      </c>
      <c r="V176" s="3" t="n">
        <v>21992.0</v>
      </c>
      <c r="W176" s="3" t="n">
        <v>22181.0</v>
      </c>
      <c r="X176" s="3" t="n">
        <v>22754.0</v>
      </c>
      <c r="Y176" s="3" t="n">
        <v>23375.0</v>
      </c>
      <c r="Z176" s="3" t="n">
        <v>23620.0</v>
      </c>
      <c r="AA176" s="3" t="n">
        <v>23244.0</v>
      </c>
      <c r="AB176" s="3" t="n">
        <v>24413.0</v>
      </c>
      <c r="AC176" s="3" t="n">
        <v>25265.0</v>
      </c>
      <c r="AD176" s="3" t="n">
        <v>25304.0</v>
      </c>
      <c r="AE176" s="3" t="n">
        <v>24818.0</v>
      </c>
      <c r="AF176" s="3" t="n">
        <v>23879.0</v>
      </c>
      <c r="AG176" s="3" t="n">
        <v>23289.0</v>
      </c>
      <c r="AH176" s="3" t="n">
        <v>23300.0</v>
      </c>
      <c r="AI176" s="3" t="n">
        <v>22847.0</v>
      </c>
      <c r="AJ176" s="3" t="n">
        <v>23177.0</v>
      </c>
      <c r="AK176" s="3" t="n">
        <v>23184.0</v>
      </c>
      <c r="AL176" s="3" t="n">
        <v>22194.0</v>
      </c>
      <c r="AM176" s="3" t="n">
        <v>21083.0</v>
      </c>
      <c r="AN176" s="3" t="n">
        <v>20564.0</v>
      </c>
      <c r="AO176" s="3" t="n">
        <v>19495.0</v>
      </c>
    </row>
    <row r="177" spans="1:41" x14ac:dyDescent="0.2">
      <c r="A177" s="122"/>
      <c r="B177" s="9">
        <v>66</v>
      </c>
      <c r="C177" s="3" t="n">
        <v>18823.0</v>
      </c>
      <c r="D177" s="3" t="n">
        <v>19188.0</v>
      </c>
      <c r="E177" s="3" t="n">
        <v>19386.0</v>
      </c>
      <c r="F177" s="3" t="n">
        <v>18946.0</v>
      </c>
      <c r="G177" s="3" t="n">
        <v>18171.0</v>
      </c>
      <c r="H177" s="3" t="n">
        <v>17363.0</v>
      </c>
      <c r="I177" s="3" t="n">
        <v>17294.0</v>
      </c>
      <c r="J177" s="3" t="n">
        <v>17158.0</v>
      </c>
      <c r="K177" s="3" t="n">
        <v>17118.0</v>
      </c>
      <c r="L177" s="3" t="n">
        <v>16988.0</v>
      </c>
      <c r="M177" s="3" t="n">
        <v>16684.0</v>
      </c>
      <c r="N177" s="3" t="n">
        <v>16822.0</v>
      </c>
      <c r="O177" s="3" t="n">
        <v>16967.0</v>
      </c>
      <c r="P177" s="3" t="n">
        <v>17128.0</v>
      </c>
      <c r="Q177" s="3" t="n">
        <v>17674.0</v>
      </c>
      <c r="R177" s="3" t="n">
        <v>18102.0</v>
      </c>
      <c r="S177" s="3" t="n">
        <v>18419.0</v>
      </c>
      <c r="T177" s="3" t="n">
        <v>19219.0</v>
      </c>
      <c r="U177" s="3" t="n">
        <v>20331.0</v>
      </c>
      <c r="V177" s="3" t="n">
        <v>20720.0</v>
      </c>
      <c r="W177" s="3" t="n">
        <v>21620.0</v>
      </c>
      <c r="X177" s="3" t="n">
        <v>21813.0</v>
      </c>
      <c r="Y177" s="3" t="n">
        <v>22385.0</v>
      </c>
      <c r="Z177" s="3" t="n">
        <v>23000.0</v>
      </c>
      <c r="AA177" s="3" t="n">
        <v>23245.0</v>
      </c>
      <c r="AB177" s="3" t="n">
        <v>22883.0</v>
      </c>
      <c r="AC177" s="3" t="n">
        <v>24038.0</v>
      </c>
      <c r="AD177" s="3" t="n">
        <v>24881.0</v>
      </c>
      <c r="AE177" s="3" t="n">
        <v>24924.0</v>
      </c>
      <c r="AF177" s="3" t="n">
        <v>24452.0</v>
      </c>
      <c r="AG177" s="3" t="n">
        <v>23530.0</v>
      </c>
      <c r="AH177" s="3" t="n">
        <v>22951.0</v>
      </c>
      <c r="AI177" s="3" t="n">
        <v>22969.0</v>
      </c>
      <c r="AJ177" s="3" t="n">
        <v>22529.0</v>
      </c>
      <c r="AK177" s="3" t="n">
        <v>22854.0</v>
      </c>
      <c r="AL177" s="3" t="n">
        <v>22865.0</v>
      </c>
      <c r="AM177" s="3" t="n">
        <v>21897.0</v>
      </c>
      <c r="AN177" s="3" t="n">
        <v>20808.0</v>
      </c>
      <c r="AO177" s="3" t="n">
        <v>20302.0</v>
      </c>
    </row>
    <row r="178" spans="1:41" x14ac:dyDescent="0.2">
      <c r="A178" s="122"/>
      <c r="B178" s="9">
        <v>67</v>
      </c>
      <c r="C178" s="3" t="n">
        <v>18645.0</v>
      </c>
      <c r="D178" s="3" t="n">
        <v>18346.0</v>
      </c>
      <c r="E178" s="3" t="n">
        <v>18715.0</v>
      </c>
      <c r="F178" s="3" t="n">
        <v>18919.0</v>
      </c>
      <c r="G178" s="3" t="n">
        <v>18496.0</v>
      </c>
      <c r="H178" s="3" t="n">
        <v>17766.0</v>
      </c>
      <c r="I178" s="3" t="n">
        <v>16990.0</v>
      </c>
      <c r="J178" s="3" t="n">
        <v>16913.0</v>
      </c>
      <c r="K178" s="3" t="n">
        <v>16782.0</v>
      </c>
      <c r="L178" s="3" t="n">
        <v>16745.0</v>
      </c>
      <c r="M178" s="3" t="n">
        <v>16626.0</v>
      </c>
      <c r="N178" s="3" t="n">
        <v>16334.0</v>
      </c>
      <c r="O178" s="3" t="n">
        <v>16473.0</v>
      </c>
      <c r="P178" s="3" t="n">
        <v>16623.0</v>
      </c>
      <c r="Q178" s="3" t="n">
        <v>16789.0</v>
      </c>
      <c r="R178" s="3" t="n">
        <v>17329.0</v>
      </c>
      <c r="S178" s="3" t="n">
        <v>17751.0</v>
      </c>
      <c r="T178" s="3" t="n">
        <v>18066.0</v>
      </c>
      <c r="U178" s="3" t="n">
        <v>18859.0</v>
      </c>
      <c r="V178" s="3" t="n">
        <v>19952.0</v>
      </c>
      <c r="W178" s="3" t="n">
        <v>20339.0</v>
      </c>
      <c r="X178" s="3" t="n">
        <v>21233.0</v>
      </c>
      <c r="Y178" s="3" t="n">
        <v>21424.0</v>
      </c>
      <c r="Z178" s="3" t="n">
        <v>21989.0</v>
      </c>
      <c r="AA178" s="3" t="n">
        <v>22601.0</v>
      </c>
      <c r="AB178" s="3" t="n">
        <v>22852.0</v>
      </c>
      <c r="AC178" s="3" t="n">
        <v>22508.0</v>
      </c>
      <c r="AD178" s="3" t="n">
        <v>23648.0</v>
      </c>
      <c r="AE178" s="3" t="n">
        <v>24479.0</v>
      </c>
      <c r="AF178" s="3" t="n">
        <v>24529.0</v>
      </c>
      <c r="AG178" s="3" t="n">
        <v>24071.0</v>
      </c>
      <c r="AH178" s="3" t="n">
        <v>23166.0</v>
      </c>
      <c r="AI178" s="3" t="n">
        <v>22598.0</v>
      </c>
      <c r="AJ178" s="3" t="n">
        <v>22619.0</v>
      </c>
      <c r="AK178" s="3" t="n">
        <v>22188.0</v>
      </c>
      <c r="AL178" s="3" t="n">
        <v>22515.0</v>
      </c>
      <c r="AM178" s="3" t="n">
        <v>22531.0</v>
      </c>
      <c r="AN178" s="3" t="n">
        <v>21585.0</v>
      </c>
      <c r="AO178" s="3" t="n">
        <v>20523.0</v>
      </c>
    </row>
    <row r="179" spans="1:41" x14ac:dyDescent="0.2">
      <c r="A179" s="122"/>
      <c r="B179" s="9">
        <v>68</v>
      </c>
      <c r="C179" s="3" t="n">
        <v>17540.0</v>
      </c>
      <c r="D179" s="3" t="n">
        <v>18140.0</v>
      </c>
      <c r="E179" s="3" t="n">
        <v>17865.0</v>
      </c>
      <c r="F179" s="3" t="n">
        <v>18233.0</v>
      </c>
      <c r="G179" s="3" t="n">
        <v>18441.0</v>
      </c>
      <c r="H179" s="3" t="n">
        <v>18049.0</v>
      </c>
      <c r="I179" s="3" t="n">
        <v>17348.0</v>
      </c>
      <c r="J179" s="3" t="n">
        <v>16591.0</v>
      </c>
      <c r="K179" s="3" t="n">
        <v>16512.0</v>
      </c>
      <c r="L179" s="3" t="n">
        <v>16395.0</v>
      </c>
      <c r="M179" s="3" t="n">
        <v>16361.0</v>
      </c>
      <c r="N179" s="3" t="n">
        <v>16251.0</v>
      </c>
      <c r="O179" s="3" t="n">
        <v>15970.0</v>
      </c>
      <c r="P179" s="3" t="n">
        <v>16115.0</v>
      </c>
      <c r="Q179" s="3" t="n">
        <v>16267.0</v>
      </c>
      <c r="R179" s="3" t="n">
        <v>16434.0</v>
      </c>
      <c r="S179" s="3" t="n">
        <v>16968.0</v>
      </c>
      <c r="T179" s="3" t="n">
        <v>17385.0</v>
      </c>
      <c r="U179" s="3" t="n">
        <v>17702.0</v>
      </c>
      <c r="V179" s="3" t="n">
        <v>18484.0</v>
      </c>
      <c r="W179" s="3" t="n">
        <v>19563.0</v>
      </c>
      <c r="X179" s="3" t="n">
        <v>19947.0</v>
      </c>
      <c r="Y179" s="3" t="n">
        <v>20827.0</v>
      </c>
      <c r="Z179" s="3" t="n">
        <v>21016.0</v>
      </c>
      <c r="AA179" s="3" t="n">
        <v>21581.0</v>
      </c>
      <c r="AB179" s="3" t="n">
        <v>22185.0</v>
      </c>
      <c r="AC179" s="3" t="n">
        <v>22437.0</v>
      </c>
      <c r="AD179" s="3" t="n">
        <v>22106.0</v>
      </c>
      <c r="AE179" s="3" t="n">
        <v>23224.0</v>
      </c>
      <c r="AF179" s="3" t="n">
        <v>24051.0</v>
      </c>
      <c r="AG179" s="3" t="n">
        <v>24109.0</v>
      </c>
      <c r="AH179" s="3" t="n">
        <v>23668.0</v>
      </c>
      <c r="AI179" s="3" t="n">
        <v>22786.0</v>
      </c>
      <c r="AJ179" s="3" t="n">
        <v>22236.0</v>
      </c>
      <c r="AK179" s="3" t="n">
        <v>22257.0</v>
      </c>
      <c r="AL179" s="3" t="n">
        <v>21842.0</v>
      </c>
      <c r="AM179" s="3" t="n">
        <v>22167.0</v>
      </c>
      <c r="AN179" s="3" t="n">
        <v>22188.0</v>
      </c>
      <c r="AO179" s="3" t="n">
        <v>21262.0</v>
      </c>
    </row>
    <row r="180" spans="1:41" x14ac:dyDescent="0.2">
      <c r="A180" s="122"/>
      <c r="B180" s="9">
        <v>69</v>
      </c>
      <c r="C180" s="3" t="n">
        <v>16878.0</v>
      </c>
      <c r="D180" s="3" t="n">
        <v>17040.0</v>
      </c>
      <c r="E180" s="3" t="n">
        <v>17639.0</v>
      </c>
      <c r="F180" s="3" t="n">
        <v>17378.0</v>
      </c>
      <c r="G180" s="3" t="n">
        <v>17742.0</v>
      </c>
      <c r="H180" s="3" t="n">
        <v>17965.0</v>
      </c>
      <c r="I180" s="3" t="n">
        <v>17593.0</v>
      </c>
      <c r="J180" s="3" t="n">
        <v>16913.0</v>
      </c>
      <c r="K180" s="3" t="n">
        <v>16174.0</v>
      </c>
      <c r="L180" s="3" t="n">
        <v>16105.0</v>
      </c>
      <c r="M180" s="3" t="n">
        <v>15994.0</v>
      </c>
      <c r="N180" s="3" t="n">
        <v>15971.0</v>
      </c>
      <c r="O180" s="3" t="n">
        <v>15865.0</v>
      </c>
      <c r="P180" s="3" t="n">
        <v>15597.0</v>
      </c>
      <c r="Q180" s="3" t="n">
        <v>15738.0</v>
      </c>
      <c r="R180" s="3" t="n">
        <v>15896.0</v>
      </c>
      <c r="S180" s="3" t="n">
        <v>16068.0</v>
      </c>
      <c r="T180" s="3" t="n">
        <v>16594.0</v>
      </c>
      <c r="U180" s="3" t="n">
        <v>17011.0</v>
      </c>
      <c r="V180" s="3" t="n">
        <v>17326.0</v>
      </c>
      <c r="W180" s="3" t="n">
        <v>18100.0</v>
      </c>
      <c r="X180" s="3" t="n">
        <v>19155.0</v>
      </c>
      <c r="Y180" s="3" t="n">
        <v>19541.0</v>
      </c>
      <c r="Z180" s="3" t="n">
        <v>20407.0</v>
      </c>
      <c r="AA180" s="3" t="n">
        <v>20599.0</v>
      </c>
      <c r="AB180" s="3" t="n">
        <v>21159.0</v>
      </c>
      <c r="AC180" s="3" t="n">
        <v>21756.0</v>
      </c>
      <c r="AD180" s="3" t="n">
        <v>22010.0</v>
      </c>
      <c r="AE180" s="3" t="n">
        <v>21692.0</v>
      </c>
      <c r="AF180" s="3" t="n">
        <v>22795.0</v>
      </c>
      <c r="AG180" s="3" t="n">
        <v>23622.0</v>
      </c>
      <c r="AH180" s="3" t="n">
        <v>23684.0</v>
      </c>
      <c r="AI180" s="3" t="n">
        <v>23256.0</v>
      </c>
      <c r="AJ180" s="3" t="n">
        <v>22396.0</v>
      </c>
      <c r="AK180" s="3" t="n">
        <v>21862.0</v>
      </c>
      <c r="AL180" s="3" t="n">
        <v>21888.0</v>
      </c>
      <c r="AM180" s="3" t="n">
        <v>21486.0</v>
      </c>
      <c r="AN180" s="3" t="n">
        <v>21810.0</v>
      </c>
      <c r="AO180" s="3" t="n">
        <v>21837.0</v>
      </c>
    </row>
    <row r="181" spans="1:41" x14ac:dyDescent="0.2">
      <c r="A181" s="122"/>
      <c r="B181" s="9">
        <v>70</v>
      </c>
      <c r="C181" s="3" t="n">
        <v>16010.0</v>
      </c>
      <c r="D181" s="3" t="n">
        <v>16357.0</v>
      </c>
      <c r="E181" s="3" t="n">
        <v>16529.0</v>
      </c>
      <c r="F181" s="3" t="n">
        <v>17120.0</v>
      </c>
      <c r="G181" s="3" t="n">
        <v>16878.0</v>
      </c>
      <c r="H181" s="3" t="n">
        <v>17254.0</v>
      </c>
      <c r="I181" s="3" t="n">
        <v>17477.0</v>
      </c>
      <c r="J181" s="3" t="n">
        <v>17111.0</v>
      </c>
      <c r="K181" s="3" t="n">
        <v>16453.0</v>
      </c>
      <c r="L181" s="3" t="n">
        <v>15743.0</v>
      </c>
      <c r="M181" s="3" t="n">
        <v>15682.0</v>
      </c>
      <c r="N181" s="3" t="n">
        <v>15575.0</v>
      </c>
      <c r="O181" s="3" t="n">
        <v>15562.0</v>
      </c>
      <c r="P181" s="3" t="n">
        <v>15463.0</v>
      </c>
      <c r="Q181" s="3" t="n">
        <v>15212.0</v>
      </c>
      <c r="R181" s="3" t="n">
        <v>15354.0</v>
      </c>
      <c r="S181" s="3" t="n">
        <v>15514.0</v>
      </c>
      <c r="T181" s="3" t="n">
        <v>15686.0</v>
      </c>
      <c r="U181" s="3" t="n">
        <v>16204.0</v>
      </c>
      <c r="V181" s="3" t="n">
        <v>16620.0</v>
      </c>
      <c r="W181" s="3" t="n">
        <v>16936.0</v>
      </c>
      <c r="X181" s="3" t="n">
        <v>17698.0</v>
      </c>
      <c r="Y181" s="3" t="n">
        <v>18737.0</v>
      </c>
      <c r="Z181" s="3" t="n">
        <v>19120.0</v>
      </c>
      <c r="AA181" s="3" t="n">
        <v>19977.0</v>
      </c>
      <c r="AB181" s="3" t="n">
        <v>20169.0</v>
      </c>
      <c r="AC181" s="3" t="n">
        <v>20729.0</v>
      </c>
      <c r="AD181" s="3" t="n">
        <v>21315.0</v>
      </c>
      <c r="AE181" s="3" t="n">
        <v>21570.0</v>
      </c>
      <c r="AF181" s="3" t="n">
        <v>21270.0</v>
      </c>
      <c r="AG181" s="3" t="n">
        <v>22355.0</v>
      </c>
      <c r="AH181" s="3" t="n">
        <v>23177.0</v>
      </c>
      <c r="AI181" s="3" t="n">
        <v>23243.0</v>
      </c>
      <c r="AJ181" s="3" t="n">
        <v>22829.0</v>
      </c>
      <c r="AK181" s="3" t="n">
        <v>21987.0</v>
      </c>
      <c r="AL181" s="3" t="n">
        <v>21470.0</v>
      </c>
      <c r="AM181" s="3" t="n">
        <v>21501.0</v>
      </c>
      <c r="AN181" s="3" t="n">
        <v>21113.0</v>
      </c>
      <c r="AO181" s="3" t="n">
        <v>21435.0</v>
      </c>
    </row>
    <row r="182" spans="1:41" x14ac:dyDescent="0.2">
      <c r="A182" s="122"/>
      <c r="B182" s="9">
        <v>71</v>
      </c>
      <c r="C182" s="3" t="n">
        <v>15227.0</v>
      </c>
      <c r="D182" s="3" t="n">
        <v>15484.0</v>
      </c>
      <c r="E182" s="3" t="n">
        <v>15835.0</v>
      </c>
      <c r="F182" s="3" t="n">
        <v>16008.0</v>
      </c>
      <c r="G182" s="3" t="n">
        <v>16589.0</v>
      </c>
      <c r="H182" s="3" t="n">
        <v>16378.0</v>
      </c>
      <c r="I182" s="3" t="n">
        <v>16749.0</v>
      </c>
      <c r="J182" s="3" t="n">
        <v>16965.0</v>
      </c>
      <c r="K182" s="3" t="n">
        <v>16615.0</v>
      </c>
      <c r="L182" s="3" t="n">
        <v>15979.0</v>
      </c>
      <c r="M182" s="3" t="n">
        <v>15298.0</v>
      </c>
      <c r="N182" s="3" t="n">
        <v>15248.0</v>
      </c>
      <c r="O182" s="3" t="n">
        <v>15147.0</v>
      </c>
      <c r="P182" s="3" t="n">
        <v>15141.0</v>
      </c>
      <c r="Q182" s="3" t="n">
        <v>15054.0</v>
      </c>
      <c r="R182" s="3" t="n">
        <v>14815.0</v>
      </c>
      <c r="S182" s="3" t="n">
        <v>14959.0</v>
      </c>
      <c r="T182" s="3" t="n">
        <v>15117.0</v>
      </c>
      <c r="U182" s="3" t="n">
        <v>15294.0</v>
      </c>
      <c r="V182" s="3" t="n">
        <v>15806.0</v>
      </c>
      <c r="W182" s="3" t="n">
        <v>16218.0</v>
      </c>
      <c r="X182" s="3" t="n">
        <v>16532.0</v>
      </c>
      <c r="Y182" s="3" t="n">
        <v>17286.0</v>
      </c>
      <c r="Z182" s="3" t="n">
        <v>18305.0</v>
      </c>
      <c r="AA182" s="3" t="n">
        <v>18685.0</v>
      </c>
      <c r="AB182" s="3" t="n">
        <v>19529.0</v>
      </c>
      <c r="AC182" s="3" t="n">
        <v>19722.0</v>
      </c>
      <c r="AD182" s="3" t="n">
        <v>20277.0</v>
      </c>
      <c r="AE182" s="3" t="n">
        <v>20856.0</v>
      </c>
      <c r="AF182" s="3" t="n">
        <v>21111.0</v>
      </c>
      <c r="AG182" s="3" t="n">
        <v>20825.0</v>
      </c>
      <c r="AH182" s="3" t="n">
        <v>21898.0</v>
      </c>
      <c r="AI182" s="3" t="n">
        <v>22710.0</v>
      </c>
      <c r="AJ182" s="3" t="n">
        <v>22783.0</v>
      </c>
      <c r="AK182" s="3" t="n">
        <v>22380.0</v>
      </c>
      <c r="AL182" s="3" t="n">
        <v>21559.0</v>
      </c>
      <c r="AM182" s="3" t="n">
        <v>21059.0</v>
      </c>
      <c r="AN182" s="3" t="n">
        <v>21098.0</v>
      </c>
      <c r="AO182" s="3" t="n">
        <v>20724.0</v>
      </c>
    </row>
    <row r="183" spans="1:41" x14ac:dyDescent="0.2">
      <c r="A183" s="122"/>
      <c r="B183" s="9">
        <v>72</v>
      </c>
      <c r="C183" s="3" t="n">
        <v>13873.0</v>
      </c>
      <c r="D183" s="3" t="n">
        <v>14699.0</v>
      </c>
      <c r="E183" s="3" t="n">
        <v>14961.0</v>
      </c>
      <c r="F183" s="3" t="n">
        <v>15312.0</v>
      </c>
      <c r="G183" s="3" t="n">
        <v>15489.0</v>
      </c>
      <c r="H183" s="3" t="n">
        <v>16067.0</v>
      </c>
      <c r="I183" s="3" t="n">
        <v>15871.0</v>
      </c>
      <c r="J183" s="3" t="n">
        <v>16231.0</v>
      </c>
      <c r="K183" s="3" t="n">
        <v>16446.0</v>
      </c>
      <c r="L183" s="3" t="n">
        <v>16115.0</v>
      </c>
      <c r="M183" s="3" t="n">
        <v>15506.0</v>
      </c>
      <c r="N183" s="3" t="n">
        <v>14853.0</v>
      </c>
      <c r="O183" s="3" t="n">
        <v>14807.0</v>
      </c>
      <c r="P183" s="3" t="n">
        <v>14717.0</v>
      </c>
      <c r="Q183" s="3" t="n">
        <v>14719.0</v>
      </c>
      <c r="R183" s="3" t="n">
        <v>14643.0</v>
      </c>
      <c r="S183" s="3" t="n">
        <v>14415.0</v>
      </c>
      <c r="T183" s="3" t="n">
        <v>14557.0</v>
      </c>
      <c r="U183" s="3" t="n">
        <v>14715.0</v>
      </c>
      <c r="V183" s="3" t="n">
        <v>14898.0</v>
      </c>
      <c r="W183" s="3" t="n">
        <v>15402.0</v>
      </c>
      <c r="X183" s="3" t="n">
        <v>15816.0</v>
      </c>
      <c r="Y183" s="3" t="n">
        <v>16128.0</v>
      </c>
      <c r="Z183" s="3" t="n">
        <v>16866.0</v>
      </c>
      <c r="AA183" s="3" t="n">
        <v>17868.0</v>
      </c>
      <c r="AB183" s="3" t="n">
        <v>18248.0</v>
      </c>
      <c r="AC183" s="3" t="n">
        <v>19080.0</v>
      </c>
      <c r="AD183" s="3" t="n">
        <v>19280.0</v>
      </c>
      <c r="AE183" s="3" t="n">
        <v>19819.0</v>
      </c>
      <c r="AF183" s="3" t="n">
        <v>20396.0</v>
      </c>
      <c r="AG183" s="3" t="n">
        <v>20652.0</v>
      </c>
      <c r="AH183" s="3" t="n">
        <v>20382.0</v>
      </c>
      <c r="AI183" s="3" t="n">
        <v>21442.0</v>
      </c>
      <c r="AJ183" s="3" t="n">
        <v>22245.0</v>
      </c>
      <c r="AK183" s="3" t="n">
        <v>22317.0</v>
      </c>
      <c r="AL183" s="3" t="n">
        <v>21930.0</v>
      </c>
      <c r="AM183" s="3" t="n">
        <v>21134.0</v>
      </c>
      <c r="AN183" s="3" t="n">
        <v>20649.0</v>
      </c>
      <c r="AO183" s="3" t="n">
        <v>20694.0</v>
      </c>
    </row>
    <row r="184" spans="1:41" x14ac:dyDescent="0.2">
      <c r="A184" s="122"/>
      <c r="B184" s="9">
        <v>73</v>
      </c>
      <c r="C184" s="3" t="n">
        <v>12635.0</v>
      </c>
      <c r="D184" s="3" t="n">
        <v>13360.0</v>
      </c>
      <c r="E184" s="3" t="n">
        <v>14167.0</v>
      </c>
      <c r="F184" s="3" t="n">
        <v>14431.0</v>
      </c>
      <c r="G184" s="3" t="n">
        <v>14775.0</v>
      </c>
      <c r="H184" s="3" t="n">
        <v>14971.0</v>
      </c>
      <c r="I184" s="3" t="n">
        <v>15532.0</v>
      </c>
      <c r="J184" s="3" t="n">
        <v>15345.0</v>
      </c>
      <c r="K184" s="3" t="n">
        <v>15697.0</v>
      </c>
      <c r="L184" s="3" t="n">
        <v>15909.0</v>
      </c>
      <c r="M184" s="3" t="n">
        <v>15595.0</v>
      </c>
      <c r="N184" s="3" t="n">
        <v>15017.0</v>
      </c>
      <c r="O184" s="3" t="n">
        <v>14381.0</v>
      </c>
      <c r="P184" s="3" t="n">
        <v>14345.0</v>
      </c>
      <c r="Q184" s="3" t="n">
        <v>14267.0</v>
      </c>
      <c r="R184" s="3" t="n">
        <v>14276.0</v>
      </c>
      <c r="S184" s="3" t="n">
        <v>14211.0</v>
      </c>
      <c r="T184" s="3" t="n">
        <v>13991.0</v>
      </c>
      <c r="U184" s="3" t="n">
        <v>14139.0</v>
      </c>
      <c r="V184" s="3" t="n">
        <v>14293.0</v>
      </c>
      <c r="W184" s="3" t="n">
        <v>14481.0</v>
      </c>
      <c r="X184" s="3" t="n">
        <v>14978.0</v>
      </c>
      <c r="Y184" s="3" t="n">
        <v>15388.0</v>
      </c>
      <c r="Z184" s="3" t="n">
        <v>15697.0</v>
      </c>
      <c r="AA184" s="3" t="n">
        <v>16422.0</v>
      </c>
      <c r="AB184" s="3" t="n">
        <v>17409.0</v>
      </c>
      <c r="AC184" s="3" t="n">
        <v>17789.0</v>
      </c>
      <c r="AD184" s="3" t="n">
        <v>18603.0</v>
      </c>
      <c r="AE184" s="3" t="n">
        <v>18803.0</v>
      </c>
      <c r="AF184" s="3" t="n">
        <v>19337.0</v>
      </c>
      <c r="AG184" s="3" t="n">
        <v>19915.0</v>
      </c>
      <c r="AH184" s="3" t="n">
        <v>20170.0</v>
      </c>
      <c r="AI184" s="3" t="n">
        <v>19918.0</v>
      </c>
      <c r="AJ184" s="3" t="n">
        <v>20959.0</v>
      </c>
      <c r="AK184" s="3" t="n">
        <v>21747.0</v>
      </c>
      <c r="AL184" s="3" t="n">
        <v>21822.0</v>
      </c>
      <c r="AM184" s="3" t="n">
        <v>21447.0</v>
      </c>
      <c r="AN184" s="3" t="n">
        <v>20680.0</v>
      </c>
      <c r="AO184" s="3" t="n">
        <v>20215.0</v>
      </c>
    </row>
    <row r="185" spans="1:41" x14ac:dyDescent="0.2">
      <c r="A185" s="122"/>
      <c r="B185" s="9">
        <v>74</v>
      </c>
      <c r="C185" s="3" t="n">
        <v>12075.0</v>
      </c>
      <c r="D185" s="3" t="n">
        <v>12129.0</v>
      </c>
      <c r="E185" s="3" t="n">
        <v>12837.0</v>
      </c>
      <c r="F185" s="3" t="n">
        <v>13625.0</v>
      </c>
      <c r="G185" s="3" t="n">
        <v>13887.0</v>
      </c>
      <c r="H185" s="3" t="n">
        <v>14238.0</v>
      </c>
      <c r="I185" s="3" t="n">
        <v>14436.0</v>
      </c>
      <c r="J185" s="3" t="n">
        <v>14975.0</v>
      </c>
      <c r="K185" s="3" t="n">
        <v>14801.0</v>
      </c>
      <c r="L185" s="3" t="n">
        <v>15147.0</v>
      </c>
      <c r="M185" s="3" t="n">
        <v>15364.0</v>
      </c>
      <c r="N185" s="3" t="n">
        <v>15065.0</v>
      </c>
      <c r="O185" s="3" t="n">
        <v>14513.0</v>
      </c>
      <c r="P185" s="3" t="n">
        <v>13902.0</v>
      </c>
      <c r="Q185" s="3" t="n">
        <v>13876.0</v>
      </c>
      <c r="R185" s="3" t="n">
        <v>13808.0</v>
      </c>
      <c r="S185" s="3" t="n">
        <v>13828.0</v>
      </c>
      <c r="T185" s="3" t="n">
        <v>13766.0</v>
      </c>
      <c r="U185" s="3" t="n">
        <v>13559.0</v>
      </c>
      <c r="V185" s="3" t="n">
        <v>13712.0</v>
      </c>
      <c r="W185" s="3" t="n">
        <v>13866.0</v>
      </c>
      <c r="X185" s="3" t="n">
        <v>14056.0</v>
      </c>
      <c r="Y185" s="3" t="n">
        <v>14546.0</v>
      </c>
      <c r="Z185" s="3" t="n">
        <v>14952.0</v>
      </c>
      <c r="AA185" s="3" t="n">
        <v>15261.0</v>
      </c>
      <c r="AB185" s="3" t="n">
        <v>15970.0</v>
      </c>
      <c r="AC185" s="3" t="n">
        <v>16940.0</v>
      </c>
      <c r="AD185" s="3" t="n">
        <v>17316.0</v>
      </c>
      <c r="AE185" s="3" t="n">
        <v>18110.0</v>
      </c>
      <c r="AF185" s="3" t="n">
        <v>18314.0</v>
      </c>
      <c r="AG185" s="3" t="n">
        <v>18843.0</v>
      </c>
      <c r="AH185" s="3" t="n">
        <v>19415.0</v>
      </c>
      <c r="AI185" s="3" t="n">
        <v>19673.0</v>
      </c>
      <c r="AJ185" s="3" t="n">
        <v>19437.0</v>
      </c>
      <c r="AK185" s="3" t="n">
        <v>20461.0</v>
      </c>
      <c r="AL185" s="3" t="n">
        <v>21232.0</v>
      </c>
      <c r="AM185" s="3" t="n">
        <v>21313.0</v>
      </c>
      <c r="AN185" s="3" t="n">
        <v>20957.0</v>
      </c>
      <c r="AO185" s="3" t="n">
        <v>20217.0</v>
      </c>
    </row>
    <row r="186" spans="1:41" x14ac:dyDescent="0.2">
      <c r="A186" s="122"/>
      <c r="B186" s="9">
        <v>75</v>
      </c>
      <c r="C186" s="3" t="n">
        <v>10860.0</v>
      </c>
      <c r="D186" s="3" t="n">
        <v>11564.0</v>
      </c>
      <c r="E186" s="3" t="n">
        <v>11630.0</v>
      </c>
      <c r="F186" s="3" t="n">
        <v>12313.0</v>
      </c>
      <c r="G186" s="3" t="n">
        <v>13078.0</v>
      </c>
      <c r="H186" s="3" t="n">
        <v>13343.0</v>
      </c>
      <c r="I186" s="3" t="n">
        <v>13687.0</v>
      </c>
      <c r="J186" s="3" t="n">
        <v>13876.0</v>
      </c>
      <c r="K186" s="3" t="n">
        <v>14398.0</v>
      </c>
      <c r="L186" s="3" t="n">
        <v>14241.0</v>
      </c>
      <c r="M186" s="3" t="n">
        <v>14583.0</v>
      </c>
      <c r="N186" s="3" t="n">
        <v>14804.0</v>
      </c>
      <c r="O186" s="3" t="n">
        <v>14517.0</v>
      </c>
      <c r="P186" s="3" t="n">
        <v>13997.0</v>
      </c>
      <c r="Q186" s="3" t="n">
        <v>13423.0</v>
      </c>
      <c r="R186" s="3" t="n">
        <v>13398.0</v>
      </c>
      <c r="S186" s="3" t="n">
        <v>13343.0</v>
      </c>
      <c r="T186" s="3" t="n">
        <v>13364.0</v>
      </c>
      <c r="U186" s="3" t="n">
        <v>13317.0</v>
      </c>
      <c r="V186" s="3" t="n">
        <v>13117.0</v>
      </c>
      <c r="W186" s="3" t="n">
        <v>13277.0</v>
      </c>
      <c r="X186" s="3" t="n">
        <v>13429.0</v>
      </c>
      <c r="Y186" s="3" t="n">
        <v>13625.0</v>
      </c>
      <c r="Z186" s="3" t="n">
        <v>14098.0</v>
      </c>
      <c r="AA186" s="3" t="n">
        <v>14502.0</v>
      </c>
      <c r="AB186" s="3" t="n">
        <v>14813.0</v>
      </c>
      <c r="AC186" s="3" t="n">
        <v>15509.0</v>
      </c>
      <c r="AD186" s="3" t="n">
        <v>16454.0</v>
      </c>
      <c r="AE186" s="3" t="n">
        <v>16826.0</v>
      </c>
      <c r="AF186" s="3" t="n">
        <v>17609.0</v>
      </c>
      <c r="AG186" s="3" t="n">
        <v>17814.0</v>
      </c>
      <c r="AH186" s="3" t="n">
        <v>18332.0</v>
      </c>
      <c r="AI186" s="3" t="n">
        <v>18898.0</v>
      </c>
      <c r="AJ186" s="3" t="n">
        <v>19158.0</v>
      </c>
      <c r="AK186" s="3" t="n">
        <v>18935.0</v>
      </c>
      <c r="AL186" s="3" t="n">
        <v>19936.0</v>
      </c>
      <c r="AM186" s="3" t="n">
        <v>20698.0</v>
      </c>
      <c r="AN186" s="3" t="n">
        <v>20785.0</v>
      </c>
      <c r="AO186" s="3" t="n">
        <v>20445.0</v>
      </c>
    </row>
    <row r="187" spans="1:41" x14ac:dyDescent="0.2">
      <c r="A187" s="122"/>
      <c r="B187" s="9">
        <v>76</v>
      </c>
      <c r="C187" s="3" t="n">
        <v>9178.0</v>
      </c>
      <c r="D187" s="3" t="n">
        <v>10361.0</v>
      </c>
      <c r="E187" s="3" t="n">
        <v>11042.0</v>
      </c>
      <c r="F187" s="3" t="n">
        <v>11116.0</v>
      </c>
      <c r="G187" s="3" t="n">
        <v>11780.0</v>
      </c>
      <c r="H187" s="3" t="n">
        <v>12529.0</v>
      </c>
      <c r="I187" s="3" t="n">
        <v>12792.0</v>
      </c>
      <c r="J187" s="3" t="n">
        <v>13121.0</v>
      </c>
      <c r="K187" s="3" t="n">
        <v>13310.0</v>
      </c>
      <c r="L187" s="3" t="n">
        <v>13814.0</v>
      </c>
      <c r="M187" s="3" t="n">
        <v>13674.0</v>
      </c>
      <c r="N187" s="3" t="n">
        <v>14007.0</v>
      </c>
      <c r="O187" s="3" t="n">
        <v>14226.0</v>
      </c>
      <c r="P187" s="3" t="n">
        <v>13961.0</v>
      </c>
      <c r="Q187" s="3" t="n">
        <v>13475.0</v>
      </c>
      <c r="R187" s="3" t="n">
        <v>12927.0</v>
      </c>
      <c r="S187" s="3" t="n">
        <v>12910.0</v>
      </c>
      <c r="T187" s="3" t="n">
        <v>12858.0</v>
      </c>
      <c r="U187" s="3" t="n">
        <v>12885.0</v>
      </c>
      <c r="V187" s="3" t="n">
        <v>12849.0</v>
      </c>
      <c r="W187" s="3" t="n">
        <v>12661.0</v>
      </c>
      <c r="X187" s="3" t="n">
        <v>12826.0</v>
      </c>
      <c r="Y187" s="3" t="n">
        <v>12980.0</v>
      </c>
      <c r="Z187" s="3" t="n">
        <v>13174.0</v>
      </c>
      <c r="AA187" s="3" t="n">
        <v>13638.0</v>
      </c>
      <c r="AB187" s="3" t="n">
        <v>14036.0</v>
      </c>
      <c r="AC187" s="3" t="n">
        <v>14344.0</v>
      </c>
      <c r="AD187" s="3" t="n">
        <v>15028.0</v>
      </c>
      <c r="AE187" s="3" t="n">
        <v>15954.0</v>
      </c>
      <c r="AF187" s="3" t="n">
        <v>16323.0</v>
      </c>
      <c r="AG187" s="3" t="n">
        <v>17092.0</v>
      </c>
      <c r="AH187" s="3" t="n">
        <v>17298.0</v>
      </c>
      <c r="AI187" s="3" t="n">
        <v>17806.0</v>
      </c>
      <c r="AJ187" s="3" t="n">
        <v>18367.0</v>
      </c>
      <c r="AK187" s="3" t="n">
        <v>18623.0</v>
      </c>
      <c r="AL187" s="3" t="n">
        <v>18414.0</v>
      </c>
      <c r="AM187" s="3" t="n">
        <v>19398.0</v>
      </c>
      <c r="AN187" s="3" t="n">
        <v>20145.0</v>
      </c>
      <c r="AO187" s="3" t="n">
        <v>20245.0</v>
      </c>
    </row>
    <row r="188" spans="1:41" x14ac:dyDescent="0.2">
      <c r="A188" s="122"/>
      <c r="B188" s="9">
        <v>77</v>
      </c>
      <c r="C188" s="3" t="n">
        <v>7682.0</v>
      </c>
      <c r="D188" s="3" t="n">
        <v>8732.0</v>
      </c>
      <c r="E188" s="3" t="n">
        <v>9867.0</v>
      </c>
      <c r="F188" s="3" t="n">
        <v>10519.0</v>
      </c>
      <c r="G188" s="3" t="n">
        <v>10600.0</v>
      </c>
      <c r="H188" s="3" t="n">
        <v>11247.0</v>
      </c>
      <c r="I188" s="3" t="n">
        <v>11968.0</v>
      </c>
      <c r="J188" s="3" t="n">
        <v>12215.0</v>
      </c>
      <c r="K188" s="3" t="n">
        <v>12542.0</v>
      </c>
      <c r="L188" s="3" t="n">
        <v>12734.0</v>
      </c>
      <c r="M188" s="3" t="n">
        <v>13226.0</v>
      </c>
      <c r="N188" s="3" t="n">
        <v>13108.0</v>
      </c>
      <c r="O188" s="3" t="n">
        <v>13425.0</v>
      </c>
      <c r="P188" s="3" t="n">
        <v>13642.0</v>
      </c>
      <c r="Q188" s="3" t="n">
        <v>13396.0</v>
      </c>
      <c r="R188" s="3" t="n">
        <v>12938.0</v>
      </c>
      <c r="S188" s="3" t="n">
        <v>12423.0</v>
      </c>
      <c r="T188" s="3" t="n">
        <v>12410.0</v>
      </c>
      <c r="U188" s="3" t="n">
        <v>12369.0</v>
      </c>
      <c r="V188" s="3" t="n">
        <v>12398.0</v>
      </c>
      <c r="W188" s="3" t="n">
        <v>12376.0</v>
      </c>
      <c r="X188" s="3" t="n">
        <v>12199.0</v>
      </c>
      <c r="Y188" s="3" t="n">
        <v>12367.0</v>
      </c>
      <c r="Z188" s="3" t="n">
        <v>12519.0</v>
      </c>
      <c r="AA188" s="3" t="n">
        <v>12713.0</v>
      </c>
      <c r="AB188" s="3" t="n">
        <v>13168.0</v>
      </c>
      <c r="AC188" s="3" t="n">
        <v>13563.0</v>
      </c>
      <c r="AD188" s="3" t="n">
        <v>13867.0</v>
      </c>
      <c r="AE188" s="3" t="n">
        <v>14534.0</v>
      </c>
      <c r="AF188" s="3" t="n">
        <v>15437.0</v>
      </c>
      <c r="AG188" s="3" t="n">
        <v>15807.0</v>
      </c>
      <c r="AH188" s="3" t="n">
        <v>16562.0</v>
      </c>
      <c r="AI188" s="3" t="n">
        <v>16771.0</v>
      </c>
      <c r="AJ188" s="3" t="n">
        <v>17271.0</v>
      </c>
      <c r="AK188" s="3" t="n">
        <v>17821.0</v>
      </c>
      <c r="AL188" s="3" t="n">
        <v>18075.0</v>
      </c>
      <c r="AM188" s="3" t="n">
        <v>17885.0</v>
      </c>
      <c r="AN188" s="3" t="n">
        <v>18847.0</v>
      </c>
      <c r="AO188" s="3" t="n">
        <v>19580.0</v>
      </c>
    </row>
    <row r="189" spans="1:41" x14ac:dyDescent="0.2">
      <c r="A189" s="122"/>
      <c r="B189" s="9">
        <v>78</v>
      </c>
      <c r="C189" s="3" t="n">
        <v>7071.0</v>
      </c>
      <c r="D189" s="3" t="n">
        <v>7266.0</v>
      </c>
      <c r="E189" s="3" t="n">
        <v>8275.0</v>
      </c>
      <c r="F189" s="3" t="n">
        <v>9356.0</v>
      </c>
      <c r="G189" s="3" t="n">
        <v>9983.0</v>
      </c>
      <c r="H189" s="3" t="n">
        <v>10078.0</v>
      </c>
      <c r="I189" s="3" t="n">
        <v>10699.0</v>
      </c>
      <c r="J189" s="3" t="n">
        <v>11394.0</v>
      </c>
      <c r="K189" s="3" t="n">
        <v>11633.0</v>
      </c>
      <c r="L189" s="3" t="n">
        <v>11946.0</v>
      </c>
      <c r="M189" s="3" t="n">
        <v>12137.0</v>
      </c>
      <c r="N189" s="3" t="n">
        <v>12615.0</v>
      </c>
      <c r="O189" s="3" t="n">
        <v>12507.0</v>
      </c>
      <c r="P189" s="3" t="n">
        <v>12823.0</v>
      </c>
      <c r="Q189" s="3" t="n">
        <v>13039.0</v>
      </c>
      <c r="R189" s="3" t="n">
        <v>12814.0</v>
      </c>
      <c r="S189" s="3" t="n">
        <v>12384.0</v>
      </c>
      <c r="T189" s="3" t="n">
        <v>11893.0</v>
      </c>
      <c r="U189" s="3" t="n">
        <v>11891.0</v>
      </c>
      <c r="V189" s="3" t="n">
        <v>11860.0</v>
      </c>
      <c r="W189" s="3" t="n">
        <v>11896.0</v>
      </c>
      <c r="X189" s="3" t="n">
        <v>11885.0</v>
      </c>
      <c r="Y189" s="3" t="n">
        <v>11719.0</v>
      </c>
      <c r="Z189" s="3" t="n">
        <v>11885.0</v>
      </c>
      <c r="AA189" s="3" t="n">
        <v>12038.0</v>
      </c>
      <c r="AB189" s="3" t="n">
        <v>12233.0</v>
      </c>
      <c r="AC189" s="3" t="n">
        <v>12681.0</v>
      </c>
      <c r="AD189" s="3" t="n">
        <v>13070.0</v>
      </c>
      <c r="AE189" s="3" t="n">
        <v>13364.0</v>
      </c>
      <c r="AF189" s="3" t="n">
        <v>14019.0</v>
      </c>
      <c r="AG189" s="3" t="n">
        <v>14898.0</v>
      </c>
      <c r="AH189" s="3" t="n">
        <v>15265.0</v>
      </c>
      <c r="AI189" s="3" t="n">
        <v>16009.0</v>
      </c>
      <c r="AJ189" s="3" t="n">
        <v>16224.0</v>
      </c>
      <c r="AK189" s="3" t="n">
        <v>16705.0</v>
      </c>
      <c r="AL189" s="3" t="n">
        <v>17249.0</v>
      </c>
      <c r="AM189" s="3" t="n">
        <v>17505.0</v>
      </c>
      <c r="AN189" s="3" t="n">
        <v>17329.0</v>
      </c>
      <c r="AO189" s="3" t="n">
        <v>18277.0</v>
      </c>
    </row>
    <row r="190" spans="1:41" x14ac:dyDescent="0.2">
      <c r="A190" s="122"/>
      <c r="B190" s="9">
        <v>79</v>
      </c>
      <c r="C190" s="3" t="n">
        <v>6278.0</v>
      </c>
      <c r="D190" s="3" t="n">
        <v>6650.0</v>
      </c>
      <c r="E190" s="3" t="n">
        <v>6845.0</v>
      </c>
      <c r="F190" s="3" t="n">
        <v>7806.0</v>
      </c>
      <c r="G190" s="3" t="n">
        <v>8839.0</v>
      </c>
      <c r="H190" s="3" t="n">
        <v>9443.0</v>
      </c>
      <c r="I190" s="3" t="n">
        <v>9539.0</v>
      </c>
      <c r="J190" s="3" t="n">
        <v>10133.0</v>
      </c>
      <c r="K190" s="3" t="n">
        <v>10800.0</v>
      </c>
      <c r="L190" s="3" t="n">
        <v>11034.0</v>
      </c>
      <c r="M190" s="3" t="n">
        <v>11341.0</v>
      </c>
      <c r="N190" s="3" t="n">
        <v>11536.0</v>
      </c>
      <c r="O190" s="3" t="n">
        <v>11990.0</v>
      </c>
      <c r="P190" s="3" t="n">
        <v>11900.0</v>
      </c>
      <c r="Q190" s="3" t="n">
        <v>12207.0</v>
      </c>
      <c r="R190" s="3" t="n">
        <v>12419.0</v>
      </c>
      <c r="S190" s="3" t="n">
        <v>12216.0</v>
      </c>
      <c r="T190" s="3" t="n">
        <v>11813.0</v>
      </c>
      <c r="U190" s="3" t="n">
        <v>11346.0</v>
      </c>
      <c r="V190" s="3" t="n">
        <v>11358.0</v>
      </c>
      <c r="W190" s="3" t="n">
        <v>11338.0</v>
      </c>
      <c r="X190" s="3" t="n">
        <v>11382.0</v>
      </c>
      <c r="Y190" s="3" t="n">
        <v>11376.0</v>
      </c>
      <c r="Z190" s="3" t="n">
        <v>11220.0</v>
      </c>
      <c r="AA190" s="3" t="n">
        <v>11394.0</v>
      </c>
      <c r="AB190" s="3" t="n">
        <v>11538.0</v>
      </c>
      <c r="AC190" s="3" t="n">
        <v>11738.0</v>
      </c>
      <c r="AD190" s="3" t="n">
        <v>12176.0</v>
      </c>
      <c r="AE190" s="3" t="n">
        <v>12558.0</v>
      </c>
      <c r="AF190" s="3" t="n">
        <v>12849.0</v>
      </c>
      <c r="AG190" s="3" t="n">
        <v>13487.0</v>
      </c>
      <c r="AH190" s="3" t="n">
        <v>14345.0</v>
      </c>
      <c r="AI190" s="3" t="n">
        <v>14706.0</v>
      </c>
      <c r="AJ190" s="3" t="n">
        <v>15429.0</v>
      </c>
      <c r="AK190" s="3" t="n">
        <v>15642.0</v>
      </c>
      <c r="AL190" s="3" t="n">
        <v>16116.0</v>
      </c>
      <c r="AM190" s="3" t="n">
        <v>16654.0</v>
      </c>
      <c r="AN190" s="3" t="n">
        <v>16912.0</v>
      </c>
      <c r="AO190" s="3" t="n">
        <v>16750.0</v>
      </c>
    </row>
    <row r="191" spans="1:41" x14ac:dyDescent="0.2">
      <c r="A191" s="122"/>
      <c r="B191" s="9">
        <v>80</v>
      </c>
      <c r="C191" s="3" t="n">
        <v>5204.0</v>
      </c>
      <c r="D191" s="3" t="n">
        <v>5867.0</v>
      </c>
      <c r="E191" s="3" t="n">
        <v>6221.0</v>
      </c>
      <c r="F191" s="3" t="n">
        <v>6415.0</v>
      </c>
      <c r="G191" s="3" t="n">
        <v>7323.0</v>
      </c>
      <c r="H191" s="3" t="n">
        <v>8305.0</v>
      </c>
      <c r="I191" s="3" t="n">
        <v>8879.0</v>
      </c>
      <c r="J191" s="3" t="n">
        <v>8981.0</v>
      </c>
      <c r="K191" s="3" t="n">
        <v>9544.0</v>
      </c>
      <c r="L191" s="3" t="n">
        <v>10184.0</v>
      </c>
      <c r="M191" s="3" t="n">
        <v>10415.0</v>
      </c>
      <c r="N191" s="3" t="n">
        <v>10713.0</v>
      </c>
      <c r="O191" s="3" t="n">
        <v>10899.0</v>
      </c>
      <c r="P191" s="3" t="n">
        <v>11341.0</v>
      </c>
      <c r="Q191" s="3" t="n">
        <v>11269.0</v>
      </c>
      <c r="R191" s="3" t="n">
        <v>11568.0</v>
      </c>
      <c r="S191" s="3" t="n">
        <v>11773.0</v>
      </c>
      <c r="T191" s="3" t="n">
        <v>11588.0</v>
      </c>
      <c r="U191" s="3" t="n">
        <v>11213.0</v>
      </c>
      <c r="V191" s="3" t="n">
        <v>10781.0</v>
      </c>
      <c r="W191" s="3" t="n">
        <v>10802.0</v>
      </c>
      <c r="X191" s="3" t="n">
        <v>10791.0</v>
      </c>
      <c r="Y191" s="3" t="n">
        <v>10841.0</v>
      </c>
      <c r="Z191" s="3" t="n">
        <v>10837.0</v>
      </c>
      <c r="AA191" s="3" t="n">
        <v>10700.0</v>
      </c>
      <c r="AB191" s="3" t="n">
        <v>10873.0</v>
      </c>
      <c r="AC191" s="3" t="n">
        <v>11013.0</v>
      </c>
      <c r="AD191" s="3" t="n">
        <v>11219.0</v>
      </c>
      <c r="AE191" s="3" t="n">
        <v>11641.0</v>
      </c>
      <c r="AF191" s="3" t="n">
        <v>12019.0</v>
      </c>
      <c r="AG191" s="3" t="n">
        <v>12302.0</v>
      </c>
      <c r="AH191" s="3" t="n">
        <v>12924.0</v>
      </c>
      <c r="AI191" s="3" t="n">
        <v>13758.0</v>
      </c>
      <c r="AJ191" s="3" t="n">
        <v>14117.0</v>
      </c>
      <c r="AK191" s="3" t="n">
        <v>14821.0</v>
      </c>
      <c r="AL191" s="3" t="n">
        <v>15035.0</v>
      </c>
      <c r="AM191" s="3" t="n">
        <v>15498.0</v>
      </c>
      <c r="AN191" s="3" t="n">
        <v>16028.0</v>
      </c>
      <c r="AO191" s="3" t="n">
        <v>16285.0</v>
      </c>
    </row>
    <row r="192" spans="1:41" x14ac:dyDescent="0.2">
      <c r="A192" s="122"/>
      <c r="B192" s="9">
        <v>81</v>
      </c>
      <c r="C192" s="3" t="n">
        <v>5229.0</v>
      </c>
      <c r="D192" s="3" t="n">
        <v>4837.0</v>
      </c>
      <c r="E192" s="3" t="n">
        <v>5458.0</v>
      </c>
      <c r="F192" s="3" t="n">
        <v>5796.0</v>
      </c>
      <c r="G192" s="3" t="n">
        <v>5982.0</v>
      </c>
      <c r="H192" s="3" t="n">
        <v>6846.0</v>
      </c>
      <c r="I192" s="3" t="n">
        <v>7769.0</v>
      </c>
      <c r="J192" s="3" t="n">
        <v>8312.0</v>
      </c>
      <c r="K192" s="3" t="n">
        <v>8413.0</v>
      </c>
      <c r="L192" s="3" t="n">
        <v>8946.0</v>
      </c>
      <c r="M192" s="3" t="n">
        <v>9558.0</v>
      </c>
      <c r="N192" s="3" t="n">
        <v>9787.0</v>
      </c>
      <c r="O192" s="3" t="n">
        <v>10068.0</v>
      </c>
      <c r="P192" s="3" t="n">
        <v>10257.0</v>
      </c>
      <c r="Q192" s="3" t="n">
        <v>10681.0</v>
      </c>
      <c r="R192" s="3" t="n">
        <v>10624.0</v>
      </c>
      <c r="S192" s="3" t="n">
        <v>10915.0</v>
      </c>
      <c r="T192" s="3" t="n">
        <v>11115.0</v>
      </c>
      <c r="U192" s="3" t="n">
        <v>10945.0</v>
      </c>
      <c r="V192" s="3" t="n">
        <v>10603.0</v>
      </c>
      <c r="W192" s="3" t="n">
        <v>10204.0</v>
      </c>
      <c r="X192" s="3" t="n">
        <v>10233.0</v>
      </c>
      <c r="Y192" s="3" t="n">
        <v>10230.0</v>
      </c>
      <c r="Z192" s="3" t="n">
        <v>10285.0</v>
      </c>
      <c r="AA192" s="3" t="n">
        <v>10288.0</v>
      </c>
      <c r="AB192" s="3" t="n">
        <v>10164.0</v>
      </c>
      <c r="AC192" s="3" t="n">
        <v>10340.0</v>
      </c>
      <c r="AD192" s="3" t="n">
        <v>10478.0</v>
      </c>
      <c r="AE192" s="3" t="n">
        <v>10680.0</v>
      </c>
      <c r="AF192" s="3" t="n">
        <v>11089.0</v>
      </c>
      <c r="AG192" s="3" t="n">
        <v>11462.0</v>
      </c>
      <c r="AH192" s="3" t="n">
        <v>11741.0</v>
      </c>
      <c r="AI192" s="3" t="n">
        <v>12343.0</v>
      </c>
      <c r="AJ192" s="3" t="n">
        <v>13148.0</v>
      </c>
      <c r="AK192" s="3" t="n">
        <v>13501.0</v>
      </c>
      <c r="AL192" s="3" t="n">
        <v>14189.0</v>
      </c>
      <c r="AM192" s="3" t="n">
        <v>14401.0</v>
      </c>
      <c r="AN192" s="3" t="n">
        <v>14858.0</v>
      </c>
      <c r="AO192" s="3" t="n">
        <v>15372.0</v>
      </c>
    </row>
    <row r="193" spans="1:41" x14ac:dyDescent="0.2">
      <c r="A193" s="122"/>
      <c r="B193" s="9">
        <v>82</v>
      </c>
      <c r="C193" s="3" t="n">
        <v>5329.0</v>
      </c>
      <c r="D193" s="3" t="n">
        <v>4822.0</v>
      </c>
      <c r="E193" s="3" t="n">
        <v>4470.0</v>
      </c>
      <c r="F193" s="3" t="n">
        <v>5048.0</v>
      </c>
      <c r="G193" s="3" t="n">
        <v>5364.0</v>
      </c>
      <c r="H193" s="3" t="n">
        <v>5544.0</v>
      </c>
      <c r="I193" s="3" t="n">
        <v>6356.0</v>
      </c>
      <c r="J193" s="3" t="n">
        <v>7218.0</v>
      </c>
      <c r="K193" s="3" t="n">
        <v>7730.0</v>
      </c>
      <c r="L193" s="3" t="n">
        <v>7828.0</v>
      </c>
      <c r="M193" s="3" t="n">
        <v>8333.0</v>
      </c>
      <c r="N193" s="3" t="n">
        <v>8915.0</v>
      </c>
      <c r="O193" s="3" t="n">
        <v>9135.0</v>
      </c>
      <c r="P193" s="3" t="n">
        <v>9407.0</v>
      </c>
      <c r="Q193" s="3" t="n">
        <v>9597.0</v>
      </c>
      <c r="R193" s="3" t="n">
        <v>10002.0</v>
      </c>
      <c r="S193" s="3" t="n">
        <v>9960.0</v>
      </c>
      <c r="T193" s="3" t="n">
        <v>10239.0</v>
      </c>
      <c r="U193" s="3" t="n">
        <v>10437.0</v>
      </c>
      <c r="V193" s="3" t="n">
        <v>10283.0</v>
      </c>
      <c r="W193" s="3" t="n">
        <v>9974.0</v>
      </c>
      <c r="X193" s="3" t="n">
        <v>9608.0</v>
      </c>
      <c r="Y193" s="3" t="n">
        <v>9643.0</v>
      </c>
      <c r="Z193" s="3" t="n">
        <v>9644.0</v>
      </c>
      <c r="AA193" s="3" t="n">
        <v>9709.0</v>
      </c>
      <c r="AB193" s="3" t="n">
        <v>9718.0</v>
      </c>
      <c r="AC193" s="3" t="n">
        <v>9612.0</v>
      </c>
      <c r="AD193" s="3" t="n">
        <v>9789.0</v>
      </c>
      <c r="AE193" s="3" t="n">
        <v>9919.0</v>
      </c>
      <c r="AF193" s="3" t="n">
        <v>10124.0</v>
      </c>
      <c r="AG193" s="3" t="n">
        <v>10519.0</v>
      </c>
      <c r="AH193" s="3" t="n">
        <v>10887.0</v>
      </c>
      <c r="AI193" s="3" t="n">
        <v>11152.0</v>
      </c>
      <c r="AJ193" s="3" t="n">
        <v>11739.0</v>
      </c>
      <c r="AK193" s="3" t="n">
        <v>12508.0</v>
      </c>
      <c r="AL193" s="3" t="n">
        <v>12853.0</v>
      </c>
      <c r="AM193" s="3" t="n">
        <v>13522.0</v>
      </c>
      <c r="AN193" s="3" t="n">
        <v>13735.0</v>
      </c>
      <c r="AO193" s="3" t="n">
        <v>14184.0</v>
      </c>
    </row>
    <row r="194" spans="1:41" x14ac:dyDescent="0.2">
      <c r="A194" s="122"/>
      <c r="B194" s="9">
        <v>83</v>
      </c>
      <c r="C194" s="3" t="n">
        <v>4918.0</v>
      </c>
      <c r="D194" s="3" t="n">
        <v>4866.0</v>
      </c>
      <c r="E194" s="3" t="n">
        <v>4413.0</v>
      </c>
      <c r="F194" s="3" t="n">
        <v>4095.0</v>
      </c>
      <c r="G194" s="3" t="n">
        <v>4632.0</v>
      </c>
      <c r="H194" s="3" t="n">
        <v>4931.0</v>
      </c>
      <c r="I194" s="3" t="n">
        <v>5105.0</v>
      </c>
      <c r="J194" s="3" t="n">
        <v>5857.0</v>
      </c>
      <c r="K194" s="3" t="n">
        <v>6658.0</v>
      </c>
      <c r="L194" s="3" t="n">
        <v>7137.0</v>
      </c>
      <c r="M194" s="3" t="n">
        <v>7238.0</v>
      </c>
      <c r="N194" s="3" t="n">
        <v>7717.0</v>
      </c>
      <c r="O194" s="3" t="n">
        <v>8258.0</v>
      </c>
      <c r="P194" s="3" t="n">
        <v>8478.0</v>
      </c>
      <c r="Q194" s="3" t="n">
        <v>8736.0</v>
      </c>
      <c r="R194" s="3" t="n">
        <v>8920.0</v>
      </c>
      <c r="S194" s="3" t="n">
        <v>9308.0</v>
      </c>
      <c r="T194" s="3" t="n">
        <v>9276.0</v>
      </c>
      <c r="U194" s="3" t="n">
        <v>9541.0</v>
      </c>
      <c r="V194" s="3" t="n">
        <v>9741.0</v>
      </c>
      <c r="W194" s="3" t="n">
        <v>9606.0</v>
      </c>
      <c r="X194" s="3" t="n">
        <v>9329.0</v>
      </c>
      <c r="Y194" s="3" t="n">
        <v>8995.0</v>
      </c>
      <c r="Z194" s="3" t="n">
        <v>9031.0</v>
      </c>
      <c r="AA194" s="3" t="n">
        <v>9045.0</v>
      </c>
      <c r="AB194" s="3" t="n">
        <v>9111.0</v>
      </c>
      <c r="AC194" s="3" t="n">
        <v>9136.0</v>
      </c>
      <c r="AD194" s="3" t="n">
        <v>9043.0</v>
      </c>
      <c r="AE194" s="3" t="n">
        <v>9215.0</v>
      </c>
      <c r="AF194" s="3" t="n">
        <v>9346.0</v>
      </c>
      <c r="AG194" s="3" t="n">
        <v>9545.0</v>
      </c>
      <c r="AH194" s="3" t="n">
        <v>9932.0</v>
      </c>
      <c r="AI194" s="3" t="n">
        <v>10292.0</v>
      </c>
      <c r="AJ194" s="3" t="n">
        <v>10550.0</v>
      </c>
      <c r="AK194" s="3" t="n">
        <v>11107.0</v>
      </c>
      <c r="AL194" s="3" t="n">
        <v>11844.0</v>
      </c>
      <c r="AM194" s="3" t="n">
        <v>12191.0</v>
      </c>
      <c r="AN194" s="3" t="n">
        <v>12833.0</v>
      </c>
      <c r="AO194" s="3" t="n">
        <v>13048.0</v>
      </c>
    </row>
    <row r="195" spans="1:41" x14ac:dyDescent="0.2">
      <c r="A195" s="122"/>
      <c r="B195" s="9">
        <v>84</v>
      </c>
      <c r="C195" s="3" t="n">
        <v>4403.0</v>
      </c>
      <c r="D195" s="3" t="n">
        <v>4440.0</v>
      </c>
      <c r="E195" s="3" t="n">
        <v>4402.0</v>
      </c>
      <c r="F195" s="3" t="n">
        <v>4001.0</v>
      </c>
      <c r="G195" s="3" t="n">
        <v>3718.0</v>
      </c>
      <c r="H195" s="3" t="n">
        <v>4213.0</v>
      </c>
      <c r="I195" s="3" t="n">
        <v>4493.0</v>
      </c>
      <c r="J195" s="3" t="n">
        <v>4655.0</v>
      </c>
      <c r="K195" s="3" t="n">
        <v>5354.0</v>
      </c>
      <c r="L195" s="3" t="n">
        <v>6092.0</v>
      </c>
      <c r="M195" s="3" t="n">
        <v>6540.0</v>
      </c>
      <c r="N195" s="3" t="n">
        <v>6641.0</v>
      </c>
      <c r="O195" s="3" t="n">
        <v>7087.0</v>
      </c>
      <c r="P195" s="3" t="n">
        <v>7592.0</v>
      </c>
      <c r="Q195" s="3" t="n">
        <v>7807.0</v>
      </c>
      <c r="R195" s="3" t="n">
        <v>8055.0</v>
      </c>
      <c r="S195" s="3" t="n">
        <v>8234.0</v>
      </c>
      <c r="T195" s="3" t="n">
        <v>8595.0</v>
      </c>
      <c r="U195" s="3" t="n">
        <v>8577.0</v>
      </c>
      <c r="V195" s="3" t="n">
        <v>8837.0</v>
      </c>
      <c r="W195" s="3" t="n">
        <v>9033.0</v>
      </c>
      <c r="X195" s="3" t="n">
        <v>8914.0</v>
      </c>
      <c r="Y195" s="3" t="n">
        <v>8672.0</v>
      </c>
      <c r="Z195" s="3" t="n">
        <v>8364.0</v>
      </c>
      <c r="AA195" s="3" t="n">
        <v>8408.0</v>
      </c>
      <c r="AB195" s="3" t="n">
        <v>8428.0</v>
      </c>
      <c r="AC195" s="3" t="n">
        <v>8505.0</v>
      </c>
      <c r="AD195" s="3" t="n">
        <v>8537.0</v>
      </c>
      <c r="AE195" s="3" t="n">
        <v>8457.0</v>
      </c>
      <c r="AF195" s="3" t="n">
        <v>8625.0</v>
      </c>
      <c r="AG195" s="3" t="n">
        <v>8759.0</v>
      </c>
      <c r="AH195" s="3" t="n">
        <v>8949.0</v>
      </c>
      <c r="AI195" s="3" t="n">
        <v>9323.0</v>
      </c>
      <c r="AJ195" s="3" t="n">
        <v>9671.0</v>
      </c>
      <c r="AK195" s="3" t="n">
        <v>9924.0</v>
      </c>
      <c r="AL195" s="3" t="n">
        <v>10453.0</v>
      </c>
      <c r="AM195" s="3" t="n">
        <v>11161.0</v>
      </c>
      <c r="AN195" s="3" t="n">
        <v>11501.0</v>
      </c>
      <c r="AO195" s="3" t="n">
        <v>12112.0</v>
      </c>
    </row>
    <row r="196" spans="1:41" x14ac:dyDescent="0.2">
      <c r="A196" s="122"/>
      <c r="B196" s="9">
        <v>85</v>
      </c>
      <c r="C196" s="3" t="n">
        <v>3971.0</v>
      </c>
      <c r="D196" s="3" t="n">
        <v>3937.0</v>
      </c>
      <c r="E196" s="3" t="n">
        <v>3974.0</v>
      </c>
      <c r="F196" s="3" t="n">
        <v>3952.0</v>
      </c>
      <c r="G196" s="3" t="n">
        <v>3596.0</v>
      </c>
      <c r="H196" s="3" t="n">
        <v>3352.0</v>
      </c>
      <c r="I196" s="3" t="n">
        <v>3801.0</v>
      </c>
      <c r="J196" s="3" t="n">
        <v>4061.0</v>
      </c>
      <c r="K196" s="3" t="n">
        <v>4212.0</v>
      </c>
      <c r="L196" s="3" t="n">
        <v>4857.0</v>
      </c>
      <c r="M196" s="3" t="n">
        <v>5532.0</v>
      </c>
      <c r="N196" s="3" t="n">
        <v>5946.0</v>
      </c>
      <c r="O196" s="3" t="n">
        <v>6040.0</v>
      </c>
      <c r="P196" s="3" t="n">
        <v>6455.0</v>
      </c>
      <c r="Q196" s="3" t="n">
        <v>6926.0</v>
      </c>
      <c r="R196" s="3" t="n">
        <v>7131.0</v>
      </c>
      <c r="S196" s="3" t="n">
        <v>7367.0</v>
      </c>
      <c r="T196" s="3" t="n">
        <v>7537.0</v>
      </c>
      <c r="U196" s="3" t="n">
        <v>7876.0</v>
      </c>
      <c r="V196" s="3" t="n">
        <v>7874.0</v>
      </c>
      <c r="W196" s="3" t="n">
        <v>8125.0</v>
      </c>
      <c r="X196" s="3" t="n">
        <v>8314.0</v>
      </c>
      <c r="Y196" s="3" t="n">
        <v>8215.0</v>
      </c>
      <c r="Z196" s="3" t="n">
        <v>7997.0</v>
      </c>
      <c r="AA196" s="3" t="n">
        <v>7722.0</v>
      </c>
      <c r="AB196" s="3" t="n">
        <v>7775.0</v>
      </c>
      <c r="AC196" s="3" t="n">
        <v>7805.0</v>
      </c>
      <c r="AD196" s="3" t="n">
        <v>7885.0</v>
      </c>
      <c r="AE196" s="3" t="n">
        <v>7918.0</v>
      </c>
      <c r="AF196" s="3" t="n">
        <v>7854.0</v>
      </c>
      <c r="AG196" s="3" t="n">
        <v>8021.0</v>
      </c>
      <c r="AH196" s="3" t="n">
        <v>8155.0</v>
      </c>
      <c r="AI196" s="3" t="n">
        <v>8343.0</v>
      </c>
      <c r="AJ196" s="3" t="n">
        <v>8698.0</v>
      </c>
      <c r="AK196" s="3" t="n">
        <v>9027.0</v>
      </c>
      <c r="AL196" s="3" t="n">
        <v>9272.0</v>
      </c>
      <c r="AM196" s="3" t="n">
        <v>9783.0</v>
      </c>
      <c r="AN196" s="3" t="n">
        <v>10456.0</v>
      </c>
      <c r="AO196" s="3" t="n">
        <v>10789.0</v>
      </c>
    </row>
    <row r="197" spans="1:41" x14ac:dyDescent="0.2">
      <c r="A197" s="122"/>
      <c r="B197" s="9">
        <v>86</v>
      </c>
      <c r="C197" s="3" t="n">
        <v>3579.0</v>
      </c>
      <c r="D197" s="3" t="n">
        <v>3513.0</v>
      </c>
      <c r="E197" s="3" t="n">
        <v>3497.0</v>
      </c>
      <c r="F197" s="3" t="n">
        <v>3535.0</v>
      </c>
      <c r="G197" s="3" t="n">
        <v>3519.0</v>
      </c>
      <c r="H197" s="3" t="n">
        <v>3211.0</v>
      </c>
      <c r="I197" s="3" t="n">
        <v>2998.0</v>
      </c>
      <c r="J197" s="3" t="n">
        <v>3402.0</v>
      </c>
      <c r="K197" s="3" t="n">
        <v>3643.0</v>
      </c>
      <c r="L197" s="3" t="n">
        <v>3783.0</v>
      </c>
      <c r="M197" s="3" t="n">
        <v>4370.0</v>
      </c>
      <c r="N197" s="3" t="n">
        <v>4990.0</v>
      </c>
      <c r="O197" s="3" t="n">
        <v>5365.0</v>
      </c>
      <c r="P197" s="3" t="n">
        <v>5459.0</v>
      </c>
      <c r="Q197" s="3" t="n">
        <v>5840.0</v>
      </c>
      <c r="R197" s="3" t="n">
        <v>6279.0</v>
      </c>
      <c r="S197" s="3" t="n">
        <v>6473.0</v>
      </c>
      <c r="T197" s="3" t="n">
        <v>6692.0</v>
      </c>
      <c r="U197" s="3" t="n">
        <v>6864.0</v>
      </c>
      <c r="V197" s="3" t="n">
        <v>7182.0</v>
      </c>
      <c r="W197" s="3" t="n">
        <v>7190.0</v>
      </c>
      <c r="X197" s="3" t="n">
        <v>7429.0</v>
      </c>
      <c r="Y197" s="3" t="n">
        <v>7609.0</v>
      </c>
      <c r="Z197" s="3" t="n">
        <v>7524.0</v>
      </c>
      <c r="AA197" s="3" t="n">
        <v>7337.0</v>
      </c>
      <c r="AB197" s="3" t="n">
        <v>7092.0</v>
      </c>
      <c r="AC197" s="3" t="n">
        <v>7148.0</v>
      </c>
      <c r="AD197" s="3" t="n">
        <v>7183.0</v>
      </c>
      <c r="AE197" s="3" t="n">
        <v>7264.0</v>
      </c>
      <c r="AF197" s="3" t="n">
        <v>7308.0</v>
      </c>
      <c r="AG197" s="3" t="n">
        <v>7257.0</v>
      </c>
      <c r="AH197" s="3" t="n">
        <v>7424.0</v>
      </c>
      <c r="AI197" s="3" t="n">
        <v>7556.0</v>
      </c>
      <c r="AJ197" s="3" t="n">
        <v>7743.0</v>
      </c>
      <c r="AK197" s="3" t="n">
        <v>8074.0</v>
      </c>
      <c r="AL197" s="3" t="n">
        <v>8391.0</v>
      </c>
      <c r="AM197" s="3" t="n">
        <v>8626.0</v>
      </c>
      <c r="AN197" s="3" t="n">
        <v>9111.0</v>
      </c>
      <c r="AO197" s="3" t="n">
        <v>9752.0</v>
      </c>
    </row>
    <row r="198" spans="1:41" x14ac:dyDescent="0.2">
      <c r="A198" s="122"/>
      <c r="B198" s="9">
        <v>87</v>
      </c>
      <c r="C198" s="3" t="n">
        <v>2982.0</v>
      </c>
      <c r="D198" s="3" t="n">
        <v>3117.0</v>
      </c>
      <c r="E198" s="3" t="n">
        <v>3076.0</v>
      </c>
      <c r="F198" s="3" t="n">
        <v>3067.0</v>
      </c>
      <c r="G198" s="3" t="n">
        <v>3102.0</v>
      </c>
      <c r="H198" s="3" t="n">
        <v>3100.0</v>
      </c>
      <c r="I198" s="3" t="n">
        <v>2831.0</v>
      </c>
      <c r="J198" s="3" t="n">
        <v>2648.0</v>
      </c>
      <c r="K198" s="3" t="n">
        <v>3011.0</v>
      </c>
      <c r="L198" s="3" t="n">
        <v>3232.0</v>
      </c>
      <c r="M198" s="3" t="n">
        <v>3363.0</v>
      </c>
      <c r="N198" s="3" t="n">
        <v>3890.0</v>
      </c>
      <c r="O198" s="3" t="n">
        <v>4449.0</v>
      </c>
      <c r="P198" s="3" t="n">
        <v>4796.0</v>
      </c>
      <c r="Q198" s="3" t="n">
        <v>4885.0</v>
      </c>
      <c r="R198" s="3" t="n">
        <v>5237.0</v>
      </c>
      <c r="S198" s="3" t="n">
        <v>5643.0</v>
      </c>
      <c r="T198" s="3" t="n">
        <v>5821.0</v>
      </c>
      <c r="U198" s="3" t="n">
        <v>6026.0</v>
      </c>
      <c r="V198" s="3" t="n">
        <v>6191.0</v>
      </c>
      <c r="W198" s="3" t="n">
        <v>6491.0</v>
      </c>
      <c r="X198" s="3" t="n">
        <v>6509.0</v>
      </c>
      <c r="Y198" s="3" t="n">
        <v>6737.0</v>
      </c>
      <c r="Z198" s="3" t="n">
        <v>6904.0</v>
      </c>
      <c r="AA198" s="3" t="n">
        <v>6840.0</v>
      </c>
      <c r="AB198" s="3" t="n">
        <v>6675.0</v>
      </c>
      <c r="AC198" s="3" t="n">
        <v>6463.0</v>
      </c>
      <c r="AD198" s="3" t="n">
        <v>6523.0</v>
      </c>
      <c r="AE198" s="3" t="n">
        <v>6557.0</v>
      </c>
      <c r="AF198" s="3" t="n">
        <v>6646.0</v>
      </c>
      <c r="AG198" s="3" t="n">
        <v>6695.0</v>
      </c>
      <c r="AH198" s="3" t="n">
        <v>6657.0</v>
      </c>
      <c r="AI198" s="3" t="n">
        <v>6824.0</v>
      </c>
      <c r="AJ198" s="3" t="n">
        <v>6949.0</v>
      </c>
      <c r="AK198" s="3" t="n">
        <v>7131.0</v>
      </c>
      <c r="AL198" s="3" t="n">
        <v>7442.0</v>
      </c>
      <c r="AM198" s="3" t="n">
        <v>7744.0</v>
      </c>
      <c r="AN198" s="3" t="n">
        <v>7974.0</v>
      </c>
      <c r="AO198" s="3" t="n">
        <v>8430.0</v>
      </c>
    </row>
    <row r="199" spans="1:41" x14ac:dyDescent="0.2">
      <c r="A199" s="122"/>
      <c r="B199" s="9">
        <v>88</v>
      </c>
      <c r="C199" s="3" t="n">
        <v>2431.0</v>
      </c>
      <c r="D199" s="3" t="n">
        <v>2574.0</v>
      </c>
      <c r="E199" s="3" t="n">
        <v>2698.0</v>
      </c>
      <c r="F199" s="3" t="n">
        <v>2669.0</v>
      </c>
      <c r="G199" s="3" t="n">
        <v>2664.0</v>
      </c>
      <c r="H199" s="3" t="n">
        <v>2707.0</v>
      </c>
      <c r="I199" s="3" t="n">
        <v>2710.0</v>
      </c>
      <c r="J199" s="3" t="n">
        <v>2477.0</v>
      </c>
      <c r="K199" s="3" t="n">
        <v>2323.0</v>
      </c>
      <c r="L199" s="3" t="n">
        <v>2644.0</v>
      </c>
      <c r="M199" s="3" t="n">
        <v>2845.0</v>
      </c>
      <c r="N199" s="3" t="n">
        <v>2967.0</v>
      </c>
      <c r="O199" s="3" t="n">
        <v>3433.0</v>
      </c>
      <c r="P199" s="3" t="n">
        <v>3934.0</v>
      </c>
      <c r="Q199" s="3" t="n">
        <v>4253.0</v>
      </c>
      <c r="R199" s="3" t="n">
        <v>4336.0</v>
      </c>
      <c r="S199" s="3" t="n">
        <v>4661.0</v>
      </c>
      <c r="T199" s="3" t="n">
        <v>5029.0</v>
      </c>
      <c r="U199" s="3" t="n">
        <v>5191.0</v>
      </c>
      <c r="V199" s="3" t="n">
        <v>5384.0</v>
      </c>
      <c r="W199" s="3" t="n">
        <v>5538.0</v>
      </c>
      <c r="X199" s="3" t="n">
        <v>5821.0</v>
      </c>
      <c r="Y199" s="3" t="n">
        <v>5851.0</v>
      </c>
      <c r="Z199" s="3" t="n">
        <v>6063.0</v>
      </c>
      <c r="AA199" s="3" t="n">
        <v>6223.0</v>
      </c>
      <c r="AB199" s="3" t="n">
        <v>6174.0</v>
      </c>
      <c r="AC199" s="3" t="n">
        <v>6032.0</v>
      </c>
      <c r="AD199" s="3" t="n">
        <v>5853.0</v>
      </c>
      <c r="AE199" s="3" t="n">
        <v>5911.0</v>
      </c>
      <c r="AF199" s="3" t="n">
        <v>5949.0</v>
      </c>
      <c r="AG199" s="3" t="n">
        <v>6041.0</v>
      </c>
      <c r="AH199" s="3" t="n">
        <v>6096.0</v>
      </c>
      <c r="AI199" s="3" t="n">
        <v>6069.0</v>
      </c>
      <c r="AJ199" s="3" t="n">
        <v>6230.0</v>
      </c>
      <c r="AK199" s="3" t="n">
        <v>6347.0</v>
      </c>
      <c r="AL199" s="3" t="n">
        <v>6523.0</v>
      </c>
      <c r="AM199" s="3" t="n">
        <v>6821.0</v>
      </c>
      <c r="AN199" s="3" t="n">
        <v>7107.0</v>
      </c>
      <c r="AO199" s="3" t="n">
        <v>7330.0</v>
      </c>
    </row>
    <row r="200" spans="1:41" x14ac:dyDescent="0.2">
      <c r="A200" s="122"/>
      <c r="B200" s="9">
        <v>89</v>
      </c>
      <c r="C200" s="3" t="n">
        <v>1950.0</v>
      </c>
      <c r="D200" s="3" t="n">
        <v>2073.0</v>
      </c>
      <c r="E200" s="3" t="n">
        <v>2201.0</v>
      </c>
      <c r="F200" s="3" t="n">
        <v>2316.0</v>
      </c>
      <c r="G200" s="3" t="n">
        <v>2295.0</v>
      </c>
      <c r="H200" s="3" t="n">
        <v>2296.0</v>
      </c>
      <c r="I200" s="3" t="n">
        <v>2336.0</v>
      </c>
      <c r="J200" s="3" t="n">
        <v>2345.0</v>
      </c>
      <c r="K200" s="3" t="n">
        <v>2148.0</v>
      </c>
      <c r="L200" s="3" t="n">
        <v>2021.0</v>
      </c>
      <c r="M200" s="3" t="n">
        <v>2303.0</v>
      </c>
      <c r="N200" s="3" t="n">
        <v>2482.0</v>
      </c>
      <c r="O200" s="3" t="n">
        <v>2590.0</v>
      </c>
      <c r="P200" s="3" t="n">
        <v>3009.0</v>
      </c>
      <c r="Q200" s="3" t="n">
        <v>3456.0</v>
      </c>
      <c r="R200" s="3" t="n">
        <v>3744.0</v>
      </c>
      <c r="S200" s="3" t="n">
        <v>3827.0</v>
      </c>
      <c r="T200" s="3" t="n">
        <v>4116.0</v>
      </c>
      <c r="U200" s="3" t="n">
        <v>4448.0</v>
      </c>
      <c r="V200" s="3" t="n">
        <v>4600.0</v>
      </c>
      <c r="W200" s="3" t="n">
        <v>4778.0</v>
      </c>
      <c r="X200" s="3" t="n">
        <v>4925.0</v>
      </c>
      <c r="Y200" s="3" t="n">
        <v>5190.0</v>
      </c>
      <c r="Z200" s="3" t="n">
        <v>5219.0</v>
      </c>
      <c r="AA200" s="3" t="n">
        <v>5417.0</v>
      </c>
      <c r="AB200" s="3" t="n">
        <v>5568.0</v>
      </c>
      <c r="AC200" s="3" t="n">
        <v>5537.0</v>
      </c>
      <c r="AD200" s="3" t="n">
        <v>5418.0</v>
      </c>
      <c r="AE200" s="3" t="n">
        <v>5261.0</v>
      </c>
      <c r="AF200" s="3" t="n">
        <v>5326.0</v>
      </c>
      <c r="AG200" s="3" t="n">
        <v>5369.0</v>
      </c>
      <c r="AH200" s="3" t="n">
        <v>5459.0</v>
      </c>
      <c r="AI200" s="3" t="n">
        <v>5514.0</v>
      </c>
      <c r="AJ200" s="3" t="n">
        <v>5506.0</v>
      </c>
      <c r="AK200" s="3" t="n">
        <v>5655.0</v>
      </c>
      <c r="AL200" s="3" t="n">
        <v>5762.0</v>
      </c>
      <c r="AM200" s="3" t="n">
        <v>5931.0</v>
      </c>
      <c r="AN200" s="3" t="n">
        <v>6213.0</v>
      </c>
      <c r="AO200" s="3" t="n">
        <v>6482.0</v>
      </c>
    </row>
    <row r="201" spans="1:41" x14ac:dyDescent="0.2">
      <c r="A201" s="122"/>
      <c r="B201" s="9">
        <v>90</v>
      </c>
      <c r="C201" s="3" t="n">
        <v>1692.0</v>
      </c>
      <c r="D201" s="3" t="n">
        <v>1638.0</v>
      </c>
      <c r="E201" s="3" t="n">
        <v>1750.0</v>
      </c>
      <c r="F201" s="3" t="n">
        <v>1864.0</v>
      </c>
      <c r="G201" s="3" t="n">
        <v>1968.0</v>
      </c>
      <c r="H201" s="3" t="n">
        <v>1956.0</v>
      </c>
      <c r="I201" s="3" t="n">
        <v>1956.0</v>
      </c>
      <c r="J201" s="3" t="n">
        <v>1999.0</v>
      </c>
      <c r="K201" s="3" t="n">
        <v>2008.0</v>
      </c>
      <c r="L201" s="3" t="n">
        <v>1849.0</v>
      </c>
      <c r="M201" s="3" t="n">
        <v>1738.0</v>
      </c>
      <c r="N201" s="3" t="n">
        <v>1984.0</v>
      </c>
      <c r="O201" s="3" t="n">
        <v>2141.0</v>
      </c>
      <c r="P201" s="3" t="n">
        <v>2245.0</v>
      </c>
      <c r="Q201" s="3" t="n">
        <v>2611.0</v>
      </c>
      <c r="R201" s="3" t="n">
        <v>3011.0</v>
      </c>
      <c r="S201" s="3" t="n">
        <v>3268.0</v>
      </c>
      <c r="T201" s="3" t="n">
        <v>3342.0</v>
      </c>
      <c r="U201" s="3" t="n">
        <v>3602.0</v>
      </c>
      <c r="V201" s="3" t="n">
        <v>3900.0</v>
      </c>
      <c r="W201" s="3" t="n">
        <v>4043.0</v>
      </c>
      <c r="X201" s="3" t="n">
        <v>4209.0</v>
      </c>
      <c r="Y201" s="3" t="n">
        <v>4348.0</v>
      </c>
      <c r="Z201" s="3" t="n">
        <v>4583.0</v>
      </c>
      <c r="AA201" s="3" t="n">
        <v>4618.0</v>
      </c>
      <c r="AB201" s="3" t="n">
        <v>4805.0</v>
      </c>
      <c r="AC201" s="3" t="n">
        <v>4955.0</v>
      </c>
      <c r="AD201" s="3" t="n">
        <v>4931.0</v>
      </c>
      <c r="AE201" s="3" t="n">
        <v>4830.0</v>
      </c>
      <c r="AF201" s="3" t="n">
        <v>4695.0</v>
      </c>
      <c r="AG201" s="3" t="n">
        <v>4763.0</v>
      </c>
      <c r="AH201" s="3" t="n">
        <v>4810.0</v>
      </c>
      <c r="AI201" s="3" t="n">
        <v>4898.0</v>
      </c>
      <c r="AJ201" s="3" t="n">
        <v>4957.0</v>
      </c>
      <c r="AK201" s="3" t="n">
        <v>4949.0</v>
      </c>
      <c r="AL201" s="3" t="n">
        <v>5095.0</v>
      </c>
      <c r="AM201" s="3" t="n">
        <v>5205.0</v>
      </c>
      <c r="AN201" s="3" t="n">
        <v>5367.0</v>
      </c>
      <c r="AO201" s="3" t="n">
        <v>5629.0</v>
      </c>
    </row>
    <row r="202" spans="1:41" x14ac:dyDescent="0.2">
      <c r="A202" s="122"/>
      <c r="B202" s="9">
        <v>91</v>
      </c>
      <c r="C202" s="3" t="n">
        <v>1365.0</v>
      </c>
      <c r="D202" s="3" t="n">
        <v>1402.0</v>
      </c>
      <c r="E202" s="3" t="n">
        <v>1365.0</v>
      </c>
      <c r="F202" s="3" t="n">
        <v>1461.0</v>
      </c>
      <c r="G202" s="3" t="n">
        <v>1565.0</v>
      </c>
      <c r="H202" s="3" t="n">
        <v>1652.0</v>
      </c>
      <c r="I202" s="3" t="n">
        <v>1644.0</v>
      </c>
      <c r="J202" s="3" t="n">
        <v>1647.0</v>
      </c>
      <c r="K202" s="3" t="n">
        <v>1688.0</v>
      </c>
      <c r="L202" s="3" t="n">
        <v>1702.0</v>
      </c>
      <c r="M202" s="3" t="n">
        <v>1569.0</v>
      </c>
      <c r="N202" s="3" t="n">
        <v>1477.0</v>
      </c>
      <c r="O202" s="3" t="n">
        <v>1692.0</v>
      </c>
      <c r="P202" s="3" t="n">
        <v>1830.0</v>
      </c>
      <c r="Q202" s="3" t="n">
        <v>1926.0</v>
      </c>
      <c r="R202" s="3" t="n">
        <v>2246.0</v>
      </c>
      <c r="S202" s="3" t="n">
        <v>2597.0</v>
      </c>
      <c r="T202" s="3" t="n">
        <v>2822.0</v>
      </c>
      <c r="U202" s="3" t="n">
        <v>2891.0</v>
      </c>
      <c r="V202" s="3" t="n">
        <v>3123.0</v>
      </c>
      <c r="W202" s="3" t="n">
        <v>3391.0</v>
      </c>
      <c r="X202" s="3" t="n">
        <v>3522.0</v>
      </c>
      <c r="Y202" s="3" t="n">
        <v>3672.0</v>
      </c>
      <c r="Z202" s="3" t="n">
        <v>3795.0</v>
      </c>
      <c r="AA202" s="3" t="n">
        <v>4013.0</v>
      </c>
      <c r="AB202" s="3" t="n">
        <v>4051.0</v>
      </c>
      <c r="AC202" s="3" t="n">
        <v>4224.0</v>
      </c>
      <c r="AD202" s="3" t="n">
        <v>4364.0</v>
      </c>
      <c r="AE202" s="3" t="n">
        <v>4347.0</v>
      </c>
      <c r="AF202" s="3" t="n">
        <v>4266.0</v>
      </c>
      <c r="AG202" s="3" t="n">
        <v>4154.0</v>
      </c>
      <c r="AH202" s="3" t="n">
        <v>4223.0</v>
      </c>
      <c r="AI202" s="3" t="n">
        <v>4275.0</v>
      </c>
      <c r="AJ202" s="3" t="n">
        <v>4360.0</v>
      </c>
      <c r="AK202" s="3" t="n">
        <v>4418.0</v>
      </c>
      <c r="AL202" s="3" t="n">
        <v>4418.0</v>
      </c>
      <c r="AM202" s="3" t="n">
        <v>4555.0</v>
      </c>
      <c r="AN202" s="3" t="n">
        <v>4660.0</v>
      </c>
      <c r="AO202" s="3" t="n">
        <v>4814.0</v>
      </c>
    </row>
    <row r="203" spans="1:41" x14ac:dyDescent="0.2">
      <c r="A203" s="122"/>
      <c r="B203" s="9">
        <v>92</v>
      </c>
      <c r="C203" s="3" t="n">
        <v>1081.0</v>
      </c>
      <c r="D203" s="3" t="n">
        <v>1109.0</v>
      </c>
      <c r="E203" s="3" t="n">
        <v>1141.0</v>
      </c>
      <c r="F203" s="3" t="n">
        <v>1118.0</v>
      </c>
      <c r="G203" s="3" t="n">
        <v>1199.0</v>
      </c>
      <c r="H203" s="3" t="n">
        <v>1289.0</v>
      </c>
      <c r="I203" s="3" t="n">
        <v>1365.0</v>
      </c>
      <c r="J203" s="3" t="n">
        <v>1358.0</v>
      </c>
      <c r="K203" s="3" t="n">
        <v>1366.0</v>
      </c>
      <c r="L203" s="3" t="n">
        <v>1410.0</v>
      </c>
      <c r="M203" s="3" t="n">
        <v>1421.0</v>
      </c>
      <c r="N203" s="3" t="n">
        <v>1316.0</v>
      </c>
      <c r="O203" s="3" t="n">
        <v>1238.0</v>
      </c>
      <c r="P203" s="3" t="n">
        <v>1421.0</v>
      </c>
      <c r="Q203" s="3" t="n">
        <v>1543.0</v>
      </c>
      <c r="R203" s="3" t="n">
        <v>1628.0</v>
      </c>
      <c r="S203" s="3" t="n">
        <v>1908.0</v>
      </c>
      <c r="T203" s="3" t="n">
        <v>2205.0</v>
      </c>
      <c r="U203" s="3" t="n">
        <v>2404.0</v>
      </c>
      <c r="V203" s="3" t="n">
        <v>2470.0</v>
      </c>
      <c r="W203" s="3" t="n">
        <v>2676.0</v>
      </c>
      <c r="X203" s="3" t="n">
        <v>2912.0</v>
      </c>
      <c r="Y203" s="3" t="n">
        <v>3037.0</v>
      </c>
      <c r="Z203" s="3" t="n">
        <v>3164.0</v>
      </c>
      <c r="AA203" s="3" t="n">
        <v>3279.0</v>
      </c>
      <c r="AB203" s="3" t="n">
        <v>3476.0</v>
      </c>
      <c r="AC203" s="3" t="n">
        <v>3519.0</v>
      </c>
      <c r="AD203" s="3" t="n">
        <v>3675.0</v>
      </c>
      <c r="AE203" s="3" t="n">
        <v>3797.0</v>
      </c>
      <c r="AF203" s="3" t="n">
        <v>3796.0</v>
      </c>
      <c r="AG203" s="3" t="n">
        <v>3733.0</v>
      </c>
      <c r="AH203" s="3" t="n">
        <v>3641.0</v>
      </c>
      <c r="AI203" s="3" t="n">
        <v>3707.0</v>
      </c>
      <c r="AJ203" s="3" t="n">
        <v>3761.0</v>
      </c>
      <c r="AK203" s="3" t="n">
        <v>3841.0</v>
      </c>
      <c r="AL203" s="3" t="n">
        <v>3899.0</v>
      </c>
      <c r="AM203" s="3" t="n">
        <v>3906.0</v>
      </c>
      <c r="AN203" s="3" t="n">
        <v>4033.0</v>
      </c>
      <c r="AO203" s="3" t="n">
        <v>4132.0</v>
      </c>
    </row>
    <row r="204" spans="1:41" x14ac:dyDescent="0.2">
      <c r="A204" s="122"/>
      <c r="B204" s="9">
        <v>93</v>
      </c>
      <c r="C204" s="3" t="n">
        <v>723.0</v>
      </c>
      <c r="D204" s="3" t="n">
        <v>867.0</v>
      </c>
      <c r="E204" s="3" t="n">
        <v>894.0</v>
      </c>
      <c r="F204" s="3" t="n">
        <v>924.0</v>
      </c>
      <c r="G204" s="3" t="n">
        <v>905.0</v>
      </c>
      <c r="H204" s="3" t="n">
        <v>976.0</v>
      </c>
      <c r="I204" s="3" t="n">
        <v>1049.0</v>
      </c>
      <c r="J204" s="3" t="n">
        <v>1116.0</v>
      </c>
      <c r="K204" s="3" t="n">
        <v>1112.0</v>
      </c>
      <c r="L204" s="3" t="n">
        <v>1122.0</v>
      </c>
      <c r="M204" s="3" t="n">
        <v>1162.0</v>
      </c>
      <c r="N204" s="3" t="n">
        <v>1179.0</v>
      </c>
      <c r="O204" s="3" t="n">
        <v>1091.0</v>
      </c>
      <c r="P204" s="3" t="n">
        <v>1029.0</v>
      </c>
      <c r="Q204" s="3" t="n">
        <v>1183.0</v>
      </c>
      <c r="R204" s="3" t="n">
        <v>1290.0</v>
      </c>
      <c r="S204" s="3" t="n">
        <v>1367.0</v>
      </c>
      <c r="T204" s="3" t="n">
        <v>1602.0</v>
      </c>
      <c r="U204" s="3" t="n">
        <v>1854.0</v>
      </c>
      <c r="V204" s="3" t="n">
        <v>2028.0</v>
      </c>
      <c r="W204" s="3" t="n">
        <v>2091.0</v>
      </c>
      <c r="X204" s="3" t="n">
        <v>2272.0</v>
      </c>
      <c r="Y204" s="3" t="n">
        <v>2476.0</v>
      </c>
      <c r="Z204" s="3" t="n">
        <v>2584.0</v>
      </c>
      <c r="AA204" s="3" t="n">
        <v>2702.0</v>
      </c>
      <c r="AB204" s="3" t="n">
        <v>2807.0</v>
      </c>
      <c r="AC204" s="3" t="n">
        <v>2985.0</v>
      </c>
      <c r="AD204" s="3" t="n">
        <v>3026.0</v>
      </c>
      <c r="AE204" s="3" t="n">
        <v>3167.0</v>
      </c>
      <c r="AF204" s="3" t="n">
        <v>3277.0</v>
      </c>
      <c r="AG204" s="3" t="n">
        <v>3283.0</v>
      </c>
      <c r="AH204" s="3" t="n">
        <v>3236.0</v>
      </c>
      <c r="AI204" s="3" t="n">
        <v>3162.0</v>
      </c>
      <c r="AJ204" s="3" t="n">
        <v>3228.0</v>
      </c>
      <c r="AK204" s="3" t="n">
        <v>3278.0</v>
      </c>
      <c r="AL204" s="3" t="n">
        <v>3354.0</v>
      </c>
      <c r="AM204" s="3" t="n">
        <v>3415.0</v>
      </c>
      <c r="AN204" s="3" t="n">
        <v>3428.0</v>
      </c>
      <c r="AO204" s="3" t="n">
        <v>3545.0</v>
      </c>
    </row>
    <row r="205" spans="1:41" x14ac:dyDescent="0.2">
      <c r="A205" s="122"/>
      <c r="B205" s="9">
        <v>94</v>
      </c>
      <c r="C205" s="3" t="n">
        <v>521.0</v>
      </c>
      <c r="D205" s="3" t="n">
        <v>565.0</v>
      </c>
      <c r="E205" s="3" t="n">
        <v>682.0</v>
      </c>
      <c r="F205" s="3" t="n">
        <v>707.0</v>
      </c>
      <c r="G205" s="3" t="n">
        <v>733.0</v>
      </c>
      <c r="H205" s="3" t="n">
        <v>719.0</v>
      </c>
      <c r="I205" s="3" t="n">
        <v>775.0</v>
      </c>
      <c r="J205" s="3" t="n">
        <v>838.0</v>
      </c>
      <c r="K205" s="3" t="n">
        <v>895.0</v>
      </c>
      <c r="L205" s="3" t="n">
        <v>891.0</v>
      </c>
      <c r="M205" s="3" t="n">
        <v>905.0</v>
      </c>
      <c r="N205" s="3" t="n">
        <v>941.0</v>
      </c>
      <c r="O205" s="3" t="n">
        <v>959.0</v>
      </c>
      <c r="P205" s="3" t="n">
        <v>885.0</v>
      </c>
      <c r="Q205" s="3" t="n">
        <v>842.0</v>
      </c>
      <c r="R205" s="3" t="n">
        <v>969.0</v>
      </c>
      <c r="S205" s="3" t="n">
        <v>1062.0</v>
      </c>
      <c r="T205" s="3" t="n">
        <v>1129.0</v>
      </c>
      <c r="U205" s="3" t="n">
        <v>1324.0</v>
      </c>
      <c r="V205" s="3" t="n">
        <v>1537.0</v>
      </c>
      <c r="W205" s="3" t="n">
        <v>1685.0</v>
      </c>
      <c r="X205" s="3" t="n">
        <v>1749.0</v>
      </c>
      <c r="Y205" s="3" t="n">
        <v>1900.0</v>
      </c>
      <c r="Z205" s="3" t="n">
        <v>2075.0</v>
      </c>
      <c r="AA205" s="3" t="n">
        <v>2175.0</v>
      </c>
      <c r="AB205" s="3" t="n">
        <v>2278.0</v>
      </c>
      <c r="AC205" s="3" t="n">
        <v>2375.0</v>
      </c>
      <c r="AD205" s="3" t="n">
        <v>2533.0</v>
      </c>
      <c r="AE205" s="3" t="n">
        <v>2572.0</v>
      </c>
      <c r="AF205" s="3" t="n">
        <v>2697.0</v>
      </c>
      <c r="AG205" s="3" t="n">
        <v>2799.0</v>
      </c>
      <c r="AH205" s="3" t="n">
        <v>2807.0</v>
      </c>
      <c r="AI205" s="3" t="n">
        <v>2773.0</v>
      </c>
      <c r="AJ205" s="3" t="n">
        <v>2718.0</v>
      </c>
      <c r="AK205" s="3" t="n">
        <v>2777.0</v>
      </c>
      <c r="AL205" s="3" t="n">
        <v>2827.0</v>
      </c>
      <c r="AM205" s="3" t="n">
        <v>2898.0</v>
      </c>
      <c r="AN205" s="3" t="n">
        <v>2960.0</v>
      </c>
      <c r="AO205" s="3" t="n">
        <v>2974.0</v>
      </c>
    </row>
    <row r="206" spans="1:41" x14ac:dyDescent="0.2">
      <c r="A206" s="122"/>
      <c r="B206" s="9">
        <v>95</v>
      </c>
      <c r="C206" s="3" t="n">
        <v>311.0</v>
      </c>
      <c r="D206" s="3" t="n">
        <v>396.0</v>
      </c>
      <c r="E206" s="3" t="n">
        <v>438.0</v>
      </c>
      <c r="F206" s="3" t="n">
        <v>529.0</v>
      </c>
      <c r="G206" s="3" t="n">
        <v>550.0</v>
      </c>
      <c r="H206" s="3" t="n">
        <v>570.0</v>
      </c>
      <c r="I206" s="3" t="n">
        <v>563.0</v>
      </c>
      <c r="J206" s="3" t="n">
        <v>610.0</v>
      </c>
      <c r="K206" s="3" t="n">
        <v>658.0</v>
      </c>
      <c r="L206" s="3" t="n">
        <v>704.0</v>
      </c>
      <c r="M206" s="3" t="n">
        <v>706.0</v>
      </c>
      <c r="N206" s="3" t="n">
        <v>720.0</v>
      </c>
      <c r="O206" s="3" t="n">
        <v>752.0</v>
      </c>
      <c r="P206" s="3" t="n">
        <v>770.0</v>
      </c>
      <c r="Q206" s="3" t="n">
        <v>712.0</v>
      </c>
      <c r="R206" s="3" t="n">
        <v>678.0</v>
      </c>
      <c r="S206" s="3" t="n">
        <v>783.0</v>
      </c>
      <c r="T206" s="3" t="n">
        <v>863.0</v>
      </c>
      <c r="U206" s="3" t="n">
        <v>919.0</v>
      </c>
      <c r="V206" s="3" t="n">
        <v>1080.0</v>
      </c>
      <c r="W206" s="3" t="n">
        <v>1262.0</v>
      </c>
      <c r="X206" s="3" t="n">
        <v>1387.0</v>
      </c>
      <c r="Y206" s="3" t="n">
        <v>1446.0</v>
      </c>
      <c r="Z206" s="3" t="n">
        <v>1570.0</v>
      </c>
      <c r="AA206" s="3" t="n">
        <v>1717.0</v>
      </c>
      <c r="AB206" s="3" t="n">
        <v>1807.0</v>
      </c>
      <c r="AC206" s="3" t="n">
        <v>1897.0</v>
      </c>
      <c r="AD206" s="3" t="n">
        <v>1987.0</v>
      </c>
      <c r="AE206" s="3" t="n">
        <v>2121.0</v>
      </c>
      <c r="AF206" s="3" t="n">
        <v>2160.0</v>
      </c>
      <c r="AG206" s="3" t="n">
        <v>2271.0</v>
      </c>
      <c r="AH206" s="3" t="n">
        <v>2358.0</v>
      </c>
      <c r="AI206" s="3" t="n">
        <v>2372.0</v>
      </c>
      <c r="AJ206" s="3" t="n">
        <v>2348.0</v>
      </c>
      <c r="AK206" s="3" t="n">
        <v>2303.0</v>
      </c>
      <c r="AL206" s="3" t="n">
        <v>2361.0</v>
      </c>
      <c r="AM206" s="3" t="n">
        <v>2408.0</v>
      </c>
      <c r="AN206" s="3" t="n">
        <v>2477.0</v>
      </c>
      <c r="AO206" s="3" t="n">
        <v>2536.0</v>
      </c>
    </row>
    <row r="207" spans="1:41" x14ac:dyDescent="0.2">
      <c r="A207" s="122"/>
      <c r="B207" s="9">
        <v>96</v>
      </c>
      <c r="C207" s="3" t="n">
        <v>213.0</v>
      </c>
      <c r="D207" s="3" t="n">
        <v>236.0</v>
      </c>
      <c r="E207" s="3" t="n">
        <v>303.0</v>
      </c>
      <c r="F207" s="3" t="n">
        <v>330.0</v>
      </c>
      <c r="G207" s="3" t="n">
        <v>405.0</v>
      </c>
      <c r="H207" s="3" t="n">
        <v>425.0</v>
      </c>
      <c r="I207" s="3" t="n">
        <v>441.0</v>
      </c>
      <c r="J207" s="3" t="n">
        <v>435.0</v>
      </c>
      <c r="K207" s="3" t="n">
        <v>476.0</v>
      </c>
      <c r="L207" s="3" t="n">
        <v>513.0</v>
      </c>
      <c r="M207" s="3" t="n">
        <v>551.0</v>
      </c>
      <c r="N207" s="3" t="n">
        <v>555.0</v>
      </c>
      <c r="O207" s="3" t="n">
        <v>565.0</v>
      </c>
      <c r="P207" s="3" t="n">
        <v>597.0</v>
      </c>
      <c r="Q207" s="3" t="n">
        <v>612.0</v>
      </c>
      <c r="R207" s="3" t="n">
        <v>567.0</v>
      </c>
      <c r="S207" s="3" t="n">
        <v>541.0</v>
      </c>
      <c r="T207" s="3" t="n">
        <v>628.0</v>
      </c>
      <c r="U207" s="3" t="n">
        <v>694.0</v>
      </c>
      <c r="V207" s="3" t="n">
        <v>740.0</v>
      </c>
      <c r="W207" s="3" t="n">
        <v>870.0</v>
      </c>
      <c r="X207" s="3" t="n">
        <v>1024.0</v>
      </c>
      <c r="Y207" s="3" t="n">
        <v>1127.0</v>
      </c>
      <c r="Z207" s="3" t="n">
        <v>1180.0</v>
      </c>
      <c r="AA207" s="3" t="n">
        <v>1282.0</v>
      </c>
      <c r="AB207" s="3" t="n">
        <v>1405.0</v>
      </c>
      <c r="AC207" s="3" t="n">
        <v>1483.0</v>
      </c>
      <c r="AD207" s="3" t="n">
        <v>1562.0</v>
      </c>
      <c r="AE207" s="3" t="n">
        <v>1638.0</v>
      </c>
      <c r="AF207" s="3" t="n">
        <v>1758.0</v>
      </c>
      <c r="AG207" s="3" t="n">
        <v>1788.0</v>
      </c>
      <c r="AH207" s="3" t="n">
        <v>1889.0</v>
      </c>
      <c r="AI207" s="3" t="n">
        <v>1967.0</v>
      </c>
      <c r="AJ207" s="3" t="n">
        <v>1986.0</v>
      </c>
      <c r="AK207" s="3" t="n">
        <v>1966.0</v>
      </c>
      <c r="AL207" s="3" t="n">
        <v>1931.0</v>
      </c>
      <c r="AM207" s="3" t="n">
        <v>1988.0</v>
      </c>
      <c r="AN207" s="3" t="n">
        <v>2028.0</v>
      </c>
      <c r="AO207" s="3" t="n">
        <v>2097.0</v>
      </c>
    </row>
    <row r="208" spans="1:41" x14ac:dyDescent="0.2">
      <c r="A208" s="122"/>
      <c r="B208" s="9">
        <v>97</v>
      </c>
      <c r="C208" s="3" t="n">
        <v>140.0</v>
      </c>
      <c r="D208" s="3" t="n">
        <v>160.0</v>
      </c>
      <c r="E208" s="3" t="n">
        <v>175.0</v>
      </c>
      <c r="F208" s="3" t="n">
        <v>228.0</v>
      </c>
      <c r="G208" s="3" t="n">
        <v>251.0</v>
      </c>
      <c r="H208" s="3" t="n">
        <v>303.0</v>
      </c>
      <c r="I208" s="3" t="n">
        <v>320.0</v>
      </c>
      <c r="J208" s="3" t="n">
        <v>334.0</v>
      </c>
      <c r="K208" s="3" t="n">
        <v>331.0</v>
      </c>
      <c r="L208" s="3" t="n">
        <v>364.0</v>
      </c>
      <c r="M208" s="3" t="n">
        <v>393.0</v>
      </c>
      <c r="N208" s="3" t="n">
        <v>426.0</v>
      </c>
      <c r="O208" s="3" t="n">
        <v>430.0</v>
      </c>
      <c r="P208" s="3" t="n">
        <v>441.0</v>
      </c>
      <c r="Q208" s="3" t="n">
        <v>464.0</v>
      </c>
      <c r="R208" s="3" t="n">
        <v>480.0</v>
      </c>
      <c r="S208" s="3" t="n">
        <v>448.0</v>
      </c>
      <c r="T208" s="3" t="n">
        <v>425.0</v>
      </c>
      <c r="U208" s="3" t="n">
        <v>498.0</v>
      </c>
      <c r="V208" s="3" t="n">
        <v>552.0</v>
      </c>
      <c r="W208" s="3" t="n">
        <v>588.0</v>
      </c>
      <c r="X208" s="3" t="n">
        <v>692.0</v>
      </c>
      <c r="Y208" s="3" t="n">
        <v>823.0</v>
      </c>
      <c r="Z208" s="3" t="n">
        <v>906.0</v>
      </c>
      <c r="AA208" s="3" t="n">
        <v>946.0</v>
      </c>
      <c r="AB208" s="3" t="n">
        <v>1036.0</v>
      </c>
      <c r="AC208" s="3" t="n">
        <v>1140.0</v>
      </c>
      <c r="AD208" s="3" t="n">
        <v>1208.0</v>
      </c>
      <c r="AE208" s="3" t="n">
        <v>1270.0</v>
      </c>
      <c r="AF208" s="3" t="n">
        <v>1335.0</v>
      </c>
      <c r="AG208" s="3" t="n">
        <v>1435.0</v>
      </c>
      <c r="AH208" s="3" t="n">
        <v>1465.0</v>
      </c>
      <c r="AI208" s="3" t="n">
        <v>1554.0</v>
      </c>
      <c r="AJ208" s="3" t="n">
        <v>1620.0</v>
      </c>
      <c r="AK208" s="3" t="n">
        <v>1639.0</v>
      </c>
      <c r="AL208" s="3" t="n">
        <v>1626.0</v>
      </c>
      <c r="AM208" s="3" t="n">
        <v>1602.0</v>
      </c>
      <c r="AN208" s="3" t="n">
        <v>1655.0</v>
      </c>
      <c r="AO208" s="3" t="n">
        <v>1692.0</v>
      </c>
    </row>
    <row r="209" spans="1:41" x14ac:dyDescent="0.2">
      <c r="A209" s="122"/>
      <c r="B209" s="9">
        <v>98</v>
      </c>
      <c r="C209" s="3" t="n">
        <v>93.0</v>
      </c>
      <c r="D209" s="3" t="n">
        <v>96.0</v>
      </c>
      <c r="E209" s="3" t="n">
        <v>114.0</v>
      </c>
      <c r="F209" s="3" t="n">
        <v>124.0</v>
      </c>
      <c r="G209" s="3" t="n">
        <v>163.0</v>
      </c>
      <c r="H209" s="3" t="n">
        <v>177.0</v>
      </c>
      <c r="I209" s="3" t="n">
        <v>221.0</v>
      </c>
      <c r="J209" s="3" t="n">
        <v>233.0</v>
      </c>
      <c r="K209" s="3" t="n">
        <v>248.0</v>
      </c>
      <c r="L209" s="3" t="n">
        <v>242.0</v>
      </c>
      <c r="M209" s="3" t="n">
        <v>263.0</v>
      </c>
      <c r="N209" s="3" t="n">
        <v>290.0</v>
      </c>
      <c r="O209" s="3" t="n">
        <v>316.0</v>
      </c>
      <c r="P209" s="3" t="n">
        <v>319.0</v>
      </c>
      <c r="Q209" s="3" t="n">
        <v>327.0</v>
      </c>
      <c r="R209" s="3" t="n">
        <v>349.0</v>
      </c>
      <c r="S209" s="3" t="n">
        <v>366.0</v>
      </c>
      <c r="T209" s="3" t="n">
        <v>338.0</v>
      </c>
      <c r="U209" s="3" t="n">
        <v>321.0</v>
      </c>
      <c r="V209" s="3" t="n">
        <v>379.0</v>
      </c>
      <c r="W209" s="3" t="n">
        <v>422.0</v>
      </c>
      <c r="X209" s="3" t="n">
        <v>455.0</v>
      </c>
      <c r="Y209" s="3" t="n">
        <v>539.0</v>
      </c>
      <c r="Z209" s="3" t="n">
        <v>645.0</v>
      </c>
      <c r="AA209" s="3" t="n">
        <v>712.0</v>
      </c>
      <c r="AB209" s="3" t="n">
        <v>743.0</v>
      </c>
      <c r="AC209" s="3" t="n">
        <v>819.0</v>
      </c>
      <c r="AD209" s="3" t="n">
        <v>901.0</v>
      </c>
      <c r="AE209" s="3" t="n">
        <v>958.0</v>
      </c>
      <c r="AF209" s="3" t="n">
        <v>1010.0</v>
      </c>
      <c r="AG209" s="3" t="n">
        <v>1068.0</v>
      </c>
      <c r="AH209" s="3" t="n">
        <v>1151.0</v>
      </c>
      <c r="AI209" s="3" t="n">
        <v>1179.0</v>
      </c>
      <c r="AJ209" s="3" t="n">
        <v>1259.0</v>
      </c>
      <c r="AK209" s="3" t="n">
        <v>1311.0</v>
      </c>
      <c r="AL209" s="3" t="n">
        <v>1331.0</v>
      </c>
      <c r="AM209" s="3" t="n">
        <v>1322.0</v>
      </c>
      <c r="AN209" s="3" t="n">
        <v>1307.0</v>
      </c>
      <c r="AO209" s="3" t="n">
        <v>1353.0</v>
      </c>
    </row>
    <row r="210" spans="1:41" x14ac:dyDescent="0.2">
      <c r="A210" s="122"/>
      <c r="B210" s="9">
        <v>99</v>
      </c>
      <c r="C210" s="3" t="n">
        <v>77.0</v>
      </c>
      <c r="D210" s="3" t="n">
        <v>71.0</v>
      </c>
      <c r="E210" s="3" t="n">
        <v>68.0</v>
      </c>
      <c r="F210" s="3" t="n">
        <v>81.0</v>
      </c>
      <c r="G210" s="3" t="n">
        <v>87.0</v>
      </c>
      <c r="H210" s="3" t="n">
        <v>112.0</v>
      </c>
      <c r="I210" s="3" t="n">
        <v>122.0</v>
      </c>
      <c r="J210" s="3" t="n">
        <v>159.0</v>
      </c>
      <c r="K210" s="3" t="n">
        <v>166.0</v>
      </c>
      <c r="L210" s="3" t="n">
        <v>181.0</v>
      </c>
      <c r="M210" s="3" t="n">
        <v>176.0</v>
      </c>
      <c r="N210" s="3" t="n">
        <v>192.0</v>
      </c>
      <c r="O210" s="3" t="n">
        <v>210.0</v>
      </c>
      <c r="P210" s="3" t="n">
        <v>233.0</v>
      </c>
      <c r="Q210" s="3" t="n">
        <v>239.0</v>
      </c>
      <c r="R210" s="3" t="n">
        <v>244.0</v>
      </c>
      <c r="S210" s="3" t="n">
        <v>264.0</v>
      </c>
      <c r="T210" s="3" t="n">
        <v>279.0</v>
      </c>
      <c r="U210" s="3" t="n">
        <v>256.0</v>
      </c>
      <c r="V210" s="3" t="n">
        <v>242.0</v>
      </c>
      <c r="W210" s="3" t="n">
        <v>292.0</v>
      </c>
      <c r="X210" s="3" t="n">
        <v>325.0</v>
      </c>
      <c r="Y210" s="3" t="n">
        <v>346.0</v>
      </c>
      <c r="Z210" s="3" t="n">
        <v>411.0</v>
      </c>
      <c r="AA210" s="3" t="n">
        <v>499.0</v>
      </c>
      <c r="AB210" s="3" t="n">
        <v>552.0</v>
      </c>
      <c r="AC210" s="3" t="n">
        <v>579.0</v>
      </c>
      <c r="AD210" s="3" t="n">
        <v>638.0</v>
      </c>
      <c r="AE210" s="3" t="n">
        <v>698.0</v>
      </c>
      <c r="AF210" s="3" t="n">
        <v>747.0</v>
      </c>
      <c r="AG210" s="3" t="n">
        <v>793.0</v>
      </c>
      <c r="AH210" s="3" t="n">
        <v>842.0</v>
      </c>
      <c r="AI210" s="3" t="n">
        <v>911.0</v>
      </c>
      <c r="AJ210" s="3" t="n">
        <v>937.0</v>
      </c>
      <c r="AK210" s="3" t="n">
        <v>998.0</v>
      </c>
      <c r="AL210" s="3" t="n">
        <v>1046.0</v>
      </c>
      <c r="AM210" s="3" t="n">
        <v>1063.0</v>
      </c>
      <c r="AN210" s="3" t="n">
        <v>1063.0</v>
      </c>
      <c r="AO210" s="3" t="n">
        <v>1051.0</v>
      </c>
    </row>
    <row r="211" spans="1:41" x14ac:dyDescent="0.2">
      <c r="A211" s="122"/>
      <c r="B211" s="9" t="s">
        <v>68</v>
      </c>
      <c r="C211" s="3" t="n">
        <v>94.0</v>
      </c>
      <c r="D211" s="3" t="n">
        <v>113.0</v>
      </c>
      <c r="E211" s="3" t="n">
        <v>118.0</v>
      </c>
      <c r="F211" s="3" t="n">
        <v>117.0</v>
      </c>
      <c r="G211" s="3" t="n">
        <v>132.0</v>
      </c>
      <c r="H211" s="3" t="n">
        <v>145.0</v>
      </c>
      <c r="I211" s="3" t="n">
        <v>175.0</v>
      </c>
      <c r="J211" s="3" t="n">
        <v>206.0</v>
      </c>
      <c r="K211" s="3" t="n">
        <v>253.0</v>
      </c>
      <c r="L211" s="3" t="n">
        <v>291.0</v>
      </c>
      <c r="M211" s="3" t="n">
        <v>330.0</v>
      </c>
      <c r="N211" s="3" t="n">
        <v>355.0</v>
      </c>
      <c r="O211" s="3" t="n">
        <v>383.0</v>
      </c>
      <c r="P211" s="3" t="n">
        <v>417.0</v>
      </c>
      <c r="Q211" s="3" t="n">
        <v>458.0</v>
      </c>
      <c r="R211" s="3" t="n">
        <v>492.0</v>
      </c>
      <c r="S211" s="3" t="n">
        <v>522.0</v>
      </c>
      <c r="T211" s="3" t="n">
        <v>553.0</v>
      </c>
      <c r="U211" s="3" t="n">
        <v>586.0</v>
      </c>
      <c r="V211" s="3" t="n">
        <v>599.0</v>
      </c>
      <c r="W211" s="3" t="n">
        <v>605.0</v>
      </c>
      <c r="X211" s="3" t="n">
        <v>647.0</v>
      </c>
      <c r="Y211" s="3" t="n">
        <v>701.0</v>
      </c>
      <c r="Z211" s="3" t="n">
        <v>755.0</v>
      </c>
      <c r="AA211" s="3" t="n">
        <v>843.0</v>
      </c>
      <c r="AB211" s="3" t="n">
        <v>978.0</v>
      </c>
      <c r="AC211" s="3" t="n">
        <v>1118.0</v>
      </c>
      <c r="AD211" s="3" t="n">
        <v>1244.0</v>
      </c>
      <c r="AE211" s="3" t="n">
        <v>1382.0</v>
      </c>
      <c r="AF211" s="3" t="n">
        <v>1528.0</v>
      </c>
      <c r="AG211" s="3" t="n">
        <v>1681.0</v>
      </c>
      <c r="AH211" s="3" t="n">
        <v>1828.0</v>
      </c>
      <c r="AI211" s="3" t="n">
        <v>1974.0</v>
      </c>
      <c r="AJ211" s="3" t="n">
        <v>2148.0</v>
      </c>
      <c r="AK211" s="3" t="n">
        <v>2299.0</v>
      </c>
      <c r="AL211" s="3" t="n">
        <v>2464.0</v>
      </c>
      <c r="AM211" s="3" t="n">
        <v>2627.0</v>
      </c>
      <c r="AN211" s="3" t="n">
        <v>2771.0</v>
      </c>
      <c r="AO211" s="3" t="n">
        <v>2887.0</v>
      </c>
    </row>
    <row r="212" spans="1:41" x14ac:dyDescent="0.2">
      <c r="A212" s="122" t="s">
        <v>50</v>
      </c>
      <c r="B212" s="56" t="s">
        <v>51</v>
      </c>
      <c r="C212" s="57" t="n">
        <v>1765923.0</v>
      </c>
      <c r="D212" s="57" t="n">
        <v>1766849.0</v>
      </c>
      <c r="E212" s="57" t="n">
        <v>1768272.0</v>
      </c>
      <c r="F212" s="57" t="n">
        <v>1770022.0</v>
      </c>
      <c r="G212" s="57" t="n">
        <v>1772142.0</v>
      </c>
      <c r="H212" s="57" t="n">
        <v>1783165.0</v>
      </c>
      <c r="I212" s="57" t="n">
        <v>1797670.0</v>
      </c>
      <c r="J212" s="57" t="n">
        <v>1805110.0</v>
      </c>
      <c r="K212" s="57" t="n">
        <v>1808837.0</v>
      </c>
      <c r="L212" s="57" t="n">
        <v>1811246.0</v>
      </c>
      <c r="M212" s="57" t="n">
        <v>1812762.0</v>
      </c>
      <c r="N212" s="57" t="n">
        <v>1813720.0</v>
      </c>
      <c r="O212" s="57" t="n">
        <v>1814177.0</v>
      </c>
      <c r="P212" s="57" t="n">
        <v>1814298.0</v>
      </c>
      <c r="Q212" s="57" t="n">
        <v>1814323.0</v>
      </c>
      <c r="R212" s="57" t="n">
        <v>1814120.0</v>
      </c>
      <c r="S212" s="57" t="n">
        <v>1813711.0</v>
      </c>
      <c r="T212" s="57" t="n">
        <v>1813393.0</v>
      </c>
      <c r="U212" s="57" t="n">
        <v>1812937.0</v>
      </c>
      <c r="V212" s="57" t="n">
        <v>1812575.0</v>
      </c>
      <c r="W212" s="57" t="n">
        <v>1812141.0</v>
      </c>
      <c r="X212" s="57" t="n">
        <v>1811576.0</v>
      </c>
      <c r="Y212" s="57" t="n">
        <v>1811119.0</v>
      </c>
      <c r="Z212" s="57" t="n">
        <v>1810479.0</v>
      </c>
      <c r="AA212" s="57" t="n">
        <v>1809704.0</v>
      </c>
      <c r="AB212" s="57" t="n">
        <v>1809004.0</v>
      </c>
      <c r="AC212" s="57" t="n">
        <v>1808062.0</v>
      </c>
      <c r="AD212" s="57" t="n">
        <v>1807000.0</v>
      </c>
      <c r="AE212" s="57" t="n">
        <v>1805982.0</v>
      </c>
      <c r="AF212" s="57" t="n">
        <v>1804749.0</v>
      </c>
      <c r="AG212" s="57" t="n">
        <v>1803260.0</v>
      </c>
      <c r="AH212" s="57" t="n">
        <v>1801769.0</v>
      </c>
      <c r="AI212" s="57" t="n">
        <v>1800056.0</v>
      </c>
      <c r="AJ212" s="57" t="n">
        <v>1798351.0</v>
      </c>
      <c r="AK212" s="57" t="n">
        <v>1796435.0</v>
      </c>
      <c r="AL212" s="57" t="n">
        <v>1794326.0</v>
      </c>
      <c r="AM212" s="57" t="n">
        <v>1792236.0</v>
      </c>
      <c r="AN212" s="57" t="n">
        <v>1790014.0</v>
      </c>
      <c r="AO212" s="57" t="n">
        <v>1787609.0</v>
      </c>
    </row>
    <row r="213" spans="1:41" x14ac:dyDescent="0.2">
      <c r="A213" s="122"/>
      <c r="B213" s="9">
        <v>0</v>
      </c>
      <c r="C213" s="3" t="n">
        <v>14933.0</v>
      </c>
      <c r="D213" s="3" t="n">
        <v>15626.0</v>
      </c>
      <c r="E213" s="3" t="n">
        <v>15894.0</v>
      </c>
      <c r="F213" s="3" t="n">
        <v>16091.0</v>
      </c>
      <c r="G213" s="3" t="n">
        <v>16221.0</v>
      </c>
      <c r="H213" s="3" t="n">
        <v>16329.0</v>
      </c>
      <c r="I213" s="3" t="n">
        <v>16462.0</v>
      </c>
      <c r="J213" s="3" t="n">
        <v>16546.0</v>
      </c>
      <c r="K213" s="3" t="n">
        <v>16522.0</v>
      </c>
      <c r="L213" s="3" t="n">
        <v>16468.0</v>
      </c>
      <c r="M213" s="3" t="n">
        <v>16358.0</v>
      </c>
      <c r="N213" s="3" t="n">
        <v>16235.0</v>
      </c>
      <c r="O213" s="3" t="n">
        <v>16119.0</v>
      </c>
      <c r="P213" s="3" t="n">
        <v>16042.0</v>
      </c>
      <c r="Q213" s="3" t="n">
        <v>16016.0</v>
      </c>
      <c r="R213" s="3" t="n">
        <v>16048.0</v>
      </c>
      <c r="S213" s="3" t="n">
        <v>16112.0</v>
      </c>
      <c r="T213" s="3" t="n">
        <v>16233.0</v>
      </c>
      <c r="U213" s="3" t="n">
        <v>16363.0</v>
      </c>
      <c r="V213" s="3" t="n">
        <v>16521.0</v>
      </c>
      <c r="W213" s="3" t="n">
        <v>16668.0</v>
      </c>
      <c r="X213" s="3" t="n">
        <v>16803.0</v>
      </c>
      <c r="Y213" s="3" t="n">
        <v>16924.0</v>
      </c>
      <c r="Z213" s="3" t="n">
        <v>17012.0</v>
      </c>
      <c r="AA213" s="3" t="n">
        <v>17073.0</v>
      </c>
      <c r="AB213" s="3" t="n">
        <v>17114.0</v>
      </c>
      <c r="AC213" s="3" t="n">
        <v>17116.0</v>
      </c>
      <c r="AD213" s="3" t="n">
        <v>17101.0</v>
      </c>
      <c r="AE213" s="3" t="n">
        <v>17033.0</v>
      </c>
      <c r="AF213" s="3" t="n">
        <v>16967.0</v>
      </c>
      <c r="AG213" s="3" t="n">
        <v>16873.0</v>
      </c>
      <c r="AH213" s="3" t="n">
        <v>16760.0</v>
      </c>
      <c r="AI213" s="3" t="n">
        <v>16637.0</v>
      </c>
      <c r="AJ213" s="3" t="n">
        <v>16540.0</v>
      </c>
      <c r="AK213" s="3" t="n">
        <v>16437.0</v>
      </c>
      <c r="AL213" s="3" t="n">
        <v>16350.0</v>
      </c>
      <c r="AM213" s="3" t="n">
        <v>16280.0</v>
      </c>
      <c r="AN213" s="3" t="n">
        <v>16245.0</v>
      </c>
      <c r="AO213" s="3" t="n">
        <v>16217.0</v>
      </c>
    </row>
    <row r="214" spans="1:41" x14ac:dyDescent="0.2">
      <c r="A214" s="122"/>
      <c r="B214" s="9">
        <v>1</v>
      </c>
      <c r="C214" s="3" t="n">
        <v>16463.0</v>
      </c>
      <c r="D214" s="3" t="n">
        <v>15026.0</v>
      </c>
      <c r="E214" s="3" t="n">
        <v>15728.0</v>
      </c>
      <c r="F214" s="3" t="n">
        <v>16003.0</v>
      </c>
      <c r="G214" s="3" t="n">
        <v>16209.0</v>
      </c>
      <c r="H214" s="3" t="n">
        <v>16448.0</v>
      </c>
      <c r="I214" s="3" t="n">
        <v>16598.0</v>
      </c>
      <c r="J214" s="3" t="n">
        <v>16663.0</v>
      </c>
      <c r="K214" s="3" t="n">
        <v>16707.0</v>
      </c>
      <c r="L214" s="3" t="n">
        <v>16676.0</v>
      </c>
      <c r="M214" s="3" t="n">
        <v>16622.0</v>
      </c>
      <c r="N214" s="3" t="n">
        <v>16514.0</v>
      </c>
      <c r="O214" s="3" t="n">
        <v>16390.0</v>
      </c>
      <c r="P214" s="3" t="n">
        <v>16280.0</v>
      </c>
      <c r="Q214" s="3" t="n">
        <v>16210.0</v>
      </c>
      <c r="R214" s="3" t="n">
        <v>16188.0</v>
      </c>
      <c r="S214" s="3" t="n">
        <v>16224.0</v>
      </c>
      <c r="T214" s="3" t="n">
        <v>16291.0</v>
      </c>
      <c r="U214" s="3" t="n">
        <v>16417.0</v>
      </c>
      <c r="V214" s="3" t="n">
        <v>16553.0</v>
      </c>
      <c r="W214" s="3" t="n">
        <v>16709.0</v>
      </c>
      <c r="X214" s="3" t="n">
        <v>16857.0</v>
      </c>
      <c r="Y214" s="3" t="n">
        <v>16992.0</v>
      </c>
      <c r="Z214" s="3" t="n">
        <v>17116.0</v>
      </c>
      <c r="AA214" s="3" t="n">
        <v>17202.0</v>
      </c>
      <c r="AB214" s="3" t="n">
        <v>17261.0</v>
      </c>
      <c r="AC214" s="3" t="n">
        <v>17302.0</v>
      </c>
      <c r="AD214" s="3" t="n">
        <v>17305.0</v>
      </c>
      <c r="AE214" s="3" t="n">
        <v>17289.0</v>
      </c>
      <c r="AF214" s="3" t="n">
        <v>17221.0</v>
      </c>
      <c r="AG214" s="3" t="n">
        <v>17157.0</v>
      </c>
      <c r="AH214" s="3" t="n">
        <v>17063.0</v>
      </c>
      <c r="AI214" s="3" t="n">
        <v>16948.0</v>
      </c>
      <c r="AJ214" s="3" t="n">
        <v>16825.0</v>
      </c>
      <c r="AK214" s="3" t="n">
        <v>16730.0</v>
      </c>
      <c r="AL214" s="3" t="n">
        <v>16627.0</v>
      </c>
      <c r="AM214" s="3" t="n">
        <v>16543.0</v>
      </c>
      <c r="AN214" s="3" t="n">
        <v>16478.0</v>
      </c>
      <c r="AO214" s="3" t="n">
        <v>16442.0</v>
      </c>
    </row>
    <row r="215" spans="1:41" x14ac:dyDescent="0.2">
      <c r="A215" s="122"/>
      <c r="B215" s="9">
        <v>2</v>
      </c>
      <c r="C215" s="3" t="n">
        <v>17031.0</v>
      </c>
      <c r="D215" s="3" t="n">
        <v>16542.0</v>
      </c>
      <c r="E215" s="3" t="n">
        <v>15118.0</v>
      </c>
      <c r="F215" s="3" t="n">
        <v>15828.0</v>
      </c>
      <c r="G215" s="3" t="n">
        <v>16114.0</v>
      </c>
      <c r="H215" s="3" t="n">
        <v>16460.0</v>
      </c>
      <c r="I215" s="3" t="n">
        <v>16762.0</v>
      </c>
      <c r="J215" s="3" t="n">
        <v>16804.0</v>
      </c>
      <c r="K215" s="3" t="n">
        <v>16819.0</v>
      </c>
      <c r="L215" s="3" t="n">
        <v>16853.0</v>
      </c>
      <c r="M215" s="3" t="n">
        <v>16815.0</v>
      </c>
      <c r="N215" s="3" t="n">
        <v>16761.0</v>
      </c>
      <c r="O215" s="3" t="n">
        <v>16654.0</v>
      </c>
      <c r="P215" s="3" t="n">
        <v>16533.0</v>
      </c>
      <c r="Q215" s="3" t="n">
        <v>16426.0</v>
      </c>
      <c r="R215" s="3" t="n">
        <v>16357.0</v>
      </c>
      <c r="S215" s="3" t="n">
        <v>16340.0</v>
      </c>
      <c r="T215" s="3" t="n">
        <v>16383.0</v>
      </c>
      <c r="U215" s="3" t="n">
        <v>16453.0</v>
      </c>
      <c r="V215" s="3" t="n">
        <v>16579.0</v>
      </c>
      <c r="W215" s="3" t="n">
        <v>16715.0</v>
      </c>
      <c r="X215" s="3" t="n">
        <v>16872.0</v>
      </c>
      <c r="Y215" s="3" t="n">
        <v>17016.0</v>
      </c>
      <c r="Z215" s="3" t="n">
        <v>17153.0</v>
      </c>
      <c r="AA215" s="3" t="n">
        <v>17276.0</v>
      </c>
      <c r="AB215" s="3" t="n">
        <v>17363.0</v>
      </c>
      <c r="AC215" s="3" t="n">
        <v>17423.0</v>
      </c>
      <c r="AD215" s="3" t="n">
        <v>17469.0</v>
      </c>
      <c r="AE215" s="3" t="n">
        <v>17473.0</v>
      </c>
      <c r="AF215" s="3" t="n">
        <v>17460.0</v>
      </c>
      <c r="AG215" s="3" t="n">
        <v>17392.0</v>
      </c>
      <c r="AH215" s="3" t="n">
        <v>17331.0</v>
      </c>
      <c r="AI215" s="3" t="n">
        <v>17234.0</v>
      </c>
      <c r="AJ215" s="3" t="n">
        <v>17116.0</v>
      </c>
      <c r="AK215" s="3" t="n">
        <v>16994.0</v>
      </c>
      <c r="AL215" s="3" t="n">
        <v>16896.0</v>
      </c>
      <c r="AM215" s="3" t="n">
        <v>16792.0</v>
      </c>
      <c r="AN215" s="3" t="n">
        <v>16709.0</v>
      </c>
      <c r="AO215" s="3" t="n">
        <v>16647.0</v>
      </c>
    </row>
    <row r="216" spans="1:41" x14ac:dyDescent="0.2">
      <c r="A216" s="122"/>
      <c r="B216" s="9">
        <v>3</v>
      </c>
      <c r="C216" s="3" t="n">
        <v>18309.0</v>
      </c>
      <c r="D216" s="3" t="n">
        <v>17119.0</v>
      </c>
      <c r="E216" s="3" t="n">
        <v>16640.0</v>
      </c>
      <c r="F216" s="3" t="n">
        <v>15220.0</v>
      </c>
      <c r="G216" s="3" t="n">
        <v>15931.0</v>
      </c>
      <c r="H216" s="3" t="n">
        <v>16370.0</v>
      </c>
      <c r="I216" s="3" t="n">
        <v>16783.0</v>
      </c>
      <c r="J216" s="3" t="n">
        <v>16968.0</v>
      </c>
      <c r="K216" s="3" t="n">
        <v>16950.0</v>
      </c>
      <c r="L216" s="3" t="n">
        <v>16952.0</v>
      </c>
      <c r="M216" s="3" t="n">
        <v>16982.0</v>
      </c>
      <c r="N216" s="3" t="n">
        <v>16940.0</v>
      </c>
      <c r="O216" s="3" t="n">
        <v>16886.0</v>
      </c>
      <c r="P216" s="3" t="n">
        <v>16782.0</v>
      </c>
      <c r="Q216" s="3" t="n">
        <v>16664.0</v>
      </c>
      <c r="R216" s="3" t="n">
        <v>16561.0</v>
      </c>
      <c r="S216" s="3" t="n">
        <v>16495.0</v>
      </c>
      <c r="T216" s="3" t="n">
        <v>16483.0</v>
      </c>
      <c r="U216" s="3" t="n">
        <v>16528.0</v>
      </c>
      <c r="V216" s="3" t="n">
        <v>16601.0</v>
      </c>
      <c r="W216" s="3" t="n">
        <v>16730.0</v>
      </c>
      <c r="X216" s="3" t="n">
        <v>16872.0</v>
      </c>
      <c r="Y216" s="3" t="n">
        <v>17033.0</v>
      </c>
      <c r="Z216" s="3" t="n">
        <v>17177.0</v>
      </c>
      <c r="AA216" s="3" t="n">
        <v>17315.0</v>
      </c>
      <c r="AB216" s="3" t="n">
        <v>17436.0</v>
      </c>
      <c r="AC216" s="3" t="n">
        <v>17527.0</v>
      </c>
      <c r="AD216" s="3" t="n">
        <v>17587.0</v>
      </c>
      <c r="AE216" s="3" t="n">
        <v>17635.0</v>
      </c>
      <c r="AF216" s="3" t="n">
        <v>17636.0</v>
      </c>
      <c r="AG216" s="3" t="n">
        <v>17620.0</v>
      </c>
      <c r="AH216" s="3" t="n">
        <v>17554.0</v>
      </c>
      <c r="AI216" s="3" t="n">
        <v>17490.0</v>
      </c>
      <c r="AJ216" s="3" t="n">
        <v>17390.0</v>
      </c>
      <c r="AK216" s="3" t="n">
        <v>17275.0</v>
      </c>
      <c r="AL216" s="3" t="n">
        <v>17152.0</v>
      </c>
      <c r="AM216" s="3" t="n">
        <v>17054.0</v>
      </c>
      <c r="AN216" s="3" t="n">
        <v>16947.0</v>
      </c>
      <c r="AO216" s="3" t="n">
        <v>16862.0</v>
      </c>
    </row>
    <row r="217" spans="1:41" x14ac:dyDescent="0.2">
      <c r="A217" s="122"/>
      <c r="B217" s="9">
        <v>4</v>
      </c>
      <c r="C217" s="3" t="n">
        <v>18672.0</v>
      </c>
      <c r="D217" s="3" t="n">
        <v>18396.0</v>
      </c>
      <c r="E217" s="3" t="n">
        <v>17216.0</v>
      </c>
      <c r="F217" s="3" t="n">
        <v>16746.0</v>
      </c>
      <c r="G217" s="3" t="n">
        <v>15330.0</v>
      </c>
      <c r="H217" s="3" t="n">
        <v>16199.0</v>
      </c>
      <c r="I217" s="3" t="n">
        <v>16695.0</v>
      </c>
      <c r="J217" s="3" t="n">
        <v>17003.0</v>
      </c>
      <c r="K217" s="3" t="n">
        <v>17125.0</v>
      </c>
      <c r="L217" s="3" t="n">
        <v>17088.0</v>
      </c>
      <c r="M217" s="3" t="n">
        <v>17082.0</v>
      </c>
      <c r="N217" s="3" t="n">
        <v>17109.0</v>
      </c>
      <c r="O217" s="3" t="n">
        <v>17064.0</v>
      </c>
      <c r="P217" s="3" t="n">
        <v>17016.0</v>
      </c>
      <c r="Q217" s="3" t="n">
        <v>16914.0</v>
      </c>
      <c r="R217" s="3" t="n">
        <v>16800.0</v>
      </c>
      <c r="S217" s="3" t="n">
        <v>16702.0</v>
      </c>
      <c r="T217" s="3" t="n">
        <v>16640.0</v>
      </c>
      <c r="U217" s="3" t="n">
        <v>16629.0</v>
      </c>
      <c r="V217" s="3" t="n">
        <v>16676.0</v>
      </c>
      <c r="W217" s="3" t="n">
        <v>16747.0</v>
      </c>
      <c r="X217" s="3" t="n">
        <v>16876.0</v>
      </c>
      <c r="Y217" s="3" t="n">
        <v>17017.0</v>
      </c>
      <c r="Z217" s="3" t="n">
        <v>17180.0</v>
      </c>
      <c r="AA217" s="3" t="n">
        <v>17329.0</v>
      </c>
      <c r="AB217" s="3" t="n">
        <v>17465.0</v>
      </c>
      <c r="AC217" s="3" t="n">
        <v>17587.0</v>
      </c>
      <c r="AD217" s="3" t="n">
        <v>17678.0</v>
      </c>
      <c r="AE217" s="3" t="n">
        <v>17737.0</v>
      </c>
      <c r="AF217" s="3" t="n">
        <v>17787.0</v>
      </c>
      <c r="AG217" s="3" t="n">
        <v>17788.0</v>
      </c>
      <c r="AH217" s="3" t="n">
        <v>17772.0</v>
      </c>
      <c r="AI217" s="3" t="n">
        <v>17703.0</v>
      </c>
      <c r="AJ217" s="3" t="n">
        <v>17640.0</v>
      </c>
      <c r="AK217" s="3" t="n">
        <v>17542.0</v>
      </c>
      <c r="AL217" s="3" t="n">
        <v>17429.0</v>
      </c>
      <c r="AM217" s="3" t="n">
        <v>17307.0</v>
      </c>
      <c r="AN217" s="3" t="n">
        <v>17209.0</v>
      </c>
      <c r="AO217" s="3" t="n">
        <v>17098.0</v>
      </c>
    </row>
    <row r="218" spans="1:41" x14ac:dyDescent="0.2">
      <c r="A218" s="122"/>
      <c r="B218" s="9">
        <v>5</v>
      </c>
      <c r="C218" s="3" t="n">
        <v>19153.0</v>
      </c>
      <c r="D218" s="3" t="n">
        <v>18750.0</v>
      </c>
      <c r="E218" s="3" t="n">
        <v>18478.0</v>
      </c>
      <c r="F218" s="3" t="n">
        <v>17306.0</v>
      </c>
      <c r="G218" s="3" t="n">
        <v>16837.0</v>
      </c>
      <c r="H218" s="3" t="n">
        <v>15585.0</v>
      </c>
      <c r="I218" s="3" t="n">
        <v>16520.0</v>
      </c>
      <c r="J218" s="3" t="n">
        <v>16886.0</v>
      </c>
      <c r="K218" s="3" t="n">
        <v>17134.0</v>
      </c>
      <c r="L218" s="3" t="n">
        <v>17238.0</v>
      </c>
      <c r="M218" s="3" t="n">
        <v>17192.0</v>
      </c>
      <c r="N218" s="3" t="n">
        <v>17181.0</v>
      </c>
      <c r="O218" s="3" t="n">
        <v>17208.0</v>
      </c>
      <c r="P218" s="3" t="n">
        <v>17167.0</v>
      </c>
      <c r="Q218" s="3" t="n">
        <v>17122.0</v>
      </c>
      <c r="R218" s="3" t="n">
        <v>17022.0</v>
      </c>
      <c r="S218" s="3" t="n">
        <v>16913.0</v>
      </c>
      <c r="T218" s="3" t="n">
        <v>16817.0</v>
      </c>
      <c r="U218" s="3" t="n">
        <v>16756.0</v>
      </c>
      <c r="V218" s="3" t="n">
        <v>16747.0</v>
      </c>
      <c r="W218" s="3" t="n">
        <v>16798.0</v>
      </c>
      <c r="X218" s="3" t="n">
        <v>16872.0</v>
      </c>
      <c r="Y218" s="3" t="n">
        <v>17004.0</v>
      </c>
      <c r="Z218" s="3" t="n">
        <v>17148.0</v>
      </c>
      <c r="AA218" s="3" t="n">
        <v>17311.0</v>
      </c>
      <c r="AB218" s="3" t="n">
        <v>17460.0</v>
      </c>
      <c r="AC218" s="3" t="n">
        <v>17598.0</v>
      </c>
      <c r="AD218" s="3" t="n">
        <v>17720.0</v>
      </c>
      <c r="AE218" s="3" t="n">
        <v>17810.0</v>
      </c>
      <c r="AF218" s="3" t="n">
        <v>17870.0</v>
      </c>
      <c r="AG218" s="3" t="n">
        <v>17918.0</v>
      </c>
      <c r="AH218" s="3" t="n">
        <v>17918.0</v>
      </c>
      <c r="AI218" s="3" t="n">
        <v>17903.0</v>
      </c>
      <c r="AJ218" s="3" t="n">
        <v>17830.0</v>
      </c>
      <c r="AK218" s="3" t="n">
        <v>17764.0</v>
      </c>
      <c r="AL218" s="3" t="n">
        <v>17664.0</v>
      </c>
      <c r="AM218" s="3" t="n">
        <v>17555.0</v>
      </c>
      <c r="AN218" s="3" t="n">
        <v>17432.0</v>
      </c>
      <c r="AO218" s="3" t="n">
        <v>17332.0</v>
      </c>
    </row>
    <row r="219" spans="1:41" x14ac:dyDescent="0.2">
      <c r="A219" s="122"/>
      <c r="B219" s="9">
        <v>6</v>
      </c>
      <c r="C219" s="3" t="n">
        <v>18609.0</v>
      </c>
      <c r="D219" s="3" t="n">
        <v>19220.0</v>
      </c>
      <c r="E219" s="3" t="n">
        <v>18812.0</v>
      </c>
      <c r="F219" s="3" t="n">
        <v>18548.0</v>
      </c>
      <c r="G219" s="3" t="n">
        <v>17388.0</v>
      </c>
      <c r="H219" s="3" t="n">
        <v>17088.0</v>
      </c>
      <c r="I219" s="3" t="n">
        <v>15901.0</v>
      </c>
      <c r="J219" s="3" t="n">
        <v>16707.0</v>
      </c>
      <c r="K219" s="3" t="n">
        <v>17009.0</v>
      </c>
      <c r="L219" s="3" t="n">
        <v>17235.0</v>
      </c>
      <c r="M219" s="3" t="n">
        <v>17327.0</v>
      </c>
      <c r="N219" s="3" t="n">
        <v>17271.0</v>
      </c>
      <c r="O219" s="3" t="n">
        <v>17262.0</v>
      </c>
      <c r="P219" s="3" t="n">
        <v>17291.0</v>
      </c>
      <c r="Q219" s="3" t="n">
        <v>17252.0</v>
      </c>
      <c r="R219" s="3" t="n">
        <v>17211.0</v>
      </c>
      <c r="S219" s="3" t="n">
        <v>17113.0</v>
      </c>
      <c r="T219" s="3" t="n">
        <v>17006.0</v>
      </c>
      <c r="U219" s="3" t="n">
        <v>16912.0</v>
      </c>
      <c r="V219" s="3" t="n">
        <v>16854.0</v>
      </c>
      <c r="W219" s="3" t="n">
        <v>16844.0</v>
      </c>
      <c r="X219" s="3" t="n">
        <v>16896.0</v>
      </c>
      <c r="Y219" s="3" t="n">
        <v>16974.0</v>
      </c>
      <c r="Z219" s="3" t="n">
        <v>17104.0</v>
      </c>
      <c r="AA219" s="3" t="n">
        <v>17251.0</v>
      </c>
      <c r="AB219" s="3" t="n">
        <v>17416.0</v>
      </c>
      <c r="AC219" s="3" t="n">
        <v>17565.0</v>
      </c>
      <c r="AD219" s="3" t="n">
        <v>17701.0</v>
      </c>
      <c r="AE219" s="3" t="n">
        <v>17825.0</v>
      </c>
      <c r="AF219" s="3" t="n">
        <v>17914.0</v>
      </c>
      <c r="AG219" s="3" t="n">
        <v>17972.0</v>
      </c>
      <c r="AH219" s="3" t="n">
        <v>18020.0</v>
      </c>
      <c r="AI219" s="3" t="n">
        <v>18020.0</v>
      </c>
      <c r="AJ219" s="3" t="n">
        <v>18006.0</v>
      </c>
      <c r="AK219" s="3" t="n">
        <v>17932.0</v>
      </c>
      <c r="AL219" s="3" t="n">
        <v>17869.0</v>
      </c>
      <c r="AM219" s="3" t="n">
        <v>17769.0</v>
      </c>
      <c r="AN219" s="3" t="n">
        <v>17659.0</v>
      </c>
      <c r="AO219" s="3" t="n">
        <v>17537.0</v>
      </c>
    </row>
    <row r="220" spans="1:41" x14ac:dyDescent="0.2">
      <c r="A220" s="122"/>
      <c r="B220" s="9">
        <v>7</v>
      </c>
      <c r="C220" s="3" t="n">
        <v>18039.0</v>
      </c>
      <c r="D220" s="3" t="n">
        <v>18654.0</v>
      </c>
      <c r="E220" s="3" t="n">
        <v>19270.0</v>
      </c>
      <c r="F220" s="3" t="n">
        <v>18862.0</v>
      </c>
      <c r="G220" s="3" t="n">
        <v>18603.0</v>
      </c>
      <c r="H220" s="3" t="n">
        <v>17626.0</v>
      </c>
      <c r="I220" s="3" t="n">
        <v>17393.0</v>
      </c>
      <c r="J220" s="3" t="n">
        <v>16064.0</v>
      </c>
      <c r="K220" s="3" t="n">
        <v>16804.0</v>
      </c>
      <c r="L220" s="3" t="n">
        <v>17081.0</v>
      </c>
      <c r="M220" s="3" t="n">
        <v>17293.0</v>
      </c>
      <c r="N220" s="3" t="n">
        <v>17376.0</v>
      </c>
      <c r="O220" s="3" t="n">
        <v>17322.0</v>
      </c>
      <c r="P220" s="3" t="n">
        <v>17312.0</v>
      </c>
      <c r="Q220" s="3" t="n">
        <v>17343.0</v>
      </c>
      <c r="R220" s="3" t="n">
        <v>17306.0</v>
      </c>
      <c r="S220" s="3" t="n">
        <v>17270.0</v>
      </c>
      <c r="T220" s="3" t="n">
        <v>17173.0</v>
      </c>
      <c r="U220" s="3" t="n">
        <v>17069.0</v>
      </c>
      <c r="V220" s="3" t="n">
        <v>16977.0</v>
      </c>
      <c r="W220" s="3" t="n">
        <v>16920.0</v>
      </c>
      <c r="X220" s="3" t="n">
        <v>16912.0</v>
      </c>
      <c r="Y220" s="3" t="n">
        <v>16967.0</v>
      </c>
      <c r="Z220" s="3" t="n">
        <v>17045.0</v>
      </c>
      <c r="AA220" s="3" t="n">
        <v>17175.0</v>
      </c>
      <c r="AB220" s="3" t="n">
        <v>17324.0</v>
      </c>
      <c r="AC220" s="3" t="n">
        <v>17485.0</v>
      </c>
      <c r="AD220" s="3" t="n">
        <v>17636.0</v>
      </c>
      <c r="AE220" s="3" t="n">
        <v>17770.0</v>
      </c>
      <c r="AF220" s="3" t="n">
        <v>17898.0</v>
      </c>
      <c r="AG220" s="3" t="n">
        <v>17988.0</v>
      </c>
      <c r="AH220" s="3" t="n">
        <v>18045.0</v>
      </c>
      <c r="AI220" s="3" t="n">
        <v>18091.0</v>
      </c>
      <c r="AJ220" s="3" t="n">
        <v>18091.0</v>
      </c>
      <c r="AK220" s="3" t="n">
        <v>18075.0</v>
      </c>
      <c r="AL220" s="3" t="n">
        <v>18000.0</v>
      </c>
      <c r="AM220" s="3" t="n">
        <v>17937.0</v>
      </c>
      <c r="AN220" s="3" t="n">
        <v>17838.0</v>
      </c>
      <c r="AO220" s="3" t="n">
        <v>17727.0</v>
      </c>
    </row>
    <row r="221" spans="1:41" x14ac:dyDescent="0.2">
      <c r="A221" s="122"/>
      <c r="B221" s="9">
        <v>8</v>
      </c>
      <c r="C221" s="3" t="n">
        <v>17873.0</v>
      </c>
      <c r="D221" s="3" t="n">
        <v>18073.0</v>
      </c>
      <c r="E221" s="3" t="n">
        <v>18685.0</v>
      </c>
      <c r="F221" s="3" t="n">
        <v>19308.0</v>
      </c>
      <c r="G221" s="3" t="n">
        <v>18903.0</v>
      </c>
      <c r="H221" s="3" t="n">
        <v>18832.0</v>
      </c>
      <c r="I221" s="3" t="n">
        <v>17927.0</v>
      </c>
      <c r="J221" s="3" t="n">
        <v>17546.0</v>
      </c>
      <c r="K221" s="3" t="n">
        <v>16148.0</v>
      </c>
      <c r="L221" s="3" t="n">
        <v>16860.0</v>
      </c>
      <c r="M221" s="3" t="n">
        <v>17123.0</v>
      </c>
      <c r="N221" s="3" t="n">
        <v>17328.0</v>
      </c>
      <c r="O221" s="3" t="n">
        <v>17403.0</v>
      </c>
      <c r="P221" s="3" t="n">
        <v>17351.0</v>
      </c>
      <c r="Q221" s="3" t="n">
        <v>17341.0</v>
      </c>
      <c r="R221" s="3" t="n">
        <v>17373.0</v>
      </c>
      <c r="S221" s="3" t="n">
        <v>17339.0</v>
      </c>
      <c r="T221" s="3" t="n">
        <v>17304.0</v>
      </c>
      <c r="U221" s="3" t="n">
        <v>17205.0</v>
      </c>
      <c r="V221" s="3" t="n">
        <v>17104.0</v>
      </c>
      <c r="W221" s="3" t="n">
        <v>17015.0</v>
      </c>
      <c r="X221" s="3" t="n">
        <v>16958.0</v>
      </c>
      <c r="Y221" s="3" t="n">
        <v>16953.0</v>
      </c>
      <c r="Z221" s="3" t="n">
        <v>17009.0</v>
      </c>
      <c r="AA221" s="3" t="n">
        <v>17088.0</v>
      </c>
      <c r="AB221" s="3" t="n">
        <v>17220.0</v>
      </c>
      <c r="AC221" s="3" t="n">
        <v>17368.0</v>
      </c>
      <c r="AD221" s="3" t="n">
        <v>17530.0</v>
      </c>
      <c r="AE221" s="3" t="n">
        <v>17679.0</v>
      </c>
      <c r="AF221" s="3" t="n">
        <v>17812.0</v>
      </c>
      <c r="AG221" s="3" t="n">
        <v>17940.0</v>
      </c>
      <c r="AH221" s="3" t="n">
        <v>18031.0</v>
      </c>
      <c r="AI221" s="3" t="n">
        <v>18086.0</v>
      </c>
      <c r="AJ221" s="3" t="n">
        <v>18133.0</v>
      </c>
      <c r="AK221" s="3" t="n">
        <v>18133.0</v>
      </c>
      <c r="AL221" s="3" t="n">
        <v>18116.0</v>
      </c>
      <c r="AM221" s="3" t="n">
        <v>18038.0</v>
      </c>
      <c r="AN221" s="3" t="n">
        <v>17975.0</v>
      </c>
      <c r="AO221" s="3" t="n">
        <v>17879.0</v>
      </c>
    </row>
    <row r="222" spans="1:41" x14ac:dyDescent="0.2">
      <c r="A222" s="122"/>
      <c r="B222" s="9">
        <v>9</v>
      </c>
      <c r="C222" s="3" t="n">
        <v>17741.0</v>
      </c>
      <c r="D222" s="3" t="n">
        <v>17884.0</v>
      </c>
      <c r="E222" s="3" t="n">
        <v>18082.0</v>
      </c>
      <c r="F222" s="3" t="n">
        <v>18700.0</v>
      </c>
      <c r="G222" s="3" t="n">
        <v>19336.0</v>
      </c>
      <c r="H222" s="3" t="n">
        <v>19126.0</v>
      </c>
      <c r="I222" s="3" t="n">
        <v>19122.0</v>
      </c>
      <c r="J222" s="3" t="n">
        <v>18068.0</v>
      </c>
      <c r="K222" s="3" t="n">
        <v>17615.0</v>
      </c>
      <c r="L222" s="3" t="n">
        <v>16191.0</v>
      </c>
      <c r="M222" s="3" t="n">
        <v>16889.0</v>
      </c>
      <c r="N222" s="3" t="n">
        <v>17144.0</v>
      </c>
      <c r="O222" s="3" t="n">
        <v>17345.0</v>
      </c>
      <c r="P222" s="3" t="n">
        <v>17417.0</v>
      </c>
      <c r="Q222" s="3" t="n">
        <v>17366.0</v>
      </c>
      <c r="R222" s="3" t="n">
        <v>17359.0</v>
      </c>
      <c r="S222" s="3" t="n">
        <v>17391.0</v>
      </c>
      <c r="T222" s="3" t="n">
        <v>17359.0</v>
      </c>
      <c r="U222" s="3" t="n">
        <v>17325.0</v>
      </c>
      <c r="V222" s="3" t="n">
        <v>17226.0</v>
      </c>
      <c r="W222" s="3" t="n">
        <v>17127.0</v>
      </c>
      <c r="X222" s="3" t="n">
        <v>17039.0</v>
      </c>
      <c r="Y222" s="3" t="n">
        <v>16983.0</v>
      </c>
      <c r="Z222" s="3" t="n">
        <v>16982.0</v>
      </c>
      <c r="AA222" s="3" t="n">
        <v>17037.0</v>
      </c>
      <c r="AB222" s="3" t="n">
        <v>17115.0</v>
      </c>
      <c r="AC222" s="3" t="n">
        <v>17245.0</v>
      </c>
      <c r="AD222" s="3" t="n">
        <v>17396.0</v>
      </c>
      <c r="AE222" s="3" t="n">
        <v>17559.0</v>
      </c>
      <c r="AF222" s="3" t="n">
        <v>17708.0</v>
      </c>
      <c r="AG222" s="3" t="n">
        <v>17840.0</v>
      </c>
      <c r="AH222" s="3" t="n">
        <v>17968.0</v>
      </c>
      <c r="AI222" s="3" t="n">
        <v>18058.0</v>
      </c>
      <c r="AJ222" s="3" t="n">
        <v>18111.0</v>
      </c>
      <c r="AK222" s="3" t="n">
        <v>18157.0</v>
      </c>
      <c r="AL222" s="3" t="n">
        <v>18157.0</v>
      </c>
      <c r="AM222" s="3" t="n">
        <v>18143.0</v>
      </c>
      <c r="AN222" s="3" t="n">
        <v>18062.0</v>
      </c>
      <c r="AO222" s="3" t="n">
        <v>17999.0</v>
      </c>
    </row>
    <row r="223" spans="1:41" x14ac:dyDescent="0.2">
      <c r="A223" s="122"/>
      <c r="B223" s="9">
        <v>10</v>
      </c>
      <c r="C223" s="3" t="n">
        <v>18436.0</v>
      </c>
      <c r="D223" s="3" t="n">
        <v>17748.0</v>
      </c>
      <c r="E223" s="3" t="n">
        <v>17895.0</v>
      </c>
      <c r="F223" s="3" t="n">
        <v>18096.0</v>
      </c>
      <c r="G223" s="3" t="n">
        <v>18720.0</v>
      </c>
      <c r="H223" s="3" t="n">
        <v>19554.0</v>
      </c>
      <c r="I223" s="3" t="n">
        <v>19416.0</v>
      </c>
      <c r="J223" s="3" t="n">
        <v>19262.0</v>
      </c>
      <c r="K223" s="3" t="n">
        <v>18133.0</v>
      </c>
      <c r="L223" s="3" t="n">
        <v>17649.0</v>
      </c>
      <c r="M223" s="3" t="n">
        <v>16215.0</v>
      </c>
      <c r="N223" s="3" t="n">
        <v>16900.0</v>
      </c>
      <c r="O223" s="3" t="n">
        <v>17152.0</v>
      </c>
      <c r="P223" s="3" t="n">
        <v>17352.0</v>
      </c>
      <c r="Q223" s="3" t="n">
        <v>17425.0</v>
      </c>
      <c r="R223" s="3" t="n">
        <v>17375.0</v>
      </c>
      <c r="S223" s="3" t="n">
        <v>17369.0</v>
      </c>
      <c r="T223" s="3" t="n">
        <v>17401.0</v>
      </c>
      <c r="U223" s="3" t="n">
        <v>17368.0</v>
      </c>
      <c r="V223" s="3" t="n">
        <v>17336.0</v>
      </c>
      <c r="W223" s="3" t="n">
        <v>17238.0</v>
      </c>
      <c r="X223" s="3" t="n">
        <v>17141.0</v>
      </c>
      <c r="Y223" s="3" t="n">
        <v>17052.0</v>
      </c>
      <c r="Z223" s="3" t="n">
        <v>16997.0</v>
      </c>
      <c r="AA223" s="3" t="n">
        <v>16999.0</v>
      </c>
      <c r="AB223" s="3" t="n">
        <v>17054.0</v>
      </c>
      <c r="AC223" s="3" t="n">
        <v>17132.0</v>
      </c>
      <c r="AD223" s="3" t="n">
        <v>17262.0</v>
      </c>
      <c r="AE223" s="3" t="n">
        <v>17414.0</v>
      </c>
      <c r="AF223" s="3" t="n">
        <v>17576.0</v>
      </c>
      <c r="AG223" s="3" t="n">
        <v>17725.0</v>
      </c>
      <c r="AH223" s="3" t="n">
        <v>17854.0</v>
      </c>
      <c r="AI223" s="3" t="n">
        <v>17980.0</v>
      </c>
      <c r="AJ223" s="3" t="n">
        <v>18070.0</v>
      </c>
      <c r="AK223" s="3" t="n">
        <v>18123.0</v>
      </c>
      <c r="AL223" s="3" t="n">
        <v>18169.0</v>
      </c>
      <c r="AM223" s="3" t="n">
        <v>18168.0</v>
      </c>
      <c r="AN223" s="3" t="n">
        <v>18155.0</v>
      </c>
      <c r="AO223" s="3" t="n">
        <v>18075.0</v>
      </c>
    </row>
    <row r="224" spans="1:41" x14ac:dyDescent="0.2">
      <c r="A224" s="122"/>
      <c r="B224" s="9">
        <v>11</v>
      </c>
      <c r="C224" s="3" t="n">
        <v>18444.0</v>
      </c>
      <c r="D224" s="3" t="n">
        <v>18451.0</v>
      </c>
      <c r="E224" s="3" t="n">
        <v>17762.0</v>
      </c>
      <c r="F224" s="3" t="n">
        <v>17917.0</v>
      </c>
      <c r="G224" s="3" t="n">
        <v>18118.0</v>
      </c>
      <c r="H224" s="3" t="n">
        <v>18932.0</v>
      </c>
      <c r="I224" s="3" t="n">
        <v>19840.0</v>
      </c>
      <c r="J224" s="3" t="n">
        <v>19551.0</v>
      </c>
      <c r="K224" s="3" t="n">
        <v>19326.0</v>
      </c>
      <c r="L224" s="3" t="n">
        <v>18173.0</v>
      </c>
      <c r="M224" s="3" t="n">
        <v>17668.0</v>
      </c>
      <c r="N224" s="3" t="n">
        <v>16228.0</v>
      </c>
      <c r="O224" s="3" t="n">
        <v>16908.0</v>
      </c>
      <c r="P224" s="3" t="n">
        <v>17159.0</v>
      </c>
      <c r="Q224" s="3" t="n">
        <v>17362.0</v>
      </c>
      <c r="R224" s="3" t="n">
        <v>17434.0</v>
      </c>
      <c r="S224" s="3" t="n">
        <v>17383.0</v>
      </c>
      <c r="T224" s="3" t="n">
        <v>17379.0</v>
      </c>
      <c r="U224" s="3" t="n">
        <v>17412.0</v>
      </c>
      <c r="V224" s="3" t="n">
        <v>17379.0</v>
      </c>
      <c r="W224" s="3" t="n">
        <v>17348.0</v>
      </c>
      <c r="X224" s="3" t="n">
        <v>17250.0</v>
      </c>
      <c r="Y224" s="3" t="n">
        <v>17155.0</v>
      </c>
      <c r="Z224" s="3" t="n">
        <v>17066.0</v>
      </c>
      <c r="AA224" s="3" t="n">
        <v>17010.0</v>
      </c>
      <c r="AB224" s="3" t="n">
        <v>17012.0</v>
      </c>
      <c r="AC224" s="3" t="n">
        <v>17070.0</v>
      </c>
      <c r="AD224" s="3" t="n">
        <v>17147.0</v>
      </c>
      <c r="AE224" s="3" t="n">
        <v>17277.0</v>
      </c>
      <c r="AF224" s="3" t="n">
        <v>17431.0</v>
      </c>
      <c r="AG224" s="3" t="n">
        <v>17595.0</v>
      </c>
      <c r="AH224" s="3" t="n">
        <v>17744.0</v>
      </c>
      <c r="AI224" s="3" t="n">
        <v>17873.0</v>
      </c>
      <c r="AJ224" s="3" t="n">
        <v>17998.0</v>
      </c>
      <c r="AK224" s="3" t="n">
        <v>18088.0</v>
      </c>
      <c r="AL224" s="3" t="n">
        <v>18139.0</v>
      </c>
      <c r="AM224" s="3" t="n">
        <v>18185.0</v>
      </c>
      <c r="AN224" s="3" t="n">
        <v>18184.0</v>
      </c>
      <c r="AO224" s="3" t="n">
        <v>18169.0</v>
      </c>
    </row>
    <row r="225" spans="1:41" x14ac:dyDescent="0.2">
      <c r="A225" s="122"/>
      <c r="B225" s="9">
        <v>12</v>
      </c>
      <c r="C225" s="3" t="n">
        <v>19097.0</v>
      </c>
      <c r="D225" s="3" t="n">
        <v>18450.0</v>
      </c>
      <c r="E225" s="3" t="n">
        <v>18462.0</v>
      </c>
      <c r="F225" s="3" t="n">
        <v>17778.0</v>
      </c>
      <c r="G225" s="3" t="n">
        <v>17935.0</v>
      </c>
      <c r="H225" s="3" t="n">
        <v>18312.0</v>
      </c>
      <c r="I225" s="3" t="n">
        <v>19196.0</v>
      </c>
      <c r="J225" s="3" t="n">
        <v>19961.0</v>
      </c>
      <c r="K225" s="3" t="n">
        <v>19607.0</v>
      </c>
      <c r="L225" s="3" t="n">
        <v>19357.0</v>
      </c>
      <c r="M225" s="3" t="n">
        <v>18192.0</v>
      </c>
      <c r="N225" s="3" t="n">
        <v>17675.0</v>
      </c>
      <c r="O225" s="3" t="n">
        <v>16230.0</v>
      </c>
      <c r="P225" s="3" t="n">
        <v>16908.0</v>
      </c>
      <c r="Q225" s="3" t="n">
        <v>17156.0</v>
      </c>
      <c r="R225" s="3" t="n">
        <v>17363.0</v>
      </c>
      <c r="S225" s="3" t="n">
        <v>17434.0</v>
      </c>
      <c r="T225" s="3" t="n">
        <v>17382.0</v>
      </c>
      <c r="U225" s="3" t="n">
        <v>17377.0</v>
      </c>
      <c r="V225" s="3" t="n">
        <v>17412.0</v>
      </c>
      <c r="W225" s="3" t="n">
        <v>17380.0</v>
      </c>
      <c r="X225" s="3" t="n">
        <v>17350.0</v>
      </c>
      <c r="Y225" s="3" t="n">
        <v>17253.0</v>
      </c>
      <c r="Z225" s="3" t="n">
        <v>17159.0</v>
      </c>
      <c r="AA225" s="3" t="n">
        <v>17072.0</v>
      </c>
      <c r="AB225" s="3" t="n">
        <v>17017.0</v>
      </c>
      <c r="AC225" s="3" t="n">
        <v>17020.0</v>
      </c>
      <c r="AD225" s="3" t="n">
        <v>17080.0</v>
      </c>
      <c r="AE225" s="3" t="n">
        <v>17157.0</v>
      </c>
      <c r="AF225" s="3" t="n">
        <v>17286.0</v>
      </c>
      <c r="AG225" s="3" t="n">
        <v>17440.0</v>
      </c>
      <c r="AH225" s="3" t="n">
        <v>17606.0</v>
      </c>
      <c r="AI225" s="3" t="n">
        <v>17754.0</v>
      </c>
      <c r="AJ225" s="3" t="n">
        <v>17883.0</v>
      </c>
      <c r="AK225" s="3" t="n">
        <v>18007.0</v>
      </c>
      <c r="AL225" s="3" t="n">
        <v>18096.0</v>
      </c>
      <c r="AM225" s="3" t="n">
        <v>18146.0</v>
      </c>
      <c r="AN225" s="3" t="n">
        <v>18191.0</v>
      </c>
      <c r="AO225" s="3" t="n">
        <v>18190.0</v>
      </c>
    </row>
    <row r="226" spans="1:41" x14ac:dyDescent="0.2">
      <c r="A226" s="122"/>
      <c r="B226" s="9">
        <v>13</v>
      </c>
      <c r="C226" s="3" t="n">
        <v>19424.0</v>
      </c>
      <c r="D226" s="3" t="n">
        <v>19107.0</v>
      </c>
      <c r="E226" s="3" t="n">
        <v>18463.0</v>
      </c>
      <c r="F226" s="3" t="n">
        <v>18477.0</v>
      </c>
      <c r="G226" s="3" t="n">
        <v>17797.0</v>
      </c>
      <c r="H226" s="3" t="n">
        <v>18126.0</v>
      </c>
      <c r="I226" s="3" t="n">
        <v>18569.0</v>
      </c>
      <c r="J226" s="3" t="n">
        <v>19318.0</v>
      </c>
      <c r="K226" s="3" t="n">
        <v>20021.0</v>
      </c>
      <c r="L226" s="3" t="n">
        <v>19638.0</v>
      </c>
      <c r="M226" s="3" t="n">
        <v>19376.0</v>
      </c>
      <c r="N226" s="3" t="n">
        <v>18199.0</v>
      </c>
      <c r="O226" s="3" t="n">
        <v>17683.0</v>
      </c>
      <c r="P226" s="3" t="n">
        <v>16233.0</v>
      </c>
      <c r="Q226" s="3" t="n">
        <v>16912.0</v>
      </c>
      <c r="R226" s="3" t="n">
        <v>17156.0</v>
      </c>
      <c r="S226" s="3" t="n">
        <v>17363.0</v>
      </c>
      <c r="T226" s="3" t="n">
        <v>17435.0</v>
      </c>
      <c r="U226" s="3" t="n">
        <v>17381.0</v>
      </c>
      <c r="V226" s="3" t="n">
        <v>17376.0</v>
      </c>
      <c r="W226" s="3" t="n">
        <v>17412.0</v>
      </c>
      <c r="X226" s="3" t="n">
        <v>17381.0</v>
      </c>
      <c r="Y226" s="3" t="n">
        <v>17352.0</v>
      </c>
      <c r="Z226" s="3" t="n">
        <v>17256.0</v>
      </c>
      <c r="AA226" s="3" t="n">
        <v>17164.0</v>
      </c>
      <c r="AB226" s="3" t="n">
        <v>17079.0</v>
      </c>
      <c r="AC226" s="3" t="n">
        <v>17025.0</v>
      </c>
      <c r="AD226" s="3" t="n">
        <v>17029.0</v>
      </c>
      <c r="AE226" s="3" t="n">
        <v>17091.0</v>
      </c>
      <c r="AF226" s="3" t="n">
        <v>17168.0</v>
      </c>
      <c r="AG226" s="3" t="n">
        <v>17298.0</v>
      </c>
      <c r="AH226" s="3" t="n">
        <v>17451.0</v>
      </c>
      <c r="AI226" s="3" t="n">
        <v>17618.0</v>
      </c>
      <c r="AJ226" s="3" t="n">
        <v>17765.0</v>
      </c>
      <c r="AK226" s="3" t="n">
        <v>17895.0</v>
      </c>
      <c r="AL226" s="3" t="n">
        <v>18019.0</v>
      </c>
      <c r="AM226" s="3" t="n">
        <v>18108.0</v>
      </c>
      <c r="AN226" s="3" t="n">
        <v>18156.0</v>
      </c>
      <c r="AO226" s="3" t="n">
        <v>18202.0</v>
      </c>
    </row>
    <row r="227" spans="1:41" x14ac:dyDescent="0.2">
      <c r="A227" s="122"/>
      <c r="B227" s="9">
        <v>14</v>
      </c>
      <c r="C227" s="3" t="n">
        <v>19204.0</v>
      </c>
      <c r="D227" s="3" t="n">
        <v>19421.0</v>
      </c>
      <c r="E227" s="3" t="n">
        <v>19107.0</v>
      </c>
      <c r="F227" s="3" t="n">
        <v>18469.0</v>
      </c>
      <c r="G227" s="3" t="n">
        <v>18491.0</v>
      </c>
      <c r="H227" s="3" t="n">
        <v>17983.0</v>
      </c>
      <c r="I227" s="3" t="n">
        <v>18383.0</v>
      </c>
      <c r="J227" s="3" t="n">
        <v>18690.0</v>
      </c>
      <c r="K227" s="3" t="n">
        <v>19369.0</v>
      </c>
      <c r="L227" s="3" t="n">
        <v>20047.0</v>
      </c>
      <c r="M227" s="3" t="n">
        <v>19649.0</v>
      </c>
      <c r="N227" s="3" t="n">
        <v>19373.0</v>
      </c>
      <c r="O227" s="3" t="n">
        <v>18188.0</v>
      </c>
      <c r="P227" s="3" t="n">
        <v>17674.0</v>
      </c>
      <c r="Q227" s="3" t="n">
        <v>16226.0</v>
      </c>
      <c r="R227" s="3" t="n">
        <v>16905.0</v>
      </c>
      <c r="S227" s="3" t="n">
        <v>17148.0</v>
      </c>
      <c r="T227" s="3" t="n">
        <v>17354.0</v>
      </c>
      <c r="U227" s="3" t="n">
        <v>17427.0</v>
      </c>
      <c r="V227" s="3" t="n">
        <v>17372.0</v>
      </c>
      <c r="W227" s="3" t="n">
        <v>17367.0</v>
      </c>
      <c r="X227" s="3" t="n">
        <v>17404.0</v>
      </c>
      <c r="Y227" s="3" t="n">
        <v>17374.0</v>
      </c>
      <c r="Z227" s="3" t="n">
        <v>17344.0</v>
      </c>
      <c r="AA227" s="3" t="n">
        <v>17248.0</v>
      </c>
      <c r="AB227" s="3" t="n">
        <v>17157.0</v>
      </c>
      <c r="AC227" s="3" t="n">
        <v>17073.0</v>
      </c>
      <c r="AD227" s="3" t="n">
        <v>17017.0</v>
      </c>
      <c r="AE227" s="3" t="n">
        <v>17022.0</v>
      </c>
      <c r="AF227" s="3" t="n">
        <v>17084.0</v>
      </c>
      <c r="AG227" s="3" t="n">
        <v>17162.0</v>
      </c>
      <c r="AH227" s="3" t="n">
        <v>17293.0</v>
      </c>
      <c r="AI227" s="3" t="n">
        <v>17445.0</v>
      </c>
      <c r="AJ227" s="3" t="n">
        <v>17610.0</v>
      </c>
      <c r="AK227" s="3" t="n">
        <v>17757.0</v>
      </c>
      <c r="AL227" s="3" t="n">
        <v>17884.0</v>
      </c>
      <c r="AM227" s="3" t="n">
        <v>18008.0</v>
      </c>
      <c r="AN227" s="3" t="n">
        <v>18099.0</v>
      </c>
      <c r="AO227" s="3" t="n">
        <v>18147.0</v>
      </c>
    </row>
    <row r="228" spans="1:41" x14ac:dyDescent="0.2">
      <c r="A228" s="122"/>
      <c r="B228" s="9">
        <v>15</v>
      </c>
      <c r="C228" s="3" t="n">
        <v>17679.0</v>
      </c>
      <c r="D228" s="3" t="n">
        <v>19204.0</v>
      </c>
      <c r="E228" s="3" t="n">
        <v>19428.0</v>
      </c>
      <c r="F228" s="3" t="n">
        <v>19115.0</v>
      </c>
      <c r="G228" s="3" t="n">
        <v>18480.0</v>
      </c>
      <c r="H228" s="3" t="n">
        <v>18675.0</v>
      </c>
      <c r="I228" s="3" t="n">
        <v>18225.0</v>
      </c>
      <c r="J228" s="3" t="n">
        <v>18496.0</v>
      </c>
      <c r="K228" s="3" t="n">
        <v>18741.0</v>
      </c>
      <c r="L228" s="3" t="n">
        <v>19390.0</v>
      </c>
      <c r="M228" s="3" t="n">
        <v>20056.0</v>
      </c>
      <c r="N228" s="3" t="n">
        <v>19653.0</v>
      </c>
      <c r="O228" s="3" t="n">
        <v>19370.0</v>
      </c>
      <c r="P228" s="3" t="n">
        <v>18189.0</v>
      </c>
      <c r="Q228" s="3" t="n">
        <v>17667.0</v>
      </c>
      <c r="R228" s="3" t="n">
        <v>16223.0</v>
      </c>
      <c r="S228" s="3" t="n">
        <v>16895.0</v>
      </c>
      <c r="T228" s="3" t="n">
        <v>17138.0</v>
      </c>
      <c r="U228" s="3" t="n">
        <v>17346.0</v>
      </c>
      <c r="V228" s="3" t="n">
        <v>17419.0</v>
      </c>
      <c r="W228" s="3" t="n">
        <v>17364.0</v>
      </c>
      <c r="X228" s="3" t="n">
        <v>17359.0</v>
      </c>
      <c r="Y228" s="3" t="n">
        <v>17397.0</v>
      </c>
      <c r="Z228" s="3" t="n">
        <v>17367.0</v>
      </c>
      <c r="AA228" s="3" t="n">
        <v>17338.0</v>
      </c>
      <c r="AB228" s="3" t="n">
        <v>17242.0</v>
      </c>
      <c r="AC228" s="3" t="n">
        <v>17153.0</v>
      </c>
      <c r="AD228" s="3" t="n">
        <v>17070.0</v>
      </c>
      <c r="AE228" s="3" t="n">
        <v>17014.0</v>
      </c>
      <c r="AF228" s="3" t="n">
        <v>17020.0</v>
      </c>
      <c r="AG228" s="3" t="n">
        <v>17083.0</v>
      </c>
      <c r="AH228" s="3" t="n">
        <v>17164.0</v>
      </c>
      <c r="AI228" s="3" t="n">
        <v>17294.0</v>
      </c>
      <c r="AJ228" s="3" t="n">
        <v>17445.0</v>
      </c>
      <c r="AK228" s="3" t="n">
        <v>17610.0</v>
      </c>
      <c r="AL228" s="3" t="n">
        <v>17755.0</v>
      </c>
      <c r="AM228" s="3" t="n">
        <v>17879.0</v>
      </c>
      <c r="AN228" s="3" t="n">
        <v>18003.0</v>
      </c>
      <c r="AO228" s="3" t="n">
        <v>18094.0</v>
      </c>
    </row>
    <row r="229" spans="1:41" x14ac:dyDescent="0.2">
      <c r="A229" s="122"/>
      <c r="B229" s="9">
        <v>16</v>
      </c>
      <c r="C229" s="3" t="n">
        <v>16819.0</v>
      </c>
      <c r="D229" s="3" t="n">
        <v>17687.0</v>
      </c>
      <c r="E229" s="3" t="n">
        <v>19210.0</v>
      </c>
      <c r="F229" s="3" t="n">
        <v>19434.0</v>
      </c>
      <c r="G229" s="3" t="n">
        <v>19126.0</v>
      </c>
      <c r="H229" s="3" t="n">
        <v>18629.0</v>
      </c>
      <c r="I229" s="3" t="n">
        <v>18877.0</v>
      </c>
      <c r="J229" s="3" t="n">
        <v>18320.0</v>
      </c>
      <c r="K229" s="3" t="n">
        <v>18534.0</v>
      </c>
      <c r="L229" s="3" t="n">
        <v>18763.0</v>
      </c>
      <c r="M229" s="3" t="n">
        <v>19400.0</v>
      </c>
      <c r="N229" s="3" t="n">
        <v>20056.0</v>
      </c>
      <c r="O229" s="3" t="n">
        <v>19650.0</v>
      </c>
      <c r="P229" s="3" t="n">
        <v>19364.0</v>
      </c>
      <c r="Q229" s="3" t="n">
        <v>18182.0</v>
      </c>
      <c r="R229" s="3" t="n">
        <v>17663.0</v>
      </c>
      <c r="S229" s="3" t="n">
        <v>16219.0</v>
      </c>
      <c r="T229" s="3" t="n">
        <v>16892.0</v>
      </c>
      <c r="U229" s="3" t="n">
        <v>17134.0</v>
      </c>
      <c r="V229" s="3" t="n">
        <v>17341.0</v>
      </c>
      <c r="W229" s="3" t="n">
        <v>17413.0</v>
      </c>
      <c r="X229" s="3" t="n">
        <v>17358.0</v>
      </c>
      <c r="Y229" s="3" t="n">
        <v>17353.0</v>
      </c>
      <c r="Z229" s="3" t="n">
        <v>17392.0</v>
      </c>
      <c r="AA229" s="3" t="n">
        <v>17362.0</v>
      </c>
      <c r="AB229" s="3" t="n">
        <v>17335.0</v>
      </c>
      <c r="AC229" s="3" t="n">
        <v>17239.0</v>
      </c>
      <c r="AD229" s="3" t="n">
        <v>17151.0</v>
      </c>
      <c r="AE229" s="3" t="n">
        <v>17069.0</v>
      </c>
      <c r="AF229" s="3" t="n">
        <v>17013.0</v>
      </c>
      <c r="AG229" s="3" t="n">
        <v>17019.0</v>
      </c>
      <c r="AH229" s="3" t="n">
        <v>17082.0</v>
      </c>
      <c r="AI229" s="3" t="n">
        <v>17164.0</v>
      </c>
      <c r="AJ229" s="3" t="n">
        <v>17295.0</v>
      </c>
      <c r="AK229" s="3" t="n">
        <v>17446.0</v>
      </c>
      <c r="AL229" s="3" t="n">
        <v>17610.0</v>
      </c>
      <c r="AM229" s="3" t="n">
        <v>17757.0</v>
      </c>
      <c r="AN229" s="3" t="n">
        <v>17882.0</v>
      </c>
      <c r="AO229" s="3" t="n">
        <v>18002.0</v>
      </c>
    </row>
    <row r="230" spans="1:41" x14ac:dyDescent="0.2">
      <c r="A230" s="122"/>
      <c r="B230" s="9">
        <v>17</v>
      </c>
      <c r="C230" s="3" t="n">
        <v>16321.0</v>
      </c>
      <c r="D230" s="3" t="n">
        <v>16813.0</v>
      </c>
      <c r="E230" s="3" t="n">
        <v>17680.0</v>
      </c>
      <c r="F230" s="3" t="n">
        <v>19213.0</v>
      </c>
      <c r="G230" s="3" t="n">
        <v>19445.0</v>
      </c>
      <c r="H230" s="3" t="n">
        <v>19275.0</v>
      </c>
      <c r="I230" s="3" t="n">
        <v>18825.0</v>
      </c>
      <c r="J230" s="3" t="n">
        <v>18967.0</v>
      </c>
      <c r="K230" s="3" t="n">
        <v>18357.0</v>
      </c>
      <c r="L230" s="3" t="n">
        <v>18551.0</v>
      </c>
      <c r="M230" s="3" t="n">
        <v>18768.0</v>
      </c>
      <c r="N230" s="3" t="n">
        <v>19398.0</v>
      </c>
      <c r="O230" s="3" t="n">
        <v>20049.0</v>
      </c>
      <c r="P230" s="3" t="n">
        <v>19642.0</v>
      </c>
      <c r="Q230" s="3" t="n">
        <v>19357.0</v>
      </c>
      <c r="R230" s="3" t="n">
        <v>18173.0</v>
      </c>
      <c r="S230" s="3" t="n">
        <v>17655.0</v>
      </c>
      <c r="T230" s="3" t="n">
        <v>16207.0</v>
      </c>
      <c r="U230" s="3" t="n">
        <v>16880.0</v>
      </c>
      <c r="V230" s="3" t="n">
        <v>17120.0</v>
      </c>
      <c r="W230" s="3" t="n">
        <v>17327.0</v>
      </c>
      <c r="X230" s="3" t="n">
        <v>17399.0</v>
      </c>
      <c r="Y230" s="3" t="n">
        <v>17343.0</v>
      </c>
      <c r="Z230" s="3" t="n">
        <v>17338.0</v>
      </c>
      <c r="AA230" s="3" t="n">
        <v>17377.0</v>
      </c>
      <c r="AB230" s="3" t="n">
        <v>17347.0</v>
      </c>
      <c r="AC230" s="3" t="n">
        <v>17320.0</v>
      </c>
      <c r="AD230" s="3" t="n">
        <v>17223.0</v>
      </c>
      <c r="AE230" s="3" t="n">
        <v>17137.0</v>
      </c>
      <c r="AF230" s="3" t="n">
        <v>17056.0</v>
      </c>
      <c r="AG230" s="3" t="n">
        <v>17000.0</v>
      </c>
      <c r="AH230" s="3" t="n">
        <v>17006.0</v>
      </c>
      <c r="AI230" s="3" t="n">
        <v>17069.0</v>
      </c>
      <c r="AJ230" s="3" t="n">
        <v>17154.0</v>
      </c>
      <c r="AK230" s="3" t="n">
        <v>17285.0</v>
      </c>
      <c r="AL230" s="3" t="n">
        <v>17437.0</v>
      </c>
      <c r="AM230" s="3" t="n">
        <v>17600.0</v>
      </c>
      <c r="AN230" s="3" t="n">
        <v>17747.0</v>
      </c>
      <c r="AO230" s="3" t="n">
        <v>17872.0</v>
      </c>
    </row>
    <row r="231" spans="1:41" x14ac:dyDescent="0.2">
      <c r="A231" s="122"/>
      <c r="B231" s="9">
        <v>18</v>
      </c>
      <c r="C231" s="3" t="n">
        <v>15725.0</v>
      </c>
      <c r="D231" s="3" t="n">
        <v>16324.0</v>
      </c>
      <c r="E231" s="3" t="n">
        <v>16816.0</v>
      </c>
      <c r="F231" s="3" t="n">
        <v>17682.0</v>
      </c>
      <c r="G231" s="3" t="n">
        <v>19222.0</v>
      </c>
      <c r="H231" s="3" t="n">
        <v>19596.0</v>
      </c>
      <c r="I231" s="3" t="n">
        <v>19483.0</v>
      </c>
      <c r="J231" s="3" t="n">
        <v>18923.0</v>
      </c>
      <c r="K231" s="3" t="n">
        <v>19006.0</v>
      </c>
      <c r="L231" s="3" t="n">
        <v>18374.0</v>
      </c>
      <c r="M231" s="3" t="n">
        <v>18559.0</v>
      </c>
      <c r="N231" s="3" t="n">
        <v>18772.0</v>
      </c>
      <c r="O231" s="3" t="n">
        <v>19399.0</v>
      </c>
      <c r="P231" s="3" t="n">
        <v>20048.0</v>
      </c>
      <c r="Q231" s="3" t="n">
        <v>19640.0</v>
      </c>
      <c r="R231" s="3" t="n">
        <v>19354.0</v>
      </c>
      <c r="S231" s="3" t="n">
        <v>18171.0</v>
      </c>
      <c r="T231" s="3" t="n">
        <v>17656.0</v>
      </c>
      <c r="U231" s="3" t="n">
        <v>16207.0</v>
      </c>
      <c r="V231" s="3" t="n">
        <v>16880.0</v>
      </c>
      <c r="W231" s="3" t="n">
        <v>17119.0</v>
      </c>
      <c r="X231" s="3" t="n">
        <v>17324.0</v>
      </c>
      <c r="Y231" s="3" t="n">
        <v>17396.0</v>
      </c>
      <c r="Z231" s="3" t="n">
        <v>17340.0</v>
      </c>
      <c r="AA231" s="3" t="n">
        <v>17335.0</v>
      </c>
      <c r="AB231" s="3" t="n">
        <v>17374.0</v>
      </c>
      <c r="AC231" s="3" t="n">
        <v>17344.0</v>
      </c>
      <c r="AD231" s="3" t="n">
        <v>17317.0</v>
      </c>
      <c r="AE231" s="3" t="n">
        <v>17221.0</v>
      </c>
      <c r="AF231" s="3" t="n">
        <v>17134.0</v>
      </c>
      <c r="AG231" s="3" t="n">
        <v>17055.0</v>
      </c>
      <c r="AH231" s="3" t="n">
        <v>16999.0</v>
      </c>
      <c r="AI231" s="3" t="n">
        <v>17005.0</v>
      </c>
      <c r="AJ231" s="3" t="n">
        <v>17067.0</v>
      </c>
      <c r="AK231" s="3" t="n">
        <v>17152.0</v>
      </c>
      <c r="AL231" s="3" t="n">
        <v>17284.0</v>
      </c>
      <c r="AM231" s="3" t="n">
        <v>17436.0</v>
      </c>
      <c r="AN231" s="3" t="n">
        <v>17598.0</v>
      </c>
      <c r="AO231" s="3" t="n">
        <v>17745.0</v>
      </c>
    </row>
    <row r="232" spans="1:41" x14ac:dyDescent="0.2">
      <c r="A232" s="122"/>
      <c r="B232" s="9">
        <v>19</v>
      </c>
      <c r="C232" s="3" t="n">
        <v>15851.0</v>
      </c>
      <c r="D232" s="3" t="n">
        <v>15744.0</v>
      </c>
      <c r="E232" s="3" t="n">
        <v>16343.0</v>
      </c>
      <c r="F232" s="3" t="n">
        <v>16841.0</v>
      </c>
      <c r="G232" s="3" t="n">
        <v>17707.0</v>
      </c>
      <c r="H232" s="3" t="n">
        <v>19377.0</v>
      </c>
      <c r="I232" s="3" t="n">
        <v>19800.0</v>
      </c>
      <c r="J232" s="3" t="n">
        <v>19587.0</v>
      </c>
      <c r="K232" s="3" t="n">
        <v>18971.0</v>
      </c>
      <c r="L232" s="3" t="n">
        <v>19045.0</v>
      </c>
      <c r="M232" s="3" t="n">
        <v>18406.0</v>
      </c>
      <c r="N232" s="3" t="n">
        <v>18585.0</v>
      </c>
      <c r="O232" s="3" t="n">
        <v>18794.0</v>
      </c>
      <c r="P232" s="3" t="n">
        <v>19417.0</v>
      </c>
      <c r="Q232" s="3" t="n">
        <v>20066.0</v>
      </c>
      <c r="R232" s="3" t="n">
        <v>19655.0</v>
      </c>
      <c r="S232" s="3" t="n">
        <v>19373.0</v>
      </c>
      <c r="T232" s="3" t="n">
        <v>18187.0</v>
      </c>
      <c r="U232" s="3" t="n">
        <v>17670.0</v>
      </c>
      <c r="V232" s="3" t="n">
        <v>16215.0</v>
      </c>
      <c r="W232" s="3" t="n">
        <v>16890.0</v>
      </c>
      <c r="X232" s="3" t="n">
        <v>17130.0</v>
      </c>
      <c r="Y232" s="3" t="n">
        <v>17334.0</v>
      </c>
      <c r="Z232" s="3" t="n">
        <v>17406.0</v>
      </c>
      <c r="AA232" s="3" t="n">
        <v>17350.0</v>
      </c>
      <c r="AB232" s="3" t="n">
        <v>17345.0</v>
      </c>
      <c r="AC232" s="3" t="n">
        <v>17383.0</v>
      </c>
      <c r="AD232" s="3" t="n">
        <v>17353.0</v>
      </c>
      <c r="AE232" s="3" t="n">
        <v>17325.0</v>
      </c>
      <c r="AF232" s="3" t="n">
        <v>17231.0</v>
      </c>
      <c r="AG232" s="3" t="n">
        <v>17144.0</v>
      </c>
      <c r="AH232" s="3" t="n">
        <v>17065.0</v>
      </c>
      <c r="AI232" s="3" t="n">
        <v>17010.0</v>
      </c>
      <c r="AJ232" s="3" t="n">
        <v>17018.0</v>
      </c>
      <c r="AK232" s="3" t="n">
        <v>17079.0</v>
      </c>
      <c r="AL232" s="3" t="n">
        <v>17167.0</v>
      </c>
      <c r="AM232" s="3" t="n">
        <v>17298.0</v>
      </c>
      <c r="AN232" s="3" t="n">
        <v>17451.0</v>
      </c>
      <c r="AO232" s="3" t="n">
        <v>17612.0</v>
      </c>
    </row>
    <row r="233" spans="1:41" x14ac:dyDescent="0.2">
      <c r="A233" s="122"/>
      <c r="B233" s="9">
        <v>20</v>
      </c>
      <c r="C233" s="3" t="n">
        <v>16238.0</v>
      </c>
      <c r="D233" s="3" t="n">
        <v>15866.0</v>
      </c>
      <c r="E233" s="3" t="n">
        <v>15759.0</v>
      </c>
      <c r="F233" s="3" t="n">
        <v>16360.0</v>
      </c>
      <c r="G233" s="3" t="n">
        <v>16863.0</v>
      </c>
      <c r="H233" s="3" t="n">
        <v>17837.0</v>
      </c>
      <c r="I233" s="3" t="n">
        <v>19540.0</v>
      </c>
      <c r="J233" s="3" t="n">
        <v>19877.0</v>
      </c>
      <c r="K233" s="3" t="n">
        <v>19623.0</v>
      </c>
      <c r="L233" s="3" t="n">
        <v>18994.0</v>
      </c>
      <c r="M233" s="3" t="n">
        <v>19065.0</v>
      </c>
      <c r="N233" s="3" t="n">
        <v>18425.0</v>
      </c>
      <c r="O233" s="3" t="n">
        <v>18601.0</v>
      </c>
      <c r="P233" s="3" t="n">
        <v>18809.0</v>
      </c>
      <c r="Q233" s="3" t="n">
        <v>19426.0</v>
      </c>
      <c r="R233" s="3" t="n">
        <v>20077.0</v>
      </c>
      <c r="S233" s="3" t="n">
        <v>19664.0</v>
      </c>
      <c r="T233" s="3" t="n">
        <v>19381.0</v>
      </c>
      <c r="U233" s="3" t="n">
        <v>18191.0</v>
      </c>
      <c r="V233" s="3" t="n">
        <v>17674.0</v>
      </c>
      <c r="W233" s="3" t="n">
        <v>16218.0</v>
      </c>
      <c r="X233" s="3" t="n">
        <v>16893.0</v>
      </c>
      <c r="Y233" s="3" t="n">
        <v>17132.0</v>
      </c>
      <c r="Z233" s="3" t="n">
        <v>17337.0</v>
      </c>
      <c r="AA233" s="3" t="n">
        <v>17407.0</v>
      </c>
      <c r="AB233" s="3" t="n">
        <v>17351.0</v>
      </c>
      <c r="AC233" s="3" t="n">
        <v>17346.0</v>
      </c>
      <c r="AD233" s="3" t="n">
        <v>17384.0</v>
      </c>
      <c r="AE233" s="3" t="n">
        <v>17357.0</v>
      </c>
      <c r="AF233" s="3" t="n">
        <v>17328.0</v>
      </c>
      <c r="AG233" s="3" t="n">
        <v>17233.0</v>
      </c>
      <c r="AH233" s="3" t="n">
        <v>17147.0</v>
      </c>
      <c r="AI233" s="3" t="n">
        <v>17069.0</v>
      </c>
      <c r="AJ233" s="3" t="n">
        <v>17014.0</v>
      </c>
      <c r="AK233" s="3" t="n">
        <v>17024.0</v>
      </c>
      <c r="AL233" s="3" t="n">
        <v>17086.0</v>
      </c>
      <c r="AM233" s="3" t="n">
        <v>17172.0</v>
      </c>
      <c r="AN233" s="3" t="n">
        <v>17301.0</v>
      </c>
      <c r="AO233" s="3" t="n">
        <v>17454.0</v>
      </c>
    </row>
    <row r="234" spans="1:41" x14ac:dyDescent="0.2">
      <c r="A234" s="122"/>
      <c r="B234" s="9">
        <v>21</v>
      </c>
      <c r="C234" s="3" t="n">
        <v>17001.0</v>
      </c>
      <c r="D234" s="3" t="n">
        <v>16236.0</v>
      </c>
      <c r="E234" s="3" t="n">
        <v>15865.0</v>
      </c>
      <c r="F234" s="3" t="n">
        <v>15765.0</v>
      </c>
      <c r="G234" s="3" t="n">
        <v>16374.0</v>
      </c>
      <c r="H234" s="3" t="n">
        <v>16964.0</v>
      </c>
      <c r="I234" s="3" t="n">
        <v>17978.0</v>
      </c>
      <c r="J234" s="3" t="n">
        <v>19615.0</v>
      </c>
      <c r="K234" s="3" t="n">
        <v>19914.0</v>
      </c>
      <c r="L234" s="3" t="n">
        <v>19646.0</v>
      </c>
      <c r="M234" s="3" t="n">
        <v>19006.0</v>
      </c>
      <c r="N234" s="3" t="n">
        <v>19075.0</v>
      </c>
      <c r="O234" s="3" t="n">
        <v>18433.0</v>
      </c>
      <c r="P234" s="3" t="n">
        <v>18608.0</v>
      </c>
      <c r="Q234" s="3" t="n">
        <v>18816.0</v>
      </c>
      <c r="R234" s="3" t="n">
        <v>19431.0</v>
      </c>
      <c r="S234" s="3" t="n">
        <v>20082.0</v>
      </c>
      <c r="T234" s="3" t="n">
        <v>19664.0</v>
      </c>
      <c r="U234" s="3" t="n">
        <v>19380.0</v>
      </c>
      <c r="V234" s="3" t="n">
        <v>18191.0</v>
      </c>
      <c r="W234" s="3" t="n">
        <v>17674.0</v>
      </c>
      <c r="X234" s="3" t="n">
        <v>16221.0</v>
      </c>
      <c r="Y234" s="3" t="n">
        <v>16894.0</v>
      </c>
      <c r="Z234" s="3" t="n">
        <v>17132.0</v>
      </c>
      <c r="AA234" s="3" t="n">
        <v>17336.0</v>
      </c>
      <c r="AB234" s="3" t="n">
        <v>17405.0</v>
      </c>
      <c r="AC234" s="3" t="n">
        <v>17351.0</v>
      </c>
      <c r="AD234" s="3" t="n">
        <v>17347.0</v>
      </c>
      <c r="AE234" s="3" t="n">
        <v>17384.0</v>
      </c>
      <c r="AF234" s="3" t="n">
        <v>17357.0</v>
      </c>
      <c r="AG234" s="3" t="n">
        <v>17329.0</v>
      </c>
      <c r="AH234" s="3" t="n">
        <v>17236.0</v>
      </c>
      <c r="AI234" s="3" t="n">
        <v>17150.0</v>
      </c>
      <c r="AJ234" s="3" t="n">
        <v>17071.0</v>
      </c>
      <c r="AK234" s="3" t="n">
        <v>17019.0</v>
      </c>
      <c r="AL234" s="3" t="n">
        <v>17030.0</v>
      </c>
      <c r="AM234" s="3" t="n">
        <v>17091.0</v>
      </c>
      <c r="AN234" s="3" t="n">
        <v>17177.0</v>
      </c>
      <c r="AO234" s="3" t="n">
        <v>17306.0</v>
      </c>
    </row>
    <row r="235" spans="1:41" x14ac:dyDescent="0.2">
      <c r="A235" s="122"/>
      <c r="B235" s="9">
        <v>22</v>
      </c>
      <c r="C235" s="3" t="n">
        <v>17881.0</v>
      </c>
      <c r="D235" s="3" t="n">
        <v>17013.0</v>
      </c>
      <c r="E235" s="3" t="n">
        <v>16255.0</v>
      </c>
      <c r="F235" s="3" t="n">
        <v>15885.0</v>
      </c>
      <c r="G235" s="3" t="n">
        <v>15796.0</v>
      </c>
      <c r="H235" s="3" t="n">
        <v>16488.0</v>
      </c>
      <c r="I235" s="3" t="n">
        <v>17114.0</v>
      </c>
      <c r="J235" s="3" t="n">
        <v>18059.0</v>
      </c>
      <c r="K235" s="3" t="n">
        <v>19662.0</v>
      </c>
      <c r="L235" s="3" t="n">
        <v>19952.0</v>
      </c>
      <c r="M235" s="3" t="n">
        <v>19674.0</v>
      </c>
      <c r="N235" s="3" t="n">
        <v>19025.0</v>
      </c>
      <c r="O235" s="3" t="n">
        <v>19095.0</v>
      </c>
      <c r="P235" s="3" t="n">
        <v>18454.0</v>
      </c>
      <c r="Q235" s="3" t="n">
        <v>18633.0</v>
      </c>
      <c r="R235" s="3" t="n">
        <v>18839.0</v>
      </c>
      <c r="S235" s="3" t="n">
        <v>19451.0</v>
      </c>
      <c r="T235" s="3" t="n">
        <v>20107.0</v>
      </c>
      <c r="U235" s="3" t="n">
        <v>19686.0</v>
      </c>
      <c r="V235" s="3" t="n">
        <v>19395.0</v>
      </c>
      <c r="W235" s="3" t="n">
        <v>18210.0</v>
      </c>
      <c r="X235" s="3" t="n">
        <v>17686.0</v>
      </c>
      <c r="Y235" s="3" t="n">
        <v>16239.0</v>
      </c>
      <c r="Z235" s="3" t="n">
        <v>16912.0</v>
      </c>
      <c r="AA235" s="3" t="n">
        <v>17150.0</v>
      </c>
      <c r="AB235" s="3" t="n">
        <v>17353.0</v>
      </c>
      <c r="AC235" s="3" t="n">
        <v>17419.0</v>
      </c>
      <c r="AD235" s="3" t="n">
        <v>17366.0</v>
      </c>
      <c r="AE235" s="3" t="n">
        <v>17361.0</v>
      </c>
      <c r="AF235" s="3" t="n">
        <v>17399.0</v>
      </c>
      <c r="AG235" s="3" t="n">
        <v>17372.0</v>
      </c>
      <c r="AH235" s="3" t="n">
        <v>17346.0</v>
      </c>
      <c r="AI235" s="3" t="n">
        <v>17253.0</v>
      </c>
      <c r="AJ235" s="3" t="n">
        <v>17168.0</v>
      </c>
      <c r="AK235" s="3" t="n">
        <v>17090.0</v>
      </c>
      <c r="AL235" s="3" t="n">
        <v>17036.0</v>
      </c>
      <c r="AM235" s="3" t="n">
        <v>17048.0</v>
      </c>
      <c r="AN235" s="3" t="n">
        <v>17112.0</v>
      </c>
      <c r="AO235" s="3" t="n">
        <v>17198.0</v>
      </c>
    </row>
    <row r="236" spans="1:41" x14ac:dyDescent="0.2">
      <c r="A236" s="122"/>
      <c r="B236" s="9">
        <v>23</v>
      </c>
      <c r="C236" s="3" t="n">
        <v>18078.0</v>
      </c>
      <c r="D236" s="3" t="n">
        <v>17896.0</v>
      </c>
      <c r="E236" s="3" t="n">
        <v>17030.0</v>
      </c>
      <c r="F236" s="3" t="n">
        <v>16282.0</v>
      </c>
      <c r="G236" s="3" t="n">
        <v>15922.0</v>
      </c>
      <c r="H236" s="3" t="n">
        <v>15929.0</v>
      </c>
      <c r="I236" s="3" t="n">
        <v>16656.0</v>
      </c>
      <c r="J236" s="3" t="n">
        <v>17211.0</v>
      </c>
      <c r="K236" s="3" t="n">
        <v>18127.0</v>
      </c>
      <c r="L236" s="3" t="n">
        <v>19717.0</v>
      </c>
      <c r="M236" s="3" t="n">
        <v>20003.0</v>
      </c>
      <c r="N236" s="3" t="n">
        <v>19717.0</v>
      </c>
      <c r="O236" s="3" t="n">
        <v>19065.0</v>
      </c>
      <c r="P236" s="3" t="n">
        <v>19130.0</v>
      </c>
      <c r="Q236" s="3" t="n">
        <v>18491.0</v>
      </c>
      <c r="R236" s="3" t="n">
        <v>18669.0</v>
      </c>
      <c r="S236" s="3" t="n">
        <v>18871.0</v>
      </c>
      <c r="T236" s="3" t="n">
        <v>19487.0</v>
      </c>
      <c r="U236" s="3" t="n">
        <v>20144.0</v>
      </c>
      <c r="V236" s="3" t="n">
        <v>19720.0</v>
      </c>
      <c r="W236" s="3" t="n">
        <v>19422.0</v>
      </c>
      <c r="X236" s="3" t="n">
        <v>18234.0</v>
      </c>
      <c r="Y236" s="3" t="n">
        <v>17710.0</v>
      </c>
      <c r="Z236" s="3" t="n">
        <v>16256.0</v>
      </c>
      <c r="AA236" s="3" t="n">
        <v>16934.0</v>
      </c>
      <c r="AB236" s="3" t="n">
        <v>17167.0</v>
      </c>
      <c r="AC236" s="3" t="n">
        <v>17373.0</v>
      </c>
      <c r="AD236" s="3" t="n">
        <v>17438.0</v>
      </c>
      <c r="AE236" s="3" t="n">
        <v>17385.0</v>
      </c>
      <c r="AF236" s="3" t="n">
        <v>17380.0</v>
      </c>
      <c r="AG236" s="3" t="n">
        <v>17418.0</v>
      </c>
      <c r="AH236" s="3" t="n">
        <v>17390.0</v>
      </c>
      <c r="AI236" s="3" t="n">
        <v>17363.0</v>
      </c>
      <c r="AJ236" s="3" t="n">
        <v>17271.0</v>
      </c>
      <c r="AK236" s="3" t="n">
        <v>17188.0</v>
      </c>
      <c r="AL236" s="3" t="n">
        <v>17112.0</v>
      </c>
      <c r="AM236" s="3" t="n">
        <v>17057.0</v>
      </c>
      <c r="AN236" s="3" t="n">
        <v>17071.0</v>
      </c>
      <c r="AO236" s="3" t="n">
        <v>17135.0</v>
      </c>
    </row>
    <row r="237" spans="1:41" x14ac:dyDescent="0.2">
      <c r="A237" s="122"/>
      <c r="B237" s="9">
        <v>24</v>
      </c>
      <c r="C237" s="3" t="n">
        <v>19027.0</v>
      </c>
      <c r="D237" s="3" t="n">
        <v>18124.0</v>
      </c>
      <c r="E237" s="3" t="n">
        <v>17946.0</v>
      </c>
      <c r="F237" s="3" t="n">
        <v>17088.0</v>
      </c>
      <c r="G237" s="3" t="n">
        <v>16344.0</v>
      </c>
      <c r="H237" s="3" t="n">
        <v>16082.0</v>
      </c>
      <c r="I237" s="3" t="n">
        <v>16130.0</v>
      </c>
      <c r="J237" s="3" t="n">
        <v>16790.0</v>
      </c>
      <c r="K237" s="3" t="n">
        <v>17312.0</v>
      </c>
      <c r="L237" s="3" t="n">
        <v>18218.0</v>
      </c>
      <c r="M237" s="3" t="n">
        <v>19803.0</v>
      </c>
      <c r="N237" s="3" t="n">
        <v>20090.0</v>
      </c>
      <c r="O237" s="3" t="n">
        <v>19799.0</v>
      </c>
      <c r="P237" s="3" t="n">
        <v>19139.0</v>
      </c>
      <c r="Q237" s="3" t="n">
        <v>19201.0</v>
      </c>
      <c r="R237" s="3" t="n">
        <v>18568.0</v>
      </c>
      <c r="S237" s="3" t="n">
        <v>18743.0</v>
      </c>
      <c r="T237" s="3" t="n">
        <v>18946.0</v>
      </c>
      <c r="U237" s="3" t="n">
        <v>19561.0</v>
      </c>
      <c r="V237" s="3" t="n">
        <v>20214.0</v>
      </c>
      <c r="W237" s="3" t="n">
        <v>19783.0</v>
      </c>
      <c r="X237" s="3" t="n">
        <v>19484.0</v>
      </c>
      <c r="Y237" s="3" t="n">
        <v>18292.0</v>
      </c>
      <c r="Z237" s="3" t="n">
        <v>17766.0</v>
      </c>
      <c r="AA237" s="3" t="n">
        <v>16307.0</v>
      </c>
      <c r="AB237" s="3" t="n">
        <v>16983.0</v>
      </c>
      <c r="AC237" s="3" t="n">
        <v>17211.0</v>
      </c>
      <c r="AD237" s="3" t="n">
        <v>17418.0</v>
      </c>
      <c r="AE237" s="3" t="n">
        <v>17482.0</v>
      </c>
      <c r="AF237" s="3" t="n">
        <v>17428.0</v>
      </c>
      <c r="AG237" s="3" t="n">
        <v>17424.0</v>
      </c>
      <c r="AH237" s="3" t="n">
        <v>17463.0</v>
      </c>
      <c r="AI237" s="3" t="n">
        <v>17437.0</v>
      </c>
      <c r="AJ237" s="3" t="n">
        <v>17413.0</v>
      </c>
      <c r="AK237" s="3" t="n">
        <v>17321.0</v>
      </c>
      <c r="AL237" s="3" t="n">
        <v>17238.0</v>
      </c>
      <c r="AM237" s="3" t="n">
        <v>17165.0</v>
      </c>
      <c r="AN237" s="3" t="n">
        <v>17111.0</v>
      </c>
      <c r="AO237" s="3" t="n">
        <v>17127.0</v>
      </c>
    </row>
    <row r="238" spans="1:41" x14ac:dyDescent="0.2">
      <c r="A238" s="122"/>
      <c r="B238" s="9">
        <v>25</v>
      </c>
      <c r="C238" s="3" t="n">
        <v>19538.0</v>
      </c>
      <c r="D238" s="3" t="n">
        <v>19115.0</v>
      </c>
      <c r="E238" s="3" t="n">
        <v>18209.0</v>
      </c>
      <c r="F238" s="3" t="n">
        <v>18035.0</v>
      </c>
      <c r="G238" s="3" t="n">
        <v>17184.0</v>
      </c>
      <c r="H238" s="3" t="n">
        <v>16550.0</v>
      </c>
      <c r="I238" s="3" t="n">
        <v>16329.0</v>
      </c>
      <c r="J238" s="3" t="n">
        <v>16310.0</v>
      </c>
      <c r="K238" s="3" t="n">
        <v>16934.0</v>
      </c>
      <c r="L238" s="3" t="n">
        <v>17451.0</v>
      </c>
      <c r="M238" s="3" t="n">
        <v>18358.0</v>
      </c>
      <c r="N238" s="3" t="n">
        <v>19938.0</v>
      </c>
      <c r="O238" s="3" t="n">
        <v>20226.0</v>
      </c>
      <c r="P238" s="3" t="n">
        <v>19933.0</v>
      </c>
      <c r="Q238" s="3" t="n">
        <v>19262.0</v>
      </c>
      <c r="R238" s="3" t="n">
        <v>19321.0</v>
      </c>
      <c r="S238" s="3" t="n">
        <v>18686.0</v>
      </c>
      <c r="T238" s="3" t="n">
        <v>18866.0</v>
      </c>
      <c r="U238" s="3" t="n">
        <v>19065.0</v>
      </c>
      <c r="V238" s="3" t="n">
        <v>19684.0</v>
      </c>
      <c r="W238" s="3" t="n">
        <v>20336.0</v>
      </c>
      <c r="X238" s="3" t="n">
        <v>19894.0</v>
      </c>
      <c r="Y238" s="3" t="n">
        <v>19590.0</v>
      </c>
      <c r="Z238" s="3" t="n">
        <v>18387.0</v>
      </c>
      <c r="AA238" s="3" t="n">
        <v>17859.0</v>
      </c>
      <c r="AB238" s="3" t="n">
        <v>16395.0</v>
      </c>
      <c r="AC238" s="3" t="n">
        <v>17068.0</v>
      </c>
      <c r="AD238" s="3" t="n">
        <v>17296.0</v>
      </c>
      <c r="AE238" s="3" t="n">
        <v>17502.0</v>
      </c>
      <c r="AF238" s="3" t="n">
        <v>17565.0</v>
      </c>
      <c r="AG238" s="3" t="n">
        <v>17512.0</v>
      </c>
      <c r="AH238" s="3" t="n">
        <v>17507.0</v>
      </c>
      <c r="AI238" s="3" t="n">
        <v>17547.0</v>
      </c>
      <c r="AJ238" s="3" t="n">
        <v>17523.0</v>
      </c>
      <c r="AK238" s="3" t="n">
        <v>17500.0</v>
      </c>
      <c r="AL238" s="3" t="n">
        <v>17408.0</v>
      </c>
      <c r="AM238" s="3" t="n">
        <v>17325.0</v>
      </c>
      <c r="AN238" s="3" t="n">
        <v>17255.0</v>
      </c>
      <c r="AO238" s="3" t="n">
        <v>17203.0</v>
      </c>
    </row>
    <row r="239" spans="1:41" x14ac:dyDescent="0.2">
      <c r="A239" s="122"/>
      <c r="B239" s="9">
        <v>26</v>
      </c>
      <c r="C239" s="3" t="n">
        <v>20595.0</v>
      </c>
      <c r="D239" s="3" t="n">
        <v>19656.0</v>
      </c>
      <c r="E239" s="3" t="n">
        <v>19225.0</v>
      </c>
      <c r="F239" s="3" t="n">
        <v>18318.0</v>
      </c>
      <c r="G239" s="3" t="n">
        <v>18149.0</v>
      </c>
      <c r="H239" s="3" t="n">
        <v>17413.0</v>
      </c>
      <c r="I239" s="3" t="n">
        <v>16833.0</v>
      </c>
      <c r="J239" s="3" t="n">
        <v>16530.0</v>
      </c>
      <c r="K239" s="3" t="n">
        <v>16471.0</v>
      </c>
      <c r="L239" s="3" t="n">
        <v>17092.0</v>
      </c>
      <c r="M239" s="3" t="n">
        <v>17606.0</v>
      </c>
      <c r="N239" s="3" t="n">
        <v>18517.0</v>
      </c>
      <c r="O239" s="3" t="n">
        <v>20101.0</v>
      </c>
      <c r="P239" s="3" t="n">
        <v>20391.0</v>
      </c>
      <c r="Q239" s="3" t="n">
        <v>20096.0</v>
      </c>
      <c r="R239" s="3" t="n">
        <v>19419.0</v>
      </c>
      <c r="S239" s="3" t="n">
        <v>19466.0</v>
      </c>
      <c r="T239" s="3" t="n">
        <v>18832.0</v>
      </c>
      <c r="U239" s="3" t="n">
        <v>19009.0</v>
      </c>
      <c r="V239" s="3" t="n">
        <v>19206.0</v>
      </c>
      <c r="W239" s="3" t="n">
        <v>19830.0</v>
      </c>
      <c r="X239" s="3" t="n">
        <v>20483.0</v>
      </c>
      <c r="Y239" s="3" t="n">
        <v>20029.0</v>
      </c>
      <c r="Z239" s="3" t="n">
        <v>19719.0</v>
      </c>
      <c r="AA239" s="3" t="n">
        <v>18499.0</v>
      </c>
      <c r="AB239" s="3" t="n">
        <v>17965.0</v>
      </c>
      <c r="AC239" s="3" t="n">
        <v>16499.0</v>
      </c>
      <c r="AD239" s="3" t="n">
        <v>17168.0</v>
      </c>
      <c r="AE239" s="3" t="n">
        <v>17395.0</v>
      </c>
      <c r="AF239" s="3" t="n">
        <v>17602.0</v>
      </c>
      <c r="AG239" s="3" t="n">
        <v>17664.0</v>
      </c>
      <c r="AH239" s="3" t="n">
        <v>17611.0</v>
      </c>
      <c r="AI239" s="3" t="n">
        <v>17607.0</v>
      </c>
      <c r="AJ239" s="3" t="n">
        <v>17648.0</v>
      </c>
      <c r="AK239" s="3" t="n">
        <v>17625.0</v>
      </c>
      <c r="AL239" s="3" t="n">
        <v>17605.0</v>
      </c>
      <c r="AM239" s="3" t="n">
        <v>17515.0</v>
      </c>
      <c r="AN239" s="3" t="n">
        <v>17434.0</v>
      </c>
      <c r="AO239" s="3" t="n">
        <v>17364.0</v>
      </c>
    </row>
    <row r="240" spans="1:41" x14ac:dyDescent="0.2">
      <c r="A240" s="122"/>
      <c r="B240" s="9">
        <v>27</v>
      </c>
      <c r="C240" s="3" t="n">
        <v>21564.0</v>
      </c>
      <c r="D240" s="3" t="n">
        <v>20720.0</v>
      </c>
      <c r="E240" s="3" t="n">
        <v>19783.0</v>
      </c>
      <c r="F240" s="3" t="n">
        <v>19346.0</v>
      </c>
      <c r="G240" s="3" t="n">
        <v>18438.0</v>
      </c>
      <c r="H240" s="3" t="n">
        <v>18392.0</v>
      </c>
      <c r="I240" s="3" t="n">
        <v>17703.0</v>
      </c>
      <c r="J240" s="3" t="n">
        <v>17037.0</v>
      </c>
      <c r="K240" s="3" t="n">
        <v>16702.0</v>
      </c>
      <c r="L240" s="3" t="n">
        <v>16632.0</v>
      </c>
      <c r="M240" s="3" t="n">
        <v>17251.0</v>
      </c>
      <c r="N240" s="3" t="n">
        <v>17764.0</v>
      </c>
      <c r="O240" s="3" t="n">
        <v>18682.0</v>
      </c>
      <c r="P240" s="3" t="n">
        <v>20274.0</v>
      </c>
      <c r="Q240" s="3" t="n">
        <v>20568.0</v>
      </c>
      <c r="R240" s="3" t="n">
        <v>20263.0</v>
      </c>
      <c r="S240" s="3" t="n">
        <v>19581.0</v>
      </c>
      <c r="T240" s="3" t="n">
        <v>19621.0</v>
      </c>
      <c r="U240" s="3" t="n">
        <v>18986.0</v>
      </c>
      <c r="V240" s="3" t="n">
        <v>19166.0</v>
      </c>
      <c r="W240" s="3" t="n">
        <v>19359.0</v>
      </c>
      <c r="X240" s="3" t="n">
        <v>19985.0</v>
      </c>
      <c r="Y240" s="3" t="n">
        <v>20638.0</v>
      </c>
      <c r="Z240" s="3" t="n">
        <v>20175.0</v>
      </c>
      <c r="AA240" s="3" t="n">
        <v>19855.0</v>
      </c>
      <c r="AB240" s="3" t="n">
        <v>18632.0</v>
      </c>
      <c r="AC240" s="3" t="n">
        <v>18080.0</v>
      </c>
      <c r="AD240" s="3" t="n">
        <v>16615.0</v>
      </c>
      <c r="AE240" s="3" t="n">
        <v>17281.0</v>
      </c>
      <c r="AF240" s="3" t="n">
        <v>17505.0</v>
      </c>
      <c r="AG240" s="3" t="n">
        <v>17712.0</v>
      </c>
      <c r="AH240" s="3" t="n">
        <v>17772.0</v>
      </c>
      <c r="AI240" s="3" t="n">
        <v>17719.0</v>
      </c>
      <c r="AJ240" s="3" t="n">
        <v>17716.0</v>
      </c>
      <c r="AK240" s="3" t="n">
        <v>17757.0</v>
      </c>
      <c r="AL240" s="3" t="n">
        <v>17735.0</v>
      </c>
      <c r="AM240" s="3" t="n">
        <v>17717.0</v>
      </c>
      <c r="AN240" s="3" t="n">
        <v>17629.0</v>
      </c>
      <c r="AO240" s="3" t="n">
        <v>17550.0</v>
      </c>
    </row>
    <row r="241" spans="1:41" x14ac:dyDescent="0.2">
      <c r="A241" s="122"/>
      <c r="B241" s="9">
        <v>28</v>
      </c>
      <c r="C241" s="3" t="n">
        <v>23111.0</v>
      </c>
      <c r="D241" s="3" t="n">
        <v>21677.0</v>
      </c>
      <c r="E241" s="3" t="n">
        <v>20839.0</v>
      </c>
      <c r="F241" s="3" t="n">
        <v>19900.0</v>
      </c>
      <c r="G241" s="3" t="n">
        <v>19464.0</v>
      </c>
      <c r="H241" s="3" t="n">
        <v>18665.0</v>
      </c>
      <c r="I241" s="3" t="n">
        <v>18676.0</v>
      </c>
      <c r="J241" s="3" t="n">
        <v>17904.0</v>
      </c>
      <c r="K241" s="3" t="n">
        <v>17191.0</v>
      </c>
      <c r="L241" s="3" t="n">
        <v>16851.0</v>
      </c>
      <c r="M241" s="3" t="n">
        <v>16784.0</v>
      </c>
      <c r="N241" s="3" t="n">
        <v>17401.0</v>
      </c>
      <c r="O241" s="3" t="n">
        <v>17921.0</v>
      </c>
      <c r="P241" s="3" t="n">
        <v>18845.0</v>
      </c>
      <c r="Q241" s="3" t="n">
        <v>20441.0</v>
      </c>
      <c r="R241" s="3" t="n">
        <v>20734.0</v>
      </c>
      <c r="S241" s="3" t="n">
        <v>20424.0</v>
      </c>
      <c r="T241" s="3" t="n">
        <v>19732.0</v>
      </c>
      <c r="U241" s="3" t="n">
        <v>19767.0</v>
      </c>
      <c r="V241" s="3" t="n">
        <v>19134.0</v>
      </c>
      <c r="W241" s="3" t="n">
        <v>19320.0</v>
      </c>
      <c r="X241" s="3" t="n">
        <v>19511.0</v>
      </c>
      <c r="Y241" s="3" t="n">
        <v>20133.0</v>
      </c>
      <c r="Z241" s="3" t="n">
        <v>20787.0</v>
      </c>
      <c r="AA241" s="3" t="n">
        <v>20317.0</v>
      </c>
      <c r="AB241" s="3" t="n">
        <v>19989.0</v>
      </c>
      <c r="AC241" s="3" t="n">
        <v>18756.0</v>
      </c>
      <c r="AD241" s="3" t="n">
        <v>18197.0</v>
      </c>
      <c r="AE241" s="3" t="n">
        <v>16729.0</v>
      </c>
      <c r="AF241" s="3" t="n">
        <v>17392.0</v>
      </c>
      <c r="AG241" s="3" t="n">
        <v>17611.0</v>
      </c>
      <c r="AH241" s="3" t="n">
        <v>17820.0</v>
      </c>
      <c r="AI241" s="3" t="n">
        <v>17882.0</v>
      </c>
      <c r="AJ241" s="3" t="n">
        <v>17832.0</v>
      </c>
      <c r="AK241" s="3" t="n">
        <v>17830.0</v>
      </c>
      <c r="AL241" s="3" t="n">
        <v>17870.0</v>
      </c>
      <c r="AM241" s="3" t="n">
        <v>17849.0</v>
      </c>
      <c r="AN241" s="3" t="n">
        <v>17829.0</v>
      </c>
      <c r="AO241" s="3" t="n">
        <v>17742.0</v>
      </c>
    </row>
    <row r="242" spans="1:41" x14ac:dyDescent="0.2">
      <c r="A242" s="122"/>
      <c r="B242" s="9">
        <v>29</v>
      </c>
      <c r="C242" s="3" t="n">
        <v>23987.0</v>
      </c>
      <c r="D242" s="3" t="n">
        <v>23235.0</v>
      </c>
      <c r="E242" s="3" t="n">
        <v>21802.0</v>
      </c>
      <c r="F242" s="3" t="n">
        <v>20961.0</v>
      </c>
      <c r="G242" s="3" t="n">
        <v>20023.0</v>
      </c>
      <c r="H242" s="3" t="n">
        <v>19697.0</v>
      </c>
      <c r="I242" s="3" t="n">
        <v>18945.0</v>
      </c>
      <c r="J242" s="3" t="n">
        <v>18878.0</v>
      </c>
      <c r="K242" s="3" t="n">
        <v>18063.0</v>
      </c>
      <c r="L242" s="3" t="n">
        <v>17333.0</v>
      </c>
      <c r="M242" s="3" t="n">
        <v>16992.0</v>
      </c>
      <c r="N242" s="3" t="n">
        <v>16929.0</v>
      </c>
      <c r="O242" s="3" t="n">
        <v>17545.0</v>
      </c>
      <c r="P242" s="3" t="n">
        <v>18072.0</v>
      </c>
      <c r="Q242" s="3" t="n">
        <v>19003.0</v>
      </c>
      <c r="R242" s="3" t="n">
        <v>20600.0</v>
      </c>
      <c r="S242" s="3" t="n">
        <v>20896.0</v>
      </c>
      <c r="T242" s="3" t="n">
        <v>20584.0</v>
      </c>
      <c r="U242" s="3" t="n">
        <v>19884.0</v>
      </c>
      <c r="V242" s="3" t="n">
        <v>19913.0</v>
      </c>
      <c r="W242" s="3" t="n">
        <v>19279.0</v>
      </c>
      <c r="X242" s="3" t="n">
        <v>19465.0</v>
      </c>
      <c r="Y242" s="3" t="n">
        <v>19657.0</v>
      </c>
      <c r="Z242" s="3" t="n">
        <v>20279.0</v>
      </c>
      <c r="AA242" s="3" t="n">
        <v>20932.0</v>
      </c>
      <c r="AB242" s="3" t="n">
        <v>20449.0</v>
      </c>
      <c r="AC242" s="3" t="n">
        <v>20115.0</v>
      </c>
      <c r="AD242" s="3" t="n">
        <v>18879.0</v>
      </c>
      <c r="AE242" s="3" t="n">
        <v>18314.0</v>
      </c>
      <c r="AF242" s="3" t="n">
        <v>16840.0</v>
      </c>
      <c r="AG242" s="3" t="n">
        <v>17497.0</v>
      </c>
      <c r="AH242" s="3" t="n">
        <v>17712.0</v>
      </c>
      <c r="AI242" s="3" t="n">
        <v>17922.0</v>
      </c>
      <c r="AJ242" s="3" t="n">
        <v>17984.0</v>
      </c>
      <c r="AK242" s="3" t="n">
        <v>17933.0</v>
      </c>
      <c r="AL242" s="3" t="n">
        <v>17932.0</v>
      </c>
      <c r="AM242" s="3" t="n">
        <v>17974.0</v>
      </c>
      <c r="AN242" s="3" t="n">
        <v>17952.0</v>
      </c>
      <c r="AO242" s="3" t="n">
        <v>17933.0</v>
      </c>
    </row>
    <row r="243" spans="1:41" x14ac:dyDescent="0.2">
      <c r="A243" s="122"/>
      <c r="B243" s="9">
        <v>30</v>
      </c>
      <c r="C243" s="3" t="n">
        <v>25021.0</v>
      </c>
      <c r="D243" s="3" t="n">
        <v>24104.0</v>
      </c>
      <c r="E243" s="3" t="n">
        <v>23351.0</v>
      </c>
      <c r="F243" s="3" t="n">
        <v>21915.0</v>
      </c>
      <c r="G243" s="3" t="n">
        <v>21084.0</v>
      </c>
      <c r="H243" s="3" t="n">
        <v>20291.0</v>
      </c>
      <c r="I243" s="3" t="n">
        <v>20008.0</v>
      </c>
      <c r="J243" s="3" t="n">
        <v>19147.0</v>
      </c>
      <c r="K243" s="3" t="n">
        <v>19033.0</v>
      </c>
      <c r="L243" s="3" t="n">
        <v>18195.0</v>
      </c>
      <c r="M243" s="3" t="n">
        <v>17463.0</v>
      </c>
      <c r="N243" s="3" t="n">
        <v>17119.0</v>
      </c>
      <c r="O243" s="3" t="n">
        <v>17060.0</v>
      </c>
      <c r="P243" s="3" t="n">
        <v>17684.0</v>
      </c>
      <c r="Q243" s="3" t="n">
        <v>18215.0</v>
      </c>
      <c r="R243" s="3" t="n">
        <v>19155.0</v>
      </c>
      <c r="S243" s="3" t="n">
        <v>20754.0</v>
      </c>
      <c r="T243" s="3" t="n">
        <v>21051.0</v>
      </c>
      <c r="U243" s="3" t="n">
        <v>20737.0</v>
      </c>
      <c r="V243" s="3" t="n">
        <v>20035.0</v>
      </c>
      <c r="W243" s="3" t="n">
        <v>20057.0</v>
      </c>
      <c r="X243" s="3" t="n">
        <v>19423.0</v>
      </c>
      <c r="Y243" s="3" t="n">
        <v>19607.0</v>
      </c>
      <c r="Z243" s="3" t="n">
        <v>19795.0</v>
      </c>
      <c r="AA243" s="3" t="n">
        <v>20423.0</v>
      </c>
      <c r="AB243" s="3" t="n">
        <v>21072.0</v>
      </c>
      <c r="AC243" s="3" t="n">
        <v>20583.0</v>
      </c>
      <c r="AD243" s="3" t="n">
        <v>20234.0</v>
      </c>
      <c r="AE243" s="3" t="n">
        <v>18993.0</v>
      </c>
      <c r="AF243" s="3" t="n">
        <v>18419.0</v>
      </c>
      <c r="AG243" s="3" t="n">
        <v>16949.0</v>
      </c>
      <c r="AH243" s="3" t="n">
        <v>17602.0</v>
      </c>
      <c r="AI243" s="3" t="n">
        <v>17816.0</v>
      </c>
      <c r="AJ243" s="3" t="n">
        <v>18027.0</v>
      </c>
      <c r="AK243" s="3" t="n">
        <v>18088.0</v>
      </c>
      <c r="AL243" s="3" t="n">
        <v>18038.0</v>
      </c>
      <c r="AM243" s="3" t="n">
        <v>18039.0</v>
      </c>
      <c r="AN243" s="3" t="n">
        <v>18080.0</v>
      </c>
      <c r="AO243" s="3" t="n">
        <v>18059.0</v>
      </c>
    </row>
    <row r="244" spans="1:41" x14ac:dyDescent="0.2">
      <c r="A244" s="122"/>
      <c r="B244" s="9">
        <v>31</v>
      </c>
      <c r="C244" s="3" t="n">
        <v>26414.0</v>
      </c>
      <c r="D244" s="3" t="n">
        <v>25117.0</v>
      </c>
      <c r="E244" s="3" t="n">
        <v>24209.0</v>
      </c>
      <c r="F244" s="3" t="n">
        <v>23455.0</v>
      </c>
      <c r="G244" s="3" t="n">
        <v>22022.0</v>
      </c>
      <c r="H244" s="3" t="n">
        <v>21358.0</v>
      </c>
      <c r="I244" s="3" t="n">
        <v>20631.0</v>
      </c>
      <c r="J244" s="3" t="n">
        <v>20215.0</v>
      </c>
      <c r="K244" s="3" t="n">
        <v>19289.0</v>
      </c>
      <c r="L244" s="3" t="n">
        <v>19156.0</v>
      </c>
      <c r="M244" s="3" t="n">
        <v>18314.0</v>
      </c>
      <c r="N244" s="3" t="n">
        <v>17579.0</v>
      </c>
      <c r="O244" s="3" t="n">
        <v>17233.0</v>
      </c>
      <c r="P244" s="3" t="n">
        <v>17177.0</v>
      </c>
      <c r="Q244" s="3" t="n">
        <v>17805.0</v>
      </c>
      <c r="R244" s="3" t="n">
        <v>18343.0</v>
      </c>
      <c r="S244" s="3" t="n">
        <v>19291.0</v>
      </c>
      <c r="T244" s="3" t="n">
        <v>20893.0</v>
      </c>
      <c r="U244" s="3" t="n">
        <v>21192.0</v>
      </c>
      <c r="V244" s="3" t="n">
        <v>20874.0</v>
      </c>
      <c r="W244" s="3" t="n">
        <v>20165.0</v>
      </c>
      <c r="X244" s="3" t="n">
        <v>20178.0</v>
      </c>
      <c r="Y244" s="3" t="n">
        <v>19551.0</v>
      </c>
      <c r="Z244" s="3" t="n">
        <v>19735.0</v>
      </c>
      <c r="AA244" s="3" t="n">
        <v>19921.0</v>
      </c>
      <c r="AB244" s="3" t="n">
        <v>20552.0</v>
      </c>
      <c r="AC244" s="3" t="n">
        <v>21199.0</v>
      </c>
      <c r="AD244" s="3" t="n">
        <v>20700.0</v>
      </c>
      <c r="AE244" s="3" t="n">
        <v>20339.0</v>
      </c>
      <c r="AF244" s="3" t="n">
        <v>19096.0</v>
      </c>
      <c r="AG244" s="3" t="n">
        <v>18513.0</v>
      </c>
      <c r="AH244" s="3" t="n">
        <v>17044.0</v>
      </c>
      <c r="AI244" s="3" t="n">
        <v>17694.0</v>
      </c>
      <c r="AJ244" s="3" t="n">
        <v>17907.0</v>
      </c>
      <c r="AK244" s="3" t="n">
        <v>18118.0</v>
      </c>
      <c r="AL244" s="3" t="n">
        <v>18179.0</v>
      </c>
      <c r="AM244" s="3" t="n">
        <v>18130.0</v>
      </c>
      <c r="AN244" s="3" t="n">
        <v>18132.0</v>
      </c>
      <c r="AO244" s="3" t="n">
        <v>18174.0</v>
      </c>
    </row>
    <row r="245" spans="1:41" x14ac:dyDescent="0.2">
      <c r="A245" s="122"/>
      <c r="B245" s="9">
        <v>32</v>
      </c>
      <c r="C245" s="3" t="n">
        <v>25940.0</v>
      </c>
      <c r="D245" s="3" t="n">
        <v>26497.0</v>
      </c>
      <c r="E245" s="3" t="n">
        <v>25193.0</v>
      </c>
      <c r="F245" s="3" t="n">
        <v>24292.0</v>
      </c>
      <c r="G245" s="3" t="n">
        <v>23543.0</v>
      </c>
      <c r="H245" s="3" t="n">
        <v>22272.0</v>
      </c>
      <c r="I245" s="3" t="n">
        <v>21674.0</v>
      </c>
      <c r="J245" s="3" t="n">
        <v>20818.0</v>
      </c>
      <c r="K245" s="3" t="n">
        <v>20333.0</v>
      </c>
      <c r="L245" s="3" t="n">
        <v>19392.0</v>
      </c>
      <c r="M245" s="3" t="n">
        <v>19250.0</v>
      </c>
      <c r="N245" s="3" t="n">
        <v>18402.0</v>
      </c>
      <c r="O245" s="3" t="n">
        <v>17668.0</v>
      </c>
      <c r="P245" s="3" t="n">
        <v>17332.0</v>
      </c>
      <c r="Q245" s="3" t="n">
        <v>17280.0</v>
      </c>
      <c r="R245" s="3" t="n">
        <v>17912.0</v>
      </c>
      <c r="S245" s="3" t="n">
        <v>18459.0</v>
      </c>
      <c r="T245" s="3" t="n">
        <v>19405.0</v>
      </c>
      <c r="U245" s="3" t="n">
        <v>21007.0</v>
      </c>
      <c r="V245" s="3" t="n">
        <v>21305.0</v>
      </c>
      <c r="W245" s="3" t="n">
        <v>20991.0</v>
      </c>
      <c r="X245" s="3" t="n">
        <v>20273.0</v>
      </c>
      <c r="Y245" s="3" t="n">
        <v>20286.0</v>
      </c>
      <c r="Z245" s="3" t="n">
        <v>19657.0</v>
      </c>
      <c r="AA245" s="3" t="n">
        <v>19841.0</v>
      </c>
      <c r="AB245" s="3" t="n">
        <v>20027.0</v>
      </c>
      <c r="AC245" s="3" t="n">
        <v>20654.0</v>
      </c>
      <c r="AD245" s="3" t="n">
        <v>21302.0</v>
      </c>
      <c r="AE245" s="3" t="n">
        <v>20801.0</v>
      </c>
      <c r="AF245" s="3" t="n">
        <v>20429.0</v>
      </c>
      <c r="AG245" s="3" t="n">
        <v>19183.0</v>
      </c>
      <c r="AH245" s="3" t="n">
        <v>18593.0</v>
      </c>
      <c r="AI245" s="3" t="n">
        <v>17126.0</v>
      </c>
      <c r="AJ245" s="3" t="n">
        <v>17770.0</v>
      </c>
      <c r="AK245" s="3" t="n">
        <v>17982.0</v>
      </c>
      <c r="AL245" s="3" t="n">
        <v>18191.0</v>
      </c>
      <c r="AM245" s="3" t="n">
        <v>18252.0</v>
      </c>
      <c r="AN245" s="3" t="n">
        <v>18202.0</v>
      </c>
      <c r="AO245" s="3" t="n">
        <v>18207.0</v>
      </c>
    </row>
    <row r="246" spans="1:41" x14ac:dyDescent="0.2">
      <c r="A246" s="122"/>
      <c r="B246" s="9">
        <v>33</v>
      </c>
      <c r="C246" s="3" t="n">
        <v>26333.0</v>
      </c>
      <c r="D246" s="3" t="n">
        <v>26007.0</v>
      </c>
      <c r="E246" s="3" t="n">
        <v>26553.0</v>
      </c>
      <c r="F246" s="3" t="n">
        <v>25246.0</v>
      </c>
      <c r="G246" s="3" t="n">
        <v>24348.0</v>
      </c>
      <c r="H246" s="3" t="n">
        <v>23775.0</v>
      </c>
      <c r="I246" s="3" t="n">
        <v>22569.0</v>
      </c>
      <c r="J246" s="3" t="n">
        <v>21837.0</v>
      </c>
      <c r="K246" s="3" t="n">
        <v>20923.0</v>
      </c>
      <c r="L246" s="3" t="n">
        <v>20417.0</v>
      </c>
      <c r="M246" s="3" t="n">
        <v>19460.0</v>
      </c>
      <c r="N246" s="3" t="n">
        <v>19316.0</v>
      </c>
      <c r="O246" s="3" t="n">
        <v>18470.0</v>
      </c>
      <c r="P246" s="3" t="n">
        <v>17730.0</v>
      </c>
      <c r="Q246" s="3" t="n">
        <v>17397.0</v>
      </c>
      <c r="R246" s="3" t="n">
        <v>17354.0</v>
      </c>
      <c r="S246" s="3" t="n">
        <v>17988.0</v>
      </c>
      <c r="T246" s="3" t="n">
        <v>18543.0</v>
      </c>
      <c r="U246" s="3" t="n">
        <v>19492.0</v>
      </c>
      <c r="V246" s="3" t="n">
        <v>21095.0</v>
      </c>
      <c r="W246" s="3" t="n">
        <v>21392.0</v>
      </c>
      <c r="X246" s="3" t="n">
        <v>21072.0</v>
      </c>
      <c r="Y246" s="3" t="n">
        <v>20353.0</v>
      </c>
      <c r="Z246" s="3" t="n">
        <v>20361.0</v>
      </c>
      <c r="AA246" s="3" t="n">
        <v>19736.0</v>
      </c>
      <c r="AB246" s="3" t="n">
        <v>19917.0</v>
      </c>
      <c r="AC246" s="3" t="n">
        <v>20105.0</v>
      </c>
      <c r="AD246" s="3" t="n">
        <v>20733.0</v>
      </c>
      <c r="AE246" s="3" t="n">
        <v>21385.0</v>
      </c>
      <c r="AF246" s="3" t="n">
        <v>20871.0</v>
      </c>
      <c r="AG246" s="3" t="n">
        <v>20491.0</v>
      </c>
      <c r="AH246" s="3" t="n">
        <v>19248.0</v>
      </c>
      <c r="AI246" s="3" t="n">
        <v>18648.0</v>
      </c>
      <c r="AJ246" s="3" t="n">
        <v>17182.0</v>
      </c>
      <c r="AK246" s="3" t="n">
        <v>17826.0</v>
      </c>
      <c r="AL246" s="3" t="n">
        <v>18038.0</v>
      </c>
      <c r="AM246" s="3" t="n">
        <v>18241.0</v>
      </c>
      <c r="AN246" s="3" t="n">
        <v>18303.0</v>
      </c>
      <c r="AO246" s="3" t="n">
        <v>18253.0</v>
      </c>
    </row>
    <row r="247" spans="1:41" x14ac:dyDescent="0.2">
      <c r="A247" s="122"/>
      <c r="B247" s="9">
        <v>34</v>
      </c>
      <c r="C247" s="3" t="n">
        <v>26656.0</v>
      </c>
      <c r="D247" s="3" t="n">
        <v>26394.0</v>
      </c>
      <c r="E247" s="3" t="n">
        <v>26061.0</v>
      </c>
      <c r="F247" s="3" t="n">
        <v>26604.0</v>
      </c>
      <c r="G247" s="3" t="n">
        <v>25292.0</v>
      </c>
      <c r="H247" s="3" t="n">
        <v>24570.0</v>
      </c>
      <c r="I247" s="3" t="n">
        <v>24057.0</v>
      </c>
      <c r="J247" s="3" t="n">
        <v>22724.0</v>
      </c>
      <c r="K247" s="3" t="n">
        <v>21927.0</v>
      </c>
      <c r="L247" s="3" t="n">
        <v>20990.0</v>
      </c>
      <c r="M247" s="3" t="n">
        <v>20475.0</v>
      </c>
      <c r="N247" s="3" t="n">
        <v>19514.0</v>
      </c>
      <c r="O247" s="3" t="n">
        <v>19367.0</v>
      </c>
      <c r="P247" s="3" t="n">
        <v>18522.0</v>
      </c>
      <c r="Q247" s="3" t="n">
        <v>17788.0</v>
      </c>
      <c r="R247" s="3" t="n">
        <v>17459.0</v>
      </c>
      <c r="S247" s="3" t="n">
        <v>17417.0</v>
      </c>
      <c r="T247" s="3" t="n">
        <v>18050.0</v>
      </c>
      <c r="U247" s="3" t="n">
        <v>18610.0</v>
      </c>
      <c r="V247" s="3" t="n">
        <v>19566.0</v>
      </c>
      <c r="W247" s="3" t="n">
        <v>21170.0</v>
      </c>
      <c r="X247" s="3" t="n">
        <v>21473.0</v>
      </c>
      <c r="Y247" s="3" t="n">
        <v>21145.0</v>
      </c>
      <c r="Z247" s="3" t="n">
        <v>20422.0</v>
      </c>
      <c r="AA247" s="3" t="n">
        <v>20425.0</v>
      </c>
      <c r="AB247" s="3" t="n">
        <v>19801.0</v>
      </c>
      <c r="AC247" s="3" t="n">
        <v>19981.0</v>
      </c>
      <c r="AD247" s="3" t="n">
        <v>20167.0</v>
      </c>
      <c r="AE247" s="3" t="n">
        <v>20798.0</v>
      </c>
      <c r="AF247" s="3" t="n">
        <v>21448.0</v>
      </c>
      <c r="AG247" s="3" t="n">
        <v>20929.0</v>
      </c>
      <c r="AH247" s="3" t="n">
        <v>20546.0</v>
      </c>
      <c r="AI247" s="3" t="n">
        <v>19302.0</v>
      </c>
      <c r="AJ247" s="3" t="n">
        <v>18701.0</v>
      </c>
      <c r="AK247" s="3" t="n">
        <v>17231.0</v>
      </c>
      <c r="AL247" s="3" t="n">
        <v>17877.0</v>
      </c>
      <c r="AM247" s="3" t="n">
        <v>18089.0</v>
      </c>
      <c r="AN247" s="3" t="n">
        <v>18292.0</v>
      </c>
      <c r="AO247" s="3" t="n">
        <v>18350.0</v>
      </c>
    </row>
    <row r="248" spans="1:41" x14ac:dyDescent="0.2">
      <c r="A248" s="122"/>
      <c r="B248" s="9">
        <v>35</v>
      </c>
      <c r="C248" s="3" t="n">
        <v>26623.0</v>
      </c>
      <c r="D248" s="3" t="n">
        <v>26698.0</v>
      </c>
      <c r="E248" s="3" t="n">
        <v>26429.0</v>
      </c>
      <c r="F248" s="3" t="n">
        <v>26095.0</v>
      </c>
      <c r="G248" s="3" t="n">
        <v>26638.0</v>
      </c>
      <c r="H248" s="3" t="n">
        <v>25518.0</v>
      </c>
      <c r="I248" s="3" t="n">
        <v>24864.0</v>
      </c>
      <c r="J248" s="3" t="n">
        <v>24210.0</v>
      </c>
      <c r="K248" s="3" t="n">
        <v>22801.0</v>
      </c>
      <c r="L248" s="3" t="n">
        <v>21980.0</v>
      </c>
      <c r="M248" s="3" t="n">
        <v>21034.0</v>
      </c>
      <c r="N248" s="3" t="n">
        <v>20509.0</v>
      </c>
      <c r="O248" s="3" t="n">
        <v>19554.0</v>
      </c>
      <c r="P248" s="3" t="n">
        <v>19409.0</v>
      </c>
      <c r="Q248" s="3" t="n">
        <v>18561.0</v>
      </c>
      <c r="R248" s="3" t="n">
        <v>17829.0</v>
      </c>
      <c r="S248" s="3" t="n">
        <v>17507.0</v>
      </c>
      <c r="T248" s="3" t="n">
        <v>17468.0</v>
      </c>
      <c r="U248" s="3" t="n">
        <v>18111.0</v>
      </c>
      <c r="V248" s="3" t="n">
        <v>18667.0</v>
      </c>
      <c r="W248" s="3" t="n">
        <v>19627.0</v>
      </c>
      <c r="X248" s="3" t="n">
        <v>21228.0</v>
      </c>
      <c r="Y248" s="3" t="n">
        <v>21533.0</v>
      </c>
      <c r="Z248" s="3" t="n">
        <v>21203.0</v>
      </c>
      <c r="AA248" s="3" t="n">
        <v>20476.0</v>
      </c>
      <c r="AB248" s="3" t="n">
        <v>20476.0</v>
      </c>
      <c r="AC248" s="3" t="n">
        <v>19853.0</v>
      </c>
      <c r="AD248" s="3" t="n">
        <v>20033.0</v>
      </c>
      <c r="AE248" s="3" t="n">
        <v>20217.0</v>
      </c>
      <c r="AF248" s="3" t="n">
        <v>20849.0</v>
      </c>
      <c r="AG248" s="3" t="n">
        <v>21500.0</v>
      </c>
      <c r="AH248" s="3" t="n">
        <v>20977.0</v>
      </c>
      <c r="AI248" s="3" t="n">
        <v>20587.0</v>
      </c>
      <c r="AJ248" s="3" t="n">
        <v>19342.0</v>
      </c>
      <c r="AK248" s="3" t="n">
        <v>18741.0</v>
      </c>
      <c r="AL248" s="3" t="n">
        <v>17267.0</v>
      </c>
      <c r="AM248" s="3" t="n">
        <v>17913.0</v>
      </c>
      <c r="AN248" s="3" t="n">
        <v>18125.0</v>
      </c>
      <c r="AO248" s="3" t="n">
        <v>18326.0</v>
      </c>
    </row>
    <row r="249" spans="1:41" x14ac:dyDescent="0.2">
      <c r="A249" s="122"/>
      <c r="B249" s="9">
        <v>36</v>
      </c>
      <c r="C249" s="3" t="n">
        <v>27419.0</v>
      </c>
      <c r="D249" s="3" t="n">
        <v>26636.0</v>
      </c>
      <c r="E249" s="3" t="n">
        <v>26711.0</v>
      </c>
      <c r="F249" s="3" t="n">
        <v>26446.0</v>
      </c>
      <c r="G249" s="3" t="n">
        <v>26103.0</v>
      </c>
      <c r="H249" s="3" t="n">
        <v>26849.0</v>
      </c>
      <c r="I249" s="3" t="n">
        <v>25804.0</v>
      </c>
      <c r="J249" s="3" t="n">
        <v>25001.0</v>
      </c>
      <c r="K249" s="3" t="n">
        <v>24263.0</v>
      </c>
      <c r="L249" s="3" t="n">
        <v>22829.0</v>
      </c>
      <c r="M249" s="3" t="n">
        <v>22001.0</v>
      </c>
      <c r="N249" s="3" t="n">
        <v>21050.0</v>
      </c>
      <c r="O249" s="3" t="n">
        <v>20512.0</v>
      </c>
      <c r="P249" s="3" t="n">
        <v>19561.0</v>
      </c>
      <c r="Q249" s="3" t="n">
        <v>19418.0</v>
      </c>
      <c r="R249" s="3" t="n">
        <v>18572.0</v>
      </c>
      <c r="S249" s="3" t="n">
        <v>17842.0</v>
      </c>
      <c r="T249" s="3" t="n">
        <v>17522.0</v>
      </c>
      <c r="U249" s="3" t="n">
        <v>17487.0</v>
      </c>
      <c r="V249" s="3" t="n">
        <v>18137.0</v>
      </c>
      <c r="W249" s="3" t="n">
        <v>18694.0</v>
      </c>
      <c r="X249" s="3" t="n">
        <v>19648.0</v>
      </c>
      <c r="Y249" s="3" t="n">
        <v>21252.0</v>
      </c>
      <c r="Z249" s="3" t="n">
        <v>21556.0</v>
      </c>
      <c r="AA249" s="3" t="n">
        <v>21225.0</v>
      </c>
      <c r="AB249" s="3" t="n">
        <v>20500.0</v>
      </c>
      <c r="AC249" s="3" t="n">
        <v>20496.0</v>
      </c>
      <c r="AD249" s="3" t="n">
        <v>19876.0</v>
      </c>
      <c r="AE249" s="3" t="n">
        <v>20059.0</v>
      </c>
      <c r="AF249" s="3" t="n">
        <v>20236.0</v>
      </c>
      <c r="AG249" s="3" t="n">
        <v>20868.0</v>
      </c>
      <c r="AH249" s="3" t="n">
        <v>21518.0</v>
      </c>
      <c r="AI249" s="3" t="n">
        <v>20992.0</v>
      </c>
      <c r="AJ249" s="3" t="n">
        <v>20600.0</v>
      </c>
      <c r="AK249" s="3" t="n">
        <v>19351.0</v>
      </c>
      <c r="AL249" s="3" t="n">
        <v>18751.0</v>
      </c>
      <c r="AM249" s="3" t="n">
        <v>17286.0</v>
      </c>
      <c r="AN249" s="3" t="n">
        <v>17929.0</v>
      </c>
      <c r="AO249" s="3" t="n">
        <v>18137.0</v>
      </c>
    </row>
    <row r="250" spans="1:41" x14ac:dyDescent="0.2">
      <c r="A250" s="122"/>
      <c r="B250" s="9">
        <v>37</v>
      </c>
      <c r="C250" s="3" t="n">
        <v>28713.0</v>
      </c>
      <c r="D250" s="3" t="n">
        <v>27437.0</v>
      </c>
      <c r="E250" s="3" t="n">
        <v>26651.0</v>
      </c>
      <c r="F250" s="3" t="n">
        <v>26724.0</v>
      </c>
      <c r="G250" s="3" t="n">
        <v>26456.0</v>
      </c>
      <c r="H250" s="3" t="n">
        <v>26325.0</v>
      </c>
      <c r="I250" s="3" t="n">
        <v>27144.0</v>
      </c>
      <c r="J250" s="3" t="n">
        <v>25931.0</v>
      </c>
      <c r="K250" s="3" t="n">
        <v>25053.0</v>
      </c>
      <c r="L250" s="3" t="n">
        <v>24284.0</v>
      </c>
      <c r="M250" s="3" t="n">
        <v>22842.0</v>
      </c>
      <c r="N250" s="3" t="n">
        <v>22001.0</v>
      </c>
      <c r="O250" s="3" t="n">
        <v>21049.0</v>
      </c>
      <c r="P250" s="3" t="n">
        <v>20515.0</v>
      </c>
      <c r="Q250" s="3" t="n">
        <v>19567.0</v>
      </c>
      <c r="R250" s="3" t="n">
        <v>19425.0</v>
      </c>
      <c r="S250" s="3" t="n">
        <v>18581.0</v>
      </c>
      <c r="T250" s="3" t="n">
        <v>17853.0</v>
      </c>
      <c r="U250" s="3" t="n">
        <v>17534.0</v>
      </c>
      <c r="V250" s="3" t="n">
        <v>17504.0</v>
      </c>
      <c r="W250" s="3" t="n">
        <v>18156.0</v>
      </c>
      <c r="X250" s="3" t="n">
        <v>18712.0</v>
      </c>
      <c r="Y250" s="3" t="n">
        <v>19665.0</v>
      </c>
      <c r="Z250" s="3" t="n">
        <v>21266.0</v>
      </c>
      <c r="AA250" s="3" t="n">
        <v>21573.0</v>
      </c>
      <c r="AB250" s="3" t="n">
        <v>21244.0</v>
      </c>
      <c r="AC250" s="3" t="n">
        <v>20516.0</v>
      </c>
      <c r="AD250" s="3" t="n">
        <v>20511.0</v>
      </c>
      <c r="AE250" s="3" t="n">
        <v>19888.0</v>
      </c>
      <c r="AF250" s="3" t="n">
        <v>20071.0</v>
      </c>
      <c r="AG250" s="3" t="n">
        <v>20250.0</v>
      </c>
      <c r="AH250" s="3" t="n">
        <v>20877.0</v>
      </c>
      <c r="AI250" s="3" t="n">
        <v>21525.0</v>
      </c>
      <c r="AJ250" s="3" t="n">
        <v>20997.0</v>
      </c>
      <c r="AK250" s="3" t="n">
        <v>20607.0</v>
      </c>
      <c r="AL250" s="3" t="n">
        <v>19358.0</v>
      </c>
      <c r="AM250" s="3" t="n">
        <v>18756.0</v>
      </c>
      <c r="AN250" s="3" t="n">
        <v>17287.0</v>
      </c>
      <c r="AO250" s="3" t="n">
        <v>17931.0</v>
      </c>
    </row>
    <row r="251" spans="1:41" x14ac:dyDescent="0.2">
      <c r="A251" s="122"/>
      <c r="B251" s="9">
        <v>38</v>
      </c>
      <c r="C251" s="3" t="n">
        <v>29473.0</v>
      </c>
      <c r="D251" s="3" t="n">
        <v>28725.0</v>
      </c>
      <c r="E251" s="3" t="n">
        <v>27445.0</v>
      </c>
      <c r="F251" s="3" t="n">
        <v>26661.0</v>
      </c>
      <c r="G251" s="3" t="n">
        <v>26729.0</v>
      </c>
      <c r="H251" s="3" t="n">
        <v>26669.0</v>
      </c>
      <c r="I251" s="3" t="n">
        <v>26613.0</v>
      </c>
      <c r="J251" s="3" t="n">
        <v>27264.0</v>
      </c>
      <c r="K251" s="3" t="n">
        <v>25962.0</v>
      </c>
      <c r="L251" s="3" t="n">
        <v>25065.0</v>
      </c>
      <c r="M251" s="3" t="n">
        <v>24284.0</v>
      </c>
      <c r="N251" s="3" t="n">
        <v>22837.0</v>
      </c>
      <c r="O251" s="3" t="n">
        <v>22000.0</v>
      </c>
      <c r="P251" s="3" t="n">
        <v>21047.0</v>
      </c>
      <c r="Q251" s="3" t="n">
        <v>20511.0</v>
      </c>
      <c r="R251" s="3" t="n">
        <v>19565.0</v>
      </c>
      <c r="S251" s="3" t="n">
        <v>19428.0</v>
      </c>
      <c r="T251" s="3" t="n">
        <v>18584.0</v>
      </c>
      <c r="U251" s="3" t="n">
        <v>17860.0</v>
      </c>
      <c r="V251" s="3" t="n">
        <v>17545.0</v>
      </c>
      <c r="W251" s="3" t="n">
        <v>17517.0</v>
      </c>
      <c r="X251" s="3" t="n">
        <v>18170.0</v>
      </c>
      <c r="Y251" s="3" t="n">
        <v>18727.0</v>
      </c>
      <c r="Z251" s="3" t="n">
        <v>19677.0</v>
      </c>
      <c r="AA251" s="3" t="n">
        <v>21278.0</v>
      </c>
      <c r="AB251" s="3" t="n">
        <v>21582.0</v>
      </c>
      <c r="AC251" s="3" t="n">
        <v>21252.0</v>
      </c>
      <c r="AD251" s="3" t="n">
        <v>20527.0</v>
      </c>
      <c r="AE251" s="3" t="n">
        <v>20522.0</v>
      </c>
      <c r="AF251" s="3" t="n">
        <v>19903.0</v>
      </c>
      <c r="AG251" s="3" t="n">
        <v>20084.0</v>
      </c>
      <c r="AH251" s="3" t="n">
        <v>20262.0</v>
      </c>
      <c r="AI251" s="3" t="n">
        <v>20886.0</v>
      </c>
      <c r="AJ251" s="3" t="n">
        <v>21534.0</v>
      </c>
      <c r="AK251" s="3" t="n">
        <v>21002.0</v>
      </c>
      <c r="AL251" s="3" t="n">
        <v>20608.0</v>
      </c>
      <c r="AM251" s="3" t="n">
        <v>19361.0</v>
      </c>
      <c r="AN251" s="3" t="n">
        <v>18755.0</v>
      </c>
      <c r="AO251" s="3" t="n">
        <v>17288.0</v>
      </c>
    </row>
    <row r="252" spans="1:41" x14ac:dyDescent="0.2">
      <c r="A252" s="122"/>
      <c r="B252" s="9">
        <v>39</v>
      </c>
      <c r="C252" s="3" t="n">
        <v>30181.0</v>
      </c>
      <c r="D252" s="3" t="n">
        <v>29479.0</v>
      </c>
      <c r="E252" s="3" t="n">
        <v>28728.0</v>
      </c>
      <c r="F252" s="3" t="n">
        <v>27451.0</v>
      </c>
      <c r="G252" s="3" t="n">
        <v>26667.0</v>
      </c>
      <c r="H252" s="3" t="n">
        <v>26942.0</v>
      </c>
      <c r="I252" s="3" t="n">
        <v>26959.0</v>
      </c>
      <c r="J252" s="3" t="n">
        <v>26738.0</v>
      </c>
      <c r="K252" s="3" t="n">
        <v>27306.0</v>
      </c>
      <c r="L252" s="3" t="n">
        <v>25975.0</v>
      </c>
      <c r="M252" s="3" t="n">
        <v>25058.0</v>
      </c>
      <c r="N252" s="3" t="n">
        <v>24268.0</v>
      </c>
      <c r="O252" s="3" t="n">
        <v>22825.0</v>
      </c>
      <c r="P252" s="3" t="n">
        <v>21992.0</v>
      </c>
      <c r="Q252" s="3" t="n">
        <v>21036.0</v>
      </c>
      <c r="R252" s="3" t="n">
        <v>20503.0</v>
      </c>
      <c r="S252" s="3" t="n">
        <v>19562.0</v>
      </c>
      <c r="T252" s="3" t="n">
        <v>19429.0</v>
      </c>
      <c r="U252" s="3" t="n">
        <v>18592.0</v>
      </c>
      <c r="V252" s="3" t="n">
        <v>17869.0</v>
      </c>
      <c r="W252" s="3" t="n">
        <v>17560.0</v>
      </c>
      <c r="X252" s="3" t="n">
        <v>17531.0</v>
      </c>
      <c r="Y252" s="3" t="n">
        <v>18178.0</v>
      </c>
      <c r="Z252" s="3" t="n">
        <v>18743.0</v>
      </c>
      <c r="AA252" s="3" t="n">
        <v>19691.0</v>
      </c>
      <c r="AB252" s="3" t="n">
        <v>21286.0</v>
      </c>
      <c r="AC252" s="3" t="n">
        <v>21593.0</v>
      </c>
      <c r="AD252" s="3" t="n">
        <v>21264.0</v>
      </c>
      <c r="AE252" s="3" t="n">
        <v>20544.0</v>
      </c>
      <c r="AF252" s="3" t="n">
        <v>20532.0</v>
      </c>
      <c r="AG252" s="3" t="n">
        <v>19910.0</v>
      </c>
      <c r="AH252" s="3" t="n">
        <v>20092.0</v>
      </c>
      <c r="AI252" s="3" t="n">
        <v>20270.0</v>
      </c>
      <c r="AJ252" s="3" t="n">
        <v>20892.0</v>
      </c>
      <c r="AK252" s="3" t="n">
        <v>21541.0</v>
      </c>
      <c r="AL252" s="3" t="n">
        <v>21006.0</v>
      </c>
      <c r="AM252" s="3" t="n">
        <v>20609.0</v>
      </c>
      <c r="AN252" s="3" t="n">
        <v>19367.0</v>
      </c>
      <c r="AO252" s="3" t="n">
        <v>18763.0</v>
      </c>
    </row>
    <row r="253" spans="1:41" x14ac:dyDescent="0.2">
      <c r="A253" s="122"/>
      <c r="B253" s="9">
        <v>40</v>
      </c>
      <c r="C253" s="3" t="n">
        <v>28569.0</v>
      </c>
      <c r="D253" s="3" t="n">
        <v>30184.0</v>
      </c>
      <c r="E253" s="3" t="n">
        <v>29479.0</v>
      </c>
      <c r="F253" s="3" t="n">
        <v>28731.0</v>
      </c>
      <c r="G253" s="3" t="n">
        <v>27463.0</v>
      </c>
      <c r="H253" s="3" t="n">
        <v>26855.0</v>
      </c>
      <c r="I253" s="3" t="n">
        <v>27193.0</v>
      </c>
      <c r="J253" s="3" t="n">
        <v>27069.0</v>
      </c>
      <c r="K253" s="3" t="n">
        <v>26775.0</v>
      </c>
      <c r="L253" s="3" t="n">
        <v>27309.0</v>
      </c>
      <c r="M253" s="3" t="n">
        <v>25968.0</v>
      </c>
      <c r="N253" s="3" t="n">
        <v>25043.0</v>
      </c>
      <c r="O253" s="3" t="n">
        <v>24253.0</v>
      </c>
      <c r="P253" s="3" t="n">
        <v>22812.0</v>
      </c>
      <c r="Q253" s="3" t="n">
        <v>21979.0</v>
      </c>
      <c r="R253" s="3" t="n">
        <v>21027.0</v>
      </c>
      <c r="S253" s="3" t="n">
        <v>20494.0</v>
      </c>
      <c r="T253" s="3" t="n">
        <v>19553.0</v>
      </c>
      <c r="U253" s="3" t="n">
        <v>19422.0</v>
      </c>
      <c r="V253" s="3" t="n">
        <v>18594.0</v>
      </c>
      <c r="W253" s="3" t="n">
        <v>17873.0</v>
      </c>
      <c r="X253" s="3" t="n">
        <v>17564.0</v>
      </c>
      <c r="Y253" s="3" t="n">
        <v>17537.0</v>
      </c>
      <c r="Z253" s="3" t="n">
        <v>18183.0</v>
      </c>
      <c r="AA253" s="3" t="n">
        <v>18751.0</v>
      </c>
      <c r="AB253" s="3" t="n">
        <v>19697.0</v>
      </c>
      <c r="AC253" s="3" t="n">
        <v>21290.0</v>
      </c>
      <c r="AD253" s="3" t="n">
        <v>21599.0</v>
      </c>
      <c r="AE253" s="3" t="n">
        <v>21269.0</v>
      </c>
      <c r="AF253" s="3" t="n">
        <v>20552.0</v>
      </c>
      <c r="AG253" s="3" t="n">
        <v>20538.0</v>
      </c>
      <c r="AH253" s="3" t="n">
        <v>19916.0</v>
      </c>
      <c r="AI253" s="3" t="n">
        <v>20099.0</v>
      </c>
      <c r="AJ253" s="3" t="n">
        <v>20276.0</v>
      </c>
      <c r="AK253" s="3" t="n">
        <v>20896.0</v>
      </c>
      <c r="AL253" s="3" t="n">
        <v>21546.0</v>
      </c>
      <c r="AM253" s="3" t="n">
        <v>21013.0</v>
      </c>
      <c r="AN253" s="3" t="n">
        <v>20610.0</v>
      </c>
      <c r="AO253" s="3" t="n">
        <v>19365.0</v>
      </c>
    </row>
    <row r="254" spans="1:41" x14ac:dyDescent="0.2">
      <c r="A254" s="122"/>
      <c r="B254" s="9">
        <v>41</v>
      </c>
      <c r="C254" s="3" t="n">
        <v>27383.0</v>
      </c>
      <c r="D254" s="3" t="n">
        <v>28547.0</v>
      </c>
      <c r="E254" s="3" t="n">
        <v>30160.0</v>
      </c>
      <c r="F254" s="3" t="n">
        <v>29456.0</v>
      </c>
      <c r="G254" s="3" t="n">
        <v>28721.0</v>
      </c>
      <c r="H254" s="3" t="n">
        <v>27604.0</v>
      </c>
      <c r="I254" s="3" t="n">
        <v>27055.0</v>
      </c>
      <c r="J254" s="3" t="n">
        <v>27272.0</v>
      </c>
      <c r="K254" s="3" t="n">
        <v>27082.0</v>
      </c>
      <c r="L254" s="3" t="n">
        <v>26766.0</v>
      </c>
      <c r="M254" s="3" t="n">
        <v>27291.0</v>
      </c>
      <c r="N254" s="3" t="n">
        <v>25942.0</v>
      </c>
      <c r="O254" s="3" t="n">
        <v>25013.0</v>
      </c>
      <c r="P254" s="3" t="n">
        <v>24222.0</v>
      </c>
      <c r="Q254" s="3" t="n">
        <v>22782.0</v>
      </c>
      <c r="R254" s="3" t="n">
        <v>21951.0</v>
      </c>
      <c r="S254" s="3" t="n">
        <v>21003.0</v>
      </c>
      <c r="T254" s="3" t="n">
        <v>20471.0</v>
      </c>
      <c r="U254" s="3" t="n">
        <v>19534.0</v>
      </c>
      <c r="V254" s="3" t="n">
        <v>19402.0</v>
      </c>
      <c r="W254" s="3" t="n">
        <v>18577.0</v>
      </c>
      <c r="X254" s="3" t="n">
        <v>17865.0</v>
      </c>
      <c r="Y254" s="3" t="n">
        <v>17559.0</v>
      </c>
      <c r="Z254" s="3" t="n">
        <v>17535.0</v>
      </c>
      <c r="AA254" s="3" t="n">
        <v>18182.0</v>
      </c>
      <c r="AB254" s="3" t="n">
        <v>18744.0</v>
      </c>
      <c r="AC254" s="3" t="n">
        <v>19694.0</v>
      </c>
      <c r="AD254" s="3" t="n">
        <v>21280.0</v>
      </c>
      <c r="AE254" s="3" t="n">
        <v>21589.0</v>
      </c>
      <c r="AF254" s="3" t="n">
        <v>21260.0</v>
      </c>
      <c r="AG254" s="3" t="n">
        <v>20544.0</v>
      </c>
      <c r="AH254" s="3" t="n">
        <v>20526.0</v>
      </c>
      <c r="AI254" s="3" t="n">
        <v>19907.0</v>
      </c>
      <c r="AJ254" s="3" t="n">
        <v>20094.0</v>
      </c>
      <c r="AK254" s="3" t="n">
        <v>20271.0</v>
      </c>
      <c r="AL254" s="3" t="n">
        <v>20885.0</v>
      </c>
      <c r="AM254" s="3" t="n">
        <v>21533.0</v>
      </c>
      <c r="AN254" s="3" t="n">
        <v>20999.0</v>
      </c>
      <c r="AO254" s="3" t="n">
        <v>20598.0</v>
      </c>
    </row>
    <row r="255" spans="1:41" x14ac:dyDescent="0.2">
      <c r="A255" s="122"/>
      <c r="B255" s="9">
        <v>42</v>
      </c>
      <c r="C255" s="3" t="n">
        <v>27649.0</v>
      </c>
      <c r="D255" s="3" t="n">
        <v>27356.0</v>
      </c>
      <c r="E255" s="3" t="n">
        <v>28519.0</v>
      </c>
      <c r="F255" s="3" t="n">
        <v>30128.0</v>
      </c>
      <c r="G255" s="3" t="n">
        <v>29423.0</v>
      </c>
      <c r="H255" s="3" t="n">
        <v>28850.0</v>
      </c>
      <c r="I255" s="3" t="n">
        <v>27800.0</v>
      </c>
      <c r="J255" s="3" t="n">
        <v>27127.0</v>
      </c>
      <c r="K255" s="3" t="n">
        <v>27286.0</v>
      </c>
      <c r="L255" s="3" t="n">
        <v>27070.0</v>
      </c>
      <c r="M255" s="3" t="n">
        <v>26736.0</v>
      </c>
      <c r="N255" s="3" t="n">
        <v>27255.0</v>
      </c>
      <c r="O255" s="3" t="n">
        <v>25909.0</v>
      </c>
      <c r="P255" s="3" t="n">
        <v>24987.0</v>
      </c>
      <c r="Q255" s="3" t="n">
        <v>24195.0</v>
      </c>
      <c r="R255" s="3" t="n">
        <v>22758.0</v>
      </c>
      <c r="S255" s="3" t="n">
        <v>21933.0</v>
      </c>
      <c r="T255" s="3" t="n">
        <v>20991.0</v>
      </c>
      <c r="U255" s="3" t="n">
        <v>20454.0</v>
      </c>
      <c r="V255" s="3" t="n">
        <v>19519.0</v>
      </c>
      <c r="W255" s="3" t="n">
        <v>19391.0</v>
      </c>
      <c r="X255" s="3" t="n">
        <v>18569.0</v>
      </c>
      <c r="Y255" s="3" t="n">
        <v>17857.0</v>
      </c>
      <c r="Z255" s="3" t="n">
        <v>17552.0</v>
      </c>
      <c r="AA255" s="3" t="n">
        <v>17531.0</v>
      </c>
      <c r="AB255" s="3" t="n">
        <v>18177.0</v>
      </c>
      <c r="AC255" s="3" t="n">
        <v>18741.0</v>
      </c>
      <c r="AD255" s="3" t="n">
        <v>19696.0</v>
      </c>
      <c r="AE255" s="3" t="n">
        <v>21279.0</v>
      </c>
      <c r="AF255" s="3" t="n">
        <v>21580.0</v>
      </c>
      <c r="AG255" s="3" t="n">
        <v>21257.0</v>
      </c>
      <c r="AH255" s="3" t="n">
        <v>20544.0</v>
      </c>
      <c r="AI255" s="3" t="n">
        <v>20527.0</v>
      </c>
      <c r="AJ255" s="3" t="n">
        <v>19907.0</v>
      </c>
      <c r="AK255" s="3" t="n">
        <v>20094.0</v>
      </c>
      <c r="AL255" s="3" t="n">
        <v>20270.0</v>
      </c>
      <c r="AM255" s="3" t="n">
        <v>20884.0</v>
      </c>
      <c r="AN255" s="3" t="n">
        <v>21531.0</v>
      </c>
      <c r="AO255" s="3" t="n">
        <v>20996.0</v>
      </c>
    </row>
    <row r="256" spans="1:41" x14ac:dyDescent="0.2">
      <c r="A256" s="122"/>
      <c r="B256" s="9">
        <v>43</v>
      </c>
      <c r="C256" s="3" t="n">
        <v>27050.0</v>
      </c>
      <c r="D256" s="3" t="n">
        <v>27626.0</v>
      </c>
      <c r="E256" s="3" t="n">
        <v>27325.0</v>
      </c>
      <c r="F256" s="3" t="n">
        <v>28490.0</v>
      </c>
      <c r="G256" s="3" t="n">
        <v>30101.0</v>
      </c>
      <c r="H256" s="3" t="n">
        <v>29550.0</v>
      </c>
      <c r="I256" s="3" t="n">
        <v>29042.0</v>
      </c>
      <c r="J256" s="3" t="n">
        <v>27876.0</v>
      </c>
      <c r="K256" s="3" t="n">
        <v>27130.0</v>
      </c>
      <c r="L256" s="3" t="n">
        <v>27267.0</v>
      </c>
      <c r="M256" s="3" t="n">
        <v>27040.0</v>
      </c>
      <c r="N256" s="3" t="n">
        <v>26698.0</v>
      </c>
      <c r="O256" s="3" t="n">
        <v>27211.0</v>
      </c>
      <c r="P256" s="3" t="n">
        <v>25867.0</v>
      </c>
      <c r="Q256" s="3" t="n">
        <v>24948.0</v>
      </c>
      <c r="R256" s="3" t="n">
        <v>24157.0</v>
      </c>
      <c r="S256" s="3" t="n">
        <v>22722.0</v>
      </c>
      <c r="T256" s="3" t="n">
        <v>21903.0</v>
      </c>
      <c r="U256" s="3" t="n">
        <v>20965.0</v>
      </c>
      <c r="V256" s="3" t="n">
        <v>20428.0</v>
      </c>
      <c r="W256" s="3" t="n">
        <v>19497.0</v>
      </c>
      <c r="X256" s="3" t="n">
        <v>19372.0</v>
      </c>
      <c r="Y256" s="3" t="n">
        <v>18552.0</v>
      </c>
      <c r="Z256" s="3" t="n">
        <v>17844.0</v>
      </c>
      <c r="AA256" s="3" t="n">
        <v>17536.0</v>
      </c>
      <c r="AB256" s="3" t="n">
        <v>17520.0</v>
      </c>
      <c r="AC256" s="3" t="n">
        <v>18165.0</v>
      </c>
      <c r="AD256" s="3" t="n">
        <v>18727.0</v>
      </c>
      <c r="AE256" s="3" t="n">
        <v>19680.0</v>
      </c>
      <c r="AF256" s="3" t="n">
        <v>21261.0</v>
      </c>
      <c r="AG256" s="3" t="n">
        <v>21562.0</v>
      </c>
      <c r="AH256" s="3" t="n">
        <v>21232.0</v>
      </c>
      <c r="AI256" s="3" t="n">
        <v>20526.0</v>
      </c>
      <c r="AJ256" s="3" t="n">
        <v>20509.0</v>
      </c>
      <c r="AK256" s="3" t="n">
        <v>19888.0</v>
      </c>
      <c r="AL256" s="3" t="n">
        <v>20075.0</v>
      </c>
      <c r="AM256" s="3" t="n">
        <v>20250.0</v>
      </c>
      <c r="AN256" s="3" t="n">
        <v>20865.0</v>
      </c>
      <c r="AO256" s="3" t="n">
        <v>21510.0</v>
      </c>
    </row>
    <row r="257" spans="1:41" x14ac:dyDescent="0.2">
      <c r="A257" s="122"/>
      <c r="B257" s="9">
        <v>44</v>
      </c>
      <c r="C257" s="3" t="n">
        <v>26787.0</v>
      </c>
      <c r="D257" s="3" t="n">
        <v>27018.0</v>
      </c>
      <c r="E257" s="3" t="n">
        <v>27595.0</v>
      </c>
      <c r="F257" s="3" t="n">
        <v>27295.0</v>
      </c>
      <c r="G257" s="3" t="n">
        <v>28462.0</v>
      </c>
      <c r="H257" s="3" t="n">
        <v>30230.0</v>
      </c>
      <c r="I257" s="3" t="n">
        <v>29738.0</v>
      </c>
      <c r="J257" s="3" t="n">
        <v>29114.0</v>
      </c>
      <c r="K257" s="3" t="n">
        <v>27881.0</v>
      </c>
      <c r="L257" s="3" t="n">
        <v>27114.0</v>
      </c>
      <c r="M257" s="3" t="n">
        <v>27238.0</v>
      </c>
      <c r="N257" s="3" t="n">
        <v>27002.0</v>
      </c>
      <c r="O257" s="3" t="n">
        <v>26654.0</v>
      </c>
      <c r="P257" s="3" t="n">
        <v>27165.0</v>
      </c>
      <c r="Q257" s="3" t="n">
        <v>25821.0</v>
      </c>
      <c r="R257" s="3" t="n">
        <v>24906.0</v>
      </c>
      <c r="S257" s="3" t="n">
        <v>24116.0</v>
      </c>
      <c r="T257" s="3" t="n">
        <v>22685.0</v>
      </c>
      <c r="U257" s="3" t="n">
        <v>21864.0</v>
      </c>
      <c r="V257" s="3" t="n">
        <v>20932.0</v>
      </c>
      <c r="W257" s="3" t="n">
        <v>20396.0</v>
      </c>
      <c r="X257" s="3" t="n">
        <v>19465.0</v>
      </c>
      <c r="Y257" s="3" t="n">
        <v>19346.0</v>
      </c>
      <c r="Z257" s="3" t="n">
        <v>18530.0</v>
      </c>
      <c r="AA257" s="3" t="n">
        <v>17820.0</v>
      </c>
      <c r="AB257" s="3" t="n">
        <v>17514.0</v>
      </c>
      <c r="AC257" s="3" t="n">
        <v>17497.0</v>
      </c>
      <c r="AD257" s="3" t="n">
        <v>18142.0</v>
      </c>
      <c r="AE257" s="3" t="n">
        <v>18706.0</v>
      </c>
      <c r="AF257" s="3" t="n">
        <v>19660.0</v>
      </c>
      <c r="AG257" s="3" t="n">
        <v>21242.0</v>
      </c>
      <c r="AH257" s="3" t="n">
        <v>21542.0</v>
      </c>
      <c r="AI257" s="3" t="n">
        <v>21211.0</v>
      </c>
      <c r="AJ257" s="3" t="n">
        <v>20504.0</v>
      </c>
      <c r="AK257" s="3" t="n">
        <v>20489.0</v>
      </c>
      <c r="AL257" s="3" t="n">
        <v>19868.0</v>
      </c>
      <c r="AM257" s="3" t="n">
        <v>20056.0</v>
      </c>
      <c r="AN257" s="3" t="n">
        <v>20231.0</v>
      </c>
      <c r="AO257" s="3" t="n">
        <v>20844.0</v>
      </c>
    </row>
    <row r="258" spans="1:41" x14ac:dyDescent="0.2">
      <c r="A258" s="122"/>
      <c r="B258" s="9">
        <v>45</v>
      </c>
      <c r="C258" s="3" t="n">
        <v>26099.0</v>
      </c>
      <c r="D258" s="3" t="n">
        <v>26758.0</v>
      </c>
      <c r="E258" s="3" t="n">
        <v>26988.0</v>
      </c>
      <c r="F258" s="3" t="n">
        <v>27569.0</v>
      </c>
      <c r="G258" s="3" t="n">
        <v>27273.0</v>
      </c>
      <c r="H258" s="3" t="n">
        <v>28567.0</v>
      </c>
      <c r="I258" s="3" t="n">
        <v>30381.0</v>
      </c>
      <c r="J258" s="3" t="n">
        <v>29792.0</v>
      </c>
      <c r="K258" s="3" t="n">
        <v>29122.0</v>
      </c>
      <c r="L258" s="3" t="n">
        <v>27864.0</v>
      </c>
      <c r="M258" s="3" t="n">
        <v>27089.0</v>
      </c>
      <c r="N258" s="3" t="n">
        <v>27203.0</v>
      </c>
      <c r="O258" s="3" t="n">
        <v>26963.0</v>
      </c>
      <c r="P258" s="3" t="n">
        <v>26613.0</v>
      </c>
      <c r="Q258" s="3" t="n">
        <v>27118.0</v>
      </c>
      <c r="R258" s="3" t="n">
        <v>25774.0</v>
      </c>
      <c r="S258" s="3" t="n">
        <v>24861.0</v>
      </c>
      <c r="T258" s="3" t="n">
        <v>24073.0</v>
      </c>
      <c r="U258" s="3" t="n">
        <v>22652.0</v>
      </c>
      <c r="V258" s="3" t="n">
        <v>21831.0</v>
      </c>
      <c r="W258" s="3" t="n">
        <v>20902.0</v>
      </c>
      <c r="X258" s="3" t="n">
        <v>20370.0</v>
      </c>
      <c r="Y258" s="3" t="n">
        <v>19439.0</v>
      </c>
      <c r="Z258" s="3" t="n">
        <v>19319.0</v>
      </c>
      <c r="AA258" s="3" t="n">
        <v>18505.0</v>
      </c>
      <c r="AB258" s="3" t="n">
        <v>17799.0</v>
      </c>
      <c r="AC258" s="3" t="n">
        <v>17495.0</v>
      </c>
      <c r="AD258" s="3" t="n">
        <v>17477.0</v>
      </c>
      <c r="AE258" s="3" t="n">
        <v>18121.0</v>
      </c>
      <c r="AF258" s="3" t="n">
        <v>18686.0</v>
      </c>
      <c r="AG258" s="3" t="n">
        <v>19640.0</v>
      </c>
      <c r="AH258" s="3" t="n">
        <v>21222.0</v>
      </c>
      <c r="AI258" s="3" t="n">
        <v>21524.0</v>
      </c>
      <c r="AJ258" s="3" t="n">
        <v>21192.0</v>
      </c>
      <c r="AK258" s="3" t="n">
        <v>20484.0</v>
      </c>
      <c r="AL258" s="3" t="n">
        <v>20471.0</v>
      </c>
      <c r="AM258" s="3" t="n">
        <v>19850.0</v>
      </c>
      <c r="AN258" s="3" t="n">
        <v>20038.0</v>
      </c>
      <c r="AO258" s="3" t="n">
        <v>20212.0</v>
      </c>
    </row>
    <row r="259" spans="1:41" x14ac:dyDescent="0.2">
      <c r="A259" s="122"/>
      <c r="B259" s="9">
        <v>46</v>
      </c>
      <c r="C259" s="3" t="n">
        <v>26085.0</v>
      </c>
      <c r="D259" s="3" t="n">
        <v>26054.0</v>
      </c>
      <c r="E259" s="3" t="n">
        <v>26714.0</v>
      </c>
      <c r="F259" s="3" t="n">
        <v>26943.0</v>
      </c>
      <c r="G259" s="3" t="n">
        <v>27533.0</v>
      </c>
      <c r="H259" s="3" t="n">
        <v>27344.0</v>
      </c>
      <c r="I259" s="3" t="n">
        <v>28675.0</v>
      </c>
      <c r="J259" s="3" t="n">
        <v>30406.0</v>
      </c>
      <c r="K259" s="3" t="n">
        <v>29771.0</v>
      </c>
      <c r="L259" s="3" t="n">
        <v>29091.0</v>
      </c>
      <c r="M259" s="3" t="n">
        <v>27827.0</v>
      </c>
      <c r="N259" s="3" t="n">
        <v>27045.0</v>
      </c>
      <c r="O259" s="3" t="n">
        <v>27154.0</v>
      </c>
      <c r="P259" s="3" t="n">
        <v>26916.0</v>
      </c>
      <c r="Q259" s="3" t="n">
        <v>26569.0</v>
      </c>
      <c r="R259" s="3" t="n">
        <v>27069.0</v>
      </c>
      <c r="S259" s="3" t="n">
        <v>25720.0</v>
      </c>
      <c r="T259" s="3" t="n">
        <v>24813.0</v>
      </c>
      <c r="U259" s="3" t="n">
        <v>24022.0</v>
      </c>
      <c r="V259" s="3" t="n">
        <v>22604.0</v>
      </c>
      <c r="W259" s="3" t="n">
        <v>21789.0</v>
      </c>
      <c r="X259" s="3" t="n">
        <v>20863.0</v>
      </c>
      <c r="Y259" s="3" t="n">
        <v>20333.0</v>
      </c>
      <c r="Z259" s="3" t="n">
        <v>19408.0</v>
      </c>
      <c r="AA259" s="3" t="n">
        <v>19291.0</v>
      </c>
      <c r="AB259" s="3" t="n">
        <v>18480.0</v>
      </c>
      <c r="AC259" s="3" t="n">
        <v>17775.0</v>
      </c>
      <c r="AD259" s="3" t="n">
        <v>17474.0</v>
      </c>
      <c r="AE259" s="3" t="n">
        <v>17458.0</v>
      </c>
      <c r="AF259" s="3" t="n">
        <v>18102.0</v>
      </c>
      <c r="AG259" s="3" t="n">
        <v>18661.0</v>
      </c>
      <c r="AH259" s="3" t="n">
        <v>19614.0</v>
      </c>
      <c r="AI259" s="3" t="n">
        <v>21191.0</v>
      </c>
      <c r="AJ259" s="3" t="n">
        <v>21493.0</v>
      </c>
      <c r="AK259" s="3" t="n">
        <v>21164.0</v>
      </c>
      <c r="AL259" s="3" t="n">
        <v>20456.0</v>
      </c>
      <c r="AM259" s="3" t="n">
        <v>20443.0</v>
      </c>
      <c r="AN259" s="3" t="n">
        <v>19824.0</v>
      </c>
      <c r="AO259" s="3" t="n">
        <v>20013.0</v>
      </c>
    </row>
    <row r="260" spans="1:41" x14ac:dyDescent="0.2">
      <c r="A260" s="122"/>
      <c r="B260" s="9">
        <v>47</v>
      </c>
      <c r="C260" s="3" t="n">
        <v>25257.0</v>
      </c>
      <c r="D260" s="3" t="n">
        <v>26033.0</v>
      </c>
      <c r="E260" s="3" t="n">
        <v>26005.0</v>
      </c>
      <c r="F260" s="3" t="n">
        <v>26668.0</v>
      </c>
      <c r="G260" s="3" t="n">
        <v>26901.0</v>
      </c>
      <c r="H260" s="3" t="n">
        <v>27594.0</v>
      </c>
      <c r="I260" s="3" t="n">
        <v>27444.0</v>
      </c>
      <c r="J260" s="3" t="n">
        <v>28694.0</v>
      </c>
      <c r="K260" s="3" t="n">
        <v>30386.0</v>
      </c>
      <c r="L260" s="3" t="n">
        <v>29729.0</v>
      </c>
      <c r="M260" s="3" t="n">
        <v>29048.0</v>
      </c>
      <c r="N260" s="3" t="n">
        <v>27783.0</v>
      </c>
      <c r="O260" s="3" t="n">
        <v>26999.0</v>
      </c>
      <c r="P260" s="3" t="n">
        <v>27107.0</v>
      </c>
      <c r="Q260" s="3" t="n">
        <v>26869.0</v>
      </c>
      <c r="R260" s="3" t="n">
        <v>26519.0</v>
      </c>
      <c r="S260" s="3" t="n">
        <v>27017.0</v>
      </c>
      <c r="T260" s="3" t="n">
        <v>25669.0</v>
      </c>
      <c r="U260" s="3" t="n">
        <v>24767.0</v>
      </c>
      <c r="V260" s="3" t="n">
        <v>23979.0</v>
      </c>
      <c r="W260" s="3" t="n">
        <v>22561.0</v>
      </c>
      <c r="X260" s="3" t="n">
        <v>21748.0</v>
      </c>
      <c r="Y260" s="3" t="n">
        <v>20822.0</v>
      </c>
      <c r="Z260" s="3" t="n">
        <v>20296.0</v>
      </c>
      <c r="AA260" s="3" t="n">
        <v>19371.0</v>
      </c>
      <c r="AB260" s="3" t="n">
        <v>19257.0</v>
      </c>
      <c r="AC260" s="3" t="n">
        <v>18449.0</v>
      </c>
      <c r="AD260" s="3" t="n">
        <v>17746.0</v>
      </c>
      <c r="AE260" s="3" t="n">
        <v>17449.0</v>
      </c>
      <c r="AF260" s="3" t="n">
        <v>17434.0</v>
      </c>
      <c r="AG260" s="3" t="n">
        <v>18077.0</v>
      </c>
      <c r="AH260" s="3" t="n">
        <v>18633.0</v>
      </c>
      <c r="AI260" s="3" t="n">
        <v>19585.0</v>
      </c>
      <c r="AJ260" s="3" t="n">
        <v>21164.0</v>
      </c>
      <c r="AK260" s="3" t="n">
        <v>21465.0</v>
      </c>
      <c r="AL260" s="3" t="n">
        <v>21134.0</v>
      </c>
      <c r="AM260" s="3" t="n">
        <v>20425.0</v>
      </c>
      <c r="AN260" s="3" t="n">
        <v>20411.0</v>
      </c>
      <c r="AO260" s="3" t="n">
        <v>19791.0</v>
      </c>
    </row>
    <row r="261" spans="1:41" x14ac:dyDescent="0.2">
      <c r="A261" s="122"/>
      <c r="B261" s="9">
        <v>48</v>
      </c>
      <c r="C261" s="3" t="n">
        <v>24659.0</v>
      </c>
      <c r="D261" s="3" t="n">
        <v>25218.0</v>
      </c>
      <c r="E261" s="3" t="n">
        <v>25996.0</v>
      </c>
      <c r="F261" s="3" t="n">
        <v>25972.0</v>
      </c>
      <c r="G261" s="3" t="n">
        <v>26635.0</v>
      </c>
      <c r="H261" s="3" t="n">
        <v>26974.0</v>
      </c>
      <c r="I261" s="3" t="n">
        <v>27703.0</v>
      </c>
      <c r="J261" s="3" t="n">
        <v>27476.0</v>
      </c>
      <c r="K261" s="3" t="n">
        <v>28678.0</v>
      </c>
      <c r="L261" s="3" t="n">
        <v>30355.0</v>
      </c>
      <c r="M261" s="3" t="n">
        <v>29695.0</v>
      </c>
      <c r="N261" s="3" t="n">
        <v>29010.0</v>
      </c>
      <c r="O261" s="3" t="n">
        <v>27744.0</v>
      </c>
      <c r="P261" s="3" t="n">
        <v>26962.0</v>
      </c>
      <c r="Q261" s="3" t="n">
        <v>27069.0</v>
      </c>
      <c r="R261" s="3" t="n">
        <v>26831.0</v>
      </c>
      <c r="S261" s="3" t="n">
        <v>26481.0</v>
      </c>
      <c r="T261" s="3" t="n">
        <v>26978.0</v>
      </c>
      <c r="U261" s="3" t="n">
        <v>25628.0</v>
      </c>
      <c r="V261" s="3" t="n">
        <v>24732.0</v>
      </c>
      <c r="W261" s="3" t="n">
        <v>23947.0</v>
      </c>
      <c r="X261" s="3" t="n">
        <v>22528.0</v>
      </c>
      <c r="Y261" s="3" t="n">
        <v>21718.0</v>
      </c>
      <c r="Z261" s="3" t="n">
        <v>20796.0</v>
      </c>
      <c r="AA261" s="3" t="n">
        <v>20268.0</v>
      </c>
      <c r="AB261" s="3" t="n">
        <v>19346.0</v>
      </c>
      <c r="AC261" s="3" t="n">
        <v>19232.0</v>
      </c>
      <c r="AD261" s="3" t="n">
        <v>18427.0</v>
      </c>
      <c r="AE261" s="3" t="n">
        <v>17730.0</v>
      </c>
      <c r="AF261" s="3" t="n">
        <v>17432.0</v>
      </c>
      <c r="AG261" s="3" t="n">
        <v>17419.0</v>
      </c>
      <c r="AH261" s="3" t="n">
        <v>18061.0</v>
      </c>
      <c r="AI261" s="3" t="n">
        <v>18620.0</v>
      </c>
      <c r="AJ261" s="3" t="n">
        <v>19569.0</v>
      </c>
      <c r="AK261" s="3" t="n">
        <v>21147.0</v>
      </c>
      <c r="AL261" s="3" t="n">
        <v>21447.0</v>
      </c>
      <c r="AM261" s="3" t="n">
        <v>21117.0</v>
      </c>
      <c r="AN261" s="3" t="n">
        <v>20409.0</v>
      </c>
      <c r="AO261" s="3" t="n">
        <v>20396.0</v>
      </c>
    </row>
    <row r="262" spans="1:41" x14ac:dyDescent="0.2">
      <c r="A262" s="122"/>
      <c r="B262" s="9">
        <v>49</v>
      </c>
      <c r="C262" s="3" t="n">
        <v>23280.0</v>
      </c>
      <c r="D262" s="3" t="n">
        <v>24615.0</v>
      </c>
      <c r="E262" s="3" t="n">
        <v>25177.0</v>
      </c>
      <c r="F262" s="3" t="n">
        <v>25956.0</v>
      </c>
      <c r="G262" s="3" t="n">
        <v>25937.0</v>
      </c>
      <c r="H262" s="3" t="n">
        <v>26708.0</v>
      </c>
      <c r="I262" s="3" t="n">
        <v>27086.0</v>
      </c>
      <c r="J262" s="3" t="n">
        <v>27731.0</v>
      </c>
      <c r="K262" s="3" t="n">
        <v>27464.0</v>
      </c>
      <c r="L262" s="3" t="n">
        <v>28650.0</v>
      </c>
      <c r="M262" s="3" t="n">
        <v>30311.0</v>
      </c>
      <c r="N262" s="3" t="n">
        <v>29650.0</v>
      </c>
      <c r="O262" s="3" t="n">
        <v>28968.0</v>
      </c>
      <c r="P262" s="3" t="n">
        <v>27698.0</v>
      </c>
      <c r="Q262" s="3" t="n">
        <v>26918.0</v>
      </c>
      <c r="R262" s="3" t="n">
        <v>27023.0</v>
      </c>
      <c r="S262" s="3" t="n">
        <v>26784.0</v>
      </c>
      <c r="T262" s="3" t="n">
        <v>26434.0</v>
      </c>
      <c r="U262" s="3" t="n">
        <v>26928.0</v>
      </c>
      <c r="V262" s="3" t="n">
        <v>25582.0</v>
      </c>
      <c r="W262" s="3" t="n">
        <v>24695.0</v>
      </c>
      <c r="X262" s="3" t="n">
        <v>23910.0</v>
      </c>
      <c r="Y262" s="3" t="n">
        <v>22494.0</v>
      </c>
      <c r="Z262" s="3" t="n">
        <v>21685.0</v>
      </c>
      <c r="AA262" s="3" t="n">
        <v>20767.0</v>
      </c>
      <c r="AB262" s="3" t="n">
        <v>20242.0</v>
      </c>
      <c r="AC262" s="3" t="n">
        <v>19323.0</v>
      </c>
      <c r="AD262" s="3" t="n">
        <v>19209.0</v>
      </c>
      <c r="AE262" s="3" t="n">
        <v>18406.0</v>
      </c>
      <c r="AF262" s="3" t="n">
        <v>17714.0</v>
      </c>
      <c r="AG262" s="3" t="n">
        <v>17420.0</v>
      </c>
      <c r="AH262" s="3" t="n">
        <v>17406.0</v>
      </c>
      <c r="AI262" s="3" t="n">
        <v>18048.0</v>
      </c>
      <c r="AJ262" s="3" t="n">
        <v>18605.0</v>
      </c>
      <c r="AK262" s="3" t="n">
        <v>19552.0</v>
      </c>
      <c r="AL262" s="3" t="n">
        <v>21130.0</v>
      </c>
      <c r="AM262" s="3" t="n">
        <v>21429.0</v>
      </c>
      <c r="AN262" s="3" t="n">
        <v>21102.0</v>
      </c>
      <c r="AO262" s="3" t="n">
        <v>20395.0</v>
      </c>
    </row>
    <row r="263" spans="1:41" x14ac:dyDescent="0.2">
      <c r="A263" s="122"/>
      <c r="B263" s="9">
        <v>50</v>
      </c>
      <c r="C263" s="3" t="n">
        <v>22736.0</v>
      </c>
      <c r="D263" s="3" t="n">
        <v>23238.0</v>
      </c>
      <c r="E263" s="3" t="n">
        <v>24581.0</v>
      </c>
      <c r="F263" s="3" t="n">
        <v>25143.0</v>
      </c>
      <c r="G263" s="3" t="n">
        <v>25923.0</v>
      </c>
      <c r="H263" s="3" t="n">
        <v>25995.0</v>
      </c>
      <c r="I263" s="3" t="n">
        <v>26803.0</v>
      </c>
      <c r="J263" s="3" t="n">
        <v>27106.0</v>
      </c>
      <c r="K263" s="3" t="n">
        <v>27714.0</v>
      </c>
      <c r="L263" s="3" t="n">
        <v>27438.0</v>
      </c>
      <c r="M263" s="3" t="n">
        <v>28617.0</v>
      </c>
      <c r="N263" s="3" t="n">
        <v>30269.0</v>
      </c>
      <c r="O263" s="3" t="n">
        <v>29608.0</v>
      </c>
      <c r="P263" s="3" t="n">
        <v>28924.0</v>
      </c>
      <c r="Q263" s="3" t="n">
        <v>27655.0</v>
      </c>
      <c r="R263" s="3" t="n">
        <v>26877.0</v>
      </c>
      <c r="S263" s="3" t="n">
        <v>26981.0</v>
      </c>
      <c r="T263" s="3" t="n">
        <v>26741.0</v>
      </c>
      <c r="U263" s="3" t="n">
        <v>26392.0</v>
      </c>
      <c r="V263" s="3" t="n">
        <v>26881.0</v>
      </c>
      <c r="W263" s="3" t="n">
        <v>25536.0</v>
      </c>
      <c r="X263" s="3" t="n">
        <v>24652.0</v>
      </c>
      <c r="Y263" s="3" t="n">
        <v>23867.0</v>
      </c>
      <c r="Z263" s="3" t="n">
        <v>22461.0</v>
      </c>
      <c r="AA263" s="3" t="n">
        <v>21652.0</v>
      </c>
      <c r="AB263" s="3" t="n">
        <v>20736.0</v>
      </c>
      <c r="AC263" s="3" t="n">
        <v>20215.0</v>
      </c>
      <c r="AD263" s="3" t="n">
        <v>19296.0</v>
      </c>
      <c r="AE263" s="3" t="n">
        <v>19185.0</v>
      </c>
      <c r="AF263" s="3" t="n">
        <v>18384.0</v>
      </c>
      <c r="AG263" s="3" t="n">
        <v>17692.0</v>
      </c>
      <c r="AH263" s="3" t="n">
        <v>17401.0</v>
      </c>
      <c r="AI263" s="3" t="n">
        <v>17388.0</v>
      </c>
      <c r="AJ263" s="3" t="n">
        <v>18032.0</v>
      </c>
      <c r="AK263" s="3" t="n">
        <v>18589.0</v>
      </c>
      <c r="AL263" s="3" t="n">
        <v>19535.0</v>
      </c>
      <c r="AM263" s="3" t="n">
        <v>21110.0</v>
      </c>
      <c r="AN263" s="3" t="n">
        <v>21409.0</v>
      </c>
      <c r="AO263" s="3" t="n">
        <v>21081.0</v>
      </c>
    </row>
    <row r="264" spans="1:41" x14ac:dyDescent="0.2">
      <c r="A264" s="122"/>
      <c r="B264" s="9">
        <v>51</v>
      </c>
      <c r="C264" s="3" t="n">
        <v>21715.0</v>
      </c>
      <c r="D264" s="3" t="n">
        <v>22686.0</v>
      </c>
      <c r="E264" s="3" t="n">
        <v>23189.0</v>
      </c>
      <c r="F264" s="3" t="n">
        <v>24525.0</v>
      </c>
      <c r="G264" s="3" t="n">
        <v>25092.0</v>
      </c>
      <c r="H264" s="3" t="n">
        <v>25952.0</v>
      </c>
      <c r="I264" s="3" t="n">
        <v>26055.0</v>
      </c>
      <c r="J264" s="3" t="n">
        <v>26800.0</v>
      </c>
      <c r="K264" s="3" t="n">
        <v>27073.0</v>
      </c>
      <c r="L264" s="3" t="n">
        <v>27671.0</v>
      </c>
      <c r="M264" s="3" t="n">
        <v>27393.0</v>
      </c>
      <c r="N264" s="3" t="n">
        <v>28563.0</v>
      </c>
      <c r="O264" s="3" t="n">
        <v>30210.0</v>
      </c>
      <c r="P264" s="3" t="n">
        <v>29547.0</v>
      </c>
      <c r="Q264" s="3" t="n">
        <v>28867.0</v>
      </c>
      <c r="R264" s="3" t="n">
        <v>27599.0</v>
      </c>
      <c r="S264" s="3" t="n">
        <v>26828.0</v>
      </c>
      <c r="T264" s="3" t="n">
        <v>26932.0</v>
      </c>
      <c r="U264" s="3" t="n">
        <v>26693.0</v>
      </c>
      <c r="V264" s="3" t="n">
        <v>26349.0</v>
      </c>
      <c r="W264" s="3" t="n">
        <v>26831.0</v>
      </c>
      <c r="X264" s="3" t="n">
        <v>25487.0</v>
      </c>
      <c r="Y264" s="3" t="n">
        <v>24608.0</v>
      </c>
      <c r="Z264" s="3" t="n">
        <v>23827.0</v>
      </c>
      <c r="AA264" s="3" t="n">
        <v>22427.0</v>
      </c>
      <c r="AB264" s="3" t="n">
        <v>21616.0</v>
      </c>
      <c r="AC264" s="3" t="n">
        <v>20705.0</v>
      </c>
      <c r="AD264" s="3" t="n">
        <v>20185.0</v>
      </c>
      <c r="AE264" s="3" t="n">
        <v>19266.0</v>
      </c>
      <c r="AF264" s="3" t="n">
        <v>19156.0</v>
      </c>
      <c r="AG264" s="3" t="n">
        <v>18361.0</v>
      </c>
      <c r="AH264" s="3" t="n">
        <v>17675.0</v>
      </c>
      <c r="AI264" s="3" t="n">
        <v>17386.0</v>
      </c>
      <c r="AJ264" s="3" t="n">
        <v>17374.0</v>
      </c>
      <c r="AK264" s="3" t="n">
        <v>18014.0</v>
      </c>
      <c r="AL264" s="3" t="n">
        <v>18573.0</v>
      </c>
      <c r="AM264" s="3" t="n">
        <v>19515.0</v>
      </c>
      <c r="AN264" s="3" t="n">
        <v>21091.0</v>
      </c>
      <c r="AO264" s="3" t="n">
        <v>21388.0</v>
      </c>
    </row>
    <row r="265" spans="1:41" x14ac:dyDescent="0.2">
      <c r="A265" s="122"/>
      <c r="B265" s="9">
        <v>52</v>
      </c>
      <c r="C265" s="3" t="n">
        <v>21470.0</v>
      </c>
      <c r="D265" s="3" t="n">
        <v>21665.0</v>
      </c>
      <c r="E265" s="3" t="n">
        <v>22641.0</v>
      </c>
      <c r="F265" s="3" t="n">
        <v>23146.0</v>
      </c>
      <c r="G265" s="3" t="n">
        <v>24482.0</v>
      </c>
      <c r="H265" s="3" t="n">
        <v>25129.0</v>
      </c>
      <c r="I265" s="3" t="n">
        <v>26016.0</v>
      </c>
      <c r="J265" s="3" t="n">
        <v>26060.0</v>
      </c>
      <c r="K265" s="3" t="n">
        <v>26776.0</v>
      </c>
      <c r="L265" s="3" t="n">
        <v>27040.0</v>
      </c>
      <c r="M265" s="3" t="n">
        <v>27629.0</v>
      </c>
      <c r="N265" s="3" t="n">
        <v>27348.0</v>
      </c>
      <c r="O265" s="3" t="n">
        <v>28517.0</v>
      </c>
      <c r="P265" s="3" t="n">
        <v>30160.0</v>
      </c>
      <c r="Q265" s="3" t="n">
        <v>29494.0</v>
      </c>
      <c r="R265" s="3" t="n">
        <v>28818.0</v>
      </c>
      <c r="S265" s="3" t="n">
        <v>27552.0</v>
      </c>
      <c r="T265" s="3" t="n">
        <v>26775.0</v>
      </c>
      <c r="U265" s="3" t="n">
        <v>26879.0</v>
      </c>
      <c r="V265" s="3" t="n">
        <v>26639.0</v>
      </c>
      <c r="W265" s="3" t="n">
        <v>26297.0</v>
      </c>
      <c r="X265" s="3" t="n">
        <v>26777.0</v>
      </c>
      <c r="Y265" s="3" t="n">
        <v>25429.0</v>
      </c>
      <c r="Z265" s="3" t="n">
        <v>24553.0</v>
      </c>
      <c r="AA265" s="3" t="n">
        <v>23774.0</v>
      </c>
      <c r="AB265" s="3" t="n">
        <v>22384.0</v>
      </c>
      <c r="AC265" s="3" t="n">
        <v>21573.0</v>
      </c>
      <c r="AD265" s="3" t="n">
        <v>20665.0</v>
      </c>
      <c r="AE265" s="3" t="n">
        <v>20150.0</v>
      </c>
      <c r="AF265" s="3" t="n">
        <v>19232.0</v>
      </c>
      <c r="AG265" s="3" t="n">
        <v>19125.0</v>
      </c>
      <c r="AH265" s="3" t="n">
        <v>18336.0</v>
      </c>
      <c r="AI265" s="3" t="n">
        <v>17650.0</v>
      </c>
      <c r="AJ265" s="3" t="n">
        <v>17363.0</v>
      </c>
      <c r="AK265" s="3" t="n">
        <v>17356.0</v>
      </c>
      <c r="AL265" s="3" t="n">
        <v>17994.0</v>
      </c>
      <c r="AM265" s="3" t="n">
        <v>18553.0</v>
      </c>
      <c r="AN265" s="3" t="n">
        <v>19491.0</v>
      </c>
      <c r="AO265" s="3" t="n">
        <v>21066.0</v>
      </c>
    </row>
    <row r="266" spans="1:41" x14ac:dyDescent="0.2">
      <c r="A266" s="122"/>
      <c r="B266" s="9">
        <v>53</v>
      </c>
      <c r="C266" s="3" t="n">
        <v>20767.0</v>
      </c>
      <c r="D266" s="3" t="n">
        <v>21415.0</v>
      </c>
      <c r="E266" s="3" t="n">
        <v>21611.0</v>
      </c>
      <c r="F266" s="3" t="n">
        <v>22591.0</v>
      </c>
      <c r="G266" s="3" t="n">
        <v>23097.0</v>
      </c>
      <c r="H266" s="3" t="n">
        <v>24512.0</v>
      </c>
      <c r="I266" s="3" t="n">
        <v>25184.0</v>
      </c>
      <c r="J266" s="3" t="n">
        <v>26008.0</v>
      </c>
      <c r="K266" s="3" t="n">
        <v>26023.0</v>
      </c>
      <c r="L266" s="3" t="n">
        <v>26723.0</v>
      </c>
      <c r="M266" s="3" t="n">
        <v>26989.0</v>
      </c>
      <c r="N266" s="3" t="n">
        <v>27580.0</v>
      </c>
      <c r="O266" s="3" t="n">
        <v>27299.0</v>
      </c>
      <c r="P266" s="3" t="n">
        <v>28464.0</v>
      </c>
      <c r="Q266" s="3" t="n">
        <v>30103.0</v>
      </c>
      <c r="R266" s="3" t="n">
        <v>29436.0</v>
      </c>
      <c r="S266" s="3" t="n">
        <v>28760.0</v>
      </c>
      <c r="T266" s="3" t="n">
        <v>27497.0</v>
      </c>
      <c r="U266" s="3" t="n">
        <v>26723.0</v>
      </c>
      <c r="V266" s="3" t="n">
        <v>26824.0</v>
      </c>
      <c r="W266" s="3" t="n">
        <v>26587.0</v>
      </c>
      <c r="X266" s="3" t="n">
        <v>26246.0</v>
      </c>
      <c r="Y266" s="3" t="n">
        <v>26726.0</v>
      </c>
      <c r="Z266" s="3" t="n">
        <v>25387.0</v>
      </c>
      <c r="AA266" s="3" t="n">
        <v>24510.0</v>
      </c>
      <c r="AB266" s="3" t="n">
        <v>23733.0</v>
      </c>
      <c r="AC266" s="3" t="n">
        <v>22347.0</v>
      </c>
      <c r="AD266" s="3" t="n">
        <v>21539.0</v>
      </c>
      <c r="AE266" s="3" t="n">
        <v>20635.0</v>
      </c>
      <c r="AF266" s="3" t="n">
        <v>20120.0</v>
      </c>
      <c r="AG266" s="3" t="n">
        <v>19204.0</v>
      </c>
      <c r="AH266" s="3" t="n">
        <v>19097.0</v>
      </c>
      <c r="AI266" s="3" t="n">
        <v>18312.0</v>
      </c>
      <c r="AJ266" s="3" t="n">
        <v>17628.0</v>
      </c>
      <c r="AK266" s="3" t="n">
        <v>17343.0</v>
      </c>
      <c r="AL266" s="3" t="n">
        <v>17336.0</v>
      </c>
      <c r="AM266" s="3" t="n">
        <v>17974.0</v>
      </c>
      <c r="AN266" s="3" t="n">
        <v>18534.0</v>
      </c>
      <c r="AO266" s="3" t="n">
        <v>19470.0</v>
      </c>
    </row>
    <row r="267" spans="1:41" x14ac:dyDescent="0.2">
      <c r="A267" s="122"/>
      <c r="B267" s="9">
        <v>54</v>
      </c>
      <c r="C267" s="3" t="n">
        <v>20025.0</v>
      </c>
      <c r="D267" s="3" t="n">
        <v>20703.0</v>
      </c>
      <c r="E267" s="3" t="n">
        <v>21361.0</v>
      </c>
      <c r="F267" s="3" t="n">
        <v>21562.0</v>
      </c>
      <c r="G267" s="3" t="n">
        <v>22543.0</v>
      </c>
      <c r="H267" s="3" t="n">
        <v>23124.0</v>
      </c>
      <c r="I267" s="3" t="n">
        <v>24563.0</v>
      </c>
      <c r="J267" s="3" t="n">
        <v>25178.0</v>
      </c>
      <c r="K267" s="3" t="n">
        <v>25969.0</v>
      </c>
      <c r="L267" s="3" t="n">
        <v>25980.0</v>
      </c>
      <c r="M267" s="3" t="n">
        <v>26672.0</v>
      </c>
      <c r="N267" s="3" t="n">
        <v>26930.0</v>
      </c>
      <c r="O267" s="3" t="n">
        <v>27515.0</v>
      </c>
      <c r="P267" s="3" t="n">
        <v>27236.0</v>
      </c>
      <c r="Q267" s="3" t="n">
        <v>28399.0</v>
      </c>
      <c r="R267" s="3" t="n">
        <v>30028.0</v>
      </c>
      <c r="S267" s="3" t="n">
        <v>29365.0</v>
      </c>
      <c r="T267" s="3" t="n">
        <v>28695.0</v>
      </c>
      <c r="U267" s="3" t="n">
        <v>27439.0</v>
      </c>
      <c r="V267" s="3" t="n">
        <v>26665.0</v>
      </c>
      <c r="W267" s="3" t="n">
        <v>26766.0</v>
      </c>
      <c r="X267" s="3" t="n">
        <v>26532.0</v>
      </c>
      <c r="Y267" s="3" t="n">
        <v>26192.0</v>
      </c>
      <c r="Z267" s="3" t="n">
        <v>26672.0</v>
      </c>
      <c r="AA267" s="3" t="n">
        <v>25333.0</v>
      </c>
      <c r="AB267" s="3" t="n">
        <v>24460.0</v>
      </c>
      <c r="AC267" s="3" t="n">
        <v>23685.0</v>
      </c>
      <c r="AD267" s="3" t="n">
        <v>22294.0</v>
      </c>
      <c r="AE267" s="3" t="n">
        <v>21495.0</v>
      </c>
      <c r="AF267" s="3" t="n">
        <v>20593.0</v>
      </c>
      <c r="AG267" s="3" t="n">
        <v>20080.0</v>
      </c>
      <c r="AH267" s="3" t="n">
        <v>19166.0</v>
      </c>
      <c r="AI267" s="3" t="n">
        <v>19063.0</v>
      </c>
      <c r="AJ267" s="3" t="n">
        <v>18281.0</v>
      </c>
      <c r="AK267" s="3" t="n">
        <v>17599.0</v>
      </c>
      <c r="AL267" s="3" t="n">
        <v>17318.0</v>
      </c>
      <c r="AM267" s="3" t="n">
        <v>17311.0</v>
      </c>
      <c r="AN267" s="3" t="n">
        <v>17949.0</v>
      </c>
      <c r="AO267" s="3" t="n">
        <v>18507.0</v>
      </c>
    </row>
    <row r="268" spans="1:41" x14ac:dyDescent="0.2">
      <c r="A268" s="122"/>
      <c r="B268" s="9">
        <v>55</v>
      </c>
      <c r="C268" s="3" t="n">
        <v>19904.0</v>
      </c>
      <c r="D268" s="3" t="n">
        <v>19952.0</v>
      </c>
      <c r="E268" s="3" t="n">
        <v>20636.0</v>
      </c>
      <c r="F268" s="3" t="n">
        <v>21293.0</v>
      </c>
      <c r="G268" s="3" t="n">
        <v>21500.0</v>
      </c>
      <c r="H268" s="3" t="n">
        <v>22551.0</v>
      </c>
      <c r="I268" s="3" t="n">
        <v>23158.0</v>
      </c>
      <c r="J268" s="3" t="n">
        <v>24538.0</v>
      </c>
      <c r="K268" s="3" t="n">
        <v>25131.0</v>
      </c>
      <c r="L268" s="3" t="n">
        <v>25908.0</v>
      </c>
      <c r="M268" s="3" t="n">
        <v>25916.0</v>
      </c>
      <c r="N268" s="3" t="n">
        <v>26602.0</v>
      </c>
      <c r="O268" s="3" t="n">
        <v>26863.0</v>
      </c>
      <c r="P268" s="3" t="n">
        <v>27448.0</v>
      </c>
      <c r="Q268" s="3" t="n">
        <v>27172.0</v>
      </c>
      <c r="R268" s="3" t="n">
        <v>28334.0</v>
      </c>
      <c r="S268" s="3" t="n">
        <v>29959.0</v>
      </c>
      <c r="T268" s="3" t="n">
        <v>29297.0</v>
      </c>
      <c r="U268" s="3" t="n">
        <v>28629.0</v>
      </c>
      <c r="V268" s="3" t="n">
        <v>27374.0</v>
      </c>
      <c r="W268" s="3" t="n">
        <v>26597.0</v>
      </c>
      <c r="X268" s="3" t="n">
        <v>26697.0</v>
      </c>
      <c r="Y268" s="3" t="n">
        <v>26466.0</v>
      </c>
      <c r="Z268" s="3" t="n">
        <v>26122.0</v>
      </c>
      <c r="AA268" s="3" t="n">
        <v>26603.0</v>
      </c>
      <c r="AB268" s="3" t="n">
        <v>25264.0</v>
      </c>
      <c r="AC268" s="3" t="n">
        <v>24393.0</v>
      </c>
      <c r="AD268" s="3" t="n">
        <v>23625.0</v>
      </c>
      <c r="AE268" s="3" t="n">
        <v>22239.0</v>
      </c>
      <c r="AF268" s="3" t="n">
        <v>21441.0</v>
      </c>
      <c r="AG268" s="3" t="n">
        <v>20546.0</v>
      </c>
      <c r="AH268" s="3" t="n">
        <v>20029.0</v>
      </c>
      <c r="AI268" s="3" t="n">
        <v>19121.0</v>
      </c>
      <c r="AJ268" s="3" t="n">
        <v>19020.0</v>
      </c>
      <c r="AK268" s="3" t="n">
        <v>18241.0</v>
      </c>
      <c r="AL268" s="3" t="n">
        <v>17559.0</v>
      </c>
      <c r="AM268" s="3" t="n">
        <v>17281.0</v>
      </c>
      <c r="AN268" s="3" t="n">
        <v>17277.0</v>
      </c>
      <c r="AO268" s="3" t="n">
        <v>17916.0</v>
      </c>
    </row>
    <row r="269" spans="1:41" x14ac:dyDescent="0.2">
      <c r="A269" s="122"/>
      <c r="B269" s="9">
        <v>56</v>
      </c>
      <c r="C269" s="3" t="n">
        <v>20023.0</v>
      </c>
      <c r="D269" s="3" t="n">
        <v>19841.0</v>
      </c>
      <c r="E269" s="3" t="n">
        <v>19893.0</v>
      </c>
      <c r="F269" s="3" t="n">
        <v>20579.0</v>
      </c>
      <c r="G269" s="3" t="n">
        <v>21237.0</v>
      </c>
      <c r="H269" s="3" t="n">
        <v>21510.0</v>
      </c>
      <c r="I269" s="3" t="n">
        <v>22578.0</v>
      </c>
      <c r="J269" s="3" t="n">
        <v>23134.0</v>
      </c>
      <c r="K269" s="3" t="n">
        <v>24484.0</v>
      </c>
      <c r="L269" s="3" t="n">
        <v>25071.0</v>
      </c>
      <c r="M269" s="3" t="n">
        <v>25840.0</v>
      </c>
      <c r="N269" s="3" t="n">
        <v>25848.0</v>
      </c>
      <c r="O269" s="3" t="n">
        <v>26532.0</v>
      </c>
      <c r="P269" s="3" t="n">
        <v>26792.0</v>
      </c>
      <c r="Q269" s="3" t="n">
        <v>27374.0</v>
      </c>
      <c r="R269" s="3" t="n">
        <v>27098.0</v>
      </c>
      <c r="S269" s="3" t="n">
        <v>28258.0</v>
      </c>
      <c r="T269" s="3" t="n">
        <v>29879.0</v>
      </c>
      <c r="U269" s="3" t="n">
        <v>29217.0</v>
      </c>
      <c r="V269" s="3" t="n">
        <v>28557.0</v>
      </c>
      <c r="W269" s="3" t="n">
        <v>27310.0</v>
      </c>
      <c r="X269" s="3" t="n">
        <v>26532.0</v>
      </c>
      <c r="Y269" s="3" t="n">
        <v>26632.0</v>
      </c>
      <c r="Z269" s="3" t="n">
        <v>26398.0</v>
      </c>
      <c r="AA269" s="3" t="n">
        <v>26053.0</v>
      </c>
      <c r="AB269" s="3" t="n">
        <v>26535.0</v>
      </c>
      <c r="AC269" s="3" t="n">
        <v>25202.0</v>
      </c>
      <c r="AD269" s="3" t="n">
        <v>24333.0</v>
      </c>
      <c r="AE269" s="3" t="n">
        <v>23570.0</v>
      </c>
      <c r="AF269" s="3" t="n">
        <v>22191.0</v>
      </c>
      <c r="AG269" s="3" t="n">
        <v>21397.0</v>
      </c>
      <c r="AH269" s="3" t="n">
        <v>20504.0</v>
      </c>
      <c r="AI269" s="3" t="n">
        <v>19986.0</v>
      </c>
      <c r="AJ269" s="3" t="n">
        <v>19080.0</v>
      </c>
      <c r="AK269" s="3" t="n">
        <v>18980.0</v>
      </c>
      <c r="AL269" s="3" t="n">
        <v>18203.0</v>
      </c>
      <c r="AM269" s="3" t="n">
        <v>17526.0</v>
      </c>
      <c r="AN269" s="3" t="n">
        <v>17250.0</v>
      </c>
      <c r="AO269" s="3" t="n">
        <v>17250.0</v>
      </c>
    </row>
    <row r="270" spans="1:41" x14ac:dyDescent="0.2">
      <c r="A270" s="122"/>
      <c r="B270" s="9">
        <v>57</v>
      </c>
      <c r="C270" s="3" t="n">
        <v>20198.0</v>
      </c>
      <c r="D270" s="3" t="n">
        <v>19948.0</v>
      </c>
      <c r="E270" s="3" t="n">
        <v>19768.0</v>
      </c>
      <c r="F270" s="3" t="n">
        <v>19826.0</v>
      </c>
      <c r="G270" s="3" t="n">
        <v>20518.0</v>
      </c>
      <c r="H270" s="3" t="n">
        <v>21238.0</v>
      </c>
      <c r="I270" s="3" t="n">
        <v>21538.0</v>
      </c>
      <c r="J270" s="3" t="n">
        <v>22549.0</v>
      </c>
      <c r="K270" s="3" t="n">
        <v>23081.0</v>
      </c>
      <c r="L270" s="3" t="n">
        <v>24421.0</v>
      </c>
      <c r="M270" s="3" t="n">
        <v>25003.0</v>
      </c>
      <c r="N270" s="3" t="n">
        <v>25771.0</v>
      </c>
      <c r="O270" s="3" t="n">
        <v>25779.0</v>
      </c>
      <c r="P270" s="3" t="n">
        <v>26460.0</v>
      </c>
      <c r="Q270" s="3" t="n">
        <v>26720.0</v>
      </c>
      <c r="R270" s="3" t="n">
        <v>27300.0</v>
      </c>
      <c r="S270" s="3" t="n">
        <v>27024.0</v>
      </c>
      <c r="T270" s="3" t="n">
        <v>28184.0</v>
      </c>
      <c r="U270" s="3" t="n">
        <v>29798.0</v>
      </c>
      <c r="V270" s="3" t="n">
        <v>29138.0</v>
      </c>
      <c r="W270" s="3" t="n">
        <v>28480.0</v>
      </c>
      <c r="X270" s="3" t="n">
        <v>27238.0</v>
      </c>
      <c r="Y270" s="3" t="n">
        <v>26462.0</v>
      </c>
      <c r="Z270" s="3" t="n">
        <v>26562.0</v>
      </c>
      <c r="AA270" s="3" t="n">
        <v>26330.0</v>
      </c>
      <c r="AB270" s="3" t="n">
        <v>25988.0</v>
      </c>
      <c r="AC270" s="3" t="n">
        <v>26467.0</v>
      </c>
      <c r="AD270" s="3" t="n">
        <v>25145.0</v>
      </c>
      <c r="AE270" s="3" t="n">
        <v>24278.0</v>
      </c>
      <c r="AF270" s="3" t="n">
        <v>23519.0</v>
      </c>
      <c r="AG270" s="3" t="n">
        <v>22139.0</v>
      </c>
      <c r="AH270" s="3" t="n">
        <v>21344.0</v>
      </c>
      <c r="AI270" s="3" t="n">
        <v>20457.0</v>
      </c>
      <c r="AJ270" s="3" t="n">
        <v>19941.0</v>
      </c>
      <c r="AK270" s="3" t="n">
        <v>19041.0</v>
      </c>
      <c r="AL270" s="3" t="n">
        <v>18944.0</v>
      </c>
      <c r="AM270" s="3" t="n">
        <v>18167.0</v>
      </c>
      <c r="AN270" s="3" t="n">
        <v>17494.0</v>
      </c>
      <c r="AO270" s="3" t="n">
        <v>17222.0</v>
      </c>
    </row>
    <row r="271" spans="1:41" x14ac:dyDescent="0.2">
      <c r="A271" s="122"/>
      <c r="B271" s="9">
        <v>58</v>
      </c>
      <c r="C271" s="3" t="n">
        <v>20257.0</v>
      </c>
      <c r="D271" s="3" t="n">
        <v>20104.0</v>
      </c>
      <c r="E271" s="3" t="n">
        <v>19862.0</v>
      </c>
      <c r="F271" s="3" t="n">
        <v>19689.0</v>
      </c>
      <c r="G271" s="3" t="n">
        <v>19747.0</v>
      </c>
      <c r="H271" s="3" t="n">
        <v>20505.0</v>
      </c>
      <c r="I271" s="3" t="n">
        <v>21244.0</v>
      </c>
      <c r="J271" s="3" t="n">
        <v>21491.0</v>
      </c>
      <c r="K271" s="3" t="n">
        <v>22475.0</v>
      </c>
      <c r="L271" s="3" t="n">
        <v>22997.0</v>
      </c>
      <c r="M271" s="3" t="n">
        <v>24334.0</v>
      </c>
      <c r="N271" s="3" t="n">
        <v>24912.0</v>
      </c>
      <c r="O271" s="3" t="n">
        <v>25679.0</v>
      </c>
      <c r="P271" s="3" t="n">
        <v>25688.0</v>
      </c>
      <c r="Q271" s="3" t="n">
        <v>26369.0</v>
      </c>
      <c r="R271" s="3" t="n">
        <v>26628.0</v>
      </c>
      <c r="S271" s="3" t="n">
        <v>27209.0</v>
      </c>
      <c r="T271" s="3" t="n">
        <v>26932.0</v>
      </c>
      <c r="U271" s="3" t="n">
        <v>28092.0</v>
      </c>
      <c r="V271" s="3" t="n">
        <v>29702.0</v>
      </c>
      <c r="W271" s="3" t="n">
        <v>29045.0</v>
      </c>
      <c r="X271" s="3" t="n">
        <v>28387.0</v>
      </c>
      <c r="Y271" s="3" t="n">
        <v>27156.0</v>
      </c>
      <c r="Z271" s="3" t="n">
        <v>26378.0</v>
      </c>
      <c r="AA271" s="3" t="n">
        <v>26475.0</v>
      </c>
      <c r="AB271" s="3" t="n">
        <v>26247.0</v>
      </c>
      <c r="AC271" s="3" t="n">
        <v>25902.0</v>
      </c>
      <c r="AD271" s="3" t="n">
        <v>26380.0</v>
      </c>
      <c r="AE271" s="3" t="n">
        <v>25069.0</v>
      </c>
      <c r="AF271" s="3" t="n">
        <v>24203.0</v>
      </c>
      <c r="AG271" s="3" t="n">
        <v>23448.0</v>
      </c>
      <c r="AH271" s="3" t="n">
        <v>22078.0</v>
      </c>
      <c r="AI271" s="3" t="n">
        <v>21290.0</v>
      </c>
      <c r="AJ271" s="3" t="n">
        <v>20407.0</v>
      </c>
      <c r="AK271" s="3" t="n">
        <v>19894.0</v>
      </c>
      <c r="AL271" s="3" t="n">
        <v>18995.0</v>
      </c>
      <c r="AM271" s="3" t="n">
        <v>18900.0</v>
      </c>
      <c r="AN271" s="3" t="n">
        <v>18124.0</v>
      </c>
      <c r="AO271" s="3" t="n">
        <v>17454.0</v>
      </c>
    </row>
    <row r="272" spans="1:41" x14ac:dyDescent="0.2">
      <c r="A272" s="122"/>
      <c r="B272" s="9">
        <v>59</v>
      </c>
      <c r="C272" s="3" t="n">
        <v>20222.0</v>
      </c>
      <c r="D272" s="3" t="n">
        <v>20157.0</v>
      </c>
      <c r="E272" s="3" t="n">
        <v>20013.0</v>
      </c>
      <c r="F272" s="3" t="n">
        <v>19769.0</v>
      </c>
      <c r="G272" s="3" t="n">
        <v>19601.0</v>
      </c>
      <c r="H272" s="3" t="n">
        <v>19735.0</v>
      </c>
      <c r="I272" s="3" t="n">
        <v>20513.0</v>
      </c>
      <c r="J272" s="3" t="n">
        <v>21202.0</v>
      </c>
      <c r="K272" s="3" t="n">
        <v>21422.0</v>
      </c>
      <c r="L272" s="3" t="n">
        <v>22394.0</v>
      </c>
      <c r="M272" s="3" t="n">
        <v>22914.0</v>
      </c>
      <c r="N272" s="3" t="n">
        <v>24240.0</v>
      </c>
      <c r="O272" s="3" t="n">
        <v>24820.0</v>
      </c>
      <c r="P272" s="3" t="n">
        <v>25586.0</v>
      </c>
      <c r="Q272" s="3" t="n">
        <v>25597.0</v>
      </c>
      <c r="R272" s="3" t="n">
        <v>26274.0</v>
      </c>
      <c r="S272" s="3" t="n">
        <v>26535.0</v>
      </c>
      <c r="T272" s="3" t="n">
        <v>27119.0</v>
      </c>
      <c r="U272" s="3" t="n">
        <v>26840.0</v>
      </c>
      <c r="V272" s="3" t="n">
        <v>27999.0</v>
      </c>
      <c r="W272" s="3" t="n">
        <v>29605.0</v>
      </c>
      <c r="X272" s="3" t="n">
        <v>28951.0</v>
      </c>
      <c r="Y272" s="3" t="n">
        <v>28293.0</v>
      </c>
      <c r="Z272" s="3" t="n">
        <v>27062.0</v>
      </c>
      <c r="AA272" s="3" t="n">
        <v>26293.0</v>
      </c>
      <c r="AB272" s="3" t="n">
        <v>26389.0</v>
      </c>
      <c r="AC272" s="3" t="n">
        <v>26164.0</v>
      </c>
      <c r="AD272" s="3" t="n">
        <v>25820.0</v>
      </c>
      <c r="AE272" s="3" t="n">
        <v>26300.0</v>
      </c>
      <c r="AF272" s="3" t="n">
        <v>24993.0</v>
      </c>
      <c r="AG272" s="3" t="n">
        <v>24129.0</v>
      </c>
      <c r="AH272" s="3" t="n">
        <v>23370.0</v>
      </c>
      <c r="AI272" s="3" t="n">
        <v>22012.0</v>
      </c>
      <c r="AJ272" s="3" t="n">
        <v>21229.0</v>
      </c>
      <c r="AK272" s="3" t="n">
        <v>20353.0</v>
      </c>
      <c r="AL272" s="3" t="n">
        <v>19841.0</v>
      </c>
      <c r="AM272" s="3" t="n">
        <v>18947.0</v>
      </c>
      <c r="AN272" s="3" t="n">
        <v>18854.0</v>
      </c>
      <c r="AO272" s="3" t="n">
        <v>18083.0</v>
      </c>
    </row>
    <row r="273" spans="1:41" x14ac:dyDescent="0.2">
      <c r="A273" s="122"/>
      <c r="B273" s="9">
        <v>60</v>
      </c>
      <c r="C273" s="3" t="n">
        <v>20642.0</v>
      </c>
      <c r="D273" s="3" t="n">
        <v>20108.0</v>
      </c>
      <c r="E273" s="3" t="n">
        <v>20047.0</v>
      </c>
      <c r="F273" s="3" t="n">
        <v>19908.0</v>
      </c>
      <c r="G273" s="3" t="n">
        <v>19669.0</v>
      </c>
      <c r="H273" s="3" t="n">
        <v>19575.0</v>
      </c>
      <c r="I273" s="3" t="n">
        <v>19736.0</v>
      </c>
      <c r="J273" s="3" t="n">
        <v>20461.0</v>
      </c>
      <c r="K273" s="3" t="n">
        <v>21119.0</v>
      </c>
      <c r="L273" s="3" t="n">
        <v>21332.0</v>
      </c>
      <c r="M273" s="3" t="n">
        <v>22296.0</v>
      </c>
      <c r="N273" s="3" t="n">
        <v>22816.0</v>
      </c>
      <c r="O273" s="3" t="n">
        <v>24135.0</v>
      </c>
      <c r="P273" s="3" t="n">
        <v>24716.0</v>
      </c>
      <c r="Q273" s="3" t="n">
        <v>25481.0</v>
      </c>
      <c r="R273" s="3" t="n">
        <v>25491.0</v>
      </c>
      <c r="S273" s="3" t="n">
        <v>26170.0</v>
      </c>
      <c r="T273" s="3" t="n">
        <v>26433.0</v>
      </c>
      <c r="U273" s="3" t="n">
        <v>27014.0</v>
      </c>
      <c r="V273" s="3" t="n">
        <v>26742.0</v>
      </c>
      <c r="W273" s="3" t="n">
        <v>27893.0</v>
      </c>
      <c r="X273" s="3" t="n">
        <v>29496.0</v>
      </c>
      <c r="Y273" s="3" t="n">
        <v>28847.0</v>
      </c>
      <c r="Z273" s="3" t="n">
        <v>28192.0</v>
      </c>
      <c r="AA273" s="3" t="n">
        <v>26964.0</v>
      </c>
      <c r="AB273" s="3" t="n">
        <v>26200.0</v>
      </c>
      <c r="AC273" s="3" t="n">
        <v>26299.0</v>
      </c>
      <c r="AD273" s="3" t="n">
        <v>26075.0</v>
      </c>
      <c r="AE273" s="3" t="n">
        <v>25733.0</v>
      </c>
      <c r="AF273" s="3" t="n">
        <v>26209.0</v>
      </c>
      <c r="AG273" s="3" t="n">
        <v>24906.0</v>
      </c>
      <c r="AH273" s="3" t="n">
        <v>24052.0</v>
      </c>
      <c r="AI273" s="3" t="n">
        <v>23293.0</v>
      </c>
      <c r="AJ273" s="3" t="n">
        <v>21946.0</v>
      </c>
      <c r="AK273" s="3" t="n">
        <v>21170.0</v>
      </c>
      <c r="AL273" s="3" t="n">
        <v>20297.0</v>
      </c>
      <c r="AM273" s="3" t="n">
        <v>19781.0</v>
      </c>
      <c r="AN273" s="3" t="n">
        <v>18894.0</v>
      </c>
      <c r="AO273" s="3" t="n">
        <v>18805.0</v>
      </c>
    </row>
    <row r="274" spans="1:41" x14ac:dyDescent="0.2">
      <c r="A274" s="122"/>
      <c r="B274" s="9">
        <v>61</v>
      </c>
      <c r="C274" s="3" t="n">
        <v>20863.0</v>
      </c>
      <c r="D274" s="3" t="n">
        <v>20518.0</v>
      </c>
      <c r="E274" s="3" t="n">
        <v>19996.0</v>
      </c>
      <c r="F274" s="3" t="n">
        <v>19938.0</v>
      </c>
      <c r="G274" s="3" t="n">
        <v>19802.0</v>
      </c>
      <c r="H274" s="3" t="n">
        <v>19632.0</v>
      </c>
      <c r="I274" s="3" t="n">
        <v>19568.0</v>
      </c>
      <c r="J274" s="3" t="n">
        <v>19684.0</v>
      </c>
      <c r="K274" s="3" t="n">
        <v>20377.0</v>
      </c>
      <c r="L274" s="3" t="n">
        <v>21021.0</v>
      </c>
      <c r="M274" s="3" t="n">
        <v>21230.0</v>
      </c>
      <c r="N274" s="3" t="n">
        <v>22191.0</v>
      </c>
      <c r="O274" s="3" t="n">
        <v>22707.0</v>
      </c>
      <c r="P274" s="3" t="n">
        <v>24021.0</v>
      </c>
      <c r="Q274" s="3" t="n">
        <v>24606.0</v>
      </c>
      <c r="R274" s="3" t="n">
        <v>25366.0</v>
      </c>
      <c r="S274" s="3" t="n">
        <v>25380.0</v>
      </c>
      <c r="T274" s="3" t="n">
        <v>26058.0</v>
      </c>
      <c r="U274" s="3" t="n">
        <v>26323.0</v>
      </c>
      <c r="V274" s="3" t="n">
        <v>26902.0</v>
      </c>
      <c r="W274" s="3" t="n">
        <v>26630.0</v>
      </c>
      <c r="X274" s="3" t="n">
        <v>27776.0</v>
      </c>
      <c r="Y274" s="3" t="n">
        <v>29373.0</v>
      </c>
      <c r="Z274" s="3" t="n">
        <v>28727.0</v>
      </c>
      <c r="AA274" s="3" t="n">
        <v>28073.0</v>
      </c>
      <c r="AB274" s="3" t="n">
        <v>26857.0</v>
      </c>
      <c r="AC274" s="3" t="n">
        <v>26101.0</v>
      </c>
      <c r="AD274" s="3" t="n">
        <v>26201.0</v>
      </c>
      <c r="AE274" s="3" t="n">
        <v>25980.0</v>
      </c>
      <c r="AF274" s="3" t="n">
        <v>25640.0</v>
      </c>
      <c r="AG274" s="3" t="n">
        <v>26112.0</v>
      </c>
      <c r="AH274" s="3" t="n">
        <v>24813.0</v>
      </c>
      <c r="AI274" s="3" t="n">
        <v>23965.0</v>
      </c>
      <c r="AJ274" s="3" t="n">
        <v>23213.0</v>
      </c>
      <c r="AK274" s="3" t="n">
        <v>21872.0</v>
      </c>
      <c r="AL274" s="3" t="n">
        <v>21104.0</v>
      </c>
      <c r="AM274" s="3" t="n">
        <v>20236.0</v>
      </c>
      <c r="AN274" s="3" t="n">
        <v>19720.0</v>
      </c>
      <c r="AO274" s="3" t="n">
        <v>18836.0</v>
      </c>
    </row>
    <row r="275" spans="1:41" x14ac:dyDescent="0.2">
      <c r="A275" s="122"/>
      <c r="B275" s="9">
        <v>62</v>
      </c>
      <c r="C275" s="3" t="n">
        <v>21827.0</v>
      </c>
      <c r="D275" s="3" t="n">
        <v>20721.0</v>
      </c>
      <c r="E275" s="3" t="n">
        <v>20380.0</v>
      </c>
      <c r="F275" s="3" t="n">
        <v>19873.0</v>
      </c>
      <c r="G275" s="3" t="n">
        <v>19823.0</v>
      </c>
      <c r="H275" s="3" t="n">
        <v>19754.0</v>
      </c>
      <c r="I275" s="3" t="n">
        <v>19621.0</v>
      </c>
      <c r="J275" s="3" t="n">
        <v>19499.0</v>
      </c>
      <c r="K275" s="3" t="n">
        <v>19588.0</v>
      </c>
      <c r="L275" s="3" t="n">
        <v>20271.0</v>
      </c>
      <c r="M275" s="3" t="n">
        <v>20909.0</v>
      </c>
      <c r="N275" s="3" t="n">
        <v>21121.0</v>
      </c>
      <c r="O275" s="3" t="n">
        <v>22079.0</v>
      </c>
      <c r="P275" s="3" t="n">
        <v>22591.0</v>
      </c>
      <c r="Q275" s="3" t="n">
        <v>23899.0</v>
      </c>
      <c r="R275" s="3" t="n">
        <v>24482.0</v>
      </c>
      <c r="S275" s="3" t="n">
        <v>25243.0</v>
      </c>
      <c r="T275" s="3" t="n">
        <v>25260.0</v>
      </c>
      <c r="U275" s="3" t="n">
        <v>25936.0</v>
      </c>
      <c r="V275" s="3" t="n">
        <v>26203.0</v>
      </c>
      <c r="W275" s="3" t="n">
        <v>26782.0</v>
      </c>
      <c r="X275" s="3" t="n">
        <v>26512.0</v>
      </c>
      <c r="Y275" s="3" t="n">
        <v>27653.0</v>
      </c>
      <c r="Z275" s="3" t="n">
        <v>29242.0</v>
      </c>
      <c r="AA275" s="3" t="n">
        <v>28603.0</v>
      </c>
      <c r="AB275" s="3" t="n">
        <v>27954.0</v>
      </c>
      <c r="AC275" s="3" t="n">
        <v>26746.0</v>
      </c>
      <c r="AD275" s="3" t="n">
        <v>25993.0</v>
      </c>
      <c r="AE275" s="3" t="n">
        <v>26096.0</v>
      </c>
      <c r="AF275" s="3" t="n">
        <v>25876.0</v>
      </c>
      <c r="AG275" s="3" t="n">
        <v>25534.0</v>
      </c>
      <c r="AH275" s="3" t="n">
        <v>26003.0</v>
      </c>
      <c r="AI275" s="3" t="n">
        <v>24709.0</v>
      </c>
      <c r="AJ275" s="3" t="n">
        <v>23869.0</v>
      </c>
      <c r="AK275" s="3" t="n">
        <v>23122.0</v>
      </c>
      <c r="AL275" s="3" t="n">
        <v>21791.0</v>
      </c>
      <c r="AM275" s="3" t="n">
        <v>21030.0</v>
      </c>
      <c r="AN275" s="3" t="n">
        <v>20168.0</v>
      </c>
      <c r="AO275" s="3" t="n">
        <v>19653.0</v>
      </c>
    </row>
    <row r="276" spans="1:41" x14ac:dyDescent="0.2">
      <c r="A276" s="122"/>
      <c r="B276" s="9">
        <v>63</v>
      </c>
      <c r="C276" s="3" t="n">
        <v>22319.0</v>
      </c>
      <c r="D276" s="3" t="n">
        <v>21669.0</v>
      </c>
      <c r="E276" s="3" t="n">
        <v>20574.0</v>
      </c>
      <c r="F276" s="3" t="n">
        <v>20249.0</v>
      </c>
      <c r="G276" s="3" t="n">
        <v>19750.0</v>
      </c>
      <c r="H276" s="3" t="n">
        <v>19760.0</v>
      </c>
      <c r="I276" s="3" t="n">
        <v>19720.0</v>
      </c>
      <c r="J276" s="3" t="n">
        <v>19532.0</v>
      </c>
      <c r="K276" s="3" t="n">
        <v>19387.0</v>
      </c>
      <c r="L276" s="3" t="n">
        <v>19474.0</v>
      </c>
      <c r="M276" s="3" t="n">
        <v>20151.0</v>
      </c>
      <c r="N276" s="3" t="n">
        <v>20792.0</v>
      </c>
      <c r="O276" s="3" t="n">
        <v>20997.0</v>
      </c>
      <c r="P276" s="3" t="n">
        <v>21954.0</v>
      </c>
      <c r="Q276" s="3" t="n">
        <v>22465.0</v>
      </c>
      <c r="R276" s="3" t="n">
        <v>23762.0</v>
      </c>
      <c r="S276" s="3" t="n">
        <v>24345.0</v>
      </c>
      <c r="T276" s="3" t="n">
        <v>25106.0</v>
      </c>
      <c r="U276" s="3" t="n">
        <v>25120.0</v>
      </c>
      <c r="V276" s="3" t="n">
        <v>25797.0</v>
      </c>
      <c r="W276" s="3" t="n">
        <v>26064.0</v>
      </c>
      <c r="X276" s="3" t="n">
        <v>26645.0</v>
      </c>
      <c r="Y276" s="3" t="n">
        <v>26375.0</v>
      </c>
      <c r="Z276" s="3" t="n">
        <v>27513.0</v>
      </c>
      <c r="AA276" s="3" t="n">
        <v>29092.0</v>
      </c>
      <c r="AB276" s="3" t="n">
        <v>28464.0</v>
      </c>
      <c r="AC276" s="3" t="n">
        <v>27818.0</v>
      </c>
      <c r="AD276" s="3" t="n">
        <v>26617.0</v>
      </c>
      <c r="AE276" s="3" t="n">
        <v>25875.0</v>
      </c>
      <c r="AF276" s="3" t="n">
        <v>25980.0</v>
      </c>
      <c r="AG276" s="3" t="n">
        <v>25766.0</v>
      </c>
      <c r="AH276" s="3" t="n">
        <v>25425.0</v>
      </c>
      <c r="AI276" s="3" t="n">
        <v>25893.0</v>
      </c>
      <c r="AJ276" s="3" t="n">
        <v>24606.0</v>
      </c>
      <c r="AK276" s="3" t="n">
        <v>23771.0</v>
      </c>
      <c r="AL276" s="3" t="n">
        <v>23028.0</v>
      </c>
      <c r="AM276" s="3" t="n">
        <v>21708.0</v>
      </c>
      <c r="AN276" s="3" t="n">
        <v>20953.0</v>
      </c>
      <c r="AO276" s="3" t="n">
        <v>20093.0</v>
      </c>
    </row>
    <row r="277" spans="1:41" x14ac:dyDescent="0.2">
      <c r="A277" s="122"/>
      <c r="B277" s="9">
        <v>64</v>
      </c>
      <c r="C277" s="3" t="n">
        <v>22829.0</v>
      </c>
      <c r="D277" s="3" t="n">
        <v>22143.0</v>
      </c>
      <c r="E277" s="3" t="n">
        <v>21501.0</v>
      </c>
      <c r="F277" s="3" t="n">
        <v>20418.0</v>
      </c>
      <c r="G277" s="3" t="n">
        <v>20101.0</v>
      </c>
      <c r="H277" s="3" t="n">
        <v>19678.0</v>
      </c>
      <c r="I277" s="3" t="n">
        <v>19718.0</v>
      </c>
      <c r="J277" s="3" t="n">
        <v>19630.0</v>
      </c>
      <c r="K277" s="3" t="n">
        <v>19414.0</v>
      </c>
      <c r="L277" s="3" t="n">
        <v>19264.0</v>
      </c>
      <c r="M277" s="3" t="n">
        <v>19347.0</v>
      </c>
      <c r="N277" s="3" t="n">
        <v>20020.0</v>
      </c>
      <c r="O277" s="3" t="n">
        <v>20655.0</v>
      </c>
      <c r="P277" s="3" t="n">
        <v>20865.0</v>
      </c>
      <c r="Q277" s="3" t="n">
        <v>21818.0</v>
      </c>
      <c r="R277" s="3" t="n">
        <v>22329.0</v>
      </c>
      <c r="S277" s="3" t="n">
        <v>23619.0</v>
      </c>
      <c r="T277" s="3" t="n">
        <v>24206.0</v>
      </c>
      <c r="U277" s="3" t="n">
        <v>24962.0</v>
      </c>
      <c r="V277" s="3" t="n">
        <v>24981.0</v>
      </c>
      <c r="W277" s="3" t="n">
        <v>25659.0</v>
      </c>
      <c r="X277" s="3" t="n">
        <v>25926.0</v>
      </c>
      <c r="Y277" s="3" t="n">
        <v>26504.0</v>
      </c>
      <c r="Z277" s="3" t="n">
        <v>26237.0</v>
      </c>
      <c r="AA277" s="3" t="n">
        <v>27367.0</v>
      </c>
      <c r="AB277" s="3" t="n">
        <v>28943.0</v>
      </c>
      <c r="AC277" s="3" t="n">
        <v>28317.0</v>
      </c>
      <c r="AD277" s="3" t="n">
        <v>27677.0</v>
      </c>
      <c r="AE277" s="3" t="n">
        <v>26485.0</v>
      </c>
      <c r="AF277" s="3" t="n">
        <v>25744.0</v>
      </c>
      <c r="AG277" s="3" t="n">
        <v>25849.0</v>
      </c>
      <c r="AH277" s="3" t="n">
        <v>25636.0</v>
      </c>
      <c r="AI277" s="3" t="n">
        <v>25299.0</v>
      </c>
      <c r="AJ277" s="3" t="n">
        <v>25766.0</v>
      </c>
      <c r="AK277" s="3" t="n">
        <v>24490.0</v>
      </c>
      <c r="AL277" s="3" t="n">
        <v>23666.0</v>
      </c>
      <c r="AM277" s="3" t="n">
        <v>22925.0</v>
      </c>
      <c r="AN277" s="3" t="n">
        <v>21616.0</v>
      </c>
      <c r="AO277" s="3" t="n">
        <v>20869.0</v>
      </c>
    </row>
    <row r="278" spans="1:41" x14ac:dyDescent="0.2">
      <c r="A278" s="122"/>
      <c r="B278" s="9">
        <v>65</v>
      </c>
      <c r="C278" s="3" t="n">
        <v>22531.0</v>
      </c>
      <c r="D278" s="3" t="n">
        <v>22631.0</v>
      </c>
      <c r="E278" s="3" t="n">
        <v>21963.0</v>
      </c>
      <c r="F278" s="3" t="n">
        <v>21332.0</v>
      </c>
      <c r="G278" s="3" t="n">
        <v>20261.0</v>
      </c>
      <c r="H278" s="3" t="n">
        <v>20008.0</v>
      </c>
      <c r="I278" s="3" t="n">
        <v>19610.0</v>
      </c>
      <c r="J278" s="3" t="n">
        <v>19605.0</v>
      </c>
      <c r="K278" s="3" t="n">
        <v>19502.0</v>
      </c>
      <c r="L278" s="3" t="n">
        <v>19284.0</v>
      </c>
      <c r="M278" s="3" t="n">
        <v>19130.0</v>
      </c>
      <c r="N278" s="3" t="n">
        <v>19220.0</v>
      </c>
      <c r="O278" s="3" t="n">
        <v>19887.0</v>
      </c>
      <c r="P278" s="3" t="n">
        <v>20519.0</v>
      </c>
      <c r="Q278" s="3" t="n">
        <v>20730.0</v>
      </c>
      <c r="R278" s="3" t="n">
        <v>21678.0</v>
      </c>
      <c r="S278" s="3" t="n">
        <v>22186.0</v>
      </c>
      <c r="T278" s="3" t="n">
        <v>23470.0</v>
      </c>
      <c r="U278" s="3" t="n">
        <v>24056.0</v>
      </c>
      <c r="V278" s="3" t="n">
        <v>24814.0</v>
      </c>
      <c r="W278" s="3" t="n">
        <v>24837.0</v>
      </c>
      <c r="X278" s="3" t="n">
        <v>25510.0</v>
      </c>
      <c r="Y278" s="3" t="n">
        <v>25780.0</v>
      </c>
      <c r="Z278" s="3" t="n">
        <v>26359.0</v>
      </c>
      <c r="AA278" s="3" t="n">
        <v>26093.0</v>
      </c>
      <c r="AB278" s="3" t="n">
        <v>27216.0</v>
      </c>
      <c r="AC278" s="3" t="n">
        <v>28785.0</v>
      </c>
      <c r="AD278" s="3" t="n">
        <v>28167.0</v>
      </c>
      <c r="AE278" s="3" t="n">
        <v>27533.0</v>
      </c>
      <c r="AF278" s="3" t="n">
        <v>26349.0</v>
      </c>
      <c r="AG278" s="3" t="n">
        <v>25612.0</v>
      </c>
      <c r="AH278" s="3" t="n">
        <v>25714.0</v>
      </c>
      <c r="AI278" s="3" t="n">
        <v>25507.0</v>
      </c>
      <c r="AJ278" s="3" t="n">
        <v>25177.0</v>
      </c>
      <c r="AK278" s="3" t="n">
        <v>25643.0</v>
      </c>
      <c r="AL278" s="3" t="n">
        <v>24375.0</v>
      </c>
      <c r="AM278" s="3" t="n">
        <v>23558.0</v>
      </c>
      <c r="AN278" s="3" t="n">
        <v>22826.0</v>
      </c>
      <c r="AO278" s="3" t="n">
        <v>21524.0</v>
      </c>
    </row>
    <row r="279" spans="1:41" x14ac:dyDescent="0.2">
      <c r="A279" s="122"/>
      <c r="B279" s="9">
        <v>66</v>
      </c>
      <c r="C279" s="3" t="n">
        <v>22158.0</v>
      </c>
      <c r="D279" s="3" t="n">
        <v>22309.0</v>
      </c>
      <c r="E279" s="3" t="n">
        <v>22412.0</v>
      </c>
      <c r="F279" s="3" t="n">
        <v>21756.0</v>
      </c>
      <c r="G279" s="3" t="n">
        <v>21140.0</v>
      </c>
      <c r="H279" s="3" t="n">
        <v>20122.0</v>
      </c>
      <c r="I279" s="3" t="n">
        <v>19893.0</v>
      </c>
      <c r="J279" s="3" t="n">
        <v>19462.0</v>
      </c>
      <c r="K279" s="3" t="n">
        <v>19442.0</v>
      </c>
      <c r="L279" s="3" t="n">
        <v>19330.0</v>
      </c>
      <c r="M279" s="3" t="n">
        <v>19121.0</v>
      </c>
      <c r="N279" s="3" t="n">
        <v>18969.0</v>
      </c>
      <c r="O279" s="3" t="n">
        <v>19056.0</v>
      </c>
      <c r="P279" s="3" t="n">
        <v>19719.0</v>
      </c>
      <c r="Q279" s="3" t="n">
        <v>20349.0</v>
      </c>
      <c r="R279" s="3" t="n">
        <v>20569.0</v>
      </c>
      <c r="S279" s="3" t="n">
        <v>21512.0</v>
      </c>
      <c r="T279" s="3" t="n">
        <v>22025.0</v>
      </c>
      <c r="U279" s="3" t="n">
        <v>23297.0</v>
      </c>
      <c r="V279" s="3" t="n">
        <v>23883.0</v>
      </c>
      <c r="W279" s="3" t="n">
        <v>24637.0</v>
      </c>
      <c r="X279" s="3" t="n">
        <v>24663.0</v>
      </c>
      <c r="Y279" s="3" t="n">
        <v>25337.0</v>
      </c>
      <c r="Z279" s="3" t="n">
        <v>25608.0</v>
      </c>
      <c r="AA279" s="3" t="n">
        <v>26182.0</v>
      </c>
      <c r="AB279" s="3" t="n">
        <v>25929.0</v>
      </c>
      <c r="AC279" s="3" t="n">
        <v>27037.0</v>
      </c>
      <c r="AD279" s="3" t="n">
        <v>28598.0</v>
      </c>
      <c r="AE279" s="3" t="n">
        <v>27988.0</v>
      </c>
      <c r="AF279" s="3" t="n">
        <v>27364.0</v>
      </c>
      <c r="AG279" s="3" t="n">
        <v>26183.0</v>
      </c>
      <c r="AH279" s="3" t="n">
        <v>25455.0</v>
      </c>
      <c r="AI279" s="3" t="n">
        <v>25556.0</v>
      </c>
      <c r="AJ279" s="3" t="n">
        <v>25355.0</v>
      </c>
      <c r="AK279" s="3" t="n">
        <v>25028.0</v>
      </c>
      <c r="AL279" s="3" t="n">
        <v>25493.0</v>
      </c>
      <c r="AM279" s="3" t="n">
        <v>24239.0</v>
      </c>
      <c r="AN279" s="3" t="n">
        <v>23427.0</v>
      </c>
      <c r="AO279" s="3" t="n">
        <v>22699.0</v>
      </c>
    </row>
    <row r="280" spans="1:41" x14ac:dyDescent="0.2">
      <c r="A280" s="122"/>
      <c r="B280" s="9">
        <v>67</v>
      </c>
      <c r="C280" s="3" t="n">
        <v>22325.0</v>
      </c>
      <c r="D280" s="3" t="n">
        <v>21919.0</v>
      </c>
      <c r="E280" s="3" t="n">
        <v>22081.0</v>
      </c>
      <c r="F280" s="3" t="n">
        <v>22184.0</v>
      </c>
      <c r="G280" s="3" t="n">
        <v>21540.0</v>
      </c>
      <c r="H280" s="3" t="n">
        <v>20980.0</v>
      </c>
      <c r="I280" s="3" t="n">
        <v>19992.0</v>
      </c>
      <c r="J280" s="3" t="n">
        <v>19732.0</v>
      </c>
      <c r="K280" s="3" t="n">
        <v>19292.0</v>
      </c>
      <c r="L280" s="3" t="n">
        <v>19272.0</v>
      </c>
      <c r="M280" s="3" t="n">
        <v>19161.0</v>
      </c>
      <c r="N280" s="3" t="n">
        <v>18954.0</v>
      </c>
      <c r="O280" s="3" t="n">
        <v>18803.0</v>
      </c>
      <c r="P280" s="3" t="n">
        <v>18894.0</v>
      </c>
      <c r="Q280" s="3" t="n">
        <v>19555.0</v>
      </c>
      <c r="R280" s="3" t="n">
        <v>20179.0</v>
      </c>
      <c r="S280" s="3" t="n">
        <v>20402.0</v>
      </c>
      <c r="T280" s="3" t="n">
        <v>21340.0</v>
      </c>
      <c r="U280" s="3" t="n">
        <v>21849.0</v>
      </c>
      <c r="V280" s="3" t="n">
        <v>23113.0</v>
      </c>
      <c r="W280" s="3" t="n">
        <v>23703.0</v>
      </c>
      <c r="X280" s="3" t="n">
        <v>24452.0</v>
      </c>
      <c r="Y280" s="3" t="n">
        <v>24484.0</v>
      </c>
      <c r="Z280" s="3" t="n">
        <v>25157.0</v>
      </c>
      <c r="AA280" s="3" t="n">
        <v>25428.0</v>
      </c>
      <c r="AB280" s="3" t="n">
        <v>26003.0</v>
      </c>
      <c r="AC280" s="3" t="n">
        <v>25756.0</v>
      </c>
      <c r="AD280" s="3" t="n">
        <v>26857.0</v>
      </c>
      <c r="AE280" s="3" t="n">
        <v>28407.0</v>
      </c>
      <c r="AF280" s="3" t="n">
        <v>27803.0</v>
      </c>
      <c r="AG280" s="3" t="n">
        <v>27187.0</v>
      </c>
      <c r="AH280" s="3" t="n">
        <v>26014.0</v>
      </c>
      <c r="AI280" s="3" t="n">
        <v>25290.0</v>
      </c>
      <c r="AJ280" s="3" t="n">
        <v>25394.0</v>
      </c>
      <c r="AK280" s="3" t="n">
        <v>25193.0</v>
      </c>
      <c r="AL280" s="3" t="n">
        <v>24873.0</v>
      </c>
      <c r="AM280" s="3" t="n">
        <v>25336.0</v>
      </c>
      <c r="AN280" s="3" t="n">
        <v>24093.0</v>
      </c>
      <c r="AO280" s="3" t="n">
        <v>23289.0</v>
      </c>
    </row>
    <row r="281" spans="1:41" x14ac:dyDescent="0.2">
      <c r="A281" s="122"/>
      <c r="B281" s="9">
        <v>68</v>
      </c>
      <c r="C281" s="3" t="n">
        <v>21188.0</v>
      </c>
      <c r="D281" s="3" t="n">
        <v>22054.0</v>
      </c>
      <c r="E281" s="3" t="n">
        <v>21665.0</v>
      </c>
      <c r="F281" s="3" t="n">
        <v>21831.0</v>
      </c>
      <c r="G281" s="3" t="n">
        <v>21943.0</v>
      </c>
      <c r="H281" s="3" t="n">
        <v>21346.0</v>
      </c>
      <c r="I281" s="3" t="n">
        <v>20810.0</v>
      </c>
      <c r="J281" s="3" t="n">
        <v>19799.0</v>
      </c>
      <c r="K281" s="3" t="n">
        <v>19535.0</v>
      </c>
      <c r="L281" s="3" t="n">
        <v>19095.0</v>
      </c>
      <c r="M281" s="3" t="n">
        <v>19074.0</v>
      </c>
      <c r="N281" s="3" t="n">
        <v>18969.0</v>
      </c>
      <c r="O281" s="3" t="n">
        <v>18765.0</v>
      </c>
      <c r="P281" s="3" t="n">
        <v>18618.0</v>
      </c>
      <c r="Q281" s="3" t="n">
        <v>18711.0</v>
      </c>
      <c r="R281" s="3" t="n">
        <v>19370.0</v>
      </c>
      <c r="S281" s="3" t="n">
        <v>19988.0</v>
      </c>
      <c r="T281" s="3" t="n">
        <v>20211.0</v>
      </c>
      <c r="U281" s="3" t="n">
        <v>21148.0</v>
      </c>
      <c r="V281" s="3" t="n">
        <v>21655.0</v>
      </c>
      <c r="W281" s="3" t="n">
        <v>22910.0</v>
      </c>
      <c r="X281" s="3" t="n">
        <v>23500.0</v>
      </c>
      <c r="Y281" s="3" t="n">
        <v>24244.0</v>
      </c>
      <c r="Z281" s="3" t="n">
        <v>24281.0</v>
      </c>
      <c r="AA281" s="3" t="n">
        <v>24950.0</v>
      </c>
      <c r="AB281" s="3" t="n">
        <v>25225.0</v>
      </c>
      <c r="AC281" s="3" t="n">
        <v>25798.0</v>
      </c>
      <c r="AD281" s="3" t="n">
        <v>25554.0</v>
      </c>
      <c r="AE281" s="3" t="n">
        <v>26652.0</v>
      </c>
      <c r="AF281" s="3" t="n">
        <v>28193.0</v>
      </c>
      <c r="AG281" s="3" t="n">
        <v>27594.0</v>
      </c>
      <c r="AH281" s="3" t="n">
        <v>26986.0</v>
      </c>
      <c r="AI281" s="3" t="n">
        <v>25821.0</v>
      </c>
      <c r="AJ281" s="3" t="n">
        <v>25102.0</v>
      </c>
      <c r="AK281" s="3" t="n">
        <v>25212.0</v>
      </c>
      <c r="AL281" s="3" t="n">
        <v>25016.0</v>
      </c>
      <c r="AM281" s="3" t="n">
        <v>24700.0</v>
      </c>
      <c r="AN281" s="3" t="n">
        <v>25160.0</v>
      </c>
      <c r="AO281" s="3" t="n">
        <v>23928.0</v>
      </c>
    </row>
    <row r="282" spans="1:41" x14ac:dyDescent="0.2">
      <c r="A282" s="122"/>
      <c r="B282" s="9">
        <v>69</v>
      </c>
      <c r="C282" s="3" t="n">
        <v>20996.0</v>
      </c>
      <c r="D282" s="3" t="n">
        <v>20919.0</v>
      </c>
      <c r="E282" s="3" t="n">
        <v>21779.0</v>
      </c>
      <c r="F282" s="3" t="n">
        <v>21402.0</v>
      </c>
      <c r="G282" s="3" t="n">
        <v>21570.0</v>
      </c>
      <c r="H282" s="3" t="n">
        <v>21719.0</v>
      </c>
      <c r="I282" s="3" t="n">
        <v>21147.0</v>
      </c>
      <c r="J282" s="3" t="n">
        <v>20594.0</v>
      </c>
      <c r="K282" s="3" t="n">
        <v>19582.0</v>
      </c>
      <c r="L282" s="3" t="n">
        <v>19320.0</v>
      </c>
      <c r="M282" s="3" t="n">
        <v>18881.0</v>
      </c>
      <c r="N282" s="3" t="n">
        <v>18869.0</v>
      </c>
      <c r="O282" s="3" t="n">
        <v>18766.0</v>
      </c>
      <c r="P282" s="3" t="n">
        <v>18569.0</v>
      </c>
      <c r="Q282" s="3" t="n">
        <v>18424.0</v>
      </c>
      <c r="R282" s="3" t="n">
        <v>18520.0</v>
      </c>
      <c r="S282" s="3" t="n">
        <v>19173.0</v>
      </c>
      <c r="T282" s="3" t="n">
        <v>19788.0</v>
      </c>
      <c r="U282" s="3" t="n">
        <v>20015.0</v>
      </c>
      <c r="V282" s="3" t="n">
        <v>20946.0</v>
      </c>
      <c r="W282" s="3" t="n">
        <v>21450.0</v>
      </c>
      <c r="X282" s="3" t="n">
        <v>22695.0</v>
      </c>
      <c r="Y282" s="3" t="n">
        <v>23286.0</v>
      </c>
      <c r="Z282" s="3" t="n">
        <v>24027.0</v>
      </c>
      <c r="AA282" s="3" t="n">
        <v>24064.0</v>
      </c>
      <c r="AB282" s="3" t="n">
        <v>24732.0</v>
      </c>
      <c r="AC282" s="3" t="n">
        <v>25006.0</v>
      </c>
      <c r="AD282" s="3" t="n">
        <v>25576.0</v>
      </c>
      <c r="AE282" s="3" t="n">
        <v>25340.0</v>
      </c>
      <c r="AF282" s="3" t="n">
        <v>26428.0</v>
      </c>
      <c r="AG282" s="3" t="n">
        <v>27960.0</v>
      </c>
      <c r="AH282" s="3" t="n">
        <v>27372.0</v>
      </c>
      <c r="AI282" s="3" t="n">
        <v>26769.0</v>
      </c>
      <c r="AJ282" s="3" t="n">
        <v>25616.0</v>
      </c>
      <c r="AK282" s="3" t="n">
        <v>24906.0</v>
      </c>
      <c r="AL282" s="3" t="n">
        <v>25017.0</v>
      </c>
      <c r="AM282" s="3" t="n">
        <v>24824.0</v>
      </c>
      <c r="AN282" s="3" t="n">
        <v>24514.0</v>
      </c>
      <c r="AO282" s="3" t="n">
        <v>24975.0</v>
      </c>
    </row>
    <row r="283" spans="1:41" x14ac:dyDescent="0.2">
      <c r="A283" s="122"/>
      <c r="B283" s="9">
        <v>70</v>
      </c>
      <c r="C283" s="3" t="n">
        <v>20471.0</v>
      </c>
      <c r="D283" s="3" t="n">
        <v>20695.0</v>
      </c>
      <c r="E283" s="3" t="n">
        <v>20634.0</v>
      </c>
      <c r="F283" s="3" t="n">
        <v>21488.0</v>
      </c>
      <c r="G283" s="3" t="n">
        <v>21127.0</v>
      </c>
      <c r="H283" s="3" t="n">
        <v>21329.0</v>
      </c>
      <c r="I283" s="3" t="n">
        <v>21493.0</v>
      </c>
      <c r="J283" s="3" t="n">
        <v>20901.0</v>
      </c>
      <c r="K283" s="3" t="n">
        <v>20343.0</v>
      </c>
      <c r="L283" s="3" t="n">
        <v>19343.0</v>
      </c>
      <c r="M283" s="3" t="n">
        <v>19086.0</v>
      </c>
      <c r="N283" s="3" t="n">
        <v>18657.0</v>
      </c>
      <c r="O283" s="3" t="n">
        <v>18644.0</v>
      </c>
      <c r="P283" s="3" t="n">
        <v>18549.0</v>
      </c>
      <c r="Q283" s="3" t="n">
        <v>18359.0</v>
      </c>
      <c r="R283" s="3" t="n">
        <v>18215.0</v>
      </c>
      <c r="S283" s="3" t="n">
        <v>18315.0</v>
      </c>
      <c r="T283" s="3" t="n">
        <v>18968.0</v>
      </c>
      <c r="U283" s="3" t="n">
        <v>19576.0</v>
      </c>
      <c r="V283" s="3" t="n">
        <v>19808.0</v>
      </c>
      <c r="W283" s="3" t="n">
        <v>20733.0</v>
      </c>
      <c r="X283" s="3" t="n">
        <v>21231.0</v>
      </c>
      <c r="Y283" s="3" t="n">
        <v>22471.0</v>
      </c>
      <c r="Z283" s="3" t="n">
        <v>23058.0</v>
      </c>
      <c r="AA283" s="3" t="n">
        <v>23799.0</v>
      </c>
      <c r="AB283" s="3" t="n">
        <v>23838.0</v>
      </c>
      <c r="AC283" s="3" t="n">
        <v>24497.0</v>
      </c>
      <c r="AD283" s="3" t="n">
        <v>24772.0</v>
      </c>
      <c r="AE283" s="3" t="n">
        <v>25345.0</v>
      </c>
      <c r="AF283" s="3" t="n">
        <v>25109.0</v>
      </c>
      <c r="AG283" s="3" t="n">
        <v>26189.0</v>
      </c>
      <c r="AH283" s="3" t="n">
        <v>27714.0</v>
      </c>
      <c r="AI283" s="3" t="n">
        <v>27135.0</v>
      </c>
      <c r="AJ283" s="3" t="n">
        <v>26539.0</v>
      </c>
      <c r="AK283" s="3" t="n">
        <v>25399.0</v>
      </c>
      <c r="AL283" s="3" t="n">
        <v>24699.0</v>
      </c>
      <c r="AM283" s="3" t="n">
        <v>24811.0</v>
      </c>
      <c r="AN283" s="3" t="n">
        <v>24624.0</v>
      </c>
      <c r="AO283" s="3" t="n">
        <v>24319.0</v>
      </c>
    </row>
    <row r="284" spans="1:41" x14ac:dyDescent="0.2">
      <c r="A284" s="122"/>
      <c r="B284" s="9">
        <v>71</v>
      </c>
      <c r="C284" s="3" t="n">
        <v>19940.0</v>
      </c>
      <c r="D284" s="3" t="n">
        <v>20144.0</v>
      </c>
      <c r="E284" s="3" t="n">
        <v>20377.0</v>
      </c>
      <c r="F284" s="3" t="n">
        <v>20326.0</v>
      </c>
      <c r="G284" s="3" t="n">
        <v>21174.0</v>
      </c>
      <c r="H284" s="3" t="n">
        <v>20856.0</v>
      </c>
      <c r="I284" s="3" t="n">
        <v>21074.0</v>
      </c>
      <c r="J284" s="3" t="n">
        <v>21212.0</v>
      </c>
      <c r="K284" s="3" t="n">
        <v>20621.0</v>
      </c>
      <c r="L284" s="3" t="n">
        <v>20070.0</v>
      </c>
      <c r="M284" s="3" t="n">
        <v>19082.0</v>
      </c>
      <c r="N284" s="3" t="n">
        <v>18833.0</v>
      </c>
      <c r="O284" s="3" t="n">
        <v>18410.0</v>
      </c>
      <c r="P284" s="3" t="n">
        <v>18402.0</v>
      </c>
      <c r="Q284" s="3" t="n">
        <v>18308.0</v>
      </c>
      <c r="R284" s="3" t="n">
        <v>18124.0</v>
      </c>
      <c r="S284" s="3" t="n">
        <v>17980.0</v>
      </c>
      <c r="T284" s="3" t="n">
        <v>18087.0</v>
      </c>
      <c r="U284" s="3" t="n">
        <v>18738.0</v>
      </c>
      <c r="V284" s="3" t="n">
        <v>19343.0</v>
      </c>
      <c r="W284" s="3" t="n">
        <v>19576.0</v>
      </c>
      <c r="X284" s="3" t="n">
        <v>20499.0</v>
      </c>
      <c r="Y284" s="3" t="n">
        <v>20995.0</v>
      </c>
      <c r="Z284" s="3" t="n">
        <v>22220.0</v>
      </c>
      <c r="AA284" s="3" t="n">
        <v>22803.0</v>
      </c>
      <c r="AB284" s="3" t="n">
        <v>23541.0</v>
      </c>
      <c r="AC284" s="3" t="n">
        <v>23579.0</v>
      </c>
      <c r="AD284" s="3" t="n">
        <v>24235.0</v>
      </c>
      <c r="AE284" s="3" t="n">
        <v>24516.0</v>
      </c>
      <c r="AF284" s="3" t="n">
        <v>25082.0</v>
      </c>
      <c r="AG284" s="3" t="n">
        <v>24852.0</v>
      </c>
      <c r="AH284" s="3" t="n">
        <v>25927.0</v>
      </c>
      <c r="AI284" s="3" t="n">
        <v>27437.0</v>
      </c>
      <c r="AJ284" s="3" t="n">
        <v>26869.0</v>
      </c>
      <c r="AK284" s="3" t="n">
        <v>26286.0</v>
      </c>
      <c r="AL284" s="3" t="n">
        <v>25159.0</v>
      </c>
      <c r="AM284" s="3" t="n">
        <v>24469.0</v>
      </c>
      <c r="AN284" s="3" t="n">
        <v>24586.0</v>
      </c>
      <c r="AO284" s="3" t="n">
        <v>24399.0</v>
      </c>
    </row>
    <row r="285" spans="1:41" x14ac:dyDescent="0.2">
      <c r="A285" s="122"/>
      <c r="B285" s="9">
        <v>72</v>
      </c>
      <c r="C285" s="3" t="n">
        <v>18561.0</v>
      </c>
      <c r="D285" s="3" t="n">
        <v>19590.0</v>
      </c>
      <c r="E285" s="3" t="n">
        <v>19807.0</v>
      </c>
      <c r="F285" s="3" t="n">
        <v>20043.0</v>
      </c>
      <c r="G285" s="3" t="n">
        <v>20004.0</v>
      </c>
      <c r="H285" s="3" t="n">
        <v>20872.0</v>
      </c>
      <c r="I285" s="3" t="n">
        <v>20572.0</v>
      </c>
      <c r="J285" s="3" t="n">
        <v>20774.0</v>
      </c>
      <c r="K285" s="3" t="n">
        <v>20898.0</v>
      </c>
      <c r="L285" s="3" t="n">
        <v>20316.0</v>
      </c>
      <c r="M285" s="3" t="n">
        <v>19773.0</v>
      </c>
      <c r="N285" s="3" t="n">
        <v>18804.0</v>
      </c>
      <c r="O285" s="3" t="n">
        <v>18558.0</v>
      </c>
      <c r="P285" s="3" t="n">
        <v>18145.0</v>
      </c>
      <c r="Q285" s="3" t="n">
        <v>18143.0</v>
      </c>
      <c r="R285" s="3" t="n">
        <v>18051.0</v>
      </c>
      <c r="S285" s="3" t="n">
        <v>17872.0</v>
      </c>
      <c r="T285" s="3" t="n">
        <v>17738.0</v>
      </c>
      <c r="U285" s="3" t="n">
        <v>17846.0</v>
      </c>
      <c r="V285" s="3" t="n">
        <v>18494.0</v>
      </c>
      <c r="W285" s="3" t="n">
        <v>19089.0</v>
      </c>
      <c r="X285" s="3" t="n">
        <v>19321.0</v>
      </c>
      <c r="Y285" s="3" t="n">
        <v>20237.0</v>
      </c>
      <c r="Z285" s="3" t="n">
        <v>20733.0</v>
      </c>
      <c r="AA285" s="3" t="n">
        <v>21948.0</v>
      </c>
      <c r="AB285" s="3" t="n">
        <v>22534.0</v>
      </c>
      <c r="AC285" s="3" t="n">
        <v>23262.0</v>
      </c>
      <c r="AD285" s="3" t="n">
        <v>23304.0</v>
      </c>
      <c r="AE285" s="3" t="n">
        <v>23955.0</v>
      </c>
      <c r="AF285" s="3" t="n">
        <v>24237.0</v>
      </c>
      <c r="AG285" s="3" t="n">
        <v>24797.0</v>
      </c>
      <c r="AH285" s="3" t="n">
        <v>24579.0</v>
      </c>
      <c r="AI285" s="3" t="n">
        <v>25642.0</v>
      </c>
      <c r="AJ285" s="3" t="n">
        <v>27144.0</v>
      </c>
      <c r="AK285" s="3" t="n">
        <v>26582.0</v>
      </c>
      <c r="AL285" s="3" t="n">
        <v>26008.0</v>
      </c>
      <c r="AM285" s="3" t="n">
        <v>24897.0</v>
      </c>
      <c r="AN285" s="3" t="n">
        <v>24219.0</v>
      </c>
      <c r="AO285" s="3" t="n">
        <v>24338.0</v>
      </c>
    </row>
    <row r="286" spans="1:41" x14ac:dyDescent="0.2">
      <c r="A286" s="122"/>
      <c r="B286" s="9">
        <v>73</v>
      </c>
      <c r="C286" s="3" t="n">
        <v>17719.0</v>
      </c>
      <c r="D286" s="3" t="n">
        <v>18195.0</v>
      </c>
      <c r="E286" s="3" t="n">
        <v>19223.0</v>
      </c>
      <c r="F286" s="3" t="n">
        <v>19443.0</v>
      </c>
      <c r="G286" s="3" t="n">
        <v>19685.0</v>
      </c>
      <c r="H286" s="3" t="n">
        <v>19671.0</v>
      </c>
      <c r="I286" s="3" t="n">
        <v>20548.0</v>
      </c>
      <c r="J286" s="3" t="n">
        <v>20239.0</v>
      </c>
      <c r="K286" s="3" t="n">
        <v>20426.0</v>
      </c>
      <c r="L286" s="3" t="n">
        <v>20551.0</v>
      </c>
      <c r="M286" s="3" t="n">
        <v>19974.0</v>
      </c>
      <c r="N286" s="3" t="n">
        <v>19448.0</v>
      </c>
      <c r="O286" s="3" t="n">
        <v>18496.0</v>
      </c>
      <c r="P286" s="3" t="n">
        <v>18257.0</v>
      </c>
      <c r="Q286" s="3" t="n">
        <v>17852.0</v>
      </c>
      <c r="R286" s="3" t="n">
        <v>17854.0</v>
      </c>
      <c r="S286" s="3" t="n">
        <v>17764.0</v>
      </c>
      <c r="T286" s="3" t="n">
        <v>17595.0</v>
      </c>
      <c r="U286" s="3" t="n">
        <v>17467.0</v>
      </c>
      <c r="V286" s="3" t="n">
        <v>17579.0</v>
      </c>
      <c r="W286" s="3" t="n">
        <v>18222.0</v>
      </c>
      <c r="X286" s="3" t="n">
        <v>18806.0</v>
      </c>
      <c r="Y286" s="3" t="n">
        <v>19043.0</v>
      </c>
      <c r="Z286" s="3" t="n">
        <v>19950.0</v>
      </c>
      <c r="AA286" s="3" t="n">
        <v>20446.0</v>
      </c>
      <c r="AB286" s="3" t="n">
        <v>21650.0</v>
      </c>
      <c r="AC286" s="3" t="n">
        <v>22234.0</v>
      </c>
      <c r="AD286" s="3" t="n">
        <v>22955.0</v>
      </c>
      <c r="AE286" s="3" t="n">
        <v>23002.0</v>
      </c>
      <c r="AF286" s="3" t="n">
        <v>23651.0</v>
      </c>
      <c r="AG286" s="3" t="n">
        <v>23933.0</v>
      </c>
      <c r="AH286" s="3" t="n">
        <v>24490.0</v>
      </c>
      <c r="AI286" s="3" t="n">
        <v>24281.0</v>
      </c>
      <c r="AJ286" s="3" t="n">
        <v>25335.0</v>
      </c>
      <c r="AK286" s="3" t="n">
        <v>26822.0</v>
      </c>
      <c r="AL286" s="3" t="n">
        <v>26273.0</v>
      </c>
      <c r="AM286" s="3" t="n">
        <v>25711.0</v>
      </c>
      <c r="AN286" s="3" t="n">
        <v>24615.0</v>
      </c>
      <c r="AO286" s="3" t="n">
        <v>23946.0</v>
      </c>
    </row>
    <row r="287" spans="1:41" x14ac:dyDescent="0.2">
      <c r="A287" s="122"/>
      <c r="B287" s="9">
        <v>74</v>
      </c>
      <c r="C287" s="3" t="n">
        <v>16885.0</v>
      </c>
      <c r="D287" s="3" t="n">
        <v>17347.0</v>
      </c>
      <c r="E287" s="3" t="n">
        <v>17829.0</v>
      </c>
      <c r="F287" s="3" t="n">
        <v>18839.0</v>
      </c>
      <c r="G287" s="3" t="n">
        <v>19064.0</v>
      </c>
      <c r="H287" s="3" t="n">
        <v>19319.0</v>
      </c>
      <c r="I287" s="3" t="n">
        <v>19321.0</v>
      </c>
      <c r="J287" s="3" t="n">
        <v>20172.0</v>
      </c>
      <c r="K287" s="3" t="n">
        <v>19871.0</v>
      </c>
      <c r="L287" s="3" t="n">
        <v>20053.0</v>
      </c>
      <c r="M287" s="3" t="n">
        <v>20186.0</v>
      </c>
      <c r="N287" s="3" t="n">
        <v>19623.0</v>
      </c>
      <c r="O287" s="3" t="n">
        <v>19106.0</v>
      </c>
      <c r="P287" s="3" t="n">
        <v>18176.0</v>
      </c>
      <c r="Q287" s="3" t="n">
        <v>17946.0</v>
      </c>
      <c r="R287" s="3" t="n">
        <v>17554.0</v>
      </c>
      <c r="S287" s="3" t="n">
        <v>17561.0</v>
      </c>
      <c r="T287" s="3" t="n">
        <v>17477.0</v>
      </c>
      <c r="U287" s="3" t="n">
        <v>17310.0</v>
      </c>
      <c r="V287" s="3" t="n">
        <v>17193.0</v>
      </c>
      <c r="W287" s="3" t="n">
        <v>17305.0</v>
      </c>
      <c r="X287" s="3" t="n">
        <v>17943.0</v>
      </c>
      <c r="Y287" s="3" t="n">
        <v>18523.0</v>
      </c>
      <c r="Z287" s="3" t="n">
        <v>18759.0</v>
      </c>
      <c r="AA287" s="3" t="n">
        <v>19656.0</v>
      </c>
      <c r="AB287" s="3" t="n">
        <v>20152.0</v>
      </c>
      <c r="AC287" s="3" t="n">
        <v>21339.0</v>
      </c>
      <c r="AD287" s="3" t="n">
        <v>21919.0</v>
      </c>
      <c r="AE287" s="3" t="n">
        <v>22641.0</v>
      </c>
      <c r="AF287" s="3" t="n">
        <v>22690.0</v>
      </c>
      <c r="AG287" s="3" t="n">
        <v>23329.0</v>
      </c>
      <c r="AH287" s="3" t="n">
        <v>23611.0</v>
      </c>
      <c r="AI287" s="3" t="n">
        <v>24169.0</v>
      </c>
      <c r="AJ287" s="3" t="n">
        <v>23967.0</v>
      </c>
      <c r="AK287" s="3" t="n">
        <v>25013.0</v>
      </c>
      <c r="AL287" s="3" t="n">
        <v>26480.0</v>
      </c>
      <c r="AM287" s="3" t="n">
        <v>25947.0</v>
      </c>
      <c r="AN287" s="3" t="n">
        <v>25396.0</v>
      </c>
      <c r="AO287" s="3" t="n">
        <v>24316.0</v>
      </c>
    </row>
    <row r="288" spans="1:41" x14ac:dyDescent="0.2">
      <c r="A288" s="122"/>
      <c r="B288" s="9">
        <v>75</v>
      </c>
      <c r="C288" s="3" t="n">
        <v>15746.0</v>
      </c>
      <c r="D288" s="3" t="n">
        <v>16504.0</v>
      </c>
      <c r="E288" s="3" t="n">
        <v>16970.0</v>
      </c>
      <c r="F288" s="3" t="n">
        <v>17449.0</v>
      </c>
      <c r="G288" s="3" t="n">
        <v>18447.0</v>
      </c>
      <c r="H288" s="3" t="n">
        <v>18691.0</v>
      </c>
      <c r="I288" s="3" t="n">
        <v>18953.0</v>
      </c>
      <c r="J288" s="3" t="n">
        <v>18940.0</v>
      </c>
      <c r="K288" s="3" t="n">
        <v>19770.0</v>
      </c>
      <c r="L288" s="3" t="n">
        <v>19485.0</v>
      </c>
      <c r="M288" s="3" t="n">
        <v>19664.0</v>
      </c>
      <c r="N288" s="3" t="n">
        <v>19804.0</v>
      </c>
      <c r="O288" s="3" t="n">
        <v>19258.0</v>
      </c>
      <c r="P288" s="3" t="n">
        <v>18751.0</v>
      </c>
      <c r="Q288" s="3" t="n">
        <v>17850.0</v>
      </c>
      <c r="R288" s="3" t="n">
        <v>17623.0</v>
      </c>
      <c r="S288" s="3" t="n">
        <v>17240.0</v>
      </c>
      <c r="T288" s="3" t="n">
        <v>17254.0</v>
      </c>
      <c r="U288" s="3" t="n">
        <v>17174.0</v>
      </c>
      <c r="V288" s="3" t="n">
        <v>17016.0</v>
      </c>
      <c r="W288" s="3" t="n">
        <v>16907.0</v>
      </c>
      <c r="X288" s="3" t="n">
        <v>17017.0</v>
      </c>
      <c r="Y288" s="3" t="n">
        <v>17653.0</v>
      </c>
      <c r="Z288" s="3" t="n">
        <v>18225.0</v>
      </c>
      <c r="AA288" s="3" t="n">
        <v>18460.0</v>
      </c>
      <c r="AB288" s="3" t="n">
        <v>19358.0</v>
      </c>
      <c r="AC288" s="3" t="n">
        <v>19846.0</v>
      </c>
      <c r="AD288" s="3" t="n">
        <v>21019.0</v>
      </c>
      <c r="AE288" s="3" t="n">
        <v>21591.0</v>
      </c>
      <c r="AF288" s="3" t="n">
        <v>22307.0</v>
      </c>
      <c r="AG288" s="3" t="n">
        <v>22364.0</v>
      </c>
      <c r="AH288" s="3" t="n">
        <v>22999.0</v>
      </c>
      <c r="AI288" s="3" t="n">
        <v>23283.0</v>
      </c>
      <c r="AJ288" s="3" t="n">
        <v>23839.0</v>
      </c>
      <c r="AK288" s="3" t="n">
        <v>23642.0</v>
      </c>
      <c r="AL288" s="3" t="n">
        <v>24681.0</v>
      </c>
      <c r="AM288" s="3" t="n">
        <v>26132.0</v>
      </c>
      <c r="AN288" s="3" t="n">
        <v>25609.0</v>
      </c>
      <c r="AO288" s="3" t="n">
        <v>25069.0</v>
      </c>
    </row>
    <row r="289" spans="1:41" x14ac:dyDescent="0.2">
      <c r="A289" s="122"/>
      <c r="B289" s="9">
        <v>76</v>
      </c>
      <c r="C289" s="3" t="n">
        <v>13972.0</v>
      </c>
      <c r="D289" s="3" t="n">
        <v>15357.0</v>
      </c>
      <c r="E289" s="3" t="n">
        <v>16109.0</v>
      </c>
      <c r="F289" s="3" t="n">
        <v>16577.0</v>
      </c>
      <c r="G289" s="3" t="n">
        <v>17051.0</v>
      </c>
      <c r="H289" s="3" t="n">
        <v>18042.0</v>
      </c>
      <c r="I289" s="3" t="n">
        <v>18301.0</v>
      </c>
      <c r="J289" s="3" t="n">
        <v>18552.0</v>
      </c>
      <c r="K289" s="3" t="n">
        <v>18541.0</v>
      </c>
      <c r="L289" s="3" t="n">
        <v>19356.0</v>
      </c>
      <c r="M289" s="3" t="n">
        <v>19083.0</v>
      </c>
      <c r="N289" s="3" t="n">
        <v>19263.0</v>
      </c>
      <c r="O289" s="3" t="n">
        <v>19406.0</v>
      </c>
      <c r="P289" s="3" t="n">
        <v>18870.0</v>
      </c>
      <c r="Q289" s="3" t="n">
        <v>18380.0</v>
      </c>
      <c r="R289" s="3" t="n">
        <v>17502.0</v>
      </c>
      <c r="S289" s="3" t="n">
        <v>17278.0</v>
      </c>
      <c r="T289" s="3" t="n">
        <v>16909.0</v>
      </c>
      <c r="U289" s="3" t="n">
        <v>16928.0</v>
      </c>
      <c r="V289" s="3" t="n">
        <v>16856.0</v>
      </c>
      <c r="W289" s="3" t="n">
        <v>16704.0</v>
      </c>
      <c r="X289" s="3" t="n">
        <v>16602.0</v>
      </c>
      <c r="Y289" s="3" t="n">
        <v>16720.0</v>
      </c>
      <c r="Z289" s="3" t="n">
        <v>17344.0</v>
      </c>
      <c r="AA289" s="3" t="n">
        <v>17911.0</v>
      </c>
      <c r="AB289" s="3" t="n">
        <v>18150.0</v>
      </c>
      <c r="AC289" s="3" t="n">
        <v>19037.0</v>
      </c>
      <c r="AD289" s="3" t="n">
        <v>19518.0</v>
      </c>
      <c r="AE289" s="3" t="n">
        <v>20683.0</v>
      </c>
      <c r="AF289" s="3" t="n">
        <v>21248.0</v>
      </c>
      <c r="AG289" s="3" t="n">
        <v>21956.0</v>
      </c>
      <c r="AH289" s="3" t="n">
        <v>22021.0</v>
      </c>
      <c r="AI289" s="3" t="n">
        <v>22650.0</v>
      </c>
      <c r="AJ289" s="3" t="n">
        <v>22937.0</v>
      </c>
      <c r="AK289" s="3" t="n">
        <v>23486.0</v>
      </c>
      <c r="AL289" s="3" t="n">
        <v>23295.0</v>
      </c>
      <c r="AM289" s="3" t="n">
        <v>24326.0</v>
      </c>
      <c r="AN289" s="3" t="n">
        <v>25761.0</v>
      </c>
      <c r="AO289" s="3" t="n">
        <v>25251.0</v>
      </c>
    </row>
    <row r="290" spans="1:41" x14ac:dyDescent="0.2">
      <c r="A290" s="122"/>
      <c r="B290" s="9">
        <v>77</v>
      </c>
      <c r="C290" s="3" t="n">
        <v>11663.0</v>
      </c>
      <c r="D290" s="3" t="n">
        <v>13586.0</v>
      </c>
      <c r="E290" s="3" t="n">
        <v>14953.0</v>
      </c>
      <c r="F290" s="3" t="n">
        <v>15691.0</v>
      </c>
      <c r="G290" s="3" t="n">
        <v>16160.0</v>
      </c>
      <c r="H290" s="3" t="n">
        <v>16634.0</v>
      </c>
      <c r="I290" s="3" t="n">
        <v>17619.0</v>
      </c>
      <c r="J290" s="3" t="n">
        <v>17865.0</v>
      </c>
      <c r="K290" s="3" t="n">
        <v>18110.0</v>
      </c>
      <c r="L290" s="3" t="n">
        <v>18108.0</v>
      </c>
      <c r="M290" s="3" t="n">
        <v>18912.0</v>
      </c>
      <c r="N290" s="3" t="n">
        <v>18648.0</v>
      </c>
      <c r="O290" s="3" t="n">
        <v>18832.0</v>
      </c>
      <c r="P290" s="3" t="n">
        <v>18965.0</v>
      </c>
      <c r="Q290" s="3" t="n">
        <v>18453.0</v>
      </c>
      <c r="R290" s="3" t="n">
        <v>17983.0</v>
      </c>
      <c r="S290" s="3" t="n">
        <v>17120.0</v>
      </c>
      <c r="T290" s="3" t="n">
        <v>16913.0</v>
      </c>
      <c r="U290" s="3" t="n">
        <v>16554.0</v>
      </c>
      <c r="V290" s="3" t="n">
        <v>16580.0</v>
      </c>
      <c r="W290" s="3" t="n">
        <v>16514.0</v>
      </c>
      <c r="X290" s="3" t="n">
        <v>16369.0</v>
      </c>
      <c r="Y290" s="3" t="n">
        <v>16274.0</v>
      </c>
      <c r="Z290" s="3" t="n">
        <v>16393.0</v>
      </c>
      <c r="AA290" s="3" t="n">
        <v>17006.0</v>
      </c>
      <c r="AB290" s="3" t="n">
        <v>17569.0</v>
      </c>
      <c r="AC290" s="3" t="n">
        <v>17808.0</v>
      </c>
      <c r="AD290" s="3" t="n">
        <v>18685.0</v>
      </c>
      <c r="AE290" s="3" t="n">
        <v>19164.0</v>
      </c>
      <c r="AF290" s="3" t="n">
        <v>20315.0</v>
      </c>
      <c r="AG290" s="3" t="n">
        <v>20872.0</v>
      </c>
      <c r="AH290" s="3" t="n">
        <v>21573.0</v>
      </c>
      <c r="AI290" s="3" t="n">
        <v>21645.0</v>
      </c>
      <c r="AJ290" s="3" t="n">
        <v>22271.0</v>
      </c>
      <c r="AK290" s="3" t="n">
        <v>22563.0</v>
      </c>
      <c r="AL290" s="3" t="n">
        <v>23104.0</v>
      </c>
      <c r="AM290" s="3" t="n">
        <v>22925.0</v>
      </c>
      <c r="AN290" s="3" t="n">
        <v>23939.0</v>
      </c>
      <c r="AO290" s="3" t="n">
        <v>25360.0</v>
      </c>
    </row>
    <row r="291" spans="1:41" x14ac:dyDescent="0.2">
      <c r="A291" s="122"/>
      <c r="B291" s="9">
        <v>78</v>
      </c>
      <c r="C291" s="3" t="n">
        <v>11388.0</v>
      </c>
      <c r="D291" s="3" t="n">
        <v>11306.0</v>
      </c>
      <c r="E291" s="3" t="n">
        <v>13184.0</v>
      </c>
      <c r="F291" s="3" t="n">
        <v>14520.0</v>
      </c>
      <c r="G291" s="3" t="n">
        <v>15244.0</v>
      </c>
      <c r="H291" s="3" t="n">
        <v>15721.0</v>
      </c>
      <c r="I291" s="3" t="n">
        <v>16190.0</v>
      </c>
      <c r="J291" s="3" t="n">
        <v>17149.0</v>
      </c>
      <c r="K291" s="3" t="n">
        <v>17390.0</v>
      </c>
      <c r="L291" s="3" t="n">
        <v>17635.0</v>
      </c>
      <c r="M291" s="3" t="n">
        <v>17637.0</v>
      </c>
      <c r="N291" s="3" t="n">
        <v>18428.0</v>
      </c>
      <c r="O291" s="3" t="n">
        <v>18176.0</v>
      </c>
      <c r="P291" s="3" t="n">
        <v>18359.0</v>
      </c>
      <c r="Q291" s="3" t="n">
        <v>18499.0</v>
      </c>
      <c r="R291" s="3" t="n">
        <v>18002.0</v>
      </c>
      <c r="S291" s="3" t="n">
        <v>17549.0</v>
      </c>
      <c r="T291" s="3" t="n">
        <v>16713.0</v>
      </c>
      <c r="U291" s="3" t="n">
        <v>16520.0</v>
      </c>
      <c r="V291" s="3" t="n">
        <v>16174.0</v>
      </c>
      <c r="W291" s="3" t="n">
        <v>16201.0</v>
      </c>
      <c r="X291" s="3" t="n">
        <v>16145.0</v>
      </c>
      <c r="Y291" s="3" t="n">
        <v>16012.0</v>
      </c>
      <c r="Z291" s="3" t="n">
        <v>15918.0</v>
      </c>
      <c r="AA291" s="3" t="n">
        <v>16044.0</v>
      </c>
      <c r="AB291" s="3" t="n">
        <v>16647.0</v>
      </c>
      <c r="AC291" s="3" t="n">
        <v>17197.0</v>
      </c>
      <c r="AD291" s="3" t="n">
        <v>17439.0</v>
      </c>
      <c r="AE291" s="3" t="n">
        <v>18309.0</v>
      </c>
      <c r="AF291" s="3" t="n">
        <v>18780.0</v>
      </c>
      <c r="AG291" s="3" t="n">
        <v>19911.0</v>
      </c>
      <c r="AH291" s="3" t="n">
        <v>20468.0</v>
      </c>
      <c r="AI291" s="3" t="n">
        <v>21156.0</v>
      </c>
      <c r="AJ291" s="3" t="n">
        <v>21236.0</v>
      </c>
      <c r="AK291" s="3" t="n">
        <v>21854.0</v>
      </c>
      <c r="AL291" s="3" t="n">
        <v>22144.0</v>
      </c>
      <c r="AM291" s="3" t="n">
        <v>22689.0</v>
      </c>
      <c r="AN291" s="3" t="n">
        <v>22515.0</v>
      </c>
      <c r="AO291" s="3" t="n">
        <v>23519.0</v>
      </c>
    </row>
    <row r="292" spans="1:41" x14ac:dyDescent="0.2">
      <c r="A292" s="122"/>
      <c r="B292" s="9">
        <v>79</v>
      </c>
      <c r="C292" s="3" t="n">
        <v>9992.0</v>
      </c>
      <c r="D292" s="3" t="n">
        <v>10997.0</v>
      </c>
      <c r="E292" s="3" t="n">
        <v>10924.0</v>
      </c>
      <c r="F292" s="3" t="n">
        <v>12751.0</v>
      </c>
      <c r="G292" s="3" t="n">
        <v>14057.0</v>
      </c>
      <c r="H292" s="3" t="n">
        <v>14777.0</v>
      </c>
      <c r="I292" s="3" t="n">
        <v>15258.0</v>
      </c>
      <c r="J292" s="3" t="n">
        <v>15707.0</v>
      </c>
      <c r="K292" s="3" t="n">
        <v>16638.0</v>
      </c>
      <c r="L292" s="3" t="n">
        <v>16878.0</v>
      </c>
      <c r="M292" s="3" t="n">
        <v>17122.0</v>
      </c>
      <c r="N292" s="3" t="n">
        <v>17134.0</v>
      </c>
      <c r="O292" s="3" t="n">
        <v>17906.0</v>
      </c>
      <c r="P292" s="3" t="n">
        <v>17666.0</v>
      </c>
      <c r="Q292" s="3" t="n">
        <v>17853.0</v>
      </c>
      <c r="R292" s="3" t="n">
        <v>17992.0</v>
      </c>
      <c r="S292" s="3" t="n">
        <v>17509.0</v>
      </c>
      <c r="T292" s="3" t="n">
        <v>17089.0</v>
      </c>
      <c r="U292" s="3" t="n">
        <v>16275.0</v>
      </c>
      <c r="V292" s="3" t="n">
        <v>16091.0</v>
      </c>
      <c r="W292" s="3" t="n">
        <v>15760.0</v>
      </c>
      <c r="X292" s="3" t="n">
        <v>15792.0</v>
      </c>
      <c r="Y292" s="3" t="n">
        <v>15742.0</v>
      </c>
      <c r="Z292" s="3" t="n">
        <v>15616.0</v>
      </c>
      <c r="AA292" s="3" t="n">
        <v>15531.0</v>
      </c>
      <c r="AB292" s="3" t="n">
        <v>15660.0</v>
      </c>
      <c r="AC292" s="3" t="n">
        <v>16250.0</v>
      </c>
      <c r="AD292" s="3" t="n">
        <v>16795.0</v>
      </c>
      <c r="AE292" s="3" t="n">
        <v>17041.0</v>
      </c>
      <c r="AF292" s="3" t="n">
        <v>17898.0</v>
      </c>
      <c r="AG292" s="3" t="n">
        <v>18359.0</v>
      </c>
      <c r="AH292" s="3" t="n">
        <v>19475.0</v>
      </c>
      <c r="AI292" s="3" t="n">
        <v>20026.0</v>
      </c>
      <c r="AJ292" s="3" t="n">
        <v>20706.0</v>
      </c>
      <c r="AK292" s="3" t="n">
        <v>20790.0</v>
      </c>
      <c r="AL292" s="3" t="n">
        <v>21403.0</v>
      </c>
      <c r="AM292" s="3" t="n">
        <v>21695.0</v>
      </c>
      <c r="AN292" s="3" t="n">
        <v>22233.0</v>
      </c>
      <c r="AO292" s="3" t="n">
        <v>22067.0</v>
      </c>
    </row>
    <row r="293" spans="1:41" x14ac:dyDescent="0.2">
      <c r="A293" s="122"/>
      <c r="B293" s="9">
        <v>80</v>
      </c>
      <c r="C293" s="3" t="n">
        <v>8815.0</v>
      </c>
      <c r="D293" s="3" t="n">
        <v>9619.0</v>
      </c>
      <c r="E293" s="3" t="n">
        <v>10595.0</v>
      </c>
      <c r="F293" s="3" t="n">
        <v>10535.0</v>
      </c>
      <c r="G293" s="3" t="n">
        <v>12304.0</v>
      </c>
      <c r="H293" s="3" t="n">
        <v>13582.0</v>
      </c>
      <c r="I293" s="3" t="n">
        <v>14292.0</v>
      </c>
      <c r="J293" s="3" t="n">
        <v>14750.0</v>
      </c>
      <c r="K293" s="3" t="n">
        <v>15184.0</v>
      </c>
      <c r="L293" s="3" t="n">
        <v>16097.0</v>
      </c>
      <c r="M293" s="3" t="n">
        <v>16338.0</v>
      </c>
      <c r="N293" s="3" t="n">
        <v>16579.0</v>
      </c>
      <c r="O293" s="3" t="n">
        <v>16602.0</v>
      </c>
      <c r="P293" s="3" t="n">
        <v>17353.0</v>
      </c>
      <c r="Q293" s="3" t="n">
        <v>17134.0</v>
      </c>
      <c r="R293" s="3" t="n">
        <v>17317.0</v>
      </c>
      <c r="S293" s="3" t="n">
        <v>17458.0</v>
      </c>
      <c r="T293" s="3" t="n">
        <v>17002.0</v>
      </c>
      <c r="U293" s="3" t="n">
        <v>16599.0</v>
      </c>
      <c r="V293" s="3" t="n">
        <v>15812.0</v>
      </c>
      <c r="W293" s="3" t="n">
        <v>15642.0</v>
      </c>
      <c r="X293" s="3" t="n">
        <v>15321.0</v>
      </c>
      <c r="Y293" s="3" t="n">
        <v>15357.0</v>
      </c>
      <c r="Z293" s="3" t="n">
        <v>15317.0</v>
      </c>
      <c r="AA293" s="3" t="n">
        <v>15199.0</v>
      </c>
      <c r="AB293" s="3" t="n">
        <v>15124.0</v>
      </c>
      <c r="AC293" s="3" t="n">
        <v>15253.0</v>
      </c>
      <c r="AD293" s="3" t="n">
        <v>15832.0</v>
      </c>
      <c r="AE293" s="3" t="n">
        <v>16374.0</v>
      </c>
      <c r="AF293" s="3" t="n">
        <v>16618.0</v>
      </c>
      <c r="AG293" s="3" t="n">
        <v>17458.0</v>
      </c>
      <c r="AH293" s="3" t="n">
        <v>17924.0</v>
      </c>
      <c r="AI293" s="3" t="n">
        <v>19016.0</v>
      </c>
      <c r="AJ293" s="3" t="n">
        <v>19567.0</v>
      </c>
      <c r="AK293" s="3" t="n">
        <v>20236.0</v>
      </c>
      <c r="AL293" s="3" t="n">
        <v>20322.0</v>
      </c>
      <c r="AM293" s="3" t="n">
        <v>20933.0</v>
      </c>
      <c r="AN293" s="3" t="n">
        <v>21227.0</v>
      </c>
      <c r="AO293" s="3" t="n">
        <v>21757.0</v>
      </c>
    </row>
    <row r="294" spans="1:41" x14ac:dyDescent="0.2">
      <c r="A294" s="122"/>
      <c r="B294" s="9">
        <v>81</v>
      </c>
      <c r="C294" s="3" t="n">
        <v>8975.0</v>
      </c>
      <c r="D294" s="3" t="n">
        <v>8437.0</v>
      </c>
      <c r="E294" s="3" t="n">
        <v>9213.0</v>
      </c>
      <c r="F294" s="3" t="n">
        <v>10157.0</v>
      </c>
      <c r="G294" s="3" t="n">
        <v>10115.0</v>
      </c>
      <c r="H294" s="3" t="n">
        <v>11839.0</v>
      </c>
      <c r="I294" s="3" t="n">
        <v>13079.0</v>
      </c>
      <c r="J294" s="3" t="n">
        <v>13756.0</v>
      </c>
      <c r="K294" s="3" t="n">
        <v>14196.0</v>
      </c>
      <c r="L294" s="3" t="n">
        <v>14626.0</v>
      </c>
      <c r="M294" s="3" t="n">
        <v>15506.0</v>
      </c>
      <c r="N294" s="3" t="n">
        <v>15750.0</v>
      </c>
      <c r="O294" s="3" t="n">
        <v>15989.0</v>
      </c>
      <c r="P294" s="3" t="n">
        <v>16016.0</v>
      </c>
      <c r="Q294" s="3" t="n">
        <v>16755.0</v>
      </c>
      <c r="R294" s="3" t="n">
        <v>16548.0</v>
      </c>
      <c r="S294" s="3" t="n">
        <v>16725.0</v>
      </c>
      <c r="T294" s="3" t="n">
        <v>16879.0</v>
      </c>
      <c r="U294" s="3" t="n">
        <v>16436.0</v>
      </c>
      <c r="V294" s="3" t="n">
        <v>16062.0</v>
      </c>
      <c r="W294" s="3" t="n">
        <v>15304.0</v>
      </c>
      <c r="X294" s="3" t="n">
        <v>15147.0</v>
      </c>
      <c r="Y294" s="3" t="n">
        <v>14843.0</v>
      </c>
      <c r="Z294" s="3" t="n">
        <v>14881.0</v>
      </c>
      <c r="AA294" s="3" t="n">
        <v>14847.0</v>
      </c>
      <c r="AB294" s="3" t="n">
        <v>14742.0</v>
      </c>
      <c r="AC294" s="3" t="n">
        <v>14675.0</v>
      </c>
      <c r="AD294" s="3" t="n">
        <v>14810.0</v>
      </c>
      <c r="AE294" s="3" t="n">
        <v>15378.0</v>
      </c>
      <c r="AF294" s="3" t="n">
        <v>15913.0</v>
      </c>
      <c r="AG294" s="3" t="n">
        <v>16155.0</v>
      </c>
      <c r="AH294" s="3" t="n">
        <v>16980.0</v>
      </c>
      <c r="AI294" s="3" t="n">
        <v>17440.0</v>
      </c>
      <c r="AJ294" s="3" t="n">
        <v>18514.0</v>
      </c>
      <c r="AK294" s="3" t="n">
        <v>19048.0</v>
      </c>
      <c r="AL294" s="3" t="n">
        <v>19706.0</v>
      </c>
      <c r="AM294" s="3" t="n">
        <v>19800.0</v>
      </c>
      <c r="AN294" s="3" t="n">
        <v>20405.0</v>
      </c>
      <c r="AO294" s="3" t="n">
        <v>20699.0</v>
      </c>
    </row>
    <row r="295" spans="1:41" x14ac:dyDescent="0.2">
      <c r="A295" s="122"/>
      <c r="B295" s="9">
        <v>82</v>
      </c>
      <c r="C295" s="3" t="n">
        <v>9820.0</v>
      </c>
      <c r="D295" s="3" t="n">
        <v>8525.0</v>
      </c>
      <c r="E295" s="3" t="n">
        <v>8024.0</v>
      </c>
      <c r="F295" s="3" t="n">
        <v>8767.0</v>
      </c>
      <c r="G295" s="3" t="n">
        <v>9676.0</v>
      </c>
      <c r="H295" s="3" t="n">
        <v>9655.0</v>
      </c>
      <c r="I295" s="3" t="n">
        <v>11318.0</v>
      </c>
      <c r="J295" s="3" t="n">
        <v>12500.0</v>
      </c>
      <c r="K295" s="3" t="n">
        <v>13144.0</v>
      </c>
      <c r="L295" s="3" t="n">
        <v>13580.0</v>
      </c>
      <c r="M295" s="3" t="n">
        <v>13996.0</v>
      </c>
      <c r="N295" s="3" t="n">
        <v>14850.0</v>
      </c>
      <c r="O295" s="3" t="n">
        <v>15087.0</v>
      </c>
      <c r="P295" s="3" t="n">
        <v>15325.0</v>
      </c>
      <c r="Q295" s="3" t="n">
        <v>15367.0</v>
      </c>
      <c r="R295" s="3" t="n">
        <v>16081.0</v>
      </c>
      <c r="S295" s="3" t="n">
        <v>15885.0</v>
      </c>
      <c r="T295" s="3" t="n">
        <v>16072.0</v>
      </c>
      <c r="U295" s="3" t="n">
        <v>16224.0</v>
      </c>
      <c r="V295" s="3" t="n">
        <v>15815.0</v>
      </c>
      <c r="W295" s="3" t="n">
        <v>15458.0</v>
      </c>
      <c r="X295" s="3" t="n">
        <v>14737.0</v>
      </c>
      <c r="Y295" s="3" t="n">
        <v>14592.0</v>
      </c>
      <c r="Z295" s="3" t="n">
        <v>14304.0</v>
      </c>
      <c r="AA295" s="3" t="n">
        <v>14348.0</v>
      </c>
      <c r="AB295" s="3" t="n">
        <v>14325.0</v>
      </c>
      <c r="AC295" s="3" t="n">
        <v>14229.0</v>
      </c>
      <c r="AD295" s="3" t="n">
        <v>14174.0</v>
      </c>
      <c r="AE295" s="3" t="n">
        <v>14307.0</v>
      </c>
      <c r="AF295" s="3" t="n">
        <v>14865.0</v>
      </c>
      <c r="AG295" s="3" t="n">
        <v>15385.0</v>
      </c>
      <c r="AH295" s="3" t="n">
        <v>15632.0</v>
      </c>
      <c r="AI295" s="3" t="n">
        <v>16434.0</v>
      </c>
      <c r="AJ295" s="3" t="n">
        <v>16892.0</v>
      </c>
      <c r="AK295" s="3" t="n">
        <v>17943.0</v>
      </c>
      <c r="AL295" s="3" t="n">
        <v>18465.0</v>
      </c>
      <c r="AM295" s="3" t="n">
        <v>19118.0</v>
      </c>
      <c r="AN295" s="3" t="n">
        <v>19213.0</v>
      </c>
      <c r="AO295" s="3" t="n">
        <v>19806.0</v>
      </c>
    </row>
    <row r="296" spans="1:41" x14ac:dyDescent="0.2">
      <c r="A296" s="122"/>
      <c r="B296" s="9">
        <v>83</v>
      </c>
      <c r="C296" s="3" t="n">
        <v>9782.0</v>
      </c>
      <c r="D296" s="3" t="n">
        <v>9246.0</v>
      </c>
      <c r="E296" s="3" t="n">
        <v>8044.0</v>
      </c>
      <c r="F296" s="3" t="n">
        <v>7585.0</v>
      </c>
      <c r="G296" s="3" t="n">
        <v>8293.0</v>
      </c>
      <c r="H296" s="3" t="n">
        <v>9169.0</v>
      </c>
      <c r="I296" s="3" t="n">
        <v>9167.0</v>
      </c>
      <c r="J296" s="3" t="n">
        <v>10734.0</v>
      </c>
      <c r="K296" s="3" t="n">
        <v>11862.0</v>
      </c>
      <c r="L296" s="3" t="n">
        <v>12487.0</v>
      </c>
      <c r="M296" s="3" t="n">
        <v>12904.0</v>
      </c>
      <c r="N296" s="3" t="n">
        <v>13317.0</v>
      </c>
      <c r="O296" s="3" t="n">
        <v>14133.0</v>
      </c>
      <c r="P296" s="3" t="n">
        <v>14364.0</v>
      </c>
      <c r="Q296" s="3" t="n">
        <v>14607.0</v>
      </c>
      <c r="R296" s="3" t="n">
        <v>14654.0</v>
      </c>
      <c r="S296" s="3" t="n">
        <v>15347.0</v>
      </c>
      <c r="T296" s="3" t="n">
        <v>15170.0</v>
      </c>
      <c r="U296" s="3" t="n">
        <v>15354.0</v>
      </c>
      <c r="V296" s="3" t="n">
        <v>15511.0</v>
      </c>
      <c r="W296" s="3" t="n">
        <v>15127.0</v>
      </c>
      <c r="X296" s="3" t="n">
        <v>14797.0</v>
      </c>
      <c r="Y296" s="3" t="n">
        <v>14121.0</v>
      </c>
      <c r="Z296" s="3" t="n">
        <v>13982.0</v>
      </c>
      <c r="AA296" s="3" t="n">
        <v>13715.0</v>
      </c>
      <c r="AB296" s="3" t="n">
        <v>13770.0</v>
      </c>
      <c r="AC296" s="3" t="n">
        <v>13752.0</v>
      </c>
      <c r="AD296" s="3" t="n">
        <v>13665.0</v>
      </c>
      <c r="AE296" s="3" t="n">
        <v>13625.0</v>
      </c>
      <c r="AF296" s="3" t="n">
        <v>13758.0</v>
      </c>
      <c r="AG296" s="3" t="n">
        <v>14299.0</v>
      </c>
      <c r="AH296" s="3" t="n">
        <v>14814.0</v>
      </c>
      <c r="AI296" s="3" t="n">
        <v>15058.0</v>
      </c>
      <c r="AJ296" s="3" t="n">
        <v>15845.0</v>
      </c>
      <c r="AK296" s="3" t="n">
        <v>16294.0</v>
      </c>
      <c r="AL296" s="3" t="n">
        <v>17316.0</v>
      </c>
      <c r="AM296" s="3" t="n">
        <v>17828.0</v>
      </c>
      <c r="AN296" s="3" t="n">
        <v>18467.0</v>
      </c>
      <c r="AO296" s="3" t="n">
        <v>18566.0</v>
      </c>
    </row>
    <row r="297" spans="1:41" x14ac:dyDescent="0.2">
      <c r="A297" s="122"/>
      <c r="B297" s="9">
        <v>84</v>
      </c>
      <c r="C297" s="3" t="n">
        <v>8955.0</v>
      </c>
      <c r="D297" s="3" t="n">
        <v>9118.0</v>
      </c>
      <c r="E297" s="3" t="n">
        <v>8632.0</v>
      </c>
      <c r="F297" s="3" t="n">
        <v>7526.0</v>
      </c>
      <c r="G297" s="3" t="n">
        <v>7111.0</v>
      </c>
      <c r="H297" s="3" t="n">
        <v>7787.0</v>
      </c>
      <c r="I297" s="3" t="n">
        <v>8625.0</v>
      </c>
      <c r="J297" s="3" t="n">
        <v>8618.0</v>
      </c>
      <c r="K297" s="3" t="n">
        <v>10093.0</v>
      </c>
      <c r="L297" s="3" t="n">
        <v>11169.0</v>
      </c>
      <c r="M297" s="3" t="n">
        <v>11764.0</v>
      </c>
      <c r="N297" s="3" t="n">
        <v>12169.0</v>
      </c>
      <c r="O297" s="3" t="n">
        <v>12564.0</v>
      </c>
      <c r="P297" s="3" t="n">
        <v>13344.0</v>
      </c>
      <c r="Q297" s="3" t="n">
        <v>13577.0</v>
      </c>
      <c r="R297" s="3" t="n">
        <v>13817.0</v>
      </c>
      <c r="S297" s="3" t="n">
        <v>13866.0</v>
      </c>
      <c r="T297" s="3" t="n">
        <v>14539.0</v>
      </c>
      <c r="U297" s="3" t="n">
        <v>14383.0</v>
      </c>
      <c r="V297" s="3" t="n">
        <v>14571.0</v>
      </c>
      <c r="W297" s="3" t="n">
        <v>14727.0</v>
      </c>
      <c r="X297" s="3" t="n">
        <v>14371.0</v>
      </c>
      <c r="Y297" s="3" t="n">
        <v>14074.0</v>
      </c>
      <c r="Z297" s="3" t="n">
        <v>13435.0</v>
      </c>
      <c r="AA297" s="3" t="n">
        <v>13313.0</v>
      </c>
      <c r="AB297" s="3" t="n">
        <v>13071.0</v>
      </c>
      <c r="AC297" s="3" t="n">
        <v>13132.0</v>
      </c>
      <c r="AD297" s="3" t="n">
        <v>13123.0</v>
      </c>
      <c r="AE297" s="3" t="n">
        <v>13052.0</v>
      </c>
      <c r="AF297" s="3" t="n">
        <v>13019.0</v>
      </c>
      <c r="AG297" s="3" t="n">
        <v>13151.0</v>
      </c>
      <c r="AH297" s="3" t="n">
        <v>13682.0</v>
      </c>
      <c r="AI297" s="3" t="n">
        <v>14187.0</v>
      </c>
      <c r="AJ297" s="3" t="n">
        <v>14434.0</v>
      </c>
      <c r="AK297" s="3" t="n">
        <v>15186.0</v>
      </c>
      <c r="AL297" s="3" t="n">
        <v>15627.0</v>
      </c>
      <c r="AM297" s="3" t="n">
        <v>16620.0</v>
      </c>
      <c r="AN297" s="3" t="n">
        <v>17120.0</v>
      </c>
      <c r="AO297" s="3" t="n">
        <v>17744.0</v>
      </c>
    </row>
    <row r="298" spans="1:41" x14ac:dyDescent="0.2">
      <c r="A298" s="122"/>
      <c r="B298" s="9">
        <v>85</v>
      </c>
      <c r="C298" s="3" t="n">
        <v>8324.0</v>
      </c>
      <c r="D298" s="3" t="n">
        <v>8269.0</v>
      </c>
      <c r="E298" s="3" t="n">
        <v>8440.0</v>
      </c>
      <c r="F298" s="3" t="n">
        <v>8002.0</v>
      </c>
      <c r="G298" s="3" t="n">
        <v>6992.0</v>
      </c>
      <c r="H298" s="3" t="n">
        <v>6630.0</v>
      </c>
      <c r="I298" s="3" t="n">
        <v>7276.0</v>
      </c>
      <c r="J298" s="3" t="n">
        <v>8043.0</v>
      </c>
      <c r="K298" s="3" t="n">
        <v>8039.0</v>
      </c>
      <c r="L298" s="3" t="n">
        <v>9422.0</v>
      </c>
      <c r="M298" s="3" t="n">
        <v>10436.0</v>
      </c>
      <c r="N298" s="3" t="n">
        <v>11005.0</v>
      </c>
      <c r="O298" s="3" t="n">
        <v>11395.0</v>
      </c>
      <c r="P298" s="3" t="n">
        <v>11774.0</v>
      </c>
      <c r="Q298" s="3" t="n">
        <v>12520.0</v>
      </c>
      <c r="R298" s="3" t="n">
        <v>12746.0</v>
      </c>
      <c r="S298" s="3" t="n">
        <v>12979.0</v>
      </c>
      <c r="T298" s="3" t="n">
        <v>13039.0</v>
      </c>
      <c r="U298" s="3" t="n">
        <v>13686.0</v>
      </c>
      <c r="V298" s="3" t="n">
        <v>13556.0</v>
      </c>
      <c r="W298" s="3" t="n">
        <v>13743.0</v>
      </c>
      <c r="X298" s="3" t="n">
        <v>13897.0</v>
      </c>
      <c r="Y298" s="3" t="n">
        <v>13581.0</v>
      </c>
      <c r="Z298" s="3" t="n">
        <v>13304.0</v>
      </c>
      <c r="AA298" s="3" t="n">
        <v>12708.0</v>
      </c>
      <c r="AB298" s="3" t="n">
        <v>12608.0</v>
      </c>
      <c r="AC298" s="3" t="n">
        <v>12383.0</v>
      </c>
      <c r="AD298" s="3" t="n">
        <v>12448.0</v>
      </c>
      <c r="AE298" s="3" t="n">
        <v>12452.0</v>
      </c>
      <c r="AF298" s="3" t="n">
        <v>12393.0</v>
      </c>
      <c r="AG298" s="3" t="n">
        <v>12367.0</v>
      </c>
      <c r="AH298" s="3" t="n">
        <v>12511.0</v>
      </c>
      <c r="AI298" s="3" t="n">
        <v>13026.0</v>
      </c>
      <c r="AJ298" s="3" t="n">
        <v>13520.0</v>
      </c>
      <c r="AK298" s="3" t="n">
        <v>13763.0</v>
      </c>
      <c r="AL298" s="3" t="n">
        <v>14484.0</v>
      </c>
      <c r="AM298" s="3" t="n">
        <v>14921.0</v>
      </c>
      <c r="AN298" s="3" t="n">
        <v>15877.0</v>
      </c>
      <c r="AO298" s="3" t="n">
        <v>16366.0</v>
      </c>
    </row>
    <row r="299" spans="1:41" x14ac:dyDescent="0.2">
      <c r="A299" s="122"/>
      <c r="B299" s="9">
        <v>86</v>
      </c>
      <c r="C299" s="3" t="n">
        <v>7787.0</v>
      </c>
      <c r="D299" s="3" t="n">
        <v>7604.0</v>
      </c>
      <c r="E299" s="3" t="n">
        <v>7575.0</v>
      </c>
      <c r="F299" s="3" t="n">
        <v>7745.0</v>
      </c>
      <c r="G299" s="3" t="n">
        <v>7359.0</v>
      </c>
      <c r="H299" s="3" t="n">
        <v>6451.0</v>
      </c>
      <c r="I299" s="3" t="n">
        <v>6129.0</v>
      </c>
      <c r="J299" s="3" t="n">
        <v>6720.0</v>
      </c>
      <c r="K299" s="3" t="n">
        <v>7428.0</v>
      </c>
      <c r="L299" s="3" t="n">
        <v>7435.0</v>
      </c>
      <c r="M299" s="3" t="n">
        <v>8722.0</v>
      </c>
      <c r="N299" s="3" t="n">
        <v>9681.0</v>
      </c>
      <c r="O299" s="3" t="n">
        <v>10213.0</v>
      </c>
      <c r="P299" s="3" t="n">
        <v>10583.0</v>
      </c>
      <c r="Q299" s="3" t="n">
        <v>10954.0</v>
      </c>
      <c r="R299" s="3" t="n">
        <v>11656.0</v>
      </c>
      <c r="S299" s="3" t="n">
        <v>11880.0</v>
      </c>
      <c r="T299" s="3" t="n">
        <v>12113.0</v>
      </c>
      <c r="U299" s="3" t="n">
        <v>12179.0</v>
      </c>
      <c r="V299" s="3" t="n">
        <v>12801.0</v>
      </c>
      <c r="W299" s="3" t="n">
        <v>12692.0</v>
      </c>
      <c r="X299" s="3" t="n">
        <v>12875.0</v>
      </c>
      <c r="Y299" s="3" t="n">
        <v>13036.0</v>
      </c>
      <c r="Z299" s="3" t="n">
        <v>12748.0</v>
      </c>
      <c r="AA299" s="3" t="n">
        <v>12500.0</v>
      </c>
      <c r="AB299" s="3" t="n">
        <v>11953.0</v>
      </c>
      <c r="AC299" s="3" t="n">
        <v>11865.0</v>
      </c>
      <c r="AD299" s="3" t="n">
        <v>11658.0</v>
      </c>
      <c r="AE299" s="3" t="n">
        <v>11735.0</v>
      </c>
      <c r="AF299" s="3" t="n">
        <v>11747.0</v>
      </c>
      <c r="AG299" s="3" t="n">
        <v>11698.0</v>
      </c>
      <c r="AH299" s="3" t="n">
        <v>11691.0</v>
      </c>
      <c r="AI299" s="3" t="n">
        <v>11830.0</v>
      </c>
      <c r="AJ299" s="3" t="n">
        <v>12332.0</v>
      </c>
      <c r="AK299" s="3" t="n">
        <v>12809.0</v>
      </c>
      <c r="AL299" s="3" t="n">
        <v>13047.0</v>
      </c>
      <c r="AM299" s="3" t="n">
        <v>13749.0</v>
      </c>
      <c r="AN299" s="3" t="n">
        <v>14169.0</v>
      </c>
      <c r="AO299" s="3" t="n">
        <v>15091.0</v>
      </c>
    </row>
    <row r="300" spans="1:41" x14ac:dyDescent="0.2">
      <c r="A300" s="122"/>
      <c r="B300" s="9">
        <v>87</v>
      </c>
      <c r="C300" s="3" t="n">
        <v>6780.0</v>
      </c>
      <c r="D300" s="3" t="n">
        <v>7037.0</v>
      </c>
      <c r="E300" s="3" t="n">
        <v>6893.0</v>
      </c>
      <c r="F300" s="3" t="n">
        <v>6877.0</v>
      </c>
      <c r="G300" s="3" t="n">
        <v>7048.0</v>
      </c>
      <c r="H300" s="3" t="n">
        <v>6715.0</v>
      </c>
      <c r="I300" s="3" t="n">
        <v>5905.0</v>
      </c>
      <c r="J300" s="3" t="n">
        <v>5605.0</v>
      </c>
      <c r="K300" s="3" t="n">
        <v>6146.0</v>
      </c>
      <c r="L300" s="3" t="n">
        <v>6803.0</v>
      </c>
      <c r="M300" s="3" t="n">
        <v>6819.0</v>
      </c>
      <c r="N300" s="3" t="n">
        <v>8009.0</v>
      </c>
      <c r="O300" s="3" t="n">
        <v>8903.0</v>
      </c>
      <c r="P300" s="3" t="n">
        <v>9398.0</v>
      </c>
      <c r="Q300" s="3" t="n">
        <v>9759.0</v>
      </c>
      <c r="R300" s="3" t="n">
        <v>10109.0</v>
      </c>
      <c r="S300" s="3" t="n">
        <v>10768.0</v>
      </c>
      <c r="T300" s="3" t="n">
        <v>10990.0</v>
      </c>
      <c r="U300" s="3" t="n">
        <v>11215.0</v>
      </c>
      <c r="V300" s="3" t="n">
        <v>11293.0</v>
      </c>
      <c r="W300" s="3" t="n">
        <v>11880.0</v>
      </c>
      <c r="X300" s="3" t="n">
        <v>11782.0</v>
      </c>
      <c r="Y300" s="3" t="n">
        <v>11978.0</v>
      </c>
      <c r="Z300" s="3" t="n">
        <v>12137.0</v>
      </c>
      <c r="AA300" s="3" t="n">
        <v>11878.0</v>
      </c>
      <c r="AB300" s="3" t="n">
        <v>11666.0</v>
      </c>
      <c r="AC300" s="3" t="n">
        <v>11161.0</v>
      </c>
      <c r="AD300" s="3" t="n">
        <v>11083.0</v>
      </c>
      <c r="AE300" s="3" t="n">
        <v>10909.0</v>
      </c>
      <c r="AF300" s="3" t="n">
        <v>10991.0</v>
      </c>
      <c r="AG300" s="3" t="n">
        <v>11005.0</v>
      </c>
      <c r="AH300" s="3" t="n">
        <v>10975.0</v>
      </c>
      <c r="AI300" s="3" t="n">
        <v>10976.0</v>
      </c>
      <c r="AJ300" s="3" t="n">
        <v>11124.0</v>
      </c>
      <c r="AK300" s="3" t="n">
        <v>11602.0</v>
      </c>
      <c r="AL300" s="3" t="n">
        <v>12061.0</v>
      </c>
      <c r="AM300" s="3" t="n">
        <v>12301.0</v>
      </c>
      <c r="AN300" s="3" t="n">
        <v>12976.0</v>
      </c>
      <c r="AO300" s="3" t="n">
        <v>13375.0</v>
      </c>
    </row>
    <row r="301" spans="1:41" x14ac:dyDescent="0.2">
      <c r="A301" s="122"/>
      <c r="B301" s="9">
        <v>88</v>
      </c>
      <c r="C301" s="3" t="n">
        <v>5641.0</v>
      </c>
      <c r="D301" s="3" t="n">
        <v>6049.0</v>
      </c>
      <c r="E301" s="3" t="n">
        <v>6298.0</v>
      </c>
      <c r="F301" s="3" t="n">
        <v>6183.0</v>
      </c>
      <c r="G301" s="3" t="n">
        <v>6183.0</v>
      </c>
      <c r="H301" s="3" t="n">
        <v>6357.0</v>
      </c>
      <c r="I301" s="3" t="n">
        <v>6076.0</v>
      </c>
      <c r="J301" s="3" t="n">
        <v>5341.0</v>
      </c>
      <c r="K301" s="3" t="n">
        <v>5073.0</v>
      </c>
      <c r="L301" s="3" t="n">
        <v>5571.0</v>
      </c>
      <c r="M301" s="3" t="n">
        <v>6166.0</v>
      </c>
      <c r="N301" s="3" t="n">
        <v>6197.0</v>
      </c>
      <c r="O301" s="3" t="n">
        <v>7287.0</v>
      </c>
      <c r="P301" s="3" t="n">
        <v>8106.0</v>
      </c>
      <c r="Q301" s="3" t="n">
        <v>8577.0</v>
      </c>
      <c r="R301" s="3" t="n">
        <v>8918.0</v>
      </c>
      <c r="S301" s="3" t="n">
        <v>9246.0</v>
      </c>
      <c r="T301" s="3" t="n">
        <v>9868.0</v>
      </c>
      <c r="U301" s="3" t="n">
        <v>10079.0</v>
      </c>
      <c r="V301" s="3" t="n">
        <v>10305.0</v>
      </c>
      <c r="W301" s="3" t="n">
        <v>10388.0</v>
      </c>
      <c r="X301" s="3" t="n">
        <v>10936.0</v>
      </c>
      <c r="Y301" s="3" t="n">
        <v>10869.0</v>
      </c>
      <c r="Z301" s="3" t="n">
        <v>11058.0</v>
      </c>
      <c r="AA301" s="3" t="n">
        <v>11206.0</v>
      </c>
      <c r="AB301" s="3" t="n">
        <v>10989.0</v>
      </c>
      <c r="AC301" s="3" t="n">
        <v>10802.0</v>
      </c>
      <c r="AD301" s="3" t="n">
        <v>10343.0</v>
      </c>
      <c r="AE301" s="3" t="n">
        <v>10284.0</v>
      </c>
      <c r="AF301" s="3" t="n">
        <v>10133.0</v>
      </c>
      <c r="AG301" s="3" t="n">
        <v>10216.0</v>
      </c>
      <c r="AH301" s="3" t="n">
        <v>10246.0</v>
      </c>
      <c r="AI301" s="3" t="n">
        <v>10227.0</v>
      </c>
      <c r="AJ301" s="3" t="n">
        <v>10243.0</v>
      </c>
      <c r="AK301" s="3" t="n">
        <v>10389.0</v>
      </c>
      <c r="AL301" s="3" t="n">
        <v>10840.0</v>
      </c>
      <c r="AM301" s="3" t="n">
        <v>11287.0</v>
      </c>
      <c r="AN301" s="3" t="n">
        <v>11518.0</v>
      </c>
      <c r="AO301" s="3" t="n">
        <v>12162.0</v>
      </c>
    </row>
    <row r="302" spans="1:41" x14ac:dyDescent="0.2">
      <c r="A302" s="122"/>
      <c r="B302" s="9">
        <v>89</v>
      </c>
      <c r="C302" s="3" t="n">
        <v>4962.0</v>
      </c>
      <c r="D302" s="3" t="n">
        <v>4975.0</v>
      </c>
      <c r="E302" s="3" t="n">
        <v>5352.0</v>
      </c>
      <c r="F302" s="3" t="n">
        <v>5586.0</v>
      </c>
      <c r="G302" s="3" t="n">
        <v>5502.0</v>
      </c>
      <c r="H302" s="3" t="n">
        <v>5519.0</v>
      </c>
      <c r="I302" s="3" t="n">
        <v>5691.0</v>
      </c>
      <c r="J302" s="3" t="n">
        <v>5441.0</v>
      </c>
      <c r="K302" s="3" t="n">
        <v>4783.0</v>
      </c>
      <c r="L302" s="3" t="n">
        <v>4552.0</v>
      </c>
      <c r="M302" s="3" t="n">
        <v>5003.0</v>
      </c>
      <c r="N302" s="3" t="n">
        <v>5547.0</v>
      </c>
      <c r="O302" s="3" t="n">
        <v>5584.0</v>
      </c>
      <c r="P302" s="3" t="n">
        <v>6576.0</v>
      </c>
      <c r="Q302" s="3" t="n">
        <v>7333.0</v>
      </c>
      <c r="R302" s="3" t="n">
        <v>7766.0</v>
      </c>
      <c r="S302" s="3" t="n">
        <v>8084.0</v>
      </c>
      <c r="T302" s="3" t="n">
        <v>8399.0</v>
      </c>
      <c r="U302" s="3" t="n">
        <v>8969.0</v>
      </c>
      <c r="V302" s="3" t="n">
        <v>9179.0</v>
      </c>
      <c r="W302" s="3" t="n">
        <v>9393.0</v>
      </c>
      <c r="X302" s="3" t="n">
        <v>9475.0</v>
      </c>
      <c r="Y302" s="3" t="n">
        <v>9999.0</v>
      </c>
      <c r="Z302" s="3" t="n">
        <v>9944.0</v>
      </c>
      <c r="AA302" s="3" t="n">
        <v>10131.0</v>
      </c>
      <c r="AB302" s="3" t="n">
        <v>10287.0</v>
      </c>
      <c r="AC302" s="3" t="n">
        <v>10092.0</v>
      </c>
      <c r="AD302" s="3" t="n">
        <v>9932.0</v>
      </c>
      <c r="AE302" s="3" t="n">
        <v>9526.0</v>
      </c>
      <c r="AF302" s="3" t="n">
        <v>9480.0</v>
      </c>
      <c r="AG302" s="3" t="n">
        <v>9350.0</v>
      </c>
      <c r="AH302" s="3" t="n">
        <v>9444.0</v>
      </c>
      <c r="AI302" s="3" t="n">
        <v>9481.0</v>
      </c>
      <c r="AJ302" s="3" t="n">
        <v>9478.0</v>
      </c>
      <c r="AK302" s="3" t="n">
        <v>9500.0</v>
      </c>
      <c r="AL302" s="3" t="n">
        <v>9644.0</v>
      </c>
      <c r="AM302" s="3" t="n">
        <v>10076.0</v>
      </c>
      <c r="AN302" s="3" t="n">
        <v>10498.0</v>
      </c>
      <c r="AO302" s="3" t="n">
        <v>10722.0</v>
      </c>
    </row>
    <row r="303" spans="1:41" x14ac:dyDescent="0.2">
      <c r="A303" s="122"/>
      <c r="B303" s="9">
        <v>90</v>
      </c>
      <c r="C303" s="3" t="n">
        <v>4486.0</v>
      </c>
      <c r="D303" s="3" t="n">
        <v>4313.0</v>
      </c>
      <c r="E303" s="3" t="n">
        <v>4346.0</v>
      </c>
      <c r="F303" s="3" t="n">
        <v>4687.0</v>
      </c>
      <c r="G303" s="3" t="n">
        <v>4907.0</v>
      </c>
      <c r="H303" s="3" t="n">
        <v>4842.0</v>
      </c>
      <c r="I303" s="3" t="n">
        <v>4875.0</v>
      </c>
      <c r="J303" s="3" t="n">
        <v>5031.0</v>
      </c>
      <c r="K303" s="3" t="n">
        <v>4813.0</v>
      </c>
      <c r="L303" s="3" t="n">
        <v>4239.0</v>
      </c>
      <c r="M303" s="3" t="n">
        <v>4038.0</v>
      </c>
      <c r="N303" s="3" t="n">
        <v>4448.0</v>
      </c>
      <c r="O303" s="3" t="n">
        <v>4938.0</v>
      </c>
      <c r="P303" s="3" t="n">
        <v>4976.0</v>
      </c>
      <c r="Q303" s="3" t="n">
        <v>5871.0</v>
      </c>
      <c r="R303" s="3" t="n">
        <v>6565.0</v>
      </c>
      <c r="S303" s="3" t="n">
        <v>6959.0</v>
      </c>
      <c r="T303" s="3" t="n">
        <v>7263.0</v>
      </c>
      <c r="U303" s="3" t="n">
        <v>7556.0</v>
      </c>
      <c r="V303" s="3" t="n">
        <v>8084.0</v>
      </c>
      <c r="W303" s="3" t="n">
        <v>8278.0</v>
      </c>
      <c r="X303" s="3" t="n">
        <v>8486.0</v>
      </c>
      <c r="Y303" s="3" t="n">
        <v>8581.0</v>
      </c>
      <c r="Z303" s="3" t="n">
        <v>9059.0</v>
      </c>
      <c r="AA303" s="3" t="n">
        <v>9022.0</v>
      </c>
      <c r="AB303" s="3" t="n">
        <v>9211.0</v>
      </c>
      <c r="AC303" s="3" t="n">
        <v>9363.0</v>
      </c>
      <c r="AD303" s="3" t="n">
        <v>9196.0</v>
      </c>
      <c r="AE303" s="3" t="n">
        <v>9069.0</v>
      </c>
      <c r="AF303" s="3" t="n">
        <v>8703.0</v>
      </c>
      <c r="AG303" s="3" t="n">
        <v>8663.0</v>
      </c>
      <c r="AH303" s="3" t="n">
        <v>8565.0</v>
      </c>
      <c r="AI303" s="3" t="n">
        <v>8657.0</v>
      </c>
      <c r="AJ303" s="3" t="n">
        <v>8708.0</v>
      </c>
      <c r="AK303" s="3" t="n">
        <v>8713.0</v>
      </c>
      <c r="AL303" s="3" t="n">
        <v>8742.0</v>
      </c>
      <c r="AM303" s="3" t="n">
        <v>8892.0</v>
      </c>
      <c r="AN303" s="3" t="n">
        <v>9300.0</v>
      </c>
      <c r="AO303" s="3" t="n">
        <v>9693.0</v>
      </c>
    </row>
    <row r="304" spans="1:41" x14ac:dyDescent="0.2">
      <c r="A304" s="122"/>
      <c r="B304" s="9">
        <v>91</v>
      </c>
      <c r="C304" s="3" t="n">
        <v>3599.0</v>
      </c>
      <c r="D304" s="3" t="n">
        <v>3847.0</v>
      </c>
      <c r="E304" s="3" t="n">
        <v>3718.0</v>
      </c>
      <c r="F304" s="3" t="n">
        <v>3756.0</v>
      </c>
      <c r="G304" s="3" t="n">
        <v>4059.0</v>
      </c>
      <c r="H304" s="3" t="n">
        <v>4262.0</v>
      </c>
      <c r="I304" s="3" t="n">
        <v>4223.0</v>
      </c>
      <c r="J304" s="3" t="n">
        <v>4255.0</v>
      </c>
      <c r="K304" s="3" t="n">
        <v>4397.0</v>
      </c>
      <c r="L304" s="3" t="n">
        <v>4215.0</v>
      </c>
      <c r="M304" s="3" t="n">
        <v>3717.0</v>
      </c>
      <c r="N304" s="3" t="n">
        <v>3551.0</v>
      </c>
      <c r="O304" s="3" t="n">
        <v>3916.0</v>
      </c>
      <c r="P304" s="3" t="n">
        <v>4354.0</v>
      </c>
      <c r="Q304" s="3" t="n">
        <v>4395.0</v>
      </c>
      <c r="R304" s="3" t="n">
        <v>5196.0</v>
      </c>
      <c r="S304" s="3" t="n">
        <v>5813.0</v>
      </c>
      <c r="T304" s="3" t="n">
        <v>6181.0</v>
      </c>
      <c r="U304" s="3" t="n">
        <v>6462.0</v>
      </c>
      <c r="V304" s="3" t="n">
        <v>6739.0</v>
      </c>
      <c r="W304" s="3" t="n">
        <v>7217.0</v>
      </c>
      <c r="X304" s="3" t="n">
        <v>7399.0</v>
      </c>
      <c r="Y304" s="3" t="n">
        <v>7605.0</v>
      </c>
      <c r="Z304" s="3" t="n">
        <v>7695.0</v>
      </c>
      <c r="AA304" s="3" t="n">
        <v>8139.0</v>
      </c>
      <c r="AB304" s="3" t="n">
        <v>8121.0</v>
      </c>
      <c r="AC304" s="3" t="n">
        <v>8299.0</v>
      </c>
      <c r="AD304" s="3" t="n">
        <v>8448.0</v>
      </c>
      <c r="AE304" s="3" t="n">
        <v>8313.0</v>
      </c>
      <c r="AF304" s="3" t="n">
        <v>8210.0</v>
      </c>
      <c r="AG304" s="3" t="n">
        <v>7882.0</v>
      </c>
      <c r="AH304" s="3" t="n">
        <v>7861.0</v>
      </c>
      <c r="AI304" s="3" t="n">
        <v>7782.0</v>
      </c>
      <c r="AJ304" s="3" t="n">
        <v>7884.0</v>
      </c>
      <c r="AK304" s="3" t="n">
        <v>7935.0</v>
      </c>
      <c r="AL304" s="3" t="n">
        <v>7945.0</v>
      </c>
      <c r="AM304" s="3" t="n">
        <v>7989.0</v>
      </c>
      <c r="AN304" s="3" t="n">
        <v>8137.0</v>
      </c>
      <c r="AO304" s="3" t="n">
        <v>8519.0</v>
      </c>
    </row>
    <row r="305" spans="1:41" x14ac:dyDescent="0.2">
      <c r="A305" s="122"/>
      <c r="B305" s="9">
        <v>92</v>
      </c>
      <c r="C305" s="3" t="n">
        <v>2938.0</v>
      </c>
      <c r="D305" s="3" t="n">
        <v>3034.0</v>
      </c>
      <c r="E305" s="3" t="n">
        <v>3260.0</v>
      </c>
      <c r="F305" s="3" t="n">
        <v>3162.0</v>
      </c>
      <c r="G305" s="3" t="n">
        <v>3203.0</v>
      </c>
      <c r="H305" s="3" t="n">
        <v>3481.0</v>
      </c>
      <c r="I305" s="3" t="n">
        <v>3666.0</v>
      </c>
      <c r="J305" s="3" t="n">
        <v>3631.0</v>
      </c>
      <c r="K305" s="3" t="n">
        <v>3663.0</v>
      </c>
      <c r="L305" s="3" t="n">
        <v>3797.0</v>
      </c>
      <c r="M305" s="3" t="n">
        <v>3646.0</v>
      </c>
      <c r="N305" s="3" t="n">
        <v>3223.0</v>
      </c>
      <c r="O305" s="3" t="n">
        <v>3085.0</v>
      </c>
      <c r="P305" s="3" t="n">
        <v>3406.0</v>
      </c>
      <c r="Q305" s="3" t="n">
        <v>3795.0</v>
      </c>
      <c r="R305" s="3" t="n">
        <v>3838.0</v>
      </c>
      <c r="S305" s="3" t="n">
        <v>4549.0</v>
      </c>
      <c r="T305" s="3" t="n">
        <v>5102.0</v>
      </c>
      <c r="U305" s="3" t="n">
        <v>5434.0</v>
      </c>
      <c r="V305" s="3" t="n">
        <v>5696.0</v>
      </c>
      <c r="W305" s="3" t="n">
        <v>5949.0</v>
      </c>
      <c r="X305" s="3" t="n">
        <v>6374.0</v>
      </c>
      <c r="Y305" s="3" t="n">
        <v>6550.0</v>
      </c>
      <c r="Z305" s="3" t="n">
        <v>6737.0</v>
      </c>
      <c r="AA305" s="3" t="n">
        <v>6828.0</v>
      </c>
      <c r="AB305" s="3" t="n">
        <v>7247.0</v>
      </c>
      <c r="AC305" s="3" t="n">
        <v>7235.0</v>
      </c>
      <c r="AD305" s="3" t="n">
        <v>7402.0</v>
      </c>
      <c r="AE305" s="3" t="n">
        <v>7554.0</v>
      </c>
      <c r="AF305" s="3" t="n">
        <v>7444.0</v>
      </c>
      <c r="AG305" s="3" t="n">
        <v>7356.0</v>
      </c>
      <c r="AH305" s="3" t="n">
        <v>7083.0</v>
      </c>
      <c r="AI305" s="3" t="n">
        <v>7066.0</v>
      </c>
      <c r="AJ305" s="3" t="n">
        <v>7012.0</v>
      </c>
      <c r="AK305" s="3" t="n">
        <v>7113.0</v>
      </c>
      <c r="AL305" s="3" t="n">
        <v>7170.0</v>
      </c>
      <c r="AM305" s="3" t="n">
        <v>7193.0</v>
      </c>
      <c r="AN305" s="3" t="n">
        <v>7241.0</v>
      </c>
      <c r="AO305" s="3" t="n">
        <v>7382.0</v>
      </c>
    </row>
    <row r="306" spans="1:41" x14ac:dyDescent="0.2">
      <c r="A306" s="122"/>
      <c r="B306" s="9">
        <v>93</v>
      </c>
      <c r="C306" s="3" t="n">
        <v>2151.0</v>
      </c>
      <c r="D306" s="3" t="n">
        <v>2432.0</v>
      </c>
      <c r="E306" s="3" t="n">
        <v>2528.0</v>
      </c>
      <c r="F306" s="3" t="n">
        <v>2726.0</v>
      </c>
      <c r="G306" s="3" t="n">
        <v>2653.0</v>
      </c>
      <c r="H306" s="3" t="n">
        <v>2698.0</v>
      </c>
      <c r="I306" s="3" t="n">
        <v>2941.0</v>
      </c>
      <c r="J306" s="3" t="n">
        <v>3102.0</v>
      </c>
      <c r="K306" s="3" t="n">
        <v>3074.0</v>
      </c>
      <c r="L306" s="3" t="n">
        <v>3113.0</v>
      </c>
      <c r="M306" s="3" t="n">
        <v>3231.0</v>
      </c>
      <c r="N306" s="3" t="n">
        <v>3112.0</v>
      </c>
      <c r="O306" s="3" t="n">
        <v>2758.0</v>
      </c>
      <c r="P306" s="3" t="n">
        <v>2643.0</v>
      </c>
      <c r="Q306" s="3" t="n">
        <v>2930.0</v>
      </c>
      <c r="R306" s="3" t="n">
        <v>3265.0</v>
      </c>
      <c r="S306" s="3" t="n">
        <v>3309.0</v>
      </c>
      <c r="T306" s="3" t="n">
        <v>3930.0</v>
      </c>
      <c r="U306" s="3" t="n">
        <v>4418.0</v>
      </c>
      <c r="V306" s="3" t="n">
        <v>4719.0</v>
      </c>
      <c r="W306" s="3" t="n">
        <v>4959.0</v>
      </c>
      <c r="X306" s="3" t="n">
        <v>5181.0</v>
      </c>
      <c r="Y306" s="3" t="n">
        <v>5569.0</v>
      </c>
      <c r="Z306" s="3" t="n">
        <v>5734.0</v>
      </c>
      <c r="AA306" s="3" t="n">
        <v>5903.0</v>
      </c>
      <c r="AB306" s="3" t="n">
        <v>6001.0</v>
      </c>
      <c r="AC306" s="3" t="n">
        <v>6374.0</v>
      </c>
      <c r="AD306" s="3" t="n">
        <v>6372.0</v>
      </c>
      <c r="AE306" s="3" t="n">
        <v>6537.0</v>
      </c>
      <c r="AF306" s="3" t="n">
        <v>6679.0</v>
      </c>
      <c r="AG306" s="3" t="n">
        <v>6592.0</v>
      </c>
      <c r="AH306" s="3" t="n">
        <v>6531.0</v>
      </c>
      <c r="AI306" s="3" t="n">
        <v>6296.0</v>
      </c>
      <c r="AJ306" s="3" t="n">
        <v>6292.0</v>
      </c>
      <c r="AK306" s="3" t="n">
        <v>6257.0</v>
      </c>
      <c r="AL306" s="3" t="n">
        <v>6353.0</v>
      </c>
      <c r="AM306" s="3" t="n">
        <v>6421.0</v>
      </c>
      <c r="AN306" s="3" t="n">
        <v>6450.0</v>
      </c>
      <c r="AO306" s="3" t="n">
        <v>6499.0</v>
      </c>
    </row>
    <row r="307" spans="1:41" x14ac:dyDescent="0.2">
      <c r="A307" s="122"/>
      <c r="B307" s="9">
        <v>94</v>
      </c>
      <c r="C307" s="3" t="n">
        <v>1584.0</v>
      </c>
      <c r="D307" s="3" t="n">
        <v>1750.0</v>
      </c>
      <c r="E307" s="3" t="n">
        <v>1993.0</v>
      </c>
      <c r="F307" s="3" t="n">
        <v>2079.0</v>
      </c>
      <c r="G307" s="3" t="n">
        <v>2248.0</v>
      </c>
      <c r="H307" s="3" t="n">
        <v>2197.0</v>
      </c>
      <c r="I307" s="3" t="n">
        <v>2244.0</v>
      </c>
      <c r="J307" s="3" t="n">
        <v>2451.0</v>
      </c>
      <c r="K307" s="3" t="n">
        <v>2584.0</v>
      </c>
      <c r="L307" s="3" t="n">
        <v>2571.0</v>
      </c>
      <c r="M307" s="3" t="n">
        <v>2608.0</v>
      </c>
      <c r="N307" s="3" t="n">
        <v>2716.0</v>
      </c>
      <c r="O307" s="3" t="n">
        <v>2621.0</v>
      </c>
      <c r="P307" s="3" t="n">
        <v>2329.0</v>
      </c>
      <c r="Q307" s="3" t="n">
        <v>2240.0</v>
      </c>
      <c r="R307" s="3" t="n">
        <v>2487.0</v>
      </c>
      <c r="S307" s="3" t="n">
        <v>2774.0</v>
      </c>
      <c r="T307" s="3" t="n">
        <v>2821.0</v>
      </c>
      <c r="U307" s="3" t="n">
        <v>3355.0</v>
      </c>
      <c r="V307" s="3" t="n">
        <v>3781.0</v>
      </c>
      <c r="W307" s="3" t="n">
        <v>4046.0</v>
      </c>
      <c r="X307" s="3" t="n">
        <v>4258.0</v>
      </c>
      <c r="Y307" s="3" t="n">
        <v>4465.0</v>
      </c>
      <c r="Z307" s="3" t="n">
        <v>4804.0</v>
      </c>
      <c r="AA307" s="3" t="n">
        <v>4955.0</v>
      </c>
      <c r="AB307" s="3" t="n">
        <v>5119.0</v>
      </c>
      <c r="AC307" s="3" t="n">
        <v>5212.0</v>
      </c>
      <c r="AD307" s="3" t="n">
        <v>5542.0</v>
      </c>
      <c r="AE307" s="3" t="n">
        <v>5560.0</v>
      </c>
      <c r="AF307" s="3" t="n">
        <v>5713.0</v>
      </c>
      <c r="AG307" s="3" t="n">
        <v>5843.0</v>
      </c>
      <c r="AH307" s="3" t="n">
        <v>5786.0</v>
      </c>
      <c r="AI307" s="3" t="n">
        <v>5738.0</v>
      </c>
      <c r="AJ307" s="3" t="n">
        <v>5546.0</v>
      </c>
      <c r="AK307" s="3" t="n">
        <v>5549.0</v>
      </c>
      <c r="AL307" s="3" t="n">
        <v>5525.0</v>
      </c>
      <c r="AM307" s="3" t="n">
        <v>5626.0</v>
      </c>
      <c r="AN307" s="3" t="n">
        <v>5693.0</v>
      </c>
      <c r="AO307" s="3" t="n">
        <v>5722.0</v>
      </c>
    </row>
    <row r="308" spans="1:41" x14ac:dyDescent="0.2">
      <c r="A308" s="122"/>
      <c r="B308" s="9">
        <v>95</v>
      </c>
      <c r="C308" s="3" t="n">
        <v>1113.0</v>
      </c>
      <c r="D308" s="3" t="n">
        <v>1260.0</v>
      </c>
      <c r="E308" s="3" t="n">
        <v>1398.0</v>
      </c>
      <c r="F308" s="3" t="n">
        <v>1602.0</v>
      </c>
      <c r="G308" s="3" t="n">
        <v>1683.0</v>
      </c>
      <c r="H308" s="3" t="n">
        <v>1819.0</v>
      </c>
      <c r="I308" s="3" t="n">
        <v>1789.0</v>
      </c>
      <c r="J308" s="3" t="n">
        <v>1825.0</v>
      </c>
      <c r="K308" s="3" t="n">
        <v>2005.0</v>
      </c>
      <c r="L308" s="3" t="n">
        <v>2119.0</v>
      </c>
      <c r="M308" s="3" t="n">
        <v>2111.0</v>
      </c>
      <c r="N308" s="3" t="n">
        <v>2151.0</v>
      </c>
      <c r="O308" s="3" t="n">
        <v>2242.0</v>
      </c>
      <c r="P308" s="3" t="n">
        <v>2170.0</v>
      </c>
      <c r="Q308" s="3" t="n">
        <v>1938.0</v>
      </c>
      <c r="R308" s="3" t="n">
        <v>1868.0</v>
      </c>
      <c r="S308" s="3" t="n">
        <v>2075.0</v>
      </c>
      <c r="T308" s="3" t="n">
        <v>2321.0</v>
      </c>
      <c r="U308" s="3" t="n">
        <v>2368.0</v>
      </c>
      <c r="V308" s="3" t="n">
        <v>2827.0</v>
      </c>
      <c r="W308" s="3" t="n">
        <v>3191.0</v>
      </c>
      <c r="X308" s="3" t="n">
        <v>3427.0</v>
      </c>
      <c r="Y308" s="3" t="n">
        <v>3614.0</v>
      </c>
      <c r="Z308" s="3" t="n">
        <v>3796.0</v>
      </c>
      <c r="AA308" s="3" t="n">
        <v>4091.0</v>
      </c>
      <c r="AB308" s="3" t="n">
        <v>4235.0</v>
      </c>
      <c r="AC308" s="3" t="n">
        <v>4378.0</v>
      </c>
      <c r="AD308" s="3" t="n">
        <v>4471.0</v>
      </c>
      <c r="AE308" s="3" t="n">
        <v>4768.0</v>
      </c>
      <c r="AF308" s="3" t="n">
        <v>4793.0</v>
      </c>
      <c r="AG308" s="3" t="n">
        <v>4930.0</v>
      </c>
      <c r="AH308" s="3" t="n">
        <v>5060.0</v>
      </c>
      <c r="AI308" s="3" t="n">
        <v>5016.0</v>
      </c>
      <c r="AJ308" s="3" t="n">
        <v>4989.0</v>
      </c>
      <c r="AK308" s="3" t="n">
        <v>4826.0</v>
      </c>
      <c r="AL308" s="3" t="n">
        <v>4836.0</v>
      </c>
      <c r="AM308" s="3" t="n">
        <v>4830.0</v>
      </c>
      <c r="AN308" s="3" t="n">
        <v>4920.0</v>
      </c>
      <c r="AO308" s="3" t="n">
        <v>4992.0</v>
      </c>
    </row>
    <row r="309" spans="1:41" x14ac:dyDescent="0.2">
      <c r="A309" s="122"/>
      <c r="B309" s="9">
        <v>96</v>
      </c>
      <c r="C309" s="3" t="n">
        <v>843.0</v>
      </c>
      <c r="D309" s="3" t="n">
        <v>863.0</v>
      </c>
      <c r="E309" s="3" t="n">
        <v>983.0</v>
      </c>
      <c r="F309" s="3" t="n">
        <v>1099.0</v>
      </c>
      <c r="G309" s="3" t="n">
        <v>1265.0</v>
      </c>
      <c r="H309" s="3" t="n">
        <v>1335.0</v>
      </c>
      <c r="I309" s="3" t="n">
        <v>1449.0</v>
      </c>
      <c r="J309" s="3" t="n">
        <v>1431.0</v>
      </c>
      <c r="K309" s="3" t="n">
        <v>1458.0</v>
      </c>
      <c r="L309" s="3" t="n">
        <v>1607.0</v>
      </c>
      <c r="M309" s="3" t="n">
        <v>1703.0</v>
      </c>
      <c r="N309" s="3" t="n">
        <v>1707.0</v>
      </c>
      <c r="O309" s="3" t="n">
        <v>1743.0</v>
      </c>
      <c r="P309" s="3" t="n">
        <v>1815.0</v>
      </c>
      <c r="Q309" s="3" t="n">
        <v>1769.0</v>
      </c>
      <c r="R309" s="3" t="n">
        <v>1586.0</v>
      </c>
      <c r="S309" s="3" t="n">
        <v>1525.0</v>
      </c>
      <c r="T309" s="3" t="n">
        <v>1706.0</v>
      </c>
      <c r="U309" s="3" t="n">
        <v>1911.0</v>
      </c>
      <c r="V309" s="3" t="n">
        <v>1956.0</v>
      </c>
      <c r="W309" s="3" t="n">
        <v>2343.0</v>
      </c>
      <c r="X309" s="3" t="n">
        <v>2652.0</v>
      </c>
      <c r="Y309" s="3" t="n">
        <v>2859.0</v>
      </c>
      <c r="Z309" s="3" t="n">
        <v>3023.0</v>
      </c>
      <c r="AA309" s="3" t="n">
        <v>3181.0</v>
      </c>
      <c r="AB309" s="3" t="n">
        <v>3442.0</v>
      </c>
      <c r="AC309" s="3" t="n">
        <v>3569.0</v>
      </c>
      <c r="AD309" s="3" t="n">
        <v>3695.0</v>
      </c>
      <c r="AE309" s="3" t="n">
        <v>3787.0</v>
      </c>
      <c r="AF309" s="3" t="n">
        <v>4043.0</v>
      </c>
      <c r="AG309" s="3" t="n">
        <v>4075.0</v>
      </c>
      <c r="AH309" s="3" t="n">
        <v>4204.0</v>
      </c>
      <c r="AI309" s="3" t="n">
        <v>4322.0</v>
      </c>
      <c r="AJ309" s="3" t="n">
        <v>4296.0</v>
      </c>
      <c r="AK309" s="3" t="n">
        <v>4278.0</v>
      </c>
      <c r="AL309" s="3" t="n">
        <v>4150.0</v>
      </c>
      <c r="AM309" s="3" t="n">
        <v>4168.0</v>
      </c>
      <c r="AN309" s="3" t="n">
        <v>4176.0</v>
      </c>
      <c r="AO309" s="3" t="n">
        <v>4251.0</v>
      </c>
    </row>
    <row r="310" spans="1:41" x14ac:dyDescent="0.2">
      <c r="A310" s="122"/>
      <c r="B310" s="9">
        <v>97</v>
      </c>
      <c r="C310" s="3" t="n">
        <v>617.0</v>
      </c>
      <c r="D310" s="3" t="n">
        <v>640.0</v>
      </c>
      <c r="E310" s="3" t="n">
        <v>658.0</v>
      </c>
      <c r="F310" s="3" t="n">
        <v>751.0</v>
      </c>
      <c r="G310" s="3" t="n">
        <v>847.0</v>
      </c>
      <c r="H310" s="3" t="n">
        <v>977.0</v>
      </c>
      <c r="I310" s="3" t="n">
        <v>1035.0</v>
      </c>
      <c r="J310" s="3" t="n">
        <v>1127.0</v>
      </c>
      <c r="K310" s="3" t="n">
        <v>1117.0</v>
      </c>
      <c r="L310" s="3" t="n">
        <v>1139.0</v>
      </c>
      <c r="M310" s="3" t="n">
        <v>1259.0</v>
      </c>
      <c r="N310" s="3" t="n">
        <v>1340.0</v>
      </c>
      <c r="O310" s="3" t="n">
        <v>1345.0</v>
      </c>
      <c r="P310" s="3" t="n">
        <v>1379.0</v>
      </c>
      <c r="Q310" s="3" t="n">
        <v>1444.0</v>
      </c>
      <c r="R310" s="3" t="n">
        <v>1411.0</v>
      </c>
      <c r="S310" s="3" t="n">
        <v>1269.0</v>
      </c>
      <c r="T310" s="3" t="n">
        <v>1222.0</v>
      </c>
      <c r="U310" s="3" t="n">
        <v>1377.0</v>
      </c>
      <c r="V310" s="3" t="n">
        <v>1545.0</v>
      </c>
      <c r="W310" s="3" t="n">
        <v>1585.0</v>
      </c>
      <c r="X310" s="3" t="n">
        <v>1907.0</v>
      </c>
      <c r="Y310" s="3" t="n">
        <v>2171.0</v>
      </c>
      <c r="Z310" s="3" t="n">
        <v>2349.0</v>
      </c>
      <c r="AA310" s="3" t="n">
        <v>2482.0</v>
      </c>
      <c r="AB310" s="3" t="n">
        <v>2624.0</v>
      </c>
      <c r="AC310" s="3" t="n">
        <v>2845.0</v>
      </c>
      <c r="AD310" s="3" t="n">
        <v>2955.0</v>
      </c>
      <c r="AE310" s="3" t="n">
        <v>3069.0</v>
      </c>
      <c r="AF310" s="3" t="n">
        <v>3153.0</v>
      </c>
      <c r="AG310" s="3" t="n">
        <v>3372.0</v>
      </c>
      <c r="AH310" s="3" t="n">
        <v>3409.0</v>
      </c>
      <c r="AI310" s="3" t="n">
        <v>3528.0</v>
      </c>
      <c r="AJ310" s="3" t="n">
        <v>3635.0</v>
      </c>
      <c r="AK310" s="3" t="n">
        <v>3618.0</v>
      </c>
      <c r="AL310" s="3" t="n">
        <v>3612.0</v>
      </c>
      <c r="AM310" s="3" t="n">
        <v>3516.0</v>
      </c>
      <c r="AN310" s="3" t="n">
        <v>3539.0</v>
      </c>
      <c r="AO310" s="3" t="n">
        <v>3551.0</v>
      </c>
    </row>
    <row r="311" spans="1:41" x14ac:dyDescent="0.2">
      <c r="A311" s="122"/>
      <c r="B311" s="9">
        <v>98</v>
      </c>
      <c r="C311" s="3" t="n">
        <v>345.0</v>
      </c>
      <c r="D311" s="3" t="n">
        <v>458.0</v>
      </c>
      <c r="E311" s="3" t="n">
        <v>480.0</v>
      </c>
      <c r="F311" s="3" t="n">
        <v>497.0</v>
      </c>
      <c r="G311" s="3" t="n">
        <v>570.0</v>
      </c>
      <c r="H311" s="3" t="n">
        <v>643.0</v>
      </c>
      <c r="I311" s="3" t="n">
        <v>747.0</v>
      </c>
      <c r="J311" s="3" t="n">
        <v>794.0</v>
      </c>
      <c r="K311" s="3" t="n">
        <v>865.0</v>
      </c>
      <c r="L311" s="3" t="n">
        <v>862.0</v>
      </c>
      <c r="M311" s="3" t="n">
        <v>880.0</v>
      </c>
      <c r="N311" s="3" t="n">
        <v>979.0</v>
      </c>
      <c r="O311" s="3" t="n">
        <v>1043.0</v>
      </c>
      <c r="P311" s="3" t="n">
        <v>1050.0</v>
      </c>
      <c r="Q311" s="3" t="n">
        <v>1083.0</v>
      </c>
      <c r="R311" s="3" t="n">
        <v>1136.0</v>
      </c>
      <c r="S311" s="3" t="n">
        <v>1113.0</v>
      </c>
      <c r="T311" s="3" t="n">
        <v>1005.0</v>
      </c>
      <c r="U311" s="3" t="n">
        <v>974.0</v>
      </c>
      <c r="V311" s="3" t="n">
        <v>1097.0</v>
      </c>
      <c r="W311" s="3" t="n">
        <v>1235.0</v>
      </c>
      <c r="X311" s="3" t="n">
        <v>1270.0</v>
      </c>
      <c r="Y311" s="3" t="n">
        <v>1536.0</v>
      </c>
      <c r="Z311" s="3" t="n">
        <v>1750.0</v>
      </c>
      <c r="AA311" s="3" t="n">
        <v>1896.0</v>
      </c>
      <c r="AB311" s="3" t="n">
        <v>2014.0</v>
      </c>
      <c r="AC311" s="3" t="n">
        <v>2130.0</v>
      </c>
      <c r="AD311" s="3" t="n">
        <v>2318.0</v>
      </c>
      <c r="AE311" s="3" t="n">
        <v>2421.0</v>
      </c>
      <c r="AF311" s="3" t="n">
        <v>2515.0</v>
      </c>
      <c r="AG311" s="3" t="n">
        <v>2593.0</v>
      </c>
      <c r="AH311" s="3" t="n">
        <v>2782.0</v>
      </c>
      <c r="AI311" s="3" t="n">
        <v>2813.0</v>
      </c>
      <c r="AJ311" s="3" t="n">
        <v>2928.0</v>
      </c>
      <c r="AK311" s="3" t="n">
        <v>3019.0</v>
      </c>
      <c r="AL311" s="3" t="n">
        <v>3008.0</v>
      </c>
      <c r="AM311" s="3" t="n">
        <v>3020.0</v>
      </c>
      <c r="AN311" s="3" t="n">
        <v>2945.0</v>
      </c>
      <c r="AO311" s="3" t="n">
        <v>2967.0</v>
      </c>
    </row>
    <row r="312" spans="1:41" x14ac:dyDescent="0.2">
      <c r="A312" s="122"/>
      <c r="B312" s="9">
        <v>99</v>
      </c>
      <c r="C312" s="3" t="n">
        <v>262.0</v>
      </c>
      <c r="D312" s="3" t="n">
        <v>249.0</v>
      </c>
      <c r="E312" s="3" t="n">
        <v>335.0</v>
      </c>
      <c r="F312" s="3" t="n">
        <v>352.0</v>
      </c>
      <c r="G312" s="3" t="n">
        <v>365.0</v>
      </c>
      <c r="H312" s="3" t="n">
        <v>422.0</v>
      </c>
      <c r="I312" s="3" t="n">
        <v>477.0</v>
      </c>
      <c r="J312" s="3" t="n">
        <v>554.0</v>
      </c>
      <c r="K312" s="3" t="n">
        <v>591.0</v>
      </c>
      <c r="L312" s="3" t="n">
        <v>648.0</v>
      </c>
      <c r="M312" s="3" t="n">
        <v>648.0</v>
      </c>
      <c r="N312" s="3" t="n">
        <v>666.0</v>
      </c>
      <c r="O312" s="3" t="n">
        <v>741.0</v>
      </c>
      <c r="P312" s="3" t="n">
        <v>790.0</v>
      </c>
      <c r="Q312" s="3" t="n">
        <v>801.0</v>
      </c>
      <c r="R312" s="3" t="n">
        <v>829.0</v>
      </c>
      <c r="S312" s="3" t="n">
        <v>874.0</v>
      </c>
      <c r="T312" s="3" t="n">
        <v>860.0</v>
      </c>
      <c r="U312" s="3" t="n">
        <v>778.0</v>
      </c>
      <c r="V312" s="3" t="n">
        <v>760.0</v>
      </c>
      <c r="W312" s="3" t="n">
        <v>859.0</v>
      </c>
      <c r="X312" s="3" t="n">
        <v>969.0</v>
      </c>
      <c r="Y312" s="3" t="n">
        <v>997.0</v>
      </c>
      <c r="Z312" s="3" t="n">
        <v>1210.0</v>
      </c>
      <c r="AA312" s="3" t="n">
        <v>1384.0</v>
      </c>
      <c r="AB312" s="3" t="n">
        <v>1507.0</v>
      </c>
      <c r="AC312" s="3" t="n">
        <v>1604.0</v>
      </c>
      <c r="AD312" s="3" t="n">
        <v>1704.0</v>
      </c>
      <c r="AE312" s="3" t="n">
        <v>1861.0</v>
      </c>
      <c r="AF312" s="3" t="n">
        <v>1948.0</v>
      </c>
      <c r="AG312" s="3" t="n">
        <v>2025.0</v>
      </c>
      <c r="AH312" s="3" t="n">
        <v>2100.0</v>
      </c>
      <c r="AI312" s="3" t="n">
        <v>2260.0</v>
      </c>
      <c r="AJ312" s="3" t="n">
        <v>2297.0</v>
      </c>
      <c r="AK312" s="3" t="n">
        <v>2391.0</v>
      </c>
      <c r="AL312" s="3" t="n">
        <v>2470.0</v>
      </c>
      <c r="AM312" s="3" t="n">
        <v>2472.0</v>
      </c>
      <c r="AN312" s="3" t="n">
        <v>2488.0</v>
      </c>
      <c r="AO312" s="3" t="n">
        <v>2431.0</v>
      </c>
    </row>
    <row r="313" spans="1:41" x14ac:dyDescent="0.2">
      <c r="A313" s="122"/>
      <c r="B313" s="10" t="s">
        <v>68</v>
      </c>
      <c r="C313" s="4" t="n">
        <v>378.0</v>
      </c>
      <c r="D313" s="4" t="n">
        <v>423.0</v>
      </c>
      <c r="E313" s="4" t="n">
        <v>453.0</v>
      </c>
      <c r="F313" s="4" t="n">
        <v>536.0</v>
      </c>
      <c r="G313" s="4" t="n">
        <v>606.0</v>
      </c>
      <c r="H313" s="4" t="n">
        <v>664.0</v>
      </c>
      <c r="I313" s="4" t="n">
        <v>749.0</v>
      </c>
      <c r="J313" s="4" t="n">
        <v>843.0</v>
      </c>
      <c r="K313" s="4" t="n">
        <v>966.0</v>
      </c>
      <c r="L313" s="4" t="n">
        <v>1080.0</v>
      </c>
      <c r="M313" s="4" t="n">
        <v>1203.0</v>
      </c>
      <c r="N313" s="4" t="n">
        <v>1292.0</v>
      </c>
      <c r="O313" s="4" t="n">
        <v>1374.0</v>
      </c>
      <c r="P313" s="4" t="n">
        <v>1486.0</v>
      </c>
      <c r="Q313" s="4" t="n">
        <v>1613.0</v>
      </c>
      <c r="R313" s="4" t="n">
        <v>1710.0</v>
      </c>
      <c r="S313" s="4" t="n">
        <v>1803.0</v>
      </c>
      <c r="T313" s="4" t="n">
        <v>1912.0</v>
      </c>
      <c r="U313" s="4" t="n">
        <v>1980.0</v>
      </c>
      <c r="V313" s="4" t="n">
        <v>1983.0</v>
      </c>
      <c r="W313" s="4" t="n">
        <v>1976.0</v>
      </c>
      <c r="X313" s="4" t="n">
        <v>2045.0</v>
      </c>
      <c r="Y313" s="4" t="n">
        <v>2198.0</v>
      </c>
      <c r="Z313" s="4" t="n">
        <v>2327.0</v>
      </c>
      <c r="AA313" s="4" t="n">
        <v>2589.0</v>
      </c>
      <c r="AB313" s="4" t="n">
        <v>2916.0</v>
      </c>
      <c r="AC313" s="4" t="n">
        <v>3258.0</v>
      </c>
      <c r="AD313" s="4" t="n">
        <v>3587.0</v>
      </c>
      <c r="AE313" s="4" t="n">
        <v>3918.0</v>
      </c>
      <c r="AF313" s="4" t="n">
        <v>4293.0</v>
      </c>
      <c r="AG313" s="4" t="n">
        <v>4641.0</v>
      </c>
      <c r="AH313" s="4" t="n">
        <v>4977.0</v>
      </c>
      <c r="AI313" s="4" t="n">
        <v>5297.0</v>
      </c>
      <c r="AJ313" s="4" t="n">
        <v>5681.0</v>
      </c>
      <c r="AK313" s="4" t="n">
        <v>6007.0</v>
      </c>
      <c r="AL313" s="4" t="n">
        <v>6332.0</v>
      </c>
      <c r="AM313" s="4" t="n">
        <v>6661.0</v>
      </c>
      <c r="AN313" s="4" t="n">
        <v>6931.0</v>
      </c>
      <c r="AO313" s="4" t="n">
        <v>7154.0</v>
      </c>
    </row>
  </sheetData>
  <mergeCells count="6">
    <mergeCell ref="A1:B1"/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73"/>
  <sheetViews>
    <sheetView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29"/>
      <c r="B1" s="129"/>
      <c r="C1" s="95" t="s">
        <v>86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</row>
    <row r="2" spans="1:41" ht="12" customHeight="1" x14ac:dyDescent="0.2">
      <c r="A2" s="124" t="s">
        <v>82</v>
      </c>
      <c r="B2" s="124"/>
      <c r="D2" s="26" t="s">
        <v>40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125" t="s">
        <v>83</v>
      </c>
      <c r="B3" s="125"/>
      <c r="D3" s="19" t="s">
        <v>66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48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105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20" t="s">
        <v>52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6" t="s">
        <v>46</v>
      </c>
      <c r="B8" s="59" t="s">
        <v>47</v>
      </c>
      <c r="C8" s="57" t="n">
        <v>3429014.0</v>
      </c>
      <c r="D8" s="57" t="n">
        <v>3430361.0</v>
      </c>
      <c r="E8" s="57" t="n">
        <v>3432698.0</v>
      </c>
      <c r="F8" s="57" t="n">
        <v>3435619.0</v>
      </c>
      <c r="G8" s="57" t="n">
        <v>3439093.0</v>
      </c>
      <c r="H8" s="57" t="n">
        <v>3456350.0</v>
      </c>
      <c r="I8" s="57" t="n">
        <v>3478788.0</v>
      </c>
      <c r="J8" s="57" t="n">
        <v>3490538.0</v>
      </c>
      <c r="K8" s="57" t="n">
        <v>3496654.0</v>
      </c>
      <c r="L8" s="57" t="n">
        <v>3500645.0</v>
      </c>
      <c r="M8" s="57" t="n">
        <v>3503222.0</v>
      </c>
      <c r="N8" s="57" t="n">
        <v>3504826.0</v>
      </c>
      <c r="O8" s="57" t="n">
        <v>3505452.0</v>
      </c>
      <c r="P8" s="57" t="n">
        <v>3505638.0</v>
      </c>
      <c r="Q8" s="57" t="n">
        <v>3505601.0</v>
      </c>
      <c r="R8" s="57" t="n">
        <v>3505303.0</v>
      </c>
      <c r="S8" s="57" t="n">
        <v>3504832.0</v>
      </c>
      <c r="T8" s="57" t="n">
        <v>3504305.0</v>
      </c>
      <c r="U8" s="57" t="n">
        <v>3503693.0</v>
      </c>
      <c r="V8" s="57" t="n">
        <v>3503292.0</v>
      </c>
      <c r="W8" s="57" t="n">
        <v>3502945.0</v>
      </c>
      <c r="X8" s="57" t="n">
        <v>3502554.0</v>
      </c>
      <c r="Y8" s="57" t="n">
        <v>3502396.0</v>
      </c>
      <c r="Z8" s="57" t="n">
        <v>3501931.0</v>
      </c>
      <c r="AA8" s="57" t="n">
        <v>3501425.0</v>
      </c>
      <c r="AB8" s="57" t="n">
        <v>3501031.0</v>
      </c>
      <c r="AC8" s="57" t="n">
        <v>3500425.0</v>
      </c>
      <c r="AD8" s="57" t="n">
        <v>3499641.0</v>
      </c>
      <c r="AE8" s="57" t="n">
        <v>3498662.0</v>
      </c>
      <c r="AF8" s="57" t="n">
        <v>3497419.0</v>
      </c>
      <c r="AG8" s="57" t="n">
        <v>3495862.0</v>
      </c>
      <c r="AH8" s="57" t="n">
        <v>3494207.0</v>
      </c>
      <c r="AI8" s="57" t="n">
        <v>3492184.0</v>
      </c>
      <c r="AJ8" s="57" t="n">
        <v>3490127.0</v>
      </c>
      <c r="AK8" s="57" t="n">
        <v>3487547.0</v>
      </c>
      <c r="AL8" s="57" t="n">
        <v>3484688.0</v>
      </c>
      <c r="AM8" s="57" t="n">
        <v>3481818.0</v>
      </c>
      <c r="AN8" s="57" t="n">
        <v>3478783.0</v>
      </c>
      <c r="AO8" s="57" t="n">
        <v>3475560.0</v>
      </c>
    </row>
    <row r="9" spans="1:41" x14ac:dyDescent="0.2">
      <c r="A9" s="127"/>
      <c r="B9" s="52" t="s">
        <v>20</v>
      </c>
      <c r="C9" s="3" t="n">
        <v>175623.0</v>
      </c>
      <c r="D9" s="3" t="n">
        <v>169831.0</v>
      </c>
      <c r="E9" s="3" t="n">
        <v>165828.0</v>
      </c>
      <c r="F9" s="3" t="n">
        <v>164373.0</v>
      </c>
      <c r="G9" s="3" t="n">
        <v>164437.0</v>
      </c>
      <c r="H9" s="3" t="n">
        <v>168674.0</v>
      </c>
      <c r="I9" s="3" t="n">
        <v>171750.0</v>
      </c>
      <c r="J9" s="3" t="n">
        <v>173172.0</v>
      </c>
      <c r="K9" s="3" t="n">
        <v>173478.0</v>
      </c>
      <c r="L9" s="3" t="n">
        <v>173312.0</v>
      </c>
      <c r="M9" s="3" t="n">
        <v>172950.0</v>
      </c>
      <c r="N9" s="3" t="n">
        <v>172347.0</v>
      </c>
      <c r="O9" s="3" t="n">
        <v>171454.0</v>
      </c>
      <c r="P9" s="3" t="n">
        <v>170509.0</v>
      </c>
      <c r="Q9" s="3" t="n">
        <v>169638.0</v>
      </c>
      <c r="R9" s="3" t="n">
        <v>169083.0</v>
      </c>
      <c r="S9" s="3" t="n">
        <v>168925.0</v>
      </c>
      <c r="T9" s="3" t="n">
        <v>169247.0</v>
      </c>
      <c r="U9" s="3" t="n">
        <v>169985.0</v>
      </c>
      <c r="V9" s="3" t="n">
        <v>171084.0</v>
      </c>
      <c r="W9" s="3" t="n">
        <v>172408.0</v>
      </c>
      <c r="X9" s="3" t="n">
        <v>173859.0</v>
      </c>
      <c r="Y9" s="3" t="n">
        <v>175291.0</v>
      </c>
      <c r="Z9" s="3" t="n">
        <v>176633.0</v>
      </c>
      <c r="AA9" s="3" t="n">
        <v>177796.0</v>
      </c>
      <c r="AB9" s="3" t="n">
        <v>178726.0</v>
      </c>
      <c r="AC9" s="3" t="n">
        <v>179381.0</v>
      </c>
      <c r="AD9" s="3" t="n">
        <v>179764.0</v>
      </c>
      <c r="AE9" s="3" t="n">
        <v>179816.0</v>
      </c>
      <c r="AF9" s="3" t="n">
        <v>179598.0</v>
      </c>
      <c r="AG9" s="3" t="n">
        <v>179101.0</v>
      </c>
      <c r="AH9" s="3" t="n">
        <v>178370.0</v>
      </c>
      <c r="AI9" s="3" t="n">
        <v>177420.0</v>
      </c>
      <c r="AJ9" s="3" t="n">
        <v>176395.0</v>
      </c>
      <c r="AK9" s="3" t="n">
        <v>175305.0</v>
      </c>
      <c r="AL9" s="3" t="n">
        <v>174226.0</v>
      </c>
      <c r="AM9" s="3" t="n">
        <v>173240.0</v>
      </c>
      <c r="AN9" s="3" t="n">
        <v>172433.0</v>
      </c>
      <c r="AO9" s="3" t="n">
        <v>171774.0</v>
      </c>
    </row>
    <row r="10" spans="1:41" x14ac:dyDescent="0.2">
      <c r="A10" s="127"/>
      <c r="B10" s="52" t="s">
        <v>21</v>
      </c>
      <c r="C10" s="3" t="n">
        <v>188614.0</v>
      </c>
      <c r="D10" s="3" t="n">
        <v>191308.0</v>
      </c>
      <c r="E10" s="3" t="n">
        <v>192463.0</v>
      </c>
      <c r="F10" s="3" t="n">
        <v>191176.0</v>
      </c>
      <c r="G10" s="3" t="n">
        <v>187543.0</v>
      </c>
      <c r="H10" s="3" t="n">
        <v>181544.0</v>
      </c>
      <c r="I10" s="3" t="n">
        <v>178381.0</v>
      </c>
      <c r="J10" s="3" t="n">
        <v>175417.0</v>
      </c>
      <c r="K10" s="3" t="n">
        <v>174271.0</v>
      </c>
      <c r="L10" s="3" t="n">
        <v>174327.0</v>
      </c>
      <c r="M10" s="3" t="n">
        <v>176989.0</v>
      </c>
      <c r="N10" s="3" t="n">
        <v>178017.0</v>
      </c>
      <c r="O10" s="3" t="n">
        <v>178536.0</v>
      </c>
      <c r="P10" s="3" t="n">
        <v>178553.0</v>
      </c>
      <c r="Q10" s="3" t="n">
        <v>178323.0</v>
      </c>
      <c r="R10" s="3" t="n">
        <v>177997.0</v>
      </c>
      <c r="S10" s="3" t="n">
        <v>177493.0</v>
      </c>
      <c r="T10" s="3" t="n">
        <v>176751.0</v>
      </c>
      <c r="U10" s="3" t="n">
        <v>175951.0</v>
      </c>
      <c r="V10" s="3" t="n">
        <v>175220.0</v>
      </c>
      <c r="W10" s="3" t="n">
        <v>174805.0</v>
      </c>
      <c r="X10" s="3" t="n">
        <v>174760.0</v>
      </c>
      <c r="Y10" s="3" t="n">
        <v>175184.0</v>
      </c>
      <c r="Z10" s="3" t="n">
        <v>176005.0</v>
      </c>
      <c r="AA10" s="3" t="n">
        <v>177163.0</v>
      </c>
      <c r="AB10" s="3" t="n">
        <v>178527.0</v>
      </c>
      <c r="AC10" s="3" t="n">
        <v>180020.0</v>
      </c>
      <c r="AD10" s="3" t="n">
        <v>181485.0</v>
      </c>
      <c r="AE10" s="3" t="n">
        <v>182845.0</v>
      </c>
      <c r="AF10" s="3" t="n">
        <v>184022.0</v>
      </c>
      <c r="AG10" s="3" t="n">
        <v>184965.0</v>
      </c>
      <c r="AH10" s="3" t="n">
        <v>185620.0</v>
      </c>
      <c r="AI10" s="3" t="n">
        <v>185979.0</v>
      </c>
      <c r="AJ10" s="3" t="n">
        <v>186003.0</v>
      </c>
      <c r="AK10" s="3" t="n">
        <v>185756.0</v>
      </c>
      <c r="AL10" s="3" t="n">
        <v>185238.0</v>
      </c>
      <c r="AM10" s="3" t="n">
        <v>184493.0</v>
      </c>
      <c r="AN10" s="3" t="n">
        <v>183529.0</v>
      </c>
      <c r="AO10" s="3" t="n">
        <v>182507.0</v>
      </c>
    </row>
    <row r="11" spans="1:41" x14ac:dyDescent="0.2">
      <c r="A11" s="127"/>
      <c r="B11" s="53" t="s">
        <v>22</v>
      </c>
      <c r="C11" s="3" t="n">
        <v>194346.0</v>
      </c>
      <c r="D11" s="3" t="n">
        <v>191865.0</v>
      </c>
      <c r="E11" s="3" t="n">
        <v>189019.0</v>
      </c>
      <c r="F11" s="3" t="n">
        <v>186802.0</v>
      </c>
      <c r="G11" s="3" t="n">
        <v>187510.0</v>
      </c>
      <c r="H11" s="3" t="n">
        <v>191532.0</v>
      </c>
      <c r="I11" s="3" t="n">
        <v>196897.0</v>
      </c>
      <c r="J11" s="3" t="n">
        <v>199356.0</v>
      </c>
      <c r="K11" s="3" t="n">
        <v>198633.0</v>
      </c>
      <c r="L11" s="3" t="n">
        <v>195142.0</v>
      </c>
      <c r="M11" s="3" t="n">
        <v>187234.0</v>
      </c>
      <c r="N11" s="3" t="n">
        <v>181383.0</v>
      </c>
      <c r="O11" s="3" t="n">
        <v>177146.0</v>
      </c>
      <c r="P11" s="3" t="n">
        <v>175456.0</v>
      </c>
      <c r="Q11" s="3" t="n">
        <v>175221.0</v>
      </c>
      <c r="R11" s="3" t="n">
        <v>177739.0</v>
      </c>
      <c r="S11" s="3" t="n">
        <v>178743.0</v>
      </c>
      <c r="T11" s="3" t="n">
        <v>179283.0</v>
      </c>
      <c r="U11" s="3" t="n">
        <v>179326.0</v>
      </c>
      <c r="V11" s="3" t="n">
        <v>179132.0</v>
      </c>
      <c r="W11" s="3" t="n">
        <v>178849.0</v>
      </c>
      <c r="X11" s="3" t="n">
        <v>178395.0</v>
      </c>
      <c r="Y11" s="3" t="n">
        <v>177708.0</v>
      </c>
      <c r="Z11" s="3" t="n">
        <v>176967.0</v>
      </c>
      <c r="AA11" s="3" t="n">
        <v>176296.0</v>
      </c>
      <c r="AB11" s="3" t="n">
        <v>175941.0</v>
      </c>
      <c r="AC11" s="3" t="n">
        <v>175944.0</v>
      </c>
      <c r="AD11" s="3" t="n">
        <v>176394.0</v>
      </c>
      <c r="AE11" s="3" t="n">
        <v>177245.0</v>
      </c>
      <c r="AF11" s="3" t="n">
        <v>178423.0</v>
      </c>
      <c r="AG11" s="3" t="n">
        <v>179796.0</v>
      </c>
      <c r="AH11" s="3" t="n">
        <v>181300.0</v>
      </c>
      <c r="AI11" s="3" t="n">
        <v>182768.0</v>
      </c>
      <c r="AJ11" s="3" t="n">
        <v>184121.0</v>
      </c>
      <c r="AK11" s="3" t="n">
        <v>185265.0</v>
      </c>
      <c r="AL11" s="3" t="n">
        <v>186170.0</v>
      </c>
      <c r="AM11" s="3" t="n">
        <v>186794.0</v>
      </c>
      <c r="AN11" s="3" t="n">
        <v>187137.0</v>
      </c>
      <c r="AO11" s="3" t="n">
        <v>187140.0</v>
      </c>
    </row>
    <row r="12" spans="1:41" x14ac:dyDescent="0.2">
      <c r="A12" s="127"/>
      <c r="B12" s="52" t="s">
        <v>23</v>
      </c>
      <c r="C12" s="3" t="n">
        <v>168574.0</v>
      </c>
      <c r="D12" s="3" t="n">
        <v>175383.0</v>
      </c>
      <c r="E12" s="3" t="n">
        <v>182691.0</v>
      </c>
      <c r="F12" s="3" t="n">
        <v>188872.0</v>
      </c>
      <c r="G12" s="3" t="n">
        <v>192786.0</v>
      </c>
      <c r="H12" s="3" t="n">
        <v>196008.0</v>
      </c>
      <c r="I12" s="3" t="n">
        <v>195721.0</v>
      </c>
      <c r="J12" s="3" t="n">
        <v>194008.0</v>
      </c>
      <c r="K12" s="3" t="n">
        <v>192315.0</v>
      </c>
      <c r="L12" s="3" t="n">
        <v>193382.0</v>
      </c>
      <c r="M12" s="3" t="n">
        <v>195853.0</v>
      </c>
      <c r="N12" s="3" t="n">
        <v>198775.0</v>
      </c>
      <c r="O12" s="3" t="n">
        <v>200077.0</v>
      </c>
      <c r="P12" s="3" t="n">
        <v>198824.0</v>
      </c>
      <c r="Q12" s="3" t="n">
        <v>195039.0</v>
      </c>
      <c r="R12" s="3" t="n">
        <v>186971.0</v>
      </c>
      <c r="S12" s="3" t="n">
        <v>181065.0</v>
      </c>
      <c r="T12" s="3" t="n">
        <v>176796.0</v>
      </c>
      <c r="U12" s="3" t="n">
        <v>175077.0</v>
      </c>
      <c r="V12" s="3" t="n">
        <v>174810.0</v>
      </c>
      <c r="W12" s="3" t="n">
        <v>177297.0</v>
      </c>
      <c r="X12" s="3" t="n">
        <v>178286.0</v>
      </c>
      <c r="Y12" s="3" t="n">
        <v>178825.0</v>
      </c>
      <c r="Z12" s="3" t="n">
        <v>178881.0</v>
      </c>
      <c r="AA12" s="3" t="n">
        <v>178710.0</v>
      </c>
      <c r="AB12" s="3" t="n">
        <v>178449.0</v>
      </c>
      <c r="AC12" s="3" t="n">
        <v>178026.0</v>
      </c>
      <c r="AD12" s="3" t="n">
        <v>177373.0</v>
      </c>
      <c r="AE12" s="3" t="n">
        <v>176663.0</v>
      </c>
      <c r="AF12" s="3" t="n">
        <v>176031.0</v>
      </c>
      <c r="AG12" s="3" t="n">
        <v>175712.0</v>
      </c>
      <c r="AH12" s="3" t="n">
        <v>175747.0</v>
      </c>
      <c r="AI12" s="3" t="n">
        <v>176224.0</v>
      </c>
      <c r="AJ12" s="3" t="n">
        <v>177103.0</v>
      </c>
      <c r="AK12" s="3" t="n">
        <v>178303.0</v>
      </c>
      <c r="AL12" s="3" t="n">
        <v>179687.0</v>
      </c>
      <c r="AM12" s="3" t="n">
        <v>181180.0</v>
      </c>
      <c r="AN12" s="3" t="n">
        <v>182629.0</v>
      </c>
      <c r="AO12" s="3" t="n">
        <v>183955.0</v>
      </c>
    </row>
    <row r="13" spans="1:41" x14ac:dyDescent="0.2">
      <c r="A13" s="127"/>
      <c r="B13" s="52" t="s">
        <v>24</v>
      </c>
      <c r="C13" s="3" t="n">
        <v>178649.0</v>
      </c>
      <c r="D13" s="3" t="n">
        <v>172813.0</v>
      </c>
      <c r="E13" s="3" t="n">
        <v>168839.0</v>
      </c>
      <c r="F13" s="3" t="n">
        <v>166049.0</v>
      </c>
      <c r="G13" s="3" t="n">
        <v>165807.0</v>
      </c>
      <c r="H13" s="3" t="n">
        <v>169656.0</v>
      </c>
      <c r="I13" s="3" t="n">
        <v>177519.0</v>
      </c>
      <c r="J13" s="3" t="n">
        <v>185624.0</v>
      </c>
      <c r="K13" s="3" t="n">
        <v>192499.0</v>
      </c>
      <c r="L13" s="3" t="n">
        <v>196981.0</v>
      </c>
      <c r="M13" s="3" t="n">
        <v>199305.0</v>
      </c>
      <c r="N13" s="3" t="n">
        <v>197431.0</v>
      </c>
      <c r="O13" s="3" t="n">
        <v>194966.0</v>
      </c>
      <c r="P13" s="3" t="n">
        <v>192979.0</v>
      </c>
      <c r="Q13" s="3" t="n">
        <v>193889.0</v>
      </c>
      <c r="R13" s="3" t="n">
        <v>196258.0</v>
      </c>
      <c r="S13" s="3" t="n">
        <v>199096.0</v>
      </c>
      <c r="T13" s="3" t="n">
        <v>200352.0</v>
      </c>
      <c r="U13" s="3" t="n">
        <v>199074.0</v>
      </c>
      <c r="V13" s="3" t="n">
        <v>195261.0</v>
      </c>
      <c r="W13" s="3" t="n">
        <v>187154.0</v>
      </c>
      <c r="X13" s="3" t="n">
        <v>181211.0</v>
      </c>
      <c r="Y13" s="3" t="n">
        <v>176918.0</v>
      </c>
      <c r="Z13" s="3" t="n">
        <v>175162.0</v>
      </c>
      <c r="AA13" s="3" t="n">
        <v>174876.0</v>
      </c>
      <c r="AB13" s="3" t="n">
        <v>177338.0</v>
      </c>
      <c r="AC13" s="3" t="n">
        <v>178309.0</v>
      </c>
      <c r="AD13" s="3" t="n">
        <v>178844.0</v>
      </c>
      <c r="AE13" s="3" t="n">
        <v>178900.0</v>
      </c>
      <c r="AF13" s="3" t="n">
        <v>178735.0</v>
      </c>
      <c r="AG13" s="3" t="n">
        <v>178485.0</v>
      </c>
      <c r="AH13" s="3" t="n">
        <v>178081.0</v>
      </c>
      <c r="AI13" s="3" t="n">
        <v>177454.0</v>
      </c>
      <c r="AJ13" s="3" t="n">
        <v>176778.0</v>
      </c>
      <c r="AK13" s="3" t="n">
        <v>176188.0</v>
      </c>
      <c r="AL13" s="3" t="n">
        <v>175903.0</v>
      </c>
      <c r="AM13" s="3" t="n">
        <v>175965.0</v>
      </c>
      <c r="AN13" s="3" t="n">
        <v>176471.0</v>
      </c>
      <c r="AO13" s="3" t="n">
        <v>177367.0</v>
      </c>
    </row>
    <row r="14" spans="1:41" x14ac:dyDescent="0.2">
      <c r="A14" s="127"/>
      <c r="B14" s="52" t="s">
        <v>25</v>
      </c>
      <c r="C14" s="3" t="n">
        <v>218362.0</v>
      </c>
      <c r="D14" s="3" t="n">
        <v>209471.0</v>
      </c>
      <c r="E14" s="3" t="n">
        <v>200511.0</v>
      </c>
      <c r="F14" s="3" t="n">
        <v>194169.0</v>
      </c>
      <c r="G14" s="3" t="n">
        <v>187662.0</v>
      </c>
      <c r="H14" s="3" t="n">
        <v>182304.0</v>
      </c>
      <c r="I14" s="3" t="n">
        <v>177619.0</v>
      </c>
      <c r="J14" s="3" t="n">
        <v>174258.0</v>
      </c>
      <c r="K14" s="3" t="n">
        <v>171739.0</v>
      </c>
      <c r="L14" s="3" t="n">
        <v>171647.0</v>
      </c>
      <c r="M14" s="3" t="n">
        <v>175033.0</v>
      </c>
      <c r="N14" s="3" t="n">
        <v>182188.0</v>
      </c>
      <c r="O14" s="3" t="n">
        <v>190059.0</v>
      </c>
      <c r="P14" s="3" t="n">
        <v>196900.0</v>
      </c>
      <c r="Q14" s="3" t="n">
        <v>201337.0</v>
      </c>
      <c r="R14" s="3" t="n">
        <v>203581.0</v>
      </c>
      <c r="S14" s="3" t="n">
        <v>201611.0</v>
      </c>
      <c r="T14" s="3" t="n">
        <v>199032.0</v>
      </c>
      <c r="U14" s="3" t="n">
        <v>196946.0</v>
      </c>
      <c r="V14" s="3" t="n">
        <v>197800.0</v>
      </c>
      <c r="W14" s="3" t="n">
        <v>200135.0</v>
      </c>
      <c r="X14" s="3" t="n">
        <v>202936.0</v>
      </c>
      <c r="Y14" s="3" t="n">
        <v>204120.0</v>
      </c>
      <c r="Z14" s="3" t="n">
        <v>202737.0</v>
      </c>
      <c r="AA14" s="3" t="n">
        <v>198758.0</v>
      </c>
      <c r="AB14" s="3" t="n">
        <v>190456.0</v>
      </c>
      <c r="AC14" s="3" t="n">
        <v>184334.0</v>
      </c>
      <c r="AD14" s="3" t="n">
        <v>179875.0</v>
      </c>
      <c r="AE14" s="3" t="n">
        <v>178016.0</v>
      </c>
      <c r="AF14" s="3" t="n">
        <v>177669.0</v>
      </c>
      <c r="AG14" s="3" t="n">
        <v>180091.0</v>
      </c>
      <c r="AH14" s="3" t="n">
        <v>181038.0</v>
      </c>
      <c r="AI14" s="3" t="n">
        <v>181580.0</v>
      </c>
      <c r="AJ14" s="3" t="n">
        <v>181657.0</v>
      </c>
      <c r="AK14" s="3" t="n">
        <v>181524.0</v>
      </c>
      <c r="AL14" s="3" t="n">
        <v>181311.0</v>
      </c>
      <c r="AM14" s="3" t="n">
        <v>180953.0</v>
      </c>
      <c r="AN14" s="3" t="n">
        <v>180376.0</v>
      </c>
      <c r="AO14" s="3" t="n">
        <v>179747.0</v>
      </c>
    </row>
    <row r="15" spans="1:41" x14ac:dyDescent="0.2">
      <c r="A15" s="127"/>
      <c r="B15" s="52" t="s">
        <v>26</v>
      </c>
      <c r="C15" s="3" t="n">
        <v>263005.0</v>
      </c>
      <c r="D15" s="3" t="n">
        <v>257899.0</v>
      </c>
      <c r="E15" s="3" t="n">
        <v>252204.0</v>
      </c>
      <c r="F15" s="3" t="n">
        <v>243662.0</v>
      </c>
      <c r="G15" s="3" t="n">
        <v>232896.0</v>
      </c>
      <c r="H15" s="3" t="n">
        <v>223957.0</v>
      </c>
      <c r="I15" s="3" t="n">
        <v>216512.0</v>
      </c>
      <c r="J15" s="3" t="n">
        <v>208064.0</v>
      </c>
      <c r="K15" s="3" t="n">
        <v>201849.0</v>
      </c>
      <c r="L15" s="3" t="n">
        <v>195315.0</v>
      </c>
      <c r="M15" s="3" t="n">
        <v>189139.0</v>
      </c>
      <c r="N15" s="3" t="n">
        <v>183457.0</v>
      </c>
      <c r="O15" s="3" t="n">
        <v>179746.0</v>
      </c>
      <c r="P15" s="3" t="n">
        <v>177208.0</v>
      </c>
      <c r="Q15" s="3" t="n">
        <v>177262.0</v>
      </c>
      <c r="R15" s="3" t="n">
        <v>180871.0</v>
      </c>
      <c r="S15" s="3" t="n">
        <v>188260.0</v>
      </c>
      <c r="T15" s="3" t="n">
        <v>196320.0</v>
      </c>
      <c r="U15" s="3" t="n">
        <v>203247.0</v>
      </c>
      <c r="V15" s="3" t="n">
        <v>207656.0</v>
      </c>
      <c r="W15" s="3" t="n">
        <v>209805.0</v>
      </c>
      <c r="X15" s="3" t="n">
        <v>207699.0</v>
      </c>
      <c r="Y15" s="3" t="n">
        <v>205014.0</v>
      </c>
      <c r="Z15" s="3" t="n">
        <v>202860.0</v>
      </c>
      <c r="AA15" s="3" t="n">
        <v>203672.0</v>
      </c>
      <c r="AB15" s="3" t="n">
        <v>206000.0</v>
      </c>
      <c r="AC15" s="3" t="n">
        <v>208713.0</v>
      </c>
      <c r="AD15" s="3" t="n">
        <v>209737.0</v>
      </c>
      <c r="AE15" s="3" t="n">
        <v>208171.0</v>
      </c>
      <c r="AF15" s="3" t="n">
        <v>203945.0</v>
      </c>
      <c r="AG15" s="3" t="n">
        <v>195381.0</v>
      </c>
      <c r="AH15" s="3" t="n">
        <v>189079.0</v>
      </c>
      <c r="AI15" s="3" t="n">
        <v>184498.0</v>
      </c>
      <c r="AJ15" s="3" t="n">
        <v>182544.0</v>
      </c>
      <c r="AK15" s="3" t="n">
        <v>182146.0</v>
      </c>
      <c r="AL15" s="3" t="n">
        <v>184556.0</v>
      </c>
      <c r="AM15" s="3" t="n">
        <v>185511.0</v>
      </c>
      <c r="AN15" s="3" t="n">
        <v>186070.0</v>
      </c>
      <c r="AO15" s="3" t="n">
        <v>186177.0</v>
      </c>
    </row>
    <row r="16" spans="1:41" x14ac:dyDescent="0.2">
      <c r="A16" s="127"/>
      <c r="B16" s="52" t="s">
        <v>27</v>
      </c>
      <c r="C16" s="3" t="n">
        <v>286407.0</v>
      </c>
      <c r="D16" s="3" t="n">
        <v>280323.0</v>
      </c>
      <c r="E16" s="3" t="n">
        <v>274057.0</v>
      </c>
      <c r="F16" s="3" t="n">
        <v>269269.0</v>
      </c>
      <c r="G16" s="3" t="n">
        <v>267493.0</v>
      </c>
      <c r="H16" s="3" t="n">
        <v>265994.0</v>
      </c>
      <c r="I16" s="3" t="n">
        <v>262609.0</v>
      </c>
      <c r="J16" s="3" t="n">
        <v>257591.0</v>
      </c>
      <c r="K16" s="3" t="n">
        <v>249239.0</v>
      </c>
      <c r="L16" s="3" t="n">
        <v>238544.0</v>
      </c>
      <c r="M16" s="3" t="n">
        <v>228552.0</v>
      </c>
      <c r="N16" s="3" t="n">
        <v>219578.0</v>
      </c>
      <c r="O16" s="3" t="n">
        <v>210497.0</v>
      </c>
      <c r="P16" s="3" t="n">
        <v>204092.0</v>
      </c>
      <c r="Q16" s="3" t="n">
        <v>197512.0</v>
      </c>
      <c r="R16" s="3" t="n">
        <v>191407.0</v>
      </c>
      <c r="S16" s="3" t="n">
        <v>185863.0</v>
      </c>
      <c r="T16" s="3" t="n">
        <v>182323.0</v>
      </c>
      <c r="U16" s="3" t="n">
        <v>179981.0</v>
      </c>
      <c r="V16" s="3" t="n">
        <v>180222.0</v>
      </c>
      <c r="W16" s="3" t="n">
        <v>183986.0</v>
      </c>
      <c r="X16" s="3" t="n">
        <v>191477.0</v>
      </c>
      <c r="Y16" s="3" t="n">
        <v>199619.0</v>
      </c>
      <c r="Z16" s="3" t="n">
        <v>206532.0</v>
      </c>
      <c r="AA16" s="3" t="n">
        <v>210879.0</v>
      </c>
      <c r="AB16" s="3" t="n">
        <v>212954.0</v>
      </c>
      <c r="AC16" s="3" t="n">
        <v>210818.0</v>
      </c>
      <c r="AD16" s="3" t="n">
        <v>208108.0</v>
      </c>
      <c r="AE16" s="3" t="n">
        <v>205940.0</v>
      </c>
      <c r="AF16" s="3" t="n">
        <v>206723.0</v>
      </c>
      <c r="AG16" s="3" t="n">
        <v>209037.0</v>
      </c>
      <c r="AH16" s="3" t="n">
        <v>211677.0</v>
      </c>
      <c r="AI16" s="3" t="n">
        <v>212585.0</v>
      </c>
      <c r="AJ16" s="3" t="n">
        <v>210893.0</v>
      </c>
      <c r="AK16" s="3" t="n">
        <v>206556.0</v>
      </c>
      <c r="AL16" s="3" t="n">
        <v>197919.0</v>
      </c>
      <c r="AM16" s="3" t="n">
        <v>191581.0</v>
      </c>
      <c r="AN16" s="3" t="n">
        <v>186988.0</v>
      </c>
      <c r="AO16" s="3" t="n">
        <v>185004.0</v>
      </c>
    </row>
    <row r="17" spans="1:41" x14ac:dyDescent="0.2">
      <c r="A17" s="127"/>
      <c r="B17" s="52" t="s">
        <v>28</v>
      </c>
      <c r="C17" s="3" t="n">
        <v>276280.0</v>
      </c>
      <c r="D17" s="3" t="n">
        <v>282141.0</v>
      </c>
      <c r="E17" s="3" t="n">
        <v>286432.0</v>
      </c>
      <c r="F17" s="3" t="n">
        <v>288542.0</v>
      </c>
      <c r="G17" s="3" t="n">
        <v>289068.0</v>
      </c>
      <c r="H17" s="3" t="n">
        <v>286583.0</v>
      </c>
      <c r="I17" s="3" t="n">
        <v>281996.0</v>
      </c>
      <c r="J17" s="3" t="n">
        <v>276578.0</v>
      </c>
      <c r="K17" s="3" t="n">
        <v>272177.0</v>
      </c>
      <c r="L17" s="3" t="n">
        <v>270603.0</v>
      </c>
      <c r="M17" s="3" t="n">
        <v>267893.0</v>
      </c>
      <c r="N17" s="3" t="n">
        <v>262763.0</v>
      </c>
      <c r="O17" s="3" t="n">
        <v>256943.0</v>
      </c>
      <c r="P17" s="3" t="n">
        <v>248366.0</v>
      </c>
      <c r="Q17" s="3" t="n">
        <v>237677.0</v>
      </c>
      <c r="R17" s="3" t="n">
        <v>227757.0</v>
      </c>
      <c r="S17" s="3" t="n">
        <v>218916.0</v>
      </c>
      <c r="T17" s="3" t="n">
        <v>209974.0</v>
      </c>
      <c r="U17" s="3" t="n">
        <v>203703.0</v>
      </c>
      <c r="V17" s="3" t="n">
        <v>197291.0</v>
      </c>
      <c r="W17" s="3" t="n">
        <v>191324.0</v>
      </c>
      <c r="X17" s="3" t="n">
        <v>185942.0</v>
      </c>
      <c r="Y17" s="3" t="n">
        <v>182562.0</v>
      </c>
      <c r="Z17" s="3" t="n">
        <v>180365.0</v>
      </c>
      <c r="AA17" s="3" t="n">
        <v>180694.0</v>
      </c>
      <c r="AB17" s="3" t="n">
        <v>184503.0</v>
      </c>
      <c r="AC17" s="3" t="n">
        <v>192009.0</v>
      </c>
      <c r="AD17" s="3" t="n">
        <v>200126.0</v>
      </c>
      <c r="AE17" s="3" t="n">
        <v>206990.0</v>
      </c>
      <c r="AF17" s="3" t="n">
        <v>211302.0</v>
      </c>
      <c r="AG17" s="3" t="n">
        <v>213354.0</v>
      </c>
      <c r="AH17" s="3" t="n">
        <v>211211.0</v>
      </c>
      <c r="AI17" s="3" t="n">
        <v>208515.0</v>
      </c>
      <c r="AJ17" s="3" t="n">
        <v>206371.0</v>
      </c>
      <c r="AK17" s="3" t="n">
        <v>207147.0</v>
      </c>
      <c r="AL17" s="3" t="n">
        <v>209415.0</v>
      </c>
      <c r="AM17" s="3" t="n">
        <v>212000.0</v>
      </c>
      <c r="AN17" s="3" t="n">
        <v>212846.0</v>
      </c>
      <c r="AO17" s="3" t="n">
        <v>211127.0</v>
      </c>
    </row>
    <row r="18" spans="1:41" x14ac:dyDescent="0.2">
      <c r="A18" s="127"/>
      <c r="B18" s="52" t="s">
        <v>29</v>
      </c>
      <c r="C18" s="3" t="n">
        <v>250064.0</v>
      </c>
      <c r="D18" s="3" t="n">
        <v>256772.0</v>
      </c>
      <c r="E18" s="3" t="n">
        <v>261760.0</v>
      </c>
      <c r="F18" s="3" t="n">
        <v>266624.0</v>
      </c>
      <c r="G18" s="3" t="n">
        <v>268909.0</v>
      </c>
      <c r="H18" s="3" t="n">
        <v>274216.0</v>
      </c>
      <c r="I18" s="3" t="n">
        <v>281102.0</v>
      </c>
      <c r="J18" s="3" t="n">
        <v>285963.0</v>
      </c>
      <c r="K18" s="3" t="n">
        <v>288437.0</v>
      </c>
      <c r="L18" s="3" t="n">
        <v>289178.0</v>
      </c>
      <c r="M18" s="3" t="n">
        <v>285920.0</v>
      </c>
      <c r="N18" s="3" t="n">
        <v>280111.0</v>
      </c>
      <c r="O18" s="3" t="n">
        <v>274147.0</v>
      </c>
      <c r="P18" s="3" t="n">
        <v>269507.0</v>
      </c>
      <c r="Q18" s="3" t="n">
        <v>267784.0</v>
      </c>
      <c r="R18" s="3" t="n">
        <v>265004.0</v>
      </c>
      <c r="S18" s="3" t="n">
        <v>259895.0</v>
      </c>
      <c r="T18" s="3" t="n">
        <v>254145.0</v>
      </c>
      <c r="U18" s="3" t="n">
        <v>245665.0</v>
      </c>
      <c r="V18" s="3" t="n">
        <v>235155.0</v>
      </c>
      <c r="W18" s="3" t="n">
        <v>225482.0</v>
      </c>
      <c r="X18" s="3" t="n">
        <v>216814.0</v>
      </c>
      <c r="Y18" s="3" t="n">
        <v>208055.0</v>
      </c>
      <c r="Z18" s="3" t="n">
        <v>201942.0</v>
      </c>
      <c r="AA18" s="3" t="n">
        <v>195697.0</v>
      </c>
      <c r="AB18" s="3" t="n">
        <v>189892.0</v>
      </c>
      <c r="AC18" s="3" t="n">
        <v>184645.0</v>
      </c>
      <c r="AD18" s="3" t="n">
        <v>181374.0</v>
      </c>
      <c r="AE18" s="3" t="n">
        <v>179295.0</v>
      </c>
      <c r="AF18" s="3" t="n">
        <v>179684.0</v>
      </c>
      <c r="AG18" s="3" t="n">
        <v>183502.0</v>
      </c>
      <c r="AH18" s="3" t="n">
        <v>190972.0</v>
      </c>
      <c r="AI18" s="3" t="n">
        <v>199027.0</v>
      </c>
      <c r="AJ18" s="3" t="n">
        <v>205829.0</v>
      </c>
      <c r="AK18" s="3" t="n">
        <v>210101.0</v>
      </c>
      <c r="AL18" s="3" t="n">
        <v>212149.0</v>
      </c>
      <c r="AM18" s="3" t="n">
        <v>210035.0</v>
      </c>
      <c r="AN18" s="3" t="n">
        <v>207367.0</v>
      </c>
      <c r="AO18" s="3" t="n">
        <v>205243.0</v>
      </c>
    </row>
    <row r="19" spans="1:41" x14ac:dyDescent="0.2">
      <c r="A19" s="127"/>
      <c r="B19" s="52" t="s">
        <v>30</v>
      </c>
      <c r="C19" s="3" t="n">
        <v>211594.0</v>
      </c>
      <c r="D19" s="3" t="n">
        <v>216951.0</v>
      </c>
      <c r="E19" s="3" t="n">
        <v>224122.0</v>
      </c>
      <c r="F19" s="3" t="n">
        <v>230979.0</v>
      </c>
      <c r="G19" s="3" t="n">
        <v>238935.0</v>
      </c>
      <c r="H19" s="3" t="n">
        <v>246252.0</v>
      </c>
      <c r="I19" s="3" t="n">
        <v>253664.0</v>
      </c>
      <c r="J19" s="3" t="n">
        <v>259058.0</v>
      </c>
      <c r="K19" s="3" t="n">
        <v>264136.0</v>
      </c>
      <c r="L19" s="3" t="n">
        <v>266605.0</v>
      </c>
      <c r="M19" s="3" t="n">
        <v>271333.0</v>
      </c>
      <c r="N19" s="3" t="n">
        <v>277334.0</v>
      </c>
      <c r="O19" s="3" t="n">
        <v>281762.0</v>
      </c>
      <c r="P19" s="3" t="n">
        <v>284060.0</v>
      </c>
      <c r="Q19" s="3" t="n">
        <v>284695.0</v>
      </c>
      <c r="R19" s="3" t="n">
        <v>281423.0</v>
      </c>
      <c r="S19" s="3" t="n">
        <v>275711.0</v>
      </c>
      <c r="T19" s="3" t="n">
        <v>269853.0</v>
      </c>
      <c r="U19" s="3" t="n">
        <v>265296.0</v>
      </c>
      <c r="V19" s="3" t="n">
        <v>263584.0</v>
      </c>
      <c r="W19" s="3" t="n">
        <v>260818.0</v>
      </c>
      <c r="X19" s="3" t="n">
        <v>255801.0</v>
      </c>
      <c r="Y19" s="3" t="n">
        <v>250150.0</v>
      </c>
      <c r="Z19" s="3" t="n">
        <v>241858.0</v>
      </c>
      <c r="AA19" s="3" t="n">
        <v>231598.0</v>
      </c>
      <c r="AB19" s="3" t="n">
        <v>222178.0</v>
      </c>
      <c r="AC19" s="3" t="n">
        <v>213751.0</v>
      </c>
      <c r="AD19" s="3" t="n">
        <v>205216.0</v>
      </c>
      <c r="AE19" s="3" t="n">
        <v>199274.0</v>
      </c>
      <c r="AF19" s="3" t="n">
        <v>193209.0</v>
      </c>
      <c r="AG19" s="3" t="n">
        <v>187576.0</v>
      </c>
      <c r="AH19" s="3" t="n">
        <v>182502.0</v>
      </c>
      <c r="AI19" s="3" t="n">
        <v>179365.0</v>
      </c>
      <c r="AJ19" s="3" t="n">
        <v>177410.0</v>
      </c>
      <c r="AK19" s="3" t="n">
        <v>177860.0</v>
      </c>
      <c r="AL19" s="3" t="n">
        <v>181688.0</v>
      </c>
      <c r="AM19" s="3" t="n">
        <v>189102.0</v>
      </c>
      <c r="AN19" s="3" t="n">
        <v>197092.0</v>
      </c>
      <c r="AO19" s="3" t="n">
        <v>203830.0</v>
      </c>
    </row>
    <row r="20" spans="1:41" x14ac:dyDescent="0.2">
      <c r="A20" s="127"/>
      <c r="B20" s="52" t="s">
        <v>31</v>
      </c>
      <c r="C20" s="3" t="n">
        <v>197986.0</v>
      </c>
      <c r="D20" s="3" t="n">
        <v>196908.0</v>
      </c>
      <c r="E20" s="3" t="n">
        <v>196896.0</v>
      </c>
      <c r="F20" s="3" t="n">
        <v>198487.0</v>
      </c>
      <c r="G20" s="3" t="n">
        <v>201388.0</v>
      </c>
      <c r="H20" s="3" t="n">
        <v>206012.0</v>
      </c>
      <c r="I20" s="3" t="n">
        <v>211954.0</v>
      </c>
      <c r="J20" s="3" t="n">
        <v>219324.0</v>
      </c>
      <c r="K20" s="3" t="n">
        <v>226264.0</v>
      </c>
      <c r="L20" s="3" t="n">
        <v>234228.0</v>
      </c>
      <c r="M20" s="3" t="n">
        <v>241060.0</v>
      </c>
      <c r="N20" s="3" t="n">
        <v>247768.0</v>
      </c>
      <c r="O20" s="3" t="n">
        <v>252825.0</v>
      </c>
      <c r="P20" s="3" t="n">
        <v>257721.0</v>
      </c>
      <c r="Q20" s="3" t="n">
        <v>260151.0</v>
      </c>
      <c r="R20" s="3" t="n">
        <v>264834.0</v>
      </c>
      <c r="S20" s="3" t="n">
        <v>270780.0</v>
      </c>
      <c r="T20" s="3" t="n">
        <v>275169.0</v>
      </c>
      <c r="U20" s="3" t="n">
        <v>277460.0</v>
      </c>
      <c r="V20" s="3" t="n">
        <v>278129.0</v>
      </c>
      <c r="W20" s="3" t="n">
        <v>274961.0</v>
      </c>
      <c r="X20" s="3" t="n">
        <v>269400.0</v>
      </c>
      <c r="Y20" s="3" t="n">
        <v>263751.0</v>
      </c>
      <c r="Z20" s="3" t="n">
        <v>259339.0</v>
      </c>
      <c r="AA20" s="3" t="n">
        <v>257699.0</v>
      </c>
      <c r="AB20" s="3" t="n">
        <v>255026.0</v>
      </c>
      <c r="AC20" s="3" t="n">
        <v>250163.0</v>
      </c>
      <c r="AD20" s="3" t="n">
        <v>244700.0</v>
      </c>
      <c r="AE20" s="3" t="n">
        <v>236676.0</v>
      </c>
      <c r="AF20" s="3" t="n">
        <v>226740.0</v>
      </c>
      <c r="AG20" s="3" t="n">
        <v>217616.0</v>
      </c>
      <c r="AH20" s="3" t="n">
        <v>209452.0</v>
      </c>
      <c r="AI20" s="3" t="n">
        <v>201195.0</v>
      </c>
      <c r="AJ20" s="3" t="n">
        <v>195460.0</v>
      </c>
      <c r="AK20" s="3" t="n">
        <v>189623.0</v>
      </c>
      <c r="AL20" s="3" t="n">
        <v>184180.0</v>
      </c>
      <c r="AM20" s="3" t="n">
        <v>179293.0</v>
      </c>
      <c r="AN20" s="3" t="n">
        <v>176306.0</v>
      </c>
      <c r="AO20" s="3" t="n">
        <v>174494.0</v>
      </c>
    </row>
    <row r="21" spans="1:41" x14ac:dyDescent="0.2">
      <c r="A21" s="127"/>
      <c r="B21" s="52" t="s">
        <v>32</v>
      </c>
      <c r="C21" s="3" t="n">
        <v>207082.0</v>
      </c>
      <c r="D21" s="3" t="n">
        <v>201135.0</v>
      </c>
      <c r="E21" s="3" t="n">
        <v>196309.0</v>
      </c>
      <c r="F21" s="3" t="n">
        <v>192731.0</v>
      </c>
      <c r="G21" s="3" t="n">
        <v>190578.0</v>
      </c>
      <c r="H21" s="3" t="n">
        <v>189323.0</v>
      </c>
      <c r="I21" s="3" t="n">
        <v>189133.0</v>
      </c>
      <c r="J21" s="3" t="n">
        <v>189564.0</v>
      </c>
      <c r="K21" s="3" t="n">
        <v>191317.0</v>
      </c>
      <c r="L21" s="3" t="n">
        <v>194239.0</v>
      </c>
      <c r="M21" s="3" t="n">
        <v>198435.0</v>
      </c>
      <c r="N21" s="3" t="n">
        <v>203770.0</v>
      </c>
      <c r="O21" s="3" t="n">
        <v>210754.0</v>
      </c>
      <c r="P21" s="3" t="n">
        <v>217487.0</v>
      </c>
      <c r="Q21" s="3" t="n">
        <v>225256.0</v>
      </c>
      <c r="R21" s="3" t="n">
        <v>231897.0</v>
      </c>
      <c r="S21" s="3" t="n">
        <v>238460.0</v>
      </c>
      <c r="T21" s="3" t="n">
        <v>243476.0</v>
      </c>
      <c r="U21" s="3" t="n">
        <v>248319.0</v>
      </c>
      <c r="V21" s="3" t="n">
        <v>250800.0</v>
      </c>
      <c r="W21" s="3" t="n">
        <v>255461.0</v>
      </c>
      <c r="X21" s="3" t="n">
        <v>261353.0</v>
      </c>
      <c r="Y21" s="3" t="n">
        <v>265701.0</v>
      </c>
      <c r="Z21" s="3" t="n">
        <v>268004.0</v>
      </c>
      <c r="AA21" s="3" t="n">
        <v>268708.0</v>
      </c>
      <c r="AB21" s="3" t="n">
        <v>265744.0</v>
      </c>
      <c r="AC21" s="3" t="n">
        <v>260486.0</v>
      </c>
      <c r="AD21" s="3" t="n">
        <v>255162.0</v>
      </c>
      <c r="AE21" s="3" t="n">
        <v>251031.0</v>
      </c>
      <c r="AF21" s="3" t="n">
        <v>249547.0</v>
      </c>
      <c r="AG21" s="3" t="n">
        <v>247045.0</v>
      </c>
      <c r="AH21" s="3" t="n">
        <v>242416.0</v>
      </c>
      <c r="AI21" s="3" t="n">
        <v>237179.0</v>
      </c>
      <c r="AJ21" s="3" t="n">
        <v>229527.0</v>
      </c>
      <c r="AK21" s="3" t="n">
        <v>220041.0</v>
      </c>
      <c r="AL21" s="3" t="n">
        <v>211348.0</v>
      </c>
      <c r="AM21" s="3" t="n">
        <v>203566.0</v>
      </c>
      <c r="AN21" s="3" t="n">
        <v>195697.0</v>
      </c>
      <c r="AO21" s="3" t="n">
        <v>190252.0</v>
      </c>
    </row>
    <row r="22" spans="1:41" x14ac:dyDescent="0.2">
      <c r="A22" s="127"/>
      <c r="B22" s="53" t="s">
        <v>33</v>
      </c>
      <c r="C22" s="3" t="n">
        <v>200739.0</v>
      </c>
      <c r="D22" s="3" t="n">
        <v>202391.0</v>
      </c>
      <c r="E22" s="3" t="n">
        <v>202893.0</v>
      </c>
      <c r="F22" s="3" t="n">
        <v>200564.0</v>
      </c>
      <c r="G22" s="3" t="n">
        <v>197028.0</v>
      </c>
      <c r="H22" s="3" t="n">
        <v>192962.0</v>
      </c>
      <c r="I22" s="3" t="n">
        <v>188190.0</v>
      </c>
      <c r="J22" s="3" t="n">
        <v>184241.0</v>
      </c>
      <c r="K22" s="3" t="n">
        <v>181279.0</v>
      </c>
      <c r="L22" s="3" t="n">
        <v>179560.0</v>
      </c>
      <c r="M22" s="3" t="n">
        <v>178192.0</v>
      </c>
      <c r="N22" s="3" t="n">
        <v>177662.0</v>
      </c>
      <c r="O22" s="3" t="n">
        <v>178009.0</v>
      </c>
      <c r="P22" s="3" t="n">
        <v>179793.0</v>
      </c>
      <c r="Q22" s="3" t="n">
        <v>182677.0</v>
      </c>
      <c r="R22" s="3" t="n">
        <v>186836.0</v>
      </c>
      <c r="S22" s="3" t="n">
        <v>192035.0</v>
      </c>
      <c r="T22" s="3" t="n">
        <v>198798.0</v>
      </c>
      <c r="U22" s="3" t="n">
        <v>205352.0</v>
      </c>
      <c r="V22" s="3" t="n">
        <v>212885.0</v>
      </c>
      <c r="W22" s="3" t="n">
        <v>219340.0</v>
      </c>
      <c r="X22" s="3" t="n">
        <v>225722.0</v>
      </c>
      <c r="Y22" s="3" t="n">
        <v>230683.0</v>
      </c>
      <c r="Z22" s="3" t="n">
        <v>235464.0</v>
      </c>
      <c r="AA22" s="3" t="n">
        <v>237987.0</v>
      </c>
      <c r="AB22" s="3" t="n">
        <v>242597.0</v>
      </c>
      <c r="AC22" s="3" t="n">
        <v>248386.0</v>
      </c>
      <c r="AD22" s="3" t="n">
        <v>252701.0</v>
      </c>
      <c r="AE22" s="3" t="n">
        <v>255057.0</v>
      </c>
      <c r="AF22" s="3" t="n">
        <v>255843.0</v>
      </c>
      <c r="AG22" s="3" t="n">
        <v>253157.0</v>
      </c>
      <c r="AH22" s="3" t="n">
        <v>248310.0</v>
      </c>
      <c r="AI22" s="3" t="n">
        <v>243399.0</v>
      </c>
      <c r="AJ22" s="3" t="n">
        <v>239601.0</v>
      </c>
      <c r="AK22" s="3" t="n">
        <v>238327.0</v>
      </c>
      <c r="AL22" s="3" t="n">
        <v>236078.0</v>
      </c>
      <c r="AM22" s="3" t="n">
        <v>231821.0</v>
      </c>
      <c r="AN22" s="3" t="n">
        <v>226975.0</v>
      </c>
      <c r="AO22" s="3" t="n">
        <v>219834.0</v>
      </c>
    </row>
    <row r="23" spans="1:41" x14ac:dyDescent="0.2">
      <c r="A23" s="127"/>
      <c r="B23" s="52" t="s">
        <v>34</v>
      </c>
      <c r="C23" s="3" t="n">
        <v>163396.0</v>
      </c>
      <c r="D23" s="3" t="n">
        <v>168000.0</v>
      </c>
      <c r="E23" s="3" t="n">
        <v>172199.0</v>
      </c>
      <c r="F23" s="3" t="n">
        <v>176635.0</v>
      </c>
      <c r="G23" s="3" t="n">
        <v>178672.0</v>
      </c>
      <c r="H23" s="3" t="n">
        <v>180955.0</v>
      </c>
      <c r="I23" s="3" t="n">
        <v>183073.0</v>
      </c>
      <c r="J23" s="3" t="n">
        <v>183925.0</v>
      </c>
      <c r="K23" s="3" t="n">
        <v>182171.0</v>
      </c>
      <c r="L23" s="3" t="n">
        <v>179226.0</v>
      </c>
      <c r="M23" s="3" t="n">
        <v>175546.0</v>
      </c>
      <c r="N23" s="3" t="n">
        <v>171123.0</v>
      </c>
      <c r="O23" s="3" t="n">
        <v>167624.0</v>
      </c>
      <c r="P23" s="3" t="n">
        <v>165097.0</v>
      </c>
      <c r="Q23" s="3" t="n">
        <v>163736.0</v>
      </c>
      <c r="R23" s="3" t="n">
        <v>162694.0</v>
      </c>
      <c r="S23" s="3" t="n">
        <v>162419.0</v>
      </c>
      <c r="T23" s="3" t="n">
        <v>162982.0</v>
      </c>
      <c r="U23" s="3" t="n">
        <v>164848.0</v>
      </c>
      <c r="V23" s="3" t="n">
        <v>167746.0</v>
      </c>
      <c r="W23" s="3" t="n">
        <v>171828.0</v>
      </c>
      <c r="X23" s="3" t="n">
        <v>176880.0</v>
      </c>
      <c r="Y23" s="3" t="n">
        <v>183354.0</v>
      </c>
      <c r="Z23" s="3" t="n">
        <v>189660.0</v>
      </c>
      <c r="AA23" s="3" t="n">
        <v>196865.0</v>
      </c>
      <c r="AB23" s="3" t="n">
        <v>203040.0</v>
      </c>
      <c r="AC23" s="3" t="n">
        <v>209171.0</v>
      </c>
      <c r="AD23" s="3" t="n">
        <v>213976.0</v>
      </c>
      <c r="AE23" s="3" t="n">
        <v>218617.0</v>
      </c>
      <c r="AF23" s="3" t="n">
        <v>221197.0</v>
      </c>
      <c r="AG23" s="3" t="n">
        <v>225690.0</v>
      </c>
      <c r="AH23" s="3" t="n">
        <v>231363.0</v>
      </c>
      <c r="AI23" s="3" t="n">
        <v>235650.0</v>
      </c>
      <c r="AJ23" s="3" t="n">
        <v>238107.0</v>
      </c>
      <c r="AK23" s="3" t="n">
        <v>238994.0</v>
      </c>
      <c r="AL23" s="3" t="n">
        <v>236632.0</v>
      </c>
      <c r="AM23" s="3" t="n">
        <v>232289.0</v>
      </c>
      <c r="AN23" s="3" t="n">
        <v>227937.0</v>
      </c>
      <c r="AO23" s="3" t="n">
        <v>224603.0</v>
      </c>
    </row>
    <row r="24" spans="1:41" x14ac:dyDescent="0.2">
      <c r="A24" s="127"/>
      <c r="B24" s="52" t="s">
        <v>35</v>
      </c>
      <c r="C24" s="3" t="n">
        <v>103830.0</v>
      </c>
      <c r="D24" s="3" t="n">
        <v>112323.0</v>
      </c>
      <c r="E24" s="3" t="n">
        <v>119799.0</v>
      </c>
      <c r="F24" s="3" t="n">
        <v>128098.0</v>
      </c>
      <c r="G24" s="3" t="n">
        <v>135239.0</v>
      </c>
      <c r="H24" s="3" t="n">
        <v>140505.0</v>
      </c>
      <c r="I24" s="3" t="n">
        <v>145006.0</v>
      </c>
      <c r="J24" s="3" t="n">
        <v>148952.0</v>
      </c>
      <c r="K24" s="3" t="n">
        <v>153132.0</v>
      </c>
      <c r="L24" s="3" t="n">
        <v>155231.0</v>
      </c>
      <c r="M24" s="3" t="n">
        <v>157379.0</v>
      </c>
      <c r="N24" s="3" t="n">
        <v>159347.0</v>
      </c>
      <c r="O24" s="3" t="n">
        <v>160243.0</v>
      </c>
      <c r="P24" s="3" t="n">
        <v>158934.0</v>
      </c>
      <c r="Q24" s="3" t="n">
        <v>156575.0</v>
      </c>
      <c r="R24" s="3" t="n">
        <v>153598.0</v>
      </c>
      <c r="S24" s="3" t="n">
        <v>149972.0</v>
      </c>
      <c r="T24" s="3" t="n">
        <v>147216.0</v>
      </c>
      <c r="U24" s="3" t="n">
        <v>145259.0</v>
      </c>
      <c r="V24" s="3" t="n">
        <v>144299.0</v>
      </c>
      <c r="W24" s="3" t="n">
        <v>143634.0</v>
      </c>
      <c r="X24" s="3" t="n">
        <v>143646.0</v>
      </c>
      <c r="Y24" s="3" t="n">
        <v>144468.0</v>
      </c>
      <c r="Z24" s="3" t="n">
        <v>146392.0</v>
      </c>
      <c r="AA24" s="3" t="n">
        <v>149237.0</v>
      </c>
      <c r="AB24" s="3" t="n">
        <v>153172.0</v>
      </c>
      <c r="AC24" s="3" t="n">
        <v>157973.0</v>
      </c>
      <c r="AD24" s="3" t="n">
        <v>164051.0</v>
      </c>
      <c r="AE24" s="3" t="n">
        <v>170024.0</v>
      </c>
      <c r="AF24" s="3" t="n">
        <v>176785.0</v>
      </c>
      <c r="AG24" s="3" t="n">
        <v>182560.0</v>
      </c>
      <c r="AH24" s="3" t="n">
        <v>188338.0</v>
      </c>
      <c r="AI24" s="3" t="n">
        <v>192950.0</v>
      </c>
      <c r="AJ24" s="3" t="n">
        <v>197438.0</v>
      </c>
      <c r="AK24" s="3" t="n">
        <v>200061.0</v>
      </c>
      <c r="AL24" s="3" t="n">
        <v>204417.0</v>
      </c>
      <c r="AM24" s="3" t="n">
        <v>209907.0</v>
      </c>
      <c r="AN24" s="3" t="n">
        <v>214075.0</v>
      </c>
      <c r="AO24" s="3" t="n">
        <v>216563.0</v>
      </c>
    </row>
    <row r="25" spans="1:41" x14ac:dyDescent="0.2">
      <c r="A25" s="127"/>
      <c r="B25" s="52" t="s">
        <v>36</v>
      </c>
      <c r="C25" s="3" t="n">
        <v>71430.0</v>
      </c>
      <c r="D25" s="3" t="n">
        <v>69777.0</v>
      </c>
      <c r="E25" s="3" t="n">
        <v>69472.0</v>
      </c>
      <c r="F25" s="3" t="n">
        <v>69925.0</v>
      </c>
      <c r="G25" s="3" t="n">
        <v>74518.0</v>
      </c>
      <c r="H25" s="3" t="n">
        <v>81871.0</v>
      </c>
      <c r="I25" s="3" t="n">
        <v>89083.0</v>
      </c>
      <c r="J25" s="3" t="n">
        <v>95381.0</v>
      </c>
      <c r="K25" s="3" t="n">
        <v>102178.0</v>
      </c>
      <c r="L25" s="3" t="n">
        <v>108146.0</v>
      </c>
      <c r="M25" s="3" t="n">
        <v>112592.0</v>
      </c>
      <c r="N25" s="3" t="n">
        <v>116438.0</v>
      </c>
      <c r="O25" s="3" t="n">
        <v>119822.0</v>
      </c>
      <c r="P25" s="3" t="n">
        <v>123477.0</v>
      </c>
      <c r="Q25" s="3" t="n">
        <v>125530.0</v>
      </c>
      <c r="R25" s="3" t="n">
        <v>127586.0</v>
      </c>
      <c r="S25" s="3" t="n">
        <v>129471.0</v>
      </c>
      <c r="T25" s="3" t="n">
        <v>130475.0</v>
      </c>
      <c r="U25" s="3" t="n">
        <v>129709.0</v>
      </c>
      <c r="V25" s="3" t="n">
        <v>128016.0</v>
      </c>
      <c r="W25" s="3" t="n">
        <v>125877.0</v>
      </c>
      <c r="X25" s="3" t="n">
        <v>123248.0</v>
      </c>
      <c r="Y25" s="3" t="n">
        <v>121368.0</v>
      </c>
      <c r="Z25" s="3" t="n">
        <v>120080.0</v>
      </c>
      <c r="AA25" s="3" t="n">
        <v>119572.0</v>
      </c>
      <c r="AB25" s="3" t="n">
        <v>119326.0</v>
      </c>
      <c r="AC25" s="3" t="n">
        <v>119647.0</v>
      </c>
      <c r="AD25" s="3" t="n">
        <v>120670.0</v>
      </c>
      <c r="AE25" s="3" t="n">
        <v>122648.0</v>
      </c>
      <c r="AF25" s="3" t="n">
        <v>125376.0</v>
      </c>
      <c r="AG25" s="3" t="n">
        <v>129035.0</v>
      </c>
      <c r="AH25" s="3" t="n">
        <v>133465.0</v>
      </c>
      <c r="AI25" s="3" t="n">
        <v>139003.0</v>
      </c>
      <c r="AJ25" s="3" t="n">
        <v>144477.0</v>
      </c>
      <c r="AK25" s="3" t="n">
        <v>150568.0</v>
      </c>
      <c r="AL25" s="3" t="n">
        <v>155810.0</v>
      </c>
      <c r="AM25" s="3" t="n">
        <v>161072.0</v>
      </c>
      <c r="AN25" s="3" t="n">
        <v>165387.0</v>
      </c>
      <c r="AO25" s="3" t="n">
        <v>169573.0</v>
      </c>
    </row>
    <row r="26" spans="1:41" x14ac:dyDescent="0.2">
      <c r="A26" s="127"/>
      <c r="B26" s="52" t="s">
        <v>37</v>
      </c>
      <c r="C26" s="3" t="n">
        <v>48407.0</v>
      </c>
      <c r="D26" s="3" t="n">
        <v>49148.0</v>
      </c>
      <c r="E26" s="3" t="n">
        <v>50004.0</v>
      </c>
      <c r="F26" s="3" t="n">
        <v>49932.0</v>
      </c>
      <c r="G26" s="3" t="n">
        <v>48260.0</v>
      </c>
      <c r="H26" s="3" t="n">
        <v>46338.0</v>
      </c>
      <c r="I26" s="3" t="n">
        <v>45753.0</v>
      </c>
      <c r="J26" s="3" t="n">
        <v>46083.0</v>
      </c>
      <c r="K26" s="3" t="n">
        <v>46806.0</v>
      </c>
      <c r="L26" s="3" t="n">
        <v>50320.0</v>
      </c>
      <c r="M26" s="3" t="n">
        <v>55559.0</v>
      </c>
      <c r="N26" s="3" t="n">
        <v>60714.0</v>
      </c>
      <c r="O26" s="3" t="n">
        <v>65259.0</v>
      </c>
      <c r="P26" s="3" t="n">
        <v>70090.0</v>
      </c>
      <c r="Q26" s="3" t="n">
        <v>74503.0</v>
      </c>
      <c r="R26" s="3" t="n">
        <v>77922.0</v>
      </c>
      <c r="S26" s="3" t="n">
        <v>80928.0</v>
      </c>
      <c r="T26" s="3" t="n">
        <v>83604.0</v>
      </c>
      <c r="U26" s="3" t="n">
        <v>86533.0</v>
      </c>
      <c r="V26" s="3" t="n">
        <v>88365.0</v>
      </c>
      <c r="W26" s="3" t="n">
        <v>90218.0</v>
      </c>
      <c r="X26" s="3" t="n">
        <v>91963.0</v>
      </c>
      <c r="Y26" s="3" t="n">
        <v>93065.0</v>
      </c>
      <c r="Z26" s="3" t="n">
        <v>92898.0</v>
      </c>
      <c r="AA26" s="3" t="n">
        <v>91962.0</v>
      </c>
      <c r="AB26" s="3" t="n">
        <v>90787.0</v>
      </c>
      <c r="AC26" s="3" t="n">
        <v>89288.0</v>
      </c>
      <c r="AD26" s="3" t="n">
        <v>88326.0</v>
      </c>
      <c r="AE26" s="3" t="n">
        <v>87817.0</v>
      </c>
      <c r="AF26" s="3" t="n">
        <v>87827.0</v>
      </c>
      <c r="AG26" s="3" t="n">
        <v>88019.0</v>
      </c>
      <c r="AH26" s="3" t="n">
        <v>88658.0</v>
      </c>
      <c r="AI26" s="3" t="n">
        <v>89846.0</v>
      </c>
      <c r="AJ26" s="3" t="n">
        <v>91823.0</v>
      </c>
      <c r="AK26" s="3" t="n">
        <v>94297.0</v>
      </c>
      <c r="AL26" s="3" t="n">
        <v>97466.0</v>
      </c>
      <c r="AM26" s="3" t="n">
        <v>101239.0</v>
      </c>
      <c r="AN26" s="3" t="n">
        <v>105899.0</v>
      </c>
      <c r="AO26" s="3" t="n">
        <v>110499.0</v>
      </c>
    </row>
    <row r="27" spans="1:41" x14ac:dyDescent="0.2">
      <c r="A27" s="127"/>
      <c r="B27" s="55" t="s">
        <v>69</v>
      </c>
      <c r="C27" s="3" t="n">
        <v>20140.0</v>
      </c>
      <c r="D27" s="3" t="n">
        <v>20957.0</v>
      </c>
      <c r="E27" s="3" t="n">
        <v>21677.0</v>
      </c>
      <c r="F27" s="3" t="n">
        <v>22484.0</v>
      </c>
      <c r="G27" s="3" t="n">
        <v>23440.0</v>
      </c>
      <c r="H27" s="3" t="n">
        <v>24072.0</v>
      </c>
      <c r="I27" s="3" t="n">
        <v>24738.0</v>
      </c>
      <c r="J27" s="3" t="n">
        <v>25428.0</v>
      </c>
      <c r="K27" s="3" t="n">
        <v>25600.0</v>
      </c>
      <c r="L27" s="3" t="n">
        <v>24909.0</v>
      </c>
      <c r="M27" s="3" t="n">
        <v>24035.0</v>
      </c>
      <c r="N27" s="3" t="n">
        <v>23947.0</v>
      </c>
      <c r="O27" s="3" t="n">
        <v>24439.0</v>
      </c>
      <c r="P27" s="3" t="n">
        <v>25118.0</v>
      </c>
      <c r="Q27" s="3" t="n">
        <v>27336.0</v>
      </c>
      <c r="R27" s="3" t="n">
        <v>30495.0</v>
      </c>
      <c r="S27" s="3" t="n">
        <v>33606.0</v>
      </c>
      <c r="T27" s="3" t="n">
        <v>36397.0</v>
      </c>
      <c r="U27" s="3" t="n">
        <v>39300.0</v>
      </c>
      <c r="V27" s="3" t="n">
        <v>42077.0</v>
      </c>
      <c r="W27" s="3" t="n">
        <v>44335.0</v>
      </c>
      <c r="X27" s="3" t="n">
        <v>46362.0</v>
      </c>
      <c r="Y27" s="3" t="n">
        <v>48203.0</v>
      </c>
      <c r="Z27" s="3" t="n">
        <v>50230.0</v>
      </c>
      <c r="AA27" s="3" t="n">
        <v>51634.0</v>
      </c>
      <c r="AB27" s="3" t="n">
        <v>53116.0</v>
      </c>
      <c r="AC27" s="3" t="n">
        <v>54541.0</v>
      </c>
      <c r="AD27" s="3" t="n">
        <v>55489.0</v>
      </c>
      <c r="AE27" s="3" t="n">
        <v>55746.0</v>
      </c>
      <c r="AF27" s="3" t="n">
        <v>55480.0</v>
      </c>
      <c r="AG27" s="3" t="n">
        <v>55068.0</v>
      </c>
      <c r="AH27" s="3" t="n">
        <v>54543.0</v>
      </c>
      <c r="AI27" s="3" t="n">
        <v>54354.0</v>
      </c>
      <c r="AJ27" s="3" t="n">
        <v>54466.0</v>
      </c>
      <c r="AK27" s="3" t="n">
        <v>54830.0</v>
      </c>
      <c r="AL27" s="3" t="n">
        <v>55328.0</v>
      </c>
      <c r="AM27" s="3" t="n">
        <v>56100.0</v>
      </c>
      <c r="AN27" s="3" t="n">
        <v>57269.0</v>
      </c>
      <c r="AO27" s="3" t="n">
        <v>58909.0</v>
      </c>
    </row>
    <row r="28" spans="1:41" x14ac:dyDescent="0.2">
      <c r="A28" s="127"/>
      <c r="B28" s="55" t="s">
        <v>70</v>
      </c>
      <c r="C28" s="3" t="n">
        <v>4014.0</v>
      </c>
      <c r="D28" s="3" t="n">
        <v>4429.0</v>
      </c>
      <c r="E28" s="3" t="n">
        <v>4952.0</v>
      </c>
      <c r="F28" s="3" t="n">
        <v>5593.0</v>
      </c>
      <c r="G28" s="3" t="n">
        <v>6186.0</v>
      </c>
      <c r="H28" s="3" t="n">
        <v>6783.0</v>
      </c>
      <c r="I28" s="3" t="n">
        <v>7164.0</v>
      </c>
      <c r="J28" s="3" t="n">
        <v>7502.0</v>
      </c>
      <c r="K28" s="3" t="n">
        <v>7915.0</v>
      </c>
      <c r="L28" s="3" t="n">
        <v>8379.0</v>
      </c>
      <c r="M28" s="3" t="n">
        <v>8690.0</v>
      </c>
      <c r="N28" s="3" t="n">
        <v>9026.0</v>
      </c>
      <c r="O28" s="3" t="n">
        <v>9387.0</v>
      </c>
      <c r="P28" s="3" t="n">
        <v>9564.0</v>
      </c>
      <c r="Q28" s="3" t="n">
        <v>9389.0</v>
      </c>
      <c r="R28" s="3" t="n">
        <v>9148.0</v>
      </c>
      <c r="S28" s="3" t="n">
        <v>9258.0</v>
      </c>
      <c r="T28" s="3" t="n">
        <v>9647.0</v>
      </c>
      <c r="U28" s="3" t="n">
        <v>10096.0</v>
      </c>
      <c r="V28" s="3" t="n">
        <v>11178.0</v>
      </c>
      <c r="W28" s="3" t="n">
        <v>12647.0</v>
      </c>
      <c r="X28" s="3" t="n">
        <v>14108.0</v>
      </c>
      <c r="Y28" s="3" t="n">
        <v>15458.0</v>
      </c>
      <c r="Z28" s="3" t="n">
        <v>16840.0</v>
      </c>
      <c r="AA28" s="3" t="n">
        <v>18190.0</v>
      </c>
      <c r="AB28" s="3" t="n">
        <v>19365.0</v>
      </c>
      <c r="AC28" s="3" t="n">
        <v>20444.0</v>
      </c>
      <c r="AD28" s="3" t="n">
        <v>21439.0</v>
      </c>
      <c r="AE28" s="3" t="n">
        <v>22591.0</v>
      </c>
      <c r="AF28" s="3" t="n">
        <v>23462.0</v>
      </c>
      <c r="AG28" s="3" t="n">
        <v>24350.0</v>
      </c>
      <c r="AH28" s="3" t="n">
        <v>25260.0</v>
      </c>
      <c r="AI28" s="3" t="n">
        <v>25922.0</v>
      </c>
      <c r="AJ28" s="3" t="n">
        <v>26295.0</v>
      </c>
      <c r="AK28" s="3" t="n">
        <v>26349.0</v>
      </c>
      <c r="AL28" s="3" t="n">
        <v>26371.0</v>
      </c>
      <c r="AM28" s="3" t="n">
        <v>26389.0</v>
      </c>
      <c r="AN28" s="3" t="n">
        <v>26598.0</v>
      </c>
      <c r="AO28" s="3" t="n">
        <v>26921.0</v>
      </c>
    </row>
    <row r="29" spans="1:41" x14ac:dyDescent="0.2">
      <c r="A29" s="128"/>
      <c r="B29" s="54" t="s">
        <v>68</v>
      </c>
      <c r="C29" s="4" t="n">
        <v>472.0</v>
      </c>
      <c r="D29" s="4" t="n">
        <v>536.0</v>
      </c>
      <c r="E29" s="4" t="n">
        <v>571.0</v>
      </c>
      <c r="F29" s="4" t="n">
        <v>653.0</v>
      </c>
      <c r="G29" s="4" t="n">
        <v>738.0</v>
      </c>
      <c r="H29" s="4" t="n">
        <v>809.0</v>
      </c>
      <c r="I29" s="4" t="n">
        <v>924.0</v>
      </c>
      <c r="J29" s="4" t="n">
        <v>1049.0</v>
      </c>
      <c r="K29" s="4" t="n">
        <v>1219.0</v>
      </c>
      <c r="L29" s="4" t="n">
        <v>1371.0</v>
      </c>
      <c r="M29" s="4" t="n">
        <v>1533.0</v>
      </c>
      <c r="N29" s="4" t="n">
        <v>1647.0</v>
      </c>
      <c r="O29" s="4" t="n">
        <v>1757.0</v>
      </c>
      <c r="P29" s="4" t="n">
        <v>1903.0</v>
      </c>
      <c r="Q29" s="4" t="n">
        <v>2071.0</v>
      </c>
      <c r="R29" s="4" t="n">
        <v>2202.0</v>
      </c>
      <c r="S29" s="4" t="n">
        <v>2325.0</v>
      </c>
      <c r="T29" s="4" t="n">
        <v>2465.0</v>
      </c>
      <c r="U29" s="4" t="n">
        <v>2566.0</v>
      </c>
      <c r="V29" s="4" t="n">
        <v>2582.0</v>
      </c>
      <c r="W29" s="4" t="n">
        <v>2581.0</v>
      </c>
      <c r="X29" s="4" t="n">
        <v>2692.0</v>
      </c>
      <c r="Y29" s="4" t="n">
        <v>2899.0</v>
      </c>
      <c r="Z29" s="4" t="n">
        <v>3082.0</v>
      </c>
      <c r="AA29" s="4" t="n">
        <v>3432.0</v>
      </c>
      <c r="AB29" s="4" t="n">
        <v>3894.0</v>
      </c>
      <c r="AC29" s="4" t="n">
        <v>4376.0</v>
      </c>
      <c r="AD29" s="4" t="n">
        <v>4831.0</v>
      </c>
      <c r="AE29" s="4" t="n">
        <v>5300.0</v>
      </c>
      <c r="AF29" s="4" t="n">
        <v>5821.0</v>
      </c>
      <c r="AG29" s="4" t="n">
        <v>6322.0</v>
      </c>
      <c r="AH29" s="4" t="n">
        <v>6805.0</v>
      </c>
      <c r="AI29" s="4" t="n">
        <v>7271.0</v>
      </c>
      <c r="AJ29" s="4" t="n">
        <v>7829.0</v>
      </c>
      <c r="AK29" s="4" t="n">
        <v>8306.0</v>
      </c>
      <c r="AL29" s="4" t="n">
        <v>8796.0</v>
      </c>
      <c r="AM29" s="4" t="n">
        <v>9288.0</v>
      </c>
      <c r="AN29" s="4" t="n">
        <v>9702.0</v>
      </c>
      <c r="AO29" s="4" t="n">
        <v>10041.0</v>
      </c>
    </row>
    <row r="30" spans="1:41" x14ac:dyDescent="0.2">
      <c r="A30" s="127" t="s">
        <v>49</v>
      </c>
      <c r="B30" s="59" t="s">
        <v>62</v>
      </c>
      <c r="C30" s="57" t="n">
        <v>1663091.0</v>
      </c>
      <c r="D30" s="57" t="n">
        <v>1663512.0</v>
      </c>
      <c r="E30" s="57" t="n">
        <v>1664426.0</v>
      </c>
      <c r="F30" s="57" t="n">
        <v>1665597.0</v>
      </c>
      <c r="G30" s="57" t="n">
        <v>1666951.0</v>
      </c>
      <c r="H30" s="57" t="n">
        <v>1673185.0</v>
      </c>
      <c r="I30" s="57" t="n">
        <v>1681118.0</v>
      </c>
      <c r="J30" s="57" t="n">
        <v>1685428.0</v>
      </c>
      <c r="K30" s="57" t="n">
        <v>1687817.0</v>
      </c>
      <c r="L30" s="57" t="n">
        <v>1689399.0</v>
      </c>
      <c r="M30" s="57" t="n">
        <v>1690460.0</v>
      </c>
      <c r="N30" s="57" t="n">
        <v>1691106.0</v>
      </c>
      <c r="O30" s="57" t="n">
        <v>1691275.0</v>
      </c>
      <c r="P30" s="57" t="n">
        <v>1691340.0</v>
      </c>
      <c r="Q30" s="57" t="n">
        <v>1691278.0</v>
      </c>
      <c r="R30" s="57" t="n">
        <v>1691183.0</v>
      </c>
      <c r="S30" s="57" t="n">
        <v>1691121.0</v>
      </c>
      <c r="T30" s="57" t="n">
        <v>1690912.0</v>
      </c>
      <c r="U30" s="57" t="n">
        <v>1690756.0</v>
      </c>
      <c r="V30" s="57" t="n">
        <v>1690717.0</v>
      </c>
      <c r="W30" s="57" t="n">
        <v>1690804.0</v>
      </c>
      <c r="X30" s="57" t="n">
        <v>1690978.0</v>
      </c>
      <c r="Y30" s="57" t="n">
        <v>1691277.0</v>
      </c>
      <c r="Z30" s="57" t="n">
        <v>1691452.0</v>
      </c>
      <c r="AA30" s="57" t="n">
        <v>1691721.0</v>
      </c>
      <c r="AB30" s="57" t="n">
        <v>1692027.0</v>
      </c>
      <c r="AC30" s="57" t="n">
        <v>1692363.0</v>
      </c>
      <c r="AD30" s="57" t="n">
        <v>1692641.0</v>
      </c>
      <c r="AE30" s="57" t="n">
        <v>1692680.0</v>
      </c>
      <c r="AF30" s="57" t="n">
        <v>1692670.0</v>
      </c>
      <c r="AG30" s="57" t="n">
        <v>1692602.0</v>
      </c>
      <c r="AH30" s="57" t="n">
        <v>1692438.0</v>
      </c>
      <c r="AI30" s="57" t="n">
        <v>1692128.0</v>
      </c>
      <c r="AJ30" s="57" t="n">
        <v>1691776.0</v>
      </c>
      <c r="AK30" s="57" t="n">
        <v>1691112.0</v>
      </c>
      <c r="AL30" s="57" t="n">
        <v>1690362.0</v>
      </c>
      <c r="AM30" s="57" t="n">
        <v>1689582.0</v>
      </c>
      <c r="AN30" s="57" t="n">
        <v>1688769.0</v>
      </c>
      <c r="AO30" s="57" t="n">
        <v>1687951.0</v>
      </c>
    </row>
    <row r="31" spans="1:41" x14ac:dyDescent="0.2">
      <c r="A31" s="127"/>
      <c r="B31" s="52" t="s">
        <v>20</v>
      </c>
      <c r="C31" s="11" t="n">
        <v>90215.0</v>
      </c>
      <c r="D31" s="3" t="n">
        <v>87122.0</v>
      </c>
      <c r="E31" s="3" t="n">
        <v>85232.0</v>
      </c>
      <c r="F31" s="3" t="n">
        <v>84485.0</v>
      </c>
      <c r="G31" s="3" t="n">
        <v>84632.0</v>
      </c>
      <c r="H31" s="3" t="n">
        <v>86868.0</v>
      </c>
      <c r="I31" s="3" t="n">
        <v>88450.0</v>
      </c>
      <c r="J31" s="3" t="n">
        <v>89188.0</v>
      </c>
      <c r="K31" s="3" t="n">
        <v>89355.0</v>
      </c>
      <c r="L31" s="3" t="n">
        <v>89275.0</v>
      </c>
      <c r="M31" s="3" t="n">
        <v>89091.0</v>
      </c>
      <c r="N31" s="3" t="n">
        <v>88788.0</v>
      </c>
      <c r="O31" s="3" t="n">
        <v>88341.0</v>
      </c>
      <c r="P31" s="3" t="n">
        <v>87856.0</v>
      </c>
      <c r="Q31" s="3" t="n">
        <v>87408.0</v>
      </c>
      <c r="R31" s="3" t="n">
        <v>87129.0</v>
      </c>
      <c r="S31" s="3" t="n">
        <v>87052.0</v>
      </c>
      <c r="T31" s="3" t="n">
        <v>87217.0</v>
      </c>
      <c r="U31" s="3" t="n">
        <v>87595.0</v>
      </c>
      <c r="V31" s="3" t="n">
        <v>88154.0</v>
      </c>
      <c r="W31" s="3" t="n">
        <v>88839.0</v>
      </c>
      <c r="X31" s="3" t="n">
        <v>89579.0</v>
      </c>
      <c r="Y31" s="3" t="n">
        <v>90309.0</v>
      </c>
      <c r="Z31" s="3" t="n">
        <v>90995.0</v>
      </c>
      <c r="AA31" s="3" t="n">
        <v>91601.0</v>
      </c>
      <c r="AB31" s="3" t="n">
        <v>92087.0</v>
      </c>
      <c r="AC31" s="3" t="n">
        <v>92426.0</v>
      </c>
      <c r="AD31" s="3" t="n">
        <v>92624.0</v>
      </c>
      <c r="AE31" s="3" t="n">
        <v>92649.0</v>
      </c>
      <c r="AF31" s="3" t="n">
        <v>92527.0</v>
      </c>
      <c r="AG31" s="3" t="n">
        <v>92271.0</v>
      </c>
      <c r="AH31" s="3" t="n">
        <v>91890.0</v>
      </c>
      <c r="AI31" s="3" t="n">
        <v>91408.0</v>
      </c>
      <c r="AJ31" s="3" t="n">
        <v>90884.0</v>
      </c>
      <c r="AK31" s="3" t="n">
        <v>90327.0</v>
      </c>
      <c r="AL31" s="3" t="n">
        <v>89772.0</v>
      </c>
      <c r="AM31" s="3" t="n">
        <v>89264.0</v>
      </c>
      <c r="AN31" s="3" t="n">
        <v>88845.0</v>
      </c>
      <c r="AO31" s="3" t="n">
        <v>88508.0</v>
      </c>
    </row>
    <row r="32" spans="1:41" x14ac:dyDescent="0.2">
      <c r="A32" s="127"/>
      <c r="B32" s="52" t="s">
        <v>21</v>
      </c>
      <c r="C32" s="11" t="n">
        <v>97199.0</v>
      </c>
      <c r="D32" s="3" t="n">
        <v>98727.0</v>
      </c>
      <c r="E32" s="3" t="n">
        <v>99136.0</v>
      </c>
      <c r="F32" s="3" t="n">
        <v>98452.0</v>
      </c>
      <c r="G32" s="3" t="n">
        <v>96476.0</v>
      </c>
      <c r="H32" s="3" t="n">
        <v>93287.0</v>
      </c>
      <c r="I32" s="3" t="n">
        <v>91518.0</v>
      </c>
      <c r="J32" s="3" t="n">
        <v>90146.0</v>
      </c>
      <c r="K32" s="3" t="n">
        <v>89561.0</v>
      </c>
      <c r="L32" s="3" t="n">
        <v>89722.0</v>
      </c>
      <c r="M32" s="3" t="n">
        <v>91165.0</v>
      </c>
      <c r="N32" s="3" t="n">
        <v>91717.0</v>
      </c>
      <c r="O32" s="3" t="n">
        <v>91996.0</v>
      </c>
      <c r="P32" s="3" t="n">
        <v>92015.0</v>
      </c>
      <c r="Q32" s="3" t="n">
        <v>91899.0</v>
      </c>
      <c r="R32" s="3" t="n">
        <v>91726.0</v>
      </c>
      <c r="S32" s="3" t="n">
        <v>91467.0</v>
      </c>
      <c r="T32" s="3" t="n">
        <v>91092.0</v>
      </c>
      <c r="U32" s="3" t="n">
        <v>90684.0</v>
      </c>
      <c r="V32" s="3" t="n">
        <v>90312.0</v>
      </c>
      <c r="W32" s="3" t="n">
        <v>90101.0</v>
      </c>
      <c r="X32" s="3" t="n">
        <v>90083.0</v>
      </c>
      <c r="Y32" s="3" t="n">
        <v>90303.0</v>
      </c>
      <c r="Z32" s="3" t="n">
        <v>90717.0</v>
      </c>
      <c r="AA32" s="3" t="n">
        <v>91301.0</v>
      </c>
      <c r="AB32" s="3" t="n">
        <v>91992.0</v>
      </c>
      <c r="AC32" s="3" t="n">
        <v>92759.0</v>
      </c>
      <c r="AD32" s="3" t="n">
        <v>93502.0</v>
      </c>
      <c r="AE32" s="3" t="n">
        <v>94202.0</v>
      </c>
      <c r="AF32" s="3" t="n">
        <v>94820.0</v>
      </c>
      <c r="AG32" s="3" t="n">
        <v>95307.0</v>
      </c>
      <c r="AH32" s="3" t="n">
        <v>95638.0</v>
      </c>
      <c r="AI32" s="3" t="n">
        <v>95821.0</v>
      </c>
      <c r="AJ32" s="3" t="n">
        <v>95832.0</v>
      </c>
      <c r="AK32" s="3" t="n">
        <v>95695.0</v>
      </c>
      <c r="AL32" s="3" t="n">
        <v>95432.0</v>
      </c>
      <c r="AM32" s="3" t="n">
        <v>95051.0</v>
      </c>
      <c r="AN32" s="3" t="n">
        <v>94563.0</v>
      </c>
      <c r="AO32" s="3" t="n">
        <v>94033.0</v>
      </c>
    </row>
    <row r="33" spans="1:41" x14ac:dyDescent="0.2">
      <c r="A33" s="127"/>
      <c r="B33" s="52" t="s">
        <v>22</v>
      </c>
      <c r="C33" s="11" t="n">
        <v>99741.0</v>
      </c>
      <c r="D33" s="3" t="n">
        <v>98688.0</v>
      </c>
      <c r="E33" s="3" t="n">
        <v>97330.0</v>
      </c>
      <c r="F33" s="3" t="n">
        <v>96065.0</v>
      </c>
      <c r="G33" s="3" t="n">
        <v>96449.0</v>
      </c>
      <c r="H33" s="3" t="n">
        <v>98625.0</v>
      </c>
      <c r="I33" s="3" t="n">
        <v>101493.0</v>
      </c>
      <c r="J33" s="3" t="n">
        <v>102574.0</v>
      </c>
      <c r="K33" s="3" t="n">
        <v>102177.0</v>
      </c>
      <c r="L33" s="3" t="n">
        <v>100278.0</v>
      </c>
      <c r="M33" s="3" t="n">
        <v>96134.0</v>
      </c>
      <c r="N33" s="3" t="n">
        <v>93008.0</v>
      </c>
      <c r="O33" s="3" t="n">
        <v>90985.0</v>
      </c>
      <c r="P33" s="3" t="n">
        <v>90130.0</v>
      </c>
      <c r="Q33" s="3" t="n">
        <v>90140.0</v>
      </c>
      <c r="R33" s="3" t="n">
        <v>91506.0</v>
      </c>
      <c r="S33" s="3" t="n">
        <v>92046.0</v>
      </c>
      <c r="T33" s="3" t="n">
        <v>92332.0</v>
      </c>
      <c r="U33" s="3" t="n">
        <v>92361.0</v>
      </c>
      <c r="V33" s="3" t="n">
        <v>92257.0</v>
      </c>
      <c r="W33" s="3" t="n">
        <v>92104.0</v>
      </c>
      <c r="X33" s="3" t="n">
        <v>91869.0</v>
      </c>
      <c r="Y33" s="3" t="n">
        <v>91522.0</v>
      </c>
      <c r="Z33" s="3" t="n">
        <v>91145.0</v>
      </c>
      <c r="AA33" s="3" t="n">
        <v>90803.0</v>
      </c>
      <c r="AB33" s="3" t="n">
        <v>90622.0</v>
      </c>
      <c r="AC33" s="3" t="n">
        <v>90624.0</v>
      </c>
      <c r="AD33" s="3" t="n">
        <v>90859.0</v>
      </c>
      <c r="AE33" s="3" t="n">
        <v>91284.0</v>
      </c>
      <c r="AF33" s="3" t="n">
        <v>91878.0</v>
      </c>
      <c r="AG33" s="3" t="n">
        <v>92576.0</v>
      </c>
      <c r="AH33" s="3" t="n">
        <v>93352.0</v>
      </c>
      <c r="AI33" s="3" t="n">
        <v>94098.0</v>
      </c>
      <c r="AJ33" s="3" t="n">
        <v>94795.0</v>
      </c>
      <c r="AK33" s="3" t="n">
        <v>95395.0</v>
      </c>
      <c r="AL33" s="3" t="n">
        <v>95863.0</v>
      </c>
      <c r="AM33" s="3" t="n">
        <v>96179.0</v>
      </c>
      <c r="AN33" s="3" t="n">
        <v>96352.0</v>
      </c>
      <c r="AO33" s="3" t="n">
        <v>96357.0</v>
      </c>
    </row>
    <row r="34" spans="1:41" x14ac:dyDescent="0.2">
      <c r="A34" s="127"/>
      <c r="B34" s="52" t="s">
        <v>23</v>
      </c>
      <c r="C34" s="11" t="n">
        <v>86179.0</v>
      </c>
      <c r="D34" s="3" t="n">
        <v>89611.0</v>
      </c>
      <c r="E34" s="3" t="n">
        <v>93214.0</v>
      </c>
      <c r="F34" s="3" t="n">
        <v>96587.0</v>
      </c>
      <c r="G34" s="3" t="n">
        <v>98806.0</v>
      </c>
      <c r="H34" s="3" t="n">
        <v>100456.0</v>
      </c>
      <c r="I34" s="3" t="n">
        <v>100511.0</v>
      </c>
      <c r="J34" s="3" t="n">
        <v>99715.0</v>
      </c>
      <c r="K34" s="3" t="n">
        <v>98706.0</v>
      </c>
      <c r="L34" s="3" t="n">
        <v>99259.0</v>
      </c>
      <c r="M34" s="3" t="n">
        <v>100664.0</v>
      </c>
      <c r="N34" s="3" t="n">
        <v>102311.0</v>
      </c>
      <c r="O34" s="3" t="n">
        <v>102815.0</v>
      </c>
      <c r="P34" s="3" t="n">
        <v>102164.0</v>
      </c>
      <c r="Q34" s="3" t="n">
        <v>100127.0</v>
      </c>
      <c r="R34" s="3" t="n">
        <v>95903.0</v>
      </c>
      <c r="S34" s="3" t="n">
        <v>92752.0</v>
      </c>
      <c r="T34" s="3" t="n">
        <v>90716.0</v>
      </c>
      <c r="U34" s="3" t="n">
        <v>89840.0</v>
      </c>
      <c r="V34" s="3" t="n">
        <v>89835.0</v>
      </c>
      <c r="W34" s="3" t="n">
        <v>91184.0</v>
      </c>
      <c r="X34" s="3" t="n">
        <v>91716.0</v>
      </c>
      <c r="Y34" s="3" t="n">
        <v>92002.0</v>
      </c>
      <c r="Z34" s="3" t="n">
        <v>92038.0</v>
      </c>
      <c r="AA34" s="3" t="n">
        <v>91948.0</v>
      </c>
      <c r="AB34" s="3" t="n">
        <v>91806.0</v>
      </c>
      <c r="AC34" s="3" t="n">
        <v>91587.0</v>
      </c>
      <c r="AD34" s="3" t="n">
        <v>91259.0</v>
      </c>
      <c r="AE34" s="3" t="n">
        <v>90897.0</v>
      </c>
      <c r="AF34" s="3" t="n">
        <v>90577.0</v>
      </c>
      <c r="AG34" s="3" t="n">
        <v>90411.0</v>
      </c>
      <c r="AH34" s="3" t="n">
        <v>90431.0</v>
      </c>
      <c r="AI34" s="3" t="n">
        <v>90682.0</v>
      </c>
      <c r="AJ34" s="3" t="n">
        <v>91124.0</v>
      </c>
      <c r="AK34" s="3" t="n">
        <v>91731.0</v>
      </c>
      <c r="AL34" s="3" t="n">
        <v>92434.0</v>
      </c>
      <c r="AM34" s="3" t="n">
        <v>93210.0</v>
      </c>
      <c r="AN34" s="3" t="n">
        <v>93948.0</v>
      </c>
      <c r="AO34" s="3" t="n">
        <v>94630.0</v>
      </c>
    </row>
    <row r="35" spans="1:41" x14ac:dyDescent="0.2">
      <c r="A35" s="127"/>
      <c r="B35" s="52" t="s">
        <v>24</v>
      </c>
      <c r="C35" s="11" t="n">
        <v>90424.0</v>
      </c>
      <c r="D35" s="3" t="n">
        <v>87678.0</v>
      </c>
      <c r="E35" s="3" t="n">
        <v>85984.0</v>
      </c>
      <c r="F35" s="3" t="n">
        <v>84669.0</v>
      </c>
      <c r="G35" s="3" t="n">
        <v>84508.0</v>
      </c>
      <c r="H35" s="3" t="n">
        <v>86356.0</v>
      </c>
      <c r="I35" s="3" t="n">
        <v>90101.0</v>
      </c>
      <c r="J35" s="3" t="n">
        <v>94072.0</v>
      </c>
      <c r="K35" s="3" t="n">
        <v>97861.0</v>
      </c>
      <c r="L35" s="3" t="n">
        <v>100454.0</v>
      </c>
      <c r="M35" s="3" t="n">
        <v>101754.0</v>
      </c>
      <c r="N35" s="3" t="n">
        <v>101099.0</v>
      </c>
      <c r="O35" s="3" t="n">
        <v>99973.0</v>
      </c>
      <c r="P35" s="3" t="n">
        <v>98839.0</v>
      </c>
      <c r="Q35" s="3" t="n">
        <v>99322.0</v>
      </c>
      <c r="R35" s="3" t="n">
        <v>100674.0</v>
      </c>
      <c r="S35" s="3" t="n">
        <v>102285.0</v>
      </c>
      <c r="T35" s="3" t="n">
        <v>102767.0</v>
      </c>
      <c r="U35" s="3" t="n">
        <v>102112.0</v>
      </c>
      <c r="V35" s="3" t="n">
        <v>100067.0</v>
      </c>
      <c r="W35" s="3" t="n">
        <v>95847.0</v>
      </c>
      <c r="X35" s="3" t="n">
        <v>92693.0</v>
      </c>
      <c r="Y35" s="3" t="n">
        <v>90651.0</v>
      </c>
      <c r="Z35" s="3" t="n">
        <v>89759.0</v>
      </c>
      <c r="AA35" s="3" t="n">
        <v>89742.0</v>
      </c>
      <c r="AB35" s="3" t="n">
        <v>91079.0</v>
      </c>
      <c r="AC35" s="3" t="n">
        <v>91609.0</v>
      </c>
      <c r="AD35" s="3" t="n">
        <v>91891.0</v>
      </c>
      <c r="AE35" s="3" t="n">
        <v>91931.0</v>
      </c>
      <c r="AF35" s="3" t="n">
        <v>91843.0</v>
      </c>
      <c r="AG35" s="3" t="n">
        <v>91709.0</v>
      </c>
      <c r="AH35" s="3" t="n">
        <v>91499.0</v>
      </c>
      <c r="AI35" s="3" t="n">
        <v>91182.0</v>
      </c>
      <c r="AJ35" s="3" t="n">
        <v>90841.0</v>
      </c>
      <c r="AK35" s="3" t="n">
        <v>90546.0</v>
      </c>
      <c r="AL35" s="3" t="n">
        <v>90401.0</v>
      </c>
      <c r="AM35" s="3" t="n">
        <v>90432.0</v>
      </c>
      <c r="AN35" s="3" t="n">
        <v>90699.0</v>
      </c>
      <c r="AO35" s="3" t="n">
        <v>91147.0</v>
      </c>
    </row>
    <row r="36" spans="1:41" x14ac:dyDescent="0.2">
      <c r="A36" s="127"/>
      <c r="B36" s="52" t="s">
        <v>25</v>
      </c>
      <c r="C36" s="11" t="n">
        <v>109567.0</v>
      </c>
      <c r="D36" s="3" t="n">
        <v>105068.0</v>
      </c>
      <c r="E36" s="3" t="n">
        <v>100653.0</v>
      </c>
      <c r="F36" s="3" t="n">
        <v>97609.0</v>
      </c>
      <c r="G36" s="3" t="n">
        <v>94404.0</v>
      </c>
      <c r="H36" s="3" t="n">
        <v>91587.0</v>
      </c>
      <c r="I36" s="3" t="n">
        <v>89133.0</v>
      </c>
      <c r="J36" s="3" t="n">
        <v>87599.0</v>
      </c>
      <c r="K36" s="3" t="n">
        <v>86378.0</v>
      </c>
      <c r="L36" s="3" t="n">
        <v>86288.0</v>
      </c>
      <c r="M36" s="3" t="n">
        <v>88042.0</v>
      </c>
      <c r="N36" s="3" t="n">
        <v>91639.0</v>
      </c>
      <c r="O36" s="3" t="n">
        <v>95584.0</v>
      </c>
      <c r="P36" s="3" t="n">
        <v>99385.0</v>
      </c>
      <c r="Q36" s="3" t="n">
        <v>101967.0</v>
      </c>
      <c r="R36" s="3" t="n">
        <v>103244.0</v>
      </c>
      <c r="S36" s="3" t="n">
        <v>102558.0</v>
      </c>
      <c r="T36" s="3" t="n">
        <v>101397.0</v>
      </c>
      <c r="U36" s="3" t="n">
        <v>100235.0</v>
      </c>
      <c r="V36" s="3" t="n">
        <v>100697.0</v>
      </c>
      <c r="W36" s="3" t="n">
        <v>102011.0</v>
      </c>
      <c r="X36" s="3" t="n">
        <v>103598.0</v>
      </c>
      <c r="Y36" s="3" t="n">
        <v>104073.0</v>
      </c>
      <c r="Z36" s="3" t="n">
        <v>103390.0</v>
      </c>
      <c r="AA36" s="3" t="n">
        <v>101296.0</v>
      </c>
      <c r="AB36" s="3" t="n">
        <v>97026.0</v>
      </c>
      <c r="AC36" s="3" t="n">
        <v>93816.0</v>
      </c>
      <c r="AD36" s="3" t="n">
        <v>91720.0</v>
      </c>
      <c r="AE36" s="3" t="n">
        <v>90795.0</v>
      </c>
      <c r="AF36" s="3" t="n">
        <v>90765.0</v>
      </c>
      <c r="AG36" s="3" t="n">
        <v>92095.0</v>
      </c>
      <c r="AH36" s="3" t="n">
        <v>92616.0</v>
      </c>
      <c r="AI36" s="3" t="n">
        <v>92903.0</v>
      </c>
      <c r="AJ36" s="3" t="n">
        <v>92954.0</v>
      </c>
      <c r="AK36" s="3" t="n">
        <v>92879.0</v>
      </c>
      <c r="AL36" s="3" t="n">
        <v>92761.0</v>
      </c>
      <c r="AM36" s="3" t="n">
        <v>92573.0</v>
      </c>
      <c r="AN36" s="3" t="n">
        <v>92277.0</v>
      </c>
      <c r="AO36" s="3" t="n">
        <v>91955.0</v>
      </c>
    </row>
    <row r="37" spans="1:41" x14ac:dyDescent="0.2">
      <c r="A37" s="127"/>
      <c r="B37" s="52" t="s">
        <v>26</v>
      </c>
      <c r="C37" s="11" t="n">
        <v>132641.0</v>
      </c>
      <c r="D37" s="3" t="n">
        <v>129780.0</v>
      </c>
      <c r="E37" s="3" t="n">
        <v>126837.0</v>
      </c>
      <c r="F37" s="3" t="n">
        <v>122150.0</v>
      </c>
      <c r="G37" s="3" t="n">
        <v>116607.0</v>
      </c>
      <c r="H37" s="3" t="n">
        <v>111691.0</v>
      </c>
      <c r="I37" s="3" t="n">
        <v>107573.0</v>
      </c>
      <c r="J37" s="3" t="n">
        <v>103323.0</v>
      </c>
      <c r="K37" s="3" t="n">
        <v>100344.0</v>
      </c>
      <c r="L37" s="3" t="n">
        <v>97165.0</v>
      </c>
      <c r="M37" s="3" t="n">
        <v>94177.0</v>
      </c>
      <c r="N37" s="3" t="n">
        <v>91527.0</v>
      </c>
      <c r="O37" s="3" t="n">
        <v>89948.0</v>
      </c>
      <c r="P37" s="3" t="n">
        <v>88763.0</v>
      </c>
      <c r="Q37" s="3" t="n">
        <v>88777.0</v>
      </c>
      <c r="R37" s="3" t="n">
        <v>90648.0</v>
      </c>
      <c r="S37" s="3" t="n">
        <v>94351.0</v>
      </c>
      <c r="T37" s="3" t="n">
        <v>98378.0</v>
      </c>
      <c r="U37" s="3" t="n">
        <v>102209.0</v>
      </c>
      <c r="V37" s="3" t="n">
        <v>104781.0</v>
      </c>
      <c r="W37" s="3" t="n">
        <v>106030.0</v>
      </c>
      <c r="X37" s="3" t="n">
        <v>105280.0</v>
      </c>
      <c r="Y37" s="3" t="n">
        <v>104072.0</v>
      </c>
      <c r="Z37" s="3" t="n">
        <v>102890.0</v>
      </c>
      <c r="AA37" s="3" t="n">
        <v>103326.0</v>
      </c>
      <c r="AB37" s="3" t="n">
        <v>104631.0</v>
      </c>
      <c r="AC37" s="3" t="n">
        <v>106191.0</v>
      </c>
      <c r="AD37" s="3" t="n">
        <v>106601.0</v>
      </c>
      <c r="AE37" s="3" t="n">
        <v>105855.0</v>
      </c>
      <c r="AF37" s="3" t="n">
        <v>103682.0</v>
      </c>
      <c r="AG37" s="3" t="n">
        <v>99316.0</v>
      </c>
      <c r="AH37" s="3" t="n">
        <v>96046.0</v>
      </c>
      <c r="AI37" s="3" t="n">
        <v>93912.0</v>
      </c>
      <c r="AJ37" s="3" t="n">
        <v>92957.0</v>
      </c>
      <c r="AK37" s="3" t="n">
        <v>92901.0</v>
      </c>
      <c r="AL37" s="3" t="n">
        <v>94233.0</v>
      </c>
      <c r="AM37" s="3" t="n">
        <v>94760.0</v>
      </c>
      <c r="AN37" s="3" t="n">
        <v>95061.0</v>
      </c>
      <c r="AO37" s="3" t="n">
        <v>95134.0</v>
      </c>
    </row>
    <row r="38" spans="1:41" x14ac:dyDescent="0.2">
      <c r="A38" s="127"/>
      <c r="B38" s="52" t="s">
        <v>27</v>
      </c>
      <c r="C38" s="11" t="n">
        <v>143998.0</v>
      </c>
      <c r="D38" s="3" t="n">
        <v>141348.0</v>
      </c>
      <c r="E38" s="3" t="n">
        <v>138093.0</v>
      </c>
      <c r="F38" s="3" t="n">
        <v>135892.0</v>
      </c>
      <c r="G38" s="3" t="n">
        <v>134900.0</v>
      </c>
      <c r="H38" s="3" t="n">
        <v>133691.0</v>
      </c>
      <c r="I38" s="3" t="n">
        <v>131225.0</v>
      </c>
      <c r="J38" s="3" t="n">
        <v>128447.0</v>
      </c>
      <c r="K38" s="3" t="n">
        <v>123854.0</v>
      </c>
      <c r="L38" s="3" t="n">
        <v>118411.0</v>
      </c>
      <c r="M38" s="3" t="n">
        <v>113333.0</v>
      </c>
      <c r="N38" s="3" t="n">
        <v>108913.0</v>
      </c>
      <c r="O38" s="3" t="n">
        <v>104557.0</v>
      </c>
      <c r="P38" s="3" t="n">
        <v>101568.0</v>
      </c>
      <c r="Q38" s="3" t="n">
        <v>98419.0</v>
      </c>
      <c r="R38" s="3" t="n">
        <v>95513.0</v>
      </c>
      <c r="S38" s="3" t="n">
        <v>92943.0</v>
      </c>
      <c r="T38" s="3" t="n">
        <v>91467.0</v>
      </c>
      <c r="U38" s="3" t="n">
        <v>90397.0</v>
      </c>
      <c r="V38" s="3" t="n">
        <v>90500.0</v>
      </c>
      <c r="W38" s="3" t="n">
        <v>92432.0</v>
      </c>
      <c r="X38" s="3" t="n">
        <v>96188.0</v>
      </c>
      <c r="Y38" s="3" t="n">
        <v>100264.0</v>
      </c>
      <c r="Z38" s="3" t="n">
        <v>104087.0</v>
      </c>
      <c r="AA38" s="3" t="n">
        <v>106636.0</v>
      </c>
      <c r="AB38" s="3" t="n">
        <v>107866.0</v>
      </c>
      <c r="AC38" s="3" t="n">
        <v>107108.0</v>
      </c>
      <c r="AD38" s="3" t="n">
        <v>105897.0</v>
      </c>
      <c r="AE38" s="3" t="n">
        <v>104710.0</v>
      </c>
      <c r="AF38" s="3" t="n">
        <v>105132.0</v>
      </c>
      <c r="AG38" s="3" t="n">
        <v>106425.0</v>
      </c>
      <c r="AH38" s="3" t="n">
        <v>107951.0</v>
      </c>
      <c r="AI38" s="3" t="n">
        <v>108325.0</v>
      </c>
      <c r="AJ38" s="3" t="n">
        <v>107528.0</v>
      </c>
      <c r="AK38" s="3" t="n">
        <v>105314.0</v>
      </c>
      <c r="AL38" s="3" t="n">
        <v>100929.0</v>
      </c>
      <c r="AM38" s="3" t="n">
        <v>97656.0</v>
      </c>
      <c r="AN38" s="3" t="n">
        <v>95525.0</v>
      </c>
      <c r="AO38" s="3" t="n">
        <v>94559.0</v>
      </c>
    </row>
    <row r="39" spans="1:41" x14ac:dyDescent="0.2">
      <c r="A39" s="127"/>
      <c r="B39" s="52" t="s">
        <v>28</v>
      </c>
      <c r="C39" s="11" t="n">
        <v>138842.0</v>
      </c>
      <c r="D39" s="3" t="n">
        <v>141410.0</v>
      </c>
      <c r="E39" s="3" t="n">
        <v>143354.0</v>
      </c>
      <c r="F39" s="3" t="n">
        <v>144442.0</v>
      </c>
      <c r="G39" s="3" t="n">
        <v>144898.0</v>
      </c>
      <c r="H39" s="3" t="n">
        <v>143494.0</v>
      </c>
      <c r="I39" s="3" t="n">
        <v>141168.0</v>
      </c>
      <c r="J39" s="3" t="n">
        <v>138120.0</v>
      </c>
      <c r="K39" s="3" t="n">
        <v>136023.0</v>
      </c>
      <c r="L39" s="3" t="n">
        <v>135077.0</v>
      </c>
      <c r="M39" s="3" t="n">
        <v>133620.0</v>
      </c>
      <c r="N39" s="3" t="n">
        <v>130823.0</v>
      </c>
      <c r="O39" s="3" t="n">
        <v>127903.0</v>
      </c>
      <c r="P39" s="3" t="n">
        <v>123313.0</v>
      </c>
      <c r="Q39" s="3" t="n">
        <v>117952.0</v>
      </c>
      <c r="R39" s="3" t="n">
        <v>112958.0</v>
      </c>
      <c r="S39" s="3" t="n">
        <v>108648.0</v>
      </c>
      <c r="T39" s="3" t="n">
        <v>104371.0</v>
      </c>
      <c r="U39" s="3" t="n">
        <v>101464.0</v>
      </c>
      <c r="V39" s="3" t="n">
        <v>98416.0</v>
      </c>
      <c r="W39" s="3" t="n">
        <v>95590.0</v>
      </c>
      <c r="X39" s="3" t="n">
        <v>93107.0</v>
      </c>
      <c r="Y39" s="3" t="n">
        <v>91711.0</v>
      </c>
      <c r="Z39" s="3" t="n">
        <v>90721.0</v>
      </c>
      <c r="AA39" s="3" t="n">
        <v>90874.0</v>
      </c>
      <c r="AB39" s="3" t="n">
        <v>92851.0</v>
      </c>
      <c r="AC39" s="3" t="n">
        <v>96622.0</v>
      </c>
      <c r="AD39" s="3" t="n">
        <v>100682.0</v>
      </c>
      <c r="AE39" s="3" t="n">
        <v>104467.0</v>
      </c>
      <c r="AF39" s="3" t="n">
        <v>106989.0</v>
      </c>
      <c r="AG39" s="3" t="n">
        <v>108211.0</v>
      </c>
      <c r="AH39" s="3" t="n">
        <v>107451.0</v>
      </c>
      <c r="AI39" s="3" t="n">
        <v>106245.0</v>
      </c>
      <c r="AJ39" s="3" t="n">
        <v>105081.0</v>
      </c>
      <c r="AK39" s="3" t="n">
        <v>105509.0</v>
      </c>
      <c r="AL39" s="3" t="n">
        <v>106771.0</v>
      </c>
      <c r="AM39" s="3" t="n">
        <v>108264.0</v>
      </c>
      <c r="AN39" s="3" t="n">
        <v>108610.0</v>
      </c>
      <c r="AO39" s="3" t="n">
        <v>107814.0</v>
      </c>
    </row>
    <row r="40" spans="1:41" x14ac:dyDescent="0.2">
      <c r="A40" s="127"/>
      <c r="B40" s="52" t="s">
        <v>29</v>
      </c>
      <c r="C40" s="11" t="n">
        <v>124684.0</v>
      </c>
      <c r="D40" s="3" t="n">
        <v>128094.0</v>
      </c>
      <c r="E40" s="3" t="n">
        <v>130880.0</v>
      </c>
      <c r="F40" s="3" t="n">
        <v>133516.0</v>
      </c>
      <c r="G40" s="3" t="n">
        <v>134630.0</v>
      </c>
      <c r="H40" s="3" t="n">
        <v>137029.0</v>
      </c>
      <c r="I40" s="3" t="n">
        <v>139813.0</v>
      </c>
      <c r="J40" s="3" t="n">
        <v>141864.0</v>
      </c>
      <c r="K40" s="3" t="n">
        <v>143016.0</v>
      </c>
      <c r="L40" s="3" t="n">
        <v>143489.0</v>
      </c>
      <c r="M40" s="3" t="n">
        <v>141950.0</v>
      </c>
      <c r="N40" s="3" t="n">
        <v>139420.0</v>
      </c>
      <c r="O40" s="3" t="n">
        <v>136319.0</v>
      </c>
      <c r="P40" s="3" t="n">
        <v>134211.0</v>
      </c>
      <c r="Q40" s="3" t="n">
        <v>133241.0</v>
      </c>
      <c r="R40" s="3" t="n">
        <v>131788.0</v>
      </c>
      <c r="S40" s="3" t="n">
        <v>129032.0</v>
      </c>
      <c r="T40" s="3" t="n">
        <v>126178.0</v>
      </c>
      <c r="U40" s="3" t="n">
        <v>121668.0</v>
      </c>
      <c r="V40" s="3" t="n">
        <v>116427.0</v>
      </c>
      <c r="W40" s="3" t="n">
        <v>111588.0</v>
      </c>
      <c r="X40" s="3" t="n">
        <v>107395.0</v>
      </c>
      <c r="Y40" s="3" t="n">
        <v>103249.0</v>
      </c>
      <c r="Z40" s="3" t="n">
        <v>100438.0</v>
      </c>
      <c r="AA40" s="3" t="n">
        <v>97495.0</v>
      </c>
      <c r="AB40" s="3" t="n">
        <v>94768.0</v>
      </c>
      <c r="AC40" s="3" t="n">
        <v>92371.0</v>
      </c>
      <c r="AD40" s="3" t="n">
        <v>91041.0</v>
      </c>
      <c r="AE40" s="3" t="n">
        <v>90131.0</v>
      </c>
      <c r="AF40" s="3" t="n">
        <v>90316.0</v>
      </c>
      <c r="AG40" s="3" t="n">
        <v>92285.0</v>
      </c>
      <c r="AH40" s="3" t="n">
        <v>96036.0</v>
      </c>
      <c r="AI40" s="3" t="n">
        <v>100059.0</v>
      </c>
      <c r="AJ40" s="3" t="n">
        <v>103806.0</v>
      </c>
      <c r="AK40" s="3" t="n">
        <v>106289.0</v>
      </c>
      <c r="AL40" s="3" t="n">
        <v>107511.0</v>
      </c>
      <c r="AM40" s="3" t="n">
        <v>106771.0</v>
      </c>
      <c r="AN40" s="3" t="n">
        <v>105583.0</v>
      </c>
      <c r="AO40" s="3" t="n">
        <v>104436.0</v>
      </c>
    </row>
    <row r="41" spans="1:41" x14ac:dyDescent="0.2">
      <c r="A41" s="127"/>
      <c r="B41" s="52" t="s">
        <v>30</v>
      </c>
      <c r="C41" s="11" t="n">
        <v>104881.0</v>
      </c>
      <c r="D41" s="3" t="n">
        <v>107244.0</v>
      </c>
      <c r="E41" s="3" t="n">
        <v>110739.0</v>
      </c>
      <c r="F41" s="3" t="n">
        <v>114012.0</v>
      </c>
      <c r="G41" s="3" t="n">
        <v>117798.0</v>
      </c>
      <c r="H41" s="3" t="n">
        <v>121540.0</v>
      </c>
      <c r="I41" s="3" t="n">
        <v>125043.0</v>
      </c>
      <c r="J41" s="3" t="n">
        <v>127906.0</v>
      </c>
      <c r="K41" s="3" t="n">
        <v>130581.0</v>
      </c>
      <c r="L41" s="3" t="n">
        <v>131753.0</v>
      </c>
      <c r="M41" s="3" t="n">
        <v>134033.0</v>
      </c>
      <c r="N41" s="3" t="n">
        <v>136644.0</v>
      </c>
      <c r="O41" s="3" t="n">
        <v>138613.0</v>
      </c>
      <c r="P41" s="3" t="n">
        <v>139729.0</v>
      </c>
      <c r="Q41" s="3" t="n">
        <v>140177.0</v>
      </c>
      <c r="R41" s="3" t="n">
        <v>138665.0</v>
      </c>
      <c r="S41" s="3" t="n">
        <v>136225.0</v>
      </c>
      <c r="T41" s="3" t="n">
        <v>133213.0</v>
      </c>
      <c r="U41" s="3" t="n">
        <v>131170.0</v>
      </c>
      <c r="V41" s="3" t="n">
        <v>130226.0</v>
      </c>
      <c r="W41" s="3" t="n">
        <v>128801.0</v>
      </c>
      <c r="X41" s="3" t="n">
        <v>126107.0</v>
      </c>
      <c r="Y41" s="3" t="n">
        <v>123328.0</v>
      </c>
      <c r="Z41" s="3" t="n">
        <v>118958.0</v>
      </c>
      <c r="AA41" s="3" t="n">
        <v>113902.0</v>
      </c>
      <c r="AB41" s="3" t="n">
        <v>109249.0</v>
      </c>
      <c r="AC41" s="3" t="n">
        <v>105226.0</v>
      </c>
      <c r="AD41" s="3" t="n">
        <v>101237.0</v>
      </c>
      <c r="AE41" s="3" t="n">
        <v>98543.0</v>
      </c>
      <c r="AF41" s="3" t="n">
        <v>95724.0</v>
      </c>
      <c r="AG41" s="3" t="n">
        <v>93114.0</v>
      </c>
      <c r="AH41" s="3" t="n">
        <v>90827.0</v>
      </c>
      <c r="AI41" s="3" t="n">
        <v>89566.0</v>
      </c>
      <c r="AJ41" s="3" t="n">
        <v>88732.0</v>
      </c>
      <c r="AK41" s="3" t="n">
        <v>88959.0</v>
      </c>
      <c r="AL41" s="3" t="n">
        <v>90932.0</v>
      </c>
      <c r="AM41" s="3" t="n">
        <v>94639.0</v>
      </c>
      <c r="AN41" s="3" t="n">
        <v>98618.0</v>
      </c>
      <c r="AO41" s="3" t="n">
        <v>102318.0</v>
      </c>
    </row>
    <row r="42" spans="1:41" x14ac:dyDescent="0.2">
      <c r="A42" s="127"/>
      <c r="B42" s="52" t="s">
        <v>31</v>
      </c>
      <c r="C42" s="11" t="n">
        <v>97382.0</v>
      </c>
      <c r="D42" s="3" t="n">
        <v>96906.0</v>
      </c>
      <c r="E42" s="3" t="n">
        <v>96724.0</v>
      </c>
      <c r="F42" s="3" t="n">
        <v>97331.0</v>
      </c>
      <c r="G42" s="3" t="n">
        <v>98785.0</v>
      </c>
      <c r="H42" s="3" t="n">
        <v>100473.0</v>
      </c>
      <c r="I42" s="3" t="n">
        <v>102923.0</v>
      </c>
      <c r="J42" s="3" t="n">
        <v>106410.0</v>
      </c>
      <c r="K42" s="3" t="n">
        <v>109671.0</v>
      </c>
      <c r="L42" s="3" t="n">
        <v>113437.0</v>
      </c>
      <c r="M42" s="3" t="n">
        <v>117053.0</v>
      </c>
      <c r="N42" s="3" t="n">
        <v>120395.0</v>
      </c>
      <c r="O42" s="3" t="n">
        <v>123152.0</v>
      </c>
      <c r="P42" s="3" t="n">
        <v>125747.0</v>
      </c>
      <c r="Q42" s="3" t="n">
        <v>126919.0</v>
      </c>
      <c r="R42" s="3" t="n">
        <v>129200.0</v>
      </c>
      <c r="S42" s="3" t="n">
        <v>131795.0</v>
      </c>
      <c r="T42" s="3" t="n">
        <v>133758.0</v>
      </c>
      <c r="U42" s="3" t="n">
        <v>134884.0</v>
      </c>
      <c r="V42" s="3" t="n">
        <v>135359.0</v>
      </c>
      <c r="W42" s="3" t="n">
        <v>133924.0</v>
      </c>
      <c r="X42" s="3" t="n">
        <v>131595.0</v>
      </c>
      <c r="Y42" s="3" t="n">
        <v>128742.0</v>
      </c>
      <c r="Z42" s="3" t="n">
        <v>126817.0</v>
      </c>
      <c r="AA42" s="3" t="n">
        <v>125945.0</v>
      </c>
      <c r="AB42" s="3" t="n">
        <v>124603.0</v>
      </c>
      <c r="AC42" s="3" t="n">
        <v>122035.0</v>
      </c>
      <c r="AD42" s="3" t="n">
        <v>119397.0</v>
      </c>
      <c r="AE42" s="3" t="n">
        <v>115220.0</v>
      </c>
      <c r="AF42" s="3" t="n">
        <v>110393.0</v>
      </c>
      <c r="AG42" s="3" t="n">
        <v>105957.0</v>
      </c>
      <c r="AH42" s="3" t="n">
        <v>102127.0</v>
      </c>
      <c r="AI42" s="3" t="n">
        <v>98329.0</v>
      </c>
      <c r="AJ42" s="3" t="n">
        <v>95783.0</v>
      </c>
      <c r="AK42" s="3" t="n">
        <v>93114.0</v>
      </c>
      <c r="AL42" s="3" t="n">
        <v>90638.0</v>
      </c>
      <c r="AM42" s="3" t="n">
        <v>88472.0</v>
      </c>
      <c r="AN42" s="3" t="n">
        <v>87307.0</v>
      </c>
      <c r="AO42" s="3" t="n">
        <v>86569.0</v>
      </c>
    </row>
    <row r="43" spans="1:41" x14ac:dyDescent="0.2">
      <c r="A43" s="127"/>
      <c r="B43" s="52" t="s">
        <v>32</v>
      </c>
      <c r="C43" s="3" t="n">
        <v>98602.0</v>
      </c>
      <c r="D43" s="3" t="n">
        <v>95976.0</v>
      </c>
      <c r="E43" s="3" t="n">
        <v>93811.0</v>
      </c>
      <c r="F43" s="3" t="n">
        <v>92345.0</v>
      </c>
      <c r="G43" s="3" t="n">
        <v>91433.0</v>
      </c>
      <c r="H43" s="3" t="n">
        <v>90924.0</v>
      </c>
      <c r="I43" s="3" t="n">
        <v>90770.0</v>
      </c>
      <c r="J43" s="3" t="n">
        <v>90758.0</v>
      </c>
      <c r="K43" s="3" t="n">
        <v>91432.0</v>
      </c>
      <c r="L43" s="3" t="n">
        <v>92877.0</v>
      </c>
      <c r="M43" s="3" t="n">
        <v>94502.0</v>
      </c>
      <c r="N43" s="3" t="n">
        <v>96830.0</v>
      </c>
      <c r="O43" s="3" t="n">
        <v>100181.0</v>
      </c>
      <c r="P43" s="3" t="n">
        <v>103340.0</v>
      </c>
      <c r="Q43" s="3" t="n">
        <v>106987.0</v>
      </c>
      <c r="R43" s="3" t="n">
        <v>110467.0</v>
      </c>
      <c r="S43" s="3" t="n">
        <v>113703.0</v>
      </c>
      <c r="T43" s="3" t="n">
        <v>116413.0</v>
      </c>
      <c r="U43" s="3" t="n">
        <v>118964.0</v>
      </c>
      <c r="V43" s="3" t="n">
        <v>120175.0</v>
      </c>
      <c r="W43" s="3" t="n">
        <v>122433.0</v>
      </c>
      <c r="X43" s="3" t="n">
        <v>124998.0</v>
      </c>
      <c r="Y43" s="3" t="n">
        <v>126949.0</v>
      </c>
      <c r="Z43" s="3" t="n">
        <v>128093.0</v>
      </c>
      <c r="AA43" s="3" t="n">
        <v>128609.0</v>
      </c>
      <c r="AB43" s="3" t="n">
        <v>127326.0</v>
      </c>
      <c r="AC43" s="3" t="n">
        <v>125205.0</v>
      </c>
      <c r="AD43" s="3" t="n">
        <v>122599.0</v>
      </c>
      <c r="AE43" s="3" t="n">
        <v>120862.0</v>
      </c>
      <c r="AF43" s="3" t="n">
        <v>120098.0</v>
      </c>
      <c r="AG43" s="3" t="n">
        <v>118878.0</v>
      </c>
      <c r="AH43" s="3" t="n">
        <v>116487.0</v>
      </c>
      <c r="AI43" s="3" t="n">
        <v>114020.0</v>
      </c>
      <c r="AJ43" s="3" t="n">
        <v>110127.0</v>
      </c>
      <c r="AK43" s="3" t="n">
        <v>105616.0</v>
      </c>
      <c r="AL43" s="3" t="n">
        <v>101462.0</v>
      </c>
      <c r="AM43" s="3" t="n">
        <v>97886.0</v>
      </c>
      <c r="AN43" s="3" t="n">
        <v>94346.0</v>
      </c>
      <c r="AO43" s="3" t="n">
        <v>91996.0</v>
      </c>
    </row>
    <row r="44" spans="1:41" x14ac:dyDescent="0.2">
      <c r="A44" s="127"/>
      <c r="B44" s="53" t="s">
        <v>33</v>
      </c>
      <c r="C44" s="3" t="n">
        <v>91541.0</v>
      </c>
      <c r="D44" s="3" t="n">
        <v>92559.0</v>
      </c>
      <c r="E44" s="3" t="n">
        <v>92993.0</v>
      </c>
      <c r="F44" s="3" t="n">
        <v>92059.0</v>
      </c>
      <c r="G44" s="3" t="n">
        <v>90574.0</v>
      </c>
      <c r="H44" s="3" t="n">
        <v>88787.0</v>
      </c>
      <c r="I44" s="3" t="n">
        <v>86738.0</v>
      </c>
      <c r="J44" s="3" t="n">
        <v>85049.0</v>
      </c>
      <c r="K44" s="3" t="n">
        <v>83926.0</v>
      </c>
      <c r="L44" s="3" t="n">
        <v>83259.0</v>
      </c>
      <c r="M44" s="3" t="n">
        <v>82825.0</v>
      </c>
      <c r="N44" s="3" t="n">
        <v>82681.0</v>
      </c>
      <c r="O44" s="3" t="n">
        <v>82732.0</v>
      </c>
      <c r="P44" s="3" t="n">
        <v>83474.0</v>
      </c>
      <c r="Q44" s="3" t="n">
        <v>84908.0</v>
      </c>
      <c r="R44" s="3" t="n">
        <v>86520.0</v>
      </c>
      <c r="S44" s="3" t="n">
        <v>88774.0</v>
      </c>
      <c r="T44" s="3" t="n">
        <v>91964.0</v>
      </c>
      <c r="U44" s="3" t="n">
        <v>94987.0</v>
      </c>
      <c r="V44" s="3" t="n">
        <v>98474.0</v>
      </c>
      <c r="W44" s="3" t="n">
        <v>101803.0</v>
      </c>
      <c r="X44" s="3" t="n">
        <v>104902.0</v>
      </c>
      <c r="Y44" s="3" t="n">
        <v>107552.0</v>
      </c>
      <c r="Z44" s="3" t="n">
        <v>110032.0</v>
      </c>
      <c r="AA44" s="3" t="n">
        <v>111270.0</v>
      </c>
      <c r="AB44" s="3" t="n">
        <v>113492.0</v>
      </c>
      <c r="AC44" s="3" t="n">
        <v>116004.0</v>
      </c>
      <c r="AD44" s="3" t="n">
        <v>117949.0</v>
      </c>
      <c r="AE44" s="3" t="n">
        <v>119137.0</v>
      </c>
      <c r="AF44" s="3" t="n">
        <v>119706.0</v>
      </c>
      <c r="AG44" s="3" t="n">
        <v>118621.0</v>
      </c>
      <c r="AH44" s="3" t="n">
        <v>116769.0</v>
      </c>
      <c r="AI44" s="3" t="n">
        <v>114456.0</v>
      </c>
      <c r="AJ44" s="3" t="n">
        <v>112957.0</v>
      </c>
      <c r="AK44" s="3" t="n">
        <v>112345.0</v>
      </c>
      <c r="AL44" s="3" t="n">
        <v>111304.0</v>
      </c>
      <c r="AM44" s="3" t="n">
        <v>109164.0</v>
      </c>
      <c r="AN44" s="3" t="n">
        <v>106955.0</v>
      </c>
      <c r="AO44" s="3" t="n">
        <v>103419.0</v>
      </c>
    </row>
    <row r="45" spans="1:41" x14ac:dyDescent="0.2">
      <c r="A45" s="127"/>
      <c r="B45" s="52" t="s">
        <v>34</v>
      </c>
      <c r="C45" s="3" t="n">
        <v>69820.0</v>
      </c>
      <c r="D45" s="3" t="n">
        <v>72029.0</v>
      </c>
      <c r="E45" s="3" t="n">
        <v>74329.0</v>
      </c>
      <c r="F45" s="3" t="n">
        <v>76496.0</v>
      </c>
      <c r="G45" s="3" t="n">
        <v>77618.0</v>
      </c>
      <c r="H45" s="3" t="n">
        <v>78908.0</v>
      </c>
      <c r="I45" s="3" t="n">
        <v>80065.0</v>
      </c>
      <c r="J45" s="3" t="n">
        <v>80627.0</v>
      </c>
      <c r="K45" s="3" t="n">
        <v>80012.0</v>
      </c>
      <c r="L45" s="3" t="n">
        <v>78893.0</v>
      </c>
      <c r="M45" s="3" t="n">
        <v>77445.0</v>
      </c>
      <c r="N45" s="3" t="n">
        <v>75758.0</v>
      </c>
      <c r="O45" s="3" t="n">
        <v>74410.0</v>
      </c>
      <c r="P45" s="3" t="n">
        <v>73568.0</v>
      </c>
      <c r="Q45" s="3" t="n">
        <v>73128.0</v>
      </c>
      <c r="R45" s="3" t="n">
        <v>72896.0</v>
      </c>
      <c r="S45" s="3" t="n">
        <v>72927.0</v>
      </c>
      <c r="T45" s="3" t="n">
        <v>73117.0</v>
      </c>
      <c r="U45" s="3" t="n">
        <v>73911.0</v>
      </c>
      <c r="V45" s="3" t="n">
        <v>75329.0</v>
      </c>
      <c r="W45" s="3" t="n">
        <v>76903.0</v>
      </c>
      <c r="X45" s="3" t="n">
        <v>79080.0</v>
      </c>
      <c r="Y45" s="3" t="n">
        <v>82085.0</v>
      </c>
      <c r="Z45" s="3" t="n">
        <v>84940.0</v>
      </c>
      <c r="AA45" s="3" t="n">
        <v>88213.0</v>
      </c>
      <c r="AB45" s="3" t="n">
        <v>91325.0</v>
      </c>
      <c r="AC45" s="3" t="n">
        <v>94260.0</v>
      </c>
      <c r="AD45" s="3" t="n">
        <v>96791.0</v>
      </c>
      <c r="AE45" s="3" t="n">
        <v>99158.0</v>
      </c>
      <c r="AF45" s="3" t="n">
        <v>100428.0</v>
      </c>
      <c r="AG45" s="3" t="n">
        <v>102590.0</v>
      </c>
      <c r="AH45" s="3" t="n">
        <v>105042.0</v>
      </c>
      <c r="AI45" s="3" t="n">
        <v>106986.0</v>
      </c>
      <c r="AJ45" s="3" t="n">
        <v>108253.0</v>
      </c>
      <c r="AK45" s="3" t="n">
        <v>108892.0</v>
      </c>
      <c r="AL45" s="3" t="n">
        <v>108013.0</v>
      </c>
      <c r="AM45" s="3" t="n">
        <v>106454.0</v>
      </c>
      <c r="AN45" s="3" t="n">
        <v>104497.0</v>
      </c>
      <c r="AO45" s="3" t="n">
        <v>103285.0</v>
      </c>
    </row>
    <row r="46" spans="1:41" x14ac:dyDescent="0.2">
      <c r="A46" s="127"/>
      <c r="B46" s="52" t="s">
        <v>35</v>
      </c>
      <c r="C46" s="3" t="n">
        <v>41069.0</v>
      </c>
      <c r="D46" s="3" t="n">
        <v>44573.0</v>
      </c>
      <c r="E46" s="3" t="n">
        <v>47659.0</v>
      </c>
      <c r="F46" s="3" t="n">
        <v>51110.0</v>
      </c>
      <c r="G46" s="3" t="n">
        <v>54280.0</v>
      </c>
      <c r="H46" s="3" t="n">
        <v>56640.0</v>
      </c>
      <c r="I46" s="3" t="n">
        <v>58685.0</v>
      </c>
      <c r="J46" s="3" t="n">
        <v>60739.0</v>
      </c>
      <c r="K46" s="3" t="n">
        <v>62683.0</v>
      </c>
      <c r="L46" s="3" t="n">
        <v>63769.0</v>
      </c>
      <c r="M46" s="3" t="n">
        <v>64961.0</v>
      </c>
      <c r="N46" s="3" t="n">
        <v>66070.0</v>
      </c>
      <c r="O46" s="3" t="n">
        <v>66665.0</v>
      </c>
      <c r="P46" s="3" t="n">
        <v>66323.0</v>
      </c>
      <c r="Q46" s="3" t="n">
        <v>65540.0</v>
      </c>
      <c r="R46" s="3" t="n">
        <v>64496.0</v>
      </c>
      <c r="S46" s="3" t="n">
        <v>63276.0</v>
      </c>
      <c r="T46" s="3" t="n">
        <v>62338.0</v>
      </c>
      <c r="U46" s="3" t="n">
        <v>61808.0</v>
      </c>
      <c r="V46" s="3" t="n">
        <v>61582.0</v>
      </c>
      <c r="W46" s="3" t="n">
        <v>61548.0</v>
      </c>
      <c r="X46" s="3" t="n">
        <v>61721.0</v>
      </c>
      <c r="Y46" s="3" t="n">
        <v>62067.0</v>
      </c>
      <c r="Z46" s="3" t="n">
        <v>62896.0</v>
      </c>
      <c r="AA46" s="3" t="n">
        <v>64285.0</v>
      </c>
      <c r="AB46" s="3" t="n">
        <v>65788.0</v>
      </c>
      <c r="AC46" s="3" t="n">
        <v>67835.0</v>
      </c>
      <c r="AD46" s="3" t="n">
        <v>70595.0</v>
      </c>
      <c r="AE46" s="3" t="n">
        <v>73236.0</v>
      </c>
      <c r="AF46" s="3" t="n">
        <v>76237.0</v>
      </c>
      <c r="AG46" s="3" t="n">
        <v>79098.0</v>
      </c>
      <c r="AH46" s="3" t="n">
        <v>81802.0</v>
      </c>
      <c r="AI46" s="3" t="n">
        <v>84190.0</v>
      </c>
      <c r="AJ46" s="3" t="n">
        <v>86449.0</v>
      </c>
      <c r="AK46" s="3" t="n">
        <v>87726.0</v>
      </c>
      <c r="AL46" s="3" t="n">
        <v>89790.0</v>
      </c>
      <c r="AM46" s="3" t="n">
        <v>92140.0</v>
      </c>
      <c r="AN46" s="3" t="n">
        <v>94018.0</v>
      </c>
      <c r="AO46" s="3" t="n">
        <v>95297.0</v>
      </c>
    </row>
    <row r="47" spans="1:41" x14ac:dyDescent="0.2">
      <c r="A47" s="127"/>
      <c r="B47" s="52" t="s">
        <v>36</v>
      </c>
      <c r="C47" s="3" t="n">
        <v>25083.0</v>
      </c>
      <c r="D47" s="3" t="n">
        <v>24832.0</v>
      </c>
      <c r="E47" s="3" t="n">
        <v>24964.0</v>
      </c>
      <c r="F47" s="3" t="n">
        <v>25355.0</v>
      </c>
      <c r="G47" s="3" t="n">
        <v>27019.0</v>
      </c>
      <c r="H47" s="3" t="n">
        <v>29839.0</v>
      </c>
      <c r="I47" s="3" t="n">
        <v>32602.0</v>
      </c>
      <c r="J47" s="3" t="n">
        <v>35023.0</v>
      </c>
      <c r="K47" s="3" t="n">
        <v>37699.0</v>
      </c>
      <c r="L47" s="3" t="n">
        <v>40187.0</v>
      </c>
      <c r="M47" s="3" t="n">
        <v>42084.0</v>
      </c>
      <c r="N47" s="3" t="n">
        <v>43773.0</v>
      </c>
      <c r="O47" s="3" t="n">
        <v>45447.0</v>
      </c>
      <c r="P47" s="3" t="n">
        <v>47075.0</v>
      </c>
      <c r="Q47" s="3" t="n">
        <v>48090.0</v>
      </c>
      <c r="R47" s="3" t="n">
        <v>49169.0</v>
      </c>
      <c r="S47" s="3" t="n">
        <v>50190.0</v>
      </c>
      <c r="T47" s="3" t="n">
        <v>50813.0</v>
      </c>
      <c r="U47" s="3" t="n">
        <v>50713.0</v>
      </c>
      <c r="V47" s="3" t="n">
        <v>50245.0</v>
      </c>
      <c r="W47" s="3" t="n">
        <v>49619.0</v>
      </c>
      <c r="X47" s="3" t="n">
        <v>48875.0</v>
      </c>
      <c r="Y47" s="3" t="n">
        <v>48381.0</v>
      </c>
      <c r="Z47" s="3" t="n">
        <v>48161.0</v>
      </c>
      <c r="AA47" s="3" t="n">
        <v>48150.0</v>
      </c>
      <c r="AB47" s="3" t="n">
        <v>48294.0</v>
      </c>
      <c r="AC47" s="3" t="n">
        <v>48606.0</v>
      </c>
      <c r="AD47" s="3" t="n">
        <v>49066.0</v>
      </c>
      <c r="AE47" s="3" t="n">
        <v>49912.0</v>
      </c>
      <c r="AF47" s="3" t="n">
        <v>51203.0</v>
      </c>
      <c r="AG47" s="3" t="n">
        <v>52587.0</v>
      </c>
      <c r="AH47" s="3" t="n">
        <v>54433.0</v>
      </c>
      <c r="AI47" s="3" t="n">
        <v>56868.0</v>
      </c>
      <c r="AJ47" s="3" t="n">
        <v>59225.0</v>
      </c>
      <c r="AK47" s="3" t="n">
        <v>61861.0</v>
      </c>
      <c r="AL47" s="3" t="n">
        <v>64374.0</v>
      </c>
      <c r="AM47" s="3" t="n">
        <v>66773.0</v>
      </c>
      <c r="AN47" s="3" t="n">
        <v>68955.0</v>
      </c>
      <c r="AO47" s="3" t="n">
        <v>71001.0</v>
      </c>
    </row>
    <row r="48" spans="1:41" x14ac:dyDescent="0.2">
      <c r="A48" s="127"/>
      <c r="B48" s="52" t="s">
        <v>37</v>
      </c>
      <c r="C48" s="3" t="n">
        <v>14913.0</v>
      </c>
      <c r="D48" s="3" t="n">
        <v>15214.0</v>
      </c>
      <c r="E48" s="3" t="n">
        <v>15446.0</v>
      </c>
      <c r="F48" s="3" t="n">
        <v>15539.0</v>
      </c>
      <c r="G48" s="3" t="n">
        <v>15176.0</v>
      </c>
      <c r="H48" s="3" t="n">
        <v>14666.0</v>
      </c>
      <c r="I48" s="3" t="n">
        <v>14676.0</v>
      </c>
      <c r="J48" s="3" t="n">
        <v>14933.0</v>
      </c>
      <c r="K48" s="3" t="n">
        <v>15337.0</v>
      </c>
      <c r="L48" s="3" t="n">
        <v>16537.0</v>
      </c>
      <c r="M48" s="3" t="n">
        <v>18413.0</v>
      </c>
      <c r="N48" s="3" t="n">
        <v>20275.0</v>
      </c>
      <c r="O48" s="3" t="n">
        <v>21877.0</v>
      </c>
      <c r="P48" s="3" t="n">
        <v>23653.0</v>
      </c>
      <c r="Q48" s="3" t="n">
        <v>25360.0</v>
      </c>
      <c r="R48" s="3" t="n">
        <v>26727.0</v>
      </c>
      <c r="S48" s="3" t="n">
        <v>27971.0</v>
      </c>
      <c r="T48" s="3" t="n">
        <v>29195.0</v>
      </c>
      <c r="U48" s="3" t="n">
        <v>30405.0</v>
      </c>
      <c r="V48" s="3" t="n">
        <v>31231.0</v>
      </c>
      <c r="W48" s="3" t="n">
        <v>32122.0</v>
      </c>
      <c r="X48" s="3" t="n">
        <v>32998.0</v>
      </c>
      <c r="Y48" s="3" t="n">
        <v>33602.0</v>
      </c>
      <c r="Z48" s="3" t="n">
        <v>33707.0</v>
      </c>
      <c r="AA48" s="3" t="n">
        <v>33539.0</v>
      </c>
      <c r="AB48" s="3" t="n">
        <v>33284.0</v>
      </c>
      <c r="AC48" s="3" t="n">
        <v>32985.0</v>
      </c>
      <c r="AD48" s="3" t="n">
        <v>32862.0</v>
      </c>
      <c r="AE48" s="3" t="n">
        <v>32911.0</v>
      </c>
      <c r="AF48" s="3" t="n">
        <v>33083.0</v>
      </c>
      <c r="AG48" s="3" t="n">
        <v>33383.0</v>
      </c>
      <c r="AH48" s="3" t="n">
        <v>33791.0</v>
      </c>
      <c r="AI48" s="3" t="n">
        <v>34306.0</v>
      </c>
      <c r="AJ48" s="3" t="n">
        <v>35126.0</v>
      </c>
      <c r="AK48" s="3" t="n">
        <v>36234.0</v>
      </c>
      <c r="AL48" s="3" t="n">
        <v>37390.0</v>
      </c>
      <c r="AM48" s="3" t="n">
        <v>38905.0</v>
      </c>
      <c r="AN48" s="3" t="n">
        <v>40861.0</v>
      </c>
      <c r="AO48" s="3" t="n">
        <v>42783.0</v>
      </c>
    </row>
    <row r="49" spans="1:41" x14ac:dyDescent="0.2">
      <c r="A49" s="127"/>
      <c r="B49" s="55" t="s">
        <v>69</v>
      </c>
      <c r="C49" s="3" t="n">
        <v>5382.0</v>
      </c>
      <c r="D49" s="3" t="n">
        <v>5581.0</v>
      </c>
      <c r="E49" s="3" t="n">
        <v>5832.0</v>
      </c>
      <c r="F49" s="3" t="n">
        <v>6074.0</v>
      </c>
      <c r="G49" s="3" t="n">
        <v>6370.0</v>
      </c>
      <c r="H49" s="3" t="n">
        <v>6592.0</v>
      </c>
      <c r="I49" s="3" t="n">
        <v>6789.0</v>
      </c>
      <c r="J49" s="3" t="n">
        <v>6958.0</v>
      </c>
      <c r="K49" s="3" t="n">
        <v>7069.0</v>
      </c>
      <c r="L49" s="3" t="n">
        <v>6974.0</v>
      </c>
      <c r="M49" s="3" t="n">
        <v>6795.0</v>
      </c>
      <c r="N49" s="3" t="n">
        <v>6897.0</v>
      </c>
      <c r="O49" s="3" t="n">
        <v>7121.0</v>
      </c>
      <c r="P49" s="3" t="n">
        <v>7410.0</v>
      </c>
      <c r="Q49" s="3" t="n">
        <v>8105.0</v>
      </c>
      <c r="R49" s="3" t="n">
        <v>9144.0</v>
      </c>
      <c r="S49" s="3" t="n">
        <v>10202.0</v>
      </c>
      <c r="T49" s="3" t="n">
        <v>11100.0</v>
      </c>
      <c r="U49" s="3" t="n">
        <v>12075.0</v>
      </c>
      <c r="V49" s="3" t="n">
        <v>13058.0</v>
      </c>
      <c r="W49" s="3" t="n">
        <v>13886.0</v>
      </c>
      <c r="X49" s="3" t="n">
        <v>14664.0</v>
      </c>
      <c r="Y49" s="3" t="n">
        <v>15433.0</v>
      </c>
      <c r="Z49" s="3" t="n">
        <v>16201.0</v>
      </c>
      <c r="AA49" s="3" t="n">
        <v>16787.0</v>
      </c>
      <c r="AB49" s="3" t="n">
        <v>17417.0</v>
      </c>
      <c r="AC49" s="3" t="n">
        <v>18058.0</v>
      </c>
      <c r="AD49" s="3" t="n">
        <v>18529.0</v>
      </c>
      <c r="AE49" s="3" t="n">
        <v>18713.0</v>
      </c>
      <c r="AF49" s="3" t="n">
        <v>18731.0</v>
      </c>
      <c r="AG49" s="3" t="n">
        <v>18732.0</v>
      </c>
      <c r="AH49" s="3" t="n">
        <v>18717.0</v>
      </c>
      <c r="AI49" s="3" t="n">
        <v>18815.0</v>
      </c>
      <c r="AJ49" s="3" t="n">
        <v>19024.0</v>
      </c>
      <c r="AK49" s="3" t="n">
        <v>19263.0</v>
      </c>
      <c r="AL49" s="3" t="n">
        <v>19593.0</v>
      </c>
      <c r="AM49" s="3" t="n">
        <v>19979.0</v>
      </c>
      <c r="AN49" s="3" t="n">
        <v>20448.0</v>
      </c>
      <c r="AO49" s="3" t="n">
        <v>21094.0</v>
      </c>
    </row>
    <row r="50" spans="1:41" x14ac:dyDescent="0.2">
      <c r="A50" s="127"/>
      <c r="B50" s="55" t="s">
        <v>70</v>
      </c>
      <c r="C50" s="3" t="n">
        <v>834.0</v>
      </c>
      <c r="D50" s="3" t="n">
        <v>959.0</v>
      </c>
      <c r="E50" s="3" t="n">
        <v>1098.0</v>
      </c>
      <c r="F50" s="3" t="n">
        <v>1292.0</v>
      </c>
      <c r="G50" s="3" t="n">
        <v>1456.0</v>
      </c>
      <c r="H50" s="3" t="n">
        <v>1587.0</v>
      </c>
      <c r="I50" s="3" t="n">
        <v>1667.0</v>
      </c>
      <c r="J50" s="3" t="n">
        <v>1771.0</v>
      </c>
      <c r="K50" s="3" t="n">
        <v>1879.0</v>
      </c>
      <c r="L50" s="3" t="n">
        <v>2004.0</v>
      </c>
      <c r="M50" s="3" t="n">
        <v>2089.0</v>
      </c>
      <c r="N50" s="3" t="n">
        <v>2183.0</v>
      </c>
      <c r="O50" s="3" t="n">
        <v>2273.0</v>
      </c>
      <c r="P50" s="3" t="n">
        <v>2360.0</v>
      </c>
      <c r="Q50" s="3" t="n">
        <v>2354.0</v>
      </c>
      <c r="R50" s="3" t="n">
        <v>2318.0</v>
      </c>
      <c r="S50" s="3" t="n">
        <v>2402.0</v>
      </c>
      <c r="T50" s="3" t="n">
        <v>2533.0</v>
      </c>
      <c r="U50" s="3" t="n">
        <v>2688.0</v>
      </c>
      <c r="V50" s="3" t="n">
        <v>2993.0</v>
      </c>
      <c r="W50" s="3" t="n">
        <v>3434.0</v>
      </c>
      <c r="X50" s="3" t="n">
        <v>3883.0</v>
      </c>
      <c r="Y50" s="3" t="n">
        <v>4281.0</v>
      </c>
      <c r="Z50" s="3" t="n">
        <v>4712.0</v>
      </c>
      <c r="AA50" s="3" t="n">
        <v>5156.0</v>
      </c>
      <c r="AB50" s="3" t="n">
        <v>5543.0</v>
      </c>
      <c r="AC50" s="3" t="n">
        <v>5918.0</v>
      </c>
      <c r="AD50" s="3" t="n">
        <v>6296.0</v>
      </c>
      <c r="AE50" s="3" t="n">
        <v>6685.0</v>
      </c>
      <c r="AF50" s="3" t="n">
        <v>7010.0</v>
      </c>
      <c r="AG50" s="3" t="n">
        <v>7355.0</v>
      </c>
      <c r="AH50" s="3" t="n">
        <v>7705.0</v>
      </c>
      <c r="AI50" s="3" t="n">
        <v>7983.0</v>
      </c>
      <c r="AJ50" s="3" t="n">
        <v>8150.0</v>
      </c>
      <c r="AK50" s="3" t="n">
        <v>8217.0</v>
      </c>
      <c r="AL50" s="3" t="n">
        <v>8295.0</v>
      </c>
      <c r="AM50" s="3" t="n">
        <v>8383.0</v>
      </c>
      <c r="AN50" s="3" t="n">
        <v>8530.0</v>
      </c>
      <c r="AO50" s="3" t="n">
        <v>8729.0</v>
      </c>
    </row>
    <row r="51" spans="1:41" x14ac:dyDescent="0.2">
      <c r="A51" s="127"/>
      <c r="B51" s="54" t="s">
        <v>68</v>
      </c>
      <c r="C51" s="3" t="n">
        <v>94.0</v>
      </c>
      <c r="D51" s="3" t="n">
        <v>113.0</v>
      </c>
      <c r="E51" s="3" t="n">
        <v>118.0</v>
      </c>
      <c r="F51" s="3" t="n">
        <v>117.0</v>
      </c>
      <c r="G51" s="3" t="n">
        <v>132.0</v>
      </c>
      <c r="H51" s="3" t="n">
        <v>145.0</v>
      </c>
      <c r="I51" s="3" t="n">
        <v>175.0</v>
      </c>
      <c r="J51" s="3" t="n">
        <v>206.0</v>
      </c>
      <c r="K51" s="3" t="n">
        <v>253.0</v>
      </c>
      <c r="L51" s="3" t="n">
        <v>291.0</v>
      </c>
      <c r="M51" s="3" t="n">
        <v>330.0</v>
      </c>
      <c r="N51" s="3" t="n">
        <v>355.0</v>
      </c>
      <c r="O51" s="3" t="n">
        <v>383.0</v>
      </c>
      <c r="P51" s="3" t="n">
        <v>417.0</v>
      </c>
      <c r="Q51" s="3" t="n">
        <v>458.0</v>
      </c>
      <c r="R51" s="3" t="n">
        <v>492.0</v>
      </c>
      <c r="S51" s="3" t="n">
        <v>522.0</v>
      </c>
      <c r="T51" s="3" t="n">
        <v>553.0</v>
      </c>
      <c r="U51" s="3" t="n">
        <v>586.0</v>
      </c>
      <c r="V51" s="3" t="n">
        <v>599.0</v>
      </c>
      <c r="W51" s="3" t="n">
        <v>605.0</v>
      </c>
      <c r="X51" s="3" t="n">
        <v>647.0</v>
      </c>
      <c r="Y51" s="3" t="n">
        <v>701.0</v>
      </c>
      <c r="Z51" s="3" t="n">
        <v>755.0</v>
      </c>
      <c r="AA51" s="3" t="n">
        <v>843.0</v>
      </c>
      <c r="AB51" s="3" t="n">
        <v>978.0</v>
      </c>
      <c r="AC51" s="3" t="n">
        <v>1118.0</v>
      </c>
      <c r="AD51" s="3" t="n">
        <v>1244.0</v>
      </c>
      <c r="AE51" s="3" t="n">
        <v>1382.0</v>
      </c>
      <c r="AF51" s="3" t="n">
        <v>1528.0</v>
      </c>
      <c r="AG51" s="3" t="n">
        <v>1681.0</v>
      </c>
      <c r="AH51" s="3" t="n">
        <v>1828.0</v>
      </c>
      <c r="AI51" s="3" t="n">
        <v>1974.0</v>
      </c>
      <c r="AJ51" s="3" t="n">
        <v>2148.0</v>
      </c>
      <c r="AK51" s="3" t="n">
        <v>2299.0</v>
      </c>
      <c r="AL51" s="3" t="n">
        <v>2464.0</v>
      </c>
      <c r="AM51" s="3" t="n">
        <v>2627.0</v>
      </c>
      <c r="AN51" s="3" t="n">
        <v>2771.0</v>
      </c>
      <c r="AO51" s="3" t="n">
        <v>2887.0</v>
      </c>
    </row>
    <row r="52" spans="1:41" x14ac:dyDescent="0.2">
      <c r="A52" s="126" t="s">
        <v>50</v>
      </c>
      <c r="B52" s="59" t="s">
        <v>62</v>
      </c>
      <c r="C52" s="57" t="n">
        <v>1765923.0</v>
      </c>
      <c r="D52" s="57" t="n">
        <v>1766849.0</v>
      </c>
      <c r="E52" s="57" t="n">
        <v>1768272.0</v>
      </c>
      <c r="F52" s="57" t="n">
        <v>1770022.0</v>
      </c>
      <c r="G52" s="57" t="n">
        <v>1772142.0</v>
      </c>
      <c r="H52" s="57" t="n">
        <v>1783165.0</v>
      </c>
      <c r="I52" s="57" t="n">
        <v>1797670.0</v>
      </c>
      <c r="J52" s="57" t="n">
        <v>1805110.0</v>
      </c>
      <c r="K52" s="57" t="n">
        <v>1808837.0</v>
      </c>
      <c r="L52" s="57" t="n">
        <v>1811246.0</v>
      </c>
      <c r="M52" s="57" t="n">
        <v>1812762.0</v>
      </c>
      <c r="N52" s="57" t="n">
        <v>1813720.0</v>
      </c>
      <c r="O52" s="57" t="n">
        <v>1814177.0</v>
      </c>
      <c r="P52" s="57" t="n">
        <v>1814298.0</v>
      </c>
      <c r="Q52" s="57" t="n">
        <v>1814323.0</v>
      </c>
      <c r="R52" s="57" t="n">
        <v>1814120.0</v>
      </c>
      <c r="S52" s="57" t="n">
        <v>1813711.0</v>
      </c>
      <c r="T52" s="57" t="n">
        <v>1813393.0</v>
      </c>
      <c r="U52" s="57" t="n">
        <v>1812937.0</v>
      </c>
      <c r="V52" s="57" t="n">
        <v>1812575.0</v>
      </c>
      <c r="W52" s="57" t="n">
        <v>1812141.0</v>
      </c>
      <c r="X52" s="57" t="n">
        <v>1811576.0</v>
      </c>
      <c r="Y52" s="57" t="n">
        <v>1811119.0</v>
      </c>
      <c r="Z52" s="57" t="n">
        <v>1810479.0</v>
      </c>
      <c r="AA52" s="57" t="n">
        <v>1809704.0</v>
      </c>
      <c r="AB52" s="57" t="n">
        <v>1809004.0</v>
      </c>
      <c r="AC52" s="57" t="n">
        <v>1808062.0</v>
      </c>
      <c r="AD52" s="57" t="n">
        <v>1807000.0</v>
      </c>
      <c r="AE52" s="57" t="n">
        <v>1805982.0</v>
      </c>
      <c r="AF52" s="57" t="n">
        <v>1804749.0</v>
      </c>
      <c r="AG52" s="57" t="n">
        <v>1803260.0</v>
      </c>
      <c r="AH52" s="57" t="n">
        <v>1801769.0</v>
      </c>
      <c r="AI52" s="57" t="n">
        <v>1800056.0</v>
      </c>
      <c r="AJ52" s="57" t="n">
        <v>1798351.0</v>
      </c>
      <c r="AK52" s="57" t="n">
        <v>1796435.0</v>
      </c>
      <c r="AL52" s="57" t="n">
        <v>1794326.0</v>
      </c>
      <c r="AM52" s="57" t="n">
        <v>1792236.0</v>
      </c>
      <c r="AN52" s="57" t="n">
        <v>1790014.0</v>
      </c>
      <c r="AO52" s="57" t="n">
        <v>1787609.0</v>
      </c>
    </row>
    <row r="53" spans="1:41" x14ac:dyDescent="0.2">
      <c r="A53" s="127"/>
      <c r="B53" s="52" t="s">
        <v>20</v>
      </c>
      <c r="C53" s="3" t="n">
        <v>85408.0</v>
      </c>
      <c r="D53" s="3" t="n">
        <v>82709.0</v>
      </c>
      <c r="E53" s="3" t="n">
        <v>80596.0</v>
      </c>
      <c r="F53" s="3" t="n">
        <v>79888.0</v>
      </c>
      <c r="G53" s="3" t="n">
        <v>79805.0</v>
      </c>
      <c r="H53" s="3" t="n">
        <v>81806.0</v>
      </c>
      <c r="I53" s="3" t="n">
        <v>83300.0</v>
      </c>
      <c r="J53" s="3" t="n">
        <v>83984.0</v>
      </c>
      <c r="K53" s="3" t="n">
        <v>84123.0</v>
      </c>
      <c r="L53" s="3" t="n">
        <v>84037.0</v>
      </c>
      <c r="M53" s="3" t="n">
        <v>83859.0</v>
      </c>
      <c r="N53" s="3" t="n">
        <v>83559.0</v>
      </c>
      <c r="O53" s="3" t="n">
        <v>83113.0</v>
      </c>
      <c r="P53" s="3" t="n">
        <v>82653.0</v>
      </c>
      <c r="Q53" s="3" t="n">
        <v>82230.0</v>
      </c>
      <c r="R53" s="3" t="n">
        <v>81954.0</v>
      </c>
      <c r="S53" s="3" t="n">
        <v>81873.0</v>
      </c>
      <c r="T53" s="3" t="n">
        <v>82030.0</v>
      </c>
      <c r="U53" s="3" t="n">
        <v>82390.0</v>
      </c>
      <c r="V53" s="3" t="n">
        <v>82930.0</v>
      </c>
      <c r="W53" s="3" t="n">
        <v>83569.0</v>
      </c>
      <c r="X53" s="3" t="n">
        <v>84280.0</v>
      </c>
      <c r="Y53" s="3" t="n">
        <v>84982.0</v>
      </c>
      <c r="Z53" s="3" t="n">
        <v>85638.0</v>
      </c>
      <c r="AA53" s="3" t="n">
        <v>86195.0</v>
      </c>
      <c r="AB53" s="3" t="n">
        <v>86639.0</v>
      </c>
      <c r="AC53" s="3" t="n">
        <v>86955.0</v>
      </c>
      <c r="AD53" s="3" t="n">
        <v>87140.0</v>
      </c>
      <c r="AE53" s="3" t="n">
        <v>87167.0</v>
      </c>
      <c r="AF53" s="3" t="n">
        <v>87071.0</v>
      </c>
      <c r="AG53" s="3" t="n">
        <v>86830.0</v>
      </c>
      <c r="AH53" s="3" t="n">
        <v>86480.0</v>
      </c>
      <c r="AI53" s="3" t="n">
        <v>86012.0</v>
      </c>
      <c r="AJ53" s="3" t="n">
        <v>85511.0</v>
      </c>
      <c r="AK53" s="3" t="n">
        <v>84978.0</v>
      </c>
      <c r="AL53" s="3" t="n">
        <v>84454.0</v>
      </c>
      <c r="AM53" s="3" t="n">
        <v>83976.0</v>
      </c>
      <c r="AN53" s="3" t="n">
        <v>83588.0</v>
      </c>
      <c r="AO53" s="3" t="n">
        <v>83266.0</v>
      </c>
    </row>
    <row r="54" spans="1:41" x14ac:dyDescent="0.2">
      <c r="A54" s="127"/>
      <c r="B54" s="52" t="s">
        <v>21</v>
      </c>
      <c r="C54" s="3" t="n">
        <v>91415.0</v>
      </c>
      <c r="D54" s="3" t="n">
        <v>92581.0</v>
      </c>
      <c r="E54" s="3" t="n">
        <v>93327.0</v>
      </c>
      <c r="F54" s="3" t="n">
        <v>92724.0</v>
      </c>
      <c r="G54" s="3" t="n">
        <v>91067.0</v>
      </c>
      <c r="H54" s="3" t="n">
        <v>88257.0</v>
      </c>
      <c r="I54" s="3" t="n">
        <v>86863.0</v>
      </c>
      <c r="J54" s="3" t="n">
        <v>85271.0</v>
      </c>
      <c r="K54" s="3" t="n">
        <v>84710.0</v>
      </c>
      <c r="L54" s="3" t="n">
        <v>84605.0</v>
      </c>
      <c r="M54" s="3" t="n">
        <v>85824.0</v>
      </c>
      <c r="N54" s="3" t="n">
        <v>86300.0</v>
      </c>
      <c r="O54" s="3" t="n">
        <v>86540.0</v>
      </c>
      <c r="P54" s="3" t="n">
        <v>86538.0</v>
      </c>
      <c r="Q54" s="3" t="n">
        <v>86424.0</v>
      </c>
      <c r="R54" s="3" t="n">
        <v>86271.0</v>
      </c>
      <c r="S54" s="3" t="n">
        <v>86026.0</v>
      </c>
      <c r="T54" s="3" t="n">
        <v>85659.0</v>
      </c>
      <c r="U54" s="3" t="n">
        <v>85267.0</v>
      </c>
      <c r="V54" s="3" t="n">
        <v>84908.0</v>
      </c>
      <c r="W54" s="3" t="n">
        <v>84704.0</v>
      </c>
      <c r="X54" s="3" t="n">
        <v>84677.0</v>
      </c>
      <c r="Y54" s="3" t="n">
        <v>84881.0</v>
      </c>
      <c r="Z54" s="3" t="n">
        <v>85288.0</v>
      </c>
      <c r="AA54" s="3" t="n">
        <v>85862.0</v>
      </c>
      <c r="AB54" s="3" t="n">
        <v>86535.0</v>
      </c>
      <c r="AC54" s="3" t="n">
        <v>87261.0</v>
      </c>
      <c r="AD54" s="3" t="n">
        <v>87983.0</v>
      </c>
      <c r="AE54" s="3" t="n">
        <v>88643.0</v>
      </c>
      <c r="AF54" s="3" t="n">
        <v>89202.0</v>
      </c>
      <c r="AG54" s="3" t="n">
        <v>89658.0</v>
      </c>
      <c r="AH54" s="3" t="n">
        <v>89982.0</v>
      </c>
      <c r="AI54" s="3" t="n">
        <v>90158.0</v>
      </c>
      <c r="AJ54" s="3" t="n">
        <v>90171.0</v>
      </c>
      <c r="AK54" s="3" t="n">
        <v>90061.0</v>
      </c>
      <c r="AL54" s="3" t="n">
        <v>89806.0</v>
      </c>
      <c r="AM54" s="3" t="n">
        <v>89442.0</v>
      </c>
      <c r="AN54" s="3" t="n">
        <v>88966.0</v>
      </c>
      <c r="AO54" s="3" t="n">
        <v>88474.0</v>
      </c>
    </row>
    <row r="55" spans="1:41" x14ac:dyDescent="0.2">
      <c r="A55" s="127"/>
      <c r="B55" s="52" t="s">
        <v>22</v>
      </c>
      <c r="C55" s="3" t="n">
        <v>94605.0</v>
      </c>
      <c r="D55" s="3" t="n">
        <v>93177.0</v>
      </c>
      <c r="E55" s="3" t="n">
        <v>91689.0</v>
      </c>
      <c r="F55" s="3" t="n">
        <v>90737.0</v>
      </c>
      <c r="G55" s="3" t="n">
        <v>91061.0</v>
      </c>
      <c r="H55" s="3" t="n">
        <v>92907.0</v>
      </c>
      <c r="I55" s="3" t="n">
        <v>95404.0</v>
      </c>
      <c r="J55" s="3" t="n">
        <v>96782.0</v>
      </c>
      <c r="K55" s="3" t="n">
        <v>96456.0</v>
      </c>
      <c r="L55" s="3" t="n">
        <v>94864.0</v>
      </c>
      <c r="M55" s="3" t="n">
        <v>91100.0</v>
      </c>
      <c r="N55" s="3" t="n">
        <v>88375.0</v>
      </c>
      <c r="O55" s="3" t="n">
        <v>86161.0</v>
      </c>
      <c r="P55" s="3" t="n">
        <v>85326.0</v>
      </c>
      <c r="Q55" s="3" t="n">
        <v>85081.0</v>
      </c>
      <c r="R55" s="3" t="n">
        <v>86233.0</v>
      </c>
      <c r="S55" s="3" t="n">
        <v>86697.0</v>
      </c>
      <c r="T55" s="3" t="n">
        <v>86951.0</v>
      </c>
      <c r="U55" s="3" t="n">
        <v>86965.0</v>
      </c>
      <c r="V55" s="3" t="n">
        <v>86875.0</v>
      </c>
      <c r="W55" s="3" t="n">
        <v>86745.0</v>
      </c>
      <c r="X55" s="3" t="n">
        <v>86526.0</v>
      </c>
      <c r="Y55" s="3" t="n">
        <v>86186.0</v>
      </c>
      <c r="Z55" s="3" t="n">
        <v>85822.0</v>
      </c>
      <c r="AA55" s="3" t="n">
        <v>85493.0</v>
      </c>
      <c r="AB55" s="3" t="n">
        <v>85319.0</v>
      </c>
      <c r="AC55" s="3" t="n">
        <v>85320.0</v>
      </c>
      <c r="AD55" s="3" t="n">
        <v>85535.0</v>
      </c>
      <c r="AE55" s="3" t="n">
        <v>85961.0</v>
      </c>
      <c r="AF55" s="3" t="n">
        <v>86545.0</v>
      </c>
      <c r="AG55" s="3" t="n">
        <v>87220.0</v>
      </c>
      <c r="AH55" s="3" t="n">
        <v>87948.0</v>
      </c>
      <c r="AI55" s="3" t="n">
        <v>88670.0</v>
      </c>
      <c r="AJ55" s="3" t="n">
        <v>89326.0</v>
      </c>
      <c r="AK55" s="3" t="n">
        <v>89870.0</v>
      </c>
      <c r="AL55" s="3" t="n">
        <v>90307.0</v>
      </c>
      <c r="AM55" s="3" t="n">
        <v>90615.0</v>
      </c>
      <c r="AN55" s="3" t="n">
        <v>90785.0</v>
      </c>
      <c r="AO55" s="3" t="n">
        <v>90783.0</v>
      </c>
    </row>
    <row r="56" spans="1:41" x14ac:dyDescent="0.2">
      <c r="A56" s="127"/>
      <c r="B56" s="52" t="s">
        <v>23</v>
      </c>
      <c r="C56" s="3" t="n">
        <v>82395.0</v>
      </c>
      <c r="D56" s="3" t="n">
        <v>85772.0</v>
      </c>
      <c r="E56" s="3" t="n">
        <v>89477.0</v>
      </c>
      <c r="F56" s="3" t="n">
        <v>92285.0</v>
      </c>
      <c r="G56" s="3" t="n">
        <v>93980.0</v>
      </c>
      <c r="H56" s="3" t="n">
        <v>95552.0</v>
      </c>
      <c r="I56" s="3" t="n">
        <v>95210.0</v>
      </c>
      <c r="J56" s="3" t="n">
        <v>94293.0</v>
      </c>
      <c r="K56" s="3" t="n">
        <v>93609.0</v>
      </c>
      <c r="L56" s="3" t="n">
        <v>94123.0</v>
      </c>
      <c r="M56" s="3" t="n">
        <v>95189.0</v>
      </c>
      <c r="N56" s="3" t="n">
        <v>96464.0</v>
      </c>
      <c r="O56" s="3" t="n">
        <v>97262.0</v>
      </c>
      <c r="P56" s="3" t="n">
        <v>96660.0</v>
      </c>
      <c r="Q56" s="3" t="n">
        <v>94912.0</v>
      </c>
      <c r="R56" s="3" t="n">
        <v>91068.0</v>
      </c>
      <c r="S56" s="3" t="n">
        <v>88313.0</v>
      </c>
      <c r="T56" s="3" t="n">
        <v>86080.0</v>
      </c>
      <c r="U56" s="3" t="n">
        <v>85237.0</v>
      </c>
      <c r="V56" s="3" t="n">
        <v>84975.0</v>
      </c>
      <c r="W56" s="3" t="n">
        <v>86113.0</v>
      </c>
      <c r="X56" s="3" t="n">
        <v>86570.0</v>
      </c>
      <c r="Y56" s="3" t="n">
        <v>86823.0</v>
      </c>
      <c r="Z56" s="3" t="n">
        <v>86843.0</v>
      </c>
      <c r="AA56" s="3" t="n">
        <v>86762.0</v>
      </c>
      <c r="AB56" s="3" t="n">
        <v>86643.0</v>
      </c>
      <c r="AC56" s="3" t="n">
        <v>86439.0</v>
      </c>
      <c r="AD56" s="3" t="n">
        <v>86114.0</v>
      </c>
      <c r="AE56" s="3" t="n">
        <v>85766.0</v>
      </c>
      <c r="AF56" s="3" t="n">
        <v>85454.0</v>
      </c>
      <c r="AG56" s="3" t="n">
        <v>85301.0</v>
      </c>
      <c r="AH56" s="3" t="n">
        <v>85316.0</v>
      </c>
      <c r="AI56" s="3" t="n">
        <v>85542.0</v>
      </c>
      <c r="AJ56" s="3" t="n">
        <v>85979.0</v>
      </c>
      <c r="AK56" s="3" t="n">
        <v>86572.0</v>
      </c>
      <c r="AL56" s="3" t="n">
        <v>87253.0</v>
      </c>
      <c r="AM56" s="3" t="n">
        <v>87970.0</v>
      </c>
      <c r="AN56" s="3" t="n">
        <v>88681.0</v>
      </c>
      <c r="AO56" s="3" t="n">
        <v>89325.0</v>
      </c>
    </row>
    <row r="57" spans="1:41" x14ac:dyDescent="0.2">
      <c r="A57" s="127"/>
      <c r="B57" s="52" t="s">
        <v>24</v>
      </c>
      <c r="C57" s="3" t="n">
        <v>88225.0</v>
      </c>
      <c r="D57" s="3" t="n">
        <v>85135.0</v>
      </c>
      <c r="E57" s="3" t="n">
        <v>82855.0</v>
      </c>
      <c r="F57" s="3" t="n">
        <v>81380.0</v>
      </c>
      <c r="G57" s="3" t="n">
        <v>81299.0</v>
      </c>
      <c r="H57" s="3" t="n">
        <v>83300.0</v>
      </c>
      <c r="I57" s="3" t="n">
        <v>87418.0</v>
      </c>
      <c r="J57" s="3" t="n">
        <v>91552.0</v>
      </c>
      <c r="K57" s="3" t="n">
        <v>94638.0</v>
      </c>
      <c r="L57" s="3" t="n">
        <v>96527.0</v>
      </c>
      <c r="M57" s="3" t="n">
        <v>97551.0</v>
      </c>
      <c r="N57" s="3" t="n">
        <v>96332.0</v>
      </c>
      <c r="O57" s="3" t="n">
        <v>94993.0</v>
      </c>
      <c r="P57" s="3" t="n">
        <v>94140.0</v>
      </c>
      <c r="Q57" s="3" t="n">
        <v>94567.0</v>
      </c>
      <c r="R57" s="3" t="n">
        <v>95584.0</v>
      </c>
      <c r="S57" s="3" t="n">
        <v>96811.0</v>
      </c>
      <c r="T57" s="3" t="n">
        <v>97585.0</v>
      </c>
      <c r="U57" s="3" t="n">
        <v>96962.0</v>
      </c>
      <c r="V57" s="3" t="n">
        <v>95194.0</v>
      </c>
      <c r="W57" s="3" t="n">
        <v>91307.0</v>
      </c>
      <c r="X57" s="3" t="n">
        <v>88518.0</v>
      </c>
      <c r="Y57" s="3" t="n">
        <v>86267.0</v>
      </c>
      <c r="Z57" s="3" t="n">
        <v>85403.0</v>
      </c>
      <c r="AA57" s="3" t="n">
        <v>85134.0</v>
      </c>
      <c r="AB57" s="3" t="n">
        <v>86259.0</v>
      </c>
      <c r="AC57" s="3" t="n">
        <v>86700.0</v>
      </c>
      <c r="AD57" s="3" t="n">
        <v>86953.0</v>
      </c>
      <c r="AE57" s="3" t="n">
        <v>86969.0</v>
      </c>
      <c r="AF57" s="3" t="n">
        <v>86892.0</v>
      </c>
      <c r="AG57" s="3" t="n">
        <v>86776.0</v>
      </c>
      <c r="AH57" s="3" t="n">
        <v>86582.0</v>
      </c>
      <c r="AI57" s="3" t="n">
        <v>86272.0</v>
      </c>
      <c r="AJ57" s="3" t="n">
        <v>85937.0</v>
      </c>
      <c r="AK57" s="3" t="n">
        <v>85642.0</v>
      </c>
      <c r="AL57" s="3" t="n">
        <v>85502.0</v>
      </c>
      <c r="AM57" s="3" t="n">
        <v>85533.0</v>
      </c>
      <c r="AN57" s="3" t="n">
        <v>85772.0</v>
      </c>
      <c r="AO57" s="3" t="n">
        <v>86220.0</v>
      </c>
    </row>
    <row r="58" spans="1:41" x14ac:dyDescent="0.2">
      <c r="A58" s="127"/>
      <c r="B58" s="52" t="s">
        <v>25</v>
      </c>
      <c r="C58" s="3" t="n">
        <v>108795.0</v>
      </c>
      <c r="D58" s="3" t="n">
        <v>104403.0</v>
      </c>
      <c r="E58" s="3" t="n">
        <v>99858.0</v>
      </c>
      <c r="F58" s="3" t="n">
        <v>96560.0</v>
      </c>
      <c r="G58" s="3" t="n">
        <v>93258.0</v>
      </c>
      <c r="H58" s="3" t="n">
        <v>90717.0</v>
      </c>
      <c r="I58" s="3" t="n">
        <v>88486.0</v>
      </c>
      <c r="J58" s="3" t="n">
        <v>86659.0</v>
      </c>
      <c r="K58" s="3" t="n">
        <v>85361.0</v>
      </c>
      <c r="L58" s="3" t="n">
        <v>85359.0</v>
      </c>
      <c r="M58" s="3" t="n">
        <v>86991.0</v>
      </c>
      <c r="N58" s="3" t="n">
        <v>90549.0</v>
      </c>
      <c r="O58" s="3" t="n">
        <v>94475.0</v>
      </c>
      <c r="P58" s="3" t="n">
        <v>97515.0</v>
      </c>
      <c r="Q58" s="3" t="n">
        <v>99370.0</v>
      </c>
      <c r="R58" s="3" t="n">
        <v>100337.0</v>
      </c>
      <c r="S58" s="3" t="n">
        <v>99053.0</v>
      </c>
      <c r="T58" s="3" t="n">
        <v>97635.0</v>
      </c>
      <c r="U58" s="3" t="n">
        <v>96711.0</v>
      </c>
      <c r="V58" s="3" t="n">
        <v>97103.0</v>
      </c>
      <c r="W58" s="3" t="n">
        <v>98124.0</v>
      </c>
      <c r="X58" s="3" t="n">
        <v>99338.0</v>
      </c>
      <c r="Y58" s="3" t="n">
        <v>100047.0</v>
      </c>
      <c r="Z58" s="3" t="n">
        <v>99347.0</v>
      </c>
      <c r="AA58" s="3" t="n">
        <v>97462.0</v>
      </c>
      <c r="AB58" s="3" t="n">
        <v>93430.0</v>
      </c>
      <c r="AC58" s="3" t="n">
        <v>90518.0</v>
      </c>
      <c r="AD58" s="3" t="n">
        <v>88155.0</v>
      </c>
      <c r="AE58" s="3" t="n">
        <v>87221.0</v>
      </c>
      <c r="AF58" s="3" t="n">
        <v>86904.0</v>
      </c>
      <c r="AG58" s="3" t="n">
        <v>87996.0</v>
      </c>
      <c r="AH58" s="3" t="n">
        <v>88422.0</v>
      </c>
      <c r="AI58" s="3" t="n">
        <v>88677.0</v>
      </c>
      <c r="AJ58" s="3" t="n">
        <v>88703.0</v>
      </c>
      <c r="AK58" s="3" t="n">
        <v>88645.0</v>
      </c>
      <c r="AL58" s="3" t="n">
        <v>88550.0</v>
      </c>
      <c r="AM58" s="3" t="n">
        <v>88380.0</v>
      </c>
      <c r="AN58" s="3" t="n">
        <v>88099.0</v>
      </c>
      <c r="AO58" s="3" t="n">
        <v>87792.0</v>
      </c>
    </row>
    <row r="59" spans="1:41" x14ac:dyDescent="0.2">
      <c r="A59" s="127"/>
      <c r="B59" s="52" t="s">
        <v>26</v>
      </c>
      <c r="C59" s="3" t="n">
        <v>130364.0</v>
      </c>
      <c r="D59" s="3" t="n">
        <v>128119.0</v>
      </c>
      <c r="E59" s="3" t="n">
        <v>125367.0</v>
      </c>
      <c r="F59" s="3" t="n">
        <v>121512.0</v>
      </c>
      <c r="G59" s="3" t="n">
        <v>116289.0</v>
      </c>
      <c r="H59" s="3" t="n">
        <v>112266.0</v>
      </c>
      <c r="I59" s="3" t="n">
        <v>108939.0</v>
      </c>
      <c r="J59" s="3" t="n">
        <v>104741.0</v>
      </c>
      <c r="K59" s="3" t="n">
        <v>101505.0</v>
      </c>
      <c r="L59" s="3" t="n">
        <v>98150.0</v>
      </c>
      <c r="M59" s="3" t="n">
        <v>94962.0</v>
      </c>
      <c r="N59" s="3" t="n">
        <v>91930.0</v>
      </c>
      <c r="O59" s="3" t="n">
        <v>89798.0</v>
      </c>
      <c r="P59" s="3" t="n">
        <v>88445.0</v>
      </c>
      <c r="Q59" s="3" t="n">
        <v>88485.0</v>
      </c>
      <c r="R59" s="3" t="n">
        <v>90223.0</v>
      </c>
      <c r="S59" s="3" t="n">
        <v>93909.0</v>
      </c>
      <c r="T59" s="3" t="n">
        <v>97942.0</v>
      </c>
      <c r="U59" s="3" t="n">
        <v>101038.0</v>
      </c>
      <c r="V59" s="3" t="n">
        <v>102875.0</v>
      </c>
      <c r="W59" s="3" t="n">
        <v>103775.0</v>
      </c>
      <c r="X59" s="3" t="n">
        <v>102419.0</v>
      </c>
      <c r="Y59" s="3" t="n">
        <v>100942.0</v>
      </c>
      <c r="Z59" s="3" t="n">
        <v>99970.0</v>
      </c>
      <c r="AA59" s="3" t="n">
        <v>100346.0</v>
      </c>
      <c r="AB59" s="3" t="n">
        <v>101369.0</v>
      </c>
      <c r="AC59" s="3" t="n">
        <v>102522.0</v>
      </c>
      <c r="AD59" s="3" t="n">
        <v>103136.0</v>
      </c>
      <c r="AE59" s="3" t="n">
        <v>102316.0</v>
      </c>
      <c r="AF59" s="3" t="n">
        <v>100263.0</v>
      </c>
      <c r="AG59" s="3" t="n">
        <v>96065.0</v>
      </c>
      <c r="AH59" s="3" t="n">
        <v>93033.0</v>
      </c>
      <c r="AI59" s="3" t="n">
        <v>90586.0</v>
      </c>
      <c r="AJ59" s="3" t="n">
        <v>89587.0</v>
      </c>
      <c r="AK59" s="3" t="n">
        <v>89245.0</v>
      </c>
      <c r="AL59" s="3" t="n">
        <v>90323.0</v>
      </c>
      <c r="AM59" s="3" t="n">
        <v>90751.0</v>
      </c>
      <c r="AN59" s="3" t="n">
        <v>91009.0</v>
      </c>
      <c r="AO59" s="3" t="n">
        <v>91043.0</v>
      </c>
    </row>
    <row r="60" spans="1:41" x14ac:dyDescent="0.2">
      <c r="A60" s="127"/>
      <c r="B60" s="52" t="s">
        <v>27</v>
      </c>
      <c r="C60" s="3" t="n">
        <v>142409.0</v>
      </c>
      <c r="D60" s="3" t="n">
        <v>138975.0</v>
      </c>
      <c r="E60" s="3" t="n">
        <v>135964.0</v>
      </c>
      <c r="F60" s="3" t="n">
        <v>133377.0</v>
      </c>
      <c r="G60" s="3" t="n">
        <v>132593.0</v>
      </c>
      <c r="H60" s="3" t="n">
        <v>132303.0</v>
      </c>
      <c r="I60" s="3" t="n">
        <v>131384.0</v>
      </c>
      <c r="J60" s="3" t="n">
        <v>129144.0</v>
      </c>
      <c r="K60" s="3" t="n">
        <v>125385.0</v>
      </c>
      <c r="L60" s="3" t="n">
        <v>120133.0</v>
      </c>
      <c r="M60" s="3" t="n">
        <v>115219.0</v>
      </c>
      <c r="N60" s="3" t="n">
        <v>110665.0</v>
      </c>
      <c r="O60" s="3" t="n">
        <v>105940.0</v>
      </c>
      <c r="P60" s="3" t="n">
        <v>102524.0</v>
      </c>
      <c r="Q60" s="3" t="n">
        <v>99093.0</v>
      </c>
      <c r="R60" s="3" t="n">
        <v>95894.0</v>
      </c>
      <c r="S60" s="3" t="n">
        <v>92920.0</v>
      </c>
      <c r="T60" s="3" t="n">
        <v>90856.0</v>
      </c>
      <c r="U60" s="3" t="n">
        <v>89584.0</v>
      </c>
      <c r="V60" s="3" t="n">
        <v>89722.0</v>
      </c>
      <c r="W60" s="3" t="n">
        <v>91554.0</v>
      </c>
      <c r="X60" s="3" t="n">
        <v>95289.0</v>
      </c>
      <c r="Y60" s="3" t="n">
        <v>99355.0</v>
      </c>
      <c r="Z60" s="3" t="n">
        <v>102445.0</v>
      </c>
      <c r="AA60" s="3" t="n">
        <v>104243.0</v>
      </c>
      <c r="AB60" s="3" t="n">
        <v>105088.0</v>
      </c>
      <c r="AC60" s="3" t="n">
        <v>103710.0</v>
      </c>
      <c r="AD60" s="3" t="n">
        <v>102211.0</v>
      </c>
      <c r="AE60" s="3" t="n">
        <v>101230.0</v>
      </c>
      <c r="AF60" s="3" t="n">
        <v>101591.0</v>
      </c>
      <c r="AG60" s="3" t="n">
        <v>102612.0</v>
      </c>
      <c r="AH60" s="3" t="n">
        <v>103726.0</v>
      </c>
      <c r="AI60" s="3" t="n">
        <v>104260.0</v>
      </c>
      <c r="AJ60" s="3" t="n">
        <v>103365.0</v>
      </c>
      <c r="AK60" s="3" t="n">
        <v>101242.0</v>
      </c>
      <c r="AL60" s="3" t="n">
        <v>96990.0</v>
      </c>
      <c r="AM60" s="3" t="n">
        <v>93925.0</v>
      </c>
      <c r="AN60" s="3" t="n">
        <v>91463.0</v>
      </c>
      <c r="AO60" s="3" t="n">
        <v>90445.0</v>
      </c>
    </row>
    <row r="61" spans="1:41" x14ac:dyDescent="0.2">
      <c r="A61" s="127"/>
      <c r="B61" s="52" t="s">
        <v>28</v>
      </c>
      <c r="C61" s="3" t="n">
        <v>137438.0</v>
      </c>
      <c r="D61" s="3" t="n">
        <v>140731.0</v>
      </c>
      <c r="E61" s="3" t="n">
        <v>143078.0</v>
      </c>
      <c r="F61" s="3" t="n">
        <v>144100.0</v>
      </c>
      <c r="G61" s="3" t="n">
        <v>144170.0</v>
      </c>
      <c r="H61" s="3" t="n">
        <v>143089.0</v>
      </c>
      <c r="I61" s="3" t="n">
        <v>140828.0</v>
      </c>
      <c r="J61" s="3" t="n">
        <v>138458.0</v>
      </c>
      <c r="K61" s="3" t="n">
        <v>136154.0</v>
      </c>
      <c r="L61" s="3" t="n">
        <v>135526.0</v>
      </c>
      <c r="M61" s="3" t="n">
        <v>134273.0</v>
      </c>
      <c r="N61" s="3" t="n">
        <v>131940.0</v>
      </c>
      <c r="O61" s="3" t="n">
        <v>129040.0</v>
      </c>
      <c r="P61" s="3" t="n">
        <v>125053.0</v>
      </c>
      <c r="Q61" s="3" t="n">
        <v>119725.0</v>
      </c>
      <c r="R61" s="3" t="n">
        <v>114799.0</v>
      </c>
      <c r="S61" s="3" t="n">
        <v>110268.0</v>
      </c>
      <c r="T61" s="3" t="n">
        <v>105603.0</v>
      </c>
      <c r="U61" s="3" t="n">
        <v>102239.0</v>
      </c>
      <c r="V61" s="3" t="n">
        <v>98875.0</v>
      </c>
      <c r="W61" s="3" t="n">
        <v>95734.0</v>
      </c>
      <c r="X61" s="3" t="n">
        <v>92835.0</v>
      </c>
      <c r="Y61" s="3" t="n">
        <v>90851.0</v>
      </c>
      <c r="Z61" s="3" t="n">
        <v>89644.0</v>
      </c>
      <c r="AA61" s="3" t="n">
        <v>89820.0</v>
      </c>
      <c r="AB61" s="3" t="n">
        <v>91652.0</v>
      </c>
      <c r="AC61" s="3" t="n">
        <v>95387.0</v>
      </c>
      <c r="AD61" s="3" t="n">
        <v>99444.0</v>
      </c>
      <c r="AE61" s="3" t="n">
        <v>102523.0</v>
      </c>
      <c r="AF61" s="3" t="n">
        <v>104313.0</v>
      </c>
      <c r="AG61" s="3" t="n">
        <v>105143.0</v>
      </c>
      <c r="AH61" s="3" t="n">
        <v>103760.0</v>
      </c>
      <c r="AI61" s="3" t="n">
        <v>102270.0</v>
      </c>
      <c r="AJ61" s="3" t="n">
        <v>101290.0</v>
      </c>
      <c r="AK61" s="3" t="n">
        <v>101638.0</v>
      </c>
      <c r="AL61" s="3" t="n">
        <v>102644.0</v>
      </c>
      <c r="AM61" s="3" t="n">
        <v>103736.0</v>
      </c>
      <c r="AN61" s="3" t="n">
        <v>104236.0</v>
      </c>
      <c r="AO61" s="3" t="n">
        <v>103313.0</v>
      </c>
    </row>
    <row r="62" spans="1:41" x14ac:dyDescent="0.2">
      <c r="A62" s="127"/>
      <c r="B62" s="52" t="s">
        <v>29</v>
      </c>
      <c r="C62" s="3" t="n">
        <v>125380.0</v>
      </c>
      <c r="D62" s="3" t="n">
        <v>128678.0</v>
      </c>
      <c r="E62" s="3" t="n">
        <v>130880.0</v>
      </c>
      <c r="F62" s="3" t="n">
        <v>133108.0</v>
      </c>
      <c r="G62" s="3" t="n">
        <v>134279.0</v>
      </c>
      <c r="H62" s="3" t="n">
        <v>137187.0</v>
      </c>
      <c r="I62" s="3" t="n">
        <v>141289.0</v>
      </c>
      <c r="J62" s="3" t="n">
        <v>144099.0</v>
      </c>
      <c r="K62" s="3" t="n">
        <v>145421.0</v>
      </c>
      <c r="L62" s="3" t="n">
        <v>145689.0</v>
      </c>
      <c r="M62" s="3" t="n">
        <v>143970.0</v>
      </c>
      <c r="N62" s="3" t="n">
        <v>140691.0</v>
      </c>
      <c r="O62" s="3" t="n">
        <v>137828.0</v>
      </c>
      <c r="P62" s="3" t="n">
        <v>135296.0</v>
      </c>
      <c r="Q62" s="3" t="n">
        <v>134543.0</v>
      </c>
      <c r="R62" s="3" t="n">
        <v>133216.0</v>
      </c>
      <c r="S62" s="3" t="n">
        <v>130863.0</v>
      </c>
      <c r="T62" s="3" t="n">
        <v>127967.0</v>
      </c>
      <c r="U62" s="3" t="n">
        <v>123997.0</v>
      </c>
      <c r="V62" s="3" t="n">
        <v>118728.0</v>
      </c>
      <c r="W62" s="3" t="n">
        <v>113894.0</v>
      </c>
      <c r="X62" s="3" t="n">
        <v>109419.0</v>
      </c>
      <c r="Y62" s="3" t="n">
        <v>104806.0</v>
      </c>
      <c r="Z62" s="3" t="n">
        <v>101504.0</v>
      </c>
      <c r="AA62" s="3" t="n">
        <v>98202.0</v>
      </c>
      <c r="AB62" s="3" t="n">
        <v>95124.0</v>
      </c>
      <c r="AC62" s="3" t="n">
        <v>92274.0</v>
      </c>
      <c r="AD62" s="3" t="n">
        <v>90333.0</v>
      </c>
      <c r="AE62" s="3" t="n">
        <v>89164.0</v>
      </c>
      <c r="AF62" s="3" t="n">
        <v>89368.0</v>
      </c>
      <c r="AG62" s="3" t="n">
        <v>91217.0</v>
      </c>
      <c r="AH62" s="3" t="n">
        <v>94936.0</v>
      </c>
      <c r="AI62" s="3" t="n">
        <v>98968.0</v>
      </c>
      <c r="AJ62" s="3" t="n">
        <v>102023.0</v>
      </c>
      <c r="AK62" s="3" t="n">
        <v>103812.0</v>
      </c>
      <c r="AL62" s="3" t="n">
        <v>104638.0</v>
      </c>
      <c r="AM62" s="3" t="n">
        <v>103264.0</v>
      </c>
      <c r="AN62" s="3" t="n">
        <v>101784.0</v>
      </c>
      <c r="AO62" s="3" t="n">
        <v>100807.0</v>
      </c>
    </row>
    <row r="63" spans="1:41" x14ac:dyDescent="0.2">
      <c r="A63" s="127"/>
      <c r="B63" s="52" t="s">
        <v>30</v>
      </c>
      <c r="C63" s="3" t="n">
        <v>106713.0</v>
      </c>
      <c r="D63" s="3" t="n">
        <v>109707.0</v>
      </c>
      <c r="E63" s="3" t="n">
        <v>113383.0</v>
      </c>
      <c r="F63" s="3" t="n">
        <v>116967.0</v>
      </c>
      <c r="G63" s="3" t="n">
        <v>121137.0</v>
      </c>
      <c r="H63" s="3" t="n">
        <v>124712.0</v>
      </c>
      <c r="I63" s="3" t="n">
        <v>128621.0</v>
      </c>
      <c r="J63" s="3" t="n">
        <v>131152.0</v>
      </c>
      <c r="K63" s="3" t="n">
        <v>133555.0</v>
      </c>
      <c r="L63" s="3" t="n">
        <v>134852.0</v>
      </c>
      <c r="M63" s="3" t="n">
        <v>137300.0</v>
      </c>
      <c r="N63" s="3" t="n">
        <v>140690.0</v>
      </c>
      <c r="O63" s="3" t="n">
        <v>143149.0</v>
      </c>
      <c r="P63" s="3" t="n">
        <v>144331.0</v>
      </c>
      <c r="Q63" s="3" t="n">
        <v>144518.0</v>
      </c>
      <c r="R63" s="3" t="n">
        <v>142758.0</v>
      </c>
      <c r="S63" s="3" t="n">
        <v>139486.0</v>
      </c>
      <c r="T63" s="3" t="n">
        <v>136640.0</v>
      </c>
      <c r="U63" s="3" t="n">
        <v>134126.0</v>
      </c>
      <c r="V63" s="3" t="n">
        <v>133358.0</v>
      </c>
      <c r="W63" s="3" t="n">
        <v>132017.0</v>
      </c>
      <c r="X63" s="3" t="n">
        <v>129694.0</v>
      </c>
      <c r="Y63" s="3" t="n">
        <v>126822.0</v>
      </c>
      <c r="Z63" s="3" t="n">
        <v>122900.0</v>
      </c>
      <c r="AA63" s="3" t="n">
        <v>117696.0</v>
      </c>
      <c r="AB63" s="3" t="n">
        <v>112929.0</v>
      </c>
      <c r="AC63" s="3" t="n">
        <v>108525.0</v>
      </c>
      <c r="AD63" s="3" t="n">
        <v>103979.0</v>
      </c>
      <c r="AE63" s="3" t="n">
        <v>100731.0</v>
      </c>
      <c r="AF63" s="3" t="n">
        <v>97485.0</v>
      </c>
      <c r="AG63" s="3" t="n">
        <v>94462.0</v>
      </c>
      <c r="AH63" s="3" t="n">
        <v>91675.0</v>
      </c>
      <c r="AI63" s="3" t="n">
        <v>89799.0</v>
      </c>
      <c r="AJ63" s="3" t="n">
        <v>88678.0</v>
      </c>
      <c r="AK63" s="3" t="n">
        <v>88901.0</v>
      </c>
      <c r="AL63" s="3" t="n">
        <v>90756.0</v>
      </c>
      <c r="AM63" s="3" t="n">
        <v>94463.0</v>
      </c>
      <c r="AN63" s="3" t="n">
        <v>98474.0</v>
      </c>
      <c r="AO63" s="3" t="n">
        <v>101512.0</v>
      </c>
    </row>
    <row r="64" spans="1:41" x14ac:dyDescent="0.2">
      <c r="A64" s="127"/>
      <c r="B64" s="52" t="s">
        <v>31</v>
      </c>
      <c r="C64" s="3" t="n">
        <v>100604.0</v>
      </c>
      <c r="D64" s="3" t="n">
        <v>100002.0</v>
      </c>
      <c r="E64" s="3" t="n">
        <v>100172.0</v>
      </c>
      <c r="F64" s="3" t="n">
        <v>101156.0</v>
      </c>
      <c r="G64" s="3" t="n">
        <v>102603.0</v>
      </c>
      <c r="H64" s="3" t="n">
        <v>105539.0</v>
      </c>
      <c r="I64" s="3" t="n">
        <v>109031.0</v>
      </c>
      <c r="J64" s="3" t="n">
        <v>112914.0</v>
      </c>
      <c r="K64" s="3" t="n">
        <v>116593.0</v>
      </c>
      <c r="L64" s="3" t="n">
        <v>120791.0</v>
      </c>
      <c r="M64" s="3" t="n">
        <v>124007.0</v>
      </c>
      <c r="N64" s="3" t="n">
        <v>127373.0</v>
      </c>
      <c r="O64" s="3" t="n">
        <v>129673.0</v>
      </c>
      <c r="P64" s="3" t="n">
        <v>131974.0</v>
      </c>
      <c r="Q64" s="3" t="n">
        <v>133232.0</v>
      </c>
      <c r="R64" s="3" t="n">
        <v>135634.0</v>
      </c>
      <c r="S64" s="3" t="n">
        <v>138985.0</v>
      </c>
      <c r="T64" s="3" t="n">
        <v>141411.0</v>
      </c>
      <c r="U64" s="3" t="n">
        <v>142576.0</v>
      </c>
      <c r="V64" s="3" t="n">
        <v>142770.0</v>
      </c>
      <c r="W64" s="3" t="n">
        <v>141037.0</v>
      </c>
      <c r="X64" s="3" t="n">
        <v>137805.0</v>
      </c>
      <c r="Y64" s="3" t="n">
        <v>135009.0</v>
      </c>
      <c r="Z64" s="3" t="n">
        <v>132522.0</v>
      </c>
      <c r="AA64" s="3" t="n">
        <v>131754.0</v>
      </c>
      <c r="AB64" s="3" t="n">
        <v>130423.0</v>
      </c>
      <c r="AC64" s="3" t="n">
        <v>128128.0</v>
      </c>
      <c r="AD64" s="3" t="n">
        <v>125303.0</v>
      </c>
      <c r="AE64" s="3" t="n">
        <v>121456.0</v>
      </c>
      <c r="AF64" s="3" t="n">
        <v>116347.0</v>
      </c>
      <c r="AG64" s="3" t="n">
        <v>111659.0</v>
      </c>
      <c r="AH64" s="3" t="n">
        <v>107325.0</v>
      </c>
      <c r="AI64" s="3" t="n">
        <v>102866.0</v>
      </c>
      <c r="AJ64" s="3" t="n">
        <v>99677.0</v>
      </c>
      <c r="AK64" s="3" t="n">
        <v>96509.0</v>
      </c>
      <c r="AL64" s="3" t="n">
        <v>93542.0</v>
      </c>
      <c r="AM64" s="3" t="n">
        <v>90821.0</v>
      </c>
      <c r="AN64" s="3" t="n">
        <v>88999.0</v>
      </c>
      <c r="AO64" s="3" t="n">
        <v>87925.0</v>
      </c>
    </row>
    <row r="65" spans="1:41" x14ac:dyDescent="0.2">
      <c r="A65" s="127"/>
      <c r="B65" s="52" t="s">
        <v>32</v>
      </c>
      <c r="C65" s="3" t="n">
        <v>108480.0</v>
      </c>
      <c r="D65" s="3" t="n">
        <v>105159.0</v>
      </c>
      <c r="E65" s="3" t="n">
        <v>102498.0</v>
      </c>
      <c r="F65" s="3" t="n">
        <v>100386.0</v>
      </c>
      <c r="G65" s="3" t="n">
        <v>99145.0</v>
      </c>
      <c r="H65" s="3" t="n">
        <v>98399.0</v>
      </c>
      <c r="I65" s="3" t="n">
        <v>98363.0</v>
      </c>
      <c r="J65" s="3" t="n">
        <v>98806.0</v>
      </c>
      <c r="K65" s="3" t="n">
        <v>99885.0</v>
      </c>
      <c r="L65" s="3" t="n">
        <v>101362.0</v>
      </c>
      <c r="M65" s="3" t="n">
        <v>103933.0</v>
      </c>
      <c r="N65" s="3" t="n">
        <v>106940.0</v>
      </c>
      <c r="O65" s="3" t="n">
        <v>110573.0</v>
      </c>
      <c r="P65" s="3" t="n">
        <v>114147.0</v>
      </c>
      <c r="Q65" s="3" t="n">
        <v>118269.0</v>
      </c>
      <c r="R65" s="3" t="n">
        <v>121430.0</v>
      </c>
      <c r="S65" s="3" t="n">
        <v>124757.0</v>
      </c>
      <c r="T65" s="3" t="n">
        <v>127063.0</v>
      </c>
      <c r="U65" s="3" t="n">
        <v>129355.0</v>
      </c>
      <c r="V65" s="3" t="n">
        <v>130625.0</v>
      </c>
      <c r="W65" s="3" t="n">
        <v>133028.0</v>
      </c>
      <c r="X65" s="3" t="n">
        <v>136355.0</v>
      </c>
      <c r="Y65" s="3" t="n">
        <v>138752.0</v>
      </c>
      <c r="Z65" s="3" t="n">
        <v>139911.0</v>
      </c>
      <c r="AA65" s="3" t="n">
        <v>140099.0</v>
      </c>
      <c r="AB65" s="3" t="n">
        <v>138418.0</v>
      </c>
      <c r="AC65" s="3" t="n">
        <v>135281.0</v>
      </c>
      <c r="AD65" s="3" t="n">
        <v>132563.0</v>
      </c>
      <c r="AE65" s="3" t="n">
        <v>130169.0</v>
      </c>
      <c r="AF65" s="3" t="n">
        <v>129449.0</v>
      </c>
      <c r="AG65" s="3" t="n">
        <v>128167.0</v>
      </c>
      <c r="AH65" s="3" t="n">
        <v>125929.0</v>
      </c>
      <c r="AI65" s="3" t="n">
        <v>123159.0</v>
      </c>
      <c r="AJ65" s="3" t="n">
        <v>119400.0</v>
      </c>
      <c r="AK65" s="3" t="n">
        <v>114425.0</v>
      </c>
      <c r="AL65" s="3" t="n">
        <v>109886.0</v>
      </c>
      <c r="AM65" s="3" t="n">
        <v>105680.0</v>
      </c>
      <c r="AN65" s="3" t="n">
        <v>101351.0</v>
      </c>
      <c r="AO65" s="3" t="n">
        <v>98256.0</v>
      </c>
    </row>
    <row r="66" spans="1:41" x14ac:dyDescent="0.2">
      <c r="A66" s="127"/>
      <c r="B66" s="53" t="s">
        <v>33</v>
      </c>
      <c r="C66" s="3" t="n">
        <v>109198.0</v>
      </c>
      <c r="D66" s="3" t="n">
        <v>109832.0</v>
      </c>
      <c r="E66" s="3" t="n">
        <v>109900.0</v>
      </c>
      <c r="F66" s="3" t="n">
        <v>108505.0</v>
      </c>
      <c r="G66" s="3" t="n">
        <v>106454.0</v>
      </c>
      <c r="H66" s="3" t="n">
        <v>104175.0</v>
      </c>
      <c r="I66" s="3" t="n">
        <v>101452.0</v>
      </c>
      <c r="J66" s="3" t="n">
        <v>99192.0</v>
      </c>
      <c r="K66" s="3" t="n">
        <v>97353.0</v>
      </c>
      <c r="L66" s="3" t="n">
        <v>96301.0</v>
      </c>
      <c r="M66" s="3" t="n">
        <v>95367.0</v>
      </c>
      <c r="N66" s="3" t="n">
        <v>94981.0</v>
      </c>
      <c r="O66" s="3" t="n">
        <v>95277.0</v>
      </c>
      <c r="P66" s="3" t="n">
        <v>96319.0</v>
      </c>
      <c r="Q66" s="3" t="n">
        <v>97769.0</v>
      </c>
      <c r="R66" s="3" t="n">
        <v>100316.0</v>
      </c>
      <c r="S66" s="3" t="n">
        <v>103261.0</v>
      </c>
      <c r="T66" s="3" t="n">
        <v>106834.0</v>
      </c>
      <c r="U66" s="3" t="n">
        <v>110365.0</v>
      </c>
      <c r="V66" s="3" t="n">
        <v>114411.0</v>
      </c>
      <c r="W66" s="3" t="n">
        <v>117537.0</v>
      </c>
      <c r="X66" s="3" t="n">
        <v>120820.0</v>
      </c>
      <c r="Y66" s="3" t="n">
        <v>123131.0</v>
      </c>
      <c r="Z66" s="3" t="n">
        <v>125432.0</v>
      </c>
      <c r="AA66" s="3" t="n">
        <v>126717.0</v>
      </c>
      <c r="AB66" s="3" t="n">
        <v>129105.0</v>
      </c>
      <c r="AC66" s="3" t="n">
        <v>132382.0</v>
      </c>
      <c r="AD66" s="3" t="n">
        <v>134752.0</v>
      </c>
      <c r="AE66" s="3" t="n">
        <v>135920.0</v>
      </c>
      <c r="AF66" s="3" t="n">
        <v>136137.0</v>
      </c>
      <c r="AG66" s="3" t="n">
        <v>134536.0</v>
      </c>
      <c r="AH66" s="3" t="n">
        <v>131541.0</v>
      </c>
      <c r="AI66" s="3" t="n">
        <v>128943.0</v>
      </c>
      <c r="AJ66" s="3" t="n">
        <v>126644.0</v>
      </c>
      <c r="AK66" s="3" t="n">
        <v>125982.0</v>
      </c>
      <c r="AL66" s="3" t="n">
        <v>124774.0</v>
      </c>
      <c r="AM66" s="3" t="n">
        <v>122657.0</v>
      </c>
      <c r="AN66" s="3" t="n">
        <v>120020.0</v>
      </c>
      <c r="AO66" s="3" t="n">
        <v>116415.0</v>
      </c>
    </row>
    <row r="67" spans="1:41" x14ac:dyDescent="0.2">
      <c r="A67" s="127"/>
      <c r="B67" s="52" t="s">
        <v>34</v>
      </c>
      <c r="C67" s="3" t="n">
        <v>93576.0</v>
      </c>
      <c r="D67" s="3" t="n">
        <v>95971.0</v>
      </c>
      <c r="E67" s="3" t="n">
        <v>97870.0</v>
      </c>
      <c r="F67" s="3" t="n">
        <v>100139.0</v>
      </c>
      <c r="G67" s="3" t="n">
        <v>101054.0</v>
      </c>
      <c r="H67" s="3" t="n">
        <v>102047.0</v>
      </c>
      <c r="I67" s="3" t="n">
        <v>103008.0</v>
      </c>
      <c r="J67" s="3" t="n">
        <v>103298.0</v>
      </c>
      <c r="K67" s="3" t="n">
        <v>102159.0</v>
      </c>
      <c r="L67" s="3" t="n">
        <v>100333.0</v>
      </c>
      <c r="M67" s="3" t="n">
        <v>98101.0</v>
      </c>
      <c r="N67" s="3" t="n">
        <v>95365.0</v>
      </c>
      <c r="O67" s="3" t="n">
        <v>93214.0</v>
      </c>
      <c r="P67" s="3" t="n">
        <v>91529.0</v>
      </c>
      <c r="Q67" s="3" t="n">
        <v>90608.0</v>
      </c>
      <c r="R67" s="3" t="n">
        <v>89798.0</v>
      </c>
      <c r="S67" s="3" t="n">
        <v>89492.0</v>
      </c>
      <c r="T67" s="3" t="n">
        <v>89865.0</v>
      </c>
      <c r="U67" s="3" t="n">
        <v>90937.0</v>
      </c>
      <c r="V67" s="3" t="n">
        <v>92417.0</v>
      </c>
      <c r="W67" s="3" t="n">
        <v>94925.0</v>
      </c>
      <c r="X67" s="3" t="n">
        <v>97800.0</v>
      </c>
      <c r="Y67" s="3" t="n">
        <v>101269.0</v>
      </c>
      <c r="Z67" s="3" t="n">
        <v>104720.0</v>
      </c>
      <c r="AA67" s="3" t="n">
        <v>108652.0</v>
      </c>
      <c r="AB67" s="3" t="n">
        <v>111715.0</v>
      </c>
      <c r="AC67" s="3" t="n">
        <v>114911.0</v>
      </c>
      <c r="AD67" s="3" t="n">
        <v>117185.0</v>
      </c>
      <c r="AE67" s="3" t="n">
        <v>119459.0</v>
      </c>
      <c r="AF67" s="3" t="n">
        <v>120769.0</v>
      </c>
      <c r="AG67" s="3" t="n">
        <v>123100.0</v>
      </c>
      <c r="AH67" s="3" t="n">
        <v>126321.0</v>
      </c>
      <c r="AI67" s="3" t="n">
        <v>128664.0</v>
      </c>
      <c r="AJ67" s="3" t="n">
        <v>129854.0</v>
      </c>
      <c r="AK67" s="3" t="n">
        <v>130102.0</v>
      </c>
      <c r="AL67" s="3" t="n">
        <v>128619.0</v>
      </c>
      <c r="AM67" s="3" t="n">
        <v>125835.0</v>
      </c>
      <c r="AN67" s="3" t="n">
        <v>123440.0</v>
      </c>
      <c r="AO67" s="3" t="n">
        <v>121318.0</v>
      </c>
    </row>
    <row r="68" spans="1:41" x14ac:dyDescent="0.2">
      <c r="A68" s="127"/>
      <c r="B68" s="52" t="s">
        <v>35</v>
      </c>
      <c r="C68" s="3" t="n">
        <v>62761.0</v>
      </c>
      <c r="D68" s="3" t="n">
        <v>67750.0</v>
      </c>
      <c r="E68" s="3" t="n">
        <v>72140.0</v>
      </c>
      <c r="F68" s="3" t="n">
        <v>76988.0</v>
      </c>
      <c r="G68" s="3" t="n">
        <v>80959.0</v>
      </c>
      <c r="H68" s="3" t="n">
        <v>83865.0</v>
      </c>
      <c r="I68" s="3" t="n">
        <v>86321.0</v>
      </c>
      <c r="J68" s="3" t="n">
        <v>88213.0</v>
      </c>
      <c r="K68" s="3" t="n">
        <v>90449.0</v>
      </c>
      <c r="L68" s="3" t="n">
        <v>91462.0</v>
      </c>
      <c r="M68" s="3" t="n">
        <v>92418.0</v>
      </c>
      <c r="N68" s="3" t="n">
        <v>93277.0</v>
      </c>
      <c r="O68" s="3" t="n">
        <v>93578.0</v>
      </c>
      <c r="P68" s="3" t="n">
        <v>92611.0</v>
      </c>
      <c r="Q68" s="3" t="n">
        <v>91035.0</v>
      </c>
      <c r="R68" s="3" t="n">
        <v>89102.0</v>
      </c>
      <c r="S68" s="3" t="n">
        <v>86696.0</v>
      </c>
      <c r="T68" s="3" t="n">
        <v>84878.0</v>
      </c>
      <c r="U68" s="3" t="n">
        <v>83451.0</v>
      </c>
      <c r="V68" s="3" t="n">
        <v>82717.0</v>
      </c>
      <c r="W68" s="3" t="n">
        <v>82086.0</v>
      </c>
      <c r="X68" s="3" t="n">
        <v>81925.0</v>
      </c>
      <c r="Y68" s="3" t="n">
        <v>82401.0</v>
      </c>
      <c r="Z68" s="3" t="n">
        <v>83496.0</v>
      </c>
      <c r="AA68" s="3" t="n">
        <v>84952.0</v>
      </c>
      <c r="AB68" s="3" t="n">
        <v>87384.0</v>
      </c>
      <c r="AC68" s="3" t="n">
        <v>90138.0</v>
      </c>
      <c r="AD68" s="3" t="n">
        <v>93456.0</v>
      </c>
      <c r="AE68" s="3" t="n">
        <v>96788.0</v>
      </c>
      <c r="AF68" s="3" t="n">
        <v>100548.0</v>
      </c>
      <c r="AG68" s="3" t="n">
        <v>103462.0</v>
      </c>
      <c r="AH68" s="3" t="n">
        <v>106536.0</v>
      </c>
      <c r="AI68" s="3" t="n">
        <v>108760.0</v>
      </c>
      <c r="AJ68" s="3" t="n">
        <v>110989.0</v>
      </c>
      <c r="AK68" s="3" t="n">
        <v>112335.0</v>
      </c>
      <c r="AL68" s="3" t="n">
        <v>114627.0</v>
      </c>
      <c r="AM68" s="3" t="n">
        <v>117767.0</v>
      </c>
      <c r="AN68" s="3" t="n">
        <v>120057.0</v>
      </c>
      <c r="AO68" s="3" t="n">
        <v>121266.0</v>
      </c>
    </row>
    <row r="69" spans="1:41" x14ac:dyDescent="0.2">
      <c r="A69" s="127"/>
      <c r="B69" s="52" t="s">
        <v>36</v>
      </c>
      <c r="C69" s="3" t="n">
        <v>46347.0</v>
      </c>
      <c r="D69" s="3" t="n">
        <v>44945.0</v>
      </c>
      <c r="E69" s="3" t="n">
        <v>44508.0</v>
      </c>
      <c r="F69" s="3" t="n">
        <v>44570.0</v>
      </c>
      <c r="G69" s="3" t="n">
        <v>47499.0</v>
      </c>
      <c r="H69" s="3" t="n">
        <v>52032.0</v>
      </c>
      <c r="I69" s="3" t="n">
        <v>56481.0</v>
      </c>
      <c r="J69" s="3" t="n">
        <v>60358.0</v>
      </c>
      <c r="K69" s="3" t="n">
        <v>64479.0</v>
      </c>
      <c r="L69" s="3" t="n">
        <v>67959.0</v>
      </c>
      <c r="M69" s="3" t="n">
        <v>70508.0</v>
      </c>
      <c r="N69" s="3" t="n">
        <v>72665.0</v>
      </c>
      <c r="O69" s="3" t="n">
        <v>74375.0</v>
      </c>
      <c r="P69" s="3" t="n">
        <v>76402.0</v>
      </c>
      <c r="Q69" s="3" t="n">
        <v>77440.0</v>
      </c>
      <c r="R69" s="3" t="n">
        <v>78417.0</v>
      </c>
      <c r="S69" s="3" t="n">
        <v>79281.0</v>
      </c>
      <c r="T69" s="3" t="n">
        <v>79662.0</v>
      </c>
      <c r="U69" s="3" t="n">
        <v>78996.0</v>
      </c>
      <c r="V69" s="3" t="n">
        <v>77771.0</v>
      </c>
      <c r="W69" s="3" t="n">
        <v>76258.0</v>
      </c>
      <c r="X69" s="3" t="n">
        <v>74373.0</v>
      </c>
      <c r="Y69" s="3" t="n">
        <v>72987.0</v>
      </c>
      <c r="Z69" s="3" t="n">
        <v>71919.0</v>
      </c>
      <c r="AA69" s="3" t="n">
        <v>71422.0</v>
      </c>
      <c r="AB69" s="3" t="n">
        <v>71032.0</v>
      </c>
      <c r="AC69" s="3" t="n">
        <v>71041.0</v>
      </c>
      <c r="AD69" s="3" t="n">
        <v>71604.0</v>
      </c>
      <c r="AE69" s="3" t="n">
        <v>72736.0</v>
      </c>
      <c r="AF69" s="3" t="n">
        <v>74173.0</v>
      </c>
      <c r="AG69" s="3" t="n">
        <v>76448.0</v>
      </c>
      <c r="AH69" s="3" t="n">
        <v>79032.0</v>
      </c>
      <c r="AI69" s="3" t="n">
        <v>82135.0</v>
      </c>
      <c r="AJ69" s="3" t="n">
        <v>85252.0</v>
      </c>
      <c r="AK69" s="3" t="n">
        <v>88707.0</v>
      </c>
      <c r="AL69" s="3" t="n">
        <v>91436.0</v>
      </c>
      <c r="AM69" s="3" t="n">
        <v>94299.0</v>
      </c>
      <c r="AN69" s="3" t="n">
        <v>96432.0</v>
      </c>
      <c r="AO69" s="3" t="n">
        <v>98572.0</v>
      </c>
    </row>
    <row r="70" spans="1:41" x14ac:dyDescent="0.2">
      <c r="A70" s="127"/>
      <c r="B70" s="52" t="s">
        <v>37</v>
      </c>
      <c r="C70" s="3" t="n">
        <v>33494.0</v>
      </c>
      <c r="D70" s="3" t="n">
        <v>33934.0</v>
      </c>
      <c r="E70" s="3" t="n">
        <v>34558.0</v>
      </c>
      <c r="F70" s="3" t="n">
        <v>34393.0</v>
      </c>
      <c r="G70" s="3" t="n">
        <v>33084.0</v>
      </c>
      <c r="H70" s="3" t="n">
        <v>31672.0</v>
      </c>
      <c r="I70" s="3" t="n">
        <v>31077.0</v>
      </c>
      <c r="J70" s="3" t="n">
        <v>31150.0</v>
      </c>
      <c r="K70" s="3" t="n">
        <v>31469.0</v>
      </c>
      <c r="L70" s="3" t="n">
        <v>33783.0</v>
      </c>
      <c r="M70" s="3" t="n">
        <v>37146.0</v>
      </c>
      <c r="N70" s="3" t="n">
        <v>40439.0</v>
      </c>
      <c r="O70" s="3" t="n">
        <v>43382.0</v>
      </c>
      <c r="P70" s="3" t="n">
        <v>46437.0</v>
      </c>
      <c r="Q70" s="3" t="n">
        <v>49143.0</v>
      </c>
      <c r="R70" s="3" t="n">
        <v>51195.0</v>
      </c>
      <c r="S70" s="3" t="n">
        <v>52957.0</v>
      </c>
      <c r="T70" s="3" t="n">
        <v>54409.0</v>
      </c>
      <c r="U70" s="3" t="n">
        <v>56128.0</v>
      </c>
      <c r="V70" s="3" t="n">
        <v>57134.0</v>
      </c>
      <c r="W70" s="3" t="n">
        <v>58096.0</v>
      </c>
      <c r="X70" s="3" t="n">
        <v>58965.0</v>
      </c>
      <c r="Y70" s="3" t="n">
        <v>59463.0</v>
      </c>
      <c r="Z70" s="3" t="n">
        <v>59191.0</v>
      </c>
      <c r="AA70" s="3" t="n">
        <v>58423.0</v>
      </c>
      <c r="AB70" s="3" t="n">
        <v>57503.0</v>
      </c>
      <c r="AC70" s="3" t="n">
        <v>56303.0</v>
      </c>
      <c r="AD70" s="3" t="n">
        <v>55464.0</v>
      </c>
      <c r="AE70" s="3" t="n">
        <v>54906.0</v>
      </c>
      <c r="AF70" s="3" t="n">
        <v>54744.0</v>
      </c>
      <c r="AG70" s="3" t="n">
        <v>54636.0</v>
      </c>
      <c r="AH70" s="3" t="n">
        <v>54867.0</v>
      </c>
      <c r="AI70" s="3" t="n">
        <v>55540.0</v>
      </c>
      <c r="AJ70" s="3" t="n">
        <v>56697.0</v>
      </c>
      <c r="AK70" s="3" t="n">
        <v>58063.0</v>
      </c>
      <c r="AL70" s="3" t="n">
        <v>60076.0</v>
      </c>
      <c r="AM70" s="3" t="n">
        <v>62334.0</v>
      </c>
      <c r="AN70" s="3" t="n">
        <v>65038.0</v>
      </c>
      <c r="AO70" s="3" t="n">
        <v>67716.0</v>
      </c>
    </row>
    <row r="71" spans="1:41" x14ac:dyDescent="0.2">
      <c r="A71" s="127"/>
      <c r="B71" s="52" t="s">
        <v>69</v>
      </c>
      <c r="C71" s="3" t="n">
        <v>14758.0</v>
      </c>
      <c r="D71" s="3" t="n">
        <v>15376.0</v>
      </c>
      <c r="E71" s="3" t="n">
        <v>15845.0</v>
      </c>
      <c r="F71" s="3" t="n">
        <v>16410.0</v>
      </c>
      <c r="G71" s="3" t="n">
        <v>17070.0</v>
      </c>
      <c r="H71" s="3" t="n">
        <v>17480.0</v>
      </c>
      <c r="I71" s="3" t="n">
        <v>17949.0</v>
      </c>
      <c r="J71" s="3" t="n">
        <v>18470.0</v>
      </c>
      <c r="K71" s="3" t="n">
        <v>18531.0</v>
      </c>
      <c r="L71" s="3" t="n">
        <v>17935.0</v>
      </c>
      <c r="M71" s="3" t="n">
        <v>17240.0</v>
      </c>
      <c r="N71" s="3" t="n">
        <v>17050.0</v>
      </c>
      <c r="O71" s="3" t="n">
        <v>17318.0</v>
      </c>
      <c r="P71" s="3" t="n">
        <v>17708.0</v>
      </c>
      <c r="Q71" s="3" t="n">
        <v>19231.0</v>
      </c>
      <c r="R71" s="3" t="n">
        <v>21351.0</v>
      </c>
      <c r="S71" s="3" t="n">
        <v>23404.0</v>
      </c>
      <c r="T71" s="3" t="n">
        <v>25297.0</v>
      </c>
      <c r="U71" s="3" t="n">
        <v>27225.0</v>
      </c>
      <c r="V71" s="3" t="n">
        <v>29019.0</v>
      </c>
      <c r="W71" s="3" t="n">
        <v>30449.0</v>
      </c>
      <c r="X71" s="3" t="n">
        <v>31698.0</v>
      </c>
      <c r="Y71" s="3" t="n">
        <v>32770.0</v>
      </c>
      <c r="Z71" s="3" t="n">
        <v>34029.0</v>
      </c>
      <c r="AA71" s="3" t="n">
        <v>34847.0</v>
      </c>
      <c r="AB71" s="3" t="n">
        <v>35699.0</v>
      </c>
      <c r="AC71" s="3" t="n">
        <v>36483.0</v>
      </c>
      <c r="AD71" s="3" t="n">
        <v>36960.0</v>
      </c>
      <c r="AE71" s="3" t="n">
        <v>37033.0</v>
      </c>
      <c r="AF71" s="3" t="n">
        <v>36749.0</v>
      </c>
      <c r="AG71" s="3" t="n">
        <v>36336.0</v>
      </c>
      <c r="AH71" s="3" t="n">
        <v>35826.0</v>
      </c>
      <c r="AI71" s="3" t="n">
        <v>35539.0</v>
      </c>
      <c r="AJ71" s="3" t="n">
        <v>35442.0</v>
      </c>
      <c r="AK71" s="3" t="n">
        <v>35567.0</v>
      </c>
      <c r="AL71" s="3" t="n">
        <v>35735.0</v>
      </c>
      <c r="AM71" s="3" t="n">
        <v>36121.0</v>
      </c>
      <c r="AN71" s="3" t="n">
        <v>36821.0</v>
      </c>
      <c r="AO71" s="3" t="n">
        <v>37815.0</v>
      </c>
    </row>
    <row r="72" spans="1:41" x14ac:dyDescent="0.2">
      <c r="A72" s="127"/>
      <c r="B72" s="55" t="s">
        <v>70</v>
      </c>
      <c r="C72" s="3" t="n">
        <v>3180.0</v>
      </c>
      <c r="D72" s="3" t="n">
        <v>3470.0</v>
      </c>
      <c r="E72" s="3" t="n">
        <v>3854.0</v>
      </c>
      <c r="F72" s="3" t="n">
        <v>4301.0</v>
      </c>
      <c r="G72" s="3" t="n">
        <v>4730.0</v>
      </c>
      <c r="H72" s="3" t="n">
        <v>5196.0</v>
      </c>
      <c r="I72" s="3" t="n">
        <v>5497.0</v>
      </c>
      <c r="J72" s="3" t="n">
        <v>5731.0</v>
      </c>
      <c r="K72" s="3" t="n">
        <v>6036.0</v>
      </c>
      <c r="L72" s="3" t="n">
        <v>6375.0</v>
      </c>
      <c r="M72" s="3" t="n">
        <v>6601.0</v>
      </c>
      <c r="N72" s="3" t="n">
        <v>6843.0</v>
      </c>
      <c r="O72" s="3" t="n">
        <v>7114.0</v>
      </c>
      <c r="P72" s="3" t="n">
        <v>7204.0</v>
      </c>
      <c r="Q72" s="3" t="n">
        <v>7035.0</v>
      </c>
      <c r="R72" s="3" t="n">
        <v>6830.0</v>
      </c>
      <c r="S72" s="3" t="n">
        <v>6856.0</v>
      </c>
      <c r="T72" s="3" t="n">
        <v>7114.0</v>
      </c>
      <c r="U72" s="3" t="n">
        <v>7408.0</v>
      </c>
      <c r="V72" s="3" t="n">
        <v>8185.0</v>
      </c>
      <c r="W72" s="3" t="n">
        <v>9213.0</v>
      </c>
      <c r="X72" s="3" t="n">
        <v>10225.0</v>
      </c>
      <c r="Y72" s="3" t="n">
        <v>11177.0</v>
      </c>
      <c r="Z72" s="3" t="n">
        <v>12128.0</v>
      </c>
      <c r="AA72" s="3" t="n">
        <v>13034.0</v>
      </c>
      <c r="AB72" s="3" t="n">
        <v>13822.0</v>
      </c>
      <c r="AC72" s="3" t="n">
        <v>14526.0</v>
      </c>
      <c r="AD72" s="3" t="n">
        <v>15143.0</v>
      </c>
      <c r="AE72" s="3" t="n">
        <v>15906.0</v>
      </c>
      <c r="AF72" s="3" t="n">
        <v>16452.0</v>
      </c>
      <c r="AG72" s="3" t="n">
        <v>16995.0</v>
      </c>
      <c r="AH72" s="3" t="n">
        <v>17555.0</v>
      </c>
      <c r="AI72" s="3" t="n">
        <v>17939.0</v>
      </c>
      <c r="AJ72" s="3" t="n">
        <v>18145.0</v>
      </c>
      <c r="AK72" s="3" t="n">
        <v>18132.0</v>
      </c>
      <c r="AL72" s="3" t="n">
        <v>18076.0</v>
      </c>
      <c r="AM72" s="3" t="n">
        <v>18006.0</v>
      </c>
      <c r="AN72" s="3" t="n">
        <v>18068.0</v>
      </c>
      <c r="AO72" s="3" t="n">
        <v>18192.0</v>
      </c>
    </row>
    <row r="73" spans="1:41" x14ac:dyDescent="0.2">
      <c r="A73" s="128"/>
      <c r="B73" s="54" t="s">
        <v>68</v>
      </c>
      <c r="C73" s="4" t="n">
        <v>378.0</v>
      </c>
      <c r="D73" s="4" t="n">
        <v>423.0</v>
      </c>
      <c r="E73" s="4" t="n">
        <v>453.0</v>
      </c>
      <c r="F73" s="4" t="n">
        <v>536.0</v>
      </c>
      <c r="G73" s="4" t="n">
        <v>606.0</v>
      </c>
      <c r="H73" s="4" t="n">
        <v>664.0</v>
      </c>
      <c r="I73" s="4" t="n">
        <v>749.0</v>
      </c>
      <c r="J73" s="4" t="n">
        <v>843.0</v>
      </c>
      <c r="K73" s="4" t="n">
        <v>966.0</v>
      </c>
      <c r="L73" s="4" t="n">
        <v>1080.0</v>
      </c>
      <c r="M73" s="4" t="n">
        <v>1203.0</v>
      </c>
      <c r="N73" s="4" t="n">
        <v>1292.0</v>
      </c>
      <c r="O73" s="4" t="n">
        <v>1374.0</v>
      </c>
      <c r="P73" s="4" t="n">
        <v>1486.0</v>
      </c>
      <c r="Q73" s="4" t="n">
        <v>1613.0</v>
      </c>
      <c r="R73" s="4" t="n">
        <v>1710.0</v>
      </c>
      <c r="S73" s="4" t="n">
        <v>1803.0</v>
      </c>
      <c r="T73" s="4" t="n">
        <v>1912.0</v>
      </c>
      <c r="U73" s="4" t="n">
        <v>1980.0</v>
      </c>
      <c r="V73" s="4" t="n">
        <v>1983.0</v>
      </c>
      <c r="W73" s="4" t="n">
        <v>1976.0</v>
      </c>
      <c r="X73" s="4" t="n">
        <v>2045.0</v>
      </c>
      <c r="Y73" s="4" t="n">
        <v>2198.0</v>
      </c>
      <c r="Z73" s="4" t="n">
        <v>2327.0</v>
      </c>
      <c r="AA73" s="4" t="n">
        <v>2589.0</v>
      </c>
      <c r="AB73" s="4" t="n">
        <v>2916.0</v>
      </c>
      <c r="AC73" s="4" t="n">
        <v>3258.0</v>
      </c>
      <c r="AD73" s="4" t="n">
        <v>3587.0</v>
      </c>
      <c r="AE73" s="4" t="n">
        <v>3918.0</v>
      </c>
      <c r="AF73" s="4" t="n">
        <v>4293.0</v>
      </c>
      <c r="AG73" s="4" t="n">
        <v>4641.0</v>
      </c>
      <c r="AH73" s="4" t="n">
        <v>4977.0</v>
      </c>
      <c r="AI73" s="4" t="n">
        <v>5297.0</v>
      </c>
      <c r="AJ73" s="4" t="n">
        <v>5681.0</v>
      </c>
      <c r="AK73" s="4" t="n">
        <v>6007.0</v>
      </c>
      <c r="AL73" s="4" t="n">
        <v>6332.0</v>
      </c>
      <c r="AM73" s="4" t="n">
        <v>6661.0</v>
      </c>
      <c r="AN73" s="4" t="n">
        <v>6931.0</v>
      </c>
      <c r="AO73" s="4" t="n">
        <v>7154.0</v>
      </c>
    </row>
  </sheetData>
  <mergeCells count="6">
    <mergeCell ref="A8:A29"/>
    <mergeCell ref="A30:A51"/>
    <mergeCell ref="A52:A73"/>
    <mergeCell ref="A1:B1"/>
    <mergeCell ref="A2:B2"/>
    <mergeCell ref="A3:B3"/>
  </mergeCells>
  <phoneticPr fontId="25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3"/>
      <c r="B1" s="133"/>
      <c r="C1" s="94" t="s">
        <v>64</v>
      </c>
      <c r="D1" s="94"/>
      <c r="E1" s="94"/>
      <c r="F1" s="94"/>
      <c r="G1" s="94"/>
      <c r="H1" s="94"/>
      <c r="I1" s="94"/>
      <c r="J1" s="94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</row>
    <row r="2" spans="1:41" ht="12" customHeight="1" x14ac:dyDescent="0.2">
      <c r="A2" s="124" t="s">
        <v>82</v>
      </c>
      <c r="B2" s="124"/>
      <c r="C2" s="29"/>
      <c r="D2" s="26" t="s">
        <v>40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125" t="s">
        <v>83</v>
      </c>
      <c r="B3" s="125"/>
      <c r="D3" s="19" t="s">
        <v>65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41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48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105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20" t="s">
        <v>52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30" t="s">
        <v>46</v>
      </c>
      <c r="B8" s="59" t="s">
        <v>62</v>
      </c>
      <c r="C8" s="57" t="n">
        <v>3429014.0</v>
      </c>
      <c r="D8" s="57" t="n">
        <v>3430361.0</v>
      </c>
      <c r="E8" s="57" t="n">
        <v>3432698.0</v>
      </c>
      <c r="F8" s="57" t="n">
        <v>3435619.0</v>
      </c>
      <c r="G8" s="57" t="n">
        <v>3439093.0</v>
      </c>
      <c r="H8" s="57" t="n">
        <v>3456350.0</v>
      </c>
      <c r="I8" s="57" t="n">
        <v>3478788.0</v>
      </c>
      <c r="J8" s="57" t="n">
        <v>3490538.0</v>
      </c>
      <c r="K8" s="57" t="n">
        <v>3496654.0</v>
      </c>
      <c r="L8" s="57" t="n">
        <v>3500645.0</v>
      </c>
      <c r="M8" s="57" t="n">
        <v>3503222.0</v>
      </c>
      <c r="N8" s="57" t="n">
        <v>3504826.0</v>
      </c>
      <c r="O8" s="57" t="n">
        <v>3505452.0</v>
      </c>
      <c r="P8" s="57" t="n">
        <v>3505638.0</v>
      </c>
      <c r="Q8" s="57" t="n">
        <v>3505601.0</v>
      </c>
      <c r="R8" s="57" t="n">
        <v>3505303.0</v>
      </c>
      <c r="S8" s="57" t="n">
        <v>3504832.0</v>
      </c>
      <c r="T8" s="57" t="n">
        <v>3504305.0</v>
      </c>
      <c r="U8" s="57" t="n">
        <v>3503693.0</v>
      </c>
      <c r="V8" s="57" t="n">
        <v>3503292.0</v>
      </c>
      <c r="W8" s="57" t="n">
        <v>3502945.0</v>
      </c>
      <c r="X8" s="57" t="n">
        <v>3502554.0</v>
      </c>
      <c r="Y8" s="57" t="n">
        <v>3502396.0</v>
      </c>
      <c r="Z8" s="57" t="n">
        <v>3501931.0</v>
      </c>
      <c r="AA8" s="57" t="n">
        <v>3501425.0</v>
      </c>
      <c r="AB8" s="57" t="n">
        <v>3501031.0</v>
      </c>
      <c r="AC8" s="57" t="n">
        <v>3500425.0</v>
      </c>
      <c r="AD8" s="57" t="n">
        <v>3499641.0</v>
      </c>
      <c r="AE8" s="57" t="n">
        <v>3498662.0</v>
      </c>
      <c r="AF8" s="57" t="n">
        <v>3497419.0</v>
      </c>
      <c r="AG8" s="57" t="n">
        <v>3495862.0</v>
      </c>
      <c r="AH8" s="57" t="n">
        <v>3494207.0</v>
      </c>
      <c r="AI8" s="57" t="n">
        <v>3492184.0</v>
      </c>
      <c r="AJ8" s="57" t="n">
        <v>3490127.0</v>
      </c>
      <c r="AK8" s="57" t="n">
        <v>3487547.0</v>
      </c>
      <c r="AL8" s="57" t="n">
        <v>3484688.0</v>
      </c>
      <c r="AM8" s="57" t="n">
        <v>3481818.0</v>
      </c>
      <c r="AN8" s="57" t="n">
        <v>3478783.0</v>
      </c>
      <c r="AO8" s="57" t="n">
        <v>3475560.0</v>
      </c>
    </row>
    <row r="9" spans="1:41" x14ac:dyDescent="0.2">
      <c r="A9" s="131"/>
      <c r="B9" s="52" t="s">
        <v>8</v>
      </c>
      <c r="C9" s="3" t="n">
        <v>662369.0</v>
      </c>
      <c r="D9" s="3" t="n">
        <v>662344.0</v>
      </c>
      <c r="E9" s="3" t="n">
        <v>662373.0</v>
      </c>
      <c r="F9" s="3" t="n">
        <v>660912.0</v>
      </c>
      <c r="G9" s="3" t="n">
        <v>657007.0</v>
      </c>
      <c r="H9" s="3" t="n">
        <v>658226.0</v>
      </c>
      <c r="I9" s="3" t="n">
        <v>661786.0</v>
      </c>
      <c r="J9" s="3" t="n">
        <v>662470.0</v>
      </c>
      <c r="K9" s="3" t="n">
        <v>660840.0</v>
      </c>
      <c r="L9" s="3" t="n">
        <v>659486.0</v>
      </c>
      <c r="M9" s="3" t="n">
        <v>657044.0</v>
      </c>
      <c r="N9" s="3" t="n">
        <v>653642.0</v>
      </c>
      <c r="O9" s="3" t="n">
        <v>648667.0</v>
      </c>
      <c r="P9" s="3" t="n">
        <v>642137.0</v>
      </c>
      <c r="Q9" s="3" t="n">
        <v>636263.0</v>
      </c>
      <c r="R9" s="3" t="n">
        <v>631644.0</v>
      </c>
      <c r="S9" s="3" t="n">
        <v>629311.0</v>
      </c>
      <c r="T9" s="3" t="n">
        <v>628564.0</v>
      </c>
      <c r="U9" s="3" t="n">
        <v>630977.0</v>
      </c>
      <c r="V9" s="3" t="n">
        <v>632281.0</v>
      </c>
      <c r="W9" s="3" t="n">
        <v>633415.0</v>
      </c>
      <c r="X9" s="3" t="n">
        <v>634399.0</v>
      </c>
      <c r="Y9" s="3" t="n">
        <v>635502.0</v>
      </c>
      <c r="Z9" s="3" t="n">
        <v>636923.0</v>
      </c>
      <c r="AA9" s="3" t="n">
        <v>638528.0</v>
      </c>
      <c r="AB9" s="3" t="n">
        <v>640165.0</v>
      </c>
      <c r="AC9" s="3" t="n">
        <v>641866.0</v>
      </c>
      <c r="AD9" s="3" t="n">
        <v>643620.0</v>
      </c>
      <c r="AE9" s="3" t="n">
        <v>645431.0</v>
      </c>
      <c r="AF9" s="3" t="n">
        <v>647310.0</v>
      </c>
      <c r="AG9" s="3" t="n">
        <v>649157.0</v>
      </c>
      <c r="AH9" s="3" t="n">
        <v>650874.0</v>
      </c>
      <c r="AI9" s="3" t="n">
        <v>652315.0</v>
      </c>
      <c r="AJ9" s="3" t="n">
        <v>653415.0</v>
      </c>
      <c r="AK9" s="3" t="n">
        <v>654134.0</v>
      </c>
      <c r="AL9" s="3" t="n">
        <v>654376.0</v>
      </c>
      <c r="AM9" s="3" t="n">
        <v>654179.0</v>
      </c>
      <c r="AN9" s="3" t="n">
        <v>653570.0</v>
      </c>
      <c r="AO9" s="3" t="n">
        <v>652587.0</v>
      </c>
    </row>
    <row r="10" spans="1:41" x14ac:dyDescent="0.2">
      <c r="A10" s="131"/>
      <c r="B10" s="52" t="s">
        <v>9</v>
      </c>
      <c r="C10" s="3" t="n">
        <v>2045737.0</v>
      </c>
      <c r="D10" s="3" t="n">
        <v>2035297.0</v>
      </c>
      <c r="E10" s="3" t="n">
        <v>2026260.0</v>
      </c>
      <c r="F10" s="3" t="n">
        <v>2020437.0</v>
      </c>
      <c r="G10" s="3" t="n">
        <v>2018860.0</v>
      </c>
      <c r="H10" s="3" t="n">
        <v>2025430.0</v>
      </c>
      <c r="I10" s="3" t="n">
        <v>2034708.0</v>
      </c>
      <c r="J10" s="3" t="n">
        <v>2036701.0</v>
      </c>
      <c r="K10" s="3" t="n">
        <v>2035629.0</v>
      </c>
      <c r="L10" s="3" t="n">
        <v>2032655.0</v>
      </c>
      <c r="M10" s="3" t="n">
        <v>2028719.0</v>
      </c>
      <c r="N10" s="3" t="n">
        <v>2024340.0</v>
      </c>
      <c r="O10" s="3" t="n">
        <v>2019672.0</v>
      </c>
      <c r="P10" s="3" t="n">
        <v>2015378.0</v>
      </c>
      <c r="Q10" s="3" t="n">
        <v>2009252.0</v>
      </c>
      <c r="R10" s="3" t="n">
        <v>2001748.0</v>
      </c>
      <c r="S10" s="3" t="n">
        <v>1990750.0</v>
      </c>
      <c r="T10" s="3" t="n">
        <v>1977094.0</v>
      </c>
      <c r="U10" s="3" t="n">
        <v>1959698.0</v>
      </c>
      <c r="V10" s="3" t="n">
        <v>1943238.0</v>
      </c>
      <c r="W10" s="3" t="n">
        <v>1926042.0</v>
      </c>
      <c r="X10" s="3" t="n">
        <v>1907179.0</v>
      </c>
      <c r="Y10" s="3" t="n">
        <v>1888644.0</v>
      </c>
      <c r="Z10" s="3" t="n">
        <v>1870451.0</v>
      </c>
      <c r="AA10" s="3" t="n">
        <v>1853919.0</v>
      </c>
      <c r="AB10" s="3" t="n">
        <v>1837151.0</v>
      </c>
      <c r="AC10" s="3" t="n">
        <v>1819452.0</v>
      </c>
      <c r="AD10" s="3" t="n">
        <v>1801975.0</v>
      </c>
      <c r="AE10" s="3" t="n">
        <v>1785262.0</v>
      </c>
      <c r="AF10" s="3" t="n">
        <v>1768869.0</v>
      </c>
      <c r="AG10" s="3" t="n">
        <v>1754337.0</v>
      </c>
      <c r="AH10" s="3" t="n">
        <v>1740662.0</v>
      </c>
      <c r="AI10" s="3" t="n">
        <v>1728315.0</v>
      </c>
      <c r="AJ10" s="3" t="n">
        <v>1717276.0</v>
      </c>
      <c r="AK10" s="3" t="n">
        <v>1707256.0</v>
      </c>
      <c r="AL10" s="3" t="n">
        <v>1699528.0</v>
      </c>
      <c r="AM10" s="3" t="n">
        <v>1693854.0</v>
      </c>
      <c r="AN10" s="3" t="n">
        <v>1690020.0</v>
      </c>
      <c r="AO10" s="3" t="n">
        <v>1687774.0</v>
      </c>
    </row>
    <row r="11" spans="1:41" x14ac:dyDescent="0.2">
      <c r="A11" s="131"/>
      <c r="B11" s="52" t="s">
        <v>11</v>
      </c>
      <c r="C11" s="3" t="n">
        <v>1287491.0</v>
      </c>
      <c r="D11" s="3" t="n">
        <v>1268690.0</v>
      </c>
      <c r="E11" s="3" t="n">
        <v>1249671.0</v>
      </c>
      <c r="F11" s="3" t="n">
        <v>1232002.0</v>
      </c>
      <c r="G11" s="3" t="n">
        <v>1218195.0</v>
      </c>
      <c r="H11" s="3" t="n">
        <v>1208026.0</v>
      </c>
      <c r="I11" s="3" t="n">
        <v>1197218.0</v>
      </c>
      <c r="J11" s="3" t="n">
        <v>1181598.0</v>
      </c>
      <c r="K11" s="3" t="n">
        <v>1165360.0</v>
      </c>
      <c r="L11" s="3" t="n">
        <v>1149767.0</v>
      </c>
      <c r="M11" s="3" t="n">
        <v>1135904.0</v>
      </c>
      <c r="N11" s="3" t="n">
        <v>1122297.0</v>
      </c>
      <c r="O11" s="3" t="n">
        <v>1110757.0</v>
      </c>
      <c r="P11" s="3" t="n">
        <v>1100750.0</v>
      </c>
      <c r="Q11" s="3" t="n">
        <v>1089635.0</v>
      </c>
      <c r="R11" s="3" t="n">
        <v>1080020.0</v>
      </c>
      <c r="S11" s="3" t="n">
        <v>1070661.0</v>
      </c>
      <c r="T11" s="3" t="n">
        <v>1061514.0</v>
      </c>
      <c r="U11" s="3" t="n">
        <v>1052313.0</v>
      </c>
      <c r="V11" s="3" t="n">
        <v>1046195.0</v>
      </c>
      <c r="W11" s="3" t="n">
        <v>1042348.0</v>
      </c>
      <c r="X11" s="3" t="n">
        <v>1040166.0</v>
      </c>
      <c r="Y11" s="3" t="n">
        <v>1039739.0</v>
      </c>
      <c r="Z11" s="3" t="n">
        <v>1039219.0</v>
      </c>
      <c r="AA11" s="3" t="n">
        <v>1040316.0</v>
      </c>
      <c r="AB11" s="3" t="n">
        <v>1042729.0</v>
      </c>
      <c r="AC11" s="3" t="n">
        <v>1045688.0</v>
      </c>
      <c r="AD11" s="3" t="n">
        <v>1048086.0</v>
      </c>
      <c r="AE11" s="3" t="n">
        <v>1049155.0</v>
      </c>
      <c r="AF11" s="3" t="n">
        <v>1049138.0</v>
      </c>
      <c r="AG11" s="3" t="n">
        <v>1046765.0</v>
      </c>
      <c r="AH11" s="3" t="n">
        <v>1041249.0</v>
      </c>
      <c r="AI11" s="3" t="n">
        <v>1034708.0</v>
      </c>
      <c r="AJ11" s="3" t="n">
        <v>1028450.0</v>
      </c>
      <c r="AK11" s="3" t="n">
        <v>1024056.0</v>
      </c>
      <c r="AL11" s="3" t="n">
        <v>1020049.0</v>
      </c>
      <c r="AM11" s="3" t="n">
        <v>1017538.0</v>
      </c>
      <c r="AN11" s="3" t="n">
        <v>1014909.0</v>
      </c>
      <c r="AO11" s="3" t="n">
        <v>1012211.0</v>
      </c>
    </row>
    <row r="12" spans="1:41" x14ac:dyDescent="0.2">
      <c r="A12" s="131"/>
      <c r="B12" s="52" t="s">
        <v>12</v>
      </c>
      <c r="C12" s="3" t="n">
        <v>758246.0</v>
      </c>
      <c r="D12" s="3" t="n">
        <v>766607.0</v>
      </c>
      <c r="E12" s="3" t="n">
        <v>776589.0</v>
      </c>
      <c r="F12" s="3" t="n">
        <v>788435.0</v>
      </c>
      <c r="G12" s="3" t="n">
        <v>800665.0</v>
      </c>
      <c r="H12" s="3" t="n">
        <v>817404.0</v>
      </c>
      <c r="I12" s="3" t="n">
        <v>837490.0</v>
      </c>
      <c r="J12" s="3" t="n">
        <v>855103.0</v>
      </c>
      <c r="K12" s="3" t="n">
        <v>870269.0</v>
      </c>
      <c r="L12" s="3" t="n">
        <v>882888.0</v>
      </c>
      <c r="M12" s="3" t="n">
        <v>892815.0</v>
      </c>
      <c r="N12" s="3" t="n">
        <v>902043.0</v>
      </c>
      <c r="O12" s="3" t="n">
        <v>908915.0</v>
      </c>
      <c r="P12" s="3" t="n">
        <v>914628.0</v>
      </c>
      <c r="Q12" s="3" t="n">
        <v>919617.0</v>
      </c>
      <c r="R12" s="3" t="n">
        <v>921728.0</v>
      </c>
      <c r="S12" s="3" t="n">
        <v>920089.0</v>
      </c>
      <c r="T12" s="3" t="n">
        <v>915580.0</v>
      </c>
      <c r="U12" s="3" t="n">
        <v>907385.0</v>
      </c>
      <c r="V12" s="3" t="n">
        <v>897043.0</v>
      </c>
      <c r="W12" s="3" t="n">
        <v>883694.0</v>
      </c>
      <c r="X12" s="3" t="n">
        <v>867013.0</v>
      </c>
      <c r="Y12" s="3" t="n">
        <v>848905.0</v>
      </c>
      <c r="Z12" s="3" t="n">
        <v>831232.0</v>
      </c>
      <c r="AA12" s="3" t="n">
        <v>813603.0</v>
      </c>
      <c r="AB12" s="3" t="n">
        <v>794422.0</v>
      </c>
      <c r="AC12" s="3" t="n">
        <v>773764.0</v>
      </c>
      <c r="AD12" s="3" t="n">
        <v>753889.0</v>
      </c>
      <c r="AE12" s="3" t="n">
        <v>736107.0</v>
      </c>
      <c r="AF12" s="3" t="n">
        <v>719731.0</v>
      </c>
      <c r="AG12" s="3" t="n">
        <v>707572.0</v>
      </c>
      <c r="AH12" s="3" t="n">
        <v>699413.0</v>
      </c>
      <c r="AI12" s="3" t="n">
        <v>693607.0</v>
      </c>
      <c r="AJ12" s="3" t="n">
        <v>688826.0</v>
      </c>
      <c r="AK12" s="3" t="n">
        <v>683200.0</v>
      </c>
      <c r="AL12" s="3" t="n">
        <v>679479.0</v>
      </c>
      <c r="AM12" s="3" t="n">
        <v>676316.0</v>
      </c>
      <c r="AN12" s="3" t="n">
        <v>675111.0</v>
      </c>
      <c r="AO12" s="3" t="n">
        <v>675563.0</v>
      </c>
    </row>
    <row r="13" spans="1:41" x14ac:dyDescent="0.2">
      <c r="A13" s="131"/>
      <c r="B13" s="52" t="s">
        <v>10</v>
      </c>
      <c r="C13" s="3" t="n">
        <v>720908.0</v>
      </c>
      <c r="D13" s="3" t="n">
        <v>732720.0</v>
      </c>
      <c r="E13" s="3" t="n">
        <v>744065.0</v>
      </c>
      <c r="F13" s="3" t="n">
        <v>754270.0</v>
      </c>
      <c r="G13" s="3" t="n">
        <v>763226.0</v>
      </c>
      <c r="H13" s="3" t="n">
        <v>772694.0</v>
      </c>
      <c r="I13" s="3" t="n">
        <v>782294.0</v>
      </c>
      <c r="J13" s="3" t="n">
        <v>791367.0</v>
      </c>
      <c r="K13" s="3" t="n">
        <v>800185.0</v>
      </c>
      <c r="L13" s="3" t="n">
        <v>808504.0</v>
      </c>
      <c r="M13" s="3" t="n">
        <v>817459.0</v>
      </c>
      <c r="N13" s="3" t="n">
        <v>826844.0</v>
      </c>
      <c r="O13" s="3" t="n">
        <v>837113.0</v>
      </c>
      <c r="P13" s="3" t="n">
        <v>848123.0</v>
      </c>
      <c r="Q13" s="3" t="n">
        <v>860086.0</v>
      </c>
      <c r="R13" s="3" t="n">
        <v>871911.0</v>
      </c>
      <c r="S13" s="3" t="n">
        <v>884771.0</v>
      </c>
      <c r="T13" s="3" t="n">
        <v>898647.0</v>
      </c>
      <c r="U13" s="3" t="n">
        <v>913018.0</v>
      </c>
      <c r="V13" s="3" t="n">
        <v>927773.0</v>
      </c>
      <c r="W13" s="3" t="n">
        <v>943488.0</v>
      </c>
      <c r="X13" s="3" t="n">
        <v>960976.0</v>
      </c>
      <c r="Y13" s="3" t="n">
        <v>978250.0</v>
      </c>
      <c r="Z13" s="3" t="n">
        <v>994557.0</v>
      </c>
      <c r="AA13" s="3" t="n">
        <v>1008978.0</v>
      </c>
      <c r="AB13" s="3" t="n">
        <v>1023715.0</v>
      </c>
      <c r="AC13" s="3" t="n">
        <v>1039107.0</v>
      </c>
      <c r="AD13" s="3" t="n">
        <v>1054046.0</v>
      </c>
      <c r="AE13" s="3" t="n">
        <v>1067969.0</v>
      </c>
      <c r="AF13" s="3" t="n">
        <v>1081240.0</v>
      </c>
      <c r="AG13" s="3" t="n">
        <v>1092368.0</v>
      </c>
      <c r="AH13" s="3" t="n">
        <v>1102671.0</v>
      </c>
      <c r="AI13" s="3" t="n">
        <v>1111554.0</v>
      </c>
      <c r="AJ13" s="3" t="n">
        <v>1119436.0</v>
      </c>
      <c r="AK13" s="3" t="n">
        <v>1126157.0</v>
      </c>
      <c r="AL13" s="3" t="n">
        <v>1130784.0</v>
      </c>
      <c r="AM13" s="3" t="n">
        <v>1133785.0</v>
      </c>
      <c r="AN13" s="3" t="n">
        <v>1135193.0</v>
      </c>
      <c r="AO13" s="3" t="n">
        <v>1135199.0</v>
      </c>
    </row>
    <row r="14" spans="1:41" x14ac:dyDescent="0.2">
      <c r="A14" s="131"/>
      <c r="B14" s="52" t="s">
        <v>0</v>
      </c>
      <c r="C14" s="3" t="n">
        <v>99461.0</v>
      </c>
      <c r="D14" s="3" t="n">
        <v>96942.0</v>
      </c>
      <c r="E14" s="3" t="n">
        <v>96243.0</v>
      </c>
      <c r="F14" s="3" t="n">
        <v>98789.0</v>
      </c>
      <c r="G14" s="3" t="n">
        <v>100066.0</v>
      </c>
      <c r="H14" s="3" t="n">
        <v>101513.0</v>
      </c>
      <c r="I14" s="3" t="n">
        <v>102704.0</v>
      </c>
      <c r="J14" s="3" t="n">
        <v>103093.0</v>
      </c>
      <c r="K14" s="3" t="n">
        <v>103164.0</v>
      </c>
      <c r="L14" s="3" t="n">
        <v>103077.0</v>
      </c>
      <c r="M14" s="3" t="n">
        <v>102682.0</v>
      </c>
      <c r="N14" s="3" t="n">
        <v>102094.0</v>
      </c>
      <c r="O14" s="3" t="n">
        <v>101380.0</v>
      </c>
      <c r="P14" s="3" t="n">
        <v>100753.0</v>
      </c>
      <c r="Q14" s="3" t="n">
        <v>100334.0</v>
      </c>
      <c r="R14" s="3" t="n">
        <v>100216.0</v>
      </c>
      <c r="S14" s="3" t="n">
        <v>100387.0</v>
      </c>
      <c r="T14" s="3" t="n">
        <v>100861.0</v>
      </c>
      <c r="U14" s="3" t="n">
        <v>101537.0</v>
      </c>
      <c r="V14" s="3" t="n">
        <v>102393.0</v>
      </c>
      <c r="W14" s="3" t="n">
        <v>103295.0</v>
      </c>
      <c r="X14" s="3" t="n">
        <v>104193.0</v>
      </c>
      <c r="Y14" s="3" t="n">
        <v>105018.0</v>
      </c>
      <c r="Z14" s="3" t="n">
        <v>105734.0</v>
      </c>
      <c r="AA14" s="3" t="n">
        <v>106301.0</v>
      </c>
      <c r="AB14" s="3" t="n">
        <v>106694.0</v>
      </c>
      <c r="AC14" s="3" t="n">
        <v>106916.0</v>
      </c>
      <c r="AD14" s="3" t="n">
        <v>106969.0</v>
      </c>
      <c r="AE14" s="3" t="n">
        <v>106804.0</v>
      </c>
      <c r="AF14" s="3" t="n">
        <v>106495.0</v>
      </c>
      <c r="AG14" s="3" t="n">
        <v>106030.0</v>
      </c>
      <c r="AH14" s="3" t="n">
        <v>105475.0</v>
      </c>
      <c r="AI14" s="3" t="n">
        <v>104804.0</v>
      </c>
      <c r="AJ14" s="3" t="n">
        <v>104107.0</v>
      </c>
      <c r="AK14" s="3" t="n">
        <v>103447.0</v>
      </c>
      <c r="AL14" s="3" t="n">
        <v>102850.0</v>
      </c>
      <c r="AM14" s="3" t="n">
        <v>102321.0</v>
      </c>
      <c r="AN14" s="3" t="n">
        <v>101928.0</v>
      </c>
      <c r="AO14" s="3" t="n">
        <v>101660.0</v>
      </c>
    </row>
    <row r="15" spans="1:41" x14ac:dyDescent="0.2">
      <c r="A15" s="131"/>
      <c r="B15" s="52" t="s">
        <v>1</v>
      </c>
      <c r="C15" s="3" t="n">
        <v>154063.0</v>
      </c>
      <c r="D15" s="3" t="n">
        <v>151495.0</v>
      </c>
      <c r="E15" s="3" t="n">
        <v>146384.0</v>
      </c>
      <c r="F15" s="3" t="n">
        <v>139170.0</v>
      </c>
      <c r="G15" s="3" t="n">
        <v>134701.0</v>
      </c>
      <c r="H15" s="3" t="n">
        <v>134182.0</v>
      </c>
      <c r="I15" s="3" t="n">
        <v>135752.0</v>
      </c>
      <c r="J15" s="3" t="n">
        <v>139292.0</v>
      </c>
      <c r="K15" s="3" t="n">
        <v>140692.0</v>
      </c>
      <c r="L15" s="3" t="n">
        <v>141335.0</v>
      </c>
      <c r="M15" s="3" t="n">
        <v>141477.0</v>
      </c>
      <c r="N15" s="3" t="n">
        <v>141318.0</v>
      </c>
      <c r="O15" s="3" t="n">
        <v>141148.0</v>
      </c>
      <c r="P15" s="3" t="n">
        <v>140822.0</v>
      </c>
      <c r="Q15" s="3" t="n">
        <v>140220.0</v>
      </c>
      <c r="R15" s="3" t="n">
        <v>139485.0</v>
      </c>
      <c r="S15" s="3" t="n">
        <v>138724.0</v>
      </c>
      <c r="T15" s="3" t="n">
        <v>138160.0</v>
      </c>
      <c r="U15" s="3" t="n">
        <v>137916.0</v>
      </c>
      <c r="V15" s="3" t="n">
        <v>138028.0</v>
      </c>
      <c r="W15" s="3" t="n">
        <v>138534.0</v>
      </c>
      <c r="X15" s="3" t="n">
        <v>139343.0</v>
      </c>
      <c r="Y15" s="3" t="n">
        <v>140382.0</v>
      </c>
      <c r="Z15" s="3" t="n">
        <v>141566.0</v>
      </c>
      <c r="AA15" s="3" t="n">
        <v>142781.0</v>
      </c>
      <c r="AB15" s="3" t="n">
        <v>143954.0</v>
      </c>
      <c r="AC15" s="3" t="n">
        <v>144991.0</v>
      </c>
      <c r="AD15" s="3" t="n">
        <v>145859.0</v>
      </c>
      <c r="AE15" s="3" t="n">
        <v>146513.0</v>
      </c>
      <c r="AF15" s="3" t="n">
        <v>146930.0</v>
      </c>
      <c r="AG15" s="3" t="n">
        <v>147114.0</v>
      </c>
      <c r="AH15" s="3" t="n">
        <v>147022.0</v>
      </c>
      <c r="AI15" s="3" t="n">
        <v>146711.0</v>
      </c>
      <c r="AJ15" s="3" t="n">
        <v>146203.0</v>
      </c>
      <c r="AK15" s="3" t="n">
        <v>145480.0</v>
      </c>
      <c r="AL15" s="3" t="n">
        <v>144665.0</v>
      </c>
      <c r="AM15" s="3" t="n">
        <v>143787.0</v>
      </c>
      <c r="AN15" s="3" t="n">
        <v>142894.0</v>
      </c>
      <c r="AO15" s="3" t="n">
        <v>142043.0</v>
      </c>
    </row>
    <row r="16" spans="1:41" x14ac:dyDescent="0.2">
      <c r="A16" s="131"/>
      <c r="B16" s="53" t="s">
        <v>18</v>
      </c>
      <c r="C16" s="3" t="n">
        <v>305059.0</v>
      </c>
      <c r="D16" s="3" t="n">
        <v>304567.0</v>
      </c>
      <c r="E16" s="3" t="n">
        <v>304683.0</v>
      </c>
      <c r="F16" s="3" t="n">
        <v>304392.0</v>
      </c>
      <c r="G16" s="3" t="n">
        <v>304723.0</v>
      </c>
      <c r="H16" s="3" t="n">
        <v>306055.0</v>
      </c>
      <c r="I16" s="3" t="n">
        <v>308572.0</v>
      </c>
      <c r="J16" s="3" t="n">
        <v>305560.0</v>
      </c>
      <c r="K16" s="3" t="n">
        <v>302526.0</v>
      </c>
      <c r="L16" s="3" t="n">
        <v>298369.0</v>
      </c>
      <c r="M16" s="3" t="n">
        <v>293014.0</v>
      </c>
      <c r="N16" s="3" t="n">
        <v>288335.0</v>
      </c>
      <c r="O16" s="3" t="n">
        <v>284608.0</v>
      </c>
      <c r="P16" s="3" t="n">
        <v>282943.0</v>
      </c>
      <c r="Q16" s="3" t="n">
        <v>282628.0</v>
      </c>
      <c r="R16" s="3" t="n">
        <v>285118.0</v>
      </c>
      <c r="S16" s="3" t="n">
        <v>286050.0</v>
      </c>
      <c r="T16" s="3" t="n">
        <v>286260.0</v>
      </c>
      <c r="U16" s="3" t="n">
        <v>285809.0</v>
      </c>
      <c r="V16" s="3" t="n">
        <v>285015.0</v>
      </c>
      <c r="W16" s="3" t="n">
        <v>284233.0</v>
      </c>
      <c r="X16" s="3" t="n">
        <v>283478.0</v>
      </c>
      <c r="Y16" s="3" t="n">
        <v>282783.0</v>
      </c>
      <c r="Z16" s="3" t="n">
        <v>282305.0</v>
      </c>
      <c r="AA16" s="3" t="n">
        <v>282173.0</v>
      </c>
      <c r="AB16" s="3" t="n">
        <v>282546.0</v>
      </c>
      <c r="AC16" s="3" t="n">
        <v>283438.0</v>
      </c>
      <c r="AD16" s="3" t="n">
        <v>284815.0</v>
      </c>
      <c r="AE16" s="3" t="n">
        <v>286589.0</v>
      </c>
      <c r="AF16" s="3" t="n">
        <v>288618.0</v>
      </c>
      <c r="AG16" s="3" t="n">
        <v>290718.0</v>
      </c>
      <c r="AH16" s="3" t="n">
        <v>292793.0</v>
      </c>
      <c r="AI16" s="3" t="n">
        <v>294652.0</v>
      </c>
      <c r="AJ16" s="3" t="n">
        <v>296209.0</v>
      </c>
      <c r="AK16" s="3" t="n">
        <v>297399.0</v>
      </c>
      <c r="AL16" s="3" t="n">
        <v>298119.0</v>
      </c>
      <c r="AM16" s="3" t="n">
        <v>298419.0</v>
      </c>
      <c r="AN16" s="3" t="n">
        <v>298277.0</v>
      </c>
      <c r="AO16" s="3" t="n">
        <v>297718.0</v>
      </c>
    </row>
    <row r="17" spans="1:41" x14ac:dyDescent="0.2">
      <c r="A17" s="131"/>
      <c r="B17" s="52" t="s">
        <v>19</v>
      </c>
      <c r="C17" s="3" t="n">
        <v>136318.0</v>
      </c>
      <c r="D17" s="3" t="n">
        <v>142831.0</v>
      </c>
      <c r="E17" s="3" t="n">
        <v>149178.0</v>
      </c>
      <c r="F17" s="3" t="n">
        <v>154725.0</v>
      </c>
      <c r="G17" s="3" t="n">
        <v>156586.0</v>
      </c>
      <c r="H17" s="3" t="n">
        <v>156669.0</v>
      </c>
      <c r="I17" s="3" t="n">
        <v>155173.0</v>
      </c>
      <c r="J17" s="3" t="n">
        <v>153422.0</v>
      </c>
      <c r="K17" s="3" t="n">
        <v>153348.0</v>
      </c>
      <c r="L17" s="3" t="n">
        <v>154439.0</v>
      </c>
      <c r="M17" s="3" t="n">
        <v>158078.0</v>
      </c>
      <c r="N17" s="3" t="n">
        <v>160536.0</v>
      </c>
      <c r="O17" s="3" t="n">
        <v>161410.0</v>
      </c>
      <c r="P17" s="3" t="n">
        <v>158927.0</v>
      </c>
      <c r="Q17" s="3" t="n">
        <v>153715.0</v>
      </c>
      <c r="R17" s="3" t="n">
        <v>146325.0</v>
      </c>
      <c r="S17" s="3" t="n">
        <v>141544.0</v>
      </c>
      <c r="T17" s="3" t="n">
        <v>139385.0</v>
      </c>
      <c r="U17" s="3" t="n">
        <v>138961.0</v>
      </c>
      <c r="V17" s="3" t="n">
        <v>141559.0</v>
      </c>
      <c r="W17" s="3" t="n">
        <v>142578.0</v>
      </c>
      <c r="X17" s="3" t="n">
        <v>143052.0</v>
      </c>
      <c r="Y17" s="3" t="n">
        <v>143151.0</v>
      </c>
      <c r="Z17" s="3" t="n">
        <v>143047.0</v>
      </c>
      <c r="AA17" s="3" t="n">
        <v>142977.0</v>
      </c>
      <c r="AB17" s="3" t="n">
        <v>142742.0</v>
      </c>
      <c r="AC17" s="3" t="n">
        <v>142252.0</v>
      </c>
      <c r="AD17" s="3" t="n">
        <v>141639.0</v>
      </c>
      <c r="AE17" s="3" t="n">
        <v>140999.0</v>
      </c>
      <c r="AF17" s="3" t="n">
        <v>140553.0</v>
      </c>
      <c r="AG17" s="3" t="n">
        <v>140421.0</v>
      </c>
      <c r="AH17" s="3" t="n">
        <v>140615.0</v>
      </c>
      <c r="AI17" s="3" t="n">
        <v>141184.0</v>
      </c>
      <c r="AJ17" s="3" t="n">
        <v>142055.0</v>
      </c>
      <c r="AK17" s="3" t="n">
        <v>143133.0</v>
      </c>
      <c r="AL17" s="3" t="n">
        <v>144349.0</v>
      </c>
      <c r="AM17" s="3" t="n">
        <v>145560.0</v>
      </c>
      <c r="AN17" s="3" t="n">
        <v>146708.0</v>
      </c>
      <c r="AO17" s="3" t="n">
        <v>147705.0</v>
      </c>
    </row>
    <row r="18" spans="1:41" x14ac:dyDescent="0.2">
      <c r="A18" s="131"/>
      <c r="B18" s="52" t="s">
        <v>2</v>
      </c>
      <c r="C18" s="3" t="n">
        <v>210905.0</v>
      </c>
      <c r="D18" s="3" t="n">
        <v>205365.0</v>
      </c>
      <c r="E18" s="3" t="n">
        <v>202352.0</v>
      </c>
      <c r="F18" s="3" t="n">
        <v>200196.0</v>
      </c>
      <c r="G18" s="3" t="n">
        <v>202007.0</v>
      </c>
      <c r="H18" s="3" t="n">
        <v>208995.0</v>
      </c>
      <c r="I18" s="3" t="n">
        <v>218067.0</v>
      </c>
      <c r="J18" s="3" t="n">
        <v>226210.0</v>
      </c>
      <c r="K18" s="3" t="n">
        <v>231466.0</v>
      </c>
      <c r="L18" s="3" t="n">
        <v>235924.0</v>
      </c>
      <c r="M18" s="3" t="n">
        <v>237080.0</v>
      </c>
      <c r="N18" s="3" t="n">
        <v>235670.0</v>
      </c>
      <c r="O18" s="3" t="n">
        <v>233633.0</v>
      </c>
      <c r="P18" s="3" t="n">
        <v>232876.0</v>
      </c>
      <c r="Q18" s="3" t="n">
        <v>235213.0</v>
      </c>
      <c r="R18" s="3" t="n">
        <v>236904.0</v>
      </c>
      <c r="S18" s="3" t="n">
        <v>238617.0</v>
      </c>
      <c r="T18" s="3" t="n">
        <v>237763.0</v>
      </c>
      <c r="U18" s="3" t="n">
        <v>235190.0</v>
      </c>
      <c r="V18" s="3" t="n">
        <v>228512.0</v>
      </c>
      <c r="W18" s="3" t="n">
        <v>221873.0</v>
      </c>
      <c r="X18" s="3" t="n">
        <v>216445.0</v>
      </c>
      <c r="Y18" s="3" t="n">
        <v>212592.0</v>
      </c>
      <c r="Z18" s="3" t="n">
        <v>210996.0</v>
      </c>
      <c r="AA18" s="3" t="n">
        <v>210609.0</v>
      </c>
      <c r="AB18" s="3" t="n">
        <v>213045.0</v>
      </c>
      <c r="AC18" s="3" t="n">
        <v>214083.0</v>
      </c>
      <c r="AD18" s="3" t="n">
        <v>214578.0</v>
      </c>
      <c r="AE18" s="3" t="n">
        <v>214564.0</v>
      </c>
      <c r="AF18" s="3" t="n">
        <v>214213.0</v>
      </c>
      <c r="AG18" s="3" t="n">
        <v>213776.0</v>
      </c>
      <c r="AH18" s="3" t="n">
        <v>213213.0</v>
      </c>
      <c r="AI18" s="3" t="n">
        <v>212494.0</v>
      </c>
      <c r="AJ18" s="3" t="n">
        <v>211826.0</v>
      </c>
      <c r="AK18" s="3" t="n">
        <v>211358.0</v>
      </c>
      <c r="AL18" s="3" t="n">
        <v>211241.0</v>
      </c>
      <c r="AM18" s="3" t="n">
        <v>211585.0</v>
      </c>
      <c r="AN18" s="3" t="n">
        <v>212392.0</v>
      </c>
      <c r="AO18" s="3" t="n">
        <v>213617.0</v>
      </c>
    </row>
    <row r="19" spans="1:41" x14ac:dyDescent="0.2">
      <c r="A19" s="131"/>
      <c r="B19" s="52" t="s">
        <v>3</v>
      </c>
      <c r="C19" s="3" t="n">
        <v>558583.0</v>
      </c>
      <c r="D19" s="3" t="n">
        <v>553004.0</v>
      </c>
      <c r="E19" s="3" t="n">
        <v>547310.0</v>
      </c>
      <c r="F19" s="3" t="n">
        <v>542351.0</v>
      </c>
      <c r="G19" s="3" t="n">
        <v>539490.0</v>
      </c>
      <c r="H19" s="3" t="n">
        <v>541750.0</v>
      </c>
      <c r="I19" s="3" t="n">
        <v>547028.0</v>
      </c>
      <c r="J19" s="3" t="n">
        <v>547945.0</v>
      </c>
      <c r="K19" s="3" t="n">
        <v>546382.0</v>
      </c>
      <c r="L19" s="3" t="n">
        <v>542781.0</v>
      </c>
      <c r="M19" s="3" t="n">
        <v>537173.0</v>
      </c>
      <c r="N19" s="3" t="n">
        <v>531747.0</v>
      </c>
      <c r="O19" s="3" t="n">
        <v>527136.0</v>
      </c>
      <c r="P19" s="3" t="n">
        <v>524518.0</v>
      </c>
      <c r="Q19" s="3" t="n">
        <v>523182.0</v>
      </c>
      <c r="R19" s="3" t="n">
        <v>524819.0</v>
      </c>
      <c r="S19" s="3" t="n">
        <v>525161.0</v>
      </c>
      <c r="T19" s="3" t="n">
        <v>525281.0</v>
      </c>
      <c r="U19" s="3" t="n">
        <v>525262.0</v>
      </c>
      <c r="V19" s="3" t="n">
        <v>525436.0</v>
      </c>
      <c r="W19" s="3" t="n">
        <v>526062.0</v>
      </c>
      <c r="X19" s="3" t="n">
        <v>527014.0</v>
      </c>
      <c r="Y19" s="3" t="n">
        <v>528183.0</v>
      </c>
      <c r="Z19" s="3" t="n">
        <v>529605.0</v>
      </c>
      <c r="AA19" s="3" t="n">
        <v>531255.0</v>
      </c>
      <c r="AB19" s="3" t="n">
        <v>533194.0</v>
      </c>
      <c r="AC19" s="3" t="n">
        <v>535345.0</v>
      </c>
      <c r="AD19" s="3" t="n">
        <v>537643.0</v>
      </c>
      <c r="AE19" s="3" t="n">
        <v>539906.0</v>
      </c>
      <c r="AF19" s="3" t="n">
        <v>542043.0</v>
      </c>
      <c r="AG19" s="3" t="n">
        <v>543862.0</v>
      </c>
      <c r="AH19" s="3" t="n">
        <v>545290.0</v>
      </c>
      <c r="AI19" s="3" t="n">
        <v>546167.0</v>
      </c>
      <c r="AJ19" s="3" t="n">
        <v>546519.0</v>
      </c>
      <c r="AK19" s="3" t="n">
        <v>546326.0</v>
      </c>
      <c r="AL19" s="3" t="n">
        <v>545634.0</v>
      </c>
      <c r="AM19" s="3" t="n">
        <v>544527.0</v>
      </c>
      <c r="AN19" s="3" t="n">
        <v>543099.0</v>
      </c>
      <c r="AO19" s="3" t="n">
        <v>541421.0</v>
      </c>
    </row>
    <row r="20" spans="1:41" x14ac:dyDescent="0.2">
      <c r="A20" s="131"/>
      <c r="B20" s="52" t="s">
        <v>4</v>
      </c>
      <c r="C20" s="3" t="n">
        <v>2258003.0</v>
      </c>
      <c r="D20" s="3" t="n">
        <v>2249796.0</v>
      </c>
      <c r="E20" s="3" t="n">
        <v>2243821.0</v>
      </c>
      <c r="F20" s="3" t="n">
        <v>2239384.0</v>
      </c>
      <c r="G20" s="3" t="n">
        <v>2235522.0</v>
      </c>
      <c r="H20" s="3" t="n">
        <v>2240305.0</v>
      </c>
      <c r="I20" s="3" t="n">
        <v>2247829.0</v>
      </c>
      <c r="J20" s="3" t="n">
        <v>2250032.0</v>
      </c>
      <c r="K20" s="3" t="n">
        <v>2249972.0</v>
      </c>
      <c r="L20" s="3" t="n">
        <v>2250722.0</v>
      </c>
      <c r="M20" s="3" t="n">
        <v>2252523.0</v>
      </c>
      <c r="N20" s="3" t="n">
        <v>2253175.0</v>
      </c>
      <c r="O20" s="3" t="n">
        <v>2251776.0</v>
      </c>
      <c r="P20" s="3" t="n">
        <v>2247144.0</v>
      </c>
      <c r="Q20" s="3" t="n">
        <v>2240602.0</v>
      </c>
      <c r="R20" s="3" t="n">
        <v>2230003.0</v>
      </c>
      <c r="S20" s="3" t="n">
        <v>2219657.0</v>
      </c>
      <c r="T20" s="3" t="n">
        <v>2207440.0</v>
      </c>
      <c r="U20" s="3" t="n">
        <v>2194768.0</v>
      </c>
      <c r="V20" s="3" t="n">
        <v>2180708.0</v>
      </c>
      <c r="W20" s="3" t="n">
        <v>2166423.0</v>
      </c>
      <c r="X20" s="3" t="n">
        <v>2150919.0</v>
      </c>
      <c r="Y20" s="3" t="n">
        <v>2134715.0</v>
      </c>
      <c r="Z20" s="3" t="n">
        <v>2117680.0</v>
      </c>
      <c r="AA20" s="3" t="n">
        <v>2101291.0</v>
      </c>
      <c r="AB20" s="3" t="n">
        <v>2082540.0</v>
      </c>
      <c r="AC20" s="3" t="n">
        <v>2061254.0</v>
      </c>
      <c r="AD20" s="3" t="n">
        <v>2040515.0</v>
      </c>
      <c r="AE20" s="3" t="n">
        <v>2020956.0</v>
      </c>
      <c r="AF20" s="3" t="n">
        <v>2003585.0</v>
      </c>
      <c r="AG20" s="3" t="n">
        <v>1987799.0</v>
      </c>
      <c r="AH20" s="3" t="n">
        <v>1972175.0</v>
      </c>
      <c r="AI20" s="3" t="n">
        <v>1957622.0</v>
      </c>
      <c r="AJ20" s="3" t="n">
        <v>1943572.0</v>
      </c>
      <c r="AK20" s="3" t="n">
        <v>1929489.0</v>
      </c>
      <c r="AL20" s="3" t="n">
        <v>1918156.0</v>
      </c>
      <c r="AM20" s="3" t="n">
        <v>1909186.0</v>
      </c>
      <c r="AN20" s="3" t="n">
        <v>1901842.0</v>
      </c>
      <c r="AO20" s="3" t="n">
        <v>1897196.0</v>
      </c>
    </row>
    <row r="21" spans="1:41" x14ac:dyDescent="0.2">
      <c r="A21" s="131"/>
      <c r="B21" s="52" t="s">
        <v>5</v>
      </c>
      <c r="C21" s="3" t="n">
        <v>612428.0</v>
      </c>
      <c r="D21" s="3" t="n">
        <v>627561.0</v>
      </c>
      <c r="E21" s="3" t="n">
        <v>641567.0</v>
      </c>
      <c r="F21" s="3" t="n">
        <v>653884.0</v>
      </c>
      <c r="G21" s="3" t="n">
        <v>664081.0</v>
      </c>
      <c r="H21" s="3" t="n">
        <v>674295.0</v>
      </c>
      <c r="I21" s="3" t="n">
        <v>683931.0</v>
      </c>
      <c r="J21" s="3" t="n">
        <v>692561.0</v>
      </c>
      <c r="K21" s="3" t="n">
        <v>700300.0</v>
      </c>
      <c r="L21" s="3" t="n">
        <v>707142.0</v>
      </c>
      <c r="M21" s="3" t="n">
        <v>713526.0</v>
      </c>
      <c r="N21" s="3" t="n">
        <v>719904.0</v>
      </c>
      <c r="O21" s="3" t="n">
        <v>726540.0</v>
      </c>
      <c r="P21" s="3" t="n">
        <v>733976.0</v>
      </c>
      <c r="Q21" s="3" t="n">
        <v>741817.0</v>
      </c>
      <c r="R21" s="3" t="n">
        <v>750481.0</v>
      </c>
      <c r="S21" s="3" t="n">
        <v>760014.0</v>
      </c>
      <c r="T21" s="3" t="n">
        <v>771584.0</v>
      </c>
      <c r="U21" s="3" t="n">
        <v>783663.0</v>
      </c>
      <c r="V21" s="3" t="n">
        <v>797148.0</v>
      </c>
      <c r="W21" s="3" t="n">
        <v>810460.0</v>
      </c>
      <c r="X21" s="3" t="n">
        <v>824621.0</v>
      </c>
      <c r="Y21" s="3" t="n">
        <v>839498.0</v>
      </c>
      <c r="Z21" s="3" t="n">
        <v>854646.0</v>
      </c>
      <c r="AA21" s="3" t="n">
        <v>868879.0</v>
      </c>
      <c r="AB21" s="3" t="n">
        <v>885297.0</v>
      </c>
      <c r="AC21" s="3" t="n">
        <v>903826.0</v>
      </c>
      <c r="AD21" s="3" t="n">
        <v>921483.0</v>
      </c>
      <c r="AE21" s="3" t="n">
        <v>937800.0</v>
      </c>
      <c r="AF21" s="3" t="n">
        <v>951791.0</v>
      </c>
      <c r="AG21" s="3" t="n">
        <v>964201.0</v>
      </c>
      <c r="AH21" s="3" t="n">
        <v>976742.0</v>
      </c>
      <c r="AI21" s="3" t="n">
        <v>988395.0</v>
      </c>
      <c r="AJ21" s="3" t="n">
        <v>1000036.0</v>
      </c>
      <c r="AK21" s="3" t="n">
        <v>1011732.0</v>
      </c>
      <c r="AL21" s="3" t="n">
        <v>1020898.0</v>
      </c>
      <c r="AM21" s="3" t="n">
        <v>1028105.0</v>
      </c>
      <c r="AN21" s="3" t="n">
        <v>1033842.0</v>
      </c>
      <c r="AO21" s="3" t="n">
        <v>1036943.0</v>
      </c>
    </row>
    <row r="22" spans="1:41" x14ac:dyDescent="0.2">
      <c r="A22" s="132"/>
      <c r="B22" s="54" t="s">
        <v>6</v>
      </c>
      <c r="C22" s="4" t="n">
        <v>144463.0</v>
      </c>
      <c r="D22" s="4" t="n">
        <v>144847.0</v>
      </c>
      <c r="E22" s="4" t="n">
        <v>146676.0</v>
      </c>
      <c r="F22" s="4" t="n">
        <v>148587.0</v>
      </c>
      <c r="G22" s="4" t="n">
        <v>153142.0</v>
      </c>
      <c r="H22" s="4" t="n">
        <v>159873.0</v>
      </c>
      <c r="I22" s="4" t="n">
        <v>167662.0</v>
      </c>
      <c r="J22" s="4" t="n">
        <v>175443.0</v>
      </c>
      <c r="K22" s="4" t="n">
        <v>183718.0</v>
      </c>
      <c r="L22" s="4" t="n">
        <v>193125.0</v>
      </c>
      <c r="M22" s="4" t="n">
        <v>202409.0</v>
      </c>
      <c r="N22" s="4" t="n">
        <v>211772.0</v>
      </c>
      <c r="O22" s="4" t="n">
        <v>220664.0</v>
      </c>
      <c r="P22" s="4" t="n">
        <v>230152.0</v>
      </c>
      <c r="Q22" s="4" t="n">
        <v>238829.0</v>
      </c>
      <c r="R22" s="4" t="n">
        <v>247353.0</v>
      </c>
      <c r="S22" s="4" t="n">
        <v>255588.0</v>
      </c>
      <c r="T22" s="4" t="n">
        <v>262588.0</v>
      </c>
      <c r="U22" s="4" t="n">
        <v>268204.0</v>
      </c>
      <c r="V22" s="4" t="n">
        <v>272218.0</v>
      </c>
      <c r="W22" s="4" t="n">
        <v>275658.0</v>
      </c>
      <c r="X22" s="4" t="n">
        <v>278373.0</v>
      </c>
      <c r="Y22" s="4" t="n">
        <v>280993.0</v>
      </c>
      <c r="Z22" s="4" t="n">
        <v>283130.0</v>
      </c>
      <c r="AA22" s="4" t="n">
        <v>284790.0</v>
      </c>
      <c r="AB22" s="4" t="n">
        <v>286488.0</v>
      </c>
      <c r="AC22" s="4" t="n">
        <v>288296.0</v>
      </c>
      <c r="AD22" s="4" t="n">
        <v>290755.0</v>
      </c>
      <c r="AE22" s="4" t="n">
        <v>294102.0</v>
      </c>
      <c r="AF22" s="4" t="n">
        <v>297966.0</v>
      </c>
      <c r="AG22" s="4" t="n">
        <v>302794.0</v>
      </c>
      <c r="AH22" s="4" t="n">
        <v>308731.0</v>
      </c>
      <c r="AI22" s="4" t="n">
        <v>316396.0</v>
      </c>
      <c r="AJ22" s="4" t="n">
        <v>324890.0</v>
      </c>
      <c r="AK22" s="4" t="n">
        <v>334350.0</v>
      </c>
      <c r="AL22" s="4" t="n">
        <v>343771.0</v>
      </c>
      <c r="AM22" s="4" t="n">
        <v>354088.0</v>
      </c>
      <c r="AN22" s="4" t="n">
        <v>364855.0</v>
      </c>
      <c r="AO22" s="4" t="n">
        <v>375943.0</v>
      </c>
    </row>
    <row r="23" spans="1:41" x14ac:dyDescent="0.2">
      <c r="A23" s="131" t="s">
        <v>49</v>
      </c>
      <c r="B23" s="59" t="s">
        <v>62</v>
      </c>
      <c r="C23" s="57" t="n">
        <v>1663091.0</v>
      </c>
      <c r="D23" s="57" t="n">
        <v>1663512.0</v>
      </c>
      <c r="E23" s="57" t="n">
        <v>1664426.0</v>
      </c>
      <c r="F23" s="57" t="n">
        <v>1665597.0</v>
      </c>
      <c r="G23" s="57" t="n">
        <v>1666951.0</v>
      </c>
      <c r="H23" s="57" t="n">
        <v>1673185.0</v>
      </c>
      <c r="I23" s="57" t="n">
        <v>1681118.0</v>
      </c>
      <c r="J23" s="57" t="n">
        <v>1685428.0</v>
      </c>
      <c r="K23" s="57" t="n">
        <v>1687817.0</v>
      </c>
      <c r="L23" s="57" t="n">
        <v>1689399.0</v>
      </c>
      <c r="M23" s="57" t="n">
        <v>1690460.0</v>
      </c>
      <c r="N23" s="57" t="n">
        <v>1691106.0</v>
      </c>
      <c r="O23" s="57" t="n">
        <v>1691275.0</v>
      </c>
      <c r="P23" s="57" t="n">
        <v>1691340.0</v>
      </c>
      <c r="Q23" s="57" t="n">
        <v>1691278.0</v>
      </c>
      <c r="R23" s="57" t="n">
        <v>1691183.0</v>
      </c>
      <c r="S23" s="57" t="n">
        <v>1691121.0</v>
      </c>
      <c r="T23" s="57" t="n">
        <v>1690912.0</v>
      </c>
      <c r="U23" s="57" t="n">
        <v>1690756.0</v>
      </c>
      <c r="V23" s="57" t="n">
        <v>1690717.0</v>
      </c>
      <c r="W23" s="57" t="n">
        <v>1690804.0</v>
      </c>
      <c r="X23" s="57" t="n">
        <v>1690978.0</v>
      </c>
      <c r="Y23" s="57" t="n">
        <v>1691277.0</v>
      </c>
      <c r="Z23" s="57" t="n">
        <v>1691452.0</v>
      </c>
      <c r="AA23" s="57" t="n">
        <v>1691721.0</v>
      </c>
      <c r="AB23" s="57" t="n">
        <v>1692027.0</v>
      </c>
      <c r="AC23" s="57" t="n">
        <v>1692363.0</v>
      </c>
      <c r="AD23" s="57" t="n">
        <v>1692641.0</v>
      </c>
      <c r="AE23" s="57" t="n">
        <v>1692680.0</v>
      </c>
      <c r="AF23" s="57" t="n">
        <v>1692670.0</v>
      </c>
      <c r="AG23" s="57" t="n">
        <v>1692602.0</v>
      </c>
      <c r="AH23" s="57" t="n">
        <v>1692438.0</v>
      </c>
      <c r="AI23" s="57" t="n">
        <v>1692128.0</v>
      </c>
      <c r="AJ23" s="57" t="n">
        <v>1691776.0</v>
      </c>
      <c r="AK23" s="57" t="n">
        <v>1691112.0</v>
      </c>
      <c r="AL23" s="57" t="n">
        <v>1690362.0</v>
      </c>
      <c r="AM23" s="57" t="n">
        <v>1689582.0</v>
      </c>
      <c r="AN23" s="57" t="n">
        <v>1688769.0</v>
      </c>
      <c r="AO23" s="57" t="n">
        <v>1687951.0</v>
      </c>
    </row>
    <row r="24" spans="1:41" x14ac:dyDescent="0.2">
      <c r="A24" s="131"/>
      <c r="B24" s="52" t="s">
        <v>8</v>
      </c>
      <c r="C24" s="11" t="n">
        <v>340122.0</v>
      </c>
      <c r="D24" s="3" t="n">
        <v>340173.0</v>
      </c>
      <c r="E24" s="3" t="n">
        <v>340443.0</v>
      </c>
      <c r="F24" s="3" t="n">
        <v>339801.0</v>
      </c>
      <c r="G24" s="3" t="n">
        <v>338023.0</v>
      </c>
      <c r="H24" s="3" t="n">
        <v>338677.0</v>
      </c>
      <c r="I24" s="3" t="n">
        <v>340292.0</v>
      </c>
      <c r="J24" s="3" t="n">
        <v>340650.0</v>
      </c>
      <c r="K24" s="3" t="n">
        <v>339919.0</v>
      </c>
      <c r="L24" s="3" t="n">
        <v>339276.0</v>
      </c>
      <c r="M24" s="3" t="n">
        <v>338037.0</v>
      </c>
      <c r="N24" s="3" t="n">
        <v>336301.0</v>
      </c>
      <c r="O24" s="3" t="n">
        <v>333784.0</v>
      </c>
      <c r="P24" s="3" t="n">
        <v>330425.0</v>
      </c>
      <c r="Q24" s="3" t="n">
        <v>327322.0</v>
      </c>
      <c r="R24" s="3" t="n">
        <v>325127.0</v>
      </c>
      <c r="S24" s="3" t="n">
        <v>323946.0</v>
      </c>
      <c r="T24" s="3" t="n">
        <v>323687.0</v>
      </c>
      <c r="U24" s="3" t="n">
        <v>324995.0</v>
      </c>
      <c r="V24" s="3" t="n">
        <v>325688.0</v>
      </c>
      <c r="W24" s="3" t="n">
        <v>326293.0</v>
      </c>
      <c r="X24" s="3" t="n">
        <v>326800.0</v>
      </c>
      <c r="Y24" s="3" t="n">
        <v>327360.0</v>
      </c>
      <c r="Z24" s="3" t="n">
        <v>328078.0</v>
      </c>
      <c r="AA24" s="3" t="n">
        <v>328901.0</v>
      </c>
      <c r="AB24" s="3" t="n">
        <v>329748.0</v>
      </c>
      <c r="AC24" s="3" t="n">
        <v>330618.0</v>
      </c>
      <c r="AD24" s="3" t="n">
        <v>331518.0</v>
      </c>
      <c r="AE24" s="3" t="n">
        <v>332440.0</v>
      </c>
      <c r="AF24" s="3" t="n">
        <v>333403.0</v>
      </c>
      <c r="AG24" s="3" t="n">
        <v>334347.0</v>
      </c>
      <c r="AH24" s="3" t="n">
        <v>335212.0</v>
      </c>
      <c r="AI24" s="3" t="n">
        <v>335948.0</v>
      </c>
      <c r="AJ24" s="3" t="n">
        <v>336513.0</v>
      </c>
      <c r="AK24" s="3" t="n">
        <v>336884.0</v>
      </c>
      <c r="AL24" s="3" t="n">
        <v>337007.0</v>
      </c>
      <c r="AM24" s="3" t="n">
        <v>336910.0</v>
      </c>
      <c r="AN24" s="3" t="n">
        <v>336599.0</v>
      </c>
      <c r="AO24" s="3" t="n">
        <v>336096.0</v>
      </c>
    </row>
    <row r="25" spans="1:41" x14ac:dyDescent="0.2">
      <c r="A25" s="131"/>
      <c r="B25" s="52" t="s">
        <v>14</v>
      </c>
      <c r="C25" s="11" t="n">
        <v>1074233.0</v>
      </c>
      <c r="D25" s="3" t="n">
        <v>1067479.0</v>
      </c>
      <c r="E25" s="3" t="n">
        <v>1061544.0</v>
      </c>
      <c r="F25" s="3" t="n">
        <v>1057754.0</v>
      </c>
      <c r="G25" s="3" t="n">
        <v>1056303.0</v>
      </c>
      <c r="H25" s="3" t="n">
        <v>1057344.0</v>
      </c>
      <c r="I25" s="3" t="n">
        <v>1059429.0</v>
      </c>
      <c r="J25" s="3" t="n">
        <v>1059472.0</v>
      </c>
      <c r="K25" s="3" t="n">
        <v>1059040.0</v>
      </c>
      <c r="L25" s="3" t="n">
        <v>1058209.0</v>
      </c>
      <c r="M25" s="3" t="n">
        <v>1057481.0</v>
      </c>
      <c r="N25" s="3" t="n">
        <v>1056813.0</v>
      </c>
      <c r="O25" s="3" t="n">
        <v>1056583.0</v>
      </c>
      <c r="P25" s="3" t="n">
        <v>1056635.0</v>
      </c>
      <c r="Q25" s="3" t="n">
        <v>1056013.0</v>
      </c>
      <c r="R25" s="3" t="n">
        <v>1054294.0</v>
      </c>
      <c r="S25" s="3" t="n">
        <v>1050911.0</v>
      </c>
      <c r="T25" s="3" t="n">
        <v>1045612.0</v>
      </c>
      <c r="U25" s="3" t="n">
        <v>1038588.0</v>
      </c>
      <c r="V25" s="3" t="n">
        <v>1031518.0</v>
      </c>
      <c r="W25" s="3" t="n">
        <v>1024591.0</v>
      </c>
      <c r="X25" s="3" t="n">
        <v>1017408.0</v>
      </c>
      <c r="Y25" s="3" t="n">
        <v>1009815.0</v>
      </c>
      <c r="Z25" s="3" t="n">
        <v>1001970.0</v>
      </c>
      <c r="AA25" s="3" t="n">
        <v>994577.0</v>
      </c>
      <c r="AB25" s="3" t="n">
        <v>986158.0</v>
      </c>
      <c r="AC25" s="3" t="n">
        <v>976961.0</v>
      </c>
      <c r="AD25" s="3" t="n">
        <v>967791.0</v>
      </c>
      <c r="AE25" s="3" t="n">
        <v>959106.0</v>
      </c>
      <c r="AF25" s="3" t="n">
        <v>951341.0</v>
      </c>
      <c r="AG25" s="3" t="n">
        <v>944208.0</v>
      </c>
      <c r="AH25" s="3" t="n">
        <v>937139.0</v>
      </c>
      <c r="AI25" s="3" t="n">
        <v>930602.0</v>
      </c>
      <c r="AJ25" s="3" t="n">
        <v>923931.0</v>
      </c>
      <c r="AK25" s="3" t="n">
        <v>917391.0</v>
      </c>
      <c r="AL25" s="3" t="n">
        <v>912132.0</v>
      </c>
      <c r="AM25" s="3" t="n">
        <v>908247.0</v>
      </c>
      <c r="AN25" s="3" t="n">
        <v>905135.0</v>
      </c>
      <c r="AO25" s="3" t="n">
        <v>903360.0</v>
      </c>
    </row>
    <row r="26" spans="1:41" x14ac:dyDescent="0.2">
      <c r="A26" s="131"/>
      <c r="B26" s="52" t="s">
        <v>11</v>
      </c>
      <c r="C26" s="11" t="n">
        <v>648684.0</v>
      </c>
      <c r="D26" s="3" t="n">
        <v>639259.0</v>
      </c>
      <c r="E26" s="3" t="n">
        <v>629390.0</v>
      </c>
      <c r="F26" s="3" t="n">
        <v>620550.0</v>
      </c>
      <c r="G26" s="3" t="n">
        <v>613657.0</v>
      </c>
      <c r="H26" s="3" t="n">
        <v>607378.0</v>
      </c>
      <c r="I26" s="3" t="n">
        <v>600880.0</v>
      </c>
      <c r="J26" s="3" t="n">
        <v>592534.0</v>
      </c>
      <c r="K26" s="3" t="n">
        <v>584340.0</v>
      </c>
      <c r="L26" s="3" t="n">
        <v>576653.0</v>
      </c>
      <c r="M26" s="3" t="n">
        <v>569943.0</v>
      </c>
      <c r="N26" s="3" t="n">
        <v>563524.0</v>
      </c>
      <c r="O26" s="3" t="n">
        <v>558318.0</v>
      </c>
      <c r="P26" s="3" t="n">
        <v>553608.0</v>
      </c>
      <c r="Q26" s="3" t="n">
        <v>548689.0</v>
      </c>
      <c r="R26" s="3" t="n">
        <v>544174.0</v>
      </c>
      <c r="S26" s="3" t="n">
        <v>540156.0</v>
      </c>
      <c r="T26" s="3" t="n">
        <v>536050.0</v>
      </c>
      <c r="U26" s="3" t="n">
        <v>531902.0</v>
      </c>
      <c r="V26" s="3" t="n">
        <v>529331.0</v>
      </c>
      <c r="W26" s="3" t="n">
        <v>527845.0</v>
      </c>
      <c r="X26" s="3" t="n">
        <v>527313.0</v>
      </c>
      <c r="Y26" s="3" t="n">
        <v>527547.0</v>
      </c>
      <c r="Z26" s="3" t="n">
        <v>527664.0</v>
      </c>
      <c r="AA26" s="3" t="n">
        <v>528626.0</v>
      </c>
      <c r="AB26" s="3" t="n">
        <v>530212.0</v>
      </c>
      <c r="AC26" s="3" t="n">
        <v>532124.0</v>
      </c>
      <c r="AD26" s="3" t="n">
        <v>533517.0</v>
      </c>
      <c r="AE26" s="3" t="n">
        <v>534350.0</v>
      </c>
      <c r="AF26" s="3" t="n">
        <v>534810.0</v>
      </c>
      <c r="AG26" s="3" t="n">
        <v>533974.0</v>
      </c>
      <c r="AH26" s="3" t="n">
        <v>531662.0</v>
      </c>
      <c r="AI26" s="3" t="n">
        <v>528628.0</v>
      </c>
      <c r="AJ26" s="3" t="n">
        <v>525483.0</v>
      </c>
      <c r="AK26" s="3" t="n">
        <v>523413.0</v>
      </c>
      <c r="AL26" s="3" t="n">
        <v>521589.0</v>
      </c>
      <c r="AM26" s="3" t="n">
        <v>520479.0</v>
      </c>
      <c r="AN26" s="3" t="n">
        <v>519281.0</v>
      </c>
      <c r="AO26" s="3" t="n">
        <v>518041.0</v>
      </c>
    </row>
    <row r="27" spans="1:41" x14ac:dyDescent="0.2">
      <c r="A27" s="131"/>
      <c r="B27" s="52" t="s">
        <v>13</v>
      </c>
      <c r="C27" s="11" t="n">
        <v>425549.0</v>
      </c>
      <c r="D27" s="3" t="n">
        <v>428220.0</v>
      </c>
      <c r="E27" s="3" t="n">
        <v>432154.0</v>
      </c>
      <c r="F27" s="3" t="n">
        <v>437204.0</v>
      </c>
      <c r="G27" s="3" t="n">
        <v>442646.0</v>
      </c>
      <c r="H27" s="3" t="n">
        <v>449966.0</v>
      </c>
      <c r="I27" s="3" t="n">
        <v>458549.0</v>
      </c>
      <c r="J27" s="3" t="n">
        <v>466938.0</v>
      </c>
      <c r="K27" s="3" t="n">
        <v>474700.0</v>
      </c>
      <c r="L27" s="3" t="n">
        <v>481556.0</v>
      </c>
      <c r="M27" s="3" t="n">
        <v>487538.0</v>
      </c>
      <c r="N27" s="3" t="n">
        <v>493289.0</v>
      </c>
      <c r="O27" s="3" t="n">
        <v>498265.0</v>
      </c>
      <c r="P27" s="3" t="n">
        <v>503027.0</v>
      </c>
      <c r="Q27" s="3" t="n">
        <v>507324.0</v>
      </c>
      <c r="R27" s="3" t="n">
        <v>510120.0</v>
      </c>
      <c r="S27" s="3" t="n">
        <v>510755.0</v>
      </c>
      <c r="T27" s="3" t="n">
        <v>509562.0</v>
      </c>
      <c r="U27" s="3" t="n">
        <v>506686.0</v>
      </c>
      <c r="V27" s="3" t="n">
        <v>502187.0</v>
      </c>
      <c r="W27" s="3" t="n">
        <v>496746.0</v>
      </c>
      <c r="X27" s="3" t="n">
        <v>490095.0</v>
      </c>
      <c r="Y27" s="3" t="n">
        <v>482268.0</v>
      </c>
      <c r="Z27" s="3" t="n">
        <v>474306.0</v>
      </c>
      <c r="AA27" s="3" t="n">
        <v>465951.0</v>
      </c>
      <c r="AB27" s="3" t="n">
        <v>455946.0</v>
      </c>
      <c r="AC27" s="3" t="n">
        <v>444837.0</v>
      </c>
      <c r="AD27" s="3" t="n">
        <v>434274.0</v>
      </c>
      <c r="AE27" s="3" t="n">
        <v>424756.0</v>
      </c>
      <c r="AF27" s="3" t="n">
        <v>416531.0</v>
      </c>
      <c r="AG27" s="3" t="n">
        <v>410234.0</v>
      </c>
      <c r="AH27" s="3" t="n">
        <v>405477.0</v>
      </c>
      <c r="AI27" s="3" t="n">
        <v>401974.0</v>
      </c>
      <c r="AJ27" s="3" t="n">
        <v>398448.0</v>
      </c>
      <c r="AK27" s="3" t="n">
        <v>393978.0</v>
      </c>
      <c r="AL27" s="3" t="n">
        <v>390543.0</v>
      </c>
      <c r="AM27" s="3" t="n">
        <v>387768.0</v>
      </c>
      <c r="AN27" s="3" t="n">
        <v>385854.0</v>
      </c>
      <c r="AO27" s="3" t="n">
        <v>385319.0</v>
      </c>
    </row>
    <row r="28" spans="1:41" x14ac:dyDescent="0.2">
      <c r="A28" s="131"/>
      <c r="B28" s="52" t="s">
        <v>5</v>
      </c>
      <c r="C28" s="11" t="n">
        <v>248736.0</v>
      </c>
      <c r="D28" s="3" t="n">
        <v>255860.0</v>
      </c>
      <c r="E28" s="3" t="n">
        <v>262439.0</v>
      </c>
      <c r="F28" s="3" t="n">
        <v>268042.0</v>
      </c>
      <c r="G28" s="3" t="n">
        <v>272625.0</v>
      </c>
      <c r="H28" s="3" t="n">
        <v>277164.0</v>
      </c>
      <c r="I28" s="3" t="n">
        <v>281397.0</v>
      </c>
      <c r="J28" s="3" t="n">
        <v>285306.0</v>
      </c>
      <c r="K28" s="3" t="n">
        <v>288858.0</v>
      </c>
      <c r="L28" s="3" t="n">
        <v>291914.0</v>
      </c>
      <c r="M28" s="3" t="n">
        <v>294942.0</v>
      </c>
      <c r="N28" s="3" t="n">
        <v>297992.0</v>
      </c>
      <c r="O28" s="3" t="n">
        <v>300908.0</v>
      </c>
      <c r="P28" s="3" t="n">
        <v>304280.0</v>
      </c>
      <c r="Q28" s="3" t="n">
        <v>307943.0</v>
      </c>
      <c r="R28" s="3" t="n">
        <v>311762.0</v>
      </c>
      <c r="S28" s="3" t="n">
        <v>316264.0</v>
      </c>
      <c r="T28" s="3" t="n">
        <v>321613.0</v>
      </c>
      <c r="U28" s="3" t="n">
        <v>327173.0</v>
      </c>
      <c r="V28" s="3" t="n">
        <v>333511.0</v>
      </c>
      <c r="W28" s="3" t="n">
        <v>339920.0</v>
      </c>
      <c r="X28" s="3" t="n">
        <v>346770.0</v>
      </c>
      <c r="Y28" s="3" t="n">
        <v>354102.0</v>
      </c>
      <c r="Z28" s="3" t="n">
        <v>361404.0</v>
      </c>
      <c r="AA28" s="3" t="n">
        <v>368243.0</v>
      </c>
      <c r="AB28" s="3" t="n">
        <v>376121.0</v>
      </c>
      <c r="AC28" s="3" t="n">
        <v>384784.0</v>
      </c>
      <c r="AD28" s="3" t="n">
        <v>393332.0</v>
      </c>
      <c r="AE28" s="3" t="n">
        <v>401134.0</v>
      </c>
      <c r="AF28" s="3" t="n">
        <v>407926.0</v>
      </c>
      <c r="AG28" s="3" t="n">
        <v>414047.0</v>
      </c>
      <c r="AH28" s="3" t="n">
        <v>420087.0</v>
      </c>
      <c r="AI28" s="3" t="n">
        <v>425578.0</v>
      </c>
      <c r="AJ28" s="3" t="n">
        <v>431332.0</v>
      </c>
      <c r="AK28" s="3" t="n">
        <v>436837.0</v>
      </c>
      <c r="AL28" s="3" t="n">
        <v>441223.0</v>
      </c>
      <c r="AM28" s="3" t="n">
        <v>444425.0</v>
      </c>
      <c r="AN28" s="3" t="n">
        <v>447035.0</v>
      </c>
      <c r="AO28" s="3" t="n">
        <v>448495.0</v>
      </c>
    </row>
    <row r="29" spans="1:41" x14ac:dyDescent="0.2">
      <c r="A29" s="131"/>
      <c r="B29" s="52" t="s">
        <v>0</v>
      </c>
      <c r="C29" s="3" t="n">
        <v>51034.0</v>
      </c>
      <c r="D29" s="3" t="n">
        <v>49748.0</v>
      </c>
      <c r="E29" s="3" t="n">
        <v>49503.0</v>
      </c>
      <c r="F29" s="3" t="n">
        <v>50867.0</v>
      </c>
      <c r="G29" s="3" t="n">
        <v>51522.0</v>
      </c>
      <c r="H29" s="3" t="n">
        <v>52276.0</v>
      </c>
      <c r="I29" s="3" t="n">
        <v>52882.0</v>
      </c>
      <c r="J29" s="3" t="n">
        <v>53080.0</v>
      </c>
      <c r="K29" s="3" t="n">
        <v>53116.0</v>
      </c>
      <c r="L29" s="3" t="n">
        <v>53080.0</v>
      </c>
      <c r="M29" s="3" t="n">
        <v>52887.0</v>
      </c>
      <c r="N29" s="3" t="n">
        <v>52584.0</v>
      </c>
      <c r="O29" s="3" t="n">
        <v>52217.0</v>
      </c>
      <c r="P29" s="3" t="n">
        <v>51898.0</v>
      </c>
      <c r="Q29" s="3" t="n">
        <v>51682.0</v>
      </c>
      <c r="R29" s="3" t="n">
        <v>51623.0</v>
      </c>
      <c r="S29" s="3" t="n">
        <v>51711.0</v>
      </c>
      <c r="T29" s="3" t="n">
        <v>51954.0</v>
      </c>
      <c r="U29" s="3" t="n">
        <v>52304.0</v>
      </c>
      <c r="V29" s="3" t="n">
        <v>52740.0</v>
      </c>
      <c r="W29" s="3" t="n">
        <v>53203.0</v>
      </c>
      <c r="X29" s="3" t="n">
        <v>53661.0</v>
      </c>
      <c r="Y29" s="3" t="n">
        <v>54086.0</v>
      </c>
      <c r="Z29" s="3" t="n">
        <v>54453.0</v>
      </c>
      <c r="AA29" s="3" t="n">
        <v>54750.0</v>
      </c>
      <c r="AB29" s="3" t="n">
        <v>54956.0</v>
      </c>
      <c r="AC29" s="3" t="n">
        <v>55075.0</v>
      </c>
      <c r="AD29" s="3" t="n">
        <v>55094.0</v>
      </c>
      <c r="AE29" s="3" t="n">
        <v>55009.0</v>
      </c>
      <c r="AF29" s="3" t="n">
        <v>54847.0</v>
      </c>
      <c r="AG29" s="3" t="n">
        <v>54608.0</v>
      </c>
      <c r="AH29" s="3" t="n">
        <v>54321.0</v>
      </c>
      <c r="AI29" s="3" t="n">
        <v>53985.0</v>
      </c>
      <c r="AJ29" s="3" t="n">
        <v>53626.0</v>
      </c>
      <c r="AK29" s="3" t="n">
        <v>53286.0</v>
      </c>
      <c r="AL29" s="3" t="n">
        <v>52977.0</v>
      </c>
      <c r="AM29" s="3" t="n">
        <v>52706.0</v>
      </c>
      <c r="AN29" s="3" t="n">
        <v>52496.0</v>
      </c>
      <c r="AO29" s="3" t="n">
        <v>52354.0</v>
      </c>
    </row>
    <row r="30" spans="1:41" x14ac:dyDescent="0.2">
      <c r="A30" s="131"/>
      <c r="B30" s="52" t="s">
        <v>1</v>
      </c>
      <c r="C30" s="3" t="n">
        <v>79320.0</v>
      </c>
      <c r="D30" s="3" t="n">
        <v>78010.0</v>
      </c>
      <c r="E30" s="3" t="n">
        <v>75238.0</v>
      </c>
      <c r="F30" s="3" t="n">
        <v>71350.0</v>
      </c>
      <c r="G30" s="3" t="n">
        <v>69215.0</v>
      </c>
      <c r="H30" s="3" t="n">
        <v>68940.0</v>
      </c>
      <c r="I30" s="3" t="n">
        <v>69853.0</v>
      </c>
      <c r="J30" s="3" t="n">
        <v>71728.0</v>
      </c>
      <c r="K30" s="3" t="n">
        <v>72474.0</v>
      </c>
      <c r="L30" s="3" t="n">
        <v>72822.0</v>
      </c>
      <c r="M30" s="3" t="n">
        <v>72894.0</v>
      </c>
      <c r="N30" s="3" t="n">
        <v>72817.0</v>
      </c>
      <c r="O30" s="3" t="n">
        <v>72728.0</v>
      </c>
      <c r="P30" s="3" t="n">
        <v>72566.0</v>
      </c>
      <c r="Q30" s="3" t="n">
        <v>72268.0</v>
      </c>
      <c r="R30" s="3" t="n">
        <v>71891.0</v>
      </c>
      <c r="S30" s="3" t="n">
        <v>71501.0</v>
      </c>
      <c r="T30" s="3" t="n">
        <v>71214.0</v>
      </c>
      <c r="U30" s="3" t="n">
        <v>71091.0</v>
      </c>
      <c r="V30" s="3" t="n">
        <v>71150.0</v>
      </c>
      <c r="W30" s="3" t="n">
        <v>71415.0</v>
      </c>
      <c r="X30" s="3" t="n">
        <v>71827.0</v>
      </c>
      <c r="Y30" s="3" t="n">
        <v>72354.0</v>
      </c>
      <c r="Z30" s="3" t="n">
        <v>72957.0</v>
      </c>
      <c r="AA30" s="3" t="n">
        <v>73575.0</v>
      </c>
      <c r="AB30" s="3" t="n">
        <v>74177.0</v>
      </c>
      <c r="AC30" s="3" t="n">
        <v>74714.0</v>
      </c>
      <c r="AD30" s="3" t="n">
        <v>75173.0</v>
      </c>
      <c r="AE30" s="3" t="n">
        <v>75506.0</v>
      </c>
      <c r="AF30" s="3" t="n">
        <v>75723.0</v>
      </c>
      <c r="AG30" s="3" t="n">
        <v>75816.0</v>
      </c>
      <c r="AH30" s="3" t="n">
        <v>75758.0</v>
      </c>
      <c r="AI30" s="3" t="n">
        <v>75595.0</v>
      </c>
      <c r="AJ30" s="3" t="n">
        <v>75337.0</v>
      </c>
      <c r="AK30" s="3" t="n">
        <v>74967.0</v>
      </c>
      <c r="AL30" s="3" t="n">
        <v>74551.0</v>
      </c>
      <c r="AM30" s="3" t="n">
        <v>74102.0</v>
      </c>
      <c r="AN30" s="3" t="n">
        <v>73647.0</v>
      </c>
      <c r="AO30" s="3" t="n">
        <v>73214.0</v>
      </c>
    </row>
    <row r="31" spans="1:41" x14ac:dyDescent="0.2">
      <c r="A31" s="131"/>
      <c r="B31" s="53" t="s">
        <v>18</v>
      </c>
      <c r="C31" s="3" t="n">
        <v>156801.0</v>
      </c>
      <c r="D31" s="3" t="n">
        <v>156779.0</v>
      </c>
      <c r="E31" s="3" t="n">
        <v>156957.0</v>
      </c>
      <c r="F31" s="3" t="n">
        <v>156785.0</v>
      </c>
      <c r="G31" s="3" t="n">
        <v>156820.0</v>
      </c>
      <c r="H31" s="3" t="n">
        <v>157564.0</v>
      </c>
      <c r="I31" s="3" t="n">
        <v>158726.0</v>
      </c>
      <c r="J31" s="3" t="n">
        <v>157100.0</v>
      </c>
      <c r="K31" s="3" t="n">
        <v>155503.0</v>
      </c>
      <c r="L31" s="3" t="n">
        <v>153373.0</v>
      </c>
      <c r="M31" s="3" t="n">
        <v>150609.0</v>
      </c>
      <c r="N31" s="3" t="n">
        <v>148112.0</v>
      </c>
      <c r="O31" s="3" t="n">
        <v>146377.0</v>
      </c>
      <c r="P31" s="3" t="n">
        <v>145537.0</v>
      </c>
      <c r="Q31" s="3" t="n">
        <v>145497.0</v>
      </c>
      <c r="R31" s="3" t="n">
        <v>146847.0</v>
      </c>
      <c r="S31" s="3" t="n">
        <v>147353.0</v>
      </c>
      <c r="T31" s="3" t="n">
        <v>147473.0</v>
      </c>
      <c r="U31" s="3" t="n">
        <v>147245.0</v>
      </c>
      <c r="V31" s="3" t="n">
        <v>146833.0</v>
      </c>
      <c r="W31" s="3" t="n">
        <v>146426.0</v>
      </c>
      <c r="X31" s="3" t="n">
        <v>146043.0</v>
      </c>
      <c r="Y31" s="3" t="n">
        <v>145694.0</v>
      </c>
      <c r="Z31" s="3" t="n">
        <v>145447.0</v>
      </c>
      <c r="AA31" s="3" t="n">
        <v>145380.0</v>
      </c>
      <c r="AB31" s="3" t="n">
        <v>145568.0</v>
      </c>
      <c r="AC31" s="3" t="n">
        <v>146020.0</v>
      </c>
      <c r="AD31" s="3" t="n">
        <v>146718.0</v>
      </c>
      <c r="AE31" s="3" t="n">
        <v>147620.0</v>
      </c>
      <c r="AF31" s="3" t="n">
        <v>148655.0</v>
      </c>
      <c r="AG31" s="3" t="n">
        <v>149730.0</v>
      </c>
      <c r="AH31" s="3" t="n">
        <v>150801.0</v>
      </c>
      <c r="AI31" s="3" t="n">
        <v>151747.0</v>
      </c>
      <c r="AJ31" s="3" t="n">
        <v>152548.0</v>
      </c>
      <c r="AK31" s="3" t="n">
        <v>153164.0</v>
      </c>
      <c r="AL31" s="3" t="n">
        <v>153539.0</v>
      </c>
      <c r="AM31" s="3" t="n">
        <v>153686.0</v>
      </c>
      <c r="AN31" s="3" t="n">
        <v>153617.0</v>
      </c>
      <c r="AO31" s="3" t="n">
        <v>153330.0</v>
      </c>
    </row>
    <row r="32" spans="1:41" x14ac:dyDescent="0.2">
      <c r="A32" s="131"/>
      <c r="B32" s="52" t="s">
        <v>19</v>
      </c>
      <c r="C32" s="3" t="n">
        <v>69774.0</v>
      </c>
      <c r="D32" s="3" t="n">
        <v>72803.0</v>
      </c>
      <c r="E32" s="3" t="n">
        <v>76044.0</v>
      </c>
      <c r="F32" s="3" t="n">
        <v>79281.0</v>
      </c>
      <c r="G32" s="3" t="n">
        <v>80313.0</v>
      </c>
      <c r="H32" s="3" t="n">
        <v>80494.0</v>
      </c>
      <c r="I32" s="3" t="n">
        <v>79763.0</v>
      </c>
      <c r="J32" s="3" t="n">
        <v>78716.0</v>
      </c>
      <c r="K32" s="3" t="n">
        <v>78710.0</v>
      </c>
      <c r="L32" s="3" t="n">
        <v>79361.0</v>
      </c>
      <c r="M32" s="3" t="n">
        <v>81295.0</v>
      </c>
      <c r="N32" s="3" t="n">
        <v>82657.0</v>
      </c>
      <c r="O32" s="3" t="n">
        <v>82942.0</v>
      </c>
      <c r="P32" s="3" t="n">
        <v>81684.0</v>
      </c>
      <c r="Q32" s="3" t="n">
        <v>78869.0</v>
      </c>
      <c r="R32" s="3" t="n">
        <v>74912.0</v>
      </c>
      <c r="S32" s="3" t="n">
        <v>72604.0</v>
      </c>
      <c r="T32" s="3" t="n">
        <v>71492.0</v>
      </c>
      <c r="U32" s="3" t="n">
        <v>71394.0</v>
      </c>
      <c r="V32" s="3" t="n">
        <v>72799.0</v>
      </c>
      <c r="W32" s="3" t="n">
        <v>73355.0</v>
      </c>
      <c r="X32" s="3" t="n">
        <v>73612.0</v>
      </c>
      <c r="Y32" s="3" t="n">
        <v>73662.0</v>
      </c>
      <c r="Z32" s="3" t="n">
        <v>73610.0</v>
      </c>
      <c r="AA32" s="3" t="n">
        <v>73565.0</v>
      </c>
      <c r="AB32" s="3" t="n">
        <v>73444.0</v>
      </c>
      <c r="AC32" s="3" t="n">
        <v>73196.0</v>
      </c>
      <c r="AD32" s="3" t="n">
        <v>72878.0</v>
      </c>
      <c r="AE32" s="3" t="n">
        <v>72558.0</v>
      </c>
      <c r="AF32" s="3" t="n">
        <v>72330.0</v>
      </c>
      <c r="AG32" s="3" t="n">
        <v>72264.0</v>
      </c>
      <c r="AH32" s="3" t="n">
        <v>72364.0</v>
      </c>
      <c r="AI32" s="3" t="n">
        <v>72652.0</v>
      </c>
      <c r="AJ32" s="3" t="n">
        <v>73094.0</v>
      </c>
      <c r="AK32" s="3" t="n">
        <v>73640.0</v>
      </c>
      <c r="AL32" s="3" t="n">
        <v>74263.0</v>
      </c>
      <c r="AM32" s="3" t="n">
        <v>74888.0</v>
      </c>
      <c r="AN32" s="3" t="n">
        <v>75478.0</v>
      </c>
      <c r="AO32" s="3" t="n">
        <v>75992.0</v>
      </c>
    </row>
    <row r="33" spans="1:41" x14ac:dyDescent="0.2">
      <c r="A33" s="131"/>
      <c r="B33" s="52" t="s">
        <v>2</v>
      </c>
      <c r="C33" s="3" t="n">
        <v>106829.0</v>
      </c>
      <c r="D33" s="3" t="n">
        <v>104486.0</v>
      </c>
      <c r="E33" s="3" t="n">
        <v>103154.0</v>
      </c>
      <c r="F33" s="3" t="n">
        <v>101975.0</v>
      </c>
      <c r="G33" s="3" t="n">
        <v>103001.0</v>
      </c>
      <c r="H33" s="3" t="n">
        <v>106318.0</v>
      </c>
      <c r="I33" s="3" t="n">
        <v>110849.0</v>
      </c>
      <c r="J33" s="3" t="n">
        <v>115071.0</v>
      </c>
      <c r="K33" s="3" t="n">
        <v>117857.0</v>
      </c>
      <c r="L33" s="3" t="n">
        <v>120352.0</v>
      </c>
      <c r="M33" s="3" t="n">
        <v>121123.0</v>
      </c>
      <c r="N33" s="3" t="n">
        <v>120753.0</v>
      </c>
      <c r="O33" s="3" t="n">
        <v>119846.0</v>
      </c>
      <c r="P33" s="3" t="n">
        <v>119319.0</v>
      </c>
      <c r="Q33" s="3" t="n">
        <v>120580.0</v>
      </c>
      <c r="R33" s="3" t="n">
        <v>121665.0</v>
      </c>
      <c r="S33" s="3" t="n">
        <v>122433.0</v>
      </c>
      <c r="T33" s="3" t="n">
        <v>121991.0</v>
      </c>
      <c r="U33" s="3" t="n">
        <v>120558.0</v>
      </c>
      <c r="V33" s="3" t="n">
        <v>117103.0</v>
      </c>
      <c r="W33" s="3" t="n">
        <v>113676.0</v>
      </c>
      <c r="X33" s="3" t="n">
        <v>110797.0</v>
      </c>
      <c r="Y33" s="3" t="n">
        <v>108991.0</v>
      </c>
      <c r="Z33" s="3" t="n">
        <v>108187.0</v>
      </c>
      <c r="AA33" s="3" t="n">
        <v>108125.0</v>
      </c>
      <c r="AB33" s="3" t="n">
        <v>109441.0</v>
      </c>
      <c r="AC33" s="3" t="n">
        <v>110000.0</v>
      </c>
      <c r="AD33" s="3" t="n">
        <v>110272.0</v>
      </c>
      <c r="AE33" s="3" t="n">
        <v>110270.0</v>
      </c>
      <c r="AF33" s="3" t="n">
        <v>110090.0</v>
      </c>
      <c r="AG33" s="3" t="n">
        <v>109856.0</v>
      </c>
      <c r="AH33" s="3" t="n">
        <v>109566.0</v>
      </c>
      <c r="AI33" s="3" t="n">
        <v>109212.0</v>
      </c>
      <c r="AJ33" s="3" t="n">
        <v>108871.0</v>
      </c>
      <c r="AK33" s="3" t="n">
        <v>108637.0</v>
      </c>
      <c r="AL33" s="3" t="n">
        <v>108572.0</v>
      </c>
      <c r="AM33" s="3" t="n">
        <v>108754.0</v>
      </c>
      <c r="AN33" s="3" t="n">
        <v>109169.0</v>
      </c>
      <c r="AO33" s="3" t="n">
        <v>109785.0</v>
      </c>
    </row>
    <row r="34" spans="1:41" x14ac:dyDescent="0.2">
      <c r="A34" s="131"/>
      <c r="B34" s="52" t="s">
        <v>3</v>
      </c>
      <c r="C34" s="3" t="n">
        <v>287155.0</v>
      </c>
      <c r="D34" s="3" t="n">
        <v>284537.0</v>
      </c>
      <c r="E34" s="3" t="n">
        <v>281698.0</v>
      </c>
      <c r="F34" s="3" t="n">
        <v>279002.0</v>
      </c>
      <c r="G34" s="3" t="n">
        <v>277557.0</v>
      </c>
      <c r="H34" s="3" t="n">
        <v>278780.0</v>
      </c>
      <c r="I34" s="3" t="n">
        <v>281461.0</v>
      </c>
      <c r="J34" s="3" t="n">
        <v>281908.0</v>
      </c>
      <c r="K34" s="3" t="n">
        <v>281093.0</v>
      </c>
      <c r="L34" s="3" t="n">
        <v>279275.0</v>
      </c>
      <c r="M34" s="3" t="n">
        <v>276390.0</v>
      </c>
      <c r="N34" s="3" t="n">
        <v>273513.0</v>
      </c>
      <c r="O34" s="3" t="n">
        <v>271322.0</v>
      </c>
      <c r="P34" s="3" t="n">
        <v>270001.0</v>
      </c>
      <c r="Q34" s="3" t="n">
        <v>269447.0</v>
      </c>
      <c r="R34" s="3" t="n">
        <v>270361.0</v>
      </c>
      <c r="S34" s="3" t="n">
        <v>270565.0</v>
      </c>
      <c r="T34" s="3" t="n">
        <v>270641.0</v>
      </c>
      <c r="U34" s="3" t="n">
        <v>270640.0</v>
      </c>
      <c r="V34" s="3" t="n">
        <v>270723.0</v>
      </c>
      <c r="W34" s="3" t="n">
        <v>271044.0</v>
      </c>
      <c r="X34" s="3" t="n">
        <v>271531.0</v>
      </c>
      <c r="Y34" s="3" t="n">
        <v>272134.0</v>
      </c>
      <c r="Z34" s="3" t="n">
        <v>272857.0</v>
      </c>
      <c r="AA34" s="3" t="n">
        <v>273705.0</v>
      </c>
      <c r="AB34" s="3" t="n">
        <v>274701.0</v>
      </c>
      <c r="AC34" s="3" t="n">
        <v>275809.0</v>
      </c>
      <c r="AD34" s="3" t="n">
        <v>276985.0</v>
      </c>
      <c r="AE34" s="3" t="n">
        <v>278135.0</v>
      </c>
      <c r="AF34" s="3" t="n">
        <v>279225.0</v>
      </c>
      <c r="AG34" s="3" t="n">
        <v>280154.0</v>
      </c>
      <c r="AH34" s="3" t="n">
        <v>280880.0</v>
      </c>
      <c r="AI34" s="3" t="n">
        <v>281327.0</v>
      </c>
      <c r="AJ34" s="3" t="n">
        <v>281511.0</v>
      </c>
      <c r="AK34" s="3" t="n">
        <v>281417.0</v>
      </c>
      <c r="AL34" s="3" t="n">
        <v>281067.0</v>
      </c>
      <c r="AM34" s="3" t="n">
        <v>280494.0</v>
      </c>
      <c r="AN34" s="3" t="n">
        <v>279760.0</v>
      </c>
      <c r="AO34" s="3" t="n">
        <v>278898.0</v>
      </c>
    </row>
    <row r="35" spans="1:41" x14ac:dyDescent="0.2">
      <c r="A35" s="131"/>
      <c r="B35" s="52" t="s">
        <v>4</v>
      </c>
      <c r="C35" s="3" t="n">
        <v>1127200.0</v>
      </c>
      <c r="D35" s="3" t="n">
        <v>1123115.0</v>
      </c>
      <c r="E35" s="3" t="n">
        <v>1120289.0</v>
      </c>
      <c r="F35" s="3" t="n">
        <v>1118553.0</v>
      </c>
      <c r="G35" s="3" t="n">
        <v>1116769.0</v>
      </c>
      <c r="H35" s="3" t="n">
        <v>1117241.0</v>
      </c>
      <c r="I35" s="3" t="n">
        <v>1118260.0</v>
      </c>
      <c r="J35" s="3" t="n">
        <v>1118214.0</v>
      </c>
      <c r="K35" s="3" t="n">
        <v>1117866.0</v>
      </c>
      <c r="L35" s="3" t="n">
        <v>1118210.0</v>
      </c>
      <c r="M35" s="3" t="n">
        <v>1119128.0</v>
      </c>
      <c r="N35" s="3" t="n">
        <v>1119601.0</v>
      </c>
      <c r="O35" s="3" t="n">
        <v>1119045.0</v>
      </c>
      <c r="P35" s="3" t="n">
        <v>1117059.0</v>
      </c>
      <c r="Q35" s="3" t="n">
        <v>1113888.0</v>
      </c>
      <c r="R35" s="3" t="n">
        <v>1109060.0</v>
      </c>
      <c r="S35" s="3" t="n">
        <v>1104292.0</v>
      </c>
      <c r="T35" s="3" t="n">
        <v>1098658.0</v>
      </c>
      <c r="U35" s="3" t="n">
        <v>1092943.0</v>
      </c>
      <c r="V35" s="3" t="n">
        <v>1086483.0</v>
      </c>
      <c r="W35" s="3" t="n">
        <v>1079840.0</v>
      </c>
      <c r="X35" s="3" t="n">
        <v>1072677.0</v>
      </c>
      <c r="Y35" s="3" t="n">
        <v>1065041.0</v>
      </c>
      <c r="Z35" s="3" t="n">
        <v>1057191.0</v>
      </c>
      <c r="AA35" s="3" t="n">
        <v>1049773.0</v>
      </c>
      <c r="AB35" s="3" t="n">
        <v>1041205.0</v>
      </c>
      <c r="AC35" s="3" t="n">
        <v>1031770.0</v>
      </c>
      <c r="AD35" s="3" t="n">
        <v>1022324.0</v>
      </c>
      <c r="AE35" s="3" t="n">
        <v>1013411.0</v>
      </c>
      <c r="AF35" s="3" t="n">
        <v>1005519.0</v>
      </c>
      <c r="AG35" s="3" t="n">
        <v>998401.0</v>
      </c>
      <c r="AH35" s="3" t="n">
        <v>991471.0</v>
      </c>
      <c r="AI35" s="3" t="n">
        <v>985223.0</v>
      </c>
      <c r="AJ35" s="3" t="n">
        <v>978933.0</v>
      </c>
      <c r="AK35" s="3" t="n">
        <v>972858.0</v>
      </c>
      <c r="AL35" s="3" t="n">
        <v>968072.0</v>
      </c>
      <c r="AM35" s="3" t="n">
        <v>964663.0</v>
      </c>
      <c r="AN35" s="3" t="n">
        <v>961974.0</v>
      </c>
      <c r="AO35" s="3" t="n">
        <v>960558.0</v>
      </c>
    </row>
    <row r="36" spans="1:41" x14ac:dyDescent="0.2">
      <c r="A36" s="131"/>
      <c r="B36" s="52" t="s">
        <v>5</v>
      </c>
      <c r="C36" s="3" t="n">
        <v>248736.0</v>
      </c>
      <c r="D36" s="3" t="n">
        <v>255860.0</v>
      </c>
      <c r="E36" s="3" t="n">
        <v>262439.0</v>
      </c>
      <c r="F36" s="3" t="n">
        <v>268042.0</v>
      </c>
      <c r="G36" s="3" t="n">
        <v>272625.0</v>
      </c>
      <c r="H36" s="3" t="n">
        <v>277164.0</v>
      </c>
      <c r="I36" s="3" t="n">
        <v>281397.0</v>
      </c>
      <c r="J36" s="3" t="n">
        <v>285306.0</v>
      </c>
      <c r="K36" s="3" t="n">
        <v>288858.0</v>
      </c>
      <c r="L36" s="3" t="n">
        <v>291914.0</v>
      </c>
      <c r="M36" s="3" t="n">
        <v>294942.0</v>
      </c>
      <c r="N36" s="3" t="n">
        <v>297992.0</v>
      </c>
      <c r="O36" s="3" t="n">
        <v>300908.0</v>
      </c>
      <c r="P36" s="3" t="n">
        <v>304280.0</v>
      </c>
      <c r="Q36" s="3" t="n">
        <v>307943.0</v>
      </c>
      <c r="R36" s="3" t="n">
        <v>311762.0</v>
      </c>
      <c r="S36" s="3" t="n">
        <v>316264.0</v>
      </c>
      <c r="T36" s="3" t="n">
        <v>321613.0</v>
      </c>
      <c r="U36" s="3" t="n">
        <v>327173.0</v>
      </c>
      <c r="V36" s="3" t="n">
        <v>333511.0</v>
      </c>
      <c r="W36" s="3" t="n">
        <v>339920.0</v>
      </c>
      <c r="X36" s="3" t="n">
        <v>346770.0</v>
      </c>
      <c r="Y36" s="3" t="n">
        <v>354102.0</v>
      </c>
      <c r="Z36" s="3" t="n">
        <v>361404.0</v>
      </c>
      <c r="AA36" s="3" t="n">
        <v>368243.0</v>
      </c>
      <c r="AB36" s="3" t="n">
        <v>376121.0</v>
      </c>
      <c r="AC36" s="3" t="n">
        <v>384784.0</v>
      </c>
      <c r="AD36" s="3" t="n">
        <v>393332.0</v>
      </c>
      <c r="AE36" s="3" t="n">
        <v>401134.0</v>
      </c>
      <c r="AF36" s="3" t="n">
        <v>407926.0</v>
      </c>
      <c r="AG36" s="3" t="n">
        <v>414047.0</v>
      </c>
      <c r="AH36" s="3" t="n">
        <v>420087.0</v>
      </c>
      <c r="AI36" s="3" t="n">
        <v>425578.0</v>
      </c>
      <c r="AJ36" s="3" t="n">
        <v>431332.0</v>
      </c>
      <c r="AK36" s="3" t="n">
        <v>436837.0</v>
      </c>
      <c r="AL36" s="3" t="n">
        <v>441223.0</v>
      </c>
      <c r="AM36" s="3" t="n">
        <v>444425.0</v>
      </c>
      <c r="AN36" s="3" t="n">
        <v>447035.0</v>
      </c>
      <c r="AO36" s="3" t="n">
        <v>448495.0</v>
      </c>
    </row>
    <row r="37" spans="1:41" x14ac:dyDescent="0.2">
      <c r="A37" s="131"/>
      <c r="B37" s="54" t="s">
        <v>6</v>
      </c>
      <c r="C37" s="3" t="n">
        <v>46306.0</v>
      </c>
      <c r="D37" s="3" t="n">
        <v>46699.0</v>
      </c>
      <c r="E37" s="3" t="n">
        <v>47458.0</v>
      </c>
      <c r="F37" s="3" t="n">
        <v>48377.0</v>
      </c>
      <c r="G37" s="3" t="n">
        <v>50153.0</v>
      </c>
      <c r="H37" s="3" t="n">
        <v>52829.0</v>
      </c>
      <c r="I37" s="3" t="n">
        <v>55909.0</v>
      </c>
      <c r="J37" s="3" t="n">
        <v>58891.0</v>
      </c>
      <c r="K37" s="3" t="n">
        <v>62237.0</v>
      </c>
      <c r="L37" s="3" t="n">
        <v>65993.0</v>
      </c>
      <c r="M37" s="3" t="n">
        <v>69711.0</v>
      </c>
      <c r="N37" s="3" t="n">
        <v>73483.0</v>
      </c>
      <c r="O37" s="3" t="n">
        <v>77101.0</v>
      </c>
      <c r="P37" s="3" t="n">
        <v>80915.0</v>
      </c>
      <c r="Q37" s="3" t="n">
        <v>84367.0</v>
      </c>
      <c r="R37" s="3" t="n">
        <v>87850.0</v>
      </c>
      <c r="S37" s="3" t="n">
        <v>91287.0</v>
      </c>
      <c r="T37" s="3" t="n">
        <v>94194.0</v>
      </c>
      <c r="U37" s="3" t="n">
        <v>96467.0</v>
      </c>
      <c r="V37" s="3" t="n">
        <v>98126.0</v>
      </c>
      <c r="W37" s="3" t="n">
        <v>99666.0</v>
      </c>
      <c r="X37" s="3" t="n">
        <v>101067.0</v>
      </c>
      <c r="Y37" s="3" t="n">
        <v>102398.0</v>
      </c>
      <c r="Z37" s="3" t="n">
        <v>103536.0</v>
      </c>
      <c r="AA37" s="3" t="n">
        <v>104475.0</v>
      </c>
      <c r="AB37" s="3" t="n">
        <v>105516.0</v>
      </c>
      <c r="AC37" s="3" t="n">
        <v>106685.0</v>
      </c>
      <c r="AD37" s="3" t="n">
        <v>107997.0</v>
      </c>
      <c r="AE37" s="3" t="n">
        <v>109603.0</v>
      </c>
      <c r="AF37" s="3" t="n">
        <v>111555.0</v>
      </c>
      <c r="AG37" s="3" t="n">
        <v>113738.0</v>
      </c>
      <c r="AH37" s="3" t="n">
        <v>116474.0</v>
      </c>
      <c r="AI37" s="3" t="n">
        <v>119946.0</v>
      </c>
      <c r="AJ37" s="3" t="n">
        <v>123673.0</v>
      </c>
      <c r="AK37" s="3" t="n">
        <v>127874.0</v>
      </c>
      <c r="AL37" s="3" t="n">
        <v>132116.0</v>
      </c>
      <c r="AM37" s="3" t="n">
        <v>136667.0</v>
      </c>
      <c r="AN37" s="3" t="n">
        <v>141565.0</v>
      </c>
      <c r="AO37" s="3" t="n">
        <v>146494.0</v>
      </c>
    </row>
    <row r="38" spans="1:41" x14ac:dyDescent="0.2">
      <c r="A38" s="130" t="s">
        <v>50</v>
      </c>
      <c r="B38" s="59" t="s">
        <v>62</v>
      </c>
      <c r="C38" s="57" t="n">
        <v>1765923.0</v>
      </c>
      <c r="D38" s="57" t="n">
        <v>1766849.0</v>
      </c>
      <c r="E38" s="57" t="n">
        <v>1768272.0</v>
      </c>
      <c r="F38" s="57" t="n">
        <v>1770022.0</v>
      </c>
      <c r="G38" s="57" t="n">
        <v>1772142.0</v>
      </c>
      <c r="H38" s="57" t="n">
        <v>1783165.0</v>
      </c>
      <c r="I38" s="57" t="n">
        <v>1797670.0</v>
      </c>
      <c r="J38" s="57" t="n">
        <v>1805110.0</v>
      </c>
      <c r="K38" s="57" t="n">
        <v>1808837.0</v>
      </c>
      <c r="L38" s="57" t="n">
        <v>1811246.0</v>
      </c>
      <c r="M38" s="57" t="n">
        <v>1812762.0</v>
      </c>
      <c r="N38" s="57" t="n">
        <v>1813720.0</v>
      </c>
      <c r="O38" s="57" t="n">
        <v>1814177.0</v>
      </c>
      <c r="P38" s="57" t="n">
        <v>1814298.0</v>
      </c>
      <c r="Q38" s="57" t="n">
        <v>1814323.0</v>
      </c>
      <c r="R38" s="57" t="n">
        <v>1814120.0</v>
      </c>
      <c r="S38" s="57" t="n">
        <v>1813711.0</v>
      </c>
      <c r="T38" s="57" t="n">
        <v>1813393.0</v>
      </c>
      <c r="U38" s="57" t="n">
        <v>1812937.0</v>
      </c>
      <c r="V38" s="57" t="n">
        <v>1812575.0</v>
      </c>
      <c r="W38" s="57" t="n">
        <v>1812141.0</v>
      </c>
      <c r="X38" s="57" t="n">
        <v>1811576.0</v>
      </c>
      <c r="Y38" s="57" t="n">
        <v>1811119.0</v>
      </c>
      <c r="Z38" s="57" t="n">
        <v>1810479.0</v>
      </c>
      <c r="AA38" s="57" t="n">
        <v>1809704.0</v>
      </c>
      <c r="AB38" s="57" t="n">
        <v>1809004.0</v>
      </c>
      <c r="AC38" s="57" t="n">
        <v>1808062.0</v>
      </c>
      <c r="AD38" s="57" t="n">
        <v>1807000.0</v>
      </c>
      <c r="AE38" s="57" t="n">
        <v>1805982.0</v>
      </c>
      <c r="AF38" s="57" t="n">
        <v>1804749.0</v>
      </c>
      <c r="AG38" s="57" t="n">
        <v>1803260.0</v>
      </c>
      <c r="AH38" s="57" t="n">
        <v>1801769.0</v>
      </c>
      <c r="AI38" s="57" t="n">
        <v>1800056.0</v>
      </c>
      <c r="AJ38" s="57" t="n">
        <v>1798351.0</v>
      </c>
      <c r="AK38" s="57" t="n">
        <v>1796435.0</v>
      </c>
      <c r="AL38" s="57" t="n">
        <v>1794326.0</v>
      </c>
      <c r="AM38" s="57" t="n">
        <v>1792236.0</v>
      </c>
      <c r="AN38" s="57" t="n">
        <v>1790014.0</v>
      </c>
      <c r="AO38" s="57" t="n">
        <v>1787609.0</v>
      </c>
    </row>
    <row r="39" spans="1:41" x14ac:dyDescent="0.2">
      <c r="A39" s="131"/>
      <c r="B39" s="52" t="s">
        <v>8</v>
      </c>
      <c r="C39" s="3" t="n">
        <v>322247.0</v>
      </c>
      <c r="D39" s="3" t="n">
        <v>322171.0</v>
      </c>
      <c r="E39" s="3" t="n">
        <v>321930.0</v>
      </c>
      <c r="F39" s="3" t="n">
        <v>321111.0</v>
      </c>
      <c r="G39" s="3" t="n">
        <v>318984.0</v>
      </c>
      <c r="H39" s="3" t="n">
        <v>319549.0</v>
      </c>
      <c r="I39" s="3" t="n">
        <v>321494.0</v>
      </c>
      <c r="J39" s="3" t="n">
        <v>321820.0</v>
      </c>
      <c r="K39" s="3" t="n">
        <v>320921.0</v>
      </c>
      <c r="L39" s="3" t="n">
        <v>320210.0</v>
      </c>
      <c r="M39" s="3" t="n">
        <v>319007.0</v>
      </c>
      <c r="N39" s="3" t="n">
        <v>317341.0</v>
      </c>
      <c r="O39" s="3" t="n">
        <v>314883.0</v>
      </c>
      <c r="P39" s="3" t="n">
        <v>311712.0</v>
      </c>
      <c r="Q39" s="3" t="n">
        <v>308941.0</v>
      </c>
      <c r="R39" s="3" t="n">
        <v>306517.0</v>
      </c>
      <c r="S39" s="3" t="n">
        <v>305365.0</v>
      </c>
      <c r="T39" s="3" t="n">
        <v>304877.0</v>
      </c>
      <c r="U39" s="3" t="n">
        <v>305982.0</v>
      </c>
      <c r="V39" s="3" t="n">
        <v>306593.0</v>
      </c>
      <c r="W39" s="3" t="n">
        <v>307122.0</v>
      </c>
      <c r="X39" s="3" t="n">
        <v>307599.0</v>
      </c>
      <c r="Y39" s="3" t="n">
        <v>308142.0</v>
      </c>
      <c r="Z39" s="3" t="n">
        <v>308845.0</v>
      </c>
      <c r="AA39" s="3" t="n">
        <v>309627.0</v>
      </c>
      <c r="AB39" s="3" t="n">
        <v>310417.0</v>
      </c>
      <c r="AC39" s="3" t="n">
        <v>311248.0</v>
      </c>
      <c r="AD39" s="3" t="n">
        <v>312102.0</v>
      </c>
      <c r="AE39" s="3" t="n">
        <v>312991.0</v>
      </c>
      <c r="AF39" s="3" t="n">
        <v>313907.0</v>
      </c>
      <c r="AG39" s="3" t="n">
        <v>314810.0</v>
      </c>
      <c r="AH39" s="3" t="n">
        <v>315662.0</v>
      </c>
      <c r="AI39" s="3" t="n">
        <v>316367.0</v>
      </c>
      <c r="AJ39" s="3" t="n">
        <v>316902.0</v>
      </c>
      <c r="AK39" s="3" t="n">
        <v>317250.0</v>
      </c>
      <c r="AL39" s="3" t="n">
        <v>317369.0</v>
      </c>
      <c r="AM39" s="3" t="n">
        <v>317269.0</v>
      </c>
      <c r="AN39" s="3" t="n">
        <v>316971.0</v>
      </c>
      <c r="AO39" s="3" t="n">
        <v>316491.0</v>
      </c>
    </row>
    <row r="40" spans="1:41" x14ac:dyDescent="0.2">
      <c r="A40" s="131"/>
      <c r="B40" s="52" t="s">
        <v>15</v>
      </c>
      <c r="C40" s="3" t="n">
        <v>971504.0</v>
      </c>
      <c r="D40" s="3" t="n">
        <v>967818.0</v>
      </c>
      <c r="E40" s="3" t="n">
        <v>964716.0</v>
      </c>
      <c r="F40" s="3" t="n">
        <v>962683.0</v>
      </c>
      <c r="G40" s="3" t="n">
        <v>962557.0</v>
      </c>
      <c r="H40" s="3" t="n">
        <v>968086.0</v>
      </c>
      <c r="I40" s="3" t="n">
        <v>975279.0</v>
      </c>
      <c r="J40" s="3" t="n">
        <v>977229.0</v>
      </c>
      <c r="K40" s="3" t="n">
        <v>976589.0</v>
      </c>
      <c r="L40" s="3" t="n">
        <v>974446.0</v>
      </c>
      <c r="M40" s="3" t="n">
        <v>971238.0</v>
      </c>
      <c r="N40" s="3" t="n">
        <v>967527.0</v>
      </c>
      <c r="O40" s="3" t="n">
        <v>963089.0</v>
      </c>
      <c r="P40" s="3" t="n">
        <v>958743.0</v>
      </c>
      <c r="Q40" s="3" t="n">
        <v>953239.0</v>
      </c>
      <c r="R40" s="3" t="n">
        <v>947454.0</v>
      </c>
      <c r="S40" s="3" t="n">
        <v>939839.0</v>
      </c>
      <c r="T40" s="3" t="n">
        <v>931482.0</v>
      </c>
      <c r="U40" s="3" t="n">
        <v>921110.0</v>
      </c>
      <c r="V40" s="3" t="n">
        <v>911720.0</v>
      </c>
      <c r="W40" s="3" t="n">
        <v>901451.0</v>
      </c>
      <c r="X40" s="3" t="n">
        <v>889771.0</v>
      </c>
      <c r="Y40" s="3" t="n">
        <v>878829.0</v>
      </c>
      <c r="Z40" s="3" t="n">
        <v>868481.0</v>
      </c>
      <c r="AA40" s="3" t="n">
        <v>859342.0</v>
      </c>
      <c r="AB40" s="3" t="n">
        <v>850993.0</v>
      </c>
      <c r="AC40" s="3" t="n">
        <v>842491.0</v>
      </c>
      <c r="AD40" s="3" t="n">
        <v>834184.0</v>
      </c>
      <c r="AE40" s="3" t="n">
        <v>826156.0</v>
      </c>
      <c r="AF40" s="3" t="n">
        <v>817528.0</v>
      </c>
      <c r="AG40" s="3" t="n">
        <v>810129.0</v>
      </c>
      <c r="AH40" s="3" t="n">
        <v>803523.0</v>
      </c>
      <c r="AI40" s="3" t="n">
        <v>797713.0</v>
      </c>
      <c r="AJ40" s="3" t="n">
        <v>793345.0</v>
      </c>
      <c r="AK40" s="3" t="n">
        <v>789865.0</v>
      </c>
      <c r="AL40" s="3" t="n">
        <v>787396.0</v>
      </c>
      <c r="AM40" s="3" t="n">
        <v>785607.0</v>
      </c>
      <c r="AN40" s="3" t="n">
        <v>784885.0</v>
      </c>
      <c r="AO40" s="3" t="n">
        <v>784414.0</v>
      </c>
    </row>
    <row r="41" spans="1:41" x14ac:dyDescent="0.2">
      <c r="A41" s="131"/>
      <c r="B41" s="52" t="s">
        <v>11</v>
      </c>
      <c r="C41" s="3" t="n">
        <v>638807.0</v>
      </c>
      <c r="D41" s="3" t="n">
        <v>629431.0</v>
      </c>
      <c r="E41" s="3" t="n">
        <v>620281.0</v>
      </c>
      <c r="F41" s="3" t="n">
        <v>611452.0</v>
      </c>
      <c r="G41" s="3" t="n">
        <v>604538.0</v>
      </c>
      <c r="H41" s="3" t="n">
        <v>600648.0</v>
      </c>
      <c r="I41" s="3" t="n">
        <v>596338.0</v>
      </c>
      <c r="J41" s="3" t="n">
        <v>589064.0</v>
      </c>
      <c r="K41" s="3" t="n">
        <v>581020.0</v>
      </c>
      <c r="L41" s="3" t="n">
        <v>573114.0</v>
      </c>
      <c r="M41" s="3" t="n">
        <v>565961.0</v>
      </c>
      <c r="N41" s="3" t="n">
        <v>558773.0</v>
      </c>
      <c r="O41" s="3" t="n">
        <v>552439.0</v>
      </c>
      <c r="P41" s="3" t="n">
        <v>547142.0</v>
      </c>
      <c r="Q41" s="3" t="n">
        <v>540946.0</v>
      </c>
      <c r="R41" s="3" t="n">
        <v>535846.0</v>
      </c>
      <c r="S41" s="3" t="n">
        <v>530505.0</v>
      </c>
      <c r="T41" s="3" t="n">
        <v>525464.0</v>
      </c>
      <c r="U41" s="3" t="n">
        <v>520411.0</v>
      </c>
      <c r="V41" s="3" t="n">
        <v>516864.0</v>
      </c>
      <c r="W41" s="3" t="n">
        <v>514503.0</v>
      </c>
      <c r="X41" s="3" t="n">
        <v>512853.0</v>
      </c>
      <c r="Y41" s="3" t="n">
        <v>512192.0</v>
      </c>
      <c r="Z41" s="3" t="n">
        <v>511555.0</v>
      </c>
      <c r="AA41" s="3" t="n">
        <v>511690.0</v>
      </c>
      <c r="AB41" s="3" t="n">
        <v>512517.0</v>
      </c>
      <c r="AC41" s="3" t="n">
        <v>513564.0</v>
      </c>
      <c r="AD41" s="3" t="n">
        <v>514569.0</v>
      </c>
      <c r="AE41" s="3" t="n">
        <v>514805.0</v>
      </c>
      <c r="AF41" s="3" t="n">
        <v>514328.0</v>
      </c>
      <c r="AG41" s="3" t="n">
        <v>512791.0</v>
      </c>
      <c r="AH41" s="3" t="n">
        <v>509587.0</v>
      </c>
      <c r="AI41" s="3" t="n">
        <v>506080.0</v>
      </c>
      <c r="AJ41" s="3" t="n">
        <v>502967.0</v>
      </c>
      <c r="AK41" s="3" t="n">
        <v>500643.0</v>
      </c>
      <c r="AL41" s="3" t="n">
        <v>498460.0</v>
      </c>
      <c r="AM41" s="3" t="n">
        <v>497059.0</v>
      </c>
      <c r="AN41" s="3" t="n">
        <v>495628.0</v>
      </c>
      <c r="AO41" s="3" t="n">
        <v>494170.0</v>
      </c>
    </row>
    <row r="42" spans="1:41" x14ac:dyDescent="0.2">
      <c r="A42" s="131"/>
      <c r="B42" s="52" t="s">
        <v>16</v>
      </c>
      <c r="C42" s="3" t="n">
        <v>332697.0</v>
      </c>
      <c r="D42" s="3" t="n">
        <v>338387.0</v>
      </c>
      <c r="E42" s="3" t="n">
        <v>344435.0</v>
      </c>
      <c r="F42" s="3" t="n">
        <v>351231.0</v>
      </c>
      <c r="G42" s="3" t="n">
        <v>358019.0</v>
      </c>
      <c r="H42" s="3" t="n">
        <v>367438.0</v>
      </c>
      <c r="I42" s="3" t="n">
        <v>378941.0</v>
      </c>
      <c r="J42" s="3" t="n">
        <v>388165.0</v>
      </c>
      <c r="K42" s="3" t="n">
        <v>395569.0</v>
      </c>
      <c r="L42" s="3" t="n">
        <v>401332.0</v>
      </c>
      <c r="M42" s="3" t="n">
        <v>405277.0</v>
      </c>
      <c r="N42" s="3" t="n">
        <v>408754.0</v>
      </c>
      <c r="O42" s="3" t="n">
        <v>410650.0</v>
      </c>
      <c r="P42" s="3" t="n">
        <v>411601.0</v>
      </c>
      <c r="Q42" s="3" t="n">
        <v>412293.0</v>
      </c>
      <c r="R42" s="3" t="n">
        <v>411608.0</v>
      </c>
      <c r="S42" s="3" t="n">
        <v>409334.0</v>
      </c>
      <c r="T42" s="3" t="n">
        <v>406018.0</v>
      </c>
      <c r="U42" s="3" t="n">
        <v>400699.0</v>
      </c>
      <c r="V42" s="3" t="n">
        <v>394856.0</v>
      </c>
      <c r="W42" s="3" t="n">
        <v>386948.0</v>
      </c>
      <c r="X42" s="3" t="n">
        <v>376918.0</v>
      </c>
      <c r="Y42" s="3" t="n">
        <v>366637.0</v>
      </c>
      <c r="Z42" s="3" t="n">
        <v>356926.0</v>
      </c>
      <c r="AA42" s="3" t="n">
        <v>347652.0</v>
      </c>
      <c r="AB42" s="3" t="n">
        <v>338476.0</v>
      </c>
      <c r="AC42" s="3" t="n">
        <v>328927.0</v>
      </c>
      <c r="AD42" s="3" t="n">
        <v>319615.0</v>
      </c>
      <c r="AE42" s="3" t="n">
        <v>311351.0</v>
      </c>
      <c r="AF42" s="3" t="n">
        <v>303200.0</v>
      </c>
      <c r="AG42" s="3" t="n">
        <v>297338.0</v>
      </c>
      <c r="AH42" s="3" t="n">
        <v>293936.0</v>
      </c>
      <c r="AI42" s="3" t="n">
        <v>291633.0</v>
      </c>
      <c r="AJ42" s="3" t="n">
        <v>290378.0</v>
      </c>
      <c r="AK42" s="3" t="n">
        <v>289222.0</v>
      </c>
      <c r="AL42" s="3" t="n">
        <v>288936.0</v>
      </c>
      <c r="AM42" s="3" t="n">
        <v>288548.0</v>
      </c>
      <c r="AN42" s="3" t="n">
        <v>289257.0</v>
      </c>
      <c r="AO42" s="3" t="n">
        <v>290244.0</v>
      </c>
    </row>
    <row r="43" spans="1:41" x14ac:dyDescent="0.2">
      <c r="A43" s="131"/>
      <c r="B43" s="52" t="s">
        <v>17</v>
      </c>
      <c r="C43" s="3" t="n">
        <v>472172.0</v>
      </c>
      <c r="D43" s="3" t="n">
        <v>476860.0</v>
      </c>
      <c r="E43" s="3" t="n">
        <v>481626.0</v>
      </c>
      <c r="F43" s="3" t="n">
        <v>486228.0</v>
      </c>
      <c r="G43" s="3" t="n">
        <v>490601.0</v>
      </c>
      <c r="H43" s="3" t="n">
        <v>495530.0</v>
      </c>
      <c r="I43" s="3" t="n">
        <v>500897.0</v>
      </c>
      <c r="J43" s="3" t="n">
        <v>506061.0</v>
      </c>
      <c r="K43" s="3" t="n">
        <v>511327.0</v>
      </c>
      <c r="L43" s="3" t="n">
        <v>516590.0</v>
      </c>
      <c r="M43" s="3" t="n">
        <v>522517.0</v>
      </c>
      <c r="N43" s="3" t="n">
        <v>528852.0</v>
      </c>
      <c r="O43" s="3" t="n">
        <v>536205.0</v>
      </c>
      <c r="P43" s="3" t="n">
        <v>543843.0</v>
      </c>
      <c r="Q43" s="3" t="n">
        <v>552143.0</v>
      </c>
      <c r="R43" s="3" t="n">
        <v>560149.0</v>
      </c>
      <c r="S43" s="3" t="n">
        <v>568507.0</v>
      </c>
      <c r="T43" s="3" t="n">
        <v>577034.0</v>
      </c>
      <c r="U43" s="3" t="n">
        <v>585845.0</v>
      </c>
      <c r="V43" s="3" t="n">
        <v>594262.0</v>
      </c>
      <c r="W43" s="3" t="n">
        <v>603568.0</v>
      </c>
      <c r="X43" s="3" t="n">
        <v>614206.0</v>
      </c>
      <c r="Y43" s="3" t="n">
        <v>624148.0</v>
      </c>
      <c r="Z43" s="3" t="n">
        <v>633153.0</v>
      </c>
      <c r="AA43" s="3" t="n">
        <v>640735.0</v>
      </c>
      <c r="AB43" s="3" t="n">
        <v>647594.0</v>
      </c>
      <c r="AC43" s="3" t="n">
        <v>654323.0</v>
      </c>
      <c r="AD43" s="3" t="n">
        <v>660714.0</v>
      </c>
      <c r="AE43" s="3" t="n">
        <v>666835.0</v>
      </c>
      <c r="AF43" s="3" t="n">
        <v>673314.0</v>
      </c>
      <c r="AG43" s="3" t="n">
        <v>678321.0</v>
      </c>
      <c r="AH43" s="3" t="n">
        <v>682584.0</v>
      </c>
      <c r="AI43" s="3" t="n">
        <v>685976.0</v>
      </c>
      <c r="AJ43" s="3" t="n">
        <v>688104.0</v>
      </c>
      <c r="AK43" s="3" t="n">
        <v>689320.0</v>
      </c>
      <c r="AL43" s="3" t="n">
        <v>689561.0</v>
      </c>
      <c r="AM43" s="3" t="n">
        <v>689360.0</v>
      </c>
      <c r="AN43" s="3" t="n">
        <v>688158.0</v>
      </c>
      <c r="AO43" s="3" t="n">
        <v>686704.0</v>
      </c>
    </row>
    <row r="44" spans="1:41" x14ac:dyDescent="0.2">
      <c r="A44" s="131"/>
      <c r="B44" s="52" t="s">
        <v>0</v>
      </c>
      <c r="C44" s="3" t="n">
        <v>48427.0</v>
      </c>
      <c r="D44" s="3" t="n">
        <v>47194.0</v>
      </c>
      <c r="E44" s="3" t="n">
        <v>46740.0</v>
      </c>
      <c r="F44" s="3" t="n">
        <v>47922.0</v>
      </c>
      <c r="G44" s="3" t="n">
        <v>48544.0</v>
      </c>
      <c r="H44" s="3" t="n">
        <v>49237.0</v>
      </c>
      <c r="I44" s="3" t="n">
        <v>49822.0</v>
      </c>
      <c r="J44" s="3" t="n">
        <v>50013.0</v>
      </c>
      <c r="K44" s="3" t="n">
        <v>50048.0</v>
      </c>
      <c r="L44" s="3" t="n">
        <v>49997.0</v>
      </c>
      <c r="M44" s="3" t="n">
        <v>49795.0</v>
      </c>
      <c r="N44" s="3" t="n">
        <v>49510.0</v>
      </c>
      <c r="O44" s="3" t="n">
        <v>49163.0</v>
      </c>
      <c r="P44" s="3" t="n">
        <v>48855.0</v>
      </c>
      <c r="Q44" s="3" t="n">
        <v>48652.0</v>
      </c>
      <c r="R44" s="3" t="n">
        <v>48593.0</v>
      </c>
      <c r="S44" s="3" t="n">
        <v>48676.0</v>
      </c>
      <c r="T44" s="3" t="n">
        <v>48907.0</v>
      </c>
      <c r="U44" s="3" t="n">
        <v>49233.0</v>
      </c>
      <c r="V44" s="3" t="n">
        <v>49653.0</v>
      </c>
      <c r="W44" s="3" t="n">
        <v>50092.0</v>
      </c>
      <c r="X44" s="3" t="n">
        <v>50532.0</v>
      </c>
      <c r="Y44" s="3" t="n">
        <v>50932.0</v>
      </c>
      <c r="Z44" s="3" t="n">
        <v>51281.0</v>
      </c>
      <c r="AA44" s="3" t="n">
        <v>51551.0</v>
      </c>
      <c r="AB44" s="3" t="n">
        <v>51738.0</v>
      </c>
      <c r="AC44" s="3" t="n">
        <v>51841.0</v>
      </c>
      <c r="AD44" s="3" t="n">
        <v>51875.0</v>
      </c>
      <c r="AE44" s="3" t="n">
        <v>51795.0</v>
      </c>
      <c r="AF44" s="3" t="n">
        <v>51648.0</v>
      </c>
      <c r="AG44" s="3" t="n">
        <v>51422.0</v>
      </c>
      <c r="AH44" s="3" t="n">
        <v>51154.0</v>
      </c>
      <c r="AI44" s="3" t="n">
        <v>50819.0</v>
      </c>
      <c r="AJ44" s="3" t="n">
        <v>50481.0</v>
      </c>
      <c r="AK44" s="3" t="n">
        <v>50161.0</v>
      </c>
      <c r="AL44" s="3" t="n">
        <v>49873.0</v>
      </c>
      <c r="AM44" s="3" t="n">
        <v>49615.0</v>
      </c>
      <c r="AN44" s="3" t="n">
        <v>49432.0</v>
      </c>
      <c r="AO44" s="3" t="n">
        <v>49306.0</v>
      </c>
    </row>
    <row r="45" spans="1:41" x14ac:dyDescent="0.2">
      <c r="A45" s="131"/>
      <c r="B45" s="52" t="s">
        <v>1</v>
      </c>
      <c r="C45" s="3" t="n">
        <v>74743.0</v>
      </c>
      <c r="D45" s="3" t="n">
        <v>73485.0</v>
      </c>
      <c r="E45" s="3" t="n">
        <v>71146.0</v>
      </c>
      <c r="F45" s="3" t="n">
        <v>67820.0</v>
      </c>
      <c r="G45" s="3" t="n">
        <v>65486.0</v>
      </c>
      <c r="H45" s="3" t="n">
        <v>65242.0</v>
      </c>
      <c r="I45" s="3" t="n">
        <v>65899.0</v>
      </c>
      <c r="J45" s="3" t="n">
        <v>67564.0</v>
      </c>
      <c r="K45" s="3" t="n">
        <v>68218.0</v>
      </c>
      <c r="L45" s="3" t="n">
        <v>68513.0</v>
      </c>
      <c r="M45" s="3" t="n">
        <v>68583.0</v>
      </c>
      <c r="N45" s="3" t="n">
        <v>68501.0</v>
      </c>
      <c r="O45" s="3" t="n">
        <v>68420.0</v>
      </c>
      <c r="P45" s="3" t="n">
        <v>68256.0</v>
      </c>
      <c r="Q45" s="3" t="n">
        <v>67952.0</v>
      </c>
      <c r="R45" s="3" t="n">
        <v>67594.0</v>
      </c>
      <c r="S45" s="3" t="n">
        <v>67223.0</v>
      </c>
      <c r="T45" s="3" t="n">
        <v>66946.0</v>
      </c>
      <c r="U45" s="3" t="n">
        <v>66825.0</v>
      </c>
      <c r="V45" s="3" t="n">
        <v>66878.0</v>
      </c>
      <c r="W45" s="3" t="n">
        <v>67119.0</v>
      </c>
      <c r="X45" s="3" t="n">
        <v>67516.0</v>
      </c>
      <c r="Y45" s="3" t="n">
        <v>68028.0</v>
      </c>
      <c r="Z45" s="3" t="n">
        <v>68609.0</v>
      </c>
      <c r="AA45" s="3" t="n">
        <v>69206.0</v>
      </c>
      <c r="AB45" s="3" t="n">
        <v>69777.0</v>
      </c>
      <c r="AC45" s="3" t="n">
        <v>70277.0</v>
      </c>
      <c r="AD45" s="3" t="n">
        <v>70686.0</v>
      </c>
      <c r="AE45" s="3" t="n">
        <v>71007.0</v>
      </c>
      <c r="AF45" s="3" t="n">
        <v>71207.0</v>
      </c>
      <c r="AG45" s="3" t="n">
        <v>71298.0</v>
      </c>
      <c r="AH45" s="3" t="n">
        <v>71264.0</v>
      </c>
      <c r="AI45" s="3" t="n">
        <v>71116.0</v>
      </c>
      <c r="AJ45" s="3" t="n">
        <v>70866.0</v>
      </c>
      <c r="AK45" s="3" t="n">
        <v>70513.0</v>
      </c>
      <c r="AL45" s="3" t="n">
        <v>70114.0</v>
      </c>
      <c r="AM45" s="3" t="n">
        <v>69685.0</v>
      </c>
      <c r="AN45" s="3" t="n">
        <v>69247.0</v>
      </c>
      <c r="AO45" s="3" t="n">
        <v>68829.0</v>
      </c>
    </row>
    <row r="46" spans="1:41" x14ac:dyDescent="0.2">
      <c r="A46" s="131"/>
      <c r="B46" s="53" t="s">
        <v>18</v>
      </c>
      <c r="C46" s="3" t="n">
        <v>148258.0</v>
      </c>
      <c r="D46" s="3" t="n">
        <v>147788.0</v>
      </c>
      <c r="E46" s="3" t="n">
        <v>147726.0</v>
      </c>
      <c r="F46" s="3" t="n">
        <v>147607.0</v>
      </c>
      <c r="G46" s="3" t="n">
        <v>147903.0</v>
      </c>
      <c r="H46" s="3" t="n">
        <v>148491.0</v>
      </c>
      <c r="I46" s="3" t="n">
        <v>149846.0</v>
      </c>
      <c r="J46" s="3" t="n">
        <v>148460.0</v>
      </c>
      <c r="K46" s="3" t="n">
        <v>147023.0</v>
      </c>
      <c r="L46" s="3" t="n">
        <v>144996.0</v>
      </c>
      <c r="M46" s="3" t="n">
        <v>142405.0</v>
      </c>
      <c r="N46" s="3" t="n">
        <v>140223.0</v>
      </c>
      <c r="O46" s="3" t="n">
        <v>138231.0</v>
      </c>
      <c r="P46" s="3" t="n">
        <v>137406.0</v>
      </c>
      <c r="Q46" s="3" t="n">
        <v>137131.0</v>
      </c>
      <c r="R46" s="3" t="n">
        <v>138271.0</v>
      </c>
      <c r="S46" s="3" t="n">
        <v>138697.0</v>
      </c>
      <c r="T46" s="3" t="n">
        <v>138787.0</v>
      </c>
      <c r="U46" s="3" t="n">
        <v>138564.0</v>
      </c>
      <c r="V46" s="3" t="n">
        <v>138182.0</v>
      </c>
      <c r="W46" s="3" t="n">
        <v>137807.0</v>
      </c>
      <c r="X46" s="3" t="n">
        <v>137435.0</v>
      </c>
      <c r="Y46" s="3" t="n">
        <v>137089.0</v>
      </c>
      <c r="Z46" s="3" t="n">
        <v>136858.0</v>
      </c>
      <c r="AA46" s="3" t="n">
        <v>136793.0</v>
      </c>
      <c r="AB46" s="3" t="n">
        <v>136978.0</v>
      </c>
      <c r="AC46" s="3" t="n">
        <v>137418.0</v>
      </c>
      <c r="AD46" s="3" t="n">
        <v>138097.0</v>
      </c>
      <c r="AE46" s="3" t="n">
        <v>138969.0</v>
      </c>
      <c r="AF46" s="3" t="n">
        <v>139963.0</v>
      </c>
      <c r="AG46" s="3" t="n">
        <v>140988.0</v>
      </c>
      <c r="AH46" s="3" t="n">
        <v>141992.0</v>
      </c>
      <c r="AI46" s="3" t="n">
        <v>142905.0</v>
      </c>
      <c r="AJ46" s="3" t="n">
        <v>143661.0</v>
      </c>
      <c r="AK46" s="3" t="n">
        <v>144235.0</v>
      </c>
      <c r="AL46" s="3" t="n">
        <v>144580.0</v>
      </c>
      <c r="AM46" s="3" t="n">
        <v>144733.0</v>
      </c>
      <c r="AN46" s="3" t="n">
        <v>144660.0</v>
      </c>
      <c r="AO46" s="3" t="n">
        <v>144388.0</v>
      </c>
    </row>
    <row r="47" spans="1:41" x14ac:dyDescent="0.2">
      <c r="A47" s="131"/>
      <c r="B47" s="52" t="s">
        <v>19</v>
      </c>
      <c r="C47" s="3" t="n">
        <v>66544.0</v>
      </c>
      <c r="D47" s="3" t="n">
        <v>70028.0</v>
      </c>
      <c r="E47" s="3" t="n">
        <v>73134.0</v>
      </c>
      <c r="F47" s="3" t="n">
        <v>75444.0</v>
      </c>
      <c r="G47" s="3" t="n">
        <v>76273.0</v>
      </c>
      <c r="H47" s="3" t="n">
        <v>76175.0</v>
      </c>
      <c r="I47" s="3" t="n">
        <v>75410.0</v>
      </c>
      <c r="J47" s="3" t="n">
        <v>74706.0</v>
      </c>
      <c r="K47" s="3" t="n">
        <v>74638.0</v>
      </c>
      <c r="L47" s="3" t="n">
        <v>75078.0</v>
      </c>
      <c r="M47" s="3" t="n">
        <v>76783.0</v>
      </c>
      <c r="N47" s="3" t="n">
        <v>77879.0</v>
      </c>
      <c r="O47" s="3" t="n">
        <v>78468.0</v>
      </c>
      <c r="P47" s="3" t="n">
        <v>77243.0</v>
      </c>
      <c r="Q47" s="3" t="n">
        <v>74846.0</v>
      </c>
      <c r="R47" s="3" t="n">
        <v>71413.0</v>
      </c>
      <c r="S47" s="3" t="n">
        <v>68940.0</v>
      </c>
      <c r="T47" s="3" t="n">
        <v>67893.0</v>
      </c>
      <c r="U47" s="3" t="n">
        <v>67567.0</v>
      </c>
      <c r="V47" s="3" t="n">
        <v>68760.0</v>
      </c>
      <c r="W47" s="3" t="n">
        <v>69223.0</v>
      </c>
      <c r="X47" s="3" t="n">
        <v>69440.0</v>
      </c>
      <c r="Y47" s="3" t="n">
        <v>69489.0</v>
      </c>
      <c r="Z47" s="3" t="n">
        <v>69437.0</v>
      </c>
      <c r="AA47" s="3" t="n">
        <v>69412.0</v>
      </c>
      <c r="AB47" s="3" t="n">
        <v>69298.0</v>
      </c>
      <c r="AC47" s="3" t="n">
        <v>69056.0</v>
      </c>
      <c r="AD47" s="3" t="n">
        <v>68761.0</v>
      </c>
      <c r="AE47" s="3" t="n">
        <v>68441.0</v>
      </c>
      <c r="AF47" s="3" t="n">
        <v>68223.0</v>
      </c>
      <c r="AG47" s="3" t="n">
        <v>68157.0</v>
      </c>
      <c r="AH47" s="3" t="n">
        <v>68251.0</v>
      </c>
      <c r="AI47" s="3" t="n">
        <v>68532.0</v>
      </c>
      <c r="AJ47" s="3" t="n">
        <v>68961.0</v>
      </c>
      <c r="AK47" s="3" t="n">
        <v>69493.0</v>
      </c>
      <c r="AL47" s="3" t="n">
        <v>70086.0</v>
      </c>
      <c r="AM47" s="3" t="n">
        <v>70672.0</v>
      </c>
      <c r="AN47" s="3" t="n">
        <v>71230.0</v>
      </c>
      <c r="AO47" s="3" t="n">
        <v>71713.0</v>
      </c>
    </row>
    <row r="48" spans="1:41" x14ac:dyDescent="0.2">
      <c r="A48" s="131"/>
      <c r="B48" s="52" t="s">
        <v>2</v>
      </c>
      <c r="C48" s="3" t="n">
        <v>104076.0</v>
      </c>
      <c r="D48" s="3" t="n">
        <v>100879.0</v>
      </c>
      <c r="E48" s="3" t="n">
        <v>99198.0</v>
      </c>
      <c r="F48" s="3" t="n">
        <v>98221.0</v>
      </c>
      <c r="G48" s="3" t="n">
        <v>99006.0</v>
      </c>
      <c r="H48" s="3" t="n">
        <v>102677.0</v>
      </c>
      <c r="I48" s="3" t="n">
        <v>107218.0</v>
      </c>
      <c r="J48" s="3" t="n">
        <v>111139.0</v>
      </c>
      <c r="K48" s="3" t="n">
        <v>113609.0</v>
      </c>
      <c r="L48" s="3" t="n">
        <v>115572.0</v>
      </c>
      <c r="M48" s="3" t="n">
        <v>115957.0</v>
      </c>
      <c r="N48" s="3" t="n">
        <v>114917.0</v>
      </c>
      <c r="O48" s="3" t="n">
        <v>113787.0</v>
      </c>
      <c r="P48" s="3" t="n">
        <v>113557.0</v>
      </c>
      <c r="Q48" s="3" t="n">
        <v>114633.0</v>
      </c>
      <c r="R48" s="3" t="n">
        <v>115239.0</v>
      </c>
      <c r="S48" s="3" t="n">
        <v>116184.0</v>
      </c>
      <c r="T48" s="3" t="n">
        <v>115772.0</v>
      </c>
      <c r="U48" s="3" t="n">
        <v>114632.0</v>
      </c>
      <c r="V48" s="3" t="n">
        <v>111409.0</v>
      </c>
      <c r="W48" s="3" t="n">
        <v>108197.0</v>
      </c>
      <c r="X48" s="3" t="n">
        <v>105648.0</v>
      </c>
      <c r="Y48" s="3" t="n">
        <v>103601.0</v>
      </c>
      <c r="Z48" s="3" t="n">
        <v>102809.0</v>
      </c>
      <c r="AA48" s="3" t="n">
        <v>102484.0</v>
      </c>
      <c r="AB48" s="3" t="n">
        <v>103604.0</v>
      </c>
      <c r="AC48" s="3" t="n">
        <v>104083.0</v>
      </c>
      <c r="AD48" s="3" t="n">
        <v>104306.0</v>
      </c>
      <c r="AE48" s="3" t="n">
        <v>104294.0</v>
      </c>
      <c r="AF48" s="3" t="n">
        <v>104123.0</v>
      </c>
      <c r="AG48" s="3" t="n">
        <v>103920.0</v>
      </c>
      <c r="AH48" s="3" t="n">
        <v>103647.0</v>
      </c>
      <c r="AI48" s="3" t="n">
        <v>103282.0</v>
      </c>
      <c r="AJ48" s="3" t="n">
        <v>102955.0</v>
      </c>
      <c r="AK48" s="3" t="n">
        <v>102721.0</v>
      </c>
      <c r="AL48" s="3" t="n">
        <v>102669.0</v>
      </c>
      <c r="AM48" s="3" t="n">
        <v>102831.0</v>
      </c>
      <c r="AN48" s="3" t="n">
        <v>103223.0</v>
      </c>
      <c r="AO48" s="3" t="n">
        <v>103832.0</v>
      </c>
    </row>
    <row r="49" spans="1:41" x14ac:dyDescent="0.2">
      <c r="A49" s="131"/>
      <c r="B49" s="52" t="s">
        <v>3</v>
      </c>
      <c r="C49" s="3" t="n">
        <v>271428.0</v>
      </c>
      <c r="D49" s="3" t="n">
        <v>268467.0</v>
      </c>
      <c r="E49" s="3" t="n">
        <v>265612.0</v>
      </c>
      <c r="F49" s="3" t="n">
        <v>263349.0</v>
      </c>
      <c r="G49" s="3" t="n">
        <v>261933.0</v>
      </c>
      <c r="H49" s="3" t="n">
        <v>262970.0</v>
      </c>
      <c r="I49" s="3" t="n">
        <v>265567.0</v>
      </c>
      <c r="J49" s="3" t="n">
        <v>266037.0</v>
      </c>
      <c r="K49" s="3" t="n">
        <v>265289.0</v>
      </c>
      <c r="L49" s="3" t="n">
        <v>263506.0</v>
      </c>
      <c r="M49" s="3" t="n">
        <v>260783.0</v>
      </c>
      <c r="N49" s="3" t="n">
        <v>258234.0</v>
      </c>
      <c r="O49" s="3" t="n">
        <v>255814.0</v>
      </c>
      <c r="P49" s="3" t="n">
        <v>254517.0</v>
      </c>
      <c r="Q49" s="3" t="n">
        <v>253735.0</v>
      </c>
      <c r="R49" s="3" t="n">
        <v>254458.0</v>
      </c>
      <c r="S49" s="3" t="n">
        <v>254596.0</v>
      </c>
      <c r="T49" s="3" t="n">
        <v>254640.0</v>
      </c>
      <c r="U49" s="3" t="n">
        <v>254622.0</v>
      </c>
      <c r="V49" s="3" t="n">
        <v>254713.0</v>
      </c>
      <c r="W49" s="3" t="n">
        <v>255018.0</v>
      </c>
      <c r="X49" s="3" t="n">
        <v>255483.0</v>
      </c>
      <c r="Y49" s="3" t="n">
        <v>256049.0</v>
      </c>
      <c r="Z49" s="3" t="n">
        <v>256748.0</v>
      </c>
      <c r="AA49" s="3" t="n">
        <v>257550.0</v>
      </c>
      <c r="AB49" s="3" t="n">
        <v>258493.0</v>
      </c>
      <c r="AC49" s="3" t="n">
        <v>259536.0</v>
      </c>
      <c r="AD49" s="3" t="n">
        <v>260658.0</v>
      </c>
      <c r="AE49" s="3" t="n">
        <v>261771.0</v>
      </c>
      <c r="AF49" s="3" t="n">
        <v>262818.0</v>
      </c>
      <c r="AG49" s="3" t="n">
        <v>263708.0</v>
      </c>
      <c r="AH49" s="3" t="n">
        <v>264410.0</v>
      </c>
      <c r="AI49" s="3" t="n">
        <v>264840.0</v>
      </c>
      <c r="AJ49" s="3" t="n">
        <v>265008.0</v>
      </c>
      <c r="AK49" s="3" t="n">
        <v>264909.0</v>
      </c>
      <c r="AL49" s="3" t="n">
        <v>264567.0</v>
      </c>
      <c r="AM49" s="3" t="n">
        <v>264033.0</v>
      </c>
      <c r="AN49" s="3" t="n">
        <v>263339.0</v>
      </c>
      <c r="AO49" s="3" t="n">
        <v>262523.0</v>
      </c>
    </row>
    <row r="50" spans="1:41" x14ac:dyDescent="0.2">
      <c r="A50" s="131"/>
      <c r="B50" s="52" t="s">
        <v>4</v>
      </c>
      <c r="C50" s="3" t="n">
        <v>1130803.0</v>
      </c>
      <c r="D50" s="3" t="n">
        <v>1126681.0</v>
      </c>
      <c r="E50" s="3" t="n">
        <v>1123532.0</v>
      </c>
      <c r="F50" s="3" t="n">
        <v>1120831.0</v>
      </c>
      <c r="G50" s="3" t="n">
        <v>1118753.0</v>
      </c>
      <c r="H50" s="3" t="n">
        <v>1123064.0</v>
      </c>
      <c r="I50" s="3" t="n">
        <v>1129569.0</v>
      </c>
      <c r="J50" s="3" t="n">
        <v>1131818.0</v>
      </c>
      <c r="K50" s="3" t="n">
        <v>1132106.0</v>
      </c>
      <c r="L50" s="3" t="n">
        <v>1132512.0</v>
      </c>
      <c r="M50" s="3" t="n">
        <v>1133395.0</v>
      </c>
      <c r="N50" s="3" t="n">
        <v>1133574.0</v>
      </c>
      <c r="O50" s="3" t="n">
        <v>1132731.0</v>
      </c>
      <c r="P50" s="3" t="n">
        <v>1130085.0</v>
      </c>
      <c r="Q50" s="3" t="n">
        <v>1126714.0</v>
      </c>
      <c r="R50" s="3" t="n">
        <v>1120943.0</v>
      </c>
      <c r="S50" s="3" t="n">
        <v>1115365.0</v>
      </c>
      <c r="T50" s="3" t="n">
        <v>1108782.0</v>
      </c>
      <c r="U50" s="3" t="n">
        <v>1101825.0</v>
      </c>
      <c r="V50" s="3" t="n">
        <v>1094225.0</v>
      </c>
      <c r="W50" s="3" t="n">
        <v>1086583.0</v>
      </c>
      <c r="X50" s="3" t="n">
        <v>1078242.0</v>
      </c>
      <c r="Y50" s="3" t="n">
        <v>1069674.0</v>
      </c>
      <c r="Z50" s="3" t="n">
        <v>1060489.0</v>
      </c>
      <c r="AA50" s="3" t="n">
        <v>1051518.0</v>
      </c>
      <c r="AB50" s="3" t="n">
        <v>1041335.0</v>
      </c>
      <c r="AC50" s="3" t="n">
        <v>1029484.0</v>
      </c>
      <c r="AD50" s="3" t="n">
        <v>1018191.0</v>
      </c>
      <c r="AE50" s="3" t="n">
        <v>1007545.0</v>
      </c>
      <c r="AF50" s="3" t="n">
        <v>998066.0</v>
      </c>
      <c r="AG50" s="3" t="n">
        <v>989398.0</v>
      </c>
      <c r="AH50" s="3" t="n">
        <v>980704.0</v>
      </c>
      <c r="AI50" s="3" t="n">
        <v>972399.0</v>
      </c>
      <c r="AJ50" s="3" t="n">
        <v>964639.0</v>
      </c>
      <c r="AK50" s="3" t="n">
        <v>956631.0</v>
      </c>
      <c r="AL50" s="3" t="n">
        <v>950084.0</v>
      </c>
      <c r="AM50" s="3" t="n">
        <v>944523.0</v>
      </c>
      <c r="AN50" s="3" t="n">
        <v>939868.0</v>
      </c>
      <c r="AO50" s="3" t="n">
        <v>936638.0</v>
      </c>
    </row>
    <row r="51" spans="1:41" x14ac:dyDescent="0.2">
      <c r="A51" s="131"/>
      <c r="B51" s="52" t="s">
        <v>5</v>
      </c>
      <c r="C51" s="3" t="n">
        <v>363692.0</v>
      </c>
      <c r="D51" s="3" t="n">
        <v>371701.0</v>
      </c>
      <c r="E51" s="3" t="n">
        <v>379128.0</v>
      </c>
      <c r="F51" s="3" t="n">
        <v>385842.0</v>
      </c>
      <c r="G51" s="3" t="n">
        <v>391456.0</v>
      </c>
      <c r="H51" s="3" t="n">
        <v>397131.0</v>
      </c>
      <c r="I51" s="3" t="n">
        <v>402534.0</v>
      </c>
      <c r="J51" s="3" t="n">
        <v>407255.0</v>
      </c>
      <c r="K51" s="3" t="n">
        <v>411442.0</v>
      </c>
      <c r="L51" s="3" t="n">
        <v>415228.0</v>
      </c>
      <c r="M51" s="3" t="n">
        <v>418584.0</v>
      </c>
      <c r="N51" s="3" t="n">
        <v>421912.0</v>
      </c>
      <c r="O51" s="3" t="n">
        <v>425632.0</v>
      </c>
      <c r="P51" s="3" t="n">
        <v>429696.0</v>
      </c>
      <c r="Q51" s="3" t="n">
        <v>433874.0</v>
      </c>
      <c r="R51" s="3" t="n">
        <v>438719.0</v>
      </c>
      <c r="S51" s="3" t="n">
        <v>443750.0</v>
      </c>
      <c r="T51" s="3" t="n">
        <v>449971.0</v>
      </c>
      <c r="U51" s="3" t="n">
        <v>456490.0</v>
      </c>
      <c r="V51" s="3" t="n">
        <v>463637.0</v>
      </c>
      <c r="W51" s="3" t="n">
        <v>470540.0</v>
      </c>
      <c r="X51" s="3" t="n">
        <v>477851.0</v>
      </c>
      <c r="Y51" s="3" t="n">
        <v>485396.0</v>
      </c>
      <c r="Z51" s="3" t="n">
        <v>493242.0</v>
      </c>
      <c r="AA51" s="3" t="n">
        <v>500636.0</v>
      </c>
      <c r="AB51" s="3" t="n">
        <v>509176.0</v>
      </c>
      <c r="AC51" s="3" t="n">
        <v>519042.0</v>
      </c>
      <c r="AD51" s="3" t="n">
        <v>528151.0</v>
      </c>
      <c r="AE51" s="3" t="n">
        <v>536666.0</v>
      </c>
      <c r="AF51" s="3" t="n">
        <v>543865.0</v>
      </c>
      <c r="AG51" s="3" t="n">
        <v>550154.0</v>
      </c>
      <c r="AH51" s="3" t="n">
        <v>556655.0</v>
      </c>
      <c r="AI51" s="3" t="n">
        <v>562817.0</v>
      </c>
      <c r="AJ51" s="3" t="n">
        <v>568704.0</v>
      </c>
      <c r="AK51" s="3" t="n">
        <v>574895.0</v>
      </c>
      <c r="AL51" s="3" t="n">
        <v>579675.0</v>
      </c>
      <c r="AM51" s="3" t="n">
        <v>583680.0</v>
      </c>
      <c r="AN51" s="3" t="n">
        <v>586807.0</v>
      </c>
      <c r="AO51" s="3" t="n">
        <v>588448.0</v>
      </c>
    </row>
    <row r="52" spans="1:41" x14ac:dyDescent="0.2">
      <c r="A52" s="131"/>
      <c r="B52" s="52" t="s">
        <v>6</v>
      </c>
      <c r="C52" s="3" t="n">
        <v>98157.0</v>
      </c>
      <c r="D52" s="3" t="n">
        <v>98148.0</v>
      </c>
      <c r="E52" s="3" t="n">
        <v>99218.0</v>
      </c>
      <c r="F52" s="3" t="n">
        <v>100210.0</v>
      </c>
      <c r="G52" s="3" t="n">
        <v>102989.0</v>
      </c>
      <c r="H52" s="3" t="n">
        <v>107044.0</v>
      </c>
      <c r="I52" s="3" t="n">
        <v>111753.0</v>
      </c>
      <c r="J52" s="3" t="n">
        <v>116552.0</v>
      </c>
      <c r="K52" s="3" t="n">
        <v>121481.0</v>
      </c>
      <c r="L52" s="3" t="n">
        <v>127132.0</v>
      </c>
      <c r="M52" s="3" t="n">
        <v>132698.0</v>
      </c>
      <c r="N52" s="3" t="n">
        <v>138289.0</v>
      </c>
      <c r="O52" s="3" t="n">
        <v>143563.0</v>
      </c>
      <c r="P52" s="3" t="n">
        <v>149237.0</v>
      </c>
      <c r="Q52" s="3" t="n">
        <v>154462.0</v>
      </c>
      <c r="R52" s="3" t="n">
        <v>159503.0</v>
      </c>
      <c r="S52" s="3" t="n">
        <v>164301.0</v>
      </c>
      <c r="T52" s="3" t="n">
        <v>168394.0</v>
      </c>
      <c r="U52" s="3" t="n">
        <v>171737.0</v>
      </c>
      <c r="V52" s="3" t="n">
        <v>174092.0</v>
      </c>
      <c r="W52" s="3" t="n">
        <v>175992.0</v>
      </c>
      <c r="X52" s="3" t="n">
        <v>177306.0</v>
      </c>
      <c r="Y52" s="3" t="n">
        <v>178595.0</v>
      </c>
      <c r="Z52" s="3" t="n">
        <v>179594.0</v>
      </c>
      <c r="AA52" s="3" t="n">
        <v>180315.0</v>
      </c>
      <c r="AB52" s="3" t="n">
        <v>180972.0</v>
      </c>
      <c r="AC52" s="3" t="n">
        <v>181611.0</v>
      </c>
      <c r="AD52" s="3" t="n">
        <v>182758.0</v>
      </c>
      <c r="AE52" s="3" t="n">
        <v>184499.0</v>
      </c>
      <c r="AF52" s="3" t="n">
        <v>186411.0</v>
      </c>
      <c r="AG52" s="3" t="n">
        <v>189056.0</v>
      </c>
      <c r="AH52" s="3" t="n">
        <v>192257.0</v>
      </c>
      <c r="AI52" s="3" t="n">
        <v>196450.0</v>
      </c>
      <c r="AJ52" s="3" t="n">
        <v>201217.0</v>
      </c>
      <c r="AK52" s="3" t="n">
        <v>206476.0</v>
      </c>
      <c r="AL52" s="3" t="n">
        <v>211655.0</v>
      </c>
      <c r="AM52" s="3" t="n">
        <v>217421.0</v>
      </c>
      <c r="AN52" s="3" t="n">
        <v>223290.0</v>
      </c>
      <c r="AO52" s="3" t="n">
        <v>229449.0</v>
      </c>
    </row>
    <row r="53" spans="1:41" x14ac:dyDescent="0.2">
      <c r="A53" s="132"/>
      <c r="B53" s="54" t="s">
        <v>7</v>
      </c>
      <c r="C53" s="4" t="n">
        <v>815006.0</v>
      </c>
      <c r="D53" s="4" t="n">
        <v>811813.0</v>
      </c>
      <c r="E53" s="4" t="n">
        <v>807479.0</v>
      </c>
      <c r="F53" s="4" t="n">
        <v>802322.0</v>
      </c>
      <c r="G53" s="4" t="n">
        <v>795868.0</v>
      </c>
      <c r="H53" s="4" t="n">
        <v>794414.0</v>
      </c>
      <c r="I53" s="4" t="n">
        <v>793554.0</v>
      </c>
      <c r="J53" s="4" t="n">
        <v>788946.0</v>
      </c>
      <c r="K53" s="4" t="n">
        <v>782073.0</v>
      </c>
      <c r="L53" s="4" t="n">
        <v>775507.0</v>
      </c>
      <c r="M53" s="4" t="n">
        <v>768155.0</v>
      </c>
      <c r="N53" s="4" t="n">
        <v>758571.0</v>
      </c>
      <c r="O53" s="4" t="n">
        <v>749336.0</v>
      </c>
      <c r="P53" s="4" t="n">
        <v>739633.0</v>
      </c>
      <c r="Q53" s="4" t="n">
        <v>730695.0</v>
      </c>
      <c r="R53" s="4" t="n">
        <v>721121.0</v>
      </c>
      <c r="S53" s="4" t="n">
        <v>712137.0</v>
      </c>
      <c r="T53" s="4" t="n">
        <v>703668.0</v>
      </c>
      <c r="U53" s="4" t="n">
        <v>695768.0</v>
      </c>
      <c r="V53" s="4" t="n">
        <v>687472.0</v>
      </c>
      <c r="W53" s="4" t="n">
        <v>680501.0</v>
      </c>
      <c r="X53" s="4" t="n">
        <v>674388.0</v>
      </c>
      <c r="Y53" s="4" t="n">
        <v>669091.0</v>
      </c>
      <c r="Z53" s="4" t="n">
        <v>665156.0</v>
      </c>
      <c r="AA53" s="4" t="n">
        <v>661969.0</v>
      </c>
      <c r="AB53" s="4" t="n">
        <v>659565.0</v>
      </c>
      <c r="AC53" s="4" t="n">
        <v>657550.0</v>
      </c>
      <c r="AD53" s="4" t="n">
        <v>656346.0</v>
      </c>
      <c r="AE53" s="4" t="n">
        <v>655189.0</v>
      </c>
      <c r="AF53" s="4" t="n">
        <v>654785.0</v>
      </c>
      <c r="AG53" s="4" t="n">
        <v>655110.0</v>
      </c>
      <c r="AH53" s="4" t="n">
        <v>655775.0</v>
      </c>
      <c r="AI53" s="4" t="n">
        <v>656575.0</v>
      </c>
      <c r="AJ53" s="4" t="n">
        <v>656884.0</v>
      </c>
      <c r="AK53" s="4" t="n">
        <v>656796.0</v>
      </c>
      <c r="AL53" s="4" t="n">
        <v>655900.0</v>
      </c>
      <c r="AM53" s="4" t="n">
        <v>653559.0</v>
      </c>
      <c r="AN53" s="4" t="n">
        <v>651044.0</v>
      </c>
      <c r="AO53" s="4" t="n">
        <v>648945.0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sqref="A1:B1"/>
      <selection pane="topRight" sqref="A1:B1"/>
      <selection pane="bottomLeft" sqref="A1:B1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91"/>
      <c r="B1" s="142" t="s">
        <v>53</v>
      </c>
      <c r="C1" s="142"/>
      <c r="D1" s="142"/>
      <c r="E1" s="92"/>
      <c r="F1" s="92"/>
      <c r="G1" s="93"/>
      <c r="H1" s="8"/>
      <c r="I1" s="8"/>
    </row>
    <row r="2" spans="1:9" ht="12" customHeight="1" x14ac:dyDescent="0.2">
      <c r="A2" s="124" t="s">
        <v>82</v>
      </c>
      <c r="B2" s="124"/>
      <c r="C2" s="34" t="s">
        <v>54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125" t="s">
        <v>83</v>
      </c>
      <c r="B3" s="12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105</v>
      </c>
      <c r="B4" s="18"/>
      <c r="C4" s="18"/>
      <c r="D4" s="18"/>
      <c r="E4" s="18"/>
      <c r="F4" s="18"/>
      <c r="G4" s="25"/>
    </row>
    <row r="5" spans="1:9" ht="31.9" customHeight="1" x14ac:dyDescent="0.2">
      <c r="A5" s="134" t="s">
        <v>63</v>
      </c>
      <c r="B5" s="136" t="s">
        <v>57</v>
      </c>
      <c r="C5" s="137"/>
      <c r="D5" s="138" t="s">
        <v>55</v>
      </c>
      <c r="E5" s="139"/>
      <c r="F5" s="140" t="s">
        <v>56</v>
      </c>
      <c r="G5" s="141"/>
    </row>
    <row r="6" spans="1:9" ht="25.15" customHeight="1" x14ac:dyDescent="0.2">
      <c r="A6" s="135"/>
      <c r="B6" s="35" t="s">
        <v>104</v>
      </c>
      <c r="C6" s="41" t="s">
        <v>58</v>
      </c>
      <c r="D6" s="46" t="s">
        <v>59</v>
      </c>
      <c r="E6" s="47" t="s">
        <v>60</v>
      </c>
      <c r="F6" s="37" t="s">
        <v>103</v>
      </c>
      <c r="G6" s="36" t="s">
        <v>61</v>
      </c>
    </row>
    <row r="7" spans="1:9" x14ac:dyDescent="0.2">
      <c r="A7" s="38">
        <v>2023</v>
      </c>
      <c r="B7" s="1" t="n">
        <v>32163.0</v>
      </c>
      <c r="C7" s="42" t="n">
        <v>35846.0</v>
      </c>
      <c r="D7" s="48" t="n">
        <v>32439.0</v>
      </c>
      <c r="E7" s="42" t="n">
        <v>29606.0</v>
      </c>
      <c r="F7" s="2" t="n">
        <v>3286.0</v>
      </c>
      <c r="G7" s="2" t="n">
        <v>1093.0</v>
      </c>
    </row>
    <row r="8" spans="1:9" x14ac:dyDescent="0.2">
      <c r="A8" s="39">
        <v>2024</v>
      </c>
      <c r="B8" s="1" t="n">
        <v>32711.0</v>
      </c>
      <c r="C8" s="43" t="n">
        <v>35604.0</v>
      </c>
      <c r="D8" s="48" t="n">
        <v>31937.0</v>
      </c>
      <c r="E8" s="43" t="n">
        <v>29280.0</v>
      </c>
      <c r="F8" s="2" t="n">
        <v>3643.0</v>
      </c>
      <c r="G8" s="2" t="n">
        <v>1070.0</v>
      </c>
    </row>
    <row r="9" spans="1:9" x14ac:dyDescent="0.2">
      <c r="A9" s="39">
        <v>2025</v>
      </c>
      <c r="B9" s="1" t="n">
        <v>33106.0</v>
      </c>
      <c r="C9" s="43" t="n">
        <v>35732.0</v>
      </c>
      <c r="D9" s="48" t="n">
        <v>31431.0</v>
      </c>
      <c r="E9" s="43" t="n">
        <v>29016.0</v>
      </c>
      <c r="F9" s="2" t="n">
        <v>4158.0</v>
      </c>
      <c r="G9" s="2" t="n">
        <v>1026.0</v>
      </c>
    </row>
    <row r="10" spans="1:9" x14ac:dyDescent="0.2">
      <c r="A10" s="39">
        <v>2026</v>
      </c>
      <c r="B10" s="1" t="n">
        <v>33361.0</v>
      </c>
      <c r="C10" s="43" t="n">
        <v>35822.0</v>
      </c>
      <c r="D10" s="48" t="n">
        <v>30938.0</v>
      </c>
      <c r="E10" s="43" t="n">
        <v>28780.0</v>
      </c>
      <c r="F10" s="2" t="n">
        <v>4792.0</v>
      </c>
      <c r="G10" s="2" t="n">
        <v>1015.0</v>
      </c>
    </row>
    <row r="11" spans="1:9" x14ac:dyDescent="0.2">
      <c r="A11" s="39">
        <v>2027</v>
      </c>
      <c r="B11" s="1" t="n">
        <v>33515.0</v>
      </c>
      <c r="C11" s="43" t="n">
        <v>36138.0</v>
      </c>
      <c r="D11" s="48" t="n">
        <v>30524.0</v>
      </c>
      <c r="E11" s="43" t="n">
        <v>28531.0</v>
      </c>
      <c r="F11" s="2" t="n">
        <v>18873.0</v>
      </c>
      <c r="G11" s="2" t="n">
        <v>986.0</v>
      </c>
    </row>
    <row r="12" spans="1:9" x14ac:dyDescent="0.2">
      <c r="A12" s="39">
        <v>2028</v>
      </c>
      <c r="B12" s="1" t="n">
        <v>33756.0</v>
      </c>
      <c r="C12" s="43" t="n">
        <v>36409.0</v>
      </c>
      <c r="D12" s="48" t="n">
        <v>30285.0</v>
      </c>
      <c r="E12" s="43" t="n">
        <v>28482.0</v>
      </c>
      <c r="F12" s="2" t="n">
        <v>24272.0</v>
      </c>
      <c r="G12" s="2" t="n">
        <v>984.0</v>
      </c>
    </row>
    <row r="13" spans="1:9" x14ac:dyDescent="0.2">
      <c r="A13" s="39">
        <v>2029</v>
      </c>
      <c r="B13" s="1" t="n">
        <v>33971.0</v>
      </c>
      <c r="C13" s="43" t="n">
        <v>36785.0</v>
      </c>
      <c r="D13" s="48" t="n">
        <v>30217.0</v>
      </c>
      <c r="E13" s="43" t="n">
        <v>28489.0</v>
      </c>
      <c r="F13" s="2" t="n">
        <v>13797.0</v>
      </c>
      <c r="G13" s="2" t="n">
        <v>961.0</v>
      </c>
    </row>
    <row r="14" spans="1:9" x14ac:dyDescent="0.2">
      <c r="A14" s="39">
        <v>2030</v>
      </c>
      <c r="B14" s="1" t="n">
        <v>33940.0</v>
      </c>
      <c r="C14" s="43" t="n">
        <v>37102.0</v>
      </c>
      <c r="D14" s="48" t="n">
        <v>30033.0</v>
      </c>
      <c r="E14" s="43" t="n">
        <v>28375.0</v>
      </c>
      <c r="F14" s="2" t="n">
        <v>8571.0</v>
      </c>
      <c r="G14" s="2" t="n">
        <v>951.0</v>
      </c>
    </row>
    <row r="15" spans="1:9" x14ac:dyDescent="0.2">
      <c r="A15" s="39">
        <v>2031</v>
      </c>
      <c r="B15" s="1" t="n">
        <v>33838.0</v>
      </c>
      <c r="C15" s="43" t="n">
        <v>37320.0</v>
      </c>
      <c r="D15" s="48" t="n">
        <v>29873.0</v>
      </c>
      <c r="E15" s="43" t="n">
        <v>28268.0</v>
      </c>
      <c r="F15" s="2" t="n">
        <v>6807.0</v>
      </c>
      <c r="G15" s="2" t="n">
        <v>939.0</v>
      </c>
    </row>
    <row r="16" spans="1:9" x14ac:dyDescent="0.2">
      <c r="A16" s="39">
        <v>2032</v>
      </c>
      <c r="B16" s="1" t="n">
        <v>33605.0</v>
      </c>
      <c r="C16" s="43" t="n">
        <v>37659.0</v>
      </c>
      <c r="D16" s="48" t="n">
        <v>29744.0</v>
      </c>
      <c r="E16" s="43" t="n">
        <v>28177.0</v>
      </c>
      <c r="F16" s="2" t="n">
        <v>5992.0</v>
      </c>
      <c r="G16" s="2" t="n">
        <v>928.0</v>
      </c>
    </row>
    <row r="17" spans="1:7" x14ac:dyDescent="0.2">
      <c r="A17" s="39">
        <v>2033</v>
      </c>
      <c r="B17" s="1" t="n">
        <v>33349.0</v>
      </c>
      <c r="C17" s="43" t="n">
        <v>37809.0</v>
      </c>
      <c r="D17" s="48" t="n">
        <v>29634.0</v>
      </c>
      <c r="E17" s="43" t="n">
        <v>28065.0</v>
      </c>
      <c r="F17" s="2" t="n">
        <v>5412.0</v>
      </c>
      <c r="G17" s="2" t="n">
        <v>917.0</v>
      </c>
    </row>
    <row r="18" spans="1:7" x14ac:dyDescent="0.2">
      <c r="A18" s="39">
        <v>2034</v>
      </c>
      <c r="B18" s="1" t="n">
        <v>33104.0</v>
      </c>
      <c r="C18" s="44" t="n">
        <v>38384.0</v>
      </c>
      <c r="D18" s="48" t="n">
        <v>29561.0</v>
      </c>
      <c r="E18" s="44" t="n">
        <v>27980.0</v>
      </c>
      <c r="F18" s="2" t="n">
        <v>5233.0</v>
      </c>
      <c r="G18" s="2" t="n">
        <v>908.0</v>
      </c>
    </row>
    <row r="19" spans="1:7" x14ac:dyDescent="0.2">
      <c r="A19" s="39">
        <v>2035</v>
      </c>
      <c r="B19" s="1" t="n">
        <v>32943.0</v>
      </c>
      <c r="C19" s="44" t="n">
        <v>38743.0</v>
      </c>
      <c r="D19" s="48" t="n">
        <v>29452.0</v>
      </c>
      <c r="E19" s="44" t="n">
        <v>27883.0</v>
      </c>
      <c r="F19" s="2" t="n">
        <v>5320.0</v>
      </c>
      <c r="G19" s="2" t="n">
        <v>903.0</v>
      </c>
    </row>
    <row r="20" spans="1:7" x14ac:dyDescent="0.2">
      <c r="A20" s="39">
        <v>2036</v>
      </c>
      <c r="B20" s="1" t="n">
        <v>32880.0</v>
      </c>
      <c r="C20" s="43" t="n">
        <v>38933.0</v>
      </c>
      <c r="D20" s="48" t="n">
        <v>29369.0</v>
      </c>
      <c r="E20" s="43" t="n">
        <v>27853.0</v>
      </c>
      <c r="F20" s="2" t="n">
        <v>5405.0</v>
      </c>
      <c r="G20" s="2" t="n">
        <v>905.0</v>
      </c>
    </row>
    <row r="21" spans="1:7" x14ac:dyDescent="0.2">
      <c r="A21" s="39">
        <v>2037</v>
      </c>
      <c r="B21" s="1" t="n">
        <v>32937.0</v>
      </c>
      <c r="C21" s="43" t="n">
        <v>39342.0</v>
      </c>
      <c r="D21" s="48" t="n">
        <v>29333.0</v>
      </c>
      <c r="E21" s="43" t="n">
        <v>27808.0</v>
      </c>
      <c r="F21" s="2" t="n">
        <v>5481.0</v>
      </c>
      <c r="G21" s="2" t="n">
        <v>899.0</v>
      </c>
    </row>
    <row r="22" spans="1:7" x14ac:dyDescent="0.2">
      <c r="A22" s="39">
        <v>2038</v>
      </c>
      <c r="B22" s="1" t="n">
        <v>33071.0</v>
      </c>
      <c r="C22" s="43" t="n">
        <v>39742.0</v>
      </c>
      <c r="D22" s="48" t="n">
        <v>29286.0</v>
      </c>
      <c r="E22" s="43" t="n">
        <v>27751.0</v>
      </c>
      <c r="F22" s="2" t="n">
        <v>5561.0</v>
      </c>
      <c r="G22" s="2" t="n">
        <v>896.0</v>
      </c>
    </row>
    <row r="23" spans="1:7" x14ac:dyDescent="0.2">
      <c r="A23" s="39">
        <v>2039</v>
      </c>
      <c r="B23" s="1" t="n">
        <v>33312.0</v>
      </c>
      <c r="C23" s="43" t="n">
        <v>40080.0</v>
      </c>
      <c r="D23" s="48" t="n">
        <v>29247.0</v>
      </c>
      <c r="E23" s="43" t="n">
        <v>27757.0</v>
      </c>
      <c r="F23" s="2" t="n">
        <v>5634.0</v>
      </c>
      <c r="G23" s="2" t="n">
        <v>883.0</v>
      </c>
    </row>
    <row r="24" spans="1:7" x14ac:dyDescent="0.2">
      <c r="A24" s="39">
        <v>2040</v>
      </c>
      <c r="B24" s="1" t="n">
        <v>33580.0</v>
      </c>
      <c r="C24" s="43" t="n">
        <v>40475.0</v>
      </c>
      <c r="D24" s="48" t="n">
        <v>29181.0</v>
      </c>
      <c r="E24" s="43" t="n">
        <v>27716.0</v>
      </c>
      <c r="F24" s="2" t="n">
        <v>5691.0</v>
      </c>
      <c r="G24" s="2" t="n">
        <v>873.0</v>
      </c>
    </row>
    <row r="25" spans="1:7" x14ac:dyDescent="0.2">
      <c r="A25" s="39">
        <v>2041</v>
      </c>
      <c r="B25" s="1" t="n">
        <v>33897.0</v>
      </c>
      <c r="C25" s="43" t="n">
        <v>40619.0</v>
      </c>
      <c r="D25" s="48" t="n">
        <v>29121.0</v>
      </c>
      <c r="E25" s="43" t="n">
        <v>27685.0</v>
      </c>
      <c r="F25" s="2" t="n">
        <v>5757.0</v>
      </c>
      <c r="G25" s="2" t="n">
        <v>872.0</v>
      </c>
    </row>
    <row r="26" spans="1:7" x14ac:dyDescent="0.2">
      <c r="A26" s="39">
        <v>2042</v>
      </c>
      <c r="B26" s="1" t="n">
        <v>34199.0</v>
      </c>
      <c r="C26" s="43" t="n">
        <v>40909.0</v>
      </c>
      <c r="D26" s="48" t="n">
        <v>29065.0</v>
      </c>
      <c r="E26" s="43" t="n">
        <v>27643.0</v>
      </c>
      <c r="F26" s="2" t="n">
        <v>5810.0</v>
      </c>
      <c r="G26" s="2" t="n">
        <v>869.0</v>
      </c>
    </row>
    <row r="27" spans="1:7" x14ac:dyDescent="0.2">
      <c r="A27" s="39">
        <v>2043</v>
      </c>
      <c r="B27" s="1" t="n">
        <v>34469.0</v>
      </c>
      <c r="C27" s="43" t="n">
        <v>41192.0</v>
      </c>
      <c r="D27" s="48" t="n">
        <v>29009.0</v>
      </c>
      <c r="E27" s="43" t="n">
        <v>27681.0</v>
      </c>
      <c r="F27" s="2" t="n">
        <v>5864.0</v>
      </c>
      <c r="G27" s="2" t="n">
        <v>860.0</v>
      </c>
    </row>
    <row r="28" spans="1:7" x14ac:dyDescent="0.2">
      <c r="A28" s="39">
        <v>2044</v>
      </c>
      <c r="B28" s="1" t="n">
        <v>34714.0</v>
      </c>
      <c r="C28" s="43" t="n">
        <v>41236.0</v>
      </c>
      <c r="D28" s="48" t="n">
        <v>28935.0</v>
      </c>
      <c r="E28" s="43" t="n">
        <v>27629.0</v>
      </c>
      <c r="F28" s="2" t="n">
        <v>5915.0</v>
      </c>
      <c r="G28" s="2" t="n">
        <v>857.0</v>
      </c>
    </row>
    <row r="29" spans="1:7" x14ac:dyDescent="0.2">
      <c r="A29" s="39">
        <v>2045</v>
      </c>
      <c r="B29" s="1" t="n">
        <v>34901.0</v>
      </c>
      <c r="C29" s="43" t="n">
        <v>41680.0</v>
      </c>
      <c r="D29" s="48" t="n">
        <v>28819.0</v>
      </c>
      <c r="E29" s="43" t="n">
        <v>27623.0</v>
      </c>
      <c r="F29" s="2" t="n">
        <v>5980.0</v>
      </c>
      <c r="G29" s="2" t="n">
        <v>862.0</v>
      </c>
    </row>
    <row r="30" spans="1:7" x14ac:dyDescent="0.2">
      <c r="A30" s="39">
        <v>2046</v>
      </c>
      <c r="B30" s="1" t="n">
        <v>35034.0</v>
      </c>
      <c r="C30" s="43" t="n">
        <v>41804.0</v>
      </c>
      <c r="D30" s="48" t="n">
        <v>28626.0</v>
      </c>
      <c r="E30" s="43" t="n">
        <v>27548.0</v>
      </c>
      <c r="F30" s="2" t="n">
        <v>6038.0</v>
      </c>
      <c r="G30" s="2" t="n">
        <v>852.0</v>
      </c>
    </row>
    <row r="31" spans="1:7" x14ac:dyDescent="0.2">
      <c r="A31" s="39">
        <v>2047</v>
      </c>
      <c r="B31" s="1" t="n">
        <v>35107.0</v>
      </c>
      <c r="C31" s="43" t="n">
        <v>41741.0</v>
      </c>
      <c r="D31" s="48" t="n">
        <v>28450.0</v>
      </c>
      <c r="E31" s="43" t="n">
        <v>27449.0</v>
      </c>
      <c r="F31" s="2" t="n">
        <v>6087.0</v>
      </c>
      <c r="G31" s="2" t="n">
        <v>848.0</v>
      </c>
    </row>
    <row r="32" spans="1:7" x14ac:dyDescent="0.2">
      <c r="A32" s="39">
        <v>2048</v>
      </c>
      <c r="B32" s="1" t="n">
        <v>35118.0</v>
      </c>
      <c r="C32" s="43" t="n">
        <v>41881.0</v>
      </c>
      <c r="D32" s="48" t="n">
        <v>28247.0</v>
      </c>
      <c r="E32" s="43" t="n">
        <v>27383.0</v>
      </c>
      <c r="F32" s="2" t="n">
        <v>6137.0</v>
      </c>
      <c r="G32" s="2" t="n">
        <v>844.0</v>
      </c>
    </row>
    <row r="33" spans="1:7" x14ac:dyDescent="0.2">
      <c r="A33" s="39">
        <v>2049</v>
      </c>
      <c r="B33" s="1" t="n">
        <v>35086.0</v>
      </c>
      <c r="C33" s="43" t="n">
        <v>41961.0</v>
      </c>
      <c r="D33" s="48" t="n">
        <v>28032.0</v>
      </c>
      <c r="E33" s="43" t="n">
        <v>27279.0</v>
      </c>
      <c r="F33" s="2" t="n">
        <v>6177.0</v>
      </c>
      <c r="G33" s="2" t="n">
        <v>839.0</v>
      </c>
    </row>
    <row r="34" spans="1:7" x14ac:dyDescent="0.2">
      <c r="A34" s="39">
        <v>2050</v>
      </c>
      <c r="B34" s="1" t="n">
        <v>34951.0</v>
      </c>
      <c r="C34" s="43" t="n">
        <v>41995.0</v>
      </c>
      <c r="D34" s="48" t="n">
        <v>27833.0</v>
      </c>
      <c r="E34" s="43" t="n">
        <v>27165.0</v>
      </c>
      <c r="F34" s="2" t="n">
        <v>6232.0</v>
      </c>
      <c r="G34" s="2" t="n">
        <v>835.0</v>
      </c>
    </row>
    <row r="35" spans="1:7" x14ac:dyDescent="0.2">
      <c r="A35" s="39">
        <v>2051</v>
      </c>
      <c r="B35" s="1" t="n">
        <v>34807.0</v>
      </c>
      <c r="C35" s="43" t="n">
        <v>42019.0</v>
      </c>
      <c r="D35" s="48" t="n">
        <v>27609.0</v>
      </c>
      <c r="E35" s="43" t="n">
        <v>27082.0</v>
      </c>
      <c r="F35" s="2" t="n">
        <v>6271.0</v>
      </c>
      <c r="G35" s="2" t="n">
        <v>829.0</v>
      </c>
    </row>
    <row r="36" spans="1:7" x14ac:dyDescent="0.2">
      <c r="A36" s="39">
        <v>2052</v>
      </c>
      <c r="B36" s="1" t="n">
        <v>34619.0</v>
      </c>
      <c r="C36" s="43" t="n">
        <v>42081.0</v>
      </c>
      <c r="D36" s="48" t="n">
        <v>27385.0</v>
      </c>
      <c r="E36" s="43" t="n">
        <v>26962.0</v>
      </c>
      <c r="F36" s="2" t="n">
        <v>6308.0</v>
      </c>
      <c r="G36" s="2" t="n">
        <v>826.0</v>
      </c>
    </row>
    <row r="37" spans="1:7" x14ac:dyDescent="0.2">
      <c r="A37" s="39">
        <v>2053</v>
      </c>
      <c r="B37" s="1" t="n">
        <v>34385.0</v>
      </c>
      <c r="C37" s="43" t="n">
        <v>41874.0</v>
      </c>
      <c r="D37" s="48" t="n">
        <v>27208.0</v>
      </c>
      <c r="E37" s="43" t="n">
        <v>26897.0</v>
      </c>
      <c r="F37" s="2" t="n">
        <v>6341.0</v>
      </c>
      <c r="G37" s="2" t="n">
        <v>818.0</v>
      </c>
    </row>
    <row r="38" spans="1:7" x14ac:dyDescent="0.2">
      <c r="A38" s="39">
        <v>2054</v>
      </c>
      <c r="B38" s="1" t="n">
        <v>34138.0</v>
      </c>
      <c r="C38" s="43" t="n">
        <v>41930.0</v>
      </c>
      <c r="D38" s="48" t="n">
        <v>27029.0</v>
      </c>
      <c r="E38" s="43" t="n">
        <v>26818.0</v>
      </c>
      <c r="F38" s="2" t="n">
        <v>6375.0</v>
      </c>
      <c r="G38" s="2" t="n">
        <v>817.0</v>
      </c>
    </row>
    <row r="39" spans="1:7" x14ac:dyDescent="0.2">
      <c r="A39" s="39">
        <v>2055</v>
      </c>
      <c r="B39" s="1" t="n">
        <v>33923.0</v>
      </c>
      <c r="C39" s="43" t="n">
        <v>41722.0</v>
      </c>
      <c r="D39" s="48" t="n">
        <v>26845.0</v>
      </c>
      <c r="E39" s="43" t="n">
        <v>26704.0</v>
      </c>
      <c r="F39" s="2" t="n">
        <v>6412.0</v>
      </c>
      <c r="G39" s="2" t="n">
        <v>811.0</v>
      </c>
    </row>
    <row r="40" spans="1:7" x14ac:dyDescent="0.2">
      <c r="A40" s="39">
        <v>2056</v>
      </c>
      <c r="B40" s="1" t="n">
        <v>33713.0</v>
      </c>
      <c r="C40" s="43" t="n">
        <v>41997.0</v>
      </c>
      <c r="D40" s="48" t="n">
        <v>26714.0</v>
      </c>
      <c r="E40" s="43" t="n">
        <v>26644.0</v>
      </c>
      <c r="F40" s="2" t="n">
        <v>6446.0</v>
      </c>
      <c r="G40" s="2" t="n">
        <v>812.0</v>
      </c>
    </row>
    <row r="41" spans="1:7" x14ac:dyDescent="0.2">
      <c r="A41" s="39">
        <v>2057</v>
      </c>
      <c r="B41" s="1" t="n">
        <v>33532.0</v>
      </c>
      <c r="C41" s="43" t="n">
        <v>42081.0</v>
      </c>
      <c r="D41" s="48" t="n">
        <v>26599.0</v>
      </c>
      <c r="E41" s="43" t="n">
        <v>26580.0</v>
      </c>
      <c r="F41" s="2" t="n">
        <v>6479.0</v>
      </c>
      <c r="G41" s="2" t="n">
        <v>808.0</v>
      </c>
    </row>
    <row r="42" spans="1:7" x14ac:dyDescent="0.2">
      <c r="A42" s="39">
        <v>2058</v>
      </c>
      <c r="B42" s="1" t="n">
        <v>33386.0</v>
      </c>
      <c r="C42" s="43" t="n">
        <v>41907.0</v>
      </c>
      <c r="D42" s="48" t="n">
        <v>26473.0</v>
      </c>
      <c r="E42" s="43" t="n">
        <v>26535.0</v>
      </c>
      <c r="F42" s="2" t="n">
        <v>6517.0</v>
      </c>
      <c r="G42" s="2" t="n">
        <v>804.0</v>
      </c>
    </row>
    <row r="43" spans="1:7" x14ac:dyDescent="0.2">
      <c r="A43" s="39">
        <v>2059</v>
      </c>
      <c r="B43" s="1" t="n">
        <v>33310.0</v>
      </c>
      <c r="C43" s="43" t="n">
        <v>42006.0</v>
      </c>
      <c r="D43" s="48" t="n">
        <v>26358.0</v>
      </c>
      <c r="E43" s="43" t="n">
        <v>26447.0</v>
      </c>
      <c r="F43" s="2" t="n">
        <v>6551.0</v>
      </c>
      <c r="G43" s="2" t="n">
        <v>801.0</v>
      </c>
    </row>
    <row r="44" spans="1:7" x14ac:dyDescent="0.2">
      <c r="A44" s="40">
        <v>2060</v>
      </c>
      <c r="B44" s="5" t="n">
        <v>33247.0</v>
      </c>
      <c r="C44" s="45" t="n">
        <v>42112.0</v>
      </c>
      <c r="D44" s="49" t="n">
        <v>26271.0</v>
      </c>
      <c r="E44" s="45" t="n">
        <v>26399.0</v>
      </c>
      <c r="F44" s="6" t="n">
        <v>6575.0</v>
      </c>
      <c r="G44" s="6" t="n">
        <v>805.0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87CB53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71" width="23.7109375"/>
    <col min="4" max="4" customWidth="true" style="71" width="11.7109375"/>
    <col min="5" max="5" style="71" width="9.140625"/>
    <col min="6" max="6" customWidth="true" style="71" width="7.28515625"/>
    <col min="7" max="8" customWidth="true" style="71" width="11.85546875"/>
    <col min="9" max="21" style="71" width="9.140625"/>
    <col min="22" max="26" style="72" width="9.140625"/>
    <col min="27" max="29" style="73" width="9.140625"/>
    <col min="30" max="32" customWidth="true" style="73" width="15.42578125"/>
    <col min="33" max="33" customWidth="true" style="72" width="15.42578125"/>
    <col min="34" max="35" style="71" width="9.140625"/>
    <col min="36" max="16384" style="74" width="9.140625"/>
  </cols>
  <sheetData>
    <row r="1" spans="1:39" ht="22.9" customHeight="1" x14ac:dyDescent="0.25">
      <c r="A1" s="117"/>
      <c r="B1" s="143" t="s">
        <v>91</v>
      </c>
      <c r="C1" s="144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77"/>
      <c r="S1" s="77"/>
      <c r="T1" s="77"/>
      <c r="U1" s="77"/>
      <c r="V1" s="76"/>
      <c r="W1" s="76"/>
      <c r="X1" s="76"/>
      <c r="Y1" s="76"/>
      <c r="Z1" s="76"/>
      <c r="AA1" s="82"/>
      <c r="AB1" s="82"/>
      <c r="AC1" s="82"/>
      <c r="AD1" s="82"/>
      <c r="AE1" s="82"/>
      <c r="AF1" s="82"/>
      <c r="AG1" s="83"/>
      <c r="AH1" s="104"/>
      <c r="AI1" s="104"/>
      <c r="AJ1" s="105"/>
      <c r="AK1" s="105"/>
      <c r="AL1" s="105"/>
      <c r="AM1" s="105"/>
    </row>
    <row r="2" spans="1:39" ht="12" customHeight="1" x14ac:dyDescent="0.25">
      <c r="A2" s="106" t="s">
        <v>82</v>
      </c>
      <c r="B2" s="145" t="s">
        <v>92</v>
      </c>
      <c r="C2" s="146"/>
      <c r="D2" s="101"/>
      <c r="E2" s="101"/>
      <c r="F2" s="101"/>
      <c r="G2" s="101"/>
      <c r="H2" s="70"/>
      <c r="I2" s="70"/>
      <c r="J2" s="70"/>
      <c r="K2" s="70"/>
      <c r="L2" s="70"/>
      <c r="M2" s="70"/>
      <c r="N2" s="70"/>
      <c r="O2" s="70"/>
      <c r="P2" s="70"/>
      <c r="Q2" s="70"/>
      <c r="R2" s="77"/>
      <c r="S2" s="77"/>
      <c r="T2" s="77"/>
      <c r="U2" s="77"/>
      <c r="V2" s="76"/>
      <c r="W2" s="76"/>
      <c r="X2" s="76"/>
      <c r="Y2" s="76"/>
      <c r="Z2" s="76"/>
      <c r="AA2" s="82"/>
      <c r="AB2" s="82"/>
      <c r="AC2" s="82"/>
      <c r="AD2" s="82"/>
      <c r="AE2" s="82"/>
      <c r="AF2" s="82"/>
      <c r="AG2" s="83"/>
      <c r="AH2" s="104"/>
      <c r="AI2" s="104"/>
      <c r="AJ2" s="105"/>
      <c r="AK2" s="105"/>
      <c r="AL2" s="105"/>
      <c r="AM2" s="105"/>
    </row>
    <row r="3" spans="1:39" ht="12" customHeight="1" thickBot="1" x14ac:dyDescent="0.3">
      <c r="A3" s="107" t="s">
        <v>83</v>
      </c>
      <c r="B3" s="147"/>
      <c r="C3" s="148"/>
      <c r="D3" s="101"/>
      <c r="E3" s="101"/>
      <c r="F3" s="101"/>
      <c r="G3" s="101"/>
      <c r="H3" s="32"/>
      <c r="I3" s="32"/>
      <c r="J3" s="75"/>
      <c r="O3" s="71" t="s">
        <v>38</v>
      </c>
      <c r="P3" s="77"/>
      <c r="Q3" s="77"/>
      <c r="R3" s="77"/>
      <c r="S3" s="77"/>
      <c r="T3" s="77"/>
      <c r="U3" s="77"/>
      <c r="V3" s="76"/>
      <c r="W3" s="76"/>
      <c r="X3" s="76"/>
      <c r="Y3" s="76"/>
      <c r="Z3" s="76"/>
      <c r="AA3" s="82"/>
      <c r="AB3" s="82"/>
      <c r="AC3" s="82"/>
      <c r="AD3" s="82"/>
      <c r="AE3" s="82"/>
      <c r="AF3" s="82"/>
      <c r="AG3" s="83"/>
      <c r="AH3" s="104"/>
      <c r="AI3" s="104"/>
      <c r="AJ3" s="105"/>
      <c r="AK3" s="105"/>
      <c r="AL3" s="105"/>
      <c r="AM3" s="105"/>
    </row>
    <row r="4" spans="1:39" ht="22.9" customHeight="1" thickBot="1" x14ac:dyDescent="0.3">
      <c r="A4" s="149" t="s">
        <v>105</v>
      </c>
      <c r="B4" s="150"/>
      <c r="C4" s="151"/>
      <c r="I4" s="75"/>
      <c r="J4" s="75"/>
      <c r="P4" s="77"/>
      <c r="Q4" s="77"/>
      <c r="R4" s="77"/>
      <c r="S4" s="77"/>
      <c r="T4" s="77"/>
      <c r="U4" s="77"/>
      <c r="V4" s="76"/>
      <c r="W4" s="76"/>
      <c r="X4" s="76"/>
      <c r="Y4" s="76"/>
      <c r="Z4" s="76"/>
      <c r="AA4" s="82"/>
      <c r="AB4" s="82"/>
      <c r="AC4" s="82"/>
      <c r="AD4" s="82"/>
      <c r="AE4" s="82"/>
      <c r="AF4" s="82"/>
      <c r="AG4" s="83"/>
      <c r="AH4" s="104"/>
      <c r="AI4" s="104"/>
      <c r="AJ4" s="105"/>
      <c r="AK4" s="105"/>
      <c r="AL4" s="105"/>
      <c r="AM4" s="105"/>
    </row>
    <row r="5" spans="1:39" ht="16.899999999999999" customHeight="1" x14ac:dyDescent="0.25">
      <c r="A5" s="78"/>
      <c r="B5" s="79"/>
      <c r="C5" s="108"/>
      <c r="P5" s="77"/>
      <c r="Q5" s="77"/>
      <c r="R5" s="77"/>
      <c r="S5" s="77"/>
      <c r="T5" s="77"/>
      <c r="U5" s="77"/>
      <c r="V5" s="76"/>
      <c r="W5" s="76"/>
      <c r="X5" s="76"/>
      <c r="Y5" s="76"/>
      <c r="Z5" s="76"/>
      <c r="AA5" s="82"/>
      <c r="AB5" s="82"/>
      <c r="AC5" s="82"/>
      <c r="AD5" s="82"/>
      <c r="AE5" s="82"/>
      <c r="AF5" s="82"/>
      <c r="AG5" s="83"/>
      <c r="AH5" s="104"/>
      <c r="AI5" s="104"/>
      <c r="AJ5" s="105"/>
      <c r="AK5" s="105"/>
      <c r="AL5" s="105"/>
      <c r="AM5" s="105"/>
    </row>
    <row r="6" spans="1:39" ht="16.899999999999999" customHeight="1" thickBot="1" x14ac:dyDescent="0.3">
      <c r="A6" s="80" t="s">
        <v>38</v>
      </c>
      <c r="B6" s="109" t="s">
        <v>98</v>
      </c>
      <c r="C6" s="110"/>
      <c r="I6" s="81"/>
      <c r="P6" s="77"/>
      <c r="Q6" s="77"/>
      <c r="R6" s="77"/>
      <c r="S6" s="77"/>
      <c r="T6" s="77"/>
      <c r="U6" s="77"/>
      <c r="V6" s="76"/>
      <c r="W6" s="76"/>
      <c r="X6" s="76"/>
      <c r="Y6" s="76"/>
      <c r="Z6" s="76"/>
      <c r="AA6" s="82"/>
      <c r="AB6" s="82"/>
      <c r="AC6" s="82"/>
      <c r="AD6" s="82"/>
      <c r="AE6" s="82"/>
      <c r="AF6" s="82"/>
      <c r="AG6" s="83"/>
      <c r="AH6" s="104"/>
      <c r="AI6" s="104"/>
      <c r="AJ6" s="105"/>
      <c r="AK6" s="105"/>
      <c r="AL6" s="105"/>
      <c r="AM6" s="105"/>
    </row>
    <row r="7" spans="1:39" ht="16.899999999999999" customHeight="1" thickBot="1" x14ac:dyDescent="0.35">
      <c r="A7" s="84"/>
      <c r="B7" s="111"/>
      <c r="C7" s="116">
        <v>2022</v>
      </c>
      <c r="I7" s="81"/>
      <c r="P7" s="77"/>
      <c r="Q7" s="77"/>
      <c r="R7" s="77"/>
      <c r="S7" s="77"/>
      <c r="T7" s="77"/>
      <c r="U7" s="77"/>
      <c r="V7" s="76"/>
      <c r="W7" s="76"/>
      <c r="X7" s="76"/>
      <c r="Y7" s="76"/>
      <c r="Z7" s="76"/>
      <c r="AA7" s="82">
        <v>2022</v>
      </c>
      <c r="AB7" s="82">
        <v>0</v>
      </c>
      <c r="AC7" s="82"/>
      <c r="AD7" s="82" t="s">
        <v>93</v>
      </c>
      <c r="AE7" s="82" t="s">
        <v>94</v>
      </c>
      <c r="AF7" s="82" t="s">
        <v>95</v>
      </c>
      <c r="AG7" s="83" t="s">
        <v>96</v>
      </c>
      <c r="AH7" s="104"/>
      <c r="AI7" s="104"/>
      <c r="AJ7" s="105"/>
      <c r="AK7" s="105"/>
      <c r="AL7" s="105"/>
      <c r="AM7" s="105"/>
    </row>
    <row r="8" spans="1:39" ht="16.899999999999999" customHeight="1" x14ac:dyDescent="0.25">
      <c r="A8" s="84"/>
      <c r="B8" s="109" t="s">
        <v>99</v>
      </c>
      <c r="C8" s="110"/>
      <c r="I8" s="86"/>
      <c r="P8" s="77"/>
      <c r="Q8" s="77"/>
      <c r="R8" s="77"/>
      <c r="S8" s="77"/>
      <c r="T8" s="77"/>
      <c r="U8" s="77"/>
      <c r="V8" s="76"/>
      <c r="W8" s="76"/>
      <c r="X8" s="76"/>
      <c r="Y8" s="76"/>
      <c r="Z8" s="76"/>
      <c r="AA8" s="82">
        <v>2023</v>
      </c>
      <c r="AB8" s="82">
        <v>1</v>
      </c>
      <c r="AC8" s="82"/>
      <c r="AD8" s="87">
        <f>(-1*B12)-AF8</f>
        <v>-99999999999</v>
      </c>
      <c r="AE8" s="88">
        <f>C12-AG8</f>
        <v>99999999999</v>
      </c>
      <c r="AF8" s="82">
        <f>IF(B12&gt;C12,-1*(B12-C12),0)</f>
        <v>0</v>
      </c>
      <c r="AG8" s="88">
        <f>IF(C12&gt;B12,C12-B12,0)</f>
        <v>0</v>
      </c>
      <c r="AH8" s="104"/>
      <c r="AI8" s="104"/>
      <c r="AJ8" s="105"/>
      <c r="AK8" s="105"/>
      <c r="AL8" s="105"/>
      <c r="AM8" s="105"/>
    </row>
    <row r="9" spans="1:39" ht="16.899999999999999" customHeight="1" x14ac:dyDescent="0.25">
      <c r="A9" s="84"/>
      <c r="B9" s="85"/>
      <c r="C9" s="110"/>
      <c r="I9" s="86"/>
      <c r="P9" s="77"/>
      <c r="Q9" s="77"/>
      <c r="R9" s="77"/>
      <c r="S9" s="77"/>
      <c r="T9" s="77"/>
      <c r="U9" s="77"/>
      <c r="V9" s="76"/>
      <c r="W9" s="76"/>
      <c r="X9" s="76"/>
      <c r="Y9" s="76"/>
      <c r="Z9" s="76"/>
      <c r="AA9" s="82">
        <v>2024</v>
      </c>
      <c r="AB9" s="82">
        <v>2</v>
      </c>
      <c r="AC9" s="82"/>
      <c r="AD9" s="87">
        <f>(-1*B13)-AF9</f>
        <v>-99999999999</v>
      </c>
      <c r="AE9" s="88">
        <f>C13-AG9</f>
        <v>99999999999</v>
      </c>
      <c r="AF9" s="82">
        <f>IF(B13&gt;C13,-1*(B13-C13),0)</f>
        <v>0</v>
      </c>
      <c r="AG9" s="88">
        <f>IF(C13&gt;B13,C13-B13,0)</f>
        <v>0</v>
      </c>
      <c r="AH9" s="104"/>
      <c r="AI9" s="104"/>
      <c r="AJ9" s="105"/>
      <c r="AK9" s="105"/>
      <c r="AL9" s="105"/>
      <c r="AM9" s="105"/>
    </row>
    <row r="10" spans="1:39" ht="16.899999999999999" customHeight="1" x14ac:dyDescent="0.25">
      <c r="A10" s="85"/>
      <c r="B10" s="75"/>
      <c r="C10" s="110"/>
      <c r="I10" s="86"/>
      <c r="P10" s="77"/>
      <c r="Q10" s="77"/>
      <c r="R10" s="77"/>
      <c r="S10" s="77"/>
      <c r="T10" s="77"/>
      <c r="U10" s="77"/>
      <c r="V10" s="76"/>
      <c r="W10" s="76"/>
      <c r="X10" s="76"/>
      <c r="Y10" s="76"/>
      <c r="Z10" s="76"/>
      <c r="AA10" s="82">
        <v>2025</v>
      </c>
      <c r="AB10" s="82">
        <v>3</v>
      </c>
      <c r="AC10" s="82"/>
      <c r="AD10" s="87">
        <f t="shared" ref="AD10:AD73" si="0">(-1*B14)-AF10</f>
        <v>-99999999999</v>
      </c>
      <c r="AE10" s="88">
        <f t="shared" ref="AE10:AE73" si="1">C14-AG10</f>
        <v>99999999999</v>
      </c>
      <c r="AF10" s="82">
        <f t="shared" ref="AF10:AF73" si="2">IF(B14&gt;C14,-1*(B14-C14),0)</f>
        <v>0</v>
      </c>
      <c r="AG10" s="88">
        <f t="shared" ref="AG10:AG73" si="3">IF(C14&gt;B14,C14-B14,0)</f>
        <v>0</v>
      </c>
      <c r="AH10" s="104"/>
      <c r="AI10" s="104"/>
      <c r="AJ10" s="105"/>
      <c r="AK10" s="105"/>
      <c r="AL10" s="105"/>
      <c r="AM10" s="105"/>
    </row>
    <row r="11" spans="1:39" ht="16.899999999999999" customHeight="1" x14ac:dyDescent="0.25">
      <c r="A11" s="112" t="s">
        <v>100</v>
      </c>
      <c r="B11" s="112" t="s">
        <v>101</v>
      </c>
      <c r="C11" s="112" t="s">
        <v>102</v>
      </c>
      <c r="I11" s="86"/>
      <c r="P11" s="77"/>
      <c r="Q11" s="104"/>
      <c r="R11" s="77"/>
      <c r="S11" s="77"/>
      <c r="T11" s="77"/>
      <c r="U11" s="77"/>
      <c r="V11" s="76"/>
      <c r="W11" s="76"/>
      <c r="X11" s="76"/>
      <c r="Y11" s="76"/>
      <c r="Z11" s="76"/>
      <c r="AA11" s="82">
        <v>2026</v>
      </c>
      <c r="AB11" s="82">
        <v>4</v>
      </c>
      <c r="AC11" s="82"/>
      <c r="AD11" s="87">
        <f t="shared" si="0"/>
        <v>-99999999999</v>
      </c>
      <c r="AE11" s="88">
        <f t="shared" si="1"/>
        <v>99999999999</v>
      </c>
      <c r="AF11" s="82">
        <f t="shared" si="2"/>
        <v>0</v>
      </c>
      <c r="AG11" s="88">
        <f t="shared" si="3"/>
        <v>0</v>
      </c>
      <c r="AH11" s="104"/>
      <c r="AI11" s="104"/>
      <c r="AJ11" s="105"/>
      <c r="AK11" s="105"/>
      <c r="AL11" s="105"/>
      <c r="AM11" s="105"/>
    </row>
    <row r="12" spans="1:39" x14ac:dyDescent="0.25">
      <c r="A12" s="113">
        <v>0</v>
      </c>
      <c r="B12" s="114">
        <f>INDEX('Tabl. 1'!$C$8:$AO$313,104+$AB7,MATCH($C$7,$AA$7:$AA$45))</f>
        <v>99999999999</v>
      </c>
      <c r="C12" s="114">
        <f>INDEX('Tabl. 1'!$C$8:$AO$313,206+$AB7,MATCH($C$7,$AA$7:$AA$45))</f>
        <v>99999999999</v>
      </c>
      <c r="I12" s="86"/>
      <c r="P12" s="77"/>
      <c r="Q12" s="77"/>
      <c r="R12" s="77"/>
      <c r="S12" s="77"/>
      <c r="T12" s="77"/>
      <c r="U12" s="77"/>
      <c r="V12" s="76"/>
      <c r="W12" s="76"/>
      <c r="X12" s="76"/>
      <c r="Y12" s="76"/>
      <c r="Z12" s="76"/>
      <c r="AA12" s="82">
        <v>2027</v>
      </c>
      <c r="AB12" s="82">
        <v>5</v>
      </c>
      <c r="AC12" s="82"/>
      <c r="AD12" s="87">
        <f t="shared" si="0"/>
        <v>-99999999999</v>
      </c>
      <c r="AE12" s="88">
        <f t="shared" si="1"/>
        <v>99999999999</v>
      </c>
      <c r="AF12" s="82">
        <f t="shared" si="2"/>
        <v>0</v>
      </c>
      <c r="AG12" s="88">
        <f t="shared" si="3"/>
        <v>0</v>
      </c>
      <c r="AH12" s="104"/>
      <c r="AI12" s="104"/>
      <c r="AJ12" s="105"/>
      <c r="AK12" s="105"/>
      <c r="AL12" s="105"/>
      <c r="AM12" s="105"/>
    </row>
    <row r="13" spans="1:39" x14ac:dyDescent="0.25">
      <c r="A13" s="113">
        <v>1</v>
      </c>
      <c r="B13" s="114">
        <f>INDEX('Tabl. 1'!$C$8:$AO$313,104+$AB8,MATCH($C$7,$AA$7:$AA$45))</f>
        <v>99999999999</v>
      </c>
      <c r="C13" s="114">
        <f>INDEX('Tabl. 1'!$C$8:$AO$313,206+$AB8,MATCH($C$7,$AA$7:$AA$45))</f>
        <v>99999999999</v>
      </c>
      <c r="I13" s="86"/>
      <c r="P13" s="77"/>
      <c r="Q13" s="77"/>
      <c r="R13" s="77"/>
      <c r="S13" s="77"/>
      <c r="T13" s="77"/>
      <c r="U13" s="77"/>
      <c r="V13" s="76"/>
      <c r="W13" s="76"/>
      <c r="X13" s="76"/>
      <c r="Y13" s="76"/>
      <c r="Z13" s="76"/>
      <c r="AA13" s="82">
        <v>2028</v>
      </c>
      <c r="AB13" s="82">
        <v>6</v>
      </c>
      <c r="AC13" s="82"/>
      <c r="AD13" s="87">
        <f t="shared" si="0"/>
        <v>-99999999999</v>
      </c>
      <c r="AE13" s="88">
        <f t="shared" si="1"/>
        <v>99999999999</v>
      </c>
      <c r="AF13" s="82">
        <f t="shared" si="2"/>
        <v>0</v>
      </c>
      <c r="AG13" s="88">
        <f t="shared" si="3"/>
        <v>0</v>
      </c>
      <c r="AH13" s="104"/>
      <c r="AI13" s="104"/>
      <c r="AJ13" s="105"/>
      <c r="AK13" s="105"/>
      <c r="AL13" s="105"/>
      <c r="AM13" s="105"/>
    </row>
    <row r="14" spans="1:39" x14ac:dyDescent="0.25">
      <c r="A14" s="113">
        <v>2</v>
      </c>
      <c r="B14" s="114">
        <f>INDEX('Tabl. 1'!$C$8:$AO$313,104+$AB9,MATCH($C$7,$AA$7:$AA$45))</f>
        <v>99999999999</v>
      </c>
      <c r="C14" s="114">
        <f>INDEX('Tabl. 1'!$C$8:$AO$313,206+$AB9,MATCH($C$7,$AA$7:$AA$45))</f>
        <v>99999999999</v>
      </c>
      <c r="I14" s="86"/>
      <c r="P14" s="77"/>
      <c r="Q14" s="77"/>
      <c r="R14" s="77"/>
      <c r="S14" s="77"/>
      <c r="T14" s="77"/>
      <c r="U14" s="77"/>
      <c r="V14" s="76"/>
      <c r="W14" s="76"/>
      <c r="X14" s="76"/>
      <c r="Y14" s="76"/>
      <c r="Z14" s="76"/>
      <c r="AA14" s="82">
        <v>2029</v>
      </c>
      <c r="AB14" s="82">
        <v>7</v>
      </c>
      <c r="AC14" s="82"/>
      <c r="AD14" s="87">
        <f t="shared" si="0"/>
        <v>-99999999999</v>
      </c>
      <c r="AE14" s="88">
        <f t="shared" si="1"/>
        <v>99999999999</v>
      </c>
      <c r="AF14" s="82">
        <f t="shared" si="2"/>
        <v>0</v>
      </c>
      <c r="AG14" s="88">
        <f t="shared" si="3"/>
        <v>0</v>
      </c>
      <c r="AH14" s="104"/>
      <c r="AI14" s="104"/>
      <c r="AJ14" s="105"/>
      <c r="AK14" s="105"/>
      <c r="AL14" s="105"/>
      <c r="AM14" s="105"/>
    </row>
    <row r="15" spans="1:39" x14ac:dyDescent="0.25">
      <c r="A15" s="113">
        <v>3</v>
      </c>
      <c r="B15" s="114">
        <f>INDEX('Tabl. 1'!$C$8:$AO$313,104+$AB10,MATCH($C$7,$AA$7:$AA$45))</f>
        <v>99999999999</v>
      </c>
      <c r="C15" s="114">
        <f>INDEX('Tabl. 1'!$C$8:$AO$313,206+$AB10,MATCH($C$7,$AA$7:$AA$45))</f>
        <v>99999999999</v>
      </c>
      <c r="I15" s="86"/>
      <c r="P15" s="77"/>
      <c r="Q15" s="77"/>
      <c r="R15" s="77"/>
      <c r="S15" s="77"/>
      <c r="T15" s="77"/>
      <c r="U15" s="77"/>
      <c r="V15" s="76"/>
      <c r="W15" s="76"/>
      <c r="X15" s="76"/>
      <c r="Y15" s="76"/>
      <c r="Z15" s="76"/>
      <c r="AA15" s="82">
        <v>2030</v>
      </c>
      <c r="AB15" s="82">
        <v>8</v>
      </c>
      <c r="AC15" s="82"/>
      <c r="AD15" s="87">
        <f t="shared" si="0"/>
        <v>-99999999999</v>
      </c>
      <c r="AE15" s="88">
        <f t="shared" si="1"/>
        <v>99999999999</v>
      </c>
      <c r="AF15" s="82">
        <f t="shared" si="2"/>
        <v>0</v>
      </c>
      <c r="AG15" s="88">
        <f t="shared" si="3"/>
        <v>0</v>
      </c>
      <c r="AH15" s="104"/>
      <c r="AI15" s="104"/>
      <c r="AJ15" s="105"/>
      <c r="AK15" s="105"/>
      <c r="AL15" s="105"/>
      <c r="AM15" s="105"/>
    </row>
    <row r="16" spans="1:39" x14ac:dyDescent="0.25">
      <c r="A16" s="113">
        <v>4</v>
      </c>
      <c r="B16" s="114">
        <f>INDEX('Tabl. 1'!$C$8:$AO$313,104+$AB11,MATCH($C$7,$AA$7:$AA$45))</f>
        <v>99999999999</v>
      </c>
      <c r="C16" s="114">
        <f>INDEX('Tabl. 1'!$C$8:$AO$313,206+$AB11,MATCH($C$7,$AA$7:$AA$45))</f>
        <v>99999999999</v>
      </c>
      <c r="I16" s="86"/>
      <c r="P16" s="77"/>
      <c r="Q16" s="77"/>
      <c r="R16" s="77"/>
      <c r="S16" s="77"/>
      <c r="T16" s="77"/>
      <c r="U16" s="77"/>
      <c r="V16" s="76"/>
      <c r="W16" s="76"/>
      <c r="X16" s="76"/>
      <c r="Y16" s="76"/>
      <c r="Z16" s="76"/>
      <c r="AA16" s="82">
        <v>2031</v>
      </c>
      <c r="AB16" s="82">
        <v>9</v>
      </c>
      <c r="AC16" s="82"/>
      <c r="AD16" s="87">
        <f t="shared" si="0"/>
        <v>-99999999999</v>
      </c>
      <c r="AE16" s="88">
        <f t="shared" si="1"/>
        <v>99999999999</v>
      </c>
      <c r="AF16" s="82">
        <f t="shared" si="2"/>
        <v>0</v>
      </c>
      <c r="AG16" s="88">
        <f t="shared" si="3"/>
        <v>0</v>
      </c>
      <c r="AH16" s="104"/>
      <c r="AI16" s="104"/>
      <c r="AJ16" s="105"/>
      <c r="AK16" s="105"/>
      <c r="AL16" s="105"/>
      <c r="AM16" s="105"/>
    </row>
    <row r="17" spans="1:39" x14ac:dyDescent="0.25">
      <c r="A17" s="115">
        <v>5</v>
      </c>
      <c r="B17" s="114">
        <f>INDEX('Tabl. 1'!$C$8:$AO$313,104+$AB12,MATCH($C$7,$AA$7:$AA$45))</f>
        <v>99999999999</v>
      </c>
      <c r="C17" s="114">
        <f>INDEX('Tabl. 1'!$C$8:$AO$313,206+$AB12,MATCH($C$7,$AA$7:$AA$45))</f>
        <v>99999999999</v>
      </c>
      <c r="I17" s="86"/>
      <c r="P17" s="77"/>
      <c r="Q17" s="77"/>
      <c r="R17" s="77"/>
      <c r="S17" s="77"/>
      <c r="T17" s="77"/>
      <c r="U17" s="77"/>
      <c r="V17" s="76"/>
      <c r="W17" s="76"/>
      <c r="X17" s="76"/>
      <c r="Y17" s="76"/>
      <c r="Z17" s="76"/>
      <c r="AA17" s="82">
        <v>2032</v>
      </c>
      <c r="AB17" s="82">
        <v>10</v>
      </c>
      <c r="AC17" s="82"/>
      <c r="AD17" s="87">
        <f t="shared" si="0"/>
        <v>-99999999999</v>
      </c>
      <c r="AE17" s="88">
        <f t="shared" si="1"/>
        <v>99999999999</v>
      </c>
      <c r="AF17" s="82">
        <f t="shared" si="2"/>
        <v>0</v>
      </c>
      <c r="AG17" s="88">
        <f t="shared" si="3"/>
        <v>0</v>
      </c>
      <c r="AH17" s="104"/>
      <c r="AI17" s="104"/>
      <c r="AJ17" s="105"/>
      <c r="AK17" s="105"/>
      <c r="AL17" s="105"/>
      <c r="AM17" s="105"/>
    </row>
    <row r="18" spans="1:39" x14ac:dyDescent="0.25">
      <c r="A18" s="89">
        <v>6</v>
      </c>
      <c r="B18" s="114">
        <f>INDEX('Tabl. 1'!$C$8:$AO$313,104+$AB13,MATCH($C$7,$AA$7:$AA$45))</f>
        <v>99999999999</v>
      </c>
      <c r="C18" s="114">
        <f>INDEX('Tabl. 1'!$C$8:$AO$313,206+$AB13,MATCH($C$7,$AA$7:$AA$45))</f>
        <v>99999999999</v>
      </c>
      <c r="I18" s="86"/>
      <c r="P18" s="77"/>
      <c r="Q18" s="77"/>
      <c r="R18" s="77"/>
      <c r="S18" s="77"/>
      <c r="T18" s="77"/>
      <c r="U18" s="77"/>
      <c r="V18" s="76"/>
      <c r="W18" s="76"/>
      <c r="X18" s="76"/>
      <c r="Y18" s="76"/>
      <c r="Z18" s="76"/>
      <c r="AA18" s="82">
        <v>2033</v>
      </c>
      <c r="AB18" s="82">
        <v>11</v>
      </c>
      <c r="AC18" s="82"/>
      <c r="AD18" s="87">
        <f t="shared" si="0"/>
        <v>-99999999999</v>
      </c>
      <c r="AE18" s="88">
        <f t="shared" si="1"/>
        <v>99999999999</v>
      </c>
      <c r="AF18" s="82">
        <f t="shared" si="2"/>
        <v>0</v>
      </c>
      <c r="AG18" s="88">
        <f t="shared" si="3"/>
        <v>0</v>
      </c>
      <c r="AH18" s="104"/>
      <c r="AI18" s="104"/>
      <c r="AJ18" s="105"/>
      <c r="AK18" s="105"/>
      <c r="AL18" s="105"/>
      <c r="AM18" s="105"/>
    </row>
    <row r="19" spans="1:39" x14ac:dyDescent="0.25">
      <c r="A19" s="89">
        <v>7</v>
      </c>
      <c r="B19" s="114">
        <f>INDEX('Tabl. 1'!$C$8:$AO$313,104+$AB14,MATCH($C$7,$AA$7:$AA$45))</f>
        <v>99999999999</v>
      </c>
      <c r="C19" s="114">
        <f>INDEX('Tabl. 1'!$C$8:$AO$313,206+$AB14,MATCH($C$7,$AA$7:$AA$45))</f>
        <v>99999999999</v>
      </c>
      <c r="I19" s="86"/>
      <c r="P19" s="77"/>
      <c r="Q19" s="77"/>
      <c r="R19" s="77"/>
      <c r="S19" s="77"/>
      <c r="T19" s="77"/>
      <c r="U19" s="77"/>
      <c r="V19" s="76"/>
      <c r="W19" s="76"/>
      <c r="X19" s="76"/>
      <c r="Y19" s="76"/>
      <c r="Z19" s="76"/>
      <c r="AA19" s="82">
        <v>2034</v>
      </c>
      <c r="AB19" s="82">
        <v>12</v>
      </c>
      <c r="AC19" s="82"/>
      <c r="AD19" s="87">
        <f t="shared" si="0"/>
        <v>-99999999999</v>
      </c>
      <c r="AE19" s="88">
        <f t="shared" si="1"/>
        <v>99999999999</v>
      </c>
      <c r="AF19" s="82">
        <f t="shared" si="2"/>
        <v>0</v>
      </c>
      <c r="AG19" s="88">
        <f t="shared" si="3"/>
        <v>0</v>
      </c>
      <c r="AH19" s="104"/>
      <c r="AI19" s="104"/>
      <c r="AJ19" s="105"/>
      <c r="AK19" s="105"/>
      <c r="AL19" s="105"/>
      <c r="AM19" s="105"/>
    </row>
    <row r="20" spans="1:39" x14ac:dyDescent="0.25">
      <c r="A20" s="89">
        <v>8</v>
      </c>
      <c r="B20" s="114">
        <f>INDEX('Tabl. 1'!$C$8:$AO$313,104+$AB15,MATCH($C$7,$AA$7:$AA$45))</f>
        <v>99999999999</v>
      </c>
      <c r="C20" s="114">
        <f>INDEX('Tabl. 1'!$C$8:$AO$313,206+$AB15,MATCH($C$7,$AA$7:$AA$45))</f>
        <v>99999999999</v>
      </c>
      <c r="I20" s="86"/>
      <c r="P20" s="77"/>
      <c r="Q20" s="77"/>
      <c r="R20" s="77"/>
      <c r="S20" s="77"/>
      <c r="T20" s="77"/>
      <c r="U20" s="77"/>
      <c r="V20" s="76"/>
      <c r="W20" s="76"/>
      <c r="X20" s="76"/>
      <c r="Y20" s="76"/>
      <c r="Z20" s="76"/>
      <c r="AA20" s="82">
        <v>2035</v>
      </c>
      <c r="AB20" s="82">
        <v>13</v>
      </c>
      <c r="AC20" s="82"/>
      <c r="AD20" s="87">
        <f t="shared" si="0"/>
        <v>-99999999999</v>
      </c>
      <c r="AE20" s="88">
        <f t="shared" si="1"/>
        <v>99999999999</v>
      </c>
      <c r="AF20" s="82">
        <f t="shared" si="2"/>
        <v>0</v>
      </c>
      <c r="AG20" s="88">
        <f t="shared" si="3"/>
        <v>0</v>
      </c>
      <c r="AH20" s="104"/>
      <c r="AI20" s="104"/>
      <c r="AJ20" s="105"/>
      <c r="AK20" s="105"/>
      <c r="AL20" s="105"/>
      <c r="AM20" s="105"/>
    </row>
    <row r="21" spans="1:39" x14ac:dyDescent="0.25">
      <c r="A21" s="89">
        <v>9</v>
      </c>
      <c r="B21" s="114">
        <f>INDEX('Tabl. 1'!$C$8:$AO$313,104+$AB16,MATCH($C$7,$AA$7:$AA$45))</f>
        <v>99999999999</v>
      </c>
      <c r="C21" s="114">
        <f>INDEX('Tabl. 1'!$C$8:$AO$313,206+$AB16,MATCH($C$7,$AA$7:$AA$45))</f>
        <v>99999999999</v>
      </c>
      <c r="I21" s="86"/>
      <c r="P21" s="77"/>
      <c r="Q21" s="77"/>
      <c r="R21" s="77"/>
      <c r="S21" s="77"/>
      <c r="T21" s="77"/>
      <c r="U21" s="77"/>
      <c r="V21" s="76"/>
      <c r="W21" s="76"/>
      <c r="X21" s="76"/>
      <c r="Y21" s="76"/>
      <c r="Z21" s="76"/>
      <c r="AA21" s="82">
        <v>2036</v>
      </c>
      <c r="AB21" s="82">
        <v>14</v>
      </c>
      <c r="AC21" s="82"/>
      <c r="AD21" s="87">
        <f t="shared" si="0"/>
        <v>-99999999999</v>
      </c>
      <c r="AE21" s="88">
        <f t="shared" si="1"/>
        <v>99999999999</v>
      </c>
      <c r="AF21" s="82">
        <f t="shared" si="2"/>
        <v>0</v>
      </c>
      <c r="AG21" s="88">
        <f t="shared" si="3"/>
        <v>0</v>
      </c>
      <c r="AH21" s="104"/>
      <c r="AI21" s="104"/>
      <c r="AJ21" s="105"/>
      <c r="AK21" s="105"/>
      <c r="AL21" s="105"/>
      <c r="AM21" s="105"/>
    </row>
    <row r="22" spans="1:39" x14ac:dyDescent="0.25">
      <c r="A22" s="89">
        <v>10</v>
      </c>
      <c r="B22" s="114">
        <f>INDEX('Tabl. 1'!$C$8:$AO$313,104+$AB17,MATCH($C$7,$AA$7:$AA$45))</f>
        <v>99999999999</v>
      </c>
      <c r="C22" s="114">
        <f>INDEX('Tabl. 1'!$C$8:$AO$313,206+$AB17,MATCH($C$7,$AA$7:$AA$45))</f>
        <v>99999999999</v>
      </c>
      <c r="I22" s="86"/>
      <c r="P22" s="77"/>
      <c r="Q22" s="77"/>
      <c r="R22" s="77"/>
      <c r="S22" s="77"/>
      <c r="T22" s="77"/>
      <c r="U22" s="77"/>
      <c r="V22" s="76"/>
      <c r="W22" s="76"/>
      <c r="X22" s="76"/>
      <c r="Y22" s="76"/>
      <c r="Z22" s="76"/>
      <c r="AA22" s="82">
        <v>2037</v>
      </c>
      <c r="AB22" s="82">
        <v>15</v>
      </c>
      <c r="AC22" s="82"/>
      <c r="AD22" s="87">
        <f t="shared" si="0"/>
        <v>-99999999999</v>
      </c>
      <c r="AE22" s="88">
        <f t="shared" si="1"/>
        <v>99999999999</v>
      </c>
      <c r="AF22" s="82">
        <f t="shared" si="2"/>
        <v>0</v>
      </c>
      <c r="AG22" s="88">
        <f t="shared" si="3"/>
        <v>0</v>
      </c>
      <c r="AH22" s="104"/>
      <c r="AI22" s="104"/>
      <c r="AJ22" s="105"/>
      <c r="AK22" s="105"/>
      <c r="AL22" s="105"/>
      <c r="AM22" s="105"/>
    </row>
    <row r="23" spans="1:39" x14ac:dyDescent="0.25">
      <c r="A23" s="89">
        <v>11</v>
      </c>
      <c r="B23" s="114">
        <f>INDEX('Tabl. 1'!$C$8:$AO$313,104+$AB18,MATCH($C$7,$AA$7:$AA$45))</f>
        <v>99999999999</v>
      </c>
      <c r="C23" s="114">
        <f>INDEX('Tabl. 1'!$C$8:$AO$313,206+$AB18,MATCH($C$7,$AA$7:$AA$45))</f>
        <v>99999999999</v>
      </c>
      <c r="I23" s="86"/>
      <c r="P23" s="77"/>
      <c r="Q23" s="77"/>
      <c r="R23" s="77"/>
      <c r="S23" s="77"/>
      <c r="T23" s="77"/>
      <c r="U23" s="77"/>
      <c r="V23" s="76"/>
      <c r="W23" s="76"/>
      <c r="X23" s="76"/>
      <c r="Y23" s="76"/>
      <c r="Z23" s="76"/>
      <c r="AA23" s="82">
        <v>2038</v>
      </c>
      <c r="AB23" s="82">
        <v>16</v>
      </c>
      <c r="AC23" s="82"/>
      <c r="AD23" s="87">
        <f t="shared" si="0"/>
        <v>-99999999999</v>
      </c>
      <c r="AE23" s="88">
        <f t="shared" si="1"/>
        <v>99999999999</v>
      </c>
      <c r="AF23" s="82">
        <f t="shared" si="2"/>
        <v>0</v>
      </c>
      <c r="AG23" s="88">
        <f t="shared" si="3"/>
        <v>0</v>
      </c>
      <c r="AH23" s="104"/>
      <c r="AI23" s="104"/>
      <c r="AJ23" s="105"/>
      <c r="AK23" s="105"/>
      <c r="AL23" s="105"/>
      <c r="AM23" s="105"/>
    </row>
    <row r="24" spans="1:39" x14ac:dyDescent="0.25">
      <c r="A24" s="89">
        <v>12</v>
      </c>
      <c r="B24" s="114">
        <f>INDEX('Tabl. 1'!$C$8:$AO$313,104+$AB19,MATCH($C$7,$AA$7:$AA$45))</f>
        <v>99999999999</v>
      </c>
      <c r="C24" s="114">
        <f>INDEX('Tabl. 1'!$C$8:$AO$313,206+$AB19,MATCH($C$7,$AA$7:$AA$45))</f>
        <v>99999999999</v>
      </c>
      <c r="I24" s="86"/>
      <c r="P24" s="77"/>
      <c r="Q24" s="77"/>
      <c r="R24" s="77"/>
      <c r="S24" s="77"/>
      <c r="T24" s="77"/>
      <c r="U24" s="77"/>
      <c r="V24" s="76"/>
      <c r="W24" s="76"/>
      <c r="X24" s="76"/>
      <c r="Y24" s="76"/>
      <c r="Z24" s="76"/>
      <c r="AA24" s="82">
        <v>2039</v>
      </c>
      <c r="AB24" s="82">
        <v>17</v>
      </c>
      <c r="AC24" s="82"/>
      <c r="AD24" s="87">
        <f t="shared" si="0"/>
        <v>-99999999999</v>
      </c>
      <c r="AE24" s="88">
        <f t="shared" si="1"/>
        <v>99999999999</v>
      </c>
      <c r="AF24" s="82">
        <f t="shared" si="2"/>
        <v>0</v>
      </c>
      <c r="AG24" s="88">
        <f t="shared" si="3"/>
        <v>0</v>
      </c>
      <c r="AH24" s="104"/>
      <c r="AI24" s="104"/>
      <c r="AJ24" s="105"/>
      <c r="AK24" s="105"/>
      <c r="AL24" s="105"/>
      <c r="AM24" s="105"/>
    </row>
    <row r="25" spans="1:39" x14ac:dyDescent="0.25">
      <c r="A25" s="89">
        <v>13</v>
      </c>
      <c r="B25" s="114">
        <f>INDEX('Tabl. 1'!$C$8:$AO$313,104+$AB20,MATCH($C$7,$AA$7:$AA$45))</f>
        <v>99999999999</v>
      </c>
      <c r="C25" s="114">
        <f>INDEX('Tabl. 1'!$C$8:$AO$313,206+$AB20,MATCH($C$7,$AA$7:$AA$45))</f>
        <v>99999999999</v>
      </c>
      <c r="I25" s="86"/>
      <c r="P25" s="77"/>
      <c r="Q25" s="77"/>
      <c r="R25" s="77"/>
      <c r="S25" s="77"/>
      <c r="T25" s="77"/>
      <c r="U25" s="77"/>
      <c r="V25" s="76"/>
      <c r="W25" s="76"/>
      <c r="X25" s="76"/>
      <c r="Y25" s="76"/>
      <c r="Z25" s="76"/>
      <c r="AA25" s="82">
        <v>2040</v>
      </c>
      <c r="AB25" s="82">
        <v>18</v>
      </c>
      <c r="AC25" s="82"/>
      <c r="AD25" s="87">
        <f t="shared" si="0"/>
        <v>-99999999999</v>
      </c>
      <c r="AE25" s="88">
        <f t="shared" si="1"/>
        <v>99999999999</v>
      </c>
      <c r="AF25" s="82">
        <f t="shared" si="2"/>
        <v>0</v>
      </c>
      <c r="AG25" s="88">
        <f t="shared" si="3"/>
        <v>0</v>
      </c>
      <c r="AH25" s="104"/>
      <c r="AI25" s="104"/>
      <c r="AJ25" s="105"/>
      <c r="AK25" s="105"/>
      <c r="AL25" s="105"/>
      <c r="AM25" s="105"/>
    </row>
    <row r="26" spans="1:39" x14ac:dyDescent="0.25">
      <c r="A26" s="89">
        <v>14</v>
      </c>
      <c r="B26" s="114">
        <f>INDEX('Tabl. 1'!$C$8:$AO$313,104+$AB21,MATCH($C$7,$AA$7:$AA$45))</f>
        <v>99999999999</v>
      </c>
      <c r="C26" s="114">
        <f>INDEX('Tabl. 1'!$C$8:$AO$313,206+$AB21,MATCH($C$7,$AA$7:$AA$45))</f>
        <v>99999999999</v>
      </c>
      <c r="I26" s="86"/>
      <c r="P26" s="77"/>
      <c r="Q26" s="77"/>
      <c r="R26" s="77"/>
      <c r="S26" s="77"/>
      <c r="T26" s="77"/>
      <c r="U26" s="77"/>
      <c r="V26" s="76"/>
      <c r="W26" s="76"/>
      <c r="X26" s="76"/>
      <c r="Y26" s="76"/>
      <c r="Z26" s="76"/>
      <c r="AA26" s="82">
        <v>2041</v>
      </c>
      <c r="AB26" s="82">
        <v>19</v>
      </c>
      <c r="AC26" s="82"/>
      <c r="AD26" s="87">
        <f t="shared" si="0"/>
        <v>-99999999999</v>
      </c>
      <c r="AE26" s="88">
        <f t="shared" si="1"/>
        <v>99999999999</v>
      </c>
      <c r="AF26" s="82">
        <f t="shared" si="2"/>
        <v>0</v>
      </c>
      <c r="AG26" s="88">
        <f t="shared" si="3"/>
        <v>0</v>
      </c>
      <c r="AH26" s="104"/>
      <c r="AI26" s="104"/>
      <c r="AJ26" s="105"/>
      <c r="AK26" s="105"/>
      <c r="AL26" s="105"/>
      <c r="AM26" s="105"/>
    </row>
    <row r="27" spans="1:39" x14ac:dyDescent="0.25">
      <c r="A27" s="89">
        <v>15</v>
      </c>
      <c r="B27" s="114">
        <f>INDEX('Tabl. 1'!$C$8:$AO$313,104+$AB22,MATCH($C$7,$AA$7:$AA$45))</f>
        <v>99999999999</v>
      </c>
      <c r="C27" s="114">
        <f>INDEX('Tabl. 1'!$C$8:$AO$313,206+$AB22,MATCH($C$7,$AA$7:$AA$45))</f>
        <v>99999999999</v>
      </c>
      <c r="I27" s="86"/>
      <c r="P27" s="77"/>
      <c r="Q27" s="77"/>
      <c r="R27" s="77"/>
      <c r="S27" s="77"/>
      <c r="T27" s="77"/>
      <c r="U27" s="77"/>
      <c r="V27" s="76"/>
      <c r="W27" s="76"/>
      <c r="X27" s="76"/>
      <c r="Y27" s="76"/>
      <c r="Z27" s="76"/>
      <c r="AA27" s="82">
        <v>2042</v>
      </c>
      <c r="AB27" s="82">
        <v>20</v>
      </c>
      <c r="AC27" s="82"/>
      <c r="AD27" s="87">
        <f t="shared" si="0"/>
        <v>-99999999999</v>
      </c>
      <c r="AE27" s="88">
        <f t="shared" si="1"/>
        <v>99999999999</v>
      </c>
      <c r="AF27" s="82">
        <f t="shared" si="2"/>
        <v>0</v>
      </c>
      <c r="AG27" s="88">
        <f t="shared" si="3"/>
        <v>0</v>
      </c>
      <c r="AH27" s="104"/>
      <c r="AI27" s="104"/>
      <c r="AJ27" s="105"/>
      <c r="AK27" s="105"/>
      <c r="AL27" s="105"/>
      <c r="AM27" s="105"/>
    </row>
    <row r="28" spans="1:39" x14ac:dyDescent="0.25">
      <c r="A28" s="89">
        <v>16</v>
      </c>
      <c r="B28" s="114">
        <f>INDEX('Tabl. 1'!$C$8:$AO$313,104+$AB23,MATCH($C$7,$AA$7:$AA$45))</f>
        <v>99999999999</v>
      </c>
      <c r="C28" s="114">
        <f>INDEX('Tabl. 1'!$C$8:$AO$313,206+$AB23,MATCH($C$7,$AA$7:$AA$45))</f>
        <v>99999999999</v>
      </c>
      <c r="I28" s="86"/>
      <c r="P28" s="77"/>
      <c r="Q28" s="77"/>
      <c r="R28" s="77"/>
      <c r="S28" s="77"/>
      <c r="T28" s="77"/>
      <c r="U28" s="77"/>
      <c r="V28" s="76"/>
      <c r="W28" s="76"/>
      <c r="X28" s="76"/>
      <c r="Y28" s="76"/>
      <c r="Z28" s="76"/>
      <c r="AA28" s="82">
        <v>2043</v>
      </c>
      <c r="AB28" s="82">
        <v>21</v>
      </c>
      <c r="AC28" s="82"/>
      <c r="AD28" s="87">
        <f t="shared" si="0"/>
        <v>-99999999999</v>
      </c>
      <c r="AE28" s="88">
        <f t="shared" si="1"/>
        <v>99999999999</v>
      </c>
      <c r="AF28" s="82">
        <f t="shared" si="2"/>
        <v>0</v>
      </c>
      <c r="AG28" s="88">
        <f t="shared" si="3"/>
        <v>0</v>
      </c>
      <c r="AH28" s="104"/>
      <c r="AI28" s="104"/>
      <c r="AJ28" s="105"/>
      <c r="AK28" s="105"/>
      <c r="AL28" s="105"/>
      <c r="AM28" s="105"/>
    </row>
    <row r="29" spans="1:39" x14ac:dyDescent="0.25">
      <c r="A29" s="89">
        <v>17</v>
      </c>
      <c r="B29" s="114">
        <f>INDEX('Tabl. 1'!$C$8:$AO$313,104+$AB24,MATCH($C$7,$AA$7:$AA$45))</f>
        <v>99999999999</v>
      </c>
      <c r="C29" s="114">
        <f>INDEX('Tabl. 1'!$C$8:$AO$313,206+$AB24,MATCH($C$7,$AA$7:$AA$45))</f>
        <v>99999999999</v>
      </c>
      <c r="I29" s="86"/>
      <c r="P29" s="77"/>
      <c r="Q29" s="77"/>
      <c r="R29" s="77"/>
      <c r="S29" s="77"/>
      <c r="T29" s="77"/>
      <c r="U29" s="77"/>
      <c r="V29" s="76"/>
      <c r="W29" s="76"/>
      <c r="X29" s="76"/>
      <c r="Y29" s="76"/>
      <c r="Z29" s="76"/>
      <c r="AA29" s="82">
        <v>2044</v>
      </c>
      <c r="AB29" s="82">
        <v>22</v>
      </c>
      <c r="AC29" s="82"/>
      <c r="AD29" s="87">
        <f t="shared" si="0"/>
        <v>-99999999999</v>
      </c>
      <c r="AE29" s="88">
        <f t="shared" si="1"/>
        <v>99999999999</v>
      </c>
      <c r="AF29" s="82">
        <f t="shared" si="2"/>
        <v>0</v>
      </c>
      <c r="AG29" s="88">
        <f t="shared" si="3"/>
        <v>0</v>
      </c>
      <c r="AH29" s="104"/>
      <c r="AI29" s="104"/>
      <c r="AJ29" s="105"/>
      <c r="AK29" s="105"/>
      <c r="AL29" s="105"/>
      <c r="AM29" s="105"/>
    </row>
    <row r="30" spans="1:39" x14ac:dyDescent="0.25">
      <c r="A30" s="89">
        <v>18</v>
      </c>
      <c r="B30" s="114">
        <f>INDEX('Tabl. 1'!$C$8:$AO$313,104+$AB25,MATCH($C$7,$AA$7:$AA$45))</f>
        <v>99999999999</v>
      </c>
      <c r="C30" s="114">
        <f>INDEX('Tabl. 1'!$C$8:$AO$313,206+$AB25,MATCH($C$7,$AA$7:$AA$45))</f>
        <v>99999999999</v>
      </c>
      <c r="I30" s="86"/>
      <c r="P30" s="77"/>
      <c r="Q30" s="77"/>
      <c r="R30" s="77"/>
      <c r="S30" s="77"/>
      <c r="T30" s="77"/>
      <c r="U30" s="77"/>
      <c r="V30" s="76"/>
      <c r="W30" s="76"/>
      <c r="X30" s="76"/>
      <c r="Y30" s="76"/>
      <c r="Z30" s="76"/>
      <c r="AA30" s="82">
        <v>2045</v>
      </c>
      <c r="AB30" s="82">
        <v>23</v>
      </c>
      <c r="AC30" s="82"/>
      <c r="AD30" s="87">
        <f t="shared" si="0"/>
        <v>-99999999999</v>
      </c>
      <c r="AE30" s="88">
        <f t="shared" si="1"/>
        <v>99999999999</v>
      </c>
      <c r="AF30" s="82">
        <f t="shared" si="2"/>
        <v>0</v>
      </c>
      <c r="AG30" s="88">
        <f t="shared" si="3"/>
        <v>0</v>
      </c>
      <c r="AH30" s="104"/>
      <c r="AI30" s="104"/>
      <c r="AJ30" s="105"/>
      <c r="AK30" s="105"/>
      <c r="AL30" s="105"/>
      <c r="AM30" s="105"/>
    </row>
    <row r="31" spans="1:39" x14ac:dyDescent="0.25">
      <c r="A31" s="89">
        <v>19</v>
      </c>
      <c r="B31" s="114">
        <f>INDEX('Tabl. 1'!$C$8:$AO$313,104+$AB26,MATCH($C$7,$AA$7:$AA$45))</f>
        <v>99999999999</v>
      </c>
      <c r="C31" s="114">
        <f>INDEX('Tabl. 1'!$C$8:$AO$313,206+$AB26,MATCH($C$7,$AA$7:$AA$45))</f>
        <v>99999999999</v>
      </c>
      <c r="I31" s="86"/>
      <c r="P31" s="77"/>
      <c r="Q31" s="77"/>
      <c r="R31" s="77"/>
      <c r="S31" s="77"/>
      <c r="T31" s="77"/>
      <c r="U31" s="77"/>
      <c r="V31" s="76"/>
      <c r="W31" s="76"/>
      <c r="X31" s="76"/>
      <c r="Y31" s="76"/>
      <c r="Z31" s="76"/>
      <c r="AA31" s="82">
        <v>2046</v>
      </c>
      <c r="AB31" s="82">
        <v>24</v>
      </c>
      <c r="AC31" s="82"/>
      <c r="AD31" s="87">
        <f t="shared" si="0"/>
        <v>-99999999999</v>
      </c>
      <c r="AE31" s="88">
        <f t="shared" si="1"/>
        <v>99999999999</v>
      </c>
      <c r="AF31" s="82">
        <f t="shared" si="2"/>
        <v>0</v>
      </c>
      <c r="AG31" s="88">
        <f t="shared" si="3"/>
        <v>0</v>
      </c>
      <c r="AH31" s="104"/>
      <c r="AI31" s="104"/>
      <c r="AJ31" s="105"/>
      <c r="AK31" s="105"/>
      <c r="AL31" s="105"/>
      <c r="AM31" s="105"/>
    </row>
    <row r="32" spans="1:39" x14ac:dyDescent="0.25">
      <c r="A32" s="89">
        <v>20</v>
      </c>
      <c r="B32" s="114">
        <f>INDEX('Tabl. 1'!$C$8:$AO$313,104+$AB27,MATCH($C$7,$AA$7:$AA$45))</f>
        <v>99999999999</v>
      </c>
      <c r="C32" s="114">
        <f>INDEX('Tabl. 1'!$C$8:$AO$313,206+$AB27,MATCH($C$7,$AA$7:$AA$45))</f>
        <v>99999999999</v>
      </c>
      <c r="I32" s="86"/>
      <c r="P32" s="77"/>
      <c r="Q32" s="77"/>
      <c r="R32" s="77"/>
      <c r="S32" s="77"/>
      <c r="T32" s="77"/>
      <c r="U32" s="77"/>
      <c r="V32" s="76"/>
      <c r="W32" s="76"/>
      <c r="X32" s="76"/>
      <c r="Y32" s="76"/>
      <c r="Z32" s="76"/>
      <c r="AA32" s="82">
        <v>2047</v>
      </c>
      <c r="AB32" s="82">
        <v>25</v>
      </c>
      <c r="AC32" s="82"/>
      <c r="AD32" s="87">
        <f t="shared" si="0"/>
        <v>-99999999999</v>
      </c>
      <c r="AE32" s="88">
        <f t="shared" si="1"/>
        <v>99999999999</v>
      </c>
      <c r="AF32" s="82">
        <f t="shared" si="2"/>
        <v>0</v>
      </c>
      <c r="AG32" s="88">
        <f t="shared" si="3"/>
        <v>0</v>
      </c>
      <c r="AH32" s="104"/>
      <c r="AI32" s="104"/>
      <c r="AJ32" s="105"/>
      <c r="AK32" s="105"/>
      <c r="AL32" s="105"/>
      <c r="AM32" s="105"/>
    </row>
    <row r="33" spans="1:39" x14ac:dyDescent="0.25">
      <c r="A33" s="89">
        <v>21</v>
      </c>
      <c r="B33" s="114">
        <f>INDEX('Tabl. 1'!$C$8:$AO$313,104+$AB28,MATCH($C$7,$AA$7:$AA$45))</f>
        <v>99999999999</v>
      </c>
      <c r="C33" s="114">
        <f>INDEX('Tabl. 1'!$C$8:$AO$313,206+$AB28,MATCH($C$7,$AA$7:$AA$45))</f>
        <v>99999999999</v>
      </c>
      <c r="I33" s="86"/>
      <c r="P33" s="77"/>
      <c r="Q33" s="77"/>
      <c r="R33" s="77"/>
      <c r="S33" s="77"/>
      <c r="T33" s="77"/>
      <c r="U33" s="77"/>
      <c r="V33" s="76"/>
      <c r="W33" s="76"/>
      <c r="X33" s="76"/>
      <c r="Y33" s="76"/>
      <c r="Z33" s="76"/>
      <c r="AA33" s="82">
        <v>2048</v>
      </c>
      <c r="AB33" s="82">
        <v>26</v>
      </c>
      <c r="AC33" s="82"/>
      <c r="AD33" s="87">
        <f t="shared" si="0"/>
        <v>-99999999999</v>
      </c>
      <c r="AE33" s="88">
        <f t="shared" si="1"/>
        <v>99999999999</v>
      </c>
      <c r="AF33" s="82">
        <f t="shared" si="2"/>
        <v>0</v>
      </c>
      <c r="AG33" s="88">
        <f t="shared" si="3"/>
        <v>0</v>
      </c>
      <c r="AH33" s="104"/>
      <c r="AI33" s="104"/>
      <c r="AJ33" s="105"/>
      <c r="AK33" s="105"/>
      <c r="AL33" s="105"/>
      <c r="AM33" s="105"/>
    </row>
    <row r="34" spans="1:39" x14ac:dyDescent="0.25">
      <c r="A34" s="89">
        <v>22</v>
      </c>
      <c r="B34" s="114">
        <f>INDEX('Tabl. 1'!$C$8:$AO$313,104+$AB29,MATCH($C$7,$AA$7:$AA$45))</f>
        <v>99999999999</v>
      </c>
      <c r="C34" s="114">
        <f>INDEX('Tabl. 1'!$C$8:$AO$313,206+$AB29,MATCH($C$7,$AA$7:$AA$45))</f>
        <v>99999999999</v>
      </c>
      <c r="I34" s="86"/>
      <c r="P34" s="77"/>
      <c r="Q34" s="77"/>
      <c r="R34" s="77"/>
      <c r="S34" s="77"/>
      <c r="T34" s="77"/>
      <c r="U34" s="77"/>
      <c r="V34" s="76"/>
      <c r="W34" s="76"/>
      <c r="X34" s="76"/>
      <c r="Y34" s="76"/>
      <c r="Z34" s="76"/>
      <c r="AA34" s="82">
        <v>2049</v>
      </c>
      <c r="AB34" s="82">
        <v>27</v>
      </c>
      <c r="AC34" s="82"/>
      <c r="AD34" s="87">
        <f t="shared" si="0"/>
        <v>-99999999999</v>
      </c>
      <c r="AE34" s="88">
        <f t="shared" si="1"/>
        <v>99999999999</v>
      </c>
      <c r="AF34" s="82">
        <f t="shared" si="2"/>
        <v>0</v>
      </c>
      <c r="AG34" s="88">
        <f t="shared" si="3"/>
        <v>0</v>
      </c>
      <c r="AH34" s="104"/>
      <c r="AI34" s="104"/>
      <c r="AJ34" s="105"/>
      <c r="AK34" s="105"/>
      <c r="AL34" s="105"/>
      <c r="AM34" s="105"/>
    </row>
    <row r="35" spans="1:39" x14ac:dyDescent="0.25">
      <c r="A35" s="89">
        <v>23</v>
      </c>
      <c r="B35" s="114">
        <f>INDEX('Tabl. 1'!$C$8:$AO$313,104+$AB30,MATCH($C$7,$AA$7:$AA$45))</f>
        <v>99999999999</v>
      </c>
      <c r="C35" s="114">
        <f>INDEX('Tabl. 1'!$C$8:$AO$313,206+$AB30,MATCH($C$7,$AA$7:$AA$45))</f>
        <v>99999999999</v>
      </c>
      <c r="I35" s="86"/>
      <c r="P35" s="77"/>
      <c r="Q35" s="77"/>
      <c r="R35" s="77"/>
      <c r="S35" s="77"/>
      <c r="T35" s="77"/>
      <c r="U35" s="77"/>
      <c r="V35" s="76"/>
      <c r="W35" s="76"/>
      <c r="X35" s="76"/>
      <c r="Y35" s="76"/>
      <c r="Z35" s="76"/>
      <c r="AA35" s="82">
        <v>2050</v>
      </c>
      <c r="AB35" s="82">
        <v>28</v>
      </c>
      <c r="AC35" s="82"/>
      <c r="AD35" s="87">
        <f t="shared" si="0"/>
        <v>-99999999999</v>
      </c>
      <c r="AE35" s="88">
        <f t="shared" si="1"/>
        <v>99999999999</v>
      </c>
      <c r="AF35" s="82">
        <f t="shared" si="2"/>
        <v>0</v>
      </c>
      <c r="AG35" s="88">
        <f t="shared" si="3"/>
        <v>0</v>
      </c>
      <c r="AH35" s="104"/>
      <c r="AI35" s="104"/>
      <c r="AJ35" s="105"/>
      <c r="AK35" s="105"/>
      <c r="AL35" s="105"/>
      <c r="AM35" s="105"/>
    </row>
    <row r="36" spans="1:39" x14ac:dyDescent="0.25">
      <c r="A36" s="89">
        <v>24</v>
      </c>
      <c r="B36" s="114">
        <f>INDEX('Tabl. 1'!$C$8:$AO$313,104+$AB31,MATCH($C$7,$AA$7:$AA$45))</f>
        <v>99999999999</v>
      </c>
      <c r="C36" s="114">
        <f>INDEX('Tabl. 1'!$C$8:$AO$313,206+$AB31,MATCH($C$7,$AA$7:$AA$45))</f>
        <v>99999999999</v>
      </c>
      <c r="I36" s="86"/>
      <c r="P36" s="77"/>
      <c r="Q36" s="77"/>
      <c r="R36" s="77"/>
      <c r="S36" s="77"/>
      <c r="T36" s="77"/>
      <c r="U36" s="77"/>
      <c r="V36" s="76"/>
      <c r="W36" s="76"/>
      <c r="X36" s="76"/>
      <c r="Y36" s="76"/>
      <c r="Z36" s="76"/>
      <c r="AA36" s="82">
        <v>2051</v>
      </c>
      <c r="AB36" s="82">
        <v>29</v>
      </c>
      <c r="AC36" s="82"/>
      <c r="AD36" s="87">
        <f t="shared" si="0"/>
        <v>-99999999999</v>
      </c>
      <c r="AE36" s="88">
        <f t="shared" si="1"/>
        <v>99999999999</v>
      </c>
      <c r="AF36" s="82">
        <f t="shared" si="2"/>
        <v>0</v>
      </c>
      <c r="AG36" s="88">
        <f t="shared" si="3"/>
        <v>0</v>
      </c>
      <c r="AH36" s="104"/>
      <c r="AI36" s="104"/>
      <c r="AJ36" s="105"/>
      <c r="AK36" s="105"/>
      <c r="AL36" s="105"/>
      <c r="AM36" s="105"/>
    </row>
    <row r="37" spans="1:39" x14ac:dyDescent="0.25">
      <c r="A37" s="89">
        <v>25</v>
      </c>
      <c r="B37" s="114">
        <f>INDEX('Tabl. 1'!$C$8:$AO$313,104+$AB32,MATCH($C$7,$AA$7:$AA$45))</f>
        <v>99999999999</v>
      </c>
      <c r="C37" s="114">
        <f>INDEX('Tabl. 1'!$C$8:$AO$313,206+$AB32,MATCH($C$7,$AA$7:$AA$45))</f>
        <v>99999999999</v>
      </c>
      <c r="I37" s="86"/>
      <c r="P37" s="77"/>
      <c r="Q37" s="77"/>
      <c r="R37" s="77"/>
      <c r="S37" s="77"/>
      <c r="T37" s="77"/>
      <c r="U37" s="77"/>
      <c r="V37" s="76"/>
      <c r="W37" s="76"/>
      <c r="X37" s="76"/>
      <c r="Y37" s="76"/>
      <c r="Z37" s="76"/>
      <c r="AA37" s="82">
        <v>2052</v>
      </c>
      <c r="AB37" s="82">
        <v>30</v>
      </c>
      <c r="AC37" s="82"/>
      <c r="AD37" s="87">
        <f t="shared" si="0"/>
        <v>-99999999999</v>
      </c>
      <c r="AE37" s="88">
        <f t="shared" si="1"/>
        <v>99999999999</v>
      </c>
      <c r="AF37" s="82">
        <f t="shared" si="2"/>
        <v>0</v>
      </c>
      <c r="AG37" s="88">
        <f t="shared" si="3"/>
        <v>0</v>
      </c>
      <c r="AH37" s="104"/>
      <c r="AI37" s="104"/>
      <c r="AJ37" s="105"/>
      <c r="AK37" s="105"/>
      <c r="AL37" s="105"/>
      <c r="AM37" s="105"/>
    </row>
    <row r="38" spans="1:39" x14ac:dyDescent="0.25">
      <c r="A38" s="89">
        <v>26</v>
      </c>
      <c r="B38" s="114">
        <f>INDEX('Tabl. 1'!$C$8:$AO$313,104+$AB33,MATCH($C$7,$AA$7:$AA$45))</f>
        <v>99999999999</v>
      </c>
      <c r="C38" s="114">
        <f>INDEX('Tabl. 1'!$C$8:$AO$313,206+$AB33,MATCH($C$7,$AA$7:$AA$45))</f>
        <v>99999999999</v>
      </c>
      <c r="I38" s="86"/>
      <c r="P38" s="77"/>
      <c r="Q38" s="77"/>
      <c r="R38" s="77"/>
      <c r="S38" s="77"/>
      <c r="T38" s="77"/>
      <c r="U38" s="77"/>
      <c r="V38" s="76"/>
      <c r="W38" s="76"/>
      <c r="X38" s="76"/>
      <c r="Y38" s="76"/>
      <c r="Z38" s="76"/>
      <c r="AA38" s="82">
        <v>2053</v>
      </c>
      <c r="AB38" s="82">
        <v>31</v>
      </c>
      <c r="AC38" s="82"/>
      <c r="AD38" s="87">
        <f t="shared" si="0"/>
        <v>-99999999999</v>
      </c>
      <c r="AE38" s="88">
        <f t="shared" si="1"/>
        <v>99999999999</v>
      </c>
      <c r="AF38" s="82">
        <f t="shared" si="2"/>
        <v>0</v>
      </c>
      <c r="AG38" s="88">
        <f t="shared" si="3"/>
        <v>0</v>
      </c>
      <c r="AH38" s="104"/>
      <c r="AI38" s="104"/>
      <c r="AJ38" s="105"/>
      <c r="AK38" s="105"/>
      <c r="AL38" s="105"/>
      <c r="AM38" s="105"/>
    </row>
    <row r="39" spans="1:39" x14ac:dyDescent="0.25">
      <c r="A39" s="89">
        <v>27</v>
      </c>
      <c r="B39" s="114">
        <f>INDEX('Tabl. 1'!$C$8:$AO$313,104+$AB34,MATCH($C$7,$AA$7:$AA$45))</f>
        <v>99999999999</v>
      </c>
      <c r="C39" s="114">
        <f>INDEX('Tabl. 1'!$C$8:$AO$313,206+$AB34,MATCH($C$7,$AA$7:$AA$45))</f>
        <v>99999999999</v>
      </c>
      <c r="I39" s="86"/>
      <c r="P39" s="77"/>
      <c r="Q39" s="77"/>
      <c r="R39" s="77"/>
      <c r="S39" s="77"/>
      <c r="T39" s="77"/>
      <c r="U39" s="77"/>
      <c r="V39" s="76"/>
      <c r="W39" s="76"/>
      <c r="X39" s="76"/>
      <c r="Y39" s="76"/>
      <c r="Z39" s="76"/>
      <c r="AA39" s="82">
        <v>2054</v>
      </c>
      <c r="AB39" s="82">
        <v>32</v>
      </c>
      <c r="AC39" s="82"/>
      <c r="AD39" s="87">
        <f t="shared" si="0"/>
        <v>-99999999999</v>
      </c>
      <c r="AE39" s="88">
        <f t="shared" si="1"/>
        <v>99999999999</v>
      </c>
      <c r="AF39" s="82">
        <f t="shared" si="2"/>
        <v>0</v>
      </c>
      <c r="AG39" s="88">
        <f t="shared" si="3"/>
        <v>0</v>
      </c>
      <c r="AH39" s="104"/>
      <c r="AI39" s="104"/>
      <c r="AJ39" s="105"/>
      <c r="AK39" s="105"/>
      <c r="AL39" s="105"/>
      <c r="AM39" s="105"/>
    </row>
    <row r="40" spans="1:39" x14ac:dyDescent="0.25">
      <c r="A40" s="89">
        <v>28</v>
      </c>
      <c r="B40" s="114">
        <f>INDEX('Tabl. 1'!$C$8:$AO$313,104+$AB35,MATCH($C$7,$AA$7:$AA$45))</f>
        <v>99999999999</v>
      </c>
      <c r="C40" s="114">
        <f>INDEX('Tabl. 1'!$C$8:$AO$313,206+$AB35,MATCH($C$7,$AA$7:$AA$45))</f>
        <v>99999999999</v>
      </c>
      <c r="I40" s="86"/>
      <c r="P40" s="77"/>
      <c r="Q40" s="77"/>
      <c r="R40" s="77"/>
      <c r="S40" s="77"/>
      <c r="T40" s="77"/>
      <c r="U40" s="77"/>
      <c r="V40" s="76"/>
      <c r="W40" s="76"/>
      <c r="X40" s="76"/>
      <c r="Y40" s="76"/>
      <c r="Z40" s="76"/>
      <c r="AA40" s="82">
        <v>2055</v>
      </c>
      <c r="AB40" s="82">
        <v>33</v>
      </c>
      <c r="AC40" s="82"/>
      <c r="AD40" s="87">
        <f t="shared" si="0"/>
        <v>-99999999999</v>
      </c>
      <c r="AE40" s="88">
        <f t="shared" si="1"/>
        <v>99999999999</v>
      </c>
      <c r="AF40" s="82">
        <f t="shared" si="2"/>
        <v>0</v>
      </c>
      <c r="AG40" s="88">
        <f t="shared" si="3"/>
        <v>0</v>
      </c>
      <c r="AH40" s="104"/>
      <c r="AI40" s="104"/>
      <c r="AJ40" s="105"/>
      <c r="AK40" s="105"/>
      <c r="AL40" s="105"/>
      <c r="AM40" s="105"/>
    </row>
    <row r="41" spans="1:39" x14ac:dyDescent="0.25">
      <c r="A41" s="89">
        <v>29</v>
      </c>
      <c r="B41" s="114">
        <f>INDEX('Tabl. 1'!$C$8:$AO$313,104+$AB36,MATCH($C$7,$AA$7:$AA$45))</f>
        <v>99999999999</v>
      </c>
      <c r="C41" s="114">
        <f>INDEX('Tabl. 1'!$C$8:$AO$313,206+$AB36,MATCH($C$7,$AA$7:$AA$45))</f>
        <v>99999999999</v>
      </c>
      <c r="I41" s="86"/>
      <c r="P41" s="77"/>
      <c r="Q41" s="77"/>
      <c r="R41" s="77"/>
      <c r="S41" s="77"/>
      <c r="T41" s="77"/>
      <c r="U41" s="77"/>
      <c r="V41" s="76"/>
      <c r="W41" s="76"/>
      <c r="X41" s="76"/>
      <c r="Y41" s="76"/>
      <c r="Z41" s="76"/>
      <c r="AA41" s="82">
        <v>2056</v>
      </c>
      <c r="AB41" s="82">
        <v>34</v>
      </c>
      <c r="AC41" s="82"/>
      <c r="AD41" s="87">
        <f t="shared" si="0"/>
        <v>-99999999999</v>
      </c>
      <c r="AE41" s="88">
        <f t="shared" si="1"/>
        <v>99999999999</v>
      </c>
      <c r="AF41" s="82">
        <f t="shared" si="2"/>
        <v>0</v>
      </c>
      <c r="AG41" s="88">
        <f t="shared" si="3"/>
        <v>0</v>
      </c>
      <c r="AH41" s="104"/>
      <c r="AI41" s="104"/>
      <c r="AJ41" s="105"/>
      <c r="AK41" s="105"/>
      <c r="AL41" s="105"/>
      <c r="AM41" s="105"/>
    </row>
    <row r="42" spans="1:39" x14ac:dyDescent="0.25">
      <c r="A42" s="89">
        <v>30</v>
      </c>
      <c r="B42" s="114">
        <f>INDEX('Tabl. 1'!$C$8:$AO$313,104+$AB37,MATCH($C$7,$AA$7:$AA$45))</f>
        <v>99999999999</v>
      </c>
      <c r="C42" s="114">
        <f>INDEX('Tabl. 1'!$C$8:$AO$313,206+$AB37,MATCH($C$7,$AA$7:$AA$45))</f>
        <v>99999999999</v>
      </c>
      <c r="I42" s="86"/>
      <c r="P42" s="77"/>
      <c r="Q42" s="77"/>
      <c r="R42" s="77"/>
      <c r="S42" s="77"/>
      <c r="T42" s="77"/>
      <c r="U42" s="77"/>
      <c r="V42" s="76"/>
      <c r="W42" s="76"/>
      <c r="X42" s="76"/>
      <c r="Y42" s="76"/>
      <c r="Z42" s="76"/>
      <c r="AA42" s="82">
        <v>2057</v>
      </c>
      <c r="AB42" s="82">
        <v>35</v>
      </c>
      <c r="AC42" s="82"/>
      <c r="AD42" s="87">
        <f t="shared" si="0"/>
        <v>-99999999999</v>
      </c>
      <c r="AE42" s="88">
        <f t="shared" si="1"/>
        <v>99999999999</v>
      </c>
      <c r="AF42" s="82">
        <f t="shared" si="2"/>
        <v>0</v>
      </c>
      <c r="AG42" s="88">
        <f t="shared" si="3"/>
        <v>0</v>
      </c>
      <c r="AH42" s="104"/>
      <c r="AI42" s="104"/>
      <c r="AJ42" s="105"/>
      <c r="AK42" s="105"/>
      <c r="AL42" s="105"/>
      <c r="AM42" s="105"/>
    </row>
    <row r="43" spans="1:39" x14ac:dyDescent="0.25">
      <c r="A43" s="89">
        <v>31</v>
      </c>
      <c r="B43" s="114">
        <f>INDEX('Tabl. 1'!$C$8:$AO$313,104+$AB38,MATCH($C$7,$AA$7:$AA$45))</f>
        <v>99999999999</v>
      </c>
      <c r="C43" s="114">
        <f>INDEX('Tabl. 1'!$C$8:$AO$313,206+$AB38,MATCH($C$7,$AA$7:$AA$45))</f>
        <v>99999999999</v>
      </c>
      <c r="I43" s="86"/>
      <c r="P43" s="77"/>
      <c r="Q43" s="77"/>
      <c r="R43" s="77"/>
      <c r="S43" s="77"/>
      <c r="T43" s="77"/>
      <c r="U43" s="77"/>
      <c r="V43" s="76"/>
      <c r="W43" s="76"/>
      <c r="X43" s="76"/>
      <c r="Y43" s="76"/>
      <c r="Z43" s="76"/>
      <c r="AA43" s="82">
        <v>2058</v>
      </c>
      <c r="AB43" s="82">
        <v>36</v>
      </c>
      <c r="AC43" s="82"/>
      <c r="AD43" s="87">
        <f t="shared" si="0"/>
        <v>-99999999999</v>
      </c>
      <c r="AE43" s="88">
        <f t="shared" si="1"/>
        <v>99999999999</v>
      </c>
      <c r="AF43" s="82">
        <f t="shared" si="2"/>
        <v>0</v>
      </c>
      <c r="AG43" s="88">
        <f t="shared" si="3"/>
        <v>0</v>
      </c>
      <c r="AH43" s="104"/>
      <c r="AI43" s="104"/>
      <c r="AJ43" s="105"/>
      <c r="AK43" s="105"/>
      <c r="AL43" s="105"/>
      <c r="AM43" s="105"/>
    </row>
    <row r="44" spans="1:39" x14ac:dyDescent="0.25">
      <c r="A44" s="89">
        <v>32</v>
      </c>
      <c r="B44" s="114">
        <f>INDEX('Tabl. 1'!$C$8:$AO$313,104+$AB39,MATCH($C$7,$AA$7:$AA$45))</f>
        <v>99999999999</v>
      </c>
      <c r="C44" s="114">
        <f>INDEX('Tabl. 1'!$C$8:$AO$313,206+$AB39,MATCH($C$7,$AA$7:$AA$45))</f>
        <v>99999999999</v>
      </c>
      <c r="I44" s="86"/>
      <c r="P44" s="77"/>
      <c r="Q44" s="77"/>
      <c r="R44" s="77"/>
      <c r="S44" s="77"/>
      <c r="T44" s="77"/>
      <c r="U44" s="77"/>
      <c r="V44" s="76"/>
      <c r="W44" s="76"/>
      <c r="X44" s="76"/>
      <c r="Y44" s="76"/>
      <c r="Z44" s="76"/>
      <c r="AA44" s="82">
        <v>2059</v>
      </c>
      <c r="AB44" s="82">
        <v>37</v>
      </c>
      <c r="AC44" s="82"/>
      <c r="AD44" s="87">
        <f t="shared" si="0"/>
        <v>-99999999999</v>
      </c>
      <c r="AE44" s="88">
        <f t="shared" si="1"/>
        <v>99999999999</v>
      </c>
      <c r="AF44" s="82">
        <f t="shared" si="2"/>
        <v>0</v>
      </c>
      <c r="AG44" s="88">
        <f t="shared" si="3"/>
        <v>0</v>
      </c>
      <c r="AH44" s="104"/>
      <c r="AI44" s="104"/>
      <c r="AJ44" s="105"/>
      <c r="AK44" s="105"/>
      <c r="AL44" s="105"/>
      <c r="AM44" s="105"/>
    </row>
    <row r="45" spans="1:39" x14ac:dyDescent="0.25">
      <c r="A45" s="89">
        <v>33</v>
      </c>
      <c r="B45" s="114">
        <f>INDEX('Tabl. 1'!$C$8:$AO$313,104+$AB40,MATCH($C$7,$AA$7:$AA$45))</f>
        <v>99999999999</v>
      </c>
      <c r="C45" s="114">
        <f>INDEX('Tabl. 1'!$C$8:$AO$313,206+$AB40,MATCH($C$7,$AA$7:$AA$45))</f>
        <v>99999999999</v>
      </c>
      <c r="I45" s="86"/>
      <c r="P45" s="77"/>
      <c r="Q45" s="77"/>
      <c r="R45" s="77"/>
      <c r="S45" s="77"/>
      <c r="T45" s="77"/>
      <c r="U45" s="77"/>
      <c r="V45" s="76"/>
      <c r="W45" s="76"/>
      <c r="X45" s="76"/>
      <c r="Y45" s="76"/>
      <c r="Z45" s="76"/>
      <c r="AA45" s="82">
        <v>2060</v>
      </c>
      <c r="AB45" s="82">
        <v>38</v>
      </c>
      <c r="AC45" s="82"/>
      <c r="AD45" s="87">
        <f t="shared" si="0"/>
        <v>-99999999999</v>
      </c>
      <c r="AE45" s="88">
        <f t="shared" si="1"/>
        <v>99999999999</v>
      </c>
      <c r="AF45" s="82">
        <f t="shared" si="2"/>
        <v>0</v>
      </c>
      <c r="AG45" s="88">
        <f t="shared" si="3"/>
        <v>0</v>
      </c>
      <c r="AH45" s="104"/>
      <c r="AI45" s="104"/>
      <c r="AJ45" s="105"/>
      <c r="AK45" s="105"/>
      <c r="AL45" s="105"/>
      <c r="AM45" s="105"/>
    </row>
    <row r="46" spans="1:39" x14ac:dyDescent="0.25">
      <c r="A46" s="89">
        <v>34</v>
      </c>
      <c r="B46" s="114">
        <f>INDEX('Tabl. 1'!$C$8:$AO$313,104+$AB41,MATCH($C$7,$AA$7:$AA$45))</f>
        <v>99999999999</v>
      </c>
      <c r="C46" s="114">
        <f>INDEX('Tabl. 1'!$C$8:$AO$313,206+$AB41,MATCH($C$7,$AA$7:$AA$45))</f>
        <v>99999999999</v>
      </c>
      <c r="I46" s="86"/>
      <c r="P46" s="77"/>
      <c r="Q46" s="77"/>
      <c r="R46" s="77"/>
      <c r="S46" s="77"/>
      <c r="T46" s="77"/>
      <c r="U46" s="77"/>
      <c r="V46" s="76"/>
      <c r="W46" s="76"/>
      <c r="X46" s="76"/>
      <c r="Y46" s="76"/>
      <c r="Z46" s="76"/>
      <c r="AA46" s="82"/>
      <c r="AB46" s="82">
        <v>39</v>
      </c>
      <c r="AC46" s="82"/>
      <c r="AD46" s="87">
        <f t="shared" si="0"/>
        <v>-99999999999</v>
      </c>
      <c r="AE46" s="88">
        <f t="shared" si="1"/>
        <v>99999999999</v>
      </c>
      <c r="AF46" s="82">
        <f t="shared" si="2"/>
        <v>0</v>
      </c>
      <c r="AG46" s="88">
        <f t="shared" si="3"/>
        <v>0</v>
      </c>
      <c r="AH46" s="104"/>
      <c r="AI46" s="104"/>
      <c r="AJ46" s="105"/>
      <c r="AK46" s="105"/>
      <c r="AL46" s="105"/>
      <c r="AM46" s="105"/>
    </row>
    <row r="47" spans="1:39" x14ac:dyDescent="0.25">
      <c r="A47" s="89">
        <v>35</v>
      </c>
      <c r="B47" s="114">
        <f>INDEX('Tabl. 1'!$C$8:$AO$313,104+$AB42,MATCH($C$7,$AA$7:$AA$45))</f>
        <v>99999999999</v>
      </c>
      <c r="C47" s="114">
        <f>INDEX('Tabl. 1'!$C$8:$AO$313,206+$AB42,MATCH($C$7,$AA$7:$AA$45))</f>
        <v>99999999999</v>
      </c>
      <c r="I47" s="86"/>
      <c r="P47" s="77"/>
      <c r="Q47" s="77"/>
      <c r="R47" s="77"/>
      <c r="S47" s="77"/>
      <c r="T47" s="77"/>
      <c r="U47" s="77"/>
      <c r="V47" s="76"/>
      <c r="W47" s="76"/>
      <c r="X47" s="76"/>
      <c r="Y47" s="76"/>
      <c r="Z47" s="76"/>
      <c r="AA47" s="82"/>
      <c r="AB47" s="82">
        <v>40</v>
      </c>
      <c r="AC47" s="82"/>
      <c r="AD47" s="87">
        <f t="shared" si="0"/>
        <v>-99999999999</v>
      </c>
      <c r="AE47" s="88">
        <f t="shared" si="1"/>
        <v>99999999999</v>
      </c>
      <c r="AF47" s="82">
        <f t="shared" si="2"/>
        <v>0</v>
      </c>
      <c r="AG47" s="88">
        <f t="shared" si="3"/>
        <v>0</v>
      </c>
      <c r="AH47" s="104"/>
      <c r="AI47" s="104"/>
      <c r="AJ47" s="105"/>
      <c r="AK47" s="105"/>
      <c r="AL47" s="105"/>
      <c r="AM47" s="105"/>
    </row>
    <row r="48" spans="1:39" x14ac:dyDescent="0.25">
      <c r="A48" s="89">
        <v>36</v>
      </c>
      <c r="B48" s="114">
        <f>INDEX('Tabl. 1'!$C$8:$AO$313,104+$AB43,MATCH($C$7,$AA$7:$AA$45))</f>
        <v>99999999999</v>
      </c>
      <c r="C48" s="114">
        <f>INDEX('Tabl. 1'!$C$8:$AO$313,206+$AB43,MATCH($C$7,$AA$7:$AA$45))</f>
        <v>99999999999</v>
      </c>
      <c r="I48" s="86"/>
      <c r="P48" s="77"/>
      <c r="Q48" s="77"/>
      <c r="R48" s="77"/>
      <c r="S48" s="77"/>
      <c r="T48" s="77"/>
      <c r="U48" s="77"/>
      <c r="V48" s="76"/>
      <c r="W48" s="76"/>
      <c r="X48" s="76"/>
      <c r="Y48" s="76"/>
      <c r="Z48" s="76"/>
      <c r="AA48" s="82"/>
      <c r="AB48" s="82">
        <v>41</v>
      </c>
      <c r="AC48" s="82"/>
      <c r="AD48" s="87">
        <f t="shared" si="0"/>
        <v>-99999999999</v>
      </c>
      <c r="AE48" s="88">
        <f t="shared" si="1"/>
        <v>99999999999</v>
      </c>
      <c r="AF48" s="82">
        <f t="shared" si="2"/>
        <v>0</v>
      </c>
      <c r="AG48" s="88">
        <f t="shared" si="3"/>
        <v>0</v>
      </c>
      <c r="AH48" s="104"/>
      <c r="AI48" s="104"/>
      <c r="AJ48" s="105"/>
      <c r="AK48" s="105"/>
      <c r="AL48" s="105"/>
      <c r="AM48" s="105"/>
    </row>
    <row r="49" spans="1:39" x14ac:dyDescent="0.25">
      <c r="A49" s="89">
        <v>37</v>
      </c>
      <c r="B49" s="114">
        <f>INDEX('Tabl. 1'!$C$8:$AO$313,104+$AB44,MATCH($C$7,$AA$7:$AA$45))</f>
        <v>99999999999</v>
      </c>
      <c r="C49" s="114">
        <f>INDEX('Tabl. 1'!$C$8:$AO$313,206+$AB44,MATCH($C$7,$AA$7:$AA$45))</f>
        <v>99999999999</v>
      </c>
      <c r="I49" s="86"/>
      <c r="P49" s="77"/>
      <c r="Q49" s="77"/>
      <c r="R49" s="77"/>
      <c r="S49" s="77"/>
      <c r="T49" s="77"/>
      <c r="U49" s="77"/>
      <c r="V49" s="76"/>
      <c r="W49" s="76"/>
      <c r="X49" s="76"/>
      <c r="Y49" s="76"/>
      <c r="Z49" s="76"/>
      <c r="AA49" s="82"/>
      <c r="AB49" s="82">
        <v>42</v>
      </c>
      <c r="AC49" s="82"/>
      <c r="AD49" s="87">
        <f t="shared" si="0"/>
        <v>-99999999999</v>
      </c>
      <c r="AE49" s="88">
        <f t="shared" si="1"/>
        <v>99999999999</v>
      </c>
      <c r="AF49" s="82">
        <f t="shared" si="2"/>
        <v>0</v>
      </c>
      <c r="AG49" s="88">
        <f t="shared" si="3"/>
        <v>0</v>
      </c>
      <c r="AH49" s="104"/>
      <c r="AI49" s="104"/>
      <c r="AJ49" s="105"/>
      <c r="AK49" s="105"/>
      <c r="AL49" s="105"/>
      <c r="AM49" s="105"/>
    </row>
    <row r="50" spans="1:39" x14ac:dyDescent="0.25">
      <c r="A50" s="89">
        <v>38</v>
      </c>
      <c r="B50" s="114">
        <f>INDEX('Tabl. 1'!$C$8:$AO$313,104+$AB45,MATCH($C$7,$AA$7:$AA$45))</f>
        <v>99999999999</v>
      </c>
      <c r="C50" s="114">
        <f>INDEX('Tabl. 1'!$C$8:$AO$313,206+$AB45,MATCH($C$7,$AA$7:$AA$45))</f>
        <v>99999999999</v>
      </c>
      <c r="I50" s="86"/>
      <c r="P50" s="77"/>
      <c r="Q50" s="77"/>
      <c r="R50" s="77"/>
      <c r="S50" s="77"/>
      <c r="T50" s="77"/>
      <c r="U50" s="77"/>
      <c r="V50" s="76"/>
      <c r="W50" s="76"/>
      <c r="X50" s="76"/>
      <c r="Y50" s="76"/>
      <c r="Z50" s="76"/>
      <c r="AA50" s="82"/>
      <c r="AB50" s="82">
        <v>43</v>
      </c>
      <c r="AC50" s="82"/>
      <c r="AD50" s="87">
        <f t="shared" si="0"/>
        <v>-99999999999</v>
      </c>
      <c r="AE50" s="88">
        <f t="shared" si="1"/>
        <v>99999999999</v>
      </c>
      <c r="AF50" s="82">
        <f t="shared" si="2"/>
        <v>0</v>
      </c>
      <c r="AG50" s="88">
        <f t="shared" si="3"/>
        <v>0</v>
      </c>
      <c r="AH50" s="104"/>
      <c r="AI50" s="104"/>
      <c r="AJ50" s="105"/>
      <c r="AK50" s="105"/>
      <c r="AL50" s="105"/>
      <c r="AM50" s="105"/>
    </row>
    <row r="51" spans="1:39" x14ac:dyDescent="0.25">
      <c r="A51" s="89">
        <v>39</v>
      </c>
      <c r="B51" s="114">
        <f>INDEX('Tabl. 1'!$C$8:$AO$313,104+$AB46,MATCH($C$7,$AA$7:$AA$45))</f>
        <v>99999999999</v>
      </c>
      <c r="C51" s="114">
        <f>INDEX('Tabl. 1'!$C$8:$AO$313,206+$AB46,MATCH($C$7,$AA$7:$AA$45))</f>
        <v>99999999999</v>
      </c>
      <c r="I51" s="86"/>
      <c r="P51" s="77"/>
      <c r="Q51" s="77"/>
      <c r="R51" s="77"/>
      <c r="S51" s="77"/>
      <c r="T51" s="77"/>
      <c r="U51" s="77"/>
      <c r="V51" s="76"/>
      <c r="W51" s="76"/>
      <c r="X51" s="76"/>
      <c r="Y51" s="76"/>
      <c r="Z51" s="76"/>
      <c r="AA51" s="82"/>
      <c r="AB51" s="82">
        <v>44</v>
      </c>
      <c r="AC51" s="82"/>
      <c r="AD51" s="87">
        <f t="shared" si="0"/>
        <v>-99999999999</v>
      </c>
      <c r="AE51" s="88">
        <f t="shared" si="1"/>
        <v>99999999999</v>
      </c>
      <c r="AF51" s="82">
        <f t="shared" si="2"/>
        <v>0</v>
      </c>
      <c r="AG51" s="88">
        <f t="shared" si="3"/>
        <v>0</v>
      </c>
      <c r="AH51" s="104"/>
      <c r="AI51" s="104"/>
      <c r="AJ51" s="105"/>
      <c r="AK51" s="105"/>
      <c r="AL51" s="105"/>
      <c r="AM51" s="105"/>
    </row>
    <row r="52" spans="1:39" x14ac:dyDescent="0.25">
      <c r="A52" s="89">
        <v>40</v>
      </c>
      <c r="B52" s="114">
        <f>INDEX('Tabl. 1'!$C$8:$AO$313,104+$AB47,MATCH($C$7,$AA$7:$AA$45))</f>
        <v>99999999999</v>
      </c>
      <c r="C52" s="114">
        <f>INDEX('Tabl. 1'!$C$8:$AO$313,206+$AB47,MATCH($C$7,$AA$7:$AA$45))</f>
        <v>99999999999</v>
      </c>
      <c r="I52" s="86"/>
      <c r="P52" s="77"/>
      <c r="Q52" s="77"/>
      <c r="R52" s="77"/>
      <c r="S52" s="77"/>
      <c r="T52" s="77"/>
      <c r="U52" s="77"/>
      <c r="V52" s="76"/>
      <c r="W52" s="76"/>
      <c r="X52" s="76"/>
      <c r="Y52" s="76"/>
      <c r="Z52" s="76"/>
      <c r="AA52" s="82"/>
      <c r="AB52" s="82">
        <v>45</v>
      </c>
      <c r="AC52" s="82"/>
      <c r="AD52" s="87">
        <f t="shared" si="0"/>
        <v>-99999999999</v>
      </c>
      <c r="AE52" s="88">
        <f t="shared" si="1"/>
        <v>99999999999</v>
      </c>
      <c r="AF52" s="82">
        <f t="shared" si="2"/>
        <v>0</v>
      </c>
      <c r="AG52" s="88">
        <f t="shared" si="3"/>
        <v>0</v>
      </c>
      <c r="AH52" s="104"/>
      <c r="AI52" s="104"/>
      <c r="AJ52" s="105"/>
      <c r="AK52" s="105"/>
      <c r="AL52" s="105"/>
      <c r="AM52" s="105"/>
    </row>
    <row r="53" spans="1:39" x14ac:dyDescent="0.25">
      <c r="A53" s="89">
        <v>41</v>
      </c>
      <c r="B53" s="114">
        <f>INDEX('Tabl. 1'!$C$8:$AO$313,104+$AB48,MATCH($C$7,$AA$7:$AA$45))</f>
        <v>99999999999</v>
      </c>
      <c r="C53" s="114">
        <f>INDEX('Tabl. 1'!$C$8:$AO$313,206+$AB48,MATCH($C$7,$AA$7:$AA$45))</f>
        <v>99999999999</v>
      </c>
      <c r="I53" s="86"/>
      <c r="P53" s="77"/>
      <c r="Q53" s="77"/>
      <c r="R53" s="77"/>
      <c r="S53" s="77"/>
      <c r="T53" s="77"/>
      <c r="U53" s="77"/>
      <c r="V53" s="76"/>
      <c r="W53" s="76"/>
      <c r="X53" s="76"/>
      <c r="Y53" s="76"/>
      <c r="Z53" s="76"/>
      <c r="AA53" s="82"/>
      <c r="AB53" s="82">
        <v>46</v>
      </c>
      <c r="AC53" s="82"/>
      <c r="AD53" s="87">
        <f t="shared" si="0"/>
        <v>-99999999999</v>
      </c>
      <c r="AE53" s="88">
        <f t="shared" si="1"/>
        <v>99999999999</v>
      </c>
      <c r="AF53" s="82">
        <f t="shared" si="2"/>
        <v>0</v>
      </c>
      <c r="AG53" s="88">
        <f t="shared" si="3"/>
        <v>0</v>
      </c>
      <c r="AH53" s="104"/>
      <c r="AI53" s="104"/>
      <c r="AJ53" s="105"/>
      <c r="AK53" s="105"/>
      <c r="AL53" s="105"/>
      <c r="AM53" s="105"/>
    </row>
    <row r="54" spans="1:39" x14ac:dyDescent="0.25">
      <c r="A54" s="89">
        <v>42</v>
      </c>
      <c r="B54" s="114">
        <f>INDEX('Tabl. 1'!$C$8:$AO$313,104+$AB49,MATCH($C$7,$AA$7:$AA$45))</f>
        <v>99999999999</v>
      </c>
      <c r="C54" s="114">
        <f>INDEX('Tabl. 1'!$C$8:$AO$313,206+$AB49,MATCH($C$7,$AA$7:$AA$45))</f>
        <v>99999999999</v>
      </c>
      <c r="I54" s="86"/>
      <c r="P54" s="77"/>
      <c r="Q54" s="77"/>
      <c r="R54" s="77"/>
      <c r="S54" s="77"/>
      <c r="T54" s="77"/>
      <c r="U54" s="77"/>
      <c r="V54" s="76"/>
      <c r="W54" s="76"/>
      <c r="X54" s="76"/>
      <c r="Y54" s="76"/>
      <c r="Z54" s="76"/>
      <c r="AA54" s="82"/>
      <c r="AB54" s="82">
        <v>47</v>
      </c>
      <c r="AC54" s="82"/>
      <c r="AD54" s="87">
        <f t="shared" si="0"/>
        <v>-99999999999</v>
      </c>
      <c r="AE54" s="88">
        <f t="shared" si="1"/>
        <v>99999999999</v>
      </c>
      <c r="AF54" s="82">
        <f t="shared" si="2"/>
        <v>0</v>
      </c>
      <c r="AG54" s="88">
        <f t="shared" si="3"/>
        <v>0</v>
      </c>
      <c r="AH54" s="104"/>
      <c r="AI54" s="104"/>
      <c r="AJ54" s="105"/>
      <c r="AK54" s="105"/>
      <c r="AL54" s="105"/>
      <c r="AM54" s="105"/>
    </row>
    <row r="55" spans="1:39" x14ac:dyDescent="0.25">
      <c r="A55" s="89">
        <v>43</v>
      </c>
      <c r="B55" s="114">
        <f>INDEX('Tabl. 1'!$C$8:$AO$313,104+$AB50,MATCH($C$7,$AA$7:$AA$45))</f>
        <v>99999999999</v>
      </c>
      <c r="C55" s="114">
        <f>INDEX('Tabl. 1'!$C$8:$AO$313,206+$AB50,MATCH($C$7,$AA$7:$AA$45))</f>
        <v>99999999999</v>
      </c>
      <c r="I55" s="86"/>
      <c r="P55" s="77"/>
      <c r="Q55" s="77"/>
      <c r="R55" s="77"/>
      <c r="S55" s="77"/>
      <c r="T55" s="77"/>
      <c r="U55" s="77"/>
      <c r="V55" s="76"/>
      <c r="W55" s="76"/>
      <c r="X55" s="76"/>
      <c r="Y55" s="76"/>
      <c r="Z55" s="76"/>
      <c r="AA55" s="82"/>
      <c r="AB55" s="82">
        <v>48</v>
      </c>
      <c r="AC55" s="82"/>
      <c r="AD55" s="87">
        <f t="shared" si="0"/>
        <v>-99999999999</v>
      </c>
      <c r="AE55" s="88">
        <f t="shared" si="1"/>
        <v>99999999999</v>
      </c>
      <c r="AF55" s="82">
        <f t="shared" si="2"/>
        <v>0</v>
      </c>
      <c r="AG55" s="88">
        <f t="shared" si="3"/>
        <v>0</v>
      </c>
      <c r="AH55" s="104"/>
      <c r="AI55" s="104"/>
      <c r="AJ55" s="105"/>
      <c r="AK55" s="105"/>
      <c r="AL55" s="105"/>
      <c r="AM55" s="105"/>
    </row>
    <row r="56" spans="1:39" x14ac:dyDescent="0.25">
      <c r="A56" s="89">
        <v>44</v>
      </c>
      <c r="B56" s="114">
        <f>INDEX('Tabl. 1'!$C$8:$AO$313,104+$AB51,MATCH($C$7,$AA$7:$AA$45))</f>
        <v>99999999999</v>
      </c>
      <c r="C56" s="114">
        <f>INDEX('Tabl. 1'!$C$8:$AO$313,206+$AB51,MATCH($C$7,$AA$7:$AA$45))</f>
        <v>99999999999</v>
      </c>
      <c r="I56" s="86"/>
      <c r="P56" s="77"/>
      <c r="Q56" s="77"/>
      <c r="R56" s="77"/>
      <c r="S56" s="77"/>
      <c r="T56" s="77"/>
      <c r="U56" s="77"/>
      <c r="V56" s="76"/>
      <c r="W56" s="76"/>
      <c r="X56" s="76"/>
      <c r="Y56" s="76"/>
      <c r="Z56" s="76"/>
      <c r="AA56" s="82"/>
      <c r="AB56" s="82">
        <v>49</v>
      </c>
      <c r="AC56" s="82"/>
      <c r="AD56" s="87">
        <f t="shared" si="0"/>
        <v>-99999999999</v>
      </c>
      <c r="AE56" s="88">
        <f t="shared" si="1"/>
        <v>99999999999</v>
      </c>
      <c r="AF56" s="82">
        <f t="shared" si="2"/>
        <v>0</v>
      </c>
      <c r="AG56" s="88">
        <f t="shared" si="3"/>
        <v>0</v>
      </c>
      <c r="AH56" s="104"/>
      <c r="AI56" s="104"/>
      <c r="AJ56" s="105"/>
      <c r="AK56" s="105"/>
      <c r="AL56" s="105"/>
      <c r="AM56" s="105"/>
    </row>
    <row r="57" spans="1:39" x14ac:dyDescent="0.25">
      <c r="A57" s="89">
        <v>45</v>
      </c>
      <c r="B57" s="114">
        <f>INDEX('Tabl. 1'!$C$8:$AO$313,104+$AB52,MATCH($C$7,$AA$7:$AA$45))</f>
        <v>99999999999</v>
      </c>
      <c r="C57" s="114">
        <f>INDEX('Tabl. 1'!$C$8:$AO$313,206+$AB52,MATCH($C$7,$AA$7:$AA$45))</f>
        <v>99999999999</v>
      </c>
      <c r="I57" s="86"/>
      <c r="P57" s="77"/>
      <c r="Q57" s="77"/>
      <c r="R57" s="77"/>
      <c r="S57" s="77"/>
      <c r="T57" s="77"/>
      <c r="U57" s="77"/>
      <c r="V57" s="76"/>
      <c r="W57" s="76"/>
      <c r="X57" s="76"/>
      <c r="Y57" s="76"/>
      <c r="Z57" s="76"/>
      <c r="AA57" s="82"/>
      <c r="AB57" s="82">
        <v>50</v>
      </c>
      <c r="AC57" s="82"/>
      <c r="AD57" s="87">
        <f t="shared" si="0"/>
        <v>-99999999999</v>
      </c>
      <c r="AE57" s="88">
        <f t="shared" si="1"/>
        <v>99999999999</v>
      </c>
      <c r="AF57" s="82">
        <f t="shared" si="2"/>
        <v>0</v>
      </c>
      <c r="AG57" s="88">
        <f t="shared" si="3"/>
        <v>0</v>
      </c>
      <c r="AH57" s="104"/>
      <c r="AI57" s="104"/>
      <c r="AJ57" s="105"/>
      <c r="AK57" s="105"/>
      <c r="AL57" s="105"/>
      <c r="AM57" s="105"/>
    </row>
    <row r="58" spans="1:39" x14ac:dyDescent="0.25">
      <c r="A58" s="89">
        <v>46</v>
      </c>
      <c r="B58" s="114">
        <f>INDEX('Tabl. 1'!$C$8:$AO$313,104+$AB53,MATCH($C$7,$AA$7:$AA$45))</f>
        <v>99999999999</v>
      </c>
      <c r="C58" s="114">
        <f>INDEX('Tabl. 1'!$C$8:$AO$313,206+$AB53,MATCH($C$7,$AA$7:$AA$45))</f>
        <v>99999999999</v>
      </c>
      <c r="I58" s="86"/>
      <c r="P58" s="77"/>
      <c r="Q58" s="77"/>
      <c r="R58" s="77"/>
      <c r="S58" s="77"/>
      <c r="T58" s="77"/>
      <c r="U58" s="77"/>
      <c r="V58" s="76"/>
      <c r="W58" s="76"/>
      <c r="X58" s="76"/>
      <c r="Y58" s="76"/>
      <c r="Z58" s="76"/>
      <c r="AA58" s="82"/>
      <c r="AB58" s="82">
        <v>51</v>
      </c>
      <c r="AC58" s="82"/>
      <c r="AD58" s="87">
        <f t="shared" si="0"/>
        <v>-99999999999</v>
      </c>
      <c r="AE58" s="88">
        <f t="shared" si="1"/>
        <v>99999999999</v>
      </c>
      <c r="AF58" s="82">
        <f t="shared" si="2"/>
        <v>0</v>
      </c>
      <c r="AG58" s="88">
        <f t="shared" si="3"/>
        <v>0</v>
      </c>
      <c r="AH58" s="104"/>
      <c r="AI58" s="104"/>
      <c r="AJ58" s="105"/>
      <c r="AK58" s="105"/>
      <c r="AL58" s="105"/>
      <c r="AM58" s="105"/>
    </row>
    <row r="59" spans="1:39" x14ac:dyDescent="0.25">
      <c r="A59" s="89">
        <v>47</v>
      </c>
      <c r="B59" s="114">
        <f>INDEX('Tabl. 1'!$C$8:$AO$313,104+$AB54,MATCH($C$7,$AA$7:$AA$45))</f>
        <v>99999999999</v>
      </c>
      <c r="C59" s="114">
        <f>INDEX('Tabl. 1'!$C$8:$AO$313,206+$AB54,MATCH($C$7,$AA$7:$AA$45))</f>
        <v>99999999999</v>
      </c>
      <c r="I59" s="86"/>
      <c r="P59" s="77"/>
      <c r="Q59" s="77"/>
      <c r="R59" s="77"/>
      <c r="S59" s="77"/>
      <c r="T59" s="77"/>
      <c r="U59" s="77"/>
      <c r="V59" s="76"/>
      <c r="W59" s="76"/>
      <c r="X59" s="76"/>
      <c r="Y59" s="76"/>
      <c r="Z59" s="76"/>
      <c r="AA59" s="82"/>
      <c r="AB59" s="82">
        <v>52</v>
      </c>
      <c r="AC59" s="82"/>
      <c r="AD59" s="87">
        <f t="shared" si="0"/>
        <v>-99999999999</v>
      </c>
      <c r="AE59" s="88">
        <f t="shared" si="1"/>
        <v>99999999999</v>
      </c>
      <c r="AF59" s="82">
        <f t="shared" si="2"/>
        <v>0</v>
      </c>
      <c r="AG59" s="88">
        <f t="shared" si="3"/>
        <v>0</v>
      </c>
      <c r="AH59" s="104"/>
      <c r="AI59" s="104"/>
      <c r="AJ59" s="105"/>
      <c r="AK59" s="105"/>
      <c r="AL59" s="105"/>
      <c r="AM59" s="105"/>
    </row>
    <row r="60" spans="1:39" x14ac:dyDescent="0.25">
      <c r="A60" s="89">
        <v>48</v>
      </c>
      <c r="B60" s="114">
        <f>INDEX('Tabl. 1'!$C$8:$AO$313,104+$AB55,MATCH($C$7,$AA$7:$AA$45))</f>
        <v>99999999999</v>
      </c>
      <c r="C60" s="114">
        <f>INDEX('Tabl. 1'!$C$8:$AO$313,206+$AB55,MATCH($C$7,$AA$7:$AA$45))</f>
        <v>99999999999</v>
      </c>
      <c r="I60" s="86"/>
      <c r="P60" s="77"/>
      <c r="Q60" s="77"/>
      <c r="R60" s="77"/>
      <c r="S60" s="77"/>
      <c r="T60" s="77"/>
      <c r="U60" s="77"/>
      <c r="V60" s="76"/>
      <c r="W60" s="76"/>
      <c r="X60" s="76"/>
      <c r="Y60" s="76"/>
      <c r="Z60" s="76"/>
      <c r="AA60" s="82"/>
      <c r="AB60" s="82">
        <v>53</v>
      </c>
      <c r="AC60" s="82"/>
      <c r="AD60" s="87">
        <f t="shared" si="0"/>
        <v>-99999999999</v>
      </c>
      <c r="AE60" s="88">
        <f t="shared" si="1"/>
        <v>99999999999</v>
      </c>
      <c r="AF60" s="82">
        <f t="shared" si="2"/>
        <v>0</v>
      </c>
      <c r="AG60" s="88">
        <f t="shared" si="3"/>
        <v>0</v>
      </c>
      <c r="AH60" s="104"/>
      <c r="AI60" s="104"/>
      <c r="AJ60" s="105"/>
      <c r="AK60" s="105"/>
      <c r="AL60" s="105"/>
      <c r="AM60" s="105"/>
    </row>
    <row r="61" spans="1:39" x14ac:dyDescent="0.25">
      <c r="A61" s="89">
        <v>49</v>
      </c>
      <c r="B61" s="114">
        <f>INDEX('Tabl. 1'!$C$8:$AO$313,104+$AB56,MATCH($C$7,$AA$7:$AA$45))</f>
        <v>99999999999</v>
      </c>
      <c r="C61" s="114">
        <f>INDEX('Tabl. 1'!$C$8:$AO$313,206+$AB56,MATCH($C$7,$AA$7:$AA$45))</f>
        <v>99999999999</v>
      </c>
      <c r="I61" s="86"/>
      <c r="P61" s="77"/>
      <c r="Q61" s="77"/>
      <c r="R61" s="77"/>
      <c r="S61" s="77"/>
      <c r="T61" s="77"/>
      <c r="U61" s="77"/>
      <c r="V61" s="76"/>
      <c r="W61" s="76"/>
      <c r="X61" s="76"/>
      <c r="Y61" s="76"/>
      <c r="Z61" s="76"/>
      <c r="AA61" s="82"/>
      <c r="AB61" s="82">
        <v>54</v>
      </c>
      <c r="AC61" s="82"/>
      <c r="AD61" s="87">
        <f t="shared" si="0"/>
        <v>-99999999999</v>
      </c>
      <c r="AE61" s="88">
        <f t="shared" si="1"/>
        <v>99999999999</v>
      </c>
      <c r="AF61" s="82">
        <f t="shared" si="2"/>
        <v>0</v>
      </c>
      <c r="AG61" s="88">
        <f t="shared" si="3"/>
        <v>0</v>
      </c>
      <c r="AH61" s="104"/>
      <c r="AI61" s="104"/>
      <c r="AJ61" s="105"/>
      <c r="AK61" s="105"/>
      <c r="AL61" s="105"/>
      <c r="AM61" s="105"/>
    </row>
    <row r="62" spans="1:39" x14ac:dyDescent="0.25">
      <c r="A62" s="89">
        <v>50</v>
      </c>
      <c r="B62" s="114">
        <f>INDEX('Tabl. 1'!$C$8:$AO$313,104+$AB57,MATCH($C$7,$AA$7:$AA$45))</f>
        <v>99999999999</v>
      </c>
      <c r="C62" s="114">
        <f>INDEX('Tabl. 1'!$C$8:$AO$313,206+$AB57,MATCH($C$7,$AA$7:$AA$45))</f>
        <v>99999999999</v>
      </c>
      <c r="I62" s="86"/>
      <c r="P62" s="77"/>
      <c r="Q62" s="77"/>
      <c r="R62" s="77"/>
      <c r="S62" s="77"/>
      <c r="T62" s="77"/>
      <c r="U62" s="77"/>
      <c r="V62" s="76"/>
      <c r="W62" s="76"/>
      <c r="X62" s="76"/>
      <c r="Y62" s="76"/>
      <c r="Z62" s="76"/>
      <c r="AA62" s="82"/>
      <c r="AB62" s="82">
        <v>55</v>
      </c>
      <c r="AC62" s="82"/>
      <c r="AD62" s="87">
        <f t="shared" si="0"/>
        <v>-99999999999</v>
      </c>
      <c r="AE62" s="88">
        <f t="shared" si="1"/>
        <v>99999999999</v>
      </c>
      <c r="AF62" s="82">
        <f t="shared" si="2"/>
        <v>0</v>
      </c>
      <c r="AG62" s="88">
        <f t="shared" si="3"/>
        <v>0</v>
      </c>
      <c r="AH62" s="104"/>
      <c r="AI62" s="104"/>
      <c r="AJ62" s="105"/>
      <c r="AK62" s="105"/>
      <c r="AL62" s="105"/>
      <c r="AM62" s="105"/>
    </row>
    <row r="63" spans="1:39" x14ac:dyDescent="0.25">
      <c r="A63" s="89">
        <v>51</v>
      </c>
      <c r="B63" s="114">
        <f>INDEX('Tabl. 1'!$C$8:$AO$313,104+$AB58,MATCH($C$7,$AA$7:$AA$45))</f>
        <v>99999999999</v>
      </c>
      <c r="C63" s="114">
        <f>INDEX('Tabl. 1'!$C$8:$AO$313,206+$AB58,MATCH($C$7,$AA$7:$AA$45))</f>
        <v>99999999999</v>
      </c>
      <c r="I63" s="86"/>
      <c r="P63" s="77"/>
      <c r="Q63" s="77"/>
      <c r="R63" s="77"/>
      <c r="S63" s="77"/>
      <c r="T63" s="77"/>
      <c r="U63" s="77"/>
      <c r="V63" s="76"/>
      <c r="W63" s="76"/>
      <c r="X63" s="76"/>
      <c r="Y63" s="76"/>
      <c r="Z63" s="76"/>
      <c r="AA63" s="82"/>
      <c r="AB63" s="82">
        <v>56</v>
      </c>
      <c r="AC63" s="82"/>
      <c r="AD63" s="87">
        <f t="shared" si="0"/>
        <v>-99999999999</v>
      </c>
      <c r="AE63" s="88">
        <f t="shared" si="1"/>
        <v>99999999999</v>
      </c>
      <c r="AF63" s="82">
        <f t="shared" si="2"/>
        <v>0</v>
      </c>
      <c r="AG63" s="88">
        <f t="shared" si="3"/>
        <v>0</v>
      </c>
      <c r="AH63" s="104"/>
      <c r="AI63" s="104"/>
      <c r="AJ63" s="105"/>
      <c r="AK63" s="105"/>
      <c r="AL63" s="105"/>
      <c r="AM63" s="105"/>
    </row>
    <row r="64" spans="1:39" x14ac:dyDescent="0.25">
      <c r="A64" s="89">
        <v>52</v>
      </c>
      <c r="B64" s="114">
        <f>INDEX('Tabl. 1'!$C$8:$AO$313,104+$AB59,MATCH($C$7,$AA$7:$AA$45))</f>
        <v>99999999999</v>
      </c>
      <c r="C64" s="114">
        <f>INDEX('Tabl. 1'!$C$8:$AO$313,206+$AB59,MATCH($C$7,$AA$7:$AA$45))</f>
        <v>99999999999</v>
      </c>
      <c r="I64" s="86"/>
      <c r="P64" s="77"/>
      <c r="Q64" s="77"/>
      <c r="R64" s="77"/>
      <c r="S64" s="77"/>
      <c r="T64" s="77"/>
      <c r="U64" s="77"/>
      <c r="V64" s="76"/>
      <c r="W64" s="76"/>
      <c r="X64" s="76"/>
      <c r="Y64" s="76"/>
      <c r="Z64" s="76"/>
      <c r="AA64" s="82"/>
      <c r="AB64" s="82">
        <v>57</v>
      </c>
      <c r="AC64" s="82"/>
      <c r="AD64" s="87">
        <f t="shared" si="0"/>
        <v>-99999999999</v>
      </c>
      <c r="AE64" s="88">
        <f t="shared" si="1"/>
        <v>99999999999</v>
      </c>
      <c r="AF64" s="82">
        <f t="shared" si="2"/>
        <v>0</v>
      </c>
      <c r="AG64" s="88">
        <f t="shared" si="3"/>
        <v>0</v>
      </c>
      <c r="AH64" s="104"/>
      <c r="AI64" s="104"/>
      <c r="AJ64" s="105"/>
      <c r="AK64" s="105"/>
      <c r="AL64" s="105"/>
      <c r="AM64" s="105"/>
    </row>
    <row r="65" spans="1:39" x14ac:dyDescent="0.25">
      <c r="A65" s="89">
        <v>53</v>
      </c>
      <c r="B65" s="114">
        <f>INDEX('Tabl. 1'!$C$8:$AO$313,104+$AB60,MATCH($C$7,$AA$7:$AA$45))</f>
        <v>99999999999</v>
      </c>
      <c r="C65" s="114">
        <f>INDEX('Tabl. 1'!$C$8:$AO$313,206+$AB60,MATCH($C$7,$AA$7:$AA$45))</f>
        <v>99999999999</v>
      </c>
      <c r="I65" s="86"/>
      <c r="P65" s="77"/>
      <c r="Q65" s="77"/>
      <c r="R65" s="77"/>
      <c r="S65" s="77"/>
      <c r="T65" s="77"/>
      <c r="U65" s="77"/>
      <c r="V65" s="76"/>
      <c r="W65" s="76"/>
      <c r="X65" s="76"/>
      <c r="Y65" s="76"/>
      <c r="Z65" s="76"/>
      <c r="AA65" s="82"/>
      <c r="AB65" s="82">
        <v>58</v>
      </c>
      <c r="AC65" s="82"/>
      <c r="AD65" s="87">
        <f t="shared" si="0"/>
        <v>-99999999999</v>
      </c>
      <c r="AE65" s="88">
        <f t="shared" si="1"/>
        <v>99999999999</v>
      </c>
      <c r="AF65" s="82">
        <f t="shared" si="2"/>
        <v>0</v>
      </c>
      <c r="AG65" s="88">
        <f t="shared" si="3"/>
        <v>0</v>
      </c>
      <c r="AH65" s="104"/>
      <c r="AI65" s="104"/>
      <c r="AJ65" s="105"/>
      <c r="AK65" s="105"/>
      <c r="AL65" s="105"/>
      <c r="AM65" s="105"/>
    </row>
    <row r="66" spans="1:39" x14ac:dyDescent="0.25">
      <c r="A66" s="89">
        <v>54</v>
      </c>
      <c r="B66" s="114">
        <f>INDEX('Tabl. 1'!$C$8:$AO$313,104+$AB61,MATCH($C$7,$AA$7:$AA$45))</f>
        <v>99999999999</v>
      </c>
      <c r="C66" s="114">
        <f>INDEX('Tabl. 1'!$C$8:$AO$313,206+$AB61,MATCH($C$7,$AA$7:$AA$45))</f>
        <v>99999999999</v>
      </c>
      <c r="I66" s="86"/>
      <c r="P66" s="77"/>
      <c r="Q66" s="77"/>
      <c r="R66" s="77"/>
      <c r="S66" s="77"/>
      <c r="T66" s="77"/>
      <c r="U66" s="77"/>
      <c r="V66" s="76"/>
      <c r="W66" s="76"/>
      <c r="X66" s="76"/>
      <c r="Y66" s="76"/>
      <c r="Z66" s="76"/>
      <c r="AA66" s="82"/>
      <c r="AB66" s="82">
        <v>59</v>
      </c>
      <c r="AC66" s="82"/>
      <c r="AD66" s="87">
        <f t="shared" si="0"/>
        <v>-99999999999</v>
      </c>
      <c r="AE66" s="88">
        <f t="shared" si="1"/>
        <v>99999999999</v>
      </c>
      <c r="AF66" s="82">
        <f t="shared" si="2"/>
        <v>0</v>
      </c>
      <c r="AG66" s="88">
        <f t="shared" si="3"/>
        <v>0</v>
      </c>
      <c r="AH66" s="104"/>
      <c r="AI66" s="104"/>
      <c r="AJ66" s="105"/>
      <c r="AK66" s="105"/>
      <c r="AL66" s="105"/>
      <c r="AM66" s="105"/>
    </row>
    <row r="67" spans="1:39" x14ac:dyDescent="0.25">
      <c r="A67" s="89">
        <v>55</v>
      </c>
      <c r="B67" s="114">
        <f>INDEX('Tabl. 1'!$C$8:$AO$313,104+$AB62,MATCH($C$7,$AA$7:$AA$45))</f>
        <v>99999999999</v>
      </c>
      <c r="C67" s="114">
        <f>INDEX('Tabl. 1'!$C$8:$AO$313,206+$AB62,MATCH($C$7,$AA$7:$AA$45))</f>
        <v>99999999999</v>
      </c>
      <c r="I67" s="86"/>
      <c r="P67" s="77"/>
      <c r="Q67" s="77"/>
      <c r="R67" s="77"/>
      <c r="S67" s="77"/>
      <c r="T67" s="77"/>
      <c r="U67" s="77"/>
      <c r="V67" s="76"/>
      <c r="W67" s="76"/>
      <c r="X67" s="76"/>
      <c r="Y67" s="76"/>
      <c r="Z67" s="76"/>
      <c r="AA67" s="82"/>
      <c r="AB67" s="82">
        <v>60</v>
      </c>
      <c r="AC67" s="82"/>
      <c r="AD67" s="87">
        <f t="shared" si="0"/>
        <v>-99999999999</v>
      </c>
      <c r="AE67" s="88">
        <f t="shared" si="1"/>
        <v>99999999999</v>
      </c>
      <c r="AF67" s="82">
        <f t="shared" si="2"/>
        <v>0</v>
      </c>
      <c r="AG67" s="88">
        <f t="shared" si="3"/>
        <v>0</v>
      </c>
      <c r="AH67" s="104"/>
      <c r="AI67" s="104"/>
      <c r="AJ67" s="105"/>
      <c r="AK67" s="105"/>
      <c r="AL67" s="105"/>
      <c r="AM67" s="105"/>
    </row>
    <row r="68" spans="1:39" x14ac:dyDescent="0.25">
      <c r="A68" s="89">
        <v>56</v>
      </c>
      <c r="B68" s="114">
        <f>INDEX('Tabl. 1'!$C$8:$AO$313,104+$AB63,MATCH($C$7,$AA$7:$AA$45))</f>
        <v>99999999999</v>
      </c>
      <c r="C68" s="114">
        <f>INDEX('Tabl. 1'!$C$8:$AO$313,206+$AB63,MATCH($C$7,$AA$7:$AA$45))</f>
        <v>99999999999</v>
      </c>
      <c r="I68" s="86"/>
      <c r="P68" s="77"/>
      <c r="Q68" s="77"/>
      <c r="R68" s="77"/>
      <c r="S68" s="77"/>
      <c r="T68" s="77"/>
      <c r="U68" s="77"/>
      <c r="V68" s="76"/>
      <c r="W68" s="76"/>
      <c r="X68" s="76"/>
      <c r="Y68" s="76"/>
      <c r="Z68" s="76"/>
      <c r="AA68" s="82"/>
      <c r="AB68" s="82">
        <v>61</v>
      </c>
      <c r="AC68" s="82"/>
      <c r="AD68" s="87">
        <f t="shared" si="0"/>
        <v>-99999999999</v>
      </c>
      <c r="AE68" s="88">
        <f t="shared" si="1"/>
        <v>99999999999</v>
      </c>
      <c r="AF68" s="82">
        <f t="shared" si="2"/>
        <v>0</v>
      </c>
      <c r="AG68" s="88">
        <f t="shared" si="3"/>
        <v>0</v>
      </c>
      <c r="AH68" s="104"/>
      <c r="AI68" s="104"/>
      <c r="AJ68" s="105"/>
      <c r="AK68" s="105"/>
      <c r="AL68" s="105"/>
      <c r="AM68" s="105"/>
    </row>
    <row r="69" spans="1:39" x14ac:dyDescent="0.25">
      <c r="A69" s="89">
        <v>57</v>
      </c>
      <c r="B69" s="114">
        <f>INDEX('Tabl. 1'!$C$8:$AO$313,104+$AB64,MATCH($C$7,$AA$7:$AA$45))</f>
        <v>99999999999</v>
      </c>
      <c r="C69" s="114">
        <f>INDEX('Tabl. 1'!$C$8:$AO$313,206+$AB64,MATCH($C$7,$AA$7:$AA$45))</f>
        <v>99999999999</v>
      </c>
      <c r="I69" s="86"/>
      <c r="P69" s="77"/>
      <c r="Q69" s="77"/>
      <c r="R69" s="77"/>
      <c r="S69" s="77"/>
      <c r="T69" s="77"/>
      <c r="U69" s="77"/>
      <c r="V69" s="76"/>
      <c r="W69" s="76"/>
      <c r="X69" s="76"/>
      <c r="Y69" s="76"/>
      <c r="Z69" s="76"/>
      <c r="AA69" s="82"/>
      <c r="AB69" s="82">
        <v>62</v>
      </c>
      <c r="AC69" s="82"/>
      <c r="AD69" s="87">
        <f t="shared" si="0"/>
        <v>-99999999999</v>
      </c>
      <c r="AE69" s="88">
        <f t="shared" si="1"/>
        <v>99999999999</v>
      </c>
      <c r="AF69" s="82">
        <f t="shared" si="2"/>
        <v>0</v>
      </c>
      <c r="AG69" s="88">
        <f t="shared" si="3"/>
        <v>0</v>
      </c>
      <c r="AH69" s="104"/>
      <c r="AI69" s="104"/>
      <c r="AJ69" s="105"/>
      <c r="AK69" s="105"/>
      <c r="AL69" s="105"/>
      <c r="AM69" s="105"/>
    </row>
    <row r="70" spans="1:39" x14ac:dyDescent="0.25">
      <c r="A70" s="89">
        <v>58</v>
      </c>
      <c r="B70" s="114">
        <f>INDEX('Tabl. 1'!$C$8:$AO$313,104+$AB65,MATCH($C$7,$AA$7:$AA$45))</f>
        <v>99999999999</v>
      </c>
      <c r="C70" s="114">
        <f>INDEX('Tabl. 1'!$C$8:$AO$313,206+$AB65,MATCH($C$7,$AA$7:$AA$45))</f>
        <v>99999999999</v>
      </c>
      <c r="I70" s="86"/>
      <c r="P70" s="77"/>
      <c r="Q70" s="77"/>
      <c r="R70" s="77"/>
      <c r="S70" s="77"/>
      <c r="T70" s="77"/>
      <c r="U70" s="77"/>
      <c r="V70" s="76"/>
      <c r="W70" s="76"/>
      <c r="X70" s="76"/>
      <c r="Y70" s="76"/>
      <c r="Z70" s="76"/>
      <c r="AA70" s="82"/>
      <c r="AB70" s="82">
        <v>63</v>
      </c>
      <c r="AC70" s="82"/>
      <c r="AD70" s="87">
        <f t="shared" si="0"/>
        <v>-99999999999</v>
      </c>
      <c r="AE70" s="88">
        <f t="shared" si="1"/>
        <v>99999999999</v>
      </c>
      <c r="AF70" s="82">
        <f t="shared" si="2"/>
        <v>0</v>
      </c>
      <c r="AG70" s="88">
        <f t="shared" si="3"/>
        <v>0</v>
      </c>
      <c r="AH70" s="104"/>
      <c r="AI70" s="104"/>
      <c r="AJ70" s="105"/>
      <c r="AK70" s="105"/>
      <c r="AL70" s="105"/>
      <c r="AM70" s="105"/>
    </row>
    <row r="71" spans="1:39" x14ac:dyDescent="0.25">
      <c r="A71" s="89">
        <v>59</v>
      </c>
      <c r="B71" s="114">
        <f>INDEX('Tabl. 1'!$C$8:$AO$313,104+$AB66,MATCH($C$7,$AA$7:$AA$45))</f>
        <v>99999999999</v>
      </c>
      <c r="C71" s="114">
        <f>INDEX('Tabl. 1'!$C$8:$AO$313,206+$AB66,MATCH($C$7,$AA$7:$AA$45))</f>
        <v>99999999999</v>
      </c>
      <c r="I71" s="86"/>
      <c r="P71" s="77"/>
      <c r="Q71" s="77"/>
      <c r="R71" s="77"/>
      <c r="S71" s="77"/>
      <c r="T71" s="77"/>
      <c r="U71" s="77"/>
      <c r="V71" s="76"/>
      <c r="W71" s="76"/>
      <c r="X71" s="76"/>
      <c r="Y71" s="76"/>
      <c r="Z71" s="76"/>
      <c r="AA71" s="82"/>
      <c r="AB71" s="82">
        <v>64</v>
      </c>
      <c r="AC71" s="82"/>
      <c r="AD71" s="87">
        <f t="shared" si="0"/>
        <v>-99999999999</v>
      </c>
      <c r="AE71" s="88">
        <f t="shared" si="1"/>
        <v>99999999999</v>
      </c>
      <c r="AF71" s="82">
        <f t="shared" si="2"/>
        <v>0</v>
      </c>
      <c r="AG71" s="88">
        <f t="shared" si="3"/>
        <v>0</v>
      </c>
      <c r="AH71" s="104"/>
      <c r="AI71" s="104"/>
      <c r="AJ71" s="105"/>
      <c r="AK71" s="105"/>
      <c r="AL71" s="105"/>
      <c r="AM71" s="105"/>
    </row>
    <row r="72" spans="1:39" x14ac:dyDescent="0.25">
      <c r="A72" s="89">
        <v>60</v>
      </c>
      <c r="B72" s="114">
        <f>INDEX('Tabl. 1'!$C$8:$AO$313,104+$AB67,MATCH($C$7,$AA$7:$AA$45))</f>
        <v>99999999999</v>
      </c>
      <c r="C72" s="114">
        <f>INDEX('Tabl. 1'!$C$8:$AO$313,206+$AB67,MATCH($C$7,$AA$7:$AA$45))</f>
        <v>99999999999</v>
      </c>
      <c r="I72" s="86"/>
      <c r="P72" s="77"/>
      <c r="Q72" s="77"/>
      <c r="R72" s="77"/>
      <c r="S72" s="77"/>
      <c r="T72" s="77"/>
      <c r="U72" s="77"/>
      <c r="V72" s="76"/>
      <c r="W72" s="76"/>
      <c r="X72" s="76"/>
      <c r="Y72" s="76"/>
      <c r="Z72" s="76"/>
      <c r="AA72" s="82"/>
      <c r="AB72" s="82">
        <v>65</v>
      </c>
      <c r="AC72" s="82"/>
      <c r="AD72" s="87">
        <f t="shared" si="0"/>
        <v>-99999999999</v>
      </c>
      <c r="AE72" s="88">
        <f t="shared" si="1"/>
        <v>99999999999</v>
      </c>
      <c r="AF72" s="82">
        <f t="shared" si="2"/>
        <v>0</v>
      </c>
      <c r="AG72" s="88">
        <f t="shared" si="3"/>
        <v>0</v>
      </c>
      <c r="AH72" s="104"/>
      <c r="AI72" s="104"/>
      <c r="AJ72" s="105"/>
      <c r="AK72" s="105"/>
      <c r="AL72" s="105"/>
      <c r="AM72" s="105"/>
    </row>
    <row r="73" spans="1:39" x14ac:dyDescent="0.25">
      <c r="A73" s="89">
        <v>61</v>
      </c>
      <c r="B73" s="114">
        <f>INDEX('Tabl. 1'!$C$8:$AO$313,104+$AB68,MATCH($C$7,$AA$7:$AA$45))</f>
        <v>99999999999</v>
      </c>
      <c r="C73" s="114">
        <f>INDEX('Tabl. 1'!$C$8:$AO$313,206+$AB68,MATCH($C$7,$AA$7:$AA$45))</f>
        <v>99999999999</v>
      </c>
      <c r="I73" s="86"/>
      <c r="P73" s="77"/>
      <c r="Q73" s="77"/>
      <c r="R73" s="77"/>
      <c r="S73" s="77"/>
      <c r="T73" s="77"/>
      <c r="U73" s="77"/>
      <c r="V73" s="76"/>
      <c r="W73" s="76"/>
      <c r="X73" s="76"/>
      <c r="Y73" s="76"/>
      <c r="Z73" s="76"/>
      <c r="AA73" s="82"/>
      <c r="AB73" s="82">
        <v>66</v>
      </c>
      <c r="AC73" s="82"/>
      <c r="AD73" s="87">
        <f t="shared" si="0"/>
        <v>-99999999999</v>
      </c>
      <c r="AE73" s="88">
        <f t="shared" si="1"/>
        <v>99999999999</v>
      </c>
      <c r="AF73" s="82">
        <f t="shared" si="2"/>
        <v>0</v>
      </c>
      <c r="AG73" s="88">
        <f t="shared" si="3"/>
        <v>0</v>
      </c>
      <c r="AH73" s="104"/>
      <c r="AI73" s="104"/>
      <c r="AJ73" s="105"/>
      <c r="AK73" s="105"/>
      <c r="AL73" s="105"/>
      <c r="AM73" s="105"/>
    </row>
    <row r="74" spans="1:39" x14ac:dyDescent="0.25">
      <c r="A74" s="89">
        <v>62</v>
      </c>
      <c r="B74" s="114">
        <f>INDEX('Tabl. 1'!$C$8:$AO$313,104+$AB69,MATCH($C$7,$AA$7:$AA$45))</f>
        <v>99999999999</v>
      </c>
      <c r="C74" s="114">
        <f>INDEX('Tabl. 1'!$C$8:$AO$313,206+$AB69,MATCH($C$7,$AA$7:$AA$45))</f>
        <v>99999999999</v>
      </c>
      <c r="I74" s="86"/>
      <c r="P74" s="77"/>
      <c r="Q74" s="77"/>
      <c r="R74" s="77"/>
      <c r="S74" s="77"/>
      <c r="T74" s="77"/>
      <c r="U74" s="77"/>
      <c r="V74" s="76"/>
      <c r="W74" s="76"/>
      <c r="X74" s="76"/>
      <c r="Y74" s="76"/>
      <c r="Z74" s="76"/>
      <c r="AA74" s="82"/>
      <c r="AB74" s="82">
        <v>67</v>
      </c>
      <c r="AC74" s="82"/>
      <c r="AD74" s="87">
        <f t="shared" ref="AD74:AD108" si="4">(-1*B78)-AF74</f>
        <v>-99999999999</v>
      </c>
      <c r="AE74" s="88">
        <f t="shared" ref="AE74:AE108" si="5">C78-AG74</f>
        <v>99999999999</v>
      </c>
      <c r="AF74" s="82">
        <f t="shared" ref="AF74:AF109" si="6">IF(B78&gt;C78,-1*(B78-C78),0)</f>
        <v>0</v>
      </c>
      <c r="AG74" s="88">
        <f t="shared" ref="AG74:AG109" si="7">IF(C78&gt;B78,C78-B78,0)</f>
        <v>0</v>
      </c>
      <c r="AH74" s="104"/>
      <c r="AI74" s="104"/>
      <c r="AJ74" s="105"/>
      <c r="AK74" s="105"/>
      <c r="AL74" s="105"/>
      <c r="AM74" s="105"/>
    </row>
    <row r="75" spans="1:39" x14ac:dyDescent="0.25">
      <c r="A75" s="89">
        <v>63</v>
      </c>
      <c r="B75" s="114">
        <f>INDEX('Tabl. 1'!$C$8:$AO$313,104+$AB70,MATCH($C$7,$AA$7:$AA$45))</f>
        <v>99999999999</v>
      </c>
      <c r="C75" s="114">
        <f>INDEX('Tabl. 1'!$C$8:$AO$313,206+$AB70,MATCH($C$7,$AA$7:$AA$45))</f>
        <v>99999999999</v>
      </c>
      <c r="I75" s="86"/>
      <c r="P75" s="77"/>
      <c r="Q75" s="77"/>
      <c r="R75" s="77"/>
      <c r="S75" s="77"/>
      <c r="T75" s="77"/>
      <c r="U75" s="77"/>
      <c r="V75" s="76"/>
      <c r="W75" s="76"/>
      <c r="X75" s="76"/>
      <c r="Y75" s="76"/>
      <c r="Z75" s="76"/>
      <c r="AA75" s="82"/>
      <c r="AB75" s="82">
        <v>68</v>
      </c>
      <c r="AC75" s="82"/>
      <c r="AD75" s="87">
        <f t="shared" si="4"/>
        <v>-99999999999</v>
      </c>
      <c r="AE75" s="88">
        <f t="shared" si="5"/>
        <v>99999999999</v>
      </c>
      <c r="AF75" s="82">
        <f t="shared" si="6"/>
        <v>0</v>
      </c>
      <c r="AG75" s="88">
        <f t="shared" si="7"/>
        <v>0</v>
      </c>
      <c r="AH75" s="104"/>
      <c r="AI75" s="104"/>
      <c r="AJ75" s="105"/>
      <c r="AK75" s="105"/>
      <c r="AL75" s="105"/>
      <c r="AM75" s="105"/>
    </row>
    <row r="76" spans="1:39" x14ac:dyDescent="0.25">
      <c r="A76" s="89">
        <v>64</v>
      </c>
      <c r="B76" s="114">
        <f>INDEX('Tabl. 1'!$C$8:$AO$313,104+$AB71,MATCH($C$7,$AA$7:$AA$45))</f>
        <v>99999999999</v>
      </c>
      <c r="C76" s="114">
        <f>INDEX('Tabl. 1'!$C$8:$AO$313,206+$AB71,MATCH($C$7,$AA$7:$AA$45))</f>
        <v>99999999999</v>
      </c>
      <c r="I76" s="86"/>
      <c r="P76" s="77"/>
      <c r="Q76" s="77"/>
      <c r="R76" s="77"/>
      <c r="S76" s="77"/>
      <c r="T76" s="77"/>
      <c r="U76" s="77"/>
      <c r="V76" s="76"/>
      <c r="W76" s="76"/>
      <c r="X76" s="76"/>
      <c r="Y76" s="76"/>
      <c r="Z76" s="76"/>
      <c r="AA76" s="82"/>
      <c r="AB76" s="82">
        <v>69</v>
      </c>
      <c r="AC76" s="82"/>
      <c r="AD76" s="87">
        <f t="shared" si="4"/>
        <v>-99999999999</v>
      </c>
      <c r="AE76" s="88">
        <f t="shared" si="5"/>
        <v>99999999999</v>
      </c>
      <c r="AF76" s="82">
        <f t="shared" si="6"/>
        <v>0</v>
      </c>
      <c r="AG76" s="88">
        <f t="shared" si="7"/>
        <v>0</v>
      </c>
      <c r="AH76" s="104"/>
      <c r="AI76" s="104"/>
      <c r="AJ76" s="105"/>
      <c r="AK76" s="105"/>
      <c r="AL76" s="105"/>
      <c r="AM76" s="105"/>
    </row>
    <row r="77" spans="1:39" x14ac:dyDescent="0.25">
      <c r="A77" s="89">
        <v>65</v>
      </c>
      <c r="B77" s="114">
        <f>INDEX('Tabl. 1'!$C$8:$AO$313,104+$AB72,MATCH($C$7,$AA$7:$AA$45))</f>
        <v>99999999999</v>
      </c>
      <c r="C77" s="114">
        <f>INDEX('Tabl. 1'!$C$8:$AO$313,206+$AB72,MATCH($C$7,$AA$7:$AA$45))</f>
        <v>99999999999</v>
      </c>
      <c r="I77" s="86"/>
      <c r="P77" s="77"/>
      <c r="Q77" s="77"/>
      <c r="R77" s="77"/>
      <c r="S77" s="77"/>
      <c r="T77" s="77"/>
      <c r="U77" s="77"/>
      <c r="V77" s="76"/>
      <c r="W77" s="76"/>
      <c r="X77" s="76"/>
      <c r="Y77" s="76"/>
      <c r="Z77" s="76"/>
      <c r="AA77" s="82"/>
      <c r="AB77" s="82">
        <v>70</v>
      </c>
      <c r="AC77" s="82"/>
      <c r="AD77" s="87">
        <f t="shared" si="4"/>
        <v>-99999999999</v>
      </c>
      <c r="AE77" s="88">
        <f t="shared" si="5"/>
        <v>99999999999</v>
      </c>
      <c r="AF77" s="82">
        <f t="shared" si="6"/>
        <v>0</v>
      </c>
      <c r="AG77" s="88">
        <f t="shared" si="7"/>
        <v>0</v>
      </c>
      <c r="AH77" s="104"/>
      <c r="AI77" s="104"/>
      <c r="AJ77" s="105"/>
      <c r="AK77" s="105"/>
      <c r="AL77" s="105"/>
      <c r="AM77" s="105"/>
    </row>
    <row r="78" spans="1:39" x14ac:dyDescent="0.25">
      <c r="A78" s="89">
        <v>66</v>
      </c>
      <c r="B78" s="114">
        <f>INDEX('Tabl. 1'!$C$8:$AO$313,104+$AB73,MATCH($C$7,$AA$7:$AA$45))</f>
        <v>99999999999</v>
      </c>
      <c r="C78" s="114">
        <f>INDEX('Tabl. 1'!$C$8:$AO$313,206+$AB73,MATCH($C$7,$AA$7:$AA$45))</f>
        <v>99999999999</v>
      </c>
      <c r="I78" s="86"/>
      <c r="P78" s="77"/>
      <c r="Q78" s="77"/>
      <c r="R78" s="77"/>
      <c r="S78" s="77"/>
      <c r="T78" s="77"/>
      <c r="U78" s="77"/>
      <c r="V78" s="76"/>
      <c r="W78" s="76"/>
      <c r="X78" s="76"/>
      <c r="Y78" s="76"/>
      <c r="Z78" s="76"/>
      <c r="AA78" s="82"/>
      <c r="AB78" s="82">
        <v>71</v>
      </c>
      <c r="AC78" s="82"/>
      <c r="AD78" s="87">
        <f t="shared" si="4"/>
        <v>-99999999999</v>
      </c>
      <c r="AE78" s="88">
        <f t="shared" si="5"/>
        <v>99999999999</v>
      </c>
      <c r="AF78" s="82">
        <f t="shared" si="6"/>
        <v>0</v>
      </c>
      <c r="AG78" s="88">
        <f t="shared" si="7"/>
        <v>0</v>
      </c>
      <c r="AH78" s="104"/>
      <c r="AI78" s="104"/>
      <c r="AJ78" s="105"/>
      <c r="AK78" s="105"/>
      <c r="AL78" s="105"/>
      <c r="AM78" s="105"/>
    </row>
    <row r="79" spans="1:39" x14ac:dyDescent="0.25">
      <c r="A79" s="89">
        <v>67</v>
      </c>
      <c r="B79" s="114">
        <f>INDEX('Tabl. 1'!$C$8:$AO$313,104+$AB74,MATCH($C$7,$AA$7:$AA$45))</f>
        <v>99999999999</v>
      </c>
      <c r="C79" s="114">
        <f>INDEX('Tabl. 1'!$C$8:$AO$313,206+$AB74,MATCH($C$7,$AA$7:$AA$45))</f>
        <v>99999999999</v>
      </c>
      <c r="I79" s="86"/>
      <c r="P79" s="77"/>
      <c r="Q79" s="77"/>
      <c r="R79" s="77"/>
      <c r="S79" s="77"/>
      <c r="T79" s="77"/>
      <c r="U79" s="77"/>
      <c r="V79" s="76"/>
      <c r="W79" s="76"/>
      <c r="X79" s="76"/>
      <c r="Y79" s="76"/>
      <c r="Z79" s="76"/>
      <c r="AA79" s="82"/>
      <c r="AB79" s="82">
        <v>72</v>
      </c>
      <c r="AC79" s="82"/>
      <c r="AD79" s="87">
        <f t="shared" si="4"/>
        <v>-99999999999</v>
      </c>
      <c r="AE79" s="88">
        <f t="shared" si="5"/>
        <v>99999999999</v>
      </c>
      <c r="AF79" s="82">
        <f t="shared" si="6"/>
        <v>0</v>
      </c>
      <c r="AG79" s="88">
        <f t="shared" si="7"/>
        <v>0</v>
      </c>
      <c r="AH79" s="104"/>
      <c r="AI79" s="104"/>
      <c r="AJ79" s="105"/>
      <c r="AK79" s="105"/>
      <c r="AL79" s="105"/>
      <c r="AM79" s="105"/>
    </row>
    <row r="80" spans="1:39" x14ac:dyDescent="0.25">
      <c r="A80" s="89">
        <v>68</v>
      </c>
      <c r="B80" s="114">
        <f>INDEX('Tabl. 1'!$C$8:$AO$313,104+$AB75,MATCH($C$7,$AA$7:$AA$45))</f>
        <v>99999999999</v>
      </c>
      <c r="C80" s="114">
        <f>INDEX('Tabl. 1'!$C$8:$AO$313,206+$AB75,MATCH($C$7,$AA$7:$AA$45))</f>
        <v>99999999999</v>
      </c>
      <c r="I80" s="86"/>
      <c r="P80" s="77"/>
      <c r="Q80" s="77"/>
      <c r="R80" s="77"/>
      <c r="S80" s="77"/>
      <c r="T80" s="77"/>
      <c r="U80" s="77"/>
      <c r="V80" s="76"/>
      <c r="W80" s="76"/>
      <c r="X80" s="76"/>
      <c r="Y80" s="76"/>
      <c r="Z80" s="76"/>
      <c r="AA80" s="82"/>
      <c r="AB80" s="82">
        <v>73</v>
      </c>
      <c r="AC80" s="82"/>
      <c r="AD80" s="87">
        <f t="shared" si="4"/>
        <v>-99999999999</v>
      </c>
      <c r="AE80" s="88">
        <f t="shared" si="5"/>
        <v>99999999999</v>
      </c>
      <c r="AF80" s="82">
        <f t="shared" si="6"/>
        <v>0</v>
      </c>
      <c r="AG80" s="88">
        <f t="shared" si="7"/>
        <v>0</v>
      </c>
      <c r="AH80" s="104"/>
      <c r="AI80" s="104"/>
      <c r="AJ80" s="105"/>
      <c r="AK80" s="105"/>
      <c r="AL80" s="105"/>
      <c r="AM80" s="105"/>
    </row>
    <row r="81" spans="1:39" x14ac:dyDescent="0.25">
      <c r="A81" s="89">
        <v>69</v>
      </c>
      <c r="B81" s="114">
        <f>INDEX('Tabl. 1'!$C$8:$AO$313,104+$AB76,MATCH($C$7,$AA$7:$AA$45))</f>
        <v>99999999999</v>
      </c>
      <c r="C81" s="114">
        <f>INDEX('Tabl. 1'!$C$8:$AO$313,206+$AB76,MATCH($C$7,$AA$7:$AA$45))</f>
        <v>99999999999</v>
      </c>
      <c r="I81" s="86"/>
      <c r="P81" s="77"/>
      <c r="Q81" s="77"/>
      <c r="R81" s="77"/>
      <c r="S81" s="77"/>
      <c r="T81" s="77"/>
      <c r="U81" s="77"/>
      <c r="V81" s="76"/>
      <c r="W81" s="76"/>
      <c r="X81" s="76"/>
      <c r="Y81" s="76"/>
      <c r="Z81" s="76"/>
      <c r="AA81" s="82"/>
      <c r="AB81" s="82">
        <v>74</v>
      </c>
      <c r="AC81" s="82"/>
      <c r="AD81" s="87">
        <f t="shared" si="4"/>
        <v>-99999999999</v>
      </c>
      <c r="AE81" s="88">
        <f t="shared" si="5"/>
        <v>99999999999</v>
      </c>
      <c r="AF81" s="82">
        <f t="shared" si="6"/>
        <v>0</v>
      </c>
      <c r="AG81" s="88">
        <f t="shared" si="7"/>
        <v>0</v>
      </c>
      <c r="AH81" s="104"/>
      <c r="AI81" s="104"/>
      <c r="AJ81" s="105"/>
      <c r="AK81" s="105"/>
      <c r="AL81" s="105"/>
      <c r="AM81" s="105"/>
    </row>
    <row r="82" spans="1:39" x14ac:dyDescent="0.25">
      <c r="A82" s="89">
        <v>70</v>
      </c>
      <c r="B82" s="114">
        <f>INDEX('Tabl. 1'!$C$8:$AO$313,104+$AB77,MATCH($C$7,$AA$7:$AA$45))</f>
        <v>99999999999</v>
      </c>
      <c r="C82" s="114">
        <f>INDEX('Tabl. 1'!$C$8:$AO$313,206+$AB77,MATCH($C$7,$AA$7:$AA$45))</f>
        <v>99999999999</v>
      </c>
      <c r="I82" s="86"/>
      <c r="P82" s="77"/>
      <c r="Q82" s="77"/>
      <c r="R82" s="77"/>
      <c r="S82" s="77"/>
      <c r="T82" s="77"/>
      <c r="U82" s="77"/>
      <c r="V82" s="76"/>
      <c r="W82" s="76"/>
      <c r="X82" s="76"/>
      <c r="Y82" s="76"/>
      <c r="Z82" s="76"/>
      <c r="AA82" s="82"/>
      <c r="AB82" s="82">
        <v>75</v>
      </c>
      <c r="AC82" s="82"/>
      <c r="AD82" s="87">
        <f t="shared" si="4"/>
        <v>-99999999999</v>
      </c>
      <c r="AE82" s="88">
        <f t="shared" si="5"/>
        <v>99999999999</v>
      </c>
      <c r="AF82" s="82">
        <f t="shared" si="6"/>
        <v>0</v>
      </c>
      <c r="AG82" s="88">
        <f t="shared" si="7"/>
        <v>0</v>
      </c>
      <c r="AH82" s="104"/>
      <c r="AI82" s="104"/>
      <c r="AJ82" s="105"/>
      <c r="AK82" s="105"/>
      <c r="AL82" s="105"/>
      <c r="AM82" s="105"/>
    </row>
    <row r="83" spans="1:39" x14ac:dyDescent="0.25">
      <c r="A83" s="89">
        <v>71</v>
      </c>
      <c r="B83" s="114">
        <f>INDEX('Tabl. 1'!$C$8:$AO$313,104+$AB78,MATCH($C$7,$AA$7:$AA$45))</f>
        <v>99999999999</v>
      </c>
      <c r="C83" s="114">
        <f>INDEX('Tabl. 1'!$C$8:$AO$313,206+$AB78,MATCH($C$7,$AA$7:$AA$45))</f>
        <v>99999999999</v>
      </c>
      <c r="I83" s="86"/>
      <c r="P83" s="77"/>
      <c r="Q83" s="77"/>
      <c r="R83" s="77"/>
      <c r="S83" s="77"/>
      <c r="T83" s="77"/>
      <c r="U83" s="77"/>
      <c r="V83" s="76"/>
      <c r="W83" s="76"/>
      <c r="X83" s="76"/>
      <c r="Y83" s="76"/>
      <c r="Z83" s="76"/>
      <c r="AA83" s="82"/>
      <c r="AB83" s="82">
        <v>76</v>
      </c>
      <c r="AC83" s="82"/>
      <c r="AD83" s="87">
        <f t="shared" si="4"/>
        <v>-99999999999</v>
      </c>
      <c r="AE83" s="88">
        <f t="shared" si="5"/>
        <v>99999999999</v>
      </c>
      <c r="AF83" s="82">
        <f t="shared" si="6"/>
        <v>0</v>
      </c>
      <c r="AG83" s="88">
        <f t="shared" si="7"/>
        <v>0</v>
      </c>
      <c r="AH83" s="104"/>
      <c r="AI83" s="104"/>
      <c r="AJ83" s="105"/>
      <c r="AK83" s="105"/>
      <c r="AL83" s="105"/>
      <c r="AM83" s="105"/>
    </row>
    <row r="84" spans="1:39" x14ac:dyDescent="0.25">
      <c r="A84" s="89">
        <v>72</v>
      </c>
      <c r="B84" s="114">
        <f>INDEX('Tabl. 1'!$C$8:$AO$313,104+$AB79,MATCH($C$7,$AA$7:$AA$45))</f>
        <v>99999999999</v>
      </c>
      <c r="C84" s="114">
        <f>INDEX('Tabl. 1'!$C$8:$AO$313,206+$AB79,MATCH($C$7,$AA$7:$AA$45))</f>
        <v>99999999999</v>
      </c>
      <c r="I84" s="86"/>
      <c r="P84" s="77"/>
      <c r="Q84" s="77"/>
      <c r="R84" s="77"/>
      <c r="S84" s="77"/>
      <c r="T84" s="77"/>
      <c r="U84" s="77"/>
      <c r="V84" s="76"/>
      <c r="W84" s="76"/>
      <c r="X84" s="76"/>
      <c r="Y84" s="76"/>
      <c r="Z84" s="76"/>
      <c r="AA84" s="82"/>
      <c r="AB84" s="82">
        <v>77</v>
      </c>
      <c r="AC84" s="82"/>
      <c r="AD84" s="87">
        <f t="shared" si="4"/>
        <v>-99999999999</v>
      </c>
      <c r="AE84" s="88">
        <f t="shared" si="5"/>
        <v>99999999999</v>
      </c>
      <c r="AF84" s="82">
        <f t="shared" si="6"/>
        <v>0</v>
      </c>
      <c r="AG84" s="88">
        <f t="shared" si="7"/>
        <v>0</v>
      </c>
      <c r="AH84" s="104"/>
      <c r="AI84" s="104"/>
      <c r="AJ84" s="105"/>
      <c r="AK84" s="105"/>
      <c r="AL84" s="105"/>
      <c r="AM84" s="105"/>
    </row>
    <row r="85" spans="1:39" x14ac:dyDescent="0.25">
      <c r="A85" s="89">
        <v>73</v>
      </c>
      <c r="B85" s="114">
        <f>INDEX('Tabl. 1'!$C$8:$AO$313,104+$AB80,MATCH($C$7,$AA$7:$AA$45))</f>
        <v>99999999999</v>
      </c>
      <c r="C85" s="114">
        <f>INDEX('Tabl. 1'!$C$8:$AO$313,206+$AB80,MATCH($C$7,$AA$7:$AA$45))</f>
        <v>99999999999</v>
      </c>
      <c r="I85" s="86"/>
      <c r="P85" s="77"/>
      <c r="Q85" s="77"/>
      <c r="R85" s="77"/>
      <c r="S85" s="77"/>
      <c r="T85" s="77"/>
      <c r="U85" s="77"/>
      <c r="V85" s="76"/>
      <c r="W85" s="76"/>
      <c r="X85" s="76"/>
      <c r="Y85" s="76"/>
      <c r="Z85" s="76"/>
      <c r="AA85" s="82"/>
      <c r="AB85" s="82">
        <v>78</v>
      </c>
      <c r="AC85" s="82"/>
      <c r="AD85" s="87">
        <f t="shared" si="4"/>
        <v>-99999999999</v>
      </c>
      <c r="AE85" s="88">
        <f t="shared" si="5"/>
        <v>99999999999</v>
      </c>
      <c r="AF85" s="82">
        <f t="shared" si="6"/>
        <v>0</v>
      </c>
      <c r="AG85" s="88">
        <f t="shared" si="7"/>
        <v>0</v>
      </c>
      <c r="AH85" s="104"/>
      <c r="AI85" s="104"/>
      <c r="AJ85" s="105"/>
      <c r="AK85" s="105"/>
      <c r="AL85" s="105"/>
      <c r="AM85" s="105"/>
    </row>
    <row r="86" spans="1:39" x14ac:dyDescent="0.25">
      <c r="A86" s="89">
        <v>74</v>
      </c>
      <c r="B86" s="114">
        <f>INDEX('Tabl. 1'!$C$8:$AO$313,104+$AB81,MATCH($C$7,$AA$7:$AA$45))</f>
        <v>99999999999</v>
      </c>
      <c r="C86" s="114">
        <f>INDEX('Tabl. 1'!$C$8:$AO$313,206+$AB81,MATCH($C$7,$AA$7:$AA$45))</f>
        <v>99999999999</v>
      </c>
      <c r="I86" s="86"/>
      <c r="P86" s="77"/>
      <c r="Q86" s="77"/>
      <c r="R86" s="77"/>
      <c r="S86" s="77"/>
      <c r="T86" s="77"/>
      <c r="U86" s="77"/>
      <c r="V86" s="76"/>
      <c r="W86" s="76"/>
      <c r="X86" s="76"/>
      <c r="Y86" s="76"/>
      <c r="Z86" s="76"/>
      <c r="AA86" s="82"/>
      <c r="AB86" s="82">
        <v>79</v>
      </c>
      <c r="AC86" s="82"/>
      <c r="AD86" s="87">
        <f t="shared" si="4"/>
        <v>-99999999999</v>
      </c>
      <c r="AE86" s="88">
        <f t="shared" si="5"/>
        <v>99999999999</v>
      </c>
      <c r="AF86" s="82">
        <f t="shared" si="6"/>
        <v>0</v>
      </c>
      <c r="AG86" s="88">
        <f t="shared" si="7"/>
        <v>0</v>
      </c>
      <c r="AH86" s="104"/>
      <c r="AI86" s="104"/>
      <c r="AJ86" s="105"/>
      <c r="AK86" s="105"/>
      <c r="AL86" s="105"/>
      <c r="AM86" s="105"/>
    </row>
    <row r="87" spans="1:39" x14ac:dyDescent="0.25">
      <c r="A87" s="89">
        <v>75</v>
      </c>
      <c r="B87" s="114">
        <f>INDEX('Tabl. 1'!$C$8:$AO$313,104+$AB82,MATCH($C$7,$AA$7:$AA$45))</f>
        <v>99999999999</v>
      </c>
      <c r="C87" s="114">
        <f>INDEX('Tabl. 1'!$C$8:$AO$313,206+$AB82,MATCH($C$7,$AA$7:$AA$45))</f>
        <v>99999999999</v>
      </c>
      <c r="I87" s="86"/>
      <c r="P87" s="77"/>
      <c r="Q87" s="77"/>
      <c r="R87" s="77"/>
      <c r="S87" s="77"/>
      <c r="T87" s="77"/>
      <c r="U87" s="77"/>
      <c r="V87" s="76"/>
      <c r="W87" s="76"/>
      <c r="X87" s="76"/>
      <c r="Y87" s="76"/>
      <c r="Z87" s="76"/>
      <c r="AA87" s="82"/>
      <c r="AB87" s="82">
        <v>80</v>
      </c>
      <c r="AC87" s="82"/>
      <c r="AD87" s="87">
        <f t="shared" si="4"/>
        <v>-99999999999</v>
      </c>
      <c r="AE87" s="88">
        <f t="shared" si="5"/>
        <v>99999999999</v>
      </c>
      <c r="AF87" s="82">
        <f t="shared" si="6"/>
        <v>0</v>
      </c>
      <c r="AG87" s="88">
        <f t="shared" si="7"/>
        <v>0</v>
      </c>
      <c r="AH87" s="104"/>
      <c r="AI87" s="104"/>
      <c r="AJ87" s="105"/>
      <c r="AK87" s="105"/>
      <c r="AL87" s="105"/>
      <c r="AM87" s="105"/>
    </row>
    <row r="88" spans="1:39" x14ac:dyDescent="0.25">
      <c r="A88" s="89">
        <v>76</v>
      </c>
      <c r="B88" s="114">
        <f>INDEX('Tabl. 1'!$C$8:$AO$313,104+$AB83,MATCH($C$7,$AA$7:$AA$45))</f>
        <v>99999999999</v>
      </c>
      <c r="C88" s="114">
        <f>INDEX('Tabl. 1'!$C$8:$AO$313,206+$AB83,MATCH($C$7,$AA$7:$AA$45))</f>
        <v>99999999999</v>
      </c>
      <c r="I88" s="86"/>
      <c r="P88" s="77"/>
      <c r="Q88" s="77"/>
      <c r="R88" s="77"/>
      <c r="S88" s="77"/>
      <c r="T88" s="77"/>
      <c r="U88" s="77"/>
      <c r="V88" s="76"/>
      <c r="W88" s="76"/>
      <c r="X88" s="76"/>
      <c r="Y88" s="76"/>
      <c r="Z88" s="76"/>
      <c r="AA88" s="82"/>
      <c r="AB88" s="82">
        <v>81</v>
      </c>
      <c r="AC88" s="82"/>
      <c r="AD88" s="87">
        <f t="shared" si="4"/>
        <v>-99999999999</v>
      </c>
      <c r="AE88" s="88">
        <f t="shared" si="5"/>
        <v>99999999999</v>
      </c>
      <c r="AF88" s="82">
        <f t="shared" si="6"/>
        <v>0</v>
      </c>
      <c r="AG88" s="88">
        <f t="shared" si="7"/>
        <v>0</v>
      </c>
      <c r="AH88" s="104"/>
      <c r="AI88" s="104"/>
      <c r="AJ88" s="105"/>
      <c r="AK88" s="105"/>
      <c r="AL88" s="105"/>
      <c r="AM88" s="105"/>
    </row>
    <row r="89" spans="1:39" x14ac:dyDescent="0.25">
      <c r="A89" s="89">
        <v>77</v>
      </c>
      <c r="B89" s="114">
        <f>INDEX('Tabl. 1'!$C$8:$AO$313,104+$AB84,MATCH($C$7,$AA$7:$AA$45))</f>
        <v>99999999999</v>
      </c>
      <c r="C89" s="114">
        <f>INDEX('Tabl. 1'!$C$8:$AO$313,206+$AB84,MATCH($C$7,$AA$7:$AA$45))</f>
        <v>99999999999</v>
      </c>
      <c r="I89" s="86"/>
      <c r="P89" s="77"/>
      <c r="Q89" s="77"/>
      <c r="R89" s="77"/>
      <c r="S89" s="77"/>
      <c r="T89" s="77"/>
      <c r="U89" s="77"/>
      <c r="V89" s="76"/>
      <c r="W89" s="76"/>
      <c r="X89" s="76"/>
      <c r="Y89" s="76"/>
      <c r="Z89" s="76"/>
      <c r="AA89" s="82"/>
      <c r="AB89" s="82">
        <v>82</v>
      </c>
      <c r="AC89" s="82"/>
      <c r="AD89" s="87">
        <f t="shared" si="4"/>
        <v>-99999999999</v>
      </c>
      <c r="AE89" s="88">
        <f t="shared" si="5"/>
        <v>99999999999</v>
      </c>
      <c r="AF89" s="82">
        <f t="shared" si="6"/>
        <v>0</v>
      </c>
      <c r="AG89" s="88">
        <f t="shared" si="7"/>
        <v>0</v>
      </c>
      <c r="AH89" s="104"/>
      <c r="AI89" s="104"/>
      <c r="AJ89" s="105"/>
      <c r="AK89" s="105"/>
      <c r="AL89" s="105"/>
      <c r="AM89" s="105"/>
    </row>
    <row r="90" spans="1:39" x14ac:dyDescent="0.25">
      <c r="A90" s="89">
        <v>78</v>
      </c>
      <c r="B90" s="114">
        <f>INDEX('Tabl. 1'!$C$8:$AO$313,104+$AB85,MATCH($C$7,$AA$7:$AA$45))</f>
        <v>99999999999</v>
      </c>
      <c r="C90" s="114">
        <f>INDEX('Tabl. 1'!$C$8:$AO$313,206+$AB85,MATCH($C$7,$AA$7:$AA$45))</f>
        <v>99999999999</v>
      </c>
      <c r="I90" s="86"/>
      <c r="P90" s="77"/>
      <c r="Q90" s="77"/>
      <c r="R90" s="77"/>
      <c r="S90" s="77"/>
      <c r="T90" s="77"/>
      <c r="U90" s="77"/>
      <c r="V90" s="76"/>
      <c r="W90" s="76"/>
      <c r="X90" s="76"/>
      <c r="Y90" s="76"/>
      <c r="Z90" s="76"/>
      <c r="AA90" s="82"/>
      <c r="AB90" s="82">
        <v>83</v>
      </c>
      <c r="AC90" s="82"/>
      <c r="AD90" s="87">
        <f t="shared" si="4"/>
        <v>-99999999999</v>
      </c>
      <c r="AE90" s="88">
        <f t="shared" si="5"/>
        <v>99999999999</v>
      </c>
      <c r="AF90" s="82">
        <f t="shared" si="6"/>
        <v>0</v>
      </c>
      <c r="AG90" s="88">
        <f t="shared" si="7"/>
        <v>0</v>
      </c>
      <c r="AH90" s="104"/>
      <c r="AI90" s="104"/>
      <c r="AJ90" s="105"/>
      <c r="AK90" s="105"/>
      <c r="AL90" s="105"/>
      <c r="AM90" s="105"/>
    </row>
    <row r="91" spans="1:39" x14ac:dyDescent="0.25">
      <c r="A91" s="89">
        <v>79</v>
      </c>
      <c r="B91" s="114">
        <f>INDEX('Tabl. 1'!$C$8:$AO$313,104+$AB86,MATCH($C$7,$AA$7:$AA$45))</f>
        <v>99999999999</v>
      </c>
      <c r="C91" s="114">
        <f>INDEX('Tabl. 1'!$C$8:$AO$313,206+$AB86,MATCH($C$7,$AA$7:$AA$45))</f>
        <v>99999999999</v>
      </c>
      <c r="I91" s="86"/>
      <c r="P91" s="77"/>
      <c r="Q91" s="77"/>
      <c r="R91" s="77"/>
      <c r="S91" s="77"/>
      <c r="T91" s="77"/>
      <c r="U91" s="77"/>
      <c r="V91" s="76"/>
      <c r="W91" s="76"/>
      <c r="X91" s="76"/>
      <c r="Y91" s="76"/>
      <c r="Z91" s="76"/>
      <c r="AA91" s="82"/>
      <c r="AB91" s="82">
        <v>84</v>
      </c>
      <c r="AC91" s="82"/>
      <c r="AD91" s="87">
        <f t="shared" si="4"/>
        <v>-99999999999</v>
      </c>
      <c r="AE91" s="88">
        <f t="shared" si="5"/>
        <v>99999999999</v>
      </c>
      <c r="AF91" s="82">
        <f t="shared" si="6"/>
        <v>0</v>
      </c>
      <c r="AG91" s="88">
        <f t="shared" si="7"/>
        <v>0</v>
      </c>
      <c r="AH91" s="104"/>
      <c r="AI91" s="104"/>
      <c r="AJ91" s="105"/>
      <c r="AK91" s="105"/>
      <c r="AL91" s="105"/>
      <c r="AM91" s="105"/>
    </row>
    <row r="92" spans="1:39" x14ac:dyDescent="0.25">
      <c r="A92" s="89">
        <v>80</v>
      </c>
      <c r="B92" s="114">
        <f>INDEX('Tabl. 1'!$C$8:$AO$313,104+$AB87,MATCH($C$7,$AA$7:$AA$45))</f>
        <v>99999999999</v>
      </c>
      <c r="C92" s="114">
        <f>INDEX('Tabl. 1'!$C$8:$AO$313,206+$AB87,MATCH($C$7,$AA$7:$AA$45))</f>
        <v>99999999999</v>
      </c>
      <c r="I92" s="86"/>
      <c r="P92" s="77"/>
      <c r="Q92" s="77"/>
      <c r="R92" s="77"/>
      <c r="S92" s="77"/>
      <c r="T92" s="77"/>
      <c r="U92" s="77"/>
      <c r="V92" s="76"/>
      <c r="W92" s="76"/>
      <c r="X92" s="76"/>
      <c r="Y92" s="76"/>
      <c r="Z92" s="76"/>
      <c r="AA92" s="82"/>
      <c r="AB92" s="82">
        <v>85</v>
      </c>
      <c r="AC92" s="82"/>
      <c r="AD92" s="87">
        <f t="shared" si="4"/>
        <v>-99999999999</v>
      </c>
      <c r="AE92" s="88">
        <f t="shared" si="5"/>
        <v>99999999999</v>
      </c>
      <c r="AF92" s="82">
        <f t="shared" si="6"/>
        <v>0</v>
      </c>
      <c r="AG92" s="88">
        <f t="shared" si="7"/>
        <v>0</v>
      </c>
      <c r="AH92" s="104"/>
      <c r="AI92" s="104"/>
      <c r="AJ92" s="105"/>
      <c r="AK92" s="105"/>
      <c r="AL92" s="105"/>
      <c r="AM92" s="105"/>
    </row>
    <row r="93" spans="1:39" x14ac:dyDescent="0.25">
      <c r="A93" s="89">
        <v>81</v>
      </c>
      <c r="B93" s="114">
        <f>INDEX('Tabl. 1'!$C$8:$AO$313,104+$AB88,MATCH($C$7,$AA$7:$AA$45))</f>
        <v>99999999999</v>
      </c>
      <c r="C93" s="114">
        <f>INDEX('Tabl. 1'!$C$8:$AO$313,206+$AB88,MATCH($C$7,$AA$7:$AA$45))</f>
        <v>99999999999</v>
      </c>
      <c r="I93" s="86"/>
      <c r="P93" s="77"/>
      <c r="Q93" s="77"/>
      <c r="R93" s="77"/>
      <c r="S93" s="77"/>
      <c r="T93" s="77"/>
      <c r="U93" s="77"/>
      <c r="V93" s="76"/>
      <c r="W93" s="76"/>
      <c r="X93" s="76"/>
      <c r="Y93" s="76"/>
      <c r="Z93" s="76"/>
      <c r="AA93" s="82"/>
      <c r="AB93" s="82">
        <v>86</v>
      </c>
      <c r="AC93" s="82"/>
      <c r="AD93" s="87">
        <f t="shared" si="4"/>
        <v>-99999999999</v>
      </c>
      <c r="AE93" s="88">
        <f t="shared" si="5"/>
        <v>99999999999</v>
      </c>
      <c r="AF93" s="82">
        <f t="shared" si="6"/>
        <v>0</v>
      </c>
      <c r="AG93" s="88">
        <f t="shared" si="7"/>
        <v>0</v>
      </c>
      <c r="AH93" s="104"/>
      <c r="AI93" s="104"/>
      <c r="AJ93" s="105"/>
      <c r="AK93" s="105"/>
      <c r="AL93" s="105"/>
      <c r="AM93" s="105"/>
    </row>
    <row r="94" spans="1:39" x14ac:dyDescent="0.25">
      <c r="A94" s="89">
        <v>82</v>
      </c>
      <c r="B94" s="114">
        <f>INDEX('Tabl. 1'!$C$8:$AO$313,104+$AB89,MATCH($C$7,$AA$7:$AA$45))</f>
        <v>99999999999</v>
      </c>
      <c r="C94" s="114">
        <f>INDEX('Tabl. 1'!$C$8:$AO$313,206+$AB89,MATCH($C$7,$AA$7:$AA$45))</f>
        <v>99999999999</v>
      </c>
      <c r="I94" s="86"/>
      <c r="P94" s="77"/>
      <c r="Q94" s="77"/>
      <c r="R94" s="77"/>
      <c r="S94" s="77"/>
      <c r="T94" s="77"/>
      <c r="U94" s="77"/>
      <c r="V94" s="76"/>
      <c r="W94" s="76"/>
      <c r="X94" s="76"/>
      <c r="Y94" s="76"/>
      <c r="Z94" s="76"/>
      <c r="AA94" s="82"/>
      <c r="AB94" s="82">
        <v>87</v>
      </c>
      <c r="AC94" s="82"/>
      <c r="AD94" s="87">
        <f t="shared" si="4"/>
        <v>-99999999999</v>
      </c>
      <c r="AE94" s="88">
        <f t="shared" si="5"/>
        <v>99999999999</v>
      </c>
      <c r="AF94" s="82">
        <f t="shared" si="6"/>
        <v>0</v>
      </c>
      <c r="AG94" s="88">
        <f t="shared" si="7"/>
        <v>0</v>
      </c>
      <c r="AH94" s="104"/>
      <c r="AI94" s="104"/>
      <c r="AJ94" s="105"/>
      <c r="AK94" s="105"/>
      <c r="AL94" s="105"/>
      <c r="AM94" s="105"/>
    </row>
    <row r="95" spans="1:39" x14ac:dyDescent="0.25">
      <c r="A95" s="89">
        <v>83</v>
      </c>
      <c r="B95" s="114">
        <f>INDEX('Tabl. 1'!$C$8:$AO$313,104+$AB90,MATCH($C$7,$AA$7:$AA$45))</f>
        <v>99999999999</v>
      </c>
      <c r="C95" s="114">
        <f>INDEX('Tabl. 1'!$C$8:$AO$313,206+$AB90,MATCH($C$7,$AA$7:$AA$45))</f>
        <v>99999999999</v>
      </c>
      <c r="I95" s="86"/>
      <c r="P95" s="77"/>
      <c r="Q95" s="77"/>
      <c r="R95" s="77"/>
      <c r="S95" s="77"/>
      <c r="T95" s="77"/>
      <c r="U95" s="77"/>
      <c r="V95" s="76"/>
      <c r="W95" s="76"/>
      <c r="X95" s="76"/>
      <c r="Y95" s="76"/>
      <c r="Z95" s="76"/>
      <c r="AA95" s="82"/>
      <c r="AB95" s="82">
        <v>88</v>
      </c>
      <c r="AC95" s="82"/>
      <c r="AD95" s="87">
        <f t="shared" si="4"/>
        <v>-99999999999</v>
      </c>
      <c r="AE95" s="88">
        <f t="shared" si="5"/>
        <v>99999999999</v>
      </c>
      <c r="AF95" s="82">
        <f t="shared" si="6"/>
        <v>0</v>
      </c>
      <c r="AG95" s="88">
        <f t="shared" si="7"/>
        <v>0</v>
      </c>
      <c r="AH95" s="104"/>
      <c r="AI95" s="104"/>
      <c r="AJ95" s="105"/>
      <c r="AK95" s="105"/>
      <c r="AL95" s="105"/>
      <c r="AM95" s="105"/>
    </row>
    <row r="96" spans="1:39" x14ac:dyDescent="0.25">
      <c r="A96" s="89">
        <v>84</v>
      </c>
      <c r="B96" s="114">
        <f>INDEX('Tabl. 1'!$C$8:$AO$313,104+$AB91,MATCH($C$7,$AA$7:$AA$45))</f>
        <v>99999999999</v>
      </c>
      <c r="C96" s="114">
        <f>INDEX('Tabl. 1'!$C$8:$AO$313,206+$AB91,MATCH($C$7,$AA$7:$AA$45))</f>
        <v>99999999999</v>
      </c>
      <c r="I96" s="86"/>
      <c r="P96" s="77"/>
      <c r="Q96" s="77"/>
      <c r="R96" s="77"/>
      <c r="S96" s="77"/>
      <c r="T96" s="77"/>
      <c r="U96" s="77"/>
      <c r="V96" s="76"/>
      <c r="W96" s="76"/>
      <c r="X96" s="76"/>
      <c r="Y96" s="76"/>
      <c r="Z96" s="76"/>
      <c r="AA96" s="82"/>
      <c r="AB96" s="82">
        <v>89</v>
      </c>
      <c r="AC96" s="82"/>
      <c r="AD96" s="87">
        <f t="shared" si="4"/>
        <v>-99999999999</v>
      </c>
      <c r="AE96" s="88">
        <f t="shared" si="5"/>
        <v>99999999999</v>
      </c>
      <c r="AF96" s="82">
        <f t="shared" si="6"/>
        <v>0</v>
      </c>
      <c r="AG96" s="88">
        <f t="shared" si="7"/>
        <v>0</v>
      </c>
      <c r="AH96" s="104"/>
      <c r="AI96" s="104"/>
      <c r="AJ96" s="105"/>
      <c r="AK96" s="105"/>
      <c r="AL96" s="105"/>
      <c r="AM96" s="105"/>
    </row>
    <row r="97" spans="1:39" x14ac:dyDescent="0.25">
      <c r="A97" s="89">
        <v>85</v>
      </c>
      <c r="B97" s="114">
        <f>INDEX('Tabl. 1'!$C$8:$AO$313,104+$AB92,MATCH($C$7,$AA$7:$AA$45))</f>
        <v>99999999999</v>
      </c>
      <c r="C97" s="114">
        <f>INDEX('Tabl. 1'!$C$8:$AO$313,206+$AB92,MATCH($C$7,$AA$7:$AA$45))</f>
        <v>99999999999</v>
      </c>
      <c r="I97" s="86"/>
      <c r="P97" s="77"/>
      <c r="Q97" s="77"/>
      <c r="R97" s="77"/>
      <c r="S97" s="77"/>
      <c r="T97" s="77"/>
      <c r="U97" s="77"/>
      <c r="V97" s="76"/>
      <c r="W97" s="76"/>
      <c r="X97" s="76"/>
      <c r="Y97" s="76"/>
      <c r="Z97" s="76"/>
      <c r="AA97" s="82"/>
      <c r="AB97" s="82">
        <v>90</v>
      </c>
      <c r="AC97" s="82"/>
      <c r="AD97" s="87">
        <f t="shared" si="4"/>
        <v>-99999999999</v>
      </c>
      <c r="AE97" s="88">
        <f t="shared" si="5"/>
        <v>99999999999</v>
      </c>
      <c r="AF97" s="82">
        <f t="shared" si="6"/>
        <v>0</v>
      </c>
      <c r="AG97" s="88">
        <f t="shared" si="7"/>
        <v>0</v>
      </c>
      <c r="AH97" s="104"/>
      <c r="AI97" s="104"/>
      <c r="AJ97" s="105"/>
      <c r="AK97" s="105"/>
      <c r="AL97" s="105"/>
      <c r="AM97" s="105"/>
    </row>
    <row r="98" spans="1:39" x14ac:dyDescent="0.25">
      <c r="A98" s="89">
        <v>86</v>
      </c>
      <c r="B98" s="114">
        <f>INDEX('Tabl. 1'!$C$8:$AO$313,104+$AB93,MATCH($C$7,$AA$7:$AA$45))</f>
        <v>99999999999</v>
      </c>
      <c r="C98" s="114">
        <f>INDEX('Tabl. 1'!$C$8:$AO$313,206+$AB93,MATCH($C$7,$AA$7:$AA$45))</f>
        <v>99999999999</v>
      </c>
      <c r="I98" s="86"/>
      <c r="P98" s="77"/>
      <c r="Q98" s="77"/>
      <c r="R98" s="77"/>
      <c r="S98" s="77"/>
      <c r="T98" s="77"/>
      <c r="U98" s="77"/>
      <c r="V98" s="76"/>
      <c r="W98" s="76"/>
      <c r="X98" s="76"/>
      <c r="Y98" s="76"/>
      <c r="Z98" s="76"/>
      <c r="AA98" s="82"/>
      <c r="AB98" s="82">
        <v>91</v>
      </c>
      <c r="AC98" s="82"/>
      <c r="AD98" s="87">
        <f t="shared" si="4"/>
        <v>-99999999999</v>
      </c>
      <c r="AE98" s="88">
        <f t="shared" si="5"/>
        <v>99999999999</v>
      </c>
      <c r="AF98" s="82">
        <f t="shared" si="6"/>
        <v>0</v>
      </c>
      <c r="AG98" s="88">
        <f t="shared" si="7"/>
        <v>0</v>
      </c>
      <c r="AH98" s="104"/>
      <c r="AI98" s="104"/>
      <c r="AJ98" s="105"/>
      <c r="AK98" s="105"/>
      <c r="AL98" s="105"/>
      <c r="AM98" s="105"/>
    </row>
    <row r="99" spans="1:39" x14ac:dyDescent="0.25">
      <c r="A99" s="89">
        <v>87</v>
      </c>
      <c r="B99" s="114">
        <f>INDEX('Tabl. 1'!$C$8:$AO$313,104+$AB94,MATCH($C$7,$AA$7:$AA$45))</f>
        <v>99999999999</v>
      </c>
      <c r="C99" s="114">
        <f>INDEX('Tabl. 1'!$C$8:$AO$313,206+$AB94,MATCH($C$7,$AA$7:$AA$45))</f>
        <v>99999999999</v>
      </c>
      <c r="I99" s="86"/>
      <c r="P99" s="77"/>
      <c r="Q99" s="77"/>
      <c r="R99" s="77"/>
      <c r="S99" s="77"/>
      <c r="T99" s="77"/>
      <c r="U99" s="77"/>
      <c r="V99" s="76"/>
      <c r="W99" s="76"/>
      <c r="X99" s="76"/>
      <c r="Y99" s="76"/>
      <c r="Z99" s="76"/>
      <c r="AA99" s="82"/>
      <c r="AB99" s="82">
        <v>92</v>
      </c>
      <c r="AC99" s="82"/>
      <c r="AD99" s="87">
        <f t="shared" si="4"/>
        <v>-99999999999</v>
      </c>
      <c r="AE99" s="88">
        <f t="shared" si="5"/>
        <v>99999999999</v>
      </c>
      <c r="AF99" s="82">
        <f t="shared" si="6"/>
        <v>0</v>
      </c>
      <c r="AG99" s="88">
        <f t="shared" si="7"/>
        <v>0</v>
      </c>
      <c r="AH99" s="104"/>
      <c r="AI99" s="104"/>
      <c r="AJ99" s="105"/>
      <c r="AK99" s="105"/>
      <c r="AL99" s="105"/>
      <c r="AM99" s="105"/>
    </row>
    <row r="100" spans="1:39" x14ac:dyDescent="0.25">
      <c r="A100" s="89">
        <v>88</v>
      </c>
      <c r="B100" s="114">
        <f>INDEX('Tabl. 1'!$C$8:$AO$313,104+$AB95,MATCH($C$7,$AA$7:$AA$45))</f>
        <v>99999999999</v>
      </c>
      <c r="C100" s="114">
        <f>INDEX('Tabl. 1'!$C$8:$AO$313,206+$AB95,MATCH($C$7,$AA$7:$AA$45))</f>
        <v>99999999999</v>
      </c>
      <c r="I100" s="86"/>
      <c r="P100" s="77"/>
      <c r="Q100" s="77"/>
      <c r="R100" s="77"/>
      <c r="S100" s="77"/>
      <c r="T100" s="77"/>
      <c r="U100" s="77"/>
      <c r="V100" s="76"/>
      <c r="W100" s="76"/>
      <c r="X100" s="76"/>
      <c r="Y100" s="76"/>
      <c r="Z100" s="76"/>
      <c r="AA100" s="82"/>
      <c r="AB100" s="82">
        <v>93</v>
      </c>
      <c r="AC100" s="82"/>
      <c r="AD100" s="87">
        <f t="shared" si="4"/>
        <v>-99999999999</v>
      </c>
      <c r="AE100" s="88">
        <f t="shared" si="5"/>
        <v>99999999999</v>
      </c>
      <c r="AF100" s="82">
        <f t="shared" si="6"/>
        <v>0</v>
      </c>
      <c r="AG100" s="88">
        <f t="shared" si="7"/>
        <v>0</v>
      </c>
      <c r="AH100" s="104"/>
      <c r="AI100" s="104"/>
      <c r="AJ100" s="105"/>
      <c r="AK100" s="105"/>
      <c r="AL100" s="105"/>
      <c r="AM100" s="105"/>
    </row>
    <row r="101" spans="1:39" x14ac:dyDescent="0.25">
      <c r="A101" s="89">
        <v>89</v>
      </c>
      <c r="B101" s="114">
        <f>INDEX('Tabl. 1'!$C$8:$AO$313,104+$AB96,MATCH($C$7,$AA$7:$AA$45))</f>
        <v>99999999999</v>
      </c>
      <c r="C101" s="114">
        <f>INDEX('Tabl. 1'!$C$8:$AO$313,206+$AB96,MATCH($C$7,$AA$7:$AA$45))</f>
        <v>99999999999</v>
      </c>
      <c r="I101" s="86"/>
      <c r="P101" s="77"/>
      <c r="Q101" s="77"/>
      <c r="R101" s="77"/>
      <c r="S101" s="77"/>
      <c r="T101" s="77"/>
      <c r="U101" s="77"/>
      <c r="V101" s="76"/>
      <c r="W101" s="76"/>
      <c r="X101" s="76"/>
      <c r="Y101" s="76"/>
      <c r="Z101" s="76"/>
      <c r="AA101" s="82"/>
      <c r="AB101" s="82">
        <v>94</v>
      </c>
      <c r="AC101" s="82"/>
      <c r="AD101" s="87">
        <f t="shared" si="4"/>
        <v>-99999999999</v>
      </c>
      <c r="AE101" s="88">
        <f t="shared" si="5"/>
        <v>99999999999</v>
      </c>
      <c r="AF101" s="82">
        <f t="shared" si="6"/>
        <v>0</v>
      </c>
      <c r="AG101" s="88">
        <f t="shared" si="7"/>
        <v>0</v>
      </c>
      <c r="AH101" s="104"/>
      <c r="AI101" s="104"/>
      <c r="AJ101" s="105"/>
      <c r="AK101" s="105"/>
      <c r="AL101" s="105"/>
      <c r="AM101" s="105"/>
    </row>
    <row r="102" spans="1:39" x14ac:dyDescent="0.25">
      <c r="A102" s="89">
        <v>90</v>
      </c>
      <c r="B102" s="114">
        <f>INDEX('Tabl. 1'!$C$8:$AO$313,104+$AB97,MATCH($C$7,$AA$7:$AA$45))</f>
        <v>99999999999</v>
      </c>
      <c r="C102" s="114">
        <f>INDEX('Tabl. 1'!$C$8:$AO$313,206+$AB97,MATCH($C$7,$AA$7:$AA$45))</f>
        <v>99999999999</v>
      </c>
      <c r="I102" s="86"/>
      <c r="P102" s="77"/>
      <c r="Q102" s="77"/>
      <c r="R102" s="77"/>
      <c r="S102" s="77"/>
      <c r="T102" s="77"/>
      <c r="U102" s="77"/>
      <c r="V102" s="76"/>
      <c r="W102" s="76"/>
      <c r="X102" s="76"/>
      <c r="Y102" s="76"/>
      <c r="Z102" s="76"/>
      <c r="AA102" s="82"/>
      <c r="AB102" s="82">
        <v>95</v>
      </c>
      <c r="AC102" s="82"/>
      <c r="AD102" s="87">
        <f t="shared" si="4"/>
        <v>-99999999999</v>
      </c>
      <c r="AE102" s="88">
        <f t="shared" si="5"/>
        <v>99999999999</v>
      </c>
      <c r="AF102" s="82">
        <f t="shared" si="6"/>
        <v>0</v>
      </c>
      <c r="AG102" s="88">
        <f t="shared" si="7"/>
        <v>0</v>
      </c>
      <c r="AH102" s="104"/>
      <c r="AI102" s="104"/>
      <c r="AJ102" s="105"/>
      <c r="AK102" s="105"/>
      <c r="AL102" s="105"/>
      <c r="AM102" s="105"/>
    </row>
    <row r="103" spans="1:39" x14ac:dyDescent="0.25">
      <c r="A103" s="89">
        <v>91</v>
      </c>
      <c r="B103" s="114">
        <f>INDEX('Tabl. 1'!$C$8:$AO$313,104+$AB98,MATCH($C$7,$AA$7:$AA$45))</f>
        <v>99999999999</v>
      </c>
      <c r="C103" s="114">
        <f>INDEX('Tabl. 1'!$C$8:$AO$313,206+$AB98,MATCH($C$7,$AA$7:$AA$45))</f>
        <v>99999999999</v>
      </c>
      <c r="I103" s="86"/>
      <c r="P103" s="77"/>
      <c r="Q103" s="77"/>
      <c r="R103" s="77"/>
      <c r="S103" s="77"/>
      <c r="T103" s="77"/>
      <c r="U103" s="77"/>
      <c r="V103" s="76"/>
      <c r="W103" s="76"/>
      <c r="X103" s="76"/>
      <c r="Y103" s="76"/>
      <c r="Z103" s="76"/>
      <c r="AA103" s="82"/>
      <c r="AB103" s="82">
        <v>96</v>
      </c>
      <c r="AC103" s="82"/>
      <c r="AD103" s="87">
        <f t="shared" si="4"/>
        <v>-99999999999</v>
      </c>
      <c r="AE103" s="88">
        <f t="shared" si="5"/>
        <v>99999999999</v>
      </c>
      <c r="AF103" s="82">
        <f t="shared" si="6"/>
        <v>0</v>
      </c>
      <c r="AG103" s="88">
        <f t="shared" si="7"/>
        <v>0</v>
      </c>
      <c r="AH103" s="104"/>
      <c r="AI103" s="104"/>
      <c r="AJ103" s="105"/>
      <c r="AK103" s="105"/>
      <c r="AL103" s="105"/>
      <c r="AM103" s="105"/>
    </row>
    <row r="104" spans="1:39" x14ac:dyDescent="0.25">
      <c r="A104" s="89">
        <v>92</v>
      </c>
      <c r="B104" s="114">
        <f>INDEX('Tabl. 1'!$C$8:$AO$313,104+$AB99,MATCH($C$7,$AA$7:$AA$45))</f>
        <v>99999999999</v>
      </c>
      <c r="C104" s="114">
        <f>INDEX('Tabl. 1'!$C$8:$AO$313,206+$AB99,MATCH($C$7,$AA$7:$AA$45))</f>
        <v>99999999999</v>
      </c>
      <c r="I104" s="86"/>
      <c r="P104" s="77"/>
      <c r="Q104" s="77"/>
      <c r="R104" s="77"/>
      <c r="S104" s="77"/>
      <c r="T104" s="77"/>
      <c r="U104" s="77"/>
      <c r="V104" s="76"/>
      <c r="W104" s="76"/>
      <c r="X104" s="76"/>
      <c r="Y104" s="76"/>
      <c r="Z104" s="76"/>
      <c r="AA104" s="82"/>
      <c r="AB104" s="82">
        <v>97</v>
      </c>
      <c r="AC104" s="82"/>
      <c r="AD104" s="87">
        <f t="shared" si="4"/>
        <v>-99999999999</v>
      </c>
      <c r="AE104" s="88">
        <f t="shared" si="5"/>
        <v>99999999999</v>
      </c>
      <c r="AF104" s="82">
        <f t="shared" si="6"/>
        <v>0</v>
      </c>
      <c r="AG104" s="88">
        <f t="shared" si="7"/>
        <v>0</v>
      </c>
      <c r="AH104" s="104"/>
      <c r="AI104" s="104"/>
      <c r="AJ104" s="105"/>
      <c r="AK104" s="105"/>
      <c r="AL104" s="105"/>
      <c r="AM104" s="105"/>
    </row>
    <row r="105" spans="1:39" x14ac:dyDescent="0.25">
      <c r="A105" s="89">
        <v>93</v>
      </c>
      <c r="B105" s="114">
        <f>INDEX('Tabl. 1'!$C$8:$AO$313,104+$AB100,MATCH($C$7,$AA$7:$AA$45))</f>
        <v>99999999999</v>
      </c>
      <c r="C105" s="114">
        <f>INDEX('Tabl. 1'!$C$8:$AO$313,206+$AB100,MATCH($C$7,$AA$7:$AA$45))</f>
        <v>99999999999</v>
      </c>
      <c r="I105" s="86"/>
      <c r="P105" s="77"/>
      <c r="Q105" s="77"/>
      <c r="R105" s="77"/>
      <c r="S105" s="77"/>
      <c r="T105" s="77"/>
      <c r="U105" s="77"/>
      <c r="V105" s="76"/>
      <c r="W105" s="76"/>
      <c r="X105" s="76"/>
      <c r="Y105" s="76"/>
      <c r="Z105" s="76"/>
      <c r="AA105" s="82"/>
      <c r="AB105" s="82">
        <v>98</v>
      </c>
      <c r="AC105" s="82"/>
      <c r="AD105" s="87">
        <f t="shared" si="4"/>
        <v>-99999999999</v>
      </c>
      <c r="AE105" s="88">
        <f t="shared" si="5"/>
        <v>99999999999</v>
      </c>
      <c r="AF105" s="82">
        <f t="shared" si="6"/>
        <v>0</v>
      </c>
      <c r="AG105" s="88">
        <f t="shared" si="7"/>
        <v>0</v>
      </c>
      <c r="AH105" s="104"/>
      <c r="AI105" s="104"/>
      <c r="AJ105" s="105"/>
      <c r="AK105" s="105"/>
      <c r="AL105" s="105"/>
      <c r="AM105" s="105"/>
    </row>
    <row r="106" spans="1:39" x14ac:dyDescent="0.25">
      <c r="A106" s="89">
        <v>94</v>
      </c>
      <c r="B106" s="114">
        <f>INDEX('Tabl. 1'!$C$8:$AO$313,104+$AB101,MATCH($C$7,$AA$7:$AA$45))</f>
        <v>99999999999</v>
      </c>
      <c r="C106" s="114">
        <f>INDEX('Tabl. 1'!$C$8:$AO$313,206+$AB101,MATCH($C$7,$AA$7:$AA$45))</f>
        <v>99999999999</v>
      </c>
      <c r="I106" s="86"/>
      <c r="P106" s="77"/>
      <c r="Q106" s="77"/>
      <c r="R106" s="77"/>
      <c r="S106" s="77"/>
      <c r="T106" s="77"/>
      <c r="U106" s="77"/>
      <c r="V106" s="76"/>
      <c r="W106" s="76"/>
      <c r="X106" s="76"/>
      <c r="Y106" s="76"/>
      <c r="Z106" s="76"/>
      <c r="AA106" s="82"/>
      <c r="AB106" s="82">
        <v>99</v>
      </c>
      <c r="AC106" s="82"/>
      <c r="AD106" s="87">
        <f t="shared" si="4"/>
        <v>-99999999999</v>
      </c>
      <c r="AE106" s="88">
        <f t="shared" si="5"/>
        <v>99999999999</v>
      </c>
      <c r="AF106" s="82">
        <f t="shared" si="6"/>
        <v>0</v>
      </c>
      <c r="AG106" s="88">
        <f t="shared" si="7"/>
        <v>0</v>
      </c>
      <c r="AH106" s="104"/>
      <c r="AI106" s="104"/>
      <c r="AJ106" s="105"/>
      <c r="AK106" s="105"/>
      <c r="AL106" s="105"/>
      <c r="AM106" s="105"/>
    </row>
    <row r="107" spans="1:39" x14ac:dyDescent="0.25">
      <c r="A107" s="89">
        <v>95</v>
      </c>
      <c r="B107" s="114">
        <f>INDEX('Tabl. 1'!$C$8:$AO$313,104+$AB102,MATCH($C$7,$AA$7:$AA$45))</f>
        <v>99999999999</v>
      </c>
      <c r="C107" s="114">
        <f>INDEX('Tabl. 1'!$C$8:$AO$313,206+$AB102,MATCH($C$7,$AA$7:$AA$45))</f>
        <v>99999999999</v>
      </c>
      <c r="I107" s="86"/>
      <c r="P107" s="77"/>
      <c r="Q107" s="77"/>
      <c r="R107" s="77"/>
      <c r="S107" s="77"/>
      <c r="T107" s="77"/>
      <c r="U107" s="77"/>
      <c r="V107" s="76"/>
      <c r="W107" s="76"/>
      <c r="X107" s="76"/>
      <c r="Y107" s="76"/>
      <c r="Z107" s="76"/>
      <c r="AA107" s="82"/>
      <c r="AB107" s="82">
        <v>100</v>
      </c>
      <c r="AC107" s="82"/>
      <c r="AD107" s="87">
        <f t="shared" si="4"/>
        <v>-99999999999</v>
      </c>
      <c r="AE107" s="88">
        <f t="shared" si="5"/>
        <v>99999999999</v>
      </c>
      <c r="AF107" s="82">
        <f t="shared" si="6"/>
        <v>0</v>
      </c>
      <c r="AG107" s="88">
        <f t="shared" si="7"/>
        <v>0</v>
      </c>
      <c r="AH107" s="104"/>
      <c r="AI107" s="104"/>
      <c r="AJ107" s="105"/>
      <c r="AK107" s="105"/>
      <c r="AL107" s="105"/>
      <c r="AM107" s="105"/>
    </row>
    <row r="108" spans="1:39" x14ac:dyDescent="0.25">
      <c r="A108" s="89">
        <v>96</v>
      </c>
      <c r="B108" s="114">
        <f>INDEX('Tabl. 1'!$C$8:$AO$313,104+$AB103,MATCH($C$7,$AA$7:$AA$45))</f>
        <v>99999999999</v>
      </c>
      <c r="C108" s="114">
        <f>INDEX('Tabl. 1'!$C$8:$AO$313,206+$AB103,MATCH($C$7,$AA$7:$AA$45))</f>
        <v>99999999999</v>
      </c>
      <c r="I108" s="86"/>
      <c r="P108" s="77"/>
      <c r="Q108" s="77"/>
      <c r="R108" s="77"/>
      <c r="S108" s="77"/>
      <c r="T108" s="77"/>
      <c r="U108" s="77"/>
      <c r="V108" s="76"/>
      <c r="W108" s="76"/>
      <c r="X108" s="76"/>
      <c r="Y108" s="76"/>
      <c r="Z108" s="76"/>
      <c r="AA108" s="82"/>
      <c r="AB108" s="82">
        <v>101</v>
      </c>
      <c r="AC108" s="82"/>
      <c r="AD108" s="87">
        <f t="shared" si="4"/>
        <v>-99999999999</v>
      </c>
      <c r="AE108" s="88">
        <f t="shared" si="5"/>
        <v>99999999999</v>
      </c>
      <c r="AF108" s="82">
        <f t="shared" si="6"/>
        <v>0</v>
      </c>
      <c r="AG108" s="88">
        <f t="shared" si="7"/>
        <v>0</v>
      </c>
      <c r="AH108" s="104"/>
      <c r="AI108" s="104"/>
      <c r="AJ108" s="105"/>
      <c r="AK108" s="105"/>
      <c r="AL108" s="105"/>
      <c r="AM108" s="105"/>
    </row>
    <row r="109" spans="1:39" x14ac:dyDescent="0.25">
      <c r="A109" s="89">
        <v>97</v>
      </c>
      <c r="B109" s="114">
        <f>INDEX('Tabl. 1'!$C$8:$AO$313,104+$AB104,MATCH($C$7,$AA$7:$AA$45))</f>
        <v>99999999999</v>
      </c>
      <c r="C109" s="114">
        <f>INDEX('Tabl. 1'!$C$8:$AO$313,206+$AB104,MATCH($C$7,$AA$7:$AA$45))</f>
        <v>99999999999</v>
      </c>
      <c r="AA109" s="82"/>
      <c r="AB109" s="82"/>
      <c r="AC109" s="82"/>
      <c r="AD109" s="87">
        <f>MAX('Tabl. 1'!C111:C211)*-1</f>
        <v>-99999999999</v>
      </c>
      <c r="AE109" s="88">
        <f>MAX('Tabl. 1'!C213:C313)</f>
        <v>99999999999</v>
      </c>
      <c r="AF109" s="82">
        <f t="shared" si="6"/>
        <v>0</v>
      </c>
      <c r="AG109" s="88">
        <f t="shared" si="7"/>
        <v>0</v>
      </c>
      <c r="AH109" s="104"/>
      <c r="AI109" s="104"/>
      <c r="AJ109" s="105"/>
      <c r="AK109" s="105"/>
      <c r="AL109" s="105"/>
      <c r="AM109" s="105"/>
    </row>
    <row r="110" spans="1:39" x14ac:dyDescent="0.25">
      <c r="A110" s="89">
        <v>98</v>
      </c>
      <c r="B110" s="114">
        <f>INDEX('Tabl. 1'!$C$8:$AO$313,104+$AB105,MATCH($C$7,$AA$7:$AA$45))</f>
        <v>99999999999</v>
      </c>
      <c r="C110" s="114">
        <f>INDEX('Tabl. 1'!$C$8:$AO$313,206+$AB105,MATCH($C$7,$AA$7:$AA$45))</f>
        <v>99999999999</v>
      </c>
      <c r="AA110" s="82"/>
      <c r="AB110" s="82"/>
      <c r="AC110" s="82"/>
      <c r="AD110" s="82"/>
      <c r="AE110" s="82"/>
      <c r="AF110" s="82"/>
      <c r="AG110" s="83"/>
      <c r="AH110" s="104"/>
      <c r="AI110" s="104"/>
      <c r="AJ110" s="105"/>
      <c r="AK110" s="105"/>
      <c r="AL110" s="105"/>
      <c r="AM110" s="105"/>
    </row>
    <row r="111" spans="1:39" x14ac:dyDescent="0.25">
      <c r="A111" s="89">
        <v>99</v>
      </c>
      <c r="B111" s="114">
        <f>INDEX('Tabl. 1'!$C$8:$AO$313,104+$AB106,MATCH($C$7,$AA$7:$AA$45))</f>
        <v>99999999999</v>
      </c>
      <c r="C111" s="114">
        <f>INDEX('Tabl. 1'!$C$8:$AO$313,206+$AB106,MATCH($C$7,$AA$7:$AA$45))</f>
        <v>99999999999</v>
      </c>
      <c r="AA111" s="82"/>
      <c r="AB111" s="82"/>
      <c r="AC111" s="82"/>
      <c r="AD111" s="82"/>
      <c r="AE111" s="82"/>
      <c r="AF111" s="82"/>
      <c r="AG111" s="83"/>
      <c r="AH111" s="104"/>
      <c r="AI111" s="104"/>
      <c r="AJ111" s="105"/>
      <c r="AK111" s="105"/>
      <c r="AL111" s="105"/>
      <c r="AM111" s="105"/>
    </row>
    <row r="112" spans="1:39" x14ac:dyDescent="0.25">
      <c r="A112" s="90" t="s">
        <v>68</v>
      </c>
      <c r="B112" s="118">
        <f>INDEX('Tabl. 1'!$C$8:$AO$313,104+$AB107,MATCH($C$7,$AA$7:$AA$45))</f>
        <v>99999999999</v>
      </c>
      <c r="C112" s="118">
        <f>INDEX('Tabl. 1'!$C$8:$AO$313,206+$AB107,MATCH($C$7,$AA$7:$AA$45))</f>
        <v>99999999999</v>
      </c>
      <c r="AA112" s="82"/>
      <c r="AB112" s="82"/>
      <c r="AC112" s="82"/>
      <c r="AD112" s="82"/>
      <c r="AE112" s="82"/>
      <c r="AF112" s="82"/>
      <c r="AG112" s="83"/>
      <c r="AH112" s="104"/>
      <c r="AI112" s="104"/>
      <c r="AJ112" s="105"/>
      <c r="AK112" s="105"/>
      <c r="AL112" s="105"/>
      <c r="AM112" s="105"/>
    </row>
  </sheetData>
  <sheetCalcPr fullCalcOnLoad="true"/>
  <sheetProtection algorithmName="SHA-512" hashValue="SMM2pLY6n7OaOW9jj1KkUraATUS04wBdz+WrDccxPEadgPGG6MpY8pga+KYbzkFilcm+ZLZGw8Q6IMZef9FIxQ==" saltValue="6N+D7C1YHmuzC0dsDonDdQ==" spinCount="100000" sheet="1" objects="1" scenarios="1" selectLockedCells="1"/>
  <mergeCells count="3">
    <mergeCell ref="B1:C1"/>
    <mergeCell ref="B2:C3"/>
    <mergeCell ref="A4:C4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ignoredErrors>
    <ignoredError sqref="AD109:AE109" formulaRange="1"/>
  </ignoredErrors>
  <drawing r:id="rId2"/>
  <legacyDrawing r:id="rId3"/>
  <mc:AlternateContent>
    <mc:Choice Requires="x14">
      <controls>
        <mc:AlternateContent>
          <mc:Choice Requires="x14">
            <control shapeId="10241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2023-08-29T13:53:58Z</dcterms:modified>
</cp:coreProperties>
</file>