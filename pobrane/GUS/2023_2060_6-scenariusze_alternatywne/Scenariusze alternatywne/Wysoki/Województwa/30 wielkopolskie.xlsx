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4" r:id="rId1"/>
    <sheet name="Tabl. 1" sheetId="12" r:id="rId2"/>
    <sheet name="Tabl. 2" sheetId="13" r:id="rId3"/>
    <sheet name="Tabl. 3" sheetId="11" r:id="rId4"/>
    <sheet name="Tabl. 4" sheetId="5" r:id="rId5"/>
    <sheet name="Wykres 1 Chart 1" sheetId="19" r:id="rId6"/>
  </sheets>
  <calcPr calcId="152511"/>
</workbook>
</file>

<file path=xl/calcChain.xml><?xml version="1.0" encoding="utf-8"?>
<calcChain xmlns="http://schemas.openxmlformats.org/spreadsheetml/2006/main">
  <c r="AE109" i="19" l="1"/>
  <c r="AD109" i="19"/>
  <c r="B13" i="19"/>
  <c r="C13" i="19"/>
  <c r="B14" i="19"/>
  <c r="C14" i="19"/>
  <c r="B15" i="19"/>
  <c r="C15" i="19"/>
  <c r="B16" i="19"/>
  <c r="C16" i="19"/>
  <c r="B17" i="19"/>
  <c r="C17" i="19"/>
  <c r="B18" i="19"/>
  <c r="C18" i="19"/>
  <c r="B19" i="19"/>
  <c r="C19" i="19"/>
  <c r="B20" i="19"/>
  <c r="C20" i="19"/>
  <c r="B21" i="19"/>
  <c r="C21" i="19"/>
  <c r="B22" i="19"/>
  <c r="C22" i="19"/>
  <c r="B23" i="19"/>
  <c r="C23" i="19"/>
  <c r="B24" i="19"/>
  <c r="C24" i="19"/>
  <c r="B25" i="19"/>
  <c r="C25" i="19"/>
  <c r="B26" i="19"/>
  <c r="C26" i="19"/>
  <c r="B27" i="19"/>
  <c r="C27" i="19"/>
  <c r="B28" i="19"/>
  <c r="C28" i="19"/>
  <c r="B29" i="19"/>
  <c r="C29" i="19"/>
  <c r="B30" i="19"/>
  <c r="C30" i="19"/>
  <c r="B31" i="19"/>
  <c r="C31" i="19"/>
  <c r="B32" i="19"/>
  <c r="C32" i="19"/>
  <c r="B33" i="19"/>
  <c r="C33" i="19"/>
  <c r="B34" i="19"/>
  <c r="C34" i="19"/>
  <c r="B35" i="19"/>
  <c r="C35" i="19"/>
  <c r="B36" i="19"/>
  <c r="C36" i="19"/>
  <c r="B37" i="19"/>
  <c r="C37" i="19"/>
  <c r="B38" i="19"/>
  <c r="C38" i="19"/>
  <c r="B39" i="19"/>
  <c r="C39" i="19"/>
  <c r="B40" i="19"/>
  <c r="C40" i="19"/>
  <c r="B41" i="19"/>
  <c r="C41" i="19"/>
  <c r="B42" i="19"/>
  <c r="C42" i="19"/>
  <c r="B43" i="19"/>
  <c r="C43" i="19"/>
  <c r="B44" i="19"/>
  <c r="C44" i="19"/>
  <c r="B45" i="19"/>
  <c r="C45" i="19"/>
  <c r="B46" i="19"/>
  <c r="C46" i="19"/>
  <c r="B47" i="19"/>
  <c r="C47" i="19"/>
  <c r="B48" i="19"/>
  <c r="C48" i="19"/>
  <c r="B49" i="19"/>
  <c r="C49" i="19"/>
  <c r="B50" i="19"/>
  <c r="C50" i="19"/>
  <c r="B51" i="19"/>
  <c r="C51" i="19"/>
  <c r="B52" i="19"/>
  <c r="C52" i="19"/>
  <c r="B53" i="19"/>
  <c r="C53" i="19"/>
  <c r="B54" i="19"/>
  <c r="C54" i="19"/>
  <c r="B55" i="19"/>
  <c r="C55" i="19"/>
  <c r="B56" i="19"/>
  <c r="C56" i="19"/>
  <c r="B57" i="19"/>
  <c r="C57" i="19"/>
  <c r="B58" i="19"/>
  <c r="C58" i="19"/>
  <c r="B59" i="19"/>
  <c r="C59" i="19"/>
  <c r="B60" i="19"/>
  <c r="C60" i="19"/>
  <c r="B61" i="19"/>
  <c r="C61" i="19"/>
  <c r="B62" i="19"/>
  <c r="C62" i="19"/>
  <c r="B63" i="19"/>
  <c r="C63" i="19"/>
  <c r="B64" i="19"/>
  <c r="C64" i="19"/>
  <c r="B65" i="19"/>
  <c r="C65" i="19"/>
  <c r="B66" i="19"/>
  <c r="C66" i="19"/>
  <c r="B67" i="19"/>
  <c r="C67" i="19"/>
  <c r="B68" i="19"/>
  <c r="C68" i="19"/>
  <c r="B69" i="19"/>
  <c r="C69" i="19"/>
  <c r="B70" i="19"/>
  <c r="C70" i="19"/>
  <c r="B71" i="19"/>
  <c r="C71" i="19"/>
  <c r="B72" i="19"/>
  <c r="C72" i="19"/>
  <c r="B73" i="19"/>
  <c r="C73" i="19"/>
  <c r="B74" i="19"/>
  <c r="C74" i="19"/>
  <c r="B75" i="19"/>
  <c r="C75" i="19"/>
  <c r="B76" i="19"/>
  <c r="C76" i="19"/>
  <c r="B77" i="19"/>
  <c r="C77" i="19"/>
  <c r="B78" i="19"/>
  <c r="C78" i="19"/>
  <c r="B79" i="19"/>
  <c r="C79" i="19"/>
  <c r="B80" i="19"/>
  <c r="C80" i="19"/>
  <c r="B81" i="19"/>
  <c r="C81" i="19"/>
  <c r="B82" i="19"/>
  <c r="C82" i="19"/>
  <c r="B83" i="19"/>
  <c r="C83" i="19"/>
  <c r="B84" i="19"/>
  <c r="C84" i="19"/>
  <c r="B85" i="19"/>
  <c r="C85" i="19"/>
  <c r="B86" i="19"/>
  <c r="C86" i="19"/>
  <c r="B87" i="19"/>
  <c r="C87" i="19"/>
  <c r="B88" i="19"/>
  <c r="C88" i="19"/>
  <c r="B89" i="19"/>
  <c r="C89" i="19"/>
  <c r="B90" i="19"/>
  <c r="C90" i="19"/>
  <c r="B91" i="19"/>
  <c r="C91" i="19"/>
  <c r="B92" i="19"/>
  <c r="C92" i="19"/>
  <c r="B93" i="19"/>
  <c r="C93" i="19"/>
  <c r="B94" i="19"/>
  <c r="C94" i="19"/>
  <c r="B95" i="19"/>
  <c r="C95" i="19"/>
  <c r="B96" i="19"/>
  <c r="C96" i="19"/>
  <c r="B97" i="19"/>
  <c r="C97" i="19"/>
  <c r="B98" i="19"/>
  <c r="C98" i="19"/>
  <c r="B99" i="19"/>
  <c r="C99" i="19"/>
  <c r="B100" i="19"/>
  <c r="C100" i="19"/>
  <c r="B101" i="19"/>
  <c r="C101" i="19"/>
  <c r="B102" i="19"/>
  <c r="C102" i="19"/>
  <c r="B103" i="19"/>
  <c r="C103" i="19"/>
  <c r="B104" i="19"/>
  <c r="C104" i="19"/>
  <c r="B105" i="19"/>
  <c r="C105" i="19"/>
  <c r="B106" i="19"/>
  <c r="C106" i="19"/>
  <c r="B107" i="19"/>
  <c r="C107" i="19"/>
  <c r="B108" i="19"/>
  <c r="C108" i="19"/>
  <c r="B109" i="19"/>
  <c r="C109" i="19"/>
  <c r="B110" i="19"/>
  <c r="C110" i="19"/>
  <c r="B111" i="19"/>
  <c r="C111" i="19"/>
  <c r="B112" i="19"/>
  <c r="C112" i="19"/>
  <c r="C12" i="19"/>
  <c r="B12" i="19"/>
  <c r="AF108" i="19" l="1"/>
  <c r="AD108" i="19" s="1"/>
  <c r="AG107" i="19"/>
  <c r="AE107" i="19" s="1"/>
  <c r="AF106" i="19"/>
  <c r="AD106" i="19" s="1"/>
  <c r="AG109" i="19"/>
  <c r="AF109" i="19"/>
  <c r="AG105" i="19"/>
  <c r="AE105" i="19" s="1"/>
  <c r="AG108" i="19"/>
  <c r="AE108" i="19" s="1"/>
  <c r="AF107" i="19"/>
  <c r="AD107" i="19" s="1"/>
  <c r="AG103" i="19"/>
  <c r="AE103" i="19" s="1"/>
  <c r="AG102" i="19"/>
  <c r="AG101" i="19"/>
  <c r="AE101" i="19" s="1"/>
  <c r="AF104" i="19"/>
  <c r="AF100" i="19"/>
  <c r="AF103" i="19"/>
  <c r="AD103" i="19" s="1"/>
  <c r="AG99" i="19"/>
  <c r="AE99" i="19" s="1"/>
  <c r="AF98" i="19"/>
  <c r="AG97" i="19"/>
  <c r="AE97" i="19" s="1"/>
  <c r="AF96" i="19"/>
  <c r="AF99" i="19"/>
  <c r="AG95" i="19"/>
  <c r="AE95" i="19" s="1"/>
  <c r="AG94" i="19"/>
  <c r="AF97" i="19"/>
  <c r="AF93" i="19"/>
  <c r="AD93" i="19" s="1"/>
  <c r="AF92" i="19"/>
  <c r="AF90" i="19"/>
  <c r="AF89" i="19"/>
  <c r="AD89" i="19" s="1"/>
  <c r="AG86" i="19"/>
  <c r="AF85" i="19"/>
  <c r="AF84" i="19"/>
  <c r="AF87" i="19"/>
  <c r="AG83" i="19"/>
  <c r="AE83" i="19" s="1"/>
  <c r="AF79" i="19"/>
  <c r="AD79" i="19" s="1"/>
  <c r="AF82" i="19"/>
  <c r="AG76" i="19"/>
  <c r="AF75" i="19"/>
  <c r="AD75" i="19" s="1"/>
  <c r="AF74" i="19"/>
  <c r="AF77" i="19"/>
  <c r="AD77" i="19" s="1"/>
  <c r="AG73" i="19"/>
  <c r="AE73" i="19" s="1"/>
  <c r="AG70" i="19"/>
  <c r="AF69" i="19"/>
  <c r="AD69" i="19" s="1"/>
  <c r="AF71" i="19"/>
  <c r="AD71" i="19" s="1"/>
  <c r="AF66" i="19"/>
  <c r="AF67" i="19"/>
  <c r="AG63" i="19"/>
  <c r="AE63" i="19" s="1"/>
  <c r="AG62" i="19"/>
  <c r="AF61" i="19"/>
  <c r="AD61" i="19" s="1"/>
  <c r="AF60" i="19"/>
  <c r="AF58" i="19"/>
  <c r="AF56" i="19"/>
  <c r="AF59" i="19"/>
  <c r="AD59" i="19" s="1"/>
  <c r="AF55" i="19"/>
  <c r="AG54" i="19"/>
  <c r="AF57" i="19"/>
  <c r="AG52" i="19"/>
  <c r="AF51" i="19"/>
  <c r="AG46" i="19"/>
  <c r="AG44" i="19"/>
  <c r="AF47" i="19"/>
  <c r="AG43" i="19"/>
  <c r="AE43" i="19" s="1"/>
  <c r="AF41" i="19"/>
  <c r="AF35" i="19"/>
  <c r="AF37" i="19"/>
  <c r="AF33" i="19"/>
  <c r="AF27" i="19"/>
  <c r="AD27" i="19" s="1"/>
  <c r="AF29" i="19"/>
  <c r="AF25" i="19"/>
  <c r="AF23" i="19"/>
  <c r="AG22" i="19"/>
  <c r="AE22" i="19" s="1"/>
  <c r="AF19" i="19"/>
  <c r="AG18" i="19"/>
  <c r="AF21" i="19"/>
  <c r="AG14" i="19"/>
  <c r="AF17" i="19"/>
  <c r="AG12" i="19"/>
  <c r="AF11" i="19"/>
  <c r="AF13" i="19"/>
  <c r="AF9" i="19"/>
  <c r="AG8" i="19"/>
  <c r="AE8" i="19" s="1"/>
  <c r="AF10" i="19" l="1"/>
  <c r="AD10" i="19" s="1"/>
  <c r="AF16" i="19"/>
  <c r="AD16" i="19" s="1"/>
  <c r="AG20" i="19"/>
  <c r="AE20" i="19" s="1"/>
  <c r="AG23" i="19"/>
  <c r="AE23" i="19" s="1"/>
  <c r="AF39" i="19"/>
  <c r="AD39" i="19" s="1"/>
  <c r="AF45" i="19"/>
  <c r="AD45" i="19" s="1"/>
  <c r="AD47" i="19"/>
  <c r="AF49" i="19"/>
  <c r="AD49" i="19" s="1"/>
  <c r="AD57" i="19"/>
  <c r="AG61" i="19"/>
  <c r="AE61" i="19" s="1"/>
  <c r="AG85" i="19"/>
  <c r="AE85" i="19" s="1"/>
  <c r="AF88" i="19"/>
  <c r="AD88" i="19" s="1"/>
  <c r="AG106" i="19"/>
  <c r="AE106" i="19" s="1"/>
  <c r="AD67" i="19"/>
  <c r="AF8" i="19"/>
  <c r="AD8" i="19" s="1"/>
  <c r="AG84" i="19"/>
  <c r="AE84" i="19" s="1"/>
  <c r="AD87" i="19"/>
  <c r="AF95" i="19"/>
  <c r="AD95" i="19" s="1"/>
  <c r="AD99" i="19"/>
  <c r="AF105" i="19"/>
  <c r="AD105" i="19" s="1"/>
  <c r="AF101" i="19"/>
  <c r="AD101" i="19" s="1"/>
  <c r="AF12" i="19"/>
  <c r="AD12" i="19" s="1"/>
  <c r="AF26" i="19"/>
  <c r="AD26" i="19" s="1"/>
  <c r="AF31" i="19"/>
  <c r="AD31" i="19" s="1"/>
  <c r="AD35" i="19"/>
  <c r="AG48" i="19"/>
  <c r="AE48" i="19" s="1"/>
  <c r="AG50" i="19"/>
  <c r="AF53" i="19"/>
  <c r="AD53" i="19" s="1"/>
  <c r="AD55" i="19"/>
  <c r="AG65" i="19"/>
  <c r="AE65" i="19" s="1"/>
  <c r="AG68" i="19"/>
  <c r="AG78" i="19"/>
  <c r="AE78" i="19" s="1"/>
  <c r="AF83" i="19"/>
  <c r="AD83" i="19" s="1"/>
  <c r="AG81" i="19"/>
  <c r="AE81" i="19" s="1"/>
  <c r="AF91" i="19"/>
  <c r="AD91" i="19" s="1"/>
  <c r="AD97" i="19"/>
  <c r="AG100" i="19"/>
  <c r="AE100" i="19" s="1"/>
  <c r="AD51" i="19"/>
  <c r="AF65" i="19"/>
  <c r="AD65" i="19" s="1"/>
  <c r="AG10" i="19"/>
  <c r="AE10" i="19" s="1"/>
  <c r="AG16" i="19"/>
  <c r="AE16" i="19" s="1"/>
  <c r="AF20" i="19"/>
  <c r="AD20" i="19" s="1"/>
  <c r="AG24" i="19"/>
  <c r="AE24" i="19" s="1"/>
  <c r="AG28" i="19"/>
  <c r="AE28" i="19" s="1"/>
  <c r="AF30" i="19"/>
  <c r="AD30" i="19" s="1"/>
  <c r="AG32" i="19"/>
  <c r="AE32" i="19" s="1"/>
  <c r="AF34" i="19"/>
  <c r="AD34" i="19" s="1"/>
  <c r="AG36" i="19"/>
  <c r="AE36" i="19" s="1"/>
  <c r="AF38" i="19"/>
  <c r="AD38" i="19" s="1"/>
  <c r="AG40" i="19"/>
  <c r="AE40" i="19" s="1"/>
  <c r="AF50" i="19"/>
  <c r="AD50" i="19" s="1"/>
  <c r="AF52" i="19"/>
  <c r="AD52" i="19" s="1"/>
  <c r="AG60" i="19"/>
  <c r="AE60" i="19" s="1"/>
  <c r="AG64" i="19"/>
  <c r="AE64" i="19" s="1"/>
  <c r="AF68" i="19"/>
  <c r="AF73" i="19"/>
  <c r="AD73" i="19" s="1"/>
  <c r="AG71" i="19"/>
  <c r="AE71" i="19" s="1"/>
  <c r="AF76" i="19"/>
  <c r="AD76" i="19" s="1"/>
  <c r="AF81" i="19"/>
  <c r="AD81" i="19" s="1"/>
  <c r="AG79" i="19"/>
  <c r="AE79" i="19" s="1"/>
  <c r="AG80" i="19"/>
  <c r="AE80" i="19" s="1"/>
  <c r="AG92" i="19"/>
  <c r="AE92" i="19" s="1"/>
  <c r="AF15" i="19"/>
  <c r="AD15" i="19" s="1"/>
  <c r="AD13" i="19"/>
  <c r="AF14" i="19"/>
  <c r="AD14" i="19" s="1"/>
  <c r="AD17" i="19"/>
  <c r="AF18" i="19"/>
  <c r="AD18" i="19" s="1"/>
  <c r="AD21" i="19"/>
  <c r="AG25" i="19"/>
  <c r="AE25" i="19" s="1"/>
  <c r="AG29" i="19"/>
  <c r="AE29" i="19" s="1"/>
  <c r="AG33" i="19"/>
  <c r="AE33" i="19" s="1"/>
  <c r="AG37" i="19"/>
  <c r="AE37" i="19" s="1"/>
  <c r="AG41" i="19"/>
  <c r="AE41" i="19" s="1"/>
  <c r="AF42" i="19"/>
  <c r="AD42" i="19" s="1"/>
  <c r="AG55" i="19"/>
  <c r="AE55" i="19" s="1"/>
  <c r="AG57" i="19"/>
  <c r="AE57" i="19" s="1"/>
  <c r="AG59" i="19"/>
  <c r="AE59" i="19" s="1"/>
  <c r="AF63" i="19"/>
  <c r="AD63" i="19" s="1"/>
  <c r="AG69" i="19"/>
  <c r="AE69" i="19" s="1"/>
  <c r="AG77" i="19"/>
  <c r="AE77" i="19" s="1"/>
  <c r="AD85" i="19"/>
  <c r="AG89" i="19"/>
  <c r="AE89" i="19" s="1"/>
  <c r="AG91" i="19"/>
  <c r="AE91" i="19" s="1"/>
  <c r="AG93" i="19"/>
  <c r="AE93" i="19" s="1"/>
  <c r="AD19" i="19"/>
  <c r="AD23" i="19"/>
  <c r="AG27" i="19"/>
  <c r="AE27" i="19" s="1"/>
  <c r="AG31" i="19"/>
  <c r="AE31" i="19" s="1"/>
  <c r="AG35" i="19"/>
  <c r="AE35" i="19" s="1"/>
  <c r="AG39" i="19"/>
  <c r="AE39" i="19" s="1"/>
  <c r="AF43" i="19"/>
  <c r="AD43" i="19" s="1"/>
  <c r="AG45" i="19"/>
  <c r="AE45" i="19" s="1"/>
  <c r="AG47" i="19"/>
  <c r="AE47" i="19" s="1"/>
  <c r="AG49" i="19"/>
  <c r="AE49" i="19" s="1"/>
  <c r="AG51" i="19"/>
  <c r="AE51" i="19" s="1"/>
  <c r="AG53" i="19"/>
  <c r="AE53" i="19" s="1"/>
  <c r="AG56" i="19"/>
  <c r="AE56" i="19" s="1"/>
  <c r="AG67" i="19"/>
  <c r="AE67" i="19" s="1"/>
  <c r="AG75" i="19"/>
  <c r="AE75" i="19" s="1"/>
  <c r="AG87" i="19"/>
  <c r="AE87" i="19" s="1"/>
  <c r="AG88" i="19"/>
  <c r="AE88" i="19" s="1"/>
  <c r="AG9" i="19"/>
  <c r="AE9" i="19" s="1"/>
  <c r="AD11" i="19"/>
  <c r="AG11" i="19"/>
  <c r="AE11" i="19" s="1"/>
  <c r="AD9" i="19"/>
  <c r="AG38" i="19"/>
  <c r="AE38" i="19" s="1"/>
  <c r="AG42" i="19"/>
  <c r="AF48" i="19"/>
  <c r="AD48" i="19" s="1"/>
  <c r="AE54" i="19"/>
  <c r="AF64" i="19"/>
  <c r="AF80" i="19"/>
  <c r="AD80" i="19" s="1"/>
  <c r="AE86" i="19"/>
  <c r="AD96" i="19"/>
  <c r="AD104" i="19"/>
  <c r="AG13" i="19"/>
  <c r="AE13" i="19" s="1"/>
  <c r="AE14" i="19"/>
  <c r="AG17" i="19"/>
  <c r="AE17" i="19" s="1"/>
  <c r="AE18" i="19"/>
  <c r="AG19" i="19"/>
  <c r="AE19" i="19" s="1"/>
  <c r="AG21" i="19"/>
  <c r="AE21" i="19" s="1"/>
  <c r="AF24" i="19"/>
  <c r="AD24" i="19" s="1"/>
  <c r="AD25" i="19"/>
  <c r="AF28" i="19"/>
  <c r="AD28" i="19" s="1"/>
  <c r="AD29" i="19"/>
  <c r="AF32" i="19"/>
  <c r="AD32" i="19" s="1"/>
  <c r="AD33" i="19"/>
  <c r="AF36" i="19"/>
  <c r="AD36" i="19" s="1"/>
  <c r="AD37" i="19"/>
  <c r="AF40" i="19"/>
  <c r="AD40" i="19" s="1"/>
  <c r="AD41" i="19"/>
  <c r="AF44" i="19"/>
  <c r="AD44" i="19" s="1"/>
  <c r="AE42" i="19"/>
  <c r="AD58" i="19"/>
  <c r="AD66" i="19"/>
  <c r="AG72" i="19"/>
  <c r="AE72" i="19" s="1"/>
  <c r="AD74" i="19"/>
  <c r="AD82" i="19"/>
  <c r="AD90" i="19"/>
  <c r="AG96" i="19"/>
  <c r="AE96" i="19" s="1"/>
  <c r="AD98" i="19"/>
  <c r="AG104" i="19"/>
  <c r="AE104" i="19" s="1"/>
  <c r="AE46" i="19"/>
  <c r="AD56" i="19"/>
  <c r="AE62" i="19"/>
  <c r="AF72" i="19"/>
  <c r="AD72" i="19" s="1"/>
  <c r="AE94" i="19"/>
  <c r="AE102" i="19"/>
  <c r="AE12" i="19"/>
  <c r="AG15" i="19"/>
  <c r="AE15" i="19" s="1"/>
  <c r="AF22" i="19"/>
  <c r="AD22" i="19" s="1"/>
  <c r="AE50" i="19"/>
  <c r="AG58" i="19"/>
  <c r="AE58" i="19" s="1"/>
  <c r="AD60" i="19"/>
  <c r="AG66" i="19"/>
  <c r="AE66" i="19" s="1"/>
  <c r="AD68" i="19"/>
  <c r="AG74" i="19"/>
  <c r="AE74" i="19" s="1"/>
  <c r="AG82" i="19"/>
  <c r="AE82" i="19" s="1"/>
  <c r="AD84" i="19"/>
  <c r="AG90" i="19"/>
  <c r="AE90" i="19" s="1"/>
  <c r="AD92" i="19"/>
  <c r="AG98" i="19"/>
  <c r="AE98" i="19" s="1"/>
  <c r="AD100" i="19"/>
  <c r="AG26" i="19"/>
  <c r="AE26" i="19" s="1"/>
  <c r="AG30" i="19"/>
  <c r="AE30" i="19" s="1"/>
  <c r="AG34" i="19"/>
  <c r="AE34" i="19" s="1"/>
  <c r="AD64" i="19"/>
  <c r="AE70" i="19"/>
  <c r="AF46" i="19"/>
  <c r="AD46" i="19" s="1"/>
  <c r="AE44" i="19"/>
  <c r="AF54" i="19"/>
  <c r="AD54" i="19" s="1"/>
  <c r="AE52" i="19"/>
  <c r="AF62" i="19"/>
  <c r="AD62" i="19" s="1"/>
  <c r="AF70" i="19"/>
  <c r="AD70" i="19" s="1"/>
  <c r="AE68" i="19"/>
  <c r="AF78" i="19"/>
  <c r="AD78" i="19" s="1"/>
  <c r="AE76" i="19"/>
  <c r="AF86" i="19"/>
  <c r="AD86" i="19" s="1"/>
  <c r="AF94" i="19"/>
  <c r="AD94" i="19" s="1"/>
  <c r="AF102" i="19"/>
  <c r="AD102" i="19" s="1"/>
</calcChain>
</file>

<file path=xl/sharedStrings.xml><?xml version="1.0" encoding="utf-8"?>
<sst xmlns="http://schemas.openxmlformats.org/spreadsheetml/2006/main" count="222" uniqueCount="106">
  <si>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</si>
  <si>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</si>
  <si>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</si>
  <si>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</si>
  <si>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</si>
  <si>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</si>
  <si>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</si>
  <si>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</si>
  <si>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</si>
  <si>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</si>
  <si>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</si>
  <si>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</si>
  <si>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</si>
  <si>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</si>
  <si>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</si>
  <si>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</si>
  <si>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</si>
  <si>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</si>
  <si>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</si>
  <si>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</si>
  <si>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</si>
  <si>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</si>
  <si>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</si>
  <si>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</si>
  <si>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</si>
  <si>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</si>
  <si>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</si>
  <si>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</si>
  <si>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</si>
  <si>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</si>
  <si>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</si>
  <si>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</si>
  <si>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</si>
  <si>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</si>
  <si>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</si>
  <si>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</si>
  <si>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</si>
  <si>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</si>
  <si>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</si>
  <si>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</si>
  <si>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</si>
  <si>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</si>
  <si>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</si>
  <si>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</si>
  <si>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</si>
  <si>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</si>
  <si>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</si>
  <si>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</si>
  <si>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</si>
  <si>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</si>
  <si>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</si>
  <si>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</si>
  <si>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</si>
  <si>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</si>
  <si>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</si>
  <si>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</si>
  <si>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</si>
  <si>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</si>
  <si>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</si>
  <si>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</si>
  <si>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</si>
  <si>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</si>
  <si>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</si>
  <si>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</si>
  <si>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</si>
  <si>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</si>
  <si>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</si>
  <si>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nazwa</t>
  </si>
  <si>
    <t>100+</t>
  </si>
  <si>
    <t>90-94</t>
  </si>
  <si>
    <t>95-99</t>
  </si>
  <si>
    <t>PROGNOZA LUDNOŚCI NA LATA 2023-2060</t>
  </si>
  <si>
    <t>POPULATION PROJECTION 2023-2060</t>
  </si>
  <si>
    <t>Spis tablic</t>
  </si>
  <si>
    <t>List of tables</t>
  </si>
  <si>
    <t>TABL. 1.</t>
  </si>
  <si>
    <t>LUDNOŚĆ WEDŁUG PŁCI I POJEDYNCZYCH ROCZNIKÓW WIEKU</t>
  </si>
  <si>
    <t>TABL. 2.</t>
  </si>
  <si>
    <t>TABL. 3.</t>
  </si>
  <si>
    <t>LUDNOŚĆ WEDŁUG PŁCI I WYBRANYCH GRUP WIEKU</t>
  </si>
  <si>
    <t>TABL. 4.</t>
  </si>
  <si>
    <t>RUCH NATURALNY I MIGRACYJNY LUDNOŚCI</t>
  </si>
  <si>
    <t>Powrót do spisu tablic</t>
  </si>
  <si>
    <t>Return to the list of tables</t>
  </si>
  <si>
    <t>Scenariusz wysoki</t>
  </si>
  <si>
    <t>High scenario</t>
  </si>
  <si>
    <t>TABL. 2. LUDNOŚĆ WEDŁUG PŁCI I PIĘCIOLETNICH GRUP WIEKU</t>
  </si>
  <si>
    <t>LUDNOŚĆ WEDŁUG PŁCI I PIĘCIOLETNICH GRUP WIEKU</t>
  </si>
  <si>
    <t>WYKRES 1.</t>
  </si>
  <si>
    <t>PIRAMIDA LUDNOŚCI</t>
  </si>
  <si>
    <t>POPULATION PYRAMID</t>
  </si>
  <si>
    <t>WYKRES 1. PIRAMIDA LUDNOŚCI</t>
  </si>
  <si>
    <t>CHART 1. POPULATION PYRAMID</t>
  </si>
  <si>
    <t>M</t>
  </si>
  <si>
    <t>K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</si>
  <si>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</si>
  <si>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</si>
  <si>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</si>
  <si>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</si>
  <si>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</si>
  <si>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</si>
  <si>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</si>
  <si>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</si>
  <si>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</si>
  <si>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</si>
  <si>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wielkopolskie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</si>
</sst>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sz val="8"/>
      <name val="Calibri"/>
      <family val="2"/>
      <scheme val="minor"/>
    </font>
    <font>
      <i/>
      <sz val="12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C3E5A9"/>
        <bgColor indexed="64"/>
      </patternFill>
    </fill>
    <fill>
      <patternFill patternType="solid">
        <fgColor rgb="FF87CB53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/>
      <right/>
      <top/>
      <bottom style="thick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2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19" xfId="24" applyNumberFormat="1" applyFont="1" applyFill="1" applyBorder="1" applyAlignment="1">
      <alignment horizontal="center" vertical="center" wrapText="1"/>
    </xf>
    <xf numFmtId="1" fontId="12" fillId="3" borderId="21" xfId="25" applyNumberFormat="1" applyFont="1" applyFill="1" applyBorder="1" applyAlignment="1">
      <alignment horizontal="center" vertical="top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4" fontId="2" fillId="3" borderId="27" xfId="24" applyNumberFormat="1" applyFill="1" applyBorder="1" applyAlignment="1">
      <alignment horizontal="center"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25" xfId="25" applyNumberFormat="1" applyFont="1" applyBorder="1" applyAlignment="1">
      <alignment vertical="center" wrapText="1"/>
    </xf>
    <xf numFmtId="4" fontId="3" fillId="3" borderId="26" xfId="24" applyNumberFormat="1" applyFont="1" applyFill="1" applyBorder="1" applyAlignment="1">
      <alignment horizontal="center"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4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2" fillId="3" borderId="13" xfId="26" applyFont="1" applyFill="1" applyBorder="1" applyAlignment="1">
      <alignment horizontal="left" vertical="top"/>
    </xf>
    <xf numFmtId="49" fontId="22" fillId="3" borderId="13" xfId="26" applyNumberFormat="1" applyFont="1" applyFill="1" applyBorder="1" applyAlignment="1">
      <alignment horizontal="left" vertical="top"/>
    </xf>
    <xf numFmtId="0" fontId="22" fillId="3" borderId="14" xfId="26" applyFont="1" applyFill="1" applyBorder="1" applyAlignment="1">
      <alignment horizontal="left" vertical="top"/>
    </xf>
    <xf numFmtId="0" fontId="22" fillId="3" borderId="33" xfId="26" applyFont="1" applyFill="1" applyBorder="1" applyAlignment="1">
      <alignment horizontal="left" vertical="top"/>
    </xf>
    <xf numFmtId="0" fontId="5" fillId="4" borderId="12" xfId="0" applyFont="1" applyFill="1" applyBorder="1" applyAlignment="1">
      <alignment horizontal="right"/>
    </xf>
    <xf numFmtId="3" fontId="10" fillId="4" borderId="7" xfId="0" applyNumberFormat="1" applyFont="1" applyFill="1" applyBorder="1"/>
    <xf numFmtId="3" fontId="10" fillId="4" borderId="5" xfId="0" applyNumberFormat="1" applyFont="1" applyFill="1" applyBorder="1"/>
    <xf numFmtId="0" fontId="23" fillId="4" borderId="12" xfId="26" applyFont="1" applyFill="1" applyBorder="1" applyAlignment="1">
      <alignment horizontal="left" vertical="top"/>
    </xf>
    <xf numFmtId="0" fontId="24" fillId="3" borderId="0" xfId="0" applyFont="1" applyFill="1"/>
    <xf numFmtId="0" fontId="26" fillId="3" borderId="0" xfId="0" applyFont="1" applyFill="1"/>
    <xf numFmtId="0" fontId="27" fillId="3" borderId="0" xfId="0" applyFont="1" applyFill="1"/>
    <xf numFmtId="0" fontId="14" fillId="3" borderId="0" xfId="0" applyFont="1" applyFill="1"/>
    <xf numFmtId="0" fontId="28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35" xfId="0" applyFont="1" applyFill="1" applyBorder="1"/>
    <xf numFmtId="0" fontId="8" fillId="3" borderId="0" xfId="0" applyFont="1" applyFill="1" applyBorder="1"/>
    <xf numFmtId="0" fontId="8" fillId="3" borderId="36" xfId="0" applyFont="1" applyFill="1" applyBorder="1"/>
    <xf numFmtId="0" fontId="11" fillId="3" borderId="0" xfId="0" applyFont="1" applyFill="1"/>
    <xf numFmtId="0" fontId="16" fillId="3" borderId="0" xfId="24" applyFont="1" applyFill="1" applyBorder="1" applyAlignment="1" applyProtection="1">
      <alignment vertical="top" wrapText="1"/>
      <protection locked="0"/>
    </xf>
    <xf numFmtId="0" fontId="2" fillId="3" borderId="0" xfId="25" applyFill="1"/>
    <xf numFmtId="0" fontId="2" fillId="3" borderId="0" xfId="25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2" fillId="3" borderId="0" xfId="25" applyFill="1" applyBorder="1"/>
    <xf numFmtId="0" fontId="2" fillId="3" borderId="0" xfId="25" applyFont="1" applyFill="1" applyProtection="1"/>
    <xf numFmtId="0" fontId="2" fillId="3" borderId="0" xfId="25" applyFont="1" applyFill="1"/>
    <xf numFmtId="0" fontId="2" fillId="3" borderId="37" xfId="25" applyFill="1" applyBorder="1"/>
    <xf numFmtId="0" fontId="2" fillId="3" borderId="38" xfId="25" applyFill="1" applyBorder="1"/>
    <xf numFmtId="0" fontId="2" fillId="3" borderId="35" xfId="25" applyFont="1" applyFill="1" applyBorder="1" applyProtection="1">
      <protection locked="0"/>
    </xf>
    <xf numFmtId="0" fontId="2" fillId="3" borderId="0" xfId="25" applyFill="1" applyProtection="1">
      <protection locked="0" hidden="1"/>
    </xf>
    <xf numFmtId="0" fontId="32" fillId="3" borderId="0" xfId="25" applyFont="1" applyFill="1" applyProtection="1">
      <protection hidden="1"/>
    </xf>
    <xf numFmtId="0" fontId="32" fillId="3" borderId="0" xfId="25" applyFont="1" applyFill="1" applyProtection="1"/>
    <xf numFmtId="0" fontId="2" fillId="3" borderId="35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3" fontId="2" fillId="3" borderId="0" xfId="25" applyNumberFormat="1" applyFont="1" applyFill="1" applyProtection="1">
      <protection locked="0" hidden="1"/>
    </xf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49" fontId="23" fillId="3" borderId="13" xfId="53" applyNumberFormat="1" applyFont="1" applyFill="1" applyBorder="1" applyAlignment="1" applyProtection="1">
      <alignment horizontal="right" vertical="center"/>
      <protection locked="0"/>
    </xf>
    <xf numFmtId="49" fontId="23" fillId="3" borderId="14" xfId="53" applyNumberFormat="1" applyFont="1" applyFill="1" applyBorder="1" applyAlignment="1" applyProtection="1">
      <alignment horizontal="right" vertical="center"/>
      <protection locked="0"/>
    </xf>
    <xf numFmtId="0" fontId="8" fillId="5" borderId="0" xfId="0" applyFont="1" applyFill="1" applyBorder="1"/>
    <xf numFmtId="0" fontId="13" fillId="5" borderId="0" xfId="24" applyFont="1" applyFill="1" applyBorder="1" applyAlignment="1">
      <alignment vertical="center" wrapText="1"/>
    </xf>
    <xf numFmtId="0" fontId="13" fillId="5" borderId="4" xfId="24" applyFont="1" applyFill="1" applyBorder="1" applyAlignment="1">
      <alignment vertical="center" wrapText="1"/>
    </xf>
    <xf numFmtId="0" fontId="13" fillId="5" borderId="0" xfId="24" applyFont="1" applyFill="1" applyAlignment="1">
      <alignment horizontal="left" vertical="center"/>
    </xf>
    <xf numFmtId="0" fontId="13" fillId="5" borderId="0" xfId="24" applyFont="1" applyFill="1" applyAlignment="1">
      <alignment vertical="center"/>
    </xf>
    <xf numFmtId="0" fontId="13" fillId="5" borderId="4" xfId="24" applyFont="1" applyFill="1" applyBorder="1" applyAlignment="1">
      <alignment vertical="center"/>
    </xf>
    <xf numFmtId="0" fontId="14" fillId="5" borderId="0" xfId="0" applyFont="1" applyFill="1" applyBorder="1" applyAlignment="1">
      <alignment vertical="center"/>
    </xf>
    <xf numFmtId="0" fontId="24" fillId="5" borderId="0" xfId="0" applyFont="1" applyFill="1" applyBorder="1" applyAlignment="1">
      <alignment vertical="center"/>
    </xf>
    <xf numFmtId="0" fontId="13" fillId="5" borderId="0" xfId="24" applyFont="1" applyFill="1" applyBorder="1" applyAlignment="1">
      <alignment horizontal="left" vertical="center"/>
    </xf>
    <xf numFmtId="0" fontId="13" fillId="5" borderId="4" xfId="24" applyFont="1" applyFill="1" applyBorder="1" applyAlignment="1">
      <alignment horizontal="left" vertical="center"/>
    </xf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3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3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4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5" borderId="0" xfId="24" applyFont="1" applyFill="1" applyBorder="1" applyAlignment="1" applyProtection="1">
      <alignment vertical="center" wrapText="1"/>
      <protection locked="0"/>
    </xf>
    <xf numFmtId="165" fontId="2" fillId="0" borderId="8" xfId="25" applyNumberFormat="1" applyFill="1" applyBorder="1" applyAlignment="1" applyProtection="1">
      <alignment vertical="center"/>
      <protection locked="0" hidden="1"/>
    </xf>
    <xf numFmtId="0" fontId="11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24" fillId="5" borderId="0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5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5" borderId="0" xfId="24" applyFont="1" applyFill="1" applyAlignment="1">
      <alignment horizontal="center"/>
    </xf>
    <xf numFmtId="4" fontId="3" fillId="3" borderId="18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31" xfId="24" applyFont="1" applyFill="1" applyBorder="1" applyAlignment="1">
      <alignment horizontal="center" vertical="center" wrapText="1"/>
    </xf>
    <xf numFmtId="0" fontId="3" fillId="3" borderId="24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5" borderId="0" xfId="24" applyFont="1" applyFill="1" applyBorder="1" applyAlignment="1">
      <alignment horizontal="left" vertical="center" wrapText="1"/>
    </xf>
    <xf numFmtId="0" fontId="13" fillId="5" borderId="0" xfId="24" applyFont="1" applyFill="1" applyBorder="1" applyAlignment="1" applyProtection="1">
      <alignment horizontal="left" vertical="center" wrapText="1"/>
      <protection locked="0"/>
    </xf>
    <xf numFmtId="0" fontId="13" fillId="5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3E5A9"/>
      <color rgb="FF87CB53"/>
      <color rgb="FF69BE28"/>
      <color rgb="FFA5D87E"/>
      <color rgb="FFCCEA89"/>
      <color rgb="FFCCEAED"/>
      <color rgb="FF66C2C9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-99999999999</c:v>
                </c:pt>
                <c:pt idx="1">
                  <c:v>-99999999999</c:v>
                </c:pt>
                <c:pt idx="2">
                  <c:v>-99999999999</c:v>
                </c:pt>
                <c:pt idx="3">
                  <c:v>-99999999999</c:v>
                </c:pt>
                <c:pt idx="4">
                  <c:v>-99999999999</c:v>
                </c:pt>
                <c:pt idx="5">
                  <c:v>-99999999999</c:v>
                </c:pt>
                <c:pt idx="6">
                  <c:v>-99999999999</c:v>
                </c:pt>
                <c:pt idx="7">
                  <c:v>-99999999999</c:v>
                </c:pt>
                <c:pt idx="8">
                  <c:v>-99999999999</c:v>
                </c:pt>
                <c:pt idx="9">
                  <c:v>-99999999999</c:v>
                </c:pt>
                <c:pt idx="10">
                  <c:v>-99999999999</c:v>
                </c:pt>
                <c:pt idx="11">
                  <c:v>-99999999999</c:v>
                </c:pt>
                <c:pt idx="12">
                  <c:v>-99999999999</c:v>
                </c:pt>
                <c:pt idx="13">
                  <c:v>-99999999999</c:v>
                </c:pt>
                <c:pt idx="14">
                  <c:v>-99999999999</c:v>
                </c:pt>
                <c:pt idx="15">
                  <c:v>-99999999999</c:v>
                </c:pt>
                <c:pt idx="16">
                  <c:v>-99999999999</c:v>
                </c:pt>
                <c:pt idx="17">
                  <c:v>-99999999999</c:v>
                </c:pt>
                <c:pt idx="18">
                  <c:v>-99999999999</c:v>
                </c:pt>
                <c:pt idx="19">
                  <c:v>-99999999999</c:v>
                </c:pt>
                <c:pt idx="20">
                  <c:v>-99999999999</c:v>
                </c:pt>
                <c:pt idx="21">
                  <c:v>-99999999999</c:v>
                </c:pt>
                <c:pt idx="22">
                  <c:v>-99999999999</c:v>
                </c:pt>
                <c:pt idx="23">
                  <c:v>-99999999999</c:v>
                </c:pt>
                <c:pt idx="24">
                  <c:v>-99999999999</c:v>
                </c:pt>
                <c:pt idx="25">
                  <c:v>-99999999999</c:v>
                </c:pt>
                <c:pt idx="26">
                  <c:v>-99999999999</c:v>
                </c:pt>
                <c:pt idx="27">
                  <c:v>-99999999999</c:v>
                </c:pt>
                <c:pt idx="28">
                  <c:v>-99999999999</c:v>
                </c:pt>
                <c:pt idx="29">
                  <c:v>-99999999999</c:v>
                </c:pt>
                <c:pt idx="30">
                  <c:v>-99999999999</c:v>
                </c:pt>
                <c:pt idx="31">
                  <c:v>-99999999999</c:v>
                </c:pt>
                <c:pt idx="32">
                  <c:v>-99999999999</c:v>
                </c:pt>
                <c:pt idx="33">
                  <c:v>-99999999999</c:v>
                </c:pt>
                <c:pt idx="34">
                  <c:v>-99999999999</c:v>
                </c:pt>
                <c:pt idx="35">
                  <c:v>-99999999999</c:v>
                </c:pt>
                <c:pt idx="36">
                  <c:v>-99999999999</c:v>
                </c:pt>
                <c:pt idx="37">
                  <c:v>-99999999999</c:v>
                </c:pt>
                <c:pt idx="38">
                  <c:v>-99999999999</c:v>
                </c:pt>
                <c:pt idx="39">
                  <c:v>-99999999999</c:v>
                </c:pt>
                <c:pt idx="40">
                  <c:v>-99999999999</c:v>
                </c:pt>
                <c:pt idx="41">
                  <c:v>-99999999999</c:v>
                </c:pt>
                <c:pt idx="42">
                  <c:v>-99999999999</c:v>
                </c:pt>
                <c:pt idx="43">
                  <c:v>-99999999999</c:v>
                </c:pt>
                <c:pt idx="44">
                  <c:v>-99999999999</c:v>
                </c:pt>
                <c:pt idx="45">
                  <c:v>-99999999999</c:v>
                </c:pt>
                <c:pt idx="46">
                  <c:v>-99999999999</c:v>
                </c:pt>
                <c:pt idx="47">
                  <c:v>-99999999999</c:v>
                </c:pt>
                <c:pt idx="48">
                  <c:v>-99999999999</c:v>
                </c:pt>
                <c:pt idx="49">
                  <c:v>-99999999999</c:v>
                </c:pt>
                <c:pt idx="50">
                  <c:v>-99999999999</c:v>
                </c:pt>
                <c:pt idx="51">
                  <c:v>-99999999999</c:v>
                </c:pt>
                <c:pt idx="52">
                  <c:v>-99999999999</c:v>
                </c:pt>
                <c:pt idx="53">
                  <c:v>-99999999999</c:v>
                </c:pt>
                <c:pt idx="54">
                  <c:v>-99999999999</c:v>
                </c:pt>
                <c:pt idx="55">
                  <c:v>-99999999999</c:v>
                </c:pt>
                <c:pt idx="56">
                  <c:v>-99999999999</c:v>
                </c:pt>
                <c:pt idx="57">
                  <c:v>-99999999999</c:v>
                </c:pt>
                <c:pt idx="58">
                  <c:v>-99999999999</c:v>
                </c:pt>
                <c:pt idx="59">
                  <c:v>-99999999999</c:v>
                </c:pt>
                <c:pt idx="60">
                  <c:v>-99999999999</c:v>
                </c:pt>
                <c:pt idx="61">
                  <c:v>-99999999999</c:v>
                </c:pt>
                <c:pt idx="62">
                  <c:v>-99999999999</c:v>
                </c:pt>
                <c:pt idx="63">
                  <c:v>-99999999999</c:v>
                </c:pt>
                <c:pt idx="64">
                  <c:v>-99999999999</c:v>
                </c:pt>
                <c:pt idx="65">
                  <c:v>-99999999999</c:v>
                </c:pt>
                <c:pt idx="66">
                  <c:v>-99999999999</c:v>
                </c:pt>
                <c:pt idx="67">
                  <c:v>-99999999999</c:v>
                </c:pt>
                <c:pt idx="68">
                  <c:v>-99999999999</c:v>
                </c:pt>
                <c:pt idx="69">
                  <c:v>-99999999999</c:v>
                </c:pt>
                <c:pt idx="70">
                  <c:v>-99999999999</c:v>
                </c:pt>
                <c:pt idx="71">
                  <c:v>-99999999999</c:v>
                </c:pt>
                <c:pt idx="72">
                  <c:v>-99999999999</c:v>
                </c:pt>
                <c:pt idx="73">
                  <c:v>-99999999999</c:v>
                </c:pt>
                <c:pt idx="74">
                  <c:v>-99999999999</c:v>
                </c:pt>
                <c:pt idx="75">
                  <c:v>-99999999999</c:v>
                </c:pt>
                <c:pt idx="76">
                  <c:v>-99999999999</c:v>
                </c:pt>
                <c:pt idx="77">
                  <c:v>-99999999999</c:v>
                </c:pt>
                <c:pt idx="78">
                  <c:v>-99999999999</c:v>
                </c:pt>
                <c:pt idx="79">
                  <c:v>-99999999999</c:v>
                </c:pt>
                <c:pt idx="80">
                  <c:v>-99999999999</c:v>
                </c:pt>
                <c:pt idx="81">
                  <c:v>-99999999999</c:v>
                </c:pt>
                <c:pt idx="82">
                  <c:v>-99999999999</c:v>
                </c:pt>
                <c:pt idx="83">
                  <c:v>-99999999999</c:v>
                </c:pt>
                <c:pt idx="84">
                  <c:v>-99999999999</c:v>
                </c:pt>
                <c:pt idx="85">
                  <c:v>-99999999999</c:v>
                </c:pt>
                <c:pt idx="86">
                  <c:v>-99999999999</c:v>
                </c:pt>
                <c:pt idx="87">
                  <c:v>-99999999999</c:v>
                </c:pt>
                <c:pt idx="88">
                  <c:v>-99999999999</c:v>
                </c:pt>
                <c:pt idx="89">
                  <c:v>-99999999999</c:v>
                </c:pt>
                <c:pt idx="90">
                  <c:v>-99999999999</c:v>
                </c:pt>
                <c:pt idx="91">
                  <c:v>-99999999999</c:v>
                </c:pt>
                <c:pt idx="92">
                  <c:v>-99999999999</c:v>
                </c:pt>
                <c:pt idx="93">
                  <c:v>-99999999999</c:v>
                </c:pt>
                <c:pt idx="94">
                  <c:v>-99999999999</c:v>
                </c:pt>
                <c:pt idx="95">
                  <c:v>-99999999999</c:v>
                </c:pt>
                <c:pt idx="96">
                  <c:v>-99999999999</c:v>
                </c:pt>
                <c:pt idx="97">
                  <c:v>-99999999999</c:v>
                </c:pt>
                <c:pt idx="98">
                  <c:v>-99999999999</c:v>
                </c:pt>
                <c:pt idx="99">
                  <c:v>-99999999999</c:v>
                </c:pt>
                <c:pt idx="100">
                  <c:v>-99999999999</c:v>
                </c:pt>
                <c:pt idx="101">
                  <c:v>-99999999999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99999999999</c:v>
                </c:pt>
                <c:pt idx="1">
                  <c:v>99999999999</c:v>
                </c:pt>
                <c:pt idx="2">
                  <c:v>99999999999</c:v>
                </c:pt>
                <c:pt idx="3">
                  <c:v>99999999999</c:v>
                </c:pt>
                <c:pt idx="4">
                  <c:v>99999999999</c:v>
                </c:pt>
                <c:pt idx="5">
                  <c:v>99999999999</c:v>
                </c:pt>
                <c:pt idx="6">
                  <c:v>99999999999</c:v>
                </c:pt>
                <c:pt idx="7">
                  <c:v>99999999999</c:v>
                </c:pt>
                <c:pt idx="8">
                  <c:v>99999999999</c:v>
                </c:pt>
                <c:pt idx="9">
                  <c:v>99999999999</c:v>
                </c:pt>
                <c:pt idx="10">
                  <c:v>99999999999</c:v>
                </c:pt>
                <c:pt idx="11">
                  <c:v>99999999999</c:v>
                </c:pt>
                <c:pt idx="12">
                  <c:v>99999999999</c:v>
                </c:pt>
                <c:pt idx="13">
                  <c:v>99999999999</c:v>
                </c:pt>
                <c:pt idx="14">
                  <c:v>99999999999</c:v>
                </c:pt>
                <c:pt idx="15">
                  <c:v>99999999999</c:v>
                </c:pt>
                <c:pt idx="16">
                  <c:v>99999999999</c:v>
                </c:pt>
                <c:pt idx="17">
                  <c:v>99999999999</c:v>
                </c:pt>
                <c:pt idx="18">
                  <c:v>99999999999</c:v>
                </c:pt>
                <c:pt idx="19">
                  <c:v>99999999999</c:v>
                </c:pt>
                <c:pt idx="20">
                  <c:v>99999999999</c:v>
                </c:pt>
                <c:pt idx="21">
                  <c:v>99999999999</c:v>
                </c:pt>
                <c:pt idx="22">
                  <c:v>99999999999</c:v>
                </c:pt>
                <c:pt idx="23">
                  <c:v>99999999999</c:v>
                </c:pt>
                <c:pt idx="24">
                  <c:v>99999999999</c:v>
                </c:pt>
                <c:pt idx="25">
                  <c:v>99999999999</c:v>
                </c:pt>
                <c:pt idx="26">
                  <c:v>99999999999</c:v>
                </c:pt>
                <c:pt idx="27">
                  <c:v>99999999999</c:v>
                </c:pt>
                <c:pt idx="28">
                  <c:v>99999999999</c:v>
                </c:pt>
                <c:pt idx="29">
                  <c:v>99999999999</c:v>
                </c:pt>
                <c:pt idx="30">
                  <c:v>99999999999</c:v>
                </c:pt>
                <c:pt idx="31">
                  <c:v>99999999999</c:v>
                </c:pt>
                <c:pt idx="32">
                  <c:v>99999999999</c:v>
                </c:pt>
                <c:pt idx="33">
                  <c:v>99999999999</c:v>
                </c:pt>
                <c:pt idx="34">
                  <c:v>99999999999</c:v>
                </c:pt>
                <c:pt idx="35">
                  <c:v>99999999999</c:v>
                </c:pt>
                <c:pt idx="36">
                  <c:v>99999999999</c:v>
                </c:pt>
                <c:pt idx="37">
                  <c:v>99999999999</c:v>
                </c:pt>
                <c:pt idx="38">
                  <c:v>99999999999</c:v>
                </c:pt>
                <c:pt idx="39">
                  <c:v>99999999999</c:v>
                </c:pt>
                <c:pt idx="40">
                  <c:v>99999999999</c:v>
                </c:pt>
                <c:pt idx="41">
                  <c:v>99999999999</c:v>
                </c:pt>
                <c:pt idx="42">
                  <c:v>99999999999</c:v>
                </c:pt>
                <c:pt idx="43">
                  <c:v>99999999999</c:v>
                </c:pt>
                <c:pt idx="44">
                  <c:v>99999999999</c:v>
                </c:pt>
                <c:pt idx="45">
                  <c:v>99999999999</c:v>
                </c:pt>
                <c:pt idx="46">
                  <c:v>99999999999</c:v>
                </c:pt>
                <c:pt idx="47">
                  <c:v>99999999999</c:v>
                </c:pt>
                <c:pt idx="48">
                  <c:v>99999999999</c:v>
                </c:pt>
                <c:pt idx="49">
                  <c:v>99999999999</c:v>
                </c:pt>
                <c:pt idx="50">
                  <c:v>99999999999</c:v>
                </c:pt>
                <c:pt idx="51">
                  <c:v>99999999999</c:v>
                </c:pt>
                <c:pt idx="52">
                  <c:v>99999999999</c:v>
                </c:pt>
                <c:pt idx="53">
                  <c:v>99999999999</c:v>
                </c:pt>
                <c:pt idx="54">
                  <c:v>99999999999</c:v>
                </c:pt>
                <c:pt idx="55">
                  <c:v>99999999999</c:v>
                </c:pt>
                <c:pt idx="56">
                  <c:v>99999999999</c:v>
                </c:pt>
                <c:pt idx="57">
                  <c:v>99999999999</c:v>
                </c:pt>
                <c:pt idx="58">
                  <c:v>99999999999</c:v>
                </c:pt>
                <c:pt idx="59">
                  <c:v>99999999999</c:v>
                </c:pt>
                <c:pt idx="60">
                  <c:v>99999999999</c:v>
                </c:pt>
                <c:pt idx="61">
                  <c:v>99999999999</c:v>
                </c:pt>
                <c:pt idx="62">
                  <c:v>99999999999</c:v>
                </c:pt>
                <c:pt idx="63">
                  <c:v>99999999999</c:v>
                </c:pt>
                <c:pt idx="64">
                  <c:v>99999999999</c:v>
                </c:pt>
                <c:pt idx="65">
                  <c:v>99999999999</c:v>
                </c:pt>
                <c:pt idx="66">
                  <c:v>99999999999</c:v>
                </c:pt>
                <c:pt idx="67">
                  <c:v>99999999999</c:v>
                </c:pt>
                <c:pt idx="68">
                  <c:v>99999999999</c:v>
                </c:pt>
                <c:pt idx="69">
                  <c:v>99999999999</c:v>
                </c:pt>
                <c:pt idx="70">
                  <c:v>99999999999</c:v>
                </c:pt>
                <c:pt idx="71">
                  <c:v>99999999999</c:v>
                </c:pt>
                <c:pt idx="72">
                  <c:v>99999999999</c:v>
                </c:pt>
                <c:pt idx="73">
                  <c:v>99999999999</c:v>
                </c:pt>
                <c:pt idx="74">
                  <c:v>99999999999</c:v>
                </c:pt>
                <c:pt idx="75">
                  <c:v>99999999999</c:v>
                </c:pt>
                <c:pt idx="76">
                  <c:v>99999999999</c:v>
                </c:pt>
                <c:pt idx="77">
                  <c:v>99999999999</c:v>
                </c:pt>
                <c:pt idx="78">
                  <c:v>99999999999</c:v>
                </c:pt>
                <c:pt idx="79">
                  <c:v>99999999999</c:v>
                </c:pt>
                <c:pt idx="80">
                  <c:v>99999999999</c:v>
                </c:pt>
                <c:pt idx="81">
                  <c:v>99999999999</c:v>
                </c:pt>
                <c:pt idx="82">
                  <c:v>99999999999</c:v>
                </c:pt>
                <c:pt idx="83">
                  <c:v>99999999999</c:v>
                </c:pt>
                <c:pt idx="84">
                  <c:v>99999999999</c:v>
                </c:pt>
                <c:pt idx="85">
                  <c:v>99999999999</c:v>
                </c:pt>
                <c:pt idx="86">
                  <c:v>99999999999</c:v>
                </c:pt>
                <c:pt idx="87">
                  <c:v>99999999999</c:v>
                </c:pt>
                <c:pt idx="88">
                  <c:v>99999999999</c:v>
                </c:pt>
                <c:pt idx="89">
                  <c:v>99999999999</c:v>
                </c:pt>
                <c:pt idx="90">
                  <c:v>99999999999</c:v>
                </c:pt>
                <c:pt idx="91">
                  <c:v>99999999999</c:v>
                </c:pt>
                <c:pt idx="92">
                  <c:v>99999999999</c:v>
                </c:pt>
                <c:pt idx="93">
                  <c:v>99999999999</c:v>
                </c:pt>
                <c:pt idx="94">
                  <c:v>99999999999</c:v>
                </c:pt>
                <c:pt idx="95">
                  <c:v>99999999999</c:v>
                </c:pt>
                <c:pt idx="96">
                  <c:v>99999999999</c:v>
                </c:pt>
                <c:pt idx="97">
                  <c:v>99999999999</c:v>
                </c:pt>
                <c:pt idx="98">
                  <c:v>99999999999</c:v>
                </c:pt>
                <c:pt idx="99">
                  <c:v>99999999999</c:v>
                </c:pt>
                <c:pt idx="100">
                  <c:v>99999999999</c:v>
                </c:pt>
                <c:pt idx="101">
                  <c:v>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6296384"/>
        <c:axId val="1236297472"/>
      </c:barChart>
      <c:catAx>
        <c:axId val="1236296384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747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23629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6384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41" name="Spinner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0.7827</cdr:x>
      <cdr:y>0.11412</cdr:y>
    </cdr:from>
    <cdr:to>
      <cdr:x>0.9765</cdr:x>
      <cdr:y>0.20332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34666" y="56479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0.24213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616878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0" t="s">
        <v>71</v>
      </c>
    </row>
    <row r="3" spans="1:18" ht="15" x14ac:dyDescent="0.2">
      <c r="B3" s="61" t="s">
        <v>72</v>
      </c>
    </row>
    <row r="4" spans="1:18" ht="6" customHeight="1" x14ac:dyDescent="0.2">
      <c r="B4" s="61"/>
    </row>
    <row r="5" spans="1:18" ht="15" x14ac:dyDescent="0.25">
      <c r="B5" s="69" t="s">
        <v>84</v>
      </c>
    </row>
    <row r="6" spans="1:18" x14ac:dyDescent="0.2">
      <c r="B6" s="64" t="s">
        <v>85</v>
      </c>
    </row>
    <row r="7" spans="1:18" ht="18.75" x14ac:dyDescent="0.3">
      <c r="B7" s="62"/>
    </row>
    <row r="8" spans="1:18" ht="15.75" x14ac:dyDescent="0.25">
      <c r="B8" s="63" t="s">
        <v>73</v>
      </c>
    </row>
    <row r="9" spans="1:18" x14ac:dyDescent="0.2">
      <c r="B9" s="64" t="s">
        <v>74</v>
      </c>
    </row>
    <row r="10" spans="1:18" ht="16.5" thickBot="1" x14ac:dyDescent="0.25">
      <c r="B10" s="65"/>
    </row>
    <row r="11" spans="1:18" ht="15" thickTop="1" x14ac:dyDescent="0.2"/>
    <row r="12" spans="1:18" ht="15" x14ac:dyDescent="0.25">
      <c r="B12" s="7" t="s">
        <v>75</v>
      </c>
      <c r="C12" s="66"/>
      <c r="D12" s="119" t="s">
        <v>76</v>
      </c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8" x14ac:dyDescent="0.2">
      <c r="C13" s="66"/>
      <c r="D13" s="120" t="s">
        <v>42</v>
      </c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</row>
    <row r="14" spans="1:18" x14ac:dyDescent="0.2">
      <c r="C14" s="66"/>
    </row>
    <row r="15" spans="1:18" ht="15" x14ac:dyDescent="0.25">
      <c r="B15" s="7" t="s">
        <v>77</v>
      </c>
      <c r="C15" s="66"/>
      <c r="D15" s="119" t="s">
        <v>87</v>
      </c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</row>
    <row r="16" spans="1:18" x14ac:dyDescent="0.2">
      <c r="C16" s="66"/>
      <c r="D16" s="120" t="s">
        <v>66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</row>
    <row r="17" spans="2:18" x14ac:dyDescent="0.2">
      <c r="C17" s="66"/>
    </row>
    <row r="18" spans="2:18" ht="15" x14ac:dyDescent="0.25">
      <c r="B18" s="7" t="s">
        <v>78</v>
      </c>
      <c r="C18" s="66"/>
      <c r="D18" s="119" t="s">
        <v>79</v>
      </c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</row>
    <row r="19" spans="2:18" x14ac:dyDescent="0.2">
      <c r="C19" s="66"/>
      <c r="D19" s="120" t="s">
        <v>65</v>
      </c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</row>
    <row r="20" spans="2:18" x14ac:dyDescent="0.2">
      <c r="C20" s="66"/>
    </row>
    <row r="21" spans="2:18" ht="15" x14ac:dyDescent="0.25">
      <c r="B21" s="7" t="s">
        <v>80</v>
      </c>
      <c r="C21" s="66"/>
      <c r="D21" s="119" t="s">
        <v>81</v>
      </c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</row>
    <row r="22" spans="2:18" ht="15" customHeight="1" x14ac:dyDescent="0.2">
      <c r="C22" s="66"/>
      <c r="D22" s="120" t="s">
        <v>54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</row>
    <row r="23" spans="2:18" x14ac:dyDescent="0.2">
      <c r="B23" s="68"/>
      <c r="K23" s="7" t="s">
        <v>38</v>
      </c>
    </row>
    <row r="24" spans="2:18" ht="15" x14ac:dyDescent="0.25">
      <c r="B24" s="7" t="s">
        <v>88</v>
      </c>
      <c r="C24" s="66"/>
      <c r="D24" s="119" t="s">
        <v>89</v>
      </c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</row>
    <row r="25" spans="2:18" x14ac:dyDescent="0.2">
      <c r="B25" s="64" t="s">
        <v>97</v>
      </c>
      <c r="C25" s="66"/>
      <c r="D25" s="120" t="s">
        <v>90</v>
      </c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D24:R25" location="'Wykres 1'!A1" display="PIRAMIDA LUDNOŚCI"/>
    <hyperlink ref="D24:R24" location="'Wykres 1 Chart 1'!A1" display="PIRAMIDA LUDNOŚCI"/>
    <hyperlink ref="D25:R25" location="'Wykres 1 Chart 1'!A1" display="POPULATION PYRAMID"/>
    <hyperlink ref="B24" location="'Wykres 1 Chart 1'!A1" display="WYKRES 1."/>
    <hyperlink ref="B25" location="'Wykres 1 Chart 1'!A1" display="CHART 1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313"/>
  <sheetViews>
    <sheetView zoomScaleNormal="100"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67" customFormat="1" ht="22.9" customHeight="1" x14ac:dyDescent="0.2">
      <c r="A1" s="121"/>
      <c r="B1" s="121"/>
      <c r="C1" s="97" t="s">
        <v>43</v>
      </c>
      <c r="D1" s="98"/>
      <c r="E1" s="98"/>
      <c r="F1" s="98"/>
      <c r="G1" s="98"/>
      <c r="H1" s="98"/>
      <c r="I1" s="98"/>
      <c r="J1" s="98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100"/>
    </row>
    <row r="2" spans="1:41" ht="12" customHeight="1" x14ac:dyDescent="0.2">
      <c r="A2" s="124" t="s">
        <v>82</v>
      </c>
      <c r="B2" s="124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5" t="s">
        <v>83</v>
      </c>
      <c r="B3" s="125"/>
      <c r="D3" s="22" t="s">
        <v>42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48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15" t="s">
        <v>45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2" t="s">
        <v>46</v>
      </c>
      <c r="B8" s="56" t="s">
        <v>47</v>
      </c>
      <c r="C8" s="57" t="n">
        <v>3493577.0</v>
      </c>
      <c r="D8" s="57" t="n">
        <v>3492046.0</v>
      </c>
      <c r="E8" s="57" t="n">
        <v>3491086.0</v>
      </c>
      <c r="F8" s="57" t="n">
        <v>3490340.0</v>
      </c>
      <c r="G8" s="57" t="n">
        <v>3489865.0</v>
      </c>
      <c r="H8" s="57" t="n">
        <v>3503438.0</v>
      </c>
      <c r="I8" s="57" t="n">
        <v>3522250.0</v>
      </c>
      <c r="J8" s="57" t="n">
        <v>3529932.0</v>
      </c>
      <c r="K8" s="57" t="n">
        <v>3531610.0</v>
      </c>
      <c r="L8" s="57" t="n">
        <v>3530939.0</v>
      </c>
      <c r="M8" s="57" t="n">
        <v>3528726.0</v>
      </c>
      <c r="N8" s="57" t="n">
        <v>3525380.0</v>
      </c>
      <c r="O8" s="57" t="n">
        <v>3520985.0</v>
      </c>
      <c r="P8" s="57" t="n">
        <v>3516158.0</v>
      </c>
      <c r="Q8" s="57" t="n">
        <v>3511151.0</v>
      </c>
      <c r="R8" s="57" t="n">
        <v>3505825.0</v>
      </c>
      <c r="S8" s="57" t="n">
        <v>3500272.0</v>
      </c>
      <c r="T8" s="57" t="n">
        <v>3494529.0</v>
      </c>
      <c r="U8" s="57" t="n">
        <v>3488681.0</v>
      </c>
      <c r="V8" s="57" t="n">
        <v>3482938.0</v>
      </c>
      <c r="W8" s="57" t="n">
        <v>3477073.0</v>
      </c>
      <c r="X8" s="57" t="n">
        <v>3471213.0</v>
      </c>
      <c r="Y8" s="57" t="n">
        <v>3465489.0</v>
      </c>
      <c r="Z8" s="57" t="n">
        <v>3459418.0</v>
      </c>
      <c r="AA8" s="57" t="n">
        <v>3453222.0</v>
      </c>
      <c r="AB8" s="57" t="n">
        <v>3447134.0</v>
      </c>
      <c r="AC8" s="57" t="n">
        <v>3440850.0</v>
      </c>
      <c r="AD8" s="57" t="n">
        <v>3434307.0</v>
      </c>
      <c r="AE8" s="57" t="n">
        <v>3427536.0</v>
      </c>
      <c r="AF8" s="57" t="n">
        <v>3420454.0</v>
      </c>
      <c r="AG8" s="57" t="n">
        <v>3413112.0</v>
      </c>
      <c r="AH8" s="57" t="n">
        <v>3405759.0</v>
      </c>
      <c r="AI8" s="57" t="n">
        <v>3398154.0</v>
      </c>
      <c r="AJ8" s="57" t="n">
        <v>3390499.0</v>
      </c>
      <c r="AK8" s="57" t="n">
        <v>3382438.0</v>
      </c>
      <c r="AL8" s="57" t="n">
        <v>3374159.0</v>
      </c>
      <c r="AM8" s="57" t="n">
        <v>3365881.0</v>
      </c>
      <c r="AN8" s="57" t="n">
        <v>3357494.0</v>
      </c>
      <c r="AO8" s="57" t="n">
        <v>3349005.0</v>
      </c>
    </row>
    <row r="9" spans="1:41" x14ac:dyDescent="0.2">
      <c r="A9" s="122"/>
      <c r="B9" s="9">
        <v>0</v>
      </c>
      <c r="C9" s="3" t="n">
        <v>29919.0</v>
      </c>
      <c r="D9" s="3" t="n">
        <v>31874.0</v>
      </c>
      <c r="E9" s="3" t="n">
        <v>32193.0</v>
      </c>
      <c r="F9" s="3" t="n">
        <v>32427.0</v>
      </c>
      <c r="G9" s="3" t="n">
        <v>32544.0</v>
      </c>
      <c r="H9" s="3" t="n">
        <v>32756.0</v>
      </c>
      <c r="I9" s="3" t="n">
        <v>33066.0</v>
      </c>
      <c r="J9" s="3" t="n">
        <v>33330.0</v>
      </c>
      <c r="K9" s="3" t="n">
        <v>33420.0</v>
      </c>
      <c r="L9" s="3" t="n">
        <v>33451.0</v>
      </c>
      <c r="M9" s="3" t="n">
        <v>33423.0</v>
      </c>
      <c r="N9" s="3" t="n">
        <v>33355.0</v>
      </c>
      <c r="O9" s="3" t="n">
        <v>33354.0</v>
      </c>
      <c r="P9" s="3" t="n">
        <v>33412.0</v>
      </c>
      <c r="Q9" s="3" t="n">
        <v>33575.0</v>
      </c>
      <c r="R9" s="3" t="n">
        <v>33788.0</v>
      </c>
      <c r="S9" s="3" t="n">
        <v>34043.0</v>
      </c>
      <c r="T9" s="3" t="n">
        <v>34325.0</v>
      </c>
      <c r="U9" s="3" t="n">
        <v>34646.0</v>
      </c>
      <c r="V9" s="3" t="n">
        <v>34933.0</v>
      </c>
      <c r="W9" s="3" t="n">
        <v>35171.0</v>
      </c>
      <c r="X9" s="3" t="n">
        <v>35361.0</v>
      </c>
      <c r="Y9" s="3" t="n">
        <v>35486.0</v>
      </c>
      <c r="Z9" s="3" t="n">
        <v>35542.0</v>
      </c>
      <c r="AA9" s="3" t="n">
        <v>35498.0</v>
      </c>
      <c r="AB9" s="3" t="n">
        <v>35416.0</v>
      </c>
      <c r="AC9" s="3" t="n">
        <v>35223.0</v>
      </c>
      <c r="AD9" s="3" t="n">
        <v>34986.0</v>
      </c>
      <c r="AE9" s="3" t="n">
        <v>34694.0</v>
      </c>
      <c r="AF9" s="3" t="n">
        <v>34366.0</v>
      </c>
      <c r="AG9" s="3" t="n">
        <v>34040.0</v>
      </c>
      <c r="AH9" s="3" t="n">
        <v>33669.0</v>
      </c>
      <c r="AI9" s="3" t="n">
        <v>33340.0</v>
      </c>
      <c r="AJ9" s="3" t="n">
        <v>33018.0</v>
      </c>
      <c r="AK9" s="3" t="n">
        <v>32763.0</v>
      </c>
      <c r="AL9" s="3" t="n">
        <v>32532.0</v>
      </c>
      <c r="AM9" s="3" t="n">
        <v>32355.0</v>
      </c>
      <c r="AN9" s="3" t="n">
        <v>32241.0</v>
      </c>
      <c r="AO9" s="3" t="n">
        <v>32189.0</v>
      </c>
    </row>
    <row r="10" spans="1:41" x14ac:dyDescent="0.2">
      <c r="A10" s="122"/>
      <c r="B10" s="9">
        <v>1</v>
      </c>
      <c r="C10" s="3" t="n">
        <v>33739.0</v>
      </c>
      <c r="D10" s="3" t="n">
        <v>30047.0</v>
      </c>
      <c r="E10" s="3" t="n">
        <v>32012.0</v>
      </c>
      <c r="F10" s="3" t="n">
        <v>32341.0</v>
      </c>
      <c r="G10" s="3" t="n">
        <v>32583.0</v>
      </c>
      <c r="H10" s="3" t="n">
        <v>32916.0</v>
      </c>
      <c r="I10" s="3" t="n">
        <v>33220.0</v>
      </c>
      <c r="J10" s="3" t="n">
        <v>33368.0</v>
      </c>
      <c r="K10" s="3" t="n">
        <v>33571.0</v>
      </c>
      <c r="L10" s="3" t="n">
        <v>33634.0</v>
      </c>
      <c r="M10" s="3" t="n">
        <v>33658.0</v>
      </c>
      <c r="N10" s="3" t="n">
        <v>33624.0</v>
      </c>
      <c r="O10" s="3" t="n">
        <v>33555.0</v>
      </c>
      <c r="P10" s="3" t="n">
        <v>33559.0</v>
      </c>
      <c r="Q10" s="3" t="n">
        <v>33620.0</v>
      </c>
      <c r="R10" s="3" t="n">
        <v>33782.0</v>
      </c>
      <c r="S10" s="3" t="n">
        <v>34004.0</v>
      </c>
      <c r="T10" s="3" t="n">
        <v>34260.0</v>
      </c>
      <c r="U10" s="3" t="n">
        <v>34544.0</v>
      </c>
      <c r="V10" s="3" t="n">
        <v>34873.0</v>
      </c>
      <c r="W10" s="3" t="n">
        <v>35153.0</v>
      </c>
      <c r="X10" s="3" t="n">
        <v>35392.0</v>
      </c>
      <c r="Y10" s="3" t="n">
        <v>35584.0</v>
      </c>
      <c r="Z10" s="3" t="n">
        <v>35707.0</v>
      </c>
      <c r="AA10" s="3" t="n">
        <v>35761.0</v>
      </c>
      <c r="AB10" s="3" t="n">
        <v>35721.0</v>
      </c>
      <c r="AC10" s="3" t="n">
        <v>35641.0</v>
      </c>
      <c r="AD10" s="3" t="n">
        <v>35453.0</v>
      </c>
      <c r="AE10" s="3" t="n">
        <v>35222.0</v>
      </c>
      <c r="AF10" s="3" t="n">
        <v>34925.0</v>
      </c>
      <c r="AG10" s="3" t="n">
        <v>34601.0</v>
      </c>
      <c r="AH10" s="3" t="n">
        <v>34277.0</v>
      </c>
      <c r="AI10" s="3" t="n">
        <v>33907.0</v>
      </c>
      <c r="AJ10" s="3" t="n">
        <v>33576.0</v>
      </c>
      <c r="AK10" s="3" t="n">
        <v>33255.0</v>
      </c>
      <c r="AL10" s="3" t="n">
        <v>33008.0</v>
      </c>
      <c r="AM10" s="3" t="n">
        <v>32781.0</v>
      </c>
      <c r="AN10" s="3" t="n">
        <v>32605.0</v>
      </c>
      <c r="AO10" s="3" t="n">
        <v>32493.0</v>
      </c>
    </row>
    <row r="11" spans="1:41" x14ac:dyDescent="0.2">
      <c r="A11" s="122"/>
      <c r="B11" s="9">
        <v>2</v>
      </c>
      <c r="C11" s="3" t="n">
        <v>35082.0</v>
      </c>
      <c r="D11" s="3" t="n">
        <v>33831.0</v>
      </c>
      <c r="E11" s="3" t="n">
        <v>30150.0</v>
      </c>
      <c r="F11" s="3" t="n">
        <v>32118.0</v>
      </c>
      <c r="G11" s="3" t="n">
        <v>32454.0</v>
      </c>
      <c r="H11" s="3" t="n">
        <v>33004.0</v>
      </c>
      <c r="I11" s="3" t="n">
        <v>33458.0</v>
      </c>
      <c r="J11" s="3" t="n">
        <v>33556.0</v>
      </c>
      <c r="K11" s="3" t="n">
        <v>33574.0</v>
      </c>
      <c r="L11" s="3" t="n">
        <v>33742.0</v>
      </c>
      <c r="M11" s="3" t="n">
        <v>33796.0</v>
      </c>
      <c r="N11" s="3" t="n">
        <v>33807.0</v>
      </c>
      <c r="O11" s="3" t="n">
        <v>33778.0</v>
      </c>
      <c r="P11" s="3" t="n">
        <v>33713.0</v>
      </c>
      <c r="Q11" s="3" t="n">
        <v>33715.0</v>
      </c>
      <c r="R11" s="3" t="n">
        <v>33780.0</v>
      </c>
      <c r="S11" s="3" t="n">
        <v>33938.0</v>
      </c>
      <c r="T11" s="3" t="n">
        <v>34168.0</v>
      </c>
      <c r="U11" s="3" t="n">
        <v>34424.0</v>
      </c>
      <c r="V11" s="3" t="n">
        <v>34708.0</v>
      </c>
      <c r="W11" s="3" t="n">
        <v>35040.0</v>
      </c>
      <c r="X11" s="3" t="n">
        <v>35322.0</v>
      </c>
      <c r="Y11" s="3" t="n">
        <v>35562.0</v>
      </c>
      <c r="Z11" s="3" t="n">
        <v>35758.0</v>
      </c>
      <c r="AA11" s="3" t="n">
        <v>35883.0</v>
      </c>
      <c r="AB11" s="3" t="n">
        <v>35934.0</v>
      </c>
      <c r="AC11" s="3" t="n">
        <v>35893.0</v>
      </c>
      <c r="AD11" s="3" t="n">
        <v>35816.0</v>
      </c>
      <c r="AE11" s="3" t="n">
        <v>35630.0</v>
      </c>
      <c r="AF11" s="3" t="n">
        <v>35400.0</v>
      </c>
      <c r="AG11" s="3" t="n">
        <v>35103.0</v>
      </c>
      <c r="AH11" s="3" t="n">
        <v>34777.0</v>
      </c>
      <c r="AI11" s="3" t="n">
        <v>34452.0</v>
      </c>
      <c r="AJ11" s="3" t="n">
        <v>34092.0</v>
      </c>
      <c r="AK11" s="3" t="n">
        <v>33768.0</v>
      </c>
      <c r="AL11" s="3" t="n">
        <v>33443.0</v>
      </c>
      <c r="AM11" s="3" t="n">
        <v>33198.0</v>
      </c>
      <c r="AN11" s="3" t="n">
        <v>32973.0</v>
      </c>
      <c r="AO11" s="3" t="n">
        <v>32799.0</v>
      </c>
    </row>
    <row r="12" spans="1:41" x14ac:dyDescent="0.2">
      <c r="A12" s="122"/>
      <c r="B12" s="9">
        <v>3</v>
      </c>
      <c r="C12" s="3" t="n">
        <v>37361.0</v>
      </c>
      <c r="D12" s="3" t="n">
        <v>35161.0</v>
      </c>
      <c r="E12" s="3" t="n">
        <v>33917.0</v>
      </c>
      <c r="F12" s="3" t="n">
        <v>30236.0</v>
      </c>
      <c r="G12" s="3" t="n">
        <v>32218.0</v>
      </c>
      <c r="H12" s="3" t="n">
        <v>32870.0</v>
      </c>
      <c r="I12" s="3" t="n">
        <v>33547.0</v>
      </c>
      <c r="J12" s="3" t="n">
        <v>33763.0</v>
      </c>
      <c r="K12" s="3" t="n">
        <v>33742.0</v>
      </c>
      <c r="L12" s="3" t="n">
        <v>33720.0</v>
      </c>
      <c r="M12" s="3" t="n">
        <v>33872.0</v>
      </c>
      <c r="N12" s="3" t="n">
        <v>33908.0</v>
      </c>
      <c r="O12" s="3" t="n">
        <v>33917.0</v>
      </c>
      <c r="P12" s="3" t="n">
        <v>33891.0</v>
      </c>
      <c r="Q12" s="3" t="n">
        <v>33824.0</v>
      </c>
      <c r="R12" s="3" t="n">
        <v>33830.0</v>
      </c>
      <c r="S12" s="3" t="n">
        <v>33901.0</v>
      </c>
      <c r="T12" s="3" t="n">
        <v>34063.0</v>
      </c>
      <c r="U12" s="3" t="n">
        <v>34292.0</v>
      </c>
      <c r="V12" s="3" t="n">
        <v>34550.0</v>
      </c>
      <c r="W12" s="3" t="n">
        <v>34834.0</v>
      </c>
      <c r="X12" s="3" t="n">
        <v>35166.0</v>
      </c>
      <c r="Y12" s="3" t="n">
        <v>35455.0</v>
      </c>
      <c r="Z12" s="3" t="n">
        <v>35697.0</v>
      </c>
      <c r="AA12" s="3" t="n">
        <v>35891.0</v>
      </c>
      <c r="AB12" s="3" t="n">
        <v>36018.0</v>
      </c>
      <c r="AC12" s="3" t="n">
        <v>36069.0</v>
      </c>
      <c r="AD12" s="3" t="n">
        <v>36034.0</v>
      </c>
      <c r="AE12" s="3" t="n">
        <v>35957.0</v>
      </c>
      <c r="AF12" s="3" t="n">
        <v>35771.0</v>
      </c>
      <c r="AG12" s="3" t="n">
        <v>35541.0</v>
      </c>
      <c r="AH12" s="3" t="n">
        <v>35247.0</v>
      </c>
      <c r="AI12" s="3" t="n">
        <v>34918.0</v>
      </c>
      <c r="AJ12" s="3" t="n">
        <v>34598.0</v>
      </c>
      <c r="AK12" s="3" t="n">
        <v>34238.0</v>
      </c>
      <c r="AL12" s="3" t="n">
        <v>33917.0</v>
      </c>
      <c r="AM12" s="3" t="n">
        <v>33591.0</v>
      </c>
      <c r="AN12" s="3" t="n">
        <v>33344.0</v>
      </c>
      <c r="AO12" s="3" t="n">
        <v>33124.0</v>
      </c>
    </row>
    <row r="13" spans="1:41" x14ac:dyDescent="0.2">
      <c r="A13" s="122"/>
      <c r="B13" s="9">
        <v>4</v>
      </c>
      <c r="C13" s="3" t="n">
        <v>38786.0</v>
      </c>
      <c r="D13" s="3" t="n">
        <v>37429.0</v>
      </c>
      <c r="E13" s="3" t="n">
        <v>35248.0</v>
      </c>
      <c r="F13" s="3" t="n">
        <v>34007.0</v>
      </c>
      <c r="G13" s="3" t="n">
        <v>30337.0</v>
      </c>
      <c r="H13" s="3" t="n">
        <v>32636.0</v>
      </c>
      <c r="I13" s="3" t="n">
        <v>33404.0</v>
      </c>
      <c r="J13" s="3" t="n">
        <v>33849.0</v>
      </c>
      <c r="K13" s="3" t="n">
        <v>33950.0</v>
      </c>
      <c r="L13" s="3" t="n">
        <v>33878.0</v>
      </c>
      <c r="M13" s="3" t="n">
        <v>33842.0</v>
      </c>
      <c r="N13" s="3" t="n">
        <v>33982.0</v>
      </c>
      <c r="O13" s="3" t="n">
        <v>34018.0</v>
      </c>
      <c r="P13" s="3" t="n">
        <v>34027.0</v>
      </c>
      <c r="Q13" s="3" t="n">
        <v>34007.0</v>
      </c>
      <c r="R13" s="3" t="n">
        <v>33944.0</v>
      </c>
      <c r="S13" s="3" t="n">
        <v>33952.0</v>
      </c>
      <c r="T13" s="3" t="n">
        <v>34024.0</v>
      </c>
      <c r="U13" s="3" t="n">
        <v>34186.0</v>
      </c>
      <c r="V13" s="3" t="n">
        <v>34417.0</v>
      </c>
      <c r="W13" s="3" t="n">
        <v>34674.0</v>
      </c>
      <c r="X13" s="3" t="n">
        <v>34959.0</v>
      </c>
      <c r="Y13" s="3" t="n">
        <v>35289.0</v>
      </c>
      <c r="Z13" s="3" t="n">
        <v>35582.0</v>
      </c>
      <c r="AA13" s="3" t="n">
        <v>35826.0</v>
      </c>
      <c r="AB13" s="3" t="n">
        <v>36022.0</v>
      </c>
      <c r="AC13" s="3" t="n">
        <v>36146.0</v>
      </c>
      <c r="AD13" s="3" t="n">
        <v>36200.0</v>
      </c>
      <c r="AE13" s="3" t="n">
        <v>36167.0</v>
      </c>
      <c r="AF13" s="3" t="n">
        <v>36091.0</v>
      </c>
      <c r="AG13" s="3" t="n">
        <v>35908.0</v>
      </c>
      <c r="AH13" s="3" t="n">
        <v>35676.0</v>
      </c>
      <c r="AI13" s="3" t="n">
        <v>35390.0</v>
      </c>
      <c r="AJ13" s="3" t="n">
        <v>35065.0</v>
      </c>
      <c r="AK13" s="3" t="n">
        <v>34742.0</v>
      </c>
      <c r="AL13" s="3" t="n">
        <v>34378.0</v>
      </c>
      <c r="AM13" s="3" t="n">
        <v>34058.0</v>
      </c>
      <c r="AN13" s="3" t="n">
        <v>33732.0</v>
      </c>
      <c r="AO13" s="3" t="n">
        <v>33483.0</v>
      </c>
    </row>
    <row r="14" spans="1:41" x14ac:dyDescent="0.2">
      <c r="A14" s="122"/>
      <c r="B14" s="9">
        <v>5</v>
      </c>
      <c r="C14" s="3" t="n">
        <v>41141.0</v>
      </c>
      <c r="D14" s="3" t="n">
        <v>38856.0</v>
      </c>
      <c r="E14" s="3" t="n">
        <v>37512.0</v>
      </c>
      <c r="F14" s="3" t="n">
        <v>35326.0</v>
      </c>
      <c r="G14" s="3" t="n">
        <v>34087.0</v>
      </c>
      <c r="H14" s="3" t="n">
        <v>30780.0</v>
      </c>
      <c r="I14" s="3" t="n">
        <v>33207.0</v>
      </c>
      <c r="J14" s="3" t="n">
        <v>33709.0</v>
      </c>
      <c r="K14" s="3" t="n">
        <v>34017.0</v>
      </c>
      <c r="L14" s="3" t="n">
        <v>34077.0</v>
      </c>
      <c r="M14" s="3" t="n">
        <v>33981.0</v>
      </c>
      <c r="N14" s="3" t="n">
        <v>33930.0</v>
      </c>
      <c r="O14" s="3" t="n">
        <v>34071.0</v>
      </c>
      <c r="P14" s="3" t="n">
        <v>34113.0</v>
      </c>
      <c r="Q14" s="3" t="n">
        <v>34126.0</v>
      </c>
      <c r="R14" s="3" t="n">
        <v>34106.0</v>
      </c>
      <c r="S14" s="3" t="n">
        <v>34046.0</v>
      </c>
      <c r="T14" s="3" t="n">
        <v>34055.0</v>
      </c>
      <c r="U14" s="3" t="n">
        <v>34127.0</v>
      </c>
      <c r="V14" s="3" t="n">
        <v>34292.0</v>
      </c>
      <c r="W14" s="3" t="n">
        <v>34528.0</v>
      </c>
      <c r="X14" s="3" t="n">
        <v>34786.0</v>
      </c>
      <c r="Y14" s="3" t="n">
        <v>35070.0</v>
      </c>
      <c r="Z14" s="3" t="n">
        <v>35401.0</v>
      </c>
      <c r="AA14" s="3" t="n">
        <v>35695.0</v>
      </c>
      <c r="AB14" s="3" t="n">
        <v>35939.0</v>
      </c>
      <c r="AC14" s="3" t="n">
        <v>36133.0</v>
      </c>
      <c r="AD14" s="3" t="n">
        <v>36252.0</v>
      </c>
      <c r="AE14" s="3" t="n">
        <v>36305.0</v>
      </c>
      <c r="AF14" s="3" t="n">
        <v>36271.0</v>
      </c>
      <c r="AG14" s="3" t="n">
        <v>36198.0</v>
      </c>
      <c r="AH14" s="3" t="n">
        <v>36024.0</v>
      </c>
      <c r="AI14" s="3" t="n">
        <v>35796.0</v>
      </c>
      <c r="AJ14" s="3" t="n">
        <v>35503.0</v>
      </c>
      <c r="AK14" s="3" t="n">
        <v>35187.0</v>
      </c>
      <c r="AL14" s="3" t="n">
        <v>34863.0</v>
      </c>
      <c r="AM14" s="3" t="n">
        <v>34499.0</v>
      </c>
      <c r="AN14" s="3" t="n">
        <v>34182.0</v>
      </c>
      <c r="AO14" s="3" t="n">
        <v>33856.0</v>
      </c>
    </row>
    <row r="15" spans="1:41" x14ac:dyDescent="0.2">
      <c r="A15" s="122"/>
      <c r="B15" s="9">
        <v>6</v>
      </c>
      <c r="C15" s="3" t="n">
        <v>39183.0</v>
      </c>
      <c r="D15" s="3" t="n">
        <v>41188.0</v>
      </c>
      <c r="E15" s="3" t="n">
        <v>38901.0</v>
      </c>
      <c r="F15" s="3" t="n">
        <v>37564.0</v>
      </c>
      <c r="G15" s="3" t="n">
        <v>35389.0</v>
      </c>
      <c r="H15" s="3" t="n">
        <v>34535.0</v>
      </c>
      <c r="I15" s="3" t="n">
        <v>31352.0</v>
      </c>
      <c r="J15" s="3" t="n">
        <v>33510.0</v>
      </c>
      <c r="K15" s="3" t="n">
        <v>33858.0</v>
      </c>
      <c r="L15" s="3" t="n">
        <v>34118.0</v>
      </c>
      <c r="M15" s="3" t="n">
        <v>34157.0</v>
      </c>
      <c r="N15" s="3" t="n">
        <v>34041.0</v>
      </c>
      <c r="O15" s="3" t="n">
        <v>33990.0</v>
      </c>
      <c r="P15" s="3" t="n">
        <v>34132.0</v>
      </c>
      <c r="Q15" s="3" t="n">
        <v>34178.0</v>
      </c>
      <c r="R15" s="3" t="n">
        <v>34192.0</v>
      </c>
      <c r="S15" s="3" t="n">
        <v>34176.0</v>
      </c>
      <c r="T15" s="3" t="n">
        <v>34113.0</v>
      </c>
      <c r="U15" s="3" t="n">
        <v>34122.0</v>
      </c>
      <c r="V15" s="3" t="n">
        <v>34191.0</v>
      </c>
      <c r="W15" s="3" t="n">
        <v>34364.0</v>
      </c>
      <c r="X15" s="3" t="n">
        <v>34607.0</v>
      </c>
      <c r="Y15" s="3" t="n">
        <v>34867.0</v>
      </c>
      <c r="Z15" s="3" t="n">
        <v>35147.0</v>
      </c>
      <c r="AA15" s="3" t="n">
        <v>35480.0</v>
      </c>
      <c r="AB15" s="3" t="n">
        <v>35775.0</v>
      </c>
      <c r="AC15" s="3" t="n">
        <v>36022.0</v>
      </c>
      <c r="AD15" s="3" t="n">
        <v>36219.0</v>
      </c>
      <c r="AE15" s="3" t="n">
        <v>36338.0</v>
      </c>
      <c r="AF15" s="3" t="n">
        <v>36391.0</v>
      </c>
      <c r="AG15" s="3" t="n">
        <v>36358.0</v>
      </c>
      <c r="AH15" s="3" t="n">
        <v>36288.0</v>
      </c>
      <c r="AI15" s="3" t="n">
        <v>36114.0</v>
      </c>
      <c r="AJ15" s="3" t="n">
        <v>35887.0</v>
      </c>
      <c r="AK15" s="3" t="n">
        <v>35597.0</v>
      </c>
      <c r="AL15" s="3" t="n">
        <v>35280.0</v>
      </c>
      <c r="AM15" s="3" t="n">
        <v>34952.0</v>
      </c>
      <c r="AN15" s="3" t="n">
        <v>34593.0</v>
      </c>
      <c r="AO15" s="3" t="n">
        <v>34279.0</v>
      </c>
    </row>
    <row r="16" spans="1:41" x14ac:dyDescent="0.2">
      <c r="A16" s="122"/>
      <c r="B16" s="9">
        <v>7</v>
      </c>
      <c r="C16" s="3" t="n">
        <v>38252.0</v>
      </c>
      <c r="D16" s="3" t="n">
        <v>39206.0</v>
      </c>
      <c r="E16" s="3" t="n">
        <v>41214.0</v>
      </c>
      <c r="F16" s="3" t="n">
        <v>38943.0</v>
      </c>
      <c r="G16" s="3" t="n">
        <v>37617.0</v>
      </c>
      <c r="H16" s="3" t="n">
        <v>35823.0</v>
      </c>
      <c r="I16" s="3" t="n">
        <v>35112.0</v>
      </c>
      <c r="J16" s="3" t="n">
        <v>31647.0</v>
      </c>
      <c r="K16" s="3" t="n">
        <v>33656.0</v>
      </c>
      <c r="L16" s="3" t="n">
        <v>33949.0</v>
      </c>
      <c r="M16" s="3" t="n">
        <v>34185.0</v>
      </c>
      <c r="N16" s="3" t="n">
        <v>34204.0</v>
      </c>
      <c r="O16" s="3" t="n">
        <v>34081.0</v>
      </c>
      <c r="P16" s="3" t="n">
        <v>34031.0</v>
      </c>
      <c r="Q16" s="3" t="n">
        <v>34177.0</v>
      </c>
      <c r="R16" s="3" t="n">
        <v>34223.0</v>
      </c>
      <c r="S16" s="3" t="n">
        <v>34238.0</v>
      </c>
      <c r="T16" s="3" t="n">
        <v>34224.0</v>
      </c>
      <c r="U16" s="3" t="n">
        <v>34162.0</v>
      </c>
      <c r="V16" s="3" t="n">
        <v>34173.0</v>
      </c>
      <c r="W16" s="3" t="n">
        <v>34241.0</v>
      </c>
      <c r="X16" s="3" t="n">
        <v>34414.0</v>
      </c>
      <c r="Y16" s="3" t="n">
        <v>34658.0</v>
      </c>
      <c r="Z16" s="3" t="n">
        <v>34920.0</v>
      </c>
      <c r="AA16" s="3" t="n">
        <v>35195.0</v>
      </c>
      <c r="AB16" s="3" t="n">
        <v>35527.0</v>
      </c>
      <c r="AC16" s="3" t="n">
        <v>35825.0</v>
      </c>
      <c r="AD16" s="3" t="n">
        <v>36073.0</v>
      </c>
      <c r="AE16" s="3" t="n">
        <v>36272.0</v>
      </c>
      <c r="AF16" s="3" t="n">
        <v>36389.0</v>
      </c>
      <c r="AG16" s="3" t="n">
        <v>36441.0</v>
      </c>
      <c r="AH16" s="3" t="n">
        <v>36409.0</v>
      </c>
      <c r="AI16" s="3" t="n">
        <v>36343.0</v>
      </c>
      <c r="AJ16" s="3" t="n">
        <v>36170.0</v>
      </c>
      <c r="AK16" s="3" t="n">
        <v>35948.0</v>
      </c>
      <c r="AL16" s="3" t="n">
        <v>35655.0</v>
      </c>
      <c r="AM16" s="3" t="n">
        <v>35340.0</v>
      </c>
      <c r="AN16" s="3" t="n">
        <v>35016.0</v>
      </c>
      <c r="AO16" s="3" t="n">
        <v>34656.0</v>
      </c>
    </row>
    <row r="17" spans="1:41" x14ac:dyDescent="0.2">
      <c r="A17" s="122"/>
      <c r="B17" s="9">
        <v>8</v>
      </c>
      <c r="C17" s="3" t="n">
        <v>38486.0</v>
      </c>
      <c r="D17" s="3" t="n">
        <v>38274.0</v>
      </c>
      <c r="E17" s="3" t="n">
        <v>39238.0</v>
      </c>
      <c r="F17" s="3" t="n">
        <v>41258.0</v>
      </c>
      <c r="G17" s="3" t="n">
        <v>38996.0</v>
      </c>
      <c r="H17" s="3" t="n">
        <v>38079.0</v>
      </c>
      <c r="I17" s="3" t="n">
        <v>36444.0</v>
      </c>
      <c r="J17" s="3" t="n">
        <v>35416.0</v>
      </c>
      <c r="K17" s="3" t="n">
        <v>31798.0</v>
      </c>
      <c r="L17" s="3" t="n">
        <v>33736.0</v>
      </c>
      <c r="M17" s="3" t="n">
        <v>34001.0</v>
      </c>
      <c r="N17" s="3" t="n">
        <v>34226.0</v>
      </c>
      <c r="O17" s="3" t="n">
        <v>34242.0</v>
      </c>
      <c r="P17" s="3" t="n">
        <v>34121.0</v>
      </c>
      <c r="Q17" s="3" t="n">
        <v>34072.0</v>
      </c>
      <c r="R17" s="3" t="n">
        <v>34219.0</v>
      </c>
      <c r="S17" s="3" t="n">
        <v>34266.0</v>
      </c>
      <c r="T17" s="3" t="n">
        <v>34282.0</v>
      </c>
      <c r="U17" s="3" t="n">
        <v>34269.0</v>
      </c>
      <c r="V17" s="3" t="n">
        <v>34208.0</v>
      </c>
      <c r="W17" s="3" t="n">
        <v>34219.0</v>
      </c>
      <c r="X17" s="3" t="n">
        <v>34287.0</v>
      </c>
      <c r="Y17" s="3" t="n">
        <v>34459.0</v>
      </c>
      <c r="Z17" s="3" t="n">
        <v>34702.0</v>
      </c>
      <c r="AA17" s="3" t="n">
        <v>34962.0</v>
      </c>
      <c r="AB17" s="3" t="n">
        <v>35235.0</v>
      </c>
      <c r="AC17" s="3" t="n">
        <v>35570.0</v>
      </c>
      <c r="AD17" s="3" t="n">
        <v>35870.0</v>
      </c>
      <c r="AE17" s="3" t="n">
        <v>36114.0</v>
      </c>
      <c r="AF17" s="3" t="n">
        <v>36311.0</v>
      </c>
      <c r="AG17" s="3" t="n">
        <v>36427.0</v>
      </c>
      <c r="AH17" s="3" t="n">
        <v>36480.0</v>
      </c>
      <c r="AI17" s="3" t="n">
        <v>36450.0</v>
      </c>
      <c r="AJ17" s="3" t="n">
        <v>36386.0</v>
      </c>
      <c r="AK17" s="3" t="n">
        <v>36214.0</v>
      </c>
      <c r="AL17" s="3" t="n">
        <v>35995.0</v>
      </c>
      <c r="AM17" s="3" t="n">
        <v>35702.0</v>
      </c>
      <c r="AN17" s="3" t="n">
        <v>35387.0</v>
      </c>
      <c r="AO17" s="3" t="n">
        <v>35065.0</v>
      </c>
    </row>
    <row r="18" spans="1:41" x14ac:dyDescent="0.2">
      <c r="A18" s="122"/>
      <c r="B18" s="9">
        <v>9</v>
      </c>
      <c r="C18" s="3" t="n">
        <v>37607.0</v>
      </c>
      <c r="D18" s="3" t="n">
        <v>38514.0</v>
      </c>
      <c r="E18" s="3" t="n">
        <v>38299.0</v>
      </c>
      <c r="F18" s="3" t="n">
        <v>39278.0</v>
      </c>
      <c r="G18" s="3" t="n">
        <v>41300.0</v>
      </c>
      <c r="H18" s="3" t="n">
        <v>39478.0</v>
      </c>
      <c r="I18" s="3" t="n">
        <v>38726.0</v>
      </c>
      <c r="J18" s="3" t="n">
        <v>36767.0</v>
      </c>
      <c r="K18" s="3" t="n">
        <v>35573.0</v>
      </c>
      <c r="L18" s="3" t="n">
        <v>31906.0</v>
      </c>
      <c r="M18" s="3" t="n">
        <v>33801.0</v>
      </c>
      <c r="N18" s="3" t="n">
        <v>34046.0</v>
      </c>
      <c r="O18" s="3" t="n">
        <v>34256.0</v>
      </c>
      <c r="P18" s="3" t="n">
        <v>34278.0</v>
      </c>
      <c r="Q18" s="3" t="n">
        <v>34155.0</v>
      </c>
      <c r="R18" s="3" t="n">
        <v>34105.0</v>
      </c>
      <c r="S18" s="3" t="n">
        <v>34255.0</v>
      </c>
      <c r="T18" s="3" t="n">
        <v>34302.0</v>
      </c>
      <c r="U18" s="3" t="n">
        <v>34322.0</v>
      </c>
      <c r="V18" s="3" t="n">
        <v>34312.0</v>
      </c>
      <c r="W18" s="3" t="n">
        <v>34249.0</v>
      </c>
      <c r="X18" s="3" t="n">
        <v>34264.0</v>
      </c>
      <c r="Y18" s="3" t="n">
        <v>34333.0</v>
      </c>
      <c r="Z18" s="3" t="n">
        <v>34505.0</v>
      </c>
      <c r="AA18" s="3" t="n">
        <v>34748.0</v>
      </c>
      <c r="AB18" s="3" t="n">
        <v>35010.0</v>
      </c>
      <c r="AC18" s="3" t="n">
        <v>35284.0</v>
      </c>
      <c r="AD18" s="3" t="n">
        <v>35617.0</v>
      </c>
      <c r="AE18" s="3" t="n">
        <v>35916.0</v>
      </c>
      <c r="AF18" s="3" t="n">
        <v>36157.0</v>
      </c>
      <c r="AG18" s="3" t="n">
        <v>36352.0</v>
      </c>
      <c r="AH18" s="3" t="n">
        <v>36466.0</v>
      </c>
      <c r="AI18" s="3" t="n">
        <v>36518.0</v>
      </c>
      <c r="AJ18" s="3" t="n">
        <v>36491.0</v>
      </c>
      <c r="AK18" s="3" t="n">
        <v>36429.0</v>
      </c>
      <c r="AL18" s="3" t="n">
        <v>36258.0</v>
      </c>
      <c r="AM18" s="3" t="n">
        <v>36043.0</v>
      </c>
      <c r="AN18" s="3" t="n">
        <v>35749.0</v>
      </c>
      <c r="AO18" s="3" t="n">
        <v>35432.0</v>
      </c>
    </row>
    <row r="19" spans="1:41" x14ac:dyDescent="0.2">
      <c r="A19" s="122"/>
      <c r="B19" s="9">
        <v>10</v>
      </c>
      <c r="C19" s="3" t="n">
        <v>39428.0</v>
      </c>
      <c r="D19" s="3" t="n">
        <v>37625.0</v>
      </c>
      <c r="E19" s="3" t="n">
        <v>38536.0</v>
      </c>
      <c r="F19" s="3" t="n">
        <v>38323.0</v>
      </c>
      <c r="G19" s="3" t="n">
        <v>39316.0</v>
      </c>
      <c r="H19" s="3" t="n">
        <v>41782.0</v>
      </c>
      <c r="I19" s="3" t="n">
        <v>40123.0</v>
      </c>
      <c r="J19" s="3" t="n">
        <v>39041.0</v>
      </c>
      <c r="K19" s="3" t="n">
        <v>36917.0</v>
      </c>
      <c r="L19" s="3" t="n">
        <v>35660.0</v>
      </c>
      <c r="M19" s="3" t="n">
        <v>31964.0</v>
      </c>
      <c r="N19" s="3" t="n">
        <v>33825.0</v>
      </c>
      <c r="O19" s="3" t="n">
        <v>34063.0</v>
      </c>
      <c r="P19" s="3" t="n">
        <v>34274.0</v>
      </c>
      <c r="Q19" s="3" t="n">
        <v>34297.0</v>
      </c>
      <c r="R19" s="3" t="n">
        <v>34174.0</v>
      </c>
      <c r="S19" s="3" t="n">
        <v>34123.0</v>
      </c>
      <c r="T19" s="3" t="n">
        <v>34273.0</v>
      </c>
      <c r="U19" s="3" t="n">
        <v>34321.0</v>
      </c>
      <c r="V19" s="3" t="n">
        <v>34342.0</v>
      </c>
      <c r="W19" s="3" t="n">
        <v>34333.0</v>
      </c>
      <c r="X19" s="3" t="n">
        <v>34271.0</v>
      </c>
      <c r="Y19" s="3" t="n">
        <v>34290.0</v>
      </c>
      <c r="Z19" s="3" t="n">
        <v>34358.0</v>
      </c>
      <c r="AA19" s="3" t="n">
        <v>34530.0</v>
      </c>
      <c r="AB19" s="3" t="n">
        <v>34771.0</v>
      </c>
      <c r="AC19" s="3" t="n">
        <v>35034.0</v>
      </c>
      <c r="AD19" s="3" t="n">
        <v>35307.0</v>
      </c>
      <c r="AE19" s="3" t="n">
        <v>35639.0</v>
      </c>
      <c r="AF19" s="3" t="n">
        <v>35940.0</v>
      </c>
      <c r="AG19" s="3" t="n">
        <v>36181.0</v>
      </c>
      <c r="AH19" s="3" t="n">
        <v>36377.0</v>
      </c>
      <c r="AI19" s="3" t="n">
        <v>36495.0</v>
      </c>
      <c r="AJ19" s="3" t="n">
        <v>36548.0</v>
      </c>
      <c r="AK19" s="3" t="n">
        <v>36523.0</v>
      </c>
      <c r="AL19" s="3" t="n">
        <v>36456.0</v>
      </c>
      <c r="AM19" s="3" t="n">
        <v>36284.0</v>
      </c>
      <c r="AN19" s="3" t="n">
        <v>36070.0</v>
      </c>
      <c r="AO19" s="3" t="n">
        <v>35777.0</v>
      </c>
    </row>
    <row r="20" spans="1:41" x14ac:dyDescent="0.2">
      <c r="A20" s="122"/>
      <c r="B20" s="9">
        <v>11</v>
      </c>
      <c r="C20" s="3" t="n">
        <v>39203.0</v>
      </c>
      <c r="D20" s="3" t="n">
        <v>39450.0</v>
      </c>
      <c r="E20" s="3" t="n">
        <v>37646.0</v>
      </c>
      <c r="F20" s="3" t="n">
        <v>38565.0</v>
      </c>
      <c r="G20" s="3" t="n">
        <v>38366.0</v>
      </c>
      <c r="H20" s="3" t="n">
        <v>39768.0</v>
      </c>
      <c r="I20" s="3" t="n">
        <v>42401.0</v>
      </c>
      <c r="J20" s="3" t="n">
        <v>40428.0</v>
      </c>
      <c r="K20" s="3" t="n">
        <v>39176.0</v>
      </c>
      <c r="L20" s="3" t="n">
        <v>36994.0</v>
      </c>
      <c r="M20" s="3" t="n">
        <v>35700.0</v>
      </c>
      <c r="N20" s="3" t="n">
        <v>31983.0</v>
      </c>
      <c r="O20" s="3" t="n">
        <v>33829.0</v>
      </c>
      <c r="P20" s="3" t="n">
        <v>34066.0</v>
      </c>
      <c r="Q20" s="3" t="n">
        <v>34277.0</v>
      </c>
      <c r="R20" s="3" t="n">
        <v>34303.0</v>
      </c>
      <c r="S20" s="3" t="n">
        <v>34181.0</v>
      </c>
      <c r="T20" s="3" t="n">
        <v>34127.0</v>
      </c>
      <c r="U20" s="3" t="n">
        <v>34279.0</v>
      </c>
      <c r="V20" s="3" t="n">
        <v>34330.0</v>
      </c>
      <c r="W20" s="3" t="n">
        <v>34354.0</v>
      </c>
      <c r="X20" s="3" t="n">
        <v>34345.0</v>
      </c>
      <c r="Y20" s="3" t="n">
        <v>34285.0</v>
      </c>
      <c r="Z20" s="3" t="n">
        <v>34304.0</v>
      </c>
      <c r="AA20" s="3" t="n">
        <v>34372.0</v>
      </c>
      <c r="AB20" s="3" t="n">
        <v>34544.0</v>
      </c>
      <c r="AC20" s="3" t="n">
        <v>34788.0</v>
      </c>
      <c r="AD20" s="3" t="n">
        <v>35052.0</v>
      </c>
      <c r="AE20" s="3" t="n">
        <v>35318.0</v>
      </c>
      <c r="AF20" s="3" t="n">
        <v>35651.0</v>
      </c>
      <c r="AG20" s="3" t="n">
        <v>35952.0</v>
      </c>
      <c r="AH20" s="3" t="n">
        <v>36193.0</v>
      </c>
      <c r="AI20" s="3" t="n">
        <v>36395.0</v>
      </c>
      <c r="AJ20" s="3" t="n">
        <v>36511.0</v>
      </c>
      <c r="AK20" s="3" t="n">
        <v>36563.0</v>
      </c>
      <c r="AL20" s="3" t="n">
        <v>36537.0</v>
      </c>
      <c r="AM20" s="3" t="n">
        <v>36472.0</v>
      </c>
      <c r="AN20" s="3" t="n">
        <v>36298.0</v>
      </c>
      <c r="AO20" s="3" t="n">
        <v>36084.0</v>
      </c>
    </row>
    <row r="21" spans="1:41" x14ac:dyDescent="0.2">
      <c r="A21" s="122"/>
      <c r="B21" s="9">
        <v>12</v>
      </c>
      <c r="C21" s="3" t="n">
        <v>41847.0</v>
      </c>
      <c r="D21" s="3" t="n">
        <v>39210.0</v>
      </c>
      <c r="E21" s="3" t="n">
        <v>39460.0</v>
      </c>
      <c r="F21" s="3" t="n">
        <v>37665.0</v>
      </c>
      <c r="G21" s="3" t="n">
        <v>38596.0</v>
      </c>
      <c r="H21" s="3" t="n">
        <v>38797.0</v>
      </c>
      <c r="I21" s="3" t="n">
        <v>40357.0</v>
      </c>
      <c r="J21" s="3" t="n">
        <v>42675.0</v>
      </c>
      <c r="K21" s="3" t="n">
        <v>40542.0</v>
      </c>
      <c r="L21" s="3" t="n">
        <v>39236.0</v>
      </c>
      <c r="M21" s="3" t="n">
        <v>37027.0</v>
      </c>
      <c r="N21" s="3" t="n">
        <v>35719.0</v>
      </c>
      <c r="O21" s="3" t="n">
        <v>32001.0</v>
      </c>
      <c r="P21" s="3" t="n">
        <v>33834.0</v>
      </c>
      <c r="Q21" s="3" t="n">
        <v>34072.0</v>
      </c>
      <c r="R21" s="3" t="n">
        <v>34285.0</v>
      </c>
      <c r="S21" s="3" t="n">
        <v>34313.0</v>
      </c>
      <c r="T21" s="3" t="n">
        <v>34192.0</v>
      </c>
      <c r="U21" s="3" t="n">
        <v>34137.0</v>
      </c>
      <c r="V21" s="3" t="n">
        <v>34291.0</v>
      </c>
      <c r="W21" s="3" t="n">
        <v>34342.0</v>
      </c>
      <c r="X21" s="3" t="n">
        <v>34369.0</v>
      </c>
      <c r="Y21" s="3" t="n">
        <v>34358.0</v>
      </c>
      <c r="Z21" s="3" t="n">
        <v>34302.0</v>
      </c>
      <c r="AA21" s="3" t="n">
        <v>34320.0</v>
      </c>
      <c r="AB21" s="3" t="n">
        <v>34391.0</v>
      </c>
      <c r="AC21" s="3" t="n">
        <v>34560.0</v>
      </c>
      <c r="AD21" s="3" t="n">
        <v>34802.0</v>
      </c>
      <c r="AE21" s="3" t="n">
        <v>35066.0</v>
      </c>
      <c r="AF21" s="3" t="n">
        <v>35328.0</v>
      </c>
      <c r="AG21" s="3" t="n">
        <v>35661.0</v>
      </c>
      <c r="AH21" s="3" t="n">
        <v>35960.0</v>
      </c>
      <c r="AI21" s="3" t="n">
        <v>36198.0</v>
      </c>
      <c r="AJ21" s="3" t="n">
        <v>36402.0</v>
      </c>
      <c r="AK21" s="3" t="n">
        <v>36518.0</v>
      </c>
      <c r="AL21" s="3" t="n">
        <v>36567.0</v>
      </c>
      <c r="AM21" s="3" t="n">
        <v>36540.0</v>
      </c>
      <c r="AN21" s="3" t="n">
        <v>36476.0</v>
      </c>
      <c r="AO21" s="3" t="n">
        <v>36301.0</v>
      </c>
    </row>
    <row r="22" spans="1:41" x14ac:dyDescent="0.2">
      <c r="A22" s="122"/>
      <c r="B22" s="9">
        <v>13</v>
      </c>
      <c r="C22" s="3" t="n">
        <v>41837.0</v>
      </c>
      <c r="D22" s="3" t="n">
        <v>41849.0</v>
      </c>
      <c r="E22" s="3" t="n">
        <v>39213.0</v>
      </c>
      <c r="F22" s="3" t="n">
        <v>39476.0</v>
      </c>
      <c r="G22" s="3" t="n">
        <v>37689.0</v>
      </c>
      <c r="H22" s="3" t="n">
        <v>39009.0</v>
      </c>
      <c r="I22" s="3" t="n">
        <v>39356.0</v>
      </c>
      <c r="J22" s="3" t="n">
        <v>40614.0</v>
      </c>
      <c r="K22" s="3" t="n">
        <v>42773.0</v>
      </c>
      <c r="L22" s="3" t="n">
        <v>40601.0</v>
      </c>
      <c r="M22" s="3" t="n">
        <v>39268.0</v>
      </c>
      <c r="N22" s="3" t="n">
        <v>37033.0</v>
      </c>
      <c r="O22" s="3" t="n">
        <v>35719.0</v>
      </c>
      <c r="P22" s="3" t="n">
        <v>32008.0</v>
      </c>
      <c r="Q22" s="3" t="n">
        <v>33837.0</v>
      </c>
      <c r="R22" s="3" t="n">
        <v>34072.0</v>
      </c>
      <c r="S22" s="3" t="n">
        <v>34286.0</v>
      </c>
      <c r="T22" s="3" t="n">
        <v>34314.0</v>
      </c>
      <c r="U22" s="3" t="n">
        <v>34195.0</v>
      </c>
      <c r="V22" s="3" t="n">
        <v>34139.0</v>
      </c>
      <c r="W22" s="3" t="n">
        <v>34294.0</v>
      </c>
      <c r="X22" s="3" t="n">
        <v>34344.0</v>
      </c>
      <c r="Y22" s="3" t="n">
        <v>34371.0</v>
      </c>
      <c r="Z22" s="3" t="n">
        <v>34360.0</v>
      </c>
      <c r="AA22" s="3" t="n">
        <v>34306.0</v>
      </c>
      <c r="AB22" s="3" t="n">
        <v>34321.0</v>
      </c>
      <c r="AC22" s="3" t="n">
        <v>34394.0</v>
      </c>
      <c r="AD22" s="3" t="n">
        <v>34562.0</v>
      </c>
      <c r="AE22" s="3" t="n">
        <v>34801.0</v>
      </c>
      <c r="AF22" s="3" t="n">
        <v>35067.0</v>
      </c>
      <c r="AG22" s="3" t="n">
        <v>35327.0</v>
      </c>
      <c r="AH22" s="3" t="n">
        <v>35662.0</v>
      </c>
      <c r="AI22" s="3" t="n">
        <v>35963.0</v>
      </c>
      <c r="AJ22" s="3" t="n">
        <v>36200.0</v>
      </c>
      <c r="AK22" s="3" t="n">
        <v>36405.0</v>
      </c>
      <c r="AL22" s="3" t="n">
        <v>36523.0</v>
      </c>
      <c r="AM22" s="3" t="n">
        <v>36570.0</v>
      </c>
      <c r="AN22" s="3" t="n">
        <v>36544.0</v>
      </c>
      <c r="AO22" s="3" t="n">
        <v>36481.0</v>
      </c>
    </row>
    <row r="23" spans="1:41" x14ac:dyDescent="0.2">
      <c r="A23" s="122"/>
      <c r="B23" s="9">
        <v>14</v>
      </c>
      <c r="C23" s="3" t="n">
        <v>41603.0</v>
      </c>
      <c r="D23" s="3" t="n">
        <v>41838.0</v>
      </c>
      <c r="E23" s="3" t="n">
        <v>41854.0</v>
      </c>
      <c r="F23" s="3" t="n">
        <v>39230.0</v>
      </c>
      <c r="G23" s="3" t="n">
        <v>39509.0</v>
      </c>
      <c r="H23" s="3" t="n">
        <v>38123.0</v>
      </c>
      <c r="I23" s="3" t="n">
        <v>39586.0</v>
      </c>
      <c r="J23" s="3" t="n">
        <v>39620.0</v>
      </c>
      <c r="K23" s="3" t="n">
        <v>40731.0</v>
      </c>
      <c r="L23" s="3" t="n">
        <v>42837.0</v>
      </c>
      <c r="M23" s="3" t="n">
        <v>40639.0</v>
      </c>
      <c r="N23" s="3" t="n">
        <v>39285.0</v>
      </c>
      <c r="O23" s="3" t="n">
        <v>37033.0</v>
      </c>
      <c r="P23" s="3" t="n">
        <v>35717.0</v>
      </c>
      <c r="Q23" s="3" t="n">
        <v>32001.0</v>
      </c>
      <c r="R23" s="3" t="n">
        <v>33829.0</v>
      </c>
      <c r="S23" s="3" t="n">
        <v>34063.0</v>
      </c>
      <c r="T23" s="3" t="n">
        <v>34277.0</v>
      </c>
      <c r="U23" s="3" t="n">
        <v>34302.0</v>
      </c>
      <c r="V23" s="3" t="n">
        <v>34184.0</v>
      </c>
      <c r="W23" s="3" t="n">
        <v>34129.0</v>
      </c>
      <c r="X23" s="3" t="n">
        <v>34285.0</v>
      </c>
      <c r="Y23" s="3" t="n">
        <v>34335.0</v>
      </c>
      <c r="Z23" s="3" t="n">
        <v>34362.0</v>
      </c>
      <c r="AA23" s="3" t="n">
        <v>34352.0</v>
      </c>
      <c r="AB23" s="3" t="n">
        <v>34299.0</v>
      </c>
      <c r="AC23" s="3" t="n">
        <v>34313.0</v>
      </c>
      <c r="AD23" s="3" t="n">
        <v>34387.0</v>
      </c>
      <c r="AE23" s="3" t="n">
        <v>34552.0</v>
      </c>
      <c r="AF23" s="3" t="n">
        <v>34788.0</v>
      </c>
      <c r="AG23" s="3" t="n">
        <v>35055.0</v>
      </c>
      <c r="AH23" s="3" t="n">
        <v>35316.0</v>
      </c>
      <c r="AI23" s="3" t="n">
        <v>35650.0</v>
      </c>
      <c r="AJ23" s="3" t="n">
        <v>35952.0</v>
      </c>
      <c r="AK23" s="3" t="n">
        <v>36189.0</v>
      </c>
      <c r="AL23" s="3" t="n">
        <v>36394.0</v>
      </c>
      <c r="AM23" s="3" t="n">
        <v>36514.0</v>
      </c>
      <c r="AN23" s="3" t="n">
        <v>36560.0</v>
      </c>
      <c r="AO23" s="3" t="n">
        <v>36535.0</v>
      </c>
    </row>
    <row r="24" spans="1:41" x14ac:dyDescent="0.2">
      <c r="A24" s="122"/>
      <c r="B24" s="9">
        <v>15</v>
      </c>
      <c r="C24" s="3" t="n">
        <v>38655.0</v>
      </c>
      <c r="D24" s="3" t="n">
        <v>41592.0</v>
      </c>
      <c r="E24" s="3" t="n">
        <v>41826.0</v>
      </c>
      <c r="F24" s="3" t="n">
        <v>41843.0</v>
      </c>
      <c r="G24" s="3" t="n">
        <v>39230.0</v>
      </c>
      <c r="H24" s="3" t="n">
        <v>39858.0</v>
      </c>
      <c r="I24" s="3" t="n">
        <v>38606.0</v>
      </c>
      <c r="J24" s="3" t="n">
        <v>39801.0</v>
      </c>
      <c r="K24" s="3" t="n">
        <v>39698.0</v>
      </c>
      <c r="L24" s="3" t="n">
        <v>40760.0</v>
      </c>
      <c r="M24" s="3" t="n">
        <v>42839.0</v>
      </c>
      <c r="N24" s="3" t="n">
        <v>40629.0</v>
      </c>
      <c r="O24" s="3" t="n">
        <v>39271.0</v>
      </c>
      <c r="P24" s="3" t="n">
        <v>37016.0</v>
      </c>
      <c r="Q24" s="3" t="n">
        <v>35704.0</v>
      </c>
      <c r="R24" s="3" t="n">
        <v>31989.0</v>
      </c>
      <c r="S24" s="3" t="n">
        <v>33815.0</v>
      </c>
      <c r="T24" s="3" t="n">
        <v>34048.0</v>
      </c>
      <c r="U24" s="3" t="n">
        <v>34262.0</v>
      </c>
      <c r="V24" s="3" t="n">
        <v>34286.0</v>
      </c>
      <c r="W24" s="3" t="n">
        <v>34169.0</v>
      </c>
      <c r="X24" s="3" t="n">
        <v>34114.0</v>
      </c>
      <c r="Y24" s="3" t="n">
        <v>34271.0</v>
      </c>
      <c r="Z24" s="3" t="n">
        <v>34322.0</v>
      </c>
      <c r="AA24" s="3" t="n">
        <v>34348.0</v>
      </c>
      <c r="AB24" s="3" t="n">
        <v>34339.0</v>
      </c>
      <c r="AC24" s="3" t="n">
        <v>34287.0</v>
      </c>
      <c r="AD24" s="3" t="n">
        <v>34303.0</v>
      </c>
      <c r="AE24" s="3" t="n">
        <v>34376.0</v>
      </c>
      <c r="AF24" s="3" t="n">
        <v>34540.0</v>
      </c>
      <c r="AG24" s="3" t="n">
        <v>34774.0</v>
      </c>
      <c r="AH24" s="3" t="n">
        <v>35044.0</v>
      </c>
      <c r="AI24" s="3" t="n">
        <v>35301.0</v>
      </c>
      <c r="AJ24" s="3" t="n">
        <v>35635.0</v>
      </c>
      <c r="AK24" s="3" t="n">
        <v>35939.0</v>
      </c>
      <c r="AL24" s="3" t="n">
        <v>36171.0</v>
      </c>
      <c r="AM24" s="3" t="n">
        <v>36374.0</v>
      </c>
      <c r="AN24" s="3" t="n">
        <v>36496.0</v>
      </c>
      <c r="AO24" s="3" t="n">
        <v>36543.0</v>
      </c>
    </row>
    <row r="25" spans="1:41" x14ac:dyDescent="0.2">
      <c r="A25" s="122"/>
      <c r="B25" s="9">
        <v>16</v>
      </c>
      <c r="C25" s="3" t="n">
        <v>36447.0</v>
      </c>
      <c r="D25" s="3" t="n">
        <v>38640.0</v>
      </c>
      <c r="E25" s="3" t="n">
        <v>41578.0</v>
      </c>
      <c r="F25" s="3" t="n">
        <v>41815.0</v>
      </c>
      <c r="G25" s="3" t="n">
        <v>41850.0</v>
      </c>
      <c r="H25" s="3" t="n">
        <v>39538.0</v>
      </c>
      <c r="I25" s="3" t="n">
        <v>40287.0</v>
      </c>
      <c r="J25" s="3" t="n">
        <v>38804.0</v>
      </c>
      <c r="K25" s="3" t="n">
        <v>39875.0</v>
      </c>
      <c r="L25" s="3" t="n">
        <v>39726.0</v>
      </c>
      <c r="M25" s="3" t="n">
        <v>40772.0</v>
      </c>
      <c r="N25" s="3" t="n">
        <v>42822.0</v>
      </c>
      <c r="O25" s="3" t="n">
        <v>40615.0</v>
      </c>
      <c r="P25" s="3" t="n">
        <v>39259.0</v>
      </c>
      <c r="Q25" s="3" t="n">
        <v>37004.0</v>
      </c>
      <c r="R25" s="3" t="n">
        <v>35687.0</v>
      </c>
      <c r="S25" s="3" t="n">
        <v>31979.0</v>
      </c>
      <c r="T25" s="3" t="n">
        <v>33803.0</v>
      </c>
      <c r="U25" s="3" t="n">
        <v>34036.0</v>
      </c>
      <c r="V25" s="3" t="n">
        <v>34250.0</v>
      </c>
      <c r="W25" s="3" t="n">
        <v>34275.0</v>
      </c>
      <c r="X25" s="3" t="n">
        <v>34158.0</v>
      </c>
      <c r="Y25" s="3" t="n">
        <v>34104.0</v>
      </c>
      <c r="Z25" s="3" t="n">
        <v>34259.0</v>
      </c>
      <c r="AA25" s="3" t="n">
        <v>34314.0</v>
      </c>
      <c r="AB25" s="3" t="n">
        <v>34339.0</v>
      </c>
      <c r="AC25" s="3" t="n">
        <v>34327.0</v>
      </c>
      <c r="AD25" s="3" t="n">
        <v>34278.0</v>
      </c>
      <c r="AE25" s="3" t="n">
        <v>34292.0</v>
      </c>
      <c r="AF25" s="3" t="n">
        <v>34364.0</v>
      </c>
      <c r="AG25" s="3" t="n">
        <v>34529.0</v>
      </c>
      <c r="AH25" s="3" t="n">
        <v>34764.0</v>
      </c>
      <c r="AI25" s="3" t="n">
        <v>35032.0</v>
      </c>
      <c r="AJ25" s="3" t="n">
        <v>35286.0</v>
      </c>
      <c r="AK25" s="3" t="n">
        <v>35623.0</v>
      </c>
      <c r="AL25" s="3" t="n">
        <v>35924.0</v>
      </c>
      <c r="AM25" s="3" t="n">
        <v>36156.0</v>
      </c>
      <c r="AN25" s="3" t="n">
        <v>36361.0</v>
      </c>
      <c r="AO25" s="3" t="n">
        <v>36480.0</v>
      </c>
    </row>
    <row r="26" spans="1:41" x14ac:dyDescent="0.2">
      <c r="A26" s="122"/>
      <c r="B26" s="9">
        <v>17</v>
      </c>
      <c r="C26" s="3" t="n">
        <v>35218.0</v>
      </c>
      <c r="D26" s="3" t="n">
        <v>36428.0</v>
      </c>
      <c r="E26" s="3" t="n">
        <v>38620.0</v>
      </c>
      <c r="F26" s="3" t="n">
        <v>41562.0</v>
      </c>
      <c r="G26" s="3" t="n">
        <v>41803.0</v>
      </c>
      <c r="H26" s="3" t="n">
        <v>42148.0</v>
      </c>
      <c r="I26" s="3" t="n">
        <v>39954.0</v>
      </c>
      <c r="J26" s="3" t="n">
        <v>40476.0</v>
      </c>
      <c r="K26" s="3" t="n">
        <v>38870.0</v>
      </c>
      <c r="L26" s="3" t="n">
        <v>39896.0</v>
      </c>
      <c r="M26" s="3" t="n">
        <v>39726.0</v>
      </c>
      <c r="N26" s="3" t="n">
        <v>40759.0</v>
      </c>
      <c r="O26" s="3" t="n">
        <v>42799.0</v>
      </c>
      <c r="P26" s="3" t="n">
        <v>40600.0</v>
      </c>
      <c r="Q26" s="3" t="n">
        <v>39247.0</v>
      </c>
      <c r="R26" s="3" t="n">
        <v>36984.0</v>
      </c>
      <c r="S26" s="3" t="n">
        <v>35669.0</v>
      </c>
      <c r="T26" s="3" t="n">
        <v>31961.0</v>
      </c>
      <c r="U26" s="3" t="n">
        <v>33783.0</v>
      </c>
      <c r="V26" s="3" t="n">
        <v>34015.0</v>
      </c>
      <c r="W26" s="3" t="n">
        <v>34230.0</v>
      </c>
      <c r="X26" s="3" t="n">
        <v>34255.0</v>
      </c>
      <c r="Y26" s="3" t="n">
        <v>34140.0</v>
      </c>
      <c r="Z26" s="3" t="n">
        <v>34085.0</v>
      </c>
      <c r="AA26" s="3" t="n">
        <v>34240.0</v>
      </c>
      <c r="AB26" s="3" t="n">
        <v>34294.0</v>
      </c>
      <c r="AC26" s="3" t="n">
        <v>34320.0</v>
      </c>
      <c r="AD26" s="3" t="n">
        <v>34308.0</v>
      </c>
      <c r="AE26" s="3" t="n">
        <v>34258.0</v>
      </c>
      <c r="AF26" s="3" t="n">
        <v>34275.0</v>
      </c>
      <c r="AG26" s="3" t="n">
        <v>34343.0</v>
      </c>
      <c r="AH26" s="3" t="n">
        <v>34510.0</v>
      </c>
      <c r="AI26" s="3" t="n">
        <v>34748.0</v>
      </c>
      <c r="AJ26" s="3" t="n">
        <v>35015.0</v>
      </c>
      <c r="AK26" s="3" t="n">
        <v>35268.0</v>
      </c>
      <c r="AL26" s="3" t="n">
        <v>35606.0</v>
      </c>
      <c r="AM26" s="3" t="n">
        <v>35905.0</v>
      </c>
      <c r="AN26" s="3" t="n">
        <v>36137.0</v>
      </c>
      <c r="AO26" s="3" t="n">
        <v>36346.0</v>
      </c>
    </row>
    <row r="27" spans="1:41" x14ac:dyDescent="0.2">
      <c r="A27" s="122"/>
      <c r="B27" s="9">
        <v>18</v>
      </c>
      <c r="C27" s="3" t="n">
        <v>33254.0</v>
      </c>
      <c r="D27" s="3" t="n">
        <v>35194.0</v>
      </c>
      <c r="E27" s="3" t="n">
        <v>36405.0</v>
      </c>
      <c r="F27" s="3" t="n">
        <v>38602.0</v>
      </c>
      <c r="G27" s="3" t="n">
        <v>41553.0</v>
      </c>
      <c r="H27" s="3" t="n">
        <v>42130.0</v>
      </c>
      <c r="I27" s="3" t="n">
        <v>42609.0</v>
      </c>
      <c r="J27" s="3" t="n">
        <v>40154.0</v>
      </c>
      <c r="K27" s="3" t="n">
        <v>40541.0</v>
      </c>
      <c r="L27" s="3" t="n">
        <v>38899.0</v>
      </c>
      <c r="M27" s="3" t="n">
        <v>39895.0</v>
      </c>
      <c r="N27" s="3" t="n">
        <v>39708.0</v>
      </c>
      <c r="O27" s="3" t="n">
        <v>40731.0</v>
      </c>
      <c r="P27" s="3" t="n">
        <v>42769.0</v>
      </c>
      <c r="Q27" s="3" t="n">
        <v>40572.0</v>
      </c>
      <c r="R27" s="3" t="n">
        <v>39224.0</v>
      </c>
      <c r="S27" s="3" t="n">
        <v>36958.0</v>
      </c>
      <c r="T27" s="3" t="n">
        <v>35648.0</v>
      </c>
      <c r="U27" s="3" t="n">
        <v>31938.0</v>
      </c>
      <c r="V27" s="3" t="n">
        <v>33754.0</v>
      </c>
      <c r="W27" s="3" t="n">
        <v>33986.0</v>
      </c>
      <c r="X27" s="3" t="n">
        <v>34203.0</v>
      </c>
      <c r="Y27" s="3" t="n">
        <v>34230.0</v>
      </c>
      <c r="Z27" s="3" t="n">
        <v>34118.0</v>
      </c>
      <c r="AA27" s="3" t="n">
        <v>34060.0</v>
      </c>
      <c r="AB27" s="3" t="n">
        <v>34214.0</v>
      </c>
      <c r="AC27" s="3" t="n">
        <v>34267.0</v>
      </c>
      <c r="AD27" s="3" t="n">
        <v>34294.0</v>
      </c>
      <c r="AE27" s="3" t="n">
        <v>34283.0</v>
      </c>
      <c r="AF27" s="3" t="n">
        <v>34232.0</v>
      </c>
      <c r="AG27" s="3" t="n">
        <v>34249.0</v>
      </c>
      <c r="AH27" s="3" t="n">
        <v>34318.0</v>
      </c>
      <c r="AI27" s="3" t="n">
        <v>34487.0</v>
      </c>
      <c r="AJ27" s="3" t="n">
        <v>34722.0</v>
      </c>
      <c r="AK27" s="3" t="n">
        <v>34992.0</v>
      </c>
      <c r="AL27" s="3" t="n">
        <v>35247.0</v>
      </c>
      <c r="AM27" s="3" t="n">
        <v>35587.0</v>
      </c>
      <c r="AN27" s="3" t="n">
        <v>35885.0</v>
      </c>
      <c r="AO27" s="3" t="n">
        <v>36119.0</v>
      </c>
    </row>
    <row r="28" spans="1:41" x14ac:dyDescent="0.2">
      <c r="A28" s="122"/>
      <c r="B28" s="9">
        <v>19</v>
      </c>
      <c r="C28" s="3" t="n">
        <v>32906.0</v>
      </c>
      <c r="D28" s="3" t="n">
        <v>33220.0</v>
      </c>
      <c r="E28" s="3" t="n">
        <v>35158.0</v>
      </c>
      <c r="F28" s="3" t="n">
        <v>36375.0</v>
      </c>
      <c r="G28" s="3" t="n">
        <v>38583.0</v>
      </c>
      <c r="H28" s="3" t="n">
        <v>41811.0</v>
      </c>
      <c r="I28" s="3" t="n">
        <v>42505.0</v>
      </c>
      <c r="J28" s="3" t="n">
        <v>42761.0</v>
      </c>
      <c r="K28" s="3" t="n">
        <v>40198.0</v>
      </c>
      <c r="L28" s="3" t="n">
        <v>40542.0</v>
      </c>
      <c r="M28" s="3" t="n">
        <v>38888.0</v>
      </c>
      <c r="N28" s="3" t="n">
        <v>39873.0</v>
      </c>
      <c r="O28" s="3" t="n">
        <v>39679.0</v>
      </c>
      <c r="P28" s="3" t="n">
        <v>40698.0</v>
      </c>
      <c r="Q28" s="3" t="n">
        <v>42740.0</v>
      </c>
      <c r="R28" s="3" t="n">
        <v>40539.0</v>
      </c>
      <c r="S28" s="3" t="n">
        <v>39193.0</v>
      </c>
      <c r="T28" s="3" t="n">
        <v>36928.0</v>
      </c>
      <c r="U28" s="3" t="n">
        <v>35618.0</v>
      </c>
      <c r="V28" s="3" t="n">
        <v>31907.0</v>
      </c>
      <c r="W28" s="3" t="n">
        <v>33721.0</v>
      </c>
      <c r="X28" s="3" t="n">
        <v>33949.0</v>
      </c>
      <c r="Y28" s="3" t="n">
        <v>34170.0</v>
      </c>
      <c r="Z28" s="3" t="n">
        <v>34195.0</v>
      </c>
      <c r="AA28" s="3" t="n">
        <v>34082.0</v>
      </c>
      <c r="AB28" s="3" t="n">
        <v>34028.0</v>
      </c>
      <c r="AC28" s="3" t="n">
        <v>34183.0</v>
      </c>
      <c r="AD28" s="3" t="n">
        <v>34233.0</v>
      </c>
      <c r="AE28" s="3" t="n">
        <v>34258.0</v>
      </c>
      <c r="AF28" s="3" t="n">
        <v>34250.0</v>
      </c>
      <c r="AG28" s="3" t="n">
        <v>34198.0</v>
      </c>
      <c r="AH28" s="3" t="n">
        <v>34216.0</v>
      </c>
      <c r="AI28" s="3" t="n">
        <v>34287.0</v>
      </c>
      <c r="AJ28" s="3" t="n">
        <v>34458.0</v>
      </c>
      <c r="AK28" s="3" t="n">
        <v>34694.0</v>
      </c>
      <c r="AL28" s="3" t="n">
        <v>34965.0</v>
      </c>
      <c r="AM28" s="3" t="n">
        <v>35217.0</v>
      </c>
      <c r="AN28" s="3" t="n">
        <v>35558.0</v>
      </c>
      <c r="AO28" s="3" t="n">
        <v>35855.0</v>
      </c>
    </row>
    <row r="29" spans="1:41" x14ac:dyDescent="0.2">
      <c r="A29" s="122"/>
      <c r="B29" s="9">
        <v>20</v>
      </c>
      <c r="C29" s="3" t="n">
        <v>32997.0</v>
      </c>
      <c r="D29" s="3" t="n">
        <v>32875.0</v>
      </c>
      <c r="E29" s="3" t="n">
        <v>33189.0</v>
      </c>
      <c r="F29" s="3" t="n">
        <v>35124.0</v>
      </c>
      <c r="G29" s="3" t="n">
        <v>36343.0</v>
      </c>
      <c r="H29" s="3" t="n">
        <v>38721.0</v>
      </c>
      <c r="I29" s="3" t="n">
        <v>42019.0</v>
      </c>
      <c r="J29" s="3" t="n">
        <v>42584.0</v>
      </c>
      <c r="K29" s="3" t="n">
        <v>42780.0</v>
      </c>
      <c r="L29" s="3" t="n">
        <v>40187.0</v>
      </c>
      <c r="M29" s="3" t="n">
        <v>40520.0</v>
      </c>
      <c r="N29" s="3" t="n">
        <v>38855.0</v>
      </c>
      <c r="O29" s="3" t="n">
        <v>39833.0</v>
      </c>
      <c r="P29" s="3" t="n">
        <v>39642.0</v>
      </c>
      <c r="Q29" s="3" t="n">
        <v>40666.0</v>
      </c>
      <c r="R29" s="3" t="n">
        <v>42706.0</v>
      </c>
      <c r="S29" s="3" t="n">
        <v>40499.0</v>
      </c>
      <c r="T29" s="3" t="n">
        <v>39153.0</v>
      </c>
      <c r="U29" s="3" t="n">
        <v>36881.0</v>
      </c>
      <c r="V29" s="3" t="n">
        <v>35581.0</v>
      </c>
      <c r="W29" s="3" t="n">
        <v>31885.0</v>
      </c>
      <c r="X29" s="3" t="n">
        <v>33694.0</v>
      </c>
      <c r="Y29" s="3" t="n">
        <v>33920.0</v>
      </c>
      <c r="Z29" s="3" t="n">
        <v>34140.0</v>
      </c>
      <c r="AA29" s="3" t="n">
        <v>34166.0</v>
      </c>
      <c r="AB29" s="3" t="n">
        <v>34053.0</v>
      </c>
      <c r="AC29" s="3" t="n">
        <v>33998.0</v>
      </c>
      <c r="AD29" s="3" t="n">
        <v>34153.0</v>
      </c>
      <c r="AE29" s="3" t="n">
        <v>34204.0</v>
      </c>
      <c r="AF29" s="3" t="n">
        <v>34230.0</v>
      </c>
      <c r="AG29" s="3" t="n">
        <v>34223.0</v>
      </c>
      <c r="AH29" s="3" t="n">
        <v>34171.0</v>
      </c>
      <c r="AI29" s="3" t="n">
        <v>34188.0</v>
      </c>
      <c r="AJ29" s="3" t="n">
        <v>34259.0</v>
      </c>
      <c r="AK29" s="3" t="n">
        <v>34429.0</v>
      </c>
      <c r="AL29" s="3" t="n">
        <v>34666.0</v>
      </c>
      <c r="AM29" s="3" t="n">
        <v>34939.0</v>
      </c>
      <c r="AN29" s="3" t="n">
        <v>35191.0</v>
      </c>
      <c r="AO29" s="3" t="n">
        <v>35531.0</v>
      </c>
    </row>
    <row r="30" spans="1:41" x14ac:dyDescent="0.2">
      <c r="A30" s="122"/>
      <c r="B30" s="9">
        <v>21</v>
      </c>
      <c r="C30" s="3" t="n">
        <v>34305.0</v>
      </c>
      <c r="D30" s="3" t="n">
        <v>32969.0</v>
      </c>
      <c r="E30" s="3" t="n">
        <v>32856.0</v>
      </c>
      <c r="F30" s="3" t="n">
        <v>33175.0</v>
      </c>
      <c r="G30" s="3" t="n">
        <v>35113.0</v>
      </c>
      <c r="H30" s="3" t="n">
        <v>36475.0</v>
      </c>
      <c r="I30" s="3" t="n">
        <v>38912.0</v>
      </c>
      <c r="J30" s="3" t="n">
        <v>42099.0</v>
      </c>
      <c r="K30" s="3" t="n">
        <v>42600.0</v>
      </c>
      <c r="L30" s="3" t="n">
        <v>42774.0</v>
      </c>
      <c r="M30" s="3" t="n">
        <v>40180.0</v>
      </c>
      <c r="N30" s="3" t="n">
        <v>40509.0</v>
      </c>
      <c r="O30" s="3" t="n">
        <v>38842.0</v>
      </c>
      <c r="P30" s="3" t="n">
        <v>39817.0</v>
      </c>
      <c r="Q30" s="3" t="n">
        <v>39622.0</v>
      </c>
      <c r="R30" s="3" t="n">
        <v>40640.0</v>
      </c>
      <c r="S30" s="3" t="n">
        <v>42684.0</v>
      </c>
      <c r="T30" s="3" t="n">
        <v>40476.0</v>
      </c>
      <c r="U30" s="3" t="n">
        <v>39133.0</v>
      </c>
      <c r="V30" s="3" t="n">
        <v>36859.0</v>
      </c>
      <c r="W30" s="3" t="n">
        <v>35557.0</v>
      </c>
      <c r="X30" s="3" t="n">
        <v>31865.0</v>
      </c>
      <c r="Y30" s="3" t="n">
        <v>33671.0</v>
      </c>
      <c r="Z30" s="3" t="n">
        <v>33896.0</v>
      </c>
      <c r="AA30" s="3" t="n">
        <v>34117.0</v>
      </c>
      <c r="AB30" s="3" t="n">
        <v>34143.0</v>
      </c>
      <c r="AC30" s="3" t="n">
        <v>34030.0</v>
      </c>
      <c r="AD30" s="3" t="n">
        <v>33976.0</v>
      </c>
      <c r="AE30" s="3" t="n">
        <v>34130.0</v>
      </c>
      <c r="AF30" s="3" t="n">
        <v>34179.0</v>
      </c>
      <c r="AG30" s="3" t="n">
        <v>34207.0</v>
      </c>
      <c r="AH30" s="3" t="n">
        <v>34201.0</v>
      </c>
      <c r="AI30" s="3" t="n">
        <v>34149.0</v>
      </c>
      <c r="AJ30" s="3" t="n">
        <v>34163.0</v>
      </c>
      <c r="AK30" s="3" t="n">
        <v>34239.0</v>
      </c>
      <c r="AL30" s="3" t="n">
        <v>34408.0</v>
      </c>
      <c r="AM30" s="3" t="n">
        <v>34642.0</v>
      </c>
      <c r="AN30" s="3" t="n">
        <v>34916.0</v>
      </c>
      <c r="AO30" s="3" t="n">
        <v>35168.0</v>
      </c>
    </row>
    <row r="31" spans="1:41" x14ac:dyDescent="0.2">
      <c r="A31" s="122"/>
      <c r="B31" s="9">
        <v>22</v>
      </c>
      <c r="C31" s="3" t="n">
        <v>35307.0</v>
      </c>
      <c r="D31" s="3" t="n">
        <v>34302.0</v>
      </c>
      <c r="E31" s="3" t="n">
        <v>32967.0</v>
      </c>
      <c r="F31" s="3" t="n">
        <v>32855.0</v>
      </c>
      <c r="G31" s="3" t="n">
        <v>33180.0</v>
      </c>
      <c r="H31" s="3" t="n">
        <v>35262.0</v>
      </c>
      <c r="I31" s="3" t="n">
        <v>36674.0</v>
      </c>
      <c r="J31" s="3" t="n">
        <v>38992.0</v>
      </c>
      <c r="K31" s="3" t="n">
        <v>42119.0</v>
      </c>
      <c r="L31" s="3" t="n">
        <v>42604.0</v>
      </c>
      <c r="M31" s="3" t="n">
        <v>42771.0</v>
      </c>
      <c r="N31" s="3" t="n">
        <v>40173.0</v>
      </c>
      <c r="O31" s="3" t="n">
        <v>40494.0</v>
      </c>
      <c r="P31" s="3" t="n">
        <v>38826.0</v>
      </c>
      <c r="Q31" s="3" t="n">
        <v>39808.0</v>
      </c>
      <c r="R31" s="3" t="n">
        <v>39608.0</v>
      </c>
      <c r="S31" s="3" t="n">
        <v>40623.0</v>
      </c>
      <c r="T31" s="3" t="n">
        <v>42664.0</v>
      </c>
      <c r="U31" s="3" t="n">
        <v>40461.0</v>
      </c>
      <c r="V31" s="3" t="n">
        <v>39125.0</v>
      </c>
      <c r="W31" s="3" t="n">
        <v>36842.0</v>
      </c>
      <c r="X31" s="3" t="n">
        <v>35544.0</v>
      </c>
      <c r="Y31" s="3" t="n">
        <v>31850.0</v>
      </c>
      <c r="Z31" s="3" t="n">
        <v>33650.0</v>
      </c>
      <c r="AA31" s="3" t="n">
        <v>33869.0</v>
      </c>
      <c r="AB31" s="3" t="n">
        <v>34092.0</v>
      </c>
      <c r="AC31" s="3" t="n">
        <v>34120.0</v>
      </c>
      <c r="AD31" s="3" t="n">
        <v>34007.0</v>
      </c>
      <c r="AE31" s="3" t="n">
        <v>33954.0</v>
      </c>
      <c r="AF31" s="3" t="n">
        <v>34108.0</v>
      </c>
      <c r="AG31" s="3" t="n">
        <v>34155.0</v>
      </c>
      <c r="AH31" s="3" t="n">
        <v>34183.0</v>
      </c>
      <c r="AI31" s="3" t="n">
        <v>34179.0</v>
      </c>
      <c r="AJ31" s="3" t="n">
        <v>34126.0</v>
      </c>
      <c r="AK31" s="3" t="n">
        <v>34141.0</v>
      </c>
      <c r="AL31" s="3" t="n">
        <v>34221.0</v>
      </c>
      <c r="AM31" s="3" t="n">
        <v>34389.0</v>
      </c>
      <c r="AN31" s="3" t="n">
        <v>34624.0</v>
      </c>
      <c r="AO31" s="3" t="n">
        <v>34901.0</v>
      </c>
    </row>
    <row r="32" spans="1:41" x14ac:dyDescent="0.2">
      <c r="A32" s="122"/>
      <c r="B32" s="9">
        <v>23</v>
      </c>
      <c r="C32" s="3" t="n">
        <v>35930.0</v>
      </c>
      <c r="D32" s="3" t="n">
        <v>35290.0</v>
      </c>
      <c r="E32" s="3" t="n">
        <v>34293.0</v>
      </c>
      <c r="F32" s="3" t="n">
        <v>32957.0</v>
      </c>
      <c r="G32" s="3" t="n">
        <v>32851.0</v>
      </c>
      <c r="H32" s="3" t="n">
        <v>33331.0</v>
      </c>
      <c r="I32" s="3" t="n">
        <v>35463.0</v>
      </c>
      <c r="J32" s="3" t="n">
        <v>36763.0</v>
      </c>
      <c r="K32" s="3" t="n">
        <v>39021.0</v>
      </c>
      <c r="L32" s="3" t="n">
        <v>42113.0</v>
      </c>
      <c r="M32" s="3" t="n">
        <v>42590.0</v>
      </c>
      <c r="N32" s="3" t="n">
        <v>42754.0</v>
      </c>
      <c r="O32" s="3" t="n">
        <v>40155.0</v>
      </c>
      <c r="P32" s="3" t="n">
        <v>40477.0</v>
      </c>
      <c r="Q32" s="3" t="n">
        <v>38801.0</v>
      </c>
      <c r="R32" s="3" t="n">
        <v>39793.0</v>
      </c>
      <c r="S32" s="3" t="n">
        <v>39591.0</v>
      </c>
      <c r="T32" s="3" t="n">
        <v>40601.0</v>
      </c>
      <c r="U32" s="3" t="n">
        <v>42642.0</v>
      </c>
      <c r="V32" s="3" t="n">
        <v>40434.0</v>
      </c>
      <c r="W32" s="3" t="n">
        <v>39107.0</v>
      </c>
      <c r="X32" s="3" t="n">
        <v>36820.0</v>
      </c>
      <c r="Y32" s="3" t="n">
        <v>35523.0</v>
      </c>
      <c r="Z32" s="3" t="n">
        <v>31836.0</v>
      </c>
      <c r="AA32" s="3" t="n">
        <v>33632.0</v>
      </c>
      <c r="AB32" s="3" t="n">
        <v>33851.0</v>
      </c>
      <c r="AC32" s="3" t="n">
        <v>34072.0</v>
      </c>
      <c r="AD32" s="3" t="n">
        <v>34104.0</v>
      </c>
      <c r="AE32" s="3" t="n">
        <v>33989.0</v>
      </c>
      <c r="AF32" s="3" t="n">
        <v>33936.0</v>
      </c>
      <c r="AG32" s="3" t="n">
        <v>34091.0</v>
      </c>
      <c r="AH32" s="3" t="n">
        <v>34138.0</v>
      </c>
      <c r="AI32" s="3" t="n">
        <v>34168.0</v>
      </c>
      <c r="AJ32" s="3" t="n">
        <v>34163.0</v>
      </c>
      <c r="AK32" s="3" t="n">
        <v>34109.0</v>
      </c>
      <c r="AL32" s="3" t="n">
        <v>34121.0</v>
      </c>
      <c r="AM32" s="3" t="n">
        <v>34202.0</v>
      </c>
      <c r="AN32" s="3" t="n">
        <v>34367.0</v>
      </c>
      <c r="AO32" s="3" t="n">
        <v>34600.0</v>
      </c>
    </row>
    <row r="33" spans="1:41" x14ac:dyDescent="0.2">
      <c r="A33" s="122"/>
      <c r="B33" s="9">
        <v>24</v>
      </c>
      <c r="C33" s="3" t="n">
        <v>37334.0</v>
      </c>
      <c r="D33" s="3" t="n">
        <v>35917.0</v>
      </c>
      <c r="E33" s="3" t="n">
        <v>35285.0</v>
      </c>
      <c r="F33" s="3" t="n">
        <v>34309.0</v>
      </c>
      <c r="G33" s="3" t="n">
        <v>32968.0</v>
      </c>
      <c r="H33" s="3" t="n">
        <v>33002.0</v>
      </c>
      <c r="I33" s="3" t="n">
        <v>33541.0</v>
      </c>
      <c r="J33" s="3" t="n">
        <v>35559.0</v>
      </c>
      <c r="K33" s="3" t="n">
        <v>36786.0</v>
      </c>
      <c r="L33" s="3" t="n">
        <v>39033.0</v>
      </c>
      <c r="M33" s="3" t="n">
        <v>42104.0</v>
      </c>
      <c r="N33" s="3" t="n">
        <v>42579.0</v>
      </c>
      <c r="O33" s="3" t="n">
        <v>42739.0</v>
      </c>
      <c r="P33" s="3" t="n">
        <v>40140.0</v>
      </c>
      <c r="Q33" s="3" t="n">
        <v>40467.0</v>
      </c>
      <c r="R33" s="3" t="n">
        <v>38783.0</v>
      </c>
      <c r="S33" s="3" t="n">
        <v>39777.0</v>
      </c>
      <c r="T33" s="3" t="n">
        <v>39570.0</v>
      </c>
      <c r="U33" s="3" t="n">
        <v>40579.0</v>
      </c>
      <c r="V33" s="3" t="n">
        <v>42620.0</v>
      </c>
      <c r="W33" s="3" t="n">
        <v>40414.0</v>
      </c>
      <c r="X33" s="3" t="n">
        <v>39083.0</v>
      </c>
      <c r="Y33" s="3" t="n">
        <v>36796.0</v>
      </c>
      <c r="Z33" s="3" t="n">
        <v>35511.0</v>
      </c>
      <c r="AA33" s="3" t="n">
        <v>31823.0</v>
      </c>
      <c r="AB33" s="3" t="n">
        <v>33611.0</v>
      </c>
      <c r="AC33" s="3" t="n">
        <v>33827.0</v>
      </c>
      <c r="AD33" s="3" t="n">
        <v>34051.0</v>
      </c>
      <c r="AE33" s="3" t="n">
        <v>34085.0</v>
      </c>
      <c r="AF33" s="3" t="n">
        <v>33970.0</v>
      </c>
      <c r="AG33" s="3" t="n">
        <v>33920.0</v>
      </c>
      <c r="AH33" s="3" t="n">
        <v>34076.0</v>
      </c>
      <c r="AI33" s="3" t="n">
        <v>34120.0</v>
      </c>
      <c r="AJ33" s="3" t="n">
        <v>34151.0</v>
      </c>
      <c r="AK33" s="3" t="n">
        <v>34146.0</v>
      </c>
      <c r="AL33" s="3" t="n">
        <v>34089.0</v>
      </c>
      <c r="AM33" s="3" t="n">
        <v>34103.0</v>
      </c>
      <c r="AN33" s="3" t="n">
        <v>34187.0</v>
      </c>
      <c r="AO33" s="3" t="n">
        <v>34347.0</v>
      </c>
    </row>
    <row r="34" spans="1:41" x14ac:dyDescent="0.2">
      <c r="A34" s="122"/>
      <c r="B34" s="9">
        <v>25</v>
      </c>
      <c r="C34" s="3" t="n">
        <v>38775.0</v>
      </c>
      <c r="D34" s="3" t="n">
        <v>37303.0</v>
      </c>
      <c r="E34" s="3" t="n">
        <v>35891.0</v>
      </c>
      <c r="F34" s="3" t="n">
        <v>35274.0</v>
      </c>
      <c r="G34" s="3" t="n">
        <v>34299.0</v>
      </c>
      <c r="H34" s="3" t="n">
        <v>33123.0</v>
      </c>
      <c r="I34" s="3" t="n">
        <v>33221.0</v>
      </c>
      <c r="J34" s="3" t="n">
        <v>33643.0</v>
      </c>
      <c r="K34" s="3" t="n">
        <v>35591.0</v>
      </c>
      <c r="L34" s="3" t="n">
        <v>36782.0</v>
      </c>
      <c r="M34" s="3" t="n">
        <v>39022.0</v>
      </c>
      <c r="N34" s="3" t="n">
        <v>42074.0</v>
      </c>
      <c r="O34" s="3" t="n">
        <v>42551.0</v>
      </c>
      <c r="P34" s="3" t="n">
        <v>42705.0</v>
      </c>
      <c r="Q34" s="3" t="n">
        <v>40102.0</v>
      </c>
      <c r="R34" s="3" t="n">
        <v>40433.0</v>
      </c>
      <c r="S34" s="3" t="n">
        <v>38754.0</v>
      </c>
      <c r="T34" s="3" t="n">
        <v>39738.0</v>
      </c>
      <c r="U34" s="3" t="n">
        <v>39535.0</v>
      </c>
      <c r="V34" s="3" t="n">
        <v>40536.0</v>
      </c>
      <c r="W34" s="3" t="n">
        <v>42569.0</v>
      </c>
      <c r="X34" s="3" t="n">
        <v>40366.0</v>
      </c>
      <c r="Y34" s="3" t="n">
        <v>39047.0</v>
      </c>
      <c r="Z34" s="3" t="n">
        <v>36753.0</v>
      </c>
      <c r="AA34" s="3" t="n">
        <v>35471.0</v>
      </c>
      <c r="AB34" s="3" t="n">
        <v>31787.0</v>
      </c>
      <c r="AC34" s="3" t="n">
        <v>33576.0</v>
      </c>
      <c r="AD34" s="3" t="n">
        <v>33787.0</v>
      </c>
      <c r="AE34" s="3" t="n">
        <v>34009.0</v>
      </c>
      <c r="AF34" s="3" t="n">
        <v>34048.0</v>
      </c>
      <c r="AG34" s="3" t="n">
        <v>33931.0</v>
      </c>
      <c r="AH34" s="3" t="n">
        <v>33879.0</v>
      </c>
      <c r="AI34" s="3" t="n">
        <v>34034.0</v>
      </c>
      <c r="AJ34" s="3" t="n">
        <v>34076.0</v>
      </c>
      <c r="AK34" s="3" t="n">
        <v>34107.0</v>
      </c>
      <c r="AL34" s="3" t="n">
        <v>34102.0</v>
      </c>
      <c r="AM34" s="3" t="n">
        <v>34048.0</v>
      </c>
      <c r="AN34" s="3" t="n">
        <v>34059.0</v>
      </c>
      <c r="AO34" s="3" t="n">
        <v>34142.0</v>
      </c>
    </row>
    <row r="35" spans="1:41" x14ac:dyDescent="0.2">
      <c r="A35" s="122"/>
      <c r="B35" s="9">
        <v>26</v>
      </c>
      <c r="C35" s="3" t="n">
        <v>39856.0</v>
      </c>
      <c r="D35" s="3" t="n">
        <v>38774.0</v>
      </c>
      <c r="E35" s="3" t="n">
        <v>37309.0</v>
      </c>
      <c r="F35" s="3" t="n">
        <v>35903.0</v>
      </c>
      <c r="G35" s="3" t="n">
        <v>35297.0</v>
      </c>
      <c r="H35" s="3" t="n">
        <v>34487.0</v>
      </c>
      <c r="I35" s="3" t="n">
        <v>33367.0</v>
      </c>
      <c r="J35" s="3" t="n">
        <v>33337.0</v>
      </c>
      <c r="K35" s="3" t="n">
        <v>33695.0</v>
      </c>
      <c r="L35" s="3" t="n">
        <v>35611.0</v>
      </c>
      <c r="M35" s="3" t="n">
        <v>36796.0</v>
      </c>
      <c r="N35" s="3" t="n">
        <v>39023.0</v>
      </c>
      <c r="O35" s="3" t="n">
        <v>42067.0</v>
      </c>
      <c r="P35" s="3" t="n">
        <v>42559.0</v>
      </c>
      <c r="Q35" s="3" t="n">
        <v>42709.0</v>
      </c>
      <c r="R35" s="3" t="n">
        <v>40097.0</v>
      </c>
      <c r="S35" s="3" t="n">
        <v>40436.0</v>
      </c>
      <c r="T35" s="3" t="n">
        <v>38749.0</v>
      </c>
      <c r="U35" s="3" t="n">
        <v>39727.0</v>
      </c>
      <c r="V35" s="3" t="n">
        <v>39524.0</v>
      </c>
      <c r="W35" s="3" t="n">
        <v>40523.0</v>
      </c>
      <c r="X35" s="3" t="n">
        <v>42549.0</v>
      </c>
      <c r="Y35" s="3" t="n">
        <v>40344.0</v>
      </c>
      <c r="Z35" s="3" t="n">
        <v>39032.0</v>
      </c>
      <c r="AA35" s="3" t="n">
        <v>36751.0</v>
      </c>
      <c r="AB35" s="3" t="n">
        <v>35453.0</v>
      </c>
      <c r="AC35" s="3" t="n">
        <v>31777.0</v>
      </c>
      <c r="AD35" s="3" t="n">
        <v>33553.0</v>
      </c>
      <c r="AE35" s="3" t="n">
        <v>33766.0</v>
      </c>
      <c r="AF35" s="3" t="n">
        <v>33991.0</v>
      </c>
      <c r="AG35" s="3" t="n">
        <v>34034.0</v>
      </c>
      <c r="AH35" s="3" t="n">
        <v>33917.0</v>
      </c>
      <c r="AI35" s="3" t="n">
        <v>33864.0</v>
      </c>
      <c r="AJ35" s="3" t="n">
        <v>34021.0</v>
      </c>
      <c r="AK35" s="3" t="n">
        <v>34063.0</v>
      </c>
      <c r="AL35" s="3" t="n">
        <v>34093.0</v>
      </c>
      <c r="AM35" s="3" t="n">
        <v>34090.0</v>
      </c>
      <c r="AN35" s="3" t="n">
        <v>34036.0</v>
      </c>
      <c r="AO35" s="3" t="n">
        <v>34046.0</v>
      </c>
    </row>
    <row r="36" spans="1:41" x14ac:dyDescent="0.2">
      <c r="A36" s="122"/>
      <c r="B36" s="9">
        <v>27</v>
      </c>
      <c r="C36" s="3" t="n">
        <v>41400.0</v>
      </c>
      <c r="D36" s="3" t="n">
        <v>39900.0</v>
      </c>
      <c r="E36" s="3" t="n">
        <v>38811.0</v>
      </c>
      <c r="F36" s="3" t="n">
        <v>37346.0</v>
      </c>
      <c r="G36" s="3" t="n">
        <v>35955.0</v>
      </c>
      <c r="H36" s="3" t="n">
        <v>35526.0</v>
      </c>
      <c r="I36" s="3" t="n">
        <v>34798.0</v>
      </c>
      <c r="J36" s="3" t="n">
        <v>33540.0</v>
      </c>
      <c r="K36" s="3" t="n">
        <v>33448.0</v>
      </c>
      <c r="L36" s="3" t="n">
        <v>33775.0</v>
      </c>
      <c r="M36" s="3" t="n">
        <v>35670.0</v>
      </c>
      <c r="N36" s="3" t="n">
        <v>36840.0</v>
      </c>
      <c r="O36" s="3" t="n">
        <v>39062.0</v>
      </c>
      <c r="P36" s="3" t="n">
        <v>42102.0</v>
      </c>
      <c r="Q36" s="3" t="n">
        <v>42587.0</v>
      </c>
      <c r="R36" s="3" t="n">
        <v>42745.0</v>
      </c>
      <c r="S36" s="3" t="n">
        <v>40141.0</v>
      </c>
      <c r="T36" s="3" t="n">
        <v>40480.0</v>
      </c>
      <c r="U36" s="3" t="n">
        <v>38783.0</v>
      </c>
      <c r="V36" s="3" t="n">
        <v>39757.0</v>
      </c>
      <c r="W36" s="3" t="n">
        <v>39557.0</v>
      </c>
      <c r="X36" s="3" t="n">
        <v>40557.0</v>
      </c>
      <c r="Y36" s="3" t="n">
        <v>42578.0</v>
      </c>
      <c r="Z36" s="3" t="n">
        <v>40363.0</v>
      </c>
      <c r="AA36" s="3" t="n">
        <v>39058.0</v>
      </c>
      <c r="AB36" s="3" t="n">
        <v>36769.0</v>
      </c>
      <c r="AC36" s="3" t="n">
        <v>35474.0</v>
      </c>
      <c r="AD36" s="3" t="n">
        <v>31801.0</v>
      </c>
      <c r="AE36" s="3" t="n">
        <v>33568.0</v>
      </c>
      <c r="AF36" s="3" t="n">
        <v>33778.0</v>
      </c>
      <c r="AG36" s="3" t="n">
        <v>34006.0</v>
      </c>
      <c r="AH36" s="3" t="n">
        <v>34053.0</v>
      </c>
      <c r="AI36" s="3" t="n">
        <v>33939.0</v>
      </c>
      <c r="AJ36" s="3" t="n">
        <v>33884.0</v>
      </c>
      <c r="AK36" s="3" t="n">
        <v>34040.0</v>
      </c>
      <c r="AL36" s="3" t="n">
        <v>34077.0</v>
      </c>
      <c r="AM36" s="3" t="n">
        <v>34108.0</v>
      </c>
      <c r="AN36" s="3" t="n">
        <v>34102.0</v>
      </c>
      <c r="AO36" s="3" t="n">
        <v>34047.0</v>
      </c>
    </row>
    <row r="37" spans="1:41" x14ac:dyDescent="0.2">
      <c r="A37" s="122"/>
      <c r="B37" s="9">
        <v>28</v>
      </c>
      <c r="C37" s="3" t="n">
        <v>43708.0</v>
      </c>
      <c r="D37" s="3" t="n">
        <v>41416.0</v>
      </c>
      <c r="E37" s="3" t="n">
        <v>39932.0</v>
      </c>
      <c r="F37" s="3" t="n">
        <v>38843.0</v>
      </c>
      <c r="G37" s="3" t="n">
        <v>37384.0</v>
      </c>
      <c r="H37" s="3" t="n">
        <v>36176.0</v>
      </c>
      <c r="I37" s="3" t="n">
        <v>35806.0</v>
      </c>
      <c r="J37" s="3" t="n">
        <v>34956.0</v>
      </c>
      <c r="K37" s="3" t="n">
        <v>33637.0</v>
      </c>
      <c r="L37" s="3" t="n">
        <v>33521.0</v>
      </c>
      <c r="M37" s="3" t="n">
        <v>33832.0</v>
      </c>
      <c r="N37" s="3" t="n">
        <v>35709.0</v>
      </c>
      <c r="O37" s="3" t="n">
        <v>36878.0</v>
      </c>
      <c r="P37" s="3" t="n">
        <v>39097.0</v>
      </c>
      <c r="Q37" s="3" t="n">
        <v>42145.0</v>
      </c>
      <c r="R37" s="3" t="n">
        <v>42623.0</v>
      </c>
      <c r="S37" s="3" t="n">
        <v>42769.0</v>
      </c>
      <c r="T37" s="3" t="n">
        <v>40162.0</v>
      </c>
      <c r="U37" s="3" t="n">
        <v>40519.0</v>
      </c>
      <c r="V37" s="3" t="n">
        <v>38815.0</v>
      </c>
      <c r="W37" s="3" t="n">
        <v>39778.0</v>
      </c>
      <c r="X37" s="3" t="n">
        <v>39577.0</v>
      </c>
      <c r="Y37" s="3" t="n">
        <v>40574.0</v>
      </c>
      <c r="Z37" s="3" t="n">
        <v>42592.0</v>
      </c>
      <c r="AA37" s="3" t="n">
        <v>40378.0</v>
      </c>
      <c r="AB37" s="3" t="n">
        <v>39076.0</v>
      </c>
      <c r="AC37" s="3" t="n">
        <v>36787.0</v>
      </c>
      <c r="AD37" s="3" t="n">
        <v>35493.0</v>
      </c>
      <c r="AE37" s="3" t="n">
        <v>31819.0</v>
      </c>
      <c r="AF37" s="3" t="n">
        <v>33581.0</v>
      </c>
      <c r="AG37" s="3" t="n">
        <v>33779.0</v>
      </c>
      <c r="AH37" s="3" t="n">
        <v>34010.0</v>
      </c>
      <c r="AI37" s="3" t="n">
        <v>34055.0</v>
      </c>
      <c r="AJ37" s="3" t="n">
        <v>33942.0</v>
      </c>
      <c r="AK37" s="3" t="n">
        <v>33885.0</v>
      </c>
      <c r="AL37" s="3" t="n">
        <v>34046.0</v>
      </c>
      <c r="AM37" s="3" t="n">
        <v>34089.0</v>
      </c>
      <c r="AN37" s="3" t="n">
        <v>34121.0</v>
      </c>
      <c r="AO37" s="3" t="n">
        <v>34115.0</v>
      </c>
    </row>
    <row r="38" spans="1:41" x14ac:dyDescent="0.2">
      <c r="A38" s="122"/>
      <c r="B38" s="9">
        <v>29</v>
      </c>
      <c r="C38" s="3" t="n">
        <v>46061.0</v>
      </c>
      <c r="D38" s="3" t="n">
        <v>43710.0</v>
      </c>
      <c r="E38" s="3" t="n">
        <v>41431.0</v>
      </c>
      <c r="F38" s="3" t="n">
        <v>39952.0</v>
      </c>
      <c r="G38" s="3" t="n">
        <v>38872.0</v>
      </c>
      <c r="H38" s="3" t="n">
        <v>37569.0</v>
      </c>
      <c r="I38" s="3" t="n">
        <v>36439.0</v>
      </c>
      <c r="J38" s="3" t="n">
        <v>35951.0</v>
      </c>
      <c r="K38" s="3" t="n">
        <v>35042.0</v>
      </c>
      <c r="L38" s="3" t="n">
        <v>33709.0</v>
      </c>
      <c r="M38" s="3" t="n">
        <v>33577.0</v>
      </c>
      <c r="N38" s="3" t="n">
        <v>33876.0</v>
      </c>
      <c r="O38" s="3" t="n">
        <v>35743.0</v>
      </c>
      <c r="P38" s="3" t="n">
        <v>36910.0</v>
      </c>
      <c r="Q38" s="3" t="n">
        <v>39125.0</v>
      </c>
      <c r="R38" s="3" t="n">
        <v>42167.0</v>
      </c>
      <c r="S38" s="3" t="n">
        <v>42643.0</v>
      </c>
      <c r="T38" s="3" t="n">
        <v>42791.0</v>
      </c>
      <c r="U38" s="3" t="n">
        <v>40191.0</v>
      </c>
      <c r="V38" s="3" t="n">
        <v>40542.0</v>
      </c>
      <c r="W38" s="3" t="n">
        <v>38844.0</v>
      </c>
      <c r="X38" s="3" t="n">
        <v>39797.0</v>
      </c>
      <c r="Y38" s="3" t="n">
        <v>39582.0</v>
      </c>
      <c r="Z38" s="3" t="n">
        <v>40585.0</v>
      </c>
      <c r="AA38" s="3" t="n">
        <v>42602.0</v>
      </c>
      <c r="AB38" s="3" t="n">
        <v>40394.0</v>
      </c>
      <c r="AC38" s="3" t="n">
        <v>39086.0</v>
      </c>
      <c r="AD38" s="3" t="n">
        <v>36790.0</v>
      </c>
      <c r="AE38" s="3" t="n">
        <v>35512.0</v>
      </c>
      <c r="AF38" s="3" t="n">
        <v>31829.0</v>
      </c>
      <c r="AG38" s="3" t="n">
        <v>33586.0</v>
      </c>
      <c r="AH38" s="3" t="n">
        <v>33782.0</v>
      </c>
      <c r="AI38" s="3" t="n">
        <v>34015.0</v>
      </c>
      <c r="AJ38" s="3" t="n">
        <v>34063.0</v>
      </c>
      <c r="AK38" s="3" t="n">
        <v>33952.0</v>
      </c>
      <c r="AL38" s="3" t="n">
        <v>33892.0</v>
      </c>
      <c r="AM38" s="3" t="n">
        <v>34053.0</v>
      </c>
      <c r="AN38" s="3" t="n">
        <v>34102.0</v>
      </c>
      <c r="AO38" s="3" t="n">
        <v>34134.0</v>
      </c>
    </row>
    <row r="39" spans="1:41" x14ac:dyDescent="0.2">
      <c r="A39" s="122"/>
      <c r="B39" s="9">
        <v>30</v>
      </c>
      <c r="C39" s="3" t="n">
        <v>47456.0</v>
      </c>
      <c r="D39" s="3" t="n">
        <v>46043.0</v>
      </c>
      <c r="E39" s="3" t="n">
        <v>43701.0</v>
      </c>
      <c r="F39" s="3" t="n">
        <v>41441.0</v>
      </c>
      <c r="G39" s="3" t="n">
        <v>39971.0</v>
      </c>
      <c r="H39" s="3" t="n">
        <v>39091.0</v>
      </c>
      <c r="I39" s="3" t="n">
        <v>37872.0</v>
      </c>
      <c r="J39" s="3" t="n">
        <v>36573.0</v>
      </c>
      <c r="K39" s="3" t="n">
        <v>36029.0</v>
      </c>
      <c r="L39" s="3" t="n">
        <v>35111.0</v>
      </c>
      <c r="M39" s="3" t="n">
        <v>33762.0</v>
      </c>
      <c r="N39" s="3" t="n">
        <v>33616.0</v>
      </c>
      <c r="O39" s="3" t="n">
        <v>33917.0</v>
      </c>
      <c r="P39" s="3" t="n">
        <v>35768.0</v>
      </c>
      <c r="Q39" s="3" t="n">
        <v>36927.0</v>
      </c>
      <c r="R39" s="3" t="n">
        <v>39140.0</v>
      </c>
      <c r="S39" s="3" t="n">
        <v>42184.0</v>
      </c>
      <c r="T39" s="3" t="n">
        <v>42657.0</v>
      </c>
      <c r="U39" s="3" t="n">
        <v>42801.0</v>
      </c>
      <c r="V39" s="3" t="n">
        <v>40200.0</v>
      </c>
      <c r="W39" s="3" t="n">
        <v>40556.0</v>
      </c>
      <c r="X39" s="3" t="n">
        <v>38859.0</v>
      </c>
      <c r="Y39" s="3" t="n">
        <v>39812.0</v>
      </c>
      <c r="Z39" s="3" t="n">
        <v>39594.0</v>
      </c>
      <c r="AA39" s="3" t="n">
        <v>40586.0</v>
      </c>
      <c r="AB39" s="3" t="n">
        <v>42601.0</v>
      </c>
      <c r="AC39" s="3" t="n">
        <v>40398.0</v>
      </c>
      <c r="AD39" s="3" t="n">
        <v>39094.0</v>
      </c>
      <c r="AE39" s="3" t="n">
        <v>36795.0</v>
      </c>
      <c r="AF39" s="3" t="n">
        <v>35516.0</v>
      </c>
      <c r="AG39" s="3" t="n">
        <v>31844.0</v>
      </c>
      <c r="AH39" s="3" t="n">
        <v>33590.0</v>
      </c>
      <c r="AI39" s="3" t="n">
        <v>33782.0</v>
      </c>
      <c r="AJ39" s="3" t="n">
        <v>34013.0</v>
      </c>
      <c r="AK39" s="3" t="n">
        <v>34058.0</v>
      </c>
      <c r="AL39" s="3" t="n">
        <v>33948.0</v>
      </c>
      <c r="AM39" s="3" t="n">
        <v>33891.0</v>
      </c>
      <c r="AN39" s="3" t="n">
        <v>34052.0</v>
      </c>
      <c r="AO39" s="3" t="n">
        <v>34098.0</v>
      </c>
    </row>
    <row r="40" spans="1:41" x14ac:dyDescent="0.2">
      <c r="A40" s="122"/>
      <c r="B40" s="9">
        <v>31</v>
      </c>
      <c r="C40" s="3" t="n">
        <v>50195.0</v>
      </c>
      <c r="D40" s="3" t="n">
        <v>47457.0</v>
      </c>
      <c r="E40" s="3" t="n">
        <v>46036.0</v>
      </c>
      <c r="F40" s="3" t="n">
        <v>43698.0</v>
      </c>
      <c r="G40" s="3" t="n">
        <v>41456.0</v>
      </c>
      <c r="H40" s="3" t="n">
        <v>40212.0</v>
      </c>
      <c r="I40" s="3" t="n">
        <v>39432.0</v>
      </c>
      <c r="J40" s="3" t="n">
        <v>38029.0</v>
      </c>
      <c r="K40" s="3" t="n">
        <v>36658.0</v>
      </c>
      <c r="L40" s="3" t="n">
        <v>36088.0</v>
      </c>
      <c r="M40" s="3" t="n">
        <v>35154.0</v>
      </c>
      <c r="N40" s="3" t="n">
        <v>33802.0</v>
      </c>
      <c r="O40" s="3" t="n">
        <v>33663.0</v>
      </c>
      <c r="P40" s="3" t="n">
        <v>33964.0</v>
      </c>
      <c r="Q40" s="3" t="n">
        <v>35805.0</v>
      </c>
      <c r="R40" s="3" t="n">
        <v>36950.0</v>
      </c>
      <c r="S40" s="3" t="n">
        <v>39156.0</v>
      </c>
      <c r="T40" s="3" t="n">
        <v>42204.0</v>
      </c>
      <c r="U40" s="3" t="n">
        <v>42675.0</v>
      </c>
      <c r="V40" s="3" t="n">
        <v>42820.0</v>
      </c>
      <c r="W40" s="3" t="n">
        <v>40219.0</v>
      </c>
      <c r="X40" s="3" t="n">
        <v>40577.0</v>
      </c>
      <c r="Y40" s="3" t="n">
        <v>38880.0</v>
      </c>
      <c r="Z40" s="3" t="n">
        <v>39821.0</v>
      </c>
      <c r="AA40" s="3" t="n">
        <v>39605.0</v>
      </c>
      <c r="AB40" s="3" t="n">
        <v>40598.0</v>
      </c>
      <c r="AC40" s="3" t="n">
        <v>42604.0</v>
      </c>
      <c r="AD40" s="3" t="n">
        <v>40406.0</v>
      </c>
      <c r="AE40" s="3" t="n">
        <v>39107.0</v>
      </c>
      <c r="AF40" s="3" t="n">
        <v>36807.0</v>
      </c>
      <c r="AG40" s="3" t="n">
        <v>35531.0</v>
      </c>
      <c r="AH40" s="3" t="n">
        <v>31865.0</v>
      </c>
      <c r="AI40" s="3" t="n">
        <v>33605.0</v>
      </c>
      <c r="AJ40" s="3" t="n">
        <v>33790.0</v>
      </c>
      <c r="AK40" s="3" t="n">
        <v>34021.0</v>
      </c>
      <c r="AL40" s="3" t="n">
        <v>34063.0</v>
      </c>
      <c r="AM40" s="3" t="n">
        <v>33954.0</v>
      </c>
      <c r="AN40" s="3" t="n">
        <v>33899.0</v>
      </c>
      <c r="AO40" s="3" t="n">
        <v>34060.0</v>
      </c>
    </row>
    <row r="41" spans="1:41" x14ac:dyDescent="0.2">
      <c r="A41" s="122"/>
      <c r="B41" s="9">
        <v>32</v>
      </c>
      <c r="C41" s="3" t="n">
        <v>51258.0</v>
      </c>
      <c r="D41" s="3" t="n">
        <v>50196.0</v>
      </c>
      <c r="E41" s="3" t="n">
        <v>47465.0</v>
      </c>
      <c r="F41" s="3" t="n">
        <v>46050.0</v>
      </c>
      <c r="G41" s="3" t="n">
        <v>43725.0</v>
      </c>
      <c r="H41" s="3" t="n">
        <v>41708.0</v>
      </c>
      <c r="I41" s="3" t="n">
        <v>40558.0</v>
      </c>
      <c r="J41" s="3" t="n">
        <v>39598.0</v>
      </c>
      <c r="K41" s="3" t="n">
        <v>38114.0</v>
      </c>
      <c r="L41" s="3" t="n">
        <v>36721.0</v>
      </c>
      <c r="M41" s="3" t="n">
        <v>36151.0</v>
      </c>
      <c r="N41" s="3" t="n">
        <v>35207.0</v>
      </c>
      <c r="O41" s="3" t="n">
        <v>33854.0</v>
      </c>
      <c r="P41" s="3" t="n">
        <v>33711.0</v>
      </c>
      <c r="Q41" s="3" t="n">
        <v>34013.0</v>
      </c>
      <c r="R41" s="3" t="n">
        <v>35853.0</v>
      </c>
      <c r="S41" s="3" t="n">
        <v>36994.0</v>
      </c>
      <c r="T41" s="3" t="n">
        <v>39198.0</v>
      </c>
      <c r="U41" s="3" t="n">
        <v>42245.0</v>
      </c>
      <c r="V41" s="3" t="n">
        <v>42714.0</v>
      </c>
      <c r="W41" s="3" t="n">
        <v>42853.0</v>
      </c>
      <c r="X41" s="3" t="n">
        <v>40258.0</v>
      </c>
      <c r="Y41" s="3" t="n">
        <v>40615.0</v>
      </c>
      <c r="Z41" s="3" t="n">
        <v>38913.0</v>
      </c>
      <c r="AA41" s="3" t="n">
        <v>39850.0</v>
      </c>
      <c r="AB41" s="3" t="n">
        <v>39634.0</v>
      </c>
      <c r="AC41" s="3" t="n">
        <v>40627.0</v>
      </c>
      <c r="AD41" s="3" t="n">
        <v>42630.0</v>
      </c>
      <c r="AE41" s="3" t="n">
        <v>40443.0</v>
      </c>
      <c r="AF41" s="3" t="n">
        <v>39130.0</v>
      </c>
      <c r="AG41" s="3" t="n">
        <v>36829.0</v>
      </c>
      <c r="AH41" s="3" t="n">
        <v>35560.0</v>
      </c>
      <c r="AI41" s="3" t="n">
        <v>31886.0</v>
      </c>
      <c r="AJ41" s="3" t="n">
        <v>33623.0</v>
      </c>
      <c r="AK41" s="3" t="n">
        <v>33807.0</v>
      </c>
      <c r="AL41" s="3" t="n">
        <v>34038.0</v>
      </c>
      <c r="AM41" s="3" t="n">
        <v>34082.0</v>
      </c>
      <c r="AN41" s="3" t="n">
        <v>33972.0</v>
      </c>
      <c r="AO41" s="3" t="n">
        <v>33918.0</v>
      </c>
    </row>
    <row r="42" spans="1:41" x14ac:dyDescent="0.2">
      <c r="A42" s="122"/>
      <c r="B42" s="9">
        <v>33</v>
      </c>
      <c r="C42" s="3" t="n">
        <v>51206.0</v>
      </c>
      <c r="D42" s="3" t="n">
        <v>51250.0</v>
      </c>
      <c r="E42" s="3" t="n">
        <v>50177.0</v>
      </c>
      <c r="F42" s="3" t="n">
        <v>47445.0</v>
      </c>
      <c r="G42" s="3" t="n">
        <v>46043.0</v>
      </c>
      <c r="H42" s="3" t="n">
        <v>43963.0</v>
      </c>
      <c r="I42" s="3" t="n">
        <v>42034.0</v>
      </c>
      <c r="J42" s="3" t="n">
        <v>40721.0</v>
      </c>
      <c r="K42" s="3" t="n">
        <v>39657.0</v>
      </c>
      <c r="L42" s="3" t="n">
        <v>38144.0</v>
      </c>
      <c r="M42" s="3" t="n">
        <v>36754.0</v>
      </c>
      <c r="N42" s="3" t="n">
        <v>36183.0</v>
      </c>
      <c r="O42" s="3" t="n">
        <v>35235.0</v>
      </c>
      <c r="P42" s="3" t="n">
        <v>33894.0</v>
      </c>
      <c r="Q42" s="3" t="n">
        <v>33758.0</v>
      </c>
      <c r="R42" s="3" t="n">
        <v>34055.0</v>
      </c>
      <c r="S42" s="3" t="n">
        <v>35881.0</v>
      </c>
      <c r="T42" s="3" t="n">
        <v>37020.0</v>
      </c>
      <c r="U42" s="3" t="n">
        <v>39231.0</v>
      </c>
      <c r="V42" s="3" t="n">
        <v>42268.0</v>
      </c>
      <c r="W42" s="3" t="n">
        <v>42738.0</v>
      </c>
      <c r="X42" s="3" t="n">
        <v>42886.0</v>
      </c>
      <c r="Y42" s="3" t="n">
        <v>40291.0</v>
      </c>
      <c r="Z42" s="3" t="n">
        <v>40649.0</v>
      </c>
      <c r="AA42" s="3" t="n">
        <v>38941.0</v>
      </c>
      <c r="AB42" s="3" t="n">
        <v>39874.0</v>
      </c>
      <c r="AC42" s="3" t="n">
        <v>39653.0</v>
      </c>
      <c r="AD42" s="3" t="n">
        <v>40653.0</v>
      </c>
      <c r="AE42" s="3" t="n">
        <v>42656.0</v>
      </c>
      <c r="AF42" s="3" t="n">
        <v>40476.0</v>
      </c>
      <c r="AG42" s="3" t="n">
        <v>39147.0</v>
      </c>
      <c r="AH42" s="3" t="n">
        <v>36850.0</v>
      </c>
      <c r="AI42" s="3" t="n">
        <v>35592.0</v>
      </c>
      <c r="AJ42" s="3" t="n">
        <v>31924.0</v>
      </c>
      <c r="AK42" s="3" t="n">
        <v>33658.0</v>
      </c>
      <c r="AL42" s="3" t="n">
        <v>33839.0</v>
      </c>
      <c r="AM42" s="3" t="n">
        <v>34069.0</v>
      </c>
      <c r="AN42" s="3" t="n">
        <v>34114.0</v>
      </c>
      <c r="AO42" s="3" t="n">
        <v>34008.0</v>
      </c>
    </row>
    <row r="43" spans="1:41" x14ac:dyDescent="0.2">
      <c r="A43" s="122"/>
      <c r="B43" s="9">
        <v>34</v>
      </c>
      <c r="C43" s="3" t="n">
        <v>52701.0</v>
      </c>
      <c r="D43" s="3" t="n">
        <v>51169.0</v>
      </c>
      <c r="E43" s="3" t="n">
        <v>51209.0</v>
      </c>
      <c r="F43" s="3" t="n">
        <v>50141.0</v>
      </c>
      <c r="G43" s="3" t="n">
        <v>47423.0</v>
      </c>
      <c r="H43" s="3" t="n">
        <v>46252.0</v>
      </c>
      <c r="I43" s="3" t="n">
        <v>44258.0</v>
      </c>
      <c r="J43" s="3" t="n">
        <v>42155.0</v>
      </c>
      <c r="K43" s="3" t="n">
        <v>40764.0</v>
      </c>
      <c r="L43" s="3" t="n">
        <v>39674.0</v>
      </c>
      <c r="M43" s="3" t="n">
        <v>38152.0</v>
      </c>
      <c r="N43" s="3" t="n">
        <v>36753.0</v>
      </c>
      <c r="O43" s="3" t="n">
        <v>36189.0</v>
      </c>
      <c r="P43" s="3" t="n">
        <v>35252.0</v>
      </c>
      <c r="Q43" s="3" t="n">
        <v>33908.0</v>
      </c>
      <c r="R43" s="3" t="n">
        <v>33786.0</v>
      </c>
      <c r="S43" s="3" t="n">
        <v>34083.0</v>
      </c>
      <c r="T43" s="3" t="n">
        <v>35897.0</v>
      </c>
      <c r="U43" s="3" t="n">
        <v>37029.0</v>
      </c>
      <c r="V43" s="3" t="n">
        <v>39228.0</v>
      </c>
      <c r="W43" s="3" t="n">
        <v>42257.0</v>
      </c>
      <c r="X43" s="3" t="n">
        <v>42721.0</v>
      </c>
      <c r="Y43" s="3" t="n">
        <v>42873.0</v>
      </c>
      <c r="Z43" s="3" t="n">
        <v>40289.0</v>
      </c>
      <c r="AA43" s="3" t="n">
        <v>40648.0</v>
      </c>
      <c r="AB43" s="3" t="n">
        <v>38958.0</v>
      </c>
      <c r="AC43" s="3" t="n">
        <v>39875.0</v>
      </c>
      <c r="AD43" s="3" t="n">
        <v>39658.0</v>
      </c>
      <c r="AE43" s="3" t="n">
        <v>40649.0</v>
      </c>
      <c r="AF43" s="3" t="n">
        <v>42648.0</v>
      </c>
      <c r="AG43" s="3" t="n">
        <v>40476.0</v>
      </c>
      <c r="AH43" s="3" t="n">
        <v>39161.0</v>
      </c>
      <c r="AI43" s="3" t="n">
        <v>36867.0</v>
      </c>
      <c r="AJ43" s="3" t="n">
        <v>35608.0</v>
      </c>
      <c r="AK43" s="3" t="n">
        <v>31940.0</v>
      </c>
      <c r="AL43" s="3" t="n">
        <v>33671.0</v>
      </c>
      <c r="AM43" s="3" t="n">
        <v>33847.0</v>
      </c>
      <c r="AN43" s="3" t="n">
        <v>34084.0</v>
      </c>
      <c r="AO43" s="3" t="n">
        <v>34127.0</v>
      </c>
    </row>
    <row r="44" spans="1:41" x14ac:dyDescent="0.2">
      <c r="A44" s="122"/>
      <c r="B44" s="9">
        <v>35</v>
      </c>
      <c r="C44" s="3" t="n">
        <v>53539.0</v>
      </c>
      <c r="D44" s="3" t="n">
        <v>52669.0</v>
      </c>
      <c r="E44" s="3" t="n">
        <v>51139.0</v>
      </c>
      <c r="F44" s="3" t="n">
        <v>51182.0</v>
      </c>
      <c r="G44" s="3" t="n">
        <v>50113.0</v>
      </c>
      <c r="H44" s="3" t="n">
        <v>47624.0</v>
      </c>
      <c r="I44" s="3" t="n">
        <v>46554.0</v>
      </c>
      <c r="J44" s="3" t="n">
        <v>44386.0</v>
      </c>
      <c r="K44" s="3" t="n">
        <v>42193.0</v>
      </c>
      <c r="L44" s="3" t="n">
        <v>40769.0</v>
      </c>
      <c r="M44" s="3" t="n">
        <v>39664.0</v>
      </c>
      <c r="N44" s="3" t="n">
        <v>38134.0</v>
      </c>
      <c r="O44" s="3" t="n">
        <v>36744.0</v>
      </c>
      <c r="P44" s="3" t="n">
        <v>36189.0</v>
      </c>
      <c r="Q44" s="3" t="n">
        <v>35257.0</v>
      </c>
      <c r="R44" s="3" t="n">
        <v>33911.0</v>
      </c>
      <c r="S44" s="3" t="n">
        <v>33797.0</v>
      </c>
      <c r="T44" s="3" t="n">
        <v>34092.0</v>
      </c>
      <c r="U44" s="3" t="n">
        <v>35897.0</v>
      </c>
      <c r="V44" s="3" t="n">
        <v>37032.0</v>
      </c>
      <c r="W44" s="3" t="n">
        <v>39224.0</v>
      </c>
      <c r="X44" s="3" t="n">
        <v>42248.0</v>
      </c>
      <c r="Y44" s="3" t="n">
        <v>42714.0</v>
      </c>
      <c r="Z44" s="3" t="n">
        <v>42866.0</v>
      </c>
      <c r="AA44" s="3" t="n">
        <v>40287.0</v>
      </c>
      <c r="AB44" s="3" t="n">
        <v>40639.0</v>
      </c>
      <c r="AC44" s="3" t="n">
        <v>38956.0</v>
      </c>
      <c r="AD44" s="3" t="n">
        <v>39874.0</v>
      </c>
      <c r="AE44" s="3" t="n">
        <v>39654.0</v>
      </c>
      <c r="AF44" s="3" t="n">
        <v>40646.0</v>
      </c>
      <c r="AG44" s="3" t="n">
        <v>42639.0</v>
      </c>
      <c r="AH44" s="3" t="n">
        <v>40467.0</v>
      </c>
      <c r="AI44" s="3" t="n">
        <v>39156.0</v>
      </c>
      <c r="AJ44" s="3" t="n">
        <v>36867.0</v>
      </c>
      <c r="AK44" s="3" t="n">
        <v>35610.0</v>
      </c>
      <c r="AL44" s="3" t="n">
        <v>31941.0</v>
      </c>
      <c r="AM44" s="3" t="n">
        <v>33670.0</v>
      </c>
      <c r="AN44" s="3" t="n">
        <v>33842.0</v>
      </c>
      <c r="AO44" s="3" t="n">
        <v>34084.0</v>
      </c>
    </row>
    <row r="45" spans="1:41" x14ac:dyDescent="0.2">
      <c r="A45" s="122"/>
      <c r="B45" s="9">
        <v>36</v>
      </c>
      <c r="C45" s="3" t="n">
        <v>56024.0</v>
      </c>
      <c r="D45" s="3" t="n">
        <v>53475.0</v>
      </c>
      <c r="E45" s="3" t="n">
        <v>52600.0</v>
      </c>
      <c r="F45" s="3" t="n">
        <v>51062.0</v>
      </c>
      <c r="G45" s="3" t="n">
        <v>51123.0</v>
      </c>
      <c r="H45" s="3" t="n">
        <v>50311.0</v>
      </c>
      <c r="I45" s="3" t="n">
        <v>47919.0</v>
      </c>
      <c r="J45" s="3" t="n">
        <v>46645.0</v>
      </c>
      <c r="K45" s="3" t="n">
        <v>44392.0</v>
      </c>
      <c r="L45" s="3" t="n">
        <v>42170.0</v>
      </c>
      <c r="M45" s="3" t="n">
        <v>40734.0</v>
      </c>
      <c r="N45" s="3" t="n">
        <v>39623.0</v>
      </c>
      <c r="O45" s="3" t="n">
        <v>38087.0</v>
      </c>
      <c r="P45" s="3" t="n">
        <v>36704.0</v>
      </c>
      <c r="Q45" s="3" t="n">
        <v>36152.0</v>
      </c>
      <c r="R45" s="3" t="n">
        <v>35237.0</v>
      </c>
      <c r="S45" s="3" t="n">
        <v>33893.0</v>
      </c>
      <c r="T45" s="3" t="n">
        <v>33775.0</v>
      </c>
      <c r="U45" s="3" t="n">
        <v>34075.0</v>
      </c>
      <c r="V45" s="3" t="n">
        <v>35872.0</v>
      </c>
      <c r="W45" s="3" t="n">
        <v>37007.0</v>
      </c>
      <c r="X45" s="3" t="n">
        <v>39198.0</v>
      </c>
      <c r="Y45" s="3" t="n">
        <v>42219.0</v>
      </c>
      <c r="Z45" s="3" t="n">
        <v>42675.0</v>
      </c>
      <c r="AA45" s="3" t="n">
        <v>42826.0</v>
      </c>
      <c r="AB45" s="3" t="n">
        <v>40261.0</v>
      </c>
      <c r="AC45" s="3" t="n">
        <v>40613.0</v>
      </c>
      <c r="AD45" s="3" t="n">
        <v>38927.0</v>
      </c>
      <c r="AE45" s="3" t="n">
        <v>39845.0</v>
      </c>
      <c r="AF45" s="3" t="n">
        <v>39627.0</v>
      </c>
      <c r="AG45" s="3" t="n">
        <v>40613.0</v>
      </c>
      <c r="AH45" s="3" t="n">
        <v>42604.0</v>
      </c>
      <c r="AI45" s="3" t="n">
        <v>40430.0</v>
      </c>
      <c r="AJ45" s="3" t="n">
        <v>39131.0</v>
      </c>
      <c r="AK45" s="3" t="n">
        <v>36843.0</v>
      </c>
      <c r="AL45" s="3" t="n">
        <v>35591.0</v>
      </c>
      <c r="AM45" s="3" t="n">
        <v>31926.0</v>
      </c>
      <c r="AN45" s="3" t="n">
        <v>33657.0</v>
      </c>
      <c r="AO45" s="3" t="n">
        <v>33827.0</v>
      </c>
    </row>
    <row r="46" spans="1:41" x14ac:dyDescent="0.2">
      <c r="A46" s="122"/>
      <c r="B46" s="9">
        <v>37</v>
      </c>
      <c r="C46" s="3" t="n">
        <v>58761.0</v>
      </c>
      <c r="D46" s="3" t="n">
        <v>55948.0</v>
      </c>
      <c r="E46" s="3" t="n">
        <v>53409.0</v>
      </c>
      <c r="F46" s="3" t="n">
        <v>52545.0</v>
      </c>
      <c r="G46" s="3" t="n">
        <v>51021.0</v>
      </c>
      <c r="H46" s="3" t="n">
        <v>51329.0</v>
      </c>
      <c r="I46" s="3" t="n">
        <v>50613.0</v>
      </c>
      <c r="J46" s="3" t="n">
        <v>48026.0</v>
      </c>
      <c r="K46" s="3" t="n">
        <v>46661.0</v>
      </c>
      <c r="L46" s="3" t="n">
        <v>44383.0</v>
      </c>
      <c r="M46" s="3" t="n">
        <v>42148.0</v>
      </c>
      <c r="N46" s="3" t="n">
        <v>40708.0</v>
      </c>
      <c r="O46" s="3" t="n">
        <v>39598.0</v>
      </c>
      <c r="P46" s="3" t="n">
        <v>38064.0</v>
      </c>
      <c r="Q46" s="3" t="n">
        <v>36692.0</v>
      </c>
      <c r="R46" s="3" t="n">
        <v>36140.0</v>
      </c>
      <c r="S46" s="3" t="n">
        <v>35234.0</v>
      </c>
      <c r="T46" s="3" t="n">
        <v>33898.0</v>
      </c>
      <c r="U46" s="3" t="n">
        <v>33773.0</v>
      </c>
      <c r="V46" s="3" t="n">
        <v>34073.0</v>
      </c>
      <c r="W46" s="3" t="n">
        <v>35872.0</v>
      </c>
      <c r="X46" s="3" t="n">
        <v>37002.0</v>
      </c>
      <c r="Y46" s="3" t="n">
        <v>39190.0</v>
      </c>
      <c r="Z46" s="3" t="n">
        <v>42207.0</v>
      </c>
      <c r="AA46" s="3" t="n">
        <v>42665.0</v>
      </c>
      <c r="AB46" s="3" t="n">
        <v>42811.0</v>
      </c>
      <c r="AC46" s="3" t="n">
        <v>40256.0</v>
      </c>
      <c r="AD46" s="3" t="n">
        <v>40608.0</v>
      </c>
      <c r="AE46" s="3" t="n">
        <v>38922.0</v>
      </c>
      <c r="AF46" s="3" t="n">
        <v>39842.0</v>
      </c>
      <c r="AG46" s="3" t="n">
        <v>39618.0</v>
      </c>
      <c r="AH46" s="3" t="n">
        <v>40602.0</v>
      </c>
      <c r="AI46" s="3" t="n">
        <v>42596.0</v>
      </c>
      <c r="AJ46" s="3" t="n">
        <v>40428.0</v>
      </c>
      <c r="AK46" s="3" t="n">
        <v>39128.0</v>
      </c>
      <c r="AL46" s="3" t="n">
        <v>36844.0</v>
      </c>
      <c r="AM46" s="3" t="n">
        <v>35592.0</v>
      </c>
      <c r="AN46" s="3" t="n">
        <v>31923.0</v>
      </c>
      <c r="AO46" s="3" t="n">
        <v>33653.0</v>
      </c>
    </row>
    <row r="47" spans="1:41" x14ac:dyDescent="0.2">
      <c r="A47" s="122"/>
      <c r="B47" s="9">
        <v>38</v>
      </c>
      <c r="C47" s="3" t="n">
        <v>61016.0</v>
      </c>
      <c r="D47" s="3" t="n">
        <v>58715.0</v>
      </c>
      <c r="E47" s="3" t="n">
        <v>55904.0</v>
      </c>
      <c r="F47" s="3" t="n">
        <v>53375.0</v>
      </c>
      <c r="G47" s="3" t="n">
        <v>52523.0</v>
      </c>
      <c r="H47" s="3" t="n">
        <v>51248.0</v>
      </c>
      <c r="I47" s="3" t="n">
        <v>51652.0</v>
      </c>
      <c r="J47" s="3" t="n">
        <v>50745.0</v>
      </c>
      <c r="K47" s="3" t="n">
        <v>48061.0</v>
      </c>
      <c r="L47" s="3" t="n">
        <v>46665.0</v>
      </c>
      <c r="M47" s="3" t="n">
        <v>44362.0</v>
      </c>
      <c r="N47" s="3" t="n">
        <v>42121.0</v>
      </c>
      <c r="O47" s="3" t="n">
        <v>40688.0</v>
      </c>
      <c r="P47" s="3" t="n">
        <v>39588.0</v>
      </c>
      <c r="Q47" s="3" t="n">
        <v>38055.0</v>
      </c>
      <c r="R47" s="3" t="n">
        <v>36690.0</v>
      </c>
      <c r="S47" s="3" t="n">
        <v>36143.0</v>
      </c>
      <c r="T47" s="3" t="n">
        <v>35239.0</v>
      </c>
      <c r="U47" s="3" t="n">
        <v>33916.0</v>
      </c>
      <c r="V47" s="3" t="n">
        <v>33793.0</v>
      </c>
      <c r="W47" s="3" t="n">
        <v>34077.0</v>
      </c>
      <c r="X47" s="3" t="n">
        <v>35879.0</v>
      </c>
      <c r="Y47" s="3" t="n">
        <v>37007.0</v>
      </c>
      <c r="Z47" s="3" t="n">
        <v>39187.0</v>
      </c>
      <c r="AA47" s="3" t="n">
        <v>42204.0</v>
      </c>
      <c r="AB47" s="3" t="n">
        <v>42661.0</v>
      </c>
      <c r="AC47" s="3" t="n">
        <v>42809.0</v>
      </c>
      <c r="AD47" s="3" t="n">
        <v>40259.0</v>
      </c>
      <c r="AE47" s="3" t="n">
        <v>40610.0</v>
      </c>
      <c r="AF47" s="3" t="n">
        <v>38924.0</v>
      </c>
      <c r="AG47" s="3" t="n">
        <v>39837.0</v>
      </c>
      <c r="AH47" s="3" t="n">
        <v>39612.0</v>
      </c>
      <c r="AI47" s="3" t="n">
        <v>40598.0</v>
      </c>
      <c r="AJ47" s="3" t="n">
        <v>42588.0</v>
      </c>
      <c r="AK47" s="3" t="n">
        <v>40428.0</v>
      </c>
      <c r="AL47" s="3" t="n">
        <v>39129.0</v>
      </c>
      <c r="AM47" s="3" t="n">
        <v>36851.0</v>
      </c>
      <c r="AN47" s="3" t="n">
        <v>35605.0</v>
      </c>
      <c r="AO47" s="3" t="n">
        <v>31944.0</v>
      </c>
    </row>
    <row r="48" spans="1:41" x14ac:dyDescent="0.2">
      <c r="A48" s="122"/>
      <c r="B48" s="9">
        <v>39</v>
      </c>
      <c r="C48" s="3" t="n">
        <v>62179.0</v>
      </c>
      <c r="D48" s="3" t="n">
        <v>60940.0</v>
      </c>
      <c r="E48" s="3" t="n">
        <v>58651.0</v>
      </c>
      <c r="F48" s="3" t="n">
        <v>55840.0</v>
      </c>
      <c r="G48" s="3" t="n">
        <v>53324.0</v>
      </c>
      <c r="H48" s="3" t="n">
        <v>52733.0</v>
      </c>
      <c r="I48" s="3" t="n">
        <v>51562.0</v>
      </c>
      <c r="J48" s="3" t="n">
        <v>51768.0</v>
      </c>
      <c r="K48" s="3" t="n">
        <v>50757.0</v>
      </c>
      <c r="L48" s="3" t="n">
        <v>48048.0</v>
      </c>
      <c r="M48" s="3" t="n">
        <v>46639.0</v>
      </c>
      <c r="N48" s="3" t="n">
        <v>44314.0</v>
      </c>
      <c r="O48" s="3" t="n">
        <v>42064.0</v>
      </c>
      <c r="P48" s="3" t="n">
        <v>40638.0</v>
      </c>
      <c r="Q48" s="3" t="n">
        <v>39543.0</v>
      </c>
      <c r="R48" s="3" t="n">
        <v>38020.0</v>
      </c>
      <c r="S48" s="3" t="n">
        <v>36659.0</v>
      </c>
      <c r="T48" s="3" t="n">
        <v>36125.0</v>
      </c>
      <c r="U48" s="3" t="n">
        <v>35226.0</v>
      </c>
      <c r="V48" s="3" t="n">
        <v>33910.0</v>
      </c>
      <c r="W48" s="3" t="n">
        <v>33787.0</v>
      </c>
      <c r="X48" s="3" t="n">
        <v>34077.0</v>
      </c>
      <c r="Y48" s="3" t="n">
        <v>35869.0</v>
      </c>
      <c r="Z48" s="3" t="n">
        <v>36994.0</v>
      </c>
      <c r="AA48" s="3" t="n">
        <v>39164.0</v>
      </c>
      <c r="AB48" s="3" t="n">
        <v>42185.0</v>
      </c>
      <c r="AC48" s="3" t="n">
        <v>42640.0</v>
      </c>
      <c r="AD48" s="3" t="n">
        <v>42788.0</v>
      </c>
      <c r="AE48" s="3" t="n">
        <v>40238.0</v>
      </c>
      <c r="AF48" s="3" t="n">
        <v>40598.0</v>
      </c>
      <c r="AG48" s="3" t="n">
        <v>38906.0</v>
      </c>
      <c r="AH48" s="3" t="n">
        <v>39818.0</v>
      </c>
      <c r="AI48" s="3" t="n">
        <v>39597.0</v>
      </c>
      <c r="AJ48" s="3" t="n">
        <v>40581.0</v>
      </c>
      <c r="AK48" s="3" t="n">
        <v>42571.0</v>
      </c>
      <c r="AL48" s="3" t="n">
        <v>40417.0</v>
      </c>
      <c r="AM48" s="3" t="n">
        <v>39122.0</v>
      </c>
      <c r="AN48" s="3" t="n">
        <v>36848.0</v>
      </c>
      <c r="AO48" s="3" t="n">
        <v>35601.0</v>
      </c>
    </row>
    <row r="49" spans="1:41" x14ac:dyDescent="0.2">
      <c r="A49" s="122"/>
      <c r="B49" s="9">
        <v>40</v>
      </c>
      <c r="C49" s="3" t="n">
        <v>60227.0</v>
      </c>
      <c r="D49" s="3" t="n">
        <v>62065.0</v>
      </c>
      <c r="E49" s="3" t="n">
        <v>60832.0</v>
      </c>
      <c r="F49" s="3" t="n">
        <v>58561.0</v>
      </c>
      <c r="G49" s="3" t="n">
        <v>55755.0</v>
      </c>
      <c r="H49" s="3" t="n">
        <v>53475.0</v>
      </c>
      <c r="I49" s="3" t="n">
        <v>52974.0</v>
      </c>
      <c r="J49" s="3" t="n">
        <v>51644.0</v>
      </c>
      <c r="K49" s="3" t="n">
        <v>51756.0</v>
      </c>
      <c r="L49" s="3" t="n">
        <v>50704.0</v>
      </c>
      <c r="M49" s="3" t="n">
        <v>47979.0</v>
      </c>
      <c r="N49" s="3" t="n">
        <v>46560.0</v>
      </c>
      <c r="O49" s="3" t="n">
        <v>44242.0</v>
      </c>
      <c r="P49" s="3" t="n">
        <v>41996.0</v>
      </c>
      <c r="Q49" s="3" t="n">
        <v>40579.0</v>
      </c>
      <c r="R49" s="3" t="n">
        <v>39482.0</v>
      </c>
      <c r="S49" s="3" t="n">
        <v>37958.0</v>
      </c>
      <c r="T49" s="3" t="n">
        <v>36604.0</v>
      </c>
      <c r="U49" s="3" t="n">
        <v>36082.0</v>
      </c>
      <c r="V49" s="3" t="n">
        <v>35195.0</v>
      </c>
      <c r="W49" s="3" t="n">
        <v>33891.0</v>
      </c>
      <c r="X49" s="3" t="n">
        <v>33765.0</v>
      </c>
      <c r="Y49" s="3" t="n">
        <v>34055.0</v>
      </c>
      <c r="Z49" s="3" t="n">
        <v>35841.0</v>
      </c>
      <c r="AA49" s="3" t="n">
        <v>36955.0</v>
      </c>
      <c r="AB49" s="3" t="n">
        <v>39128.0</v>
      </c>
      <c r="AC49" s="3" t="n">
        <v>42142.0</v>
      </c>
      <c r="AD49" s="3" t="n">
        <v>42601.0</v>
      </c>
      <c r="AE49" s="3" t="n">
        <v>42749.0</v>
      </c>
      <c r="AF49" s="3" t="n">
        <v>40203.0</v>
      </c>
      <c r="AG49" s="3" t="n">
        <v>40562.0</v>
      </c>
      <c r="AH49" s="3" t="n">
        <v>38877.0</v>
      </c>
      <c r="AI49" s="3" t="n">
        <v>39789.0</v>
      </c>
      <c r="AJ49" s="3" t="n">
        <v>39563.0</v>
      </c>
      <c r="AK49" s="3" t="n">
        <v>40548.0</v>
      </c>
      <c r="AL49" s="3" t="n">
        <v>42533.0</v>
      </c>
      <c r="AM49" s="3" t="n">
        <v>40384.0</v>
      </c>
      <c r="AN49" s="3" t="n">
        <v>39090.0</v>
      </c>
      <c r="AO49" s="3" t="n">
        <v>36812.0</v>
      </c>
    </row>
    <row r="50" spans="1:41" x14ac:dyDescent="0.2">
      <c r="A50" s="122"/>
      <c r="B50" s="9">
        <v>41</v>
      </c>
      <c r="C50" s="3" t="n">
        <v>57139.0</v>
      </c>
      <c r="D50" s="3" t="n">
        <v>60135.0</v>
      </c>
      <c r="E50" s="3" t="n">
        <v>61976.0</v>
      </c>
      <c r="F50" s="3" t="n">
        <v>60741.0</v>
      </c>
      <c r="G50" s="3" t="n">
        <v>58477.0</v>
      </c>
      <c r="H50" s="3" t="n">
        <v>55891.0</v>
      </c>
      <c r="I50" s="3" t="n">
        <v>53691.0</v>
      </c>
      <c r="J50" s="3" t="n">
        <v>53039.0</v>
      </c>
      <c r="K50" s="3" t="n">
        <v>51634.0</v>
      </c>
      <c r="L50" s="3" t="n">
        <v>51718.0</v>
      </c>
      <c r="M50" s="3" t="n">
        <v>50652.0</v>
      </c>
      <c r="N50" s="3" t="n">
        <v>47924.0</v>
      </c>
      <c r="O50" s="3" t="n">
        <v>46503.0</v>
      </c>
      <c r="P50" s="3" t="n">
        <v>44190.0</v>
      </c>
      <c r="Q50" s="3" t="n">
        <v>41946.0</v>
      </c>
      <c r="R50" s="3" t="n">
        <v>40534.0</v>
      </c>
      <c r="S50" s="3" t="n">
        <v>39437.0</v>
      </c>
      <c r="T50" s="3" t="n">
        <v>37919.0</v>
      </c>
      <c r="U50" s="3" t="n">
        <v>36578.0</v>
      </c>
      <c r="V50" s="3" t="n">
        <v>36058.0</v>
      </c>
      <c r="W50" s="3" t="n">
        <v>35172.0</v>
      </c>
      <c r="X50" s="3" t="n">
        <v>33879.0</v>
      </c>
      <c r="Y50" s="3" t="n">
        <v>33751.0</v>
      </c>
      <c r="Z50" s="3" t="n">
        <v>34040.0</v>
      </c>
      <c r="AA50" s="3" t="n">
        <v>35826.0</v>
      </c>
      <c r="AB50" s="3" t="n">
        <v>36943.0</v>
      </c>
      <c r="AC50" s="3" t="n">
        <v>39114.0</v>
      </c>
      <c r="AD50" s="3" t="n">
        <v>42118.0</v>
      </c>
      <c r="AE50" s="3" t="n">
        <v>42572.0</v>
      </c>
      <c r="AF50" s="3" t="n">
        <v>42718.0</v>
      </c>
      <c r="AG50" s="3" t="n">
        <v>40181.0</v>
      </c>
      <c r="AH50" s="3" t="n">
        <v>40538.0</v>
      </c>
      <c r="AI50" s="3" t="n">
        <v>38861.0</v>
      </c>
      <c r="AJ50" s="3" t="n">
        <v>39769.0</v>
      </c>
      <c r="AK50" s="3" t="n">
        <v>39544.0</v>
      </c>
      <c r="AL50" s="3" t="n">
        <v>40523.0</v>
      </c>
      <c r="AM50" s="3" t="n">
        <v>42507.0</v>
      </c>
      <c r="AN50" s="3" t="n">
        <v>40365.0</v>
      </c>
      <c r="AO50" s="3" t="n">
        <v>39074.0</v>
      </c>
    </row>
    <row r="51" spans="1:41" x14ac:dyDescent="0.2">
      <c r="A51" s="122"/>
      <c r="B51" s="9">
        <v>42</v>
      </c>
      <c r="C51" s="3" t="n">
        <v>58572.0</v>
      </c>
      <c r="D51" s="3" t="n">
        <v>57057.0</v>
      </c>
      <c r="E51" s="3" t="n">
        <v>60045.0</v>
      </c>
      <c r="F51" s="3" t="n">
        <v>61886.0</v>
      </c>
      <c r="G51" s="3" t="n">
        <v>60671.0</v>
      </c>
      <c r="H51" s="3" t="n">
        <v>58593.0</v>
      </c>
      <c r="I51" s="3" t="n">
        <v>56087.0</v>
      </c>
      <c r="J51" s="3" t="n">
        <v>53743.0</v>
      </c>
      <c r="K51" s="3" t="n">
        <v>53022.0</v>
      </c>
      <c r="L51" s="3" t="n">
        <v>51595.0</v>
      </c>
      <c r="M51" s="3" t="n">
        <v>51662.0</v>
      </c>
      <c r="N51" s="3" t="n">
        <v>50593.0</v>
      </c>
      <c r="O51" s="3" t="n">
        <v>47854.0</v>
      </c>
      <c r="P51" s="3" t="n">
        <v>46439.0</v>
      </c>
      <c r="Q51" s="3" t="n">
        <v>44123.0</v>
      </c>
      <c r="R51" s="3" t="n">
        <v>41897.0</v>
      </c>
      <c r="S51" s="3" t="n">
        <v>40483.0</v>
      </c>
      <c r="T51" s="3" t="n">
        <v>39392.0</v>
      </c>
      <c r="U51" s="3" t="n">
        <v>37876.0</v>
      </c>
      <c r="V51" s="3" t="n">
        <v>36541.0</v>
      </c>
      <c r="W51" s="3" t="n">
        <v>36023.0</v>
      </c>
      <c r="X51" s="3" t="n">
        <v>35150.0</v>
      </c>
      <c r="Y51" s="3" t="n">
        <v>33855.0</v>
      </c>
      <c r="Z51" s="3" t="n">
        <v>33725.0</v>
      </c>
      <c r="AA51" s="3" t="n">
        <v>34009.0</v>
      </c>
      <c r="AB51" s="3" t="n">
        <v>35791.0</v>
      </c>
      <c r="AC51" s="3" t="n">
        <v>36913.0</v>
      </c>
      <c r="AD51" s="3" t="n">
        <v>39087.0</v>
      </c>
      <c r="AE51" s="3" t="n">
        <v>42090.0</v>
      </c>
      <c r="AF51" s="3" t="n">
        <v>42543.0</v>
      </c>
      <c r="AG51" s="3" t="n">
        <v>42685.0</v>
      </c>
      <c r="AH51" s="3" t="n">
        <v>40151.0</v>
      </c>
      <c r="AI51" s="3" t="n">
        <v>40514.0</v>
      </c>
      <c r="AJ51" s="3" t="n">
        <v>38838.0</v>
      </c>
      <c r="AK51" s="3" t="n">
        <v>39745.0</v>
      </c>
      <c r="AL51" s="3" t="n">
        <v>39523.0</v>
      </c>
      <c r="AM51" s="3" t="n">
        <v>40501.0</v>
      </c>
      <c r="AN51" s="3" t="n">
        <v>42478.0</v>
      </c>
      <c r="AO51" s="3" t="n">
        <v>40343.0</v>
      </c>
    </row>
    <row r="52" spans="1:41" x14ac:dyDescent="0.2">
      <c r="A52" s="122"/>
      <c r="B52" s="9">
        <v>43</v>
      </c>
      <c r="C52" s="3" t="n">
        <v>58326.0</v>
      </c>
      <c r="D52" s="3" t="n">
        <v>58470.0</v>
      </c>
      <c r="E52" s="3" t="n">
        <v>56970.0</v>
      </c>
      <c r="F52" s="3" t="n">
        <v>59952.0</v>
      </c>
      <c r="G52" s="3" t="n">
        <v>61802.0</v>
      </c>
      <c r="H52" s="3" t="n">
        <v>60789.0</v>
      </c>
      <c r="I52" s="3" t="n">
        <v>58781.0</v>
      </c>
      <c r="J52" s="3" t="n">
        <v>56125.0</v>
      </c>
      <c r="K52" s="3" t="n">
        <v>53711.0</v>
      </c>
      <c r="L52" s="3" t="n">
        <v>52966.0</v>
      </c>
      <c r="M52" s="3" t="n">
        <v>51533.0</v>
      </c>
      <c r="N52" s="3" t="n">
        <v>51582.0</v>
      </c>
      <c r="O52" s="3" t="n">
        <v>50515.0</v>
      </c>
      <c r="P52" s="3" t="n">
        <v>47772.0</v>
      </c>
      <c r="Q52" s="3" t="n">
        <v>46367.0</v>
      </c>
      <c r="R52" s="3" t="n">
        <v>44054.0</v>
      </c>
      <c r="S52" s="3" t="n">
        <v>41837.0</v>
      </c>
      <c r="T52" s="3" t="n">
        <v>40419.0</v>
      </c>
      <c r="U52" s="3" t="n">
        <v>39331.0</v>
      </c>
      <c r="V52" s="3" t="n">
        <v>37824.0</v>
      </c>
      <c r="W52" s="3" t="n">
        <v>36498.0</v>
      </c>
      <c r="X52" s="3" t="n">
        <v>35988.0</v>
      </c>
      <c r="Y52" s="3" t="n">
        <v>35117.0</v>
      </c>
      <c r="Z52" s="3" t="n">
        <v>33832.0</v>
      </c>
      <c r="AA52" s="3" t="n">
        <v>33709.0</v>
      </c>
      <c r="AB52" s="3" t="n">
        <v>33988.0</v>
      </c>
      <c r="AC52" s="3" t="n">
        <v>35762.0</v>
      </c>
      <c r="AD52" s="3" t="n">
        <v>36878.0</v>
      </c>
      <c r="AE52" s="3" t="n">
        <v>39047.0</v>
      </c>
      <c r="AF52" s="3" t="n">
        <v>42052.0</v>
      </c>
      <c r="AG52" s="3" t="n">
        <v>42509.0</v>
      </c>
      <c r="AH52" s="3" t="n">
        <v>42650.0</v>
      </c>
      <c r="AI52" s="3" t="n">
        <v>40121.0</v>
      </c>
      <c r="AJ52" s="3" t="n">
        <v>40483.0</v>
      </c>
      <c r="AK52" s="3" t="n">
        <v>38806.0</v>
      </c>
      <c r="AL52" s="3" t="n">
        <v>39713.0</v>
      </c>
      <c r="AM52" s="3" t="n">
        <v>39495.0</v>
      </c>
      <c r="AN52" s="3" t="n">
        <v>40474.0</v>
      </c>
      <c r="AO52" s="3" t="n">
        <v>42447.0</v>
      </c>
    </row>
    <row r="53" spans="1:41" x14ac:dyDescent="0.2">
      <c r="A53" s="122"/>
      <c r="B53" s="9">
        <v>44</v>
      </c>
      <c r="C53" s="3" t="n">
        <v>55734.0</v>
      </c>
      <c r="D53" s="3" t="n">
        <v>58203.0</v>
      </c>
      <c r="E53" s="3" t="n">
        <v>58347.0</v>
      </c>
      <c r="F53" s="3" t="n">
        <v>56867.0</v>
      </c>
      <c r="G53" s="3" t="n">
        <v>59838.0</v>
      </c>
      <c r="H53" s="3" t="n">
        <v>61880.0</v>
      </c>
      <c r="I53" s="3" t="n">
        <v>60960.0</v>
      </c>
      <c r="J53" s="3" t="n">
        <v>58799.0</v>
      </c>
      <c r="K53" s="3" t="n">
        <v>56074.0</v>
      </c>
      <c r="L53" s="3" t="n">
        <v>53632.0</v>
      </c>
      <c r="M53" s="3" t="n">
        <v>52887.0</v>
      </c>
      <c r="N53" s="3" t="n">
        <v>51450.0</v>
      </c>
      <c r="O53" s="3" t="n">
        <v>51493.0</v>
      </c>
      <c r="P53" s="3" t="n">
        <v>50434.0</v>
      </c>
      <c r="Q53" s="3" t="n">
        <v>47692.0</v>
      </c>
      <c r="R53" s="3" t="n">
        <v>46294.0</v>
      </c>
      <c r="S53" s="3" t="n">
        <v>43992.0</v>
      </c>
      <c r="T53" s="3" t="n">
        <v>41788.0</v>
      </c>
      <c r="U53" s="3" t="n">
        <v>40372.0</v>
      </c>
      <c r="V53" s="3" t="n">
        <v>39281.0</v>
      </c>
      <c r="W53" s="3" t="n">
        <v>37779.0</v>
      </c>
      <c r="X53" s="3" t="n">
        <v>36454.0</v>
      </c>
      <c r="Y53" s="3" t="n">
        <v>35948.0</v>
      </c>
      <c r="Z53" s="3" t="n">
        <v>35081.0</v>
      </c>
      <c r="AA53" s="3" t="n">
        <v>33804.0</v>
      </c>
      <c r="AB53" s="3" t="n">
        <v>33683.0</v>
      </c>
      <c r="AC53" s="3" t="n">
        <v>33961.0</v>
      </c>
      <c r="AD53" s="3" t="n">
        <v>35731.0</v>
      </c>
      <c r="AE53" s="3" t="n">
        <v>36848.0</v>
      </c>
      <c r="AF53" s="3" t="n">
        <v>39018.0</v>
      </c>
      <c r="AG53" s="3" t="n">
        <v>42018.0</v>
      </c>
      <c r="AH53" s="3" t="n">
        <v>42483.0</v>
      </c>
      <c r="AI53" s="3" t="n">
        <v>42627.0</v>
      </c>
      <c r="AJ53" s="3" t="n">
        <v>40098.0</v>
      </c>
      <c r="AK53" s="3" t="n">
        <v>40454.0</v>
      </c>
      <c r="AL53" s="3" t="n">
        <v>38776.0</v>
      </c>
      <c r="AM53" s="3" t="n">
        <v>39688.0</v>
      </c>
      <c r="AN53" s="3" t="n">
        <v>39468.0</v>
      </c>
      <c r="AO53" s="3" t="n">
        <v>40444.0</v>
      </c>
    </row>
    <row r="54" spans="1:41" x14ac:dyDescent="0.2">
      <c r="A54" s="122"/>
      <c r="B54" s="9">
        <v>45</v>
      </c>
      <c r="C54" s="3" t="n">
        <v>55774.0</v>
      </c>
      <c r="D54" s="3" t="n">
        <v>55580.0</v>
      </c>
      <c r="E54" s="3" t="n">
        <v>58048.0</v>
      </c>
      <c r="F54" s="3" t="n">
        <v>58199.0</v>
      </c>
      <c r="G54" s="3" t="n">
        <v>56732.0</v>
      </c>
      <c r="H54" s="3" t="n">
        <v>59867.0</v>
      </c>
      <c r="I54" s="3" t="n">
        <v>61962.0</v>
      </c>
      <c r="J54" s="3" t="n">
        <v>60918.0</v>
      </c>
      <c r="K54" s="3" t="n">
        <v>58700.0</v>
      </c>
      <c r="L54" s="3" t="n">
        <v>55967.0</v>
      </c>
      <c r="M54" s="3" t="n">
        <v>53515.0</v>
      </c>
      <c r="N54" s="3" t="n">
        <v>52763.0</v>
      </c>
      <c r="O54" s="3" t="n">
        <v>51327.0</v>
      </c>
      <c r="P54" s="3" t="n">
        <v>51373.0</v>
      </c>
      <c r="Q54" s="3" t="n">
        <v>50322.0</v>
      </c>
      <c r="R54" s="3" t="n">
        <v>47591.0</v>
      </c>
      <c r="S54" s="3" t="n">
        <v>46194.0</v>
      </c>
      <c r="T54" s="3" t="n">
        <v>43893.0</v>
      </c>
      <c r="U54" s="3" t="n">
        <v>41701.0</v>
      </c>
      <c r="V54" s="3" t="n">
        <v>40289.0</v>
      </c>
      <c r="W54" s="3" t="n">
        <v>39198.0</v>
      </c>
      <c r="X54" s="3" t="n">
        <v>37699.0</v>
      </c>
      <c r="Y54" s="3" t="n">
        <v>36376.0</v>
      </c>
      <c r="Z54" s="3" t="n">
        <v>35876.0</v>
      </c>
      <c r="AA54" s="3" t="n">
        <v>35019.0</v>
      </c>
      <c r="AB54" s="3" t="n">
        <v>33751.0</v>
      </c>
      <c r="AC54" s="3" t="n">
        <v>33629.0</v>
      </c>
      <c r="AD54" s="3" t="n">
        <v>33915.0</v>
      </c>
      <c r="AE54" s="3" t="n">
        <v>35673.0</v>
      </c>
      <c r="AF54" s="3" t="n">
        <v>36782.0</v>
      </c>
      <c r="AG54" s="3" t="n">
        <v>38954.0</v>
      </c>
      <c r="AH54" s="3" t="n">
        <v>41945.0</v>
      </c>
      <c r="AI54" s="3" t="n">
        <v>42414.0</v>
      </c>
      <c r="AJ54" s="3" t="n">
        <v>42563.0</v>
      </c>
      <c r="AK54" s="3" t="n">
        <v>40037.0</v>
      </c>
      <c r="AL54" s="3" t="n">
        <v>40391.0</v>
      </c>
      <c r="AM54" s="3" t="n">
        <v>38712.0</v>
      </c>
      <c r="AN54" s="3" t="n">
        <v>39624.0</v>
      </c>
      <c r="AO54" s="3" t="n">
        <v>39407.0</v>
      </c>
    </row>
    <row r="55" spans="1:41" x14ac:dyDescent="0.2">
      <c r="A55" s="122"/>
      <c r="B55" s="9">
        <v>46</v>
      </c>
      <c r="C55" s="3" t="n">
        <v>55390.0</v>
      </c>
      <c r="D55" s="3" t="n">
        <v>55616.0</v>
      </c>
      <c r="E55" s="3" t="n">
        <v>55429.0</v>
      </c>
      <c r="F55" s="3" t="n">
        <v>57897.0</v>
      </c>
      <c r="G55" s="3" t="n">
        <v>58060.0</v>
      </c>
      <c r="H55" s="3" t="n">
        <v>56735.0</v>
      </c>
      <c r="I55" s="3" t="n">
        <v>59923.0</v>
      </c>
      <c r="J55" s="3" t="n">
        <v>61899.0</v>
      </c>
      <c r="K55" s="3" t="n">
        <v>60812.0</v>
      </c>
      <c r="L55" s="3" t="n">
        <v>58577.0</v>
      </c>
      <c r="M55" s="3" t="n">
        <v>55842.0</v>
      </c>
      <c r="N55" s="3" t="n">
        <v>53387.0</v>
      </c>
      <c r="O55" s="3" t="n">
        <v>52632.0</v>
      </c>
      <c r="P55" s="3" t="n">
        <v>51197.0</v>
      </c>
      <c r="Q55" s="3" t="n">
        <v>51243.0</v>
      </c>
      <c r="R55" s="3" t="n">
        <v>50190.0</v>
      </c>
      <c r="S55" s="3" t="n">
        <v>47467.0</v>
      </c>
      <c r="T55" s="3" t="n">
        <v>46070.0</v>
      </c>
      <c r="U55" s="3" t="n">
        <v>43779.0</v>
      </c>
      <c r="V55" s="3" t="n">
        <v>41597.0</v>
      </c>
      <c r="W55" s="3" t="n">
        <v>40195.0</v>
      </c>
      <c r="X55" s="3" t="n">
        <v>39109.0</v>
      </c>
      <c r="Y55" s="3" t="n">
        <v>37611.0</v>
      </c>
      <c r="Z55" s="3" t="n">
        <v>36296.0</v>
      </c>
      <c r="AA55" s="3" t="n">
        <v>35800.0</v>
      </c>
      <c r="AB55" s="3" t="n">
        <v>34948.0</v>
      </c>
      <c r="AC55" s="3" t="n">
        <v>33680.0</v>
      </c>
      <c r="AD55" s="3" t="n">
        <v>33558.0</v>
      </c>
      <c r="AE55" s="3" t="n">
        <v>33846.0</v>
      </c>
      <c r="AF55" s="3" t="n">
        <v>35608.0</v>
      </c>
      <c r="AG55" s="3" t="n">
        <v>36712.0</v>
      </c>
      <c r="AH55" s="3" t="n">
        <v>38886.0</v>
      </c>
      <c r="AI55" s="3" t="n">
        <v>41870.0</v>
      </c>
      <c r="AJ55" s="3" t="n">
        <v>42338.0</v>
      </c>
      <c r="AK55" s="3" t="n">
        <v>42484.0</v>
      </c>
      <c r="AL55" s="3" t="n">
        <v>39970.0</v>
      </c>
      <c r="AM55" s="3" t="n">
        <v>40327.0</v>
      </c>
      <c r="AN55" s="3" t="n">
        <v>38652.0</v>
      </c>
      <c r="AO55" s="3" t="n">
        <v>39557.0</v>
      </c>
    </row>
    <row r="56" spans="1:41" x14ac:dyDescent="0.2">
      <c r="A56" s="122"/>
      <c r="B56" s="9">
        <v>47</v>
      </c>
      <c r="C56" s="3" t="n">
        <v>53312.0</v>
      </c>
      <c r="D56" s="3" t="n">
        <v>55220.0</v>
      </c>
      <c r="E56" s="3" t="n">
        <v>55448.0</v>
      </c>
      <c r="F56" s="3" t="n">
        <v>55260.0</v>
      </c>
      <c r="G56" s="3" t="n">
        <v>57731.0</v>
      </c>
      <c r="H56" s="3" t="n">
        <v>58030.0</v>
      </c>
      <c r="I56" s="3" t="n">
        <v>56767.0</v>
      </c>
      <c r="J56" s="3" t="n">
        <v>59844.0</v>
      </c>
      <c r="K56" s="3" t="n">
        <v>61762.0</v>
      </c>
      <c r="L56" s="3" t="n">
        <v>60658.0</v>
      </c>
      <c r="M56" s="3" t="n">
        <v>58427.0</v>
      </c>
      <c r="N56" s="3" t="n">
        <v>55689.0</v>
      </c>
      <c r="O56" s="3" t="n">
        <v>53237.0</v>
      </c>
      <c r="P56" s="3" t="n">
        <v>52485.0</v>
      </c>
      <c r="Q56" s="3" t="n">
        <v>51056.0</v>
      </c>
      <c r="R56" s="3" t="n">
        <v>51107.0</v>
      </c>
      <c r="S56" s="3" t="n">
        <v>50054.0</v>
      </c>
      <c r="T56" s="3" t="n">
        <v>47339.0</v>
      </c>
      <c r="U56" s="3" t="n">
        <v>45953.0</v>
      </c>
      <c r="V56" s="3" t="n">
        <v>43673.0</v>
      </c>
      <c r="W56" s="3" t="n">
        <v>41500.0</v>
      </c>
      <c r="X56" s="3" t="n">
        <v>40099.0</v>
      </c>
      <c r="Y56" s="3" t="n">
        <v>39018.0</v>
      </c>
      <c r="Z56" s="3" t="n">
        <v>37529.0</v>
      </c>
      <c r="AA56" s="3" t="n">
        <v>36220.0</v>
      </c>
      <c r="AB56" s="3" t="n">
        <v>35728.0</v>
      </c>
      <c r="AC56" s="3" t="n">
        <v>34884.0</v>
      </c>
      <c r="AD56" s="3" t="n">
        <v>33624.0</v>
      </c>
      <c r="AE56" s="3" t="n">
        <v>33499.0</v>
      </c>
      <c r="AF56" s="3" t="n">
        <v>33792.0</v>
      </c>
      <c r="AG56" s="3" t="n">
        <v>35550.0</v>
      </c>
      <c r="AH56" s="3" t="n">
        <v>36649.0</v>
      </c>
      <c r="AI56" s="3" t="n">
        <v>38816.0</v>
      </c>
      <c r="AJ56" s="3" t="n">
        <v>41793.0</v>
      </c>
      <c r="AK56" s="3" t="n">
        <v>42264.0</v>
      </c>
      <c r="AL56" s="3" t="n">
        <v>42409.0</v>
      </c>
      <c r="AM56" s="3" t="n">
        <v>39902.0</v>
      </c>
      <c r="AN56" s="3" t="n">
        <v>40262.0</v>
      </c>
      <c r="AO56" s="3" t="n">
        <v>38596.0</v>
      </c>
    </row>
    <row r="57" spans="1:41" x14ac:dyDescent="0.2">
      <c r="A57" s="122"/>
      <c r="B57" s="9">
        <v>48</v>
      </c>
      <c r="C57" s="3" t="n">
        <v>50782.0</v>
      </c>
      <c r="D57" s="3" t="n">
        <v>53128.0</v>
      </c>
      <c r="E57" s="3" t="n">
        <v>55034.0</v>
      </c>
      <c r="F57" s="3" t="n">
        <v>55274.0</v>
      </c>
      <c r="G57" s="3" t="n">
        <v>55091.0</v>
      </c>
      <c r="H57" s="3" t="n">
        <v>57695.0</v>
      </c>
      <c r="I57" s="3" t="n">
        <v>58053.0</v>
      </c>
      <c r="J57" s="3" t="n">
        <v>56696.0</v>
      </c>
      <c r="K57" s="3" t="n">
        <v>59716.0</v>
      </c>
      <c r="L57" s="3" t="n">
        <v>61607.0</v>
      </c>
      <c r="M57" s="3" t="n">
        <v>60488.0</v>
      </c>
      <c r="N57" s="3" t="n">
        <v>58262.0</v>
      </c>
      <c r="O57" s="3" t="n">
        <v>55541.0</v>
      </c>
      <c r="P57" s="3" t="n">
        <v>53091.0</v>
      </c>
      <c r="Q57" s="3" t="n">
        <v>52342.0</v>
      </c>
      <c r="R57" s="3" t="n">
        <v>50916.0</v>
      </c>
      <c r="S57" s="3" t="n">
        <v>50964.0</v>
      </c>
      <c r="T57" s="3" t="n">
        <v>49919.0</v>
      </c>
      <c r="U57" s="3" t="n">
        <v>47209.0</v>
      </c>
      <c r="V57" s="3" t="n">
        <v>45826.0</v>
      </c>
      <c r="W57" s="3" t="n">
        <v>43559.0</v>
      </c>
      <c r="X57" s="3" t="n">
        <v>41398.0</v>
      </c>
      <c r="Y57" s="3" t="n">
        <v>40008.0</v>
      </c>
      <c r="Z57" s="3" t="n">
        <v>38924.0</v>
      </c>
      <c r="AA57" s="3" t="n">
        <v>37442.0</v>
      </c>
      <c r="AB57" s="3" t="n">
        <v>36142.0</v>
      </c>
      <c r="AC57" s="3" t="n">
        <v>35655.0</v>
      </c>
      <c r="AD57" s="3" t="n">
        <v>34817.0</v>
      </c>
      <c r="AE57" s="3" t="n">
        <v>33568.0</v>
      </c>
      <c r="AF57" s="3" t="n">
        <v>33441.0</v>
      </c>
      <c r="AG57" s="3" t="n">
        <v>33737.0</v>
      </c>
      <c r="AH57" s="3" t="n">
        <v>35487.0</v>
      </c>
      <c r="AI57" s="3" t="n">
        <v>36585.0</v>
      </c>
      <c r="AJ57" s="3" t="n">
        <v>38745.0</v>
      </c>
      <c r="AK57" s="3" t="n">
        <v>41719.0</v>
      </c>
      <c r="AL57" s="3" t="n">
        <v>42193.0</v>
      </c>
      <c r="AM57" s="3" t="n">
        <v>42332.0</v>
      </c>
      <c r="AN57" s="3" t="n">
        <v>39835.0</v>
      </c>
      <c r="AO57" s="3" t="n">
        <v>40192.0</v>
      </c>
    </row>
    <row r="58" spans="1:41" x14ac:dyDescent="0.2">
      <c r="A58" s="122"/>
      <c r="B58" s="9">
        <v>49</v>
      </c>
      <c r="C58" s="3" t="n">
        <v>49346.0</v>
      </c>
      <c r="D58" s="3" t="n">
        <v>50600.0</v>
      </c>
      <c r="E58" s="3" t="n">
        <v>52937.0</v>
      </c>
      <c r="F58" s="3" t="n">
        <v>54838.0</v>
      </c>
      <c r="G58" s="3" t="n">
        <v>55085.0</v>
      </c>
      <c r="H58" s="3" t="n">
        <v>55040.0</v>
      </c>
      <c r="I58" s="3" t="n">
        <v>57689.0</v>
      </c>
      <c r="J58" s="3" t="n">
        <v>57949.0</v>
      </c>
      <c r="K58" s="3" t="n">
        <v>56540.0</v>
      </c>
      <c r="L58" s="3" t="n">
        <v>59529.0</v>
      </c>
      <c r="M58" s="3" t="n">
        <v>61407.0</v>
      </c>
      <c r="N58" s="3" t="n">
        <v>60292.0</v>
      </c>
      <c r="O58" s="3" t="n">
        <v>58069.0</v>
      </c>
      <c r="P58" s="3" t="n">
        <v>55369.0</v>
      </c>
      <c r="Q58" s="3" t="n">
        <v>52925.0</v>
      </c>
      <c r="R58" s="3" t="n">
        <v>52187.0</v>
      </c>
      <c r="S58" s="3" t="n">
        <v>50769.0</v>
      </c>
      <c r="T58" s="3" t="n">
        <v>50817.0</v>
      </c>
      <c r="U58" s="3" t="n">
        <v>49771.0</v>
      </c>
      <c r="V58" s="3" t="n">
        <v>47067.0</v>
      </c>
      <c r="W58" s="3" t="n">
        <v>45690.0</v>
      </c>
      <c r="X58" s="3" t="n">
        <v>43445.0</v>
      </c>
      <c r="Y58" s="3" t="n">
        <v>41290.0</v>
      </c>
      <c r="Z58" s="3" t="n">
        <v>39904.0</v>
      </c>
      <c r="AA58" s="3" t="n">
        <v>38828.0</v>
      </c>
      <c r="AB58" s="3" t="n">
        <v>37359.0</v>
      </c>
      <c r="AC58" s="3" t="n">
        <v>36059.0</v>
      </c>
      <c r="AD58" s="3" t="n">
        <v>35577.0</v>
      </c>
      <c r="AE58" s="3" t="n">
        <v>34740.0</v>
      </c>
      <c r="AF58" s="3" t="n">
        <v>33497.0</v>
      </c>
      <c r="AG58" s="3" t="n">
        <v>33370.0</v>
      </c>
      <c r="AH58" s="3" t="n">
        <v>33668.0</v>
      </c>
      <c r="AI58" s="3" t="n">
        <v>35423.0</v>
      </c>
      <c r="AJ58" s="3" t="n">
        <v>36515.0</v>
      </c>
      <c r="AK58" s="3" t="n">
        <v>38673.0</v>
      </c>
      <c r="AL58" s="3" t="n">
        <v>41645.0</v>
      </c>
      <c r="AM58" s="3" t="n">
        <v>42117.0</v>
      </c>
      <c r="AN58" s="3" t="n">
        <v>42259.0</v>
      </c>
      <c r="AO58" s="3" t="n">
        <v>39762.0</v>
      </c>
    </row>
    <row r="59" spans="1:41" x14ac:dyDescent="0.2">
      <c r="A59" s="122"/>
      <c r="B59" s="9">
        <v>50</v>
      </c>
      <c r="C59" s="3" t="n">
        <v>47374.0</v>
      </c>
      <c r="D59" s="3" t="n">
        <v>49151.0</v>
      </c>
      <c r="E59" s="3" t="n">
        <v>50412.0</v>
      </c>
      <c r="F59" s="3" t="n">
        <v>52743.0</v>
      </c>
      <c r="G59" s="3" t="n">
        <v>54641.0</v>
      </c>
      <c r="H59" s="3" t="n">
        <v>55002.0</v>
      </c>
      <c r="I59" s="3" t="n">
        <v>55000.0</v>
      </c>
      <c r="J59" s="3" t="n">
        <v>57566.0</v>
      </c>
      <c r="K59" s="3" t="n">
        <v>57779.0</v>
      </c>
      <c r="L59" s="3" t="n">
        <v>56373.0</v>
      </c>
      <c r="M59" s="3" t="n">
        <v>59350.0</v>
      </c>
      <c r="N59" s="3" t="n">
        <v>61211.0</v>
      </c>
      <c r="O59" s="3" t="n">
        <v>60092.0</v>
      </c>
      <c r="P59" s="3" t="n">
        <v>57882.0</v>
      </c>
      <c r="Q59" s="3" t="n">
        <v>55193.0</v>
      </c>
      <c r="R59" s="3" t="n">
        <v>52759.0</v>
      </c>
      <c r="S59" s="3" t="n">
        <v>52026.0</v>
      </c>
      <c r="T59" s="3" t="n">
        <v>50621.0</v>
      </c>
      <c r="U59" s="3" t="n">
        <v>50673.0</v>
      </c>
      <c r="V59" s="3" t="n">
        <v>49628.0</v>
      </c>
      <c r="W59" s="3" t="n">
        <v>46926.0</v>
      </c>
      <c r="X59" s="3" t="n">
        <v>45563.0</v>
      </c>
      <c r="Y59" s="3" t="n">
        <v>43321.0</v>
      </c>
      <c r="Z59" s="3" t="n">
        <v>41170.0</v>
      </c>
      <c r="AA59" s="3" t="n">
        <v>39790.0</v>
      </c>
      <c r="AB59" s="3" t="n">
        <v>38724.0</v>
      </c>
      <c r="AC59" s="3" t="n">
        <v>37261.0</v>
      </c>
      <c r="AD59" s="3" t="n">
        <v>35966.0</v>
      </c>
      <c r="AE59" s="3" t="n">
        <v>35488.0</v>
      </c>
      <c r="AF59" s="3" t="n">
        <v>34656.0</v>
      </c>
      <c r="AG59" s="3" t="n">
        <v>33414.0</v>
      </c>
      <c r="AH59" s="3" t="n">
        <v>33294.0</v>
      </c>
      <c r="AI59" s="3" t="n">
        <v>33592.0</v>
      </c>
      <c r="AJ59" s="3" t="n">
        <v>35344.0</v>
      </c>
      <c r="AK59" s="3" t="n">
        <v>36438.0</v>
      </c>
      <c r="AL59" s="3" t="n">
        <v>38587.0</v>
      </c>
      <c r="AM59" s="3" t="n">
        <v>41551.0</v>
      </c>
      <c r="AN59" s="3" t="n">
        <v>42017.0</v>
      </c>
      <c r="AO59" s="3" t="n">
        <v>42160.0</v>
      </c>
    </row>
    <row r="60" spans="1:41" x14ac:dyDescent="0.2">
      <c r="A60" s="122"/>
      <c r="B60" s="9">
        <v>51</v>
      </c>
      <c r="C60" s="3" t="n">
        <v>44871.0</v>
      </c>
      <c r="D60" s="3" t="n">
        <v>47143.0</v>
      </c>
      <c r="E60" s="3" t="n">
        <v>48923.0</v>
      </c>
      <c r="F60" s="3" t="n">
        <v>50190.0</v>
      </c>
      <c r="G60" s="3" t="n">
        <v>52510.0</v>
      </c>
      <c r="H60" s="3" t="n">
        <v>54512.0</v>
      </c>
      <c r="I60" s="3" t="n">
        <v>54900.0</v>
      </c>
      <c r="J60" s="3" t="n">
        <v>54822.0</v>
      </c>
      <c r="K60" s="3" t="n">
        <v>57350.0</v>
      </c>
      <c r="L60" s="3" t="n">
        <v>57552.0</v>
      </c>
      <c r="M60" s="3" t="n">
        <v>56146.0</v>
      </c>
      <c r="N60" s="3" t="n">
        <v>59107.0</v>
      </c>
      <c r="O60" s="3" t="n">
        <v>60964.0</v>
      </c>
      <c r="P60" s="3" t="n">
        <v>59844.0</v>
      </c>
      <c r="Q60" s="3" t="n">
        <v>57650.0</v>
      </c>
      <c r="R60" s="3" t="n">
        <v>54981.0</v>
      </c>
      <c r="S60" s="3" t="n">
        <v>52564.0</v>
      </c>
      <c r="T60" s="3" t="n">
        <v>51828.0</v>
      </c>
      <c r="U60" s="3" t="n">
        <v>50435.0</v>
      </c>
      <c r="V60" s="3" t="n">
        <v>50490.0</v>
      </c>
      <c r="W60" s="3" t="n">
        <v>49440.0</v>
      </c>
      <c r="X60" s="3" t="n">
        <v>46745.0</v>
      </c>
      <c r="Y60" s="3" t="n">
        <v>45396.0</v>
      </c>
      <c r="Z60" s="3" t="n">
        <v>43164.0</v>
      </c>
      <c r="AA60" s="3" t="n">
        <v>41036.0</v>
      </c>
      <c r="AB60" s="3" t="n">
        <v>39659.0</v>
      </c>
      <c r="AC60" s="3" t="n">
        <v>38596.0</v>
      </c>
      <c r="AD60" s="3" t="n">
        <v>37140.0</v>
      </c>
      <c r="AE60" s="3" t="n">
        <v>35840.0</v>
      </c>
      <c r="AF60" s="3" t="n">
        <v>35377.0</v>
      </c>
      <c r="AG60" s="3" t="n">
        <v>34557.0</v>
      </c>
      <c r="AH60" s="3" t="n">
        <v>33317.0</v>
      </c>
      <c r="AI60" s="3" t="n">
        <v>33200.0</v>
      </c>
      <c r="AJ60" s="3" t="n">
        <v>33499.0</v>
      </c>
      <c r="AK60" s="3" t="n">
        <v>35248.0</v>
      </c>
      <c r="AL60" s="3" t="n">
        <v>36337.0</v>
      </c>
      <c r="AM60" s="3" t="n">
        <v>38484.0</v>
      </c>
      <c r="AN60" s="3" t="n">
        <v>41445.0</v>
      </c>
      <c r="AO60" s="3" t="n">
        <v>41917.0</v>
      </c>
    </row>
    <row r="61" spans="1:41" x14ac:dyDescent="0.2">
      <c r="A61" s="122"/>
      <c r="B61" s="9">
        <v>52</v>
      </c>
      <c r="C61" s="3" t="n">
        <v>42786.0</v>
      </c>
      <c r="D61" s="3" t="n">
        <v>44645.0</v>
      </c>
      <c r="E61" s="3" t="n">
        <v>46902.0</v>
      </c>
      <c r="F61" s="3" t="n">
        <v>48684.0</v>
      </c>
      <c r="G61" s="3" t="n">
        <v>49955.0</v>
      </c>
      <c r="H61" s="3" t="n">
        <v>52367.0</v>
      </c>
      <c r="I61" s="3" t="n">
        <v>54404.0</v>
      </c>
      <c r="J61" s="3" t="n">
        <v>54727.0</v>
      </c>
      <c r="K61" s="3" t="n">
        <v>54600.0</v>
      </c>
      <c r="L61" s="3" t="n">
        <v>57115.0</v>
      </c>
      <c r="M61" s="3" t="n">
        <v>57319.0</v>
      </c>
      <c r="N61" s="3" t="n">
        <v>55914.0</v>
      </c>
      <c r="O61" s="3" t="n">
        <v>58856.0</v>
      </c>
      <c r="P61" s="3" t="n">
        <v>60717.0</v>
      </c>
      <c r="Q61" s="3" t="n">
        <v>59600.0</v>
      </c>
      <c r="R61" s="3" t="n">
        <v>57420.0</v>
      </c>
      <c r="S61" s="3" t="n">
        <v>54757.0</v>
      </c>
      <c r="T61" s="3" t="n">
        <v>52348.0</v>
      </c>
      <c r="U61" s="3" t="n">
        <v>51617.0</v>
      </c>
      <c r="V61" s="3" t="n">
        <v>50236.0</v>
      </c>
      <c r="W61" s="3" t="n">
        <v>50296.0</v>
      </c>
      <c r="X61" s="3" t="n">
        <v>49252.0</v>
      </c>
      <c r="Y61" s="3" t="n">
        <v>46576.0</v>
      </c>
      <c r="Z61" s="3" t="n">
        <v>45226.0</v>
      </c>
      <c r="AA61" s="3" t="n">
        <v>43008.0</v>
      </c>
      <c r="AB61" s="3" t="n">
        <v>40890.0</v>
      </c>
      <c r="AC61" s="3" t="n">
        <v>39519.0</v>
      </c>
      <c r="AD61" s="3" t="n">
        <v>38461.0</v>
      </c>
      <c r="AE61" s="3" t="n">
        <v>37015.0</v>
      </c>
      <c r="AF61" s="3" t="n">
        <v>35721.0</v>
      </c>
      <c r="AG61" s="3" t="n">
        <v>35264.0</v>
      </c>
      <c r="AH61" s="3" t="n">
        <v>34447.0</v>
      </c>
      <c r="AI61" s="3" t="n">
        <v>33216.0</v>
      </c>
      <c r="AJ61" s="3" t="n">
        <v>33099.0</v>
      </c>
      <c r="AK61" s="3" t="n">
        <v>33406.0</v>
      </c>
      <c r="AL61" s="3" t="n">
        <v>35152.0</v>
      </c>
      <c r="AM61" s="3" t="n">
        <v>36239.0</v>
      </c>
      <c r="AN61" s="3" t="n">
        <v>38376.0</v>
      </c>
      <c r="AO61" s="3" t="n">
        <v>41329.0</v>
      </c>
    </row>
    <row r="62" spans="1:41" x14ac:dyDescent="0.2">
      <c r="A62" s="122"/>
      <c r="B62" s="9">
        <v>53</v>
      </c>
      <c r="C62" s="3" t="n">
        <v>40983.0</v>
      </c>
      <c r="D62" s="3" t="n">
        <v>42552.0</v>
      </c>
      <c r="E62" s="3" t="n">
        <v>44409.0</v>
      </c>
      <c r="F62" s="3" t="n">
        <v>46659.0</v>
      </c>
      <c r="G62" s="3" t="n">
        <v>48440.0</v>
      </c>
      <c r="H62" s="3" t="n">
        <v>49814.0</v>
      </c>
      <c r="I62" s="3" t="n">
        <v>52258.0</v>
      </c>
      <c r="J62" s="3" t="n">
        <v>54214.0</v>
      </c>
      <c r="K62" s="3" t="n">
        <v>54496.0</v>
      </c>
      <c r="L62" s="3" t="n">
        <v>54365.0</v>
      </c>
      <c r="M62" s="3" t="n">
        <v>56856.0</v>
      </c>
      <c r="N62" s="3" t="n">
        <v>57062.0</v>
      </c>
      <c r="O62" s="3" t="n">
        <v>55659.0</v>
      </c>
      <c r="P62" s="3" t="n">
        <v>58599.0</v>
      </c>
      <c r="Q62" s="3" t="n">
        <v>60455.0</v>
      </c>
      <c r="R62" s="3" t="n">
        <v>59340.0</v>
      </c>
      <c r="S62" s="3" t="n">
        <v>57177.0</v>
      </c>
      <c r="T62" s="3" t="n">
        <v>54523.0</v>
      </c>
      <c r="U62" s="3" t="n">
        <v>52119.0</v>
      </c>
      <c r="V62" s="3" t="n">
        <v>51398.0</v>
      </c>
      <c r="W62" s="3" t="n">
        <v>50023.0</v>
      </c>
      <c r="X62" s="3" t="n">
        <v>50085.0</v>
      </c>
      <c r="Y62" s="3" t="n">
        <v>49058.0</v>
      </c>
      <c r="Z62" s="3" t="n">
        <v>46402.0</v>
      </c>
      <c r="AA62" s="3" t="n">
        <v>45048.0</v>
      </c>
      <c r="AB62" s="3" t="n">
        <v>42846.0</v>
      </c>
      <c r="AC62" s="3" t="n">
        <v>40753.0</v>
      </c>
      <c r="AD62" s="3" t="n">
        <v>39380.0</v>
      </c>
      <c r="AE62" s="3" t="n">
        <v>38333.0</v>
      </c>
      <c r="AF62" s="3" t="n">
        <v>36893.0</v>
      </c>
      <c r="AG62" s="3" t="n">
        <v>35608.0</v>
      </c>
      <c r="AH62" s="3" t="n">
        <v>35154.0</v>
      </c>
      <c r="AI62" s="3" t="n">
        <v>34340.0</v>
      </c>
      <c r="AJ62" s="3" t="n">
        <v>33124.0</v>
      </c>
      <c r="AK62" s="3" t="n">
        <v>33004.0</v>
      </c>
      <c r="AL62" s="3" t="n">
        <v>33316.0</v>
      </c>
      <c r="AM62" s="3" t="n">
        <v>35051.0</v>
      </c>
      <c r="AN62" s="3" t="n">
        <v>36141.0</v>
      </c>
      <c r="AO62" s="3" t="n">
        <v>38270.0</v>
      </c>
    </row>
    <row r="63" spans="1:41" x14ac:dyDescent="0.2">
      <c r="A63" s="122"/>
      <c r="B63" s="9">
        <v>54</v>
      </c>
      <c r="C63" s="3" t="n">
        <v>40031.0</v>
      </c>
      <c r="D63" s="3" t="n">
        <v>40755.0</v>
      </c>
      <c r="E63" s="3" t="n">
        <v>42313.0</v>
      </c>
      <c r="F63" s="3" t="n">
        <v>44161.0</v>
      </c>
      <c r="G63" s="3" t="n">
        <v>46406.0</v>
      </c>
      <c r="H63" s="3" t="n">
        <v>48288.0</v>
      </c>
      <c r="I63" s="3" t="n">
        <v>49692.0</v>
      </c>
      <c r="J63" s="3" t="n">
        <v>52044.0</v>
      </c>
      <c r="K63" s="3" t="n">
        <v>53957.0</v>
      </c>
      <c r="L63" s="3" t="n">
        <v>54226.0</v>
      </c>
      <c r="M63" s="3" t="n">
        <v>54090.0</v>
      </c>
      <c r="N63" s="3" t="n">
        <v>56577.0</v>
      </c>
      <c r="O63" s="3" t="n">
        <v>56779.0</v>
      </c>
      <c r="P63" s="3" t="n">
        <v>55389.0</v>
      </c>
      <c r="Q63" s="3" t="n">
        <v>58323.0</v>
      </c>
      <c r="R63" s="3" t="n">
        <v>60178.0</v>
      </c>
      <c r="S63" s="3" t="n">
        <v>59069.0</v>
      </c>
      <c r="T63" s="3" t="n">
        <v>56920.0</v>
      </c>
      <c r="U63" s="3" t="n">
        <v>54274.0</v>
      </c>
      <c r="V63" s="3" t="n">
        <v>51877.0</v>
      </c>
      <c r="W63" s="3" t="n">
        <v>51169.0</v>
      </c>
      <c r="X63" s="3" t="n">
        <v>49804.0</v>
      </c>
      <c r="Y63" s="3" t="n">
        <v>49875.0</v>
      </c>
      <c r="Z63" s="3" t="n">
        <v>48858.0</v>
      </c>
      <c r="AA63" s="3" t="n">
        <v>46220.0</v>
      </c>
      <c r="AB63" s="3" t="n">
        <v>44870.0</v>
      </c>
      <c r="AC63" s="3" t="n">
        <v>42682.0</v>
      </c>
      <c r="AD63" s="3" t="n">
        <v>40595.0</v>
      </c>
      <c r="AE63" s="3" t="n">
        <v>39226.0</v>
      </c>
      <c r="AF63" s="3" t="n">
        <v>38182.0</v>
      </c>
      <c r="AG63" s="3" t="n">
        <v>36751.0</v>
      </c>
      <c r="AH63" s="3" t="n">
        <v>35483.0</v>
      </c>
      <c r="AI63" s="3" t="n">
        <v>35035.0</v>
      </c>
      <c r="AJ63" s="3" t="n">
        <v>34226.0</v>
      </c>
      <c r="AK63" s="3" t="n">
        <v>33013.0</v>
      </c>
      <c r="AL63" s="3" t="n">
        <v>32898.0</v>
      </c>
      <c r="AM63" s="3" t="n">
        <v>33205.0</v>
      </c>
      <c r="AN63" s="3" t="n">
        <v>34940.0</v>
      </c>
      <c r="AO63" s="3" t="n">
        <v>36026.0</v>
      </c>
    </row>
    <row r="64" spans="1:41" x14ac:dyDescent="0.2">
      <c r="A64" s="122"/>
      <c r="B64" s="9">
        <v>55</v>
      </c>
      <c r="C64" s="3" t="n">
        <v>38598.0</v>
      </c>
      <c r="D64" s="3" t="n">
        <v>39770.0</v>
      </c>
      <c r="E64" s="3" t="n">
        <v>40500.0</v>
      </c>
      <c r="F64" s="3" t="n">
        <v>42054.0</v>
      </c>
      <c r="G64" s="3" t="n">
        <v>43898.0</v>
      </c>
      <c r="H64" s="3" t="n">
        <v>46226.0</v>
      </c>
      <c r="I64" s="3" t="n">
        <v>48121.0</v>
      </c>
      <c r="J64" s="3" t="n">
        <v>49460.0</v>
      </c>
      <c r="K64" s="3" t="n">
        <v>51760.0</v>
      </c>
      <c r="L64" s="3" t="n">
        <v>53656.0</v>
      </c>
      <c r="M64" s="3" t="n">
        <v>53925.0</v>
      </c>
      <c r="N64" s="3" t="n">
        <v>53788.0</v>
      </c>
      <c r="O64" s="3" t="n">
        <v>56264.0</v>
      </c>
      <c r="P64" s="3" t="n">
        <v>56474.0</v>
      </c>
      <c r="Q64" s="3" t="n">
        <v>55100.0</v>
      </c>
      <c r="R64" s="3" t="n">
        <v>58023.0</v>
      </c>
      <c r="S64" s="3" t="n">
        <v>59875.0</v>
      </c>
      <c r="T64" s="3" t="n">
        <v>58765.0</v>
      </c>
      <c r="U64" s="3" t="n">
        <v>56630.0</v>
      </c>
      <c r="V64" s="3" t="n">
        <v>54003.0</v>
      </c>
      <c r="W64" s="3" t="n">
        <v>51619.0</v>
      </c>
      <c r="X64" s="3" t="n">
        <v>50918.0</v>
      </c>
      <c r="Y64" s="3" t="n">
        <v>49564.0</v>
      </c>
      <c r="Z64" s="3" t="n">
        <v>49634.0</v>
      </c>
      <c r="AA64" s="3" t="n">
        <v>48620.0</v>
      </c>
      <c r="AB64" s="3" t="n">
        <v>46000.0</v>
      </c>
      <c r="AC64" s="3" t="n">
        <v>44664.0</v>
      </c>
      <c r="AD64" s="3" t="n">
        <v>42485.0</v>
      </c>
      <c r="AE64" s="3" t="n">
        <v>40416.0</v>
      </c>
      <c r="AF64" s="3" t="n">
        <v>39054.0</v>
      </c>
      <c r="AG64" s="3" t="n">
        <v>38015.0</v>
      </c>
      <c r="AH64" s="3" t="n">
        <v>36592.0</v>
      </c>
      <c r="AI64" s="3" t="n">
        <v>35335.0</v>
      </c>
      <c r="AJ64" s="3" t="n">
        <v>34890.0</v>
      </c>
      <c r="AK64" s="3" t="n">
        <v>34091.0</v>
      </c>
      <c r="AL64" s="3" t="n">
        <v>32886.0</v>
      </c>
      <c r="AM64" s="3" t="n">
        <v>32775.0</v>
      </c>
      <c r="AN64" s="3" t="n">
        <v>33083.0</v>
      </c>
      <c r="AO64" s="3" t="n">
        <v>34815.0</v>
      </c>
    </row>
    <row r="65" spans="1:41" x14ac:dyDescent="0.2">
      <c r="A65" s="122"/>
      <c r="B65" s="9">
        <v>56</v>
      </c>
      <c r="C65" s="3" t="n">
        <v>38417.0</v>
      </c>
      <c r="D65" s="3" t="n">
        <v>38327.0</v>
      </c>
      <c r="E65" s="3" t="n">
        <v>39496.0</v>
      </c>
      <c r="F65" s="3" t="n">
        <v>40220.0</v>
      </c>
      <c r="G65" s="3" t="n">
        <v>41767.0</v>
      </c>
      <c r="H65" s="3" t="n">
        <v>43668.0</v>
      </c>
      <c r="I65" s="3" t="n">
        <v>46009.0</v>
      </c>
      <c r="J65" s="3" t="n">
        <v>47840.0</v>
      </c>
      <c r="K65" s="3" t="n">
        <v>49151.0</v>
      </c>
      <c r="L65" s="3" t="n">
        <v>51433.0</v>
      </c>
      <c r="M65" s="3" t="n">
        <v>53315.0</v>
      </c>
      <c r="N65" s="3" t="n">
        <v>53590.0</v>
      </c>
      <c r="O65" s="3" t="n">
        <v>53449.0</v>
      </c>
      <c r="P65" s="3" t="n">
        <v>55917.0</v>
      </c>
      <c r="Q65" s="3" t="n">
        <v>56125.0</v>
      </c>
      <c r="R65" s="3" t="n">
        <v>54769.0</v>
      </c>
      <c r="S65" s="3" t="n">
        <v>57675.0</v>
      </c>
      <c r="T65" s="3" t="n">
        <v>59525.0</v>
      </c>
      <c r="U65" s="3" t="n">
        <v>58426.0</v>
      </c>
      <c r="V65" s="3" t="n">
        <v>56307.0</v>
      </c>
      <c r="W65" s="3" t="n">
        <v>53710.0</v>
      </c>
      <c r="X65" s="3" t="n">
        <v>51344.0</v>
      </c>
      <c r="Y65" s="3" t="n">
        <v>50651.0</v>
      </c>
      <c r="Z65" s="3" t="n">
        <v>49310.0</v>
      </c>
      <c r="AA65" s="3" t="n">
        <v>49378.0</v>
      </c>
      <c r="AB65" s="3" t="n">
        <v>48370.0</v>
      </c>
      <c r="AC65" s="3" t="n">
        <v>45768.0</v>
      </c>
      <c r="AD65" s="3" t="n">
        <v>44441.0</v>
      </c>
      <c r="AE65" s="3" t="n">
        <v>42277.0</v>
      </c>
      <c r="AF65" s="3" t="n">
        <v>40226.0</v>
      </c>
      <c r="AG65" s="3" t="n">
        <v>38875.0</v>
      </c>
      <c r="AH65" s="3" t="n">
        <v>37843.0</v>
      </c>
      <c r="AI65" s="3" t="n">
        <v>36433.0</v>
      </c>
      <c r="AJ65" s="3" t="n">
        <v>35187.0</v>
      </c>
      <c r="AK65" s="3" t="n">
        <v>34744.0</v>
      </c>
      <c r="AL65" s="3" t="n">
        <v>33955.0</v>
      </c>
      <c r="AM65" s="3" t="n">
        <v>32754.0</v>
      </c>
      <c r="AN65" s="3" t="n">
        <v>32649.0</v>
      </c>
      <c r="AO65" s="3" t="n">
        <v>32958.0</v>
      </c>
    </row>
    <row r="66" spans="1:41" x14ac:dyDescent="0.2">
      <c r="A66" s="122"/>
      <c r="B66" s="9">
        <v>57</v>
      </c>
      <c r="C66" s="3" t="n">
        <v>38680.0</v>
      </c>
      <c r="D66" s="3" t="n">
        <v>38122.0</v>
      </c>
      <c r="E66" s="3" t="n">
        <v>38046.0</v>
      </c>
      <c r="F66" s="3" t="n">
        <v>39209.0</v>
      </c>
      <c r="G66" s="3" t="n">
        <v>39932.0</v>
      </c>
      <c r="H66" s="3" t="n">
        <v>41549.0</v>
      </c>
      <c r="I66" s="3" t="n">
        <v>43472.0</v>
      </c>
      <c r="J66" s="3" t="n">
        <v>45732.0</v>
      </c>
      <c r="K66" s="3" t="n">
        <v>47522.0</v>
      </c>
      <c r="L66" s="3" t="n">
        <v>48825.0</v>
      </c>
      <c r="M66" s="3" t="n">
        <v>51089.0</v>
      </c>
      <c r="N66" s="3" t="n">
        <v>52963.0</v>
      </c>
      <c r="O66" s="3" t="n">
        <v>53238.0</v>
      </c>
      <c r="P66" s="3" t="n">
        <v>53105.0</v>
      </c>
      <c r="Q66" s="3" t="n">
        <v>55557.0</v>
      </c>
      <c r="R66" s="3" t="n">
        <v>55774.0</v>
      </c>
      <c r="S66" s="3" t="n">
        <v>54432.0</v>
      </c>
      <c r="T66" s="3" t="n">
        <v>57324.0</v>
      </c>
      <c r="U66" s="3" t="n">
        <v>59170.0</v>
      </c>
      <c r="V66" s="3" t="n">
        <v>58080.0</v>
      </c>
      <c r="W66" s="3" t="n">
        <v>55987.0</v>
      </c>
      <c r="X66" s="3" t="n">
        <v>53413.0</v>
      </c>
      <c r="Y66" s="3" t="n">
        <v>51055.0</v>
      </c>
      <c r="Z66" s="3" t="n">
        <v>50368.0</v>
      </c>
      <c r="AA66" s="3" t="n">
        <v>49039.0</v>
      </c>
      <c r="AB66" s="3" t="n">
        <v>49112.0</v>
      </c>
      <c r="AC66" s="3" t="n">
        <v>48110.0</v>
      </c>
      <c r="AD66" s="3" t="n">
        <v>45520.0</v>
      </c>
      <c r="AE66" s="3" t="n">
        <v>44206.0</v>
      </c>
      <c r="AF66" s="3" t="n">
        <v>42060.0</v>
      </c>
      <c r="AG66" s="3" t="n">
        <v>40025.0</v>
      </c>
      <c r="AH66" s="3" t="n">
        <v>38685.0</v>
      </c>
      <c r="AI66" s="3" t="n">
        <v>37665.0</v>
      </c>
      <c r="AJ66" s="3" t="n">
        <v>36266.0</v>
      </c>
      <c r="AK66" s="3" t="n">
        <v>35030.0</v>
      </c>
      <c r="AL66" s="3" t="n">
        <v>34596.0</v>
      </c>
      <c r="AM66" s="3" t="n">
        <v>33815.0</v>
      </c>
      <c r="AN66" s="3" t="n">
        <v>32616.0</v>
      </c>
      <c r="AO66" s="3" t="n">
        <v>32512.0</v>
      </c>
    </row>
    <row r="67" spans="1:41" x14ac:dyDescent="0.2">
      <c r="A67" s="122"/>
      <c r="B67" s="9">
        <v>58</v>
      </c>
      <c r="C67" s="3" t="n">
        <v>39227.0</v>
      </c>
      <c r="D67" s="3" t="n">
        <v>38347.0</v>
      </c>
      <c r="E67" s="3" t="n">
        <v>37808.0</v>
      </c>
      <c r="F67" s="3" t="n">
        <v>37735.0</v>
      </c>
      <c r="G67" s="3" t="n">
        <v>38894.0</v>
      </c>
      <c r="H67" s="3" t="n">
        <v>39695.0</v>
      </c>
      <c r="I67" s="3" t="n">
        <v>41325.0</v>
      </c>
      <c r="J67" s="3" t="n">
        <v>43183.0</v>
      </c>
      <c r="K67" s="3" t="n">
        <v>45398.0</v>
      </c>
      <c r="L67" s="3" t="n">
        <v>47164.0</v>
      </c>
      <c r="M67" s="3" t="n">
        <v>48459.0</v>
      </c>
      <c r="N67" s="3" t="n">
        <v>50711.0</v>
      </c>
      <c r="O67" s="3" t="n">
        <v>52570.0</v>
      </c>
      <c r="P67" s="3" t="n">
        <v>52848.0</v>
      </c>
      <c r="Q67" s="3" t="n">
        <v>52722.0</v>
      </c>
      <c r="R67" s="3" t="n">
        <v>55161.0</v>
      </c>
      <c r="S67" s="3" t="n">
        <v>55380.0</v>
      </c>
      <c r="T67" s="3" t="n">
        <v>54051.0</v>
      </c>
      <c r="U67" s="3" t="n">
        <v>56926.0</v>
      </c>
      <c r="V67" s="3" t="n">
        <v>58774.0</v>
      </c>
      <c r="W67" s="3" t="n">
        <v>57695.0</v>
      </c>
      <c r="X67" s="3" t="n">
        <v>55621.0</v>
      </c>
      <c r="Y67" s="3" t="n">
        <v>53074.0</v>
      </c>
      <c r="Z67" s="3" t="n">
        <v>50727.0</v>
      </c>
      <c r="AA67" s="3" t="n">
        <v>50053.0</v>
      </c>
      <c r="AB67" s="3" t="n">
        <v>48744.0</v>
      </c>
      <c r="AC67" s="3" t="n">
        <v>48812.0</v>
      </c>
      <c r="AD67" s="3" t="n">
        <v>47818.0</v>
      </c>
      <c r="AE67" s="3" t="n">
        <v>45239.0</v>
      </c>
      <c r="AF67" s="3" t="n">
        <v>43943.0</v>
      </c>
      <c r="AG67" s="3" t="n">
        <v>41816.0</v>
      </c>
      <c r="AH67" s="3" t="n">
        <v>39800.0</v>
      </c>
      <c r="AI67" s="3" t="n">
        <v>38476.0</v>
      </c>
      <c r="AJ67" s="3" t="n">
        <v>37462.0</v>
      </c>
      <c r="AK67" s="3" t="n">
        <v>36072.0</v>
      </c>
      <c r="AL67" s="3" t="n">
        <v>34848.0</v>
      </c>
      <c r="AM67" s="3" t="n">
        <v>34423.0</v>
      </c>
      <c r="AN67" s="3" t="n">
        <v>33649.0</v>
      </c>
      <c r="AO67" s="3" t="n">
        <v>32457.0</v>
      </c>
    </row>
    <row r="68" spans="1:41" x14ac:dyDescent="0.2">
      <c r="A68" s="122"/>
      <c r="B68" s="9">
        <v>59</v>
      </c>
      <c r="C68" s="3" t="n">
        <v>40563.0</v>
      </c>
      <c r="D68" s="3" t="n">
        <v>38855.0</v>
      </c>
      <c r="E68" s="3" t="n">
        <v>37995.0</v>
      </c>
      <c r="F68" s="3" t="n">
        <v>37476.0</v>
      </c>
      <c r="G68" s="3" t="n">
        <v>37406.0</v>
      </c>
      <c r="H68" s="3" t="n">
        <v>38630.0</v>
      </c>
      <c r="I68" s="3" t="n">
        <v>39454.0</v>
      </c>
      <c r="J68" s="3" t="n">
        <v>41018.0</v>
      </c>
      <c r="K68" s="3" t="n">
        <v>42831.0</v>
      </c>
      <c r="L68" s="3" t="n">
        <v>45033.0</v>
      </c>
      <c r="M68" s="3" t="n">
        <v>46788.0</v>
      </c>
      <c r="N68" s="3" t="n">
        <v>48084.0</v>
      </c>
      <c r="O68" s="3" t="n">
        <v>50319.0</v>
      </c>
      <c r="P68" s="3" t="n">
        <v>52170.0</v>
      </c>
      <c r="Q68" s="3" t="n">
        <v>52458.0</v>
      </c>
      <c r="R68" s="3" t="n">
        <v>52333.0</v>
      </c>
      <c r="S68" s="3" t="n">
        <v>54751.0</v>
      </c>
      <c r="T68" s="3" t="n">
        <v>54982.0</v>
      </c>
      <c r="U68" s="3" t="n">
        <v>53663.0</v>
      </c>
      <c r="V68" s="3" t="n">
        <v>56529.0</v>
      </c>
      <c r="W68" s="3" t="n">
        <v>58363.0</v>
      </c>
      <c r="X68" s="3" t="n">
        <v>57298.0</v>
      </c>
      <c r="Y68" s="3" t="n">
        <v>55251.0</v>
      </c>
      <c r="Z68" s="3" t="n">
        <v>52721.0</v>
      </c>
      <c r="AA68" s="3" t="n">
        <v>50394.0</v>
      </c>
      <c r="AB68" s="3" t="n">
        <v>49737.0</v>
      </c>
      <c r="AC68" s="3" t="n">
        <v>48440.0</v>
      </c>
      <c r="AD68" s="3" t="n">
        <v>48503.0</v>
      </c>
      <c r="AE68" s="3" t="n">
        <v>47525.0</v>
      </c>
      <c r="AF68" s="3" t="n">
        <v>44960.0</v>
      </c>
      <c r="AG68" s="3" t="n">
        <v>43677.0</v>
      </c>
      <c r="AH68" s="3" t="n">
        <v>41570.0</v>
      </c>
      <c r="AI68" s="3" t="n">
        <v>39567.0</v>
      </c>
      <c r="AJ68" s="3" t="n">
        <v>38246.0</v>
      </c>
      <c r="AK68" s="3" t="n">
        <v>37247.0</v>
      </c>
      <c r="AL68" s="3" t="n">
        <v>35871.0</v>
      </c>
      <c r="AM68" s="3" t="n">
        <v>34661.0</v>
      </c>
      <c r="AN68" s="3" t="n">
        <v>34239.0</v>
      </c>
      <c r="AO68" s="3" t="n">
        <v>33478.0</v>
      </c>
    </row>
    <row r="69" spans="1:41" x14ac:dyDescent="0.2">
      <c r="A69" s="122"/>
      <c r="B69" s="9">
        <v>60</v>
      </c>
      <c r="C69" s="3" t="n">
        <v>39680.0</v>
      </c>
      <c r="D69" s="3" t="n">
        <v>40152.0</v>
      </c>
      <c r="E69" s="3" t="n">
        <v>38474.0</v>
      </c>
      <c r="F69" s="3" t="n">
        <v>37621.0</v>
      </c>
      <c r="G69" s="3" t="n">
        <v>37114.0</v>
      </c>
      <c r="H69" s="3" t="n">
        <v>37125.0</v>
      </c>
      <c r="I69" s="3" t="n">
        <v>38368.0</v>
      </c>
      <c r="J69" s="3" t="n">
        <v>39126.0</v>
      </c>
      <c r="K69" s="3" t="n">
        <v>40643.0</v>
      </c>
      <c r="L69" s="3" t="n">
        <v>42447.0</v>
      </c>
      <c r="M69" s="3" t="n">
        <v>44631.0</v>
      </c>
      <c r="N69" s="3" t="n">
        <v>46372.0</v>
      </c>
      <c r="O69" s="3" t="n">
        <v>47668.0</v>
      </c>
      <c r="P69" s="3" t="n">
        <v>49888.0</v>
      </c>
      <c r="Q69" s="3" t="n">
        <v>51730.0</v>
      </c>
      <c r="R69" s="3" t="n">
        <v>52018.0</v>
      </c>
      <c r="S69" s="3" t="n">
        <v>51905.0</v>
      </c>
      <c r="T69" s="3" t="n">
        <v>54305.0</v>
      </c>
      <c r="U69" s="3" t="n">
        <v>54549.0</v>
      </c>
      <c r="V69" s="3" t="n">
        <v>53246.0</v>
      </c>
      <c r="W69" s="3" t="n">
        <v>56093.0</v>
      </c>
      <c r="X69" s="3" t="n">
        <v>57917.0</v>
      </c>
      <c r="Y69" s="3" t="n">
        <v>56867.0</v>
      </c>
      <c r="Z69" s="3" t="n">
        <v>54838.0</v>
      </c>
      <c r="AA69" s="3" t="n">
        <v>52332.0</v>
      </c>
      <c r="AB69" s="3" t="n">
        <v>50020.0</v>
      </c>
      <c r="AC69" s="3" t="n">
        <v>49373.0</v>
      </c>
      <c r="AD69" s="3" t="n">
        <v>48087.0</v>
      </c>
      <c r="AE69" s="3" t="n">
        <v>48156.0</v>
      </c>
      <c r="AF69" s="3" t="n">
        <v>47191.0</v>
      </c>
      <c r="AG69" s="3" t="n">
        <v>44650.0</v>
      </c>
      <c r="AH69" s="3" t="n">
        <v>43388.0</v>
      </c>
      <c r="AI69" s="3" t="n">
        <v>41304.0</v>
      </c>
      <c r="AJ69" s="3" t="n">
        <v>39321.0</v>
      </c>
      <c r="AK69" s="3" t="n">
        <v>38010.0</v>
      </c>
      <c r="AL69" s="3" t="n">
        <v>37026.0</v>
      </c>
      <c r="AM69" s="3" t="n">
        <v>35662.0</v>
      </c>
      <c r="AN69" s="3" t="n">
        <v>34470.0</v>
      </c>
      <c r="AO69" s="3" t="n">
        <v>34054.0</v>
      </c>
    </row>
    <row r="70" spans="1:41" x14ac:dyDescent="0.2">
      <c r="A70" s="122"/>
      <c r="B70" s="9">
        <v>61</v>
      </c>
      <c r="C70" s="3" t="n">
        <v>40648.0</v>
      </c>
      <c r="D70" s="3" t="n">
        <v>39235.0</v>
      </c>
      <c r="E70" s="3" t="n">
        <v>39724.0</v>
      </c>
      <c r="F70" s="3" t="n">
        <v>38072.0</v>
      </c>
      <c r="G70" s="3" t="n">
        <v>37231.0</v>
      </c>
      <c r="H70" s="3" t="n">
        <v>36810.0</v>
      </c>
      <c r="I70" s="3" t="n">
        <v>36854.0</v>
      </c>
      <c r="J70" s="3" t="n">
        <v>38035.0</v>
      </c>
      <c r="K70" s="3" t="n">
        <v>38761.0</v>
      </c>
      <c r="L70" s="3" t="n">
        <v>40260.0</v>
      </c>
      <c r="M70" s="3" t="n">
        <v>42047.0</v>
      </c>
      <c r="N70" s="3" t="n">
        <v>44211.0</v>
      </c>
      <c r="O70" s="3" t="n">
        <v>45938.0</v>
      </c>
      <c r="P70" s="3" t="n">
        <v>47235.0</v>
      </c>
      <c r="Q70" s="3" t="n">
        <v>49436.0</v>
      </c>
      <c r="R70" s="3" t="n">
        <v>51262.0</v>
      </c>
      <c r="S70" s="3" t="n">
        <v>51558.0</v>
      </c>
      <c r="T70" s="3" t="n">
        <v>51454.0</v>
      </c>
      <c r="U70" s="3" t="n">
        <v>53835.0</v>
      </c>
      <c r="V70" s="3" t="n">
        <v>54079.0</v>
      </c>
      <c r="W70" s="3" t="n">
        <v>52796.0</v>
      </c>
      <c r="X70" s="3" t="n">
        <v>55630.0</v>
      </c>
      <c r="Y70" s="3" t="n">
        <v>57445.0</v>
      </c>
      <c r="Z70" s="3" t="n">
        <v>56402.0</v>
      </c>
      <c r="AA70" s="3" t="n">
        <v>54397.0</v>
      </c>
      <c r="AB70" s="3" t="n">
        <v>51925.0</v>
      </c>
      <c r="AC70" s="3" t="n">
        <v>49639.0</v>
      </c>
      <c r="AD70" s="3" t="n">
        <v>49003.0</v>
      </c>
      <c r="AE70" s="3" t="n">
        <v>47737.0</v>
      </c>
      <c r="AF70" s="3" t="n">
        <v>47804.0</v>
      </c>
      <c r="AG70" s="3" t="n">
        <v>46846.0</v>
      </c>
      <c r="AH70" s="3" t="n">
        <v>44338.0</v>
      </c>
      <c r="AI70" s="3" t="n">
        <v>43086.0</v>
      </c>
      <c r="AJ70" s="3" t="n">
        <v>41027.0</v>
      </c>
      <c r="AK70" s="3" t="n">
        <v>39059.0</v>
      </c>
      <c r="AL70" s="3" t="n">
        <v>37756.0</v>
      </c>
      <c r="AM70" s="3" t="n">
        <v>36786.0</v>
      </c>
      <c r="AN70" s="3" t="n">
        <v>35432.0</v>
      </c>
      <c r="AO70" s="3" t="n">
        <v>34251.0</v>
      </c>
    </row>
    <row r="71" spans="1:41" x14ac:dyDescent="0.2">
      <c r="A71" s="122"/>
      <c r="B71" s="9">
        <v>62</v>
      </c>
      <c r="C71" s="3" t="n">
        <v>42328.0</v>
      </c>
      <c r="D71" s="3" t="n">
        <v>40144.0</v>
      </c>
      <c r="E71" s="3" t="n">
        <v>38761.0</v>
      </c>
      <c r="F71" s="3" t="n">
        <v>39250.0</v>
      </c>
      <c r="G71" s="3" t="n">
        <v>37636.0</v>
      </c>
      <c r="H71" s="3" t="n">
        <v>36895.0</v>
      </c>
      <c r="I71" s="3" t="n">
        <v>36505.0</v>
      </c>
      <c r="J71" s="3" t="n">
        <v>36501.0</v>
      </c>
      <c r="K71" s="3" t="n">
        <v>37639.0</v>
      </c>
      <c r="L71" s="3" t="n">
        <v>38351.0</v>
      </c>
      <c r="M71" s="3" t="n">
        <v>39833.0</v>
      </c>
      <c r="N71" s="3" t="n">
        <v>41605.0</v>
      </c>
      <c r="O71" s="3" t="n">
        <v>43752.0</v>
      </c>
      <c r="P71" s="3" t="n">
        <v>45462.0</v>
      </c>
      <c r="Q71" s="3" t="n">
        <v>46763.0</v>
      </c>
      <c r="R71" s="3" t="n">
        <v>48950.0</v>
      </c>
      <c r="S71" s="3" t="n">
        <v>50761.0</v>
      </c>
      <c r="T71" s="3" t="n">
        <v>51059.0</v>
      </c>
      <c r="U71" s="3" t="n">
        <v>50967.0</v>
      </c>
      <c r="V71" s="3" t="n">
        <v>53334.0</v>
      </c>
      <c r="W71" s="3" t="n">
        <v>53582.0</v>
      </c>
      <c r="X71" s="3" t="n">
        <v>52325.0</v>
      </c>
      <c r="Y71" s="3" t="n">
        <v>55136.0</v>
      </c>
      <c r="Z71" s="3" t="n">
        <v>56938.0</v>
      </c>
      <c r="AA71" s="3" t="n">
        <v>55910.0</v>
      </c>
      <c r="AB71" s="3" t="n">
        <v>53930.0</v>
      </c>
      <c r="AC71" s="3" t="n">
        <v>51495.0</v>
      </c>
      <c r="AD71" s="3" t="n">
        <v>49228.0</v>
      </c>
      <c r="AE71" s="3" t="n">
        <v>48593.0</v>
      </c>
      <c r="AF71" s="3" t="n">
        <v>47346.0</v>
      </c>
      <c r="AG71" s="3" t="n">
        <v>47417.0</v>
      </c>
      <c r="AH71" s="3" t="n">
        <v>46472.0</v>
      </c>
      <c r="AI71" s="3" t="n">
        <v>43988.0</v>
      </c>
      <c r="AJ71" s="3" t="n">
        <v>42753.0</v>
      </c>
      <c r="AK71" s="3" t="n">
        <v>40717.0</v>
      </c>
      <c r="AL71" s="3" t="n">
        <v>38764.0</v>
      </c>
      <c r="AM71" s="3" t="n">
        <v>37481.0</v>
      </c>
      <c r="AN71" s="3" t="n">
        <v>36526.0</v>
      </c>
      <c r="AO71" s="3" t="n">
        <v>35183.0</v>
      </c>
    </row>
    <row r="72" spans="1:41" x14ac:dyDescent="0.2">
      <c r="A72" s="122"/>
      <c r="B72" s="9">
        <v>63</v>
      </c>
      <c r="C72" s="3" t="n">
        <v>44967.0</v>
      </c>
      <c r="D72" s="3" t="n">
        <v>41769.0</v>
      </c>
      <c r="E72" s="3" t="n">
        <v>39629.0</v>
      </c>
      <c r="F72" s="3" t="n">
        <v>38283.0</v>
      </c>
      <c r="G72" s="3" t="n">
        <v>38771.0</v>
      </c>
      <c r="H72" s="3" t="n">
        <v>37250.0</v>
      </c>
      <c r="I72" s="3" t="n">
        <v>36557.0</v>
      </c>
      <c r="J72" s="3" t="n">
        <v>36124.0</v>
      </c>
      <c r="K72" s="3" t="n">
        <v>36094.0</v>
      </c>
      <c r="L72" s="3" t="n">
        <v>37213.0</v>
      </c>
      <c r="M72" s="3" t="n">
        <v>37917.0</v>
      </c>
      <c r="N72" s="3" t="n">
        <v>39394.0</v>
      </c>
      <c r="O72" s="3" t="n">
        <v>41151.0</v>
      </c>
      <c r="P72" s="3" t="n">
        <v>43279.0</v>
      </c>
      <c r="Q72" s="3" t="n">
        <v>44972.0</v>
      </c>
      <c r="R72" s="3" t="n">
        <v>46270.0</v>
      </c>
      <c r="S72" s="3" t="n">
        <v>48435.0</v>
      </c>
      <c r="T72" s="3" t="n">
        <v>50236.0</v>
      </c>
      <c r="U72" s="3" t="n">
        <v>50535.0</v>
      </c>
      <c r="V72" s="3" t="n">
        <v>50454.0</v>
      </c>
      <c r="W72" s="3" t="n">
        <v>52800.0</v>
      </c>
      <c r="X72" s="3" t="n">
        <v>53065.0</v>
      </c>
      <c r="Y72" s="3" t="n">
        <v>51824.0</v>
      </c>
      <c r="Z72" s="3" t="n">
        <v>54614.0</v>
      </c>
      <c r="AA72" s="3" t="n">
        <v>56402.0</v>
      </c>
      <c r="AB72" s="3" t="n">
        <v>55394.0</v>
      </c>
      <c r="AC72" s="3" t="n">
        <v>53438.0</v>
      </c>
      <c r="AD72" s="3" t="n">
        <v>51034.0</v>
      </c>
      <c r="AE72" s="3" t="n">
        <v>48798.0</v>
      </c>
      <c r="AF72" s="3" t="n">
        <v>48176.0</v>
      </c>
      <c r="AG72" s="3" t="n">
        <v>46948.0</v>
      </c>
      <c r="AH72" s="3" t="n">
        <v>47030.0</v>
      </c>
      <c r="AI72" s="3" t="n">
        <v>46094.0</v>
      </c>
      <c r="AJ72" s="3" t="n">
        <v>43633.0</v>
      </c>
      <c r="AK72" s="3" t="n">
        <v>42407.0</v>
      </c>
      <c r="AL72" s="3" t="n">
        <v>40393.0</v>
      </c>
      <c r="AM72" s="3" t="n">
        <v>38458.0</v>
      </c>
      <c r="AN72" s="3" t="n">
        <v>37191.0</v>
      </c>
      <c r="AO72" s="3" t="n">
        <v>36254.0</v>
      </c>
    </row>
    <row r="73" spans="1:41" x14ac:dyDescent="0.2">
      <c r="A73" s="122"/>
      <c r="B73" s="9">
        <v>64</v>
      </c>
      <c r="C73" s="3" t="n">
        <v>45773.0</v>
      </c>
      <c r="D73" s="3" t="n">
        <v>44317.0</v>
      </c>
      <c r="E73" s="3" t="n">
        <v>41179.0</v>
      </c>
      <c r="F73" s="3" t="n">
        <v>39080.0</v>
      </c>
      <c r="G73" s="3" t="n">
        <v>37765.0</v>
      </c>
      <c r="H73" s="3" t="n">
        <v>38330.0</v>
      </c>
      <c r="I73" s="3" t="n">
        <v>36868.0</v>
      </c>
      <c r="J73" s="3" t="n">
        <v>36124.0</v>
      </c>
      <c r="K73" s="3" t="n">
        <v>35670.0</v>
      </c>
      <c r="L73" s="3" t="n">
        <v>35642.0</v>
      </c>
      <c r="M73" s="3" t="n">
        <v>36743.0</v>
      </c>
      <c r="N73" s="3" t="n">
        <v>37452.0</v>
      </c>
      <c r="O73" s="3" t="n">
        <v>38902.0</v>
      </c>
      <c r="P73" s="3" t="n">
        <v>40646.0</v>
      </c>
      <c r="Q73" s="3" t="n">
        <v>42761.0</v>
      </c>
      <c r="R73" s="3" t="n">
        <v>44435.0</v>
      </c>
      <c r="S73" s="3" t="n">
        <v>45741.0</v>
      </c>
      <c r="T73" s="3" t="n">
        <v>47891.0</v>
      </c>
      <c r="U73" s="3" t="n">
        <v>49681.0</v>
      </c>
      <c r="V73" s="3" t="n">
        <v>49986.0</v>
      </c>
      <c r="W73" s="3" t="n">
        <v>49913.0</v>
      </c>
      <c r="X73" s="3" t="n">
        <v>52242.0</v>
      </c>
      <c r="Y73" s="3" t="n">
        <v>52521.0</v>
      </c>
      <c r="Z73" s="3" t="n">
        <v>51291.0</v>
      </c>
      <c r="AA73" s="3" t="n">
        <v>54070.0</v>
      </c>
      <c r="AB73" s="3" t="n">
        <v>55850.0</v>
      </c>
      <c r="AC73" s="3" t="n">
        <v>54862.0</v>
      </c>
      <c r="AD73" s="3" t="n">
        <v>52928.0</v>
      </c>
      <c r="AE73" s="3" t="n">
        <v>50547.0</v>
      </c>
      <c r="AF73" s="3" t="n">
        <v>48341.0</v>
      </c>
      <c r="AG73" s="3" t="n">
        <v>47728.0</v>
      </c>
      <c r="AH73" s="3" t="n">
        <v>46528.0</v>
      </c>
      <c r="AI73" s="3" t="n">
        <v>46612.0</v>
      </c>
      <c r="AJ73" s="3" t="n">
        <v>45686.0</v>
      </c>
      <c r="AK73" s="3" t="n">
        <v>43243.0</v>
      </c>
      <c r="AL73" s="3" t="n">
        <v>42035.0</v>
      </c>
      <c r="AM73" s="3" t="n">
        <v>40053.0</v>
      </c>
      <c r="AN73" s="3" t="n">
        <v>38146.0</v>
      </c>
      <c r="AO73" s="3" t="n">
        <v>36897.0</v>
      </c>
    </row>
    <row r="74" spans="1:41" x14ac:dyDescent="0.2">
      <c r="A74" s="122"/>
      <c r="B74" s="9">
        <v>65</v>
      </c>
      <c r="C74" s="3" t="n">
        <v>46871.0</v>
      </c>
      <c r="D74" s="3" t="n">
        <v>45050.0</v>
      </c>
      <c r="E74" s="3" t="n">
        <v>43637.0</v>
      </c>
      <c r="F74" s="3" t="n">
        <v>40574.0</v>
      </c>
      <c r="G74" s="3" t="n">
        <v>38524.0</v>
      </c>
      <c r="H74" s="3" t="n">
        <v>37288.0</v>
      </c>
      <c r="I74" s="3" t="n">
        <v>37876.0</v>
      </c>
      <c r="J74" s="3" t="n">
        <v>36395.0</v>
      </c>
      <c r="K74" s="3" t="n">
        <v>35636.0</v>
      </c>
      <c r="L74" s="3" t="n">
        <v>35194.0</v>
      </c>
      <c r="M74" s="3" t="n">
        <v>35171.0</v>
      </c>
      <c r="N74" s="3" t="n">
        <v>36259.0</v>
      </c>
      <c r="O74" s="3" t="n">
        <v>36957.0</v>
      </c>
      <c r="P74" s="3" t="n">
        <v>38401.0</v>
      </c>
      <c r="Q74" s="3" t="n">
        <v>40123.0</v>
      </c>
      <c r="R74" s="3" t="n">
        <v>42226.0</v>
      </c>
      <c r="S74" s="3" t="n">
        <v>43878.0</v>
      </c>
      <c r="T74" s="3" t="n">
        <v>45175.0</v>
      </c>
      <c r="U74" s="3" t="n">
        <v>47307.0</v>
      </c>
      <c r="V74" s="3" t="n">
        <v>49090.0</v>
      </c>
      <c r="W74" s="3" t="n">
        <v>49399.0</v>
      </c>
      <c r="X74" s="3" t="n">
        <v>49333.0</v>
      </c>
      <c r="Y74" s="3" t="n">
        <v>51650.0</v>
      </c>
      <c r="Z74" s="3" t="n">
        <v>51924.0</v>
      </c>
      <c r="AA74" s="3" t="n">
        <v>50716.0</v>
      </c>
      <c r="AB74" s="3" t="n">
        <v>53484.0</v>
      </c>
      <c r="AC74" s="3" t="n">
        <v>55252.0</v>
      </c>
      <c r="AD74" s="3" t="n">
        <v>54277.0</v>
      </c>
      <c r="AE74" s="3" t="n">
        <v>52376.0</v>
      </c>
      <c r="AF74" s="3" t="n">
        <v>50023.0</v>
      </c>
      <c r="AG74" s="3" t="n">
        <v>47851.0</v>
      </c>
      <c r="AH74" s="3" t="n">
        <v>47257.0</v>
      </c>
      <c r="AI74" s="3" t="n">
        <v>46074.0</v>
      </c>
      <c r="AJ74" s="3" t="n">
        <v>46176.0</v>
      </c>
      <c r="AK74" s="3" t="n">
        <v>45261.0</v>
      </c>
      <c r="AL74" s="3" t="n">
        <v>42851.0</v>
      </c>
      <c r="AM74" s="3" t="n">
        <v>41654.0</v>
      </c>
      <c r="AN74" s="3" t="n">
        <v>39695.0</v>
      </c>
      <c r="AO74" s="3" t="n">
        <v>37819.0</v>
      </c>
    </row>
    <row r="75" spans="1:41" x14ac:dyDescent="0.2">
      <c r="A75" s="122"/>
      <c r="B75" s="9">
        <v>66</v>
      </c>
      <c r="C75" s="3" t="n">
        <v>45134.0</v>
      </c>
      <c r="D75" s="3" t="n">
        <v>46090.0</v>
      </c>
      <c r="E75" s="3" t="n">
        <v>44321.0</v>
      </c>
      <c r="F75" s="3" t="n">
        <v>42951.0</v>
      </c>
      <c r="G75" s="3" t="n">
        <v>39950.0</v>
      </c>
      <c r="H75" s="3" t="n">
        <v>37985.0</v>
      </c>
      <c r="I75" s="3" t="n">
        <v>36780.0</v>
      </c>
      <c r="J75" s="3" t="n">
        <v>37346.0</v>
      </c>
      <c r="K75" s="3" t="n">
        <v>35868.0</v>
      </c>
      <c r="L75" s="3" t="n">
        <v>35122.0</v>
      </c>
      <c r="M75" s="3" t="n">
        <v>34697.0</v>
      </c>
      <c r="N75" s="3" t="n">
        <v>34683.0</v>
      </c>
      <c r="O75" s="3" t="n">
        <v>35755.0</v>
      </c>
      <c r="P75" s="3" t="n">
        <v>36445.0</v>
      </c>
      <c r="Q75" s="3" t="n">
        <v>37881.0</v>
      </c>
      <c r="R75" s="3" t="n">
        <v>39583.0</v>
      </c>
      <c r="S75" s="3" t="n">
        <v>41670.0</v>
      </c>
      <c r="T75" s="3" t="n">
        <v>43301.0</v>
      </c>
      <c r="U75" s="3" t="n">
        <v>44598.0</v>
      </c>
      <c r="V75" s="3" t="n">
        <v>46714.0</v>
      </c>
      <c r="W75" s="3" t="n">
        <v>48476.0</v>
      </c>
      <c r="X75" s="3" t="n">
        <v>48793.0</v>
      </c>
      <c r="Y75" s="3" t="n">
        <v>48737.0</v>
      </c>
      <c r="Z75" s="3" t="n">
        <v>51040.0</v>
      </c>
      <c r="AA75" s="3" t="n">
        <v>51317.0</v>
      </c>
      <c r="AB75" s="3" t="n">
        <v>50135.0</v>
      </c>
      <c r="AC75" s="3" t="n">
        <v>52878.0</v>
      </c>
      <c r="AD75" s="3" t="n">
        <v>54636.0</v>
      </c>
      <c r="AE75" s="3" t="n">
        <v>53680.0</v>
      </c>
      <c r="AF75" s="3" t="n">
        <v>51807.0</v>
      </c>
      <c r="AG75" s="3" t="n">
        <v>49488.0</v>
      </c>
      <c r="AH75" s="3" t="n">
        <v>47344.0</v>
      </c>
      <c r="AI75" s="3" t="n">
        <v>46767.0</v>
      </c>
      <c r="AJ75" s="3" t="n">
        <v>45606.0</v>
      </c>
      <c r="AK75" s="3" t="n">
        <v>45710.0</v>
      </c>
      <c r="AL75" s="3" t="n">
        <v>44816.0</v>
      </c>
      <c r="AM75" s="3" t="n">
        <v>42436.0</v>
      </c>
      <c r="AN75" s="3" t="n">
        <v>41251.0</v>
      </c>
      <c r="AO75" s="3" t="n">
        <v>39320.0</v>
      </c>
    </row>
    <row r="76" spans="1:41" x14ac:dyDescent="0.2">
      <c r="A76" s="122"/>
      <c r="B76" s="9">
        <v>67</v>
      </c>
      <c r="C76" s="3" t="n">
        <v>44270.0</v>
      </c>
      <c r="D76" s="3" t="n">
        <v>44328.0</v>
      </c>
      <c r="E76" s="3" t="n">
        <v>45285.0</v>
      </c>
      <c r="F76" s="3" t="n">
        <v>43561.0</v>
      </c>
      <c r="G76" s="3" t="n">
        <v>42220.0</v>
      </c>
      <c r="H76" s="3" t="n">
        <v>39333.0</v>
      </c>
      <c r="I76" s="3" t="n">
        <v>37422.0</v>
      </c>
      <c r="J76" s="3" t="n">
        <v>36211.0</v>
      </c>
      <c r="K76" s="3" t="n">
        <v>36767.0</v>
      </c>
      <c r="L76" s="3" t="n">
        <v>35316.0</v>
      </c>
      <c r="M76" s="3" t="n">
        <v>34582.0</v>
      </c>
      <c r="N76" s="3" t="n">
        <v>34174.0</v>
      </c>
      <c r="O76" s="3" t="n">
        <v>34163.0</v>
      </c>
      <c r="P76" s="3" t="n">
        <v>35227.0</v>
      </c>
      <c r="Q76" s="3" t="n">
        <v>35917.0</v>
      </c>
      <c r="R76" s="3" t="n">
        <v>37340.0</v>
      </c>
      <c r="S76" s="3" t="n">
        <v>39022.0</v>
      </c>
      <c r="T76" s="3" t="n">
        <v>41079.0</v>
      </c>
      <c r="U76" s="3" t="n">
        <v>42694.0</v>
      </c>
      <c r="V76" s="3" t="n">
        <v>43987.0</v>
      </c>
      <c r="W76" s="3" t="n">
        <v>46084.0</v>
      </c>
      <c r="X76" s="3" t="n">
        <v>47831.0</v>
      </c>
      <c r="Y76" s="3" t="n">
        <v>48163.0</v>
      </c>
      <c r="Z76" s="3" t="n">
        <v>48109.0</v>
      </c>
      <c r="AA76" s="3" t="n">
        <v>50395.0</v>
      </c>
      <c r="AB76" s="3" t="n">
        <v>50678.0</v>
      </c>
      <c r="AC76" s="3" t="n">
        <v>49523.0</v>
      </c>
      <c r="AD76" s="3" t="n">
        <v>52234.0</v>
      </c>
      <c r="AE76" s="3" t="n">
        <v>53979.0</v>
      </c>
      <c r="AF76" s="3" t="n">
        <v>53043.0</v>
      </c>
      <c r="AG76" s="3" t="n">
        <v>51205.0</v>
      </c>
      <c r="AH76" s="3" t="n">
        <v>48943.0</v>
      </c>
      <c r="AI76" s="3" t="n">
        <v>46816.0</v>
      </c>
      <c r="AJ76" s="3" t="n">
        <v>46258.0</v>
      </c>
      <c r="AK76" s="3" t="n">
        <v>45110.0</v>
      </c>
      <c r="AL76" s="3" t="n">
        <v>45216.0</v>
      </c>
      <c r="AM76" s="3" t="n">
        <v>44339.0</v>
      </c>
      <c r="AN76" s="3" t="n">
        <v>41995.0</v>
      </c>
      <c r="AO76" s="3" t="n">
        <v>40836.0</v>
      </c>
    </row>
    <row r="77" spans="1:41" x14ac:dyDescent="0.2">
      <c r="A77" s="122"/>
      <c r="B77" s="9">
        <v>68</v>
      </c>
      <c r="C77" s="3" t="n">
        <v>42062.0</v>
      </c>
      <c r="D77" s="3" t="n">
        <v>43445.0</v>
      </c>
      <c r="E77" s="3" t="n">
        <v>43521.0</v>
      </c>
      <c r="F77" s="3" t="n">
        <v>44477.0</v>
      </c>
      <c r="G77" s="3" t="n">
        <v>42799.0</v>
      </c>
      <c r="H77" s="3" t="n">
        <v>41529.0</v>
      </c>
      <c r="I77" s="3" t="n">
        <v>38716.0</v>
      </c>
      <c r="J77" s="3" t="n">
        <v>36825.0</v>
      </c>
      <c r="K77" s="3" t="n">
        <v>35620.0</v>
      </c>
      <c r="L77" s="3" t="n">
        <v>36177.0</v>
      </c>
      <c r="M77" s="3" t="n">
        <v>34751.0</v>
      </c>
      <c r="N77" s="3" t="n">
        <v>34038.0</v>
      </c>
      <c r="O77" s="3" t="n">
        <v>33639.0</v>
      </c>
      <c r="P77" s="3" t="n">
        <v>33639.0</v>
      </c>
      <c r="Q77" s="3" t="n">
        <v>34693.0</v>
      </c>
      <c r="R77" s="3" t="n">
        <v>35377.0</v>
      </c>
      <c r="S77" s="3" t="n">
        <v>36790.0</v>
      </c>
      <c r="T77" s="3" t="n">
        <v>38458.0</v>
      </c>
      <c r="U77" s="3" t="n">
        <v>40496.0</v>
      </c>
      <c r="V77" s="3" t="n">
        <v>42090.0</v>
      </c>
      <c r="W77" s="3" t="n">
        <v>43380.0</v>
      </c>
      <c r="X77" s="3" t="n">
        <v>45461.0</v>
      </c>
      <c r="Y77" s="3" t="n">
        <v>47189.0</v>
      </c>
      <c r="Z77" s="3" t="n">
        <v>47522.0</v>
      </c>
      <c r="AA77" s="3" t="n">
        <v>47491.0</v>
      </c>
      <c r="AB77" s="3" t="n">
        <v>49757.0</v>
      </c>
      <c r="AC77" s="3" t="n">
        <v>50055.0</v>
      </c>
      <c r="AD77" s="3" t="n">
        <v>48923.0</v>
      </c>
      <c r="AE77" s="3" t="n">
        <v>51603.0</v>
      </c>
      <c r="AF77" s="3" t="n">
        <v>53336.0</v>
      </c>
      <c r="AG77" s="3" t="n">
        <v>52420.0</v>
      </c>
      <c r="AH77" s="3" t="n">
        <v>50610.0</v>
      </c>
      <c r="AI77" s="3" t="n">
        <v>48379.0</v>
      </c>
      <c r="AJ77" s="3" t="n">
        <v>46286.0</v>
      </c>
      <c r="AK77" s="3" t="n">
        <v>45736.0</v>
      </c>
      <c r="AL77" s="3" t="n">
        <v>44615.0</v>
      </c>
      <c r="AM77" s="3" t="n">
        <v>44726.0</v>
      </c>
      <c r="AN77" s="3" t="n">
        <v>43875.0</v>
      </c>
      <c r="AO77" s="3" t="n">
        <v>41562.0</v>
      </c>
    </row>
    <row r="78" spans="1:41" x14ac:dyDescent="0.2">
      <c r="A78" s="122"/>
      <c r="B78" s="9">
        <v>69</v>
      </c>
      <c r="C78" s="3" t="n">
        <v>41418.0</v>
      </c>
      <c r="D78" s="3" t="n">
        <v>41207.0</v>
      </c>
      <c r="E78" s="3" t="n">
        <v>42585.0</v>
      </c>
      <c r="F78" s="3" t="n">
        <v>42670.0</v>
      </c>
      <c r="G78" s="3" t="n">
        <v>43622.0</v>
      </c>
      <c r="H78" s="3" t="n">
        <v>42027.0</v>
      </c>
      <c r="I78" s="3" t="n">
        <v>40805.0</v>
      </c>
      <c r="J78" s="3" t="n">
        <v>38031.0</v>
      </c>
      <c r="K78" s="3" t="n">
        <v>36168.0</v>
      </c>
      <c r="L78" s="3" t="n">
        <v>34977.0</v>
      </c>
      <c r="M78" s="3" t="n">
        <v>35544.0</v>
      </c>
      <c r="N78" s="3" t="n">
        <v>34156.0</v>
      </c>
      <c r="O78" s="3" t="n">
        <v>33461.0</v>
      </c>
      <c r="P78" s="3" t="n">
        <v>33071.0</v>
      </c>
      <c r="Q78" s="3" t="n">
        <v>33081.0</v>
      </c>
      <c r="R78" s="3" t="n">
        <v>34125.0</v>
      </c>
      <c r="S78" s="3" t="n">
        <v>34814.0</v>
      </c>
      <c r="T78" s="3" t="n">
        <v>36200.0</v>
      </c>
      <c r="U78" s="3" t="n">
        <v>37851.0</v>
      </c>
      <c r="V78" s="3" t="n">
        <v>39867.0</v>
      </c>
      <c r="W78" s="3" t="n">
        <v>41436.0</v>
      </c>
      <c r="X78" s="3" t="n">
        <v>42717.0</v>
      </c>
      <c r="Y78" s="3" t="n">
        <v>44786.0</v>
      </c>
      <c r="Z78" s="3" t="n">
        <v>46499.0</v>
      </c>
      <c r="AA78" s="3" t="n">
        <v>46837.0</v>
      </c>
      <c r="AB78" s="3" t="n">
        <v>46820.0</v>
      </c>
      <c r="AC78" s="3" t="n">
        <v>49063.0</v>
      </c>
      <c r="AD78" s="3" t="n">
        <v>49368.0</v>
      </c>
      <c r="AE78" s="3" t="n">
        <v>48266.0</v>
      </c>
      <c r="AF78" s="3" t="n">
        <v>50912.0</v>
      </c>
      <c r="AG78" s="3" t="n">
        <v>52641.0</v>
      </c>
      <c r="AH78" s="3" t="n">
        <v>51742.0</v>
      </c>
      <c r="AI78" s="3" t="n">
        <v>49969.0</v>
      </c>
      <c r="AJ78" s="3" t="n">
        <v>47772.0</v>
      </c>
      <c r="AK78" s="3" t="n">
        <v>45703.0</v>
      </c>
      <c r="AL78" s="3" t="n">
        <v>45171.0</v>
      </c>
      <c r="AM78" s="3" t="n">
        <v>44074.0</v>
      </c>
      <c r="AN78" s="3" t="n">
        <v>44197.0</v>
      </c>
      <c r="AO78" s="3" t="n">
        <v>43361.0</v>
      </c>
    </row>
    <row r="79" spans="1:41" x14ac:dyDescent="0.2">
      <c r="A79" s="122"/>
      <c r="B79" s="9">
        <v>70</v>
      </c>
      <c r="C79" s="3" t="n">
        <v>39809.0</v>
      </c>
      <c r="D79" s="3" t="n">
        <v>40519.0</v>
      </c>
      <c r="E79" s="3" t="n">
        <v>40329.0</v>
      </c>
      <c r="F79" s="3" t="n">
        <v>41700.0</v>
      </c>
      <c r="G79" s="3" t="n">
        <v>41789.0</v>
      </c>
      <c r="H79" s="3" t="n">
        <v>42775.0</v>
      </c>
      <c r="I79" s="3" t="n">
        <v>41237.0</v>
      </c>
      <c r="J79" s="3" t="n">
        <v>40021.0</v>
      </c>
      <c r="K79" s="3" t="n">
        <v>37310.0</v>
      </c>
      <c r="L79" s="3" t="n">
        <v>35485.0</v>
      </c>
      <c r="M79" s="3" t="n">
        <v>34312.0</v>
      </c>
      <c r="N79" s="3" t="n">
        <v>34881.0</v>
      </c>
      <c r="O79" s="3" t="n">
        <v>33519.0</v>
      </c>
      <c r="P79" s="3" t="n">
        <v>32852.0</v>
      </c>
      <c r="Q79" s="3" t="n">
        <v>32478.0</v>
      </c>
      <c r="R79" s="3" t="n">
        <v>32494.0</v>
      </c>
      <c r="S79" s="3" t="n">
        <v>33526.0</v>
      </c>
      <c r="T79" s="3" t="n">
        <v>34217.0</v>
      </c>
      <c r="U79" s="3" t="n">
        <v>35578.0</v>
      </c>
      <c r="V79" s="3" t="n">
        <v>37212.0</v>
      </c>
      <c r="W79" s="3" t="n">
        <v>39212.0</v>
      </c>
      <c r="X79" s="3" t="n">
        <v>40751.0</v>
      </c>
      <c r="Y79" s="3" t="n">
        <v>42040.0</v>
      </c>
      <c r="Z79" s="3" t="n">
        <v>44075.0</v>
      </c>
      <c r="AA79" s="3" t="n">
        <v>45771.0</v>
      </c>
      <c r="AB79" s="3" t="n">
        <v>46120.0</v>
      </c>
      <c r="AC79" s="3" t="n">
        <v>46114.0</v>
      </c>
      <c r="AD79" s="3" t="n">
        <v>48339.0</v>
      </c>
      <c r="AE79" s="3" t="n">
        <v>48656.0</v>
      </c>
      <c r="AF79" s="3" t="n">
        <v>47577.0</v>
      </c>
      <c r="AG79" s="3" t="n">
        <v>50187.0</v>
      </c>
      <c r="AH79" s="3" t="n">
        <v>51911.0</v>
      </c>
      <c r="AI79" s="3" t="n">
        <v>51031.0</v>
      </c>
      <c r="AJ79" s="3" t="n">
        <v>49290.0</v>
      </c>
      <c r="AK79" s="3" t="n">
        <v>47139.0</v>
      </c>
      <c r="AL79" s="3" t="n">
        <v>45104.0</v>
      </c>
      <c r="AM79" s="3" t="n">
        <v>44595.0</v>
      </c>
      <c r="AN79" s="3" t="n">
        <v>43522.0</v>
      </c>
      <c r="AO79" s="3" t="n">
        <v>43654.0</v>
      </c>
    </row>
    <row r="80" spans="1:41" x14ac:dyDescent="0.2">
      <c r="A80" s="122"/>
      <c r="B80" s="9">
        <v>71</v>
      </c>
      <c r="C80" s="3" t="n">
        <v>38352.0</v>
      </c>
      <c r="D80" s="3" t="n">
        <v>38899.0</v>
      </c>
      <c r="E80" s="3" t="n">
        <v>39622.0</v>
      </c>
      <c r="F80" s="3" t="n">
        <v>39449.0</v>
      </c>
      <c r="G80" s="3" t="n">
        <v>40808.0</v>
      </c>
      <c r="H80" s="3" t="n">
        <v>40932.0</v>
      </c>
      <c r="I80" s="3" t="n">
        <v>41924.0</v>
      </c>
      <c r="J80" s="3" t="n">
        <v>40409.0</v>
      </c>
      <c r="K80" s="3" t="n">
        <v>39217.0</v>
      </c>
      <c r="L80" s="3" t="n">
        <v>36574.0</v>
      </c>
      <c r="M80" s="3" t="n">
        <v>34790.0</v>
      </c>
      <c r="N80" s="3" t="n">
        <v>33649.0</v>
      </c>
      <c r="O80" s="3" t="n">
        <v>34211.0</v>
      </c>
      <c r="P80" s="3" t="n">
        <v>32889.0</v>
      </c>
      <c r="Q80" s="3" t="n">
        <v>32247.0</v>
      </c>
      <c r="R80" s="3" t="n">
        <v>31888.0</v>
      </c>
      <c r="S80" s="3" t="n">
        <v>31909.0</v>
      </c>
      <c r="T80" s="3" t="n">
        <v>32931.0</v>
      </c>
      <c r="U80" s="3" t="n">
        <v>33621.0</v>
      </c>
      <c r="V80" s="3" t="n">
        <v>34966.0</v>
      </c>
      <c r="W80" s="3" t="n">
        <v>36582.0</v>
      </c>
      <c r="X80" s="3" t="n">
        <v>38550.0</v>
      </c>
      <c r="Y80" s="3" t="n">
        <v>40075.0</v>
      </c>
      <c r="Z80" s="3" t="n">
        <v>41347.0</v>
      </c>
      <c r="AA80" s="3" t="n">
        <v>43364.0</v>
      </c>
      <c r="AB80" s="3" t="n">
        <v>45035.0</v>
      </c>
      <c r="AC80" s="3" t="n">
        <v>45394.0</v>
      </c>
      <c r="AD80" s="3" t="n">
        <v>45400.0</v>
      </c>
      <c r="AE80" s="3" t="n">
        <v>47589.0</v>
      </c>
      <c r="AF80" s="3" t="n">
        <v>47925.0</v>
      </c>
      <c r="AG80" s="3" t="n">
        <v>46872.0</v>
      </c>
      <c r="AH80" s="3" t="n">
        <v>49457.0</v>
      </c>
      <c r="AI80" s="3" t="n">
        <v>51164.0</v>
      </c>
      <c r="AJ80" s="3" t="n">
        <v>50321.0</v>
      </c>
      <c r="AK80" s="3" t="n">
        <v>48604.0</v>
      </c>
      <c r="AL80" s="3" t="n">
        <v>46493.0</v>
      </c>
      <c r="AM80" s="3" t="n">
        <v>44499.0</v>
      </c>
      <c r="AN80" s="3" t="n">
        <v>44007.0</v>
      </c>
      <c r="AO80" s="3" t="n">
        <v>42961.0</v>
      </c>
    </row>
    <row r="81" spans="1:41" x14ac:dyDescent="0.2">
      <c r="A81" s="122"/>
      <c r="B81" s="9">
        <v>72</v>
      </c>
      <c r="C81" s="3" t="n">
        <v>36224.0</v>
      </c>
      <c r="D81" s="3" t="n">
        <v>37403.0</v>
      </c>
      <c r="E81" s="3" t="n">
        <v>37955.0</v>
      </c>
      <c r="F81" s="3" t="n">
        <v>38682.0</v>
      </c>
      <c r="G81" s="3" t="n">
        <v>38519.0</v>
      </c>
      <c r="H81" s="3" t="n">
        <v>39896.0</v>
      </c>
      <c r="I81" s="3" t="n">
        <v>40027.0</v>
      </c>
      <c r="J81" s="3" t="n">
        <v>41001.0</v>
      </c>
      <c r="K81" s="3" t="n">
        <v>39515.0</v>
      </c>
      <c r="L81" s="3" t="n">
        <v>38355.0</v>
      </c>
      <c r="M81" s="3" t="n">
        <v>35787.0</v>
      </c>
      <c r="N81" s="3" t="n">
        <v>34058.0</v>
      </c>
      <c r="O81" s="3" t="n">
        <v>32940.0</v>
      </c>
      <c r="P81" s="3" t="n">
        <v>33503.0</v>
      </c>
      <c r="Q81" s="3" t="n">
        <v>32217.0</v>
      </c>
      <c r="R81" s="3" t="n">
        <v>31596.0</v>
      </c>
      <c r="S81" s="3" t="n">
        <v>31257.0</v>
      </c>
      <c r="T81" s="3" t="n">
        <v>31281.0</v>
      </c>
      <c r="U81" s="3" t="n">
        <v>32286.0</v>
      </c>
      <c r="V81" s="3" t="n">
        <v>32978.0</v>
      </c>
      <c r="W81" s="3" t="n">
        <v>34302.0</v>
      </c>
      <c r="X81" s="3" t="n">
        <v>35907.0</v>
      </c>
      <c r="Y81" s="3" t="n">
        <v>37852.0</v>
      </c>
      <c r="Z81" s="3" t="n">
        <v>39348.0</v>
      </c>
      <c r="AA81" s="3" t="n">
        <v>40610.0</v>
      </c>
      <c r="AB81" s="3" t="n">
        <v>42598.0</v>
      </c>
      <c r="AC81" s="3" t="n">
        <v>44247.0</v>
      </c>
      <c r="AD81" s="3" t="n">
        <v>44614.0</v>
      </c>
      <c r="AE81" s="3" t="n">
        <v>44626.0</v>
      </c>
      <c r="AF81" s="3" t="n">
        <v>46790.0</v>
      </c>
      <c r="AG81" s="3" t="n">
        <v>47135.0</v>
      </c>
      <c r="AH81" s="3" t="n">
        <v>46115.0</v>
      </c>
      <c r="AI81" s="3" t="n">
        <v>48674.0</v>
      </c>
      <c r="AJ81" s="3" t="n">
        <v>50370.0</v>
      </c>
      <c r="AK81" s="3" t="n">
        <v>49545.0</v>
      </c>
      <c r="AL81" s="3" t="n">
        <v>47861.0</v>
      </c>
      <c r="AM81" s="3" t="n">
        <v>45797.0</v>
      </c>
      <c r="AN81" s="3" t="n">
        <v>43840.0</v>
      </c>
      <c r="AO81" s="3" t="n">
        <v>43369.0</v>
      </c>
    </row>
    <row r="82" spans="1:41" x14ac:dyDescent="0.2">
      <c r="A82" s="122"/>
      <c r="B82" s="9">
        <v>73</v>
      </c>
      <c r="C82" s="3" t="n">
        <v>35074.0</v>
      </c>
      <c r="D82" s="3" t="n">
        <v>35245.0</v>
      </c>
      <c r="E82" s="3" t="n">
        <v>36416.0</v>
      </c>
      <c r="F82" s="3" t="n">
        <v>36975.0</v>
      </c>
      <c r="G82" s="3" t="n">
        <v>37707.0</v>
      </c>
      <c r="H82" s="3" t="n">
        <v>37586.0</v>
      </c>
      <c r="I82" s="3" t="n">
        <v>38943.0</v>
      </c>
      <c r="J82" s="3" t="n">
        <v>39061.0</v>
      </c>
      <c r="K82" s="3" t="n">
        <v>40016.0</v>
      </c>
      <c r="L82" s="3" t="n">
        <v>38591.0</v>
      </c>
      <c r="M82" s="3" t="n">
        <v>37469.0</v>
      </c>
      <c r="N82" s="3" t="n">
        <v>34974.0</v>
      </c>
      <c r="O82" s="3" t="n">
        <v>33284.0</v>
      </c>
      <c r="P82" s="3" t="n">
        <v>32198.0</v>
      </c>
      <c r="Q82" s="3" t="n">
        <v>32766.0</v>
      </c>
      <c r="R82" s="3" t="n">
        <v>31525.0</v>
      </c>
      <c r="S82" s="3" t="n">
        <v>30925.0</v>
      </c>
      <c r="T82" s="3" t="n">
        <v>30605.0</v>
      </c>
      <c r="U82" s="3" t="n">
        <v>30634.0</v>
      </c>
      <c r="V82" s="3" t="n">
        <v>31630.0</v>
      </c>
      <c r="W82" s="3" t="n">
        <v>32318.0</v>
      </c>
      <c r="X82" s="3" t="n">
        <v>33613.0</v>
      </c>
      <c r="Y82" s="3" t="n">
        <v>35200.0</v>
      </c>
      <c r="Z82" s="3" t="n">
        <v>37107.0</v>
      </c>
      <c r="AA82" s="3" t="n">
        <v>38591.0</v>
      </c>
      <c r="AB82" s="3" t="n">
        <v>39842.0</v>
      </c>
      <c r="AC82" s="3" t="n">
        <v>41808.0</v>
      </c>
      <c r="AD82" s="3" t="n">
        <v>43429.0</v>
      </c>
      <c r="AE82" s="3" t="n">
        <v>43804.0</v>
      </c>
      <c r="AF82" s="3" t="n">
        <v>43829.0</v>
      </c>
      <c r="AG82" s="3" t="n">
        <v>45966.0</v>
      </c>
      <c r="AH82" s="3" t="n">
        <v>46324.0</v>
      </c>
      <c r="AI82" s="3" t="n">
        <v>45330.0</v>
      </c>
      <c r="AJ82" s="3" t="n">
        <v>47873.0</v>
      </c>
      <c r="AK82" s="3" t="n">
        <v>49540.0</v>
      </c>
      <c r="AL82" s="3" t="n">
        <v>48742.0</v>
      </c>
      <c r="AM82" s="3" t="n">
        <v>47099.0</v>
      </c>
      <c r="AN82" s="3" t="n">
        <v>45079.0</v>
      </c>
      <c r="AO82" s="3" t="n">
        <v>43170.0</v>
      </c>
    </row>
    <row r="83" spans="1:41" x14ac:dyDescent="0.2">
      <c r="A83" s="122"/>
      <c r="B83" s="9">
        <v>74</v>
      </c>
      <c r="C83" s="3" t="n">
        <v>33754.0</v>
      </c>
      <c r="D83" s="3" t="n">
        <v>34046.0</v>
      </c>
      <c r="E83" s="3" t="n">
        <v>34242.0</v>
      </c>
      <c r="F83" s="3" t="n">
        <v>35399.0</v>
      </c>
      <c r="G83" s="3" t="n">
        <v>35962.0</v>
      </c>
      <c r="H83" s="3" t="n">
        <v>36711.0</v>
      </c>
      <c r="I83" s="3" t="n">
        <v>36613.0</v>
      </c>
      <c r="J83" s="3" t="n">
        <v>37948.0</v>
      </c>
      <c r="K83" s="3" t="n">
        <v>38058.0</v>
      </c>
      <c r="L83" s="3" t="n">
        <v>38999.0</v>
      </c>
      <c r="M83" s="3" t="n">
        <v>37626.0</v>
      </c>
      <c r="N83" s="3" t="n">
        <v>36548.0</v>
      </c>
      <c r="O83" s="3" t="n">
        <v>34115.0</v>
      </c>
      <c r="P83" s="3" t="n">
        <v>32482.0</v>
      </c>
      <c r="Q83" s="3" t="n">
        <v>31432.0</v>
      </c>
      <c r="R83" s="3" t="n">
        <v>31992.0</v>
      </c>
      <c r="S83" s="3" t="n">
        <v>30802.0</v>
      </c>
      <c r="T83" s="3" t="n">
        <v>30213.0</v>
      </c>
      <c r="U83" s="3" t="n">
        <v>29918.0</v>
      </c>
      <c r="V83" s="3" t="n">
        <v>29956.0</v>
      </c>
      <c r="W83" s="3" t="n">
        <v>30940.0</v>
      </c>
      <c r="X83" s="3" t="n">
        <v>31621.0</v>
      </c>
      <c r="Y83" s="3" t="n">
        <v>32891.0</v>
      </c>
      <c r="Z83" s="3" t="n">
        <v>34455.0</v>
      </c>
      <c r="AA83" s="3" t="n">
        <v>36329.0</v>
      </c>
      <c r="AB83" s="3" t="n">
        <v>37805.0</v>
      </c>
      <c r="AC83" s="3" t="n">
        <v>39045.0</v>
      </c>
      <c r="AD83" s="3" t="n">
        <v>40980.0</v>
      </c>
      <c r="AE83" s="3" t="n">
        <v>42580.0</v>
      </c>
      <c r="AF83" s="3" t="n">
        <v>42961.0</v>
      </c>
      <c r="AG83" s="3" t="n">
        <v>42996.0</v>
      </c>
      <c r="AH83" s="3" t="n">
        <v>45101.0</v>
      </c>
      <c r="AI83" s="3" t="n">
        <v>45479.0</v>
      </c>
      <c r="AJ83" s="3" t="n">
        <v>44515.0</v>
      </c>
      <c r="AK83" s="3" t="n">
        <v>47017.0</v>
      </c>
      <c r="AL83" s="3" t="n">
        <v>48667.0</v>
      </c>
      <c r="AM83" s="3" t="n">
        <v>47908.0</v>
      </c>
      <c r="AN83" s="3" t="n">
        <v>46297.0</v>
      </c>
      <c r="AO83" s="3" t="n">
        <v>44327.0</v>
      </c>
    </row>
    <row r="84" spans="1:41" x14ac:dyDescent="0.2">
      <c r="A84" s="122"/>
      <c r="B84" s="9">
        <v>75</v>
      </c>
      <c r="C84" s="3" t="n">
        <v>30745.0</v>
      </c>
      <c r="D84" s="3" t="n">
        <v>32683.0</v>
      </c>
      <c r="E84" s="3" t="n">
        <v>32995.0</v>
      </c>
      <c r="F84" s="3" t="n">
        <v>33204.0</v>
      </c>
      <c r="G84" s="3" t="n">
        <v>34350.0</v>
      </c>
      <c r="H84" s="3" t="n">
        <v>34930.0</v>
      </c>
      <c r="I84" s="3" t="n">
        <v>35677.0</v>
      </c>
      <c r="J84" s="3" t="n">
        <v>35579.0</v>
      </c>
      <c r="K84" s="3" t="n">
        <v>36889.0</v>
      </c>
      <c r="L84" s="3" t="n">
        <v>37008.0</v>
      </c>
      <c r="M84" s="3" t="n">
        <v>37935.0</v>
      </c>
      <c r="N84" s="3" t="n">
        <v>36627.0</v>
      </c>
      <c r="O84" s="3" t="n">
        <v>35574.0</v>
      </c>
      <c r="P84" s="3" t="n">
        <v>33225.0</v>
      </c>
      <c r="Q84" s="3" t="n">
        <v>31650.0</v>
      </c>
      <c r="R84" s="3" t="n">
        <v>30638.0</v>
      </c>
      <c r="S84" s="3" t="n">
        <v>31191.0</v>
      </c>
      <c r="T84" s="3" t="n">
        <v>30043.0</v>
      </c>
      <c r="U84" s="3" t="n">
        <v>29475.0</v>
      </c>
      <c r="V84" s="3" t="n">
        <v>29198.0</v>
      </c>
      <c r="W84" s="3" t="n">
        <v>29245.0</v>
      </c>
      <c r="X84" s="3" t="n">
        <v>30221.0</v>
      </c>
      <c r="Y84" s="3" t="n">
        <v>30894.0</v>
      </c>
      <c r="Z84" s="3" t="n">
        <v>32138.0</v>
      </c>
      <c r="AA84" s="3" t="n">
        <v>33682.0</v>
      </c>
      <c r="AB84" s="3" t="n">
        <v>35523.0</v>
      </c>
      <c r="AC84" s="3" t="n">
        <v>36975.0</v>
      </c>
      <c r="AD84" s="3" t="n">
        <v>38212.0</v>
      </c>
      <c r="AE84" s="3" t="n">
        <v>40110.0</v>
      </c>
      <c r="AF84" s="3" t="n">
        <v>41683.0</v>
      </c>
      <c r="AG84" s="3" t="n">
        <v>42071.0</v>
      </c>
      <c r="AH84" s="3" t="n">
        <v>42118.0</v>
      </c>
      <c r="AI84" s="3" t="n">
        <v>44184.0</v>
      </c>
      <c r="AJ84" s="3" t="n">
        <v>44582.0</v>
      </c>
      <c r="AK84" s="3" t="n">
        <v>43646.0</v>
      </c>
      <c r="AL84" s="3" t="n">
        <v>46111.0</v>
      </c>
      <c r="AM84" s="3" t="n">
        <v>47742.0</v>
      </c>
      <c r="AN84" s="3" t="n">
        <v>47011.0</v>
      </c>
      <c r="AO84" s="3" t="n">
        <v>45447.0</v>
      </c>
    </row>
    <row r="85" spans="1:41" x14ac:dyDescent="0.2">
      <c r="A85" s="122"/>
      <c r="B85" s="9">
        <v>76</v>
      </c>
      <c r="C85" s="3" t="n">
        <v>31317.0</v>
      </c>
      <c r="D85" s="3" t="n">
        <v>29678.0</v>
      </c>
      <c r="E85" s="3" t="n">
        <v>31592.0</v>
      </c>
      <c r="F85" s="3" t="n">
        <v>31918.0</v>
      </c>
      <c r="G85" s="3" t="n">
        <v>32151.0</v>
      </c>
      <c r="H85" s="3" t="n">
        <v>33290.0</v>
      </c>
      <c r="I85" s="3" t="n">
        <v>33872.0</v>
      </c>
      <c r="J85" s="3" t="n">
        <v>34603.0</v>
      </c>
      <c r="K85" s="3" t="n">
        <v>34514.0</v>
      </c>
      <c r="L85" s="3" t="n">
        <v>35803.0</v>
      </c>
      <c r="M85" s="3" t="n">
        <v>35917.0</v>
      </c>
      <c r="N85" s="3" t="n">
        <v>36841.0</v>
      </c>
      <c r="O85" s="3" t="n">
        <v>35567.0</v>
      </c>
      <c r="P85" s="3" t="n">
        <v>34571.0</v>
      </c>
      <c r="Q85" s="3" t="n">
        <v>32314.0</v>
      </c>
      <c r="R85" s="3" t="n">
        <v>30782.0</v>
      </c>
      <c r="S85" s="3" t="n">
        <v>29804.0</v>
      </c>
      <c r="T85" s="3" t="n">
        <v>30353.0</v>
      </c>
      <c r="U85" s="3" t="n">
        <v>29240.0</v>
      </c>
      <c r="V85" s="3" t="n">
        <v>28700.0</v>
      </c>
      <c r="W85" s="3" t="n">
        <v>28441.0</v>
      </c>
      <c r="X85" s="3" t="n">
        <v>28494.0</v>
      </c>
      <c r="Y85" s="3" t="n">
        <v>29467.0</v>
      </c>
      <c r="Z85" s="3" t="n">
        <v>30134.0</v>
      </c>
      <c r="AA85" s="3" t="n">
        <v>31349.0</v>
      </c>
      <c r="AB85" s="3" t="n">
        <v>32875.0</v>
      </c>
      <c r="AC85" s="3" t="n">
        <v>34688.0</v>
      </c>
      <c r="AD85" s="3" t="n">
        <v>36112.0</v>
      </c>
      <c r="AE85" s="3" t="n">
        <v>37334.0</v>
      </c>
      <c r="AF85" s="3" t="n">
        <v>39198.0</v>
      </c>
      <c r="AG85" s="3" t="n">
        <v>40749.0</v>
      </c>
      <c r="AH85" s="3" t="n">
        <v>41144.0</v>
      </c>
      <c r="AI85" s="3" t="n">
        <v>41209.0</v>
      </c>
      <c r="AJ85" s="3" t="n">
        <v>43238.0</v>
      </c>
      <c r="AK85" s="3" t="n">
        <v>43641.0</v>
      </c>
      <c r="AL85" s="3" t="n">
        <v>42732.0</v>
      </c>
      <c r="AM85" s="3" t="n">
        <v>45166.0</v>
      </c>
      <c r="AN85" s="3" t="n">
        <v>46782.0</v>
      </c>
      <c r="AO85" s="3" t="n">
        <v>46073.0</v>
      </c>
    </row>
    <row r="86" spans="1:41" x14ac:dyDescent="0.2">
      <c r="A86" s="122"/>
      <c r="B86" s="9">
        <v>77</v>
      </c>
      <c r="C86" s="3" t="n">
        <v>16457.0</v>
      </c>
      <c r="D86" s="3" t="n">
        <v>30148.0</v>
      </c>
      <c r="E86" s="3" t="n">
        <v>28602.0</v>
      </c>
      <c r="F86" s="3" t="n">
        <v>30465.0</v>
      </c>
      <c r="G86" s="3" t="n">
        <v>30802.0</v>
      </c>
      <c r="H86" s="3" t="n">
        <v>31052.0</v>
      </c>
      <c r="I86" s="3" t="n">
        <v>32175.0</v>
      </c>
      <c r="J86" s="3" t="n">
        <v>32746.0</v>
      </c>
      <c r="K86" s="3" t="n">
        <v>33467.0</v>
      </c>
      <c r="L86" s="3" t="n">
        <v>33397.0</v>
      </c>
      <c r="M86" s="3" t="n">
        <v>34656.0</v>
      </c>
      <c r="N86" s="3" t="n">
        <v>34783.0</v>
      </c>
      <c r="O86" s="3" t="n">
        <v>35688.0</v>
      </c>
      <c r="P86" s="3" t="n">
        <v>34475.0</v>
      </c>
      <c r="Q86" s="3" t="n">
        <v>33527.0</v>
      </c>
      <c r="R86" s="3" t="n">
        <v>31354.0</v>
      </c>
      <c r="S86" s="3" t="n">
        <v>29877.0</v>
      </c>
      <c r="T86" s="3" t="n">
        <v>28935.0</v>
      </c>
      <c r="U86" s="3" t="n">
        <v>29481.0</v>
      </c>
      <c r="V86" s="3" t="n">
        <v>28416.0</v>
      </c>
      <c r="W86" s="3" t="n">
        <v>27895.0</v>
      </c>
      <c r="X86" s="3" t="n">
        <v>27661.0</v>
      </c>
      <c r="Y86" s="3" t="n">
        <v>27725.0</v>
      </c>
      <c r="Z86" s="3" t="n">
        <v>28676.0</v>
      </c>
      <c r="AA86" s="3" t="n">
        <v>29332.0</v>
      </c>
      <c r="AB86" s="3" t="n">
        <v>30522.0</v>
      </c>
      <c r="AC86" s="3" t="n">
        <v>32024.0</v>
      </c>
      <c r="AD86" s="3" t="n">
        <v>33807.0</v>
      </c>
      <c r="AE86" s="3" t="n">
        <v>35199.0</v>
      </c>
      <c r="AF86" s="3" t="n">
        <v>36406.0</v>
      </c>
      <c r="AG86" s="3" t="n">
        <v>38240.0</v>
      </c>
      <c r="AH86" s="3" t="n">
        <v>39762.0</v>
      </c>
      <c r="AI86" s="3" t="n">
        <v>40165.0</v>
      </c>
      <c r="AJ86" s="3" t="n">
        <v>40249.0</v>
      </c>
      <c r="AK86" s="3" t="n">
        <v>42237.0</v>
      </c>
      <c r="AL86" s="3" t="n">
        <v>42656.0</v>
      </c>
      <c r="AM86" s="3" t="n">
        <v>41788.0</v>
      </c>
      <c r="AN86" s="3" t="n">
        <v>44170.0</v>
      </c>
      <c r="AO86" s="3" t="n">
        <v>45766.0</v>
      </c>
    </row>
    <row r="87" spans="1:41" x14ac:dyDescent="0.2">
      <c r="A87" s="122"/>
      <c r="B87" s="9">
        <v>78</v>
      </c>
      <c r="C87" s="3" t="n">
        <v>13993.0</v>
      </c>
      <c r="D87" s="3" t="n">
        <v>15795.0</v>
      </c>
      <c r="E87" s="3" t="n">
        <v>28962.0</v>
      </c>
      <c r="F87" s="3" t="n">
        <v>27495.0</v>
      </c>
      <c r="G87" s="3" t="n">
        <v>29311.0</v>
      </c>
      <c r="H87" s="3" t="n">
        <v>29664.0</v>
      </c>
      <c r="I87" s="3" t="n">
        <v>29924.0</v>
      </c>
      <c r="J87" s="3" t="n">
        <v>31014.0</v>
      </c>
      <c r="K87" s="3" t="n">
        <v>31572.0</v>
      </c>
      <c r="L87" s="3" t="n">
        <v>32290.0</v>
      </c>
      <c r="M87" s="3" t="n">
        <v>32232.0</v>
      </c>
      <c r="N87" s="3" t="n">
        <v>33467.0</v>
      </c>
      <c r="O87" s="3" t="n">
        <v>33599.0</v>
      </c>
      <c r="P87" s="3" t="n">
        <v>34490.0</v>
      </c>
      <c r="Q87" s="3" t="n">
        <v>33341.0</v>
      </c>
      <c r="R87" s="3" t="n">
        <v>32438.0</v>
      </c>
      <c r="S87" s="3" t="n">
        <v>30349.0</v>
      </c>
      <c r="T87" s="3" t="n">
        <v>28932.0</v>
      </c>
      <c r="U87" s="3" t="n">
        <v>28027.0</v>
      </c>
      <c r="V87" s="3" t="n">
        <v>28573.0</v>
      </c>
      <c r="W87" s="3" t="n">
        <v>27546.0</v>
      </c>
      <c r="X87" s="3" t="n">
        <v>27053.0</v>
      </c>
      <c r="Y87" s="3" t="n">
        <v>26841.0</v>
      </c>
      <c r="Z87" s="3" t="n">
        <v>26910.0</v>
      </c>
      <c r="AA87" s="3" t="n">
        <v>27844.0</v>
      </c>
      <c r="AB87" s="3" t="n">
        <v>28499.0</v>
      </c>
      <c r="AC87" s="3" t="n">
        <v>29664.0</v>
      </c>
      <c r="AD87" s="3" t="n">
        <v>31140.0</v>
      </c>
      <c r="AE87" s="3" t="n">
        <v>32883.0</v>
      </c>
      <c r="AF87" s="3" t="n">
        <v>34245.0</v>
      </c>
      <c r="AG87" s="3" t="n">
        <v>35436.0</v>
      </c>
      <c r="AH87" s="3" t="n">
        <v>37240.0</v>
      </c>
      <c r="AI87" s="3" t="n">
        <v>38733.0</v>
      </c>
      <c r="AJ87" s="3" t="n">
        <v>39140.0</v>
      </c>
      <c r="AK87" s="3" t="n">
        <v>39237.0</v>
      </c>
      <c r="AL87" s="3" t="n">
        <v>41177.0</v>
      </c>
      <c r="AM87" s="3" t="n">
        <v>41611.0</v>
      </c>
      <c r="AN87" s="3" t="n">
        <v>40777.0</v>
      </c>
      <c r="AO87" s="3" t="n">
        <v>43115.0</v>
      </c>
    </row>
    <row r="88" spans="1:41" x14ac:dyDescent="0.2">
      <c r="A88" s="122"/>
      <c r="B88" s="9">
        <v>79</v>
      </c>
      <c r="C88" s="3" t="n">
        <v>13797.0</v>
      </c>
      <c r="D88" s="3" t="n">
        <v>13393.0</v>
      </c>
      <c r="E88" s="3" t="n">
        <v>15131.0</v>
      </c>
      <c r="F88" s="3" t="n">
        <v>27738.0</v>
      </c>
      <c r="G88" s="3" t="n">
        <v>26358.0</v>
      </c>
      <c r="H88" s="3" t="n">
        <v>28133.0</v>
      </c>
      <c r="I88" s="3" t="n">
        <v>28487.0</v>
      </c>
      <c r="J88" s="3" t="n">
        <v>28748.0</v>
      </c>
      <c r="K88" s="3" t="n">
        <v>29808.0</v>
      </c>
      <c r="L88" s="3" t="n">
        <v>30360.0</v>
      </c>
      <c r="M88" s="3" t="n">
        <v>31069.0</v>
      </c>
      <c r="N88" s="3" t="n">
        <v>31035.0</v>
      </c>
      <c r="O88" s="3" t="n">
        <v>32240.0</v>
      </c>
      <c r="P88" s="3" t="n">
        <v>32368.0</v>
      </c>
      <c r="Q88" s="3" t="n">
        <v>33256.0</v>
      </c>
      <c r="R88" s="3" t="n">
        <v>32169.0</v>
      </c>
      <c r="S88" s="3" t="n">
        <v>31307.0</v>
      </c>
      <c r="T88" s="3" t="n">
        <v>29305.0</v>
      </c>
      <c r="U88" s="3" t="n">
        <v>27943.0</v>
      </c>
      <c r="V88" s="3" t="n">
        <v>27095.0</v>
      </c>
      <c r="W88" s="3" t="n">
        <v>27633.0</v>
      </c>
      <c r="X88" s="3" t="n">
        <v>26651.0</v>
      </c>
      <c r="Y88" s="3" t="n">
        <v>26188.0</v>
      </c>
      <c r="Z88" s="3" t="n">
        <v>25987.0</v>
      </c>
      <c r="AA88" s="3" t="n">
        <v>26064.0</v>
      </c>
      <c r="AB88" s="3" t="n">
        <v>26987.0</v>
      </c>
      <c r="AC88" s="3" t="n">
        <v>27630.0</v>
      </c>
      <c r="AD88" s="3" t="n">
        <v>28771.0</v>
      </c>
      <c r="AE88" s="3" t="n">
        <v>30214.0</v>
      </c>
      <c r="AF88" s="3" t="n">
        <v>31920.0</v>
      </c>
      <c r="AG88" s="3" t="n">
        <v>33251.0</v>
      </c>
      <c r="AH88" s="3" t="n">
        <v>34425.0</v>
      </c>
      <c r="AI88" s="3" t="n">
        <v>36190.0</v>
      </c>
      <c r="AJ88" s="3" t="n">
        <v>37659.0</v>
      </c>
      <c r="AK88" s="3" t="n">
        <v>38065.0</v>
      </c>
      <c r="AL88" s="3" t="n">
        <v>38172.0</v>
      </c>
      <c r="AM88" s="3" t="n">
        <v>40077.0</v>
      </c>
      <c r="AN88" s="3" t="n">
        <v>40524.0</v>
      </c>
      <c r="AO88" s="3" t="n">
        <v>39715.0</v>
      </c>
    </row>
    <row r="89" spans="1:41" x14ac:dyDescent="0.2">
      <c r="A89" s="122"/>
      <c r="B89" s="9">
        <v>80</v>
      </c>
      <c r="C89" s="3" t="n">
        <v>13422.0</v>
      </c>
      <c r="D89" s="3" t="n">
        <v>13156.0</v>
      </c>
      <c r="E89" s="3" t="n">
        <v>12785.0</v>
      </c>
      <c r="F89" s="3" t="n">
        <v>14443.0</v>
      </c>
      <c r="G89" s="3" t="n">
        <v>26478.0</v>
      </c>
      <c r="H89" s="3" t="n">
        <v>25194.0</v>
      </c>
      <c r="I89" s="3" t="n">
        <v>26915.0</v>
      </c>
      <c r="J89" s="3" t="n">
        <v>27260.0</v>
      </c>
      <c r="K89" s="3" t="n">
        <v>27528.0</v>
      </c>
      <c r="L89" s="3" t="n">
        <v>28555.0</v>
      </c>
      <c r="M89" s="3" t="n">
        <v>29099.0</v>
      </c>
      <c r="N89" s="3" t="n">
        <v>29808.0</v>
      </c>
      <c r="O89" s="3" t="n">
        <v>29782.0</v>
      </c>
      <c r="P89" s="3" t="n">
        <v>30949.0</v>
      </c>
      <c r="Q89" s="3" t="n">
        <v>31093.0</v>
      </c>
      <c r="R89" s="3" t="n">
        <v>31961.0</v>
      </c>
      <c r="S89" s="3" t="n">
        <v>30939.0</v>
      </c>
      <c r="T89" s="3" t="n">
        <v>30127.0</v>
      </c>
      <c r="U89" s="3" t="n">
        <v>28211.0</v>
      </c>
      <c r="V89" s="3" t="n">
        <v>26913.0</v>
      </c>
      <c r="W89" s="3" t="n">
        <v>26123.0</v>
      </c>
      <c r="X89" s="3" t="n">
        <v>26647.0</v>
      </c>
      <c r="Y89" s="3" t="n">
        <v>25717.0</v>
      </c>
      <c r="Z89" s="3" t="n">
        <v>25279.0</v>
      </c>
      <c r="AA89" s="3" t="n">
        <v>25091.0</v>
      </c>
      <c r="AB89" s="3" t="n">
        <v>25184.0</v>
      </c>
      <c r="AC89" s="3" t="n">
        <v>26084.0</v>
      </c>
      <c r="AD89" s="3" t="n">
        <v>26723.0</v>
      </c>
      <c r="AE89" s="3" t="n">
        <v>27830.0</v>
      </c>
      <c r="AF89" s="3" t="n">
        <v>29239.0</v>
      </c>
      <c r="AG89" s="3" t="n">
        <v>30903.0</v>
      </c>
      <c r="AH89" s="3" t="n">
        <v>32210.0</v>
      </c>
      <c r="AI89" s="3" t="n">
        <v>33357.0</v>
      </c>
      <c r="AJ89" s="3" t="n">
        <v>35091.0</v>
      </c>
      <c r="AK89" s="3" t="n">
        <v>36528.0</v>
      </c>
      <c r="AL89" s="3" t="n">
        <v>36941.0</v>
      </c>
      <c r="AM89" s="3" t="n">
        <v>37063.0</v>
      </c>
      <c r="AN89" s="3" t="n">
        <v>38931.0</v>
      </c>
      <c r="AO89" s="3" t="n">
        <v>39381.0</v>
      </c>
    </row>
    <row r="90" spans="1:41" x14ac:dyDescent="0.2">
      <c r="A90" s="122"/>
      <c r="B90" s="9">
        <v>81</v>
      </c>
      <c r="C90" s="3" t="n">
        <v>12939.0</v>
      </c>
      <c r="D90" s="3" t="n">
        <v>12710.0</v>
      </c>
      <c r="E90" s="3" t="n">
        <v>12487.0</v>
      </c>
      <c r="F90" s="3" t="n">
        <v>12135.0</v>
      </c>
      <c r="G90" s="3" t="n">
        <v>13717.0</v>
      </c>
      <c r="H90" s="3" t="n">
        <v>25167.0</v>
      </c>
      <c r="I90" s="3" t="n">
        <v>23959.0</v>
      </c>
      <c r="J90" s="3" t="n">
        <v>25612.0</v>
      </c>
      <c r="K90" s="3" t="n">
        <v>25949.0</v>
      </c>
      <c r="L90" s="3" t="n">
        <v>26232.0</v>
      </c>
      <c r="M90" s="3" t="n">
        <v>27226.0</v>
      </c>
      <c r="N90" s="3" t="n">
        <v>27763.0</v>
      </c>
      <c r="O90" s="3" t="n">
        <v>28450.0</v>
      </c>
      <c r="P90" s="3" t="n">
        <v>28444.0</v>
      </c>
      <c r="Q90" s="3" t="n">
        <v>29580.0</v>
      </c>
      <c r="R90" s="3" t="n">
        <v>29727.0</v>
      </c>
      <c r="S90" s="3" t="n">
        <v>30581.0</v>
      </c>
      <c r="T90" s="3" t="n">
        <v>29615.0</v>
      </c>
      <c r="U90" s="3" t="n">
        <v>28853.0</v>
      </c>
      <c r="V90" s="3" t="n">
        <v>27039.0</v>
      </c>
      <c r="W90" s="3" t="n">
        <v>25816.0</v>
      </c>
      <c r="X90" s="3" t="n">
        <v>25072.0</v>
      </c>
      <c r="Y90" s="3" t="n">
        <v>25590.0</v>
      </c>
      <c r="Z90" s="3" t="n">
        <v>24707.0</v>
      </c>
      <c r="AA90" s="3" t="n">
        <v>24288.0</v>
      </c>
      <c r="AB90" s="3" t="n">
        <v>24127.0</v>
      </c>
      <c r="AC90" s="3" t="n">
        <v>24234.0</v>
      </c>
      <c r="AD90" s="3" t="n">
        <v>25114.0</v>
      </c>
      <c r="AE90" s="3" t="n">
        <v>25736.0</v>
      </c>
      <c r="AF90" s="3" t="n">
        <v>26816.0</v>
      </c>
      <c r="AG90" s="3" t="n">
        <v>28190.0</v>
      </c>
      <c r="AH90" s="3" t="n">
        <v>29812.0</v>
      </c>
      <c r="AI90" s="3" t="n">
        <v>31084.0</v>
      </c>
      <c r="AJ90" s="3" t="n">
        <v>32221.0</v>
      </c>
      <c r="AK90" s="3" t="n">
        <v>33903.0</v>
      </c>
      <c r="AL90" s="3" t="n">
        <v>35305.0</v>
      </c>
      <c r="AM90" s="3" t="n">
        <v>35723.0</v>
      </c>
      <c r="AN90" s="3" t="n">
        <v>35863.0</v>
      </c>
      <c r="AO90" s="3" t="n">
        <v>37680.0</v>
      </c>
    </row>
    <row r="91" spans="1:41" x14ac:dyDescent="0.2">
      <c r="A91" s="122"/>
      <c r="B91" s="9">
        <v>82</v>
      </c>
      <c r="C91" s="3" t="n">
        <v>12747.0</v>
      </c>
      <c r="D91" s="3" t="n">
        <v>12163.0</v>
      </c>
      <c r="E91" s="3" t="n">
        <v>11962.0</v>
      </c>
      <c r="F91" s="3" t="n">
        <v>11770.0</v>
      </c>
      <c r="G91" s="3" t="n">
        <v>11452.0</v>
      </c>
      <c r="H91" s="3" t="n">
        <v>12953.0</v>
      </c>
      <c r="I91" s="3" t="n">
        <v>23782.0</v>
      </c>
      <c r="J91" s="3" t="n">
        <v>22645.0</v>
      </c>
      <c r="K91" s="3" t="n">
        <v>24230.0</v>
      </c>
      <c r="L91" s="3" t="n">
        <v>24570.0</v>
      </c>
      <c r="M91" s="3" t="n">
        <v>24850.0</v>
      </c>
      <c r="N91" s="3" t="n">
        <v>25822.0</v>
      </c>
      <c r="O91" s="3" t="n">
        <v>26339.0</v>
      </c>
      <c r="P91" s="3" t="n">
        <v>27017.0</v>
      </c>
      <c r="Q91" s="3" t="n">
        <v>27036.0</v>
      </c>
      <c r="R91" s="3" t="n">
        <v>28127.0</v>
      </c>
      <c r="S91" s="3" t="n">
        <v>28275.0</v>
      </c>
      <c r="T91" s="3" t="n">
        <v>29114.0</v>
      </c>
      <c r="U91" s="3" t="n">
        <v>28210.0</v>
      </c>
      <c r="V91" s="3" t="n">
        <v>27509.0</v>
      </c>
      <c r="W91" s="3" t="n">
        <v>25795.0</v>
      </c>
      <c r="X91" s="3" t="n">
        <v>24647.0</v>
      </c>
      <c r="Y91" s="3" t="n">
        <v>23958.0</v>
      </c>
      <c r="Z91" s="3" t="n">
        <v>24459.0</v>
      </c>
      <c r="AA91" s="3" t="n">
        <v>23633.0</v>
      </c>
      <c r="AB91" s="3" t="n">
        <v>23243.0</v>
      </c>
      <c r="AC91" s="3" t="n">
        <v>23108.0</v>
      </c>
      <c r="AD91" s="3" t="n">
        <v>23216.0</v>
      </c>
      <c r="AE91" s="3" t="n">
        <v>24081.0</v>
      </c>
      <c r="AF91" s="3" t="n">
        <v>24689.0</v>
      </c>
      <c r="AG91" s="3" t="n">
        <v>25729.0</v>
      </c>
      <c r="AH91" s="3" t="n">
        <v>27062.0</v>
      </c>
      <c r="AI91" s="3" t="n">
        <v>28648.0</v>
      </c>
      <c r="AJ91" s="3" t="n">
        <v>29884.0</v>
      </c>
      <c r="AK91" s="3" t="n">
        <v>30985.0</v>
      </c>
      <c r="AL91" s="3" t="n">
        <v>32627.0</v>
      </c>
      <c r="AM91" s="3" t="n">
        <v>33994.0</v>
      </c>
      <c r="AN91" s="3" t="n">
        <v>34409.0</v>
      </c>
      <c r="AO91" s="3" t="n">
        <v>34569.0</v>
      </c>
    </row>
    <row r="92" spans="1:41" x14ac:dyDescent="0.2">
      <c r="A92" s="122"/>
      <c r="B92" s="9">
        <v>83</v>
      </c>
      <c r="C92" s="3" t="n">
        <v>12535.0</v>
      </c>
      <c r="D92" s="3" t="n">
        <v>11893.0</v>
      </c>
      <c r="E92" s="3" t="n">
        <v>11369.0</v>
      </c>
      <c r="F92" s="3" t="n">
        <v>11195.0</v>
      </c>
      <c r="G92" s="3" t="n">
        <v>11033.0</v>
      </c>
      <c r="H92" s="3" t="n">
        <v>10757.0</v>
      </c>
      <c r="I92" s="3" t="n">
        <v>12168.0</v>
      </c>
      <c r="J92" s="3" t="n">
        <v>22299.0</v>
      </c>
      <c r="K92" s="3" t="n">
        <v>21250.0</v>
      </c>
      <c r="L92" s="3" t="n">
        <v>22757.0</v>
      </c>
      <c r="M92" s="3" t="n">
        <v>23104.0</v>
      </c>
      <c r="N92" s="3" t="n">
        <v>23393.0</v>
      </c>
      <c r="O92" s="3" t="n">
        <v>24318.0</v>
      </c>
      <c r="P92" s="3" t="n">
        <v>24816.0</v>
      </c>
      <c r="Q92" s="3" t="n">
        <v>25490.0</v>
      </c>
      <c r="R92" s="3" t="n">
        <v>25526.0</v>
      </c>
      <c r="S92" s="3" t="n">
        <v>26581.0</v>
      </c>
      <c r="T92" s="3" t="n">
        <v>26733.0</v>
      </c>
      <c r="U92" s="3" t="n">
        <v>27551.0</v>
      </c>
      <c r="V92" s="3" t="n">
        <v>26716.0</v>
      </c>
      <c r="W92" s="3" t="n">
        <v>26069.0</v>
      </c>
      <c r="X92" s="3" t="n">
        <v>24469.0</v>
      </c>
      <c r="Y92" s="3" t="n">
        <v>23398.0</v>
      </c>
      <c r="Z92" s="3" t="n">
        <v>22748.0</v>
      </c>
      <c r="AA92" s="3" t="n">
        <v>23243.0</v>
      </c>
      <c r="AB92" s="3" t="n">
        <v>22481.0</v>
      </c>
      <c r="AC92" s="3" t="n">
        <v>22117.0</v>
      </c>
      <c r="AD92" s="3" t="n">
        <v>22004.0</v>
      </c>
      <c r="AE92" s="3" t="n">
        <v>22127.0</v>
      </c>
      <c r="AF92" s="3" t="n">
        <v>22962.0</v>
      </c>
      <c r="AG92" s="3" t="n">
        <v>23557.0</v>
      </c>
      <c r="AH92" s="3" t="n">
        <v>24566.0</v>
      </c>
      <c r="AI92" s="3" t="n">
        <v>25846.0</v>
      </c>
      <c r="AJ92" s="3" t="n">
        <v>27390.0</v>
      </c>
      <c r="AK92" s="3" t="n">
        <v>28590.0</v>
      </c>
      <c r="AL92" s="3" t="n">
        <v>29663.0</v>
      </c>
      <c r="AM92" s="3" t="n">
        <v>31260.0</v>
      </c>
      <c r="AN92" s="3" t="n">
        <v>32588.0</v>
      </c>
      <c r="AO92" s="3" t="n">
        <v>33008.0</v>
      </c>
    </row>
    <row r="93" spans="1:41" x14ac:dyDescent="0.2">
      <c r="A93" s="122"/>
      <c r="B93" s="9">
        <v>84</v>
      </c>
      <c r="C93" s="3" t="n">
        <v>11489.0</v>
      </c>
      <c r="D93" s="3" t="n">
        <v>11575.0</v>
      </c>
      <c r="E93" s="3" t="n">
        <v>11010.0</v>
      </c>
      <c r="F93" s="3" t="n">
        <v>10533.0</v>
      </c>
      <c r="G93" s="3" t="n">
        <v>10385.0</v>
      </c>
      <c r="H93" s="3" t="n">
        <v>10260.0</v>
      </c>
      <c r="I93" s="3" t="n">
        <v>10017.0</v>
      </c>
      <c r="J93" s="3" t="n">
        <v>11324.0</v>
      </c>
      <c r="K93" s="3" t="n">
        <v>20751.0</v>
      </c>
      <c r="L93" s="3" t="n">
        <v>19789.0</v>
      </c>
      <c r="M93" s="3" t="n">
        <v>21223.0</v>
      </c>
      <c r="N93" s="3" t="n">
        <v>21575.0</v>
      </c>
      <c r="O93" s="3" t="n">
        <v>21856.0</v>
      </c>
      <c r="P93" s="3" t="n">
        <v>22741.0</v>
      </c>
      <c r="Q93" s="3" t="n">
        <v>23232.0</v>
      </c>
      <c r="R93" s="3" t="n">
        <v>23892.0</v>
      </c>
      <c r="S93" s="3" t="n">
        <v>23945.0</v>
      </c>
      <c r="T93" s="3" t="n">
        <v>24959.0</v>
      </c>
      <c r="U93" s="3" t="n">
        <v>25117.0</v>
      </c>
      <c r="V93" s="3" t="n">
        <v>25919.0</v>
      </c>
      <c r="W93" s="3" t="n">
        <v>25145.0</v>
      </c>
      <c r="X93" s="3" t="n">
        <v>24560.0</v>
      </c>
      <c r="Y93" s="3" t="n">
        <v>23072.0</v>
      </c>
      <c r="Z93" s="3" t="n">
        <v>22072.0</v>
      </c>
      <c r="AA93" s="3" t="n">
        <v>21479.0</v>
      </c>
      <c r="AB93" s="3" t="n">
        <v>21968.0</v>
      </c>
      <c r="AC93" s="3" t="n">
        <v>21259.0</v>
      </c>
      <c r="AD93" s="3" t="n">
        <v>20932.0</v>
      </c>
      <c r="AE93" s="3" t="n">
        <v>20838.0</v>
      </c>
      <c r="AF93" s="3" t="n">
        <v>20971.0</v>
      </c>
      <c r="AG93" s="3" t="n">
        <v>21782.0</v>
      </c>
      <c r="AH93" s="3" t="n">
        <v>22362.0</v>
      </c>
      <c r="AI93" s="3" t="n">
        <v>23334.0</v>
      </c>
      <c r="AJ93" s="3" t="n">
        <v>24581.0</v>
      </c>
      <c r="AK93" s="3" t="n">
        <v>26056.0</v>
      </c>
      <c r="AL93" s="3" t="n">
        <v>27218.0</v>
      </c>
      <c r="AM93" s="3" t="n">
        <v>28264.0</v>
      </c>
      <c r="AN93" s="3" t="n">
        <v>29800.0</v>
      </c>
      <c r="AO93" s="3" t="n">
        <v>31095.0</v>
      </c>
    </row>
    <row r="94" spans="1:41" x14ac:dyDescent="0.2">
      <c r="A94" s="122"/>
      <c r="B94" s="9">
        <v>85</v>
      </c>
      <c r="C94" s="3" t="n">
        <v>10325.0</v>
      </c>
      <c r="D94" s="3" t="n">
        <v>10503.0</v>
      </c>
      <c r="E94" s="3" t="n">
        <v>10600.0</v>
      </c>
      <c r="F94" s="3" t="n">
        <v>10106.0</v>
      </c>
      <c r="G94" s="3" t="n">
        <v>9671.0</v>
      </c>
      <c r="H94" s="3" t="n">
        <v>9552.0</v>
      </c>
      <c r="I94" s="3" t="n">
        <v>9462.0</v>
      </c>
      <c r="J94" s="3" t="n">
        <v>9237.0</v>
      </c>
      <c r="K94" s="3" t="n">
        <v>10444.0</v>
      </c>
      <c r="L94" s="3" t="n">
        <v>19155.0</v>
      </c>
      <c r="M94" s="3" t="n">
        <v>18285.0</v>
      </c>
      <c r="N94" s="3" t="n">
        <v>19635.0</v>
      </c>
      <c r="O94" s="3" t="n">
        <v>19985.0</v>
      </c>
      <c r="P94" s="3" t="n">
        <v>20262.0</v>
      </c>
      <c r="Q94" s="3" t="n">
        <v>21123.0</v>
      </c>
      <c r="R94" s="3" t="n">
        <v>21588.0</v>
      </c>
      <c r="S94" s="3" t="n">
        <v>22225.0</v>
      </c>
      <c r="T94" s="3" t="n">
        <v>22293.0</v>
      </c>
      <c r="U94" s="3" t="n">
        <v>23263.0</v>
      </c>
      <c r="V94" s="3" t="n">
        <v>23435.0</v>
      </c>
      <c r="W94" s="3" t="n">
        <v>24205.0</v>
      </c>
      <c r="X94" s="3" t="n">
        <v>23504.0</v>
      </c>
      <c r="Y94" s="3" t="n">
        <v>22985.0</v>
      </c>
      <c r="Z94" s="3" t="n">
        <v>21607.0</v>
      </c>
      <c r="AA94" s="3" t="n">
        <v>20689.0</v>
      </c>
      <c r="AB94" s="3" t="n">
        <v>20158.0</v>
      </c>
      <c r="AC94" s="3" t="n">
        <v>20636.0</v>
      </c>
      <c r="AD94" s="3" t="n">
        <v>19974.0</v>
      </c>
      <c r="AE94" s="3" t="n">
        <v>19691.0</v>
      </c>
      <c r="AF94" s="3" t="n">
        <v>19618.0</v>
      </c>
      <c r="AG94" s="3" t="n">
        <v>19760.0</v>
      </c>
      <c r="AH94" s="3" t="n">
        <v>20548.0</v>
      </c>
      <c r="AI94" s="3" t="n">
        <v>21107.0</v>
      </c>
      <c r="AJ94" s="3" t="n">
        <v>22045.0</v>
      </c>
      <c r="AK94" s="3" t="n">
        <v>23242.0</v>
      </c>
      <c r="AL94" s="3" t="n">
        <v>24651.0</v>
      </c>
      <c r="AM94" s="3" t="n">
        <v>25773.0</v>
      </c>
      <c r="AN94" s="3" t="n">
        <v>26789.0</v>
      </c>
      <c r="AO94" s="3" t="n">
        <v>28256.0</v>
      </c>
    </row>
    <row r="95" spans="1:41" x14ac:dyDescent="0.2">
      <c r="A95" s="122"/>
      <c r="B95" s="9">
        <v>86</v>
      </c>
      <c r="C95" s="3" t="n">
        <v>9344.0</v>
      </c>
      <c r="D95" s="3" t="n">
        <v>9328.0</v>
      </c>
      <c r="E95" s="3" t="n">
        <v>9518.0</v>
      </c>
      <c r="F95" s="3" t="n">
        <v>9623.0</v>
      </c>
      <c r="G95" s="3" t="n">
        <v>9198.0</v>
      </c>
      <c r="H95" s="3" t="n">
        <v>8815.0</v>
      </c>
      <c r="I95" s="3" t="n">
        <v>8724.0</v>
      </c>
      <c r="J95" s="3" t="n">
        <v>8648.0</v>
      </c>
      <c r="K95" s="3" t="n">
        <v>8446.0</v>
      </c>
      <c r="L95" s="3" t="n">
        <v>9554.0</v>
      </c>
      <c r="M95" s="3" t="n">
        <v>17535.0</v>
      </c>
      <c r="N95" s="3" t="n">
        <v>16759.0</v>
      </c>
      <c r="O95" s="3" t="n">
        <v>18022.0</v>
      </c>
      <c r="P95" s="3" t="n">
        <v>18357.0</v>
      </c>
      <c r="Q95" s="3" t="n">
        <v>18644.0</v>
      </c>
      <c r="R95" s="3" t="n">
        <v>19450.0</v>
      </c>
      <c r="S95" s="3" t="n">
        <v>19901.0</v>
      </c>
      <c r="T95" s="3" t="n">
        <v>20519.0</v>
      </c>
      <c r="U95" s="3" t="n">
        <v>20606.0</v>
      </c>
      <c r="V95" s="3" t="n">
        <v>21529.0</v>
      </c>
      <c r="W95" s="3" t="n">
        <v>21709.0</v>
      </c>
      <c r="X95" s="3" t="n">
        <v>22444.0</v>
      </c>
      <c r="Y95" s="3" t="n">
        <v>21830.0</v>
      </c>
      <c r="Z95" s="3" t="n">
        <v>21352.0</v>
      </c>
      <c r="AA95" s="3" t="n">
        <v>20096.0</v>
      </c>
      <c r="AB95" s="3" t="n">
        <v>19262.0</v>
      </c>
      <c r="AC95" s="3" t="n">
        <v>18783.0</v>
      </c>
      <c r="AD95" s="3" t="n">
        <v>19247.0</v>
      </c>
      <c r="AE95" s="3" t="n">
        <v>18645.0</v>
      </c>
      <c r="AF95" s="3" t="n">
        <v>18395.0</v>
      </c>
      <c r="AG95" s="3" t="n">
        <v>18348.0</v>
      </c>
      <c r="AH95" s="3" t="n">
        <v>18507.0</v>
      </c>
      <c r="AI95" s="3" t="n">
        <v>19257.0</v>
      </c>
      <c r="AJ95" s="3" t="n">
        <v>19806.0</v>
      </c>
      <c r="AK95" s="3" t="n">
        <v>20697.0</v>
      </c>
      <c r="AL95" s="3" t="n">
        <v>21840.0</v>
      </c>
      <c r="AM95" s="3" t="n">
        <v>23197.0</v>
      </c>
      <c r="AN95" s="3" t="n">
        <v>24271.0</v>
      </c>
      <c r="AO95" s="3" t="n">
        <v>25251.0</v>
      </c>
    </row>
    <row r="96" spans="1:41" x14ac:dyDescent="0.2">
      <c r="A96" s="122"/>
      <c r="B96" s="9">
        <v>87</v>
      </c>
      <c r="C96" s="3" t="n">
        <v>8065.0</v>
      </c>
      <c r="D96" s="3" t="n">
        <v>8352.0</v>
      </c>
      <c r="E96" s="3" t="n">
        <v>8364.0</v>
      </c>
      <c r="F96" s="3" t="n">
        <v>8556.0</v>
      </c>
      <c r="G96" s="3" t="n">
        <v>8665.0</v>
      </c>
      <c r="H96" s="3" t="n">
        <v>8303.0</v>
      </c>
      <c r="I96" s="3" t="n">
        <v>7969.0</v>
      </c>
      <c r="J96" s="3" t="n">
        <v>7887.0</v>
      </c>
      <c r="K96" s="3" t="n">
        <v>7826.0</v>
      </c>
      <c r="L96" s="3" t="n">
        <v>7663.0</v>
      </c>
      <c r="M96" s="3" t="n">
        <v>8671.0</v>
      </c>
      <c r="N96" s="3" t="n">
        <v>15942.0</v>
      </c>
      <c r="O96" s="3" t="n">
        <v>15241.0</v>
      </c>
      <c r="P96" s="3" t="n">
        <v>16422.0</v>
      </c>
      <c r="Q96" s="3" t="n">
        <v>16751.0</v>
      </c>
      <c r="R96" s="3" t="n">
        <v>17036.0</v>
      </c>
      <c r="S96" s="3" t="n">
        <v>17789.0</v>
      </c>
      <c r="T96" s="3" t="n">
        <v>18227.0</v>
      </c>
      <c r="U96" s="3" t="n">
        <v>18809.0</v>
      </c>
      <c r="V96" s="3" t="n">
        <v>18919.0</v>
      </c>
      <c r="W96" s="3" t="n">
        <v>19788.0</v>
      </c>
      <c r="X96" s="3" t="n">
        <v>19973.0</v>
      </c>
      <c r="Y96" s="3" t="n">
        <v>20681.0</v>
      </c>
      <c r="Z96" s="3" t="n">
        <v>20128.0</v>
      </c>
      <c r="AA96" s="3" t="n">
        <v>19707.0</v>
      </c>
      <c r="AB96" s="3" t="n">
        <v>18587.0</v>
      </c>
      <c r="AC96" s="3" t="n">
        <v>17836.0</v>
      </c>
      <c r="AD96" s="3" t="n">
        <v>17399.0</v>
      </c>
      <c r="AE96" s="3" t="n">
        <v>17851.0</v>
      </c>
      <c r="AF96" s="3" t="n">
        <v>17306.0</v>
      </c>
      <c r="AG96" s="3" t="n">
        <v>17093.0</v>
      </c>
      <c r="AH96" s="3" t="n">
        <v>17060.0</v>
      </c>
      <c r="AI96" s="3" t="n">
        <v>17232.0</v>
      </c>
      <c r="AJ96" s="3" t="n">
        <v>17960.0</v>
      </c>
      <c r="AK96" s="3" t="n">
        <v>18479.0</v>
      </c>
      <c r="AL96" s="3" t="n">
        <v>19325.0</v>
      </c>
      <c r="AM96" s="3" t="n">
        <v>20420.0</v>
      </c>
      <c r="AN96" s="3" t="n">
        <v>21709.0</v>
      </c>
      <c r="AO96" s="3" t="n">
        <v>22725.0</v>
      </c>
    </row>
    <row r="97" spans="1:41" x14ac:dyDescent="0.2">
      <c r="A97" s="122"/>
      <c r="B97" s="9">
        <v>88</v>
      </c>
      <c r="C97" s="3" t="n">
        <v>6975.0</v>
      </c>
      <c r="D97" s="3" t="n">
        <v>7134.0</v>
      </c>
      <c r="E97" s="3" t="n">
        <v>7417.0</v>
      </c>
      <c r="F97" s="3" t="n">
        <v>7441.0</v>
      </c>
      <c r="G97" s="3" t="n">
        <v>7626.0</v>
      </c>
      <c r="H97" s="3" t="n">
        <v>7740.0</v>
      </c>
      <c r="I97" s="3" t="n">
        <v>7436.0</v>
      </c>
      <c r="J97" s="3" t="n">
        <v>7139.0</v>
      </c>
      <c r="K97" s="3" t="n">
        <v>7074.0</v>
      </c>
      <c r="L97" s="3" t="n">
        <v>7038.0</v>
      </c>
      <c r="M97" s="3" t="n">
        <v>6892.0</v>
      </c>
      <c r="N97" s="3" t="n">
        <v>7816.0</v>
      </c>
      <c r="O97" s="3" t="n">
        <v>14373.0</v>
      </c>
      <c r="P97" s="3" t="n">
        <v>13752.0</v>
      </c>
      <c r="Q97" s="3" t="n">
        <v>14848.0</v>
      </c>
      <c r="R97" s="3" t="n">
        <v>15165.0</v>
      </c>
      <c r="S97" s="3" t="n">
        <v>15446.0</v>
      </c>
      <c r="T97" s="3" t="n">
        <v>16150.0</v>
      </c>
      <c r="U97" s="3" t="n">
        <v>16570.0</v>
      </c>
      <c r="V97" s="3" t="n">
        <v>17137.0</v>
      </c>
      <c r="W97" s="3" t="n">
        <v>17246.0</v>
      </c>
      <c r="X97" s="3" t="n">
        <v>18070.0</v>
      </c>
      <c r="Y97" s="3" t="n">
        <v>18254.0</v>
      </c>
      <c r="Z97" s="3" t="n">
        <v>18926.0</v>
      </c>
      <c r="AA97" s="3" t="n">
        <v>18437.0</v>
      </c>
      <c r="AB97" s="3" t="n">
        <v>18080.0</v>
      </c>
      <c r="AC97" s="3" t="n">
        <v>17073.0</v>
      </c>
      <c r="AD97" s="3" t="n">
        <v>16403.0</v>
      </c>
      <c r="AE97" s="3" t="n">
        <v>16018.0</v>
      </c>
      <c r="AF97" s="3" t="n">
        <v>16449.0</v>
      </c>
      <c r="AG97" s="3" t="n">
        <v>15962.0</v>
      </c>
      <c r="AH97" s="3" t="n">
        <v>15796.0</v>
      </c>
      <c r="AI97" s="3" t="n">
        <v>15781.0</v>
      </c>
      <c r="AJ97" s="3" t="n">
        <v>15955.0</v>
      </c>
      <c r="AK97" s="3" t="n">
        <v>16644.0</v>
      </c>
      <c r="AL97" s="3" t="n">
        <v>17149.0</v>
      </c>
      <c r="AM97" s="3" t="n">
        <v>17944.0</v>
      </c>
      <c r="AN97" s="3" t="n">
        <v>18981.0</v>
      </c>
      <c r="AO97" s="3" t="n">
        <v>20204.0</v>
      </c>
    </row>
    <row r="98" spans="1:41" x14ac:dyDescent="0.2">
      <c r="A98" s="122"/>
      <c r="B98" s="9">
        <v>89</v>
      </c>
      <c r="C98" s="3" t="n">
        <v>5994.0</v>
      </c>
      <c r="D98" s="3" t="n">
        <v>6098.0</v>
      </c>
      <c r="E98" s="3" t="n">
        <v>6258.0</v>
      </c>
      <c r="F98" s="3" t="n">
        <v>6518.0</v>
      </c>
      <c r="G98" s="3" t="n">
        <v>6550.0</v>
      </c>
      <c r="H98" s="3" t="n">
        <v>6725.0</v>
      </c>
      <c r="I98" s="3" t="n">
        <v>6847.0</v>
      </c>
      <c r="J98" s="3" t="n">
        <v>6586.0</v>
      </c>
      <c r="K98" s="3" t="n">
        <v>6332.0</v>
      </c>
      <c r="L98" s="3" t="n">
        <v>6279.0</v>
      </c>
      <c r="M98" s="3" t="n">
        <v>6264.0</v>
      </c>
      <c r="N98" s="3" t="n">
        <v>6151.0</v>
      </c>
      <c r="O98" s="3" t="n">
        <v>6968.0</v>
      </c>
      <c r="P98" s="3" t="n">
        <v>12835.0</v>
      </c>
      <c r="Q98" s="3" t="n">
        <v>12301.0</v>
      </c>
      <c r="R98" s="3" t="n">
        <v>13302.0</v>
      </c>
      <c r="S98" s="3" t="n">
        <v>13605.0</v>
      </c>
      <c r="T98" s="3" t="n">
        <v>13882.0</v>
      </c>
      <c r="U98" s="3" t="n">
        <v>14531.0</v>
      </c>
      <c r="V98" s="3" t="n">
        <v>14941.0</v>
      </c>
      <c r="W98" s="3" t="n">
        <v>15469.0</v>
      </c>
      <c r="X98" s="3" t="n">
        <v>15583.0</v>
      </c>
      <c r="Y98" s="3" t="n">
        <v>16354.0</v>
      </c>
      <c r="Z98" s="3" t="n">
        <v>16538.0</v>
      </c>
      <c r="AA98" s="3" t="n">
        <v>17178.0</v>
      </c>
      <c r="AB98" s="3" t="n">
        <v>16759.0</v>
      </c>
      <c r="AC98" s="3" t="n">
        <v>16454.0</v>
      </c>
      <c r="AD98" s="3" t="n">
        <v>15553.0</v>
      </c>
      <c r="AE98" s="3" t="n">
        <v>14966.0</v>
      </c>
      <c r="AF98" s="3" t="n">
        <v>14632.0</v>
      </c>
      <c r="AG98" s="3" t="n">
        <v>15041.0</v>
      </c>
      <c r="AH98" s="3" t="n">
        <v>14622.0</v>
      </c>
      <c r="AI98" s="3" t="n">
        <v>14479.0</v>
      </c>
      <c r="AJ98" s="3" t="n">
        <v>14487.0</v>
      </c>
      <c r="AK98" s="3" t="n">
        <v>14666.0</v>
      </c>
      <c r="AL98" s="3" t="n">
        <v>15316.0</v>
      </c>
      <c r="AM98" s="3" t="n">
        <v>15800.0</v>
      </c>
      <c r="AN98" s="3" t="n">
        <v>16549.0</v>
      </c>
      <c r="AO98" s="3" t="n">
        <v>17528.0</v>
      </c>
    </row>
    <row r="99" spans="1:41" x14ac:dyDescent="0.2">
      <c r="A99" s="122"/>
      <c r="B99" s="9">
        <v>90</v>
      </c>
      <c r="C99" s="3" t="n">
        <v>4985.0</v>
      </c>
      <c r="D99" s="3" t="n">
        <v>5168.0</v>
      </c>
      <c r="E99" s="3" t="n">
        <v>5285.0</v>
      </c>
      <c r="F99" s="3" t="n">
        <v>5437.0</v>
      </c>
      <c r="G99" s="3" t="n">
        <v>5677.0</v>
      </c>
      <c r="H99" s="3" t="n">
        <v>5714.0</v>
      </c>
      <c r="I99" s="3" t="n">
        <v>5880.0</v>
      </c>
      <c r="J99" s="3" t="n">
        <v>5992.0</v>
      </c>
      <c r="K99" s="3" t="n">
        <v>5777.0</v>
      </c>
      <c r="L99" s="3" t="n">
        <v>5562.0</v>
      </c>
      <c r="M99" s="3" t="n">
        <v>5523.0</v>
      </c>
      <c r="N99" s="3" t="n">
        <v>5527.0</v>
      </c>
      <c r="O99" s="3" t="n">
        <v>5439.0</v>
      </c>
      <c r="P99" s="3" t="n">
        <v>6160.0</v>
      </c>
      <c r="Q99" s="3" t="n">
        <v>11369.0</v>
      </c>
      <c r="R99" s="3" t="n">
        <v>10909.0</v>
      </c>
      <c r="S99" s="3" t="n">
        <v>11827.0</v>
      </c>
      <c r="T99" s="3" t="n">
        <v>12115.0</v>
      </c>
      <c r="U99" s="3" t="n">
        <v>12386.0</v>
      </c>
      <c r="V99" s="3" t="n">
        <v>12987.0</v>
      </c>
      <c r="W99" s="3" t="n">
        <v>13371.0</v>
      </c>
      <c r="X99" s="3" t="n">
        <v>13859.0</v>
      </c>
      <c r="Y99" s="3" t="n">
        <v>13996.0</v>
      </c>
      <c r="Z99" s="3" t="n">
        <v>14703.0</v>
      </c>
      <c r="AA99" s="3" t="n">
        <v>14880.0</v>
      </c>
      <c r="AB99" s="3" t="n">
        <v>15491.0</v>
      </c>
      <c r="AC99" s="3" t="n">
        <v>15132.0</v>
      </c>
      <c r="AD99" s="3" t="n">
        <v>14877.0</v>
      </c>
      <c r="AE99" s="3" t="n">
        <v>14081.0</v>
      </c>
      <c r="AF99" s="3" t="n">
        <v>13559.0</v>
      </c>
      <c r="AG99" s="3" t="n">
        <v>13279.0</v>
      </c>
      <c r="AH99" s="3" t="n">
        <v>13679.0</v>
      </c>
      <c r="AI99" s="3" t="n">
        <v>13309.0</v>
      </c>
      <c r="AJ99" s="3" t="n">
        <v>13205.0</v>
      </c>
      <c r="AK99" s="3" t="n">
        <v>13220.0</v>
      </c>
      <c r="AL99" s="3" t="n">
        <v>13397.0</v>
      </c>
      <c r="AM99" s="3" t="n">
        <v>14015.0</v>
      </c>
      <c r="AN99" s="3" t="n">
        <v>14471.0</v>
      </c>
      <c r="AO99" s="3" t="n">
        <v>15176.0</v>
      </c>
    </row>
    <row r="100" spans="1:41" x14ac:dyDescent="0.2">
      <c r="A100" s="122"/>
      <c r="B100" s="9">
        <v>91</v>
      </c>
      <c r="C100" s="3" t="n">
        <v>4207.0</v>
      </c>
      <c r="D100" s="3" t="n">
        <v>4235.0</v>
      </c>
      <c r="E100" s="3" t="n">
        <v>4422.0</v>
      </c>
      <c r="F100" s="3" t="n">
        <v>4523.0</v>
      </c>
      <c r="G100" s="3" t="n">
        <v>4677.0</v>
      </c>
      <c r="H100" s="3" t="n">
        <v>4894.0</v>
      </c>
      <c r="I100" s="3" t="n">
        <v>4938.0</v>
      </c>
      <c r="J100" s="3" t="n">
        <v>5086.0</v>
      </c>
      <c r="K100" s="3" t="n">
        <v>5193.0</v>
      </c>
      <c r="L100" s="3" t="n">
        <v>5023.0</v>
      </c>
      <c r="M100" s="3" t="n">
        <v>4844.0</v>
      </c>
      <c r="N100" s="3" t="n">
        <v>4816.0</v>
      </c>
      <c r="O100" s="3" t="n">
        <v>4826.0</v>
      </c>
      <c r="P100" s="3" t="n">
        <v>4755.0</v>
      </c>
      <c r="Q100" s="3" t="n">
        <v>5399.0</v>
      </c>
      <c r="R100" s="3" t="n">
        <v>9971.0</v>
      </c>
      <c r="S100" s="3" t="n">
        <v>9574.0</v>
      </c>
      <c r="T100" s="3" t="n">
        <v>10402.0</v>
      </c>
      <c r="U100" s="3" t="n">
        <v>10671.0</v>
      </c>
      <c r="V100" s="3" t="n">
        <v>10945.0</v>
      </c>
      <c r="W100" s="3" t="n">
        <v>11485.0</v>
      </c>
      <c r="X100" s="3" t="n">
        <v>11848.0</v>
      </c>
      <c r="Y100" s="3" t="n">
        <v>12310.0</v>
      </c>
      <c r="Z100" s="3" t="n">
        <v>12442.0</v>
      </c>
      <c r="AA100" s="3" t="n">
        <v>13091.0</v>
      </c>
      <c r="AB100" s="3" t="n">
        <v>13272.0</v>
      </c>
      <c r="AC100" s="3" t="n">
        <v>13840.0</v>
      </c>
      <c r="AD100" s="3" t="n">
        <v>13542.0</v>
      </c>
      <c r="AE100" s="3" t="n">
        <v>13335.0</v>
      </c>
      <c r="AF100" s="3" t="n">
        <v>12635.0</v>
      </c>
      <c r="AG100" s="3" t="n">
        <v>12176.0</v>
      </c>
      <c r="AH100" s="3" t="n">
        <v>11952.0</v>
      </c>
      <c r="AI100" s="3" t="n">
        <v>12329.0</v>
      </c>
      <c r="AJ100" s="3" t="n">
        <v>12023.0</v>
      </c>
      <c r="AK100" s="3" t="n">
        <v>11940.0</v>
      </c>
      <c r="AL100" s="3" t="n">
        <v>11962.0</v>
      </c>
      <c r="AM100" s="3" t="n">
        <v>12148.0</v>
      </c>
      <c r="AN100" s="3" t="n">
        <v>12719.0</v>
      </c>
      <c r="AO100" s="3" t="n">
        <v>13148.0</v>
      </c>
    </row>
    <row r="101" spans="1:41" x14ac:dyDescent="0.2">
      <c r="A101" s="122"/>
      <c r="B101" s="9">
        <v>92</v>
      </c>
      <c r="C101" s="3" t="n">
        <v>3216.0</v>
      </c>
      <c r="D101" s="3" t="n">
        <v>3521.0</v>
      </c>
      <c r="E101" s="3" t="n">
        <v>3567.0</v>
      </c>
      <c r="F101" s="3" t="n">
        <v>3738.0</v>
      </c>
      <c r="G101" s="3" t="n">
        <v>3834.0</v>
      </c>
      <c r="H101" s="3" t="n">
        <v>3970.0</v>
      </c>
      <c r="I101" s="3" t="n">
        <v>4169.0</v>
      </c>
      <c r="J101" s="3" t="n">
        <v>4205.0</v>
      </c>
      <c r="K101" s="3" t="n">
        <v>4346.0</v>
      </c>
      <c r="L101" s="3" t="n">
        <v>4444.0</v>
      </c>
      <c r="M101" s="3" t="n">
        <v>4303.0</v>
      </c>
      <c r="N101" s="3" t="n">
        <v>4163.0</v>
      </c>
      <c r="O101" s="3" t="n">
        <v>4149.0</v>
      </c>
      <c r="P101" s="3" t="n">
        <v>4162.0</v>
      </c>
      <c r="Q101" s="3" t="n">
        <v>4114.0</v>
      </c>
      <c r="R101" s="3" t="n">
        <v>4680.0</v>
      </c>
      <c r="S101" s="3" t="n">
        <v>8645.0</v>
      </c>
      <c r="T101" s="3" t="n">
        <v>8324.0</v>
      </c>
      <c r="U101" s="3" t="n">
        <v>9052.0</v>
      </c>
      <c r="V101" s="3" t="n">
        <v>9314.0</v>
      </c>
      <c r="W101" s="3" t="n">
        <v>9569.0</v>
      </c>
      <c r="X101" s="3" t="n">
        <v>10052.0</v>
      </c>
      <c r="Y101" s="3" t="n">
        <v>10398.0</v>
      </c>
      <c r="Z101" s="3" t="n">
        <v>10820.0</v>
      </c>
      <c r="AA101" s="3" t="n">
        <v>10950.0</v>
      </c>
      <c r="AB101" s="3" t="n">
        <v>11550.0</v>
      </c>
      <c r="AC101" s="3" t="n">
        <v>11725.0</v>
      </c>
      <c r="AD101" s="3" t="n">
        <v>12247.0</v>
      </c>
      <c r="AE101" s="3" t="n">
        <v>12008.0</v>
      </c>
      <c r="AF101" s="3" t="n">
        <v>11836.0</v>
      </c>
      <c r="AG101" s="3" t="n">
        <v>11226.0</v>
      </c>
      <c r="AH101" s="3" t="n">
        <v>10844.0</v>
      </c>
      <c r="AI101" s="3" t="n">
        <v>10660.0</v>
      </c>
      <c r="AJ101" s="3" t="n">
        <v>11016.0</v>
      </c>
      <c r="AK101" s="3" t="n">
        <v>10755.0</v>
      </c>
      <c r="AL101" s="3" t="n">
        <v>10704.0</v>
      </c>
      <c r="AM101" s="3" t="n">
        <v>10738.0</v>
      </c>
      <c r="AN101" s="3" t="n">
        <v>10923.0</v>
      </c>
      <c r="AO101" s="3" t="n">
        <v>11451.0</v>
      </c>
    </row>
    <row r="102" spans="1:41" x14ac:dyDescent="0.2">
      <c r="A102" s="122"/>
      <c r="B102" s="9">
        <v>93</v>
      </c>
      <c r="C102" s="3" t="n">
        <v>2345.0</v>
      </c>
      <c r="D102" s="3" t="n">
        <v>2636.0</v>
      </c>
      <c r="E102" s="3" t="n">
        <v>2902.0</v>
      </c>
      <c r="F102" s="3" t="n">
        <v>2949.0</v>
      </c>
      <c r="G102" s="3" t="n">
        <v>3094.0</v>
      </c>
      <c r="H102" s="3" t="n">
        <v>3193.0</v>
      </c>
      <c r="I102" s="3" t="n">
        <v>3313.0</v>
      </c>
      <c r="J102" s="3" t="n">
        <v>3486.0</v>
      </c>
      <c r="K102" s="3" t="n">
        <v>3525.0</v>
      </c>
      <c r="L102" s="3" t="n">
        <v>3649.0</v>
      </c>
      <c r="M102" s="3" t="n">
        <v>3748.0</v>
      </c>
      <c r="N102" s="3" t="n">
        <v>3635.0</v>
      </c>
      <c r="O102" s="3" t="n">
        <v>3517.0</v>
      </c>
      <c r="P102" s="3" t="n">
        <v>3512.0</v>
      </c>
      <c r="Q102" s="3" t="n">
        <v>3539.0</v>
      </c>
      <c r="R102" s="3" t="n">
        <v>3499.0</v>
      </c>
      <c r="S102" s="3" t="n">
        <v>3990.0</v>
      </c>
      <c r="T102" s="3" t="n">
        <v>7393.0</v>
      </c>
      <c r="U102" s="3" t="n">
        <v>7133.0</v>
      </c>
      <c r="V102" s="3" t="n">
        <v>7786.0</v>
      </c>
      <c r="W102" s="3" t="n">
        <v>8029.0</v>
      </c>
      <c r="X102" s="3" t="n">
        <v>8266.0</v>
      </c>
      <c r="Y102" s="3" t="n">
        <v>8701.0</v>
      </c>
      <c r="Z102" s="3" t="n">
        <v>9016.0</v>
      </c>
      <c r="AA102" s="3" t="n">
        <v>9397.0</v>
      </c>
      <c r="AB102" s="3" t="n">
        <v>9539.0</v>
      </c>
      <c r="AC102" s="3" t="n">
        <v>10079.0</v>
      </c>
      <c r="AD102" s="3" t="n">
        <v>10239.0</v>
      </c>
      <c r="AE102" s="3" t="n">
        <v>10721.0</v>
      </c>
      <c r="AF102" s="3" t="n">
        <v>10530.0</v>
      </c>
      <c r="AG102" s="3" t="n">
        <v>10393.0</v>
      </c>
      <c r="AH102" s="3" t="n">
        <v>9885.0</v>
      </c>
      <c r="AI102" s="3" t="n">
        <v>9565.0</v>
      </c>
      <c r="AJ102" s="3" t="n">
        <v>9425.0</v>
      </c>
      <c r="AK102" s="3" t="n">
        <v>9751.0</v>
      </c>
      <c r="AL102" s="3" t="n">
        <v>9533.0</v>
      </c>
      <c r="AM102" s="3" t="n">
        <v>9509.0</v>
      </c>
      <c r="AN102" s="3" t="n">
        <v>9553.0</v>
      </c>
      <c r="AO102" s="3" t="n">
        <v>9734.0</v>
      </c>
    </row>
    <row r="103" spans="1:41" x14ac:dyDescent="0.2">
      <c r="A103" s="122"/>
      <c r="B103" s="9">
        <v>94</v>
      </c>
      <c r="C103" s="3" t="n">
        <v>1865.0</v>
      </c>
      <c r="D103" s="3" t="n">
        <v>1877.0</v>
      </c>
      <c r="E103" s="3" t="n">
        <v>2126.0</v>
      </c>
      <c r="F103" s="3" t="n">
        <v>2345.0</v>
      </c>
      <c r="G103" s="3" t="n">
        <v>2401.0</v>
      </c>
      <c r="H103" s="3" t="n">
        <v>2525.0</v>
      </c>
      <c r="I103" s="3" t="n">
        <v>2620.0</v>
      </c>
      <c r="J103" s="3" t="n">
        <v>2723.0</v>
      </c>
      <c r="K103" s="3" t="n">
        <v>2874.0</v>
      </c>
      <c r="L103" s="3" t="n">
        <v>2914.0</v>
      </c>
      <c r="M103" s="3" t="n">
        <v>3017.0</v>
      </c>
      <c r="N103" s="3" t="n">
        <v>3114.0</v>
      </c>
      <c r="O103" s="3" t="n">
        <v>3020.0</v>
      </c>
      <c r="P103" s="3" t="n">
        <v>2925.0</v>
      </c>
      <c r="Q103" s="3" t="n">
        <v>2936.0</v>
      </c>
      <c r="R103" s="3" t="n">
        <v>2963.0</v>
      </c>
      <c r="S103" s="3" t="n">
        <v>2938.0</v>
      </c>
      <c r="T103" s="3" t="n">
        <v>3362.0</v>
      </c>
      <c r="U103" s="3" t="n">
        <v>6250.0</v>
      </c>
      <c r="V103" s="3" t="n">
        <v>6045.0</v>
      </c>
      <c r="W103" s="3" t="n">
        <v>6617.0</v>
      </c>
      <c r="X103" s="3" t="n">
        <v>6828.0</v>
      </c>
      <c r="Y103" s="3" t="n">
        <v>7055.0</v>
      </c>
      <c r="Z103" s="3" t="n">
        <v>7438.0</v>
      </c>
      <c r="AA103" s="3" t="n">
        <v>7717.0</v>
      </c>
      <c r="AB103" s="3" t="n">
        <v>8070.0</v>
      </c>
      <c r="AC103" s="3" t="n">
        <v>8205.0</v>
      </c>
      <c r="AD103" s="3" t="n">
        <v>8685.0</v>
      </c>
      <c r="AE103" s="3" t="n">
        <v>8844.0</v>
      </c>
      <c r="AF103" s="3" t="n">
        <v>9273.0</v>
      </c>
      <c r="AG103" s="3" t="n">
        <v>9127.0</v>
      </c>
      <c r="AH103" s="3" t="n">
        <v>9034.0</v>
      </c>
      <c r="AI103" s="3" t="n">
        <v>8608.0</v>
      </c>
      <c r="AJ103" s="3" t="n">
        <v>8354.0</v>
      </c>
      <c r="AK103" s="3" t="n">
        <v>8237.0</v>
      </c>
      <c r="AL103" s="3" t="n">
        <v>8533.0</v>
      </c>
      <c r="AM103" s="3" t="n">
        <v>8359.0</v>
      </c>
      <c r="AN103" s="3" t="n">
        <v>8356.0</v>
      </c>
      <c r="AO103" s="3" t="n">
        <v>8410.0</v>
      </c>
    </row>
    <row r="104" spans="1:41" x14ac:dyDescent="0.2">
      <c r="A104" s="122"/>
      <c r="B104" s="9">
        <v>95</v>
      </c>
      <c r="C104" s="3" t="n">
        <v>1297.0</v>
      </c>
      <c r="D104" s="3" t="n">
        <v>1477.0</v>
      </c>
      <c r="E104" s="3" t="n">
        <v>1486.0</v>
      </c>
      <c r="F104" s="3" t="n">
        <v>1697.0</v>
      </c>
      <c r="G104" s="3" t="n">
        <v>1879.0</v>
      </c>
      <c r="H104" s="3" t="n">
        <v>1930.0</v>
      </c>
      <c r="I104" s="3" t="n">
        <v>2036.0</v>
      </c>
      <c r="J104" s="3" t="n">
        <v>2117.0</v>
      </c>
      <c r="K104" s="3" t="n">
        <v>2204.0</v>
      </c>
      <c r="L104" s="3" t="n">
        <v>2338.0</v>
      </c>
      <c r="M104" s="3" t="n">
        <v>2379.0</v>
      </c>
      <c r="N104" s="3" t="n">
        <v>2477.0</v>
      </c>
      <c r="O104" s="3" t="n">
        <v>2556.0</v>
      </c>
      <c r="P104" s="3" t="n">
        <v>2490.0</v>
      </c>
      <c r="Q104" s="3" t="n">
        <v>2408.0</v>
      </c>
      <c r="R104" s="3" t="n">
        <v>2432.0</v>
      </c>
      <c r="S104" s="3" t="n">
        <v>2457.0</v>
      </c>
      <c r="T104" s="3" t="n">
        <v>2447.0</v>
      </c>
      <c r="U104" s="3" t="n">
        <v>2802.0</v>
      </c>
      <c r="V104" s="3" t="n">
        <v>5223.0</v>
      </c>
      <c r="W104" s="3" t="n">
        <v>5056.0</v>
      </c>
      <c r="X104" s="3" t="n">
        <v>5544.0</v>
      </c>
      <c r="Y104" s="3" t="n">
        <v>5746.0</v>
      </c>
      <c r="Z104" s="3" t="n">
        <v>5951.0</v>
      </c>
      <c r="AA104" s="3" t="n">
        <v>6291.0</v>
      </c>
      <c r="AB104" s="3" t="n">
        <v>6544.0</v>
      </c>
      <c r="AC104" s="3" t="n">
        <v>6859.0</v>
      </c>
      <c r="AD104" s="3" t="n">
        <v>6980.0</v>
      </c>
      <c r="AE104" s="3" t="n">
        <v>7408.0</v>
      </c>
      <c r="AF104" s="3" t="n">
        <v>7555.0</v>
      </c>
      <c r="AG104" s="3" t="n">
        <v>7936.0</v>
      </c>
      <c r="AH104" s="3" t="n">
        <v>7834.0</v>
      </c>
      <c r="AI104" s="3" t="n">
        <v>7769.0</v>
      </c>
      <c r="AJ104" s="3" t="n">
        <v>7430.0</v>
      </c>
      <c r="AK104" s="3" t="n">
        <v>7215.0</v>
      </c>
      <c r="AL104" s="3" t="n">
        <v>7129.0</v>
      </c>
      <c r="AM104" s="3" t="n">
        <v>7403.0</v>
      </c>
      <c r="AN104" s="3" t="n">
        <v>7265.0</v>
      </c>
      <c r="AO104" s="3" t="n">
        <v>7273.0</v>
      </c>
    </row>
    <row r="105" spans="1:41" x14ac:dyDescent="0.2">
      <c r="A105" s="122"/>
      <c r="B105" s="9">
        <v>96</v>
      </c>
      <c r="C105" s="3" t="n">
        <v>945.0</v>
      </c>
      <c r="D105" s="3" t="n">
        <v>1001.0</v>
      </c>
      <c r="E105" s="3" t="n">
        <v>1151.0</v>
      </c>
      <c r="F105" s="3" t="n">
        <v>1169.0</v>
      </c>
      <c r="G105" s="3" t="n">
        <v>1340.0</v>
      </c>
      <c r="H105" s="3" t="n">
        <v>1493.0</v>
      </c>
      <c r="I105" s="3" t="n">
        <v>1528.0</v>
      </c>
      <c r="J105" s="3" t="n">
        <v>1629.0</v>
      </c>
      <c r="K105" s="3" t="n">
        <v>1692.0</v>
      </c>
      <c r="L105" s="3" t="n">
        <v>1760.0</v>
      </c>
      <c r="M105" s="3" t="n">
        <v>1881.0</v>
      </c>
      <c r="N105" s="3" t="n">
        <v>1916.0</v>
      </c>
      <c r="O105" s="3" t="n">
        <v>1997.0</v>
      </c>
      <c r="P105" s="3" t="n">
        <v>2065.0</v>
      </c>
      <c r="Q105" s="3" t="n">
        <v>2030.0</v>
      </c>
      <c r="R105" s="3" t="n">
        <v>1966.0</v>
      </c>
      <c r="S105" s="3" t="n">
        <v>1991.0</v>
      </c>
      <c r="T105" s="3" t="n">
        <v>2019.0</v>
      </c>
      <c r="U105" s="3" t="n">
        <v>2016.0</v>
      </c>
      <c r="V105" s="3" t="n">
        <v>2309.0</v>
      </c>
      <c r="W105" s="3" t="n">
        <v>4306.0</v>
      </c>
      <c r="X105" s="3" t="n">
        <v>4179.0</v>
      </c>
      <c r="Y105" s="3" t="n">
        <v>4598.0</v>
      </c>
      <c r="Z105" s="3" t="n">
        <v>4775.0</v>
      </c>
      <c r="AA105" s="3" t="n">
        <v>4956.0</v>
      </c>
      <c r="AB105" s="3" t="n">
        <v>5254.0</v>
      </c>
      <c r="AC105" s="3" t="n">
        <v>5477.0</v>
      </c>
      <c r="AD105" s="3" t="n">
        <v>5752.0</v>
      </c>
      <c r="AE105" s="3" t="n">
        <v>5871.0</v>
      </c>
      <c r="AF105" s="3" t="n">
        <v>6241.0</v>
      </c>
      <c r="AG105" s="3" t="n">
        <v>6373.0</v>
      </c>
      <c r="AH105" s="3" t="n">
        <v>6724.0</v>
      </c>
      <c r="AI105" s="3" t="n">
        <v>6640.0</v>
      </c>
      <c r="AJ105" s="3" t="n">
        <v>6616.0</v>
      </c>
      <c r="AK105" s="3" t="n">
        <v>6332.0</v>
      </c>
      <c r="AL105" s="3" t="n">
        <v>6159.0</v>
      </c>
      <c r="AM105" s="3" t="n">
        <v>6106.0</v>
      </c>
      <c r="AN105" s="3" t="n">
        <v>6354.0</v>
      </c>
      <c r="AO105" s="3" t="n">
        <v>6245.0</v>
      </c>
    </row>
    <row r="106" spans="1:41" x14ac:dyDescent="0.2">
      <c r="A106" s="122"/>
      <c r="B106" s="9">
        <v>97</v>
      </c>
      <c r="C106" s="3" t="n">
        <v>681.0</v>
      </c>
      <c r="D106" s="3" t="n">
        <v>712.0</v>
      </c>
      <c r="E106" s="3" t="n">
        <v>758.0</v>
      </c>
      <c r="F106" s="3" t="n">
        <v>879.0</v>
      </c>
      <c r="G106" s="3" t="n">
        <v>899.0</v>
      </c>
      <c r="H106" s="3" t="n">
        <v>1031.0</v>
      </c>
      <c r="I106" s="3" t="n">
        <v>1160.0</v>
      </c>
      <c r="J106" s="3" t="n">
        <v>1188.0</v>
      </c>
      <c r="K106" s="3" t="n">
        <v>1264.0</v>
      </c>
      <c r="L106" s="3" t="n">
        <v>1324.0</v>
      </c>
      <c r="M106" s="3" t="n">
        <v>1379.0</v>
      </c>
      <c r="N106" s="3" t="n">
        <v>1478.0</v>
      </c>
      <c r="O106" s="3" t="n">
        <v>1514.0</v>
      </c>
      <c r="P106" s="3" t="n">
        <v>1577.0</v>
      </c>
      <c r="Q106" s="3" t="n">
        <v>1641.0</v>
      </c>
      <c r="R106" s="3" t="n">
        <v>1611.0</v>
      </c>
      <c r="S106" s="3" t="n">
        <v>1562.0</v>
      </c>
      <c r="T106" s="3" t="n">
        <v>1592.0</v>
      </c>
      <c r="U106" s="3" t="n">
        <v>1616.0</v>
      </c>
      <c r="V106" s="3" t="n">
        <v>1618.0</v>
      </c>
      <c r="W106" s="3" t="n">
        <v>1860.0</v>
      </c>
      <c r="X106" s="3" t="n">
        <v>3482.0</v>
      </c>
      <c r="Y106" s="3" t="n">
        <v>3400.0</v>
      </c>
      <c r="Z106" s="3" t="n">
        <v>3747.0</v>
      </c>
      <c r="AA106" s="3" t="n">
        <v>3900.0</v>
      </c>
      <c r="AB106" s="3" t="n">
        <v>4063.0</v>
      </c>
      <c r="AC106" s="3" t="n">
        <v>4312.0</v>
      </c>
      <c r="AD106" s="3" t="n">
        <v>4510.0</v>
      </c>
      <c r="AE106" s="3" t="n">
        <v>4750.0</v>
      </c>
      <c r="AF106" s="3" t="n">
        <v>4861.0</v>
      </c>
      <c r="AG106" s="3" t="n">
        <v>5181.0</v>
      </c>
      <c r="AH106" s="3" t="n">
        <v>5304.0</v>
      </c>
      <c r="AI106" s="3" t="n">
        <v>5604.0</v>
      </c>
      <c r="AJ106" s="3" t="n">
        <v>5557.0</v>
      </c>
      <c r="AK106" s="3" t="n">
        <v>5544.0</v>
      </c>
      <c r="AL106" s="3" t="n">
        <v>5322.0</v>
      </c>
      <c r="AM106" s="3" t="n">
        <v>5193.0</v>
      </c>
      <c r="AN106" s="3" t="n">
        <v>5165.0</v>
      </c>
      <c r="AO106" s="3" t="n">
        <v>5378.0</v>
      </c>
    </row>
    <row r="107" spans="1:41" x14ac:dyDescent="0.2">
      <c r="A107" s="122"/>
      <c r="B107" s="9">
        <v>98</v>
      </c>
      <c r="C107" s="3" t="n">
        <v>509.0</v>
      </c>
      <c r="D107" s="3" t="n">
        <v>505.0</v>
      </c>
      <c r="E107" s="3" t="n">
        <v>528.0</v>
      </c>
      <c r="F107" s="3" t="n">
        <v>566.0</v>
      </c>
      <c r="G107" s="3" t="n">
        <v>658.0</v>
      </c>
      <c r="H107" s="3" t="n">
        <v>677.0</v>
      </c>
      <c r="I107" s="3" t="n">
        <v>780.0</v>
      </c>
      <c r="J107" s="3" t="n">
        <v>876.0</v>
      </c>
      <c r="K107" s="3" t="n">
        <v>900.0</v>
      </c>
      <c r="L107" s="3" t="n">
        <v>968.0</v>
      </c>
      <c r="M107" s="3" t="n">
        <v>1016.0</v>
      </c>
      <c r="N107" s="3" t="n">
        <v>1064.0</v>
      </c>
      <c r="O107" s="3" t="n">
        <v>1143.0</v>
      </c>
      <c r="P107" s="3" t="n">
        <v>1175.0</v>
      </c>
      <c r="Q107" s="3" t="n">
        <v>1228.0</v>
      </c>
      <c r="R107" s="3" t="n">
        <v>1291.0</v>
      </c>
      <c r="S107" s="3" t="n">
        <v>1269.0</v>
      </c>
      <c r="T107" s="3" t="n">
        <v>1228.0</v>
      </c>
      <c r="U107" s="3" t="n">
        <v>1250.0</v>
      </c>
      <c r="V107" s="3" t="n">
        <v>1281.0</v>
      </c>
      <c r="W107" s="3" t="n">
        <v>1286.0</v>
      </c>
      <c r="X107" s="3" t="n">
        <v>1486.0</v>
      </c>
      <c r="Y107" s="3" t="n">
        <v>2780.0</v>
      </c>
      <c r="Z107" s="3" t="n">
        <v>2717.0</v>
      </c>
      <c r="AA107" s="3" t="n">
        <v>3010.0</v>
      </c>
      <c r="AB107" s="3" t="n">
        <v>3145.0</v>
      </c>
      <c r="AC107" s="3" t="n">
        <v>3288.0</v>
      </c>
      <c r="AD107" s="3" t="n">
        <v>3497.0</v>
      </c>
      <c r="AE107" s="3" t="n">
        <v>3665.0</v>
      </c>
      <c r="AF107" s="3" t="n">
        <v>3865.0</v>
      </c>
      <c r="AG107" s="3" t="n">
        <v>3969.0</v>
      </c>
      <c r="AH107" s="3" t="n">
        <v>4242.0</v>
      </c>
      <c r="AI107" s="3" t="n">
        <v>4349.0</v>
      </c>
      <c r="AJ107" s="3" t="n">
        <v>4606.0</v>
      </c>
      <c r="AK107" s="3" t="n">
        <v>4579.0</v>
      </c>
      <c r="AL107" s="3" t="n">
        <v>4583.0</v>
      </c>
      <c r="AM107" s="3" t="n">
        <v>4415.0</v>
      </c>
      <c r="AN107" s="3" t="n">
        <v>4314.0</v>
      </c>
      <c r="AO107" s="3" t="n">
        <v>4299.0</v>
      </c>
    </row>
    <row r="108" spans="1:41" x14ac:dyDescent="0.2">
      <c r="A108" s="122"/>
      <c r="B108" s="9">
        <v>99</v>
      </c>
      <c r="C108" s="3" t="n">
        <v>349.0</v>
      </c>
      <c r="D108" s="3" t="n">
        <v>362.0</v>
      </c>
      <c r="E108" s="3" t="n">
        <v>378.0</v>
      </c>
      <c r="F108" s="3" t="n">
        <v>384.0</v>
      </c>
      <c r="G108" s="3" t="n">
        <v>421.0</v>
      </c>
      <c r="H108" s="3" t="n">
        <v>491.0</v>
      </c>
      <c r="I108" s="3" t="n">
        <v>511.0</v>
      </c>
      <c r="J108" s="3" t="n">
        <v>581.0</v>
      </c>
      <c r="K108" s="3" t="n">
        <v>657.0</v>
      </c>
      <c r="L108" s="3" t="n">
        <v>672.0</v>
      </c>
      <c r="M108" s="3" t="n">
        <v>737.0</v>
      </c>
      <c r="N108" s="3" t="n">
        <v>777.0</v>
      </c>
      <c r="O108" s="3" t="n">
        <v>812.0</v>
      </c>
      <c r="P108" s="3" t="n">
        <v>875.0</v>
      </c>
      <c r="Q108" s="3" t="n">
        <v>899.0</v>
      </c>
      <c r="R108" s="3" t="n">
        <v>939.0</v>
      </c>
      <c r="S108" s="3" t="n">
        <v>991.0</v>
      </c>
      <c r="T108" s="3" t="n">
        <v>983.0</v>
      </c>
      <c r="U108" s="3" t="n">
        <v>955.0</v>
      </c>
      <c r="V108" s="3" t="n">
        <v>974.0</v>
      </c>
      <c r="W108" s="3" t="n">
        <v>1000.0</v>
      </c>
      <c r="X108" s="3" t="n">
        <v>1006.0</v>
      </c>
      <c r="Y108" s="3" t="n">
        <v>1165.0</v>
      </c>
      <c r="Z108" s="3" t="n">
        <v>2171.0</v>
      </c>
      <c r="AA108" s="3" t="n">
        <v>2137.0</v>
      </c>
      <c r="AB108" s="3" t="n">
        <v>2379.0</v>
      </c>
      <c r="AC108" s="3" t="n">
        <v>2491.0</v>
      </c>
      <c r="AD108" s="3" t="n">
        <v>2612.0</v>
      </c>
      <c r="AE108" s="3" t="n">
        <v>2793.0</v>
      </c>
      <c r="AF108" s="3" t="n">
        <v>2934.0</v>
      </c>
      <c r="AG108" s="3" t="n">
        <v>3096.0</v>
      </c>
      <c r="AH108" s="3" t="n">
        <v>3193.0</v>
      </c>
      <c r="AI108" s="3" t="n">
        <v>3429.0</v>
      </c>
      <c r="AJ108" s="3" t="n">
        <v>3523.0</v>
      </c>
      <c r="AK108" s="3" t="n">
        <v>3734.0</v>
      </c>
      <c r="AL108" s="3" t="n">
        <v>3723.0</v>
      </c>
      <c r="AM108" s="3" t="n">
        <v>3740.0</v>
      </c>
      <c r="AN108" s="3" t="n">
        <v>3619.0</v>
      </c>
      <c r="AO108" s="3" t="n">
        <v>3543.0</v>
      </c>
    </row>
    <row r="109" spans="1:41" x14ac:dyDescent="0.2">
      <c r="A109" s="122"/>
      <c r="B109" s="9" t="s">
        <v>68</v>
      </c>
      <c r="C109" s="4" t="n">
        <v>576.0</v>
      </c>
      <c r="D109" s="4" t="n">
        <v>609.0</v>
      </c>
      <c r="E109" s="4" t="n">
        <v>646.0</v>
      </c>
      <c r="F109" s="4" t="n">
        <v>692.0</v>
      </c>
      <c r="G109" s="4" t="n">
        <v>726.0</v>
      </c>
      <c r="H109" s="4" t="n">
        <v>783.0</v>
      </c>
      <c r="I109" s="4" t="n">
        <v>870.0</v>
      </c>
      <c r="J109" s="4" t="n">
        <v>943.0</v>
      </c>
      <c r="K109" s="4" t="n">
        <v>1060.0</v>
      </c>
      <c r="L109" s="4" t="n">
        <v>1193.0</v>
      </c>
      <c r="M109" s="4" t="n">
        <v>1296.0</v>
      </c>
      <c r="N109" s="4" t="n">
        <v>1421.0</v>
      </c>
      <c r="O109" s="4" t="n">
        <v>1547.0</v>
      </c>
      <c r="P109" s="4" t="n">
        <v>1665.0</v>
      </c>
      <c r="Q109" s="4" t="n">
        <v>1785.0</v>
      </c>
      <c r="R109" s="4" t="n">
        <v>1906.0</v>
      </c>
      <c r="S109" s="4" t="n">
        <v>2019.0</v>
      </c>
      <c r="T109" s="4" t="n">
        <v>2149.0</v>
      </c>
      <c r="U109" s="4" t="n">
        <v>2244.0</v>
      </c>
      <c r="V109" s="4" t="n">
        <v>2297.0</v>
      </c>
      <c r="W109" s="4" t="n">
        <v>2351.0</v>
      </c>
      <c r="X109" s="4" t="n">
        <v>2421.0</v>
      </c>
      <c r="Y109" s="4" t="n">
        <v>2488.0</v>
      </c>
      <c r="Z109" s="4" t="n">
        <v>2661.0</v>
      </c>
      <c r="AA109" s="4" t="n">
        <v>3545.0</v>
      </c>
      <c r="AB109" s="4" t="n">
        <v>4178.0</v>
      </c>
      <c r="AC109" s="4" t="n">
        <v>4830.0</v>
      </c>
      <c r="AD109" s="4" t="n">
        <v>5406.0</v>
      </c>
      <c r="AE109" s="4" t="n">
        <v>5937.0</v>
      </c>
      <c r="AF109" s="4" t="n">
        <v>6478.0</v>
      </c>
      <c r="AG109" s="4" t="n">
        <v>7004.0</v>
      </c>
      <c r="AH109" s="4" t="n">
        <v>7543.0</v>
      </c>
      <c r="AI109" s="4" t="n">
        <v>8036.0</v>
      </c>
      <c r="AJ109" s="4" t="n">
        <v>8605.0</v>
      </c>
      <c r="AK109" s="4" t="n">
        <v>9117.0</v>
      </c>
      <c r="AL109" s="4" t="n">
        <v>9684.0</v>
      </c>
      <c r="AM109" s="4" t="n">
        <v>10138.0</v>
      </c>
      <c r="AN109" s="4" t="n">
        <v>10508.0</v>
      </c>
      <c r="AO109" s="3" t="n">
        <v>10713.0</v>
      </c>
    </row>
    <row r="110" spans="1:41" x14ac:dyDescent="0.2">
      <c r="A110" s="123" t="s">
        <v>49</v>
      </c>
      <c r="B110" s="56" t="s">
        <v>46</v>
      </c>
      <c r="C110" s="58" t="n">
        <v>1697252.0</v>
      </c>
      <c r="D110" s="58" t="n">
        <v>1695952.0</v>
      </c>
      <c r="E110" s="58" t="n">
        <v>1694899.0</v>
      </c>
      <c r="F110" s="58" t="n">
        <v>1693920.0</v>
      </c>
      <c r="G110" s="58" t="n">
        <v>1693026.0</v>
      </c>
      <c r="H110" s="58" t="n">
        <v>1696881.0</v>
      </c>
      <c r="I110" s="58" t="n">
        <v>1702362.0</v>
      </c>
      <c r="J110" s="58" t="n">
        <v>1704196.0</v>
      </c>
      <c r="K110" s="58" t="n">
        <v>1704088.0</v>
      </c>
      <c r="L110" s="58" t="n">
        <v>1703123.0</v>
      </c>
      <c r="M110" s="58" t="n">
        <v>1701616.0</v>
      </c>
      <c r="N110" s="58" t="n">
        <v>1699676.0</v>
      </c>
      <c r="O110" s="58" t="n">
        <v>1697318.0</v>
      </c>
      <c r="P110" s="58" t="n">
        <v>1694866.0</v>
      </c>
      <c r="Q110" s="58" t="n">
        <v>1692337.0</v>
      </c>
      <c r="R110" s="58" t="n">
        <v>1689755.0</v>
      </c>
      <c r="S110" s="58" t="n">
        <v>1687229.0</v>
      </c>
      <c r="T110" s="58" t="n">
        <v>1684571.0</v>
      </c>
      <c r="U110" s="58" t="n">
        <v>1681978.0</v>
      </c>
      <c r="V110" s="58" t="n">
        <v>1679483.0</v>
      </c>
      <c r="W110" s="58" t="n">
        <v>1677091.0</v>
      </c>
      <c r="X110" s="58" t="n">
        <v>1674809.0</v>
      </c>
      <c r="Y110" s="58" t="n">
        <v>1672617.0</v>
      </c>
      <c r="Z110" s="58" t="n">
        <v>1670265.0</v>
      </c>
      <c r="AA110" s="58" t="n">
        <v>1667949.0</v>
      </c>
      <c r="AB110" s="58" t="n">
        <v>1665650.0</v>
      </c>
      <c r="AC110" s="58" t="n">
        <v>1663313.0</v>
      </c>
      <c r="AD110" s="58" t="n">
        <v>1660913.0</v>
      </c>
      <c r="AE110" s="58" t="n">
        <v>1658241.0</v>
      </c>
      <c r="AF110" s="58" t="n">
        <v>1655502.0</v>
      </c>
      <c r="AG110" s="58" t="n">
        <v>1652633.0</v>
      </c>
      <c r="AH110" s="58" t="n">
        <v>1649709.0</v>
      </c>
      <c r="AI110" s="58" t="n">
        <v>1646683.0</v>
      </c>
      <c r="AJ110" s="58" t="n">
        <v>1643570.0</v>
      </c>
      <c r="AK110" s="58" t="n">
        <v>1640221.0</v>
      </c>
      <c r="AL110" s="58" t="n">
        <v>1636800.0</v>
      </c>
      <c r="AM110" s="58" t="n">
        <v>1633341.0</v>
      </c>
      <c r="AN110" s="58" t="n">
        <v>1629887.0</v>
      </c>
      <c r="AO110" s="57" t="n">
        <v>1626435.0</v>
      </c>
    </row>
    <row r="111" spans="1:41" x14ac:dyDescent="0.2">
      <c r="A111" s="122"/>
      <c r="B111" s="9">
        <v>0</v>
      </c>
      <c r="C111" s="3" t="n">
        <v>15276.0</v>
      </c>
      <c r="D111" s="3" t="n">
        <v>16388.0</v>
      </c>
      <c r="E111" s="3" t="n">
        <v>16559.0</v>
      </c>
      <c r="F111" s="3" t="n">
        <v>16684.0</v>
      </c>
      <c r="G111" s="3" t="n">
        <v>16741.0</v>
      </c>
      <c r="H111" s="3" t="n">
        <v>16853.0</v>
      </c>
      <c r="I111" s="3" t="n">
        <v>17012.0</v>
      </c>
      <c r="J111" s="3" t="n">
        <v>17146.0</v>
      </c>
      <c r="K111" s="3" t="n">
        <v>17191.0</v>
      </c>
      <c r="L111" s="3" t="n">
        <v>17206.0</v>
      </c>
      <c r="M111" s="3" t="n">
        <v>17195.0</v>
      </c>
      <c r="N111" s="3" t="n">
        <v>17160.0</v>
      </c>
      <c r="O111" s="3" t="n">
        <v>17158.0</v>
      </c>
      <c r="P111" s="3" t="n">
        <v>17187.0</v>
      </c>
      <c r="Q111" s="3" t="n">
        <v>17270.0</v>
      </c>
      <c r="R111" s="3" t="n">
        <v>17382.0</v>
      </c>
      <c r="S111" s="3" t="n">
        <v>17511.0</v>
      </c>
      <c r="T111" s="3" t="n">
        <v>17657.0</v>
      </c>
      <c r="U111" s="3" t="n">
        <v>17823.0</v>
      </c>
      <c r="V111" s="3" t="n">
        <v>17968.0</v>
      </c>
      <c r="W111" s="3" t="n">
        <v>18090.0</v>
      </c>
      <c r="X111" s="3" t="n">
        <v>18188.0</v>
      </c>
      <c r="Y111" s="3" t="n">
        <v>18259.0</v>
      </c>
      <c r="Z111" s="3" t="n">
        <v>18287.0</v>
      </c>
      <c r="AA111" s="3" t="n">
        <v>18264.0</v>
      </c>
      <c r="AB111" s="3" t="n">
        <v>18222.0</v>
      </c>
      <c r="AC111" s="3" t="n">
        <v>18120.0</v>
      </c>
      <c r="AD111" s="3" t="n">
        <v>18000.0</v>
      </c>
      <c r="AE111" s="3" t="n">
        <v>17847.0</v>
      </c>
      <c r="AF111" s="3" t="n">
        <v>17680.0</v>
      </c>
      <c r="AG111" s="3" t="n">
        <v>17514.0</v>
      </c>
      <c r="AH111" s="3" t="n">
        <v>17320.0</v>
      </c>
      <c r="AI111" s="3" t="n">
        <v>17150.0</v>
      </c>
      <c r="AJ111" s="3" t="n">
        <v>16985.0</v>
      </c>
      <c r="AK111" s="3" t="n">
        <v>16856.0</v>
      </c>
      <c r="AL111" s="3" t="n">
        <v>16736.0</v>
      </c>
      <c r="AM111" s="3" t="n">
        <v>16644.0</v>
      </c>
      <c r="AN111" s="3" t="n">
        <v>16588.0</v>
      </c>
      <c r="AO111" s="3" t="n">
        <v>16557.0</v>
      </c>
    </row>
    <row r="112" spans="1:41" x14ac:dyDescent="0.2">
      <c r="A112" s="122"/>
      <c r="B112" s="9">
        <v>1</v>
      </c>
      <c r="C112" s="3" t="n">
        <v>17257.0</v>
      </c>
      <c r="D112" s="3" t="n">
        <v>15336.0</v>
      </c>
      <c r="E112" s="3" t="n">
        <v>16456.0</v>
      </c>
      <c r="F112" s="3" t="n">
        <v>16632.0</v>
      </c>
      <c r="G112" s="3" t="n">
        <v>16764.0</v>
      </c>
      <c r="H112" s="3" t="n">
        <v>16935.0</v>
      </c>
      <c r="I112" s="3" t="n">
        <v>17098.0</v>
      </c>
      <c r="J112" s="3" t="n">
        <v>17167.0</v>
      </c>
      <c r="K112" s="3" t="n">
        <v>17275.0</v>
      </c>
      <c r="L112" s="3" t="n">
        <v>17305.0</v>
      </c>
      <c r="M112" s="3" t="n">
        <v>17317.0</v>
      </c>
      <c r="N112" s="3" t="n">
        <v>17297.0</v>
      </c>
      <c r="O112" s="3" t="n">
        <v>17261.0</v>
      </c>
      <c r="P112" s="3" t="n">
        <v>17263.0</v>
      </c>
      <c r="Q112" s="3" t="n">
        <v>17295.0</v>
      </c>
      <c r="R112" s="3" t="n">
        <v>17379.0</v>
      </c>
      <c r="S112" s="3" t="n">
        <v>17498.0</v>
      </c>
      <c r="T112" s="3" t="n">
        <v>17628.0</v>
      </c>
      <c r="U112" s="3" t="n">
        <v>17775.0</v>
      </c>
      <c r="V112" s="3" t="n">
        <v>17944.0</v>
      </c>
      <c r="W112" s="3" t="n">
        <v>18085.0</v>
      </c>
      <c r="X112" s="3" t="n">
        <v>18208.0</v>
      </c>
      <c r="Y112" s="3" t="n">
        <v>18308.0</v>
      </c>
      <c r="Z112" s="3" t="n">
        <v>18377.0</v>
      </c>
      <c r="AA112" s="3" t="n">
        <v>18403.0</v>
      </c>
      <c r="AB112" s="3" t="n">
        <v>18383.0</v>
      </c>
      <c r="AC112" s="3" t="n">
        <v>18341.0</v>
      </c>
      <c r="AD112" s="3" t="n">
        <v>18241.0</v>
      </c>
      <c r="AE112" s="3" t="n">
        <v>18125.0</v>
      </c>
      <c r="AF112" s="3" t="n">
        <v>17972.0</v>
      </c>
      <c r="AG112" s="3" t="n">
        <v>17806.0</v>
      </c>
      <c r="AH112" s="3" t="n">
        <v>17641.0</v>
      </c>
      <c r="AI112" s="3" t="n">
        <v>17447.0</v>
      </c>
      <c r="AJ112" s="3" t="n">
        <v>17278.0</v>
      </c>
      <c r="AK112" s="3" t="n">
        <v>17111.0</v>
      </c>
      <c r="AL112" s="3" t="n">
        <v>16985.0</v>
      </c>
      <c r="AM112" s="3" t="n">
        <v>16867.0</v>
      </c>
      <c r="AN112" s="3" t="n">
        <v>16774.0</v>
      </c>
      <c r="AO112" s="3" t="n">
        <v>16719.0</v>
      </c>
    </row>
    <row r="113" spans="1:41" x14ac:dyDescent="0.2">
      <c r="A113" s="122"/>
      <c r="B113" s="9">
        <v>2</v>
      </c>
      <c r="C113" s="3" t="n">
        <v>18005.0</v>
      </c>
      <c r="D113" s="3" t="n">
        <v>17308.0</v>
      </c>
      <c r="E113" s="3" t="n">
        <v>15394.0</v>
      </c>
      <c r="F113" s="3" t="n">
        <v>16513.0</v>
      </c>
      <c r="G113" s="3" t="n">
        <v>16690.0</v>
      </c>
      <c r="H113" s="3" t="n">
        <v>16988.0</v>
      </c>
      <c r="I113" s="3" t="n">
        <v>17220.0</v>
      </c>
      <c r="J113" s="3" t="n">
        <v>17276.0</v>
      </c>
      <c r="K113" s="3" t="n">
        <v>17276.0</v>
      </c>
      <c r="L113" s="3" t="n">
        <v>17365.0</v>
      </c>
      <c r="M113" s="3" t="n">
        <v>17391.0</v>
      </c>
      <c r="N113" s="3" t="n">
        <v>17394.0</v>
      </c>
      <c r="O113" s="3" t="n">
        <v>17376.0</v>
      </c>
      <c r="P113" s="3" t="n">
        <v>17345.0</v>
      </c>
      <c r="Q113" s="3" t="n">
        <v>17346.0</v>
      </c>
      <c r="R113" s="3" t="n">
        <v>17380.0</v>
      </c>
      <c r="S113" s="3" t="n">
        <v>17462.0</v>
      </c>
      <c r="T113" s="3" t="n">
        <v>17584.0</v>
      </c>
      <c r="U113" s="3" t="n">
        <v>17714.0</v>
      </c>
      <c r="V113" s="3" t="n">
        <v>17861.0</v>
      </c>
      <c r="W113" s="3" t="n">
        <v>18029.0</v>
      </c>
      <c r="X113" s="3" t="n">
        <v>18172.0</v>
      </c>
      <c r="Y113" s="3" t="n">
        <v>18298.0</v>
      </c>
      <c r="Z113" s="3" t="n">
        <v>18398.0</v>
      </c>
      <c r="AA113" s="3" t="n">
        <v>18468.0</v>
      </c>
      <c r="AB113" s="3" t="n">
        <v>18494.0</v>
      </c>
      <c r="AC113" s="3" t="n">
        <v>18472.0</v>
      </c>
      <c r="AD113" s="3" t="n">
        <v>18433.0</v>
      </c>
      <c r="AE113" s="3" t="n">
        <v>18332.0</v>
      </c>
      <c r="AF113" s="3" t="n">
        <v>18217.0</v>
      </c>
      <c r="AG113" s="3" t="n">
        <v>18063.0</v>
      </c>
      <c r="AH113" s="3" t="n">
        <v>17897.0</v>
      </c>
      <c r="AI113" s="3" t="n">
        <v>17733.0</v>
      </c>
      <c r="AJ113" s="3" t="n">
        <v>17544.0</v>
      </c>
      <c r="AK113" s="3" t="n">
        <v>17381.0</v>
      </c>
      <c r="AL113" s="3" t="n">
        <v>17213.0</v>
      </c>
      <c r="AM113" s="3" t="n">
        <v>17088.0</v>
      </c>
      <c r="AN113" s="3" t="n">
        <v>16973.0</v>
      </c>
      <c r="AO113" s="3" t="n">
        <v>16882.0</v>
      </c>
    </row>
    <row r="114" spans="1:41" x14ac:dyDescent="0.2">
      <c r="A114" s="122"/>
      <c r="B114" s="9">
        <v>3</v>
      </c>
      <c r="C114" s="3" t="n">
        <v>19254.0</v>
      </c>
      <c r="D114" s="3" t="n">
        <v>18050.0</v>
      </c>
      <c r="E114" s="3" t="n">
        <v>17357.0</v>
      </c>
      <c r="F114" s="3" t="n">
        <v>15450.0</v>
      </c>
      <c r="G114" s="3" t="n">
        <v>16574.0</v>
      </c>
      <c r="H114" s="3" t="n">
        <v>16915.0</v>
      </c>
      <c r="I114" s="3" t="n">
        <v>17281.0</v>
      </c>
      <c r="J114" s="3" t="n">
        <v>17386.0</v>
      </c>
      <c r="K114" s="3" t="n">
        <v>17382.0</v>
      </c>
      <c r="L114" s="3" t="n">
        <v>17359.0</v>
      </c>
      <c r="M114" s="3" t="n">
        <v>17444.0</v>
      </c>
      <c r="N114" s="3" t="n">
        <v>17459.0</v>
      </c>
      <c r="O114" s="3" t="n">
        <v>17462.0</v>
      </c>
      <c r="P114" s="3" t="n">
        <v>17443.0</v>
      </c>
      <c r="Q114" s="3" t="n">
        <v>17410.0</v>
      </c>
      <c r="R114" s="3" t="n">
        <v>17414.0</v>
      </c>
      <c r="S114" s="3" t="n">
        <v>17453.0</v>
      </c>
      <c r="T114" s="3" t="n">
        <v>17537.0</v>
      </c>
      <c r="U114" s="3" t="n">
        <v>17657.0</v>
      </c>
      <c r="V114" s="3" t="n">
        <v>17787.0</v>
      </c>
      <c r="W114" s="3" t="n">
        <v>17932.0</v>
      </c>
      <c r="X114" s="3" t="n">
        <v>18099.0</v>
      </c>
      <c r="Y114" s="3" t="n">
        <v>18246.0</v>
      </c>
      <c r="Z114" s="3" t="n">
        <v>18371.0</v>
      </c>
      <c r="AA114" s="3" t="n">
        <v>18470.0</v>
      </c>
      <c r="AB114" s="3" t="n">
        <v>18542.0</v>
      </c>
      <c r="AC114" s="3" t="n">
        <v>18568.0</v>
      </c>
      <c r="AD114" s="3" t="n">
        <v>18552.0</v>
      </c>
      <c r="AE114" s="3" t="n">
        <v>18514.0</v>
      </c>
      <c r="AF114" s="3" t="n">
        <v>18414.0</v>
      </c>
      <c r="AG114" s="3" t="n">
        <v>18299.0</v>
      </c>
      <c r="AH114" s="3" t="n">
        <v>18149.0</v>
      </c>
      <c r="AI114" s="3" t="n">
        <v>17982.0</v>
      </c>
      <c r="AJ114" s="3" t="n">
        <v>17818.0</v>
      </c>
      <c r="AK114" s="3" t="n">
        <v>17628.0</v>
      </c>
      <c r="AL114" s="3" t="n">
        <v>17469.0</v>
      </c>
      <c r="AM114" s="3" t="n">
        <v>17300.0</v>
      </c>
      <c r="AN114" s="3" t="n">
        <v>17173.0</v>
      </c>
      <c r="AO114" s="3" t="n">
        <v>17059.0</v>
      </c>
    </row>
    <row r="115" spans="1:41" x14ac:dyDescent="0.2">
      <c r="A115" s="122"/>
      <c r="B115" s="9">
        <v>4</v>
      </c>
      <c r="C115" s="3" t="n">
        <v>19895.0</v>
      </c>
      <c r="D115" s="3" t="n">
        <v>19301.0</v>
      </c>
      <c r="E115" s="3" t="n">
        <v>18104.0</v>
      </c>
      <c r="F115" s="3" t="n">
        <v>17407.0</v>
      </c>
      <c r="G115" s="3" t="n">
        <v>15505.0</v>
      </c>
      <c r="H115" s="3" t="n">
        <v>16797.0</v>
      </c>
      <c r="I115" s="3" t="n">
        <v>17195.0</v>
      </c>
      <c r="J115" s="3" t="n">
        <v>17444.0</v>
      </c>
      <c r="K115" s="3" t="n">
        <v>17489.0</v>
      </c>
      <c r="L115" s="3" t="n">
        <v>17460.0</v>
      </c>
      <c r="M115" s="3" t="n">
        <v>17434.0</v>
      </c>
      <c r="N115" s="3" t="n">
        <v>17508.0</v>
      </c>
      <c r="O115" s="3" t="n">
        <v>17523.0</v>
      </c>
      <c r="P115" s="3" t="n">
        <v>17525.0</v>
      </c>
      <c r="Q115" s="3" t="n">
        <v>17509.0</v>
      </c>
      <c r="R115" s="3" t="n">
        <v>17478.0</v>
      </c>
      <c r="S115" s="3" t="n">
        <v>17484.0</v>
      </c>
      <c r="T115" s="3" t="n">
        <v>17527.0</v>
      </c>
      <c r="U115" s="3" t="n">
        <v>17612.0</v>
      </c>
      <c r="V115" s="3" t="n">
        <v>17733.0</v>
      </c>
      <c r="W115" s="3" t="n">
        <v>17864.0</v>
      </c>
      <c r="X115" s="3" t="n">
        <v>18012.0</v>
      </c>
      <c r="Y115" s="3" t="n">
        <v>18178.0</v>
      </c>
      <c r="Z115" s="3" t="n">
        <v>18329.0</v>
      </c>
      <c r="AA115" s="3" t="n">
        <v>18454.0</v>
      </c>
      <c r="AB115" s="3" t="n">
        <v>18553.0</v>
      </c>
      <c r="AC115" s="3" t="n">
        <v>18622.0</v>
      </c>
      <c r="AD115" s="3" t="n">
        <v>18650.0</v>
      </c>
      <c r="AE115" s="3" t="n">
        <v>18634.0</v>
      </c>
      <c r="AF115" s="3" t="n">
        <v>18596.0</v>
      </c>
      <c r="AG115" s="3" t="n">
        <v>18497.0</v>
      </c>
      <c r="AH115" s="3" t="n">
        <v>18380.0</v>
      </c>
      <c r="AI115" s="3" t="n">
        <v>18234.0</v>
      </c>
      <c r="AJ115" s="3" t="n">
        <v>18070.0</v>
      </c>
      <c r="AK115" s="3" t="n">
        <v>17904.0</v>
      </c>
      <c r="AL115" s="3" t="n">
        <v>17711.0</v>
      </c>
      <c r="AM115" s="3" t="n">
        <v>17555.0</v>
      </c>
      <c r="AN115" s="3" t="n">
        <v>17384.0</v>
      </c>
      <c r="AO115" s="3" t="n">
        <v>17256.0</v>
      </c>
    </row>
    <row r="116" spans="1:41" x14ac:dyDescent="0.2">
      <c r="A116" s="122"/>
      <c r="B116" s="9">
        <v>5</v>
      </c>
      <c r="C116" s="3" t="n">
        <v>21163.0</v>
      </c>
      <c r="D116" s="3" t="n">
        <v>19931.0</v>
      </c>
      <c r="E116" s="3" t="n">
        <v>19341.0</v>
      </c>
      <c r="F116" s="3" t="n">
        <v>18146.0</v>
      </c>
      <c r="G116" s="3" t="n">
        <v>17447.0</v>
      </c>
      <c r="H116" s="3" t="n">
        <v>15727.0</v>
      </c>
      <c r="I116" s="3" t="n">
        <v>17088.0</v>
      </c>
      <c r="J116" s="3" t="n">
        <v>17353.0</v>
      </c>
      <c r="K116" s="3" t="n">
        <v>17523.0</v>
      </c>
      <c r="L116" s="3" t="n">
        <v>17551.0</v>
      </c>
      <c r="M116" s="3" t="n">
        <v>17511.0</v>
      </c>
      <c r="N116" s="3" t="n">
        <v>17474.0</v>
      </c>
      <c r="O116" s="3" t="n">
        <v>17547.0</v>
      </c>
      <c r="P116" s="3" t="n">
        <v>17565.0</v>
      </c>
      <c r="Q116" s="3" t="n">
        <v>17570.0</v>
      </c>
      <c r="R116" s="3" t="n">
        <v>17555.0</v>
      </c>
      <c r="S116" s="3" t="n">
        <v>17523.0</v>
      </c>
      <c r="T116" s="3" t="n">
        <v>17529.0</v>
      </c>
      <c r="U116" s="3" t="n">
        <v>17572.0</v>
      </c>
      <c r="V116" s="3" t="n">
        <v>17660.0</v>
      </c>
      <c r="W116" s="3" t="n">
        <v>17783.0</v>
      </c>
      <c r="X116" s="3" t="n">
        <v>17916.0</v>
      </c>
      <c r="Y116" s="3" t="n">
        <v>18064.0</v>
      </c>
      <c r="Z116" s="3" t="n">
        <v>18232.0</v>
      </c>
      <c r="AA116" s="3" t="n">
        <v>18385.0</v>
      </c>
      <c r="AB116" s="3" t="n">
        <v>18510.0</v>
      </c>
      <c r="AC116" s="3" t="n">
        <v>18609.0</v>
      </c>
      <c r="AD116" s="3" t="n">
        <v>18674.0</v>
      </c>
      <c r="AE116" s="3" t="n">
        <v>18704.0</v>
      </c>
      <c r="AF116" s="3" t="n">
        <v>18686.0</v>
      </c>
      <c r="AG116" s="3" t="n">
        <v>18651.0</v>
      </c>
      <c r="AH116" s="3" t="n">
        <v>18557.0</v>
      </c>
      <c r="AI116" s="3" t="n">
        <v>18444.0</v>
      </c>
      <c r="AJ116" s="3" t="n">
        <v>18291.0</v>
      </c>
      <c r="AK116" s="3" t="n">
        <v>18133.0</v>
      </c>
      <c r="AL116" s="3" t="n">
        <v>17967.0</v>
      </c>
      <c r="AM116" s="3" t="n">
        <v>17773.0</v>
      </c>
      <c r="AN116" s="3" t="n">
        <v>17619.0</v>
      </c>
      <c r="AO116" s="3" t="n">
        <v>17446.0</v>
      </c>
    </row>
    <row r="117" spans="1:41" x14ac:dyDescent="0.2">
      <c r="A117" s="122"/>
      <c r="B117" s="9">
        <v>6</v>
      </c>
      <c r="C117" s="3" t="n">
        <v>20161.0</v>
      </c>
      <c r="D117" s="3" t="n">
        <v>21185.0</v>
      </c>
      <c r="E117" s="3" t="n">
        <v>19950.0</v>
      </c>
      <c r="F117" s="3" t="n">
        <v>19361.0</v>
      </c>
      <c r="G117" s="3" t="n">
        <v>18172.0</v>
      </c>
      <c r="H117" s="3" t="n">
        <v>17680.0</v>
      </c>
      <c r="I117" s="3" t="n">
        <v>16013.0</v>
      </c>
      <c r="J117" s="3" t="n">
        <v>17241.0</v>
      </c>
      <c r="K117" s="3" t="n">
        <v>17428.0</v>
      </c>
      <c r="L117" s="3" t="n">
        <v>17572.0</v>
      </c>
      <c r="M117" s="3" t="n">
        <v>17590.0</v>
      </c>
      <c r="N117" s="3" t="n">
        <v>17542.0</v>
      </c>
      <c r="O117" s="3" t="n">
        <v>17503.0</v>
      </c>
      <c r="P117" s="3" t="n">
        <v>17577.0</v>
      </c>
      <c r="Q117" s="3" t="n">
        <v>17597.0</v>
      </c>
      <c r="R117" s="3" t="n">
        <v>17603.0</v>
      </c>
      <c r="S117" s="3" t="n">
        <v>17590.0</v>
      </c>
      <c r="T117" s="3" t="n">
        <v>17556.0</v>
      </c>
      <c r="U117" s="3" t="n">
        <v>17561.0</v>
      </c>
      <c r="V117" s="3" t="n">
        <v>17603.0</v>
      </c>
      <c r="W117" s="3" t="n">
        <v>17694.0</v>
      </c>
      <c r="X117" s="3" t="n">
        <v>17822.0</v>
      </c>
      <c r="Y117" s="3" t="n">
        <v>17956.0</v>
      </c>
      <c r="Z117" s="3" t="n">
        <v>18103.0</v>
      </c>
      <c r="AA117" s="3" t="n">
        <v>18270.0</v>
      </c>
      <c r="AB117" s="3" t="n">
        <v>18427.0</v>
      </c>
      <c r="AC117" s="3" t="n">
        <v>18552.0</v>
      </c>
      <c r="AD117" s="3" t="n">
        <v>18652.0</v>
      </c>
      <c r="AE117" s="3" t="n">
        <v>18716.0</v>
      </c>
      <c r="AF117" s="3" t="n">
        <v>18746.0</v>
      </c>
      <c r="AG117" s="3" t="n">
        <v>18729.0</v>
      </c>
      <c r="AH117" s="3" t="n">
        <v>18694.0</v>
      </c>
      <c r="AI117" s="3" t="n">
        <v>18599.0</v>
      </c>
      <c r="AJ117" s="3" t="n">
        <v>18487.0</v>
      </c>
      <c r="AK117" s="3" t="n">
        <v>18336.0</v>
      </c>
      <c r="AL117" s="3" t="n">
        <v>18178.0</v>
      </c>
      <c r="AM117" s="3" t="n">
        <v>18013.0</v>
      </c>
      <c r="AN117" s="3" t="n">
        <v>17821.0</v>
      </c>
      <c r="AO117" s="3" t="n">
        <v>17668.0</v>
      </c>
    </row>
    <row r="118" spans="1:41" x14ac:dyDescent="0.2">
      <c r="A118" s="122"/>
      <c r="B118" s="9">
        <v>7</v>
      </c>
      <c r="C118" s="3" t="n">
        <v>19734.0</v>
      </c>
      <c r="D118" s="3" t="n">
        <v>20170.0</v>
      </c>
      <c r="E118" s="3" t="n">
        <v>21194.0</v>
      </c>
      <c r="F118" s="3" t="n">
        <v>19971.0</v>
      </c>
      <c r="G118" s="3" t="n">
        <v>19392.0</v>
      </c>
      <c r="H118" s="3" t="n">
        <v>18394.0</v>
      </c>
      <c r="I118" s="3" t="n">
        <v>17980.0</v>
      </c>
      <c r="J118" s="3" t="n">
        <v>16166.0</v>
      </c>
      <c r="K118" s="3" t="n">
        <v>17323.0</v>
      </c>
      <c r="L118" s="3" t="n">
        <v>17482.0</v>
      </c>
      <c r="M118" s="3" t="n">
        <v>17609.0</v>
      </c>
      <c r="N118" s="3" t="n">
        <v>17617.0</v>
      </c>
      <c r="O118" s="3" t="n">
        <v>17568.0</v>
      </c>
      <c r="P118" s="3" t="n">
        <v>17529.0</v>
      </c>
      <c r="Q118" s="3" t="n">
        <v>17605.0</v>
      </c>
      <c r="R118" s="3" t="n">
        <v>17624.0</v>
      </c>
      <c r="S118" s="3" t="n">
        <v>17631.0</v>
      </c>
      <c r="T118" s="3" t="n">
        <v>17619.0</v>
      </c>
      <c r="U118" s="3" t="n">
        <v>17584.0</v>
      </c>
      <c r="V118" s="3" t="n">
        <v>17591.0</v>
      </c>
      <c r="W118" s="3" t="n">
        <v>17630.0</v>
      </c>
      <c r="X118" s="3" t="n">
        <v>17721.0</v>
      </c>
      <c r="Y118" s="3" t="n">
        <v>17848.0</v>
      </c>
      <c r="Z118" s="3" t="n">
        <v>17983.0</v>
      </c>
      <c r="AA118" s="3" t="n">
        <v>18130.0</v>
      </c>
      <c r="AB118" s="3" t="n">
        <v>18296.0</v>
      </c>
      <c r="AC118" s="3" t="n">
        <v>18455.0</v>
      </c>
      <c r="AD118" s="3" t="n">
        <v>18580.0</v>
      </c>
      <c r="AE118" s="3" t="n">
        <v>18682.0</v>
      </c>
      <c r="AF118" s="3" t="n">
        <v>18745.0</v>
      </c>
      <c r="AG118" s="3" t="n">
        <v>18775.0</v>
      </c>
      <c r="AH118" s="3" t="n">
        <v>18758.0</v>
      </c>
      <c r="AI118" s="3" t="n">
        <v>18724.0</v>
      </c>
      <c r="AJ118" s="3" t="n">
        <v>18630.0</v>
      </c>
      <c r="AK118" s="3" t="n">
        <v>18520.0</v>
      </c>
      <c r="AL118" s="3" t="n">
        <v>18368.0</v>
      </c>
      <c r="AM118" s="3" t="n">
        <v>18212.0</v>
      </c>
      <c r="AN118" s="3" t="n">
        <v>18049.0</v>
      </c>
      <c r="AO118" s="3" t="n">
        <v>17858.0</v>
      </c>
    </row>
    <row r="119" spans="1:41" x14ac:dyDescent="0.2">
      <c r="A119" s="122"/>
      <c r="B119" s="9">
        <v>8</v>
      </c>
      <c r="C119" s="3" t="n">
        <v>19861.0</v>
      </c>
      <c r="D119" s="3" t="n">
        <v>19743.0</v>
      </c>
      <c r="E119" s="3" t="n">
        <v>20186.0</v>
      </c>
      <c r="F119" s="3" t="n">
        <v>21216.0</v>
      </c>
      <c r="G119" s="3" t="n">
        <v>19998.0</v>
      </c>
      <c r="H119" s="3" t="n">
        <v>19628.0</v>
      </c>
      <c r="I119" s="3" t="n">
        <v>18710.0</v>
      </c>
      <c r="J119" s="3" t="n">
        <v>18140.0</v>
      </c>
      <c r="K119" s="3" t="n">
        <v>16244.0</v>
      </c>
      <c r="L119" s="3" t="n">
        <v>17364.0</v>
      </c>
      <c r="M119" s="3" t="n">
        <v>17508.0</v>
      </c>
      <c r="N119" s="3" t="n">
        <v>17631.0</v>
      </c>
      <c r="O119" s="3" t="n">
        <v>17636.0</v>
      </c>
      <c r="P119" s="3" t="n">
        <v>17587.0</v>
      </c>
      <c r="Q119" s="3" t="n">
        <v>17548.0</v>
      </c>
      <c r="R119" s="3" t="n">
        <v>17626.0</v>
      </c>
      <c r="S119" s="3" t="n">
        <v>17647.0</v>
      </c>
      <c r="T119" s="3" t="n">
        <v>17653.0</v>
      </c>
      <c r="U119" s="3" t="n">
        <v>17642.0</v>
      </c>
      <c r="V119" s="3" t="n">
        <v>17608.0</v>
      </c>
      <c r="W119" s="3" t="n">
        <v>17616.0</v>
      </c>
      <c r="X119" s="3" t="n">
        <v>17654.0</v>
      </c>
      <c r="Y119" s="3" t="n">
        <v>17744.0</v>
      </c>
      <c r="Z119" s="3" t="n">
        <v>17871.0</v>
      </c>
      <c r="AA119" s="3" t="n">
        <v>18005.0</v>
      </c>
      <c r="AB119" s="3" t="n">
        <v>18150.0</v>
      </c>
      <c r="AC119" s="3" t="n">
        <v>18316.0</v>
      </c>
      <c r="AD119" s="3" t="n">
        <v>18478.0</v>
      </c>
      <c r="AE119" s="3" t="n">
        <v>18600.0</v>
      </c>
      <c r="AF119" s="3" t="n">
        <v>18700.0</v>
      </c>
      <c r="AG119" s="3" t="n">
        <v>18763.0</v>
      </c>
      <c r="AH119" s="3" t="n">
        <v>18794.0</v>
      </c>
      <c r="AI119" s="3" t="n">
        <v>18779.0</v>
      </c>
      <c r="AJ119" s="3" t="n">
        <v>18746.0</v>
      </c>
      <c r="AK119" s="3" t="n">
        <v>18651.0</v>
      </c>
      <c r="AL119" s="3" t="n">
        <v>18541.0</v>
      </c>
      <c r="AM119" s="3" t="n">
        <v>18390.0</v>
      </c>
      <c r="AN119" s="3" t="n">
        <v>18236.0</v>
      </c>
      <c r="AO119" s="3" t="n">
        <v>18071.0</v>
      </c>
    </row>
    <row r="120" spans="1:41" x14ac:dyDescent="0.2">
      <c r="A120" s="122"/>
      <c r="B120" s="9">
        <v>9</v>
      </c>
      <c r="C120" s="3" t="n">
        <v>19290.0</v>
      </c>
      <c r="D120" s="3" t="n">
        <v>19879.0</v>
      </c>
      <c r="E120" s="3" t="n">
        <v>19760.0</v>
      </c>
      <c r="F120" s="3" t="n">
        <v>20209.0</v>
      </c>
      <c r="G120" s="3" t="n">
        <v>21241.0</v>
      </c>
      <c r="H120" s="3" t="n">
        <v>20243.0</v>
      </c>
      <c r="I120" s="3" t="n">
        <v>19953.0</v>
      </c>
      <c r="J120" s="3" t="n">
        <v>18872.0</v>
      </c>
      <c r="K120" s="3" t="n">
        <v>18222.0</v>
      </c>
      <c r="L120" s="3" t="n">
        <v>16298.0</v>
      </c>
      <c r="M120" s="3" t="n">
        <v>17396.0</v>
      </c>
      <c r="N120" s="3" t="n">
        <v>17527.0</v>
      </c>
      <c r="O120" s="3" t="n">
        <v>17643.0</v>
      </c>
      <c r="P120" s="3" t="n">
        <v>17651.0</v>
      </c>
      <c r="Q120" s="3" t="n">
        <v>17602.0</v>
      </c>
      <c r="R120" s="3" t="n">
        <v>17562.0</v>
      </c>
      <c r="S120" s="3" t="n">
        <v>17641.0</v>
      </c>
      <c r="T120" s="3" t="n">
        <v>17662.0</v>
      </c>
      <c r="U120" s="3" t="n">
        <v>17672.0</v>
      </c>
      <c r="V120" s="3" t="n">
        <v>17662.0</v>
      </c>
      <c r="W120" s="3" t="n">
        <v>17627.0</v>
      </c>
      <c r="X120" s="3" t="n">
        <v>17637.0</v>
      </c>
      <c r="Y120" s="3" t="n">
        <v>17676.0</v>
      </c>
      <c r="Z120" s="3" t="n">
        <v>17766.0</v>
      </c>
      <c r="AA120" s="3" t="n">
        <v>17895.0</v>
      </c>
      <c r="AB120" s="3" t="n">
        <v>18030.0</v>
      </c>
      <c r="AC120" s="3" t="n">
        <v>18177.0</v>
      </c>
      <c r="AD120" s="3" t="n">
        <v>18340.0</v>
      </c>
      <c r="AE120" s="3" t="n">
        <v>18503.0</v>
      </c>
      <c r="AF120" s="3" t="n">
        <v>18623.0</v>
      </c>
      <c r="AG120" s="3" t="n">
        <v>18722.0</v>
      </c>
      <c r="AH120" s="3" t="n">
        <v>18784.0</v>
      </c>
      <c r="AI120" s="3" t="n">
        <v>18815.0</v>
      </c>
      <c r="AJ120" s="3" t="n">
        <v>18801.0</v>
      </c>
      <c r="AK120" s="3" t="n">
        <v>18769.0</v>
      </c>
      <c r="AL120" s="3" t="n">
        <v>18674.0</v>
      </c>
      <c r="AM120" s="3" t="n">
        <v>18565.0</v>
      </c>
      <c r="AN120" s="3" t="n">
        <v>18416.0</v>
      </c>
      <c r="AO120" s="3" t="n">
        <v>18260.0</v>
      </c>
    </row>
    <row r="121" spans="1:41" x14ac:dyDescent="0.2">
      <c r="A121" s="122"/>
      <c r="B121" s="9">
        <v>10</v>
      </c>
      <c r="C121" s="3" t="n">
        <v>20355.0</v>
      </c>
      <c r="D121" s="3" t="n">
        <v>19293.0</v>
      </c>
      <c r="E121" s="3" t="n">
        <v>19887.0</v>
      </c>
      <c r="F121" s="3" t="n">
        <v>19768.0</v>
      </c>
      <c r="G121" s="3" t="n">
        <v>20228.0</v>
      </c>
      <c r="H121" s="3" t="n">
        <v>21476.0</v>
      </c>
      <c r="I121" s="3" t="n">
        <v>20564.0</v>
      </c>
      <c r="J121" s="3" t="n">
        <v>20111.0</v>
      </c>
      <c r="K121" s="3" t="n">
        <v>18947.0</v>
      </c>
      <c r="L121" s="3" t="n">
        <v>18269.0</v>
      </c>
      <c r="M121" s="3" t="n">
        <v>16331.0</v>
      </c>
      <c r="N121" s="3" t="n">
        <v>17410.0</v>
      </c>
      <c r="O121" s="3" t="n">
        <v>17538.0</v>
      </c>
      <c r="P121" s="3" t="n">
        <v>17654.0</v>
      </c>
      <c r="Q121" s="3" t="n">
        <v>17662.0</v>
      </c>
      <c r="R121" s="3" t="n">
        <v>17613.0</v>
      </c>
      <c r="S121" s="3" t="n">
        <v>17573.0</v>
      </c>
      <c r="T121" s="3" t="n">
        <v>17652.0</v>
      </c>
      <c r="U121" s="3" t="n">
        <v>17674.0</v>
      </c>
      <c r="V121" s="3" t="n">
        <v>17684.0</v>
      </c>
      <c r="W121" s="3" t="n">
        <v>17674.0</v>
      </c>
      <c r="X121" s="3" t="n">
        <v>17640.0</v>
      </c>
      <c r="Y121" s="3" t="n">
        <v>17651.0</v>
      </c>
      <c r="Z121" s="3" t="n">
        <v>17689.0</v>
      </c>
      <c r="AA121" s="3" t="n">
        <v>17781.0</v>
      </c>
      <c r="AB121" s="3" t="n">
        <v>17909.0</v>
      </c>
      <c r="AC121" s="3" t="n">
        <v>18045.0</v>
      </c>
      <c r="AD121" s="3" t="n">
        <v>18191.0</v>
      </c>
      <c r="AE121" s="3" t="n">
        <v>18354.0</v>
      </c>
      <c r="AF121" s="3" t="n">
        <v>18518.0</v>
      </c>
      <c r="AG121" s="3" t="n">
        <v>18636.0</v>
      </c>
      <c r="AH121" s="3" t="n">
        <v>18738.0</v>
      </c>
      <c r="AI121" s="3" t="n">
        <v>18801.0</v>
      </c>
      <c r="AJ121" s="3" t="n">
        <v>18833.0</v>
      </c>
      <c r="AK121" s="3" t="n">
        <v>18819.0</v>
      </c>
      <c r="AL121" s="3" t="n">
        <v>18786.0</v>
      </c>
      <c r="AM121" s="3" t="n">
        <v>18690.0</v>
      </c>
      <c r="AN121" s="3" t="n">
        <v>18583.0</v>
      </c>
      <c r="AO121" s="3" t="n">
        <v>18434.0</v>
      </c>
    </row>
    <row r="122" spans="1:41" x14ac:dyDescent="0.2">
      <c r="A122" s="122"/>
      <c r="B122" s="9">
        <v>11</v>
      </c>
      <c r="C122" s="3" t="n">
        <v>20060.0</v>
      </c>
      <c r="D122" s="3" t="n">
        <v>20363.0</v>
      </c>
      <c r="E122" s="3" t="n">
        <v>19299.0</v>
      </c>
      <c r="F122" s="3" t="n">
        <v>19897.0</v>
      </c>
      <c r="G122" s="3" t="n">
        <v>19788.0</v>
      </c>
      <c r="H122" s="3" t="n">
        <v>20452.0</v>
      </c>
      <c r="I122" s="3" t="n">
        <v>21789.0</v>
      </c>
      <c r="J122" s="3" t="n">
        <v>20717.0</v>
      </c>
      <c r="K122" s="3" t="n">
        <v>20180.0</v>
      </c>
      <c r="L122" s="3" t="n">
        <v>18986.0</v>
      </c>
      <c r="M122" s="3" t="n">
        <v>18287.0</v>
      </c>
      <c r="N122" s="3" t="n">
        <v>16339.0</v>
      </c>
      <c r="O122" s="3" t="n">
        <v>17410.0</v>
      </c>
      <c r="P122" s="3" t="n">
        <v>17537.0</v>
      </c>
      <c r="Q122" s="3" t="n">
        <v>17653.0</v>
      </c>
      <c r="R122" s="3" t="n">
        <v>17664.0</v>
      </c>
      <c r="S122" s="3" t="n">
        <v>17615.0</v>
      </c>
      <c r="T122" s="3" t="n">
        <v>17574.0</v>
      </c>
      <c r="U122" s="3" t="n">
        <v>17655.0</v>
      </c>
      <c r="V122" s="3" t="n">
        <v>17677.0</v>
      </c>
      <c r="W122" s="3" t="n">
        <v>17688.0</v>
      </c>
      <c r="X122" s="3" t="n">
        <v>17678.0</v>
      </c>
      <c r="Y122" s="3" t="n">
        <v>17646.0</v>
      </c>
      <c r="Z122" s="3" t="n">
        <v>17656.0</v>
      </c>
      <c r="AA122" s="3" t="n">
        <v>17694.0</v>
      </c>
      <c r="AB122" s="3" t="n">
        <v>17785.0</v>
      </c>
      <c r="AC122" s="3" t="n">
        <v>17914.0</v>
      </c>
      <c r="AD122" s="3" t="n">
        <v>18051.0</v>
      </c>
      <c r="AE122" s="3" t="n">
        <v>18194.0</v>
      </c>
      <c r="AF122" s="3" t="n">
        <v>18359.0</v>
      </c>
      <c r="AG122" s="3" t="n">
        <v>18524.0</v>
      </c>
      <c r="AH122" s="3" t="n">
        <v>18641.0</v>
      </c>
      <c r="AI122" s="3" t="n">
        <v>18746.0</v>
      </c>
      <c r="AJ122" s="3" t="n">
        <v>18807.0</v>
      </c>
      <c r="AK122" s="3" t="n">
        <v>18840.0</v>
      </c>
      <c r="AL122" s="3" t="n">
        <v>18824.0</v>
      </c>
      <c r="AM122" s="3" t="n">
        <v>18792.0</v>
      </c>
      <c r="AN122" s="3" t="n">
        <v>18695.0</v>
      </c>
      <c r="AO122" s="3" t="n">
        <v>18587.0</v>
      </c>
    </row>
    <row r="123" spans="1:41" x14ac:dyDescent="0.2">
      <c r="A123" s="122"/>
      <c r="B123" s="9">
        <v>12</v>
      </c>
      <c r="C123" s="3" t="n">
        <v>21437.0</v>
      </c>
      <c r="D123" s="3" t="n">
        <v>20062.0</v>
      </c>
      <c r="E123" s="3" t="n">
        <v>20366.0</v>
      </c>
      <c r="F123" s="3" t="n">
        <v>19308.0</v>
      </c>
      <c r="G123" s="3" t="n">
        <v>19909.0</v>
      </c>
      <c r="H123" s="3" t="n">
        <v>20006.0</v>
      </c>
      <c r="I123" s="3" t="n">
        <v>20745.0</v>
      </c>
      <c r="J123" s="3" t="n">
        <v>21923.0</v>
      </c>
      <c r="K123" s="3" t="n">
        <v>20772.0</v>
      </c>
      <c r="L123" s="3" t="n">
        <v>20203.0</v>
      </c>
      <c r="M123" s="3" t="n">
        <v>19000.0</v>
      </c>
      <c r="N123" s="3" t="n">
        <v>18297.0</v>
      </c>
      <c r="O123" s="3" t="n">
        <v>16344.0</v>
      </c>
      <c r="P123" s="3" t="n">
        <v>17409.0</v>
      </c>
      <c r="Q123" s="3" t="n">
        <v>17537.0</v>
      </c>
      <c r="R123" s="3" t="n">
        <v>17655.0</v>
      </c>
      <c r="S123" s="3" t="n">
        <v>17668.0</v>
      </c>
      <c r="T123" s="3" t="n">
        <v>17619.0</v>
      </c>
      <c r="U123" s="3" t="n">
        <v>17576.0</v>
      </c>
      <c r="V123" s="3" t="n">
        <v>17660.0</v>
      </c>
      <c r="W123" s="3" t="n">
        <v>17683.0</v>
      </c>
      <c r="X123" s="3" t="n">
        <v>17694.0</v>
      </c>
      <c r="Y123" s="3" t="n">
        <v>17683.0</v>
      </c>
      <c r="Z123" s="3" t="n">
        <v>17652.0</v>
      </c>
      <c r="AA123" s="3" t="n">
        <v>17661.0</v>
      </c>
      <c r="AB123" s="3" t="n">
        <v>17701.0</v>
      </c>
      <c r="AC123" s="3" t="n">
        <v>17792.0</v>
      </c>
      <c r="AD123" s="3" t="n">
        <v>17919.0</v>
      </c>
      <c r="AE123" s="3" t="n">
        <v>18056.0</v>
      </c>
      <c r="AF123" s="3" t="n">
        <v>18196.0</v>
      </c>
      <c r="AG123" s="3" t="n">
        <v>18361.0</v>
      </c>
      <c r="AH123" s="3" t="n">
        <v>18525.0</v>
      </c>
      <c r="AI123" s="3" t="n">
        <v>18640.0</v>
      </c>
      <c r="AJ123" s="3" t="n">
        <v>18746.0</v>
      </c>
      <c r="AK123" s="3" t="n">
        <v>18807.0</v>
      </c>
      <c r="AL123" s="3" t="n">
        <v>18838.0</v>
      </c>
      <c r="AM123" s="3" t="n">
        <v>18822.0</v>
      </c>
      <c r="AN123" s="3" t="n">
        <v>18790.0</v>
      </c>
      <c r="AO123" s="3" t="n">
        <v>18694.0</v>
      </c>
    </row>
    <row r="124" spans="1:41" x14ac:dyDescent="0.2">
      <c r="A124" s="122"/>
      <c r="B124" s="9">
        <v>13</v>
      </c>
      <c r="C124" s="3" t="n">
        <v>21709.0</v>
      </c>
      <c r="D124" s="3" t="n">
        <v>21433.0</v>
      </c>
      <c r="E124" s="3" t="n">
        <v>20060.0</v>
      </c>
      <c r="F124" s="3" t="n">
        <v>20372.0</v>
      </c>
      <c r="G124" s="3" t="n">
        <v>19319.0</v>
      </c>
      <c r="H124" s="3" t="n">
        <v>20119.0</v>
      </c>
      <c r="I124" s="3" t="n">
        <v>20285.0</v>
      </c>
      <c r="J124" s="3" t="n">
        <v>20871.0</v>
      </c>
      <c r="K124" s="3" t="n">
        <v>21970.0</v>
      </c>
      <c r="L124" s="3" t="n">
        <v>20801.0</v>
      </c>
      <c r="M124" s="3" t="n">
        <v>20215.0</v>
      </c>
      <c r="N124" s="3" t="n">
        <v>19004.0</v>
      </c>
      <c r="O124" s="3" t="n">
        <v>18297.0</v>
      </c>
      <c r="P124" s="3" t="n">
        <v>16348.0</v>
      </c>
      <c r="Q124" s="3" t="n">
        <v>17409.0</v>
      </c>
      <c r="R124" s="3" t="n">
        <v>17536.0</v>
      </c>
      <c r="S124" s="3" t="n">
        <v>17654.0</v>
      </c>
      <c r="T124" s="3" t="n">
        <v>17667.0</v>
      </c>
      <c r="U124" s="3" t="n">
        <v>17620.0</v>
      </c>
      <c r="V124" s="3" t="n">
        <v>17575.0</v>
      </c>
      <c r="W124" s="3" t="n">
        <v>17660.0</v>
      </c>
      <c r="X124" s="3" t="n">
        <v>17682.0</v>
      </c>
      <c r="Y124" s="3" t="n">
        <v>17693.0</v>
      </c>
      <c r="Z124" s="3" t="n">
        <v>17682.0</v>
      </c>
      <c r="AA124" s="3" t="n">
        <v>17653.0</v>
      </c>
      <c r="AB124" s="3" t="n">
        <v>17662.0</v>
      </c>
      <c r="AC124" s="3" t="n">
        <v>17703.0</v>
      </c>
      <c r="AD124" s="3" t="n">
        <v>17794.0</v>
      </c>
      <c r="AE124" s="3" t="n">
        <v>17920.0</v>
      </c>
      <c r="AF124" s="3" t="n">
        <v>18057.0</v>
      </c>
      <c r="AG124" s="3" t="n">
        <v>18196.0</v>
      </c>
      <c r="AH124" s="3" t="n">
        <v>18362.0</v>
      </c>
      <c r="AI124" s="3" t="n">
        <v>18529.0</v>
      </c>
      <c r="AJ124" s="3" t="n">
        <v>18644.0</v>
      </c>
      <c r="AK124" s="3" t="n">
        <v>18750.0</v>
      </c>
      <c r="AL124" s="3" t="n">
        <v>18813.0</v>
      </c>
      <c r="AM124" s="3" t="n">
        <v>18843.0</v>
      </c>
      <c r="AN124" s="3" t="n">
        <v>18826.0</v>
      </c>
      <c r="AO124" s="3" t="n">
        <v>18794.0</v>
      </c>
    </row>
    <row r="125" spans="1:41" x14ac:dyDescent="0.2">
      <c r="A125" s="122"/>
      <c r="B125" s="9">
        <v>14</v>
      </c>
      <c r="C125" s="3" t="n">
        <v>21307.0</v>
      </c>
      <c r="D125" s="3" t="n">
        <v>21707.0</v>
      </c>
      <c r="E125" s="3" t="n">
        <v>21437.0</v>
      </c>
      <c r="F125" s="3" t="n">
        <v>20069.0</v>
      </c>
      <c r="G125" s="3" t="n">
        <v>20388.0</v>
      </c>
      <c r="H125" s="3" t="n">
        <v>19529.0</v>
      </c>
      <c r="I125" s="3" t="n">
        <v>20401.0</v>
      </c>
      <c r="J125" s="3" t="n">
        <v>20417.0</v>
      </c>
      <c r="K125" s="3" t="n">
        <v>20931.0</v>
      </c>
      <c r="L125" s="3" t="n">
        <v>22003.0</v>
      </c>
      <c r="M125" s="3" t="n">
        <v>20820.0</v>
      </c>
      <c r="N125" s="3" t="n">
        <v>20218.0</v>
      </c>
      <c r="O125" s="3" t="n">
        <v>18999.0</v>
      </c>
      <c r="P125" s="3" t="n">
        <v>18295.0</v>
      </c>
      <c r="Q125" s="3" t="n">
        <v>16347.0</v>
      </c>
      <c r="R125" s="3" t="n">
        <v>17405.0</v>
      </c>
      <c r="S125" s="3" t="n">
        <v>17533.0</v>
      </c>
      <c r="T125" s="3" t="n">
        <v>17651.0</v>
      </c>
      <c r="U125" s="3" t="n">
        <v>17661.0</v>
      </c>
      <c r="V125" s="3" t="n">
        <v>17615.0</v>
      </c>
      <c r="W125" s="3" t="n">
        <v>17572.0</v>
      </c>
      <c r="X125" s="3" t="n">
        <v>17657.0</v>
      </c>
      <c r="Y125" s="3" t="n">
        <v>17679.0</v>
      </c>
      <c r="Z125" s="3" t="n">
        <v>17690.0</v>
      </c>
      <c r="AA125" s="3" t="n">
        <v>17681.0</v>
      </c>
      <c r="AB125" s="3" t="n">
        <v>17651.0</v>
      </c>
      <c r="AC125" s="3" t="n">
        <v>17659.0</v>
      </c>
      <c r="AD125" s="3" t="n">
        <v>17701.0</v>
      </c>
      <c r="AE125" s="3" t="n">
        <v>17790.0</v>
      </c>
      <c r="AF125" s="3" t="n">
        <v>17915.0</v>
      </c>
      <c r="AG125" s="3" t="n">
        <v>18053.0</v>
      </c>
      <c r="AH125" s="3" t="n">
        <v>18191.0</v>
      </c>
      <c r="AI125" s="3" t="n">
        <v>18356.0</v>
      </c>
      <c r="AJ125" s="3" t="n">
        <v>18523.0</v>
      </c>
      <c r="AK125" s="3" t="n">
        <v>18636.0</v>
      </c>
      <c r="AL125" s="3" t="n">
        <v>18742.0</v>
      </c>
      <c r="AM125" s="3" t="n">
        <v>18806.0</v>
      </c>
      <c r="AN125" s="3" t="n">
        <v>18838.0</v>
      </c>
      <c r="AO125" s="3" t="n">
        <v>18822.0</v>
      </c>
    </row>
    <row r="126" spans="1:41" x14ac:dyDescent="0.2">
      <c r="A126" s="122"/>
      <c r="B126" s="9">
        <v>15</v>
      </c>
      <c r="C126" s="3" t="n">
        <v>19864.0</v>
      </c>
      <c r="D126" s="3" t="n">
        <v>21307.0</v>
      </c>
      <c r="E126" s="3" t="n">
        <v>21702.0</v>
      </c>
      <c r="F126" s="3" t="n">
        <v>21435.0</v>
      </c>
      <c r="G126" s="3" t="n">
        <v>20073.0</v>
      </c>
      <c r="H126" s="3" t="n">
        <v>20558.0</v>
      </c>
      <c r="I126" s="3" t="n">
        <v>19770.0</v>
      </c>
      <c r="J126" s="3" t="n">
        <v>20510.0</v>
      </c>
      <c r="K126" s="3" t="n">
        <v>20461.0</v>
      </c>
      <c r="L126" s="3" t="n">
        <v>20949.0</v>
      </c>
      <c r="M126" s="3" t="n">
        <v>22006.0</v>
      </c>
      <c r="N126" s="3" t="n">
        <v>20817.0</v>
      </c>
      <c r="O126" s="3" t="n">
        <v>20214.0</v>
      </c>
      <c r="P126" s="3" t="n">
        <v>18989.0</v>
      </c>
      <c r="Q126" s="3" t="n">
        <v>18286.0</v>
      </c>
      <c r="R126" s="3" t="n">
        <v>16341.0</v>
      </c>
      <c r="S126" s="3" t="n">
        <v>17394.0</v>
      </c>
      <c r="T126" s="3" t="n">
        <v>17523.0</v>
      </c>
      <c r="U126" s="3" t="n">
        <v>17641.0</v>
      </c>
      <c r="V126" s="3" t="n">
        <v>17651.0</v>
      </c>
      <c r="W126" s="3" t="n">
        <v>17607.0</v>
      </c>
      <c r="X126" s="3" t="n">
        <v>17564.0</v>
      </c>
      <c r="Y126" s="3" t="n">
        <v>17649.0</v>
      </c>
      <c r="Z126" s="3" t="n">
        <v>17671.0</v>
      </c>
      <c r="AA126" s="3" t="n">
        <v>17683.0</v>
      </c>
      <c r="AB126" s="3" t="n">
        <v>17675.0</v>
      </c>
      <c r="AC126" s="3" t="n">
        <v>17644.0</v>
      </c>
      <c r="AD126" s="3" t="n">
        <v>17654.0</v>
      </c>
      <c r="AE126" s="3" t="n">
        <v>17693.0</v>
      </c>
      <c r="AF126" s="3" t="n">
        <v>17783.0</v>
      </c>
      <c r="AG126" s="3" t="n">
        <v>17906.0</v>
      </c>
      <c r="AH126" s="3" t="n">
        <v>18046.0</v>
      </c>
      <c r="AI126" s="3" t="n">
        <v>18183.0</v>
      </c>
      <c r="AJ126" s="3" t="n">
        <v>18348.0</v>
      </c>
      <c r="AK126" s="3" t="n">
        <v>18517.0</v>
      </c>
      <c r="AL126" s="3" t="n">
        <v>18628.0</v>
      </c>
      <c r="AM126" s="3" t="n">
        <v>18732.0</v>
      </c>
      <c r="AN126" s="3" t="n">
        <v>18798.0</v>
      </c>
      <c r="AO126" s="3" t="n">
        <v>18829.0</v>
      </c>
    </row>
    <row r="127" spans="1:41" x14ac:dyDescent="0.2">
      <c r="A127" s="122"/>
      <c r="B127" s="9">
        <v>16</v>
      </c>
      <c r="C127" s="3" t="n">
        <v>18883.0</v>
      </c>
      <c r="D127" s="3" t="n">
        <v>19849.0</v>
      </c>
      <c r="E127" s="3" t="n">
        <v>21294.0</v>
      </c>
      <c r="F127" s="3" t="n">
        <v>21690.0</v>
      </c>
      <c r="G127" s="3" t="n">
        <v>21432.0</v>
      </c>
      <c r="H127" s="3" t="n">
        <v>20217.0</v>
      </c>
      <c r="I127" s="3" t="n">
        <v>20763.0</v>
      </c>
      <c r="J127" s="3" t="n">
        <v>19862.0</v>
      </c>
      <c r="K127" s="3" t="n">
        <v>20542.0</v>
      </c>
      <c r="L127" s="3" t="n">
        <v>20465.0</v>
      </c>
      <c r="M127" s="3" t="n">
        <v>20948.0</v>
      </c>
      <c r="N127" s="3" t="n">
        <v>21992.0</v>
      </c>
      <c r="O127" s="3" t="n">
        <v>20808.0</v>
      </c>
      <c r="P127" s="3" t="n">
        <v>20203.0</v>
      </c>
      <c r="Q127" s="3" t="n">
        <v>18978.0</v>
      </c>
      <c r="R127" s="3" t="n">
        <v>18274.0</v>
      </c>
      <c r="S127" s="3" t="n">
        <v>16336.0</v>
      </c>
      <c r="T127" s="3" t="n">
        <v>17388.0</v>
      </c>
      <c r="U127" s="3" t="n">
        <v>17517.0</v>
      </c>
      <c r="V127" s="3" t="n">
        <v>17635.0</v>
      </c>
      <c r="W127" s="3" t="n">
        <v>17644.0</v>
      </c>
      <c r="X127" s="3" t="n">
        <v>17601.0</v>
      </c>
      <c r="Y127" s="3" t="n">
        <v>17559.0</v>
      </c>
      <c r="Z127" s="3" t="n">
        <v>17643.0</v>
      </c>
      <c r="AA127" s="3" t="n">
        <v>17667.0</v>
      </c>
      <c r="AB127" s="3" t="n">
        <v>17678.0</v>
      </c>
      <c r="AC127" s="3" t="n">
        <v>17668.0</v>
      </c>
      <c r="AD127" s="3" t="n">
        <v>17638.0</v>
      </c>
      <c r="AE127" s="3" t="n">
        <v>17647.0</v>
      </c>
      <c r="AF127" s="3" t="n">
        <v>17685.0</v>
      </c>
      <c r="AG127" s="3" t="n">
        <v>17774.0</v>
      </c>
      <c r="AH127" s="3" t="n">
        <v>17898.0</v>
      </c>
      <c r="AI127" s="3" t="n">
        <v>18037.0</v>
      </c>
      <c r="AJ127" s="3" t="n">
        <v>18172.0</v>
      </c>
      <c r="AK127" s="3" t="n">
        <v>18339.0</v>
      </c>
      <c r="AL127" s="3" t="n">
        <v>18506.0</v>
      </c>
      <c r="AM127" s="3" t="n">
        <v>18616.0</v>
      </c>
      <c r="AN127" s="3" t="n">
        <v>18721.0</v>
      </c>
      <c r="AO127" s="3" t="n">
        <v>18786.0</v>
      </c>
    </row>
    <row r="128" spans="1:41" x14ac:dyDescent="0.2">
      <c r="A128" s="122"/>
      <c r="B128" s="9">
        <v>17</v>
      </c>
      <c r="C128" s="3" t="n">
        <v>18122.0</v>
      </c>
      <c r="D128" s="3" t="n">
        <v>18871.0</v>
      </c>
      <c r="E128" s="3" t="n">
        <v>19839.0</v>
      </c>
      <c r="F128" s="3" t="n">
        <v>21285.0</v>
      </c>
      <c r="G128" s="3" t="n">
        <v>21679.0</v>
      </c>
      <c r="H128" s="3" t="n">
        <v>21583.0</v>
      </c>
      <c r="I128" s="3" t="n">
        <v>20430.0</v>
      </c>
      <c r="J128" s="3" t="n">
        <v>20856.0</v>
      </c>
      <c r="K128" s="3" t="n">
        <v>19893.0</v>
      </c>
      <c r="L128" s="3" t="n">
        <v>20547.0</v>
      </c>
      <c r="M128" s="3" t="n">
        <v>20461.0</v>
      </c>
      <c r="N128" s="3" t="n">
        <v>20940.0</v>
      </c>
      <c r="O128" s="3" t="n">
        <v>21979.0</v>
      </c>
      <c r="P128" s="3" t="n">
        <v>20798.0</v>
      </c>
      <c r="Q128" s="3" t="n">
        <v>20195.0</v>
      </c>
      <c r="R128" s="3" t="n">
        <v>18967.0</v>
      </c>
      <c r="S128" s="3" t="n">
        <v>18266.0</v>
      </c>
      <c r="T128" s="3" t="n">
        <v>16329.0</v>
      </c>
      <c r="U128" s="3" t="n">
        <v>17376.0</v>
      </c>
      <c r="V128" s="3" t="n">
        <v>17505.0</v>
      </c>
      <c r="W128" s="3" t="n">
        <v>17625.0</v>
      </c>
      <c r="X128" s="3" t="n">
        <v>17633.0</v>
      </c>
      <c r="Y128" s="3" t="n">
        <v>17592.0</v>
      </c>
      <c r="Z128" s="3" t="n">
        <v>17550.0</v>
      </c>
      <c r="AA128" s="3" t="n">
        <v>17633.0</v>
      </c>
      <c r="AB128" s="3" t="n">
        <v>17656.0</v>
      </c>
      <c r="AC128" s="3" t="n">
        <v>17667.0</v>
      </c>
      <c r="AD128" s="3" t="n">
        <v>17657.0</v>
      </c>
      <c r="AE128" s="3" t="n">
        <v>17627.0</v>
      </c>
      <c r="AF128" s="3" t="n">
        <v>17638.0</v>
      </c>
      <c r="AG128" s="3" t="n">
        <v>17674.0</v>
      </c>
      <c r="AH128" s="3" t="n">
        <v>17764.0</v>
      </c>
      <c r="AI128" s="3" t="n">
        <v>17889.0</v>
      </c>
      <c r="AJ128" s="3" t="n">
        <v>18028.0</v>
      </c>
      <c r="AK128" s="3" t="n">
        <v>18163.0</v>
      </c>
      <c r="AL128" s="3" t="n">
        <v>18330.0</v>
      </c>
      <c r="AM128" s="3" t="n">
        <v>18496.0</v>
      </c>
      <c r="AN128" s="3" t="n">
        <v>18605.0</v>
      </c>
      <c r="AO128" s="3" t="n">
        <v>18712.0</v>
      </c>
    </row>
    <row r="129" spans="1:41" x14ac:dyDescent="0.2">
      <c r="A129" s="122"/>
      <c r="B129" s="9">
        <v>18</v>
      </c>
      <c r="C129" s="3" t="n">
        <v>17166.0</v>
      </c>
      <c r="D129" s="3" t="n">
        <v>18106.0</v>
      </c>
      <c r="E129" s="3" t="n">
        <v>18852.0</v>
      </c>
      <c r="F129" s="3" t="n">
        <v>19824.0</v>
      </c>
      <c r="G129" s="3" t="n">
        <v>21277.0</v>
      </c>
      <c r="H129" s="3" t="n">
        <v>21853.0</v>
      </c>
      <c r="I129" s="3" t="n">
        <v>21836.0</v>
      </c>
      <c r="J129" s="3" t="n">
        <v>20535.0</v>
      </c>
      <c r="K129" s="3" t="n">
        <v>20887.0</v>
      </c>
      <c r="L129" s="3" t="n">
        <v>19906.0</v>
      </c>
      <c r="M129" s="3" t="n">
        <v>20540.0</v>
      </c>
      <c r="N129" s="3" t="n">
        <v>20447.0</v>
      </c>
      <c r="O129" s="3" t="n">
        <v>20923.0</v>
      </c>
      <c r="P129" s="3" t="n">
        <v>21962.0</v>
      </c>
      <c r="Q129" s="3" t="n">
        <v>20779.0</v>
      </c>
      <c r="R129" s="3" t="n">
        <v>20176.0</v>
      </c>
      <c r="S129" s="3" t="n">
        <v>18950.0</v>
      </c>
      <c r="T129" s="3" t="n">
        <v>18252.0</v>
      </c>
      <c r="U129" s="3" t="n">
        <v>16313.0</v>
      </c>
      <c r="V129" s="3" t="n">
        <v>17361.0</v>
      </c>
      <c r="W129" s="3" t="n">
        <v>17489.0</v>
      </c>
      <c r="X129" s="3" t="n">
        <v>17610.0</v>
      </c>
      <c r="Y129" s="3" t="n">
        <v>17618.0</v>
      </c>
      <c r="Z129" s="3" t="n">
        <v>17580.0</v>
      </c>
      <c r="AA129" s="3" t="n">
        <v>17537.0</v>
      </c>
      <c r="AB129" s="3" t="n">
        <v>17620.0</v>
      </c>
      <c r="AC129" s="3" t="n">
        <v>17642.0</v>
      </c>
      <c r="AD129" s="3" t="n">
        <v>17653.0</v>
      </c>
      <c r="AE129" s="3" t="n">
        <v>17644.0</v>
      </c>
      <c r="AF129" s="3" t="n">
        <v>17613.0</v>
      </c>
      <c r="AG129" s="3" t="n">
        <v>17623.0</v>
      </c>
      <c r="AH129" s="3" t="n">
        <v>17659.0</v>
      </c>
      <c r="AI129" s="3" t="n">
        <v>17750.0</v>
      </c>
      <c r="AJ129" s="3" t="n">
        <v>17873.0</v>
      </c>
      <c r="AK129" s="3" t="n">
        <v>18013.0</v>
      </c>
      <c r="AL129" s="3" t="n">
        <v>18148.0</v>
      </c>
      <c r="AM129" s="3" t="n">
        <v>18317.0</v>
      </c>
      <c r="AN129" s="3" t="n">
        <v>18482.0</v>
      </c>
      <c r="AO129" s="3" t="n">
        <v>18593.0</v>
      </c>
    </row>
    <row r="130" spans="1:41" x14ac:dyDescent="0.2">
      <c r="A130" s="122"/>
      <c r="B130" s="9">
        <v>19</v>
      </c>
      <c r="C130" s="3" t="n">
        <v>16906.0</v>
      </c>
      <c r="D130" s="3" t="n">
        <v>17140.0</v>
      </c>
      <c r="E130" s="3" t="n">
        <v>18080.0</v>
      </c>
      <c r="F130" s="3" t="n">
        <v>18827.0</v>
      </c>
      <c r="G130" s="3" t="n">
        <v>19806.0</v>
      </c>
      <c r="H130" s="3" t="n">
        <v>21379.0</v>
      </c>
      <c r="I130" s="3" t="n">
        <v>22003.0</v>
      </c>
      <c r="J130" s="3" t="n">
        <v>21888.0</v>
      </c>
      <c r="K130" s="3" t="n">
        <v>20541.0</v>
      </c>
      <c r="L130" s="3" t="n">
        <v>20873.0</v>
      </c>
      <c r="M130" s="3" t="n">
        <v>19887.0</v>
      </c>
      <c r="N130" s="3" t="n">
        <v>20521.0</v>
      </c>
      <c r="O130" s="3" t="n">
        <v>20421.0</v>
      </c>
      <c r="P130" s="3" t="n">
        <v>20895.0</v>
      </c>
      <c r="Q130" s="3" t="n">
        <v>21936.0</v>
      </c>
      <c r="R130" s="3" t="n">
        <v>20753.0</v>
      </c>
      <c r="S130" s="3" t="n">
        <v>20153.0</v>
      </c>
      <c r="T130" s="3" t="n">
        <v>18927.0</v>
      </c>
      <c r="U130" s="3" t="n">
        <v>18226.0</v>
      </c>
      <c r="V130" s="3" t="n">
        <v>16285.0</v>
      </c>
      <c r="W130" s="3" t="n">
        <v>17333.0</v>
      </c>
      <c r="X130" s="3" t="n">
        <v>17459.0</v>
      </c>
      <c r="Y130" s="3" t="n">
        <v>17581.0</v>
      </c>
      <c r="Z130" s="3" t="n">
        <v>17588.0</v>
      </c>
      <c r="AA130" s="3" t="n">
        <v>17549.0</v>
      </c>
      <c r="AB130" s="3" t="n">
        <v>17508.0</v>
      </c>
      <c r="AC130" s="3" t="n">
        <v>17592.0</v>
      </c>
      <c r="AD130" s="3" t="n">
        <v>17612.0</v>
      </c>
      <c r="AE130" s="3" t="n">
        <v>17622.0</v>
      </c>
      <c r="AF130" s="3" t="n">
        <v>17614.0</v>
      </c>
      <c r="AG130" s="3" t="n">
        <v>17584.0</v>
      </c>
      <c r="AH130" s="3" t="n">
        <v>17594.0</v>
      </c>
      <c r="AI130" s="3" t="n">
        <v>17631.0</v>
      </c>
      <c r="AJ130" s="3" t="n">
        <v>17721.0</v>
      </c>
      <c r="AK130" s="3" t="n">
        <v>17845.0</v>
      </c>
      <c r="AL130" s="3" t="n">
        <v>17987.0</v>
      </c>
      <c r="AM130" s="3" t="n">
        <v>18121.0</v>
      </c>
      <c r="AN130" s="3" t="n">
        <v>18291.0</v>
      </c>
      <c r="AO130" s="3" t="n">
        <v>18455.0</v>
      </c>
    </row>
    <row r="131" spans="1:41" x14ac:dyDescent="0.2">
      <c r="A131" s="122"/>
      <c r="B131" s="9">
        <v>20</v>
      </c>
      <c r="C131" s="3" t="n">
        <v>16827.0</v>
      </c>
      <c r="D131" s="3" t="n">
        <v>16883.0</v>
      </c>
      <c r="E131" s="3" t="n">
        <v>17111.0</v>
      </c>
      <c r="F131" s="3" t="n">
        <v>18050.0</v>
      </c>
      <c r="G131" s="3" t="n">
        <v>18798.0</v>
      </c>
      <c r="H131" s="3" t="n">
        <v>19807.0</v>
      </c>
      <c r="I131" s="3" t="n">
        <v>21396.0</v>
      </c>
      <c r="J131" s="3" t="n">
        <v>21995.0</v>
      </c>
      <c r="K131" s="3" t="n">
        <v>21871.0</v>
      </c>
      <c r="L131" s="3" t="n">
        <v>20518.0</v>
      </c>
      <c r="M131" s="3" t="n">
        <v>20849.0</v>
      </c>
      <c r="N131" s="3" t="n">
        <v>19859.0</v>
      </c>
      <c r="O131" s="3" t="n">
        <v>20490.0</v>
      </c>
      <c r="P131" s="3" t="n">
        <v>20389.0</v>
      </c>
      <c r="Q131" s="3" t="n">
        <v>20867.0</v>
      </c>
      <c r="R131" s="3" t="n">
        <v>21909.0</v>
      </c>
      <c r="S131" s="3" t="n">
        <v>20724.0</v>
      </c>
      <c r="T131" s="3" t="n">
        <v>20122.0</v>
      </c>
      <c r="U131" s="3" t="n">
        <v>18896.0</v>
      </c>
      <c r="V131" s="3" t="n">
        <v>18199.0</v>
      </c>
      <c r="W131" s="3" t="n">
        <v>16266.0</v>
      </c>
      <c r="X131" s="3" t="n">
        <v>17310.0</v>
      </c>
      <c r="Y131" s="3" t="n">
        <v>17436.0</v>
      </c>
      <c r="Z131" s="3" t="n">
        <v>17557.0</v>
      </c>
      <c r="AA131" s="3" t="n">
        <v>17564.0</v>
      </c>
      <c r="AB131" s="3" t="n">
        <v>17526.0</v>
      </c>
      <c r="AC131" s="3" t="n">
        <v>17487.0</v>
      </c>
      <c r="AD131" s="3" t="n">
        <v>17570.0</v>
      </c>
      <c r="AE131" s="3" t="n">
        <v>17591.0</v>
      </c>
      <c r="AF131" s="3" t="n">
        <v>17601.0</v>
      </c>
      <c r="AG131" s="3" t="n">
        <v>17594.0</v>
      </c>
      <c r="AH131" s="3" t="n">
        <v>17563.0</v>
      </c>
      <c r="AI131" s="3" t="n">
        <v>17572.0</v>
      </c>
      <c r="AJ131" s="3" t="n">
        <v>17609.0</v>
      </c>
      <c r="AK131" s="3" t="n">
        <v>17698.0</v>
      </c>
      <c r="AL131" s="3" t="n">
        <v>17823.0</v>
      </c>
      <c r="AM131" s="3" t="n">
        <v>17964.0</v>
      </c>
      <c r="AN131" s="3" t="n">
        <v>18097.0</v>
      </c>
      <c r="AO131" s="3" t="n">
        <v>18266.0</v>
      </c>
    </row>
    <row r="132" spans="1:41" x14ac:dyDescent="0.2">
      <c r="A132" s="122"/>
      <c r="B132" s="9">
        <v>21</v>
      </c>
      <c r="C132" s="3" t="n">
        <v>17672.0</v>
      </c>
      <c r="D132" s="3" t="n">
        <v>16817.0</v>
      </c>
      <c r="E132" s="3" t="n">
        <v>16876.0</v>
      </c>
      <c r="F132" s="3" t="n">
        <v>17101.0</v>
      </c>
      <c r="G132" s="3" t="n">
        <v>18041.0</v>
      </c>
      <c r="H132" s="3" t="n">
        <v>18812.0</v>
      </c>
      <c r="I132" s="3" t="n">
        <v>19833.0</v>
      </c>
      <c r="J132" s="3" t="n">
        <v>21408.0</v>
      </c>
      <c r="K132" s="3" t="n">
        <v>21995.0</v>
      </c>
      <c r="L132" s="3" t="n">
        <v>21868.0</v>
      </c>
      <c r="M132" s="3" t="n">
        <v>20516.0</v>
      </c>
      <c r="N132" s="3" t="n">
        <v>20845.0</v>
      </c>
      <c r="O132" s="3" t="n">
        <v>19855.0</v>
      </c>
      <c r="P132" s="3" t="n">
        <v>20484.0</v>
      </c>
      <c r="Q132" s="3" t="n">
        <v>20382.0</v>
      </c>
      <c r="R132" s="3" t="n">
        <v>20859.0</v>
      </c>
      <c r="S132" s="3" t="n">
        <v>21903.0</v>
      </c>
      <c r="T132" s="3" t="n">
        <v>20718.0</v>
      </c>
      <c r="U132" s="3" t="n">
        <v>20116.0</v>
      </c>
      <c r="V132" s="3" t="n">
        <v>18888.0</v>
      </c>
      <c r="W132" s="3" t="n">
        <v>18192.0</v>
      </c>
      <c r="X132" s="3" t="n">
        <v>16261.0</v>
      </c>
      <c r="Y132" s="3" t="n">
        <v>17303.0</v>
      </c>
      <c r="Z132" s="3" t="n">
        <v>17427.0</v>
      </c>
      <c r="AA132" s="3" t="n">
        <v>17549.0</v>
      </c>
      <c r="AB132" s="3" t="n">
        <v>17556.0</v>
      </c>
      <c r="AC132" s="3" t="n">
        <v>17518.0</v>
      </c>
      <c r="AD132" s="3" t="n">
        <v>17479.0</v>
      </c>
      <c r="AE132" s="3" t="n">
        <v>17562.0</v>
      </c>
      <c r="AF132" s="3" t="n">
        <v>17583.0</v>
      </c>
      <c r="AG132" s="3" t="n">
        <v>17595.0</v>
      </c>
      <c r="AH132" s="3" t="n">
        <v>17588.0</v>
      </c>
      <c r="AI132" s="3" t="n">
        <v>17557.0</v>
      </c>
      <c r="AJ132" s="3" t="n">
        <v>17564.0</v>
      </c>
      <c r="AK132" s="3" t="n">
        <v>17604.0</v>
      </c>
      <c r="AL132" s="3" t="n">
        <v>17693.0</v>
      </c>
      <c r="AM132" s="3" t="n">
        <v>17817.0</v>
      </c>
      <c r="AN132" s="3" t="n">
        <v>17957.0</v>
      </c>
      <c r="AO132" s="3" t="n">
        <v>18090.0</v>
      </c>
    </row>
    <row r="133" spans="1:41" x14ac:dyDescent="0.2">
      <c r="A133" s="122"/>
      <c r="B133" s="9">
        <v>22</v>
      </c>
      <c r="C133" s="3" t="n">
        <v>18034.0</v>
      </c>
      <c r="D133" s="3" t="n">
        <v>17668.0</v>
      </c>
      <c r="E133" s="3" t="n">
        <v>16819.0</v>
      </c>
      <c r="F133" s="3" t="n">
        <v>16877.0</v>
      </c>
      <c r="G133" s="3" t="n">
        <v>17101.0</v>
      </c>
      <c r="H133" s="3" t="n">
        <v>18064.0</v>
      </c>
      <c r="I133" s="3" t="n">
        <v>18839.0</v>
      </c>
      <c r="J133" s="3" t="n">
        <v>19842.0</v>
      </c>
      <c r="K133" s="3" t="n">
        <v>21404.0</v>
      </c>
      <c r="L133" s="3" t="n">
        <v>21988.0</v>
      </c>
      <c r="M133" s="3" t="n">
        <v>21860.0</v>
      </c>
      <c r="N133" s="3" t="n">
        <v>20510.0</v>
      </c>
      <c r="O133" s="3" t="n">
        <v>20835.0</v>
      </c>
      <c r="P133" s="3" t="n">
        <v>19845.0</v>
      </c>
      <c r="Q133" s="3" t="n">
        <v>20478.0</v>
      </c>
      <c r="R133" s="3" t="n">
        <v>20375.0</v>
      </c>
      <c r="S133" s="3" t="n">
        <v>20852.0</v>
      </c>
      <c r="T133" s="3" t="n">
        <v>21895.0</v>
      </c>
      <c r="U133" s="3" t="n">
        <v>20710.0</v>
      </c>
      <c r="V133" s="3" t="n">
        <v>20114.0</v>
      </c>
      <c r="W133" s="3" t="n">
        <v>18884.0</v>
      </c>
      <c r="X133" s="3" t="n">
        <v>18192.0</v>
      </c>
      <c r="Y133" s="3" t="n">
        <v>16262.0</v>
      </c>
      <c r="Z133" s="3" t="n">
        <v>17302.0</v>
      </c>
      <c r="AA133" s="3" t="n">
        <v>17424.0</v>
      </c>
      <c r="AB133" s="3" t="n">
        <v>17547.0</v>
      </c>
      <c r="AC133" s="3" t="n">
        <v>17554.0</v>
      </c>
      <c r="AD133" s="3" t="n">
        <v>17517.0</v>
      </c>
      <c r="AE133" s="3" t="n">
        <v>17478.0</v>
      </c>
      <c r="AF133" s="3" t="n">
        <v>17559.0</v>
      </c>
      <c r="AG133" s="3" t="n">
        <v>17578.0</v>
      </c>
      <c r="AH133" s="3" t="n">
        <v>17590.0</v>
      </c>
      <c r="AI133" s="3" t="n">
        <v>17585.0</v>
      </c>
      <c r="AJ133" s="3" t="n">
        <v>17553.0</v>
      </c>
      <c r="AK133" s="3" t="n">
        <v>17560.0</v>
      </c>
      <c r="AL133" s="3" t="n">
        <v>17603.0</v>
      </c>
      <c r="AM133" s="3" t="n">
        <v>17692.0</v>
      </c>
      <c r="AN133" s="3" t="n">
        <v>17818.0</v>
      </c>
      <c r="AO133" s="3" t="n">
        <v>17960.0</v>
      </c>
    </row>
    <row r="134" spans="1:41" x14ac:dyDescent="0.2">
      <c r="A134" s="122"/>
      <c r="B134" s="9">
        <v>23</v>
      </c>
      <c r="C134" s="3" t="n">
        <v>18111.0</v>
      </c>
      <c r="D134" s="3" t="n">
        <v>18013.0</v>
      </c>
      <c r="E134" s="3" t="n">
        <v>17648.0</v>
      </c>
      <c r="F134" s="3" t="n">
        <v>16801.0</v>
      </c>
      <c r="G134" s="3" t="n">
        <v>16859.0</v>
      </c>
      <c r="H134" s="3" t="n">
        <v>17116.0</v>
      </c>
      <c r="I134" s="3" t="n">
        <v>18086.0</v>
      </c>
      <c r="J134" s="3" t="n">
        <v>18845.0</v>
      </c>
      <c r="K134" s="3" t="n">
        <v>19835.0</v>
      </c>
      <c r="L134" s="3" t="n">
        <v>21391.0</v>
      </c>
      <c r="M134" s="3" t="n">
        <v>21972.0</v>
      </c>
      <c r="N134" s="3" t="n">
        <v>21847.0</v>
      </c>
      <c r="O134" s="3" t="n">
        <v>20495.0</v>
      </c>
      <c r="P134" s="3" t="n">
        <v>20819.0</v>
      </c>
      <c r="Q134" s="3" t="n">
        <v>19827.0</v>
      </c>
      <c r="R134" s="3" t="n">
        <v>20458.0</v>
      </c>
      <c r="S134" s="3" t="n">
        <v>20354.0</v>
      </c>
      <c r="T134" s="3" t="n">
        <v>20834.0</v>
      </c>
      <c r="U134" s="3" t="n">
        <v>21877.0</v>
      </c>
      <c r="V134" s="3" t="n">
        <v>20690.0</v>
      </c>
      <c r="W134" s="3" t="n">
        <v>20093.0</v>
      </c>
      <c r="X134" s="3" t="n">
        <v>18863.0</v>
      </c>
      <c r="Y134" s="3" t="n">
        <v>18174.0</v>
      </c>
      <c r="Z134" s="3" t="n">
        <v>16249.0</v>
      </c>
      <c r="AA134" s="3" t="n">
        <v>17281.0</v>
      </c>
      <c r="AB134" s="3" t="n">
        <v>17404.0</v>
      </c>
      <c r="AC134" s="3" t="n">
        <v>17526.0</v>
      </c>
      <c r="AD134" s="3" t="n">
        <v>17536.0</v>
      </c>
      <c r="AE134" s="3" t="n">
        <v>17499.0</v>
      </c>
      <c r="AF134" s="3" t="n">
        <v>17462.0</v>
      </c>
      <c r="AG134" s="3" t="n">
        <v>17542.0</v>
      </c>
      <c r="AH134" s="3" t="n">
        <v>17562.0</v>
      </c>
      <c r="AI134" s="3" t="n">
        <v>17575.0</v>
      </c>
      <c r="AJ134" s="3" t="n">
        <v>17571.0</v>
      </c>
      <c r="AK134" s="3" t="n">
        <v>17539.0</v>
      </c>
      <c r="AL134" s="3" t="n">
        <v>17545.0</v>
      </c>
      <c r="AM134" s="3" t="n">
        <v>17587.0</v>
      </c>
      <c r="AN134" s="3" t="n">
        <v>17677.0</v>
      </c>
      <c r="AO134" s="3" t="n">
        <v>17803.0</v>
      </c>
    </row>
    <row r="135" spans="1:41" x14ac:dyDescent="0.2">
      <c r="A135" s="122"/>
      <c r="B135" s="9">
        <v>24</v>
      </c>
      <c r="C135" s="3" t="n">
        <v>19119.0</v>
      </c>
      <c r="D135" s="3" t="n">
        <v>18102.0</v>
      </c>
      <c r="E135" s="3" t="n">
        <v>18007.0</v>
      </c>
      <c r="F135" s="3" t="n">
        <v>17651.0</v>
      </c>
      <c r="G135" s="3" t="n">
        <v>16802.0</v>
      </c>
      <c r="H135" s="3" t="n">
        <v>16880.0</v>
      </c>
      <c r="I135" s="3" t="n">
        <v>17152.0</v>
      </c>
      <c r="J135" s="3" t="n">
        <v>18101.0</v>
      </c>
      <c r="K135" s="3" t="n">
        <v>18845.0</v>
      </c>
      <c r="L135" s="3" t="n">
        <v>19826.0</v>
      </c>
      <c r="M135" s="3" t="n">
        <v>21379.0</v>
      </c>
      <c r="N135" s="3" t="n">
        <v>21962.0</v>
      </c>
      <c r="O135" s="3" t="n">
        <v>21838.0</v>
      </c>
      <c r="P135" s="3" t="n">
        <v>20487.0</v>
      </c>
      <c r="Q135" s="3" t="n">
        <v>20811.0</v>
      </c>
      <c r="R135" s="3" t="n">
        <v>19821.0</v>
      </c>
      <c r="S135" s="3" t="n">
        <v>20453.0</v>
      </c>
      <c r="T135" s="3" t="n">
        <v>20346.0</v>
      </c>
      <c r="U135" s="3" t="n">
        <v>20825.0</v>
      </c>
      <c r="V135" s="3" t="n">
        <v>21868.0</v>
      </c>
      <c r="W135" s="3" t="n">
        <v>20686.0</v>
      </c>
      <c r="X135" s="3" t="n">
        <v>20086.0</v>
      </c>
      <c r="Y135" s="3" t="n">
        <v>18856.0</v>
      </c>
      <c r="Z135" s="3" t="n">
        <v>18172.0</v>
      </c>
      <c r="AA135" s="3" t="n">
        <v>16249.0</v>
      </c>
      <c r="AB135" s="3" t="n">
        <v>17276.0</v>
      </c>
      <c r="AC135" s="3" t="n">
        <v>17397.0</v>
      </c>
      <c r="AD135" s="3" t="n">
        <v>17521.0</v>
      </c>
      <c r="AE135" s="3" t="n">
        <v>17532.0</v>
      </c>
      <c r="AF135" s="3" t="n">
        <v>17496.0</v>
      </c>
      <c r="AG135" s="3" t="n">
        <v>17459.0</v>
      </c>
      <c r="AH135" s="3" t="n">
        <v>17542.0</v>
      </c>
      <c r="AI135" s="3" t="n">
        <v>17560.0</v>
      </c>
      <c r="AJ135" s="3" t="n">
        <v>17574.0</v>
      </c>
      <c r="AK135" s="3" t="n">
        <v>17569.0</v>
      </c>
      <c r="AL135" s="3" t="n">
        <v>17536.0</v>
      </c>
      <c r="AM135" s="3" t="n">
        <v>17544.0</v>
      </c>
      <c r="AN135" s="3" t="n">
        <v>17587.0</v>
      </c>
      <c r="AO135" s="3" t="n">
        <v>17674.0</v>
      </c>
    </row>
    <row r="136" spans="1:41" x14ac:dyDescent="0.2">
      <c r="A136" s="122"/>
      <c r="B136" s="9">
        <v>25</v>
      </c>
      <c r="C136" s="3" t="n">
        <v>19659.0</v>
      </c>
      <c r="D136" s="3" t="n">
        <v>19101.0</v>
      </c>
      <c r="E136" s="3" t="n">
        <v>18087.0</v>
      </c>
      <c r="F136" s="3" t="n">
        <v>17998.0</v>
      </c>
      <c r="G136" s="3" t="n">
        <v>17637.0</v>
      </c>
      <c r="H136" s="3" t="n">
        <v>16825.0</v>
      </c>
      <c r="I136" s="3" t="n">
        <v>16915.0</v>
      </c>
      <c r="J136" s="3" t="n">
        <v>17165.0</v>
      </c>
      <c r="K136" s="3" t="n">
        <v>18101.0</v>
      </c>
      <c r="L136" s="3" t="n">
        <v>18831.0</v>
      </c>
      <c r="M136" s="3" t="n">
        <v>19812.0</v>
      </c>
      <c r="N136" s="3" t="n">
        <v>21361.0</v>
      </c>
      <c r="O136" s="3" t="n">
        <v>21943.0</v>
      </c>
      <c r="P136" s="3" t="n">
        <v>21816.0</v>
      </c>
      <c r="Q136" s="3" t="n">
        <v>20467.0</v>
      </c>
      <c r="R136" s="3" t="n">
        <v>20791.0</v>
      </c>
      <c r="S136" s="3" t="n">
        <v>19804.0</v>
      </c>
      <c r="T136" s="3" t="n">
        <v>20433.0</v>
      </c>
      <c r="U136" s="3" t="n">
        <v>20326.0</v>
      </c>
      <c r="V136" s="3" t="n">
        <v>20807.0</v>
      </c>
      <c r="W136" s="3" t="n">
        <v>21844.0</v>
      </c>
      <c r="X136" s="3" t="n">
        <v>20663.0</v>
      </c>
      <c r="Y136" s="3" t="n">
        <v>20072.0</v>
      </c>
      <c r="Z136" s="3" t="n">
        <v>18835.0</v>
      </c>
      <c r="AA136" s="3" t="n">
        <v>18151.0</v>
      </c>
      <c r="AB136" s="3" t="n">
        <v>16234.0</v>
      </c>
      <c r="AC136" s="3" t="n">
        <v>17259.0</v>
      </c>
      <c r="AD136" s="3" t="n">
        <v>17376.0</v>
      </c>
      <c r="AE136" s="3" t="n">
        <v>17499.0</v>
      </c>
      <c r="AF136" s="3" t="n">
        <v>17511.0</v>
      </c>
      <c r="AG136" s="3" t="n">
        <v>17474.0</v>
      </c>
      <c r="AH136" s="3" t="n">
        <v>17436.0</v>
      </c>
      <c r="AI136" s="3" t="n">
        <v>17517.0</v>
      </c>
      <c r="AJ136" s="3" t="n">
        <v>17534.0</v>
      </c>
      <c r="AK136" s="3" t="n">
        <v>17548.0</v>
      </c>
      <c r="AL136" s="3" t="n">
        <v>17544.0</v>
      </c>
      <c r="AM136" s="3" t="n">
        <v>17511.0</v>
      </c>
      <c r="AN136" s="3" t="n">
        <v>17519.0</v>
      </c>
      <c r="AO136" s="3" t="n">
        <v>17562.0</v>
      </c>
    </row>
    <row r="137" spans="1:41" x14ac:dyDescent="0.2">
      <c r="A137" s="122"/>
      <c r="B137" s="9">
        <v>26</v>
      </c>
      <c r="C137" s="3" t="n">
        <v>20219.0</v>
      </c>
      <c r="D137" s="3" t="n">
        <v>19640.0</v>
      </c>
      <c r="E137" s="3" t="n">
        <v>19083.0</v>
      </c>
      <c r="F137" s="3" t="n">
        <v>18075.0</v>
      </c>
      <c r="G137" s="3" t="n">
        <v>17985.0</v>
      </c>
      <c r="H137" s="3" t="n">
        <v>17661.0</v>
      </c>
      <c r="I137" s="3" t="n">
        <v>16865.0</v>
      </c>
      <c r="J137" s="3" t="n">
        <v>16923.0</v>
      </c>
      <c r="K137" s="3" t="n">
        <v>17163.0</v>
      </c>
      <c r="L137" s="3" t="n">
        <v>18090.0</v>
      </c>
      <c r="M137" s="3" t="n">
        <v>18819.0</v>
      </c>
      <c r="N137" s="3" t="n">
        <v>19796.0</v>
      </c>
      <c r="O137" s="3" t="n">
        <v>21343.0</v>
      </c>
      <c r="P137" s="3" t="n">
        <v>21930.0</v>
      </c>
      <c r="Q137" s="3" t="n">
        <v>21809.0</v>
      </c>
      <c r="R137" s="3" t="n">
        <v>20453.0</v>
      </c>
      <c r="S137" s="3" t="n">
        <v>20775.0</v>
      </c>
      <c r="T137" s="3" t="n">
        <v>19789.0</v>
      </c>
      <c r="U137" s="3" t="n">
        <v>20412.0</v>
      </c>
      <c r="V137" s="3" t="n">
        <v>20306.0</v>
      </c>
      <c r="W137" s="3" t="n">
        <v>20791.0</v>
      </c>
      <c r="X137" s="3" t="n">
        <v>21820.0</v>
      </c>
      <c r="Y137" s="3" t="n">
        <v>20642.0</v>
      </c>
      <c r="Z137" s="3" t="n">
        <v>20057.0</v>
      </c>
      <c r="AA137" s="3" t="n">
        <v>18827.0</v>
      </c>
      <c r="AB137" s="3" t="n">
        <v>18135.0</v>
      </c>
      <c r="AC137" s="3" t="n">
        <v>16222.0</v>
      </c>
      <c r="AD137" s="3" t="n">
        <v>17237.0</v>
      </c>
      <c r="AE137" s="3" t="n">
        <v>17360.0</v>
      </c>
      <c r="AF137" s="3" t="n">
        <v>17486.0</v>
      </c>
      <c r="AG137" s="3" t="n">
        <v>17500.0</v>
      </c>
      <c r="AH137" s="3" t="n">
        <v>17462.0</v>
      </c>
      <c r="AI137" s="3" t="n">
        <v>17423.0</v>
      </c>
      <c r="AJ137" s="3" t="n">
        <v>17505.0</v>
      </c>
      <c r="AK137" s="3" t="n">
        <v>17522.0</v>
      </c>
      <c r="AL137" s="3" t="n">
        <v>17537.0</v>
      </c>
      <c r="AM137" s="3" t="n">
        <v>17533.0</v>
      </c>
      <c r="AN137" s="3" t="n">
        <v>17500.0</v>
      </c>
      <c r="AO137" s="3" t="n">
        <v>17509.0</v>
      </c>
    </row>
    <row r="138" spans="1:41" x14ac:dyDescent="0.2">
      <c r="A138" s="122"/>
      <c r="B138" s="9">
        <v>27</v>
      </c>
      <c r="C138" s="3" t="n">
        <v>20991.0</v>
      </c>
      <c r="D138" s="3" t="n">
        <v>20233.0</v>
      </c>
      <c r="E138" s="3" t="n">
        <v>19650.0</v>
      </c>
      <c r="F138" s="3" t="n">
        <v>19089.0</v>
      </c>
      <c r="G138" s="3" t="n">
        <v>18092.0</v>
      </c>
      <c r="H138" s="3" t="n">
        <v>18039.0</v>
      </c>
      <c r="I138" s="3" t="n">
        <v>17731.0</v>
      </c>
      <c r="J138" s="3" t="n">
        <v>16908.0</v>
      </c>
      <c r="K138" s="3" t="n">
        <v>16951.0</v>
      </c>
      <c r="L138" s="3" t="n">
        <v>17184.0</v>
      </c>
      <c r="M138" s="3" t="n">
        <v>18108.0</v>
      </c>
      <c r="N138" s="3" t="n">
        <v>18824.0</v>
      </c>
      <c r="O138" s="3" t="n">
        <v>19804.0</v>
      </c>
      <c r="P138" s="3" t="n">
        <v>21347.0</v>
      </c>
      <c r="Q138" s="3" t="n">
        <v>21927.0</v>
      </c>
      <c r="R138" s="3" t="n">
        <v>21812.0</v>
      </c>
      <c r="S138" s="3" t="n">
        <v>20467.0</v>
      </c>
      <c r="T138" s="3" t="n">
        <v>20785.0</v>
      </c>
      <c r="U138" s="3" t="n">
        <v>19793.0</v>
      </c>
      <c r="V138" s="3" t="n">
        <v>20415.0</v>
      </c>
      <c r="W138" s="3" t="n">
        <v>20308.0</v>
      </c>
      <c r="X138" s="3" t="n">
        <v>20795.0</v>
      </c>
      <c r="Y138" s="3" t="n">
        <v>21824.0</v>
      </c>
      <c r="Z138" s="3" t="n">
        <v>20641.0</v>
      </c>
      <c r="AA138" s="3" t="n">
        <v>20060.0</v>
      </c>
      <c r="AB138" s="3" t="n">
        <v>18826.0</v>
      </c>
      <c r="AC138" s="3" t="n">
        <v>18137.0</v>
      </c>
      <c r="AD138" s="3" t="n">
        <v>16228.0</v>
      </c>
      <c r="AE138" s="3" t="n">
        <v>17237.0</v>
      </c>
      <c r="AF138" s="3" t="n">
        <v>17356.0</v>
      </c>
      <c r="AG138" s="3" t="n">
        <v>17482.0</v>
      </c>
      <c r="AH138" s="3" t="n">
        <v>17499.0</v>
      </c>
      <c r="AI138" s="3" t="n">
        <v>17463.0</v>
      </c>
      <c r="AJ138" s="3" t="n">
        <v>17424.0</v>
      </c>
      <c r="AK138" s="3" t="n">
        <v>17505.0</v>
      </c>
      <c r="AL138" s="3" t="n">
        <v>17522.0</v>
      </c>
      <c r="AM138" s="3" t="n">
        <v>17538.0</v>
      </c>
      <c r="AN138" s="3" t="n">
        <v>17531.0</v>
      </c>
      <c r="AO138" s="3" t="n">
        <v>17497.0</v>
      </c>
    </row>
    <row r="139" spans="1:41" x14ac:dyDescent="0.2">
      <c r="A139" s="122"/>
      <c r="B139" s="9">
        <v>28</v>
      </c>
      <c r="C139" s="3" t="n">
        <v>22033.0</v>
      </c>
      <c r="D139" s="3" t="n">
        <v>20989.0</v>
      </c>
      <c r="E139" s="3" t="n">
        <v>20240.0</v>
      </c>
      <c r="F139" s="3" t="n">
        <v>19660.0</v>
      </c>
      <c r="G139" s="3" t="n">
        <v>19099.0</v>
      </c>
      <c r="H139" s="3" t="n">
        <v>18145.0</v>
      </c>
      <c r="I139" s="3" t="n">
        <v>18100.0</v>
      </c>
      <c r="J139" s="3" t="n">
        <v>17772.0</v>
      </c>
      <c r="K139" s="3" t="n">
        <v>16934.0</v>
      </c>
      <c r="L139" s="3" t="n">
        <v>16976.0</v>
      </c>
      <c r="M139" s="3" t="n">
        <v>17205.0</v>
      </c>
      <c r="N139" s="3" t="n">
        <v>18116.0</v>
      </c>
      <c r="O139" s="3" t="n">
        <v>18837.0</v>
      </c>
      <c r="P139" s="3" t="n">
        <v>19815.0</v>
      </c>
      <c r="Q139" s="3" t="n">
        <v>21365.0</v>
      </c>
      <c r="R139" s="3" t="n">
        <v>21936.0</v>
      </c>
      <c r="S139" s="3" t="n">
        <v>21815.0</v>
      </c>
      <c r="T139" s="3" t="n">
        <v>20470.0</v>
      </c>
      <c r="U139" s="3" t="n">
        <v>20799.0</v>
      </c>
      <c r="V139" s="3" t="n">
        <v>19807.0</v>
      </c>
      <c r="W139" s="3" t="n">
        <v>20422.0</v>
      </c>
      <c r="X139" s="3" t="n">
        <v>20316.0</v>
      </c>
      <c r="Y139" s="3" t="n">
        <v>20800.0</v>
      </c>
      <c r="Z139" s="3" t="n">
        <v>21826.0</v>
      </c>
      <c r="AA139" s="3" t="n">
        <v>20645.0</v>
      </c>
      <c r="AB139" s="3" t="n">
        <v>20066.0</v>
      </c>
      <c r="AC139" s="3" t="n">
        <v>18829.0</v>
      </c>
      <c r="AD139" s="3" t="n">
        <v>18148.0</v>
      </c>
      <c r="AE139" s="3" t="n">
        <v>16239.0</v>
      </c>
      <c r="AF139" s="3" t="n">
        <v>17245.0</v>
      </c>
      <c r="AG139" s="3" t="n">
        <v>17358.0</v>
      </c>
      <c r="AH139" s="3" t="n">
        <v>17485.0</v>
      </c>
      <c r="AI139" s="3" t="n">
        <v>17500.0</v>
      </c>
      <c r="AJ139" s="3" t="n">
        <v>17463.0</v>
      </c>
      <c r="AK139" s="3" t="n">
        <v>17423.0</v>
      </c>
      <c r="AL139" s="3" t="n">
        <v>17507.0</v>
      </c>
      <c r="AM139" s="3" t="n">
        <v>17529.0</v>
      </c>
      <c r="AN139" s="3" t="n">
        <v>17545.0</v>
      </c>
      <c r="AO139" s="3" t="n">
        <v>17540.0</v>
      </c>
    </row>
    <row r="140" spans="1:41" x14ac:dyDescent="0.2">
      <c r="A140" s="122"/>
      <c r="B140" s="9">
        <v>29</v>
      </c>
      <c r="C140" s="3" t="n">
        <v>23520.0</v>
      </c>
      <c r="D140" s="3" t="n">
        <v>22035.0</v>
      </c>
      <c r="E140" s="3" t="n">
        <v>20999.0</v>
      </c>
      <c r="F140" s="3" t="n">
        <v>20250.0</v>
      </c>
      <c r="G140" s="3" t="n">
        <v>19670.0</v>
      </c>
      <c r="H140" s="3" t="n">
        <v>19136.0</v>
      </c>
      <c r="I140" s="3" t="n">
        <v>18201.0</v>
      </c>
      <c r="J140" s="3" t="n">
        <v>18135.0</v>
      </c>
      <c r="K140" s="3" t="n">
        <v>17801.0</v>
      </c>
      <c r="L140" s="3" t="n">
        <v>16967.0</v>
      </c>
      <c r="M140" s="3" t="n">
        <v>16996.0</v>
      </c>
      <c r="N140" s="3" t="n">
        <v>17219.0</v>
      </c>
      <c r="O140" s="3" t="n">
        <v>18128.0</v>
      </c>
      <c r="P140" s="3" t="n">
        <v>18846.0</v>
      </c>
      <c r="Q140" s="3" t="n">
        <v>19825.0</v>
      </c>
      <c r="R140" s="3" t="n">
        <v>21374.0</v>
      </c>
      <c r="S140" s="3" t="n">
        <v>21945.0</v>
      </c>
      <c r="T140" s="3" t="n">
        <v>21825.0</v>
      </c>
      <c r="U140" s="3" t="n">
        <v>20484.0</v>
      </c>
      <c r="V140" s="3" t="n">
        <v>20809.0</v>
      </c>
      <c r="W140" s="3" t="n">
        <v>19822.0</v>
      </c>
      <c r="X140" s="3" t="n">
        <v>20431.0</v>
      </c>
      <c r="Y140" s="3" t="n">
        <v>20321.0</v>
      </c>
      <c r="Z140" s="3" t="n">
        <v>20806.0</v>
      </c>
      <c r="AA140" s="3" t="n">
        <v>21832.0</v>
      </c>
      <c r="AB140" s="3" t="n">
        <v>20657.0</v>
      </c>
      <c r="AC140" s="3" t="n">
        <v>20073.0</v>
      </c>
      <c r="AD140" s="3" t="n">
        <v>18827.0</v>
      </c>
      <c r="AE140" s="3" t="n">
        <v>18161.0</v>
      </c>
      <c r="AF140" s="3" t="n">
        <v>16242.0</v>
      </c>
      <c r="AG140" s="3" t="n">
        <v>17243.0</v>
      </c>
      <c r="AH140" s="3" t="n">
        <v>17354.0</v>
      </c>
      <c r="AI140" s="3" t="n">
        <v>17482.0</v>
      </c>
      <c r="AJ140" s="3" t="n">
        <v>17498.0</v>
      </c>
      <c r="AK140" s="3" t="n">
        <v>17462.0</v>
      </c>
      <c r="AL140" s="3" t="n">
        <v>17420.0</v>
      </c>
      <c r="AM140" s="3" t="n">
        <v>17504.0</v>
      </c>
      <c r="AN140" s="3" t="n">
        <v>17529.0</v>
      </c>
      <c r="AO140" s="3" t="n">
        <v>17546.0</v>
      </c>
    </row>
    <row r="141" spans="1:41" x14ac:dyDescent="0.2">
      <c r="A141" s="122"/>
      <c r="B141" s="9">
        <v>30</v>
      </c>
      <c r="C141" s="3" t="n">
        <v>24051.0</v>
      </c>
      <c r="D141" s="3" t="n">
        <v>23512.0</v>
      </c>
      <c r="E141" s="3" t="n">
        <v>22030.0</v>
      </c>
      <c r="F141" s="3" t="n">
        <v>21004.0</v>
      </c>
      <c r="G141" s="3" t="n">
        <v>20260.0</v>
      </c>
      <c r="H141" s="3" t="n">
        <v>19719.0</v>
      </c>
      <c r="I141" s="3" t="n">
        <v>19205.0</v>
      </c>
      <c r="J141" s="3" t="n">
        <v>18228.0</v>
      </c>
      <c r="K141" s="3" t="n">
        <v>18151.0</v>
      </c>
      <c r="L141" s="3" t="n">
        <v>17822.0</v>
      </c>
      <c r="M141" s="3" t="n">
        <v>16986.0</v>
      </c>
      <c r="N141" s="3" t="n">
        <v>17011.0</v>
      </c>
      <c r="O141" s="3" t="n">
        <v>17234.0</v>
      </c>
      <c r="P141" s="3" t="n">
        <v>18140.0</v>
      </c>
      <c r="Q141" s="3" t="n">
        <v>18854.0</v>
      </c>
      <c r="R141" s="3" t="n">
        <v>19830.0</v>
      </c>
      <c r="S141" s="3" t="n">
        <v>21380.0</v>
      </c>
      <c r="T141" s="3" t="n">
        <v>21946.0</v>
      </c>
      <c r="U141" s="3" t="n">
        <v>21834.0</v>
      </c>
      <c r="V141" s="3" t="n">
        <v>20490.0</v>
      </c>
      <c r="W141" s="3" t="n">
        <v>20818.0</v>
      </c>
      <c r="X141" s="3" t="n">
        <v>19830.0</v>
      </c>
      <c r="Y141" s="3" t="n">
        <v>20439.0</v>
      </c>
      <c r="Z141" s="3" t="n">
        <v>20327.0</v>
      </c>
      <c r="AA141" s="3" t="n">
        <v>20806.0</v>
      </c>
      <c r="AB141" s="3" t="n">
        <v>21832.0</v>
      </c>
      <c r="AC141" s="3" t="n">
        <v>20659.0</v>
      </c>
      <c r="AD141" s="3" t="n">
        <v>20080.0</v>
      </c>
      <c r="AE141" s="3" t="n">
        <v>18830.0</v>
      </c>
      <c r="AF141" s="3" t="n">
        <v>18165.0</v>
      </c>
      <c r="AG141" s="3" t="n">
        <v>16249.0</v>
      </c>
      <c r="AH141" s="3" t="n">
        <v>17249.0</v>
      </c>
      <c r="AI141" s="3" t="n">
        <v>17358.0</v>
      </c>
      <c r="AJ141" s="3" t="n">
        <v>17484.0</v>
      </c>
      <c r="AK141" s="3" t="n">
        <v>17499.0</v>
      </c>
      <c r="AL141" s="3" t="n">
        <v>17464.0</v>
      </c>
      <c r="AM141" s="3" t="n">
        <v>17423.0</v>
      </c>
      <c r="AN141" s="3" t="n">
        <v>17505.0</v>
      </c>
      <c r="AO141" s="3" t="n">
        <v>17529.0</v>
      </c>
    </row>
    <row r="142" spans="1:41" x14ac:dyDescent="0.2">
      <c r="A142" s="122"/>
      <c r="B142" s="9">
        <v>31</v>
      </c>
      <c r="C142" s="3" t="n">
        <v>25524.0</v>
      </c>
      <c r="D142" s="3" t="n">
        <v>24043.0</v>
      </c>
      <c r="E142" s="3" t="n">
        <v>23501.0</v>
      </c>
      <c r="F142" s="3" t="n">
        <v>22020.0</v>
      </c>
      <c r="G142" s="3" t="n">
        <v>21003.0</v>
      </c>
      <c r="H142" s="3" t="n">
        <v>20300.0</v>
      </c>
      <c r="I142" s="3" t="n">
        <v>19777.0</v>
      </c>
      <c r="J142" s="3" t="n">
        <v>19229.0</v>
      </c>
      <c r="K142" s="3" t="n">
        <v>18249.0</v>
      </c>
      <c r="L142" s="3" t="n">
        <v>18168.0</v>
      </c>
      <c r="M142" s="3" t="n">
        <v>17830.0</v>
      </c>
      <c r="N142" s="3" t="n">
        <v>16999.0</v>
      </c>
      <c r="O142" s="3" t="n">
        <v>17026.0</v>
      </c>
      <c r="P142" s="3" t="n">
        <v>17249.0</v>
      </c>
      <c r="Q142" s="3" t="n">
        <v>18147.0</v>
      </c>
      <c r="R142" s="3" t="n">
        <v>18854.0</v>
      </c>
      <c r="S142" s="3" t="n">
        <v>19826.0</v>
      </c>
      <c r="T142" s="3" t="n">
        <v>21380.0</v>
      </c>
      <c r="U142" s="3" t="n">
        <v>21945.0</v>
      </c>
      <c r="V142" s="3" t="n">
        <v>21835.0</v>
      </c>
      <c r="W142" s="3" t="n">
        <v>20494.0</v>
      </c>
      <c r="X142" s="3" t="n">
        <v>20823.0</v>
      </c>
      <c r="Y142" s="3" t="n">
        <v>19829.0</v>
      </c>
      <c r="Z142" s="3" t="n">
        <v>20437.0</v>
      </c>
      <c r="AA142" s="3" t="n">
        <v>20321.0</v>
      </c>
      <c r="AB142" s="3" t="n">
        <v>20801.0</v>
      </c>
      <c r="AC142" s="3" t="n">
        <v>21824.0</v>
      </c>
      <c r="AD142" s="3" t="n">
        <v>20656.0</v>
      </c>
      <c r="AE142" s="3" t="n">
        <v>20078.0</v>
      </c>
      <c r="AF142" s="3" t="n">
        <v>18827.0</v>
      </c>
      <c r="AG142" s="3" t="n">
        <v>18169.0</v>
      </c>
      <c r="AH142" s="3" t="n">
        <v>16256.0</v>
      </c>
      <c r="AI142" s="3" t="n">
        <v>17251.0</v>
      </c>
      <c r="AJ142" s="3" t="n">
        <v>17357.0</v>
      </c>
      <c r="AK142" s="3" t="n">
        <v>17485.0</v>
      </c>
      <c r="AL142" s="3" t="n">
        <v>17498.0</v>
      </c>
      <c r="AM142" s="3" t="n">
        <v>17464.0</v>
      </c>
      <c r="AN142" s="3" t="n">
        <v>17423.0</v>
      </c>
      <c r="AO142" s="3" t="n">
        <v>17505.0</v>
      </c>
    </row>
    <row r="143" spans="1:41" x14ac:dyDescent="0.2">
      <c r="A143" s="122"/>
      <c r="B143" s="9">
        <v>32</v>
      </c>
      <c r="C143" s="3" t="n">
        <v>25879.0</v>
      </c>
      <c r="D143" s="3" t="n">
        <v>25513.0</v>
      </c>
      <c r="E143" s="3" t="n">
        <v>24035.0</v>
      </c>
      <c r="F143" s="3" t="n">
        <v>23496.0</v>
      </c>
      <c r="G143" s="3" t="n">
        <v>22024.0</v>
      </c>
      <c r="H143" s="3" t="n">
        <v>21050.0</v>
      </c>
      <c r="I143" s="3" t="n">
        <v>20366.0</v>
      </c>
      <c r="J143" s="3" t="n">
        <v>19809.0</v>
      </c>
      <c r="K143" s="3" t="n">
        <v>19249.0</v>
      </c>
      <c r="L143" s="3" t="n">
        <v>18265.0</v>
      </c>
      <c r="M143" s="3" t="n">
        <v>18189.0</v>
      </c>
      <c r="N143" s="3" t="n">
        <v>17846.0</v>
      </c>
      <c r="O143" s="3" t="n">
        <v>17016.0</v>
      </c>
      <c r="P143" s="3" t="n">
        <v>17044.0</v>
      </c>
      <c r="Q143" s="3" t="n">
        <v>17266.0</v>
      </c>
      <c r="R143" s="3" t="n">
        <v>18162.0</v>
      </c>
      <c r="S143" s="3" t="n">
        <v>18869.0</v>
      </c>
      <c r="T143" s="3" t="n">
        <v>19842.0</v>
      </c>
      <c r="U143" s="3" t="n">
        <v>21394.0</v>
      </c>
      <c r="V143" s="3" t="n">
        <v>21958.0</v>
      </c>
      <c r="W143" s="3" t="n">
        <v>21849.0</v>
      </c>
      <c r="X143" s="3" t="n">
        <v>20510.0</v>
      </c>
      <c r="Y143" s="3" t="n">
        <v>20840.0</v>
      </c>
      <c r="Z143" s="3" t="n">
        <v>19842.0</v>
      </c>
      <c r="AA143" s="3" t="n">
        <v>20446.0</v>
      </c>
      <c r="AB143" s="3" t="n">
        <v>20333.0</v>
      </c>
      <c r="AC143" s="3" t="n">
        <v>20814.0</v>
      </c>
      <c r="AD143" s="3" t="n">
        <v>21834.0</v>
      </c>
      <c r="AE143" s="3" t="n">
        <v>20673.0</v>
      </c>
      <c r="AF143" s="3" t="n">
        <v>20090.0</v>
      </c>
      <c r="AG143" s="3" t="n">
        <v>18830.0</v>
      </c>
      <c r="AH143" s="3" t="n">
        <v>18178.0</v>
      </c>
      <c r="AI143" s="3" t="n">
        <v>16265.0</v>
      </c>
      <c r="AJ143" s="3" t="n">
        <v>17255.0</v>
      </c>
      <c r="AK143" s="3" t="n">
        <v>17359.0</v>
      </c>
      <c r="AL143" s="3" t="n">
        <v>17489.0</v>
      </c>
      <c r="AM143" s="3" t="n">
        <v>17503.0</v>
      </c>
      <c r="AN143" s="3" t="n">
        <v>17468.0</v>
      </c>
      <c r="AO143" s="3" t="n">
        <v>17429.0</v>
      </c>
    </row>
    <row r="144" spans="1:41" x14ac:dyDescent="0.2">
      <c r="A144" s="122"/>
      <c r="B144" s="9">
        <v>33</v>
      </c>
      <c r="C144" s="3" t="n">
        <v>25924.0</v>
      </c>
      <c r="D144" s="3" t="n">
        <v>25854.0</v>
      </c>
      <c r="E144" s="3" t="n">
        <v>25484.0</v>
      </c>
      <c r="F144" s="3" t="n">
        <v>23999.0</v>
      </c>
      <c r="G144" s="3" t="n">
        <v>23469.0</v>
      </c>
      <c r="H144" s="3" t="n">
        <v>22056.0</v>
      </c>
      <c r="I144" s="3" t="n">
        <v>21098.0</v>
      </c>
      <c r="J144" s="3" t="n">
        <v>20388.0</v>
      </c>
      <c r="K144" s="3" t="n">
        <v>19807.0</v>
      </c>
      <c r="L144" s="3" t="n">
        <v>19241.0</v>
      </c>
      <c r="M144" s="3" t="n">
        <v>18264.0</v>
      </c>
      <c r="N144" s="3" t="n">
        <v>18190.0</v>
      </c>
      <c r="O144" s="3" t="n">
        <v>17848.0</v>
      </c>
      <c r="P144" s="3" t="n">
        <v>17028.0</v>
      </c>
      <c r="Q144" s="3" t="n">
        <v>17056.0</v>
      </c>
      <c r="R144" s="3" t="n">
        <v>17276.0</v>
      </c>
      <c r="S144" s="3" t="n">
        <v>18164.0</v>
      </c>
      <c r="T144" s="3" t="n">
        <v>18872.0</v>
      </c>
      <c r="U144" s="3" t="n">
        <v>19847.0</v>
      </c>
      <c r="V144" s="3" t="n">
        <v>21387.0</v>
      </c>
      <c r="W144" s="3" t="n">
        <v>21953.0</v>
      </c>
      <c r="X144" s="3" t="n">
        <v>21850.0</v>
      </c>
      <c r="Y144" s="3" t="n">
        <v>20515.0</v>
      </c>
      <c r="Z144" s="3" t="n">
        <v>20843.0</v>
      </c>
      <c r="AA144" s="3" t="n">
        <v>19845.0</v>
      </c>
      <c r="AB144" s="3" t="n">
        <v>20445.0</v>
      </c>
      <c r="AC144" s="3" t="n">
        <v>20330.0</v>
      </c>
      <c r="AD144" s="3" t="n">
        <v>20813.0</v>
      </c>
      <c r="AE144" s="3" t="n">
        <v>21833.0</v>
      </c>
      <c r="AF144" s="3" t="n">
        <v>20677.0</v>
      </c>
      <c r="AG144" s="3" t="n">
        <v>20086.0</v>
      </c>
      <c r="AH144" s="3" t="n">
        <v>18833.0</v>
      </c>
      <c r="AI144" s="3" t="n">
        <v>18180.0</v>
      </c>
      <c r="AJ144" s="3" t="n">
        <v>16275.0</v>
      </c>
      <c r="AK144" s="3" t="n">
        <v>17262.0</v>
      </c>
      <c r="AL144" s="3" t="n">
        <v>17363.0</v>
      </c>
      <c r="AM144" s="3" t="n">
        <v>17491.0</v>
      </c>
      <c r="AN144" s="3" t="n">
        <v>17507.0</v>
      </c>
      <c r="AO144" s="3" t="n">
        <v>17474.0</v>
      </c>
    </row>
    <row r="145" spans="1:41" x14ac:dyDescent="0.2">
      <c r="A145" s="122"/>
      <c r="B145" s="9">
        <v>34</v>
      </c>
      <c r="C145" s="3" t="n">
        <v>26655.0</v>
      </c>
      <c r="D145" s="3" t="n">
        <v>25874.0</v>
      </c>
      <c r="E145" s="3" t="n">
        <v>25807.0</v>
      </c>
      <c r="F145" s="3" t="n">
        <v>25443.0</v>
      </c>
      <c r="G145" s="3" t="n">
        <v>23964.0</v>
      </c>
      <c r="H145" s="3" t="n">
        <v>23477.0</v>
      </c>
      <c r="I145" s="3" t="n">
        <v>22080.0</v>
      </c>
      <c r="J145" s="3" t="n">
        <v>21093.0</v>
      </c>
      <c r="K145" s="3" t="n">
        <v>20369.0</v>
      </c>
      <c r="L145" s="3" t="n">
        <v>19790.0</v>
      </c>
      <c r="M145" s="3" t="n">
        <v>19222.0</v>
      </c>
      <c r="N145" s="3" t="n">
        <v>18246.0</v>
      </c>
      <c r="O145" s="3" t="n">
        <v>18179.0</v>
      </c>
      <c r="P145" s="3" t="n">
        <v>17841.0</v>
      </c>
      <c r="Q145" s="3" t="n">
        <v>17022.0</v>
      </c>
      <c r="R145" s="3" t="n">
        <v>17056.0</v>
      </c>
      <c r="S145" s="3" t="n">
        <v>17276.0</v>
      </c>
      <c r="T145" s="3" t="n">
        <v>18154.0</v>
      </c>
      <c r="U145" s="3" t="n">
        <v>18857.0</v>
      </c>
      <c r="V145" s="3" t="n">
        <v>19833.0</v>
      </c>
      <c r="W145" s="3" t="n">
        <v>21366.0</v>
      </c>
      <c r="X145" s="3" t="n">
        <v>21928.0</v>
      </c>
      <c r="Y145" s="3" t="n">
        <v>21823.0</v>
      </c>
      <c r="Z145" s="3" t="n">
        <v>20501.0</v>
      </c>
      <c r="AA145" s="3" t="n">
        <v>20827.0</v>
      </c>
      <c r="AB145" s="3" t="n">
        <v>19836.0</v>
      </c>
      <c r="AC145" s="3" t="n">
        <v>20427.0</v>
      </c>
      <c r="AD145" s="3" t="n">
        <v>20319.0</v>
      </c>
      <c r="AE145" s="3" t="n">
        <v>20794.0</v>
      </c>
      <c r="AF145" s="3" t="n">
        <v>21817.0</v>
      </c>
      <c r="AG145" s="3" t="n">
        <v>20663.0</v>
      </c>
      <c r="AH145" s="3" t="n">
        <v>20082.0</v>
      </c>
      <c r="AI145" s="3" t="n">
        <v>18834.0</v>
      </c>
      <c r="AJ145" s="3" t="n">
        <v>18180.0</v>
      </c>
      <c r="AK145" s="3" t="n">
        <v>16280.0</v>
      </c>
      <c r="AL145" s="3" t="n">
        <v>17265.0</v>
      </c>
      <c r="AM145" s="3" t="n">
        <v>17362.0</v>
      </c>
      <c r="AN145" s="3" t="n">
        <v>17494.0</v>
      </c>
      <c r="AO145" s="3" t="n">
        <v>17507.0</v>
      </c>
    </row>
    <row r="146" spans="1:41" x14ac:dyDescent="0.2">
      <c r="A146" s="122"/>
      <c r="B146" s="9">
        <v>35</v>
      </c>
      <c r="C146" s="3" t="n">
        <v>27459.0</v>
      </c>
      <c r="D146" s="3" t="n">
        <v>26629.0</v>
      </c>
      <c r="E146" s="3" t="n">
        <v>25845.0</v>
      </c>
      <c r="F146" s="3" t="n">
        <v>25786.0</v>
      </c>
      <c r="G146" s="3" t="n">
        <v>25417.0</v>
      </c>
      <c r="H146" s="3" t="n">
        <v>23977.0</v>
      </c>
      <c r="I146" s="3" t="n">
        <v>23515.0</v>
      </c>
      <c r="J146" s="3" t="n">
        <v>22094.0</v>
      </c>
      <c r="K146" s="3" t="n">
        <v>21090.0</v>
      </c>
      <c r="L146" s="3" t="n">
        <v>20362.0</v>
      </c>
      <c r="M146" s="3" t="n">
        <v>19781.0</v>
      </c>
      <c r="N146" s="3" t="n">
        <v>19211.0</v>
      </c>
      <c r="O146" s="3" t="n">
        <v>18240.0</v>
      </c>
      <c r="P146" s="3" t="n">
        <v>18176.0</v>
      </c>
      <c r="Q146" s="3" t="n">
        <v>17836.0</v>
      </c>
      <c r="R146" s="3" t="n">
        <v>17018.0</v>
      </c>
      <c r="S146" s="3" t="n">
        <v>17055.0</v>
      </c>
      <c r="T146" s="3" t="n">
        <v>17276.0</v>
      </c>
      <c r="U146" s="3" t="n">
        <v>18149.0</v>
      </c>
      <c r="V146" s="3" t="n">
        <v>18853.0</v>
      </c>
      <c r="W146" s="3" t="n">
        <v>19825.0</v>
      </c>
      <c r="X146" s="3" t="n">
        <v>21357.0</v>
      </c>
      <c r="Y146" s="3" t="n">
        <v>21920.0</v>
      </c>
      <c r="Z146" s="3" t="n">
        <v>21815.0</v>
      </c>
      <c r="AA146" s="3" t="n">
        <v>20495.0</v>
      </c>
      <c r="AB146" s="3" t="n">
        <v>20818.0</v>
      </c>
      <c r="AC146" s="3" t="n">
        <v>19834.0</v>
      </c>
      <c r="AD146" s="3" t="n">
        <v>20425.0</v>
      </c>
      <c r="AE146" s="3" t="n">
        <v>20313.0</v>
      </c>
      <c r="AF146" s="3" t="n">
        <v>20786.0</v>
      </c>
      <c r="AG146" s="3" t="n">
        <v>21806.0</v>
      </c>
      <c r="AH146" s="3" t="n">
        <v>20654.0</v>
      </c>
      <c r="AI146" s="3" t="n">
        <v>20078.0</v>
      </c>
      <c r="AJ146" s="3" t="n">
        <v>18828.0</v>
      </c>
      <c r="AK146" s="3" t="n">
        <v>18174.0</v>
      </c>
      <c r="AL146" s="3" t="n">
        <v>16276.0</v>
      </c>
      <c r="AM146" s="3" t="n">
        <v>17260.0</v>
      </c>
      <c r="AN146" s="3" t="n">
        <v>17354.0</v>
      </c>
      <c r="AO146" s="3" t="n">
        <v>17488.0</v>
      </c>
    </row>
    <row r="147" spans="1:41" x14ac:dyDescent="0.2">
      <c r="A147" s="122"/>
      <c r="B147" s="9">
        <v>36</v>
      </c>
      <c r="C147" s="3" t="n">
        <v>28138.0</v>
      </c>
      <c r="D147" s="3" t="n">
        <v>27409.0</v>
      </c>
      <c r="E147" s="3" t="n">
        <v>26581.0</v>
      </c>
      <c r="F147" s="3" t="n">
        <v>25789.0</v>
      </c>
      <c r="G147" s="3" t="n">
        <v>25741.0</v>
      </c>
      <c r="H147" s="3" t="n">
        <v>25419.0</v>
      </c>
      <c r="I147" s="3" t="n">
        <v>24001.0</v>
      </c>
      <c r="J147" s="3" t="n">
        <v>23498.0</v>
      </c>
      <c r="K147" s="3" t="n">
        <v>22068.0</v>
      </c>
      <c r="L147" s="3" t="n">
        <v>21064.0</v>
      </c>
      <c r="M147" s="3" t="n">
        <v>20336.0</v>
      </c>
      <c r="N147" s="3" t="n">
        <v>19758.0</v>
      </c>
      <c r="O147" s="3" t="n">
        <v>19181.0</v>
      </c>
      <c r="P147" s="3" t="n">
        <v>18209.0</v>
      </c>
      <c r="Q147" s="3" t="n">
        <v>18147.0</v>
      </c>
      <c r="R147" s="3" t="n">
        <v>17810.0</v>
      </c>
      <c r="S147" s="3" t="n">
        <v>16999.0</v>
      </c>
      <c r="T147" s="3" t="n">
        <v>17031.0</v>
      </c>
      <c r="U147" s="3" t="n">
        <v>17253.0</v>
      </c>
      <c r="V147" s="3" t="n">
        <v>18127.0</v>
      </c>
      <c r="W147" s="3" t="n">
        <v>18831.0</v>
      </c>
      <c r="X147" s="3" t="n">
        <v>19805.0</v>
      </c>
      <c r="Y147" s="3" t="n">
        <v>21333.0</v>
      </c>
      <c r="Z147" s="3" t="n">
        <v>21889.0</v>
      </c>
      <c r="AA147" s="3" t="n">
        <v>21788.0</v>
      </c>
      <c r="AB147" s="3" t="n">
        <v>20477.0</v>
      </c>
      <c r="AC147" s="3" t="n">
        <v>20798.0</v>
      </c>
      <c r="AD147" s="3" t="n">
        <v>19809.0</v>
      </c>
      <c r="AE147" s="3" t="n">
        <v>20397.0</v>
      </c>
      <c r="AF147" s="3" t="n">
        <v>20294.0</v>
      </c>
      <c r="AG147" s="3" t="n">
        <v>20763.0</v>
      </c>
      <c r="AH147" s="3" t="n">
        <v>21781.0</v>
      </c>
      <c r="AI147" s="3" t="n">
        <v>20629.0</v>
      </c>
      <c r="AJ147" s="3" t="n">
        <v>20059.0</v>
      </c>
      <c r="AK147" s="3" t="n">
        <v>18812.0</v>
      </c>
      <c r="AL147" s="3" t="n">
        <v>18162.0</v>
      </c>
      <c r="AM147" s="3" t="n">
        <v>16263.0</v>
      </c>
      <c r="AN147" s="3" t="n">
        <v>17249.0</v>
      </c>
      <c r="AO147" s="3" t="n">
        <v>17342.0</v>
      </c>
    </row>
    <row r="148" spans="1:41" x14ac:dyDescent="0.2">
      <c r="A148" s="122"/>
      <c r="B148" s="9">
        <v>37</v>
      </c>
      <c r="C148" s="3" t="n">
        <v>29826.0</v>
      </c>
      <c r="D148" s="3" t="n">
        <v>28079.0</v>
      </c>
      <c r="E148" s="3" t="n">
        <v>27358.0</v>
      </c>
      <c r="F148" s="3" t="n">
        <v>26533.0</v>
      </c>
      <c r="G148" s="3" t="n">
        <v>25753.0</v>
      </c>
      <c r="H148" s="3" t="n">
        <v>25751.0</v>
      </c>
      <c r="I148" s="3" t="n">
        <v>25445.0</v>
      </c>
      <c r="J148" s="3" t="n">
        <v>23984.0</v>
      </c>
      <c r="K148" s="3" t="n">
        <v>23479.0</v>
      </c>
      <c r="L148" s="3" t="n">
        <v>22042.0</v>
      </c>
      <c r="M148" s="3" t="n">
        <v>21034.0</v>
      </c>
      <c r="N148" s="3" t="n">
        <v>20308.0</v>
      </c>
      <c r="O148" s="3" t="n">
        <v>19731.0</v>
      </c>
      <c r="P148" s="3" t="n">
        <v>19159.0</v>
      </c>
      <c r="Q148" s="3" t="n">
        <v>18194.0</v>
      </c>
      <c r="R148" s="3" t="n">
        <v>18130.0</v>
      </c>
      <c r="S148" s="3" t="n">
        <v>17802.0</v>
      </c>
      <c r="T148" s="3" t="n">
        <v>16997.0</v>
      </c>
      <c r="U148" s="3" t="n">
        <v>17025.0</v>
      </c>
      <c r="V148" s="3" t="n">
        <v>17246.0</v>
      </c>
      <c r="W148" s="3" t="n">
        <v>18121.0</v>
      </c>
      <c r="X148" s="3" t="n">
        <v>18818.0</v>
      </c>
      <c r="Y148" s="3" t="n">
        <v>19786.0</v>
      </c>
      <c r="Z148" s="3" t="n">
        <v>21313.0</v>
      </c>
      <c r="AA148" s="3" t="n">
        <v>21872.0</v>
      </c>
      <c r="AB148" s="3" t="n">
        <v>21769.0</v>
      </c>
      <c r="AC148" s="3" t="n">
        <v>20463.0</v>
      </c>
      <c r="AD148" s="3" t="n">
        <v>20781.0</v>
      </c>
      <c r="AE148" s="3" t="n">
        <v>19792.0</v>
      </c>
      <c r="AF148" s="3" t="n">
        <v>20380.0</v>
      </c>
      <c r="AG148" s="3" t="n">
        <v>20275.0</v>
      </c>
      <c r="AH148" s="3" t="n">
        <v>20740.0</v>
      </c>
      <c r="AI148" s="3" t="n">
        <v>21765.0</v>
      </c>
      <c r="AJ148" s="3" t="n">
        <v>20616.0</v>
      </c>
      <c r="AK148" s="3" t="n">
        <v>20044.0</v>
      </c>
      <c r="AL148" s="3" t="n">
        <v>18803.0</v>
      </c>
      <c r="AM148" s="3" t="n">
        <v>18161.0</v>
      </c>
      <c r="AN148" s="3" t="n">
        <v>16258.0</v>
      </c>
      <c r="AO148" s="3" t="n">
        <v>17245.0</v>
      </c>
    </row>
    <row r="149" spans="1:41" x14ac:dyDescent="0.2">
      <c r="A149" s="122"/>
      <c r="B149" s="9">
        <v>38</v>
      </c>
      <c r="C149" s="3" t="n">
        <v>30824.0</v>
      </c>
      <c r="D149" s="3" t="n">
        <v>29789.0</v>
      </c>
      <c r="E149" s="3" t="n">
        <v>28042.0</v>
      </c>
      <c r="F149" s="3" t="n">
        <v>27323.0</v>
      </c>
      <c r="G149" s="3" t="n">
        <v>26502.0</v>
      </c>
      <c r="H149" s="3" t="n">
        <v>25774.0</v>
      </c>
      <c r="I149" s="3" t="n">
        <v>25790.0</v>
      </c>
      <c r="J149" s="3" t="n">
        <v>25447.0</v>
      </c>
      <c r="K149" s="3" t="n">
        <v>23971.0</v>
      </c>
      <c r="L149" s="3" t="n">
        <v>23466.0</v>
      </c>
      <c r="M149" s="3" t="n">
        <v>22020.0</v>
      </c>
      <c r="N149" s="3" t="n">
        <v>21014.0</v>
      </c>
      <c r="O149" s="3" t="n">
        <v>20298.0</v>
      </c>
      <c r="P149" s="3" t="n">
        <v>19728.0</v>
      </c>
      <c r="Q149" s="3" t="n">
        <v>19156.0</v>
      </c>
      <c r="R149" s="3" t="n">
        <v>18193.0</v>
      </c>
      <c r="S149" s="3" t="n">
        <v>18127.0</v>
      </c>
      <c r="T149" s="3" t="n">
        <v>17801.0</v>
      </c>
      <c r="U149" s="3" t="n">
        <v>16998.0</v>
      </c>
      <c r="V149" s="3" t="n">
        <v>17028.0</v>
      </c>
      <c r="W149" s="3" t="n">
        <v>17240.0</v>
      </c>
      <c r="X149" s="3" t="n">
        <v>18120.0</v>
      </c>
      <c r="Y149" s="3" t="n">
        <v>18818.0</v>
      </c>
      <c r="Z149" s="3" t="n">
        <v>19784.0</v>
      </c>
      <c r="AA149" s="3" t="n">
        <v>21308.0</v>
      </c>
      <c r="AB149" s="3" t="n">
        <v>21863.0</v>
      </c>
      <c r="AC149" s="3" t="n">
        <v>21762.0</v>
      </c>
      <c r="AD149" s="3" t="n">
        <v>20462.0</v>
      </c>
      <c r="AE149" s="3" t="n">
        <v>20781.0</v>
      </c>
      <c r="AF149" s="3" t="n">
        <v>19793.0</v>
      </c>
      <c r="AG149" s="3" t="n">
        <v>20380.0</v>
      </c>
      <c r="AH149" s="3" t="n">
        <v>20270.0</v>
      </c>
      <c r="AI149" s="3" t="n">
        <v>20736.0</v>
      </c>
      <c r="AJ149" s="3" t="n">
        <v>21757.0</v>
      </c>
      <c r="AK149" s="3" t="n">
        <v>20614.0</v>
      </c>
      <c r="AL149" s="3" t="n">
        <v>20045.0</v>
      </c>
      <c r="AM149" s="3" t="n">
        <v>18809.0</v>
      </c>
      <c r="AN149" s="3" t="n">
        <v>18164.0</v>
      </c>
      <c r="AO149" s="3" t="n">
        <v>16263.0</v>
      </c>
    </row>
    <row r="150" spans="1:41" x14ac:dyDescent="0.2">
      <c r="A150" s="122"/>
      <c r="B150" s="9">
        <v>39</v>
      </c>
      <c r="C150" s="3" t="n">
        <v>31356.0</v>
      </c>
      <c r="D150" s="3" t="n">
        <v>30771.0</v>
      </c>
      <c r="E150" s="3" t="n">
        <v>29740.0</v>
      </c>
      <c r="F150" s="3" t="n">
        <v>28000.0</v>
      </c>
      <c r="G150" s="3" t="n">
        <v>27289.0</v>
      </c>
      <c r="H150" s="3" t="n">
        <v>26518.0</v>
      </c>
      <c r="I150" s="3" t="n">
        <v>25808.0</v>
      </c>
      <c r="J150" s="3" t="n">
        <v>25789.0</v>
      </c>
      <c r="K150" s="3" t="n">
        <v>25429.0</v>
      </c>
      <c r="L150" s="3" t="n">
        <v>23946.0</v>
      </c>
      <c r="M150" s="3" t="n">
        <v>23441.0</v>
      </c>
      <c r="N150" s="3" t="n">
        <v>21989.0</v>
      </c>
      <c r="O150" s="3" t="n">
        <v>20984.0</v>
      </c>
      <c r="P150" s="3" t="n">
        <v>20271.0</v>
      </c>
      <c r="Q150" s="3" t="n">
        <v>19704.0</v>
      </c>
      <c r="R150" s="3" t="n">
        <v>19134.0</v>
      </c>
      <c r="S150" s="3" t="n">
        <v>18173.0</v>
      </c>
      <c r="T150" s="3" t="n">
        <v>18110.0</v>
      </c>
      <c r="U150" s="3" t="n">
        <v>17788.0</v>
      </c>
      <c r="V150" s="3" t="n">
        <v>16990.0</v>
      </c>
      <c r="W150" s="3" t="n">
        <v>17022.0</v>
      </c>
      <c r="X150" s="3" t="n">
        <v>17236.0</v>
      </c>
      <c r="Y150" s="3" t="n">
        <v>18108.0</v>
      </c>
      <c r="Z150" s="3" t="n">
        <v>18805.0</v>
      </c>
      <c r="AA150" s="3" t="n">
        <v>19770.0</v>
      </c>
      <c r="AB150" s="3" t="n">
        <v>21297.0</v>
      </c>
      <c r="AC150" s="3" t="n">
        <v>21849.0</v>
      </c>
      <c r="AD150" s="3" t="n">
        <v>21749.0</v>
      </c>
      <c r="AE150" s="3" t="n">
        <v>20451.0</v>
      </c>
      <c r="AF150" s="3" t="n">
        <v>20772.0</v>
      </c>
      <c r="AG150" s="3" t="n">
        <v>19778.0</v>
      </c>
      <c r="AH150" s="3" t="n">
        <v>20364.0</v>
      </c>
      <c r="AI150" s="3" t="n">
        <v>20258.0</v>
      </c>
      <c r="AJ150" s="3" t="n">
        <v>20726.0</v>
      </c>
      <c r="AK150" s="3" t="n">
        <v>21751.0</v>
      </c>
      <c r="AL150" s="3" t="n">
        <v>20609.0</v>
      </c>
      <c r="AM150" s="3" t="n">
        <v>20040.0</v>
      </c>
      <c r="AN150" s="3" t="n">
        <v>18806.0</v>
      </c>
      <c r="AO150" s="3" t="n">
        <v>18167.0</v>
      </c>
    </row>
    <row r="151" spans="1:41" x14ac:dyDescent="0.2">
      <c r="A151" s="122"/>
      <c r="B151" s="9">
        <v>40</v>
      </c>
      <c r="C151" s="3" t="n">
        <v>30560.0</v>
      </c>
      <c r="D151" s="3" t="n">
        <v>31281.0</v>
      </c>
      <c r="E151" s="3" t="n">
        <v>30701.0</v>
      </c>
      <c r="F151" s="3" t="n">
        <v>29680.0</v>
      </c>
      <c r="G151" s="3" t="n">
        <v>27936.0</v>
      </c>
      <c r="H151" s="3" t="n">
        <v>27267.0</v>
      </c>
      <c r="I151" s="3" t="n">
        <v>26520.0</v>
      </c>
      <c r="J151" s="3" t="n">
        <v>25788.0</v>
      </c>
      <c r="K151" s="3" t="n">
        <v>25753.0</v>
      </c>
      <c r="L151" s="3" t="n">
        <v>25384.0</v>
      </c>
      <c r="M151" s="3" t="n">
        <v>23897.0</v>
      </c>
      <c r="N151" s="3" t="n">
        <v>23392.0</v>
      </c>
      <c r="O151" s="3" t="n">
        <v>21945.0</v>
      </c>
      <c r="P151" s="3" t="n">
        <v>20942.0</v>
      </c>
      <c r="Q151" s="3" t="n">
        <v>20231.0</v>
      </c>
      <c r="R151" s="3" t="n">
        <v>19662.0</v>
      </c>
      <c r="S151" s="3" t="n">
        <v>19091.0</v>
      </c>
      <c r="T151" s="3" t="n">
        <v>18139.0</v>
      </c>
      <c r="U151" s="3" t="n">
        <v>18083.0</v>
      </c>
      <c r="V151" s="3" t="n">
        <v>17771.0</v>
      </c>
      <c r="W151" s="3" t="n">
        <v>16980.0</v>
      </c>
      <c r="X151" s="3" t="n">
        <v>17011.0</v>
      </c>
      <c r="Y151" s="3" t="n">
        <v>17229.0</v>
      </c>
      <c r="Z151" s="3" t="n">
        <v>18094.0</v>
      </c>
      <c r="AA151" s="3" t="n">
        <v>18778.0</v>
      </c>
      <c r="AB151" s="3" t="n">
        <v>19741.0</v>
      </c>
      <c r="AC151" s="3" t="n">
        <v>21266.0</v>
      </c>
      <c r="AD151" s="3" t="n">
        <v>21822.0</v>
      </c>
      <c r="AE151" s="3" t="n">
        <v>21723.0</v>
      </c>
      <c r="AF151" s="3" t="n">
        <v>20429.0</v>
      </c>
      <c r="AG151" s="3" t="n">
        <v>20745.0</v>
      </c>
      <c r="AH151" s="3" t="n">
        <v>19758.0</v>
      </c>
      <c r="AI151" s="3" t="n">
        <v>20344.0</v>
      </c>
      <c r="AJ151" s="3" t="n">
        <v>20236.0</v>
      </c>
      <c r="AK151" s="3" t="n">
        <v>20701.0</v>
      </c>
      <c r="AL151" s="3" t="n">
        <v>21723.0</v>
      </c>
      <c r="AM151" s="3" t="n">
        <v>20589.0</v>
      </c>
      <c r="AN151" s="3" t="n">
        <v>20021.0</v>
      </c>
      <c r="AO151" s="3" t="n">
        <v>18785.0</v>
      </c>
    </row>
    <row r="152" spans="1:41" x14ac:dyDescent="0.2">
      <c r="A152" s="122"/>
      <c r="B152" s="9">
        <v>41</v>
      </c>
      <c r="C152" s="3" t="n">
        <v>28815.0</v>
      </c>
      <c r="D152" s="3" t="n">
        <v>30491.0</v>
      </c>
      <c r="E152" s="3" t="n">
        <v>31216.0</v>
      </c>
      <c r="F152" s="3" t="n">
        <v>30637.0</v>
      </c>
      <c r="G152" s="3" t="n">
        <v>29621.0</v>
      </c>
      <c r="H152" s="3" t="n">
        <v>27918.0</v>
      </c>
      <c r="I152" s="3" t="n">
        <v>27267.0</v>
      </c>
      <c r="J152" s="3" t="n">
        <v>26500.0</v>
      </c>
      <c r="K152" s="3" t="n">
        <v>25763.0</v>
      </c>
      <c r="L152" s="3" t="n">
        <v>25720.0</v>
      </c>
      <c r="M152" s="3" t="n">
        <v>25350.0</v>
      </c>
      <c r="N152" s="3" t="n">
        <v>23863.0</v>
      </c>
      <c r="O152" s="3" t="n">
        <v>23361.0</v>
      </c>
      <c r="P152" s="3" t="n">
        <v>21915.0</v>
      </c>
      <c r="Q152" s="3" t="n">
        <v>20917.0</v>
      </c>
      <c r="R152" s="3" t="n">
        <v>20212.0</v>
      </c>
      <c r="S152" s="3" t="n">
        <v>19645.0</v>
      </c>
      <c r="T152" s="3" t="n">
        <v>19079.0</v>
      </c>
      <c r="U152" s="3" t="n">
        <v>18130.0</v>
      </c>
      <c r="V152" s="3" t="n">
        <v>18072.0</v>
      </c>
      <c r="W152" s="3" t="n">
        <v>17762.0</v>
      </c>
      <c r="X152" s="3" t="n">
        <v>16976.0</v>
      </c>
      <c r="Y152" s="3" t="n">
        <v>17007.0</v>
      </c>
      <c r="Z152" s="3" t="n">
        <v>17222.0</v>
      </c>
      <c r="AA152" s="3" t="n">
        <v>18088.0</v>
      </c>
      <c r="AB152" s="3" t="n">
        <v>18777.0</v>
      </c>
      <c r="AC152" s="3" t="n">
        <v>19742.0</v>
      </c>
      <c r="AD152" s="3" t="n">
        <v>21259.0</v>
      </c>
      <c r="AE152" s="3" t="n">
        <v>21808.0</v>
      </c>
      <c r="AF152" s="3" t="n">
        <v>21711.0</v>
      </c>
      <c r="AG152" s="3" t="n">
        <v>20425.0</v>
      </c>
      <c r="AH152" s="3" t="n">
        <v>20739.0</v>
      </c>
      <c r="AI152" s="3" t="n">
        <v>19756.0</v>
      </c>
      <c r="AJ152" s="3" t="n">
        <v>20340.0</v>
      </c>
      <c r="AK152" s="3" t="n">
        <v>20232.0</v>
      </c>
      <c r="AL152" s="3" t="n">
        <v>20694.0</v>
      </c>
      <c r="AM152" s="3" t="n">
        <v>21715.0</v>
      </c>
      <c r="AN152" s="3" t="n">
        <v>20584.0</v>
      </c>
      <c r="AO152" s="3" t="n">
        <v>20018.0</v>
      </c>
    </row>
    <row r="153" spans="1:41" x14ac:dyDescent="0.2">
      <c r="A153" s="122"/>
      <c r="B153" s="9">
        <v>42</v>
      </c>
      <c r="C153" s="3" t="n">
        <v>29456.0</v>
      </c>
      <c r="D153" s="3" t="n">
        <v>28754.0</v>
      </c>
      <c r="E153" s="3" t="n">
        <v>30424.0</v>
      </c>
      <c r="F153" s="3" t="n">
        <v>31141.0</v>
      </c>
      <c r="G153" s="3" t="n">
        <v>30577.0</v>
      </c>
      <c r="H153" s="3" t="n">
        <v>29593.0</v>
      </c>
      <c r="I153" s="3" t="n">
        <v>27912.0</v>
      </c>
      <c r="J153" s="3" t="n">
        <v>27229.0</v>
      </c>
      <c r="K153" s="3" t="n">
        <v>26452.0</v>
      </c>
      <c r="L153" s="3" t="n">
        <v>25715.0</v>
      </c>
      <c r="M153" s="3" t="n">
        <v>25664.0</v>
      </c>
      <c r="N153" s="3" t="n">
        <v>25301.0</v>
      </c>
      <c r="O153" s="3" t="n">
        <v>23818.0</v>
      </c>
      <c r="P153" s="3" t="n">
        <v>23320.0</v>
      </c>
      <c r="Q153" s="3" t="n">
        <v>21870.0</v>
      </c>
      <c r="R153" s="3" t="n">
        <v>20885.0</v>
      </c>
      <c r="S153" s="3" t="n">
        <v>20180.0</v>
      </c>
      <c r="T153" s="3" t="n">
        <v>19616.0</v>
      </c>
      <c r="U153" s="3" t="n">
        <v>19052.0</v>
      </c>
      <c r="V153" s="3" t="n">
        <v>18106.0</v>
      </c>
      <c r="W153" s="3" t="n">
        <v>18048.0</v>
      </c>
      <c r="X153" s="3" t="n">
        <v>17746.0</v>
      </c>
      <c r="Y153" s="3" t="n">
        <v>16961.0</v>
      </c>
      <c r="Z153" s="3" t="n">
        <v>16992.0</v>
      </c>
      <c r="AA153" s="3" t="n">
        <v>17201.0</v>
      </c>
      <c r="AB153" s="3" t="n">
        <v>18064.0</v>
      </c>
      <c r="AC153" s="3" t="n">
        <v>18753.0</v>
      </c>
      <c r="AD153" s="3" t="n">
        <v>19720.0</v>
      </c>
      <c r="AE153" s="3" t="n">
        <v>21237.0</v>
      </c>
      <c r="AF153" s="3" t="n">
        <v>21783.0</v>
      </c>
      <c r="AG153" s="3" t="n">
        <v>21686.0</v>
      </c>
      <c r="AH153" s="3" t="n">
        <v>20407.0</v>
      </c>
      <c r="AI153" s="3" t="n">
        <v>20720.0</v>
      </c>
      <c r="AJ153" s="3" t="n">
        <v>19739.0</v>
      </c>
      <c r="AK153" s="3" t="n">
        <v>20323.0</v>
      </c>
      <c r="AL153" s="3" t="n">
        <v>20215.0</v>
      </c>
      <c r="AM153" s="3" t="n">
        <v>20676.0</v>
      </c>
      <c r="AN153" s="3" t="n">
        <v>21694.0</v>
      </c>
      <c r="AO153" s="3" t="n">
        <v>20566.0</v>
      </c>
    </row>
    <row r="154" spans="1:41" x14ac:dyDescent="0.2">
      <c r="A154" s="122"/>
      <c r="B154" s="9">
        <v>43</v>
      </c>
      <c r="C154" s="3" t="n">
        <v>29678.0</v>
      </c>
      <c r="D154" s="3" t="n">
        <v>29384.0</v>
      </c>
      <c r="E154" s="3" t="n">
        <v>28692.0</v>
      </c>
      <c r="F154" s="3" t="n">
        <v>30355.0</v>
      </c>
      <c r="G154" s="3" t="n">
        <v>31074.0</v>
      </c>
      <c r="H154" s="3" t="n">
        <v>30544.0</v>
      </c>
      <c r="I154" s="3" t="n">
        <v>29571.0</v>
      </c>
      <c r="J154" s="3" t="n">
        <v>27869.0</v>
      </c>
      <c r="K154" s="3" t="n">
        <v>27174.0</v>
      </c>
      <c r="L154" s="3" t="n">
        <v>26399.0</v>
      </c>
      <c r="M154" s="3" t="n">
        <v>25665.0</v>
      </c>
      <c r="N154" s="3" t="n">
        <v>25607.0</v>
      </c>
      <c r="O154" s="3" t="n">
        <v>25246.0</v>
      </c>
      <c r="P154" s="3" t="n">
        <v>23764.0</v>
      </c>
      <c r="Q154" s="3" t="n">
        <v>23276.0</v>
      </c>
      <c r="R154" s="3" t="n">
        <v>21826.0</v>
      </c>
      <c r="S154" s="3" t="n">
        <v>20850.0</v>
      </c>
      <c r="T154" s="3" t="n">
        <v>20144.0</v>
      </c>
      <c r="U154" s="3" t="n">
        <v>19581.0</v>
      </c>
      <c r="V154" s="3" t="n">
        <v>19021.0</v>
      </c>
      <c r="W154" s="3" t="n">
        <v>18083.0</v>
      </c>
      <c r="X154" s="3" t="n">
        <v>18030.0</v>
      </c>
      <c r="Y154" s="3" t="n">
        <v>17725.0</v>
      </c>
      <c r="Z154" s="3" t="n">
        <v>16942.0</v>
      </c>
      <c r="AA154" s="3" t="n">
        <v>16976.0</v>
      </c>
      <c r="AB154" s="3" t="n">
        <v>17184.0</v>
      </c>
      <c r="AC154" s="3" t="n">
        <v>18042.0</v>
      </c>
      <c r="AD154" s="3" t="n">
        <v>18733.0</v>
      </c>
      <c r="AE154" s="3" t="n">
        <v>19696.0</v>
      </c>
      <c r="AF154" s="3" t="n">
        <v>21218.0</v>
      </c>
      <c r="AG154" s="3" t="n">
        <v>21763.0</v>
      </c>
      <c r="AH154" s="3" t="n">
        <v>21668.0</v>
      </c>
      <c r="AI154" s="3" t="n">
        <v>20391.0</v>
      </c>
      <c r="AJ154" s="3" t="n">
        <v>20703.0</v>
      </c>
      <c r="AK154" s="3" t="n">
        <v>19723.0</v>
      </c>
      <c r="AL154" s="3" t="n">
        <v>20304.0</v>
      </c>
      <c r="AM154" s="3" t="n">
        <v>20199.0</v>
      </c>
      <c r="AN154" s="3" t="n">
        <v>20664.0</v>
      </c>
      <c r="AO154" s="3" t="n">
        <v>21681.0</v>
      </c>
    </row>
    <row r="155" spans="1:41" x14ac:dyDescent="0.2">
      <c r="A155" s="122"/>
      <c r="B155" s="9">
        <v>44</v>
      </c>
      <c r="C155" s="3" t="n">
        <v>28070.0</v>
      </c>
      <c r="D155" s="3" t="n">
        <v>29583.0</v>
      </c>
      <c r="E155" s="3" t="n">
        <v>29292.0</v>
      </c>
      <c r="F155" s="3" t="n">
        <v>28609.0</v>
      </c>
      <c r="G155" s="3" t="n">
        <v>30262.0</v>
      </c>
      <c r="H155" s="3" t="n">
        <v>31016.0</v>
      </c>
      <c r="I155" s="3" t="n">
        <v>30508.0</v>
      </c>
      <c r="J155" s="3" t="n">
        <v>29509.0</v>
      </c>
      <c r="K155" s="3" t="n">
        <v>27805.0</v>
      </c>
      <c r="L155" s="3" t="n">
        <v>27106.0</v>
      </c>
      <c r="M155" s="3" t="n">
        <v>26336.0</v>
      </c>
      <c r="N155" s="3" t="n">
        <v>25603.0</v>
      </c>
      <c r="O155" s="3" t="n">
        <v>25547.0</v>
      </c>
      <c r="P155" s="3" t="n">
        <v>25188.0</v>
      </c>
      <c r="Q155" s="3" t="n">
        <v>23707.0</v>
      </c>
      <c r="R155" s="3" t="n">
        <v>23224.0</v>
      </c>
      <c r="S155" s="3" t="n">
        <v>21783.0</v>
      </c>
      <c r="T155" s="3" t="n">
        <v>20812.0</v>
      </c>
      <c r="U155" s="3" t="n">
        <v>20105.0</v>
      </c>
      <c r="V155" s="3" t="n">
        <v>19538.0</v>
      </c>
      <c r="W155" s="3" t="n">
        <v>18982.0</v>
      </c>
      <c r="X155" s="3" t="n">
        <v>18048.0</v>
      </c>
      <c r="Y155" s="3" t="n">
        <v>17996.0</v>
      </c>
      <c r="Z155" s="3" t="n">
        <v>17693.0</v>
      </c>
      <c r="AA155" s="3" t="n">
        <v>16915.0</v>
      </c>
      <c r="AB155" s="3" t="n">
        <v>16951.0</v>
      </c>
      <c r="AC155" s="3" t="n">
        <v>17154.0</v>
      </c>
      <c r="AD155" s="3" t="n">
        <v>18010.0</v>
      </c>
      <c r="AE155" s="3" t="n">
        <v>18703.0</v>
      </c>
      <c r="AF155" s="3" t="n">
        <v>19668.0</v>
      </c>
      <c r="AG155" s="3" t="n">
        <v>21187.0</v>
      </c>
      <c r="AH155" s="3" t="n">
        <v>21737.0</v>
      </c>
      <c r="AI155" s="3" t="n">
        <v>21645.0</v>
      </c>
      <c r="AJ155" s="3" t="n">
        <v>20367.0</v>
      </c>
      <c r="AK155" s="3" t="n">
        <v>20674.0</v>
      </c>
      <c r="AL155" s="3" t="n">
        <v>19693.0</v>
      </c>
      <c r="AM155" s="3" t="n">
        <v>20275.0</v>
      </c>
      <c r="AN155" s="3" t="n">
        <v>20168.0</v>
      </c>
      <c r="AO155" s="3" t="n">
        <v>20633.0</v>
      </c>
    </row>
    <row r="156" spans="1:41" x14ac:dyDescent="0.2">
      <c r="A156" s="122"/>
      <c r="B156" s="9">
        <v>45</v>
      </c>
      <c r="C156" s="3" t="n">
        <v>28093.0</v>
      </c>
      <c r="D156" s="3" t="n">
        <v>27968.0</v>
      </c>
      <c r="E156" s="3" t="n">
        <v>29478.0</v>
      </c>
      <c r="F156" s="3" t="n">
        <v>29189.0</v>
      </c>
      <c r="G156" s="3" t="n">
        <v>28517.0</v>
      </c>
      <c r="H156" s="3" t="n">
        <v>30188.0</v>
      </c>
      <c r="I156" s="3" t="n">
        <v>30947.0</v>
      </c>
      <c r="J156" s="3" t="n">
        <v>30421.0</v>
      </c>
      <c r="K156" s="3" t="n">
        <v>29423.0</v>
      </c>
      <c r="L156" s="3" t="n">
        <v>27728.0</v>
      </c>
      <c r="M156" s="3" t="n">
        <v>27028.0</v>
      </c>
      <c r="N156" s="3" t="n">
        <v>26257.0</v>
      </c>
      <c r="O156" s="3" t="n">
        <v>25527.0</v>
      </c>
      <c r="P156" s="3" t="n">
        <v>25477.0</v>
      </c>
      <c r="Q156" s="3" t="n">
        <v>25121.0</v>
      </c>
      <c r="R156" s="3" t="n">
        <v>23648.0</v>
      </c>
      <c r="S156" s="3" t="n">
        <v>23168.0</v>
      </c>
      <c r="T156" s="3" t="n">
        <v>21730.0</v>
      </c>
      <c r="U156" s="3" t="n">
        <v>20761.0</v>
      </c>
      <c r="V156" s="3" t="n">
        <v>20055.0</v>
      </c>
      <c r="W156" s="3" t="n">
        <v>19490.0</v>
      </c>
      <c r="X156" s="3" t="n">
        <v>18933.0</v>
      </c>
      <c r="Y156" s="3" t="n">
        <v>18004.0</v>
      </c>
      <c r="Z156" s="3" t="n">
        <v>17955.0</v>
      </c>
      <c r="AA156" s="3" t="n">
        <v>17655.0</v>
      </c>
      <c r="AB156" s="3" t="n">
        <v>16882.0</v>
      </c>
      <c r="AC156" s="3" t="n">
        <v>16917.0</v>
      </c>
      <c r="AD156" s="3" t="n">
        <v>17126.0</v>
      </c>
      <c r="AE156" s="3" t="n">
        <v>17973.0</v>
      </c>
      <c r="AF156" s="3" t="n">
        <v>18660.0</v>
      </c>
      <c r="AG156" s="3" t="n">
        <v>19628.0</v>
      </c>
      <c r="AH156" s="3" t="n">
        <v>21146.0</v>
      </c>
      <c r="AI156" s="3" t="n">
        <v>21697.0</v>
      </c>
      <c r="AJ156" s="3" t="n">
        <v>21607.0</v>
      </c>
      <c r="AK156" s="3" t="n">
        <v>20333.0</v>
      </c>
      <c r="AL156" s="3" t="n">
        <v>20636.0</v>
      </c>
      <c r="AM156" s="3" t="n">
        <v>19660.0</v>
      </c>
      <c r="AN156" s="3" t="n">
        <v>20239.0</v>
      </c>
      <c r="AO156" s="3" t="n">
        <v>20135.0</v>
      </c>
    </row>
    <row r="157" spans="1:41" x14ac:dyDescent="0.2">
      <c r="A157" s="122"/>
      <c r="B157" s="9">
        <v>46</v>
      </c>
      <c r="C157" s="3" t="n">
        <v>27898.0</v>
      </c>
      <c r="D157" s="3" t="n">
        <v>27979.0</v>
      </c>
      <c r="E157" s="3" t="n">
        <v>27859.0</v>
      </c>
      <c r="F157" s="3" t="n">
        <v>29364.0</v>
      </c>
      <c r="G157" s="3" t="n">
        <v>29087.0</v>
      </c>
      <c r="H157" s="3" t="n">
        <v>28440.0</v>
      </c>
      <c r="I157" s="3" t="n">
        <v>30123.0</v>
      </c>
      <c r="J157" s="3" t="n">
        <v>30855.0</v>
      </c>
      <c r="K157" s="3" t="n">
        <v>30328.0</v>
      </c>
      <c r="L157" s="3" t="n">
        <v>29328.0</v>
      </c>
      <c r="M157" s="3" t="n">
        <v>27632.0</v>
      </c>
      <c r="N157" s="3" t="n">
        <v>26937.0</v>
      </c>
      <c r="O157" s="3" t="n">
        <v>26168.0</v>
      </c>
      <c r="P157" s="3" t="n">
        <v>25439.0</v>
      </c>
      <c r="Q157" s="3" t="n">
        <v>25388.0</v>
      </c>
      <c r="R157" s="3" t="n">
        <v>25032.0</v>
      </c>
      <c r="S157" s="3" t="n">
        <v>23564.0</v>
      </c>
      <c r="T157" s="3" t="n">
        <v>23085.0</v>
      </c>
      <c r="U157" s="3" t="n">
        <v>21654.0</v>
      </c>
      <c r="V157" s="3" t="n">
        <v>20691.0</v>
      </c>
      <c r="W157" s="3" t="n">
        <v>19995.0</v>
      </c>
      <c r="X157" s="3" t="n">
        <v>19432.0</v>
      </c>
      <c r="Y157" s="3" t="n">
        <v>18878.0</v>
      </c>
      <c r="Z157" s="3" t="n">
        <v>17955.0</v>
      </c>
      <c r="AA157" s="3" t="n">
        <v>17908.0</v>
      </c>
      <c r="AB157" s="3" t="n">
        <v>17612.0</v>
      </c>
      <c r="AC157" s="3" t="n">
        <v>16837.0</v>
      </c>
      <c r="AD157" s="3" t="n">
        <v>16875.0</v>
      </c>
      <c r="AE157" s="3" t="n">
        <v>17085.0</v>
      </c>
      <c r="AF157" s="3" t="n">
        <v>17935.0</v>
      </c>
      <c r="AG157" s="3" t="n">
        <v>18615.0</v>
      </c>
      <c r="AH157" s="3" t="n">
        <v>19581.0</v>
      </c>
      <c r="AI157" s="3" t="n">
        <v>21093.0</v>
      </c>
      <c r="AJ157" s="3" t="n">
        <v>21644.0</v>
      </c>
      <c r="AK157" s="3" t="n">
        <v>21553.0</v>
      </c>
      <c r="AL157" s="3" t="n">
        <v>20288.0</v>
      </c>
      <c r="AM157" s="3" t="n">
        <v>20594.0</v>
      </c>
      <c r="AN157" s="3" t="n">
        <v>19621.0</v>
      </c>
      <c r="AO157" s="3" t="n">
        <v>20196.0</v>
      </c>
    </row>
    <row r="158" spans="1:41" x14ac:dyDescent="0.2">
      <c r="A158" s="122"/>
      <c r="B158" s="9">
        <v>47</v>
      </c>
      <c r="C158" s="3" t="n">
        <v>26706.0</v>
      </c>
      <c r="D158" s="3" t="n">
        <v>27783.0</v>
      </c>
      <c r="E158" s="3" t="n">
        <v>27865.0</v>
      </c>
      <c r="F158" s="3" t="n">
        <v>27743.0</v>
      </c>
      <c r="G158" s="3" t="n">
        <v>29246.0</v>
      </c>
      <c r="H158" s="3" t="n">
        <v>28992.0</v>
      </c>
      <c r="I158" s="3" t="n">
        <v>28357.0</v>
      </c>
      <c r="J158" s="3" t="n">
        <v>30027.0</v>
      </c>
      <c r="K158" s="3" t="n">
        <v>30746.0</v>
      </c>
      <c r="L158" s="3" t="n">
        <v>30213.0</v>
      </c>
      <c r="M158" s="3" t="n">
        <v>29220.0</v>
      </c>
      <c r="N158" s="3" t="n">
        <v>27529.0</v>
      </c>
      <c r="O158" s="3" t="n">
        <v>26838.0</v>
      </c>
      <c r="P158" s="3" t="n">
        <v>26075.0</v>
      </c>
      <c r="Q158" s="3" t="n">
        <v>25351.0</v>
      </c>
      <c r="R158" s="3" t="n">
        <v>25305.0</v>
      </c>
      <c r="S158" s="3" t="n">
        <v>24949.0</v>
      </c>
      <c r="T158" s="3" t="n">
        <v>23484.0</v>
      </c>
      <c r="U158" s="3" t="n">
        <v>23010.0</v>
      </c>
      <c r="V158" s="3" t="n">
        <v>21584.0</v>
      </c>
      <c r="W158" s="3" t="n">
        <v>20626.0</v>
      </c>
      <c r="X158" s="3" t="n">
        <v>19929.0</v>
      </c>
      <c r="Y158" s="3" t="n">
        <v>19371.0</v>
      </c>
      <c r="Z158" s="3" t="n">
        <v>18823.0</v>
      </c>
      <c r="AA158" s="3" t="n">
        <v>17906.0</v>
      </c>
      <c r="AB158" s="3" t="n">
        <v>17861.0</v>
      </c>
      <c r="AC158" s="3" t="n">
        <v>17571.0</v>
      </c>
      <c r="AD158" s="3" t="n">
        <v>16800.0</v>
      </c>
      <c r="AE158" s="3" t="n">
        <v>16838.0</v>
      </c>
      <c r="AF158" s="3" t="n">
        <v>17051.0</v>
      </c>
      <c r="AG158" s="3" t="n">
        <v>17898.0</v>
      </c>
      <c r="AH158" s="3" t="n">
        <v>18573.0</v>
      </c>
      <c r="AI158" s="3" t="n">
        <v>19534.0</v>
      </c>
      <c r="AJ158" s="3" t="n">
        <v>21039.0</v>
      </c>
      <c r="AK158" s="3" t="n">
        <v>21590.0</v>
      </c>
      <c r="AL158" s="3" t="n">
        <v>21501.0</v>
      </c>
      <c r="AM158" s="3" t="n">
        <v>20242.0</v>
      </c>
      <c r="AN158" s="3" t="n">
        <v>20547.0</v>
      </c>
      <c r="AO158" s="3" t="n">
        <v>19583.0</v>
      </c>
    </row>
    <row r="159" spans="1:41" x14ac:dyDescent="0.2">
      <c r="A159" s="122"/>
      <c r="B159" s="9">
        <v>48</v>
      </c>
      <c r="C159" s="3" t="n">
        <v>25357.0</v>
      </c>
      <c r="D159" s="3" t="n">
        <v>26578.0</v>
      </c>
      <c r="E159" s="3" t="n">
        <v>27654.0</v>
      </c>
      <c r="F159" s="3" t="n">
        <v>27745.0</v>
      </c>
      <c r="G159" s="3" t="n">
        <v>27625.0</v>
      </c>
      <c r="H159" s="3" t="n">
        <v>29145.0</v>
      </c>
      <c r="I159" s="3" t="n">
        <v>28904.0</v>
      </c>
      <c r="J159" s="3" t="n">
        <v>28264.0</v>
      </c>
      <c r="K159" s="3" t="n">
        <v>29919.0</v>
      </c>
      <c r="L159" s="3" t="n">
        <v>30627.0</v>
      </c>
      <c r="M159" s="3" t="n">
        <v>30091.0</v>
      </c>
      <c r="N159" s="3" t="n">
        <v>29108.0</v>
      </c>
      <c r="O159" s="3" t="n">
        <v>27426.0</v>
      </c>
      <c r="P159" s="3" t="n">
        <v>26737.0</v>
      </c>
      <c r="Q159" s="3" t="n">
        <v>25982.0</v>
      </c>
      <c r="R159" s="3" t="n">
        <v>25262.0</v>
      </c>
      <c r="S159" s="3" t="n">
        <v>25211.0</v>
      </c>
      <c r="T159" s="3" t="n">
        <v>24859.0</v>
      </c>
      <c r="U159" s="3" t="n">
        <v>23401.0</v>
      </c>
      <c r="V159" s="3" t="n">
        <v>22924.0</v>
      </c>
      <c r="W159" s="3" t="n">
        <v>21516.0</v>
      </c>
      <c r="X159" s="3" t="n">
        <v>20565.0</v>
      </c>
      <c r="Y159" s="3" t="n">
        <v>19871.0</v>
      </c>
      <c r="Z159" s="3" t="n">
        <v>19309.0</v>
      </c>
      <c r="AA159" s="3" t="n">
        <v>18769.0</v>
      </c>
      <c r="AB159" s="3" t="n">
        <v>17858.0</v>
      </c>
      <c r="AC159" s="3" t="n">
        <v>17813.0</v>
      </c>
      <c r="AD159" s="3" t="n">
        <v>17527.0</v>
      </c>
      <c r="AE159" s="3" t="n">
        <v>16763.0</v>
      </c>
      <c r="AF159" s="3" t="n">
        <v>16798.0</v>
      </c>
      <c r="AG159" s="3" t="n">
        <v>17015.0</v>
      </c>
      <c r="AH159" s="3" t="n">
        <v>17856.0</v>
      </c>
      <c r="AI159" s="3" t="n">
        <v>18531.0</v>
      </c>
      <c r="AJ159" s="3" t="n">
        <v>19494.0</v>
      </c>
      <c r="AK159" s="3" t="n">
        <v>20993.0</v>
      </c>
      <c r="AL159" s="3" t="n">
        <v>21550.0</v>
      </c>
      <c r="AM159" s="3" t="n">
        <v>21457.0</v>
      </c>
      <c r="AN159" s="3" t="n">
        <v>20203.0</v>
      </c>
      <c r="AO159" s="3" t="n">
        <v>20507.0</v>
      </c>
    </row>
    <row r="160" spans="1:41" x14ac:dyDescent="0.2">
      <c r="A160" s="122"/>
      <c r="B160" s="9">
        <v>49</v>
      </c>
      <c r="C160" s="3" t="n">
        <v>24851.0</v>
      </c>
      <c r="D160" s="3" t="n">
        <v>25237.0</v>
      </c>
      <c r="E160" s="3" t="n">
        <v>26451.0</v>
      </c>
      <c r="F160" s="3" t="n">
        <v>27521.0</v>
      </c>
      <c r="G160" s="3" t="n">
        <v>27617.0</v>
      </c>
      <c r="H160" s="3" t="n">
        <v>27524.0</v>
      </c>
      <c r="I160" s="3" t="n">
        <v>29046.0</v>
      </c>
      <c r="J160" s="3" t="n">
        <v>28789.0</v>
      </c>
      <c r="K160" s="3" t="n">
        <v>28141.0</v>
      </c>
      <c r="L160" s="3" t="n">
        <v>29786.0</v>
      </c>
      <c r="M160" s="3" t="n">
        <v>30490.0</v>
      </c>
      <c r="N160" s="3" t="n">
        <v>29962.0</v>
      </c>
      <c r="O160" s="3" t="n">
        <v>28980.0</v>
      </c>
      <c r="P160" s="3" t="n">
        <v>27315.0</v>
      </c>
      <c r="Q160" s="3" t="n">
        <v>26629.0</v>
      </c>
      <c r="R160" s="3" t="n">
        <v>25882.0</v>
      </c>
      <c r="S160" s="3" t="n">
        <v>25168.0</v>
      </c>
      <c r="T160" s="3" t="n">
        <v>25116.0</v>
      </c>
      <c r="U160" s="3" t="n">
        <v>24758.0</v>
      </c>
      <c r="V160" s="3" t="n">
        <v>23311.0</v>
      </c>
      <c r="W160" s="3" t="n">
        <v>22836.0</v>
      </c>
      <c r="X160" s="3" t="n">
        <v>21446.0</v>
      </c>
      <c r="Y160" s="3" t="n">
        <v>20495.0</v>
      </c>
      <c r="Z160" s="3" t="n">
        <v>19804.0</v>
      </c>
      <c r="AA160" s="3" t="n">
        <v>19245.0</v>
      </c>
      <c r="AB160" s="3" t="n">
        <v>18711.0</v>
      </c>
      <c r="AC160" s="3" t="n">
        <v>17803.0</v>
      </c>
      <c r="AD160" s="3" t="n">
        <v>17762.0</v>
      </c>
      <c r="AE160" s="3" t="n">
        <v>17474.0</v>
      </c>
      <c r="AF160" s="3" t="n">
        <v>16718.0</v>
      </c>
      <c r="AG160" s="3" t="n">
        <v>16754.0</v>
      </c>
      <c r="AH160" s="3" t="n">
        <v>16972.0</v>
      </c>
      <c r="AI160" s="3" t="n">
        <v>17815.0</v>
      </c>
      <c r="AJ160" s="3" t="n">
        <v>18484.0</v>
      </c>
      <c r="AK160" s="3" t="n">
        <v>19446.0</v>
      </c>
      <c r="AL160" s="3" t="n">
        <v>20944.0</v>
      </c>
      <c r="AM160" s="3" t="n">
        <v>21498.0</v>
      </c>
      <c r="AN160" s="3" t="n">
        <v>21410.0</v>
      </c>
      <c r="AO160" s="3" t="n">
        <v>20154.0</v>
      </c>
    </row>
    <row r="161" spans="1:41" x14ac:dyDescent="0.2">
      <c r="A161" s="122"/>
      <c r="B161" s="9">
        <v>50</v>
      </c>
      <c r="C161" s="3" t="n">
        <v>23519.0</v>
      </c>
      <c r="D161" s="3" t="n">
        <v>24700.0</v>
      </c>
      <c r="E161" s="3" t="n">
        <v>25097.0</v>
      </c>
      <c r="F161" s="3" t="n">
        <v>26302.0</v>
      </c>
      <c r="G161" s="3" t="n">
        <v>27366.0</v>
      </c>
      <c r="H161" s="3" t="n">
        <v>27477.0</v>
      </c>
      <c r="I161" s="3" t="n">
        <v>27393.0</v>
      </c>
      <c r="J161" s="3" t="n">
        <v>28907.0</v>
      </c>
      <c r="K161" s="3" t="n">
        <v>28642.0</v>
      </c>
      <c r="L161" s="3" t="n">
        <v>28002.0</v>
      </c>
      <c r="M161" s="3" t="n">
        <v>29644.0</v>
      </c>
      <c r="N161" s="3" t="n">
        <v>30341.0</v>
      </c>
      <c r="O161" s="3" t="n">
        <v>29814.0</v>
      </c>
      <c r="P161" s="3" t="n">
        <v>28838.0</v>
      </c>
      <c r="Q161" s="3" t="n">
        <v>27180.0</v>
      </c>
      <c r="R161" s="3" t="n">
        <v>26498.0</v>
      </c>
      <c r="S161" s="3" t="n">
        <v>25763.0</v>
      </c>
      <c r="T161" s="3" t="n">
        <v>25056.0</v>
      </c>
      <c r="U161" s="3" t="n">
        <v>25009.0</v>
      </c>
      <c r="V161" s="3" t="n">
        <v>24654.0</v>
      </c>
      <c r="W161" s="3" t="n">
        <v>23211.0</v>
      </c>
      <c r="X161" s="3" t="n">
        <v>22745.0</v>
      </c>
      <c r="Y161" s="3" t="n">
        <v>21359.0</v>
      </c>
      <c r="Z161" s="3" t="n">
        <v>20413.0</v>
      </c>
      <c r="AA161" s="3" t="n">
        <v>19724.0</v>
      </c>
      <c r="AB161" s="3" t="n">
        <v>19172.0</v>
      </c>
      <c r="AC161" s="3" t="n">
        <v>18641.0</v>
      </c>
      <c r="AD161" s="3" t="n">
        <v>17738.0</v>
      </c>
      <c r="AE161" s="3" t="n">
        <v>17700.0</v>
      </c>
      <c r="AF161" s="3" t="n">
        <v>17411.0</v>
      </c>
      <c r="AG161" s="3" t="n">
        <v>16657.0</v>
      </c>
      <c r="AH161" s="3" t="n">
        <v>16696.0</v>
      </c>
      <c r="AI161" s="3" t="n">
        <v>16914.0</v>
      </c>
      <c r="AJ161" s="3" t="n">
        <v>17757.0</v>
      </c>
      <c r="AK161" s="3" t="n">
        <v>18426.0</v>
      </c>
      <c r="AL161" s="3" t="n">
        <v>19382.0</v>
      </c>
      <c r="AM161" s="3" t="n">
        <v>20874.0</v>
      </c>
      <c r="AN161" s="3" t="n">
        <v>21425.0</v>
      </c>
      <c r="AO161" s="3" t="n">
        <v>21340.0</v>
      </c>
    </row>
    <row r="162" spans="1:41" x14ac:dyDescent="0.2">
      <c r="A162" s="122"/>
      <c r="B162" s="9">
        <v>51</v>
      </c>
      <c r="C162" s="3" t="n">
        <v>22413.0</v>
      </c>
      <c r="D162" s="3" t="n">
        <v>23361.0</v>
      </c>
      <c r="E162" s="3" t="n">
        <v>24548.0</v>
      </c>
      <c r="F162" s="3" t="n">
        <v>24950.0</v>
      </c>
      <c r="G162" s="3" t="n">
        <v>26143.0</v>
      </c>
      <c r="H162" s="3" t="n">
        <v>27219.0</v>
      </c>
      <c r="I162" s="3" t="n">
        <v>27332.0</v>
      </c>
      <c r="J162" s="3" t="n">
        <v>27238.0</v>
      </c>
      <c r="K162" s="3" t="n">
        <v>28748.0</v>
      </c>
      <c r="L162" s="3" t="n">
        <v>28484.0</v>
      </c>
      <c r="M162" s="3" t="n">
        <v>27847.0</v>
      </c>
      <c r="N162" s="3" t="n">
        <v>29477.0</v>
      </c>
      <c r="O162" s="3" t="n">
        <v>30176.0</v>
      </c>
      <c r="P162" s="3" t="n">
        <v>29653.0</v>
      </c>
      <c r="Q162" s="3" t="n">
        <v>28686.0</v>
      </c>
      <c r="R162" s="3" t="n">
        <v>27046.0</v>
      </c>
      <c r="S162" s="3" t="n">
        <v>26373.0</v>
      </c>
      <c r="T162" s="3" t="n">
        <v>25636.0</v>
      </c>
      <c r="U162" s="3" t="n">
        <v>24940.0</v>
      </c>
      <c r="V162" s="3" t="n">
        <v>24896.0</v>
      </c>
      <c r="W162" s="3" t="n">
        <v>24536.0</v>
      </c>
      <c r="X162" s="3" t="n">
        <v>23099.0</v>
      </c>
      <c r="Y162" s="3" t="n">
        <v>22638.0</v>
      </c>
      <c r="Z162" s="3" t="n">
        <v>21260.0</v>
      </c>
      <c r="AA162" s="3" t="n">
        <v>20330.0</v>
      </c>
      <c r="AB162" s="3" t="n">
        <v>19640.0</v>
      </c>
      <c r="AC162" s="3" t="n">
        <v>19093.0</v>
      </c>
      <c r="AD162" s="3" t="n">
        <v>18566.0</v>
      </c>
      <c r="AE162" s="3" t="n">
        <v>17665.0</v>
      </c>
      <c r="AF162" s="3" t="n">
        <v>17632.0</v>
      </c>
      <c r="AG162" s="3" t="n">
        <v>17351.0</v>
      </c>
      <c r="AH162" s="3" t="n">
        <v>16598.0</v>
      </c>
      <c r="AI162" s="3" t="n">
        <v>16638.0</v>
      </c>
      <c r="AJ162" s="3" t="n">
        <v>16858.0</v>
      </c>
      <c r="AK162" s="3" t="n">
        <v>17699.0</v>
      </c>
      <c r="AL162" s="3" t="n">
        <v>18364.0</v>
      </c>
      <c r="AM162" s="3" t="n">
        <v>19320.0</v>
      </c>
      <c r="AN162" s="3" t="n">
        <v>20807.0</v>
      </c>
      <c r="AO162" s="3" t="n">
        <v>21361.0</v>
      </c>
    </row>
    <row r="163" spans="1:41" x14ac:dyDescent="0.2">
      <c r="A163" s="122"/>
      <c r="B163" s="9">
        <v>52</v>
      </c>
      <c r="C163" s="3" t="n">
        <v>21458.0</v>
      </c>
      <c r="D163" s="3" t="n">
        <v>22254.0</v>
      </c>
      <c r="E163" s="3" t="n">
        <v>23194.0</v>
      </c>
      <c r="F163" s="3" t="n">
        <v>24377.0</v>
      </c>
      <c r="G163" s="3" t="n">
        <v>24776.0</v>
      </c>
      <c r="H163" s="3" t="n">
        <v>25978.0</v>
      </c>
      <c r="I163" s="3" t="n">
        <v>27055.0</v>
      </c>
      <c r="J163" s="3" t="n">
        <v>27164.0</v>
      </c>
      <c r="K163" s="3" t="n">
        <v>27063.0</v>
      </c>
      <c r="L163" s="3" t="n">
        <v>28568.0</v>
      </c>
      <c r="M163" s="3" t="n">
        <v>28313.0</v>
      </c>
      <c r="N163" s="3" t="n">
        <v>27681.0</v>
      </c>
      <c r="O163" s="3" t="n">
        <v>29299.0</v>
      </c>
      <c r="P163" s="3" t="n">
        <v>30000.0</v>
      </c>
      <c r="Q163" s="3" t="n">
        <v>29481.0</v>
      </c>
      <c r="R163" s="3" t="n">
        <v>28522.0</v>
      </c>
      <c r="S163" s="3" t="n">
        <v>26887.0</v>
      </c>
      <c r="T163" s="3" t="n">
        <v>26216.0</v>
      </c>
      <c r="U163" s="3" t="n">
        <v>25483.0</v>
      </c>
      <c r="V163" s="3" t="n">
        <v>24797.0</v>
      </c>
      <c r="W163" s="3" t="n">
        <v>24756.0</v>
      </c>
      <c r="X163" s="3" t="n">
        <v>24404.0</v>
      </c>
      <c r="Y163" s="3" t="n">
        <v>22974.0</v>
      </c>
      <c r="Z163" s="3" t="n">
        <v>22516.0</v>
      </c>
      <c r="AA163" s="3" t="n">
        <v>21149.0</v>
      </c>
      <c r="AB163" s="3" t="n">
        <v>20225.0</v>
      </c>
      <c r="AC163" s="3" t="n">
        <v>19540.0</v>
      </c>
      <c r="AD163" s="3" t="n">
        <v>18997.0</v>
      </c>
      <c r="AE163" s="3" t="n">
        <v>18475.0</v>
      </c>
      <c r="AF163" s="3" t="n">
        <v>17582.0</v>
      </c>
      <c r="AG163" s="3" t="n">
        <v>17549.0</v>
      </c>
      <c r="AH163" s="3" t="n">
        <v>17274.0</v>
      </c>
      <c r="AI163" s="3" t="n">
        <v>16526.0</v>
      </c>
      <c r="AJ163" s="3" t="n">
        <v>16566.0</v>
      </c>
      <c r="AK163" s="3" t="n">
        <v>16792.0</v>
      </c>
      <c r="AL163" s="3" t="n">
        <v>17627.0</v>
      </c>
      <c r="AM163" s="3" t="n">
        <v>18289.0</v>
      </c>
      <c r="AN163" s="3" t="n">
        <v>19240.0</v>
      </c>
      <c r="AO163" s="3" t="n">
        <v>20720.0</v>
      </c>
    </row>
    <row r="164" spans="1:41" x14ac:dyDescent="0.2">
      <c r="A164" s="122"/>
      <c r="B164" s="9">
        <v>53</v>
      </c>
      <c r="C164" s="3" t="n">
        <v>20215.0</v>
      </c>
      <c r="D164" s="3" t="n">
        <v>21291.0</v>
      </c>
      <c r="E164" s="3" t="n">
        <v>22083.0</v>
      </c>
      <c r="F164" s="3" t="n">
        <v>23023.0</v>
      </c>
      <c r="G164" s="3" t="n">
        <v>24202.0</v>
      </c>
      <c r="H164" s="3" t="n">
        <v>24613.0</v>
      </c>
      <c r="I164" s="3" t="n">
        <v>25817.0</v>
      </c>
      <c r="J164" s="3" t="n">
        <v>26881.0</v>
      </c>
      <c r="K164" s="3" t="n">
        <v>26984.0</v>
      </c>
      <c r="L164" s="3" t="n">
        <v>26888.0</v>
      </c>
      <c r="M164" s="3" t="n">
        <v>28378.0</v>
      </c>
      <c r="N164" s="3" t="n">
        <v>28129.0</v>
      </c>
      <c r="O164" s="3" t="n">
        <v>27496.0</v>
      </c>
      <c r="P164" s="3" t="n">
        <v>29117.0</v>
      </c>
      <c r="Q164" s="3" t="n">
        <v>29813.0</v>
      </c>
      <c r="R164" s="3" t="n">
        <v>29296.0</v>
      </c>
      <c r="S164" s="3" t="n">
        <v>28347.0</v>
      </c>
      <c r="T164" s="3" t="n">
        <v>26718.0</v>
      </c>
      <c r="U164" s="3" t="n">
        <v>26055.0</v>
      </c>
      <c r="V164" s="3" t="n">
        <v>25328.0</v>
      </c>
      <c r="W164" s="3" t="n">
        <v>24649.0</v>
      </c>
      <c r="X164" s="3" t="n">
        <v>24610.0</v>
      </c>
      <c r="Y164" s="3" t="n">
        <v>24266.0</v>
      </c>
      <c r="Z164" s="3" t="n">
        <v>22848.0</v>
      </c>
      <c r="AA164" s="3" t="n">
        <v>22392.0</v>
      </c>
      <c r="AB164" s="3" t="n">
        <v>21038.0</v>
      </c>
      <c r="AC164" s="3" t="n">
        <v>20131.0</v>
      </c>
      <c r="AD164" s="3" t="n">
        <v>19448.0</v>
      </c>
      <c r="AE164" s="3" t="n">
        <v>18914.0</v>
      </c>
      <c r="AF164" s="3" t="n">
        <v>18395.0</v>
      </c>
      <c r="AG164" s="3" t="n">
        <v>17506.0</v>
      </c>
      <c r="AH164" s="3" t="n">
        <v>17472.0</v>
      </c>
      <c r="AI164" s="3" t="n">
        <v>17198.0</v>
      </c>
      <c r="AJ164" s="3" t="n">
        <v>16462.0</v>
      </c>
      <c r="AK164" s="3" t="n">
        <v>16498.0</v>
      </c>
      <c r="AL164" s="3" t="n">
        <v>16726.0</v>
      </c>
      <c r="AM164" s="3" t="n">
        <v>17556.0</v>
      </c>
      <c r="AN164" s="3" t="n">
        <v>18221.0</v>
      </c>
      <c r="AO164" s="3" t="n">
        <v>19168.0</v>
      </c>
    </row>
    <row r="165" spans="1:41" x14ac:dyDescent="0.2">
      <c r="A165" s="122"/>
      <c r="B165" s="9">
        <v>54</v>
      </c>
      <c r="C165" s="3" t="n">
        <v>19612.0</v>
      </c>
      <c r="D165" s="3" t="n">
        <v>20045.0</v>
      </c>
      <c r="E165" s="3" t="n">
        <v>21115.0</v>
      </c>
      <c r="F165" s="3" t="n">
        <v>21902.0</v>
      </c>
      <c r="G165" s="3" t="n">
        <v>22838.0</v>
      </c>
      <c r="H165" s="3" t="n">
        <v>24030.0</v>
      </c>
      <c r="I165" s="3" t="n">
        <v>24442.0</v>
      </c>
      <c r="J165" s="3" t="n">
        <v>25625.0</v>
      </c>
      <c r="K165" s="3" t="n">
        <v>26680.0</v>
      </c>
      <c r="L165" s="3" t="n">
        <v>26784.0</v>
      </c>
      <c r="M165" s="3" t="n">
        <v>26690.0</v>
      </c>
      <c r="N165" s="3" t="n">
        <v>28177.0</v>
      </c>
      <c r="O165" s="3" t="n">
        <v>27930.0</v>
      </c>
      <c r="P165" s="3" t="n">
        <v>27305.0</v>
      </c>
      <c r="Q165" s="3" t="n">
        <v>28919.0</v>
      </c>
      <c r="R165" s="3" t="n">
        <v>29613.0</v>
      </c>
      <c r="S165" s="3" t="n">
        <v>29104.0</v>
      </c>
      <c r="T165" s="3" t="n">
        <v>28160.0</v>
      </c>
      <c r="U165" s="3" t="n">
        <v>26543.0</v>
      </c>
      <c r="V165" s="3" t="n">
        <v>25882.0</v>
      </c>
      <c r="W165" s="3" t="n">
        <v>25166.0</v>
      </c>
      <c r="X165" s="3" t="n">
        <v>24491.0</v>
      </c>
      <c r="Y165" s="3" t="n">
        <v>24462.0</v>
      </c>
      <c r="Z165" s="3" t="n">
        <v>24130.0</v>
      </c>
      <c r="AA165" s="3" t="n">
        <v>22725.0</v>
      </c>
      <c r="AB165" s="3" t="n">
        <v>22272.0</v>
      </c>
      <c r="AC165" s="3" t="n">
        <v>20923.0</v>
      </c>
      <c r="AD165" s="3" t="n">
        <v>20019.0</v>
      </c>
      <c r="AE165" s="3" t="n">
        <v>19339.0</v>
      </c>
      <c r="AF165" s="3" t="n">
        <v>18809.0</v>
      </c>
      <c r="AG165" s="3" t="n">
        <v>18296.0</v>
      </c>
      <c r="AH165" s="3" t="n">
        <v>17420.0</v>
      </c>
      <c r="AI165" s="3" t="n">
        <v>17387.0</v>
      </c>
      <c r="AJ165" s="3" t="n">
        <v>17112.0</v>
      </c>
      <c r="AK165" s="3" t="n">
        <v>16381.0</v>
      </c>
      <c r="AL165" s="3" t="n">
        <v>16420.0</v>
      </c>
      <c r="AM165" s="3" t="n">
        <v>16647.0</v>
      </c>
      <c r="AN165" s="3" t="n">
        <v>17478.0</v>
      </c>
      <c r="AO165" s="3" t="n">
        <v>18138.0</v>
      </c>
    </row>
    <row r="166" spans="1:41" x14ac:dyDescent="0.2">
      <c r="A166" s="122"/>
      <c r="B166" s="9">
        <v>55</v>
      </c>
      <c r="C166" s="3" t="n">
        <v>18989.0</v>
      </c>
      <c r="D166" s="3" t="n">
        <v>19425.0</v>
      </c>
      <c r="E166" s="3" t="n">
        <v>19860.0</v>
      </c>
      <c r="F166" s="3" t="n">
        <v>20921.0</v>
      </c>
      <c r="G166" s="3" t="n">
        <v>21706.0</v>
      </c>
      <c r="H166" s="3" t="n">
        <v>22650.0</v>
      </c>
      <c r="I166" s="3" t="n">
        <v>23830.0</v>
      </c>
      <c r="J166" s="3" t="n">
        <v>24238.0</v>
      </c>
      <c r="K166" s="3" t="n">
        <v>25410.0</v>
      </c>
      <c r="L166" s="3" t="n">
        <v>26460.0</v>
      </c>
      <c r="M166" s="3" t="n">
        <v>26566.0</v>
      </c>
      <c r="N166" s="3" t="n">
        <v>26472.0</v>
      </c>
      <c r="O166" s="3" t="n">
        <v>27953.0</v>
      </c>
      <c r="P166" s="3" t="n">
        <v>27714.0</v>
      </c>
      <c r="Q166" s="3" t="n">
        <v>27100.0</v>
      </c>
      <c r="R166" s="3" t="n">
        <v>28707.0</v>
      </c>
      <c r="S166" s="3" t="n">
        <v>29396.0</v>
      </c>
      <c r="T166" s="3" t="n">
        <v>28888.0</v>
      </c>
      <c r="U166" s="3" t="n">
        <v>27954.0</v>
      </c>
      <c r="V166" s="3" t="n">
        <v>26352.0</v>
      </c>
      <c r="W166" s="3" t="n">
        <v>25699.0</v>
      </c>
      <c r="X166" s="3" t="n">
        <v>24991.0</v>
      </c>
      <c r="Y166" s="3" t="n">
        <v>24323.0</v>
      </c>
      <c r="Z166" s="3" t="n">
        <v>24292.0</v>
      </c>
      <c r="AA166" s="3" t="n">
        <v>23964.0</v>
      </c>
      <c r="AB166" s="3" t="n">
        <v>22573.0</v>
      </c>
      <c r="AC166" s="3" t="n">
        <v>22130.0</v>
      </c>
      <c r="AD166" s="3" t="n">
        <v>20790.0</v>
      </c>
      <c r="AE166" s="3" t="n">
        <v>19894.0</v>
      </c>
      <c r="AF166" s="3" t="n">
        <v>19221.0</v>
      </c>
      <c r="AG166" s="3" t="n">
        <v>18696.0</v>
      </c>
      <c r="AH166" s="3" t="n">
        <v>18188.0</v>
      </c>
      <c r="AI166" s="3" t="n">
        <v>17324.0</v>
      </c>
      <c r="AJ166" s="3" t="n">
        <v>17292.0</v>
      </c>
      <c r="AK166" s="3" t="n">
        <v>17023.0</v>
      </c>
      <c r="AL166" s="3" t="n">
        <v>16298.0</v>
      </c>
      <c r="AM166" s="3" t="n">
        <v>16340.0</v>
      </c>
      <c r="AN166" s="3" t="n">
        <v>16568.0</v>
      </c>
      <c r="AO166" s="3" t="n">
        <v>17397.0</v>
      </c>
    </row>
    <row r="167" spans="1:41" x14ac:dyDescent="0.2">
      <c r="A167" s="122"/>
      <c r="B167" s="9">
        <v>56</v>
      </c>
      <c r="C167" s="3" t="n">
        <v>18824.0</v>
      </c>
      <c r="D167" s="3" t="n">
        <v>18790.0</v>
      </c>
      <c r="E167" s="3" t="n">
        <v>19228.0</v>
      </c>
      <c r="F167" s="3" t="n">
        <v>19658.0</v>
      </c>
      <c r="G167" s="3" t="n">
        <v>20708.0</v>
      </c>
      <c r="H167" s="3" t="n">
        <v>21491.0</v>
      </c>
      <c r="I167" s="3" t="n">
        <v>22431.0</v>
      </c>
      <c r="J167" s="3" t="n">
        <v>23598.0</v>
      </c>
      <c r="K167" s="3" t="n">
        <v>24001.0</v>
      </c>
      <c r="L167" s="3" t="n">
        <v>25166.0</v>
      </c>
      <c r="M167" s="3" t="n">
        <v>26209.0</v>
      </c>
      <c r="N167" s="3" t="n">
        <v>26321.0</v>
      </c>
      <c r="O167" s="3" t="n">
        <v>26225.0</v>
      </c>
      <c r="P167" s="3" t="n">
        <v>27700.0</v>
      </c>
      <c r="Q167" s="3" t="n">
        <v>27465.0</v>
      </c>
      <c r="R167" s="3" t="n">
        <v>26859.0</v>
      </c>
      <c r="S167" s="3" t="n">
        <v>28455.0</v>
      </c>
      <c r="T167" s="3" t="n">
        <v>29145.0</v>
      </c>
      <c r="U167" s="3" t="n">
        <v>28642.0</v>
      </c>
      <c r="V167" s="3" t="n">
        <v>27720.0</v>
      </c>
      <c r="W167" s="3" t="n">
        <v>26142.0</v>
      </c>
      <c r="X167" s="3" t="n">
        <v>25500.0</v>
      </c>
      <c r="Y167" s="3" t="n">
        <v>24803.0</v>
      </c>
      <c r="Z167" s="3" t="n">
        <v>24142.0</v>
      </c>
      <c r="AA167" s="3" t="n">
        <v>24110.0</v>
      </c>
      <c r="AB167" s="3" t="n">
        <v>23788.0</v>
      </c>
      <c r="AC167" s="3" t="n">
        <v>22407.0</v>
      </c>
      <c r="AD167" s="3" t="n">
        <v>21970.0</v>
      </c>
      <c r="AE167" s="3" t="n">
        <v>20642.0</v>
      </c>
      <c r="AF167" s="3" t="n">
        <v>19760.0</v>
      </c>
      <c r="AG167" s="3" t="n">
        <v>19095.0</v>
      </c>
      <c r="AH167" s="3" t="n">
        <v>18574.0</v>
      </c>
      <c r="AI167" s="3" t="n">
        <v>18071.0</v>
      </c>
      <c r="AJ167" s="3" t="n">
        <v>17215.0</v>
      </c>
      <c r="AK167" s="3" t="n">
        <v>17184.0</v>
      </c>
      <c r="AL167" s="3" t="n">
        <v>16919.0</v>
      </c>
      <c r="AM167" s="3" t="n">
        <v>16200.0</v>
      </c>
      <c r="AN167" s="3" t="n">
        <v>16245.0</v>
      </c>
      <c r="AO167" s="3" t="n">
        <v>16472.0</v>
      </c>
    </row>
    <row r="168" spans="1:41" x14ac:dyDescent="0.2">
      <c r="A168" s="122"/>
      <c r="B168" s="9">
        <v>57</v>
      </c>
      <c r="C168" s="3" t="n">
        <v>18888.0</v>
      </c>
      <c r="D168" s="3" t="n">
        <v>18607.0</v>
      </c>
      <c r="E168" s="3" t="n">
        <v>18580.0</v>
      </c>
      <c r="F168" s="3" t="n">
        <v>19016.0</v>
      </c>
      <c r="G168" s="3" t="n">
        <v>19447.0</v>
      </c>
      <c r="H168" s="3" t="n">
        <v>20502.0</v>
      </c>
      <c r="I168" s="3" t="n">
        <v>21279.0</v>
      </c>
      <c r="J168" s="3" t="n">
        <v>22199.0</v>
      </c>
      <c r="K168" s="3" t="n">
        <v>23354.0</v>
      </c>
      <c r="L168" s="3" t="n">
        <v>23757.0</v>
      </c>
      <c r="M168" s="3" t="n">
        <v>24912.0</v>
      </c>
      <c r="N168" s="3" t="n">
        <v>25954.0</v>
      </c>
      <c r="O168" s="3" t="n">
        <v>26068.0</v>
      </c>
      <c r="P168" s="3" t="n">
        <v>25977.0</v>
      </c>
      <c r="Q168" s="3" t="n">
        <v>27442.0</v>
      </c>
      <c r="R168" s="3" t="n">
        <v>27215.0</v>
      </c>
      <c r="S168" s="3" t="n">
        <v>26618.0</v>
      </c>
      <c r="T168" s="3" t="n">
        <v>28205.0</v>
      </c>
      <c r="U168" s="3" t="n">
        <v>28892.0</v>
      </c>
      <c r="V168" s="3" t="n">
        <v>28393.0</v>
      </c>
      <c r="W168" s="3" t="n">
        <v>27489.0</v>
      </c>
      <c r="X168" s="3" t="n">
        <v>25928.0</v>
      </c>
      <c r="Y168" s="3" t="n">
        <v>25292.0</v>
      </c>
      <c r="Z168" s="3" t="n">
        <v>24599.0</v>
      </c>
      <c r="AA168" s="3" t="n">
        <v>23949.0</v>
      </c>
      <c r="AB168" s="3" t="n">
        <v>23921.0</v>
      </c>
      <c r="AC168" s="3" t="n">
        <v>23604.0</v>
      </c>
      <c r="AD168" s="3" t="n">
        <v>22232.0</v>
      </c>
      <c r="AE168" s="3" t="n">
        <v>21797.0</v>
      </c>
      <c r="AF168" s="3" t="n">
        <v>20483.0</v>
      </c>
      <c r="AG168" s="3" t="n">
        <v>19612.0</v>
      </c>
      <c r="AH168" s="3" t="n">
        <v>18952.0</v>
      </c>
      <c r="AI168" s="3" t="n">
        <v>18443.0</v>
      </c>
      <c r="AJ168" s="3" t="n">
        <v>17946.0</v>
      </c>
      <c r="AK168" s="3" t="n">
        <v>17100.0</v>
      </c>
      <c r="AL168" s="3" t="n">
        <v>17072.0</v>
      </c>
      <c r="AM168" s="3" t="n">
        <v>16813.0</v>
      </c>
      <c r="AN168" s="3" t="n">
        <v>16098.0</v>
      </c>
      <c r="AO168" s="3" t="n">
        <v>16145.0</v>
      </c>
    </row>
    <row r="169" spans="1:41" x14ac:dyDescent="0.2">
      <c r="A169" s="122"/>
      <c r="B169" s="9">
        <v>58</v>
      </c>
      <c r="C169" s="3" t="n">
        <v>18907.0</v>
      </c>
      <c r="D169" s="3" t="n">
        <v>18660.0</v>
      </c>
      <c r="E169" s="3" t="n">
        <v>18390.0</v>
      </c>
      <c r="F169" s="3" t="n">
        <v>18362.0</v>
      </c>
      <c r="G169" s="3" t="n">
        <v>18799.0</v>
      </c>
      <c r="H169" s="3" t="n">
        <v>19234.0</v>
      </c>
      <c r="I169" s="3" t="n">
        <v>20282.0</v>
      </c>
      <c r="J169" s="3" t="n">
        <v>21048.0</v>
      </c>
      <c r="K169" s="3" t="n">
        <v>21953.0</v>
      </c>
      <c r="L169" s="3" t="n">
        <v>23098.0</v>
      </c>
      <c r="M169" s="3" t="n">
        <v>23499.0</v>
      </c>
      <c r="N169" s="3" t="n">
        <v>24645.0</v>
      </c>
      <c r="O169" s="3" t="n">
        <v>25678.0</v>
      </c>
      <c r="P169" s="3" t="n">
        <v>25794.0</v>
      </c>
      <c r="Q169" s="3" t="n">
        <v>25708.0</v>
      </c>
      <c r="R169" s="3" t="n">
        <v>27160.0</v>
      </c>
      <c r="S169" s="3" t="n">
        <v>26941.0</v>
      </c>
      <c r="T169" s="3" t="n">
        <v>26354.0</v>
      </c>
      <c r="U169" s="3" t="n">
        <v>27928.0</v>
      </c>
      <c r="V169" s="3" t="n">
        <v>28616.0</v>
      </c>
      <c r="W169" s="3" t="n">
        <v>28127.0</v>
      </c>
      <c r="X169" s="3" t="n">
        <v>27232.0</v>
      </c>
      <c r="Y169" s="3" t="n">
        <v>25688.0</v>
      </c>
      <c r="Z169" s="3" t="n">
        <v>25061.0</v>
      </c>
      <c r="AA169" s="3" t="n">
        <v>24380.0</v>
      </c>
      <c r="AB169" s="3" t="n">
        <v>23743.0</v>
      </c>
      <c r="AC169" s="3" t="n">
        <v>23714.0</v>
      </c>
      <c r="AD169" s="3" t="n">
        <v>23403.0</v>
      </c>
      <c r="AE169" s="3" t="n">
        <v>22043.0</v>
      </c>
      <c r="AF169" s="3" t="n">
        <v>21620.0</v>
      </c>
      <c r="AG169" s="3" t="n">
        <v>20319.0</v>
      </c>
      <c r="AH169" s="3" t="n">
        <v>19458.0</v>
      </c>
      <c r="AI169" s="3" t="n">
        <v>18808.0</v>
      </c>
      <c r="AJ169" s="3" t="n">
        <v>18302.0</v>
      </c>
      <c r="AK169" s="3" t="n">
        <v>17812.0</v>
      </c>
      <c r="AL169" s="3" t="n">
        <v>16976.0</v>
      </c>
      <c r="AM169" s="3" t="n">
        <v>16950.0</v>
      </c>
      <c r="AN169" s="3" t="n">
        <v>16698.0</v>
      </c>
      <c r="AO169" s="3" t="n">
        <v>15988.0</v>
      </c>
    </row>
    <row r="170" spans="1:41" x14ac:dyDescent="0.2">
      <c r="A170" s="122"/>
      <c r="B170" s="9">
        <v>59</v>
      </c>
      <c r="C170" s="3" t="n">
        <v>19474.0</v>
      </c>
      <c r="D170" s="3" t="n">
        <v>18653.0</v>
      </c>
      <c r="E170" s="3" t="n">
        <v>18412.0</v>
      </c>
      <c r="F170" s="3" t="n">
        <v>18158.0</v>
      </c>
      <c r="G170" s="3" t="n">
        <v>18131.0</v>
      </c>
      <c r="H170" s="3" t="n">
        <v>18574.0</v>
      </c>
      <c r="I170" s="3" t="n">
        <v>19007.0</v>
      </c>
      <c r="J170" s="3" t="n">
        <v>20039.0</v>
      </c>
      <c r="K170" s="3" t="n">
        <v>20794.0</v>
      </c>
      <c r="L170" s="3" t="n">
        <v>21695.0</v>
      </c>
      <c r="M170" s="3" t="n">
        <v>22833.0</v>
      </c>
      <c r="N170" s="3" t="n">
        <v>23237.0</v>
      </c>
      <c r="O170" s="3" t="n">
        <v>24372.0</v>
      </c>
      <c r="P170" s="3" t="n">
        <v>25395.0</v>
      </c>
      <c r="Q170" s="3" t="n">
        <v>25516.0</v>
      </c>
      <c r="R170" s="3" t="n">
        <v>25434.0</v>
      </c>
      <c r="S170" s="3" t="n">
        <v>26871.0</v>
      </c>
      <c r="T170" s="3" t="n">
        <v>26661.0</v>
      </c>
      <c r="U170" s="3" t="n">
        <v>26084.0</v>
      </c>
      <c r="V170" s="3" t="n">
        <v>27650.0</v>
      </c>
      <c r="W170" s="3" t="n">
        <v>28332.0</v>
      </c>
      <c r="X170" s="3" t="n">
        <v>27855.0</v>
      </c>
      <c r="Y170" s="3" t="n">
        <v>26972.0</v>
      </c>
      <c r="Z170" s="3" t="n">
        <v>25438.0</v>
      </c>
      <c r="AA170" s="3" t="n">
        <v>24821.0</v>
      </c>
      <c r="AB170" s="3" t="n">
        <v>24156.0</v>
      </c>
      <c r="AC170" s="3" t="n">
        <v>23532.0</v>
      </c>
      <c r="AD170" s="3" t="n">
        <v>23502.0</v>
      </c>
      <c r="AE170" s="3" t="n">
        <v>23195.0</v>
      </c>
      <c r="AF170" s="3" t="n">
        <v>21852.0</v>
      </c>
      <c r="AG170" s="3" t="n">
        <v>21433.0</v>
      </c>
      <c r="AH170" s="3" t="n">
        <v>20151.0</v>
      </c>
      <c r="AI170" s="3" t="n">
        <v>19297.0</v>
      </c>
      <c r="AJ170" s="3" t="n">
        <v>18648.0</v>
      </c>
      <c r="AK170" s="3" t="n">
        <v>18152.0</v>
      </c>
      <c r="AL170" s="3" t="n">
        <v>17675.0</v>
      </c>
      <c r="AM170" s="3" t="n">
        <v>16848.0</v>
      </c>
      <c r="AN170" s="3" t="n">
        <v>16823.0</v>
      </c>
      <c r="AO170" s="3" t="n">
        <v>16580.0</v>
      </c>
    </row>
    <row r="171" spans="1:41" x14ac:dyDescent="0.2">
      <c r="A171" s="122"/>
      <c r="B171" s="9">
        <v>60</v>
      </c>
      <c r="C171" s="3" t="n">
        <v>18998.0</v>
      </c>
      <c r="D171" s="3" t="n">
        <v>19186.0</v>
      </c>
      <c r="E171" s="3" t="n">
        <v>18383.0</v>
      </c>
      <c r="F171" s="3" t="n">
        <v>18142.0</v>
      </c>
      <c r="G171" s="3" t="n">
        <v>17897.0</v>
      </c>
      <c r="H171" s="3" t="n">
        <v>17893.0</v>
      </c>
      <c r="I171" s="3" t="n">
        <v>18333.0</v>
      </c>
      <c r="J171" s="3" t="n">
        <v>18752.0</v>
      </c>
      <c r="K171" s="3" t="n">
        <v>19767.0</v>
      </c>
      <c r="L171" s="3" t="n">
        <v>20518.0</v>
      </c>
      <c r="M171" s="3" t="n">
        <v>21408.0</v>
      </c>
      <c r="N171" s="3" t="n">
        <v>22538.0</v>
      </c>
      <c r="O171" s="3" t="n">
        <v>22941.0</v>
      </c>
      <c r="P171" s="3" t="n">
        <v>24067.0</v>
      </c>
      <c r="Q171" s="3" t="n">
        <v>25080.0</v>
      </c>
      <c r="R171" s="3" t="n">
        <v>25200.0</v>
      </c>
      <c r="S171" s="3" t="n">
        <v>25129.0</v>
      </c>
      <c r="T171" s="3" t="n">
        <v>26550.0</v>
      </c>
      <c r="U171" s="3" t="n">
        <v>26350.0</v>
      </c>
      <c r="V171" s="3" t="n">
        <v>25785.0</v>
      </c>
      <c r="W171" s="3" t="n">
        <v>27339.0</v>
      </c>
      <c r="X171" s="3" t="n">
        <v>28015.0</v>
      </c>
      <c r="Y171" s="3" t="n">
        <v>27548.0</v>
      </c>
      <c r="Z171" s="3" t="n">
        <v>26677.0</v>
      </c>
      <c r="AA171" s="3" t="n">
        <v>25166.0</v>
      </c>
      <c r="AB171" s="3" t="n">
        <v>24556.0</v>
      </c>
      <c r="AC171" s="3" t="n">
        <v>23905.0</v>
      </c>
      <c r="AD171" s="3" t="n">
        <v>23284.0</v>
      </c>
      <c r="AE171" s="3" t="n">
        <v>23260.0</v>
      </c>
      <c r="AF171" s="3" t="n">
        <v>22963.0</v>
      </c>
      <c r="AG171" s="3" t="n">
        <v>21640.0</v>
      </c>
      <c r="AH171" s="3" t="n">
        <v>21230.0</v>
      </c>
      <c r="AI171" s="3" t="n">
        <v>19964.0</v>
      </c>
      <c r="AJ171" s="3" t="n">
        <v>19122.0</v>
      </c>
      <c r="AK171" s="3" t="n">
        <v>18475.0</v>
      </c>
      <c r="AL171" s="3" t="n">
        <v>17990.0</v>
      </c>
      <c r="AM171" s="3" t="n">
        <v>17517.0</v>
      </c>
      <c r="AN171" s="3" t="n">
        <v>16700.0</v>
      </c>
      <c r="AO171" s="3" t="n">
        <v>16679.0</v>
      </c>
    </row>
    <row r="172" spans="1:41" x14ac:dyDescent="0.2">
      <c r="A172" s="122"/>
      <c r="B172" s="9">
        <v>61</v>
      </c>
      <c r="C172" s="3" t="n">
        <v>19266.0</v>
      </c>
      <c r="D172" s="3" t="n">
        <v>18684.0</v>
      </c>
      <c r="E172" s="3" t="n">
        <v>18881.0</v>
      </c>
      <c r="F172" s="3" t="n">
        <v>18097.0</v>
      </c>
      <c r="G172" s="3" t="n">
        <v>17860.0</v>
      </c>
      <c r="H172" s="3" t="n">
        <v>17645.0</v>
      </c>
      <c r="I172" s="3" t="n">
        <v>17648.0</v>
      </c>
      <c r="J172" s="3" t="n">
        <v>18074.0</v>
      </c>
      <c r="K172" s="3" t="n">
        <v>18480.0</v>
      </c>
      <c r="L172" s="3" t="n">
        <v>19484.0</v>
      </c>
      <c r="M172" s="3" t="n">
        <v>20228.0</v>
      </c>
      <c r="N172" s="3" t="n">
        <v>21110.0</v>
      </c>
      <c r="O172" s="3" t="n">
        <v>22226.0</v>
      </c>
      <c r="P172" s="3" t="n">
        <v>22636.0</v>
      </c>
      <c r="Q172" s="3" t="n">
        <v>23745.0</v>
      </c>
      <c r="R172" s="3" t="n">
        <v>24751.0</v>
      </c>
      <c r="S172" s="3" t="n">
        <v>24876.0</v>
      </c>
      <c r="T172" s="3" t="n">
        <v>24810.0</v>
      </c>
      <c r="U172" s="3" t="n">
        <v>26221.0</v>
      </c>
      <c r="V172" s="3" t="n">
        <v>26022.0</v>
      </c>
      <c r="W172" s="3" t="n">
        <v>25472.0</v>
      </c>
      <c r="X172" s="3" t="n">
        <v>27015.0</v>
      </c>
      <c r="Y172" s="3" t="n">
        <v>27691.0</v>
      </c>
      <c r="Z172" s="3" t="n">
        <v>27226.0</v>
      </c>
      <c r="AA172" s="3" t="n">
        <v>26369.0</v>
      </c>
      <c r="AB172" s="3" t="n">
        <v>24878.0</v>
      </c>
      <c r="AC172" s="3" t="n">
        <v>24279.0</v>
      </c>
      <c r="AD172" s="3" t="n">
        <v>23639.0</v>
      </c>
      <c r="AE172" s="3" t="n">
        <v>23033.0</v>
      </c>
      <c r="AF172" s="3" t="n">
        <v>23009.0</v>
      </c>
      <c r="AG172" s="3" t="n">
        <v>22716.0</v>
      </c>
      <c r="AH172" s="3" t="n">
        <v>21412.0</v>
      </c>
      <c r="AI172" s="3" t="n">
        <v>21010.0</v>
      </c>
      <c r="AJ172" s="3" t="n">
        <v>19760.0</v>
      </c>
      <c r="AK172" s="3" t="n">
        <v>18928.0</v>
      </c>
      <c r="AL172" s="3" t="n">
        <v>18292.0</v>
      </c>
      <c r="AM172" s="3" t="n">
        <v>17816.0</v>
      </c>
      <c r="AN172" s="3" t="n">
        <v>17347.0</v>
      </c>
      <c r="AO172" s="3" t="n">
        <v>16541.0</v>
      </c>
    </row>
    <row r="173" spans="1:41" x14ac:dyDescent="0.2">
      <c r="A173" s="122"/>
      <c r="B173" s="9">
        <v>62</v>
      </c>
      <c r="C173" s="3" t="n">
        <v>19873.0</v>
      </c>
      <c r="D173" s="3" t="n">
        <v>18918.0</v>
      </c>
      <c r="E173" s="3" t="n">
        <v>18353.0</v>
      </c>
      <c r="F173" s="3" t="n">
        <v>18553.0</v>
      </c>
      <c r="G173" s="3" t="n">
        <v>17792.0</v>
      </c>
      <c r="H173" s="3" t="n">
        <v>17587.0</v>
      </c>
      <c r="I173" s="3" t="n">
        <v>17382.0</v>
      </c>
      <c r="J173" s="3" t="n">
        <v>17375.0</v>
      </c>
      <c r="K173" s="3" t="n">
        <v>17788.0</v>
      </c>
      <c r="L173" s="3" t="n">
        <v>18186.0</v>
      </c>
      <c r="M173" s="3" t="n">
        <v>19176.0</v>
      </c>
      <c r="N173" s="3" t="n">
        <v>19910.0</v>
      </c>
      <c r="O173" s="3" t="n">
        <v>20785.0</v>
      </c>
      <c r="P173" s="3" t="n">
        <v>21889.0</v>
      </c>
      <c r="Q173" s="3" t="n">
        <v>22301.0</v>
      </c>
      <c r="R173" s="3" t="n">
        <v>23401.0</v>
      </c>
      <c r="S173" s="3" t="n">
        <v>24402.0</v>
      </c>
      <c r="T173" s="3" t="n">
        <v>24526.0</v>
      </c>
      <c r="U173" s="3" t="n">
        <v>24467.0</v>
      </c>
      <c r="V173" s="3" t="n">
        <v>25863.0</v>
      </c>
      <c r="W173" s="3" t="n">
        <v>25673.0</v>
      </c>
      <c r="X173" s="3" t="n">
        <v>25139.0</v>
      </c>
      <c r="Y173" s="3" t="n">
        <v>26667.0</v>
      </c>
      <c r="Z173" s="3" t="n">
        <v>27338.0</v>
      </c>
      <c r="AA173" s="3" t="n">
        <v>26883.0</v>
      </c>
      <c r="AB173" s="3" t="n">
        <v>26043.0</v>
      </c>
      <c r="AC173" s="3" t="n">
        <v>24582.0</v>
      </c>
      <c r="AD173" s="3" t="n">
        <v>23987.0</v>
      </c>
      <c r="AE173" s="3" t="n">
        <v>23351.0</v>
      </c>
      <c r="AF173" s="3" t="n">
        <v>22759.0</v>
      </c>
      <c r="AG173" s="3" t="n">
        <v>22737.0</v>
      </c>
      <c r="AH173" s="3" t="n">
        <v>22455.0</v>
      </c>
      <c r="AI173" s="3" t="n">
        <v>21165.0</v>
      </c>
      <c r="AJ173" s="3" t="n">
        <v>20775.0</v>
      </c>
      <c r="AK173" s="3" t="n">
        <v>19547.0</v>
      </c>
      <c r="AL173" s="3" t="n">
        <v>18723.0</v>
      </c>
      <c r="AM173" s="3" t="n">
        <v>18101.0</v>
      </c>
      <c r="AN173" s="3" t="n">
        <v>17634.0</v>
      </c>
      <c r="AO173" s="3" t="n">
        <v>17171.0</v>
      </c>
    </row>
    <row r="174" spans="1:41" x14ac:dyDescent="0.2">
      <c r="A174" s="122"/>
      <c r="B174" s="9">
        <v>63</v>
      </c>
      <c r="C174" s="3" t="n">
        <v>21037.0</v>
      </c>
      <c r="D174" s="3" t="n">
        <v>19491.0</v>
      </c>
      <c r="E174" s="3" t="n">
        <v>18563.0</v>
      </c>
      <c r="F174" s="3" t="n">
        <v>18020.0</v>
      </c>
      <c r="G174" s="3" t="n">
        <v>18221.0</v>
      </c>
      <c r="H174" s="3" t="n">
        <v>17491.0</v>
      </c>
      <c r="I174" s="3" t="n">
        <v>17301.0</v>
      </c>
      <c r="J174" s="3" t="n">
        <v>17091.0</v>
      </c>
      <c r="K174" s="3" t="n">
        <v>17085.0</v>
      </c>
      <c r="L174" s="3" t="n">
        <v>17490.0</v>
      </c>
      <c r="M174" s="3" t="n">
        <v>17886.0</v>
      </c>
      <c r="N174" s="3" t="n">
        <v>18867.0</v>
      </c>
      <c r="O174" s="3" t="n">
        <v>19593.0</v>
      </c>
      <c r="P174" s="3" t="n">
        <v>20458.0</v>
      </c>
      <c r="Q174" s="3" t="n">
        <v>21549.0</v>
      </c>
      <c r="R174" s="3" t="n">
        <v>21956.0</v>
      </c>
      <c r="S174" s="3" t="n">
        <v>23043.0</v>
      </c>
      <c r="T174" s="3" t="n">
        <v>24033.0</v>
      </c>
      <c r="U174" s="3" t="n">
        <v>24160.0</v>
      </c>
      <c r="V174" s="3" t="n">
        <v>24107.0</v>
      </c>
      <c r="W174" s="3" t="n">
        <v>25492.0</v>
      </c>
      <c r="X174" s="3" t="n">
        <v>25311.0</v>
      </c>
      <c r="Y174" s="3" t="n">
        <v>24790.0</v>
      </c>
      <c r="Z174" s="3" t="n">
        <v>26302.0</v>
      </c>
      <c r="AA174" s="3" t="n">
        <v>26971.0</v>
      </c>
      <c r="AB174" s="3" t="n">
        <v>26528.0</v>
      </c>
      <c r="AC174" s="3" t="n">
        <v>25702.0</v>
      </c>
      <c r="AD174" s="3" t="n">
        <v>24262.0</v>
      </c>
      <c r="AE174" s="3" t="n">
        <v>23682.0</v>
      </c>
      <c r="AF174" s="3" t="n">
        <v>23061.0</v>
      </c>
      <c r="AG174" s="3" t="n">
        <v>22482.0</v>
      </c>
      <c r="AH174" s="3" t="n">
        <v>22468.0</v>
      </c>
      <c r="AI174" s="3" t="n">
        <v>22191.0</v>
      </c>
      <c r="AJ174" s="3" t="n">
        <v>20917.0</v>
      </c>
      <c r="AK174" s="3" t="n">
        <v>20537.0</v>
      </c>
      <c r="AL174" s="3" t="n">
        <v>19323.0</v>
      </c>
      <c r="AM174" s="3" t="n">
        <v>18511.0</v>
      </c>
      <c r="AN174" s="3" t="n">
        <v>17898.0</v>
      </c>
      <c r="AO174" s="3" t="n">
        <v>17446.0</v>
      </c>
    </row>
    <row r="175" spans="1:41" x14ac:dyDescent="0.2">
      <c r="A175" s="122"/>
      <c r="B175" s="9">
        <v>64</v>
      </c>
      <c r="C175" s="3" t="n">
        <v>21230.0</v>
      </c>
      <c r="D175" s="3" t="n">
        <v>20606.0</v>
      </c>
      <c r="E175" s="3" t="n">
        <v>19096.0</v>
      </c>
      <c r="F175" s="3" t="n">
        <v>18195.0</v>
      </c>
      <c r="G175" s="3" t="n">
        <v>17669.0</v>
      </c>
      <c r="H175" s="3" t="n">
        <v>17894.0</v>
      </c>
      <c r="I175" s="3" t="n">
        <v>17189.0</v>
      </c>
      <c r="J175" s="3" t="n">
        <v>16989.0</v>
      </c>
      <c r="K175" s="3" t="n">
        <v>16781.0</v>
      </c>
      <c r="L175" s="3" t="n">
        <v>16778.0</v>
      </c>
      <c r="M175" s="3" t="n">
        <v>17173.0</v>
      </c>
      <c r="N175" s="3" t="n">
        <v>17576.0</v>
      </c>
      <c r="O175" s="3" t="n">
        <v>18534.0</v>
      </c>
      <c r="P175" s="3" t="n">
        <v>19255.0</v>
      </c>
      <c r="Q175" s="3" t="n">
        <v>20115.0</v>
      </c>
      <c r="R175" s="3" t="n">
        <v>21188.0</v>
      </c>
      <c r="S175" s="3" t="n">
        <v>21601.0</v>
      </c>
      <c r="T175" s="3" t="n">
        <v>22673.0</v>
      </c>
      <c r="U175" s="3" t="n">
        <v>23657.0</v>
      </c>
      <c r="V175" s="3" t="n">
        <v>23787.0</v>
      </c>
      <c r="W175" s="3" t="n">
        <v>23744.0</v>
      </c>
      <c r="X175" s="3" t="n">
        <v>25111.0</v>
      </c>
      <c r="Y175" s="3" t="n">
        <v>24939.0</v>
      </c>
      <c r="Z175" s="3" t="n">
        <v>24427.0</v>
      </c>
      <c r="AA175" s="3" t="n">
        <v>25928.0</v>
      </c>
      <c r="AB175" s="3" t="n">
        <v>26590.0</v>
      </c>
      <c r="AC175" s="3" t="n">
        <v>26161.0</v>
      </c>
      <c r="AD175" s="3" t="n">
        <v>25354.0</v>
      </c>
      <c r="AE175" s="3" t="n">
        <v>23938.0</v>
      </c>
      <c r="AF175" s="3" t="n">
        <v>23370.0</v>
      </c>
      <c r="AG175" s="3" t="n">
        <v>22761.0</v>
      </c>
      <c r="AH175" s="3" t="n">
        <v>22200.0</v>
      </c>
      <c r="AI175" s="3" t="n">
        <v>22190.0</v>
      </c>
      <c r="AJ175" s="3" t="n">
        <v>21915.0</v>
      </c>
      <c r="AK175" s="3" t="n">
        <v>20655.0</v>
      </c>
      <c r="AL175" s="3" t="n">
        <v>20286.0</v>
      </c>
      <c r="AM175" s="3" t="n">
        <v>19096.0</v>
      </c>
      <c r="AN175" s="3" t="n">
        <v>18298.0</v>
      </c>
      <c r="AO175" s="3" t="n">
        <v>17697.0</v>
      </c>
    </row>
    <row r="176" spans="1:41" x14ac:dyDescent="0.2">
      <c r="A176" s="122"/>
      <c r="B176" s="9">
        <v>65</v>
      </c>
      <c r="C176" s="3" t="n">
        <v>21520.0</v>
      </c>
      <c r="D176" s="3" t="n">
        <v>20743.0</v>
      </c>
      <c r="E176" s="3" t="n">
        <v>20144.0</v>
      </c>
      <c r="F176" s="3" t="n">
        <v>18685.0</v>
      </c>
      <c r="G176" s="3" t="n">
        <v>17816.0</v>
      </c>
      <c r="H176" s="3" t="n">
        <v>17323.0</v>
      </c>
      <c r="I176" s="3" t="n">
        <v>17551.0</v>
      </c>
      <c r="J176" s="3" t="n">
        <v>16855.0</v>
      </c>
      <c r="K176" s="3" t="n">
        <v>16652.0</v>
      </c>
      <c r="L176" s="3" t="n">
        <v>16452.0</v>
      </c>
      <c r="M176" s="3" t="n">
        <v>16456.0</v>
      </c>
      <c r="N176" s="3" t="n">
        <v>16843.0</v>
      </c>
      <c r="O176" s="3" t="n">
        <v>17239.0</v>
      </c>
      <c r="P176" s="3" t="n">
        <v>18189.0</v>
      </c>
      <c r="Q176" s="3" t="n">
        <v>18900.0</v>
      </c>
      <c r="R176" s="3" t="n">
        <v>19753.0</v>
      </c>
      <c r="S176" s="3" t="n">
        <v>20808.0</v>
      </c>
      <c r="T176" s="3" t="n">
        <v>21215.0</v>
      </c>
      <c r="U176" s="3" t="n">
        <v>22276.0</v>
      </c>
      <c r="V176" s="3" t="n">
        <v>23248.0</v>
      </c>
      <c r="W176" s="3" t="n">
        <v>23383.0</v>
      </c>
      <c r="X176" s="3" t="n">
        <v>23345.0</v>
      </c>
      <c r="Y176" s="3" t="n">
        <v>24700.0</v>
      </c>
      <c r="Z176" s="3" t="n">
        <v>24533.0</v>
      </c>
      <c r="AA176" s="3" t="n">
        <v>24038.0</v>
      </c>
      <c r="AB176" s="3" t="n">
        <v>25522.0</v>
      </c>
      <c r="AC176" s="3" t="n">
        <v>26182.0</v>
      </c>
      <c r="AD176" s="3" t="n">
        <v>25765.0</v>
      </c>
      <c r="AE176" s="3" t="n">
        <v>24975.0</v>
      </c>
      <c r="AF176" s="3" t="n">
        <v>23582.0</v>
      </c>
      <c r="AG176" s="3" t="n">
        <v>23031.0</v>
      </c>
      <c r="AH176" s="3" t="n">
        <v>22436.0</v>
      </c>
      <c r="AI176" s="3" t="n">
        <v>21889.0</v>
      </c>
      <c r="AJ176" s="3" t="n">
        <v>21890.0</v>
      </c>
      <c r="AK176" s="3" t="n">
        <v>21622.0</v>
      </c>
      <c r="AL176" s="3" t="n">
        <v>20383.0</v>
      </c>
      <c r="AM176" s="3" t="n">
        <v>20022.0</v>
      </c>
      <c r="AN176" s="3" t="n">
        <v>18852.0</v>
      </c>
      <c r="AO176" s="3" t="n">
        <v>18074.0</v>
      </c>
    </row>
    <row r="177" spans="1:41" x14ac:dyDescent="0.2">
      <c r="A177" s="122"/>
      <c r="B177" s="9">
        <v>66</v>
      </c>
      <c r="C177" s="3" t="n">
        <v>20739.0</v>
      </c>
      <c r="D177" s="3" t="n">
        <v>21005.0</v>
      </c>
      <c r="E177" s="3" t="n">
        <v>20259.0</v>
      </c>
      <c r="F177" s="3" t="n">
        <v>19683.0</v>
      </c>
      <c r="G177" s="3" t="n">
        <v>18267.0</v>
      </c>
      <c r="H177" s="3" t="n">
        <v>17432.0</v>
      </c>
      <c r="I177" s="3" t="n">
        <v>16950.0</v>
      </c>
      <c r="J177" s="3" t="n">
        <v>17177.0</v>
      </c>
      <c r="K177" s="3" t="n">
        <v>16494.0</v>
      </c>
      <c r="L177" s="3" t="n">
        <v>16300.0</v>
      </c>
      <c r="M177" s="3" t="n">
        <v>16111.0</v>
      </c>
      <c r="N177" s="3" t="n">
        <v>16122.0</v>
      </c>
      <c r="O177" s="3" t="n">
        <v>16503.0</v>
      </c>
      <c r="P177" s="3" t="n">
        <v>16892.0</v>
      </c>
      <c r="Q177" s="3" t="n">
        <v>17832.0</v>
      </c>
      <c r="R177" s="3" t="n">
        <v>18533.0</v>
      </c>
      <c r="S177" s="3" t="n">
        <v>19377.0</v>
      </c>
      <c r="T177" s="3" t="n">
        <v>20415.0</v>
      </c>
      <c r="U177" s="3" t="n">
        <v>20823.0</v>
      </c>
      <c r="V177" s="3" t="n">
        <v>21873.0</v>
      </c>
      <c r="W177" s="3" t="n">
        <v>22829.0</v>
      </c>
      <c r="X177" s="3" t="n">
        <v>22973.0</v>
      </c>
      <c r="Y177" s="3" t="n">
        <v>22938.0</v>
      </c>
      <c r="Z177" s="3" t="n">
        <v>24280.0</v>
      </c>
      <c r="AA177" s="3" t="n">
        <v>24118.0</v>
      </c>
      <c r="AB177" s="3" t="n">
        <v>23639.0</v>
      </c>
      <c r="AC177" s="3" t="n">
        <v>25106.0</v>
      </c>
      <c r="AD177" s="3" t="n">
        <v>25766.0</v>
      </c>
      <c r="AE177" s="3" t="n">
        <v>25356.0</v>
      </c>
      <c r="AF177" s="3" t="n">
        <v>24591.0</v>
      </c>
      <c r="AG177" s="3" t="n">
        <v>23224.0</v>
      </c>
      <c r="AH177" s="3" t="n">
        <v>22684.0</v>
      </c>
      <c r="AI177" s="3" t="n">
        <v>22103.0</v>
      </c>
      <c r="AJ177" s="3" t="n">
        <v>21571.0</v>
      </c>
      <c r="AK177" s="3" t="n">
        <v>21574.0</v>
      </c>
      <c r="AL177" s="3" t="n">
        <v>21317.0</v>
      </c>
      <c r="AM177" s="3" t="n">
        <v>20100.0</v>
      </c>
      <c r="AN177" s="3" t="n">
        <v>19746.0</v>
      </c>
      <c r="AO177" s="3" t="n">
        <v>18596.0</v>
      </c>
    </row>
    <row r="178" spans="1:41" x14ac:dyDescent="0.2">
      <c r="A178" s="122"/>
      <c r="B178" s="9">
        <v>67</v>
      </c>
      <c r="C178" s="3" t="n">
        <v>19817.0</v>
      </c>
      <c r="D178" s="3" t="n">
        <v>20201.0</v>
      </c>
      <c r="E178" s="3" t="n">
        <v>20472.0</v>
      </c>
      <c r="F178" s="3" t="n">
        <v>19754.0</v>
      </c>
      <c r="G178" s="3" t="n">
        <v>19198.0</v>
      </c>
      <c r="H178" s="3" t="n">
        <v>17842.0</v>
      </c>
      <c r="I178" s="3" t="n">
        <v>17036.0</v>
      </c>
      <c r="J178" s="3" t="n">
        <v>16558.0</v>
      </c>
      <c r="K178" s="3" t="n">
        <v>16784.0</v>
      </c>
      <c r="L178" s="3" t="n">
        <v>16123.0</v>
      </c>
      <c r="M178" s="3" t="n">
        <v>15941.0</v>
      </c>
      <c r="N178" s="3" t="n">
        <v>15762.0</v>
      </c>
      <c r="O178" s="3" t="n">
        <v>15777.0</v>
      </c>
      <c r="P178" s="3" t="n">
        <v>16151.0</v>
      </c>
      <c r="Q178" s="3" t="n">
        <v>16539.0</v>
      </c>
      <c r="R178" s="3" t="n">
        <v>17466.0</v>
      </c>
      <c r="S178" s="3" t="n">
        <v>18156.0</v>
      </c>
      <c r="T178" s="3" t="n">
        <v>18981.0</v>
      </c>
      <c r="U178" s="3" t="n">
        <v>20006.0</v>
      </c>
      <c r="V178" s="3" t="n">
        <v>20414.0</v>
      </c>
      <c r="W178" s="3" t="n">
        <v>21448.0</v>
      </c>
      <c r="X178" s="3" t="n">
        <v>22395.0</v>
      </c>
      <c r="Y178" s="3" t="n">
        <v>22548.0</v>
      </c>
      <c r="Z178" s="3" t="n">
        <v>22513.0</v>
      </c>
      <c r="AA178" s="3" t="n">
        <v>23842.0</v>
      </c>
      <c r="AB178" s="3" t="n">
        <v>23687.0</v>
      </c>
      <c r="AC178" s="3" t="n">
        <v>23224.0</v>
      </c>
      <c r="AD178" s="3" t="n">
        <v>24668.0</v>
      </c>
      <c r="AE178" s="3" t="n">
        <v>25320.0</v>
      </c>
      <c r="AF178" s="3" t="n">
        <v>24925.0</v>
      </c>
      <c r="AG178" s="3" t="n">
        <v>24184.0</v>
      </c>
      <c r="AH178" s="3" t="n">
        <v>22856.0</v>
      </c>
      <c r="AI178" s="3" t="n">
        <v>22326.0</v>
      </c>
      <c r="AJ178" s="3" t="n">
        <v>21760.0</v>
      </c>
      <c r="AK178" s="3" t="n">
        <v>21237.0</v>
      </c>
      <c r="AL178" s="3" t="n">
        <v>21245.0</v>
      </c>
      <c r="AM178" s="3" t="n">
        <v>20998.0</v>
      </c>
      <c r="AN178" s="3" t="n">
        <v>19807.0</v>
      </c>
      <c r="AO178" s="3" t="n">
        <v>19467.0</v>
      </c>
    </row>
    <row r="179" spans="1:41" x14ac:dyDescent="0.2">
      <c r="A179" s="122"/>
      <c r="B179" s="9">
        <v>68</v>
      </c>
      <c r="C179" s="3" t="n">
        <v>18742.0</v>
      </c>
      <c r="D179" s="3" t="n">
        <v>19277.0</v>
      </c>
      <c r="E179" s="3" t="n">
        <v>19664.0</v>
      </c>
      <c r="F179" s="3" t="n">
        <v>19940.0</v>
      </c>
      <c r="G179" s="3" t="n">
        <v>19255.0</v>
      </c>
      <c r="H179" s="3" t="n">
        <v>18733.0</v>
      </c>
      <c r="I179" s="3" t="n">
        <v>17417.0</v>
      </c>
      <c r="J179" s="3" t="n">
        <v>16636.0</v>
      </c>
      <c r="K179" s="3" t="n">
        <v>16165.0</v>
      </c>
      <c r="L179" s="3" t="n">
        <v>16392.0</v>
      </c>
      <c r="M179" s="3" t="n">
        <v>15749.0</v>
      </c>
      <c r="N179" s="3" t="n">
        <v>15578.0</v>
      </c>
      <c r="O179" s="3" t="n">
        <v>15405.0</v>
      </c>
      <c r="P179" s="3" t="n">
        <v>15428.0</v>
      </c>
      <c r="Q179" s="3" t="n">
        <v>15797.0</v>
      </c>
      <c r="R179" s="3" t="n">
        <v>16184.0</v>
      </c>
      <c r="S179" s="3" t="n">
        <v>17099.0</v>
      </c>
      <c r="T179" s="3" t="n">
        <v>17776.0</v>
      </c>
      <c r="U179" s="3" t="n">
        <v>18592.0</v>
      </c>
      <c r="V179" s="3" t="n">
        <v>19603.0</v>
      </c>
      <c r="W179" s="3" t="n">
        <v>20011.0</v>
      </c>
      <c r="X179" s="3" t="n">
        <v>21032.0</v>
      </c>
      <c r="Y179" s="3" t="n">
        <v>21966.0</v>
      </c>
      <c r="Z179" s="3" t="n">
        <v>22119.0</v>
      </c>
      <c r="AA179" s="3" t="n">
        <v>22097.0</v>
      </c>
      <c r="AB179" s="3" t="n">
        <v>23405.0</v>
      </c>
      <c r="AC179" s="3" t="n">
        <v>23264.0</v>
      </c>
      <c r="AD179" s="3" t="n">
        <v>22819.0</v>
      </c>
      <c r="AE179" s="3" t="n">
        <v>24237.0</v>
      </c>
      <c r="AF179" s="3" t="n">
        <v>24886.0</v>
      </c>
      <c r="AG179" s="3" t="n">
        <v>24507.0</v>
      </c>
      <c r="AH179" s="3" t="n">
        <v>23782.0</v>
      </c>
      <c r="AI179" s="3" t="n">
        <v>22480.0</v>
      </c>
      <c r="AJ179" s="3" t="n">
        <v>21970.0</v>
      </c>
      <c r="AK179" s="3" t="n">
        <v>21413.0</v>
      </c>
      <c r="AL179" s="3" t="n">
        <v>20908.0</v>
      </c>
      <c r="AM179" s="3" t="n">
        <v>20923.0</v>
      </c>
      <c r="AN179" s="3" t="n">
        <v>20686.0</v>
      </c>
      <c r="AO179" s="3" t="n">
        <v>19520.0</v>
      </c>
    </row>
    <row r="180" spans="1:41" x14ac:dyDescent="0.2">
      <c r="A180" s="122"/>
      <c r="B180" s="9">
        <v>69</v>
      </c>
      <c r="C180" s="3" t="n">
        <v>18141.0</v>
      </c>
      <c r="D180" s="3" t="n">
        <v>18192.0</v>
      </c>
      <c r="E180" s="3" t="n">
        <v>18724.0</v>
      </c>
      <c r="F180" s="3" t="n">
        <v>19109.0</v>
      </c>
      <c r="G180" s="3" t="n">
        <v>19385.0</v>
      </c>
      <c r="H180" s="3" t="n">
        <v>18738.0</v>
      </c>
      <c r="I180" s="3" t="n">
        <v>18244.0</v>
      </c>
      <c r="J180" s="3" t="n">
        <v>16966.0</v>
      </c>
      <c r="K180" s="3" t="n">
        <v>16206.0</v>
      </c>
      <c r="L180" s="3" t="n">
        <v>15746.0</v>
      </c>
      <c r="M180" s="3" t="n">
        <v>15980.0</v>
      </c>
      <c r="N180" s="3" t="n">
        <v>15360.0</v>
      </c>
      <c r="O180" s="3" t="n">
        <v>15201.0</v>
      </c>
      <c r="P180" s="3" t="n">
        <v>15034.0</v>
      </c>
      <c r="Q180" s="3" t="n">
        <v>15064.0</v>
      </c>
      <c r="R180" s="3" t="n">
        <v>15424.0</v>
      </c>
      <c r="S180" s="3" t="n">
        <v>15813.0</v>
      </c>
      <c r="T180" s="3" t="n">
        <v>16707.0</v>
      </c>
      <c r="U180" s="3" t="n">
        <v>17375.0</v>
      </c>
      <c r="V180" s="3" t="n">
        <v>18177.0</v>
      </c>
      <c r="W180" s="3" t="n">
        <v>19168.0</v>
      </c>
      <c r="X180" s="3" t="n">
        <v>19572.0</v>
      </c>
      <c r="Y180" s="3" t="n">
        <v>20585.0</v>
      </c>
      <c r="Z180" s="3" t="n">
        <v>21506.0</v>
      </c>
      <c r="AA180" s="3" t="n">
        <v>21659.0</v>
      </c>
      <c r="AB180" s="3" t="n">
        <v>21650.0</v>
      </c>
      <c r="AC180" s="3" t="n">
        <v>22941.0</v>
      </c>
      <c r="AD180" s="3" t="n">
        <v>22812.0</v>
      </c>
      <c r="AE180" s="3" t="n">
        <v>22383.0</v>
      </c>
      <c r="AF180" s="3" t="n">
        <v>23779.0</v>
      </c>
      <c r="AG180" s="3" t="n">
        <v>24426.0</v>
      </c>
      <c r="AH180" s="3" t="n">
        <v>24057.0</v>
      </c>
      <c r="AI180" s="3" t="n">
        <v>23354.0</v>
      </c>
      <c r="AJ180" s="3" t="n">
        <v>22079.0</v>
      </c>
      <c r="AK180" s="3" t="n">
        <v>21581.0</v>
      </c>
      <c r="AL180" s="3" t="n">
        <v>21040.0</v>
      </c>
      <c r="AM180" s="3" t="n">
        <v>20549.0</v>
      </c>
      <c r="AN180" s="3" t="n">
        <v>20573.0</v>
      </c>
      <c r="AO180" s="3" t="n">
        <v>20345.0</v>
      </c>
    </row>
    <row r="181" spans="1:41" x14ac:dyDescent="0.2">
      <c r="A181" s="122"/>
      <c r="B181" s="9">
        <v>70</v>
      </c>
      <c r="C181" s="3" t="n">
        <v>17360.0</v>
      </c>
      <c r="D181" s="3" t="n">
        <v>17571.0</v>
      </c>
      <c r="E181" s="3" t="n">
        <v>17633.0</v>
      </c>
      <c r="F181" s="3" t="n">
        <v>18159.0</v>
      </c>
      <c r="G181" s="3" t="n">
        <v>18539.0</v>
      </c>
      <c r="H181" s="3" t="n">
        <v>18829.0</v>
      </c>
      <c r="I181" s="3" t="n">
        <v>18211.0</v>
      </c>
      <c r="J181" s="3" t="n">
        <v>17732.0</v>
      </c>
      <c r="K181" s="3" t="n">
        <v>16501.0</v>
      </c>
      <c r="L181" s="3" t="n">
        <v>15768.0</v>
      </c>
      <c r="M181" s="3" t="n">
        <v>15321.0</v>
      </c>
      <c r="N181" s="3" t="n">
        <v>15555.0</v>
      </c>
      <c r="O181" s="3" t="n">
        <v>14954.0</v>
      </c>
      <c r="P181" s="3" t="n">
        <v>14806.0</v>
      </c>
      <c r="Q181" s="3" t="n">
        <v>14648.0</v>
      </c>
      <c r="R181" s="3" t="n">
        <v>14683.0</v>
      </c>
      <c r="S181" s="3" t="n">
        <v>15041.0</v>
      </c>
      <c r="T181" s="3" t="n">
        <v>15425.0</v>
      </c>
      <c r="U181" s="3" t="n">
        <v>16303.0</v>
      </c>
      <c r="V181" s="3" t="n">
        <v>16958.0</v>
      </c>
      <c r="W181" s="3" t="n">
        <v>17754.0</v>
      </c>
      <c r="X181" s="3" t="n">
        <v>18724.0</v>
      </c>
      <c r="Y181" s="3" t="n">
        <v>19133.0</v>
      </c>
      <c r="Z181" s="3" t="n">
        <v>20124.0</v>
      </c>
      <c r="AA181" s="3" t="n">
        <v>21032.0</v>
      </c>
      <c r="AB181" s="3" t="n">
        <v>21190.0</v>
      </c>
      <c r="AC181" s="3" t="n">
        <v>21192.0</v>
      </c>
      <c r="AD181" s="3" t="n">
        <v>22460.0</v>
      </c>
      <c r="AE181" s="3" t="n">
        <v>22345.0</v>
      </c>
      <c r="AF181" s="3" t="n">
        <v>21929.0</v>
      </c>
      <c r="AG181" s="3" t="n">
        <v>23302.0</v>
      </c>
      <c r="AH181" s="3" t="n">
        <v>23948.0</v>
      </c>
      <c r="AI181" s="3" t="n">
        <v>23590.0</v>
      </c>
      <c r="AJ181" s="3" t="n">
        <v>22908.0</v>
      </c>
      <c r="AK181" s="3" t="n">
        <v>21663.0</v>
      </c>
      <c r="AL181" s="3" t="n">
        <v>21179.0</v>
      </c>
      <c r="AM181" s="3" t="n">
        <v>20658.0</v>
      </c>
      <c r="AN181" s="3" t="n">
        <v>20187.0</v>
      </c>
      <c r="AO181" s="3" t="n">
        <v>20215.0</v>
      </c>
    </row>
    <row r="182" spans="1:41" x14ac:dyDescent="0.2">
      <c r="A182" s="122"/>
      <c r="B182" s="9">
        <v>71</v>
      </c>
      <c r="C182" s="3" t="n">
        <v>16407.0</v>
      </c>
      <c r="D182" s="3" t="n">
        <v>16793.0</v>
      </c>
      <c r="E182" s="3" t="n">
        <v>17010.0</v>
      </c>
      <c r="F182" s="3" t="n">
        <v>17083.0</v>
      </c>
      <c r="G182" s="3" t="n">
        <v>17596.0</v>
      </c>
      <c r="H182" s="3" t="n">
        <v>17984.0</v>
      </c>
      <c r="I182" s="3" t="n">
        <v>18271.0</v>
      </c>
      <c r="J182" s="3" t="n">
        <v>17675.0</v>
      </c>
      <c r="K182" s="3" t="n">
        <v>17217.0</v>
      </c>
      <c r="L182" s="3" t="n">
        <v>16033.0</v>
      </c>
      <c r="M182" s="3" t="n">
        <v>15324.0</v>
      </c>
      <c r="N182" s="3" t="n">
        <v>14899.0</v>
      </c>
      <c r="O182" s="3" t="n">
        <v>15127.0</v>
      </c>
      <c r="P182" s="3" t="n">
        <v>14551.0</v>
      </c>
      <c r="Q182" s="3" t="n">
        <v>14415.0</v>
      </c>
      <c r="R182" s="3" t="n">
        <v>14267.0</v>
      </c>
      <c r="S182" s="3" t="n">
        <v>14307.0</v>
      </c>
      <c r="T182" s="3" t="n">
        <v>14659.0</v>
      </c>
      <c r="U182" s="3" t="n">
        <v>15041.0</v>
      </c>
      <c r="V182" s="3" t="n">
        <v>15907.0</v>
      </c>
      <c r="W182" s="3" t="n">
        <v>16552.0</v>
      </c>
      <c r="X182" s="3" t="n">
        <v>17328.0</v>
      </c>
      <c r="Y182" s="3" t="n">
        <v>18286.0</v>
      </c>
      <c r="Z182" s="3" t="n">
        <v>18688.0</v>
      </c>
      <c r="AA182" s="3" t="n">
        <v>19664.0</v>
      </c>
      <c r="AB182" s="3" t="n">
        <v>20555.0</v>
      </c>
      <c r="AC182" s="3" t="n">
        <v>20721.0</v>
      </c>
      <c r="AD182" s="3" t="n">
        <v>20728.0</v>
      </c>
      <c r="AE182" s="3" t="n">
        <v>21971.0</v>
      </c>
      <c r="AF182" s="3" t="n">
        <v>21872.0</v>
      </c>
      <c r="AG182" s="3" t="n">
        <v>21473.0</v>
      </c>
      <c r="AH182" s="3" t="n">
        <v>22824.0</v>
      </c>
      <c r="AI182" s="3" t="n">
        <v>23461.0</v>
      </c>
      <c r="AJ182" s="3" t="n">
        <v>23127.0</v>
      </c>
      <c r="AK182" s="3" t="n">
        <v>22458.0</v>
      </c>
      <c r="AL182" s="3" t="n">
        <v>21245.0</v>
      </c>
      <c r="AM182" s="3" t="n">
        <v>20777.0</v>
      </c>
      <c r="AN182" s="3" t="n">
        <v>20273.0</v>
      </c>
      <c r="AO182" s="3" t="n">
        <v>19820.0</v>
      </c>
    </row>
    <row r="183" spans="1:41" x14ac:dyDescent="0.2">
      <c r="A183" s="122"/>
      <c r="B183" s="9">
        <v>72</v>
      </c>
      <c r="C183" s="3" t="n">
        <v>15297.0</v>
      </c>
      <c r="D183" s="3" t="n">
        <v>15836.0</v>
      </c>
      <c r="E183" s="3" t="n">
        <v>16216.0</v>
      </c>
      <c r="F183" s="3" t="n">
        <v>16438.0</v>
      </c>
      <c r="G183" s="3" t="n">
        <v>16512.0</v>
      </c>
      <c r="H183" s="3" t="n">
        <v>17030.0</v>
      </c>
      <c r="I183" s="3" t="n">
        <v>17408.0</v>
      </c>
      <c r="J183" s="3" t="n">
        <v>17695.0</v>
      </c>
      <c r="K183" s="3" t="n">
        <v>17124.0</v>
      </c>
      <c r="L183" s="3" t="n">
        <v>16686.0</v>
      </c>
      <c r="M183" s="3" t="n">
        <v>15550.0</v>
      </c>
      <c r="N183" s="3" t="n">
        <v>14869.0</v>
      </c>
      <c r="O183" s="3" t="n">
        <v>14459.0</v>
      </c>
      <c r="P183" s="3" t="n">
        <v>14686.0</v>
      </c>
      <c r="Q183" s="3" t="n">
        <v>14132.0</v>
      </c>
      <c r="R183" s="3" t="n">
        <v>14008.0</v>
      </c>
      <c r="S183" s="3" t="n">
        <v>13873.0</v>
      </c>
      <c r="T183" s="3" t="n">
        <v>13913.0</v>
      </c>
      <c r="U183" s="3" t="n">
        <v>14259.0</v>
      </c>
      <c r="V183" s="3" t="n">
        <v>14641.0</v>
      </c>
      <c r="W183" s="3" t="n">
        <v>15490.0</v>
      </c>
      <c r="X183" s="3" t="n">
        <v>16133.0</v>
      </c>
      <c r="Y183" s="3" t="n">
        <v>16895.0</v>
      </c>
      <c r="Z183" s="3" t="n">
        <v>17831.0</v>
      </c>
      <c r="AA183" s="3" t="n">
        <v>18230.0</v>
      </c>
      <c r="AB183" s="3" t="n">
        <v>19182.0</v>
      </c>
      <c r="AC183" s="3" t="n">
        <v>20059.0</v>
      </c>
      <c r="AD183" s="3" t="n">
        <v>20234.0</v>
      </c>
      <c r="AE183" s="3" t="n">
        <v>20240.0</v>
      </c>
      <c r="AF183" s="3" t="n">
        <v>21461.0</v>
      </c>
      <c r="AG183" s="3" t="n">
        <v>21373.0</v>
      </c>
      <c r="AH183" s="3" t="n">
        <v>20993.0</v>
      </c>
      <c r="AI183" s="3" t="n">
        <v>22326.0</v>
      </c>
      <c r="AJ183" s="3" t="n">
        <v>22961.0</v>
      </c>
      <c r="AK183" s="3" t="n">
        <v>22636.0</v>
      </c>
      <c r="AL183" s="3" t="n">
        <v>21987.0</v>
      </c>
      <c r="AM183" s="3" t="n">
        <v>20805.0</v>
      </c>
      <c r="AN183" s="3" t="n">
        <v>20355.0</v>
      </c>
      <c r="AO183" s="3" t="n">
        <v>19870.0</v>
      </c>
    </row>
    <row r="184" spans="1:41" x14ac:dyDescent="0.2">
      <c r="A184" s="122"/>
      <c r="B184" s="9">
        <v>73</v>
      </c>
      <c r="C184" s="3" t="n">
        <v>14640.0</v>
      </c>
      <c r="D184" s="3" t="n">
        <v>14721.0</v>
      </c>
      <c r="E184" s="3" t="n">
        <v>15253.0</v>
      </c>
      <c r="F184" s="3" t="n">
        <v>15632.0</v>
      </c>
      <c r="G184" s="3" t="n">
        <v>15856.0</v>
      </c>
      <c r="H184" s="3" t="n">
        <v>15948.0</v>
      </c>
      <c r="I184" s="3" t="n">
        <v>16449.0</v>
      </c>
      <c r="J184" s="3" t="n">
        <v>16819.0</v>
      </c>
      <c r="K184" s="3" t="n">
        <v>17103.0</v>
      </c>
      <c r="L184" s="3" t="n">
        <v>16565.0</v>
      </c>
      <c r="M184" s="3" t="n">
        <v>16153.0</v>
      </c>
      <c r="N184" s="3" t="n">
        <v>15056.0</v>
      </c>
      <c r="O184" s="3" t="n">
        <v>14400.0</v>
      </c>
      <c r="P184" s="3" t="n">
        <v>14008.0</v>
      </c>
      <c r="Q184" s="3" t="n">
        <v>14242.0</v>
      </c>
      <c r="R184" s="3" t="n">
        <v>13710.0</v>
      </c>
      <c r="S184" s="3" t="n">
        <v>13598.0</v>
      </c>
      <c r="T184" s="3" t="n">
        <v>13473.0</v>
      </c>
      <c r="U184" s="3" t="n">
        <v>13514.0</v>
      </c>
      <c r="V184" s="3" t="n">
        <v>13859.0</v>
      </c>
      <c r="W184" s="3" t="n">
        <v>14239.0</v>
      </c>
      <c r="X184" s="3" t="n">
        <v>15066.0</v>
      </c>
      <c r="Y184" s="3" t="n">
        <v>15699.0</v>
      </c>
      <c r="Z184" s="3" t="n">
        <v>16443.0</v>
      </c>
      <c r="AA184" s="3" t="n">
        <v>17364.0</v>
      </c>
      <c r="AB184" s="3" t="n">
        <v>17758.0</v>
      </c>
      <c r="AC184" s="3" t="n">
        <v>18697.0</v>
      </c>
      <c r="AD184" s="3" t="n">
        <v>19556.0</v>
      </c>
      <c r="AE184" s="3" t="n">
        <v>19731.0</v>
      </c>
      <c r="AF184" s="3" t="n">
        <v>19752.0</v>
      </c>
      <c r="AG184" s="3" t="n">
        <v>20951.0</v>
      </c>
      <c r="AH184" s="3" t="n">
        <v>20874.0</v>
      </c>
      <c r="AI184" s="3" t="n">
        <v>20509.0</v>
      </c>
      <c r="AJ184" s="3" t="n">
        <v>21830.0</v>
      </c>
      <c r="AK184" s="3" t="n">
        <v>22448.0</v>
      </c>
      <c r="AL184" s="3" t="n">
        <v>22140.0</v>
      </c>
      <c r="AM184" s="3" t="n">
        <v>21515.0</v>
      </c>
      <c r="AN184" s="3" t="n">
        <v>20365.0</v>
      </c>
      <c r="AO184" s="3" t="n">
        <v>19937.0</v>
      </c>
    </row>
    <row r="185" spans="1:41" x14ac:dyDescent="0.2">
      <c r="A185" s="122"/>
      <c r="B185" s="9">
        <v>74</v>
      </c>
      <c r="C185" s="3" t="n">
        <v>13939.0</v>
      </c>
      <c r="D185" s="3" t="n">
        <v>14045.0</v>
      </c>
      <c r="E185" s="3" t="n">
        <v>14134.0</v>
      </c>
      <c r="F185" s="3" t="n">
        <v>14659.0</v>
      </c>
      <c r="G185" s="3" t="n">
        <v>15030.0</v>
      </c>
      <c r="H185" s="3" t="n">
        <v>15259.0</v>
      </c>
      <c r="I185" s="3" t="n">
        <v>15357.0</v>
      </c>
      <c r="J185" s="3" t="n">
        <v>15852.0</v>
      </c>
      <c r="K185" s="3" t="n">
        <v>16213.0</v>
      </c>
      <c r="L185" s="3" t="n">
        <v>16494.0</v>
      </c>
      <c r="M185" s="3" t="n">
        <v>15988.0</v>
      </c>
      <c r="N185" s="3" t="n">
        <v>15603.0</v>
      </c>
      <c r="O185" s="3" t="n">
        <v>14540.0</v>
      </c>
      <c r="P185" s="3" t="n">
        <v>13921.0</v>
      </c>
      <c r="Q185" s="3" t="n">
        <v>13545.0</v>
      </c>
      <c r="R185" s="3" t="n">
        <v>13776.0</v>
      </c>
      <c r="S185" s="3" t="n">
        <v>13271.0</v>
      </c>
      <c r="T185" s="3" t="n">
        <v>13164.0</v>
      </c>
      <c r="U185" s="3" t="n">
        <v>13053.0</v>
      </c>
      <c r="V185" s="3" t="n">
        <v>13098.0</v>
      </c>
      <c r="W185" s="3" t="n">
        <v>13443.0</v>
      </c>
      <c r="X185" s="3" t="n">
        <v>13815.0</v>
      </c>
      <c r="Y185" s="3" t="n">
        <v>14622.0</v>
      </c>
      <c r="Z185" s="3" t="n">
        <v>15240.0</v>
      </c>
      <c r="AA185" s="3" t="n">
        <v>15967.0</v>
      </c>
      <c r="AB185" s="3" t="n">
        <v>16879.0</v>
      </c>
      <c r="AC185" s="3" t="n">
        <v>17271.0</v>
      </c>
      <c r="AD185" s="3" t="n">
        <v>18190.0</v>
      </c>
      <c r="AE185" s="3" t="n">
        <v>19032.0</v>
      </c>
      <c r="AF185" s="3" t="n">
        <v>19209.0</v>
      </c>
      <c r="AG185" s="3" t="n">
        <v>19237.0</v>
      </c>
      <c r="AH185" s="3" t="n">
        <v>20415.0</v>
      </c>
      <c r="AI185" s="3" t="n">
        <v>20357.0</v>
      </c>
      <c r="AJ185" s="3" t="n">
        <v>20006.0</v>
      </c>
      <c r="AK185" s="3" t="n">
        <v>21300.0</v>
      </c>
      <c r="AL185" s="3" t="n">
        <v>21908.0</v>
      </c>
      <c r="AM185" s="3" t="n">
        <v>21623.0</v>
      </c>
      <c r="AN185" s="3" t="n">
        <v>21018.0</v>
      </c>
      <c r="AO185" s="3" t="n">
        <v>19905.0</v>
      </c>
    </row>
    <row r="186" spans="1:41" x14ac:dyDescent="0.2">
      <c r="A186" s="122"/>
      <c r="B186" s="9">
        <v>75</v>
      </c>
      <c r="C186" s="3" t="n">
        <v>12518.0</v>
      </c>
      <c r="D186" s="3" t="n">
        <v>13333.0</v>
      </c>
      <c r="E186" s="3" t="n">
        <v>13450.0</v>
      </c>
      <c r="F186" s="3" t="n">
        <v>13544.0</v>
      </c>
      <c r="G186" s="3" t="n">
        <v>14062.0</v>
      </c>
      <c r="H186" s="3" t="n">
        <v>14436.0</v>
      </c>
      <c r="I186" s="3" t="n">
        <v>14658.0</v>
      </c>
      <c r="J186" s="3" t="n">
        <v>14756.0</v>
      </c>
      <c r="K186" s="3" t="n">
        <v>15246.0</v>
      </c>
      <c r="L186" s="3" t="n">
        <v>15596.0</v>
      </c>
      <c r="M186" s="3" t="n">
        <v>15874.0</v>
      </c>
      <c r="N186" s="3" t="n">
        <v>15404.0</v>
      </c>
      <c r="O186" s="3" t="n">
        <v>15036.0</v>
      </c>
      <c r="P186" s="3" t="n">
        <v>14024.0</v>
      </c>
      <c r="Q186" s="3" t="n">
        <v>13432.0</v>
      </c>
      <c r="R186" s="3" t="n">
        <v>13074.0</v>
      </c>
      <c r="S186" s="3" t="n">
        <v>13304.0</v>
      </c>
      <c r="T186" s="3" t="n">
        <v>12820.0</v>
      </c>
      <c r="U186" s="3" t="n">
        <v>12723.0</v>
      </c>
      <c r="V186" s="3" t="n">
        <v>12624.0</v>
      </c>
      <c r="W186" s="3" t="n">
        <v>12674.0</v>
      </c>
      <c r="X186" s="3" t="n">
        <v>13016.0</v>
      </c>
      <c r="Y186" s="3" t="n">
        <v>13386.0</v>
      </c>
      <c r="Z186" s="3" t="n">
        <v>14168.0</v>
      </c>
      <c r="AA186" s="3" t="n">
        <v>14778.0</v>
      </c>
      <c r="AB186" s="3" t="n">
        <v>15490.0</v>
      </c>
      <c r="AC186" s="3" t="n">
        <v>16382.0</v>
      </c>
      <c r="AD186" s="3" t="n">
        <v>16777.0</v>
      </c>
      <c r="AE186" s="3" t="n">
        <v>17667.0</v>
      </c>
      <c r="AF186" s="3" t="n">
        <v>18492.0</v>
      </c>
      <c r="AG186" s="3" t="n">
        <v>18675.0</v>
      </c>
      <c r="AH186" s="3" t="n">
        <v>18713.0</v>
      </c>
      <c r="AI186" s="3" t="n">
        <v>19860.0</v>
      </c>
      <c r="AJ186" s="3" t="n">
        <v>19815.0</v>
      </c>
      <c r="AK186" s="3" t="n">
        <v>19480.0</v>
      </c>
      <c r="AL186" s="3" t="n">
        <v>20749.0</v>
      </c>
      <c r="AM186" s="3" t="n">
        <v>21348.0</v>
      </c>
      <c r="AN186" s="3" t="n">
        <v>21085.0</v>
      </c>
      <c r="AO186" s="3" t="n">
        <v>20504.0</v>
      </c>
    </row>
    <row r="187" spans="1:41" x14ac:dyDescent="0.2">
      <c r="A187" s="122"/>
      <c r="B187" s="9">
        <v>76</v>
      </c>
      <c r="C187" s="3" t="n">
        <v>12548.0</v>
      </c>
      <c r="D187" s="3" t="n">
        <v>11931.0</v>
      </c>
      <c r="E187" s="3" t="n">
        <v>12722.0</v>
      </c>
      <c r="F187" s="3" t="n">
        <v>12851.0</v>
      </c>
      <c r="G187" s="3" t="n">
        <v>12953.0</v>
      </c>
      <c r="H187" s="3" t="n">
        <v>13460.0</v>
      </c>
      <c r="I187" s="3" t="n">
        <v>13823.0</v>
      </c>
      <c r="J187" s="3" t="n">
        <v>14046.0</v>
      </c>
      <c r="K187" s="3" t="n">
        <v>14150.0</v>
      </c>
      <c r="L187" s="3" t="n">
        <v>14633.0</v>
      </c>
      <c r="M187" s="3" t="n">
        <v>14971.0</v>
      </c>
      <c r="N187" s="3" t="n">
        <v>15250.0</v>
      </c>
      <c r="O187" s="3" t="n">
        <v>14800.0</v>
      </c>
      <c r="P187" s="3" t="n">
        <v>14459.0</v>
      </c>
      <c r="Q187" s="3" t="n">
        <v>13496.0</v>
      </c>
      <c r="R187" s="3" t="n">
        <v>12934.0</v>
      </c>
      <c r="S187" s="3" t="n">
        <v>12595.0</v>
      </c>
      <c r="T187" s="3" t="n">
        <v>12819.0</v>
      </c>
      <c r="U187" s="3" t="n">
        <v>12360.0</v>
      </c>
      <c r="V187" s="3" t="n">
        <v>12275.0</v>
      </c>
      <c r="W187" s="3" t="n">
        <v>12184.0</v>
      </c>
      <c r="X187" s="3" t="n">
        <v>12239.0</v>
      </c>
      <c r="Y187" s="3" t="n">
        <v>12581.0</v>
      </c>
      <c r="Z187" s="3" t="n">
        <v>12944.0</v>
      </c>
      <c r="AA187" s="3" t="n">
        <v>13706.0</v>
      </c>
      <c r="AB187" s="3" t="n">
        <v>14305.0</v>
      </c>
      <c r="AC187" s="3" t="n">
        <v>15002.0</v>
      </c>
      <c r="AD187" s="3" t="n">
        <v>15870.0</v>
      </c>
      <c r="AE187" s="3" t="n">
        <v>16252.0</v>
      </c>
      <c r="AF187" s="3" t="n">
        <v>17125.0</v>
      </c>
      <c r="AG187" s="3" t="n">
        <v>17936.0</v>
      </c>
      <c r="AH187" s="3" t="n">
        <v>18123.0</v>
      </c>
      <c r="AI187" s="3" t="n">
        <v>18174.0</v>
      </c>
      <c r="AJ187" s="3" t="n">
        <v>19293.0</v>
      </c>
      <c r="AK187" s="3" t="n">
        <v>19256.0</v>
      </c>
      <c r="AL187" s="3" t="n">
        <v>18937.0</v>
      </c>
      <c r="AM187" s="3" t="n">
        <v>20184.0</v>
      </c>
      <c r="AN187" s="3" t="n">
        <v>20778.0</v>
      </c>
      <c r="AO187" s="3" t="n">
        <v>20526.0</v>
      </c>
    </row>
    <row r="188" spans="1:41" x14ac:dyDescent="0.2">
      <c r="A188" s="122"/>
      <c r="B188" s="9">
        <v>77</v>
      </c>
      <c r="C188" s="3" t="n">
        <v>6396.0</v>
      </c>
      <c r="D188" s="3" t="n">
        <v>11916.0</v>
      </c>
      <c r="E188" s="3" t="n">
        <v>11343.0</v>
      </c>
      <c r="F188" s="3" t="n">
        <v>12108.0</v>
      </c>
      <c r="G188" s="3" t="n">
        <v>12240.0</v>
      </c>
      <c r="H188" s="3" t="n">
        <v>12351.0</v>
      </c>
      <c r="I188" s="3" t="n">
        <v>12842.0</v>
      </c>
      <c r="J188" s="3" t="n">
        <v>13197.0</v>
      </c>
      <c r="K188" s="3" t="n">
        <v>13419.0</v>
      </c>
      <c r="L188" s="3" t="n">
        <v>13530.0</v>
      </c>
      <c r="M188" s="3" t="n">
        <v>14003.0</v>
      </c>
      <c r="N188" s="3" t="n">
        <v>14337.0</v>
      </c>
      <c r="O188" s="3" t="n">
        <v>14610.0</v>
      </c>
      <c r="P188" s="3" t="n">
        <v>14191.0</v>
      </c>
      <c r="Q188" s="3" t="n">
        <v>13873.0</v>
      </c>
      <c r="R188" s="3" t="n">
        <v>12958.0</v>
      </c>
      <c r="S188" s="3" t="n">
        <v>12423.0</v>
      </c>
      <c r="T188" s="3" t="n">
        <v>12103.0</v>
      </c>
      <c r="U188" s="3" t="n">
        <v>12325.0</v>
      </c>
      <c r="V188" s="3" t="n">
        <v>11892.0</v>
      </c>
      <c r="W188" s="3" t="n">
        <v>11814.0</v>
      </c>
      <c r="X188" s="3" t="n">
        <v>11736.0</v>
      </c>
      <c r="Y188" s="3" t="n">
        <v>11799.0</v>
      </c>
      <c r="Z188" s="3" t="n">
        <v>12131.0</v>
      </c>
      <c r="AA188" s="3" t="n">
        <v>12485.0</v>
      </c>
      <c r="AB188" s="3" t="n">
        <v>13226.0</v>
      </c>
      <c r="AC188" s="3" t="n">
        <v>13813.0</v>
      </c>
      <c r="AD188" s="3" t="n">
        <v>14500.0</v>
      </c>
      <c r="AE188" s="3" t="n">
        <v>15340.0</v>
      </c>
      <c r="AF188" s="3" t="n">
        <v>15717.0</v>
      </c>
      <c r="AG188" s="3" t="n">
        <v>16575.0</v>
      </c>
      <c r="AH188" s="3" t="n">
        <v>17365.0</v>
      </c>
      <c r="AI188" s="3" t="n">
        <v>17555.0</v>
      </c>
      <c r="AJ188" s="3" t="n">
        <v>17618.0</v>
      </c>
      <c r="AK188" s="3" t="n">
        <v>18708.0</v>
      </c>
      <c r="AL188" s="3" t="n">
        <v>18685.0</v>
      </c>
      <c r="AM188" s="3" t="n">
        <v>18385.0</v>
      </c>
      <c r="AN188" s="3" t="n">
        <v>19601.0</v>
      </c>
      <c r="AO188" s="3" t="n">
        <v>20190.0</v>
      </c>
    </row>
    <row r="189" spans="1:41" x14ac:dyDescent="0.2">
      <c r="A189" s="122"/>
      <c r="B189" s="9">
        <v>78</v>
      </c>
      <c r="C189" s="3" t="n">
        <v>5328.0</v>
      </c>
      <c r="D189" s="3" t="n">
        <v>6048.0</v>
      </c>
      <c r="E189" s="3" t="n">
        <v>11287.0</v>
      </c>
      <c r="F189" s="3" t="n">
        <v>10753.0</v>
      </c>
      <c r="G189" s="3" t="n">
        <v>11491.0</v>
      </c>
      <c r="H189" s="3" t="n">
        <v>11628.0</v>
      </c>
      <c r="I189" s="3" t="n">
        <v>11740.0</v>
      </c>
      <c r="J189" s="3" t="n">
        <v>12211.0</v>
      </c>
      <c r="K189" s="3" t="n">
        <v>12561.0</v>
      </c>
      <c r="L189" s="3" t="n">
        <v>12783.0</v>
      </c>
      <c r="M189" s="3" t="n">
        <v>12895.0</v>
      </c>
      <c r="N189" s="3" t="n">
        <v>13357.0</v>
      </c>
      <c r="O189" s="3" t="n">
        <v>13683.0</v>
      </c>
      <c r="P189" s="3" t="n">
        <v>13954.0</v>
      </c>
      <c r="Q189" s="3" t="n">
        <v>13568.0</v>
      </c>
      <c r="R189" s="3" t="n">
        <v>13273.0</v>
      </c>
      <c r="S189" s="3" t="n">
        <v>12407.0</v>
      </c>
      <c r="T189" s="3" t="n">
        <v>11901.0</v>
      </c>
      <c r="U189" s="3" t="n">
        <v>11599.0</v>
      </c>
      <c r="V189" s="3" t="n">
        <v>11822.0</v>
      </c>
      <c r="W189" s="3" t="n">
        <v>11414.0</v>
      </c>
      <c r="X189" s="3" t="n">
        <v>11350.0</v>
      </c>
      <c r="Y189" s="3" t="n">
        <v>11281.0</v>
      </c>
      <c r="Z189" s="3" t="n">
        <v>11344.0</v>
      </c>
      <c r="AA189" s="3" t="n">
        <v>11672.0</v>
      </c>
      <c r="AB189" s="3" t="n">
        <v>12022.0</v>
      </c>
      <c r="AC189" s="3" t="n">
        <v>12741.0</v>
      </c>
      <c r="AD189" s="3" t="n">
        <v>13314.0</v>
      </c>
      <c r="AE189" s="3" t="n">
        <v>13979.0</v>
      </c>
      <c r="AF189" s="3" t="n">
        <v>14798.0</v>
      </c>
      <c r="AG189" s="3" t="n">
        <v>15168.0</v>
      </c>
      <c r="AH189" s="3" t="n">
        <v>16005.0</v>
      </c>
      <c r="AI189" s="3" t="n">
        <v>16779.0</v>
      </c>
      <c r="AJ189" s="3" t="n">
        <v>16970.0</v>
      </c>
      <c r="AK189" s="3" t="n">
        <v>17041.0</v>
      </c>
      <c r="AL189" s="3" t="n">
        <v>18097.0</v>
      </c>
      <c r="AM189" s="3" t="n">
        <v>18086.0</v>
      </c>
      <c r="AN189" s="3" t="n">
        <v>17804.0</v>
      </c>
      <c r="AO189" s="3" t="n">
        <v>18990.0</v>
      </c>
    </row>
    <row r="190" spans="1:41" x14ac:dyDescent="0.2">
      <c r="A190" s="122"/>
      <c r="B190" s="9">
        <v>79</v>
      </c>
      <c r="C190" s="3" t="n">
        <v>5111.0</v>
      </c>
      <c r="D190" s="3" t="n">
        <v>5021.0</v>
      </c>
      <c r="E190" s="3" t="n">
        <v>5705.0</v>
      </c>
      <c r="F190" s="3" t="n">
        <v>10640.0</v>
      </c>
      <c r="G190" s="3" t="n">
        <v>10149.0</v>
      </c>
      <c r="H190" s="3" t="n">
        <v>10858.0</v>
      </c>
      <c r="I190" s="3" t="n">
        <v>10991.0</v>
      </c>
      <c r="J190" s="3" t="n">
        <v>11109.0</v>
      </c>
      <c r="K190" s="3" t="n">
        <v>11567.0</v>
      </c>
      <c r="L190" s="3" t="n">
        <v>11910.0</v>
      </c>
      <c r="M190" s="3" t="n">
        <v>12135.0</v>
      </c>
      <c r="N190" s="3" t="n">
        <v>12250.0</v>
      </c>
      <c r="O190" s="3" t="n">
        <v>12695.0</v>
      </c>
      <c r="P190" s="3" t="n">
        <v>13013.0</v>
      </c>
      <c r="Q190" s="3" t="n">
        <v>13280.0</v>
      </c>
      <c r="R190" s="3" t="n">
        <v>12927.0</v>
      </c>
      <c r="S190" s="3" t="n">
        <v>12654.0</v>
      </c>
      <c r="T190" s="3" t="n">
        <v>11831.0</v>
      </c>
      <c r="U190" s="3" t="n">
        <v>11354.0</v>
      </c>
      <c r="V190" s="3" t="n">
        <v>11079.0</v>
      </c>
      <c r="W190" s="3" t="n">
        <v>11300.0</v>
      </c>
      <c r="X190" s="3" t="n">
        <v>10916.0</v>
      </c>
      <c r="Y190" s="3" t="n">
        <v>10865.0</v>
      </c>
      <c r="Z190" s="3" t="n">
        <v>10800.0</v>
      </c>
      <c r="AA190" s="3" t="n">
        <v>10871.0</v>
      </c>
      <c r="AB190" s="3" t="n">
        <v>11189.0</v>
      </c>
      <c r="AC190" s="3" t="n">
        <v>11533.0</v>
      </c>
      <c r="AD190" s="3" t="n">
        <v>12235.0</v>
      </c>
      <c r="AE190" s="3" t="n">
        <v>12785.0</v>
      </c>
      <c r="AF190" s="3" t="n">
        <v>13437.0</v>
      </c>
      <c r="AG190" s="3" t="n">
        <v>14231.0</v>
      </c>
      <c r="AH190" s="3" t="n">
        <v>14597.0</v>
      </c>
      <c r="AI190" s="3" t="n">
        <v>15406.0</v>
      </c>
      <c r="AJ190" s="3" t="n">
        <v>16166.0</v>
      </c>
      <c r="AK190" s="3" t="n">
        <v>16350.0</v>
      </c>
      <c r="AL190" s="3" t="n">
        <v>16427.0</v>
      </c>
      <c r="AM190" s="3" t="n">
        <v>17456.0</v>
      </c>
      <c r="AN190" s="3" t="n">
        <v>17460.0</v>
      </c>
      <c r="AO190" s="3" t="n">
        <v>17193.0</v>
      </c>
    </row>
    <row r="191" spans="1:41" x14ac:dyDescent="0.2">
      <c r="A191" s="122"/>
      <c r="B191" s="9">
        <v>80</v>
      </c>
      <c r="C191" s="3" t="n">
        <v>4988.0</v>
      </c>
      <c r="D191" s="3" t="n">
        <v>4790.0</v>
      </c>
      <c r="E191" s="3" t="n">
        <v>4713.0</v>
      </c>
      <c r="F191" s="3" t="n">
        <v>5360.0</v>
      </c>
      <c r="G191" s="3" t="n">
        <v>9994.0</v>
      </c>
      <c r="H191" s="3" t="n">
        <v>9542.0</v>
      </c>
      <c r="I191" s="3" t="n">
        <v>10221.0</v>
      </c>
      <c r="J191" s="3" t="n">
        <v>10351.0</v>
      </c>
      <c r="K191" s="3" t="n">
        <v>10476.0</v>
      </c>
      <c r="L191" s="3" t="n">
        <v>10919.0</v>
      </c>
      <c r="M191" s="3" t="n">
        <v>11251.0</v>
      </c>
      <c r="N191" s="3" t="n">
        <v>11477.0</v>
      </c>
      <c r="O191" s="3" t="n">
        <v>11589.0</v>
      </c>
      <c r="P191" s="3" t="n">
        <v>12018.0</v>
      </c>
      <c r="Q191" s="3" t="n">
        <v>12332.0</v>
      </c>
      <c r="R191" s="3" t="n">
        <v>12595.0</v>
      </c>
      <c r="S191" s="3" t="n">
        <v>12278.0</v>
      </c>
      <c r="T191" s="3" t="n">
        <v>12020.0</v>
      </c>
      <c r="U191" s="3" t="n">
        <v>11247.0</v>
      </c>
      <c r="V191" s="3" t="n">
        <v>10801.0</v>
      </c>
      <c r="W191" s="3" t="n">
        <v>10553.0</v>
      </c>
      <c r="X191" s="3" t="n">
        <v>10768.0</v>
      </c>
      <c r="Y191" s="3" t="n">
        <v>10409.0</v>
      </c>
      <c r="Z191" s="3" t="n">
        <v>10366.0</v>
      </c>
      <c r="AA191" s="3" t="n">
        <v>10308.0</v>
      </c>
      <c r="AB191" s="3" t="n">
        <v>10386.0</v>
      </c>
      <c r="AC191" s="3" t="n">
        <v>10697.0</v>
      </c>
      <c r="AD191" s="3" t="n">
        <v>11035.0</v>
      </c>
      <c r="AE191" s="3" t="n">
        <v>11713.0</v>
      </c>
      <c r="AF191" s="3" t="n">
        <v>12246.0</v>
      </c>
      <c r="AG191" s="3" t="n">
        <v>12880.0</v>
      </c>
      <c r="AH191" s="3" t="n">
        <v>13651.0</v>
      </c>
      <c r="AI191" s="3" t="n">
        <v>14006.0</v>
      </c>
      <c r="AJ191" s="3" t="n">
        <v>14801.0</v>
      </c>
      <c r="AK191" s="3" t="n">
        <v>15535.0</v>
      </c>
      <c r="AL191" s="3" t="n">
        <v>15727.0</v>
      </c>
      <c r="AM191" s="3" t="n">
        <v>15811.0</v>
      </c>
      <c r="AN191" s="3" t="n">
        <v>16812.0</v>
      </c>
      <c r="AO191" s="3" t="n">
        <v>16828.0</v>
      </c>
    </row>
    <row r="192" spans="1:41" x14ac:dyDescent="0.2">
      <c r="A192" s="122"/>
      <c r="B192" s="9">
        <v>81</v>
      </c>
      <c r="C192" s="3" t="n">
        <v>4673.0</v>
      </c>
      <c r="D192" s="3" t="n">
        <v>4634.0</v>
      </c>
      <c r="E192" s="3" t="n">
        <v>4463.0</v>
      </c>
      <c r="F192" s="3" t="n">
        <v>4388.0</v>
      </c>
      <c r="G192" s="3" t="n">
        <v>4999.0</v>
      </c>
      <c r="H192" s="3" t="n">
        <v>9337.0</v>
      </c>
      <c r="I192" s="3" t="n">
        <v>8908.0</v>
      </c>
      <c r="J192" s="3" t="n">
        <v>9557.0</v>
      </c>
      <c r="K192" s="3" t="n">
        <v>9690.0</v>
      </c>
      <c r="L192" s="3" t="n">
        <v>9819.0</v>
      </c>
      <c r="M192" s="3" t="n">
        <v>10245.0</v>
      </c>
      <c r="N192" s="3" t="n">
        <v>10567.0</v>
      </c>
      <c r="O192" s="3" t="n">
        <v>10784.0</v>
      </c>
      <c r="P192" s="3" t="n">
        <v>10901.0</v>
      </c>
      <c r="Q192" s="3" t="n">
        <v>11315.0</v>
      </c>
      <c r="R192" s="3" t="n">
        <v>11616.0</v>
      </c>
      <c r="S192" s="3" t="n">
        <v>11884.0</v>
      </c>
      <c r="T192" s="3" t="n">
        <v>11587.0</v>
      </c>
      <c r="U192" s="3" t="n">
        <v>11352.0</v>
      </c>
      <c r="V192" s="3" t="n">
        <v>10631.0</v>
      </c>
      <c r="W192" s="3" t="n">
        <v>10222.0</v>
      </c>
      <c r="X192" s="3" t="n">
        <v>9997.0</v>
      </c>
      <c r="Y192" s="3" t="n">
        <v>10207.0</v>
      </c>
      <c r="Z192" s="3" t="n">
        <v>9873.0</v>
      </c>
      <c r="AA192" s="3" t="n">
        <v>9840.0</v>
      </c>
      <c r="AB192" s="3" t="n">
        <v>9792.0</v>
      </c>
      <c r="AC192" s="3" t="n">
        <v>9881.0</v>
      </c>
      <c r="AD192" s="3" t="n">
        <v>10183.0</v>
      </c>
      <c r="AE192" s="3" t="n">
        <v>10500.0</v>
      </c>
      <c r="AF192" s="3" t="n">
        <v>11160.0</v>
      </c>
      <c r="AG192" s="3" t="n">
        <v>11682.0</v>
      </c>
      <c r="AH192" s="3" t="n">
        <v>12289.0</v>
      </c>
      <c r="AI192" s="3" t="n">
        <v>13035.0</v>
      </c>
      <c r="AJ192" s="3" t="n">
        <v>13390.0</v>
      </c>
      <c r="AK192" s="3" t="n">
        <v>14153.0</v>
      </c>
      <c r="AL192" s="3" t="n">
        <v>14860.0</v>
      </c>
      <c r="AM192" s="3" t="n">
        <v>15058.0</v>
      </c>
      <c r="AN192" s="3" t="n">
        <v>15150.0</v>
      </c>
      <c r="AO192" s="3" t="n">
        <v>16117.0</v>
      </c>
    </row>
    <row r="193" spans="1:41" x14ac:dyDescent="0.2">
      <c r="A193" s="122"/>
      <c r="B193" s="9">
        <v>82</v>
      </c>
      <c r="C193" s="3" t="n">
        <v>4280.0</v>
      </c>
      <c r="D193" s="3" t="n">
        <v>4305.0</v>
      </c>
      <c r="E193" s="3" t="n">
        <v>4276.0</v>
      </c>
      <c r="F193" s="3" t="n">
        <v>4122.0</v>
      </c>
      <c r="G193" s="3" t="n">
        <v>4061.0</v>
      </c>
      <c r="H193" s="3" t="n">
        <v>4629.0</v>
      </c>
      <c r="I193" s="3" t="n">
        <v>8660.0</v>
      </c>
      <c r="J193" s="3" t="n">
        <v>8266.0</v>
      </c>
      <c r="K193" s="3" t="n">
        <v>8888.0</v>
      </c>
      <c r="L193" s="3" t="n">
        <v>9018.0</v>
      </c>
      <c r="M193" s="3" t="n">
        <v>9149.0</v>
      </c>
      <c r="N193" s="3" t="n">
        <v>9559.0</v>
      </c>
      <c r="O193" s="3" t="n">
        <v>9865.0</v>
      </c>
      <c r="P193" s="3" t="n">
        <v>10080.0</v>
      </c>
      <c r="Q193" s="3" t="n">
        <v>10205.0</v>
      </c>
      <c r="R193" s="3" t="n">
        <v>10597.0</v>
      </c>
      <c r="S193" s="3" t="n">
        <v>10891.0</v>
      </c>
      <c r="T193" s="3" t="n">
        <v>11147.0</v>
      </c>
      <c r="U193" s="3" t="n">
        <v>10882.0</v>
      </c>
      <c r="V193" s="3" t="n">
        <v>10675.0</v>
      </c>
      <c r="W193" s="3" t="n">
        <v>10001.0</v>
      </c>
      <c r="X193" s="3" t="n">
        <v>9627.0</v>
      </c>
      <c r="Y193" s="3" t="n">
        <v>9424.0</v>
      </c>
      <c r="Z193" s="3" t="n">
        <v>9627.0</v>
      </c>
      <c r="AA193" s="3" t="n">
        <v>9322.0</v>
      </c>
      <c r="AB193" s="3" t="n">
        <v>9298.0</v>
      </c>
      <c r="AC193" s="3" t="n">
        <v>9262.0</v>
      </c>
      <c r="AD193" s="3" t="n">
        <v>9352.0</v>
      </c>
      <c r="AE193" s="3" t="n">
        <v>9645.0</v>
      </c>
      <c r="AF193" s="3" t="n">
        <v>9955.0</v>
      </c>
      <c r="AG193" s="3" t="n">
        <v>10586.0</v>
      </c>
      <c r="AH193" s="3" t="n">
        <v>11089.0</v>
      </c>
      <c r="AI193" s="3" t="n">
        <v>11681.0</v>
      </c>
      <c r="AJ193" s="3" t="n">
        <v>12399.0</v>
      </c>
      <c r="AK193" s="3" t="n">
        <v>12739.0</v>
      </c>
      <c r="AL193" s="3" t="n">
        <v>13484.0</v>
      </c>
      <c r="AM193" s="3" t="n">
        <v>14165.0</v>
      </c>
      <c r="AN193" s="3" t="n">
        <v>14363.0</v>
      </c>
      <c r="AO193" s="3" t="n">
        <v>14464.0</v>
      </c>
    </row>
    <row r="194" spans="1:41" x14ac:dyDescent="0.2">
      <c r="A194" s="122"/>
      <c r="B194" s="9">
        <v>83</v>
      </c>
      <c r="C194" s="3" t="n">
        <v>4131.0</v>
      </c>
      <c r="D194" s="3" t="n">
        <v>3905.0</v>
      </c>
      <c r="E194" s="3" t="n">
        <v>3937.0</v>
      </c>
      <c r="F194" s="3" t="n">
        <v>3918.0</v>
      </c>
      <c r="G194" s="3" t="n">
        <v>3779.0</v>
      </c>
      <c r="H194" s="3" t="n">
        <v>3732.0</v>
      </c>
      <c r="I194" s="3" t="n">
        <v>4256.0</v>
      </c>
      <c r="J194" s="3" t="n">
        <v>7958.0</v>
      </c>
      <c r="K194" s="3" t="n">
        <v>7609.0</v>
      </c>
      <c r="L194" s="3" t="n">
        <v>8187.0</v>
      </c>
      <c r="M194" s="3" t="n">
        <v>8325.0</v>
      </c>
      <c r="N194" s="3" t="n">
        <v>8459.0</v>
      </c>
      <c r="O194" s="3" t="n">
        <v>8841.0</v>
      </c>
      <c r="P194" s="3" t="n">
        <v>9129.0</v>
      </c>
      <c r="Q194" s="3" t="n">
        <v>9343.0</v>
      </c>
      <c r="R194" s="3" t="n">
        <v>9472.0</v>
      </c>
      <c r="S194" s="3" t="n">
        <v>9849.0</v>
      </c>
      <c r="T194" s="3" t="n">
        <v>10128.0</v>
      </c>
      <c r="U194" s="3" t="n">
        <v>10378.0</v>
      </c>
      <c r="V194" s="3" t="n">
        <v>10142.0</v>
      </c>
      <c r="W194" s="3" t="n">
        <v>9962.0</v>
      </c>
      <c r="X194" s="3" t="n">
        <v>9343.0</v>
      </c>
      <c r="Y194" s="3" t="n">
        <v>9004.0</v>
      </c>
      <c r="Z194" s="3" t="n">
        <v>8816.0</v>
      </c>
      <c r="AA194" s="3" t="n">
        <v>9018.0</v>
      </c>
      <c r="AB194" s="3" t="n">
        <v>8741.0</v>
      </c>
      <c r="AC194" s="3" t="n">
        <v>8725.0</v>
      </c>
      <c r="AD194" s="3" t="n">
        <v>8701.0</v>
      </c>
      <c r="AE194" s="3" t="n">
        <v>8792.0</v>
      </c>
      <c r="AF194" s="3" t="n">
        <v>9076.0</v>
      </c>
      <c r="AG194" s="3" t="n">
        <v>9373.0</v>
      </c>
      <c r="AH194" s="3" t="n">
        <v>9980.0</v>
      </c>
      <c r="AI194" s="3" t="n">
        <v>10463.0</v>
      </c>
      <c r="AJ194" s="3" t="n">
        <v>11032.0</v>
      </c>
      <c r="AK194" s="3" t="n">
        <v>11718.0</v>
      </c>
      <c r="AL194" s="3" t="n">
        <v>12051.0</v>
      </c>
      <c r="AM194" s="3" t="n">
        <v>12774.0</v>
      </c>
      <c r="AN194" s="3" t="n">
        <v>13430.0</v>
      </c>
      <c r="AO194" s="3" t="n">
        <v>13629.0</v>
      </c>
    </row>
    <row r="195" spans="1:41" x14ac:dyDescent="0.2">
      <c r="A195" s="122"/>
      <c r="B195" s="9">
        <v>84</v>
      </c>
      <c r="C195" s="3" t="n">
        <v>3722.0</v>
      </c>
      <c r="D195" s="3" t="n">
        <v>3732.0</v>
      </c>
      <c r="E195" s="3" t="n">
        <v>3541.0</v>
      </c>
      <c r="F195" s="3" t="n">
        <v>3576.0</v>
      </c>
      <c r="G195" s="3" t="n">
        <v>3561.0</v>
      </c>
      <c r="H195" s="3" t="n">
        <v>3447.0</v>
      </c>
      <c r="I195" s="3" t="n">
        <v>3400.0</v>
      </c>
      <c r="J195" s="3" t="n">
        <v>3885.0</v>
      </c>
      <c r="K195" s="3" t="n">
        <v>7268.0</v>
      </c>
      <c r="L195" s="3" t="n">
        <v>6953.0</v>
      </c>
      <c r="M195" s="3" t="n">
        <v>7498.0</v>
      </c>
      <c r="N195" s="3" t="n">
        <v>7640.0</v>
      </c>
      <c r="O195" s="3" t="n">
        <v>7767.0</v>
      </c>
      <c r="P195" s="3" t="n">
        <v>8127.0</v>
      </c>
      <c r="Q195" s="3" t="n">
        <v>8403.0</v>
      </c>
      <c r="R195" s="3" t="n">
        <v>8614.0</v>
      </c>
      <c r="S195" s="3" t="n">
        <v>8743.0</v>
      </c>
      <c r="T195" s="3" t="n">
        <v>9099.0</v>
      </c>
      <c r="U195" s="3" t="n">
        <v>9372.0</v>
      </c>
      <c r="V195" s="3" t="n">
        <v>9616.0</v>
      </c>
      <c r="W195" s="3" t="n">
        <v>9402.0</v>
      </c>
      <c r="X195" s="3" t="n">
        <v>9251.0</v>
      </c>
      <c r="Y195" s="3" t="n">
        <v>8685.0</v>
      </c>
      <c r="Z195" s="3" t="n">
        <v>8373.0</v>
      </c>
      <c r="AA195" s="3" t="n">
        <v>8208.0</v>
      </c>
      <c r="AB195" s="3" t="n">
        <v>8407.0</v>
      </c>
      <c r="AC195" s="3" t="n">
        <v>8159.0</v>
      </c>
      <c r="AD195" s="3" t="n">
        <v>8154.0</v>
      </c>
      <c r="AE195" s="3" t="n">
        <v>8130.0</v>
      </c>
      <c r="AF195" s="3" t="n">
        <v>8230.0</v>
      </c>
      <c r="AG195" s="3" t="n">
        <v>8504.0</v>
      </c>
      <c r="AH195" s="3" t="n">
        <v>8791.0</v>
      </c>
      <c r="AI195" s="3" t="n">
        <v>9369.0</v>
      </c>
      <c r="AJ195" s="3" t="n">
        <v>9835.0</v>
      </c>
      <c r="AK195" s="3" t="n">
        <v>10373.0</v>
      </c>
      <c r="AL195" s="3" t="n">
        <v>11034.0</v>
      </c>
      <c r="AM195" s="3" t="n">
        <v>11354.0</v>
      </c>
      <c r="AN195" s="3" t="n">
        <v>12043.0</v>
      </c>
      <c r="AO195" s="3" t="n">
        <v>12680.0</v>
      </c>
    </row>
    <row r="196" spans="1:41" x14ac:dyDescent="0.2">
      <c r="A196" s="122"/>
      <c r="B196" s="9">
        <v>85</v>
      </c>
      <c r="C196" s="3" t="n">
        <v>3229.0</v>
      </c>
      <c r="D196" s="3" t="n">
        <v>3327.0</v>
      </c>
      <c r="E196" s="3" t="n">
        <v>3342.0</v>
      </c>
      <c r="F196" s="3" t="n">
        <v>3182.0</v>
      </c>
      <c r="G196" s="3" t="n">
        <v>3213.0</v>
      </c>
      <c r="H196" s="3" t="n">
        <v>3208.0</v>
      </c>
      <c r="I196" s="3" t="n">
        <v>3110.0</v>
      </c>
      <c r="J196" s="3" t="n">
        <v>3070.0</v>
      </c>
      <c r="K196" s="3" t="n">
        <v>3511.0</v>
      </c>
      <c r="L196" s="3" t="n">
        <v>6584.0</v>
      </c>
      <c r="M196" s="3" t="n">
        <v>6302.0</v>
      </c>
      <c r="N196" s="3" t="n">
        <v>6808.0</v>
      </c>
      <c r="O196" s="3" t="n">
        <v>6948.0</v>
      </c>
      <c r="P196" s="3" t="n">
        <v>7075.0</v>
      </c>
      <c r="Q196" s="3" t="n">
        <v>7422.0</v>
      </c>
      <c r="R196" s="3" t="n">
        <v>7678.0</v>
      </c>
      <c r="S196" s="3" t="n">
        <v>7880.0</v>
      </c>
      <c r="T196" s="3" t="n">
        <v>8008.0</v>
      </c>
      <c r="U196" s="3" t="n">
        <v>8345.0</v>
      </c>
      <c r="V196" s="3" t="n">
        <v>8604.0</v>
      </c>
      <c r="W196" s="3" t="n">
        <v>8843.0</v>
      </c>
      <c r="X196" s="3" t="n">
        <v>8658.0</v>
      </c>
      <c r="Y196" s="3" t="n">
        <v>8530.0</v>
      </c>
      <c r="Z196" s="3" t="n">
        <v>8015.0</v>
      </c>
      <c r="AA196" s="3" t="n">
        <v>7735.0</v>
      </c>
      <c r="AB196" s="3" t="n">
        <v>7596.0</v>
      </c>
      <c r="AC196" s="3" t="n">
        <v>7789.0</v>
      </c>
      <c r="AD196" s="3" t="n">
        <v>7563.0</v>
      </c>
      <c r="AE196" s="3" t="n">
        <v>7567.0</v>
      </c>
      <c r="AF196" s="3" t="n">
        <v>7552.0</v>
      </c>
      <c r="AG196" s="3" t="n">
        <v>7655.0</v>
      </c>
      <c r="AH196" s="3" t="n">
        <v>7921.0</v>
      </c>
      <c r="AI196" s="3" t="n">
        <v>8200.0</v>
      </c>
      <c r="AJ196" s="3" t="n">
        <v>8746.0</v>
      </c>
      <c r="AK196" s="3" t="n">
        <v>9191.0</v>
      </c>
      <c r="AL196" s="3" t="n">
        <v>9699.0</v>
      </c>
      <c r="AM196" s="3" t="n">
        <v>10329.0</v>
      </c>
      <c r="AN196" s="3" t="n">
        <v>10644.0</v>
      </c>
      <c r="AO196" s="3" t="n">
        <v>11300.0</v>
      </c>
    </row>
    <row r="197" spans="1:41" x14ac:dyDescent="0.2">
      <c r="A197" s="122"/>
      <c r="B197" s="9">
        <v>86</v>
      </c>
      <c r="C197" s="3" t="n">
        <v>2824.0</v>
      </c>
      <c r="D197" s="3" t="n">
        <v>2850.0</v>
      </c>
      <c r="E197" s="3" t="n">
        <v>2944.0</v>
      </c>
      <c r="F197" s="3" t="n">
        <v>2963.0</v>
      </c>
      <c r="G197" s="3" t="n">
        <v>2829.0</v>
      </c>
      <c r="H197" s="3" t="n">
        <v>2865.0</v>
      </c>
      <c r="I197" s="3" t="n">
        <v>2860.0</v>
      </c>
      <c r="J197" s="3" t="n">
        <v>2781.0</v>
      </c>
      <c r="K197" s="3" t="n">
        <v>2747.0</v>
      </c>
      <c r="L197" s="3" t="n">
        <v>3146.0</v>
      </c>
      <c r="M197" s="3" t="n">
        <v>5903.0</v>
      </c>
      <c r="N197" s="3" t="n">
        <v>5660.0</v>
      </c>
      <c r="O197" s="3" t="n">
        <v>6127.0</v>
      </c>
      <c r="P197" s="3" t="n">
        <v>6262.0</v>
      </c>
      <c r="Q197" s="3" t="n">
        <v>6384.0</v>
      </c>
      <c r="R197" s="3" t="n">
        <v>6710.0</v>
      </c>
      <c r="S197" s="3" t="n">
        <v>6957.0</v>
      </c>
      <c r="T197" s="3" t="n">
        <v>7148.0</v>
      </c>
      <c r="U197" s="3" t="n">
        <v>7272.0</v>
      </c>
      <c r="V197" s="3" t="n">
        <v>7588.0</v>
      </c>
      <c r="W197" s="3" t="n">
        <v>7839.0</v>
      </c>
      <c r="X197" s="3" t="n">
        <v>8067.0</v>
      </c>
      <c r="Y197" s="3" t="n">
        <v>7915.0</v>
      </c>
      <c r="Z197" s="3" t="n">
        <v>7800.0</v>
      </c>
      <c r="AA197" s="3" t="n">
        <v>7341.0</v>
      </c>
      <c r="AB197" s="3" t="n">
        <v>7095.0</v>
      </c>
      <c r="AC197" s="3" t="n">
        <v>6973.0</v>
      </c>
      <c r="AD197" s="3" t="n">
        <v>7166.0</v>
      </c>
      <c r="AE197" s="3" t="n">
        <v>6952.0</v>
      </c>
      <c r="AF197" s="3" t="n">
        <v>6967.0</v>
      </c>
      <c r="AG197" s="3" t="n">
        <v>6964.0</v>
      </c>
      <c r="AH197" s="3" t="n">
        <v>7071.0</v>
      </c>
      <c r="AI197" s="3" t="n">
        <v>7323.0</v>
      </c>
      <c r="AJ197" s="3" t="n">
        <v>7595.0</v>
      </c>
      <c r="AK197" s="3" t="n">
        <v>8106.0</v>
      </c>
      <c r="AL197" s="3" t="n">
        <v>8530.0</v>
      </c>
      <c r="AM197" s="3" t="n">
        <v>9016.0</v>
      </c>
      <c r="AN197" s="3" t="n">
        <v>9612.0</v>
      </c>
      <c r="AO197" s="3" t="n">
        <v>9913.0</v>
      </c>
    </row>
    <row r="198" spans="1:41" x14ac:dyDescent="0.2">
      <c r="A198" s="122"/>
      <c r="B198" s="9">
        <v>87</v>
      </c>
      <c r="C198" s="3" t="n">
        <v>2341.0</v>
      </c>
      <c r="D198" s="3" t="n">
        <v>2467.0</v>
      </c>
      <c r="E198" s="3" t="n">
        <v>2496.0</v>
      </c>
      <c r="F198" s="3" t="n">
        <v>2589.0</v>
      </c>
      <c r="G198" s="3" t="n">
        <v>2609.0</v>
      </c>
      <c r="H198" s="3" t="n">
        <v>2498.0</v>
      </c>
      <c r="I198" s="3" t="n">
        <v>2535.0</v>
      </c>
      <c r="J198" s="3" t="n">
        <v>2531.0</v>
      </c>
      <c r="K198" s="3" t="n">
        <v>2468.0</v>
      </c>
      <c r="L198" s="3" t="n">
        <v>2446.0</v>
      </c>
      <c r="M198" s="3" t="n">
        <v>2804.0</v>
      </c>
      <c r="N198" s="3" t="n">
        <v>5268.0</v>
      </c>
      <c r="O198" s="3" t="n">
        <v>5050.0</v>
      </c>
      <c r="P198" s="3" t="n">
        <v>5486.0</v>
      </c>
      <c r="Q198" s="3" t="n">
        <v>5612.0</v>
      </c>
      <c r="R198" s="3" t="n">
        <v>5729.0</v>
      </c>
      <c r="S198" s="3" t="n">
        <v>6028.0</v>
      </c>
      <c r="T198" s="3" t="n">
        <v>6264.0</v>
      </c>
      <c r="U198" s="3" t="n">
        <v>6439.0</v>
      </c>
      <c r="V198" s="3" t="n">
        <v>6564.0</v>
      </c>
      <c r="W198" s="3" t="n">
        <v>6863.0</v>
      </c>
      <c r="X198" s="3" t="n">
        <v>7105.0</v>
      </c>
      <c r="Y198" s="3" t="n">
        <v>7319.0</v>
      </c>
      <c r="Z198" s="3" t="n">
        <v>7189.0</v>
      </c>
      <c r="AA198" s="3" t="n">
        <v>7093.0</v>
      </c>
      <c r="AB198" s="3" t="n">
        <v>6687.0</v>
      </c>
      <c r="AC198" s="3" t="n">
        <v>6478.0</v>
      </c>
      <c r="AD198" s="3" t="n">
        <v>6373.0</v>
      </c>
      <c r="AE198" s="3" t="n">
        <v>6554.0</v>
      </c>
      <c r="AF198" s="3" t="n">
        <v>6366.0</v>
      </c>
      <c r="AG198" s="3" t="n">
        <v>6389.0</v>
      </c>
      <c r="AH198" s="3" t="n">
        <v>6392.0</v>
      </c>
      <c r="AI198" s="3" t="n">
        <v>6500.0</v>
      </c>
      <c r="AJ198" s="3" t="n">
        <v>6743.0</v>
      </c>
      <c r="AK198" s="3" t="n">
        <v>6999.0</v>
      </c>
      <c r="AL198" s="3" t="n">
        <v>7477.0</v>
      </c>
      <c r="AM198" s="3" t="n">
        <v>7877.0</v>
      </c>
      <c r="AN198" s="3" t="n">
        <v>8344.0</v>
      </c>
      <c r="AO198" s="3" t="n">
        <v>8899.0</v>
      </c>
    </row>
    <row r="199" spans="1:41" x14ac:dyDescent="0.2">
      <c r="A199" s="122"/>
      <c r="B199" s="9">
        <v>88</v>
      </c>
      <c r="C199" s="3" t="n">
        <v>1944.0</v>
      </c>
      <c r="D199" s="3" t="n">
        <v>2025.0</v>
      </c>
      <c r="E199" s="3" t="n">
        <v>2140.0</v>
      </c>
      <c r="F199" s="3" t="n">
        <v>2172.0</v>
      </c>
      <c r="G199" s="3" t="n">
        <v>2258.0</v>
      </c>
      <c r="H199" s="3" t="n">
        <v>2279.0</v>
      </c>
      <c r="I199" s="3" t="n">
        <v>2187.0</v>
      </c>
      <c r="J199" s="3" t="n">
        <v>2225.0</v>
      </c>
      <c r="K199" s="3" t="n">
        <v>2226.0</v>
      </c>
      <c r="L199" s="3" t="n">
        <v>2178.0</v>
      </c>
      <c r="M199" s="3" t="n">
        <v>2161.0</v>
      </c>
      <c r="N199" s="3" t="n">
        <v>2482.0</v>
      </c>
      <c r="O199" s="3" t="n">
        <v>4658.0</v>
      </c>
      <c r="P199" s="3" t="n">
        <v>4473.0</v>
      </c>
      <c r="Q199" s="3" t="n">
        <v>4864.0</v>
      </c>
      <c r="R199" s="3" t="n">
        <v>4989.0</v>
      </c>
      <c r="S199" s="3" t="n">
        <v>5104.0</v>
      </c>
      <c r="T199" s="3" t="n">
        <v>5373.0</v>
      </c>
      <c r="U199" s="3" t="n">
        <v>5595.0</v>
      </c>
      <c r="V199" s="3" t="n">
        <v>5764.0</v>
      </c>
      <c r="W199" s="3" t="n">
        <v>5884.0</v>
      </c>
      <c r="X199" s="3" t="n">
        <v>6168.0</v>
      </c>
      <c r="Y199" s="3" t="n">
        <v>6388.0</v>
      </c>
      <c r="Z199" s="3" t="n">
        <v>6592.0</v>
      </c>
      <c r="AA199" s="3" t="n">
        <v>6484.0</v>
      </c>
      <c r="AB199" s="3" t="n">
        <v>6407.0</v>
      </c>
      <c r="AC199" s="3" t="n">
        <v>6051.0</v>
      </c>
      <c r="AD199" s="3" t="n">
        <v>5872.0</v>
      </c>
      <c r="AE199" s="3" t="n">
        <v>5779.0</v>
      </c>
      <c r="AF199" s="3" t="n">
        <v>5952.0</v>
      </c>
      <c r="AG199" s="3" t="n">
        <v>5789.0</v>
      </c>
      <c r="AH199" s="3" t="n">
        <v>5822.0</v>
      </c>
      <c r="AI199" s="3" t="n">
        <v>5835.0</v>
      </c>
      <c r="AJ199" s="3" t="n">
        <v>5940.0</v>
      </c>
      <c r="AK199" s="3" t="n">
        <v>6170.0</v>
      </c>
      <c r="AL199" s="3" t="n">
        <v>6416.0</v>
      </c>
      <c r="AM199" s="3" t="n">
        <v>6852.0</v>
      </c>
      <c r="AN199" s="3" t="n">
        <v>7231.0</v>
      </c>
      <c r="AO199" s="3" t="n">
        <v>7674.0</v>
      </c>
    </row>
    <row r="200" spans="1:41" x14ac:dyDescent="0.2">
      <c r="A200" s="122"/>
      <c r="B200" s="9">
        <v>89</v>
      </c>
      <c r="C200" s="3" t="n">
        <v>1692.0</v>
      </c>
      <c r="D200" s="3" t="n">
        <v>1655.0</v>
      </c>
      <c r="E200" s="3" t="n">
        <v>1731.0</v>
      </c>
      <c r="F200" s="3" t="n">
        <v>1831.0</v>
      </c>
      <c r="G200" s="3" t="n">
        <v>1865.0</v>
      </c>
      <c r="H200" s="3" t="n">
        <v>1937.0</v>
      </c>
      <c r="I200" s="3" t="n">
        <v>1961.0</v>
      </c>
      <c r="J200" s="3" t="n">
        <v>1887.0</v>
      </c>
      <c r="K200" s="3" t="n">
        <v>1930.0</v>
      </c>
      <c r="L200" s="3" t="n">
        <v>1927.0</v>
      </c>
      <c r="M200" s="3" t="n">
        <v>1893.0</v>
      </c>
      <c r="N200" s="3" t="n">
        <v>1887.0</v>
      </c>
      <c r="O200" s="3" t="n">
        <v>2163.0</v>
      </c>
      <c r="P200" s="3" t="n">
        <v>4075.0</v>
      </c>
      <c r="Q200" s="3" t="n">
        <v>3917.0</v>
      </c>
      <c r="R200" s="3" t="n">
        <v>4269.0</v>
      </c>
      <c r="S200" s="3" t="n">
        <v>4390.0</v>
      </c>
      <c r="T200" s="3" t="n">
        <v>4496.0</v>
      </c>
      <c r="U200" s="3" t="n">
        <v>4743.0</v>
      </c>
      <c r="V200" s="3" t="n">
        <v>4947.0</v>
      </c>
      <c r="W200" s="3" t="n">
        <v>5107.0</v>
      </c>
      <c r="X200" s="3" t="n">
        <v>5223.0</v>
      </c>
      <c r="Y200" s="3" t="n">
        <v>5484.0</v>
      </c>
      <c r="Z200" s="3" t="n">
        <v>5684.0</v>
      </c>
      <c r="AA200" s="3" t="n">
        <v>5881.0</v>
      </c>
      <c r="AB200" s="3" t="n">
        <v>5793.0</v>
      </c>
      <c r="AC200" s="3" t="n">
        <v>5735.0</v>
      </c>
      <c r="AD200" s="3" t="n">
        <v>5426.0</v>
      </c>
      <c r="AE200" s="3" t="n">
        <v>5270.0</v>
      </c>
      <c r="AF200" s="3" t="n">
        <v>5196.0</v>
      </c>
      <c r="AG200" s="3" t="n">
        <v>5358.0</v>
      </c>
      <c r="AH200" s="3" t="n">
        <v>5224.0</v>
      </c>
      <c r="AI200" s="3" t="n">
        <v>5257.0</v>
      </c>
      <c r="AJ200" s="3" t="n">
        <v>5277.0</v>
      </c>
      <c r="AK200" s="3" t="n">
        <v>5378.0</v>
      </c>
      <c r="AL200" s="3" t="n">
        <v>5597.0</v>
      </c>
      <c r="AM200" s="3" t="n">
        <v>5825.0</v>
      </c>
      <c r="AN200" s="3" t="n">
        <v>6233.0</v>
      </c>
      <c r="AO200" s="3" t="n">
        <v>6590.0</v>
      </c>
    </row>
    <row r="201" spans="1:41" x14ac:dyDescent="0.2">
      <c r="A201" s="122"/>
      <c r="B201" s="9">
        <v>90</v>
      </c>
      <c r="C201" s="3" t="n">
        <v>1313.0</v>
      </c>
      <c r="D201" s="3" t="n">
        <v>1426.0</v>
      </c>
      <c r="E201" s="3" t="n">
        <v>1397.0</v>
      </c>
      <c r="F201" s="3" t="n">
        <v>1472.0</v>
      </c>
      <c r="G201" s="3" t="n">
        <v>1560.0</v>
      </c>
      <c r="H201" s="3" t="n">
        <v>1591.0</v>
      </c>
      <c r="I201" s="3" t="n">
        <v>1650.0</v>
      </c>
      <c r="J201" s="3" t="n">
        <v>1675.0</v>
      </c>
      <c r="K201" s="3" t="n">
        <v>1621.0</v>
      </c>
      <c r="L201" s="3" t="n">
        <v>1661.0</v>
      </c>
      <c r="M201" s="3" t="n">
        <v>1662.0</v>
      </c>
      <c r="N201" s="3" t="n">
        <v>1637.0</v>
      </c>
      <c r="O201" s="3" t="n">
        <v>1635.0</v>
      </c>
      <c r="P201" s="3" t="n">
        <v>1873.0</v>
      </c>
      <c r="Q201" s="3" t="n">
        <v>3536.0</v>
      </c>
      <c r="R201" s="3" t="n">
        <v>3400.0</v>
      </c>
      <c r="S201" s="3" t="n">
        <v>3721.0</v>
      </c>
      <c r="T201" s="3" t="n">
        <v>3826.0</v>
      </c>
      <c r="U201" s="3" t="n">
        <v>3932.0</v>
      </c>
      <c r="V201" s="3" t="n">
        <v>4160.0</v>
      </c>
      <c r="W201" s="3" t="n">
        <v>4346.0</v>
      </c>
      <c r="X201" s="3" t="n">
        <v>4493.0</v>
      </c>
      <c r="Y201" s="3" t="n">
        <v>4605.0</v>
      </c>
      <c r="Z201" s="3" t="n">
        <v>4843.0</v>
      </c>
      <c r="AA201" s="3" t="n">
        <v>5027.0</v>
      </c>
      <c r="AB201" s="3" t="n">
        <v>5212.0</v>
      </c>
      <c r="AC201" s="3" t="n">
        <v>5146.0</v>
      </c>
      <c r="AD201" s="3" t="n">
        <v>5102.0</v>
      </c>
      <c r="AE201" s="3" t="n">
        <v>4830.0</v>
      </c>
      <c r="AF201" s="3" t="n">
        <v>4697.0</v>
      </c>
      <c r="AG201" s="3" t="n">
        <v>4642.0</v>
      </c>
      <c r="AH201" s="3" t="n">
        <v>4796.0</v>
      </c>
      <c r="AI201" s="3" t="n">
        <v>4684.0</v>
      </c>
      <c r="AJ201" s="3" t="n">
        <v>4725.0</v>
      </c>
      <c r="AK201" s="3" t="n">
        <v>4744.0</v>
      </c>
      <c r="AL201" s="3" t="n">
        <v>4842.0</v>
      </c>
      <c r="AM201" s="3" t="n">
        <v>5047.0</v>
      </c>
      <c r="AN201" s="3" t="n">
        <v>5263.0</v>
      </c>
      <c r="AO201" s="3" t="n">
        <v>5642.0</v>
      </c>
    </row>
    <row r="202" spans="1:41" x14ac:dyDescent="0.2">
      <c r="A202" s="122"/>
      <c r="B202" s="9">
        <v>91</v>
      </c>
      <c r="C202" s="3" t="n">
        <v>1123.0</v>
      </c>
      <c r="D202" s="3" t="n">
        <v>1084.0</v>
      </c>
      <c r="E202" s="3" t="n">
        <v>1193.0</v>
      </c>
      <c r="F202" s="3" t="n">
        <v>1161.0</v>
      </c>
      <c r="G202" s="3" t="n">
        <v>1233.0</v>
      </c>
      <c r="H202" s="3" t="n">
        <v>1309.0</v>
      </c>
      <c r="I202" s="3" t="n">
        <v>1335.0</v>
      </c>
      <c r="J202" s="3" t="n">
        <v>1393.0</v>
      </c>
      <c r="K202" s="3" t="n">
        <v>1417.0</v>
      </c>
      <c r="L202" s="3" t="n">
        <v>1377.0</v>
      </c>
      <c r="M202" s="3" t="n">
        <v>1416.0</v>
      </c>
      <c r="N202" s="3" t="n">
        <v>1416.0</v>
      </c>
      <c r="O202" s="3" t="n">
        <v>1397.0</v>
      </c>
      <c r="P202" s="3" t="n">
        <v>1400.0</v>
      </c>
      <c r="Q202" s="3" t="n">
        <v>1606.0</v>
      </c>
      <c r="R202" s="3" t="n">
        <v>3039.0</v>
      </c>
      <c r="S202" s="3" t="n">
        <v>2926.0</v>
      </c>
      <c r="T202" s="3" t="n">
        <v>3207.0</v>
      </c>
      <c r="U202" s="3" t="n">
        <v>3305.0</v>
      </c>
      <c r="V202" s="3" t="n">
        <v>3404.0</v>
      </c>
      <c r="W202" s="3" t="n">
        <v>3607.0</v>
      </c>
      <c r="X202" s="3" t="n">
        <v>3781.0</v>
      </c>
      <c r="Y202" s="3" t="n">
        <v>3915.0</v>
      </c>
      <c r="Z202" s="3" t="n">
        <v>4019.0</v>
      </c>
      <c r="AA202" s="3" t="n">
        <v>4237.0</v>
      </c>
      <c r="AB202" s="3" t="n">
        <v>4405.0</v>
      </c>
      <c r="AC202" s="3" t="n">
        <v>4574.0</v>
      </c>
      <c r="AD202" s="3" t="n">
        <v>4528.0</v>
      </c>
      <c r="AE202" s="3" t="n">
        <v>4498.0</v>
      </c>
      <c r="AF202" s="3" t="n">
        <v>4261.0</v>
      </c>
      <c r="AG202" s="3" t="n">
        <v>4151.0</v>
      </c>
      <c r="AH202" s="3" t="n">
        <v>4113.0</v>
      </c>
      <c r="AI202" s="3" t="n">
        <v>4258.0</v>
      </c>
      <c r="AJ202" s="3" t="n">
        <v>4169.0</v>
      </c>
      <c r="AK202" s="3" t="n">
        <v>4209.0</v>
      </c>
      <c r="AL202" s="3" t="n">
        <v>4230.0</v>
      </c>
      <c r="AM202" s="3" t="n">
        <v>4327.0</v>
      </c>
      <c r="AN202" s="3" t="n">
        <v>4513.0</v>
      </c>
      <c r="AO202" s="3" t="n">
        <v>4712.0</v>
      </c>
    </row>
    <row r="203" spans="1:41" x14ac:dyDescent="0.2">
      <c r="A203" s="122"/>
      <c r="B203" s="9">
        <v>92</v>
      </c>
      <c r="C203" s="3" t="n">
        <v>788.0</v>
      </c>
      <c r="D203" s="3" t="n">
        <v>913.0</v>
      </c>
      <c r="E203" s="3" t="n">
        <v>889.0</v>
      </c>
      <c r="F203" s="3" t="n">
        <v>985.0</v>
      </c>
      <c r="G203" s="3" t="n">
        <v>957.0</v>
      </c>
      <c r="H203" s="3" t="n">
        <v>1014.0</v>
      </c>
      <c r="I203" s="3" t="n">
        <v>1081.0</v>
      </c>
      <c r="J203" s="3" t="n">
        <v>1104.0</v>
      </c>
      <c r="K203" s="3" t="n">
        <v>1160.0</v>
      </c>
      <c r="L203" s="3" t="n">
        <v>1182.0</v>
      </c>
      <c r="M203" s="3" t="n">
        <v>1150.0</v>
      </c>
      <c r="N203" s="3" t="n">
        <v>1189.0</v>
      </c>
      <c r="O203" s="3" t="n">
        <v>1191.0</v>
      </c>
      <c r="P203" s="3" t="n">
        <v>1175.0</v>
      </c>
      <c r="Q203" s="3" t="n">
        <v>1181.0</v>
      </c>
      <c r="R203" s="3" t="n">
        <v>1362.0</v>
      </c>
      <c r="S203" s="3" t="n">
        <v>2579.0</v>
      </c>
      <c r="T203" s="3" t="n">
        <v>2489.0</v>
      </c>
      <c r="U203" s="3" t="n">
        <v>2733.0</v>
      </c>
      <c r="V203" s="3" t="n">
        <v>2827.0</v>
      </c>
      <c r="W203" s="3" t="n">
        <v>2912.0</v>
      </c>
      <c r="X203" s="3" t="n">
        <v>3098.0</v>
      </c>
      <c r="Y203" s="3" t="n">
        <v>3256.0</v>
      </c>
      <c r="Z203" s="3" t="n">
        <v>3375.0</v>
      </c>
      <c r="AA203" s="3" t="n">
        <v>3474.0</v>
      </c>
      <c r="AB203" s="3" t="n">
        <v>3668.0</v>
      </c>
      <c r="AC203" s="3" t="n">
        <v>3821.0</v>
      </c>
      <c r="AD203" s="3" t="n">
        <v>3982.0</v>
      </c>
      <c r="AE203" s="3" t="n">
        <v>3945.0</v>
      </c>
      <c r="AF203" s="3" t="n">
        <v>3928.0</v>
      </c>
      <c r="AG203" s="3" t="n">
        <v>3722.0</v>
      </c>
      <c r="AH203" s="3" t="n">
        <v>3634.0</v>
      </c>
      <c r="AI203" s="3" t="n">
        <v>3610.0</v>
      </c>
      <c r="AJ203" s="3" t="n">
        <v>3745.0</v>
      </c>
      <c r="AK203" s="3" t="n">
        <v>3668.0</v>
      </c>
      <c r="AL203" s="3" t="n">
        <v>3716.0</v>
      </c>
      <c r="AM203" s="3" t="n">
        <v>3739.0</v>
      </c>
      <c r="AN203" s="3" t="n">
        <v>3835.0</v>
      </c>
      <c r="AO203" s="3" t="n">
        <v>4002.0</v>
      </c>
    </row>
    <row r="204" spans="1:41" x14ac:dyDescent="0.2">
      <c r="A204" s="122"/>
      <c r="B204" s="9">
        <v>93</v>
      </c>
      <c r="C204" s="3" t="n">
        <v>595.0</v>
      </c>
      <c r="D204" s="3" t="n">
        <v>634.0</v>
      </c>
      <c r="E204" s="3" t="n">
        <v>739.0</v>
      </c>
      <c r="F204" s="3" t="n">
        <v>718.0</v>
      </c>
      <c r="G204" s="3" t="n">
        <v>795.0</v>
      </c>
      <c r="H204" s="3" t="n">
        <v>783.0</v>
      </c>
      <c r="I204" s="3" t="n">
        <v>824.0</v>
      </c>
      <c r="J204" s="3" t="n">
        <v>883.0</v>
      </c>
      <c r="K204" s="3" t="n">
        <v>909.0</v>
      </c>
      <c r="L204" s="3" t="n">
        <v>955.0</v>
      </c>
      <c r="M204" s="3" t="n">
        <v>977.0</v>
      </c>
      <c r="N204" s="3" t="n">
        <v>953.0</v>
      </c>
      <c r="O204" s="3" t="n">
        <v>982.0</v>
      </c>
      <c r="P204" s="3" t="n">
        <v>989.0</v>
      </c>
      <c r="Q204" s="3" t="n">
        <v>982.0</v>
      </c>
      <c r="R204" s="3" t="n">
        <v>988.0</v>
      </c>
      <c r="S204" s="3" t="n">
        <v>1141.0</v>
      </c>
      <c r="T204" s="3" t="n">
        <v>2161.0</v>
      </c>
      <c r="U204" s="3" t="n">
        <v>2092.0</v>
      </c>
      <c r="V204" s="3" t="n">
        <v>2305.0</v>
      </c>
      <c r="W204" s="3" t="n">
        <v>2398.0</v>
      </c>
      <c r="X204" s="3" t="n">
        <v>2476.0</v>
      </c>
      <c r="Y204" s="3" t="n">
        <v>2642.0</v>
      </c>
      <c r="Z204" s="3" t="n">
        <v>2777.0</v>
      </c>
      <c r="AA204" s="3" t="n">
        <v>2887.0</v>
      </c>
      <c r="AB204" s="3" t="n">
        <v>2980.0</v>
      </c>
      <c r="AC204" s="3" t="n">
        <v>3152.0</v>
      </c>
      <c r="AD204" s="3" t="n">
        <v>3288.0</v>
      </c>
      <c r="AE204" s="3" t="n">
        <v>3433.0</v>
      </c>
      <c r="AF204" s="3" t="n">
        <v>3410.0</v>
      </c>
      <c r="AG204" s="3" t="n">
        <v>3403.0</v>
      </c>
      <c r="AH204" s="3" t="n">
        <v>3232.0</v>
      </c>
      <c r="AI204" s="3" t="n">
        <v>3163.0</v>
      </c>
      <c r="AJ204" s="3" t="n">
        <v>3148.0</v>
      </c>
      <c r="AK204" s="3" t="n">
        <v>3273.0</v>
      </c>
      <c r="AL204" s="3" t="n">
        <v>3210.0</v>
      </c>
      <c r="AM204" s="3" t="n">
        <v>3262.0</v>
      </c>
      <c r="AN204" s="3" t="n">
        <v>3287.0</v>
      </c>
      <c r="AO204" s="3" t="n">
        <v>3378.0</v>
      </c>
    </row>
    <row r="205" spans="1:41" x14ac:dyDescent="0.2">
      <c r="A205" s="122"/>
      <c r="B205" s="9">
        <v>94</v>
      </c>
      <c r="C205" s="3" t="n">
        <v>421.0</v>
      </c>
      <c r="D205" s="3" t="n">
        <v>462.0</v>
      </c>
      <c r="E205" s="3" t="n">
        <v>494.0</v>
      </c>
      <c r="F205" s="3" t="n">
        <v>579.0</v>
      </c>
      <c r="G205" s="3" t="n">
        <v>567.0</v>
      </c>
      <c r="H205" s="3" t="n">
        <v>630.0</v>
      </c>
      <c r="I205" s="3" t="n">
        <v>626.0</v>
      </c>
      <c r="J205" s="3" t="n">
        <v>660.0</v>
      </c>
      <c r="K205" s="3" t="n">
        <v>708.0</v>
      </c>
      <c r="L205" s="3" t="n">
        <v>733.0</v>
      </c>
      <c r="M205" s="3" t="n">
        <v>768.0</v>
      </c>
      <c r="N205" s="3" t="n">
        <v>791.0</v>
      </c>
      <c r="O205" s="3" t="n">
        <v>770.0</v>
      </c>
      <c r="P205" s="3" t="n">
        <v>794.0</v>
      </c>
      <c r="Q205" s="3" t="n">
        <v>807.0</v>
      </c>
      <c r="R205" s="3" t="n">
        <v>800.0</v>
      </c>
      <c r="S205" s="3" t="n">
        <v>810.0</v>
      </c>
      <c r="T205" s="3" t="n">
        <v>939.0</v>
      </c>
      <c r="U205" s="3" t="n">
        <v>1789.0</v>
      </c>
      <c r="V205" s="3" t="n">
        <v>1737.0</v>
      </c>
      <c r="W205" s="3" t="n">
        <v>1922.0</v>
      </c>
      <c r="X205" s="3" t="n">
        <v>2000.0</v>
      </c>
      <c r="Y205" s="3" t="n">
        <v>2072.0</v>
      </c>
      <c r="Z205" s="3" t="n">
        <v>2217.0</v>
      </c>
      <c r="AA205" s="3" t="n">
        <v>2334.0</v>
      </c>
      <c r="AB205" s="3" t="n">
        <v>2435.0</v>
      </c>
      <c r="AC205" s="3" t="n">
        <v>2522.0</v>
      </c>
      <c r="AD205" s="3" t="n">
        <v>2667.0</v>
      </c>
      <c r="AE205" s="3" t="n">
        <v>2792.0</v>
      </c>
      <c r="AF205" s="3" t="n">
        <v>2919.0</v>
      </c>
      <c r="AG205" s="3" t="n">
        <v>2906.0</v>
      </c>
      <c r="AH205" s="3" t="n">
        <v>2909.0</v>
      </c>
      <c r="AI205" s="3" t="n">
        <v>2772.0</v>
      </c>
      <c r="AJ205" s="3" t="n">
        <v>2722.0</v>
      </c>
      <c r="AK205" s="3" t="n">
        <v>2710.0</v>
      </c>
      <c r="AL205" s="3" t="n">
        <v>2822.0</v>
      </c>
      <c r="AM205" s="3" t="n">
        <v>2773.0</v>
      </c>
      <c r="AN205" s="3" t="n">
        <v>2826.0</v>
      </c>
      <c r="AO205" s="3" t="n">
        <v>2857.0</v>
      </c>
    </row>
    <row r="206" spans="1:41" x14ac:dyDescent="0.2">
      <c r="A206" s="122"/>
      <c r="B206" s="9">
        <v>95</v>
      </c>
      <c r="C206" s="3" t="n">
        <v>312.0</v>
      </c>
      <c r="D206" s="3" t="n">
        <v>328.0</v>
      </c>
      <c r="E206" s="3" t="n">
        <v>359.0</v>
      </c>
      <c r="F206" s="3" t="n">
        <v>387.0</v>
      </c>
      <c r="G206" s="3" t="n">
        <v>454.0</v>
      </c>
      <c r="H206" s="3" t="n">
        <v>447.0</v>
      </c>
      <c r="I206" s="3" t="n">
        <v>494.0</v>
      </c>
      <c r="J206" s="3" t="n">
        <v>494.0</v>
      </c>
      <c r="K206" s="3" t="n">
        <v>521.0</v>
      </c>
      <c r="L206" s="3" t="n">
        <v>563.0</v>
      </c>
      <c r="M206" s="3" t="n">
        <v>586.0</v>
      </c>
      <c r="N206" s="3" t="n">
        <v>618.0</v>
      </c>
      <c r="O206" s="3" t="n">
        <v>636.0</v>
      </c>
      <c r="P206" s="3" t="n">
        <v>625.0</v>
      </c>
      <c r="Q206" s="3" t="n">
        <v>643.0</v>
      </c>
      <c r="R206" s="3" t="n">
        <v>657.0</v>
      </c>
      <c r="S206" s="3" t="n">
        <v>652.0</v>
      </c>
      <c r="T206" s="3" t="n">
        <v>662.0</v>
      </c>
      <c r="U206" s="3" t="n">
        <v>769.0</v>
      </c>
      <c r="V206" s="3" t="n">
        <v>1472.0</v>
      </c>
      <c r="W206" s="3" t="n">
        <v>1425.0</v>
      </c>
      <c r="X206" s="3" t="n">
        <v>1581.0</v>
      </c>
      <c r="Y206" s="3" t="n">
        <v>1655.0</v>
      </c>
      <c r="Z206" s="3" t="n">
        <v>1720.0</v>
      </c>
      <c r="AA206" s="3" t="n">
        <v>1845.0</v>
      </c>
      <c r="AB206" s="3" t="n">
        <v>1944.0</v>
      </c>
      <c r="AC206" s="3" t="n">
        <v>2035.0</v>
      </c>
      <c r="AD206" s="3" t="n">
        <v>2115.0</v>
      </c>
      <c r="AE206" s="3" t="n">
        <v>2238.0</v>
      </c>
      <c r="AF206" s="3" t="n">
        <v>2346.0</v>
      </c>
      <c r="AG206" s="3" t="n">
        <v>2459.0</v>
      </c>
      <c r="AH206" s="3" t="n">
        <v>2457.0</v>
      </c>
      <c r="AI206" s="3" t="n">
        <v>2465.0</v>
      </c>
      <c r="AJ206" s="3" t="n">
        <v>2355.0</v>
      </c>
      <c r="AK206" s="3" t="n">
        <v>2317.0</v>
      </c>
      <c r="AL206" s="3" t="n">
        <v>2311.0</v>
      </c>
      <c r="AM206" s="3" t="n">
        <v>2410.0</v>
      </c>
      <c r="AN206" s="3" t="n">
        <v>2375.0</v>
      </c>
      <c r="AO206" s="3" t="n">
        <v>2426.0</v>
      </c>
    </row>
    <row r="207" spans="1:41" x14ac:dyDescent="0.2">
      <c r="A207" s="122"/>
      <c r="B207" s="9">
        <v>96</v>
      </c>
      <c r="C207" s="3" t="n">
        <v>193.0</v>
      </c>
      <c r="D207" s="3" t="n">
        <v>235.0</v>
      </c>
      <c r="E207" s="3" t="n">
        <v>247.0</v>
      </c>
      <c r="F207" s="3" t="n">
        <v>274.0</v>
      </c>
      <c r="G207" s="3" t="n">
        <v>301.0</v>
      </c>
      <c r="H207" s="3" t="n">
        <v>356.0</v>
      </c>
      <c r="I207" s="3" t="n">
        <v>341.0</v>
      </c>
      <c r="J207" s="3" t="n">
        <v>391.0</v>
      </c>
      <c r="K207" s="3" t="n">
        <v>387.0</v>
      </c>
      <c r="L207" s="3" t="n">
        <v>402.0</v>
      </c>
      <c r="M207" s="3" t="n">
        <v>443.0</v>
      </c>
      <c r="N207" s="3" t="n">
        <v>462.0</v>
      </c>
      <c r="O207" s="3" t="n">
        <v>486.0</v>
      </c>
      <c r="P207" s="3" t="n">
        <v>501.0</v>
      </c>
      <c r="Q207" s="3" t="n">
        <v>501.0</v>
      </c>
      <c r="R207" s="3" t="n">
        <v>517.0</v>
      </c>
      <c r="S207" s="3" t="n">
        <v>530.0</v>
      </c>
      <c r="T207" s="3" t="n">
        <v>525.0</v>
      </c>
      <c r="U207" s="3" t="n">
        <v>534.0</v>
      </c>
      <c r="V207" s="3" t="n">
        <v>619.0</v>
      </c>
      <c r="W207" s="3" t="n">
        <v>1191.0</v>
      </c>
      <c r="X207" s="3" t="n">
        <v>1155.0</v>
      </c>
      <c r="Y207" s="3" t="n">
        <v>1287.0</v>
      </c>
      <c r="Z207" s="3" t="n">
        <v>1349.0</v>
      </c>
      <c r="AA207" s="3" t="n">
        <v>1407.0</v>
      </c>
      <c r="AB207" s="3" t="n">
        <v>1511.0</v>
      </c>
      <c r="AC207" s="3" t="n">
        <v>1597.0</v>
      </c>
      <c r="AD207" s="3" t="n">
        <v>1676.0</v>
      </c>
      <c r="AE207" s="3" t="n">
        <v>1749.0</v>
      </c>
      <c r="AF207" s="3" t="n">
        <v>1852.0</v>
      </c>
      <c r="AG207" s="3" t="n">
        <v>1947.0</v>
      </c>
      <c r="AH207" s="3" t="n">
        <v>2049.0</v>
      </c>
      <c r="AI207" s="3" t="n">
        <v>2048.0</v>
      </c>
      <c r="AJ207" s="3" t="n">
        <v>2065.0</v>
      </c>
      <c r="AK207" s="3" t="n">
        <v>1973.0</v>
      </c>
      <c r="AL207" s="3" t="n">
        <v>1947.0</v>
      </c>
      <c r="AM207" s="3" t="n">
        <v>1945.0</v>
      </c>
      <c r="AN207" s="3" t="n">
        <v>2033.0</v>
      </c>
      <c r="AO207" s="3" t="n">
        <v>2010.0</v>
      </c>
    </row>
    <row r="208" spans="1:41" x14ac:dyDescent="0.2">
      <c r="A208" s="122"/>
      <c r="B208" s="9">
        <v>97</v>
      </c>
      <c r="C208" s="3" t="n">
        <v>133.0</v>
      </c>
      <c r="D208" s="3" t="n">
        <v>145.0</v>
      </c>
      <c r="E208" s="3" t="n">
        <v>177.0</v>
      </c>
      <c r="F208" s="3" t="n">
        <v>183.0</v>
      </c>
      <c r="G208" s="3" t="n">
        <v>207.0</v>
      </c>
      <c r="H208" s="3" t="n">
        <v>233.0</v>
      </c>
      <c r="I208" s="3" t="n">
        <v>271.0</v>
      </c>
      <c r="J208" s="3" t="n">
        <v>260.0</v>
      </c>
      <c r="K208" s="3" t="n">
        <v>298.0</v>
      </c>
      <c r="L208" s="3" t="n">
        <v>297.0</v>
      </c>
      <c r="M208" s="3" t="n">
        <v>312.0</v>
      </c>
      <c r="N208" s="3" t="n">
        <v>339.0</v>
      </c>
      <c r="O208" s="3" t="n">
        <v>359.0</v>
      </c>
      <c r="P208" s="3" t="n">
        <v>376.0</v>
      </c>
      <c r="Q208" s="3" t="n">
        <v>389.0</v>
      </c>
      <c r="R208" s="3" t="n">
        <v>388.0</v>
      </c>
      <c r="S208" s="3" t="n">
        <v>403.0</v>
      </c>
      <c r="T208" s="3" t="n">
        <v>417.0</v>
      </c>
      <c r="U208" s="3" t="n">
        <v>413.0</v>
      </c>
      <c r="V208" s="3" t="n">
        <v>417.0</v>
      </c>
      <c r="W208" s="3" t="n">
        <v>484.0</v>
      </c>
      <c r="X208" s="3" t="n">
        <v>948.0</v>
      </c>
      <c r="Y208" s="3" t="n">
        <v>924.0</v>
      </c>
      <c r="Z208" s="3" t="n">
        <v>1027.0</v>
      </c>
      <c r="AA208" s="3" t="n">
        <v>1080.0</v>
      </c>
      <c r="AB208" s="3" t="n">
        <v>1131.0</v>
      </c>
      <c r="AC208" s="3" t="n">
        <v>1215.0</v>
      </c>
      <c r="AD208" s="3" t="n">
        <v>1292.0</v>
      </c>
      <c r="AE208" s="3" t="n">
        <v>1356.0</v>
      </c>
      <c r="AF208" s="3" t="n">
        <v>1424.0</v>
      </c>
      <c r="AG208" s="3" t="n">
        <v>1511.0</v>
      </c>
      <c r="AH208" s="3" t="n">
        <v>1593.0</v>
      </c>
      <c r="AI208" s="3" t="n">
        <v>1678.0</v>
      </c>
      <c r="AJ208" s="3" t="n">
        <v>1686.0</v>
      </c>
      <c r="AK208" s="3" t="n">
        <v>1702.0</v>
      </c>
      <c r="AL208" s="3" t="n">
        <v>1631.0</v>
      </c>
      <c r="AM208" s="3" t="n">
        <v>1612.0</v>
      </c>
      <c r="AN208" s="3" t="n">
        <v>1622.0</v>
      </c>
      <c r="AO208" s="3" t="n">
        <v>1696.0</v>
      </c>
    </row>
    <row r="209" spans="1:41" x14ac:dyDescent="0.2">
      <c r="A209" s="122"/>
      <c r="B209" s="9">
        <v>98</v>
      </c>
      <c r="C209" s="3" t="n">
        <v>112.0</v>
      </c>
      <c r="D209" s="3" t="n">
        <v>100.0</v>
      </c>
      <c r="E209" s="3" t="n">
        <v>110.0</v>
      </c>
      <c r="F209" s="3" t="n">
        <v>130.0</v>
      </c>
      <c r="G209" s="3" t="n">
        <v>140.0</v>
      </c>
      <c r="H209" s="3" t="n">
        <v>156.0</v>
      </c>
      <c r="I209" s="3" t="n">
        <v>176.0</v>
      </c>
      <c r="J209" s="3" t="n">
        <v>205.0</v>
      </c>
      <c r="K209" s="3" t="n">
        <v>194.0</v>
      </c>
      <c r="L209" s="3" t="n">
        <v>229.0</v>
      </c>
      <c r="M209" s="3" t="n">
        <v>224.0</v>
      </c>
      <c r="N209" s="3" t="n">
        <v>240.0</v>
      </c>
      <c r="O209" s="3" t="n">
        <v>261.0</v>
      </c>
      <c r="P209" s="3" t="n">
        <v>280.0</v>
      </c>
      <c r="Q209" s="3" t="n">
        <v>291.0</v>
      </c>
      <c r="R209" s="3" t="n">
        <v>308.0</v>
      </c>
      <c r="S209" s="3" t="n">
        <v>304.0</v>
      </c>
      <c r="T209" s="3" t="n">
        <v>311.0</v>
      </c>
      <c r="U209" s="3" t="n">
        <v>325.0</v>
      </c>
      <c r="V209" s="3" t="n">
        <v>327.0</v>
      </c>
      <c r="W209" s="3" t="n">
        <v>326.0</v>
      </c>
      <c r="X209" s="3" t="n">
        <v>381.0</v>
      </c>
      <c r="Y209" s="3" t="n">
        <v>746.0</v>
      </c>
      <c r="Z209" s="3" t="n">
        <v>727.0</v>
      </c>
      <c r="AA209" s="3" t="n">
        <v>814.0</v>
      </c>
      <c r="AB209" s="3" t="n">
        <v>862.0</v>
      </c>
      <c r="AC209" s="3" t="n">
        <v>904.0</v>
      </c>
      <c r="AD209" s="3" t="n">
        <v>973.0</v>
      </c>
      <c r="AE209" s="3" t="n">
        <v>1034.0</v>
      </c>
      <c r="AF209" s="3" t="n">
        <v>1085.0</v>
      </c>
      <c r="AG209" s="3" t="n">
        <v>1147.0</v>
      </c>
      <c r="AH209" s="3" t="n">
        <v>1216.0</v>
      </c>
      <c r="AI209" s="3" t="n">
        <v>1289.0</v>
      </c>
      <c r="AJ209" s="3" t="n">
        <v>1356.0</v>
      </c>
      <c r="AK209" s="3" t="n">
        <v>1366.0</v>
      </c>
      <c r="AL209" s="3" t="n">
        <v>1387.0</v>
      </c>
      <c r="AM209" s="3" t="n">
        <v>1332.0</v>
      </c>
      <c r="AN209" s="3" t="n">
        <v>1320.0</v>
      </c>
      <c r="AO209" s="3" t="n">
        <v>1331.0</v>
      </c>
    </row>
    <row r="210" spans="1:41" x14ac:dyDescent="0.2">
      <c r="A210" s="122"/>
      <c r="B210" s="9">
        <v>99</v>
      </c>
      <c r="C210" s="3" t="n">
        <v>73.0</v>
      </c>
      <c r="D210" s="3" t="n">
        <v>80.0</v>
      </c>
      <c r="E210" s="3" t="n">
        <v>79.0</v>
      </c>
      <c r="F210" s="3" t="n">
        <v>79.0</v>
      </c>
      <c r="G210" s="3" t="n">
        <v>101.0</v>
      </c>
      <c r="H210" s="3" t="n">
        <v>104.0</v>
      </c>
      <c r="I210" s="3" t="n">
        <v>120.0</v>
      </c>
      <c r="J210" s="3" t="n">
        <v>132.0</v>
      </c>
      <c r="K210" s="3" t="n">
        <v>155.0</v>
      </c>
      <c r="L210" s="3" t="n">
        <v>143.0</v>
      </c>
      <c r="M210" s="3" t="n">
        <v>175.0</v>
      </c>
      <c r="N210" s="3" t="n">
        <v>173.0</v>
      </c>
      <c r="O210" s="3" t="n">
        <v>183.0</v>
      </c>
      <c r="P210" s="3" t="n">
        <v>203.0</v>
      </c>
      <c r="Q210" s="3" t="n">
        <v>211.0</v>
      </c>
      <c r="R210" s="3" t="n">
        <v>218.0</v>
      </c>
      <c r="S210" s="3" t="n">
        <v>233.0</v>
      </c>
      <c r="T210" s="3" t="n">
        <v>237.0</v>
      </c>
      <c r="U210" s="3" t="n">
        <v>241.0</v>
      </c>
      <c r="V210" s="3" t="n">
        <v>247.0</v>
      </c>
      <c r="W210" s="3" t="n">
        <v>254.0</v>
      </c>
      <c r="X210" s="3" t="n">
        <v>250.0</v>
      </c>
      <c r="Y210" s="3" t="n">
        <v>293.0</v>
      </c>
      <c r="Z210" s="3" t="n">
        <v>567.0</v>
      </c>
      <c r="AA210" s="3" t="n">
        <v>563.0</v>
      </c>
      <c r="AB210" s="3" t="n">
        <v>629.0</v>
      </c>
      <c r="AC210" s="3" t="n">
        <v>673.0</v>
      </c>
      <c r="AD210" s="3" t="n">
        <v>706.0</v>
      </c>
      <c r="AE210" s="3" t="n">
        <v>767.0</v>
      </c>
      <c r="AF210" s="3" t="n">
        <v>818.0</v>
      </c>
      <c r="AG210" s="3" t="n">
        <v>856.0</v>
      </c>
      <c r="AH210" s="3" t="n">
        <v>912.0</v>
      </c>
      <c r="AI210" s="3" t="n">
        <v>972.0</v>
      </c>
      <c r="AJ210" s="3" t="n">
        <v>1031.0</v>
      </c>
      <c r="AK210" s="3" t="n">
        <v>1083.0</v>
      </c>
      <c r="AL210" s="3" t="n">
        <v>1094.0</v>
      </c>
      <c r="AM210" s="3" t="n">
        <v>1117.0</v>
      </c>
      <c r="AN210" s="3" t="n">
        <v>1079.0</v>
      </c>
      <c r="AO210" s="3" t="n">
        <v>1073.0</v>
      </c>
    </row>
    <row r="211" spans="1:41" x14ac:dyDescent="0.2">
      <c r="A211" s="122"/>
      <c r="B211" s="9" t="s">
        <v>68</v>
      </c>
      <c r="C211" s="3" t="n">
        <v>149.0</v>
      </c>
      <c r="D211" s="3" t="n">
        <v>137.0</v>
      </c>
      <c r="E211" s="3" t="n">
        <v>141.0</v>
      </c>
      <c r="F211" s="3" t="n">
        <v>144.0</v>
      </c>
      <c r="G211" s="3" t="n">
        <v>148.0</v>
      </c>
      <c r="H211" s="3" t="n">
        <v>170.0</v>
      </c>
      <c r="I211" s="3" t="n">
        <v>183.0</v>
      </c>
      <c r="J211" s="3" t="n">
        <v>201.0</v>
      </c>
      <c r="K211" s="3" t="n">
        <v>230.0</v>
      </c>
      <c r="L211" s="3" t="n">
        <v>260.0</v>
      </c>
      <c r="M211" s="3" t="n">
        <v>277.0</v>
      </c>
      <c r="N211" s="3" t="n">
        <v>307.0</v>
      </c>
      <c r="O211" s="3" t="n">
        <v>336.0</v>
      </c>
      <c r="P211" s="3" t="n">
        <v>362.0</v>
      </c>
      <c r="Q211" s="3" t="n">
        <v>384.0</v>
      </c>
      <c r="R211" s="3" t="n">
        <v>417.0</v>
      </c>
      <c r="S211" s="3" t="n">
        <v>440.0</v>
      </c>
      <c r="T211" s="3" t="n">
        <v>470.0</v>
      </c>
      <c r="U211" s="3" t="n">
        <v>498.0</v>
      </c>
      <c r="V211" s="3" t="n">
        <v>526.0</v>
      </c>
      <c r="W211" s="3" t="n">
        <v>550.0</v>
      </c>
      <c r="X211" s="3" t="n">
        <v>576.0</v>
      </c>
      <c r="Y211" s="3" t="n">
        <v>595.0</v>
      </c>
      <c r="Z211" s="3" t="n">
        <v>641.0</v>
      </c>
      <c r="AA211" s="3" t="n">
        <v>883.0</v>
      </c>
      <c r="AB211" s="3" t="n">
        <v>1058.0</v>
      </c>
      <c r="AC211" s="3" t="n">
        <v>1234.0</v>
      </c>
      <c r="AD211" s="3" t="n">
        <v>1403.0</v>
      </c>
      <c r="AE211" s="3" t="n">
        <v>1552.0</v>
      </c>
      <c r="AF211" s="3" t="n">
        <v>1710.0</v>
      </c>
      <c r="AG211" s="3" t="n">
        <v>1876.0</v>
      </c>
      <c r="AH211" s="3" t="n">
        <v>2031.0</v>
      </c>
      <c r="AI211" s="3" t="n">
        <v>2197.0</v>
      </c>
      <c r="AJ211" s="3" t="n">
        <v>2369.0</v>
      </c>
      <c r="AK211" s="3" t="n">
        <v>2542.0</v>
      </c>
      <c r="AL211" s="3" t="n">
        <v>2719.0</v>
      </c>
      <c r="AM211" s="3" t="n">
        <v>2867.0</v>
      </c>
      <c r="AN211" s="3" t="n">
        <v>3001.0</v>
      </c>
      <c r="AO211" s="3" t="n">
        <v>3083.0</v>
      </c>
    </row>
    <row r="212" spans="1:41" x14ac:dyDescent="0.2">
      <c r="A212" s="122" t="s">
        <v>50</v>
      </c>
      <c r="B212" s="56" t="s">
        <v>51</v>
      </c>
      <c r="C212" s="57" t="n">
        <v>1796325.0</v>
      </c>
      <c r="D212" s="57" t="n">
        <v>1796094.0</v>
      </c>
      <c r="E212" s="57" t="n">
        <v>1796187.0</v>
      </c>
      <c r="F212" s="57" t="n">
        <v>1796420.0</v>
      </c>
      <c r="G212" s="57" t="n">
        <v>1796839.0</v>
      </c>
      <c r="H212" s="57" t="n">
        <v>1806557.0</v>
      </c>
      <c r="I212" s="57" t="n">
        <v>1819888.0</v>
      </c>
      <c r="J212" s="57" t="n">
        <v>1825736.0</v>
      </c>
      <c r="K212" s="57" t="n">
        <v>1827522.0</v>
      </c>
      <c r="L212" s="57" t="n">
        <v>1827816.0</v>
      </c>
      <c r="M212" s="57" t="n">
        <v>1827110.0</v>
      </c>
      <c r="N212" s="57" t="n">
        <v>1825704.0</v>
      </c>
      <c r="O212" s="57" t="n">
        <v>1823667.0</v>
      </c>
      <c r="P212" s="57" t="n">
        <v>1821292.0</v>
      </c>
      <c r="Q212" s="57" t="n">
        <v>1818814.0</v>
      </c>
      <c r="R212" s="57" t="n">
        <v>1816070.0</v>
      </c>
      <c r="S212" s="57" t="n">
        <v>1813043.0</v>
      </c>
      <c r="T212" s="57" t="n">
        <v>1809958.0</v>
      </c>
      <c r="U212" s="57" t="n">
        <v>1806703.0</v>
      </c>
      <c r="V212" s="57" t="n">
        <v>1803455.0</v>
      </c>
      <c r="W212" s="57" t="n">
        <v>1799982.0</v>
      </c>
      <c r="X212" s="57" t="n">
        <v>1796404.0</v>
      </c>
      <c r="Y212" s="57" t="n">
        <v>1792872.0</v>
      </c>
      <c r="Z212" s="57" t="n">
        <v>1789153.0</v>
      </c>
      <c r="AA212" s="57" t="n">
        <v>1785273.0</v>
      </c>
      <c r="AB212" s="57" t="n">
        <v>1781484.0</v>
      </c>
      <c r="AC212" s="57" t="n">
        <v>1777537.0</v>
      </c>
      <c r="AD212" s="57" t="n">
        <v>1773394.0</v>
      </c>
      <c r="AE212" s="57" t="n">
        <v>1769295.0</v>
      </c>
      <c r="AF212" s="57" t="n">
        <v>1764952.0</v>
      </c>
      <c r="AG212" s="57" t="n">
        <v>1760479.0</v>
      </c>
      <c r="AH212" s="57" t="n">
        <v>1756050.0</v>
      </c>
      <c r="AI212" s="57" t="n">
        <v>1751471.0</v>
      </c>
      <c r="AJ212" s="57" t="n">
        <v>1746929.0</v>
      </c>
      <c r="AK212" s="57" t="n">
        <v>1742217.0</v>
      </c>
      <c r="AL212" s="57" t="n">
        <v>1737359.0</v>
      </c>
      <c r="AM212" s="57" t="n">
        <v>1732540.0</v>
      </c>
      <c r="AN212" s="57" t="n">
        <v>1727607.0</v>
      </c>
      <c r="AO212" s="57" t="n">
        <v>1722570.0</v>
      </c>
    </row>
    <row r="213" spans="1:41" x14ac:dyDescent="0.2">
      <c r="A213" s="122"/>
      <c r="B213" s="9">
        <v>0</v>
      </c>
      <c r="C213" s="3" t="n">
        <v>14643.0</v>
      </c>
      <c r="D213" s="3" t="n">
        <v>15486.0</v>
      </c>
      <c r="E213" s="3" t="n">
        <v>15634.0</v>
      </c>
      <c r="F213" s="3" t="n">
        <v>15743.0</v>
      </c>
      <c r="G213" s="3" t="n">
        <v>15803.0</v>
      </c>
      <c r="H213" s="3" t="n">
        <v>15903.0</v>
      </c>
      <c r="I213" s="3" t="n">
        <v>16054.0</v>
      </c>
      <c r="J213" s="3" t="n">
        <v>16184.0</v>
      </c>
      <c r="K213" s="3" t="n">
        <v>16229.0</v>
      </c>
      <c r="L213" s="3" t="n">
        <v>16245.0</v>
      </c>
      <c r="M213" s="3" t="n">
        <v>16228.0</v>
      </c>
      <c r="N213" s="3" t="n">
        <v>16195.0</v>
      </c>
      <c r="O213" s="3" t="n">
        <v>16196.0</v>
      </c>
      <c r="P213" s="3" t="n">
        <v>16225.0</v>
      </c>
      <c r="Q213" s="3" t="n">
        <v>16305.0</v>
      </c>
      <c r="R213" s="3" t="n">
        <v>16406.0</v>
      </c>
      <c r="S213" s="3" t="n">
        <v>16532.0</v>
      </c>
      <c r="T213" s="3" t="n">
        <v>16668.0</v>
      </c>
      <c r="U213" s="3" t="n">
        <v>16823.0</v>
      </c>
      <c r="V213" s="3" t="n">
        <v>16965.0</v>
      </c>
      <c r="W213" s="3" t="n">
        <v>17081.0</v>
      </c>
      <c r="X213" s="3" t="n">
        <v>17173.0</v>
      </c>
      <c r="Y213" s="3" t="n">
        <v>17227.0</v>
      </c>
      <c r="Z213" s="3" t="n">
        <v>17255.0</v>
      </c>
      <c r="AA213" s="3" t="n">
        <v>17234.0</v>
      </c>
      <c r="AB213" s="3" t="n">
        <v>17194.0</v>
      </c>
      <c r="AC213" s="3" t="n">
        <v>17103.0</v>
      </c>
      <c r="AD213" s="3" t="n">
        <v>16986.0</v>
      </c>
      <c r="AE213" s="3" t="n">
        <v>16847.0</v>
      </c>
      <c r="AF213" s="3" t="n">
        <v>16686.0</v>
      </c>
      <c r="AG213" s="3" t="n">
        <v>16526.0</v>
      </c>
      <c r="AH213" s="3" t="n">
        <v>16349.0</v>
      </c>
      <c r="AI213" s="3" t="n">
        <v>16190.0</v>
      </c>
      <c r="AJ213" s="3" t="n">
        <v>16033.0</v>
      </c>
      <c r="AK213" s="3" t="n">
        <v>15907.0</v>
      </c>
      <c r="AL213" s="3" t="n">
        <v>15796.0</v>
      </c>
      <c r="AM213" s="3" t="n">
        <v>15711.0</v>
      </c>
      <c r="AN213" s="3" t="n">
        <v>15653.0</v>
      </c>
      <c r="AO213" s="3" t="n">
        <v>15632.0</v>
      </c>
    </row>
    <row r="214" spans="1:41" x14ac:dyDescent="0.2">
      <c r="A214" s="122"/>
      <c r="B214" s="9">
        <v>1</v>
      </c>
      <c r="C214" s="3" t="n">
        <v>16482.0</v>
      </c>
      <c r="D214" s="3" t="n">
        <v>14711.0</v>
      </c>
      <c r="E214" s="3" t="n">
        <v>15556.0</v>
      </c>
      <c r="F214" s="3" t="n">
        <v>15709.0</v>
      </c>
      <c r="G214" s="3" t="n">
        <v>15819.0</v>
      </c>
      <c r="H214" s="3" t="n">
        <v>15981.0</v>
      </c>
      <c r="I214" s="3" t="n">
        <v>16122.0</v>
      </c>
      <c r="J214" s="3" t="n">
        <v>16201.0</v>
      </c>
      <c r="K214" s="3" t="n">
        <v>16296.0</v>
      </c>
      <c r="L214" s="3" t="n">
        <v>16329.0</v>
      </c>
      <c r="M214" s="3" t="n">
        <v>16341.0</v>
      </c>
      <c r="N214" s="3" t="n">
        <v>16327.0</v>
      </c>
      <c r="O214" s="3" t="n">
        <v>16294.0</v>
      </c>
      <c r="P214" s="3" t="n">
        <v>16296.0</v>
      </c>
      <c r="Q214" s="3" t="n">
        <v>16325.0</v>
      </c>
      <c r="R214" s="3" t="n">
        <v>16403.0</v>
      </c>
      <c r="S214" s="3" t="n">
        <v>16506.0</v>
      </c>
      <c r="T214" s="3" t="n">
        <v>16632.0</v>
      </c>
      <c r="U214" s="3" t="n">
        <v>16769.0</v>
      </c>
      <c r="V214" s="3" t="n">
        <v>16929.0</v>
      </c>
      <c r="W214" s="3" t="n">
        <v>17068.0</v>
      </c>
      <c r="X214" s="3" t="n">
        <v>17184.0</v>
      </c>
      <c r="Y214" s="3" t="n">
        <v>17276.0</v>
      </c>
      <c r="Z214" s="3" t="n">
        <v>17330.0</v>
      </c>
      <c r="AA214" s="3" t="n">
        <v>17358.0</v>
      </c>
      <c r="AB214" s="3" t="n">
        <v>17338.0</v>
      </c>
      <c r="AC214" s="3" t="n">
        <v>17300.0</v>
      </c>
      <c r="AD214" s="3" t="n">
        <v>17212.0</v>
      </c>
      <c r="AE214" s="3" t="n">
        <v>17097.0</v>
      </c>
      <c r="AF214" s="3" t="n">
        <v>16953.0</v>
      </c>
      <c r="AG214" s="3" t="n">
        <v>16795.0</v>
      </c>
      <c r="AH214" s="3" t="n">
        <v>16636.0</v>
      </c>
      <c r="AI214" s="3" t="n">
        <v>16460.0</v>
      </c>
      <c r="AJ214" s="3" t="n">
        <v>16298.0</v>
      </c>
      <c r="AK214" s="3" t="n">
        <v>16144.0</v>
      </c>
      <c r="AL214" s="3" t="n">
        <v>16023.0</v>
      </c>
      <c r="AM214" s="3" t="n">
        <v>15914.0</v>
      </c>
      <c r="AN214" s="3" t="n">
        <v>15831.0</v>
      </c>
      <c r="AO214" s="3" t="n">
        <v>15774.0</v>
      </c>
    </row>
    <row r="215" spans="1:41" x14ac:dyDescent="0.2">
      <c r="A215" s="122"/>
      <c r="B215" s="9">
        <v>2</v>
      </c>
      <c r="C215" s="3" t="n">
        <v>17077.0</v>
      </c>
      <c r="D215" s="3" t="n">
        <v>16523.0</v>
      </c>
      <c r="E215" s="3" t="n">
        <v>14756.0</v>
      </c>
      <c r="F215" s="3" t="n">
        <v>15605.0</v>
      </c>
      <c r="G215" s="3" t="n">
        <v>15764.0</v>
      </c>
      <c r="H215" s="3" t="n">
        <v>16016.0</v>
      </c>
      <c r="I215" s="3" t="n">
        <v>16238.0</v>
      </c>
      <c r="J215" s="3" t="n">
        <v>16280.0</v>
      </c>
      <c r="K215" s="3" t="n">
        <v>16298.0</v>
      </c>
      <c r="L215" s="3" t="n">
        <v>16377.0</v>
      </c>
      <c r="M215" s="3" t="n">
        <v>16405.0</v>
      </c>
      <c r="N215" s="3" t="n">
        <v>16413.0</v>
      </c>
      <c r="O215" s="3" t="n">
        <v>16402.0</v>
      </c>
      <c r="P215" s="3" t="n">
        <v>16368.0</v>
      </c>
      <c r="Q215" s="3" t="n">
        <v>16369.0</v>
      </c>
      <c r="R215" s="3" t="n">
        <v>16400.0</v>
      </c>
      <c r="S215" s="3" t="n">
        <v>16476.0</v>
      </c>
      <c r="T215" s="3" t="n">
        <v>16584.0</v>
      </c>
      <c r="U215" s="3" t="n">
        <v>16710.0</v>
      </c>
      <c r="V215" s="3" t="n">
        <v>16847.0</v>
      </c>
      <c r="W215" s="3" t="n">
        <v>17011.0</v>
      </c>
      <c r="X215" s="3" t="n">
        <v>17150.0</v>
      </c>
      <c r="Y215" s="3" t="n">
        <v>17264.0</v>
      </c>
      <c r="Z215" s="3" t="n">
        <v>17360.0</v>
      </c>
      <c r="AA215" s="3" t="n">
        <v>17415.0</v>
      </c>
      <c r="AB215" s="3" t="n">
        <v>17440.0</v>
      </c>
      <c r="AC215" s="3" t="n">
        <v>17421.0</v>
      </c>
      <c r="AD215" s="3" t="n">
        <v>17383.0</v>
      </c>
      <c r="AE215" s="3" t="n">
        <v>17298.0</v>
      </c>
      <c r="AF215" s="3" t="n">
        <v>17183.0</v>
      </c>
      <c r="AG215" s="3" t="n">
        <v>17040.0</v>
      </c>
      <c r="AH215" s="3" t="n">
        <v>16880.0</v>
      </c>
      <c r="AI215" s="3" t="n">
        <v>16719.0</v>
      </c>
      <c r="AJ215" s="3" t="n">
        <v>16548.0</v>
      </c>
      <c r="AK215" s="3" t="n">
        <v>16387.0</v>
      </c>
      <c r="AL215" s="3" t="n">
        <v>16230.0</v>
      </c>
      <c r="AM215" s="3" t="n">
        <v>16110.0</v>
      </c>
      <c r="AN215" s="3" t="n">
        <v>16000.0</v>
      </c>
      <c r="AO215" s="3" t="n">
        <v>15917.0</v>
      </c>
    </row>
    <row r="216" spans="1:41" x14ac:dyDescent="0.2">
      <c r="A216" s="122"/>
      <c r="B216" s="9">
        <v>3</v>
      </c>
      <c r="C216" s="3" t="n">
        <v>18107.0</v>
      </c>
      <c r="D216" s="3" t="n">
        <v>17111.0</v>
      </c>
      <c r="E216" s="3" t="n">
        <v>16560.0</v>
      </c>
      <c r="F216" s="3" t="n">
        <v>14786.0</v>
      </c>
      <c r="G216" s="3" t="n">
        <v>15644.0</v>
      </c>
      <c r="H216" s="3" t="n">
        <v>15955.0</v>
      </c>
      <c r="I216" s="3" t="n">
        <v>16266.0</v>
      </c>
      <c r="J216" s="3" t="n">
        <v>16377.0</v>
      </c>
      <c r="K216" s="3" t="n">
        <v>16360.0</v>
      </c>
      <c r="L216" s="3" t="n">
        <v>16361.0</v>
      </c>
      <c r="M216" s="3" t="n">
        <v>16428.0</v>
      </c>
      <c r="N216" s="3" t="n">
        <v>16449.0</v>
      </c>
      <c r="O216" s="3" t="n">
        <v>16455.0</v>
      </c>
      <c r="P216" s="3" t="n">
        <v>16448.0</v>
      </c>
      <c r="Q216" s="3" t="n">
        <v>16414.0</v>
      </c>
      <c r="R216" s="3" t="n">
        <v>16416.0</v>
      </c>
      <c r="S216" s="3" t="n">
        <v>16448.0</v>
      </c>
      <c r="T216" s="3" t="n">
        <v>16526.0</v>
      </c>
      <c r="U216" s="3" t="n">
        <v>16635.0</v>
      </c>
      <c r="V216" s="3" t="n">
        <v>16763.0</v>
      </c>
      <c r="W216" s="3" t="n">
        <v>16902.0</v>
      </c>
      <c r="X216" s="3" t="n">
        <v>17067.0</v>
      </c>
      <c r="Y216" s="3" t="n">
        <v>17209.0</v>
      </c>
      <c r="Z216" s="3" t="n">
        <v>17326.0</v>
      </c>
      <c r="AA216" s="3" t="n">
        <v>17421.0</v>
      </c>
      <c r="AB216" s="3" t="n">
        <v>17476.0</v>
      </c>
      <c r="AC216" s="3" t="n">
        <v>17501.0</v>
      </c>
      <c r="AD216" s="3" t="n">
        <v>17482.0</v>
      </c>
      <c r="AE216" s="3" t="n">
        <v>17443.0</v>
      </c>
      <c r="AF216" s="3" t="n">
        <v>17357.0</v>
      </c>
      <c r="AG216" s="3" t="n">
        <v>17242.0</v>
      </c>
      <c r="AH216" s="3" t="n">
        <v>17098.0</v>
      </c>
      <c r="AI216" s="3" t="n">
        <v>16936.0</v>
      </c>
      <c r="AJ216" s="3" t="n">
        <v>16780.0</v>
      </c>
      <c r="AK216" s="3" t="n">
        <v>16610.0</v>
      </c>
      <c r="AL216" s="3" t="n">
        <v>16448.0</v>
      </c>
      <c r="AM216" s="3" t="n">
        <v>16291.0</v>
      </c>
      <c r="AN216" s="3" t="n">
        <v>16171.0</v>
      </c>
      <c r="AO216" s="3" t="n">
        <v>16065.0</v>
      </c>
    </row>
    <row r="217" spans="1:41" x14ac:dyDescent="0.2">
      <c r="A217" s="122"/>
      <c r="B217" s="9">
        <v>4</v>
      </c>
      <c r="C217" s="3" t="n">
        <v>18891.0</v>
      </c>
      <c r="D217" s="3" t="n">
        <v>18128.0</v>
      </c>
      <c r="E217" s="3" t="n">
        <v>17144.0</v>
      </c>
      <c r="F217" s="3" t="n">
        <v>16600.0</v>
      </c>
      <c r="G217" s="3" t="n">
        <v>14832.0</v>
      </c>
      <c r="H217" s="3" t="n">
        <v>15839.0</v>
      </c>
      <c r="I217" s="3" t="n">
        <v>16209.0</v>
      </c>
      <c r="J217" s="3" t="n">
        <v>16405.0</v>
      </c>
      <c r="K217" s="3" t="n">
        <v>16461.0</v>
      </c>
      <c r="L217" s="3" t="n">
        <v>16418.0</v>
      </c>
      <c r="M217" s="3" t="n">
        <v>16408.0</v>
      </c>
      <c r="N217" s="3" t="n">
        <v>16474.0</v>
      </c>
      <c r="O217" s="3" t="n">
        <v>16495.0</v>
      </c>
      <c r="P217" s="3" t="n">
        <v>16502.0</v>
      </c>
      <c r="Q217" s="3" t="n">
        <v>16498.0</v>
      </c>
      <c r="R217" s="3" t="n">
        <v>16466.0</v>
      </c>
      <c r="S217" s="3" t="n">
        <v>16468.0</v>
      </c>
      <c r="T217" s="3" t="n">
        <v>16497.0</v>
      </c>
      <c r="U217" s="3" t="n">
        <v>16574.0</v>
      </c>
      <c r="V217" s="3" t="n">
        <v>16684.0</v>
      </c>
      <c r="W217" s="3" t="n">
        <v>16810.0</v>
      </c>
      <c r="X217" s="3" t="n">
        <v>16947.0</v>
      </c>
      <c r="Y217" s="3" t="n">
        <v>17111.0</v>
      </c>
      <c r="Z217" s="3" t="n">
        <v>17253.0</v>
      </c>
      <c r="AA217" s="3" t="n">
        <v>17372.0</v>
      </c>
      <c r="AB217" s="3" t="n">
        <v>17469.0</v>
      </c>
      <c r="AC217" s="3" t="n">
        <v>17524.0</v>
      </c>
      <c r="AD217" s="3" t="n">
        <v>17550.0</v>
      </c>
      <c r="AE217" s="3" t="n">
        <v>17533.0</v>
      </c>
      <c r="AF217" s="3" t="n">
        <v>17495.0</v>
      </c>
      <c r="AG217" s="3" t="n">
        <v>17411.0</v>
      </c>
      <c r="AH217" s="3" t="n">
        <v>17296.0</v>
      </c>
      <c r="AI217" s="3" t="n">
        <v>17156.0</v>
      </c>
      <c r="AJ217" s="3" t="n">
        <v>16995.0</v>
      </c>
      <c r="AK217" s="3" t="n">
        <v>16838.0</v>
      </c>
      <c r="AL217" s="3" t="n">
        <v>16667.0</v>
      </c>
      <c r="AM217" s="3" t="n">
        <v>16503.0</v>
      </c>
      <c r="AN217" s="3" t="n">
        <v>16348.0</v>
      </c>
      <c r="AO217" s="3" t="n">
        <v>16227.0</v>
      </c>
    </row>
    <row r="218" spans="1:41" x14ac:dyDescent="0.2">
      <c r="A218" s="122"/>
      <c r="B218" s="9">
        <v>5</v>
      </c>
      <c r="C218" s="3" t="n">
        <v>19978.0</v>
      </c>
      <c r="D218" s="3" t="n">
        <v>18925.0</v>
      </c>
      <c r="E218" s="3" t="n">
        <v>18171.0</v>
      </c>
      <c r="F218" s="3" t="n">
        <v>17180.0</v>
      </c>
      <c r="G218" s="3" t="n">
        <v>16640.0</v>
      </c>
      <c r="H218" s="3" t="n">
        <v>15053.0</v>
      </c>
      <c r="I218" s="3" t="n">
        <v>16119.0</v>
      </c>
      <c r="J218" s="3" t="n">
        <v>16356.0</v>
      </c>
      <c r="K218" s="3" t="n">
        <v>16494.0</v>
      </c>
      <c r="L218" s="3" t="n">
        <v>16526.0</v>
      </c>
      <c r="M218" s="3" t="n">
        <v>16470.0</v>
      </c>
      <c r="N218" s="3" t="n">
        <v>16456.0</v>
      </c>
      <c r="O218" s="3" t="n">
        <v>16524.0</v>
      </c>
      <c r="P218" s="3" t="n">
        <v>16548.0</v>
      </c>
      <c r="Q218" s="3" t="n">
        <v>16556.0</v>
      </c>
      <c r="R218" s="3" t="n">
        <v>16551.0</v>
      </c>
      <c r="S218" s="3" t="n">
        <v>16523.0</v>
      </c>
      <c r="T218" s="3" t="n">
        <v>16526.0</v>
      </c>
      <c r="U218" s="3" t="n">
        <v>16555.0</v>
      </c>
      <c r="V218" s="3" t="n">
        <v>16632.0</v>
      </c>
      <c r="W218" s="3" t="n">
        <v>16745.0</v>
      </c>
      <c r="X218" s="3" t="n">
        <v>16870.0</v>
      </c>
      <c r="Y218" s="3" t="n">
        <v>17006.0</v>
      </c>
      <c r="Z218" s="3" t="n">
        <v>17169.0</v>
      </c>
      <c r="AA218" s="3" t="n">
        <v>17310.0</v>
      </c>
      <c r="AB218" s="3" t="n">
        <v>17429.0</v>
      </c>
      <c r="AC218" s="3" t="n">
        <v>17524.0</v>
      </c>
      <c r="AD218" s="3" t="n">
        <v>17578.0</v>
      </c>
      <c r="AE218" s="3" t="n">
        <v>17601.0</v>
      </c>
      <c r="AF218" s="3" t="n">
        <v>17585.0</v>
      </c>
      <c r="AG218" s="3" t="n">
        <v>17547.0</v>
      </c>
      <c r="AH218" s="3" t="n">
        <v>17467.0</v>
      </c>
      <c r="AI218" s="3" t="n">
        <v>17352.0</v>
      </c>
      <c r="AJ218" s="3" t="n">
        <v>17212.0</v>
      </c>
      <c r="AK218" s="3" t="n">
        <v>17054.0</v>
      </c>
      <c r="AL218" s="3" t="n">
        <v>16896.0</v>
      </c>
      <c r="AM218" s="3" t="n">
        <v>16726.0</v>
      </c>
      <c r="AN218" s="3" t="n">
        <v>16563.0</v>
      </c>
      <c r="AO218" s="3" t="n">
        <v>16410.0</v>
      </c>
    </row>
    <row r="219" spans="1:41" x14ac:dyDescent="0.2">
      <c r="A219" s="122"/>
      <c r="B219" s="9">
        <v>6</v>
      </c>
      <c r="C219" s="3" t="n">
        <v>19022.0</v>
      </c>
      <c r="D219" s="3" t="n">
        <v>20003.0</v>
      </c>
      <c r="E219" s="3" t="n">
        <v>18951.0</v>
      </c>
      <c r="F219" s="3" t="n">
        <v>18203.0</v>
      </c>
      <c r="G219" s="3" t="n">
        <v>17217.0</v>
      </c>
      <c r="H219" s="3" t="n">
        <v>16855.0</v>
      </c>
      <c r="I219" s="3" t="n">
        <v>15339.0</v>
      </c>
      <c r="J219" s="3" t="n">
        <v>16269.0</v>
      </c>
      <c r="K219" s="3" t="n">
        <v>16430.0</v>
      </c>
      <c r="L219" s="3" t="n">
        <v>16546.0</v>
      </c>
      <c r="M219" s="3" t="n">
        <v>16567.0</v>
      </c>
      <c r="N219" s="3" t="n">
        <v>16499.0</v>
      </c>
      <c r="O219" s="3" t="n">
        <v>16487.0</v>
      </c>
      <c r="P219" s="3" t="n">
        <v>16555.0</v>
      </c>
      <c r="Q219" s="3" t="n">
        <v>16581.0</v>
      </c>
      <c r="R219" s="3" t="n">
        <v>16589.0</v>
      </c>
      <c r="S219" s="3" t="n">
        <v>16586.0</v>
      </c>
      <c r="T219" s="3" t="n">
        <v>16557.0</v>
      </c>
      <c r="U219" s="3" t="n">
        <v>16561.0</v>
      </c>
      <c r="V219" s="3" t="n">
        <v>16588.0</v>
      </c>
      <c r="W219" s="3" t="n">
        <v>16670.0</v>
      </c>
      <c r="X219" s="3" t="n">
        <v>16785.0</v>
      </c>
      <c r="Y219" s="3" t="n">
        <v>16911.0</v>
      </c>
      <c r="Z219" s="3" t="n">
        <v>17044.0</v>
      </c>
      <c r="AA219" s="3" t="n">
        <v>17210.0</v>
      </c>
      <c r="AB219" s="3" t="n">
        <v>17348.0</v>
      </c>
      <c r="AC219" s="3" t="n">
        <v>17470.0</v>
      </c>
      <c r="AD219" s="3" t="n">
        <v>17567.0</v>
      </c>
      <c r="AE219" s="3" t="n">
        <v>17622.0</v>
      </c>
      <c r="AF219" s="3" t="n">
        <v>17645.0</v>
      </c>
      <c r="AG219" s="3" t="n">
        <v>17629.0</v>
      </c>
      <c r="AH219" s="3" t="n">
        <v>17594.0</v>
      </c>
      <c r="AI219" s="3" t="n">
        <v>17515.0</v>
      </c>
      <c r="AJ219" s="3" t="n">
        <v>17400.0</v>
      </c>
      <c r="AK219" s="3" t="n">
        <v>17261.0</v>
      </c>
      <c r="AL219" s="3" t="n">
        <v>17102.0</v>
      </c>
      <c r="AM219" s="3" t="n">
        <v>16939.0</v>
      </c>
      <c r="AN219" s="3" t="n">
        <v>16772.0</v>
      </c>
      <c r="AO219" s="3" t="n">
        <v>16611.0</v>
      </c>
    </row>
    <row r="220" spans="1:41" x14ac:dyDescent="0.2">
      <c r="A220" s="122"/>
      <c r="B220" s="9">
        <v>7</v>
      </c>
      <c r="C220" s="3" t="n">
        <v>18518.0</v>
      </c>
      <c r="D220" s="3" t="n">
        <v>19036.0</v>
      </c>
      <c r="E220" s="3" t="n">
        <v>20020.0</v>
      </c>
      <c r="F220" s="3" t="n">
        <v>18972.0</v>
      </c>
      <c r="G220" s="3" t="n">
        <v>18225.0</v>
      </c>
      <c r="H220" s="3" t="n">
        <v>17429.0</v>
      </c>
      <c r="I220" s="3" t="n">
        <v>17132.0</v>
      </c>
      <c r="J220" s="3" t="n">
        <v>15481.0</v>
      </c>
      <c r="K220" s="3" t="n">
        <v>16333.0</v>
      </c>
      <c r="L220" s="3" t="n">
        <v>16467.0</v>
      </c>
      <c r="M220" s="3" t="n">
        <v>16576.0</v>
      </c>
      <c r="N220" s="3" t="n">
        <v>16587.0</v>
      </c>
      <c r="O220" s="3" t="n">
        <v>16513.0</v>
      </c>
      <c r="P220" s="3" t="n">
        <v>16502.0</v>
      </c>
      <c r="Q220" s="3" t="n">
        <v>16572.0</v>
      </c>
      <c r="R220" s="3" t="n">
        <v>16599.0</v>
      </c>
      <c r="S220" s="3" t="n">
        <v>16607.0</v>
      </c>
      <c r="T220" s="3" t="n">
        <v>16605.0</v>
      </c>
      <c r="U220" s="3" t="n">
        <v>16578.0</v>
      </c>
      <c r="V220" s="3" t="n">
        <v>16582.0</v>
      </c>
      <c r="W220" s="3" t="n">
        <v>16611.0</v>
      </c>
      <c r="X220" s="3" t="n">
        <v>16693.0</v>
      </c>
      <c r="Y220" s="3" t="n">
        <v>16810.0</v>
      </c>
      <c r="Z220" s="3" t="n">
        <v>16937.0</v>
      </c>
      <c r="AA220" s="3" t="n">
        <v>17065.0</v>
      </c>
      <c r="AB220" s="3" t="n">
        <v>17231.0</v>
      </c>
      <c r="AC220" s="3" t="n">
        <v>17370.0</v>
      </c>
      <c r="AD220" s="3" t="n">
        <v>17493.0</v>
      </c>
      <c r="AE220" s="3" t="n">
        <v>17590.0</v>
      </c>
      <c r="AF220" s="3" t="n">
        <v>17644.0</v>
      </c>
      <c r="AG220" s="3" t="n">
        <v>17666.0</v>
      </c>
      <c r="AH220" s="3" t="n">
        <v>17651.0</v>
      </c>
      <c r="AI220" s="3" t="n">
        <v>17619.0</v>
      </c>
      <c r="AJ220" s="3" t="n">
        <v>17540.0</v>
      </c>
      <c r="AK220" s="3" t="n">
        <v>17428.0</v>
      </c>
      <c r="AL220" s="3" t="n">
        <v>17287.0</v>
      </c>
      <c r="AM220" s="3" t="n">
        <v>17128.0</v>
      </c>
      <c r="AN220" s="3" t="n">
        <v>16967.0</v>
      </c>
      <c r="AO220" s="3" t="n">
        <v>16798.0</v>
      </c>
    </row>
    <row r="221" spans="1:41" x14ac:dyDescent="0.2">
      <c r="A221" s="122"/>
      <c r="B221" s="9">
        <v>8</v>
      </c>
      <c r="C221" s="3" t="n">
        <v>18625.0</v>
      </c>
      <c r="D221" s="3" t="n">
        <v>18531.0</v>
      </c>
      <c r="E221" s="3" t="n">
        <v>19052.0</v>
      </c>
      <c r="F221" s="3" t="n">
        <v>20042.0</v>
      </c>
      <c r="G221" s="3" t="n">
        <v>18998.0</v>
      </c>
      <c r="H221" s="3" t="n">
        <v>18451.0</v>
      </c>
      <c r="I221" s="3" t="n">
        <v>17734.0</v>
      </c>
      <c r="J221" s="3" t="n">
        <v>17276.0</v>
      </c>
      <c r="K221" s="3" t="n">
        <v>15554.0</v>
      </c>
      <c r="L221" s="3" t="n">
        <v>16372.0</v>
      </c>
      <c r="M221" s="3" t="n">
        <v>16493.0</v>
      </c>
      <c r="N221" s="3" t="n">
        <v>16595.0</v>
      </c>
      <c r="O221" s="3" t="n">
        <v>16606.0</v>
      </c>
      <c r="P221" s="3" t="n">
        <v>16534.0</v>
      </c>
      <c r="Q221" s="3" t="n">
        <v>16524.0</v>
      </c>
      <c r="R221" s="3" t="n">
        <v>16593.0</v>
      </c>
      <c r="S221" s="3" t="n">
        <v>16619.0</v>
      </c>
      <c r="T221" s="3" t="n">
        <v>16629.0</v>
      </c>
      <c r="U221" s="3" t="n">
        <v>16627.0</v>
      </c>
      <c r="V221" s="3" t="n">
        <v>16600.0</v>
      </c>
      <c r="W221" s="3" t="n">
        <v>16603.0</v>
      </c>
      <c r="X221" s="3" t="n">
        <v>16633.0</v>
      </c>
      <c r="Y221" s="3" t="n">
        <v>16715.0</v>
      </c>
      <c r="Z221" s="3" t="n">
        <v>16831.0</v>
      </c>
      <c r="AA221" s="3" t="n">
        <v>16957.0</v>
      </c>
      <c r="AB221" s="3" t="n">
        <v>17085.0</v>
      </c>
      <c r="AC221" s="3" t="n">
        <v>17254.0</v>
      </c>
      <c r="AD221" s="3" t="n">
        <v>17392.0</v>
      </c>
      <c r="AE221" s="3" t="n">
        <v>17514.0</v>
      </c>
      <c r="AF221" s="3" t="n">
        <v>17611.0</v>
      </c>
      <c r="AG221" s="3" t="n">
        <v>17664.0</v>
      </c>
      <c r="AH221" s="3" t="n">
        <v>17686.0</v>
      </c>
      <c r="AI221" s="3" t="n">
        <v>17671.0</v>
      </c>
      <c r="AJ221" s="3" t="n">
        <v>17640.0</v>
      </c>
      <c r="AK221" s="3" t="n">
        <v>17563.0</v>
      </c>
      <c r="AL221" s="3" t="n">
        <v>17454.0</v>
      </c>
      <c r="AM221" s="3" t="n">
        <v>17312.0</v>
      </c>
      <c r="AN221" s="3" t="n">
        <v>17151.0</v>
      </c>
      <c r="AO221" s="3" t="n">
        <v>16994.0</v>
      </c>
    </row>
    <row r="222" spans="1:41" x14ac:dyDescent="0.2">
      <c r="A222" s="122"/>
      <c r="B222" s="9">
        <v>9</v>
      </c>
      <c r="C222" s="3" t="n">
        <v>18317.0</v>
      </c>
      <c r="D222" s="3" t="n">
        <v>18635.0</v>
      </c>
      <c r="E222" s="3" t="n">
        <v>18539.0</v>
      </c>
      <c r="F222" s="3" t="n">
        <v>19069.0</v>
      </c>
      <c r="G222" s="3" t="n">
        <v>20059.0</v>
      </c>
      <c r="H222" s="3" t="n">
        <v>19235.0</v>
      </c>
      <c r="I222" s="3" t="n">
        <v>18773.0</v>
      </c>
      <c r="J222" s="3" t="n">
        <v>17895.0</v>
      </c>
      <c r="K222" s="3" t="n">
        <v>17351.0</v>
      </c>
      <c r="L222" s="3" t="n">
        <v>15608.0</v>
      </c>
      <c r="M222" s="3" t="n">
        <v>16405.0</v>
      </c>
      <c r="N222" s="3" t="n">
        <v>16519.0</v>
      </c>
      <c r="O222" s="3" t="n">
        <v>16613.0</v>
      </c>
      <c r="P222" s="3" t="n">
        <v>16627.0</v>
      </c>
      <c r="Q222" s="3" t="n">
        <v>16553.0</v>
      </c>
      <c r="R222" s="3" t="n">
        <v>16543.0</v>
      </c>
      <c r="S222" s="3" t="n">
        <v>16614.0</v>
      </c>
      <c r="T222" s="3" t="n">
        <v>16640.0</v>
      </c>
      <c r="U222" s="3" t="n">
        <v>16650.0</v>
      </c>
      <c r="V222" s="3" t="n">
        <v>16650.0</v>
      </c>
      <c r="W222" s="3" t="n">
        <v>16622.0</v>
      </c>
      <c r="X222" s="3" t="n">
        <v>16627.0</v>
      </c>
      <c r="Y222" s="3" t="n">
        <v>16657.0</v>
      </c>
      <c r="Z222" s="3" t="n">
        <v>16739.0</v>
      </c>
      <c r="AA222" s="3" t="n">
        <v>16853.0</v>
      </c>
      <c r="AB222" s="3" t="n">
        <v>16980.0</v>
      </c>
      <c r="AC222" s="3" t="n">
        <v>17107.0</v>
      </c>
      <c r="AD222" s="3" t="n">
        <v>17277.0</v>
      </c>
      <c r="AE222" s="3" t="n">
        <v>17413.0</v>
      </c>
      <c r="AF222" s="3" t="n">
        <v>17534.0</v>
      </c>
      <c r="AG222" s="3" t="n">
        <v>17630.0</v>
      </c>
      <c r="AH222" s="3" t="n">
        <v>17682.0</v>
      </c>
      <c r="AI222" s="3" t="n">
        <v>17703.0</v>
      </c>
      <c r="AJ222" s="3" t="n">
        <v>17690.0</v>
      </c>
      <c r="AK222" s="3" t="n">
        <v>17660.0</v>
      </c>
      <c r="AL222" s="3" t="n">
        <v>17584.0</v>
      </c>
      <c r="AM222" s="3" t="n">
        <v>17478.0</v>
      </c>
      <c r="AN222" s="3" t="n">
        <v>17333.0</v>
      </c>
      <c r="AO222" s="3" t="n">
        <v>17172.0</v>
      </c>
    </row>
    <row r="223" spans="1:41" x14ac:dyDescent="0.2">
      <c r="A223" s="122"/>
      <c r="B223" s="9">
        <v>10</v>
      </c>
      <c r="C223" s="3" t="n">
        <v>19073.0</v>
      </c>
      <c r="D223" s="3" t="n">
        <v>18332.0</v>
      </c>
      <c r="E223" s="3" t="n">
        <v>18649.0</v>
      </c>
      <c r="F223" s="3" t="n">
        <v>18555.0</v>
      </c>
      <c r="G223" s="3" t="n">
        <v>19088.0</v>
      </c>
      <c r="H223" s="3" t="n">
        <v>20306.0</v>
      </c>
      <c r="I223" s="3" t="n">
        <v>19559.0</v>
      </c>
      <c r="J223" s="3" t="n">
        <v>18930.0</v>
      </c>
      <c r="K223" s="3" t="n">
        <v>17970.0</v>
      </c>
      <c r="L223" s="3" t="n">
        <v>17391.0</v>
      </c>
      <c r="M223" s="3" t="n">
        <v>15633.0</v>
      </c>
      <c r="N223" s="3" t="n">
        <v>16415.0</v>
      </c>
      <c r="O223" s="3" t="n">
        <v>16525.0</v>
      </c>
      <c r="P223" s="3" t="n">
        <v>16620.0</v>
      </c>
      <c r="Q223" s="3" t="n">
        <v>16635.0</v>
      </c>
      <c r="R223" s="3" t="n">
        <v>16561.0</v>
      </c>
      <c r="S223" s="3" t="n">
        <v>16550.0</v>
      </c>
      <c r="T223" s="3" t="n">
        <v>16621.0</v>
      </c>
      <c r="U223" s="3" t="n">
        <v>16647.0</v>
      </c>
      <c r="V223" s="3" t="n">
        <v>16658.0</v>
      </c>
      <c r="W223" s="3" t="n">
        <v>16659.0</v>
      </c>
      <c r="X223" s="3" t="n">
        <v>16631.0</v>
      </c>
      <c r="Y223" s="3" t="n">
        <v>16639.0</v>
      </c>
      <c r="Z223" s="3" t="n">
        <v>16669.0</v>
      </c>
      <c r="AA223" s="3" t="n">
        <v>16749.0</v>
      </c>
      <c r="AB223" s="3" t="n">
        <v>16862.0</v>
      </c>
      <c r="AC223" s="3" t="n">
        <v>16989.0</v>
      </c>
      <c r="AD223" s="3" t="n">
        <v>17116.0</v>
      </c>
      <c r="AE223" s="3" t="n">
        <v>17285.0</v>
      </c>
      <c r="AF223" s="3" t="n">
        <v>17422.0</v>
      </c>
      <c r="AG223" s="3" t="n">
        <v>17545.0</v>
      </c>
      <c r="AH223" s="3" t="n">
        <v>17639.0</v>
      </c>
      <c r="AI223" s="3" t="n">
        <v>17694.0</v>
      </c>
      <c r="AJ223" s="3" t="n">
        <v>17715.0</v>
      </c>
      <c r="AK223" s="3" t="n">
        <v>17704.0</v>
      </c>
      <c r="AL223" s="3" t="n">
        <v>17670.0</v>
      </c>
      <c r="AM223" s="3" t="n">
        <v>17594.0</v>
      </c>
      <c r="AN223" s="3" t="n">
        <v>17487.0</v>
      </c>
      <c r="AO223" s="3" t="n">
        <v>17343.0</v>
      </c>
    </row>
    <row r="224" spans="1:41" x14ac:dyDescent="0.2">
      <c r="A224" s="122"/>
      <c r="B224" s="9">
        <v>11</v>
      </c>
      <c r="C224" s="3" t="n">
        <v>19143.0</v>
      </c>
      <c r="D224" s="3" t="n">
        <v>19087.0</v>
      </c>
      <c r="E224" s="3" t="n">
        <v>18347.0</v>
      </c>
      <c r="F224" s="3" t="n">
        <v>18668.0</v>
      </c>
      <c r="G224" s="3" t="n">
        <v>18578.0</v>
      </c>
      <c r="H224" s="3" t="n">
        <v>19316.0</v>
      </c>
      <c r="I224" s="3" t="n">
        <v>20612.0</v>
      </c>
      <c r="J224" s="3" t="n">
        <v>19711.0</v>
      </c>
      <c r="K224" s="3" t="n">
        <v>18996.0</v>
      </c>
      <c r="L224" s="3" t="n">
        <v>18008.0</v>
      </c>
      <c r="M224" s="3" t="n">
        <v>17413.0</v>
      </c>
      <c r="N224" s="3" t="n">
        <v>15644.0</v>
      </c>
      <c r="O224" s="3" t="n">
        <v>16419.0</v>
      </c>
      <c r="P224" s="3" t="n">
        <v>16529.0</v>
      </c>
      <c r="Q224" s="3" t="n">
        <v>16624.0</v>
      </c>
      <c r="R224" s="3" t="n">
        <v>16639.0</v>
      </c>
      <c r="S224" s="3" t="n">
        <v>16566.0</v>
      </c>
      <c r="T224" s="3" t="n">
        <v>16553.0</v>
      </c>
      <c r="U224" s="3" t="n">
        <v>16624.0</v>
      </c>
      <c r="V224" s="3" t="n">
        <v>16653.0</v>
      </c>
      <c r="W224" s="3" t="n">
        <v>16666.0</v>
      </c>
      <c r="X224" s="3" t="n">
        <v>16667.0</v>
      </c>
      <c r="Y224" s="3" t="n">
        <v>16639.0</v>
      </c>
      <c r="Z224" s="3" t="n">
        <v>16648.0</v>
      </c>
      <c r="AA224" s="3" t="n">
        <v>16678.0</v>
      </c>
      <c r="AB224" s="3" t="n">
        <v>16759.0</v>
      </c>
      <c r="AC224" s="3" t="n">
        <v>16874.0</v>
      </c>
      <c r="AD224" s="3" t="n">
        <v>17001.0</v>
      </c>
      <c r="AE224" s="3" t="n">
        <v>17124.0</v>
      </c>
      <c r="AF224" s="3" t="n">
        <v>17292.0</v>
      </c>
      <c r="AG224" s="3" t="n">
        <v>17428.0</v>
      </c>
      <c r="AH224" s="3" t="n">
        <v>17552.0</v>
      </c>
      <c r="AI224" s="3" t="n">
        <v>17649.0</v>
      </c>
      <c r="AJ224" s="3" t="n">
        <v>17704.0</v>
      </c>
      <c r="AK224" s="3" t="n">
        <v>17723.0</v>
      </c>
      <c r="AL224" s="3" t="n">
        <v>17713.0</v>
      </c>
      <c r="AM224" s="3" t="n">
        <v>17680.0</v>
      </c>
      <c r="AN224" s="3" t="n">
        <v>17603.0</v>
      </c>
      <c r="AO224" s="3" t="n">
        <v>17497.0</v>
      </c>
    </row>
    <row r="225" spans="1:41" x14ac:dyDescent="0.2">
      <c r="A225" s="122"/>
      <c r="B225" s="9">
        <v>12</v>
      </c>
      <c r="C225" s="3" t="n">
        <v>20410.0</v>
      </c>
      <c r="D225" s="3" t="n">
        <v>19148.0</v>
      </c>
      <c r="E225" s="3" t="n">
        <v>19094.0</v>
      </c>
      <c r="F225" s="3" t="n">
        <v>18357.0</v>
      </c>
      <c r="G225" s="3" t="n">
        <v>18687.0</v>
      </c>
      <c r="H225" s="3" t="n">
        <v>18791.0</v>
      </c>
      <c r="I225" s="3" t="n">
        <v>19612.0</v>
      </c>
      <c r="J225" s="3" t="n">
        <v>20752.0</v>
      </c>
      <c r="K225" s="3" t="n">
        <v>19770.0</v>
      </c>
      <c r="L225" s="3" t="n">
        <v>19033.0</v>
      </c>
      <c r="M225" s="3" t="n">
        <v>18027.0</v>
      </c>
      <c r="N225" s="3" t="n">
        <v>17422.0</v>
      </c>
      <c r="O225" s="3" t="n">
        <v>15657.0</v>
      </c>
      <c r="P225" s="3" t="n">
        <v>16425.0</v>
      </c>
      <c r="Q225" s="3" t="n">
        <v>16535.0</v>
      </c>
      <c r="R225" s="3" t="n">
        <v>16630.0</v>
      </c>
      <c r="S225" s="3" t="n">
        <v>16645.0</v>
      </c>
      <c r="T225" s="3" t="n">
        <v>16573.0</v>
      </c>
      <c r="U225" s="3" t="n">
        <v>16561.0</v>
      </c>
      <c r="V225" s="3" t="n">
        <v>16631.0</v>
      </c>
      <c r="W225" s="3" t="n">
        <v>16659.0</v>
      </c>
      <c r="X225" s="3" t="n">
        <v>16675.0</v>
      </c>
      <c r="Y225" s="3" t="n">
        <v>16675.0</v>
      </c>
      <c r="Z225" s="3" t="n">
        <v>16650.0</v>
      </c>
      <c r="AA225" s="3" t="n">
        <v>16659.0</v>
      </c>
      <c r="AB225" s="3" t="n">
        <v>16690.0</v>
      </c>
      <c r="AC225" s="3" t="n">
        <v>16768.0</v>
      </c>
      <c r="AD225" s="3" t="n">
        <v>16883.0</v>
      </c>
      <c r="AE225" s="3" t="n">
        <v>17010.0</v>
      </c>
      <c r="AF225" s="3" t="n">
        <v>17132.0</v>
      </c>
      <c r="AG225" s="3" t="n">
        <v>17300.0</v>
      </c>
      <c r="AH225" s="3" t="n">
        <v>17435.0</v>
      </c>
      <c r="AI225" s="3" t="n">
        <v>17558.0</v>
      </c>
      <c r="AJ225" s="3" t="n">
        <v>17656.0</v>
      </c>
      <c r="AK225" s="3" t="n">
        <v>17711.0</v>
      </c>
      <c r="AL225" s="3" t="n">
        <v>17729.0</v>
      </c>
      <c r="AM225" s="3" t="n">
        <v>17718.0</v>
      </c>
      <c r="AN225" s="3" t="n">
        <v>17686.0</v>
      </c>
      <c r="AO225" s="3" t="n">
        <v>17607.0</v>
      </c>
    </row>
    <row r="226" spans="1:41" x14ac:dyDescent="0.2">
      <c r="A226" s="122"/>
      <c r="B226" s="9">
        <v>13</v>
      </c>
      <c r="C226" s="3" t="n">
        <v>20128.0</v>
      </c>
      <c r="D226" s="3" t="n">
        <v>20416.0</v>
      </c>
      <c r="E226" s="3" t="n">
        <v>19153.0</v>
      </c>
      <c r="F226" s="3" t="n">
        <v>19104.0</v>
      </c>
      <c r="G226" s="3" t="n">
        <v>18370.0</v>
      </c>
      <c r="H226" s="3" t="n">
        <v>18890.0</v>
      </c>
      <c r="I226" s="3" t="n">
        <v>19071.0</v>
      </c>
      <c r="J226" s="3" t="n">
        <v>19743.0</v>
      </c>
      <c r="K226" s="3" t="n">
        <v>20803.0</v>
      </c>
      <c r="L226" s="3" t="n">
        <v>19800.0</v>
      </c>
      <c r="M226" s="3" t="n">
        <v>19053.0</v>
      </c>
      <c r="N226" s="3" t="n">
        <v>18029.0</v>
      </c>
      <c r="O226" s="3" t="n">
        <v>17422.0</v>
      </c>
      <c r="P226" s="3" t="n">
        <v>15660.0</v>
      </c>
      <c r="Q226" s="3" t="n">
        <v>16428.0</v>
      </c>
      <c r="R226" s="3" t="n">
        <v>16536.0</v>
      </c>
      <c r="S226" s="3" t="n">
        <v>16632.0</v>
      </c>
      <c r="T226" s="3" t="n">
        <v>16647.0</v>
      </c>
      <c r="U226" s="3" t="n">
        <v>16575.0</v>
      </c>
      <c r="V226" s="3" t="n">
        <v>16564.0</v>
      </c>
      <c r="W226" s="3" t="n">
        <v>16634.0</v>
      </c>
      <c r="X226" s="3" t="n">
        <v>16662.0</v>
      </c>
      <c r="Y226" s="3" t="n">
        <v>16678.0</v>
      </c>
      <c r="Z226" s="3" t="n">
        <v>16678.0</v>
      </c>
      <c r="AA226" s="3" t="n">
        <v>16653.0</v>
      </c>
      <c r="AB226" s="3" t="n">
        <v>16659.0</v>
      </c>
      <c r="AC226" s="3" t="n">
        <v>16691.0</v>
      </c>
      <c r="AD226" s="3" t="n">
        <v>16768.0</v>
      </c>
      <c r="AE226" s="3" t="n">
        <v>16881.0</v>
      </c>
      <c r="AF226" s="3" t="n">
        <v>17010.0</v>
      </c>
      <c r="AG226" s="3" t="n">
        <v>17131.0</v>
      </c>
      <c r="AH226" s="3" t="n">
        <v>17300.0</v>
      </c>
      <c r="AI226" s="3" t="n">
        <v>17434.0</v>
      </c>
      <c r="AJ226" s="3" t="n">
        <v>17556.0</v>
      </c>
      <c r="AK226" s="3" t="n">
        <v>17655.0</v>
      </c>
      <c r="AL226" s="3" t="n">
        <v>17710.0</v>
      </c>
      <c r="AM226" s="3" t="n">
        <v>17727.0</v>
      </c>
      <c r="AN226" s="3" t="n">
        <v>17718.0</v>
      </c>
      <c r="AO226" s="3" t="n">
        <v>17687.0</v>
      </c>
    </row>
    <row r="227" spans="1:41" x14ac:dyDescent="0.2">
      <c r="A227" s="122"/>
      <c r="B227" s="9">
        <v>14</v>
      </c>
      <c r="C227" s="3" t="n">
        <v>20296.0</v>
      </c>
      <c r="D227" s="3" t="n">
        <v>20131.0</v>
      </c>
      <c r="E227" s="3" t="n">
        <v>20417.0</v>
      </c>
      <c r="F227" s="3" t="n">
        <v>19161.0</v>
      </c>
      <c r="G227" s="3" t="n">
        <v>19121.0</v>
      </c>
      <c r="H227" s="3" t="n">
        <v>18594.0</v>
      </c>
      <c r="I227" s="3" t="n">
        <v>19185.0</v>
      </c>
      <c r="J227" s="3" t="n">
        <v>19203.0</v>
      </c>
      <c r="K227" s="3" t="n">
        <v>19800.0</v>
      </c>
      <c r="L227" s="3" t="n">
        <v>20834.0</v>
      </c>
      <c r="M227" s="3" t="n">
        <v>19819.0</v>
      </c>
      <c r="N227" s="3" t="n">
        <v>19067.0</v>
      </c>
      <c r="O227" s="3" t="n">
        <v>18034.0</v>
      </c>
      <c r="P227" s="3" t="n">
        <v>17422.0</v>
      </c>
      <c r="Q227" s="3" t="n">
        <v>15654.0</v>
      </c>
      <c r="R227" s="3" t="n">
        <v>16424.0</v>
      </c>
      <c r="S227" s="3" t="n">
        <v>16530.0</v>
      </c>
      <c r="T227" s="3" t="n">
        <v>16626.0</v>
      </c>
      <c r="U227" s="3" t="n">
        <v>16641.0</v>
      </c>
      <c r="V227" s="3" t="n">
        <v>16569.0</v>
      </c>
      <c r="W227" s="3" t="n">
        <v>16557.0</v>
      </c>
      <c r="X227" s="3" t="n">
        <v>16628.0</v>
      </c>
      <c r="Y227" s="3" t="n">
        <v>16656.0</v>
      </c>
      <c r="Z227" s="3" t="n">
        <v>16672.0</v>
      </c>
      <c r="AA227" s="3" t="n">
        <v>16671.0</v>
      </c>
      <c r="AB227" s="3" t="n">
        <v>16648.0</v>
      </c>
      <c r="AC227" s="3" t="n">
        <v>16654.0</v>
      </c>
      <c r="AD227" s="3" t="n">
        <v>16686.0</v>
      </c>
      <c r="AE227" s="3" t="n">
        <v>16762.0</v>
      </c>
      <c r="AF227" s="3" t="n">
        <v>16873.0</v>
      </c>
      <c r="AG227" s="3" t="n">
        <v>17002.0</v>
      </c>
      <c r="AH227" s="3" t="n">
        <v>17125.0</v>
      </c>
      <c r="AI227" s="3" t="n">
        <v>17294.0</v>
      </c>
      <c r="AJ227" s="3" t="n">
        <v>17429.0</v>
      </c>
      <c r="AK227" s="3" t="n">
        <v>17553.0</v>
      </c>
      <c r="AL227" s="3" t="n">
        <v>17652.0</v>
      </c>
      <c r="AM227" s="3" t="n">
        <v>17708.0</v>
      </c>
      <c r="AN227" s="3" t="n">
        <v>17722.0</v>
      </c>
      <c r="AO227" s="3" t="n">
        <v>17713.0</v>
      </c>
    </row>
    <row r="228" spans="1:41" x14ac:dyDescent="0.2">
      <c r="A228" s="122"/>
      <c r="B228" s="9">
        <v>15</v>
      </c>
      <c r="C228" s="3" t="n">
        <v>18791.0</v>
      </c>
      <c r="D228" s="3" t="n">
        <v>20285.0</v>
      </c>
      <c r="E228" s="3" t="n">
        <v>20124.0</v>
      </c>
      <c r="F228" s="3" t="n">
        <v>20408.0</v>
      </c>
      <c r="G228" s="3" t="n">
        <v>19157.0</v>
      </c>
      <c r="H228" s="3" t="n">
        <v>19300.0</v>
      </c>
      <c r="I228" s="3" t="n">
        <v>18836.0</v>
      </c>
      <c r="J228" s="3" t="n">
        <v>19291.0</v>
      </c>
      <c r="K228" s="3" t="n">
        <v>19237.0</v>
      </c>
      <c r="L228" s="3" t="n">
        <v>19811.0</v>
      </c>
      <c r="M228" s="3" t="n">
        <v>20833.0</v>
      </c>
      <c r="N228" s="3" t="n">
        <v>19812.0</v>
      </c>
      <c r="O228" s="3" t="n">
        <v>19057.0</v>
      </c>
      <c r="P228" s="3" t="n">
        <v>18027.0</v>
      </c>
      <c r="Q228" s="3" t="n">
        <v>17418.0</v>
      </c>
      <c r="R228" s="3" t="n">
        <v>15648.0</v>
      </c>
      <c r="S228" s="3" t="n">
        <v>16421.0</v>
      </c>
      <c r="T228" s="3" t="n">
        <v>16525.0</v>
      </c>
      <c r="U228" s="3" t="n">
        <v>16621.0</v>
      </c>
      <c r="V228" s="3" t="n">
        <v>16635.0</v>
      </c>
      <c r="W228" s="3" t="n">
        <v>16562.0</v>
      </c>
      <c r="X228" s="3" t="n">
        <v>16550.0</v>
      </c>
      <c r="Y228" s="3" t="n">
        <v>16622.0</v>
      </c>
      <c r="Z228" s="3" t="n">
        <v>16651.0</v>
      </c>
      <c r="AA228" s="3" t="n">
        <v>16665.0</v>
      </c>
      <c r="AB228" s="3" t="n">
        <v>16664.0</v>
      </c>
      <c r="AC228" s="3" t="n">
        <v>16643.0</v>
      </c>
      <c r="AD228" s="3" t="n">
        <v>16649.0</v>
      </c>
      <c r="AE228" s="3" t="n">
        <v>16683.0</v>
      </c>
      <c r="AF228" s="3" t="n">
        <v>16757.0</v>
      </c>
      <c r="AG228" s="3" t="n">
        <v>16868.0</v>
      </c>
      <c r="AH228" s="3" t="n">
        <v>16998.0</v>
      </c>
      <c r="AI228" s="3" t="n">
        <v>17118.0</v>
      </c>
      <c r="AJ228" s="3" t="n">
        <v>17287.0</v>
      </c>
      <c r="AK228" s="3" t="n">
        <v>17422.0</v>
      </c>
      <c r="AL228" s="3" t="n">
        <v>17543.0</v>
      </c>
      <c r="AM228" s="3" t="n">
        <v>17642.0</v>
      </c>
      <c r="AN228" s="3" t="n">
        <v>17698.0</v>
      </c>
      <c r="AO228" s="3" t="n">
        <v>17714.0</v>
      </c>
    </row>
    <row r="229" spans="1:41" x14ac:dyDescent="0.2">
      <c r="A229" s="122"/>
      <c r="B229" s="9">
        <v>16</v>
      </c>
      <c r="C229" s="3" t="n">
        <v>17564.0</v>
      </c>
      <c r="D229" s="3" t="n">
        <v>18791.0</v>
      </c>
      <c r="E229" s="3" t="n">
        <v>20284.0</v>
      </c>
      <c r="F229" s="3" t="n">
        <v>20125.0</v>
      </c>
      <c r="G229" s="3" t="n">
        <v>20418.0</v>
      </c>
      <c r="H229" s="3" t="n">
        <v>19321.0</v>
      </c>
      <c r="I229" s="3" t="n">
        <v>19524.0</v>
      </c>
      <c r="J229" s="3" t="n">
        <v>18942.0</v>
      </c>
      <c r="K229" s="3" t="n">
        <v>19333.0</v>
      </c>
      <c r="L229" s="3" t="n">
        <v>19261.0</v>
      </c>
      <c r="M229" s="3" t="n">
        <v>19824.0</v>
      </c>
      <c r="N229" s="3" t="n">
        <v>20830.0</v>
      </c>
      <c r="O229" s="3" t="n">
        <v>19807.0</v>
      </c>
      <c r="P229" s="3" t="n">
        <v>19056.0</v>
      </c>
      <c r="Q229" s="3" t="n">
        <v>18026.0</v>
      </c>
      <c r="R229" s="3" t="n">
        <v>17413.0</v>
      </c>
      <c r="S229" s="3" t="n">
        <v>15643.0</v>
      </c>
      <c r="T229" s="3" t="n">
        <v>16415.0</v>
      </c>
      <c r="U229" s="3" t="n">
        <v>16519.0</v>
      </c>
      <c r="V229" s="3" t="n">
        <v>16615.0</v>
      </c>
      <c r="W229" s="3" t="n">
        <v>16631.0</v>
      </c>
      <c r="X229" s="3" t="n">
        <v>16557.0</v>
      </c>
      <c r="Y229" s="3" t="n">
        <v>16545.0</v>
      </c>
      <c r="Z229" s="3" t="n">
        <v>16616.0</v>
      </c>
      <c r="AA229" s="3" t="n">
        <v>16647.0</v>
      </c>
      <c r="AB229" s="3" t="n">
        <v>16661.0</v>
      </c>
      <c r="AC229" s="3" t="n">
        <v>16659.0</v>
      </c>
      <c r="AD229" s="3" t="n">
        <v>16640.0</v>
      </c>
      <c r="AE229" s="3" t="n">
        <v>16645.0</v>
      </c>
      <c r="AF229" s="3" t="n">
        <v>16679.0</v>
      </c>
      <c r="AG229" s="3" t="n">
        <v>16755.0</v>
      </c>
      <c r="AH229" s="3" t="n">
        <v>16866.0</v>
      </c>
      <c r="AI229" s="3" t="n">
        <v>16995.0</v>
      </c>
      <c r="AJ229" s="3" t="n">
        <v>17114.0</v>
      </c>
      <c r="AK229" s="3" t="n">
        <v>17284.0</v>
      </c>
      <c r="AL229" s="3" t="n">
        <v>17418.0</v>
      </c>
      <c r="AM229" s="3" t="n">
        <v>17540.0</v>
      </c>
      <c r="AN229" s="3" t="n">
        <v>17640.0</v>
      </c>
      <c r="AO229" s="3" t="n">
        <v>17694.0</v>
      </c>
    </row>
    <row r="230" spans="1:41" x14ac:dyDescent="0.2">
      <c r="A230" s="122"/>
      <c r="B230" s="9">
        <v>17</v>
      </c>
      <c r="C230" s="3" t="n">
        <v>17096.0</v>
      </c>
      <c r="D230" s="3" t="n">
        <v>17557.0</v>
      </c>
      <c r="E230" s="3" t="n">
        <v>18781.0</v>
      </c>
      <c r="F230" s="3" t="n">
        <v>20277.0</v>
      </c>
      <c r="G230" s="3" t="n">
        <v>20124.0</v>
      </c>
      <c r="H230" s="3" t="n">
        <v>20565.0</v>
      </c>
      <c r="I230" s="3" t="n">
        <v>19524.0</v>
      </c>
      <c r="J230" s="3" t="n">
        <v>19620.0</v>
      </c>
      <c r="K230" s="3" t="n">
        <v>18977.0</v>
      </c>
      <c r="L230" s="3" t="n">
        <v>19349.0</v>
      </c>
      <c r="M230" s="3" t="n">
        <v>19265.0</v>
      </c>
      <c r="N230" s="3" t="n">
        <v>19819.0</v>
      </c>
      <c r="O230" s="3" t="n">
        <v>20820.0</v>
      </c>
      <c r="P230" s="3" t="n">
        <v>19802.0</v>
      </c>
      <c r="Q230" s="3" t="n">
        <v>19052.0</v>
      </c>
      <c r="R230" s="3" t="n">
        <v>18017.0</v>
      </c>
      <c r="S230" s="3" t="n">
        <v>17403.0</v>
      </c>
      <c r="T230" s="3" t="n">
        <v>15632.0</v>
      </c>
      <c r="U230" s="3" t="n">
        <v>16407.0</v>
      </c>
      <c r="V230" s="3" t="n">
        <v>16510.0</v>
      </c>
      <c r="W230" s="3" t="n">
        <v>16605.0</v>
      </c>
      <c r="X230" s="3" t="n">
        <v>16622.0</v>
      </c>
      <c r="Y230" s="3" t="n">
        <v>16548.0</v>
      </c>
      <c r="Z230" s="3" t="n">
        <v>16535.0</v>
      </c>
      <c r="AA230" s="3" t="n">
        <v>16607.0</v>
      </c>
      <c r="AB230" s="3" t="n">
        <v>16638.0</v>
      </c>
      <c r="AC230" s="3" t="n">
        <v>16653.0</v>
      </c>
      <c r="AD230" s="3" t="n">
        <v>16651.0</v>
      </c>
      <c r="AE230" s="3" t="n">
        <v>16631.0</v>
      </c>
      <c r="AF230" s="3" t="n">
        <v>16637.0</v>
      </c>
      <c r="AG230" s="3" t="n">
        <v>16669.0</v>
      </c>
      <c r="AH230" s="3" t="n">
        <v>16746.0</v>
      </c>
      <c r="AI230" s="3" t="n">
        <v>16859.0</v>
      </c>
      <c r="AJ230" s="3" t="n">
        <v>16987.0</v>
      </c>
      <c r="AK230" s="3" t="n">
        <v>17105.0</v>
      </c>
      <c r="AL230" s="3" t="n">
        <v>17276.0</v>
      </c>
      <c r="AM230" s="3" t="n">
        <v>17409.0</v>
      </c>
      <c r="AN230" s="3" t="n">
        <v>17532.0</v>
      </c>
      <c r="AO230" s="3" t="n">
        <v>17634.0</v>
      </c>
    </row>
    <row r="231" spans="1:41" x14ac:dyDescent="0.2">
      <c r="A231" s="122"/>
      <c r="B231" s="9">
        <v>18</v>
      </c>
      <c r="C231" s="3" t="n">
        <v>16088.0</v>
      </c>
      <c r="D231" s="3" t="n">
        <v>17088.0</v>
      </c>
      <c r="E231" s="3" t="n">
        <v>17553.0</v>
      </c>
      <c r="F231" s="3" t="n">
        <v>18778.0</v>
      </c>
      <c r="G231" s="3" t="n">
        <v>20276.0</v>
      </c>
      <c r="H231" s="3" t="n">
        <v>20277.0</v>
      </c>
      <c r="I231" s="3" t="n">
        <v>20773.0</v>
      </c>
      <c r="J231" s="3" t="n">
        <v>19619.0</v>
      </c>
      <c r="K231" s="3" t="n">
        <v>19654.0</v>
      </c>
      <c r="L231" s="3" t="n">
        <v>18993.0</v>
      </c>
      <c r="M231" s="3" t="n">
        <v>19355.0</v>
      </c>
      <c r="N231" s="3" t="n">
        <v>19261.0</v>
      </c>
      <c r="O231" s="3" t="n">
        <v>19808.0</v>
      </c>
      <c r="P231" s="3" t="n">
        <v>20807.0</v>
      </c>
      <c r="Q231" s="3" t="n">
        <v>19793.0</v>
      </c>
      <c r="R231" s="3" t="n">
        <v>19048.0</v>
      </c>
      <c r="S231" s="3" t="n">
        <v>18008.0</v>
      </c>
      <c r="T231" s="3" t="n">
        <v>17396.0</v>
      </c>
      <c r="U231" s="3" t="n">
        <v>15625.0</v>
      </c>
      <c r="V231" s="3" t="n">
        <v>16393.0</v>
      </c>
      <c r="W231" s="3" t="n">
        <v>16497.0</v>
      </c>
      <c r="X231" s="3" t="n">
        <v>16593.0</v>
      </c>
      <c r="Y231" s="3" t="n">
        <v>16612.0</v>
      </c>
      <c r="Z231" s="3" t="n">
        <v>16538.0</v>
      </c>
      <c r="AA231" s="3" t="n">
        <v>16523.0</v>
      </c>
      <c r="AB231" s="3" t="n">
        <v>16594.0</v>
      </c>
      <c r="AC231" s="3" t="n">
        <v>16625.0</v>
      </c>
      <c r="AD231" s="3" t="n">
        <v>16641.0</v>
      </c>
      <c r="AE231" s="3" t="n">
        <v>16639.0</v>
      </c>
      <c r="AF231" s="3" t="n">
        <v>16619.0</v>
      </c>
      <c r="AG231" s="3" t="n">
        <v>16626.0</v>
      </c>
      <c r="AH231" s="3" t="n">
        <v>16659.0</v>
      </c>
      <c r="AI231" s="3" t="n">
        <v>16737.0</v>
      </c>
      <c r="AJ231" s="3" t="n">
        <v>16849.0</v>
      </c>
      <c r="AK231" s="3" t="n">
        <v>16979.0</v>
      </c>
      <c r="AL231" s="3" t="n">
        <v>17099.0</v>
      </c>
      <c r="AM231" s="3" t="n">
        <v>17270.0</v>
      </c>
      <c r="AN231" s="3" t="n">
        <v>17403.0</v>
      </c>
      <c r="AO231" s="3" t="n">
        <v>17526.0</v>
      </c>
    </row>
    <row r="232" spans="1:41" x14ac:dyDescent="0.2">
      <c r="A232" s="122"/>
      <c r="B232" s="9">
        <v>19</v>
      </c>
      <c r="C232" s="3" t="n">
        <v>16000.0</v>
      </c>
      <c r="D232" s="3" t="n">
        <v>16080.0</v>
      </c>
      <c r="E232" s="3" t="n">
        <v>17078.0</v>
      </c>
      <c r="F232" s="3" t="n">
        <v>17548.0</v>
      </c>
      <c r="G232" s="3" t="n">
        <v>18777.0</v>
      </c>
      <c r="H232" s="3" t="n">
        <v>20432.0</v>
      </c>
      <c r="I232" s="3" t="n">
        <v>20502.0</v>
      </c>
      <c r="J232" s="3" t="n">
        <v>20873.0</v>
      </c>
      <c r="K232" s="3" t="n">
        <v>19657.0</v>
      </c>
      <c r="L232" s="3" t="n">
        <v>19669.0</v>
      </c>
      <c r="M232" s="3" t="n">
        <v>19001.0</v>
      </c>
      <c r="N232" s="3" t="n">
        <v>19352.0</v>
      </c>
      <c r="O232" s="3" t="n">
        <v>19258.0</v>
      </c>
      <c r="P232" s="3" t="n">
        <v>19803.0</v>
      </c>
      <c r="Q232" s="3" t="n">
        <v>20804.0</v>
      </c>
      <c r="R232" s="3" t="n">
        <v>19786.0</v>
      </c>
      <c r="S232" s="3" t="n">
        <v>19040.0</v>
      </c>
      <c r="T232" s="3" t="n">
        <v>18001.0</v>
      </c>
      <c r="U232" s="3" t="n">
        <v>17392.0</v>
      </c>
      <c r="V232" s="3" t="n">
        <v>15622.0</v>
      </c>
      <c r="W232" s="3" t="n">
        <v>16388.0</v>
      </c>
      <c r="X232" s="3" t="n">
        <v>16490.0</v>
      </c>
      <c r="Y232" s="3" t="n">
        <v>16589.0</v>
      </c>
      <c r="Z232" s="3" t="n">
        <v>16607.0</v>
      </c>
      <c r="AA232" s="3" t="n">
        <v>16533.0</v>
      </c>
      <c r="AB232" s="3" t="n">
        <v>16520.0</v>
      </c>
      <c r="AC232" s="3" t="n">
        <v>16591.0</v>
      </c>
      <c r="AD232" s="3" t="n">
        <v>16621.0</v>
      </c>
      <c r="AE232" s="3" t="n">
        <v>16636.0</v>
      </c>
      <c r="AF232" s="3" t="n">
        <v>16636.0</v>
      </c>
      <c r="AG232" s="3" t="n">
        <v>16614.0</v>
      </c>
      <c r="AH232" s="3" t="n">
        <v>16622.0</v>
      </c>
      <c r="AI232" s="3" t="n">
        <v>16656.0</v>
      </c>
      <c r="AJ232" s="3" t="n">
        <v>16737.0</v>
      </c>
      <c r="AK232" s="3" t="n">
        <v>16849.0</v>
      </c>
      <c r="AL232" s="3" t="n">
        <v>16978.0</v>
      </c>
      <c r="AM232" s="3" t="n">
        <v>17096.0</v>
      </c>
      <c r="AN232" s="3" t="n">
        <v>17267.0</v>
      </c>
      <c r="AO232" s="3" t="n">
        <v>17400.0</v>
      </c>
    </row>
    <row r="233" spans="1:41" x14ac:dyDescent="0.2">
      <c r="A233" s="122"/>
      <c r="B233" s="9">
        <v>20</v>
      </c>
      <c r="C233" s="3" t="n">
        <v>16170.0</v>
      </c>
      <c r="D233" s="3" t="n">
        <v>15992.0</v>
      </c>
      <c r="E233" s="3" t="n">
        <v>16078.0</v>
      </c>
      <c r="F233" s="3" t="n">
        <v>17074.0</v>
      </c>
      <c r="G233" s="3" t="n">
        <v>17545.0</v>
      </c>
      <c r="H233" s="3" t="n">
        <v>18914.0</v>
      </c>
      <c r="I233" s="3" t="n">
        <v>20623.0</v>
      </c>
      <c r="J233" s="3" t="n">
        <v>20589.0</v>
      </c>
      <c r="K233" s="3" t="n">
        <v>20909.0</v>
      </c>
      <c r="L233" s="3" t="n">
        <v>19669.0</v>
      </c>
      <c r="M233" s="3" t="n">
        <v>19671.0</v>
      </c>
      <c r="N233" s="3" t="n">
        <v>18996.0</v>
      </c>
      <c r="O233" s="3" t="n">
        <v>19343.0</v>
      </c>
      <c r="P233" s="3" t="n">
        <v>19253.0</v>
      </c>
      <c r="Q233" s="3" t="n">
        <v>19799.0</v>
      </c>
      <c r="R233" s="3" t="n">
        <v>20797.0</v>
      </c>
      <c r="S233" s="3" t="n">
        <v>19775.0</v>
      </c>
      <c r="T233" s="3" t="n">
        <v>19031.0</v>
      </c>
      <c r="U233" s="3" t="n">
        <v>17985.0</v>
      </c>
      <c r="V233" s="3" t="n">
        <v>17382.0</v>
      </c>
      <c r="W233" s="3" t="n">
        <v>15619.0</v>
      </c>
      <c r="X233" s="3" t="n">
        <v>16384.0</v>
      </c>
      <c r="Y233" s="3" t="n">
        <v>16484.0</v>
      </c>
      <c r="Z233" s="3" t="n">
        <v>16583.0</v>
      </c>
      <c r="AA233" s="3" t="n">
        <v>16602.0</v>
      </c>
      <c r="AB233" s="3" t="n">
        <v>16527.0</v>
      </c>
      <c r="AC233" s="3" t="n">
        <v>16511.0</v>
      </c>
      <c r="AD233" s="3" t="n">
        <v>16583.0</v>
      </c>
      <c r="AE233" s="3" t="n">
        <v>16613.0</v>
      </c>
      <c r="AF233" s="3" t="n">
        <v>16629.0</v>
      </c>
      <c r="AG233" s="3" t="n">
        <v>16629.0</v>
      </c>
      <c r="AH233" s="3" t="n">
        <v>16608.0</v>
      </c>
      <c r="AI233" s="3" t="n">
        <v>16616.0</v>
      </c>
      <c r="AJ233" s="3" t="n">
        <v>16650.0</v>
      </c>
      <c r="AK233" s="3" t="n">
        <v>16731.0</v>
      </c>
      <c r="AL233" s="3" t="n">
        <v>16843.0</v>
      </c>
      <c r="AM233" s="3" t="n">
        <v>16975.0</v>
      </c>
      <c r="AN233" s="3" t="n">
        <v>17094.0</v>
      </c>
      <c r="AO233" s="3" t="n">
        <v>17265.0</v>
      </c>
    </row>
    <row r="234" spans="1:41" x14ac:dyDescent="0.2">
      <c r="A234" s="122"/>
      <c r="B234" s="9">
        <v>21</v>
      </c>
      <c r="C234" s="3" t="n">
        <v>16633.0</v>
      </c>
      <c r="D234" s="3" t="n">
        <v>16152.0</v>
      </c>
      <c r="E234" s="3" t="n">
        <v>15980.0</v>
      </c>
      <c r="F234" s="3" t="n">
        <v>16074.0</v>
      </c>
      <c r="G234" s="3" t="n">
        <v>17072.0</v>
      </c>
      <c r="H234" s="3" t="n">
        <v>17663.0</v>
      </c>
      <c r="I234" s="3" t="n">
        <v>19079.0</v>
      </c>
      <c r="J234" s="3" t="n">
        <v>20691.0</v>
      </c>
      <c r="K234" s="3" t="n">
        <v>20605.0</v>
      </c>
      <c r="L234" s="3" t="n">
        <v>20906.0</v>
      </c>
      <c r="M234" s="3" t="n">
        <v>19664.0</v>
      </c>
      <c r="N234" s="3" t="n">
        <v>19664.0</v>
      </c>
      <c r="O234" s="3" t="n">
        <v>18987.0</v>
      </c>
      <c r="P234" s="3" t="n">
        <v>19333.0</v>
      </c>
      <c r="Q234" s="3" t="n">
        <v>19240.0</v>
      </c>
      <c r="R234" s="3" t="n">
        <v>19781.0</v>
      </c>
      <c r="S234" s="3" t="n">
        <v>20781.0</v>
      </c>
      <c r="T234" s="3" t="n">
        <v>19758.0</v>
      </c>
      <c r="U234" s="3" t="n">
        <v>19017.0</v>
      </c>
      <c r="V234" s="3" t="n">
        <v>17971.0</v>
      </c>
      <c r="W234" s="3" t="n">
        <v>17365.0</v>
      </c>
      <c r="X234" s="3" t="n">
        <v>15604.0</v>
      </c>
      <c r="Y234" s="3" t="n">
        <v>16368.0</v>
      </c>
      <c r="Z234" s="3" t="n">
        <v>16469.0</v>
      </c>
      <c r="AA234" s="3" t="n">
        <v>16568.0</v>
      </c>
      <c r="AB234" s="3" t="n">
        <v>16587.0</v>
      </c>
      <c r="AC234" s="3" t="n">
        <v>16512.0</v>
      </c>
      <c r="AD234" s="3" t="n">
        <v>16497.0</v>
      </c>
      <c r="AE234" s="3" t="n">
        <v>16568.0</v>
      </c>
      <c r="AF234" s="3" t="n">
        <v>16596.0</v>
      </c>
      <c r="AG234" s="3" t="n">
        <v>16612.0</v>
      </c>
      <c r="AH234" s="3" t="n">
        <v>16613.0</v>
      </c>
      <c r="AI234" s="3" t="n">
        <v>16592.0</v>
      </c>
      <c r="AJ234" s="3" t="n">
        <v>16599.0</v>
      </c>
      <c r="AK234" s="3" t="n">
        <v>16635.0</v>
      </c>
      <c r="AL234" s="3" t="n">
        <v>16715.0</v>
      </c>
      <c r="AM234" s="3" t="n">
        <v>16825.0</v>
      </c>
      <c r="AN234" s="3" t="n">
        <v>16959.0</v>
      </c>
      <c r="AO234" s="3" t="n">
        <v>17078.0</v>
      </c>
    </row>
    <row r="235" spans="1:41" x14ac:dyDescent="0.2">
      <c r="A235" s="122"/>
      <c r="B235" s="9">
        <v>22</v>
      </c>
      <c r="C235" s="3" t="n">
        <v>17273.0</v>
      </c>
      <c r="D235" s="3" t="n">
        <v>16634.0</v>
      </c>
      <c r="E235" s="3" t="n">
        <v>16148.0</v>
      </c>
      <c r="F235" s="3" t="n">
        <v>15978.0</v>
      </c>
      <c r="G235" s="3" t="n">
        <v>16079.0</v>
      </c>
      <c r="H235" s="3" t="n">
        <v>17198.0</v>
      </c>
      <c r="I235" s="3" t="n">
        <v>17835.0</v>
      </c>
      <c r="J235" s="3" t="n">
        <v>19150.0</v>
      </c>
      <c r="K235" s="3" t="n">
        <v>20715.0</v>
      </c>
      <c r="L235" s="3" t="n">
        <v>20616.0</v>
      </c>
      <c r="M235" s="3" t="n">
        <v>20911.0</v>
      </c>
      <c r="N235" s="3" t="n">
        <v>19663.0</v>
      </c>
      <c r="O235" s="3" t="n">
        <v>19659.0</v>
      </c>
      <c r="P235" s="3" t="n">
        <v>18981.0</v>
      </c>
      <c r="Q235" s="3" t="n">
        <v>19330.0</v>
      </c>
      <c r="R235" s="3" t="n">
        <v>19233.0</v>
      </c>
      <c r="S235" s="3" t="n">
        <v>19771.0</v>
      </c>
      <c r="T235" s="3" t="n">
        <v>20769.0</v>
      </c>
      <c r="U235" s="3" t="n">
        <v>19751.0</v>
      </c>
      <c r="V235" s="3" t="n">
        <v>19011.0</v>
      </c>
      <c r="W235" s="3" t="n">
        <v>17958.0</v>
      </c>
      <c r="X235" s="3" t="n">
        <v>17352.0</v>
      </c>
      <c r="Y235" s="3" t="n">
        <v>15588.0</v>
      </c>
      <c r="Z235" s="3" t="n">
        <v>16348.0</v>
      </c>
      <c r="AA235" s="3" t="n">
        <v>16445.0</v>
      </c>
      <c r="AB235" s="3" t="n">
        <v>16545.0</v>
      </c>
      <c r="AC235" s="3" t="n">
        <v>16566.0</v>
      </c>
      <c r="AD235" s="3" t="n">
        <v>16490.0</v>
      </c>
      <c r="AE235" s="3" t="n">
        <v>16476.0</v>
      </c>
      <c r="AF235" s="3" t="n">
        <v>16549.0</v>
      </c>
      <c r="AG235" s="3" t="n">
        <v>16577.0</v>
      </c>
      <c r="AH235" s="3" t="n">
        <v>16593.0</v>
      </c>
      <c r="AI235" s="3" t="n">
        <v>16594.0</v>
      </c>
      <c r="AJ235" s="3" t="n">
        <v>16573.0</v>
      </c>
      <c r="AK235" s="3" t="n">
        <v>16581.0</v>
      </c>
      <c r="AL235" s="3" t="n">
        <v>16618.0</v>
      </c>
      <c r="AM235" s="3" t="n">
        <v>16697.0</v>
      </c>
      <c r="AN235" s="3" t="n">
        <v>16806.0</v>
      </c>
      <c r="AO235" s="3" t="n">
        <v>16941.0</v>
      </c>
    </row>
    <row r="236" spans="1:41" x14ac:dyDescent="0.2">
      <c r="A236" s="122"/>
      <c r="B236" s="9">
        <v>23</v>
      </c>
      <c r="C236" s="3" t="n">
        <v>17819.0</v>
      </c>
      <c r="D236" s="3" t="n">
        <v>17277.0</v>
      </c>
      <c r="E236" s="3" t="n">
        <v>16645.0</v>
      </c>
      <c r="F236" s="3" t="n">
        <v>16156.0</v>
      </c>
      <c r="G236" s="3" t="n">
        <v>15992.0</v>
      </c>
      <c r="H236" s="3" t="n">
        <v>16215.0</v>
      </c>
      <c r="I236" s="3" t="n">
        <v>17377.0</v>
      </c>
      <c r="J236" s="3" t="n">
        <v>17918.0</v>
      </c>
      <c r="K236" s="3" t="n">
        <v>19186.0</v>
      </c>
      <c r="L236" s="3" t="n">
        <v>20722.0</v>
      </c>
      <c r="M236" s="3" t="n">
        <v>20618.0</v>
      </c>
      <c r="N236" s="3" t="n">
        <v>20907.0</v>
      </c>
      <c r="O236" s="3" t="n">
        <v>19660.0</v>
      </c>
      <c r="P236" s="3" t="n">
        <v>19658.0</v>
      </c>
      <c r="Q236" s="3" t="n">
        <v>18974.0</v>
      </c>
      <c r="R236" s="3" t="n">
        <v>19335.0</v>
      </c>
      <c r="S236" s="3" t="n">
        <v>19237.0</v>
      </c>
      <c r="T236" s="3" t="n">
        <v>19767.0</v>
      </c>
      <c r="U236" s="3" t="n">
        <v>20765.0</v>
      </c>
      <c r="V236" s="3" t="n">
        <v>19744.0</v>
      </c>
      <c r="W236" s="3" t="n">
        <v>19014.0</v>
      </c>
      <c r="X236" s="3" t="n">
        <v>17957.0</v>
      </c>
      <c r="Y236" s="3" t="n">
        <v>17349.0</v>
      </c>
      <c r="Z236" s="3" t="n">
        <v>15587.0</v>
      </c>
      <c r="AA236" s="3" t="n">
        <v>16351.0</v>
      </c>
      <c r="AB236" s="3" t="n">
        <v>16447.0</v>
      </c>
      <c r="AC236" s="3" t="n">
        <v>16546.0</v>
      </c>
      <c r="AD236" s="3" t="n">
        <v>16568.0</v>
      </c>
      <c r="AE236" s="3" t="n">
        <v>16490.0</v>
      </c>
      <c r="AF236" s="3" t="n">
        <v>16474.0</v>
      </c>
      <c r="AG236" s="3" t="n">
        <v>16549.0</v>
      </c>
      <c r="AH236" s="3" t="n">
        <v>16576.0</v>
      </c>
      <c r="AI236" s="3" t="n">
        <v>16593.0</v>
      </c>
      <c r="AJ236" s="3" t="n">
        <v>16592.0</v>
      </c>
      <c r="AK236" s="3" t="n">
        <v>16570.0</v>
      </c>
      <c r="AL236" s="3" t="n">
        <v>16576.0</v>
      </c>
      <c r="AM236" s="3" t="n">
        <v>16615.0</v>
      </c>
      <c r="AN236" s="3" t="n">
        <v>16690.0</v>
      </c>
      <c r="AO236" s="3" t="n">
        <v>16797.0</v>
      </c>
    </row>
    <row r="237" spans="1:41" x14ac:dyDescent="0.2">
      <c r="A237" s="122"/>
      <c r="B237" s="9">
        <v>24</v>
      </c>
      <c r="C237" s="3" t="n">
        <v>18215.0</v>
      </c>
      <c r="D237" s="3" t="n">
        <v>17815.0</v>
      </c>
      <c r="E237" s="3" t="n">
        <v>17278.0</v>
      </c>
      <c r="F237" s="3" t="n">
        <v>16658.0</v>
      </c>
      <c r="G237" s="3" t="n">
        <v>16166.0</v>
      </c>
      <c r="H237" s="3" t="n">
        <v>16122.0</v>
      </c>
      <c r="I237" s="3" t="n">
        <v>16389.0</v>
      </c>
      <c r="J237" s="3" t="n">
        <v>17458.0</v>
      </c>
      <c r="K237" s="3" t="n">
        <v>17941.0</v>
      </c>
      <c r="L237" s="3" t="n">
        <v>19207.0</v>
      </c>
      <c r="M237" s="3" t="n">
        <v>20725.0</v>
      </c>
      <c r="N237" s="3" t="n">
        <v>20617.0</v>
      </c>
      <c r="O237" s="3" t="n">
        <v>20901.0</v>
      </c>
      <c r="P237" s="3" t="n">
        <v>19653.0</v>
      </c>
      <c r="Q237" s="3" t="n">
        <v>19656.0</v>
      </c>
      <c r="R237" s="3" t="n">
        <v>18962.0</v>
      </c>
      <c r="S237" s="3" t="n">
        <v>19324.0</v>
      </c>
      <c r="T237" s="3" t="n">
        <v>19224.0</v>
      </c>
      <c r="U237" s="3" t="n">
        <v>19754.0</v>
      </c>
      <c r="V237" s="3" t="n">
        <v>20752.0</v>
      </c>
      <c r="W237" s="3" t="n">
        <v>19728.0</v>
      </c>
      <c r="X237" s="3" t="n">
        <v>18997.0</v>
      </c>
      <c r="Y237" s="3" t="n">
        <v>17940.0</v>
      </c>
      <c r="Z237" s="3" t="n">
        <v>17339.0</v>
      </c>
      <c r="AA237" s="3" t="n">
        <v>15574.0</v>
      </c>
      <c r="AB237" s="3" t="n">
        <v>16335.0</v>
      </c>
      <c r="AC237" s="3" t="n">
        <v>16430.0</v>
      </c>
      <c r="AD237" s="3" t="n">
        <v>16530.0</v>
      </c>
      <c r="AE237" s="3" t="n">
        <v>16553.0</v>
      </c>
      <c r="AF237" s="3" t="n">
        <v>16474.0</v>
      </c>
      <c r="AG237" s="3" t="n">
        <v>16461.0</v>
      </c>
      <c r="AH237" s="3" t="n">
        <v>16534.0</v>
      </c>
      <c r="AI237" s="3" t="n">
        <v>16560.0</v>
      </c>
      <c r="AJ237" s="3" t="n">
        <v>16577.0</v>
      </c>
      <c r="AK237" s="3" t="n">
        <v>16577.0</v>
      </c>
      <c r="AL237" s="3" t="n">
        <v>16553.0</v>
      </c>
      <c r="AM237" s="3" t="n">
        <v>16559.0</v>
      </c>
      <c r="AN237" s="3" t="n">
        <v>16600.0</v>
      </c>
      <c r="AO237" s="3" t="n">
        <v>16673.0</v>
      </c>
    </row>
    <row r="238" spans="1:41" x14ac:dyDescent="0.2">
      <c r="A238" s="122"/>
      <c r="B238" s="9">
        <v>25</v>
      </c>
      <c r="C238" s="3" t="n">
        <v>19116.0</v>
      </c>
      <c r="D238" s="3" t="n">
        <v>18202.0</v>
      </c>
      <c r="E238" s="3" t="n">
        <v>17804.0</v>
      </c>
      <c r="F238" s="3" t="n">
        <v>17276.0</v>
      </c>
      <c r="G238" s="3" t="n">
        <v>16662.0</v>
      </c>
      <c r="H238" s="3" t="n">
        <v>16298.0</v>
      </c>
      <c r="I238" s="3" t="n">
        <v>16306.0</v>
      </c>
      <c r="J238" s="3" t="n">
        <v>16478.0</v>
      </c>
      <c r="K238" s="3" t="n">
        <v>17490.0</v>
      </c>
      <c r="L238" s="3" t="n">
        <v>17951.0</v>
      </c>
      <c r="M238" s="3" t="n">
        <v>19210.0</v>
      </c>
      <c r="N238" s="3" t="n">
        <v>20713.0</v>
      </c>
      <c r="O238" s="3" t="n">
        <v>20608.0</v>
      </c>
      <c r="P238" s="3" t="n">
        <v>20889.0</v>
      </c>
      <c r="Q238" s="3" t="n">
        <v>19635.0</v>
      </c>
      <c r="R238" s="3" t="n">
        <v>19642.0</v>
      </c>
      <c r="S238" s="3" t="n">
        <v>18950.0</v>
      </c>
      <c r="T238" s="3" t="n">
        <v>19305.0</v>
      </c>
      <c r="U238" s="3" t="n">
        <v>19209.0</v>
      </c>
      <c r="V238" s="3" t="n">
        <v>19729.0</v>
      </c>
      <c r="W238" s="3" t="n">
        <v>20725.0</v>
      </c>
      <c r="X238" s="3" t="n">
        <v>19703.0</v>
      </c>
      <c r="Y238" s="3" t="n">
        <v>18975.0</v>
      </c>
      <c r="Z238" s="3" t="n">
        <v>17918.0</v>
      </c>
      <c r="AA238" s="3" t="n">
        <v>17320.0</v>
      </c>
      <c r="AB238" s="3" t="n">
        <v>15553.0</v>
      </c>
      <c r="AC238" s="3" t="n">
        <v>16317.0</v>
      </c>
      <c r="AD238" s="3" t="n">
        <v>16411.0</v>
      </c>
      <c r="AE238" s="3" t="n">
        <v>16510.0</v>
      </c>
      <c r="AF238" s="3" t="n">
        <v>16537.0</v>
      </c>
      <c r="AG238" s="3" t="n">
        <v>16457.0</v>
      </c>
      <c r="AH238" s="3" t="n">
        <v>16443.0</v>
      </c>
      <c r="AI238" s="3" t="n">
        <v>16517.0</v>
      </c>
      <c r="AJ238" s="3" t="n">
        <v>16542.0</v>
      </c>
      <c r="AK238" s="3" t="n">
        <v>16559.0</v>
      </c>
      <c r="AL238" s="3" t="n">
        <v>16558.0</v>
      </c>
      <c r="AM238" s="3" t="n">
        <v>16537.0</v>
      </c>
      <c r="AN238" s="3" t="n">
        <v>16540.0</v>
      </c>
      <c r="AO238" s="3" t="n">
        <v>16580.0</v>
      </c>
    </row>
    <row r="239" spans="1:41" x14ac:dyDescent="0.2">
      <c r="A239" s="122"/>
      <c r="B239" s="9">
        <v>26</v>
      </c>
      <c r="C239" s="3" t="n">
        <v>19637.0</v>
      </c>
      <c r="D239" s="3" t="n">
        <v>19134.0</v>
      </c>
      <c r="E239" s="3" t="n">
        <v>18226.0</v>
      </c>
      <c r="F239" s="3" t="n">
        <v>17828.0</v>
      </c>
      <c r="G239" s="3" t="n">
        <v>17312.0</v>
      </c>
      <c r="H239" s="3" t="n">
        <v>16826.0</v>
      </c>
      <c r="I239" s="3" t="n">
        <v>16502.0</v>
      </c>
      <c r="J239" s="3" t="n">
        <v>16414.0</v>
      </c>
      <c r="K239" s="3" t="n">
        <v>16532.0</v>
      </c>
      <c r="L239" s="3" t="n">
        <v>17521.0</v>
      </c>
      <c r="M239" s="3" t="n">
        <v>17977.0</v>
      </c>
      <c r="N239" s="3" t="n">
        <v>19227.0</v>
      </c>
      <c r="O239" s="3" t="n">
        <v>20724.0</v>
      </c>
      <c r="P239" s="3" t="n">
        <v>20629.0</v>
      </c>
      <c r="Q239" s="3" t="n">
        <v>20900.0</v>
      </c>
      <c r="R239" s="3" t="n">
        <v>19644.0</v>
      </c>
      <c r="S239" s="3" t="n">
        <v>19661.0</v>
      </c>
      <c r="T239" s="3" t="n">
        <v>18960.0</v>
      </c>
      <c r="U239" s="3" t="n">
        <v>19315.0</v>
      </c>
      <c r="V239" s="3" t="n">
        <v>19218.0</v>
      </c>
      <c r="W239" s="3" t="n">
        <v>19732.0</v>
      </c>
      <c r="X239" s="3" t="n">
        <v>20729.0</v>
      </c>
      <c r="Y239" s="3" t="n">
        <v>19702.0</v>
      </c>
      <c r="Z239" s="3" t="n">
        <v>18975.0</v>
      </c>
      <c r="AA239" s="3" t="n">
        <v>17924.0</v>
      </c>
      <c r="AB239" s="3" t="n">
        <v>17318.0</v>
      </c>
      <c r="AC239" s="3" t="n">
        <v>15555.0</v>
      </c>
      <c r="AD239" s="3" t="n">
        <v>16316.0</v>
      </c>
      <c r="AE239" s="3" t="n">
        <v>16406.0</v>
      </c>
      <c r="AF239" s="3" t="n">
        <v>16505.0</v>
      </c>
      <c r="AG239" s="3" t="n">
        <v>16534.0</v>
      </c>
      <c r="AH239" s="3" t="n">
        <v>16455.0</v>
      </c>
      <c r="AI239" s="3" t="n">
        <v>16441.0</v>
      </c>
      <c r="AJ239" s="3" t="n">
        <v>16516.0</v>
      </c>
      <c r="AK239" s="3" t="n">
        <v>16541.0</v>
      </c>
      <c r="AL239" s="3" t="n">
        <v>16556.0</v>
      </c>
      <c r="AM239" s="3" t="n">
        <v>16557.0</v>
      </c>
      <c r="AN239" s="3" t="n">
        <v>16536.0</v>
      </c>
      <c r="AO239" s="3" t="n">
        <v>16537.0</v>
      </c>
    </row>
    <row r="240" spans="1:41" x14ac:dyDescent="0.2">
      <c r="A240" s="122"/>
      <c r="B240" s="9">
        <v>27</v>
      </c>
      <c r="C240" s="3" t="n">
        <v>20409.0</v>
      </c>
      <c r="D240" s="3" t="n">
        <v>19667.0</v>
      </c>
      <c r="E240" s="3" t="n">
        <v>19161.0</v>
      </c>
      <c r="F240" s="3" t="n">
        <v>18257.0</v>
      </c>
      <c r="G240" s="3" t="n">
        <v>17863.0</v>
      </c>
      <c r="H240" s="3" t="n">
        <v>17487.0</v>
      </c>
      <c r="I240" s="3" t="n">
        <v>17067.0</v>
      </c>
      <c r="J240" s="3" t="n">
        <v>16632.0</v>
      </c>
      <c r="K240" s="3" t="n">
        <v>16497.0</v>
      </c>
      <c r="L240" s="3" t="n">
        <v>16591.0</v>
      </c>
      <c r="M240" s="3" t="n">
        <v>17562.0</v>
      </c>
      <c r="N240" s="3" t="n">
        <v>18016.0</v>
      </c>
      <c r="O240" s="3" t="n">
        <v>19258.0</v>
      </c>
      <c r="P240" s="3" t="n">
        <v>20755.0</v>
      </c>
      <c r="Q240" s="3" t="n">
        <v>20660.0</v>
      </c>
      <c r="R240" s="3" t="n">
        <v>20933.0</v>
      </c>
      <c r="S240" s="3" t="n">
        <v>19674.0</v>
      </c>
      <c r="T240" s="3" t="n">
        <v>19695.0</v>
      </c>
      <c r="U240" s="3" t="n">
        <v>18990.0</v>
      </c>
      <c r="V240" s="3" t="n">
        <v>19342.0</v>
      </c>
      <c r="W240" s="3" t="n">
        <v>19249.0</v>
      </c>
      <c r="X240" s="3" t="n">
        <v>19762.0</v>
      </c>
      <c r="Y240" s="3" t="n">
        <v>20754.0</v>
      </c>
      <c r="Z240" s="3" t="n">
        <v>19722.0</v>
      </c>
      <c r="AA240" s="3" t="n">
        <v>18998.0</v>
      </c>
      <c r="AB240" s="3" t="n">
        <v>17943.0</v>
      </c>
      <c r="AC240" s="3" t="n">
        <v>17337.0</v>
      </c>
      <c r="AD240" s="3" t="n">
        <v>15573.0</v>
      </c>
      <c r="AE240" s="3" t="n">
        <v>16331.0</v>
      </c>
      <c r="AF240" s="3" t="n">
        <v>16422.0</v>
      </c>
      <c r="AG240" s="3" t="n">
        <v>16524.0</v>
      </c>
      <c r="AH240" s="3" t="n">
        <v>16554.0</v>
      </c>
      <c r="AI240" s="3" t="n">
        <v>16476.0</v>
      </c>
      <c r="AJ240" s="3" t="n">
        <v>16460.0</v>
      </c>
      <c r="AK240" s="3" t="n">
        <v>16535.0</v>
      </c>
      <c r="AL240" s="3" t="n">
        <v>16555.0</v>
      </c>
      <c r="AM240" s="3" t="n">
        <v>16570.0</v>
      </c>
      <c r="AN240" s="3" t="n">
        <v>16571.0</v>
      </c>
      <c r="AO240" s="3" t="n">
        <v>16550.0</v>
      </c>
    </row>
    <row r="241" spans="1:41" x14ac:dyDescent="0.2">
      <c r="A241" s="122"/>
      <c r="B241" s="9">
        <v>28</v>
      </c>
      <c r="C241" s="3" t="n">
        <v>21675.0</v>
      </c>
      <c r="D241" s="3" t="n">
        <v>20427.0</v>
      </c>
      <c r="E241" s="3" t="n">
        <v>19692.0</v>
      </c>
      <c r="F241" s="3" t="n">
        <v>19183.0</v>
      </c>
      <c r="G241" s="3" t="n">
        <v>18285.0</v>
      </c>
      <c r="H241" s="3" t="n">
        <v>18031.0</v>
      </c>
      <c r="I241" s="3" t="n">
        <v>17706.0</v>
      </c>
      <c r="J241" s="3" t="n">
        <v>17184.0</v>
      </c>
      <c r="K241" s="3" t="n">
        <v>16703.0</v>
      </c>
      <c r="L241" s="3" t="n">
        <v>16545.0</v>
      </c>
      <c r="M241" s="3" t="n">
        <v>16627.0</v>
      </c>
      <c r="N241" s="3" t="n">
        <v>17593.0</v>
      </c>
      <c r="O241" s="3" t="n">
        <v>18041.0</v>
      </c>
      <c r="P241" s="3" t="n">
        <v>19282.0</v>
      </c>
      <c r="Q241" s="3" t="n">
        <v>20780.0</v>
      </c>
      <c r="R241" s="3" t="n">
        <v>20687.0</v>
      </c>
      <c r="S241" s="3" t="n">
        <v>20954.0</v>
      </c>
      <c r="T241" s="3" t="n">
        <v>19692.0</v>
      </c>
      <c r="U241" s="3" t="n">
        <v>19720.0</v>
      </c>
      <c r="V241" s="3" t="n">
        <v>19008.0</v>
      </c>
      <c r="W241" s="3" t="n">
        <v>19356.0</v>
      </c>
      <c r="X241" s="3" t="n">
        <v>19261.0</v>
      </c>
      <c r="Y241" s="3" t="n">
        <v>19774.0</v>
      </c>
      <c r="Z241" s="3" t="n">
        <v>20766.0</v>
      </c>
      <c r="AA241" s="3" t="n">
        <v>19733.0</v>
      </c>
      <c r="AB241" s="3" t="n">
        <v>19010.0</v>
      </c>
      <c r="AC241" s="3" t="n">
        <v>17958.0</v>
      </c>
      <c r="AD241" s="3" t="n">
        <v>17345.0</v>
      </c>
      <c r="AE241" s="3" t="n">
        <v>15580.0</v>
      </c>
      <c r="AF241" s="3" t="n">
        <v>16336.0</v>
      </c>
      <c r="AG241" s="3" t="n">
        <v>16421.0</v>
      </c>
      <c r="AH241" s="3" t="n">
        <v>16525.0</v>
      </c>
      <c r="AI241" s="3" t="n">
        <v>16555.0</v>
      </c>
      <c r="AJ241" s="3" t="n">
        <v>16479.0</v>
      </c>
      <c r="AK241" s="3" t="n">
        <v>16462.0</v>
      </c>
      <c r="AL241" s="3" t="n">
        <v>16539.0</v>
      </c>
      <c r="AM241" s="3" t="n">
        <v>16560.0</v>
      </c>
      <c r="AN241" s="3" t="n">
        <v>16576.0</v>
      </c>
      <c r="AO241" s="3" t="n">
        <v>16575.0</v>
      </c>
    </row>
    <row r="242" spans="1:41" x14ac:dyDescent="0.2">
      <c r="A242" s="122"/>
      <c r="B242" s="9">
        <v>29</v>
      </c>
      <c r="C242" s="3" t="n">
        <v>22541.0</v>
      </c>
      <c r="D242" s="3" t="n">
        <v>21675.0</v>
      </c>
      <c r="E242" s="3" t="n">
        <v>20432.0</v>
      </c>
      <c r="F242" s="3" t="n">
        <v>19702.0</v>
      </c>
      <c r="G242" s="3" t="n">
        <v>19202.0</v>
      </c>
      <c r="H242" s="3" t="n">
        <v>18433.0</v>
      </c>
      <c r="I242" s="3" t="n">
        <v>18238.0</v>
      </c>
      <c r="J242" s="3" t="n">
        <v>17816.0</v>
      </c>
      <c r="K242" s="3" t="n">
        <v>17241.0</v>
      </c>
      <c r="L242" s="3" t="n">
        <v>16742.0</v>
      </c>
      <c r="M242" s="3" t="n">
        <v>16581.0</v>
      </c>
      <c r="N242" s="3" t="n">
        <v>16657.0</v>
      </c>
      <c r="O242" s="3" t="n">
        <v>17615.0</v>
      </c>
      <c r="P242" s="3" t="n">
        <v>18064.0</v>
      </c>
      <c r="Q242" s="3" t="n">
        <v>19300.0</v>
      </c>
      <c r="R242" s="3" t="n">
        <v>20793.0</v>
      </c>
      <c r="S242" s="3" t="n">
        <v>20698.0</v>
      </c>
      <c r="T242" s="3" t="n">
        <v>20966.0</v>
      </c>
      <c r="U242" s="3" t="n">
        <v>19707.0</v>
      </c>
      <c r="V242" s="3" t="n">
        <v>19733.0</v>
      </c>
      <c r="W242" s="3" t="n">
        <v>19022.0</v>
      </c>
      <c r="X242" s="3" t="n">
        <v>19366.0</v>
      </c>
      <c r="Y242" s="3" t="n">
        <v>19261.0</v>
      </c>
      <c r="Z242" s="3" t="n">
        <v>19779.0</v>
      </c>
      <c r="AA242" s="3" t="n">
        <v>20770.0</v>
      </c>
      <c r="AB242" s="3" t="n">
        <v>19737.0</v>
      </c>
      <c r="AC242" s="3" t="n">
        <v>19013.0</v>
      </c>
      <c r="AD242" s="3" t="n">
        <v>17963.0</v>
      </c>
      <c r="AE242" s="3" t="n">
        <v>17351.0</v>
      </c>
      <c r="AF242" s="3" t="n">
        <v>15587.0</v>
      </c>
      <c r="AG242" s="3" t="n">
        <v>16343.0</v>
      </c>
      <c r="AH242" s="3" t="n">
        <v>16428.0</v>
      </c>
      <c r="AI242" s="3" t="n">
        <v>16533.0</v>
      </c>
      <c r="AJ242" s="3" t="n">
        <v>16565.0</v>
      </c>
      <c r="AK242" s="3" t="n">
        <v>16490.0</v>
      </c>
      <c r="AL242" s="3" t="n">
        <v>16472.0</v>
      </c>
      <c r="AM242" s="3" t="n">
        <v>16549.0</v>
      </c>
      <c r="AN242" s="3" t="n">
        <v>16573.0</v>
      </c>
      <c r="AO242" s="3" t="n">
        <v>16588.0</v>
      </c>
    </row>
    <row r="243" spans="1:41" x14ac:dyDescent="0.2">
      <c r="A243" s="122"/>
      <c r="B243" s="9">
        <v>30</v>
      </c>
      <c r="C243" s="3" t="n">
        <v>23405.0</v>
      </c>
      <c r="D243" s="3" t="n">
        <v>22531.0</v>
      </c>
      <c r="E243" s="3" t="n">
        <v>21671.0</v>
      </c>
      <c r="F243" s="3" t="n">
        <v>20437.0</v>
      </c>
      <c r="G243" s="3" t="n">
        <v>19711.0</v>
      </c>
      <c r="H243" s="3" t="n">
        <v>19372.0</v>
      </c>
      <c r="I243" s="3" t="n">
        <v>18667.0</v>
      </c>
      <c r="J243" s="3" t="n">
        <v>18345.0</v>
      </c>
      <c r="K243" s="3" t="n">
        <v>17878.0</v>
      </c>
      <c r="L243" s="3" t="n">
        <v>17289.0</v>
      </c>
      <c r="M243" s="3" t="n">
        <v>16776.0</v>
      </c>
      <c r="N243" s="3" t="n">
        <v>16605.0</v>
      </c>
      <c r="O243" s="3" t="n">
        <v>16683.0</v>
      </c>
      <c r="P243" s="3" t="n">
        <v>17628.0</v>
      </c>
      <c r="Q243" s="3" t="n">
        <v>18073.0</v>
      </c>
      <c r="R243" s="3" t="n">
        <v>19310.0</v>
      </c>
      <c r="S243" s="3" t="n">
        <v>20804.0</v>
      </c>
      <c r="T243" s="3" t="n">
        <v>20711.0</v>
      </c>
      <c r="U243" s="3" t="n">
        <v>20967.0</v>
      </c>
      <c r="V243" s="3" t="n">
        <v>19710.0</v>
      </c>
      <c r="W243" s="3" t="n">
        <v>19738.0</v>
      </c>
      <c r="X243" s="3" t="n">
        <v>19029.0</v>
      </c>
      <c r="Y243" s="3" t="n">
        <v>19373.0</v>
      </c>
      <c r="Z243" s="3" t="n">
        <v>19267.0</v>
      </c>
      <c r="AA243" s="3" t="n">
        <v>19780.0</v>
      </c>
      <c r="AB243" s="3" t="n">
        <v>20769.0</v>
      </c>
      <c r="AC243" s="3" t="n">
        <v>19739.0</v>
      </c>
      <c r="AD243" s="3" t="n">
        <v>19014.0</v>
      </c>
      <c r="AE243" s="3" t="n">
        <v>17965.0</v>
      </c>
      <c r="AF243" s="3" t="n">
        <v>17351.0</v>
      </c>
      <c r="AG243" s="3" t="n">
        <v>15595.0</v>
      </c>
      <c r="AH243" s="3" t="n">
        <v>16341.0</v>
      </c>
      <c r="AI243" s="3" t="n">
        <v>16424.0</v>
      </c>
      <c r="AJ243" s="3" t="n">
        <v>16529.0</v>
      </c>
      <c r="AK243" s="3" t="n">
        <v>16559.0</v>
      </c>
      <c r="AL243" s="3" t="n">
        <v>16484.0</v>
      </c>
      <c r="AM243" s="3" t="n">
        <v>16468.0</v>
      </c>
      <c r="AN243" s="3" t="n">
        <v>16547.0</v>
      </c>
      <c r="AO243" s="3" t="n">
        <v>16569.0</v>
      </c>
    </row>
    <row r="244" spans="1:41" x14ac:dyDescent="0.2">
      <c r="A244" s="122"/>
      <c r="B244" s="9">
        <v>31</v>
      </c>
      <c r="C244" s="3" t="n">
        <v>24671.0</v>
      </c>
      <c r="D244" s="3" t="n">
        <v>23414.0</v>
      </c>
      <c r="E244" s="3" t="n">
        <v>22535.0</v>
      </c>
      <c r="F244" s="3" t="n">
        <v>21678.0</v>
      </c>
      <c r="G244" s="3" t="n">
        <v>20453.0</v>
      </c>
      <c r="H244" s="3" t="n">
        <v>19912.0</v>
      </c>
      <c r="I244" s="3" t="n">
        <v>19655.0</v>
      </c>
      <c r="J244" s="3" t="n">
        <v>18800.0</v>
      </c>
      <c r="K244" s="3" t="n">
        <v>18409.0</v>
      </c>
      <c r="L244" s="3" t="n">
        <v>17920.0</v>
      </c>
      <c r="M244" s="3" t="n">
        <v>17324.0</v>
      </c>
      <c r="N244" s="3" t="n">
        <v>16803.0</v>
      </c>
      <c r="O244" s="3" t="n">
        <v>16637.0</v>
      </c>
      <c r="P244" s="3" t="n">
        <v>16715.0</v>
      </c>
      <c r="Q244" s="3" t="n">
        <v>17658.0</v>
      </c>
      <c r="R244" s="3" t="n">
        <v>18096.0</v>
      </c>
      <c r="S244" s="3" t="n">
        <v>19330.0</v>
      </c>
      <c r="T244" s="3" t="n">
        <v>20824.0</v>
      </c>
      <c r="U244" s="3" t="n">
        <v>20730.0</v>
      </c>
      <c r="V244" s="3" t="n">
        <v>20985.0</v>
      </c>
      <c r="W244" s="3" t="n">
        <v>19725.0</v>
      </c>
      <c r="X244" s="3" t="n">
        <v>19754.0</v>
      </c>
      <c r="Y244" s="3" t="n">
        <v>19051.0</v>
      </c>
      <c r="Z244" s="3" t="n">
        <v>19384.0</v>
      </c>
      <c r="AA244" s="3" t="n">
        <v>19284.0</v>
      </c>
      <c r="AB244" s="3" t="n">
        <v>19797.0</v>
      </c>
      <c r="AC244" s="3" t="n">
        <v>20780.0</v>
      </c>
      <c r="AD244" s="3" t="n">
        <v>19750.0</v>
      </c>
      <c r="AE244" s="3" t="n">
        <v>19029.0</v>
      </c>
      <c r="AF244" s="3" t="n">
        <v>17980.0</v>
      </c>
      <c r="AG244" s="3" t="n">
        <v>17362.0</v>
      </c>
      <c r="AH244" s="3" t="n">
        <v>15609.0</v>
      </c>
      <c r="AI244" s="3" t="n">
        <v>16354.0</v>
      </c>
      <c r="AJ244" s="3" t="n">
        <v>16433.0</v>
      </c>
      <c r="AK244" s="3" t="n">
        <v>16536.0</v>
      </c>
      <c r="AL244" s="3" t="n">
        <v>16565.0</v>
      </c>
      <c r="AM244" s="3" t="n">
        <v>16490.0</v>
      </c>
      <c r="AN244" s="3" t="n">
        <v>16476.0</v>
      </c>
      <c r="AO244" s="3" t="n">
        <v>16555.0</v>
      </c>
    </row>
    <row r="245" spans="1:41" x14ac:dyDescent="0.2">
      <c r="A245" s="122"/>
      <c r="B245" s="9">
        <v>32</v>
      </c>
      <c r="C245" s="3" t="n">
        <v>25379.0</v>
      </c>
      <c r="D245" s="3" t="n">
        <v>24683.0</v>
      </c>
      <c r="E245" s="3" t="n">
        <v>23430.0</v>
      </c>
      <c r="F245" s="3" t="n">
        <v>22554.0</v>
      </c>
      <c r="G245" s="3" t="n">
        <v>21701.0</v>
      </c>
      <c r="H245" s="3" t="n">
        <v>20658.0</v>
      </c>
      <c r="I245" s="3" t="n">
        <v>20192.0</v>
      </c>
      <c r="J245" s="3" t="n">
        <v>19789.0</v>
      </c>
      <c r="K245" s="3" t="n">
        <v>18865.0</v>
      </c>
      <c r="L245" s="3" t="n">
        <v>18456.0</v>
      </c>
      <c r="M245" s="3" t="n">
        <v>17962.0</v>
      </c>
      <c r="N245" s="3" t="n">
        <v>17361.0</v>
      </c>
      <c r="O245" s="3" t="n">
        <v>16838.0</v>
      </c>
      <c r="P245" s="3" t="n">
        <v>16667.0</v>
      </c>
      <c r="Q245" s="3" t="n">
        <v>16747.0</v>
      </c>
      <c r="R245" s="3" t="n">
        <v>17691.0</v>
      </c>
      <c r="S245" s="3" t="n">
        <v>18125.0</v>
      </c>
      <c r="T245" s="3" t="n">
        <v>19356.0</v>
      </c>
      <c r="U245" s="3" t="n">
        <v>20851.0</v>
      </c>
      <c r="V245" s="3" t="n">
        <v>20756.0</v>
      </c>
      <c r="W245" s="3" t="n">
        <v>21004.0</v>
      </c>
      <c r="X245" s="3" t="n">
        <v>19748.0</v>
      </c>
      <c r="Y245" s="3" t="n">
        <v>19775.0</v>
      </c>
      <c r="Z245" s="3" t="n">
        <v>19071.0</v>
      </c>
      <c r="AA245" s="3" t="n">
        <v>19404.0</v>
      </c>
      <c r="AB245" s="3" t="n">
        <v>19301.0</v>
      </c>
      <c r="AC245" s="3" t="n">
        <v>19813.0</v>
      </c>
      <c r="AD245" s="3" t="n">
        <v>20796.0</v>
      </c>
      <c r="AE245" s="3" t="n">
        <v>19770.0</v>
      </c>
      <c r="AF245" s="3" t="n">
        <v>19040.0</v>
      </c>
      <c r="AG245" s="3" t="n">
        <v>17999.0</v>
      </c>
      <c r="AH245" s="3" t="n">
        <v>17382.0</v>
      </c>
      <c r="AI245" s="3" t="n">
        <v>15621.0</v>
      </c>
      <c r="AJ245" s="3" t="n">
        <v>16368.0</v>
      </c>
      <c r="AK245" s="3" t="n">
        <v>16448.0</v>
      </c>
      <c r="AL245" s="3" t="n">
        <v>16549.0</v>
      </c>
      <c r="AM245" s="3" t="n">
        <v>16579.0</v>
      </c>
      <c r="AN245" s="3" t="n">
        <v>16504.0</v>
      </c>
      <c r="AO245" s="3" t="n">
        <v>16489.0</v>
      </c>
    </row>
    <row r="246" spans="1:41" x14ac:dyDescent="0.2">
      <c r="A246" s="122"/>
      <c r="B246" s="9">
        <v>33</v>
      </c>
      <c r="C246" s="3" t="n">
        <v>25282.0</v>
      </c>
      <c r="D246" s="3" t="n">
        <v>25396.0</v>
      </c>
      <c r="E246" s="3" t="n">
        <v>24693.0</v>
      </c>
      <c r="F246" s="3" t="n">
        <v>23446.0</v>
      </c>
      <c r="G246" s="3" t="n">
        <v>22574.0</v>
      </c>
      <c r="H246" s="3" t="n">
        <v>21907.0</v>
      </c>
      <c r="I246" s="3" t="n">
        <v>20936.0</v>
      </c>
      <c r="J246" s="3" t="n">
        <v>20333.0</v>
      </c>
      <c r="K246" s="3" t="n">
        <v>19850.0</v>
      </c>
      <c r="L246" s="3" t="n">
        <v>18903.0</v>
      </c>
      <c r="M246" s="3" t="n">
        <v>18490.0</v>
      </c>
      <c r="N246" s="3" t="n">
        <v>17993.0</v>
      </c>
      <c r="O246" s="3" t="n">
        <v>17387.0</v>
      </c>
      <c r="P246" s="3" t="n">
        <v>16866.0</v>
      </c>
      <c r="Q246" s="3" t="n">
        <v>16702.0</v>
      </c>
      <c r="R246" s="3" t="n">
        <v>16779.0</v>
      </c>
      <c r="S246" s="3" t="n">
        <v>17717.0</v>
      </c>
      <c r="T246" s="3" t="n">
        <v>18148.0</v>
      </c>
      <c r="U246" s="3" t="n">
        <v>19384.0</v>
      </c>
      <c r="V246" s="3" t="n">
        <v>20881.0</v>
      </c>
      <c r="W246" s="3" t="n">
        <v>20785.0</v>
      </c>
      <c r="X246" s="3" t="n">
        <v>21036.0</v>
      </c>
      <c r="Y246" s="3" t="n">
        <v>19776.0</v>
      </c>
      <c r="Z246" s="3" t="n">
        <v>19806.0</v>
      </c>
      <c r="AA246" s="3" t="n">
        <v>19096.0</v>
      </c>
      <c r="AB246" s="3" t="n">
        <v>19429.0</v>
      </c>
      <c r="AC246" s="3" t="n">
        <v>19323.0</v>
      </c>
      <c r="AD246" s="3" t="n">
        <v>19840.0</v>
      </c>
      <c r="AE246" s="3" t="n">
        <v>20823.0</v>
      </c>
      <c r="AF246" s="3" t="n">
        <v>19799.0</v>
      </c>
      <c r="AG246" s="3" t="n">
        <v>19061.0</v>
      </c>
      <c r="AH246" s="3" t="n">
        <v>18017.0</v>
      </c>
      <c r="AI246" s="3" t="n">
        <v>17412.0</v>
      </c>
      <c r="AJ246" s="3" t="n">
        <v>15649.0</v>
      </c>
      <c r="AK246" s="3" t="n">
        <v>16396.0</v>
      </c>
      <c r="AL246" s="3" t="n">
        <v>16476.0</v>
      </c>
      <c r="AM246" s="3" t="n">
        <v>16578.0</v>
      </c>
      <c r="AN246" s="3" t="n">
        <v>16607.0</v>
      </c>
      <c r="AO246" s="3" t="n">
        <v>16534.0</v>
      </c>
    </row>
    <row r="247" spans="1:41" x14ac:dyDescent="0.2">
      <c r="A247" s="122"/>
      <c r="B247" s="9">
        <v>34</v>
      </c>
      <c r="C247" s="3" t="n">
        <v>26046.0</v>
      </c>
      <c r="D247" s="3" t="n">
        <v>25295.0</v>
      </c>
      <c r="E247" s="3" t="n">
        <v>25402.0</v>
      </c>
      <c r="F247" s="3" t="n">
        <v>24698.0</v>
      </c>
      <c r="G247" s="3" t="n">
        <v>23459.0</v>
      </c>
      <c r="H247" s="3" t="n">
        <v>22775.0</v>
      </c>
      <c r="I247" s="3" t="n">
        <v>22178.0</v>
      </c>
      <c r="J247" s="3" t="n">
        <v>21062.0</v>
      </c>
      <c r="K247" s="3" t="n">
        <v>20395.0</v>
      </c>
      <c r="L247" s="3" t="n">
        <v>19884.0</v>
      </c>
      <c r="M247" s="3" t="n">
        <v>18930.0</v>
      </c>
      <c r="N247" s="3" t="n">
        <v>18507.0</v>
      </c>
      <c r="O247" s="3" t="n">
        <v>18010.0</v>
      </c>
      <c r="P247" s="3" t="n">
        <v>17411.0</v>
      </c>
      <c r="Q247" s="3" t="n">
        <v>16886.0</v>
      </c>
      <c r="R247" s="3" t="n">
        <v>16730.0</v>
      </c>
      <c r="S247" s="3" t="n">
        <v>16807.0</v>
      </c>
      <c r="T247" s="3" t="n">
        <v>17743.0</v>
      </c>
      <c r="U247" s="3" t="n">
        <v>18172.0</v>
      </c>
      <c r="V247" s="3" t="n">
        <v>19395.0</v>
      </c>
      <c r="W247" s="3" t="n">
        <v>20891.0</v>
      </c>
      <c r="X247" s="3" t="n">
        <v>20793.0</v>
      </c>
      <c r="Y247" s="3" t="n">
        <v>21050.0</v>
      </c>
      <c r="Z247" s="3" t="n">
        <v>19788.0</v>
      </c>
      <c r="AA247" s="3" t="n">
        <v>19821.0</v>
      </c>
      <c r="AB247" s="3" t="n">
        <v>19122.0</v>
      </c>
      <c r="AC247" s="3" t="n">
        <v>19448.0</v>
      </c>
      <c r="AD247" s="3" t="n">
        <v>19339.0</v>
      </c>
      <c r="AE247" s="3" t="n">
        <v>19855.0</v>
      </c>
      <c r="AF247" s="3" t="n">
        <v>20831.0</v>
      </c>
      <c r="AG247" s="3" t="n">
        <v>19813.0</v>
      </c>
      <c r="AH247" s="3" t="n">
        <v>19079.0</v>
      </c>
      <c r="AI247" s="3" t="n">
        <v>18033.0</v>
      </c>
      <c r="AJ247" s="3" t="n">
        <v>17428.0</v>
      </c>
      <c r="AK247" s="3" t="n">
        <v>15660.0</v>
      </c>
      <c r="AL247" s="3" t="n">
        <v>16406.0</v>
      </c>
      <c r="AM247" s="3" t="n">
        <v>16485.0</v>
      </c>
      <c r="AN247" s="3" t="n">
        <v>16590.0</v>
      </c>
      <c r="AO247" s="3" t="n">
        <v>16620.0</v>
      </c>
    </row>
    <row r="248" spans="1:41" x14ac:dyDescent="0.2">
      <c r="A248" s="122"/>
      <c r="B248" s="9">
        <v>35</v>
      </c>
      <c r="C248" s="3" t="n">
        <v>26080.0</v>
      </c>
      <c r="D248" s="3" t="n">
        <v>26040.0</v>
      </c>
      <c r="E248" s="3" t="n">
        <v>25294.0</v>
      </c>
      <c r="F248" s="3" t="n">
        <v>25396.0</v>
      </c>
      <c r="G248" s="3" t="n">
        <v>24696.0</v>
      </c>
      <c r="H248" s="3" t="n">
        <v>23647.0</v>
      </c>
      <c r="I248" s="3" t="n">
        <v>23039.0</v>
      </c>
      <c r="J248" s="3" t="n">
        <v>22292.0</v>
      </c>
      <c r="K248" s="3" t="n">
        <v>21103.0</v>
      </c>
      <c r="L248" s="3" t="n">
        <v>20407.0</v>
      </c>
      <c r="M248" s="3" t="n">
        <v>19883.0</v>
      </c>
      <c r="N248" s="3" t="n">
        <v>18923.0</v>
      </c>
      <c r="O248" s="3" t="n">
        <v>18504.0</v>
      </c>
      <c r="P248" s="3" t="n">
        <v>18013.0</v>
      </c>
      <c r="Q248" s="3" t="n">
        <v>17421.0</v>
      </c>
      <c r="R248" s="3" t="n">
        <v>16893.0</v>
      </c>
      <c r="S248" s="3" t="n">
        <v>16742.0</v>
      </c>
      <c r="T248" s="3" t="n">
        <v>16816.0</v>
      </c>
      <c r="U248" s="3" t="n">
        <v>17748.0</v>
      </c>
      <c r="V248" s="3" t="n">
        <v>18179.0</v>
      </c>
      <c r="W248" s="3" t="n">
        <v>19399.0</v>
      </c>
      <c r="X248" s="3" t="n">
        <v>20891.0</v>
      </c>
      <c r="Y248" s="3" t="n">
        <v>20794.0</v>
      </c>
      <c r="Z248" s="3" t="n">
        <v>21051.0</v>
      </c>
      <c r="AA248" s="3" t="n">
        <v>19792.0</v>
      </c>
      <c r="AB248" s="3" t="n">
        <v>19821.0</v>
      </c>
      <c r="AC248" s="3" t="n">
        <v>19122.0</v>
      </c>
      <c r="AD248" s="3" t="n">
        <v>19449.0</v>
      </c>
      <c r="AE248" s="3" t="n">
        <v>19341.0</v>
      </c>
      <c r="AF248" s="3" t="n">
        <v>19860.0</v>
      </c>
      <c r="AG248" s="3" t="n">
        <v>20833.0</v>
      </c>
      <c r="AH248" s="3" t="n">
        <v>19813.0</v>
      </c>
      <c r="AI248" s="3" t="n">
        <v>19078.0</v>
      </c>
      <c r="AJ248" s="3" t="n">
        <v>18039.0</v>
      </c>
      <c r="AK248" s="3" t="n">
        <v>17436.0</v>
      </c>
      <c r="AL248" s="3" t="n">
        <v>15665.0</v>
      </c>
      <c r="AM248" s="3" t="n">
        <v>16410.0</v>
      </c>
      <c r="AN248" s="3" t="n">
        <v>16488.0</v>
      </c>
      <c r="AO248" s="3" t="n">
        <v>16596.0</v>
      </c>
    </row>
    <row r="249" spans="1:41" x14ac:dyDescent="0.2">
      <c r="A249" s="122"/>
      <c r="B249" s="9">
        <v>36</v>
      </c>
      <c r="C249" s="3" t="n">
        <v>27886.0</v>
      </c>
      <c r="D249" s="3" t="n">
        <v>26066.0</v>
      </c>
      <c r="E249" s="3" t="n">
        <v>26019.0</v>
      </c>
      <c r="F249" s="3" t="n">
        <v>25273.0</v>
      </c>
      <c r="G249" s="3" t="n">
        <v>25382.0</v>
      </c>
      <c r="H249" s="3" t="n">
        <v>24892.0</v>
      </c>
      <c r="I249" s="3" t="n">
        <v>23918.0</v>
      </c>
      <c r="J249" s="3" t="n">
        <v>23147.0</v>
      </c>
      <c r="K249" s="3" t="n">
        <v>22324.0</v>
      </c>
      <c r="L249" s="3" t="n">
        <v>21106.0</v>
      </c>
      <c r="M249" s="3" t="n">
        <v>20398.0</v>
      </c>
      <c r="N249" s="3" t="n">
        <v>19865.0</v>
      </c>
      <c r="O249" s="3" t="n">
        <v>18906.0</v>
      </c>
      <c r="P249" s="3" t="n">
        <v>18495.0</v>
      </c>
      <c r="Q249" s="3" t="n">
        <v>18005.0</v>
      </c>
      <c r="R249" s="3" t="n">
        <v>17427.0</v>
      </c>
      <c r="S249" s="3" t="n">
        <v>16894.0</v>
      </c>
      <c r="T249" s="3" t="n">
        <v>16744.0</v>
      </c>
      <c r="U249" s="3" t="n">
        <v>16822.0</v>
      </c>
      <c r="V249" s="3" t="n">
        <v>17745.0</v>
      </c>
      <c r="W249" s="3" t="n">
        <v>18176.0</v>
      </c>
      <c r="X249" s="3" t="n">
        <v>19393.0</v>
      </c>
      <c r="Y249" s="3" t="n">
        <v>20886.0</v>
      </c>
      <c r="Z249" s="3" t="n">
        <v>20786.0</v>
      </c>
      <c r="AA249" s="3" t="n">
        <v>21038.0</v>
      </c>
      <c r="AB249" s="3" t="n">
        <v>19784.0</v>
      </c>
      <c r="AC249" s="3" t="n">
        <v>19815.0</v>
      </c>
      <c r="AD249" s="3" t="n">
        <v>19118.0</v>
      </c>
      <c r="AE249" s="3" t="n">
        <v>19448.0</v>
      </c>
      <c r="AF249" s="3" t="n">
        <v>19333.0</v>
      </c>
      <c r="AG249" s="3" t="n">
        <v>19850.0</v>
      </c>
      <c r="AH249" s="3" t="n">
        <v>20823.0</v>
      </c>
      <c r="AI249" s="3" t="n">
        <v>19801.0</v>
      </c>
      <c r="AJ249" s="3" t="n">
        <v>19072.0</v>
      </c>
      <c r="AK249" s="3" t="n">
        <v>18031.0</v>
      </c>
      <c r="AL249" s="3" t="n">
        <v>17429.0</v>
      </c>
      <c r="AM249" s="3" t="n">
        <v>15663.0</v>
      </c>
      <c r="AN249" s="3" t="n">
        <v>16408.0</v>
      </c>
      <c r="AO249" s="3" t="n">
        <v>16485.0</v>
      </c>
    </row>
    <row r="250" spans="1:41" x14ac:dyDescent="0.2">
      <c r="A250" s="122"/>
      <c r="B250" s="9">
        <v>37</v>
      </c>
      <c r="C250" s="3" t="n">
        <v>28935.0</v>
      </c>
      <c r="D250" s="3" t="n">
        <v>27869.0</v>
      </c>
      <c r="E250" s="3" t="n">
        <v>26051.0</v>
      </c>
      <c r="F250" s="3" t="n">
        <v>26012.0</v>
      </c>
      <c r="G250" s="3" t="n">
        <v>25268.0</v>
      </c>
      <c r="H250" s="3" t="n">
        <v>25578.0</v>
      </c>
      <c r="I250" s="3" t="n">
        <v>25168.0</v>
      </c>
      <c r="J250" s="3" t="n">
        <v>24042.0</v>
      </c>
      <c r="K250" s="3" t="n">
        <v>23182.0</v>
      </c>
      <c r="L250" s="3" t="n">
        <v>22341.0</v>
      </c>
      <c r="M250" s="3" t="n">
        <v>21114.0</v>
      </c>
      <c r="N250" s="3" t="n">
        <v>20400.0</v>
      </c>
      <c r="O250" s="3" t="n">
        <v>19867.0</v>
      </c>
      <c r="P250" s="3" t="n">
        <v>18905.0</v>
      </c>
      <c r="Q250" s="3" t="n">
        <v>18498.0</v>
      </c>
      <c r="R250" s="3" t="n">
        <v>18010.0</v>
      </c>
      <c r="S250" s="3" t="n">
        <v>17432.0</v>
      </c>
      <c r="T250" s="3" t="n">
        <v>16901.0</v>
      </c>
      <c r="U250" s="3" t="n">
        <v>16748.0</v>
      </c>
      <c r="V250" s="3" t="n">
        <v>16827.0</v>
      </c>
      <c r="W250" s="3" t="n">
        <v>17751.0</v>
      </c>
      <c r="X250" s="3" t="n">
        <v>18184.0</v>
      </c>
      <c r="Y250" s="3" t="n">
        <v>19404.0</v>
      </c>
      <c r="Z250" s="3" t="n">
        <v>20894.0</v>
      </c>
      <c r="AA250" s="3" t="n">
        <v>20793.0</v>
      </c>
      <c r="AB250" s="3" t="n">
        <v>21042.0</v>
      </c>
      <c r="AC250" s="3" t="n">
        <v>19793.0</v>
      </c>
      <c r="AD250" s="3" t="n">
        <v>19827.0</v>
      </c>
      <c r="AE250" s="3" t="n">
        <v>19130.0</v>
      </c>
      <c r="AF250" s="3" t="n">
        <v>19462.0</v>
      </c>
      <c r="AG250" s="3" t="n">
        <v>19343.0</v>
      </c>
      <c r="AH250" s="3" t="n">
        <v>19862.0</v>
      </c>
      <c r="AI250" s="3" t="n">
        <v>20831.0</v>
      </c>
      <c r="AJ250" s="3" t="n">
        <v>19812.0</v>
      </c>
      <c r="AK250" s="3" t="n">
        <v>19084.0</v>
      </c>
      <c r="AL250" s="3" t="n">
        <v>18041.0</v>
      </c>
      <c r="AM250" s="3" t="n">
        <v>17431.0</v>
      </c>
      <c r="AN250" s="3" t="n">
        <v>15665.0</v>
      </c>
      <c r="AO250" s="3" t="n">
        <v>16408.0</v>
      </c>
    </row>
    <row r="251" spans="1:41" x14ac:dyDescent="0.2">
      <c r="A251" s="122"/>
      <c r="B251" s="9">
        <v>38</v>
      </c>
      <c r="C251" s="3" t="n">
        <v>30192.0</v>
      </c>
      <c r="D251" s="3" t="n">
        <v>28926.0</v>
      </c>
      <c r="E251" s="3" t="n">
        <v>27862.0</v>
      </c>
      <c r="F251" s="3" t="n">
        <v>26052.0</v>
      </c>
      <c r="G251" s="3" t="n">
        <v>26021.0</v>
      </c>
      <c r="H251" s="3" t="n">
        <v>25474.0</v>
      </c>
      <c r="I251" s="3" t="n">
        <v>25862.0</v>
      </c>
      <c r="J251" s="3" t="n">
        <v>25298.0</v>
      </c>
      <c r="K251" s="3" t="n">
        <v>24090.0</v>
      </c>
      <c r="L251" s="3" t="n">
        <v>23199.0</v>
      </c>
      <c r="M251" s="3" t="n">
        <v>22342.0</v>
      </c>
      <c r="N251" s="3" t="n">
        <v>21107.0</v>
      </c>
      <c r="O251" s="3" t="n">
        <v>20390.0</v>
      </c>
      <c r="P251" s="3" t="n">
        <v>19860.0</v>
      </c>
      <c r="Q251" s="3" t="n">
        <v>18899.0</v>
      </c>
      <c r="R251" s="3" t="n">
        <v>18497.0</v>
      </c>
      <c r="S251" s="3" t="n">
        <v>18016.0</v>
      </c>
      <c r="T251" s="3" t="n">
        <v>17438.0</v>
      </c>
      <c r="U251" s="3" t="n">
        <v>16918.0</v>
      </c>
      <c r="V251" s="3" t="n">
        <v>16765.0</v>
      </c>
      <c r="W251" s="3" t="n">
        <v>16837.0</v>
      </c>
      <c r="X251" s="3" t="n">
        <v>17759.0</v>
      </c>
      <c r="Y251" s="3" t="n">
        <v>18189.0</v>
      </c>
      <c r="Z251" s="3" t="n">
        <v>19403.0</v>
      </c>
      <c r="AA251" s="3" t="n">
        <v>20896.0</v>
      </c>
      <c r="AB251" s="3" t="n">
        <v>20798.0</v>
      </c>
      <c r="AC251" s="3" t="n">
        <v>21047.0</v>
      </c>
      <c r="AD251" s="3" t="n">
        <v>19797.0</v>
      </c>
      <c r="AE251" s="3" t="n">
        <v>19829.0</v>
      </c>
      <c r="AF251" s="3" t="n">
        <v>19131.0</v>
      </c>
      <c r="AG251" s="3" t="n">
        <v>19457.0</v>
      </c>
      <c r="AH251" s="3" t="n">
        <v>19342.0</v>
      </c>
      <c r="AI251" s="3" t="n">
        <v>19862.0</v>
      </c>
      <c r="AJ251" s="3" t="n">
        <v>20831.0</v>
      </c>
      <c r="AK251" s="3" t="n">
        <v>19814.0</v>
      </c>
      <c r="AL251" s="3" t="n">
        <v>19084.0</v>
      </c>
      <c r="AM251" s="3" t="n">
        <v>18042.0</v>
      </c>
      <c r="AN251" s="3" t="n">
        <v>17441.0</v>
      </c>
      <c r="AO251" s="3" t="n">
        <v>15681.0</v>
      </c>
    </row>
    <row r="252" spans="1:41" x14ac:dyDescent="0.2">
      <c r="A252" s="122"/>
      <c r="B252" s="9">
        <v>39</v>
      </c>
      <c r="C252" s="3" t="n">
        <v>30823.0</v>
      </c>
      <c r="D252" s="3" t="n">
        <v>30169.0</v>
      </c>
      <c r="E252" s="3" t="n">
        <v>28911.0</v>
      </c>
      <c r="F252" s="3" t="n">
        <v>27840.0</v>
      </c>
      <c r="G252" s="3" t="n">
        <v>26035.0</v>
      </c>
      <c r="H252" s="3" t="n">
        <v>26215.0</v>
      </c>
      <c r="I252" s="3" t="n">
        <v>25754.0</v>
      </c>
      <c r="J252" s="3" t="n">
        <v>25979.0</v>
      </c>
      <c r="K252" s="3" t="n">
        <v>25328.0</v>
      </c>
      <c r="L252" s="3" t="n">
        <v>24102.0</v>
      </c>
      <c r="M252" s="3" t="n">
        <v>23198.0</v>
      </c>
      <c r="N252" s="3" t="n">
        <v>22325.0</v>
      </c>
      <c r="O252" s="3" t="n">
        <v>21080.0</v>
      </c>
      <c r="P252" s="3" t="n">
        <v>20367.0</v>
      </c>
      <c r="Q252" s="3" t="n">
        <v>19839.0</v>
      </c>
      <c r="R252" s="3" t="n">
        <v>18886.0</v>
      </c>
      <c r="S252" s="3" t="n">
        <v>18486.0</v>
      </c>
      <c r="T252" s="3" t="n">
        <v>18015.0</v>
      </c>
      <c r="U252" s="3" t="n">
        <v>17438.0</v>
      </c>
      <c r="V252" s="3" t="n">
        <v>16920.0</v>
      </c>
      <c r="W252" s="3" t="n">
        <v>16765.0</v>
      </c>
      <c r="X252" s="3" t="n">
        <v>16841.0</v>
      </c>
      <c r="Y252" s="3" t="n">
        <v>17761.0</v>
      </c>
      <c r="Z252" s="3" t="n">
        <v>18189.0</v>
      </c>
      <c r="AA252" s="3" t="n">
        <v>19394.0</v>
      </c>
      <c r="AB252" s="3" t="n">
        <v>20888.0</v>
      </c>
      <c r="AC252" s="3" t="n">
        <v>20791.0</v>
      </c>
      <c r="AD252" s="3" t="n">
        <v>21039.0</v>
      </c>
      <c r="AE252" s="3" t="n">
        <v>19787.0</v>
      </c>
      <c r="AF252" s="3" t="n">
        <v>19826.0</v>
      </c>
      <c r="AG252" s="3" t="n">
        <v>19128.0</v>
      </c>
      <c r="AH252" s="3" t="n">
        <v>19454.0</v>
      </c>
      <c r="AI252" s="3" t="n">
        <v>19339.0</v>
      </c>
      <c r="AJ252" s="3" t="n">
        <v>19855.0</v>
      </c>
      <c r="AK252" s="3" t="n">
        <v>20820.0</v>
      </c>
      <c r="AL252" s="3" t="n">
        <v>19808.0</v>
      </c>
      <c r="AM252" s="3" t="n">
        <v>19082.0</v>
      </c>
      <c r="AN252" s="3" t="n">
        <v>18042.0</v>
      </c>
      <c r="AO252" s="3" t="n">
        <v>17434.0</v>
      </c>
    </row>
    <row r="253" spans="1:41" x14ac:dyDescent="0.2">
      <c r="A253" s="122"/>
      <c r="B253" s="9">
        <v>40</v>
      </c>
      <c r="C253" s="3" t="n">
        <v>29667.0</v>
      </c>
      <c r="D253" s="3" t="n">
        <v>30784.0</v>
      </c>
      <c r="E253" s="3" t="n">
        <v>30131.0</v>
      </c>
      <c r="F253" s="3" t="n">
        <v>28881.0</v>
      </c>
      <c r="G253" s="3" t="n">
        <v>27819.0</v>
      </c>
      <c r="H253" s="3" t="n">
        <v>26208.0</v>
      </c>
      <c r="I253" s="3" t="n">
        <v>26454.0</v>
      </c>
      <c r="J253" s="3" t="n">
        <v>25856.0</v>
      </c>
      <c r="K253" s="3" t="n">
        <v>26003.0</v>
      </c>
      <c r="L253" s="3" t="n">
        <v>25320.0</v>
      </c>
      <c r="M253" s="3" t="n">
        <v>24082.0</v>
      </c>
      <c r="N253" s="3" t="n">
        <v>23168.0</v>
      </c>
      <c r="O253" s="3" t="n">
        <v>22297.0</v>
      </c>
      <c r="P253" s="3" t="n">
        <v>21054.0</v>
      </c>
      <c r="Q253" s="3" t="n">
        <v>20348.0</v>
      </c>
      <c r="R253" s="3" t="n">
        <v>19820.0</v>
      </c>
      <c r="S253" s="3" t="n">
        <v>18867.0</v>
      </c>
      <c r="T253" s="3" t="n">
        <v>18465.0</v>
      </c>
      <c r="U253" s="3" t="n">
        <v>17999.0</v>
      </c>
      <c r="V253" s="3" t="n">
        <v>17424.0</v>
      </c>
      <c r="W253" s="3" t="n">
        <v>16911.0</v>
      </c>
      <c r="X253" s="3" t="n">
        <v>16754.0</v>
      </c>
      <c r="Y253" s="3" t="n">
        <v>16826.0</v>
      </c>
      <c r="Z253" s="3" t="n">
        <v>17747.0</v>
      </c>
      <c r="AA253" s="3" t="n">
        <v>18177.0</v>
      </c>
      <c r="AB253" s="3" t="n">
        <v>19387.0</v>
      </c>
      <c r="AC253" s="3" t="n">
        <v>20876.0</v>
      </c>
      <c r="AD253" s="3" t="n">
        <v>20779.0</v>
      </c>
      <c r="AE253" s="3" t="n">
        <v>21026.0</v>
      </c>
      <c r="AF253" s="3" t="n">
        <v>19774.0</v>
      </c>
      <c r="AG253" s="3" t="n">
        <v>19817.0</v>
      </c>
      <c r="AH253" s="3" t="n">
        <v>19119.0</v>
      </c>
      <c r="AI253" s="3" t="n">
        <v>19445.0</v>
      </c>
      <c r="AJ253" s="3" t="n">
        <v>19327.0</v>
      </c>
      <c r="AK253" s="3" t="n">
        <v>19847.0</v>
      </c>
      <c r="AL253" s="3" t="n">
        <v>20810.0</v>
      </c>
      <c r="AM253" s="3" t="n">
        <v>19795.0</v>
      </c>
      <c r="AN253" s="3" t="n">
        <v>19069.0</v>
      </c>
      <c r="AO253" s="3" t="n">
        <v>18027.0</v>
      </c>
    </row>
    <row r="254" spans="1:41" x14ac:dyDescent="0.2">
      <c r="A254" s="122"/>
      <c r="B254" s="9">
        <v>41</v>
      </c>
      <c r="C254" s="3" t="n">
        <v>28324.0</v>
      </c>
      <c r="D254" s="3" t="n">
        <v>29644.0</v>
      </c>
      <c r="E254" s="3" t="n">
        <v>30760.0</v>
      </c>
      <c r="F254" s="3" t="n">
        <v>30104.0</v>
      </c>
      <c r="G254" s="3" t="n">
        <v>28856.0</v>
      </c>
      <c r="H254" s="3" t="n">
        <v>27973.0</v>
      </c>
      <c r="I254" s="3" t="n">
        <v>26424.0</v>
      </c>
      <c r="J254" s="3" t="n">
        <v>26539.0</v>
      </c>
      <c r="K254" s="3" t="n">
        <v>25871.0</v>
      </c>
      <c r="L254" s="3" t="n">
        <v>25998.0</v>
      </c>
      <c r="M254" s="3" t="n">
        <v>25302.0</v>
      </c>
      <c r="N254" s="3" t="n">
        <v>24061.0</v>
      </c>
      <c r="O254" s="3" t="n">
        <v>23142.0</v>
      </c>
      <c r="P254" s="3" t="n">
        <v>22275.0</v>
      </c>
      <c r="Q254" s="3" t="n">
        <v>21029.0</v>
      </c>
      <c r="R254" s="3" t="n">
        <v>20322.0</v>
      </c>
      <c r="S254" s="3" t="n">
        <v>19792.0</v>
      </c>
      <c r="T254" s="3" t="n">
        <v>18840.0</v>
      </c>
      <c r="U254" s="3" t="n">
        <v>18448.0</v>
      </c>
      <c r="V254" s="3" t="n">
        <v>17986.0</v>
      </c>
      <c r="W254" s="3" t="n">
        <v>17410.0</v>
      </c>
      <c r="X254" s="3" t="n">
        <v>16903.0</v>
      </c>
      <c r="Y254" s="3" t="n">
        <v>16744.0</v>
      </c>
      <c r="Z254" s="3" t="n">
        <v>16818.0</v>
      </c>
      <c r="AA254" s="3" t="n">
        <v>17738.0</v>
      </c>
      <c r="AB254" s="3" t="n">
        <v>18166.0</v>
      </c>
      <c r="AC254" s="3" t="n">
        <v>19372.0</v>
      </c>
      <c r="AD254" s="3" t="n">
        <v>20859.0</v>
      </c>
      <c r="AE254" s="3" t="n">
        <v>20764.0</v>
      </c>
      <c r="AF254" s="3" t="n">
        <v>21007.0</v>
      </c>
      <c r="AG254" s="3" t="n">
        <v>19756.0</v>
      </c>
      <c r="AH254" s="3" t="n">
        <v>19799.0</v>
      </c>
      <c r="AI254" s="3" t="n">
        <v>19105.0</v>
      </c>
      <c r="AJ254" s="3" t="n">
        <v>19429.0</v>
      </c>
      <c r="AK254" s="3" t="n">
        <v>19312.0</v>
      </c>
      <c r="AL254" s="3" t="n">
        <v>19829.0</v>
      </c>
      <c r="AM254" s="3" t="n">
        <v>20792.0</v>
      </c>
      <c r="AN254" s="3" t="n">
        <v>19781.0</v>
      </c>
      <c r="AO254" s="3" t="n">
        <v>19056.0</v>
      </c>
    </row>
    <row r="255" spans="1:41" x14ac:dyDescent="0.2">
      <c r="A255" s="122"/>
      <c r="B255" s="9">
        <v>42</v>
      </c>
      <c r="C255" s="3" t="n">
        <v>29116.0</v>
      </c>
      <c r="D255" s="3" t="n">
        <v>28303.0</v>
      </c>
      <c r="E255" s="3" t="n">
        <v>29621.0</v>
      </c>
      <c r="F255" s="3" t="n">
        <v>30745.0</v>
      </c>
      <c r="G255" s="3" t="n">
        <v>30094.0</v>
      </c>
      <c r="H255" s="3" t="n">
        <v>29000.0</v>
      </c>
      <c r="I255" s="3" t="n">
        <v>28175.0</v>
      </c>
      <c r="J255" s="3" t="n">
        <v>26514.0</v>
      </c>
      <c r="K255" s="3" t="n">
        <v>26570.0</v>
      </c>
      <c r="L255" s="3" t="n">
        <v>25880.0</v>
      </c>
      <c r="M255" s="3" t="n">
        <v>25998.0</v>
      </c>
      <c r="N255" s="3" t="n">
        <v>25292.0</v>
      </c>
      <c r="O255" s="3" t="n">
        <v>24036.0</v>
      </c>
      <c r="P255" s="3" t="n">
        <v>23119.0</v>
      </c>
      <c r="Q255" s="3" t="n">
        <v>22253.0</v>
      </c>
      <c r="R255" s="3" t="n">
        <v>21012.0</v>
      </c>
      <c r="S255" s="3" t="n">
        <v>20303.0</v>
      </c>
      <c r="T255" s="3" t="n">
        <v>19776.0</v>
      </c>
      <c r="U255" s="3" t="n">
        <v>18824.0</v>
      </c>
      <c r="V255" s="3" t="n">
        <v>18435.0</v>
      </c>
      <c r="W255" s="3" t="n">
        <v>17975.0</v>
      </c>
      <c r="X255" s="3" t="n">
        <v>17404.0</v>
      </c>
      <c r="Y255" s="3" t="n">
        <v>16894.0</v>
      </c>
      <c r="Z255" s="3" t="n">
        <v>16733.0</v>
      </c>
      <c r="AA255" s="3" t="n">
        <v>16808.0</v>
      </c>
      <c r="AB255" s="3" t="n">
        <v>17727.0</v>
      </c>
      <c r="AC255" s="3" t="n">
        <v>18160.0</v>
      </c>
      <c r="AD255" s="3" t="n">
        <v>19367.0</v>
      </c>
      <c r="AE255" s="3" t="n">
        <v>20853.0</v>
      </c>
      <c r="AF255" s="3" t="n">
        <v>20760.0</v>
      </c>
      <c r="AG255" s="3" t="n">
        <v>20999.0</v>
      </c>
      <c r="AH255" s="3" t="n">
        <v>19744.0</v>
      </c>
      <c r="AI255" s="3" t="n">
        <v>19794.0</v>
      </c>
      <c r="AJ255" s="3" t="n">
        <v>19099.0</v>
      </c>
      <c r="AK255" s="3" t="n">
        <v>19422.0</v>
      </c>
      <c r="AL255" s="3" t="n">
        <v>19308.0</v>
      </c>
      <c r="AM255" s="3" t="n">
        <v>19825.0</v>
      </c>
      <c r="AN255" s="3" t="n">
        <v>20784.0</v>
      </c>
      <c r="AO255" s="3" t="n">
        <v>19777.0</v>
      </c>
    </row>
    <row r="256" spans="1:41" x14ac:dyDescent="0.2">
      <c r="A256" s="122"/>
      <c r="B256" s="9">
        <v>43</v>
      </c>
      <c r="C256" s="3" t="n">
        <v>28648.0</v>
      </c>
      <c r="D256" s="3" t="n">
        <v>29086.0</v>
      </c>
      <c r="E256" s="3" t="n">
        <v>28278.0</v>
      </c>
      <c r="F256" s="3" t="n">
        <v>29597.0</v>
      </c>
      <c r="G256" s="3" t="n">
        <v>30728.0</v>
      </c>
      <c r="H256" s="3" t="n">
        <v>30245.0</v>
      </c>
      <c r="I256" s="3" t="n">
        <v>29210.0</v>
      </c>
      <c r="J256" s="3" t="n">
        <v>28256.0</v>
      </c>
      <c r="K256" s="3" t="n">
        <v>26537.0</v>
      </c>
      <c r="L256" s="3" t="n">
        <v>26567.0</v>
      </c>
      <c r="M256" s="3" t="n">
        <v>25868.0</v>
      </c>
      <c r="N256" s="3" t="n">
        <v>25975.0</v>
      </c>
      <c r="O256" s="3" t="n">
        <v>25269.0</v>
      </c>
      <c r="P256" s="3" t="n">
        <v>24008.0</v>
      </c>
      <c r="Q256" s="3" t="n">
        <v>23091.0</v>
      </c>
      <c r="R256" s="3" t="n">
        <v>22228.0</v>
      </c>
      <c r="S256" s="3" t="n">
        <v>20987.0</v>
      </c>
      <c r="T256" s="3" t="n">
        <v>20275.0</v>
      </c>
      <c r="U256" s="3" t="n">
        <v>19750.0</v>
      </c>
      <c r="V256" s="3" t="n">
        <v>18803.0</v>
      </c>
      <c r="W256" s="3" t="n">
        <v>18415.0</v>
      </c>
      <c r="X256" s="3" t="n">
        <v>17958.0</v>
      </c>
      <c r="Y256" s="3" t="n">
        <v>17392.0</v>
      </c>
      <c r="Z256" s="3" t="n">
        <v>16890.0</v>
      </c>
      <c r="AA256" s="3" t="n">
        <v>16733.0</v>
      </c>
      <c r="AB256" s="3" t="n">
        <v>16804.0</v>
      </c>
      <c r="AC256" s="3" t="n">
        <v>17720.0</v>
      </c>
      <c r="AD256" s="3" t="n">
        <v>18145.0</v>
      </c>
      <c r="AE256" s="3" t="n">
        <v>19351.0</v>
      </c>
      <c r="AF256" s="3" t="n">
        <v>20834.0</v>
      </c>
      <c r="AG256" s="3" t="n">
        <v>20746.0</v>
      </c>
      <c r="AH256" s="3" t="n">
        <v>20982.0</v>
      </c>
      <c r="AI256" s="3" t="n">
        <v>19730.0</v>
      </c>
      <c r="AJ256" s="3" t="n">
        <v>19780.0</v>
      </c>
      <c r="AK256" s="3" t="n">
        <v>19083.0</v>
      </c>
      <c r="AL256" s="3" t="n">
        <v>19409.0</v>
      </c>
      <c r="AM256" s="3" t="n">
        <v>19296.0</v>
      </c>
      <c r="AN256" s="3" t="n">
        <v>19810.0</v>
      </c>
      <c r="AO256" s="3" t="n">
        <v>20766.0</v>
      </c>
    </row>
    <row r="257" spans="1:41" x14ac:dyDescent="0.2">
      <c r="A257" s="122"/>
      <c r="B257" s="9">
        <v>44</v>
      </c>
      <c r="C257" s="3" t="n">
        <v>27664.0</v>
      </c>
      <c r="D257" s="3" t="n">
        <v>28620.0</v>
      </c>
      <c r="E257" s="3" t="n">
        <v>29055.0</v>
      </c>
      <c r="F257" s="3" t="n">
        <v>28258.0</v>
      </c>
      <c r="G257" s="3" t="n">
        <v>29576.0</v>
      </c>
      <c r="H257" s="3" t="n">
        <v>30864.0</v>
      </c>
      <c r="I257" s="3" t="n">
        <v>30452.0</v>
      </c>
      <c r="J257" s="3" t="n">
        <v>29290.0</v>
      </c>
      <c r="K257" s="3" t="n">
        <v>28269.0</v>
      </c>
      <c r="L257" s="3" t="n">
        <v>26526.0</v>
      </c>
      <c r="M257" s="3" t="n">
        <v>26551.0</v>
      </c>
      <c r="N257" s="3" t="n">
        <v>25847.0</v>
      </c>
      <c r="O257" s="3" t="n">
        <v>25946.0</v>
      </c>
      <c r="P257" s="3" t="n">
        <v>25246.0</v>
      </c>
      <c r="Q257" s="3" t="n">
        <v>23985.0</v>
      </c>
      <c r="R257" s="3" t="n">
        <v>23070.0</v>
      </c>
      <c r="S257" s="3" t="n">
        <v>22209.0</v>
      </c>
      <c r="T257" s="3" t="n">
        <v>20976.0</v>
      </c>
      <c r="U257" s="3" t="n">
        <v>20267.0</v>
      </c>
      <c r="V257" s="3" t="n">
        <v>19743.0</v>
      </c>
      <c r="W257" s="3" t="n">
        <v>18797.0</v>
      </c>
      <c r="X257" s="3" t="n">
        <v>18406.0</v>
      </c>
      <c r="Y257" s="3" t="n">
        <v>17952.0</v>
      </c>
      <c r="Z257" s="3" t="n">
        <v>17388.0</v>
      </c>
      <c r="AA257" s="3" t="n">
        <v>16889.0</v>
      </c>
      <c r="AB257" s="3" t="n">
        <v>16732.0</v>
      </c>
      <c r="AC257" s="3" t="n">
        <v>16807.0</v>
      </c>
      <c r="AD257" s="3" t="n">
        <v>17721.0</v>
      </c>
      <c r="AE257" s="3" t="n">
        <v>18145.0</v>
      </c>
      <c r="AF257" s="3" t="n">
        <v>19350.0</v>
      </c>
      <c r="AG257" s="3" t="n">
        <v>20831.0</v>
      </c>
      <c r="AH257" s="3" t="n">
        <v>20746.0</v>
      </c>
      <c r="AI257" s="3" t="n">
        <v>20982.0</v>
      </c>
      <c r="AJ257" s="3" t="n">
        <v>19731.0</v>
      </c>
      <c r="AK257" s="3" t="n">
        <v>19780.0</v>
      </c>
      <c r="AL257" s="3" t="n">
        <v>19083.0</v>
      </c>
      <c r="AM257" s="3" t="n">
        <v>19413.0</v>
      </c>
      <c r="AN257" s="3" t="n">
        <v>19300.0</v>
      </c>
      <c r="AO257" s="3" t="n">
        <v>19811.0</v>
      </c>
    </row>
    <row r="258" spans="1:41" x14ac:dyDescent="0.2">
      <c r="A258" s="122"/>
      <c r="B258" s="9">
        <v>45</v>
      </c>
      <c r="C258" s="3" t="n">
        <v>27681.0</v>
      </c>
      <c r="D258" s="3" t="n">
        <v>27612.0</v>
      </c>
      <c r="E258" s="3" t="n">
        <v>28570.0</v>
      </c>
      <c r="F258" s="3" t="n">
        <v>29010.0</v>
      </c>
      <c r="G258" s="3" t="n">
        <v>28215.0</v>
      </c>
      <c r="H258" s="3" t="n">
        <v>29679.0</v>
      </c>
      <c r="I258" s="3" t="n">
        <v>31015.0</v>
      </c>
      <c r="J258" s="3" t="n">
        <v>30497.0</v>
      </c>
      <c r="K258" s="3" t="n">
        <v>29277.0</v>
      </c>
      <c r="L258" s="3" t="n">
        <v>28239.0</v>
      </c>
      <c r="M258" s="3" t="n">
        <v>26487.0</v>
      </c>
      <c r="N258" s="3" t="n">
        <v>26506.0</v>
      </c>
      <c r="O258" s="3" t="n">
        <v>25800.0</v>
      </c>
      <c r="P258" s="3" t="n">
        <v>25896.0</v>
      </c>
      <c r="Q258" s="3" t="n">
        <v>25201.0</v>
      </c>
      <c r="R258" s="3" t="n">
        <v>23943.0</v>
      </c>
      <c r="S258" s="3" t="n">
        <v>23026.0</v>
      </c>
      <c r="T258" s="3" t="n">
        <v>22163.0</v>
      </c>
      <c r="U258" s="3" t="n">
        <v>20940.0</v>
      </c>
      <c r="V258" s="3" t="n">
        <v>20234.0</v>
      </c>
      <c r="W258" s="3" t="n">
        <v>19708.0</v>
      </c>
      <c r="X258" s="3" t="n">
        <v>18766.0</v>
      </c>
      <c r="Y258" s="3" t="n">
        <v>18372.0</v>
      </c>
      <c r="Z258" s="3" t="n">
        <v>17921.0</v>
      </c>
      <c r="AA258" s="3" t="n">
        <v>17364.0</v>
      </c>
      <c r="AB258" s="3" t="n">
        <v>16869.0</v>
      </c>
      <c r="AC258" s="3" t="n">
        <v>16712.0</v>
      </c>
      <c r="AD258" s="3" t="n">
        <v>16789.0</v>
      </c>
      <c r="AE258" s="3" t="n">
        <v>17700.0</v>
      </c>
      <c r="AF258" s="3" t="n">
        <v>18122.0</v>
      </c>
      <c r="AG258" s="3" t="n">
        <v>19326.0</v>
      </c>
      <c r="AH258" s="3" t="n">
        <v>20799.0</v>
      </c>
      <c r="AI258" s="3" t="n">
        <v>20717.0</v>
      </c>
      <c r="AJ258" s="3" t="n">
        <v>20956.0</v>
      </c>
      <c r="AK258" s="3" t="n">
        <v>19704.0</v>
      </c>
      <c r="AL258" s="3" t="n">
        <v>19755.0</v>
      </c>
      <c r="AM258" s="3" t="n">
        <v>19052.0</v>
      </c>
      <c r="AN258" s="3" t="n">
        <v>19385.0</v>
      </c>
      <c r="AO258" s="3" t="n">
        <v>19272.0</v>
      </c>
    </row>
    <row r="259" spans="1:41" x14ac:dyDescent="0.2">
      <c r="A259" s="122"/>
      <c r="B259" s="9">
        <v>46</v>
      </c>
      <c r="C259" s="3" t="n">
        <v>27492.0</v>
      </c>
      <c r="D259" s="3" t="n">
        <v>27637.0</v>
      </c>
      <c r="E259" s="3" t="n">
        <v>27570.0</v>
      </c>
      <c r="F259" s="3" t="n">
        <v>28533.0</v>
      </c>
      <c r="G259" s="3" t="n">
        <v>28973.0</v>
      </c>
      <c r="H259" s="3" t="n">
        <v>28295.0</v>
      </c>
      <c r="I259" s="3" t="n">
        <v>29800.0</v>
      </c>
      <c r="J259" s="3" t="n">
        <v>31044.0</v>
      </c>
      <c r="K259" s="3" t="n">
        <v>30484.0</v>
      </c>
      <c r="L259" s="3" t="n">
        <v>29249.0</v>
      </c>
      <c r="M259" s="3" t="n">
        <v>28210.0</v>
      </c>
      <c r="N259" s="3" t="n">
        <v>26450.0</v>
      </c>
      <c r="O259" s="3" t="n">
        <v>26464.0</v>
      </c>
      <c r="P259" s="3" t="n">
        <v>25758.0</v>
      </c>
      <c r="Q259" s="3" t="n">
        <v>25855.0</v>
      </c>
      <c r="R259" s="3" t="n">
        <v>25158.0</v>
      </c>
      <c r="S259" s="3" t="n">
        <v>23903.0</v>
      </c>
      <c r="T259" s="3" t="n">
        <v>22985.0</v>
      </c>
      <c r="U259" s="3" t="n">
        <v>22125.0</v>
      </c>
      <c r="V259" s="3" t="n">
        <v>20906.0</v>
      </c>
      <c r="W259" s="3" t="n">
        <v>20200.0</v>
      </c>
      <c r="X259" s="3" t="n">
        <v>19677.0</v>
      </c>
      <c r="Y259" s="3" t="n">
        <v>18733.0</v>
      </c>
      <c r="Z259" s="3" t="n">
        <v>18341.0</v>
      </c>
      <c r="AA259" s="3" t="n">
        <v>17892.0</v>
      </c>
      <c r="AB259" s="3" t="n">
        <v>17336.0</v>
      </c>
      <c r="AC259" s="3" t="n">
        <v>16843.0</v>
      </c>
      <c r="AD259" s="3" t="n">
        <v>16683.0</v>
      </c>
      <c r="AE259" s="3" t="n">
        <v>16761.0</v>
      </c>
      <c r="AF259" s="3" t="n">
        <v>17673.0</v>
      </c>
      <c r="AG259" s="3" t="n">
        <v>18097.0</v>
      </c>
      <c r="AH259" s="3" t="n">
        <v>19305.0</v>
      </c>
      <c r="AI259" s="3" t="n">
        <v>20777.0</v>
      </c>
      <c r="AJ259" s="3" t="n">
        <v>20694.0</v>
      </c>
      <c r="AK259" s="3" t="n">
        <v>20931.0</v>
      </c>
      <c r="AL259" s="3" t="n">
        <v>19682.0</v>
      </c>
      <c r="AM259" s="3" t="n">
        <v>19733.0</v>
      </c>
      <c r="AN259" s="3" t="n">
        <v>19031.0</v>
      </c>
      <c r="AO259" s="3" t="n">
        <v>19361.0</v>
      </c>
    </row>
    <row r="260" spans="1:41" x14ac:dyDescent="0.2">
      <c r="A260" s="122"/>
      <c r="B260" s="9">
        <v>47</v>
      </c>
      <c r="C260" s="3" t="n">
        <v>26606.0</v>
      </c>
      <c r="D260" s="3" t="n">
        <v>27437.0</v>
      </c>
      <c r="E260" s="3" t="n">
        <v>27583.0</v>
      </c>
      <c r="F260" s="3" t="n">
        <v>27517.0</v>
      </c>
      <c r="G260" s="3" t="n">
        <v>28485.0</v>
      </c>
      <c r="H260" s="3" t="n">
        <v>29038.0</v>
      </c>
      <c r="I260" s="3" t="n">
        <v>28410.0</v>
      </c>
      <c r="J260" s="3" t="n">
        <v>29817.0</v>
      </c>
      <c r="K260" s="3" t="n">
        <v>31016.0</v>
      </c>
      <c r="L260" s="3" t="n">
        <v>30445.0</v>
      </c>
      <c r="M260" s="3" t="n">
        <v>29207.0</v>
      </c>
      <c r="N260" s="3" t="n">
        <v>28160.0</v>
      </c>
      <c r="O260" s="3" t="n">
        <v>26399.0</v>
      </c>
      <c r="P260" s="3" t="n">
        <v>26410.0</v>
      </c>
      <c r="Q260" s="3" t="n">
        <v>25705.0</v>
      </c>
      <c r="R260" s="3" t="n">
        <v>25802.0</v>
      </c>
      <c r="S260" s="3" t="n">
        <v>25105.0</v>
      </c>
      <c r="T260" s="3" t="n">
        <v>23855.0</v>
      </c>
      <c r="U260" s="3" t="n">
        <v>22943.0</v>
      </c>
      <c r="V260" s="3" t="n">
        <v>22089.0</v>
      </c>
      <c r="W260" s="3" t="n">
        <v>20874.0</v>
      </c>
      <c r="X260" s="3" t="n">
        <v>20170.0</v>
      </c>
      <c r="Y260" s="3" t="n">
        <v>19647.0</v>
      </c>
      <c r="Z260" s="3" t="n">
        <v>18706.0</v>
      </c>
      <c r="AA260" s="3" t="n">
        <v>18314.0</v>
      </c>
      <c r="AB260" s="3" t="n">
        <v>17867.0</v>
      </c>
      <c r="AC260" s="3" t="n">
        <v>17313.0</v>
      </c>
      <c r="AD260" s="3" t="n">
        <v>16824.0</v>
      </c>
      <c r="AE260" s="3" t="n">
        <v>16661.0</v>
      </c>
      <c r="AF260" s="3" t="n">
        <v>16741.0</v>
      </c>
      <c r="AG260" s="3" t="n">
        <v>17652.0</v>
      </c>
      <c r="AH260" s="3" t="n">
        <v>18076.0</v>
      </c>
      <c r="AI260" s="3" t="n">
        <v>19282.0</v>
      </c>
      <c r="AJ260" s="3" t="n">
        <v>20754.0</v>
      </c>
      <c r="AK260" s="3" t="n">
        <v>20674.0</v>
      </c>
      <c r="AL260" s="3" t="n">
        <v>20908.0</v>
      </c>
      <c r="AM260" s="3" t="n">
        <v>19660.0</v>
      </c>
      <c r="AN260" s="3" t="n">
        <v>19715.0</v>
      </c>
      <c r="AO260" s="3" t="n">
        <v>19013.0</v>
      </c>
    </row>
    <row r="261" spans="1:41" x14ac:dyDescent="0.2">
      <c r="A261" s="122"/>
      <c r="B261" s="9">
        <v>48</v>
      </c>
      <c r="C261" s="3" t="n">
        <v>25425.0</v>
      </c>
      <c r="D261" s="3" t="n">
        <v>26550.0</v>
      </c>
      <c r="E261" s="3" t="n">
        <v>27380.0</v>
      </c>
      <c r="F261" s="3" t="n">
        <v>27529.0</v>
      </c>
      <c r="G261" s="3" t="n">
        <v>27466.0</v>
      </c>
      <c r="H261" s="3" t="n">
        <v>28550.0</v>
      </c>
      <c r="I261" s="3" t="n">
        <v>29149.0</v>
      </c>
      <c r="J261" s="3" t="n">
        <v>28432.0</v>
      </c>
      <c r="K261" s="3" t="n">
        <v>29797.0</v>
      </c>
      <c r="L261" s="3" t="n">
        <v>30980.0</v>
      </c>
      <c r="M261" s="3" t="n">
        <v>30397.0</v>
      </c>
      <c r="N261" s="3" t="n">
        <v>29154.0</v>
      </c>
      <c r="O261" s="3" t="n">
        <v>28115.0</v>
      </c>
      <c r="P261" s="3" t="n">
        <v>26354.0</v>
      </c>
      <c r="Q261" s="3" t="n">
        <v>26360.0</v>
      </c>
      <c r="R261" s="3" t="n">
        <v>25654.0</v>
      </c>
      <c r="S261" s="3" t="n">
        <v>25753.0</v>
      </c>
      <c r="T261" s="3" t="n">
        <v>25060.0</v>
      </c>
      <c r="U261" s="3" t="n">
        <v>23808.0</v>
      </c>
      <c r="V261" s="3" t="n">
        <v>22902.0</v>
      </c>
      <c r="W261" s="3" t="n">
        <v>22043.0</v>
      </c>
      <c r="X261" s="3" t="n">
        <v>20833.0</v>
      </c>
      <c r="Y261" s="3" t="n">
        <v>20137.0</v>
      </c>
      <c r="Z261" s="3" t="n">
        <v>19615.0</v>
      </c>
      <c r="AA261" s="3" t="n">
        <v>18673.0</v>
      </c>
      <c r="AB261" s="3" t="n">
        <v>18284.0</v>
      </c>
      <c r="AC261" s="3" t="n">
        <v>17842.0</v>
      </c>
      <c r="AD261" s="3" t="n">
        <v>17290.0</v>
      </c>
      <c r="AE261" s="3" t="n">
        <v>16805.0</v>
      </c>
      <c r="AF261" s="3" t="n">
        <v>16643.0</v>
      </c>
      <c r="AG261" s="3" t="n">
        <v>16722.0</v>
      </c>
      <c r="AH261" s="3" t="n">
        <v>17631.0</v>
      </c>
      <c r="AI261" s="3" t="n">
        <v>18054.0</v>
      </c>
      <c r="AJ261" s="3" t="n">
        <v>19251.0</v>
      </c>
      <c r="AK261" s="3" t="n">
        <v>20726.0</v>
      </c>
      <c r="AL261" s="3" t="n">
        <v>20643.0</v>
      </c>
      <c r="AM261" s="3" t="n">
        <v>20875.0</v>
      </c>
      <c r="AN261" s="3" t="n">
        <v>19632.0</v>
      </c>
      <c r="AO261" s="3" t="n">
        <v>19685.0</v>
      </c>
    </row>
    <row r="262" spans="1:41" x14ac:dyDescent="0.2">
      <c r="A262" s="122"/>
      <c r="B262" s="9">
        <v>49</v>
      </c>
      <c r="C262" s="3" t="n">
        <v>24495.0</v>
      </c>
      <c r="D262" s="3" t="n">
        <v>25363.0</v>
      </c>
      <c r="E262" s="3" t="n">
        <v>26486.0</v>
      </c>
      <c r="F262" s="3" t="n">
        <v>27317.0</v>
      </c>
      <c r="G262" s="3" t="n">
        <v>27468.0</v>
      </c>
      <c r="H262" s="3" t="n">
        <v>27516.0</v>
      </c>
      <c r="I262" s="3" t="n">
        <v>28643.0</v>
      </c>
      <c r="J262" s="3" t="n">
        <v>29160.0</v>
      </c>
      <c r="K262" s="3" t="n">
        <v>28399.0</v>
      </c>
      <c r="L262" s="3" t="n">
        <v>29743.0</v>
      </c>
      <c r="M262" s="3" t="n">
        <v>30917.0</v>
      </c>
      <c r="N262" s="3" t="n">
        <v>30330.0</v>
      </c>
      <c r="O262" s="3" t="n">
        <v>29089.0</v>
      </c>
      <c r="P262" s="3" t="n">
        <v>28054.0</v>
      </c>
      <c r="Q262" s="3" t="n">
        <v>26296.0</v>
      </c>
      <c r="R262" s="3" t="n">
        <v>26305.0</v>
      </c>
      <c r="S262" s="3" t="n">
        <v>25601.0</v>
      </c>
      <c r="T262" s="3" t="n">
        <v>25701.0</v>
      </c>
      <c r="U262" s="3" t="n">
        <v>25013.0</v>
      </c>
      <c r="V262" s="3" t="n">
        <v>23756.0</v>
      </c>
      <c r="W262" s="3" t="n">
        <v>22854.0</v>
      </c>
      <c r="X262" s="3" t="n">
        <v>21999.0</v>
      </c>
      <c r="Y262" s="3" t="n">
        <v>20795.0</v>
      </c>
      <c r="Z262" s="3" t="n">
        <v>20100.0</v>
      </c>
      <c r="AA262" s="3" t="n">
        <v>19583.0</v>
      </c>
      <c r="AB262" s="3" t="n">
        <v>18648.0</v>
      </c>
      <c r="AC262" s="3" t="n">
        <v>18256.0</v>
      </c>
      <c r="AD262" s="3" t="n">
        <v>17815.0</v>
      </c>
      <c r="AE262" s="3" t="n">
        <v>17266.0</v>
      </c>
      <c r="AF262" s="3" t="n">
        <v>16779.0</v>
      </c>
      <c r="AG262" s="3" t="n">
        <v>16616.0</v>
      </c>
      <c r="AH262" s="3" t="n">
        <v>16696.0</v>
      </c>
      <c r="AI262" s="3" t="n">
        <v>17608.0</v>
      </c>
      <c r="AJ262" s="3" t="n">
        <v>18031.0</v>
      </c>
      <c r="AK262" s="3" t="n">
        <v>19227.0</v>
      </c>
      <c r="AL262" s="3" t="n">
        <v>20701.0</v>
      </c>
      <c r="AM262" s="3" t="n">
        <v>20619.0</v>
      </c>
      <c r="AN262" s="3" t="n">
        <v>20849.0</v>
      </c>
      <c r="AO262" s="3" t="n">
        <v>19608.0</v>
      </c>
    </row>
    <row r="263" spans="1:41" x14ac:dyDescent="0.2">
      <c r="A263" s="122"/>
      <c r="B263" s="9">
        <v>50</v>
      </c>
      <c r="C263" s="3" t="n">
        <v>23855.0</v>
      </c>
      <c r="D263" s="3" t="n">
        <v>24451.0</v>
      </c>
      <c r="E263" s="3" t="n">
        <v>25315.0</v>
      </c>
      <c r="F263" s="3" t="n">
        <v>26441.0</v>
      </c>
      <c r="G263" s="3" t="n">
        <v>27275.0</v>
      </c>
      <c r="H263" s="3" t="n">
        <v>27525.0</v>
      </c>
      <c r="I263" s="3" t="n">
        <v>27607.0</v>
      </c>
      <c r="J263" s="3" t="n">
        <v>28659.0</v>
      </c>
      <c r="K263" s="3" t="n">
        <v>29137.0</v>
      </c>
      <c r="L263" s="3" t="n">
        <v>28371.0</v>
      </c>
      <c r="M263" s="3" t="n">
        <v>29706.0</v>
      </c>
      <c r="N263" s="3" t="n">
        <v>30870.0</v>
      </c>
      <c r="O263" s="3" t="n">
        <v>30278.0</v>
      </c>
      <c r="P263" s="3" t="n">
        <v>29044.0</v>
      </c>
      <c r="Q263" s="3" t="n">
        <v>28013.0</v>
      </c>
      <c r="R263" s="3" t="n">
        <v>26261.0</v>
      </c>
      <c r="S263" s="3" t="n">
        <v>26263.0</v>
      </c>
      <c r="T263" s="3" t="n">
        <v>25565.0</v>
      </c>
      <c r="U263" s="3" t="n">
        <v>25664.0</v>
      </c>
      <c r="V263" s="3" t="n">
        <v>24974.0</v>
      </c>
      <c r="W263" s="3" t="n">
        <v>23715.0</v>
      </c>
      <c r="X263" s="3" t="n">
        <v>22818.0</v>
      </c>
      <c r="Y263" s="3" t="n">
        <v>21962.0</v>
      </c>
      <c r="Z263" s="3" t="n">
        <v>20757.0</v>
      </c>
      <c r="AA263" s="3" t="n">
        <v>20066.0</v>
      </c>
      <c r="AB263" s="3" t="n">
        <v>19552.0</v>
      </c>
      <c r="AC263" s="3" t="n">
        <v>18620.0</v>
      </c>
      <c r="AD263" s="3" t="n">
        <v>18228.0</v>
      </c>
      <c r="AE263" s="3" t="n">
        <v>17788.0</v>
      </c>
      <c r="AF263" s="3" t="n">
        <v>17245.0</v>
      </c>
      <c r="AG263" s="3" t="n">
        <v>16757.0</v>
      </c>
      <c r="AH263" s="3" t="n">
        <v>16598.0</v>
      </c>
      <c r="AI263" s="3" t="n">
        <v>16678.0</v>
      </c>
      <c r="AJ263" s="3" t="n">
        <v>17587.0</v>
      </c>
      <c r="AK263" s="3" t="n">
        <v>18012.0</v>
      </c>
      <c r="AL263" s="3" t="n">
        <v>19205.0</v>
      </c>
      <c r="AM263" s="3" t="n">
        <v>20677.0</v>
      </c>
      <c r="AN263" s="3" t="n">
        <v>20592.0</v>
      </c>
      <c r="AO263" s="3" t="n">
        <v>20820.0</v>
      </c>
    </row>
    <row r="264" spans="1:41" x14ac:dyDescent="0.2">
      <c r="A264" s="122"/>
      <c r="B264" s="9">
        <v>51</v>
      </c>
      <c r="C264" s="3" t="n">
        <v>22458.0</v>
      </c>
      <c r="D264" s="3" t="n">
        <v>23782.0</v>
      </c>
      <c r="E264" s="3" t="n">
        <v>24375.0</v>
      </c>
      <c r="F264" s="3" t="n">
        <v>25240.0</v>
      </c>
      <c r="G264" s="3" t="n">
        <v>26367.0</v>
      </c>
      <c r="H264" s="3" t="n">
        <v>27293.0</v>
      </c>
      <c r="I264" s="3" t="n">
        <v>27568.0</v>
      </c>
      <c r="J264" s="3" t="n">
        <v>27584.0</v>
      </c>
      <c r="K264" s="3" t="n">
        <v>28602.0</v>
      </c>
      <c r="L264" s="3" t="n">
        <v>29068.0</v>
      </c>
      <c r="M264" s="3" t="n">
        <v>28299.0</v>
      </c>
      <c r="N264" s="3" t="n">
        <v>29630.0</v>
      </c>
      <c r="O264" s="3" t="n">
        <v>30788.0</v>
      </c>
      <c r="P264" s="3" t="n">
        <v>30191.0</v>
      </c>
      <c r="Q264" s="3" t="n">
        <v>28964.0</v>
      </c>
      <c r="R264" s="3" t="n">
        <v>27935.0</v>
      </c>
      <c r="S264" s="3" t="n">
        <v>26191.0</v>
      </c>
      <c r="T264" s="3" t="n">
        <v>26192.0</v>
      </c>
      <c r="U264" s="3" t="n">
        <v>25495.0</v>
      </c>
      <c r="V264" s="3" t="n">
        <v>25594.0</v>
      </c>
      <c r="W264" s="3" t="n">
        <v>24904.0</v>
      </c>
      <c r="X264" s="3" t="n">
        <v>23646.0</v>
      </c>
      <c r="Y264" s="3" t="n">
        <v>22758.0</v>
      </c>
      <c r="Z264" s="3" t="n">
        <v>21904.0</v>
      </c>
      <c r="AA264" s="3" t="n">
        <v>20706.0</v>
      </c>
      <c r="AB264" s="3" t="n">
        <v>20019.0</v>
      </c>
      <c r="AC264" s="3" t="n">
        <v>19503.0</v>
      </c>
      <c r="AD264" s="3" t="n">
        <v>18574.0</v>
      </c>
      <c r="AE264" s="3" t="n">
        <v>18175.0</v>
      </c>
      <c r="AF264" s="3" t="n">
        <v>17745.0</v>
      </c>
      <c r="AG264" s="3" t="n">
        <v>17206.0</v>
      </c>
      <c r="AH264" s="3" t="n">
        <v>16719.0</v>
      </c>
      <c r="AI264" s="3" t="n">
        <v>16562.0</v>
      </c>
      <c r="AJ264" s="3" t="n">
        <v>16641.0</v>
      </c>
      <c r="AK264" s="3" t="n">
        <v>17549.0</v>
      </c>
      <c r="AL264" s="3" t="n">
        <v>17973.0</v>
      </c>
      <c r="AM264" s="3" t="n">
        <v>19164.0</v>
      </c>
      <c r="AN264" s="3" t="n">
        <v>20638.0</v>
      </c>
      <c r="AO264" s="3" t="n">
        <v>20556.0</v>
      </c>
    </row>
    <row r="265" spans="1:41" x14ac:dyDescent="0.2">
      <c r="A265" s="122"/>
      <c r="B265" s="9">
        <v>52</v>
      </c>
      <c r="C265" s="3" t="n">
        <v>21328.0</v>
      </c>
      <c r="D265" s="3" t="n">
        <v>22391.0</v>
      </c>
      <c r="E265" s="3" t="n">
        <v>23708.0</v>
      </c>
      <c r="F265" s="3" t="n">
        <v>24307.0</v>
      </c>
      <c r="G265" s="3" t="n">
        <v>25179.0</v>
      </c>
      <c r="H265" s="3" t="n">
        <v>26389.0</v>
      </c>
      <c r="I265" s="3" t="n">
        <v>27349.0</v>
      </c>
      <c r="J265" s="3" t="n">
        <v>27563.0</v>
      </c>
      <c r="K265" s="3" t="n">
        <v>27537.0</v>
      </c>
      <c r="L265" s="3" t="n">
        <v>28547.0</v>
      </c>
      <c r="M265" s="3" t="n">
        <v>29006.0</v>
      </c>
      <c r="N265" s="3" t="n">
        <v>28233.0</v>
      </c>
      <c r="O265" s="3" t="n">
        <v>29557.0</v>
      </c>
      <c r="P265" s="3" t="n">
        <v>30717.0</v>
      </c>
      <c r="Q265" s="3" t="n">
        <v>30119.0</v>
      </c>
      <c r="R265" s="3" t="n">
        <v>28898.0</v>
      </c>
      <c r="S265" s="3" t="n">
        <v>27870.0</v>
      </c>
      <c r="T265" s="3" t="n">
        <v>26132.0</v>
      </c>
      <c r="U265" s="3" t="n">
        <v>26134.0</v>
      </c>
      <c r="V265" s="3" t="n">
        <v>25439.0</v>
      </c>
      <c r="W265" s="3" t="n">
        <v>25540.0</v>
      </c>
      <c r="X265" s="3" t="n">
        <v>24848.0</v>
      </c>
      <c r="Y265" s="3" t="n">
        <v>23602.0</v>
      </c>
      <c r="Z265" s="3" t="n">
        <v>22710.0</v>
      </c>
      <c r="AA265" s="3" t="n">
        <v>21859.0</v>
      </c>
      <c r="AB265" s="3" t="n">
        <v>20665.0</v>
      </c>
      <c r="AC265" s="3" t="n">
        <v>19979.0</v>
      </c>
      <c r="AD265" s="3" t="n">
        <v>19464.0</v>
      </c>
      <c r="AE265" s="3" t="n">
        <v>18540.0</v>
      </c>
      <c r="AF265" s="3" t="n">
        <v>18139.0</v>
      </c>
      <c r="AG265" s="3" t="n">
        <v>17715.0</v>
      </c>
      <c r="AH265" s="3" t="n">
        <v>17173.0</v>
      </c>
      <c r="AI265" s="3" t="n">
        <v>16690.0</v>
      </c>
      <c r="AJ265" s="3" t="n">
        <v>16533.0</v>
      </c>
      <c r="AK265" s="3" t="n">
        <v>16614.0</v>
      </c>
      <c r="AL265" s="3" t="n">
        <v>17525.0</v>
      </c>
      <c r="AM265" s="3" t="n">
        <v>17950.0</v>
      </c>
      <c r="AN265" s="3" t="n">
        <v>19136.0</v>
      </c>
      <c r="AO265" s="3" t="n">
        <v>20609.0</v>
      </c>
    </row>
    <row r="266" spans="1:41" x14ac:dyDescent="0.2">
      <c r="A266" s="122"/>
      <c r="B266" s="9">
        <v>53</v>
      </c>
      <c r="C266" s="3" t="n">
        <v>20768.0</v>
      </c>
      <c r="D266" s="3" t="n">
        <v>21261.0</v>
      </c>
      <c r="E266" s="3" t="n">
        <v>22326.0</v>
      </c>
      <c r="F266" s="3" t="n">
        <v>23636.0</v>
      </c>
      <c r="G266" s="3" t="n">
        <v>24238.0</v>
      </c>
      <c r="H266" s="3" t="n">
        <v>25201.0</v>
      </c>
      <c r="I266" s="3" t="n">
        <v>26441.0</v>
      </c>
      <c r="J266" s="3" t="n">
        <v>27333.0</v>
      </c>
      <c r="K266" s="3" t="n">
        <v>27512.0</v>
      </c>
      <c r="L266" s="3" t="n">
        <v>27477.0</v>
      </c>
      <c r="M266" s="3" t="n">
        <v>28478.0</v>
      </c>
      <c r="N266" s="3" t="n">
        <v>28933.0</v>
      </c>
      <c r="O266" s="3" t="n">
        <v>28163.0</v>
      </c>
      <c r="P266" s="3" t="n">
        <v>29482.0</v>
      </c>
      <c r="Q266" s="3" t="n">
        <v>30642.0</v>
      </c>
      <c r="R266" s="3" t="n">
        <v>30044.0</v>
      </c>
      <c r="S266" s="3" t="n">
        <v>28830.0</v>
      </c>
      <c r="T266" s="3" t="n">
        <v>27805.0</v>
      </c>
      <c r="U266" s="3" t="n">
        <v>26064.0</v>
      </c>
      <c r="V266" s="3" t="n">
        <v>26070.0</v>
      </c>
      <c r="W266" s="3" t="n">
        <v>25374.0</v>
      </c>
      <c r="X266" s="3" t="n">
        <v>25475.0</v>
      </c>
      <c r="Y266" s="3" t="n">
        <v>24792.0</v>
      </c>
      <c r="Z266" s="3" t="n">
        <v>23554.0</v>
      </c>
      <c r="AA266" s="3" t="n">
        <v>22656.0</v>
      </c>
      <c r="AB266" s="3" t="n">
        <v>21808.0</v>
      </c>
      <c r="AC266" s="3" t="n">
        <v>20622.0</v>
      </c>
      <c r="AD266" s="3" t="n">
        <v>19932.0</v>
      </c>
      <c r="AE266" s="3" t="n">
        <v>19419.0</v>
      </c>
      <c r="AF266" s="3" t="n">
        <v>18498.0</v>
      </c>
      <c r="AG266" s="3" t="n">
        <v>18102.0</v>
      </c>
      <c r="AH266" s="3" t="n">
        <v>17682.0</v>
      </c>
      <c r="AI266" s="3" t="n">
        <v>17142.0</v>
      </c>
      <c r="AJ266" s="3" t="n">
        <v>16662.0</v>
      </c>
      <c r="AK266" s="3" t="n">
        <v>16506.0</v>
      </c>
      <c r="AL266" s="3" t="n">
        <v>16590.0</v>
      </c>
      <c r="AM266" s="3" t="n">
        <v>17495.0</v>
      </c>
      <c r="AN266" s="3" t="n">
        <v>17920.0</v>
      </c>
      <c r="AO266" s="3" t="n">
        <v>19102.0</v>
      </c>
    </row>
    <row r="267" spans="1:41" x14ac:dyDescent="0.2">
      <c r="A267" s="122"/>
      <c r="B267" s="9">
        <v>54</v>
      </c>
      <c r="C267" s="3" t="n">
        <v>20419.0</v>
      </c>
      <c r="D267" s="3" t="n">
        <v>20710.0</v>
      </c>
      <c r="E267" s="3" t="n">
        <v>21198.0</v>
      </c>
      <c r="F267" s="3" t="n">
        <v>22259.0</v>
      </c>
      <c r="G267" s="3" t="n">
        <v>23568.0</v>
      </c>
      <c r="H267" s="3" t="n">
        <v>24258.0</v>
      </c>
      <c r="I267" s="3" t="n">
        <v>25250.0</v>
      </c>
      <c r="J267" s="3" t="n">
        <v>26419.0</v>
      </c>
      <c r="K267" s="3" t="n">
        <v>27277.0</v>
      </c>
      <c r="L267" s="3" t="n">
        <v>27442.0</v>
      </c>
      <c r="M267" s="3" t="n">
        <v>27400.0</v>
      </c>
      <c r="N267" s="3" t="n">
        <v>28400.0</v>
      </c>
      <c r="O267" s="3" t="n">
        <v>28849.0</v>
      </c>
      <c r="P267" s="3" t="n">
        <v>28084.0</v>
      </c>
      <c r="Q267" s="3" t="n">
        <v>29404.0</v>
      </c>
      <c r="R267" s="3" t="n">
        <v>30565.0</v>
      </c>
      <c r="S267" s="3" t="n">
        <v>29965.0</v>
      </c>
      <c r="T267" s="3" t="n">
        <v>28760.0</v>
      </c>
      <c r="U267" s="3" t="n">
        <v>27731.0</v>
      </c>
      <c r="V267" s="3" t="n">
        <v>25995.0</v>
      </c>
      <c r="W267" s="3" t="n">
        <v>26003.0</v>
      </c>
      <c r="X267" s="3" t="n">
        <v>25313.0</v>
      </c>
      <c r="Y267" s="3" t="n">
        <v>25413.0</v>
      </c>
      <c r="Z267" s="3" t="n">
        <v>24728.0</v>
      </c>
      <c r="AA267" s="3" t="n">
        <v>23495.0</v>
      </c>
      <c r="AB267" s="3" t="n">
        <v>22598.0</v>
      </c>
      <c r="AC267" s="3" t="n">
        <v>21759.0</v>
      </c>
      <c r="AD267" s="3" t="n">
        <v>20576.0</v>
      </c>
      <c r="AE267" s="3" t="n">
        <v>19887.0</v>
      </c>
      <c r="AF267" s="3" t="n">
        <v>19373.0</v>
      </c>
      <c r="AG267" s="3" t="n">
        <v>18455.0</v>
      </c>
      <c r="AH267" s="3" t="n">
        <v>18063.0</v>
      </c>
      <c r="AI267" s="3" t="n">
        <v>17648.0</v>
      </c>
      <c r="AJ267" s="3" t="n">
        <v>17114.0</v>
      </c>
      <c r="AK267" s="3" t="n">
        <v>16632.0</v>
      </c>
      <c r="AL267" s="3" t="n">
        <v>16478.0</v>
      </c>
      <c r="AM267" s="3" t="n">
        <v>16558.0</v>
      </c>
      <c r="AN267" s="3" t="n">
        <v>17462.0</v>
      </c>
      <c r="AO267" s="3" t="n">
        <v>17888.0</v>
      </c>
    </row>
    <row r="268" spans="1:41" x14ac:dyDescent="0.2">
      <c r="A268" s="122"/>
      <c r="B268" s="9">
        <v>55</v>
      </c>
      <c r="C268" s="3" t="n">
        <v>19609.0</v>
      </c>
      <c r="D268" s="3" t="n">
        <v>20345.0</v>
      </c>
      <c r="E268" s="3" t="n">
        <v>20640.0</v>
      </c>
      <c r="F268" s="3" t="n">
        <v>21133.0</v>
      </c>
      <c r="G268" s="3" t="n">
        <v>22192.0</v>
      </c>
      <c r="H268" s="3" t="n">
        <v>23576.0</v>
      </c>
      <c r="I268" s="3" t="n">
        <v>24291.0</v>
      </c>
      <c r="J268" s="3" t="n">
        <v>25222.0</v>
      </c>
      <c r="K268" s="3" t="n">
        <v>26350.0</v>
      </c>
      <c r="L268" s="3" t="n">
        <v>27196.0</v>
      </c>
      <c r="M268" s="3" t="n">
        <v>27359.0</v>
      </c>
      <c r="N268" s="3" t="n">
        <v>27316.0</v>
      </c>
      <c r="O268" s="3" t="n">
        <v>28311.0</v>
      </c>
      <c r="P268" s="3" t="n">
        <v>28760.0</v>
      </c>
      <c r="Q268" s="3" t="n">
        <v>28000.0</v>
      </c>
      <c r="R268" s="3" t="n">
        <v>29316.0</v>
      </c>
      <c r="S268" s="3" t="n">
        <v>30479.0</v>
      </c>
      <c r="T268" s="3" t="n">
        <v>29877.0</v>
      </c>
      <c r="U268" s="3" t="n">
        <v>28676.0</v>
      </c>
      <c r="V268" s="3" t="n">
        <v>27651.0</v>
      </c>
      <c r="W268" s="3" t="n">
        <v>25920.0</v>
      </c>
      <c r="X268" s="3" t="n">
        <v>25927.0</v>
      </c>
      <c r="Y268" s="3" t="n">
        <v>25241.0</v>
      </c>
      <c r="Z268" s="3" t="n">
        <v>25342.0</v>
      </c>
      <c r="AA268" s="3" t="n">
        <v>24656.0</v>
      </c>
      <c r="AB268" s="3" t="n">
        <v>23427.0</v>
      </c>
      <c r="AC268" s="3" t="n">
        <v>22534.0</v>
      </c>
      <c r="AD268" s="3" t="n">
        <v>21695.0</v>
      </c>
      <c r="AE268" s="3" t="n">
        <v>20522.0</v>
      </c>
      <c r="AF268" s="3" t="n">
        <v>19833.0</v>
      </c>
      <c r="AG268" s="3" t="n">
        <v>19319.0</v>
      </c>
      <c r="AH268" s="3" t="n">
        <v>18404.0</v>
      </c>
      <c r="AI268" s="3" t="n">
        <v>18011.0</v>
      </c>
      <c r="AJ268" s="3" t="n">
        <v>17598.0</v>
      </c>
      <c r="AK268" s="3" t="n">
        <v>17068.0</v>
      </c>
      <c r="AL268" s="3" t="n">
        <v>16588.0</v>
      </c>
      <c r="AM268" s="3" t="n">
        <v>16435.0</v>
      </c>
      <c r="AN268" s="3" t="n">
        <v>16515.0</v>
      </c>
      <c r="AO268" s="3" t="n">
        <v>17418.0</v>
      </c>
    </row>
    <row r="269" spans="1:41" x14ac:dyDescent="0.2">
      <c r="A269" s="122"/>
      <c r="B269" s="9">
        <v>56</v>
      </c>
      <c r="C269" s="3" t="n">
        <v>19593.0</v>
      </c>
      <c r="D269" s="3" t="n">
        <v>19537.0</v>
      </c>
      <c r="E269" s="3" t="n">
        <v>20268.0</v>
      </c>
      <c r="F269" s="3" t="n">
        <v>20562.0</v>
      </c>
      <c r="G269" s="3" t="n">
        <v>21059.0</v>
      </c>
      <c r="H269" s="3" t="n">
        <v>22177.0</v>
      </c>
      <c r="I269" s="3" t="n">
        <v>23578.0</v>
      </c>
      <c r="J269" s="3" t="n">
        <v>24242.0</v>
      </c>
      <c r="K269" s="3" t="n">
        <v>25150.0</v>
      </c>
      <c r="L269" s="3" t="n">
        <v>26267.0</v>
      </c>
      <c r="M269" s="3" t="n">
        <v>27106.0</v>
      </c>
      <c r="N269" s="3" t="n">
        <v>27269.0</v>
      </c>
      <c r="O269" s="3" t="n">
        <v>27224.0</v>
      </c>
      <c r="P269" s="3" t="n">
        <v>28217.0</v>
      </c>
      <c r="Q269" s="3" t="n">
        <v>28660.0</v>
      </c>
      <c r="R269" s="3" t="n">
        <v>27910.0</v>
      </c>
      <c r="S269" s="3" t="n">
        <v>29220.0</v>
      </c>
      <c r="T269" s="3" t="n">
        <v>30380.0</v>
      </c>
      <c r="U269" s="3" t="n">
        <v>29784.0</v>
      </c>
      <c r="V269" s="3" t="n">
        <v>28587.0</v>
      </c>
      <c r="W269" s="3" t="n">
        <v>27568.0</v>
      </c>
      <c r="X269" s="3" t="n">
        <v>25844.0</v>
      </c>
      <c r="Y269" s="3" t="n">
        <v>25848.0</v>
      </c>
      <c r="Z269" s="3" t="n">
        <v>25168.0</v>
      </c>
      <c r="AA269" s="3" t="n">
        <v>25268.0</v>
      </c>
      <c r="AB269" s="3" t="n">
        <v>24582.0</v>
      </c>
      <c r="AC269" s="3" t="n">
        <v>23361.0</v>
      </c>
      <c r="AD269" s="3" t="n">
        <v>22471.0</v>
      </c>
      <c r="AE269" s="3" t="n">
        <v>21635.0</v>
      </c>
      <c r="AF269" s="3" t="n">
        <v>20466.0</v>
      </c>
      <c r="AG269" s="3" t="n">
        <v>19780.0</v>
      </c>
      <c r="AH269" s="3" t="n">
        <v>19269.0</v>
      </c>
      <c r="AI269" s="3" t="n">
        <v>18362.0</v>
      </c>
      <c r="AJ269" s="3" t="n">
        <v>17972.0</v>
      </c>
      <c r="AK269" s="3" t="n">
        <v>17560.0</v>
      </c>
      <c r="AL269" s="3" t="n">
        <v>17036.0</v>
      </c>
      <c r="AM269" s="3" t="n">
        <v>16554.0</v>
      </c>
      <c r="AN269" s="3" t="n">
        <v>16404.0</v>
      </c>
      <c r="AO269" s="3" t="n">
        <v>16486.0</v>
      </c>
    </row>
    <row r="270" spans="1:41" x14ac:dyDescent="0.2">
      <c r="A270" s="122"/>
      <c r="B270" s="9">
        <v>57</v>
      </c>
      <c r="C270" s="3" t="n">
        <v>19792.0</v>
      </c>
      <c r="D270" s="3" t="n">
        <v>19515.0</v>
      </c>
      <c r="E270" s="3" t="n">
        <v>19466.0</v>
      </c>
      <c r="F270" s="3" t="n">
        <v>20193.0</v>
      </c>
      <c r="G270" s="3" t="n">
        <v>20485.0</v>
      </c>
      <c r="H270" s="3" t="n">
        <v>21047.0</v>
      </c>
      <c r="I270" s="3" t="n">
        <v>22193.0</v>
      </c>
      <c r="J270" s="3" t="n">
        <v>23533.0</v>
      </c>
      <c r="K270" s="3" t="n">
        <v>24168.0</v>
      </c>
      <c r="L270" s="3" t="n">
        <v>25068.0</v>
      </c>
      <c r="M270" s="3" t="n">
        <v>26177.0</v>
      </c>
      <c r="N270" s="3" t="n">
        <v>27009.0</v>
      </c>
      <c r="O270" s="3" t="n">
        <v>27170.0</v>
      </c>
      <c r="P270" s="3" t="n">
        <v>27128.0</v>
      </c>
      <c r="Q270" s="3" t="n">
        <v>28115.0</v>
      </c>
      <c r="R270" s="3" t="n">
        <v>28559.0</v>
      </c>
      <c r="S270" s="3" t="n">
        <v>27814.0</v>
      </c>
      <c r="T270" s="3" t="n">
        <v>29119.0</v>
      </c>
      <c r="U270" s="3" t="n">
        <v>30278.0</v>
      </c>
      <c r="V270" s="3" t="n">
        <v>29687.0</v>
      </c>
      <c r="W270" s="3" t="n">
        <v>28498.0</v>
      </c>
      <c r="X270" s="3" t="n">
        <v>27485.0</v>
      </c>
      <c r="Y270" s="3" t="n">
        <v>25763.0</v>
      </c>
      <c r="Z270" s="3" t="n">
        <v>25769.0</v>
      </c>
      <c r="AA270" s="3" t="n">
        <v>25090.0</v>
      </c>
      <c r="AB270" s="3" t="n">
        <v>25191.0</v>
      </c>
      <c r="AC270" s="3" t="n">
        <v>24506.0</v>
      </c>
      <c r="AD270" s="3" t="n">
        <v>23288.0</v>
      </c>
      <c r="AE270" s="3" t="n">
        <v>22409.0</v>
      </c>
      <c r="AF270" s="3" t="n">
        <v>21577.0</v>
      </c>
      <c r="AG270" s="3" t="n">
        <v>20413.0</v>
      </c>
      <c r="AH270" s="3" t="n">
        <v>19733.0</v>
      </c>
      <c r="AI270" s="3" t="n">
        <v>19222.0</v>
      </c>
      <c r="AJ270" s="3" t="n">
        <v>18320.0</v>
      </c>
      <c r="AK270" s="3" t="n">
        <v>17930.0</v>
      </c>
      <c r="AL270" s="3" t="n">
        <v>17524.0</v>
      </c>
      <c r="AM270" s="3" t="n">
        <v>17002.0</v>
      </c>
      <c r="AN270" s="3" t="n">
        <v>16518.0</v>
      </c>
      <c r="AO270" s="3" t="n">
        <v>16367.0</v>
      </c>
    </row>
    <row r="271" spans="1:41" x14ac:dyDescent="0.2">
      <c r="A271" s="122"/>
      <c r="B271" s="9">
        <v>58</v>
      </c>
      <c r="C271" s="3" t="n">
        <v>20320.0</v>
      </c>
      <c r="D271" s="3" t="n">
        <v>19687.0</v>
      </c>
      <c r="E271" s="3" t="n">
        <v>19418.0</v>
      </c>
      <c r="F271" s="3" t="n">
        <v>19373.0</v>
      </c>
      <c r="G271" s="3" t="n">
        <v>20095.0</v>
      </c>
      <c r="H271" s="3" t="n">
        <v>20461.0</v>
      </c>
      <c r="I271" s="3" t="n">
        <v>21043.0</v>
      </c>
      <c r="J271" s="3" t="n">
        <v>22135.0</v>
      </c>
      <c r="K271" s="3" t="n">
        <v>23445.0</v>
      </c>
      <c r="L271" s="3" t="n">
        <v>24066.0</v>
      </c>
      <c r="M271" s="3" t="n">
        <v>24960.0</v>
      </c>
      <c r="N271" s="3" t="n">
        <v>26066.0</v>
      </c>
      <c r="O271" s="3" t="n">
        <v>26892.0</v>
      </c>
      <c r="P271" s="3" t="n">
        <v>27054.0</v>
      </c>
      <c r="Q271" s="3" t="n">
        <v>27014.0</v>
      </c>
      <c r="R271" s="3" t="n">
        <v>28001.0</v>
      </c>
      <c r="S271" s="3" t="n">
        <v>28439.0</v>
      </c>
      <c r="T271" s="3" t="n">
        <v>27697.0</v>
      </c>
      <c r="U271" s="3" t="n">
        <v>28998.0</v>
      </c>
      <c r="V271" s="3" t="n">
        <v>30158.0</v>
      </c>
      <c r="W271" s="3" t="n">
        <v>29568.0</v>
      </c>
      <c r="X271" s="3" t="n">
        <v>28389.0</v>
      </c>
      <c r="Y271" s="3" t="n">
        <v>27386.0</v>
      </c>
      <c r="Z271" s="3" t="n">
        <v>25666.0</v>
      </c>
      <c r="AA271" s="3" t="n">
        <v>25673.0</v>
      </c>
      <c r="AB271" s="3" t="n">
        <v>25001.0</v>
      </c>
      <c r="AC271" s="3" t="n">
        <v>25098.0</v>
      </c>
      <c r="AD271" s="3" t="n">
        <v>24415.0</v>
      </c>
      <c r="AE271" s="3" t="n">
        <v>23196.0</v>
      </c>
      <c r="AF271" s="3" t="n">
        <v>22323.0</v>
      </c>
      <c r="AG271" s="3" t="n">
        <v>21497.0</v>
      </c>
      <c r="AH271" s="3" t="n">
        <v>20342.0</v>
      </c>
      <c r="AI271" s="3" t="n">
        <v>19668.0</v>
      </c>
      <c r="AJ271" s="3" t="n">
        <v>19160.0</v>
      </c>
      <c r="AK271" s="3" t="n">
        <v>18260.0</v>
      </c>
      <c r="AL271" s="3" t="n">
        <v>17872.0</v>
      </c>
      <c r="AM271" s="3" t="n">
        <v>17473.0</v>
      </c>
      <c r="AN271" s="3" t="n">
        <v>16951.0</v>
      </c>
      <c r="AO271" s="3" t="n">
        <v>16469.0</v>
      </c>
    </row>
    <row r="272" spans="1:41" x14ac:dyDescent="0.2">
      <c r="A272" s="122"/>
      <c r="B272" s="9">
        <v>59</v>
      </c>
      <c r="C272" s="3" t="n">
        <v>21089.0</v>
      </c>
      <c r="D272" s="3" t="n">
        <v>20202.0</v>
      </c>
      <c r="E272" s="3" t="n">
        <v>19583.0</v>
      </c>
      <c r="F272" s="3" t="n">
        <v>19318.0</v>
      </c>
      <c r="G272" s="3" t="n">
        <v>19275.0</v>
      </c>
      <c r="H272" s="3" t="n">
        <v>20056.0</v>
      </c>
      <c r="I272" s="3" t="n">
        <v>20447.0</v>
      </c>
      <c r="J272" s="3" t="n">
        <v>20979.0</v>
      </c>
      <c r="K272" s="3" t="n">
        <v>22037.0</v>
      </c>
      <c r="L272" s="3" t="n">
        <v>23338.0</v>
      </c>
      <c r="M272" s="3" t="n">
        <v>23955.0</v>
      </c>
      <c r="N272" s="3" t="n">
        <v>24847.0</v>
      </c>
      <c r="O272" s="3" t="n">
        <v>25947.0</v>
      </c>
      <c r="P272" s="3" t="n">
        <v>26775.0</v>
      </c>
      <c r="Q272" s="3" t="n">
        <v>26942.0</v>
      </c>
      <c r="R272" s="3" t="n">
        <v>26899.0</v>
      </c>
      <c r="S272" s="3" t="n">
        <v>27880.0</v>
      </c>
      <c r="T272" s="3" t="n">
        <v>28321.0</v>
      </c>
      <c r="U272" s="3" t="n">
        <v>27579.0</v>
      </c>
      <c r="V272" s="3" t="n">
        <v>28879.0</v>
      </c>
      <c r="W272" s="3" t="n">
        <v>30031.0</v>
      </c>
      <c r="X272" s="3" t="n">
        <v>29443.0</v>
      </c>
      <c r="Y272" s="3" t="n">
        <v>28279.0</v>
      </c>
      <c r="Z272" s="3" t="n">
        <v>27283.0</v>
      </c>
      <c r="AA272" s="3" t="n">
        <v>25573.0</v>
      </c>
      <c r="AB272" s="3" t="n">
        <v>25581.0</v>
      </c>
      <c r="AC272" s="3" t="n">
        <v>24908.0</v>
      </c>
      <c r="AD272" s="3" t="n">
        <v>25001.0</v>
      </c>
      <c r="AE272" s="3" t="n">
        <v>24330.0</v>
      </c>
      <c r="AF272" s="3" t="n">
        <v>23108.0</v>
      </c>
      <c r="AG272" s="3" t="n">
        <v>22244.0</v>
      </c>
      <c r="AH272" s="3" t="n">
        <v>21419.0</v>
      </c>
      <c r="AI272" s="3" t="n">
        <v>20270.0</v>
      </c>
      <c r="AJ272" s="3" t="n">
        <v>19598.0</v>
      </c>
      <c r="AK272" s="3" t="n">
        <v>19095.0</v>
      </c>
      <c r="AL272" s="3" t="n">
        <v>18196.0</v>
      </c>
      <c r="AM272" s="3" t="n">
        <v>17813.0</v>
      </c>
      <c r="AN272" s="3" t="n">
        <v>17416.0</v>
      </c>
      <c r="AO272" s="3" t="n">
        <v>16898.0</v>
      </c>
    </row>
    <row r="273" spans="1:41" x14ac:dyDescent="0.2">
      <c r="A273" s="122"/>
      <c r="B273" s="9">
        <v>60</v>
      </c>
      <c r="C273" s="3" t="n">
        <v>20682.0</v>
      </c>
      <c r="D273" s="3" t="n">
        <v>20966.0</v>
      </c>
      <c r="E273" s="3" t="n">
        <v>20091.0</v>
      </c>
      <c r="F273" s="3" t="n">
        <v>19479.0</v>
      </c>
      <c r="G273" s="3" t="n">
        <v>19217.0</v>
      </c>
      <c r="H273" s="3" t="n">
        <v>19232.0</v>
      </c>
      <c r="I273" s="3" t="n">
        <v>20035.0</v>
      </c>
      <c r="J273" s="3" t="n">
        <v>20374.0</v>
      </c>
      <c r="K273" s="3" t="n">
        <v>20876.0</v>
      </c>
      <c r="L273" s="3" t="n">
        <v>21929.0</v>
      </c>
      <c r="M273" s="3" t="n">
        <v>23223.0</v>
      </c>
      <c r="N273" s="3" t="n">
        <v>23834.0</v>
      </c>
      <c r="O273" s="3" t="n">
        <v>24727.0</v>
      </c>
      <c r="P273" s="3" t="n">
        <v>25821.0</v>
      </c>
      <c r="Q273" s="3" t="n">
        <v>26650.0</v>
      </c>
      <c r="R273" s="3" t="n">
        <v>26818.0</v>
      </c>
      <c r="S273" s="3" t="n">
        <v>26776.0</v>
      </c>
      <c r="T273" s="3" t="n">
        <v>27755.0</v>
      </c>
      <c r="U273" s="3" t="n">
        <v>28199.0</v>
      </c>
      <c r="V273" s="3" t="n">
        <v>27461.0</v>
      </c>
      <c r="W273" s="3" t="n">
        <v>28754.0</v>
      </c>
      <c r="X273" s="3" t="n">
        <v>29902.0</v>
      </c>
      <c r="Y273" s="3" t="n">
        <v>29319.0</v>
      </c>
      <c r="Z273" s="3" t="n">
        <v>28161.0</v>
      </c>
      <c r="AA273" s="3" t="n">
        <v>27166.0</v>
      </c>
      <c r="AB273" s="3" t="n">
        <v>25464.0</v>
      </c>
      <c r="AC273" s="3" t="n">
        <v>25468.0</v>
      </c>
      <c r="AD273" s="3" t="n">
        <v>24803.0</v>
      </c>
      <c r="AE273" s="3" t="n">
        <v>24896.0</v>
      </c>
      <c r="AF273" s="3" t="n">
        <v>24228.0</v>
      </c>
      <c r="AG273" s="3" t="n">
        <v>23010.0</v>
      </c>
      <c r="AH273" s="3" t="n">
        <v>22158.0</v>
      </c>
      <c r="AI273" s="3" t="n">
        <v>21340.0</v>
      </c>
      <c r="AJ273" s="3" t="n">
        <v>20199.0</v>
      </c>
      <c r="AK273" s="3" t="n">
        <v>19535.0</v>
      </c>
      <c r="AL273" s="3" t="n">
        <v>19036.0</v>
      </c>
      <c r="AM273" s="3" t="n">
        <v>18145.0</v>
      </c>
      <c r="AN273" s="3" t="n">
        <v>17770.0</v>
      </c>
      <c r="AO273" s="3" t="n">
        <v>17375.0</v>
      </c>
    </row>
    <row r="274" spans="1:41" x14ac:dyDescent="0.2">
      <c r="A274" s="122"/>
      <c r="B274" s="9">
        <v>61</v>
      </c>
      <c r="C274" s="3" t="n">
        <v>21382.0</v>
      </c>
      <c r="D274" s="3" t="n">
        <v>20551.0</v>
      </c>
      <c r="E274" s="3" t="n">
        <v>20843.0</v>
      </c>
      <c r="F274" s="3" t="n">
        <v>19975.0</v>
      </c>
      <c r="G274" s="3" t="n">
        <v>19371.0</v>
      </c>
      <c r="H274" s="3" t="n">
        <v>19165.0</v>
      </c>
      <c r="I274" s="3" t="n">
        <v>19206.0</v>
      </c>
      <c r="J274" s="3" t="n">
        <v>19961.0</v>
      </c>
      <c r="K274" s="3" t="n">
        <v>20281.0</v>
      </c>
      <c r="L274" s="3" t="n">
        <v>20776.0</v>
      </c>
      <c r="M274" s="3" t="n">
        <v>21819.0</v>
      </c>
      <c r="N274" s="3" t="n">
        <v>23101.0</v>
      </c>
      <c r="O274" s="3" t="n">
        <v>23712.0</v>
      </c>
      <c r="P274" s="3" t="n">
        <v>24599.0</v>
      </c>
      <c r="Q274" s="3" t="n">
        <v>25691.0</v>
      </c>
      <c r="R274" s="3" t="n">
        <v>26511.0</v>
      </c>
      <c r="S274" s="3" t="n">
        <v>26682.0</v>
      </c>
      <c r="T274" s="3" t="n">
        <v>26644.0</v>
      </c>
      <c r="U274" s="3" t="n">
        <v>27614.0</v>
      </c>
      <c r="V274" s="3" t="n">
        <v>28057.0</v>
      </c>
      <c r="W274" s="3" t="n">
        <v>27324.0</v>
      </c>
      <c r="X274" s="3" t="n">
        <v>28615.0</v>
      </c>
      <c r="Y274" s="3" t="n">
        <v>29754.0</v>
      </c>
      <c r="Z274" s="3" t="n">
        <v>29176.0</v>
      </c>
      <c r="AA274" s="3" t="n">
        <v>28028.0</v>
      </c>
      <c r="AB274" s="3" t="n">
        <v>27047.0</v>
      </c>
      <c r="AC274" s="3" t="n">
        <v>25360.0</v>
      </c>
      <c r="AD274" s="3" t="n">
        <v>25364.0</v>
      </c>
      <c r="AE274" s="3" t="n">
        <v>24704.0</v>
      </c>
      <c r="AF274" s="3" t="n">
        <v>24795.0</v>
      </c>
      <c r="AG274" s="3" t="n">
        <v>24130.0</v>
      </c>
      <c r="AH274" s="3" t="n">
        <v>22926.0</v>
      </c>
      <c r="AI274" s="3" t="n">
        <v>22076.0</v>
      </c>
      <c r="AJ274" s="3" t="n">
        <v>21267.0</v>
      </c>
      <c r="AK274" s="3" t="n">
        <v>20131.0</v>
      </c>
      <c r="AL274" s="3" t="n">
        <v>19464.0</v>
      </c>
      <c r="AM274" s="3" t="n">
        <v>18970.0</v>
      </c>
      <c r="AN274" s="3" t="n">
        <v>18085.0</v>
      </c>
      <c r="AO274" s="3" t="n">
        <v>17710.0</v>
      </c>
    </row>
    <row r="275" spans="1:41" x14ac:dyDescent="0.2">
      <c r="A275" s="122"/>
      <c r="B275" s="9">
        <v>62</v>
      </c>
      <c r="C275" s="3" t="n">
        <v>22455.0</v>
      </c>
      <c r="D275" s="3" t="n">
        <v>21226.0</v>
      </c>
      <c r="E275" s="3" t="n">
        <v>20408.0</v>
      </c>
      <c r="F275" s="3" t="n">
        <v>20697.0</v>
      </c>
      <c r="G275" s="3" t="n">
        <v>19844.0</v>
      </c>
      <c r="H275" s="3" t="n">
        <v>19308.0</v>
      </c>
      <c r="I275" s="3" t="n">
        <v>19123.0</v>
      </c>
      <c r="J275" s="3" t="n">
        <v>19126.0</v>
      </c>
      <c r="K275" s="3" t="n">
        <v>19851.0</v>
      </c>
      <c r="L275" s="3" t="n">
        <v>20165.0</v>
      </c>
      <c r="M275" s="3" t="n">
        <v>20657.0</v>
      </c>
      <c r="N275" s="3" t="n">
        <v>21695.0</v>
      </c>
      <c r="O275" s="3" t="n">
        <v>22967.0</v>
      </c>
      <c r="P275" s="3" t="n">
        <v>23573.0</v>
      </c>
      <c r="Q275" s="3" t="n">
        <v>24462.0</v>
      </c>
      <c r="R275" s="3" t="n">
        <v>25549.0</v>
      </c>
      <c r="S275" s="3" t="n">
        <v>26359.0</v>
      </c>
      <c r="T275" s="3" t="n">
        <v>26533.0</v>
      </c>
      <c r="U275" s="3" t="n">
        <v>26500.0</v>
      </c>
      <c r="V275" s="3" t="n">
        <v>27471.0</v>
      </c>
      <c r="W275" s="3" t="n">
        <v>27909.0</v>
      </c>
      <c r="X275" s="3" t="n">
        <v>27186.0</v>
      </c>
      <c r="Y275" s="3" t="n">
        <v>28469.0</v>
      </c>
      <c r="Z275" s="3" t="n">
        <v>29600.0</v>
      </c>
      <c r="AA275" s="3" t="n">
        <v>29027.0</v>
      </c>
      <c r="AB275" s="3" t="n">
        <v>27887.0</v>
      </c>
      <c r="AC275" s="3" t="n">
        <v>26913.0</v>
      </c>
      <c r="AD275" s="3" t="n">
        <v>25241.0</v>
      </c>
      <c r="AE275" s="3" t="n">
        <v>25242.0</v>
      </c>
      <c r="AF275" s="3" t="n">
        <v>24587.0</v>
      </c>
      <c r="AG275" s="3" t="n">
        <v>24680.0</v>
      </c>
      <c r="AH275" s="3" t="n">
        <v>24017.0</v>
      </c>
      <c r="AI275" s="3" t="n">
        <v>22823.0</v>
      </c>
      <c r="AJ275" s="3" t="n">
        <v>21978.0</v>
      </c>
      <c r="AK275" s="3" t="n">
        <v>21170.0</v>
      </c>
      <c r="AL275" s="3" t="n">
        <v>20041.0</v>
      </c>
      <c r="AM275" s="3" t="n">
        <v>19380.0</v>
      </c>
      <c r="AN275" s="3" t="n">
        <v>18892.0</v>
      </c>
      <c r="AO275" s="3" t="n">
        <v>18012.0</v>
      </c>
    </row>
    <row r="276" spans="1:41" x14ac:dyDescent="0.2">
      <c r="A276" s="122"/>
      <c r="B276" s="9">
        <v>63</v>
      </c>
      <c r="C276" s="3" t="n">
        <v>23930.0</v>
      </c>
      <c r="D276" s="3" t="n">
        <v>22278.0</v>
      </c>
      <c r="E276" s="3" t="n">
        <v>21066.0</v>
      </c>
      <c r="F276" s="3" t="n">
        <v>20263.0</v>
      </c>
      <c r="G276" s="3" t="n">
        <v>20550.0</v>
      </c>
      <c r="H276" s="3" t="n">
        <v>19759.0</v>
      </c>
      <c r="I276" s="3" t="n">
        <v>19256.0</v>
      </c>
      <c r="J276" s="3" t="n">
        <v>19033.0</v>
      </c>
      <c r="K276" s="3" t="n">
        <v>19009.0</v>
      </c>
      <c r="L276" s="3" t="n">
        <v>19723.0</v>
      </c>
      <c r="M276" s="3" t="n">
        <v>20031.0</v>
      </c>
      <c r="N276" s="3" t="n">
        <v>20527.0</v>
      </c>
      <c r="O276" s="3" t="n">
        <v>21558.0</v>
      </c>
      <c r="P276" s="3" t="n">
        <v>22821.0</v>
      </c>
      <c r="Q276" s="3" t="n">
        <v>23423.0</v>
      </c>
      <c r="R276" s="3" t="n">
        <v>24314.0</v>
      </c>
      <c r="S276" s="3" t="n">
        <v>25392.0</v>
      </c>
      <c r="T276" s="3" t="n">
        <v>26203.0</v>
      </c>
      <c r="U276" s="3" t="n">
        <v>26375.0</v>
      </c>
      <c r="V276" s="3" t="n">
        <v>26347.0</v>
      </c>
      <c r="W276" s="3" t="n">
        <v>27308.0</v>
      </c>
      <c r="X276" s="3" t="n">
        <v>27754.0</v>
      </c>
      <c r="Y276" s="3" t="n">
        <v>27034.0</v>
      </c>
      <c r="Z276" s="3" t="n">
        <v>28312.0</v>
      </c>
      <c r="AA276" s="3" t="n">
        <v>29431.0</v>
      </c>
      <c r="AB276" s="3" t="n">
        <v>28866.0</v>
      </c>
      <c r="AC276" s="3" t="n">
        <v>27736.0</v>
      </c>
      <c r="AD276" s="3" t="n">
        <v>26772.0</v>
      </c>
      <c r="AE276" s="3" t="n">
        <v>25116.0</v>
      </c>
      <c r="AF276" s="3" t="n">
        <v>25115.0</v>
      </c>
      <c r="AG276" s="3" t="n">
        <v>24466.0</v>
      </c>
      <c r="AH276" s="3" t="n">
        <v>24562.0</v>
      </c>
      <c r="AI276" s="3" t="n">
        <v>23903.0</v>
      </c>
      <c r="AJ276" s="3" t="n">
        <v>22716.0</v>
      </c>
      <c r="AK276" s="3" t="n">
        <v>21870.0</v>
      </c>
      <c r="AL276" s="3" t="n">
        <v>21070.0</v>
      </c>
      <c r="AM276" s="3" t="n">
        <v>19947.0</v>
      </c>
      <c r="AN276" s="3" t="n">
        <v>19293.0</v>
      </c>
      <c r="AO276" s="3" t="n">
        <v>18808.0</v>
      </c>
    </row>
    <row r="277" spans="1:41" x14ac:dyDescent="0.2">
      <c r="A277" s="122"/>
      <c r="B277" s="9">
        <v>64</v>
      </c>
      <c r="C277" s="3" t="n">
        <v>24543.0</v>
      </c>
      <c r="D277" s="3" t="n">
        <v>23711.0</v>
      </c>
      <c r="E277" s="3" t="n">
        <v>22083.0</v>
      </c>
      <c r="F277" s="3" t="n">
        <v>20885.0</v>
      </c>
      <c r="G277" s="3" t="n">
        <v>20096.0</v>
      </c>
      <c r="H277" s="3" t="n">
        <v>20436.0</v>
      </c>
      <c r="I277" s="3" t="n">
        <v>19679.0</v>
      </c>
      <c r="J277" s="3" t="n">
        <v>19135.0</v>
      </c>
      <c r="K277" s="3" t="n">
        <v>18889.0</v>
      </c>
      <c r="L277" s="3" t="n">
        <v>18864.0</v>
      </c>
      <c r="M277" s="3" t="n">
        <v>19570.0</v>
      </c>
      <c r="N277" s="3" t="n">
        <v>19876.0</v>
      </c>
      <c r="O277" s="3" t="n">
        <v>20368.0</v>
      </c>
      <c r="P277" s="3" t="n">
        <v>21391.0</v>
      </c>
      <c r="Q277" s="3" t="n">
        <v>22646.0</v>
      </c>
      <c r="R277" s="3" t="n">
        <v>23247.0</v>
      </c>
      <c r="S277" s="3" t="n">
        <v>24140.0</v>
      </c>
      <c r="T277" s="3" t="n">
        <v>25218.0</v>
      </c>
      <c r="U277" s="3" t="n">
        <v>26024.0</v>
      </c>
      <c r="V277" s="3" t="n">
        <v>26199.0</v>
      </c>
      <c r="W277" s="3" t="n">
        <v>26169.0</v>
      </c>
      <c r="X277" s="3" t="n">
        <v>27131.0</v>
      </c>
      <c r="Y277" s="3" t="n">
        <v>27582.0</v>
      </c>
      <c r="Z277" s="3" t="n">
        <v>26864.0</v>
      </c>
      <c r="AA277" s="3" t="n">
        <v>28142.0</v>
      </c>
      <c r="AB277" s="3" t="n">
        <v>29260.0</v>
      </c>
      <c r="AC277" s="3" t="n">
        <v>28701.0</v>
      </c>
      <c r="AD277" s="3" t="n">
        <v>27574.0</v>
      </c>
      <c r="AE277" s="3" t="n">
        <v>26609.0</v>
      </c>
      <c r="AF277" s="3" t="n">
        <v>24971.0</v>
      </c>
      <c r="AG277" s="3" t="n">
        <v>24967.0</v>
      </c>
      <c r="AH277" s="3" t="n">
        <v>24328.0</v>
      </c>
      <c r="AI277" s="3" t="n">
        <v>24422.0</v>
      </c>
      <c r="AJ277" s="3" t="n">
        <v>23771.0</v>
      </c>
      <c r="AK277" s="3" t="n">
        <v>22588.0</v>
      </c>
      <c r="AL277" s="3" t="n">
        <v>21749.0</v>
      </c>
      <c r="AM277" s="3" t="n">
        <v>20957.0</v>
      </c>
      <c r="AN277" s="3" t="n">
        <v>19848.0</v>
      </c>
      <c r="AO277" s="3" t="n">
        <v>19200.0</v>
      </c>
    </row>
    <row r="278" spans="1:41" x14ac:dyDescent="0.2">
      <c r="A278" s="122"/>
      <c r="B278" s="9">
        <v>65</v>
      </c>
      <c r="C278" s="3" t="n">
        <v>25351.0</v>
      </c>
      <c r="D278" s="3" t="n">
        <v>24307.0</v>
      </c>
      <c r="E278" s="3" t="n">
        <v>23493.0</v>
      </c>
      <c r="F278" s="3" t="n">
        <v>21889.0</v>
      </c>
      <c r="G278" s="3" t="n">
        <v>20708.0</v>
      </c>
      <c r="H278" s="3" t="n">
        <v>19965.0</v>
      </c>
      <c r="I278" s="3" t="n">
        <v>20325.0</v>
      </c>
      <c r="J278" s="3" t="n">
        <v>19540.0</v>
      </c>
      <c r="K278" s="3" t="n">
        <v>18984.0</v>
      </c>
      <c r="L278" s="3" t="n">
        <v>18742.0</v>
      </c>
      <c r="M278" s="3" t="n">
        <v>18715.0</v>
      </c>
      <c r="N278" s="3" t="n">
        <v>19416.0</v>
      </c>
      <c r="O278" s="3" t="n">
        <v>19718.0</v>
      </c>
      <c r="P278" s="3" t="n">
        <v>20212.0</v>
      </c>
      <c r="Q278" s="3" t="n">
        <v>21223.0</v>
      </c>
      <c r="R278" s="3" t="n">
        <v>22473.0</v>
      </c>
      <c r="S278" s="3" t="n">
        <v>23070.0</v>
      </c>
      <c r="T278" s="3" t="n">
        <v>23960.0</v>
      </c>
      <c r="U278" s="3" t="n">
        <v>25031.0</v>
      </c>
      <c r="V278" s="3" t="n">
        <v>25842.0</v>
      </c>
      <c r="W278" s="3" t="n">
        <v>26016.0</v>
      </c>
      <c r="X278" s="3" t="n">
        <v>25988.0</v>
      </c>
      <c r="Y278" s="3" t="n">
        <v>26950.0</v>
      </c>
      <c r="Z278" s="3" t="n">
        <v>27391.0</v>
      </c>
      <c r="AA278" s="3" t="n">
        <v>26678.0</v>
      </c>
      <c r="AB278" s="3" t="n">
        <v>27962.0</v>
      </c>
      <c r="AC278" s="3" t="n">
        <v>29070.0</v>
      </c>
      <c r="AD278" s="3" t="n">
        <v>28512.0</v>
      </c>
      <c r="AE278" s="3" t="n">
        <v>27401.0</v>
      </c>
      <c r="AF278" s="3" t="n">
        <v>26441.0</v>
      </c>
      <c r="AG278" s="3" t="n">
        <v>24820.0</v>
      </c>
      <c r="AH278" s="3" t="n">
        <v>24821.0</v>
      </c>
      <c r="AI278" s="3" t="n">
        <v>24185.0</v>
      </c>
      <c r="AJ278" s="3" t="n">
        <v>24286.0</v>
      </c>
      <c r="AK278" s="3" t="n">
        <v>23639.0</v>
      </c>
      <c r="AL278" s="3" t="n">
        <v>22468.0</v>
      </c>
      <c r="AM278" s="3" t="n">
        <v>21632.0</v>
      </c>
      <c r="AN278" s="3" t="n">
        <v>20843.0</v>
      </c>
      <c r="AO278" s="3" t="n">
        <v>19745.0</v>
      </c>
    </row>
    <row r="279" spans="1:41" x14ac:dyDescent="0.2">
      <c r="A279" s="122"/>
      <c r="B279" s="9">
        <v>66</v>
      </c>
      <c r="C279" s="3" t="n">
        <v>24395.0</v>
      </c>
      <c r="D279" s="3" t="n">
        <v>25085.0</v>
      </c>
      <c r="E279" s="3" t="n">
        <v>24062.0</v>
      </c>
      <c r="F279" s="3" t="n">
        <v>23268.0</v>
      </c>
      <c r="G279" s="3" t="n">
        <v>21683.0</v>
      </c>
      <c r="H279" s="3" t="n">
        <v>20553.0</v>
      </c>
      <c r="I279" s="3" t="n">
        <v>19830.0</v>
      </c>
      <c r="J279" s="3" t="n">
        <v>20169.0</v>
      </c>
      <c r="K279" s="3" t="n">
        <v>19374.0</v>
      </c>
      <c r="L279" s="3" t="n">
        <v>18822.0</v>
      </c>
      <c r="M279" s="3" t="n">
        <v>18586.0</v>
      </c>
      <c r="N279" s="3" t="n">
        <v>18561.0</v>
      </c>
      <c r="O279" s="3" t="n">
        <v>19252.0</v>
      </c>
      <c r="P279" s="3" t="n">
        <v>19553.0</v>
      </c>
      <c r="Q279" s="3" t="n">
        <v>20049.0</v>
      </c>
      <c r="R279" s="3" t="n">
        <v>21050.0</v>
      </c>
      <c r="S279" s="3" t="n">
        <v>22293.0</v>
      </c>
      <c r="T279" s="3" t="n">
        <v>22886.0</v>
      </c>
      <c r="U279" s="3" t="n">
        <v>23775.0</v>
      </c>
      <c r="V279" s="3" t="n">
        <v>24841.0</v>
      </c>
      <c r="W279" s="3" t="n">
        <v>25647.0</v>
      </c>
      <c r="X279" s="3" t="n">
        <v>25820.0</v>
      </c>
      <c r="Y279" s="3" t="n">
        <v>25799.0</v>
      </c>
      <c r="Z279" s="3" t="n">
        <v>26760.0</v>
      </c>
      <c r="AA279" s="3" t="n">
        <v>27199.0</v>
      </c>
      <c r="AB279" s="3" t="n">
        <v>26496.0</v>
      </c>
      <c r="AC279" s="3" t="n">
        <v>27772.0</v>
      </c>
      <c r="AD279" s="3" t="n">
        <v>28870.0</v>
      </c>
      <c r="AE279" s="3" t="n">
        <v>28324.0</v>
      </c>
      <c r="AF279" s="3" t="n">
        <v>27216.0</v>
      </c>
      <c r="AG279" s="3" t="n">
        <v>26264.0</v>
      </c>
      <c r="AH279" s="3" t="n">
        <v>24660.0</v>
      </c>
      <c r="AI279" s="3" t="n">
        <v>24664.0</v>
      </c>
      <c r="AJ279" s="3" t="n">
        <v>24035.0</v>
      </c>
      <c r="AK279" s="3" t="n">
        <v>24136.0</v>
      </c>
      <c r="AL279" s="3" t="n">
        <v>23499.0</v>
      </c>
      <c r="AM279" s="3" t="n">
        <v>22336.0</v>
      </c>
      <c r="AN279" s="3" t="n">
        <v>21505.0</v>
      </c>
      <c r="AO279" s="3" t="n">
        <v>20724.0</v>
      </c>
    </row>
    <row r="280" spans="1:41" x14ac:dyDescent="0.2">
      <c r="A280" s="122"/>
      <c r="B280" s="9">
        <v>67</v>
      </c>
      <c r="C280" s="3" t="n">
        <v>24453.0</v>
      </c>
      <c r="D280" s="3" t="n">
        <v>24127.0</v>
      </c>
      <c r="E280" s="3" t="n">
        <v>24813.0</v>
      </c>
      <c r="F280" s="3" t="n">
        <v>23807.0</v>
      </c>
      <c r="G280" s="3" t="n">
        <v>23022.0</v>
      </c>
      <c r="H280" s="3" t="n">
        <v>21491.0</v>
      </c>
      <c r="I280" s="3" t="n">
        <v>20386.0</v>
      </c>
      <c r="J280" s="3" t="n">
        <v>19653.0</v>
      </c>
      <c r="K280" s="3" t="n">
        <v>19983.0</v>
      </c>
      <c r="L280" s="3" t="n">
        <v>19193.0</v>
      </c>
      <c r="M280" s="3" t="n">
        <v>18641.0</v>
      </c>
      <c r="N280" s="3" t="n">
        <v>18412.0</v>
      </c>
      <c r="O280" s="3" t="n">
        <v>18386.0</v>
      </c>
      <c r="P280" s="3" t="n">
        <v>19076.0</v>
      </c>
      <c r="Q280" s="3" t="n">
        <v>19378.0</v>
      </c>
      <c r="R280" s="3" t="n">
        <v>19874.0</v>
      </c>
      <c r="S280" s="3" t="n">
        <v>20866.0</v>
      </c>
      <c r="T280" s="3" t="n">
        <v>22098.0</v>
      </c>
      <c r="U280" s="3" t="n">
        <v>22688.0</v>
      </c>
      <c r="V280" s="3" t="n">
        <v>23573.0</v>
      </c>
      <c r="W280" s="3" t="n">
        <v>24636.0</v>
      </c>
      <c r="X280" s="3" t="n">
        <v>25436.0</v>
      </c>
      <c r="Y280" s="3" t="n">
        <v>25615.0</v>
      </c>
      <c r="Z280" s="3" t="n">
        <v>25596.0</v>
      </c>
      <c r="AA280" s="3" t="n">
        <v>26553.0</v>
      </c>
      <c r="AB280" s="3" t="n">
        <v>26991.0</v>
      </c>
      <c r="AC280" s="3" t="n">
        <v>26299.0</v>
      </c>
      <c r="AD280" s="3" t="n">
        <v>27566.0</v>
      </c>
      <c r="AE280" s="3" t="n">
        <v>28659.0</v>
      </c>
      <c r="AF280" s="3" t="n">
        <v>28118.0</v>
      </c>
      <c r="AG280" s="3" t="n">
        <v>27021.0</v>
      </c>
      <c r="AH280" s="3" t="n">
        <v>26087.0</v>
      </c>
      <c r="AI280" s="3" t="n">
        <v>24490.0</v>
      </c>
      <c r="AJ280" s="3" t="n">
        <v>24498.0</v>
      </c>
      <c r="AK280" s="3" t="n">
        <v>23873.0</v>
      </c>
      <c r="AL280" s="3" t="n">
        <v>23971.0</v>
      </c>
      <c r="AM280" s="3" t="n">
        <v>23341.0</v>
      </c>
      <c r="AN280" s="3" t="n">
        <v>22188.0</v>
      </c>
      <c r="AO280" s="3" t="n">
        <v>21369.0</v>
      </c>
    </row>
    <row r="281" spans="1:41" x14ac:dyDescent="0.2">
      <c r="A281" s="122"/>
      <c r="B281" s="9">
        <v>68</v>
      </c>
      <c r="C281" s="3" t="n">
        <v>23320.0</v>
      </c>
      <c r="D281" s="3" t="n">
        <v>24168.0</v>
      </c>
      <c r="E281" s="3" t="n">
        <v>23857.0</v>
      </c>
      <c r="F281" s="3" t="n">
        <v>24537.0</v>
      </c>
      <c r="G281" s="3" t="n">
        <v>23544.0</v>
      </c>
      <c r="H281" s="3" t="n">
        <v>22796.0</v>
      </c>
      <c r="I281" s="3" t="n">
        <v>21299.0</v>
      </c>
      <c r="J281" s="3" t="n">
        <v>20189.0</v>
      </c>
      <c r="K281" s="3" t="n">
        <v>19455.0</v>
      </c>
      <c r="L281" s="3" t="n">
        <v>19785.0</v>
      </c>
      <c r="M281" s="3" t="n">
        <v>19002.0</v>
      </c>
      <c r="N281" s="3" t="n">
        <v>18460.0</v>
      </c>
      <c r="O281" s="3" t="n">
        <v>18234.0</v>
      </c>
      <c r="P281" s="3" t="n">
        <v>18211.0</v>
      </c>
      <c r="Q281" s="3" t="n">
        <v>18896.0</v>
      </c>
      <c r="R281" s="3" t="n">
        <v>19193.0</v>
      </c>
      <c r="S281" s="3" t="n">
        <v>19691.0</v>
      </c>
      <c r="T281" s="3" t="n">
        <v>20682.0</v>
      </c>
      <c r="U281" s="3" t="n">
        <v>21904.0</v>
      </c>
      <c r="V281" s="3" t="n">
        <v>22487.0</v>
      </c>
      <c r="W281" s="3" t="n">
        <v>23369.0</v>
      </c>
      <c r="X281" s="3" t="n">
        <v>24429.0</v>
      </c>
      <c r="Y281" s="3" t="n">
        <v>25223.0</v>
      </c>
      <c r="Z281" s="3" t="n">
        <v>25403.0</v>
      </c>
      <c r="AA281" s="3" t="n">
        <v>25394.0</v>
      </c>
      <c r="AB281" s="3" t="n">
        <v>26352.0</v>
      </c>
      <c r="AC281" s="3" t="n">
        <v>26791.0</v>
      </c>
      <c r="AD281" s="3" t="n">
        <v>26104.0</v>
      </c>
      <c r="AE281" s="3" t="n">
        <v>27366.0</v>
      </c>
      <c r="AF281" s="3" t="n">
        <v>28450.0</v>
      </c>
      <c r="AG281" s="3" t="n">
        <v>27913.0</v>
      </c>
      <c r="AH281" s="3" t="n">
        <v>26828.0</v>
      </c>
      <c r="AI281" s="3" t="n">
        <v>25899.0</v>
      </c>
      <c r="AJ281" s="3" t="n">
        <v>24316.0</v>
      </c>
      <c r="AK281" s="3" t="n">
        <v>24323.0</v>
      </c>
      <c r="AL281" s="3" t="n">
        <v>23707.0</v>
      </c>
      <c r="AM281" s="3" t="n">
        <v>23803.0</v>
      </c>
      <c r="AN281" s="3" t="n">
        <v>23189.0</v>
      </c>
      <c r="AO281" s="3" t="n">
        <v>22042.0</v>
      </c>
    </row>
    <row r="282" spans="1:41" x14ac:dyDescent="0.2">
      <c r="A282" s="122"/>
      <c r="B282" s="9">
        <v>69</v>
      </c>
      <c r="C282" s="3" t="n">
        <v>23277.0</v>
      </c>
      <c r="D282" s="3" t="n">
        <v>23015.0</v>
      </c>
      <c r="E282" s="3" t="n">
        <v>23861.0</v>
      </c>
      <c r="F282" s="3" t="n">
        <v>23561.0</v>
      </c>
      <c r="G282" s="3" t="n">
        <v>24237.0</v>
      </c>
      <c r="H282" s="3" t="n">
        <v>23289.0</v>
      </c>
      <c r="I282" s="3" t="n">
        <v>22561.0</v>
      </c>
      <c r="J282" s="3" t="n">
        <v>21065.0</v>
      </c>
      <c r="K282" s="3" t="n">
        <v>19962.0</v>
      </c>
      <c r="L282" s="3" t="n">
        <v>19231.0</v>
      </c>
      <c r="M282" s="3" t="n">
        <v>19564.0</v>
      </c>
      <c r="N282" s="3" t="n">
        <v>18796.0</v>
      </c>
      <c r="O282" s="3" t="n">
        <v>18260.0</v>
      </c>
      <c r="P282" s="3" t="n">
        <v>18037.0</v>
      </c>
      <c r="Q282" s="3" t="n">
        <v>18017.0</v>
      </c>
      <c r="R282" s="3" t="n">
        <v>18701.0</v>
      </c>
      <c r="S282" s="3" t="n">
        <v>19001.0</v>
      </c>
      <c r="T282" s="3" t="n">
        <v>19493.0</v>
      </c>
      <c r="U282" s="3" t="n">
        <v>20476.0</v>
      </c>
      <c r="V282" s="3" t="n">
        <v>21690.0</v>
      </c>
      <c r="W282" s="3" t="n">
        <v>22268.0</v>
      </c>
      <c r="X282" s="3" t="n">
        <v>23145.0</v>
      </c>
      <c r="Y282" s="3" t="n">
        <v>24201.0</v>
      </c>
      <c r="Z282" s="3" t="n">
        <v>24993.0</v>
      </c>
      <c r="AA282" s="3" t="n">
        <v>25178.0</v>
      </c>
      <c r="AB282" s="3" t="n">
        <v>25170.0</v>
      </c>
      <c r="AC282" s="3" t="n">
        <v>26122.0</v>
      </c>
      <c r="AD282" s="3" t="n">
        <v>26556.0</v>
      </c>
      <c r="AE282" s="3" t="n">
        <v>25883.0</v>
      </c>
      <c r="AF282" s="3" t="n">
        <v>27133.0</v>
      </c>
      <c r="AG282" s="3" t="n">
        <v>28215.0</v>
      </c>
      <c r="AH282" s="3" t="n">
        <v>27685.0</v>
      </c>
      <c r="AI282" s="3" t="n">
        <v>26615.0</v>
      </c>
      <c r="AJ282" s="3" t="n">
        <v>25693.0</v>
      </c>
      <c r="AK282" s="3" t="n">
        <v>24122.0</v>
      </c>
      <c r="AL282" s="3" t="n">
        <v>24131.0</v>
      </c>
      <c r="AM282" s="3" t="n">
        <v>23525.0</v>
      </c>
      <c r="AN282" s="3" t="n">
        <v>23624.0</v>
      </c>
      <c r="AO282" s="3" t="n">
        <v>23016.0</v>
      </c>
    </row>
    <row r="283" spans="1:41" x14ac:dyDescent="0.2">
      <c r="A283" s="122"/>
      <c r="B283" s="9">
        <v>70</v>
      </c>
      <c r="C283" s="3" t="n">
        <v>22449.0</v>
      </c>
      <c r="D283" s="3" t="n">
        <v>22948.0</v>
      </c>
      <c r="E283" s="3" t="n">
        <v>22696.0</v>
      </c>
      <c r="F283" s="3" t="n">
        <v>23541.0</v>
      </c>
      <c r="G283" s="3" t="n">
        <v>23250.0</v>
      </c>
      <c r="H283" s="3" t="n">
        <v>23946.0</v>
      </c>
      <c r="I283" s="3" t="n">
        <v>23026.0</v>
      </c>
      <c r="J283" s="3" t="n">
        <v>22289.0</v>
      </c>
      <c r="K283" s="3" t="n">
        <v>20809.0</v>
      </c>
      <c r="L283" s="3" t="n">
        <v>19717.0</v>
      </c>
      <c r="M283" s="3" t="n">
        <v>18991.0</v>
      </c>
      <c r="N283" s="3" t="n">
        <v>19326.0</v>
      </c>
      <c r="O283" s="3" t="n">
        <v>18565.0</v>
      </c>
      <c r="P283" s="3" t="n">
        <v>18046.0</v>
      </c>
      <c r="Q283" s="3" t="n">
        <v>17830.0</v>
      </c>
      <c r="R283" s="3" t="n">
        <v>17811.0</v>
      </c>
      <c r="S283" s="3" t="n">
        <v>18485.0</v>
      </c>
      <c r="T283" s="3" t="n">
        <v>18792.0</v>
      </c>
      <c r="U283" s="3" t="n">
        <v>19275.0</v>
      </c>
      <c r="V283" s="3" t="n">
        <v>20254.0</v>
      </c>
      <c r="W283" s="3" t="n">
        <v>21458.0</v>
      </c>
      <c r="X283" s="3" t="n">
        <v>22027.0</v>
      </c>
      <c r="Y283" s="3" t="n">
        <v>22907.0</v>
      </c>
      <c r="Z283" s="3" t="n">
        <v>23951.0</v>
      </c>
      <c r="AA283" s="3" t="n">
        <v>24739.0</v>
      </c>
      <c r="AB283" s="3" t="n">
        <v>24930.0</v>
      </c>
      <c r="AC283" s="3" t="n">
        <v>24922.0</v>
      </c>
      <c r="AD283" s="3" t="n">
        <v>25879.0</v>
      </c>
      <c r="AE283" s="3" t="n">
        <v>26311.0</v>
      </c>
      <c r="AF283" s="3" t="n">
        <v>25648.0</v>
      </c>
      <c r="AG283" s="3" t="n">
        <v>26885.0</v>
      </c>
      <c r="AH283" s="3" t="n">
        <v>27963.0</v>
      </c>
      <c r="AI283" s="3" t="n">
        <v>27441.0</v>
      </c>
      <c r="AJ283" s="3" t="n">
        <v>26382.0</v>
      </c>
      <c r="AK283" s="3" t="n">
        <v>25476.0</v>
      </c>
      <c r="AL283" s="3" t="n">
        <v>23925.0</v>
      </c>
      <c r="AM283" s="3" t="n">
        <v>23937.0</v>
      </c>
      <c r="AN283" s="3" t="n">
        <v>23335.0</v>
      </c>
      <c r="AO283" s="3" t="n">
        <v>23439.0</v>
      </c>
    </row>
    <row r="284" spans="1:41" x14ac:dyDescent="0.2">
      <c r="A284" s="122"/>
      <c r="B284" s="9">
        <v>71</v>
      </c>
      <c r="C284" s="3" t="n">
        <v>21945.0</v>
      </c>
      <c r="D284" s="3" t="n">
        <v>22106.0</v>
      </c>
      <c r="E284" s="3" t="n">
        <v>22612.0</v>
      </c>
      <c r="F284" s="3" t="n">
        <v>22366.0</v>
      </c>
      <c r="G284" s="3" t="n">
        <v>23212.0</v>
      </c>
      <c r="H284" s="3" t="n">
        <v>22948.0</v>
      </c>
      <c r="I284" s="3" t="n">
        <v>23653.0</v>
      </c>
      <c r="J284" s="3" t="n">
        <v>22734.0</v>
      </c>
      <c r="K284" s="3" t="n">
        <v>22000.0</v>
      </c>
      <c r="L284" s="3" t="n">
        <v>20541.0</v>
      </c>
      <c r="M284" s="3" t="n">
        <v>19466.0</v>
      </c>
      <c r="N284" s="3" t="n">
        <v>18750.0</v>
      </c>
      <c r="O284" s="3" t="n">
        <v>19084.0</v>
      </c>
      <c r="P284" s="3" t="n">
        <v>18338.0</v>
      </c>
      <c r="Q284" s="3" t="n">
        <v>17832.0</v>
      </c>
      <c r="R284" s="3" t="n">
        <v>17621.0</v>
      </c>
      <c r="S284" s="3" t="n">
        <v>17602.0</v>
      </c>
      <c r="T284" s="3" t="n">
        <v>18272.0</v>
      </c>
      <c r="U284" s="3" t="n">
        <v>18580.0</v>
      </c>
      <c r="V284" s="3" t="n">
        <v>19059.0</v>
      </c>
      <c r="W284" s="3" t="n">
        <v>20030.0</v>
      </c>
      <c r="X284" s="3" t="n">
        <v>21222.0</v>
      </c>
      <c r="Y284" s="3" t="n">
        <v>21789.0</v>
      </c>
      <c r="Z284" s="3" t="n">
        <v>22659.0</v>
      </c>
      <c r="AA284" s="3" t="n">
        <v>23700.0</v>
      </c>
      <c r="AB284" s="3" t="n">
        <v>24480.0</v>
      </c>
      <c r="AC284" s="3" t="n">
        <v>24673.0</v>
      </c>
      <c r="AD284" s="3" t="n">
        <v>24672.0</v>
      </c>
      <c r="AE284" s="3" t="n">
        <v>25618.0</v>
      </c>
      <c r="AF284" s="3" t="n">
        <v>26053.0</v>
      </c>
      <c r="AG284" s="3" t="n">
        <v>25399.0</v>
      </c>
      <c r="AH284" s="3" t="n">
        <v>26633.0</v>
      </c>
      <c r="AI284" s="3" t="n">
        <v>27703.0</v>
      </c>
      <c r="AJ284" s="3" t="n">
        <v>27194.0</v>
      </c>
      <c r="AK284" s="3" t="n">
        <v>26146.0</v>
      </c>
      <c r="AL284" s="3" t="n">
        <v>25248.0</v>
      </c>
      <c r="AM284" s="3" t="n">
        <v>23722.0</v>
      </c>
      <c r="AN284" s="3" t="n">
        <v>23734.0</v>
      </c>
      <c r="AO284" s="3" t="n">
        <v>23141.0</v>
      </c>
    </row>
    <row r="285" spans="1:41" x14ac:dyDescent="0.2">
      <c r="A285" s="122"/>
      <c r="B285" s="9">
        <v>72</v>
      </c>
      <c r="C285" s="3" t="n">
        <v>20927.0</v>
      </c>
      <c r="D285" s="3" t="n">
        <v>21567.0</v>
      </c>
      <c r="E285" s="3" t="n">
        <v>21739.0</v>
      </c>
      <c r="F285" s="3" t="n">
        <v>22244.0</v>
      </c>
      <c r="G285" s="3" t="n">
        <v>22007.0</v>
      </c>
      <c r="H285" s="3" t="n">
        <v>22866.0</v>
      </c>
      <c r="I285" s="3" t="n">
        <v>22619.0</v>
      </c>
      <c r="J285" s="3" t="n">
        <v>23306.0</v>
      </c>
      <c r="K285" s="3" t="n">
        <v>22391.0</v>
      </c>
      <c r="L285" s="3" t="n">
        <v>21669.0</v>
      </c>
      <c r="M285" s="3" t="n">
        <v>20237.0</v>
      </c>
      <c r="N285" s="3" t="n">
        <v>19189.0</v>
      </c>
      <c r="O285" s="3" t="n">
        <v>18481.0</v>
      </c>
      <c r="P285" s="3" t="n">
        <v>18817.0</v>
      </c>
      <c r="Q285" s="3" t="n">
        <v>18085.0</v>
      </c>
      <c r="R285" s="3" t="n">
        <v>17588.0</v>
      </c>
      <c r="S285" s="3" t="n">
        <v>17384.0</v>
      </c>
      <c r="T285" s="3" t="n">
        <v>17368.0</v>
      </c>
      <c r="U285" s="3" t="n">
        <v>18027.0</v>
      </c>
      <c r="V285" s="3" t="n">
        <v>18337.0</v>
      </c>
      <c r="W285" s="3" t="n">
        <v>18812.0</v>
      </c>
      <c r="X285" s="3" t="n">
        <v>19774.0</v>
      </c>
      <c r="Y285" s="3" t="n">
        <v>20957.0</v>
      </c>
      <c r="Z285" s="3" t="n">
        <v>21517.0</v>
      </c>
      <c r="AA285" s="3" t="n">
        <v>22380.0</v>
      </c>
      <c r="AB285" s="3" t="n">
        <v>23416.0</v>
      </c>
      <c r="AC285" s="3" t="n">
        <v>24188.0</v>
      </c>
      <c r="AD285" s="3" t="n">
        <v>24380.0</v>
      </c>
      <c r="AE285" s="3" t="n">
        <v>24386.0</v>
      </c>
      <c r="AF285" s="3" t="n">
        <v>25329.0</v>
      </c>
      <c r="AG285" s="3" t="n">
        <v>25762.0</v>
      </c>
      <c r="AH285" s="3" t="n">
        <v>25122.0</v>
      </c>
      <c r="AI285" s="3" t="n">
        <v>26348.0</v>
      </c>
      <c r="AJ285" s="3" t="n">
        <v>27409.0</v>
      </c>
      <c r="AK285" s="3" t="n">
        <v>26909.0</v>
      </c>
      <c r="AL285" s="3" t="n">
        <v>25874.0</v>
      </c>
      <c r="AM285" s="3" t="n">
        <v>24992.0</v>
      </c>
      <c r="AN285" s="3" t="n">
        <v>23485.0</v>
      </c>
      <c r="AO285" s="3" t="n">
        <v>23499.0</v>
      </c>
    </row>
    <row r="286" spans="1:41" x14ac:dyDescent="0.2">
      <c r="A286" s="122"/>
      <c r="B286" s="9">
        <v>73</v>
      </c>
      <c r="C286" s="3" t="n">
        <v>20434.0</v>
      </c>
      <c r="D286" s="3" t="n">
        <v>20524.0</v>
      </c>
      <c r="E286" s="3" t="n">
        <v>21163.0</v>
      </c>
      <c r="F286" s="3" t="n">
        <v>21343.0</v>
      </c>
      <c r="G286" s="3" t="n">
        <v>21851.0</v>
      </c>
      <c r="H286" s="3" t="n">
        <v>21638.0</v>
      </c>
      <c r="I286" s="3" t="n">
        <v>22494.0</v>
      </c>
      <c r="J286" s="3" t="n">
        <v>22242.0</v>
      </c>
      <c r="K286" s="3" t="n">
        <v>22913.0</v>
      </c>
      <c r="L286" s="3" t="n">
        <v>22026.0</v>
      </c>
      <c r="M286" s="3" t="n">
        <v>21316.0</v>
      </c>
      <c r="N286" s="3" t="n">
        <v>19918.0</v>
      </c>
      <c r="O286" s="3" t="n">
        <v>18884.0</v>
      </c>
      <c r="P286" s="3" t="n">
        <v>18190.0</v>
      </c>
      <c r="Q286" s="3" t="n">
        <v>18524.0</v>
      </c>
      <c r="R286" s="3" t="n">
        <v>17815.0</v>
      </c>
      <c r="S286" s="3" t="n">
        <v>17327.0</v>
      </c>
      <c r="T286" s="3" t="n">
        <v>17132.0</v>
      </c>
      <c r="U286" s="3" t="n">
        <v>17120.0</v>
      </c>
      <c r="V286" s="3" t="n">
        <v>17771.0</v>
      </c>
      <c r="W286" s="3" t="n">
        <v>18079.0</v>
      </c>
      <c r="X286" s="3" t="n">
        <v>18547.0</v>
      </c>
      <c r="Y286" s="3" t="n">
        <v>19501.0</v>
      </c>
      <c r="Z286" s="3" t="n">
        <v>20664.0</v>
      </c>
      <c r="AA286" s="3" t="n">
        <v>21227.0</v>
      </c>
      <c r="AB286" s="3" t="n">
        <v>22084.0</v>
      </c>
      <c r="AC286" s="3" t="n">
        <v>23111.0</v>
      </c>
      <c r="AD286" s="3" t="n">
        <v>23873.0</v>
      </c>
      <c r="AE286" s="3" t="n">
        <v>24073.0</v>
      </c>
      <c r="AF286" s="3" t="n">
        <v>24077.0</v>
      </c>
      <c r="AG286" s="3" t="n">
        <v>25015.0</v>
      </c>
      <c r="AH286" s="3" t="n">
        <v>25450.0</v>
      </c>
      <c r="AI286" s="3" t="n">
        <v>24821.0</v>
      </c>
      <c r="AJ286" s="3" t="n">
        <v>26043.0</v>
      </c>
      <c r="AK286" s="3" t="n">
        <v>27092.0</v>
      </c>
      <c r="AL286" s="3" t="n">
        <v>26602.0</v>
      </c>
      <c r="AM286" s="3" t="n">
        <v>25584.0</v>
      </c>
      <c r="AN286" s="3" t="n">
        <v>24714.0</v>
      </c>
      <c r="AO286" s="3" t="n">
        <v>23233.0</v>
      </c>
    </row>
    <row r="287" spans="1:41" x14ac:dyDescent="0.2">
      <c r="A287" s="122"/>
      <c r="B287" s="9">
        <v>74</v>
      </c>
      <c r="C287" s="3" t="n">
        <v>19815.0</v>
      </c>
      <c r="D287" s="3" t="n">
        <v>20001.0</v>
      </c>
      <c r="E287" s="3" t="n">
        <v>20108.0</v>
      </c>
      <c r="F287" s="3" t="n">
        <v>20740.0</v>
      </c>
      <c r="G287" s="3" t="n">
        <v>20932.0</v>
      </c>
      <c r="H287" s="3" t="n">
        <v>21452.0</v>
      </c>
      <c r="I287" s="3" t="n">
        <v>21256.0</v>
      </c>
      <c r="J287" s="3" t="n">
        <v>22096.0</v>
      </c>
      <c r="K287" s="3" t="n">
        <v>21845.0</v>
      </c>
      <c r="L287" s="3" t="n">
        <v>22505.0</v>
      </c>
      <c r="M287" s="3" t="n">
        <v>21638.0</v>
      </c>
      <c r="N287" s="3" t="n">
        <v>20945.0</v>
      </c>
      <c r="O287" s="3" t="n">
        <v>19575.0</v>
      </c>
      <c r="P287" s="3" t="n">
        <v>18561.0</v>
      </c>
      <c r="Q287" s="3" t="n">
        <v>17887.0</v>
      </c>
      <c r="R287" s="3" t="n">
        <v>18216.0</v>
      </c>
      <c r="S287" s="3" t="n">
        <v>17531.0</v>
      </c>
      <c r="T287" s="3" t="n">
        <v>17049.0</v>
      </c>
      <c r="U287" s="3" t="n">
        <v>16865.0</v>
      </c>
      <c r="V287" s="3" t="n">
        <v>16858.0</v>
      </c>
      <c r="W287" s="3" t="n">
        <v>17497.0</v>
      </c>
      <c r="X287" s="3" t="n">
        <v>17806.0</v>
      </c>
      <c r="Y287" s="3" t="n">
        <v>18269.0</v>
      </c>
      <c r="Z287" s="3" t="n">
        <v>19215.0</v>
      </c>
      <c r="AA287" s="3" t="n">
        <v>20362.0</v>
      </c>
      <c r="AB287" s="3" t="n">
        <v>20926.0</v>
      </c>
      <c r="AC287" s="3" t="n">
        <v>21774.0</v>
      </c>
      <c r="AD287" s="3" t="n">
        <v>22790.0</v>
      </c>
      <c r="AE287" s="3" t="n">
        <v>23548.0</v>
      </c>
      <c r="AF287" s="3" t="n">
        <v>23752.0</v>
      </c>
      <c r="AG287" s="3" t="n">
        <v>23759.0</v>
      </c>
      <c r="AH287" s="3" t="n">
        <v>24686.0</v>
      </c>
      <c r="AI287" s="3" t="n">
        <v>25122.0</v>
      </c>
      <c r="AJ287" s="3" t="n">
        <v>24509.0</v>
      </c>
      <c r="AK287" s="3" t="n">
        <v>25717.0</v>
      </c>
      <c r="AL287" s="3" t="n">
        <v>26759.0</v>
      </c>
      <c r="AM287" s="3" t="n">
        <v>26285.0</v>
      </c>
      <c r="AN287" s="3" t="n">
        <v>25279.0</v>
      </c>
      <c r="AO287" s="3" t="n">
        <v>24422.0</v>
      </c>
    </row>
    <row r="288" spans="1:41" x14ac:dyDescent="0.2">
      <c r="A288" s="122"/>
      <c r="B288" s="9">
        <v>75</v>
      </c>
      <c r="C288" s="3" t="n">
        <v>18227.0</v>
      </c>
      <c r="D288" s="3" t="n">
        <v>19350.0</v>
      </c>
      <c r="E288" s="3" t="n">
        <v>19545.0</v>
      </c>
      <c r="F288" s="3" t="n">
        <v>19660.0</v>
      </c>
      <c r="G288" s="3" t="n">
        <v>20288.0</v>
      </c>
      <c r="H288" s="3" t="n">
        <v>20494.0</v>
      </c>
      <c r="I288" s="3" t="n">
        <v>21019.0</v>
      </c>
      <c r="J288" s="3" t="n">
        <v>20823.0</v>
      </c>
      <c r="K288" s="3" t="n">
        <v>21643.0</v>
      </c>
      <c r="L288" s="3" t="n">
        <v>21412.0</v>
      </c>
      <c r="M288" s="3" t="n">
        <v>22061.0</v>
      </c>
      <c r="N288" s="3" t="n">
        <v>21223.0</v>
      </c>
      <c r="O288" s="3" t="n">
        <v>20538.0</v>
      </c>
      <c r="P288" s="3" t="n">
        <v>19201.0</v>
      </c>
      <c r="Q288" s="3" t="n">
        <v>18218.0</v>
      </c>
      <c r="R288" s="3" t="n">
        <v>17564.0</v>
      </c>
      <c r="S288" s="3" t="n">
        <v>17887.0</v>
      </c>
      <c r="T288" s="3" t="n">
        <v>17223.0</v>
      </c>
      <c r="U288" s="3" t="n">
        <v>16752.0</v>
      </c>
      <c r="V288" s="3" t="n">
        <v>16574.0</v>
      </c>
      <c r="W288" s="3" t="n">
        <v>16571.0</v>
      </c>
      <c r="X288" s="3" t="n">
        <v>17205.0</v>
      </c>
      <c r="Y288" s="3" t="n">
        <v>17508.0</v>
      </c>
      <c r="Z288" s="3" t="n">
        <v>17970.0</v>
      </c>
      <c r="AA288" s="3" t="n">
        <v>18904.0</v>
      </c>
      <c r="AB288" s="3" t="n">
        <v>20033.0</v>
      </c>
      <c r="AC288" s="3" t="n">
        <v>20593.0</v>
      </c>
      <c r="AD288" s="3" t="n">
        <v>21435.0</v>
      </c>
      <c r="AE288" s="3" t="n">
        <v>22443.0</v>
      </c>
      <c r="AF288" s="3" t="n">
        <v>23191.0</v>
      </c>
      <c r="AG288" s="3" t="n">
        <v>23396.0</v>
      </c>
      <c r="AH288" s="3" t="n">
        <v>23405.0</v>
      </c>
      <c r="AI288" s="3" t="n">
        <v>24324.0</v>
      </c>
      <c r="AJ288" s="3" t="n">
        <v>24767.0</v>
      </c>
      <c r="AK288" s="3" t="n">
        <v>24166.0</v>
      </c>
      <c r="AL288" s="3" t="n">
        <v>25362.0</v>
      </c>
      <c r="AM288" s="3" t="n">
        <v>26394.0</v>
      </c>
      <c r="AN288" s="3" t="n">
        <v>25926.0</v>
      </c>
      <c r="AO288" s="3" t="n">
        <v>24943.0</v>
      </c>
    </row>
    <row r="289" spans="1:41" x14ac:dyDescent="0.2">
      <c r="A289" s="122"/>
      <c r="B289" s="9">
        <v>76</v>
      </c>
      <c r="C289" s="3" t="n">
        <v>18769.0</v>
      </c>
      <c r="D289" s="3" t="n">
        <v>17747.0</v>
      </c>
      <c r="E289" s="3" t="n">
        <v>18870.0</v>
      </c>
      <c r="F289" s="3" t="n">
        <v>19067.0</v>
      </c>
      <c r="G289" s="3" t="n">
        <v>19198.0</v>
      </c>
      <c r="H289" s="3" t="n">
        <v>19830.0</v>
      </c>
      <c r="I289" s="3" t="n">
        <v>20049.0</v>
      </c>
      <c r="J289" s="3" t="n">
        <v>20557.0</v>
      </c>
      <c r="K289" s="3" t="n">
        <v>20364.0</v>
      </c>
      <c r="L289" s="3" t="n">
        <v>21170.0</v>
      </c>
      <c r="M289" s="3" t="n">
        <v>20946.0</v>
      </c>
      <c r="N289" s="3" t="n">
        <v>21591.0</v>
      </c>
      <c r="O289" s="3" t="n">
        <v>20767.0</v>
      </c>
      <c r="P289" s="3" t="n">
        <v>20112.0</v>
      </c>
      <c r="Q289" s="3" t="n">
        <v>18818.0</v>
      </c>
      <c r="R289" s="3" t="n">
        <v>17848.0</v>
      </c>
      <c r="S289" s="3" t="n">
        <v>17209.0</v>
      </c>
      <c r="T289" s="3" t="n">
        <v>17534.0</v>
      </c>
      <c r="U289" s="3" t="n">
        <v>16880.0</v>
      </c>
      <c r="V289" s="3" t="n">
        <v>16425.0</v>
      </c>
      <c r="W289" s="3" t="n">
        <v>16257.0</v>
      </c>
      <c r="X289" s="3" t="n">
        <v>16255.0</v>
      </c>
      <c r="Y289" s="3" t="n">
        <v>16886.0</v>
      </c>
      <c r="Z289" s="3" t="n">
        <v>17190.0</v>
      </c>
      <c r="AA289" s="3" t="n">
        <v>17643.0</v>
      </c>
      <c r="AB289" s="3" t="n">
        <v>18570.0</v>
      </c>
      <c r="AC289" s="3" t="n">
        <v>19686.0</v>
      </c>
      <c r="AD289" s="3" t="n">
        <v>20242.0</v>
      </c>
      <c r="AE289" s="3" t="n">
        <v>21082.0</v>
      </c>
      <c r="AF289" s="3" t="n">
        <v>22073.0</v>
      </c>
      <c r="AG289" s="3" t="n">
        <v>22813.0</v>
      </c>
      <c r="AH289" s="3" t="n">
        <v>23021.0</v>
      </c>
      <c r="AI289" s="3" t="n">
        <v>23035.0</v>
      </c>
      <c r="AJ289" s="3" t="n">
        <v>23945.0</v>
      </c>
      <c r="AK289" s="3" t="n">
        <v>24385.0</v>
      </c>
      <c r="AL289" s="3" t="n">
        <v>23795.0</v>
      </c>
      <c r="AM289" s="3" t="n">
        <v>24982.0</v>
      </c>
      <c r="AN289" s="3" t="n">
        <v>26004.0</v>
      </c>
      <c r="AO289" s="3" t="n">
        <v>25547.0</v>
      </c>
    </row>
    <row r="290" spans="1:41" x14ac:dyDescent="0.2">
      <c r="A290" s="122"/>
      <c r="B290" s="9">
        <v>77</v>
      </c>
      <c r="C290" s="3" t="n">
        <v>10061.0</v>
      </c>
      <c r="D290" s="3" t="n">
        <v>18232.0</v>
      </c>
      <c r="E290" s="3" t="n">
        <v>17259.0</v>
      </c>
      <c r="F290" s="3" t="n">
        <v>18357.0</v>
      </c>
      <c r="G290" s="3" t="n">
        <v>18562.0</v>
      </c>
      <c r="H290" s="3" t="n">
        <v>18701.0</v>
      </c>
      <c r="I290" s="3" t="n">
        <v>19333.0</v>
      </c>
      <c r="J290" s="3" t="n">
        <v>19549.0</v>
      </c>
      <c r="K290" s="3" t="n">
        <v>20048.0</v>
      </c>
      <c r="L290" s="3" t="n">
        <v>19867.0</v>
      </c>
      <c r="M290" s="3" t="n">
        <v>20653.0</v>
      </c>
      <c r="N290" s="3" t="n">
        <v>20446.0</v>
      </c>
      <c r="O290" s="3" t="n">
        <v>21078.0</v>
      </c>
      <c r="P290" s="3" t="n">
        <v>20284.0</v>
      </c>
      <c r="Q290" s="3" t="n">
        <v>19654.0</v>
      </c>
      <c r="R290" s="3" t="n">
        <v>18396.0</v>
      </c>
      <c r="S290" s="3" t="n">
        <v>17454.0</v>
      </c>
      <c r="T290" s="3" t="n">
        <v>16832.0</v>
      </c>
      <c r="U290" s="3" t="n">
        <v>17156.0</v>
      </c>
      <c r="V290" s="3" t="n">
        <v>16524.0</v>
      </c>
      <c r="W290" s="3" t="n">
        <v>16081.0</v>
      </c>
      <c r="X290" s="3" t="n">
        <v>15925.0</v>
      </c>
      <c r="Y290" s="3" t="n">
        <v>15926.0</v>
      </c>
      <c r="Z290" s="3" t="n">
        <v>16545.0</v>
      </c>
      <c r="AA290" s="3" t="n">
        <v>16847.0</v>
      </c>
      <c r="AB290" s="3" t="n">
        <v>17296.0</v>
      </c>
      <c r="AC290" s="3" t="n">
        <v>18211.0</v>
      </c>
      <c r="AD290" s="3" t="n">
        <v>19307.0</v>
      </c>
      <c r="AE290" s="3" t="n">
        <v>19859.0</v>
      </c>
      <c r="AF290" s="3" t="n">
        <v>20689.0</v>
      </c>
      <c r="AG290" s="3" t="n">
        <v>21665.0</v>
      </c>
      <c r="AH290" s="3" t="n">
        <v>22397.0</v>
      </c>
      <c r="AI290" s="3" t="n">
        <v>22610.0</v>
      </c>
      <c r="AJ290" s="3" t="n">
        <v>22631.0</v>
      </c>
      <c r="AK290" s="3" t="n">
        <v>23529.0</v>
      </c>
      <c r="AL290" s="3" t="n">
        <v>23971.0</v>
      </c>
      <c r="AM290" s="3" t="n">
        <v>23403.0</v>
      </c>
      <c r="AN290" s="3" t="n">
        <v>24569.0</v>
      </c>
      <c r="AO290" s="3" t="n">
        <v>25576.0</v>
      </c>
    </row>
    <row r="291" spans="1:41" x14ac:dyDescent="0.2">
      <c r="A291" s="122"/>
      <c r="B291" s="9">
        <v>78</v>
      </c>
      <c r="C291" s="3" t="n">
        <v>8665.0</v>
      </c>
      <c r="D291" s="3" t="n">
        <v>9747.0</v>
      </c>
      <c r="E291" s="3" t="n">
        <v>17675.0</v>
      </c>
      <c r="F291" s="3" t="n">
        <v>16742.0</v>
      </c>
      <c r="G291" s="3" t="n">
        <v>17820.0</v>
      </c>
      <c r="H291" s="3" t="n">
        <v>18036.0</v>
      </c>
      <c r="I291" s="3" t="n">
        <v>18184.0</v>
      </c>
      <c r="J291" s="3" t="n">
        <v>18803.0</v>
      </c>
      <c r="K291" s="3" t="n">
        <v>19011.0</v>
      </c>
      <c r="L291" s="3" t="n">
        <v>19507.0</v>
      </c>
      <c r="M291" s="3" t="n">
        <v>19337.0</v>
      </c>
      <c r="N291" s="3" t="n">
        <v>20110.0</v>
      </c>
      <c r="O291" s="3" t="n">
        <v>19916.0</v>
      </c>
      <c r="P291" s="3" t="n">
        <v>20536.0</v>
      </c>
      <c r="Q291" s="3" t="n">
        <v>19773.0</v>
      </c>
      <c r="R291" s="3" t="n">
        <v>19165.0</v>
      </c>
      <c r="S291" s="3" t="n">
        <v>17942.0</v>
      </c>
      <c r="T291" s="3" t="n">
        <v>17031.0</v>
      </c>
      <c r="U291" s="3" t="n">
        <v>16428.0</v>
      </c>
      <c r="V291" s="3" t="n">
        <v>16751.0</v>
      </c>
      <c r="W291" s="3" t="n">
        <v>16132.0</v>
      </c>
      <c r="X291" s="3" t="n">
        <v>15703.0</v>
      </c>
      <c r="Y291" s="3" t="n">
        <v>15560.0</v>
      </c>
      <c r="Z291" s="3" t="n">
        <v>15566.0</v>
      </c>
      <c r="AA291" s="3" t="n">
        <v>16172.0</v>
      </c>
      <c r="AB291" s="3" t="n">
        <v>16477.0</v>
      </c>
      <c r="AC291" s="3" t="n">
        <v>16923.0</v>
      </c>
      <c r="AD291" s="3" t="n">
        <v>17826.0</v>
      </c>
      <c r="AE291" s="3" t="n">
        <v>18904.0</v>
      </c>
      <c r="AF291" s="3" t="n">
        <v>19447.0</v>
      </c>
      <c r="AG291" s="3" t="n">
        <v>20268.0</v>
      </c>
      <c r="AH291" s="3" t="n">
        <v>21235.0</v>
      </c>
      <c r="AI291" s="3" t="n">
        <v>21954.0</v>
      </c>
      <c r="AJ291" s="3" t="n">
        <v>22170.0</v>
      </c>
      <c r="AK291" s="3" t="n">
        <v>22196.0</v>
      </c>
      <c r="AL291" s="3" t="n">
        <v>23080.0</v>
      </c>
      <c r="AM291" s="3" t="n">
        <v>23525.0</v>
      </c>
      <c r="AN291" s="3" t="n">
        <v>22973.0</v>
      </c>
      <c r="AO291" s="3" t="n">
        <v>24125.0</v>
      </c>
    </row>
    <row r="292" spans="1:41" x14ac:dyDescent="0.2">
      <c r="A292" s="122"/>
      <c r="B292" s="9">
        <v>79</v>
      </c>
      <c r="C292" s="3" t="n">
        <v>8686.0</v>
      </c>
      <c r="D292" s="3" t="n">
        <v>8372.0</v>
      </c>
      <c r="E292" s="3" t="n">
        <v>9426.0</v>
      </c>
      <c r="F292" s="3" t="n">
        <v>17098.0</v>
      </c>
      <c r="G292" s="3" t="n">
        <v>16209.0</v>
      </c>
      <c r="H292" s="3" t="n">
        <v>17275.0</v>
      </c>
      <c r="I292" s="3" t="n">
        <v>17496.0</v>
      </c>
      <c r="J292" s="3" t="n">
        <v>17639.0</v>
      </c>
      <c r="K292" s="3" t="n">
        <v>18241.0</v>
      </c>
      <c r="L292" s="3" t="n">
        <v>18450.0</v>
      </c>
      <c r="M292" s="3" t="n">
        <v>18934.0</v>
      </c>
      <c r="N292" s="3" t="n">
        <v>18785.0</v>
      </c>
      <c r="O292" s="3" t="n">
        <v>19545.0</v>
      </c>
      <c r="P292" s="3" t="n">
        <v>19355.0</v>
      </c>
      <c r="Q292" s="3" t="n">
        <v>19976.0</v>
      </c>
      <c r="R292" s="3" t="n">
        <v>19242.0</v>
      </c>
      <c r="S292" s="3" t="n">
        <v>18653.0</v>
      </c>
      <c r="T292" s="3" t="n">
        <v>17474.0</v>
      </c>
      <c r="U292" s="3" t="n">
        <v>16589.0</v>
      </c>
      <c r="V292" s="3" t="n">
        <v>16016.0</v>
      </c>
      <c r="W292" s="3" t="n">
        <v>16333.0</v>
      </c>
      <c r="X292" s="3" t="n">
        <v>15735.0</v>
      </c>
      <c r="Y292" s="3" t="n">
        <v>15323.0</v>
      </c>
      <c r="Z292" s="3" t="n">
        <v>15187.0</v>
      </c>
      <c r="AA292" s="3" t="n">
        <v>15193.0</v>
      </c>
      <c r="AB292" s="3" t="n">
        <v>15798.0</v>
      </c>
      <c r="AC292" s="3" t="n">
        <v>16097.0</v>
      </c>
      <c r="AD292" s="3" t="n">
        <v>16536.0</v>
      </c>
      <c r="AE292" s="3" t="n">
        <v>17429.0</v>
      </c>
      <c r="AF292" s="3" t="n">
        <v>18483.0</v>
      </c>
      <c r="AG292" s="3" t="n">
        <v>19020.0</v>
      </c>
      <c r="AH292" s="3" t="n">
        <v>19828.0</v>
      </c>
      <c r="AI292" s="3" t="n">
        <v>20784.0</v>
      </c>
      <c r="AJ292" s="3" t="n">
        <v>21493.0</v>
      </c>
      <c r="AK292" s="3" t="n">
        <v>21715.0</v>
      </c>
      <c r="AL292" s="3" t="n">
        <v>21745.0</v>
      </c>
      <c r="AM292" s="3" t="n">
        <v>22621.0</v>
      </c>
      <c r="AN292" s="3" t="n">
        <v>23064.0</v>
      </c>
      <c r="AO292" s="3" t="n">
        <v>22522.0</v>
      </c>
    </row>
    <row r="293" spans="1:41" x14ac:dyDescent="0.2">
      <c r="A293" s="122"/>
      <c r="B293" s="9">
        <v>80</v>
      </c>
      <c r="C293" s="3" t="n">
        <v>8434.0</v>
      </c>
      <c r="D293" s="3" t="n">
        <v>8366.0</v>
      </c>
      <c r="E293" s="3" t="n">
        <v>8072.0</v>
      </c>
      <c r="F293" s="3" t="n">
        <v>9083.0</v>
      </c>
      <c r="G293" s="3" t="n">
        <v>16484.0</v>
      </c>
      <c r="H293" s="3" t="n">
        <v>15652.0</v>
      </c>
      <c r="I293" s="3" t="n">
        <v>16694.0</v>
      </c>
      <c r="J293" s="3" t="n">
        <v>16909.0</v>
      </c>
      <c r="K293" s="3" t="n">
        <v>17052.0</v>
      </c>
      <c r="L293" s="3" t="n">
        <v>17636.0</v>
      </c>
      <c r="M293" s="3" t="n">
        <v>17848.0</v>
      </c>
      <c r="N293" s="3" t="n">
        <v>18331.0</v>
      </c>
      <c r="O293" s="3" t="n">
        <v>18193.0</v>
      </c>
      <c r="P293" s="3" t="n">
        <v>18931.0</v>
      </c>
      <c r="Q293" s="3" t="n">
        <v>18761.0</v>
      </c>
      <c r="R293" s="3" t="n">
        <v>19366.0</v>
      </c>
      <c r="S293" s="3" t="n">
        <v>18661.0</v>
      </c>
      <c r="T293" s="3" t="n">
        <v>18107.0</v>
      </c>
      <c r="U293" s="3" t="n">
        <v>16964.0</v>
      </c>
      <c r="V293" s="3" t="n">
        <v>16112.0</v>
      </c>
      <c r="W293" s="3" t="n">
        <v>15570.0</v>
      </c>
      <c r="X293" s="3" t="n">
        <v>15879.0</v>
      </c>
      <c r="Y293" s="3" t="n">
        <v>15308.0</v>
      </c>
      <c r="Z293" s="3" t="n">
        <v>14913.0</v>
      </c>
      <c r="AA293" s="3" t="n">
        <v>14783.0</v>
      </c>
      <c r="AB293" s="3" t="n">
        <v>14798.0</v>
      </c>
      <c r="AC293" s="3" t="n">
        <v>15387.0</v>
      </c>
      <c r="AD293" s="3" t="n">
        <v>15688.0</v>
      </c>
      <c r="AE293" s="3" t="n">
        <v>16117.0</v>
      </c>
      <c r="AF293" s="3" t="n">
        <v>16993.0</v>
      </c>
      <c r="AG293" s="3" t="n">
        <v>18023.0</v>
      </c>
      <c r="AH293" s="3" t="n">
        <v>18559.0</v>
      </c>
      <c r="AI293" s="3" t="n">
        <v>19351.0</v>
      </c>
      <c r="AJ293" s="3" t="n">
        <v>20290.0</v>
      </c>
      <c r="AK293" s="3" t="n">
        <v>20993.0</v>
      </c>
      <c r="AL293" s="3" t="n">
        <v>21214.0</v>
      </c>
      <c r="AM293" s="3" t="n">
        <v>21252.0</v>
      </c>
      <c r="AN293" s="3" t="n">
        <v>22119.0</v>
      </c>
      <c r="AO293" s="3" t="n">
        <v>22553.0</v>
      </c>
    </row>
    <row r="294" spans="1:41" x14ac:dyDescent="0.2">
      <c r="A294" s="122"/>
      <c r="B294" s="9">
        <v>81</v>
      </c>
      <c r="C294" s="3" t="n">
        <v>8266.0</v>
      </c>
      <c r="D294" s="3" t="n">
        <v>8076.0</v>
      </c>
      <c r="E294" s="3" t="n">
        <v>8024.0</v>
      </c>
      <c r="F294" s="3" t="n">
        <v>7747.0</v>
      </c>
      <c r="G294" s="3" t="n">
        <v>8718.0</v>
      </c>
      <c r="H294" s="3" t="n">
        <v>15830.0</v>
      </c>
      <c r="I294" s="3" t="n">
        <v>15051.0</v>
      </c>
      <c r="J294" s="3" t="n">
        <v>16055.0</v>
      </c>
      <c r="K294" s="3" t="n">
        <v>16259.0</v>
      </c>
      <c r="L294" s="3" t="n">
        <v>16413.0</v>
      </c>
      <c r="M294" s="3" t="n">
        <v>16981.0</v>
      </c>
      <c r="N294" s="3" t="n">
        <v>17196.0</v>
      </c>
      <c r="O294" s="3" t="n">
        <v>17666.0</v>
      </c>
      <c r="P294" s="3" t="n">
        <v>17543.0</v>
      </c>
      <c r="Q294" s="3" t="n">
        <v>18265.0</v>
      </c>
      <c r="R294" s="3" t="n">
        <v>18111.0</v>
      </c>
      <c r="S294" s="3" t="n">
        <v>18697.0</v>
      </c>
      <c r="T294" s="3" t="n">
        <v>18028.0</v>
      </c>
      <c r="U294" s="3" t="n">
        <v>17501.0</v>
      </c>
      <c r="V294" s="3" t="n">
        <v>16408.0</v>
      </c>
      <c r="W294" s="3" t="n">
        <v>15594.0</v>
      </c>
      <c r="X294" s="3" t="n">
        <v>15075.0</v>
      </c>
      <c r="Y294" s="3" t="n">
        <v>15383.0</v>
      </c>
      <c r="Z294" s="3" t="n">
        <v>14834.0</v>
      </c>
      <c r="AA294" s="3" t="n">
        <v>14448.0</v>
      </c>
      <c r="AB294" s="3" t="n">
        <v>14335.0</v>
      </c>
      <c r="AC294" s="3" t="n">
        <v>14353.0</v>
      </c>
      <c r="AD294" s="3" t="n">
        <v>14931.0</v>
      </c>
      <c r="AE294" s="3" t="n">
        <v>15236.0</v>
      </c>
      <c r="AF294" s="3" t="n">
        <v>15656.0</v>
      </c>
      <c r="AG294" s="3" t="n">
        <v>16508.0</v>
      </c>
      <c r="AH294" s="3" t="n">
        <v>17523.0</v>
      </c>
      <c r="AI294" s="3" t="n">
        <v>18049.0</v>
      </c>
      <c r="AJ294" s="3" t="n">
        <v>18831.0</v>
      </c>
      <c r="AK294" s="3" t="n">
        <v>19750.0</v>
      </c>
      <c r="AL294" s="3" t="n">
        <v>20445.0</v>
      </c>
      <c r="AM294" s="3" t="n">
        <v>20665.0</v>
      </c>
      <c r="AN294" s="3" t="n">
        <v>20713.0</v>
      </c>
      <c r="AO294" s="3" t="n">
        <v>21563.0</v>
      </c>
    </row>
    <row r="295" spans="1:41" x14ac:dyDescent="0.2">
      <c r="A295" s="122"/>
      <c r="B295" s="9">
        <v>82</v>
      </c>
      <c r="C295" s="3" t="n">
        <v>8467.0</v>
      </c>
      <c r="D295" s="3" t="n">
        <v>7858.0</v>
      </c>
      <c r="E295" s="3" t="n">
        <v>7686.0</v>
      </c>
      <c r="F295" s="3" t="n">
        <v>7648.0</v>
      </c>
      <c r="G295" s="3" t="n">
        <v>7391.0</v>
      </c>
      <c r="H295" s="3" t="n">
        <v>8324.0</v>
      </c>
      <c r="I295" s="3" t="n">
        <v>15122.0</v>
      </c>
      <c r="J295" s="3" t="n">
        <v>14379.0</v>
      </c>
      <c r="K295" s="3" t="n">
        <v>15342.0</v>
      </c>
      <c r="L295" s="3" t="n">
        <v>15552.0</v>
      </c>
      <c r="M295" s="3" t="n">
        <v>15701.0</v>
      </c>
      <c r="N295" s="3" t="n">
        <v>16263.0</v>
      </c>
      <c r="O295" s="3" t="n">
        <v>16474.0</v>
      </c>
      <c r="P295" s="3" t="n">
        <v>16937.0</v>
      </c>
      <c r="Q295" s="3" t="n">
        <v>16831.0</v>
      </c>
      <c r="R295" s="3" t="n">
        <v>17530.0</v>
      </c>
      <c r="S295" s="3" t="n">
        <v>17384.0</v>
      </c>
      <c r="T295" s="3" t="n">
        <v>17967.0</v>
      </c>
      <c r="U295" s="3" t="n">
        <v>17328.0</v>
      </c>
      <c r="V295" s="3" t="n">
        <v>16834.0</v>
      </c>
      <c r="W295" s="3" t="n">
        <v>15794.0</v>
      </c>
      <c r="X295" s="3" t="n">
        <v>15020.0</v>
      </c>
      <c r="Y295" s="3" t="n">
        <v>14534.0</v>
      </c>
      <c r="Z295" s="3" t="n">
        <v>14832.0</v>
      </c>
      <c r="AA295" s="3" t="n">
        <v>14311.0</v>
      </c>
      <c r="AB295" s="3" t="n">
        <v>13945.0</v>
      </c>
      <c r="AC295" s="3" t="n">
        <v>13846.0</v>
      </c>
      <c r="AD295" s="3" t="n">
        <v>13864.0</v>
      </c>
      <c r="AE295" s="3" t="n">
        <v>14436.0</v>
      </c>
      <c r="AF295" s="3" t="n">
        <v>14734.0</v>
      </c>
      <c r="AG295" s="3" t="n">
        <v>15143.0</v>
      </c>
      <c r="AH295" s="3" t="n">
        <v>15973.0</v>
      </c>
      <c r="AI295" s="3" t="n">
        <v>16967.0</v>
      </c>
      <c r="AJ295" s="3" t="n">
        <v>17485.0</v>
      </c>
      <c r="AK295" s="3" t="n">
        <v>18246.0</v>
      </c>
      <c r="AL295" s="3" t="n">
        <v>19143.0</v>
      </c>
      <c r="AM295" s="3" t="n">
        <v>19829.0</v>
      </c>
      <c r="AN295" s="3" t="n">
        <v>20046.0</v>
      </c>
      <c r="AO295" s="3" t="n">
        <v>20105.0</v>
      </c>
    </row>
    <row r="296" spans="1:41" x14ac:dyDescent="0.2">
      <c r="A296" s="122"/>
      <c r="B296" s="9">
        <v>83</v>
      </c>
      <c r="C296" s="3" t="n">
        <v>8404.0</v>
      </c>
      <c r="D296" s="3" t="n">
        <v>7988.0</v>
      </c>
      <c r="E296" s="3" t="n">
        <v>7432.0</v>
      </c>
      <c r="F296" s="3" t="n">
        <v>7277.0</v>
      </c>
      <c r="G296" s="3" t="n">
        <v>7254.0</v>
      </c>
      <c r="H296" s="3" t="n">
        <v>7025.0</v>
      </c>
      <c r="I296" s="3" t="n">
        <v>7912.0</v>
      </c>
      <c r="J296" s="3" t="n">
        <v>14341.0</v>
      </c>
      <c r="K296" s="3" t="n">
        <v>13641.0</v>
      </c>
      <c r="L296" s="3" t="n">
        <v>14570.0</v>
      </c>
      <c r="M296" s="3" t="n">
        <v>14779.0</v>
      </c>
      <c r="N296" s="3" t="n">
        <v>14934.0</v>
      </c>
      <c r="O296" s="3" t="n">
        <v>15477.0</v>
      </c>
      <c r="P296" s="3" t="n">
        <v>15687.0</v>
      </c>
      <c r="Q296" s="3" t="n">
        <v>16147.0</v>
      </c>
      <c r="R296" s="3" t="n">
        <v>16054.0</v>
      </c>
      <c r="S296" s="3" t="n">
        <v>16732.0</v>
      </c>
      <c r="T296" s="3" t="n">
        <v>16605.0</v>
      </c>
      <c r="U296" s="3" t="n">
        <v>17173.0</v>
      </c>
      <c r="V296" s="3" t="n">
        <v>16574.0</v>
      </c>
      <c r="W296" s="3" t="n">
        <v>16107.0</v>
      </c>
      <c r="X296" s="3" t="n">
        <v>15126.0</v>
      </c>
      <c r="Y296" s="3" t="n">
        <v>14394.0</v>
      </c>
      <c r="Z296" s="3" t="n">
        <v>13932.0</v>
      </c>
      <c r="AA296" s="3" t="n">
        <v>14225.0</v>
      </c>
      <c r="AB296" s="3" t="n">
        <v>13740.0</v>
      </c>
      <c r="AC296" s="3" t="n">
        <v>13392.0</v>
      </c>
      <c r="AD296" s="3" t="n">
        <v>13303.0</v>
      </c>
      <c r="AE296" s="3" t="n">
        <v>13335.0</v>
      </c>
      <c r="AF296" s="3" t="n">
        <v>13886.0</v>
      </c>
      <c r="AG296" s="3" t="n">
        <v>14184.0</v>
      </c>
      <c r="AH296" s="3" t="n">
        <v>14586.0</v>
      </c>
      <c r="AI296" s="3" t="n">
        <v>15383.0</v>
      </c>
      <c r="AJ296" s="3" t="n">
        <v>16358.0</v>
      </c>
      <c r="AK296" s="3" t="n">
        <v>16872.0</v>
      </c>
      <c r="AL296" s="3" t="n">
        <v>17612.0</v>
      </c>
      <c r="AM296" s="3" t="n">
        <v>18486.0</v>
      </c>
      <c r="AN296" s="3" t="n">
        <v>19158.0</v>
      </c>
      <c r="AO296" s="3" t="n">
        <v>19379.0</v>
      </c>
    </row>
    <row r="297" spans="1:41" x14ac:dyDescent="0.2">
      <c r="A297" s="122"/>
      <c r="B297" s="9">
        <v>84</v>
      </c>
      <c r="C297" s="3" t="n">
        <v>7767.0</v>
      </c>
      <c r="D297" s="3" t="n">
        <v>7843.0</v>
      </c>
      <c r="E297" s="3" t="n">
        <v>7469.0</v>
      </c>
      <c r="F297" s="3" t="n">
        <v>6957.0</v>
      </c>
      <c r="G297" s="3" t="n">
        <v>6824.0</v>
      </c>
      <c r="H297" s="3" t="n">
        <v>6813.0</v>
      </c>
      <c r="I297" s="3" t="n">
        <v>6617.0</v>
      </c>
      <c r="J297" s="3" t="n">
        <v>7439.0</v>
      </c>
      <c r="K297" s="3" t="n">
        <v>13483.0</v>
      </c>
      <c r="L297" s="3" t="n">
        <v>12836.0</v>
      </c>
      <c r="M297" s="3" t="n">
        <v>13725.0</v>
      </c>
      <c r="N297" s="3" t="n">
        <v>13935.0</v>
      </c>
      <c r="O297" s="3" t="n">
        <v>14089.0</v>
      </c>
      <c r="P297" s="3" t="n">
        <v>14614.0</v>
      </c>
      <c r="Q297" s="3" t="n">
        <v>14829.0</v>
      </c>
      <c r="R297" s="3" t="n">
        <v>15278.0</v>
      </c>
      <c r="S297" s="3" t="n">
        <v>15202.0</v>
      </c>
      <c r="T297" s="3" t="n">
        <v>15860.0</v>
      </c>
      <c r="U297" s="3" t="n">
        <v>15745.0</v>
      </c>
      <c r="V297" s="3" t="n">
        <v>16303.0</v>
      </c>
      <c r="W297" s="3" t="n">
        <v>15743.0</v>
      </c>
      <c r="X297" s="3" t="n">
        <v>15309.0</v>
      </c>
      <c r="Y297" s="3" t="n">
        <v>14387.0</v>
      </c>
      <c r="Z297" s="3" t="n">
        <v>13699.0</v>
      </c>
      <c r="AA297" s="3" t="n">
        <v>13271.0</v>
      </c>
      <c r="AB297" s="3" t="n">
        <v>13561.0</v>
      </c>
      <c r="AC297" s="3" t="n">
        <v>13100.0</v>
      </c>
      <c r="AD297" s="3" t="n">
        <v>12778.0</v>
      </c>
      <c r="AE297" s="3" t="n">
        <v>12708.0</v>
      </c>
      <c r="AF297" s="3" t="n">
        <v>12741.0</v>
      </c>
      <c r="AG297" s="3" t="n">
        <v>13278.0</v>
      </c>
      <c r="AH297" s="3" t="n">
        <v>13571.0</v>
      </c>
      <c r="AI297" s="3" t="n">
        <v>13965.0</v>
      </c>
      <c r="AJ297" s="3" t="n">
        <v>14746.0</v>
      </c>
      <c r="AK297" s="3" t="n">
        <v>15683.0</v>
      </c>
      <c r="AL297" s="3" t="n">
        <v>16184.0</v>
      </c>
      <c r="AM297" s="3" t="n">
        <v>16910.0</v>
      </c>
      <c r="AN297" s="3" t="n">
        <v>17757.0</v>
      </c>
      <c r="AO297" s="3" t="n">
        <v>18415.0</v>
      </c>
    </row>
    <row r="298" spans="1:41" x14ac:dyDescent="0.2">
      <c r="A298" s="122"/>
      <c r="B298" s="9">
        <v>85</v>
      </c>
      <c r="C298" s="3" t="n">
        <v>7096.0</v>
      </c>
      <c r="D298" s="3" t="n">
        <v>7176.0</v>
      </c>
      <c r="E298" s="3" t="n">
        <v>7258.0</v>
      </c>
      <c r="F298" s="3" t="n">
        <v>6924.0</v>
      </c>
      <c r="G298" s="3" t="n">
        <v>6458.0</v>
      </c>
      <c r="H298" s="3" t="n">
        <v>6344.0</v>
      </c>
      <c r="I298" s="3" t="n">
        <v>6352.0</v>
      </c>
      <c r="J298" s="3" t="n">
        <v>6167.0</v>
      </c>
      <c r="K298" s="3" t="n">
        <v>6933.0</v>
      </c>
      <c r="L298" s="3" t="n">
        <v>12571.0</v>
      </c>
      <c r="M298" s="3" t="n">
        <v>11983.0</v>
      </c>
      <c r="N298" s="3" t="n">
        <v>12827.0</v>
      </c>
      <c r="O298" s="3" t="n">
        <v>13037.0</v>
      </c>
      <c r="P298" s="3" t="n">
        <v>13187.0</v>
      </c>
      <c r="Q298" s="3" t="n">
        <v>13701.0</v>
      </c>
      <c r="R298" s="3" t="n">
        <v>13910.0</v>
      </c>
      <c r="S298" s="3" t="n">
        <v>14345.0</v>
      </c>
      <c r="T298" s="3" t="n">
        <v>14285.0</v>
      </c>
      <c r="U298" s="3" t="n">
        <v>14918.0</v>
      </c>
      <c r="V298" s="3" t="n">
        <v>14831.0</v>
      </c>
      <c r="W298" s="3" t="n">
        <v>15362.0</v>
      </c>
      <c r="X298" s="3" t="n">
        <v>14846.0</v>
      </c>
      <c r="Y298" s="3" t="n">
        <v>14455.0</v>
      </c>
      <c r="Z298" s="3" t="n">
        <v>13592.0</v>
      </c>
      <c r="AA298" s="3" t="n">
        <v>12954.0</v>
      </c>
      <c r="AB298" s="3" t="n">
        <v>12562.0</v>
      </c>
      <c r="AC298" s="3" t="n">
        <v>12847.0</v>
      </c>
      <c r="AD298" s="3" t="n">
        <v>12411.0</v>
      </c>
      <c r="AE298" s="3" t="n">
        <v>12124.0</v>
      </c>
      <c r="AF298" s="3" t="n">
        <v>12066.0</v>
      </c>
      <c r="AG298" s="3" t="n">
        <v>12105.0</v>
      </c>
      <c r="AH298" s="3" t="n">
        <v>12627.0</v>
      </c>
      <c r="AI298" s="3" t="n">
        <v>12907.0</v>
      </c>
      <c r="AJ298" s="3" t="n">
        <v>13299.0</v>
      </c>
      <c r="AK298" s="3" t="n">
        <v>14051.0</v>
      </c>
      <c r="AL298" s="3" t="n">
        <v>14952.0</v>
      </c>
      <c r="AM298" s="3" t="n">
        <v>15444.0</v>
      </c>
      <c r="AN298" s="3" t="n">
        <v>16145.0</v>
      </c>
      <c r="AO298" s="3" t="n">
        <v>16956.0</v>
      </c>
    </row>
    <row r="299" spans="1:41" x14ac:dyDescent="0.2">
      <c r="A299" s="122"/>
      <c r="B299" s="9">
        <v>86</v>
      </c>
      <c r="C299" s="3" t="n">
        <v>6520.0</v>
      </c>
      <c r="D299" s="3" t="n">
        <v>6478.0</v>
      </c>
      <c r="E299" s="3" t="n">
        <v>6574.0</v>
      </c>
      <c r="F299" s="3" t="n">
        <v>6660.0</v>
      </c>
      <c r="G299" s="3" t="n">
        <v>6369.0</v>
      </c>
      <c r="H299" s="3" t="n">
        <v>5950.0</v>
      </c>
      <c r="I299" s="3" t="n">
        <v>5864.0</v>
      </c>
      <c r="J299" s="3" t="n">
        <v>5867.0</v>
      </c>
      <c r="K299" s="3" t="n">
        <v>5699.0</v>
      </c>
      <c r="L299" s="3" t="n">
        <v>6408.0</v>
      </c>
      <c r="M299" s="3" t="n">
        <v>11632.0</v>
      </c>
      <c r="N299" s="3" t="n">
        <v>11099.0</v>
      </c>
      <c r="O299" s="3" t="n">
        <v>11895.0</v>
      </c>
      <c r="P299" s="3" t="n">
        <v>12095.0</v>
      </c>
      <c r="Q299" s="3" t="n">
        <v>12260.0</v>
      </c>
      <c r="R299" s="3" t="n">
        <v>12740.0</v>
      </c>
      <c r="S299" s="3" t="n">
        <v>12944.0</v>
      </c>
      <c r="T299" s="3" t="n">
        <v>13371.0</v>
      </c>
      <c r="U299" s="3" t="n">
        <v>13334.0</v>
      </c>
      <c r="V299" s="3" t="n">
        <v>13941.0</v>
      </c>
      <c r="W299" s="3" t="n">
        <v>13870.0</v>
      </c>
      <c r="X299" s="3" t="n">
        <v>14377.0</v>
      </c>
      <c r="Y299" s="3" t="n">
        <v>13915.0</v>
      </c>
      <c r="Z299" s="3" t="n">
        <v>13552.0</v>
      </c>
      <c r="AA299" s="3" t="n">
        <v>12755.0</v>
      </c>
      <c r="AB299" s="3" t="n">
        <v>12167.0</v>
      </c>
      <c r="AC299" s="3" t="n">
        <v>11810.0</v>
      </c>
      <c r="AD299" s="3" t="n">
        <v>12081.0</v>
      </c>
      <c r="AE299" s="3" t="n">
        <v>11693.0</v>
      </c>
      <c r="AF299" s="3" t="n">
        <v>11428.0</v>
      </c>
      <c r="AG299" s="3" t="n">
        <v>11384.0</v>
      </c>
      <c r="AH299" s="3" t="n">
        <v>11436.0</v>
      </c>
      <c r="AI299" s="3" t="n">
        <v>11934.0</v>
      </c>
      <c r="AJ299" s="3" t="n">
        <v>12211.0</v>
      </c>
      <c r="AK299" s="3" t="n">
        <v>12591.0</v>
      </c>
      <c r="AL299" s="3" t="n">
        <v>13310.0</v>
      </c>
      <c r="AM299" s="3" t="n">
        <v>14181.0</v>
      </c>
      <c r="AN299" s="3" t="n">
        <v>14659.0</v>
      </c>
      <c r="AO299" s="3" t="n">
        <v>15338.0</v>
      </c>
    </row>
    <row r="300" spans="1:41" x14ac:dyDescent="0.2">
      <c r="A300" s="122"/>
      <c r="B300" s="9">
        <v>87</v>
      </c>
      <c r="C300" s="3" t="n">
        <v>5724.0</v>
      </c>
      <c r="D300" s="3" t="n">
        <v>5885.0</v>
      </c>
      <c r="E300" s="3" t="n">
        <v>5868.0</v>
      </c>
      <c r="F300" s="3" t="n">
        <v>5967.0</v>
      </c>
      <c r="G300" s="3" t="n">
        <v>6056.0</v>
      </c>
      <c r="H300" s="3" t="n">
        <v>5805.0</v>
      </c>
      <c r="I300" s="3" t="n">
        <v>5434.0</v>
      </c>
      <c r="J300" s="3" t="n">
        <v>5356.0</v>
      </c>
      <c r="K300" s="3" t="n">
        <v>5358.0</v>
      </c>
      <c r="L300" s="3" t="n">
        <v>5217.0</v>
      </c>
      <c r="M300" s="3" t="n">
        <v>5867.0</v>
      </c>
      <c r="N300" s="3" t="n">
        <v>10674.0</v>
      </c>
      <c r="O300" s="3" t="n">
        <v>10191.0</v>
      </c>
      <c r="P300" s="3" t="n">
        <v>10936.0</v>
      </c>
      <c r="Q300" s="3" t="n">
        <v>11139.0</v>
      </c>
      <c r="R300" s="3" t="n">
        <v>11307.0</v>
      </c>
      <c r="S300" s="3" t="n">
        <v>11761.0</v>
      </c>
      <c r="T300" s="3" t="n">
        <v>11963.0</v>
      </c>
      <c r="U300" s="3" t="n">
        <v>12370.0</v>
      </c>
      <c r="V300" s="3" t="n">
        <v>12355.0</v>
      </c>
      <c r="W300" s="3" t="n">
        <v>12925.0</v>
      </c>
      <c r="X300" s="3" t="n">
        <v>12868.0</v>
      </c>
      <c r="Y300" s="3" t="n">
        <v>13362.0</v>
      </c>
      <c r="Z300" s="3" t="n">
        <v>12939.0</v>
      </c>
      <c r="AA300" s="3" t="n">
        <v>12614.0</v>
      </c>
      <c r="AB300" s="3" t="n">
        <v>11900.0</v>
      </c>
      <c r="AC300" s="3" t="n">
        <v>11358.0</v>
      </c>
      <c r="AD300" s="3" t="n">
        <v>11026.0</v>
      </c>
      <c r="AE300" s="3" t="n">
        <v>11297.0</v>
      </c>
      <c r="AF300" s="3" t="n">
        <v>10940.0</v>
      </c>
      <c r="AG300" s="3" t="n">
        <v>10704.0</v>
      </c>
      <c r="AH300" s="3" t="n">
        <v>10668.0</v>
      </c>
      <c r="AI300" s="3" t="n">
        <v>10732.0</v>
      </c>
      <c r="AJ300" s="3" t="n">
        <v>11217.0</v>
      </c>
      <c r="AK300" s="3" t="n">
        <v>11480.0</v>
      </c>
      <c r="AL300" s="3" t="n">
        <v>11848.0</v>
      </c>
      <c r="AM300" s="3" t="n">
        <v>12543.0</v>
      </c>
      <c r="AN300" s="3" t="n">
        <v>13365.0</v>
      </c>
      <c r="AO300" s="3" t="n">
        <v>13826.0</v>
      </c>
    </row>
    <row r="301" spans="1:41" x14ac:dyDescent="0.2">
      <c r="A301" s="122"/>
      <c r="B301" s="9">
        <v>88</v>
      </c>
      <c r="C301" s="3" t="n">
        <v>5031.0</v>
      </c>
      <c r="D301" s="3" t="n">
        <v>5109.0</v>
      </c>
      <c r="E301" s="3" t="n">
        <v>5277.0</v>
      </c>
      <c r="F301" s="3" t="n">
        <v>5269.0</v>
      </c>
      <c r="G301" s="3" t="n">
        <v>5368.0</v>
      </c>
      <c r="H301" s="3" t="n">
        <v>5461.0</v>
      </c>
      <c r="I301" s="3" t="n">
        <v>5249.0</v>
      </c>
      <c r="J301" s="3" t="n">
        <v>4914.0</v>
      </c>
      <c r="K301" s="3" t="n">
        <v>4848.0</v>
      </c>
      <c r="L301" s="3" t="n">
        <v>4860.0</v>
      </c>
      <c r="M301" s="3" t="n">
        <v>4731.0</v>
      </c>
      <c r="N301" s="3" t="n">
        <v>5334.0</v>
      </c>
      <c r="O301" s="3" t="n">
        <v>9715.0</v>
      </c>
      <c r="P301" s="3" t="n">
        <v>9279.0</v>
      </c>
      <c r="Q301" s="3" t="n">
        <v>9984.0</v>
      </c>
      <c r="R301" s="3" t="n">
        <v>10176.0</v>
      </c>
      <c r="S301" s="3" t="n">
        <v>10342.0</v>
      </c>
      <c r="T301" s="3" t="n">
        <v>10777.0</v>
      </c>
      <c r="U301" s="3" t="n">
        <v>10975.0</v>
      </c>
      <c r="V301" s="3" t="n">
        <v>11373.0</v>
      </c>
      <c r="W301" s="3" t="n">
        <v>11362.0</v>
      </c>
      <c r="X301" s="3" t="n">
        <v>11902.0</v>
      </c>
      <c r="Y301" s="3" t="n">
        <v>11866.0</v>
      </c>
      <c r="Z301" s="3" t="n">
        <v>12334.0</v>
      </c>
      <c r="AA301" s="3" t="n">
        <v>11953.0</v>
      </c>
      <c r="AB301" s="3" t="n">
        <v>11673.0</v>
      </c>
      <c r="AC301" s="3" t="n">
        <v>11022.0</v>
      </c>
      <c r="AD301" s="3" t="n">
        <v>10531.0</v>
      </c>
      <c r="AE301" s="3" t="n">
        <v>10239.0</v>
      </c>
      <c r="AF301" s="3" t="n">
        <v>10497.0</v>
      </c>
      <c r="AG301" s="3" t="n">
        <v>10173.0</v>
      </c>
      <c r="AH301" s="3" t="n">
        <v>9974.0</v>
      </c>
      <c r="AI301" s="3" t="n">
        <v>9946.0</v>
      </c>
      <c r="AJ301" s="3" t="n">
        <v>10015.0</v>
      </c>
      <c r="AK301" s="3" t="n">
        <v>10474.0</v>
      </c>
      <c r="AL301" s="3" t="n">
        <v>10733.0</v>
      </c>
      <c r="AM301" s="3" t="n">
        <v>11092.0</v>
      </c>
      <c r="AN301" s="3" t="n">
        <v>11750.0</v>
      </c>
      <c r="AO301" s="3" t="n">
        <v>12530.0</v>
      </c>
    </row>
    <row r="302" spans="1:41" x14ac:dyDescent="0.2">
      <c r="A302" s="122"/>
      <c r="B302" s="9">
        <v>89</v>
      </c>
      <c r="C302" s="3" t="n">
        <v>4302.0</v>
      </c>
      <c r="D302" s="3" t="n">
        <v>4443.0</v>
      </c>
      <c r="E302" s="3" t="n">
        <v>4527.0</v>
      </c>
      <c r="F302" s="3" t="n">
        <v>4687.0</v>
      </c>
      <c r="G302" s="3" t="n">
        <v>4685.0</v>
      </c>
      <c r="H302" s="3" t="n">
        <v>4788.0</v>
      </c>
      <c r="I302" s="3" t="n">
        <v>4886.0</v>
      </c>
      <c r="J302" s="3" t="n">
        <v>4699.0</v>
      </c>
      <c r="K302" s="3" t="n">
        <v>4402.0</v>
      </c>
      <c r="L302" s="3" t="n">
        <v>4352.0</v>
      </c>
      <c r="M302" s="3" t="n">
        <v>4371.0</v>
      </c>
      <c r="N302" s="3" t="n">
        <v>4264.0</v>
      </c>
      <c r="O302" s="3" t="n">
        <v>4805.0</v>
      </c>
      <c r="P302" s="3" t="n">
        <v>8760.0</v>
      </c>
      <c r="Q302" s="3" t="n">
        <v>8384.0</v>
      </c>
      <c r="R302" s="3" t="n">
        <v>9033.0</v>
      </c>
      <c r="S302" s="3" t="n">
        <v>9215.0</v>
      </c>
      <c r="T302" s="3" t="n">
        <v>9386.0</v>
      </c>
      <c r="U302" s="3" t="n">
        <v>9788.0</v>
      </c>
      <c r="V302" s="3" t="n">
        <v>9994.0</v>
      </c>
      <c r="W302" s="3" t="n">
        <v>10362.0</v>
      </c>
      <c r="X302" s="3" t="n">
        <v>10360.0</v>
      </c>
      <c r="Y302" s="3" t="n">
        <v>10870.0</v>
      </c>
      <c r="Z302" s="3" t="n">
        <v>10854.0</v>
      </c>
      <c r="AA302" s="3" t="n">
        <v>11297.0</v>
      </c>
      <c r="AB302" s="3" t="n">
        <v>10966.0</v>
      </c>
      <c r="AC302" s="3" t="n">
        <v>10719.0</v>
      </c>
      <c r="AD302" s="3" t="n">
        <v>10127.0</v>
      </c>
      <c r="AE302" s="3" t="n">
        <v>9696.0</v>
      </c>
      <c r="AF302" s="3" t="n">
        <v>9436.0</v>
      </c>
      <c r="AG302" s="3" t="n">
        <v>9683.0</v>
      </c>
      <c r="AH302" s="3" t="n">
        <v>9398.0</v>
      </c>
      <c r="AI302" s="3" t="n">
        <v>9222.0</v>
      </c>
      <c r="AJ302" s="3" t="n">
        <v>9210.0</v>
      </c>
      <c r="AK302" s="3" t="n">
        <v>9288.0</v>
      </c>
      <c r="AL302" s="3" t="n">
        <v>9719.0</v>
      </c>
      <c r="AM302" s="3" t="n">
        <v>9975.0</v>
      </c>
      <c r="AN302" s="3" t="n">
        <v>10316.0</v>
      </c>
      <c r="AO302" s="3" t="n">
        <v>10938.0</v>
      </c>
    </row>
    <row r="303" spans="1:41" x14ac:dyDescent="0.2">
      <c r="A303" s="122"/>
      <c r="B303" s="9">
        <v>90</v>
      </c>
      <c r="C303" s="3" t="n">
        <v>3672.0</v>
      </c>
      <c r="D303" s="3" t="n">
        <v>3742.0</v>
      </c>
      <c r="E303" s="3" t="n">
        <v>3888.0</v>
      </c>
      <c r="F303" s="3" t="n">
        <v>3965.0</v>
      </c>
      <c r="G303" s="3" t="n">
        <v>4117.0</v>
      </c>
      <c r="H303" s="3" t="n">
        <v>4123.0</v>
      </c>
      <c r="I303" s="3" t="n">
        <v>4230.0</v>
      </c>
      <c r="J303" s="3" t="n">
        <v>4317.0</v>
      </c>
      <c r="K303" s="3" t="n">
        <v>4156.0</v>
      </c>
      <c r="L303" s="3" t="n">
        <v>3901.0</v>
      </c>
      <c r="M303" s="3" t="n">
        <v>3861.0</v>
      </c>
      <c r="N303" s="3" t="n">
        <v>3890.0</v>
      </c>
      <c r="O303" s="3" t="n">
        <v>3804.0</v>
      </c>
      <c r="P303" s="3" t="n">
        <v>4287.0</v>
      </c>
      <c r="Q303" s="3" t="n">
        <v>7833.0</v>
      </c>
      <c r="R303" s="3" t="n">
        <v>7509.0</v>
      </c>
      <c r="S303" s="3" t="n">
        <v>8106.0</v>
      </c>
      <c r="T303" s="3" t="n">
        <v>8289.0</v>
      </c>
      <c r="U303" s="3" t="n">
        <v>8454.0</v>
      </c>
      <c r="V303" s="3" t="n">
        <v>8827.0</v>
      </c>
      <c r="W303" s="3" t="n">
        <v>9025.0</v>
      </c>
      <c r="X303" s="3" t="n">
        <v>9366.0</v>
      </c>
      <c r="Y303" s="3" t="n">
        <v>9391.0</v>
      </c>
      <c r="Z303" s="3" t="n">
        <v>9860.0</v>
      </c>
      <c r="AA303" s="3" t="n">
        <v>9853.0</v>
      </c>
      <c r="AB303" s="3" t="n">
        <v>10279.0</v>
      </c>
      <c r="AC303" s="3" t="n">
        <v>9986.0</v>
      </c>
      <c r="AD303" s="3" t="n">
        <v>9775.0</v>
      </c>
      <c r="AE303" s="3" t="n">
        <v>9251.0</v>
      </c>
      <c r="AF303" s="3" t="n">
        <v>8862.0</v>
      </c>
      <c r="AG303" s="3" t="n">
        <v>8637.0</v>
      </c>
      <c r="AH303" s="3" t="n">
        <v>8883.0</v>
      </c>
      <c r="AI303" s="3" t="n">
        <v>8625.0</v>
      </c>
      <c r="AJ303" s="3" t="n">
        <v>8480.0</v>
      </c>
      <c r="AK303" s="3" t="n">
        <v>8476.0</v>
      </c>
      <c r="AL303" s="3" t="n">
        <v>8555.0</v>
      </c>
      <c r="AM303" s="3" t="n">
        <v>8968.0</v>
      </c>
      <c r="AN303" s="3" t="n">
        <v>9208.0</v>
      </c>
      <c r="AO303" s="3" t="n">
        <v>9534.0</v>
      </c>
    </row>
    <row r="304" spans="1:41" x14ac:dyDescent="0.2">
      <c r="A304" s="122"/>
      <c r="B304" s="9">
        <v>91</v>
      </c>
      <c r="C304" s="3" t="n">
        <v>3084.0</v>
      </c>
      <c r="D304" s="3" t="n">
        <v>3151.0</v>
      </c>
      <c r="E304" s="3" t="n">
        <v>3229.0</v>
      </c>
      <c r="F304" s="3" t="n">
        <v>3362.0</v>
      </c>
      <c r="G304" s="3" t="n">
        <v>3444.0</v>
      </c>
      <c r="H304" s="3" t="n">
        <v>3585.0</v>
      </c>
      <c r="I304" s="3" t="n">
        <v>3603.0</v>
      </c>
      <c r="J304" s="3" t="n">
        <v>3693.0</v>
      </c>
      <c r="K304" s="3" t="n">
        <v>3776.0</v>
      </c>
      <c r="L304" s="3" t="n">
        <v>3646.0</v>
      </c>
      <c r="M304" s="3" t="n">
        <v>3428.0</v>
      </c>
      <c r="N304" s="3" t="n">
        <v>3400.0</v>
      </c>
      <c r="O304" s="3" t="n">
        <v>3429.0</v>
      </c>
      <c r="P304" s="3" t="n">
        <v>3355.0</v>
      </c>
      <c r="Q304" s="3" t="n">
        <v>3793.0</v>
      </c>
      <c r="R304" s="3" t="n">
        <v>6932.0</v>
      </c>
      <c r="S304" s="3" t="n">
        <v>6648.0</v>
      </c>
      <c r="T304" s="3" t="n">
        <v>7195.0</v>
      </c>
      <c r="U304" s="3" t="n">
        <v>7366.0</v>
      </c>
      <c r="V304" s="3" t="n">
        <v>7541.0</v>
      </c>
      <c r="W304" s="3" t="n">
        <v>7878.0</v>
      </c>
      <c r="X304" s="3" t="n">
        <v>8067.0</v>
      </c>
      <c r="Y304" s="3" t="n">
        <v>8395.0</v>
      </c>
      <c r="Z304" s="3" t="n">
        <v>8423.0</v>
      </c>
      <c r="AA304" s="3" t="n">
        <v>8854.0</v>
      </c>
      <c r="AB304" s="3" t="n">
        <v>8867.0</v>
      </c>
      <c r="AC304" s="3" t="n">
        <v>9266.0</v>
      </c>
      <c r="AD304" s="3" t="n">
        <v>9014.0</v>
      </c>
      <c r="AE304" s="3" t="n">
        <v>8837.0</v>
      </c>
      <c r="AF304" s="3" t="n">
        <v>8374.0</v>
      </c>
      <c r="AG304" s="3" t="n">
        <v>8025.0</v>
      </c>
      <c r="AH304" s="3" t="n">
        <v>7839.0</v>
      </c>
      <c r="AI304" s="3" t="n">
        <v>8071.0</v>
      </c>
      <c r="AJ304" s="3" t="n">
        <v>7854.0</v>
      </c>
      <c r="AK304" s="3" t="n">
        <v>7731.0</v>
      </c>
      <c r="AL304" s="3" t="n">
        <v>7732.0</v>
      </c>
      <c r="AM304" s="3" t="n">
        <v>7821.0</v>
      </c>
      <c r="AN304" s="3" t="n">
        <v>8206.0</v>
      </c>
      <c r="AO304" s="3" t="n">
        <v>8436.0</v>
      </c>
    </row>
    <row r="305" spans="1:41" x14ac:dyDescent="0.2">
      <c r="A305" s="122"/>
      <c r="B305" s="9">
        <v>92</v>
      </c>
      <c r="C305" s="3" t="n">
        <v>2428.0</v>
      </c>
      <c r="D305" s="3" t="n">
        <v>2608.0</v>
      </c>
      <c r="E305" s="3" t="n">
        <v>2678.0</v>
      </c>
      <c r="F305" s="3" t="n">
        <v>2753.0</v>
      </c>
      <c r="G305" s="3" t="n">
        <v>2877.0</v>
      </c>
      <c r="H305" s="3" t="n">
        <v>2956.0</v>
      </c>
      <c r="I305" s="3" t="n">
        <v>3088.0</v>
      </c>
      <c r="J305" s="3" t="n">
        <v>3101.0</v>
      </c>
      <c r="K305" s="3" t="n">
        <v>3186.0</v>
      </c>
      <c r="L305" s="3" t="n">
        <v>3262.0</v>
      </c>
      <c r="M305" s="3" t="n">
        <v>3153.0</v>
      </c>
      <c r="N305" s="3" t="n">
        <v>2974.0</v>
      </c>
      <c r="O305" s="3" t="n">
        <v>2958.0</v>
      </c>
      <c r="P305" s="3" t="n">
        <v>2987.0</v>
      </c>
      <c r="Q305" s="3" t="n">
        <v>2933.0</v>
      </c>
      <c r="R305" s="3" t="n">
        <v>3318.0</v>
      </c>
      <c r="S305" s="3" t="n">
        <v>6066.0</v>
      </c>
      <c r="T305" s="3" t="n">
        <v>5835.0</v>
      </c>
      <c r="U305" s="3" t="n">
        <v>6319.0</v>
      </c>
      <c r="V305" s="3" t="n">
        <v>6487.0</v>
      </c>
      <c r="W305" s="3" t="n">
        <v>6657.0</v>
      </c>
      <c r="X305" s="3" t="n">
        <v>6954.0</v>
      </c>
      <c r="Y305" s="3" t="n">
        <v>7142.0</v>
      </c>
      <c r="Z305" s="3" t="n">
        <v>7445.0</v>
      </c>
      <c r="AA305" s="3" t="n">
        <v>7476.0</v>
      </c>
      <c r="AB305" s="3" t="n">
        <v>7882.0</v>
      </c>
      <c r="AC305" s="3" t="n">
        <v>7904.0</v>
      </c>
      <c r="AD305" s="3" t="n">
        <v>8265.0</v>
      </c>
      <c r="AE305" s="3" t="n">
        <v>8063.0</v>
      </c>
      <c r="AF305" s="3" t="n">
        <v>7908.0</v>
      </c>
      <c r="AG305" s="3" t="n">
        <v>7504.0</v>
      </c>
      <c r="AH305" s="3" t="n">
        <v>7210.0</v>
      </c>
      <c r="AI305" s="3" t="n">
        <v>7050.0</v>
      </c>
      <c r="AJ305" s="3" t="n">
        <v>7271.0</v>
      </c>
      <c r="AK305" s="3" t="n">
        <v>7087.0</v>
      </c>
      <c r="AL305" s="3" t="n">
        <v>6988.0</v>
      </c>
      <c r="AM305" s="3" t="n">
        <v>6999.0</v>
      </c>
      <c r="AN305" s="3" t="n">
        <v>7088.0</v>
      </c>
      <c r="AO305" s="3" t="n">
        <v>7449.0</v>
      </c>
    </row>
    <row r="306" spans="1:41" x14ac:dyDescent="0.2">
      <c r="A306" s="122"/>
      <c r="B306" s="9">
        <v>93</v>
      </c>
      <c r="C306" s="3" t="n">
        <v>1750.0</v>
      </c>
      <c r="D306" s="3" t="n">
        <v>2002.0</v>
      </c>
      <c r="E306" s="3" t="n">
        <v>2163.0</v>
      </c>
      <c r="F306" s="3" t="n">
        <v>2231.0</v>
      </c>
      <c r="G306" s="3" t="n">
        <v>2299.0</v>
      </c>
      <c r="H306" s="3" t="n">
        <v>2410.0</v>
      </c>
      <c r="I306" s="3" t="n">
        <v>2489.0</v>
      </c>
      <c r="J306" s="3" t="n">
        <v>2603.0</v>
      </c>
      <c r="K306" s="3" t="n">
        <v>2616.0</v>
      </c>
      <c r="L306" s="3" t="n">
        <v>2694.0</v>
      </c>
      <c r="M306" s="3" t="n">
        <v>2771.0</v>
      </c>
      <c r="N306" s="3" t="n">
        <v>2682.0</v>
      </c>
      <c r="O306" s="3" t="n">
        <v>2535.0</v>
      </c>
      <c r="P306" s="3" t="n">
        <v>2523.0</v>
      </c>
      <c r="Q306" s="3" t="n">
        <v>2557.0</v>
      </c>
      <c r="R306" s="3" t="n">
        <v>2511.0</v>
      </c>
      <c r="S306" s="3" t="n">
        <v>2849.0</v>
      </c>
      <c r="T306" s="3" t="n">
        <v>5232.0</v>
      </c>
      <c r="U306" s="3" t="n">
        <v>5041.0</v>
      </c>
      <c r="V306" s="3" t="n">
        <v>5481.0</v>
      </c>
      <c r="W306" s="3" t="n">
        <v>5631.0</v>
      </c>
      <c r="X306" s="3" t="n">
        <v>5790.0</v>
      </c>
      <c r="Y306" s="3" t="n">
        <v>6059.0</v>
      </c>
      <c r="Z306" s="3" t="n">
        <v>6239.0</v>
      </c>
      <c r="AA306" s="3" t="n">
        <v>6510.0</v>
      </c>
      <c r="AB306" s="3" t="n">
        <v>6559.0</v>
      </c>
      <c r="AC306" s="3" t="n">
        <v>6927.0</v>
      </c>
      <c r="AD306" s="3" t="n">
        <v>6951.0</v>
      </c>
      <c r="AE306" s="3" t="n">
        <v>7288.0</v>
      </c>
      <c r="AF306" s="3" t="n">
        <v>7120.0</v>
      </c>
      <c r="AG306" s="3" t="n">
        <v>6990.0</v>
      </c>
      <c r="AH306" s="3" t="n">
        <v>6653.0</v>
      </c>
      <c r="AI306" s="3" t="n">
        <v>6402.0</v>
      </c>
      <c r="AJ306" s="3" t="n">
        <v>6277.0</v>
      </c>
      <c r="AK306" s="3" t="n">
        <v>6478.0</v>
      </c>
      <c r="AL306" s="3" t="n">
        <v>6323.0</v>
      </c>
      <c r="AM306" s="3" t="n">
        <v>6247.0</v>
      </c>
      <c r="AN306" s="3" t="n">
        <v>6266.0</v>
      </c>
      <c r="AO306" s="3" t="n">
        <v>6356.0</v>
      </c>
    </row>
    <row r="307" spans="1:41" x14ac:dyDescent="0.2">
      <c r="A307" s="122"/>
      <c r="B307" s="9">
        <v>94</v>
      </c>
      <c r="C307" s="3" t="n">
        <v>1444.0</v>
      </c>
      <c r="D307" s="3" t="n">
        <v>1415.0</v>
      </c>
      <c r="E307" s="3" t="n">
        <v>1632.0</v>
      </c>
      <c r="F307" s="3" t="n">
        <v>1766.0</v>
      </c>
      <c r="G307" s="3" t="n">
        <v>1834.0</v>
      </c>
      <c r="H307" s="3" t="n">
        <v>1895.0</v>
      </c>
      <c r="I307" s="3" t="n">
        <v>1994.0</v>
      </c>
      <c r="J307" s="3" t="n">
        <v>2063.0</v>
      </c>
      <c r="K307" s="3" t="n">
        <v>2166.0</v>
      </c>
      <c r="L307" s="3" t="n">
        <v>2181.0</v>
      </c>
      <c r="M307" s="3" t="n">
        <v>2249.0</v>
      </c>
      <c r="N307" s="3" t="n">
        <v>2323.0</v>
      </c>
      <c r="O307" s="3" t="n">
        <v>2250.0</v>
      </c>
      <c r="P307" s="3" t="n">
        <v>2131.0</v>
      </c>
      <c r="Q307" s="3" t="n">
        <v>2129.0</v>
      </c>
      <c r="R307" s="3" t="n">
        <v>2163.0</v>
      </c>
      <c r="S307" s="3" t="n">
        <v>2128.0</v>
      </c>
      <c r="T307" s="3" t="n">
        <v>2423.0</v>
      </c>
      <c r="U307" s="3" t="n">
        <v>4461.0</v>
      </c>
      <c r="V307" s="3" t="n">
        <v>4308.0</v>
      </c>
      <c r="W307" s="3" t="n">
        <v>4695.0</v>
      </c>
      <c r="X307" s="3" t="n">
        <v>4828.0</v>
      </c>
      <c r="Y307" s="3" t="n">
        <v>4983.0</v>
      </c>
      <c r="Z307" s="3" t="n">
        <v>5221.0</v>
      </c>
      <c r="AA307" s="3" t="n">
        <v>5383.0</v>
      </c>
      <c r="AB307" s="3" t="n">
        <v>5635.0</v>
      </c>
      <c r="AC307" s="3" t="n">
        <v>5683.0</v>
      </c>
      <c r="AD307" s="3" t="n">
        <v>6018.0</v>
      </c>
      <c r="AE307" s="3" t="n">
        <v>6052.0</v>
      </c>
      <c r="AF307" s="3" t="n">
        <v>6354.0</v>
      </c>
      <c r="AG307" s="3" t="n">
        <v>6221.0</v>
      </c>
      <c r="AH307" s="3" t="n">
        <v>6125.0</v>
      </c>
      <c r="AI307" s="3" t="n">
        <v>5836.0</v>
      </c>
      <c r="AJ307" s="3" t="n">
        <v>5632.0</v>
      </c>
      <c r="AK307" s="3" t="n">
        <v>5527.0</v>
      </c>
      <c r="AL307" s="3" t="n">
        <v>5711.0</v>
      </c>
      <c r="AM307" s="3" t="n">
        <v>5586.0</v>
      </c>
      <c r="AN307" s="3" t="n">
        <v>5530.0</v>
      </c>
      <c r="AO307" s="3" t="n">
        <v>5553.0</v>
      </c>
    </row>
    <row r="308" spans="1:41" x14ac:dyDescent="0.2">
      <c r="A308" s="122"/>
      <c r="B308" s="9">
        <v>95</v>
      </c>
      <c r="C308" s="3" t="n">
        <v>985.0</v>
      </c>
      <c r="D308" s="3" t="n">
        <v>1149.0</v>
      </c>
      <c r="E308" s="3" t="n">
        <v>1127.0</v>
      </c>
      <c r="F308" s="3" t="n">
        <v>1310.0</v>
      </c>
      <c r="G308" s="3" t="n">
        <v>1425.0</v>
      </c>
      <c r="H308" s="3" t="n">
        <v>1483.0</v>
      </c>
      <c r="I308" s="3" t="n">
        <v>1542.0</v>
      </c>
      <c r="J308" s="3" t="n">
        <v>1623.0</v>
      </c>
      <c r="K308" s="3" t="n">
        <v>1683.0</v>
      </c>
      <c r="L308" s="3" t="n">
        <v>1775.0</v>
      </c>
      <c r="M308" s="3" t="n">
        <v>1793.0</v>
      </c>
      <c r="N308" s="3" t="n">
        <v>1859.0</v>
      </c>
      <c r="O308" s="3" t="n">
        <v>1920.0</v>
      </c>
      <c r="P308" s="3" t="n">
        <v>1865.0</v>
      </c>
      <c r="Q308" s="3" t="n">
        <v>1765.0</v>
      </c>
      <c r="R308" s="3" t="n">
        <v>1775.0</v>
      </c>
      <c r="S308" s="3" t="n">
        <v>1805.0</v>
      </c>
      <c r="T308" s="3" t="n">
        <v>1785.0</v>
      </c>
      <c r="U308" s="3" t="n">
        <v>2033.0</v>
      </c>
      <c r="V308" s="3" t="n">
        <v>3751.0</v>
      </c>
      <c r="W308" s="3" t="n">
        <v>3631.0</v>
      </c>
      <c r="X308" s="3" t="n">
        <v>3963.0</v>
      </c>
      <c r="Y308" s="3" t="n">
        <v>4091.0</v>
      </c>
      <c r="Z308" s="3" t="n">
        <v>4231.0</v>
      </c>
      <c r="AA308" s="3" t="n">
        <v>4446.0</v>
      </c>
      <c r="AB308" s="3" t="n">
        <v>4600.0</v>
      </c>
      <c r="AC308" s="3" t="n">
        <v>4824.0</v>
      </c>
      <c r="AD308" s="3" t="n">
        <v>4865.0</v>
      </c>
      <c r="AE308" s="3" t="n">
        <v>5170.0</v>
      </c>
      <c r="AF308" s="3" t="n">
        <v>5209.0</v>
      </c>
      <c r="AG308" s="3" t="n">
        <v>5477.0</v>
      </c>
      <c r="AH308" s="3" t="n">
        <v>5377.0</v>
      </c>
      <c r="AI308" s="3" t="n">
        <v>5304.0</v>
      </c>
      <c r="AJ308" s="3" t="n">
        <v>5075.0</v>
      </c>
      <c r="AK308" s="3" t="n">
        <v>4898.0</v>
      </c>
      <c r="AL308" s="3" t="n">
        <v>4818.0</v>
      </c>
      <c r="AM308" s="3" t="n">
        <v>4993.0</v>
      </c>
      <c r="AN308" s="3" t="n">
        <v>4890.0</v>
      </c>
      <c r="AO308" s="3" t="n">
        <v>4847.0</v>
      </c>
    </row>
    <row r="309" spans="1:41" x14ac:dyDescent="0.2">
      <c r="A309" s="122"/>
      <c r="B309" s="9">
        <v>96</v>
      </c>
      <c r="C309" s="3" t="n">
        <v>752.0</v>
      </c>
      <c r="D309" s="3" t="n">
        <v>766.0</v>
      </c>
      <c r="E309" s="3" t="n">
        <v>904.0</v>
      </c>
      <c r="F309" s="3" t="n">
        <v>895.0</v>
      </c>
      <c r="G309" s="3" t="n">
        <v>1039.0</v>
      </c>
      <c r="H309" s="3" t="n">
        <v>1137.0</v>
      </c>
      <c r="I309" s="3" t="n">
        <v>1187.0</v>
      </c>
      <c r="J309" s="3" t="n">
        <v>1238.0</v>
      </c>
      <c r="K309" s="3" t="n">
        <v>1305.0</v>
      </c>
      <c r="L309" s="3" t="n">
        <v>1358.0</v>
      </c>
      <c r="M309" s="3" t="n">
        <v>1438.0</v>
      </c>
      <c r="N309" s="3" t="n">
        <v>1454.0</v>
      </c>
      <c r="O309" s="3" t="n">
        <v>1511.0</v>
      </c>
      <c r="P309" s="3" t="n">
        <v>1564.0</v>
      </c>
      <c r="Q309" s="3" t="n">
        <v>1529.0</v>
      </c>
      <c r="R309" s="3" t="n">
        <v>1449.0</v>
      </c>
      <c r="S309" s="3" t="n">
        <v>1461.0</v>
      </c>
      <c r="T309" s="3" t="n">
        <v>1494.0</v>
      </c>
      <c r="U309" s="3" t="n">
        <v>1482.0</v>
      </c>
      <c r="V309" s="3" t="n">
        <v>1690.0</v>
      </c>
      <c r="W309" s="3" t="n">
        <v>3115.0</v>
      </c>
      <c r="X309" s="3" t="n">
        <v>3024.0</v>
      </c>
      <c r="Y309" s="3" t="n">
        <v>3311.0</v>
      </c>
      <c r="Z309" s="3" t="n">
        <v>3426.0</v>
      </c>
      <c r="AA309" s="3" t="n">
        <v>3549.0</v>
      </c>
      <c r="AB309" s="3" t="n">
        <v>3743.0</v>
      </c>
      <c r="AC309" s="3" t="n">
        <v>3880.0</v>
      </c>
      <c r="AD309" s="3" t="n">
        <v>4076.0</v>
      </c>
      <c r="AE309" s="3" t="n">
        <v>4122.0</v>
      </c>
      <c r="AF309" s="3" t="n">
        <v>4389.0</v>
      </c>
      <c r="AG309" s="3" t="n">
        <v>4426.0</v>
      </c>
      <c r="AH309" s="3" t="n">
        <v>4675.0</v>
      </c>
      <c r="AI309" s="3" t="n">
        <v>4592.0</v>
      </c>
      <c r="AJ309" s="3" t="n">
        <v>4551.0</v>
      </c>
      <c r="AK309" s="3" t="n">
        <v>4359.0</v>
      </c>
      <c r="AL309" s="3" t="n">
        <v>4212.0</v>
      </c>
      <c r="AM309" s="3" t="n">
        <v>4161.0</v>
      </c>
      <c r="AN309" s="3" t="n">
        <v>4321.0</v>
      </c>
      <c r="AO309" s="3" t="n">
        <v>4235.0</v>
      </c>
    </row>
    <row r="310" spans="1:41" x14ac:dyDescent="0.2">
      <c r="A310" s="122"/>
      <c r="B310" s="9">
        <v>97</v>
      </c>
      <c r="C310" s="3" t="n">
        <v>548.0</v>
      </c>
      <c r="D310" s="3" t="n">
        <v>567.0</v>
      </c>
      <c r="E310" s="3" t="n">
        <v>581.0</v>
      </c>
      <c r="F310" s="3" t="n">
        <v>696.0</v>
      </c>
      <c r="G310" s="3" t="n">
        <v>692.0</v>
      </c>
      <c r="H310" s="3" t="n">
        <v>798.0</v>
      </c>
      <c r="I310" s="3" t="n">
        <v>889.0</v>
      </c>
      <c r="J310" s="3" t="n">
        <v>928.0</v>
      </c>
      <c r="K310" s="3" t="n">
        <v>966.0</v>
      </c>
      <c r="L310" s="3" t="n">
        <v>1027.0</v>
      </c>
      <c r="M310" s="3" t="n">
        <v>1067.0</v>
      </c>
      <c r="N310" s="3" t="n">
        <v>1139.0</v>
      </c>
      <c r="O310" s="3" t="n">
        <v>1155.0</v>
      </c>
      <c r="P310" s="3" t="n">
        <v>1201.0</v>
      </c>
      <c r="Q310" s="3" t="n">
        <v>1252.0</v>
      </c>
      <c r="R310" s="3" t="n">
        <v>1223.0</v>
      </c>
      <c r="S310" s="3" t="n">
        <v>1159.0</v>
      </c>
      <c r="T310" s="3" t="n">
        <v>1175.0</v>
      </c>
      <c r="U310" s="3" t="n">
        <v>1203.0</v>
      </c>
      <c r="V310" s="3" t="n">
        <v>1201.0</v>
      </c>
      <c r="W310" s="3" t="n">
        <v>1376.0</v>
      </c>
      <c r="X310" s="3" t="n">
        <v>2534.0</v>
      </c>
      <c r="Y310" s="3" t="n">
        <v>2476.0</v>
      </c>
      <c r="Z310" s="3" t="n">
        <v>2720.0</v>
      </c>
      <c r="AA310" s="3" t="n">
        <v>2820.0</v>
      </c>
      <c r="AB310" s="3" t="n">
        <v>2932.0</v>
      </c>
      <c r="AC310" s="3" t="n">
        <v>3097.0</v>
      </c>
      <c r="AD310" s="3" t="n">
        <v>3218.0</v>
      </c>
      <c r="AE310" s="3" t="n">
        <v>3394.0</v>
      </c>
      <c r="AF310" s="3" t="n">
        <v>3437.0</v>
      </c>
      <c r="AG310" s="3" t="n">
        <v>3670.0</v>
      </c>
      <c r="AH310" s="3" t="n">
        <v>3711.0</v>
      </c>
      <c r="AI310" s="3" t="n">
        <v>3926.0</v>
      </c>
      <c r="AJ310" s="3" t="n">
        <v>3871.0</v>
      </c>
      <c r="AK310" s="3" t="n">
        <v>3842.0</v>
      </c>
      <c r="AL310" s="3" t="n">
        <v>3691.0</v>
      </c>
      <c r="AM310" s="3" t="n">
        <v>3581.0</v>
      </c>
      <c r="AN310" s="3" t="n">
        <v>3543.0</v>
      </c>
      <c r="AO310" s="3" t="n">
        <v>3682.0</v>
      </c>
    </row>
    <row r="311" spans="1:41" x14ac:dyDescent="0.2">
      <c r="A311" s="122"/>
      <c r="B311" s="9">
        <v>98</v>
      </c>
      <c r="C311" s="3" t="n">
        <v>397.0</v>
      </c>
      <c r="D311" s="3" t="n">
        <v>405.0</v>
      </c>
      <c r="E311" s="3" t="n">
        <v>418.0</v>
      </c>
      <c r="F311" s="3" t="n">
        <v>436.0</v>
      </c>
      <c r="G311" s="3" t="n">
        <v>518.0</v>
      </c>
      <c r="H311" s="3" t="n">
        <v>521.0</v>
      </c>
      <c r="I311" s="3" t="n">
        <v>604.0</v>
      </c>
      <c r="J311" s="3" t="n">
        <v>671.0</v>
      </c>
      <c r="K311" s="3" t="n">
        <v>706.0</v>
      </c>
      <c r="L311" s="3" t="n">
        <v>739.0</v>
      </c>
      <c r="M311" s="3" t="n">
        <v>792.0</v>
      </c>
      <c r="N311" s="3" t="n">
        <v>824.0</v>
      </c>
      <c r="O311" s="3" t="n">
        <v>882.0</v>
      </c>
      <c r="P311" s="3" t="n">
        <v>895.0</v>
      </c>
      <c r="Q311" s="3" t="n">
        <v>937.0</v>
      </c>
      <c r="R311" s="3" t="n">
        <v>983.0</v>
      </c>
      <c r="S311" s="3" t="n">
        <v>965.0</v>
      </c>
      <c r="T311" s="3" t="n">
        <v>917.0</v>
      </c>
      <c r="U311" s="3" t="n">
        <v>925.0</v>
      </c>
      <c r="V311" s="3" t="n">
        <v>954.0</v>
      </c>
      <c r="W311" s="3" t="n">
        <v>960.0</v>
      </c>
      <c r="X311" s="3" t="n">
        <v>1105.0</v>
      </c>
      <c r="Y311" s="3" t="n">
        <v>2034.0</v>
      </c>
      <c r="Z311" s="3" t="n">
        <v>1990.0</v>
      </c>
      <c r="AA311" s="3" t="n">
        <v>2196.0</v>
      </c>
      <c r="AB311" s="3" t="n">
        <v>2283.0</v>
      </c>
      <c r="AC311" s="3" t="n">
        <v>2384.0</v>
      </c>
      <c r="AD311" s="3" t="n">
        <v>2524.0</v>
      </c>
      <c r="AE311" s="3" t="n">
        <v>2631.0</v>
      </c>
      <c r="AF311" s="3" t="n">
        <v>2780.0</v>
      </c>
      <c r="AG311" s="3" t="n">
        <v>2822.0</v>
      </c>
      <c r="AH311" s="3" t="n">
        <v>3026.0</v>
      </c>
      <c r="AI311" s="3" t="n">
        <v>3060.0</v>
      </c>
      <c r="AJ311" s="3" t="n">
        <v>3250.0</v>
      </c>
      <c r="AK311" s="3" t="n">
        <v>3213.0</v>
      </c>
      <c r="AL311" s="3" t="n">
        <v>3196.0</v>
      </c>
      <c r="AM311" s="3" t="n">
        <v>3083.0</v>
      </c>
      <c r="AN311" s="3" t="n">
        <v>2994.0</v>
      </c>
      <c r="AO311" s="3" t="n">
        <v>2968.0</v>
      </c>
    </row>
    <row r="312" spans="1:41" x14ac:dyDescent="0.2">
      <c r="A312" s="122"/>
      <c r="B312" s="9">
        <v>99</v>
      </c>
      <c r="C312" s="3" t="n">
        <v>276.0</v>
      </c>
      <c r="D312" s="3" t="n">
        <v>282.0</v>
      </c>
      <c r="E312" s="3" t="n">
        <v>299.0</v>
      </c>
      <c r="F312" s="3" t="n">
        <v>305.0</v>
      </c>
      <c r="G312" s="3" t="n">
        <v>320.0</v>
      </c>
      <c r="H312" s="3" t="n">
        <v>387.0</v>
      </c>
      <c r="I312" s="3" t="n">
        <v>391.0</v>
      </c>
      <c r="J312" s="3" t="n">
        <v>449.0</v>
      </c>
      <c r="K312" s="3" t="n">
        <v>502.0</v>
      </c>
      <c r="L312" s="3" t="n">
        <v>529.0</v>
      </c>
      <c r="M312" s="3" t="n">
        <v>562.0</v>
      </c>
      <c r="N312" s="3" t="n">
        <v>604.0</v>
      </c>
      <c r="O312" s="3" t="n">
        <v>629.0</v>
      </c>
      <c r="P312" s="3" t="n">
        <v>672.0</v>
      </c>
      <c r="Q312" s="3" t="n">
        <v>688.0</v>
      </c>
      <c r="R312" s="3" t="n">
        <v>721.0</v>
      </c>
      <c r="S312" s="3" t="n">
        <v>758.0</v>
      </c>
      <c r="T312" s="3" t="n">
        <v>746.0</v>
      </c>
      <c r="U312" s="3" t="n">
        <v>714.0</v>
      </c>
      <c r="V312" s="3" t="n">
        <v>727.0</v>
      </c>
      <c r="W312" s="3" t="n">
        <v>746.0</v>
      </c>
      <c r="X312" s="3" t="n">
        <v>756.0</v>
      </c>
      <c r="Y312" s="3" t="n">
        <v>872.0</v>
      </c>
      <c r="Z312" s="3" t="n">
        <v>1604.0</v>
      </c>
      <c r="AA312" s="3" t="n">
        <v>1574.0</v>
      </c>
      <c r="AB312" s="3" t="n">
        <v>1750.0</v>
      </c>
      <c r="AC312" s="3" t="n">
        <v>1818.0</v>
      </c>
      <c r="AD312" s="3" t="n">
        <v>1906.0</v>
      </c>
      <c r="AE312" s="3" t="n">
        <v>2026.0</v>
      </c>
      <c r="AF312" s="3" t="n">
        <v>2116.0</v>
      </c>
      <c r="AG312" s="3" t="n">
        <v>2240.0</v>
      </c>
      <c r="AH312" s="3" t="n">
        <v>2281.0</v>
      </c>
      <c r="AI312" s="3" t="n">
        <v>2457.0</v>
      </c>
      <c r="AJ312" s="3" t="n">
        <v>2492.0</v>
      </c>
      <c r="AK312" s="3" t="n">
        <v>2651.0</v>
      </c>
      <c r="AL312" s="3" t="n">
        <v>2629.0</v>
      </c>
      <c r="AM312" s="3" t="n">
        <v>2623.0</v>
      </c>
      <c r="AN312" s="3" t="n">
        <v>2540.0</v>
      </c>
      <c r="AO312" s="3" t="n">
        <v>2470.0</v>
      </c>
    </row>
    <row r="313" spans="1:41" x14ac:dyDescent="0.2">
      <c r="A313" s="122"/>
      <c r="B313" s="10" t="s">
        <v>68</v>
      </c>
      <c r="C313" s="4" t="n">
        <v>427.0</v>
      </c>
      <c r="D313" s="4" t="n">
        <v>472.0</v>
      </c>
      <c r="E313" s="4" t="n">
        <v>505.0</v>
      </c>
      <c r="F313" s="4" t="n">
        <v>548.0</v>
      </c>
      <c r="G313" s="4" t="n">
        <v>578.0</v>
      </c>
      <c r="H313" s="4" t="n">
        <v>613.0</v>
      </c>
      <c r="I313" s="4" t="n">
        <v>687.0</v>
      </c>
      <c r="J313" s="4" t="n">
        <v>742.0</v>
      </c>
      <c r="K313" s="4" t="n">
        <v>830.0</v>
      </c>
      <c r="L313" s="4" t="n">
        <v>933.0</v>
      </c>
      <c r="M313" s="4" t="n">
        <v>1019.0</v>
      </c>
      <c r="N313" s="4" t="n">
        <v>1114.0</v>
      </c>
      <c r="O313" s="4" t="n">
        <v>1211.0</v>
      </c>
      <c r="P313" s="4" t="n">
        <v>1303.0</v>
      </c>
      <c r="Q313" s="4" t="n">
        <v>1401.0</v>
      </c>
      <c r="R313" s="4" t="n">
        <v>1489.0</v>
      </c>
      <c r="S313" s="4" t="n">
        <v>1579.0</v>
      </c>
      <c r="T313" s="4" t="n">
        <v>1679.0</v>
      </c>
      <c r="U313" s="4" t="n">
        <v>1746.0</v>
      </c>
      <c r="V313" s="4" t="n">
        <v>1771.0</v>
      </c>
      <c r="W313" s="4" t="n">
        <v>1801.0</v>
      </c>
      <c r="X313" s="4" t="n">
        <v>1845.0</v>
      </c>
      <c r="Y313" s="4" t="n">
        <v>1893.0</v>
      </c>
      <c r="Z313" s="4" t="n">
        <v>2020.0</v>
      </c>
      <c r="AA313" s="4" t="n">
        <v>2662.0</v>
      </c>
      <c r="AB313" s="4" t="n">
        <v>3120.0</v>
      </c>
      <c r="AC313" s="4" t="n">
        <v>3596.0</v>
      </c>
      <c r="AD313" s="4" t="n">
        <v>4003.0</v>
      </c>
      <c r="AE313" s="4" t="n">
        <v>4385.0</v>
      </c>
      <c r="AF313" s="4" t="n">
        <v>4768.0</v>
      </c>
      <c r="AG313" s="4" t="n">
        <v>5128.0</v>
      </c>
      <c r="AH313" s="4" t="n">
        <v>5512.0</v>
      </c>
      <c r="AI313" s="4" t="n">
        <v>5839.0</v>
      </c>
      <c r="AJ313" s="4" t="n">
        <v>6236.0</v>
      </c>
      <c r="AK313" s="4" t="n">
        <v>6575.0</v>
      </c>
      <c r="AL313" s="4" t="n">
        <v>6965.0</v>
      </c>
      <c r="AM313" s="4" t="n">
        <v>7271.0</v>
      </c>
      <c r="AN313" s="4" t="n">
        <v>7507.0</v>
      </c>
      <c r="AO313" s="4" t="n">
        <v>7630.0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7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29"/>
      <c r="B1" s="129"/>
      <c r="C1" s="95" t="s">
        <v>86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5" t="s">
        <v>83</v>
      </c>
      <c r="B3" s="125"/>
      <c r="D3" s="19" t="s">
        <v>66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6" t="s">
        <v>46</v>
      </c>
      <c r="B8" s="59" t="s">
        <v>47</v>
      </c>
      <c r="C8" s="57" t="n">
        <v>3493577.0</v>
      </c>
      <c r="D8" s="57" t="n">
        <v>3492046.0</v>
      </c>
      <c r="E8" s="57" t="n">
        <v>3491086.0</v>
      </c>
      <c r="F8" s="57" t="n">
        <v>3490340.0</v>
      </c>
      <c r="G8" s="57" t="n">
        <v>3489865.0</v>
      </c>
      <c r="H8" s="57" t="n">
        <v>3503438.0</v>
      </c>
      <c r="I8" s="57" t="n">
        <v>3522250.0</v>
      </c>
      <c r="J8" s="57" t="n">
        <v>3529932.0</v>
      </c>
      <c r="K8" s="57" t="n">
        <v>3531610.0</v>
      </c>
      <c r="L8" s="57" t="n">
        <v>3530939.0</v>
      </c>
      <c r="M8" s="57" t="n">
        <v>3528726.0</v>
      </c>
      <c r="N8" s="57" t="n">
        <v>3525380.0</v>
      </c>
      <c r="O8" s="57" t="n">
        <v>3520985.0</v>
      </c>
      <c r="P8" s="57" t="n">
        <v>3516158.0</v>
      </c>
      <c r="Q8" s="57" t="n">
        <v>3511151.0</v>
      </c>
      <c r="R8" s="57" t="n">
        <v>3505825.0</v>
      </c>
      <c r="S8" s="57" t="n">
        <v>3500272.0</v>
      </c>
      <c r="T8" s="57" t="n">
        <v>3494529.0</v>
      </c>
      <c r="U8" s="57" t="n">
        <v>3488681.0</v>
      </c>
      <c r="V8" s="57" t="n">
        <v>3482938.0</v>
      </c>
      <c r="W8" s="57" t="n">
        <v>3477073.0</v>
      </c>
      <c r="X8" s="57" t="n">
        <v>3471213.0</v>
      </c>
      <c r="Y8" s="57" t="n">
        <v>3465489.0</v>
      </c>
      <c r="Z8" s="57" t="n">
        <v>3459418.0</v>
      </c>
      <c r="AA8" s="57" t="n">
        <v>3453222.0</v>
      </c>
      <c r="AB8" s="57" t="n">
        <v>3447134.0</v>
      </c>
      <c r="AC8" s="57" t="n">
        <v>3440850.0</v>
      </c>
      <c r="AD8" s="57" t="n">
        <v>3434307.0</v>
      </c>
      <c r="AE8" s="57" t="n">
        <v>3427536.0</v>
      </c>
      <c r="AF8" s="57" t="n">
        <v>3420454.0</v>
      </c>
      <c r="AG8" s="57" t="n">
        <v>3413112.0</v>
      </c>
      <c r="AH8" s="57" t="n">
        <v>3405759.0</v>
      </c>
      <c r="AI8" s="57" t="n">
        <v>3398154.0</v>
      </c>
      <c r="AJ8" s="57" t="n">
        <v>3390499.0</v>
      </c>
      <c r="AK8" s="57" t="n">
        <v>3382438.0</v>
      </c>
      <c r="AL8" s="57" t="n">
        <v>3374159.0</v>
      </c>
      <c r="AM8" s="57" t="n">
        <v>3365881.0</v>
      </c>
      <c r="AN8" s="57" t="n">
        <v>3357494.0</v>
      </c>
      <c r="AO8" s="57" t="n">
        <v>3349005.0</v>
      </c>
    </row>
    <row r="9" spans="1:41" x14ac:dyDescent="0.2">
      <c r="A9" s="127"/>
      <c r="B9" s="52" t="s">
        <v>20</v>
      </c>
      <c r="C9" s="3" t="n">
        <v>174887.0</v>
      </c>
      <c r="D9" s="3" t="n">
        <v>168342.0</v>
      </c>
      <c r="E9" s="3" t="n">
        <v>163520.0</v>
      </c>
      <c r="F9" s="3" t="n">
        <v>161129.0</v>
      </c>
      <c r="G9" s="3" t="n">
        <v>160136.0</v>
      </c>
      <c r="H9" s="3" t="n">
        <v>164182.0</v>
      </c>
      <c r="I9" s="3" t="n">
        <v>166695.0</v>
      </c>
      <c r="J9" s="3" t="n">
        <v>167866.0</v>
      </c>
      <c r="K9" s="3" t="n">
        <v>168257.0</v>
      </c>
      <c r="L9" s="3" t="n">
        <v>168425.0</v>
      </c>
      <c r="M9" s="3" t="n">
        <v>168591.0</v>
      </c>
      <c r="N9" s="3" t="n">
        <v>168676.0</v>
      </c>
      <c r="O9" s="3" t="n">
        <v>168622.0</v>
      </c>
      <c r="P9" s="3" t="n">
        <v>168602.0</v>
      </c>
      <c r="Q9" s="3" t="n">
        <v>168741.0</v>
      </c>
      <c r="R9" s="3" t="n">
        <v>169124.0</v>
      </c>
      <c r="S9" s="3" t="n">
        <v>169838.0</v>
      </c>
      <c r="T9" s="3" t="n">
        <v>170840.0</v>
      </c>
      <c r="U9" s="3" t="n">
        <v>172092.0</v>
      </c>
      <c r="V9" s="3" t="n">
        <v>173481.0</v>
      </c>
      <c r="W9" s="3" t="n">
        <v>174872.0</v>
      </c>
      <c r="X9" s="3" t="n">
        <v>176200.0</v>
      </c>
      <c r="Y9" s="3" t="n">
        <v>177376.0</v>
      </c>
      <c r="Z9" s="3" t="n">
        <v>178286.0</v>
      </c>
      <c r="AA9" s="3" t="n">
        <v>178859.0</v>
      </c>
      <c r="AB9" s="3" t="n">
        <v>179111.0</v>
      </c>
      <c r="AC9" s="3" t="n">
        <v>178972.0</v>
      </c>
      <c r="AD9" s="3" t="n">
        <v>178489.0</v>
      </c>
      <c r="AE9" s="3" t="n">
        <v>177670.0</v>
      </c>
      <c r="AF9" s="3" t="n">
        <v>176553.0</v>
      </c>
      <c r="AG9" s="3" t="n">
        <v>175193.0</v>
      </c>
      <c r="AH9" s="3" t="n">
        <v>173646.0</v>
      </c>
      <c r="AI9" s="3" t="n">
        <v>172007.0</v>
      </c>
      <c r="AJ9" s="3" t="n">
        <v>170349.0</v>
      </c>
      <c r="AK9" s="3" t="n">
        <v>168766.0</v>
      </c>
      <c r="AL9" s="3" t="n">
        <v>167278.0</v>
      </c>
      <c r="AM9" s="3" t="n">
        <v>165983.0</v>
      </c>
      <c r="AN9" s="3" t="n">
        <v>164895.0</v>
      </c>
      <c r="AO9" s="3" t="n">
        <v>164088.0</v>
      </c>
    </row>
    <row r="10" spans="1:41" x14ac:dyDescent="0.2">
      <c r="A10" s="127"/>
      <c r="B10" s="52" t="s">
        <v>21</v>
      </c>
      <c r="C10" s="3" t="n">
        <v>194669.0</v>
      </c>
      <c r="D10" s="3" t="n">
        <v>196038.0</v>
      </c>
      <c r="E10" s="3" t="n">
        <v>195164.0</v>
      </c>
      <c r="F10" s="3" t="n">
        <v>192369.0</v>
      </c>
      <c r="G10" s="3" t="n">
        <v>187389.0</v>
      </c>
      <c r="H10" s="3" t="n">
        <v>178695.0</v>
      </c>
      <c r="I10" s="3" t="n">
        <v>174841.0</v>
      </c>
      <c r="J10" s="3" t="n">
        <v>171049.0</v>
      </c>
      <c r="K10" s="3" t="n">
        <v>168902.0</v>
      </c>
      <c r="L10" s="3" t="n">
        <v>167786.0</v>
      </c>
      <c r="M10" s="3" t="n">
        <v>170125.0</v>
      </c>
      <c r="N10" s="3" t="n">
        <v>170447.0</v>
      </c>
      <c r="O10" s="3" t="n">
        <v>170640.0</v>
      </c>
      <c r="P10" s="3" t="n">
        <v>170675.0</v>
      </c>
      <c r="Q10" s="3" t="n">
        <v>170708.0</v>
      </c>
      <c r="R10" s="3" t="n">
        <v>170845.0</v>
      </c>
      <c r="S10" s="3" t="n">
        <v>170981.0</v>
      </c>
      <c r="T10" s="3" t="n">
        <v>170976.0</v>
      </c>
      <c r="U10" s="3" t="n">
        <v>171002.0</v>
      </c>
      <c r="V10" s="3" t="n">
        <v>171176.0</v>
      </c>
      <c r="W10" s="3" t="n">
        <v>171601.0</v>
      </c>
      <c r="X10" s="3" t="n">
        <v>172358.0</v>
      </c>
      <c r="Y10" s="3" t="n">
        <v>173387.0</v>
      </c>
      <c r="Z10" s="3" t="n">
        <v>174675.0</v>
      </c>
      <c r="AA10" s="3" t="n">
        <v>176080.0</v>
      </c>
      <c r="AB10" s="3" t="n">
        <v>177486.0</v>
      </c>
      <c r="AC10" s="3" t="n">
        <v>178834.0</v>
      </c>
      <c r="AD10" s="3" t="n">
        <v>180031.0</v>
      </c>
      <c r="AE10" s="3" t="n">
        <v>180945.0</v>
      </c>
      <c r="AF10" s="3" t="n">
        <v>181519.0</v>
      </c>
      <c r="AG10" s="3" t="n">
        <v>181776.0</v>
      </c>
      <c r="AH10" s="3" t="n">
        <v>181667.0</v>
      </c>
      <c r="AI10" s="3" t="n">
        <v>181221.0</v>
      </c>
      <c r="AJ10" s="3" t="n">
        <v>180437.0</v>
      </c>
      <c r="AK10" s="3" t="n">
        <v>179375.0</v>
      </c>
      <c r="AL10" s="3" t="n">
        <v>178051.0</v>
      </c>
      <c r="AM10" s="3" t="n">
        <v>176536.0</v>
      </c>
      <c r="AN10" s="3" t="n">
        <v>174927.0</v>
      </c>
      <c r="AO10" s="3" t="n">
        <v>173288.0</v>
      </c>
    </row>
    <row r="11" spans="1:41" x14ac:dyDescent="0.2">
      <c r="A11" s="127"/>
      <c r="B11" s="53" t="s">
        <v>22</v>
      </c>
      <c r="C11" s="3" t="n">
        <v>203918.0</v>
      </c>
      <c r="D11" s="3" t="n">
        <v>199972.0</v>
      </c>
      <c r="E11" s="3" t="n">
        <v>196709.0</v>
      </c>
      <c r="F11" s="3" t="n">
        <v>193259.0</v>
      </c>
      <c r="G11" s="3" t="n">
        <v>193476.0</v>
      </c>
      <c r="H11" s="3" t="n">
        <v>197479.0</v>
      </c>
      <c r="I11" s="3" t="n">
        <v>201823.0</v>
      </c>
      <c r="J11" s="3" t="n">
        <v>202378.0</v>
      </c>
      <c r="K11" s="3" t="n">
        <v>200139.0</v>
      </c>
      <c r="L11" s="3" t="n">
        <v>195328.0</v>
      </c>
      <c r="M11" s="3" t="n">
        <v>184598.0</v>
      </c>
      <c r="N11" s="3" t="n">
        <v>177845.0</v>
      </c>
      <c r="O11" s="3" t="n">
        <v>172645.0</v>
      </c>
      <c r="P11" s="3" t="n">
        <v>169899.0</v>
      </c>
      <c r="Q11" s="3" t="n">
        <v>168484.0</v>
      </c>
      <c r="R11" s="3" t="n">
        <v>170663.0</v>
      </c>
      <c r="S11" s="3" t="n">
        <v>170966.0</v>
      </c>
      <c r="T11" s="3" t="n">
        <v>171183.0</v>
      </c>
      <c r="U11" s="3" t="n">
        <v>171234.0</v>
      </c>
      <c r="V11" s="3" t="n">
        <v>171286.0</v>
      </c>
      <c r="W11" s="3" t="n">
        <v>171452.0</v>
      </c>
      <c r="X11" s="3" t="n">
        <v>171614.0</v>
      </c>
      <c r="Y11" s="3" t="n">
        <v>171639.0</v>
      </c>
      <c r="Z11" s="3" t="n">
        <v>171686.0</v>
      </c>
      <c r="AA11" s="3" t="n">
        <v>171880.0</v>
      </c>
      <c r="AB11" s="3" t="n">
        <v>172326.0</v>
      </c>
      <c r="AC11" s="3" t="n">
        <v>173089.0</v>
      </c>
      <c r="AD11" s="3" t="n">
        <v>174110.0</v>
      </c>
      <c r="AE11" s="3" t="n">
        <v>175376.0</v>
      </c>
      <c r="AF11" s="3" t="n">
        <v>176774.0</v>
      </c>
      <c r="AG11" s="3" t="n">
        <v>178176.0</v>
      </c>
      <c r="AH11" s="3" t="n">
        <v>179508.0</v>
      </c>
      <c r="AI11" s="3" t="n">
        <v>180701.0</v>
      </c>
      <c r="AJ11" s="3" t="n">
        <v>181613.0</v>
      </c>
      <c r="AK11" s="3" t="n">
        <v>182198.0</v>
      </c>
      <c r="AL11" s="3" t="n">
        <v>182477.0</v>
      </c>
      <c r="AM11" s="3" t="n">
        <v>182380.0</v>
      </c>
      <c r="AN11" s="3" t="n">
        <v>181948.0</v>
      </c>
      <c r="AO11" s="3" t="n">
        <v>181178.0</v>
      </c>
    </row>
    <row r="12" spans="1:41" x14ac:dyDescent="0.2">
      <c r="A12" s="127"/>
      <c r="B12" s="52" t="s">
        <v>23</v>
      </c>
      <c r="C12" s="3" t="n">
        <v>176480.0</v>
      </c>
      <c r="D12" s="3" t="n">
        <v>185074.0</v>
      </c>
      <c r="E12" s="3" t="n">
        <v>193587.0</v>
      </c>
      <c r="F12" s="3" t="n">
        <v>200197.0</v>
      </c>
      <c r="G12" s="3" t="n">
        <v>203019.0</v>
      </c>
      <c r="H12" s="3" t="n">
        <v>205485.0</v>
      </c>
      <c r="I12" s="3" t="n">
        <v>203961.0</v>
      </c>
      <c r="J12" s="3" t="n">
        <v>201996.0</v>
      </c>
      <c r="K12" s="3" t="n">
        <v>199182.0</v>
      </c>
      <c r="L12" s="3" t="n">
        <v>199823.0</v>
      </c>
      <c r="M12" s="3" t="n">
        <v>202120.0</v>
      </c>
      <c r="N12" s="3" t="n">
        <v>203791.0</v>
      </c>
      <c r="O12" s="3" t="n">
        <v>203095.0</v>
      </c>
      <c r="P12" s="3" t="n">
        <v>200342.0</v>
      </c>
      <c r="Q12" s="3" t="n">
        <v>195267.0</v>
      </c>
      <c r="R12" s="3" t="n">
        <v>184423.0</v>
      </c>
      <c r="S12" s="3" t="n">
        <v>177614.0</v>
      </c>
      <c r="T12" s="3" t="n">
        <v>172388.0</v>
      </c>
      <c r="U12" s="3" t="n">
        <v>169637.0</v>
      </c>
      <c r="V12" s="3" t="n">
        <v>168212.0</v>
      </c>
      <c r="W12" s="3" t="n">
        <v>170381.0</v>
      </c>
      <c r="X12" s="3" t="n">
        <v>170679.0</v>
      </c>
      <c r="Y12" s="3" t="n">
        <v>170915.0</v>
      </c>
      <c r="Z12" s="3" t="n">
        <v>170979.0</v>
      </c>
      <c r="AA12" s="3" t="n">
        <v>171044.0</v>
      </c>
      <c r="AB12" s="3" t="n">
        <v>171214.0</v>
      </c>
      <c r="AC12" s="3" t="n">
        <v>171384.0</v>
      </c>
      <c r="AD12" s="3" t="n">
        <v>171416.0</v>
      </c>
      <c r="AE12" s="3" t="n">
        <v>171467.0</v>
      </c>
      <c r="AF12" s="3" t="n">
        <v>171661.0</v>
      </c>
      <c r="AG12" s="3" t="n">
        <v>172093.0</v>
      </c>
      <c r="AH12" s="3" t="n">
        <v>172852.0</v>
      </c>
      <c r="AI12" s="3" t="n">
        <v>173855.0</v>
      </c>
      <c r="AJ12" s="3" t="n">
        <v>175116.0</v>
      </c>
      <c r="AK12" s="3" t="n">
        <v>176516.0</v>
      </c>
      <c r="AL12" s="3" t="n">
        <v>177913.0</v>
      </c>
      <c r="AM12" s="3" t="n">
        <v>179239.0</v>
      </c>
      <c r="AN12" s="3" t="n">
        <v>180437.0</v>
      </c>
      <c r="AO12" s="3" t="n">
        <v>181343.0</v>
      </c>
    </row>
    <row r="13" spans="1:41" x14ac:dyDescent="0.2">
      <c r="A13" s="127"/>
      <c r="B13" s="52" t="s">
        <v>24</v>
      </c>
      <c r="C13" s="3" t="n">
        <v>175873.0</v>
      </c>
      <c r="D13" s="3" t="n">
        <v>171353.0</v>
      </c>
      <c r="E13" s="3" t="n">
        <v>168590.0</v>
      </c>
      <c r="F13" s="3" t="n">
        <v>168420.0</v>
      </c>
      <c r="G13" s="3" t="n">
        <v>170455.0</v>
      </c>
      <c r="H13" s="3" t="n">
        <v>176791.0</v>
      </c>
      <c r="I13" s="3" t="n">
        <v>186609.0</v>
      </c>
      <c r="J13" s="3" t="n">
        <v>195997.0</v>
      </c>
      <c r="K13" s="3" t="n">
        <v>203306.0</v>
      </c>
      <c r="L13" s="3" t="n">
        <v>206711.0</v>
      </c>
      <c r="M13" s="3" t="n">
        <v>208165.0</v>
      </c>
      <c r="N13" s="3" t="n">
        <v>204870.0</v>
      </c>
      <c r="O13" s="3" t="n">
        <v>202063.0</v>
      </c>
      <c r="P13" s="3" t="n">
        <v>198902.0</v>
      </c>
      <c r="Q13" s="3" t="n">
        <v>199364.0</v>
      </c>
      <c r="R13" s="3" t="n">
        <v>201530.0</v>
      </c>
      <c r="S13" s="3" t="n">
        <v>203174.0</v>
      </c>
      <c r="T13" s="3" t="n">
        <v>202464.0</v>
      </c>
      <c r="U13" s="3" t="n">
        <v>199696.0</v>
      </c>
      <c r="V13" s="3" t="n">
        <v>194619.0</v>
      </c>
      <c r="W13" s="3" t="n">
        <v>183805.0</v>
      </c>
      <c r="X13" s="3" t="n">
        <v>177006.0</v>
      </c>
      <c r="Y13" s="3" t="n">
        <v>171760.0</v>
      </c>
      <c r="Z13" s="3" t="n">
        <v>169033.0</v>
      </c>
      <c r="AA13" s="3" t="n">
        <v>167607.0</v>
      </c>
      <c r="AB13" s="3" t="n">
        <v>169750.0</v>
      </c>
      <c r="AC13" s="3" t="n">
        <v>170047.0</v>
      </c>
      <c r="AD13" s="3" t="n">
        <v>170291.0</v>
      </c>
      <c r="AE13" s="3" t="n">
        <v>170362.0</v>
      </c>
      <c r="AF13" s="3" t="n">
        <v>170423.0</v>
      </c>
      <c r="AG13" s="3" t="n">
        <v>170596.0</v>
      </c>
      <c r="AH13" s="3" t="n">
        <v>170769.0</v>
      </c>
      <c r="AI13" s="3" t="n">
        <v>170804.0</v>
      </c>
      <c r="AJ13" s="3" t="n">
        <v>170862.0</v>
      </c>
      <c r="AK13" s="3" t="n">
        <v>171064.0</v>
      </c>
      <c r="AL13" s="3" t="n">
        <v>171505.0</v>
      </c>
      <c r="AM13" s="3" t="n">
        <v>172275.0</v>
      </c>
      <c r="AN13" s="3" t="n">
        <v>173285.0</v>
      </c>
      <c r="AO13" s="3" t="n">
        <v>174547.0</v>
      </c>
    </row>
    <row r="14" spans="1:41" x14ac:dyDescent="0.2">
      <c r="A14" s="127"/>
      <c r="B14" s="52" t="s">
        <v>25</v>
      </c>
      <c r="C14" s="3" t="n">
        <v>209800.0</v>
      </c>
      <c r="D14" s="3" t="n">
        <v>201103.0</v>
      </c>
      <c r="E14" s="3" t="n">
        <v>193374.0</v>
      </c>
      <c r="F14" s="3" t="n">
        <v>187318.0</v>
      </c>
      <c r="G14" s="3" t="n">
        <v>181807.0</v>
      </c>
      <c r="H14" s="3" t="n">
        <v>176881.0</v>
      </c>
      <c r="I14" s="3" t="n">
        <v>173631.0</v>
      </c>
      <c r="J14" s="3" t="n">
        <v>171427.0</v>
      </c>
      <c r="K14" s="3" t="n">
        <v>171413.0</v>
      </c>
      <c r="L14" s="3" t="n">
        <v>173398.0</v>
      </c>
      <c r="M14" s="3" t="n">
        <v>178897.0</v>
      </c>
      <c r="N14" s="3" t="n">
        <v>187522.0</v>
      </c>
      <c r="O14" s="3" t="n">
        <v>196301.0</v>
      </c>
      <c r="P14" s="3" t="n">
        <v>203373.0</v>
      </c>
      <c r="Q14" s="3" t="n">
        <v>206668.0</v>
      </c>
      <c r="R14" s="3" t="n">
        <v>208065.0</v>
      </c>
      <c r="S14" s="3" t="n">
        <v>204743.0</v>
      </c>
      <c r="T14" s="3" t="n">
        <v>201920.0</v>
      </c>
      <c r="U14" s="3" t="n">
        <v>198755.0</v>
      </c>
      <c r="V14" s="3" t="n">
        <v>199174.0</v>
      </c>
      <c r="W14" s="3" t="n">
        <v>201271.0</v>
      </c>
      <c r="X14" s="3" t="n">
        <v>202846.0</v>
      </c>
      <c r="Y14" s="3" t="n">
        <v>202125.0</v>
      </c>
      <c r="Z14" s="3" t="n">
        <v>199325.0</v>
      </c>
      <c r="AA14" s="3" t="n">
        <v>194260.0</v>
      </c>
      <c r="AB14" s="3" t="n">
        <v>183479.0</v>
      </c>
      <c r="AC14" s="3" t="n">
        <v>176700.0</v>
      </c>
      <c r="AD14" s="3" t="n">
        <v>171424.0</v>
      </c>
      <c r="AE14" s="3" t="n">
        <v>168674.0</v>
      </c>
      <c r="AF14" s="3" t="n">
        <v>167227.0</v>
      </c>
      <c r="AG14" s="3" t="n">
        <v>169336.0</v>
      </c>
      <c r="AH14" s="3" t="n">
        <v>169641.0</v>
      </c>
      <c r="AI14" s="3" t="n">
        <v>169907.0</v>
      </c>
      <c r="AJ14" s="3" t="n">
        <v>169986.0</v>
      </c>
      <c r="AK14" s="3" t="n">
        <v>170047.0</v>
      </c>
      <c r="AL14" s="3" t="n">
        <v>170210.0</v>
      </c>
      <c r="AM14" s="3" t="n">
        <v>170388.0</v>
      </c>
      <c r="AN14" s="3" t="n">
        <v>170420.0</v>
      </c>
      <c r="AO14" s="3" t="n">
        <v>170484.0</v>
      </c>
    </row>
    <row r="15" spans="1:41" x14ac:dyDescent="0.2">
      <c r="A15" s="127"/>
      <c r="B15" s="52" t="s">
        <v>26</v>
      </c>
      <c r="C15" s="3" t="n">
        <v>252816.0</v>
      </c>
      <c r="D15" s="3" t="n">
        <v>246115.0</v>
      </c>
      <c r="E15" s="3" t="n">
        <v>238588.0</v>
      </c>
      <c r="F15" s="3" t="n">
        <v>228775.0</v>
      </c>
      <c r="G15" s="3" t="n">
        <v>218618.0</v>
      </c>
      <c r="H15" s="3" t="n">
        <v>211226.0</v>
      </c>
      <c r="I15" s="3" t="n">
        <v>204154.0</v>
      </c>
      <c r="J15" s="3" t="n">
        <v>197076.0</v>
      </c>
      <c r="K15" s="3" t="n">
        <v>191222.0</v>
      </c>
      <c r="L15" s="3" t="n">
        <v>185738.0</v>
      </c>
      <c r="M15" s="3" t="n">
        <v>179973.0</v>
      </c>
      <c r="N15" s="3" t="n">
        <v>175561.0</v>
      </c>
      <c r="O15" s="3" t="n">
        <v>172858.0</v>
      </c>
      <c r="P15" s="3" t="n">
        <v>172589.0</v>
      </c>
      <c r="Q15" s="3" t="n">
        <v>174411.0</v>
      </c>
      <c r="R15" s="3" t="n">
        <v>179784.0</v>
      </c>
      <c r="S15" s="3" t="n">
        <v>188298.0</v>
      </c>
      <c r="T15" s="3" t="n">
        <v>196976.0</v>
      </c>
      <c r="U15" s="3" t="n">
        <v>203981.0</v>
      </c>
      <c r="V15" s="3" t="n">
        <v>207230.0</v>
      </c>
      <c r="W15" s="3" t="n">
        <v>208623.0</v>
      </c>
      <c r="X15" s="3" t="n">
        <v>205301.0</v>
      </c>
      <c r="Y15" s="3" t="n">
        <v>202471.0</v>
      </c>
      <c r="Z15" s="3" t="n">
        <v>199266.0</v>
      </c>
      <c r="AA15" s="3" t="n">
        <v>199630.0</v>
      </c>
      <c r="AB15" s="3" t="n">
        <v>201665.0</v>
      </c>
      <c r="AC15" s="3" t="n">
        <v>203157.0</v>
      </c>
      <c r="AD15" s="3" t="n">
        <v>202441.0</v>
      </c>
      <c r="AE15" s="3" t="n">
        <v>199650.0</v>
      </c>
      <c r="AF15" s="3" t="n">
        <v>194577.0</v>
      </c>
      <c r="AG15" s="3" t="n">
        <v>183827.0</v>
      </c>
      <c r="AH15" s="3" t="n">
        <v>177026.0</v>
      </c>
      <c r="AI15" s="3" t="n">
        <v>171732.0</v>
      </c>
      <c r="AJ15" s="3" t="n">
        <v>168958.0</v>
      </c>
      <c r="AK15" s="3" t="n">
        <v>167484.0</v>
      </c>
      <c r="AL15" s="3" t="n">
        <v>169559.0</v>
      </c>
      <c r="AM15" s="3" t="n">
        <v>169843.0</v>
      </c>
      <c r="AN15" s="3" t="n">
        <v>170121.0</v>
      </c>
      <c r="AO15" s="3" t="n">
        <v>170211.0</v>
      </c>
    </row>
    <row r="16" spans="1:41" x14ac:dyDescent="0.2">
      <c r="A16" s="127"/>
      <c r="B16" s="52" t="s">
        <v>27</v>
      </c>
      <c r="C16" s="3" t="n">
        <v>291519.0</v>
      </c>
      <c r="D16" s="3" t="n">
        <v>281747.0</v>
      </c>
      <c r="E16" s="3" t="n">
        <v>271703.0</v>
      </c>
      <c r="F16" s="3" t="n">
        <v>264004.0</v>
      </c>
      <c r="G16" s="3" t="n">
        <v>258104.0</v>
      </c>
      <c r="H16" s="3" t="n">
        <v>253245.0</v>
      </c>
      <c r="I16" s="3" t="n">
        <v>248300.0</v>
      </c>
      <c r="J16" s="3" t="n">
        <v>241570.0</v>
      </c>
      <c r="K16" s="3" t="n">
        <v>232064.0</v>
      </c>
      <c r="L16" s="3" t="n">
        <v>222035.0</v>
      </c>
      <c r="M16" s="3" t="n">
        <v>213547.0</v>
      </c>
      <c r="N16" s="3" t="n">
        <v>204900.0</v>
      </c>
      <c r="O16" s="3" t="n">
        <v>197181.0</v>
      </c>
      <c r="P16" s="3" t="n">
        <v>191183.0</v>
      </c>
      <c r="Q16" s="3" t="n">
        <v>185699.0</v>
      </c>
      <c r="R16" s="3" t="n">
        <v>179998.0</v>
      </c>
      <c r="S16" s="3" t="n">
        <v>175726.0</v>
      </c>
      <c r="T16" s="3" t="n">
        <v>173129.0</v>
      </c>
      <c r="U16" s="3" t="n">
        <v>172887.0</v>
      </c>
      <c r="V16" s="3" t="n">
        <v>174680.0</v>
      </c>
      <c r="W16" s="3" t="n">
        <v>179967.0</v>
      </c>
      <c r="X16" s="3" t="n">
        <v>188404.0</v>
      </c>
      <c r="Y16" s="3" t="n">
        <v>196999.0</v>
      </c>
      <c r="Z16" s="3" t="n">
        <v>203929.0</v>
      </c>
      <c r="AA16" s="3" t="n">
        <v>207146.0</v>
      </c>
      <c r="AB16" s="3" t="n">
        <v>208557.0</v>
      </c>
      <c r="AC16" s="3" t="n">
        <v>205274.0</v>
      </c>
      <c r="AD16" s="3" t="n">
        <v>202456.0</v>
      </c>
      <c r="AE16" s="3" t="n">
        <v>199269.0</v>
      </c>
      <c r="AF16" s="3" t="n">
        <v>199637.0</v>
      </c>
      <c r="AG16" s="3" t="n">
        <v>201613.0</v>
      </c>
      <c r="AH16" s="3" t="n">
        <v>203103.0</v>
      </c>
      <c r="AI16" s="3" t="n">
        <v>202377.0</v>
      </c>
      <c r="AJ16" s="3" t="n">
        <v>199595.0</v>
      </c>
      <c r="AK16" s="3" t="n">
        <v>194580.0</v>
      </c>
      <c r="AL16" s="3" t="n">
        <v>183922.0</v>
      </c>
      <c r="AM16" s="3" t="n">
        <v>177161.0</v>
      </c>
      <c r="AN16" s="3" t="n">
        <v>171875.0</v>
      </c>
      <c r="AO16" s="3" t="n">
        <v>169109.0</v>
      </c>
    </row>
    <row r="17" spans="1:41" x14ac:dyDescent="0.2">
      <c r="A17" s="127"/>
      <c r="B17" s="52" t="s">
        <v>28</v>
      </c>
      <c r="C17" s="3" t="n">
        <v>289998.0</v>
      </c>
      <c r="D17" s="3" t="n">
        <v>295930.0</v>
      </c>
      <c r="E17" s="3" t="n">
        <v>298170.0</v>
      </c>
      <c r="F17" s="3" t="n">
        <v>298007.0</v>
      </c>
      <c r="G17" s="3" t="n">
        <v>296543.0</v>
      </c>
      <c r="H17" s="3" t="n">
        <v>290628.0</v>
      </c>
      <c r="I17" s="3" t="n">
        <v>282493.0</v>
      </c>
      <c r="J17" s="3" t="n">
        <v>273350.0</v>
      </c>
      <c r="K17" s="3" t="n">
        <v>266197.0</v>
      </c>
      <c r="L17" s="3" t="n">
        <v>260615.0</v>
      </c>
      <c r="M17" s="3" t="n">
        <v>254713.0</v>
      </c>
      <c r="N17" s="3" t="n">
        <v>248109.0</v>
      </c>
      <c r="O17" s="3" t="n">
        <v>240607.0</v>
      </c>
      <c r="P17" s="3" t="n">
        <v>230831.0</v>
      </c>
      <c r="Q17" s="3" t="n">
        <v>220707.0</v>
      </c>
      <c r="R17" s="3" t="n">
        <v>212261.0</v>
      </c>
      <c r="S17" s="3" t="n">
        <v>203707.0</v>
      </c>
      <c r="T17" s="3" t="n">
        <v>196122.0</v>
      </c>
      <c r="U17" s="3" t="n">
        <v>190239.0</v>
      </c>
      <c r="V17" s="3" t="n">
        <v>184899.0</v>
      </c>
      <c r="W17" s="3" t="n">
        <v>179363.0</v>
      </c>
      <c r="X17" s="3" t="n">
        <v>175236.0</v>
      </c>
      <c r="Y17" s="3" t="n">
        <v>172726.0</v>
      </c>
      <c r="Z17" s="3" t="n">
        <v>172519.0</v>
      </c>
      <c r="AA17" s="3" t="n">
        <v>174303.0</v>
      </c>
      <c r="AB17" s="3" t="n">
        <v>179533.0</v>
      </c>
      <c r="AC17" s="3" t="n">
        <v>187892.0</v>
      </c>
      <c r="AD17" s="3" t="n">
        <v>196415.0</v>
      </c>
      <c r="AE17" s="3" t="n">
        <v>203306.0</v>
      </c>
      <c r="AF17" s="3" t="n">
        <v>206534.0</v>
      </c>
      <c r="AG17" s="3" t="n">
        <v>207955.0</v>
      </c>
      <c r="AH17" s="3" t="n">
        <v>204699.0</v>
      </c>
      <c r="AI17" s="3" t="n">
        <v>201912.0</v>
      </c>
      <c r="AJ17" s="3" t="n">
        <v>198751.0</v>
      </c>
      <c r="AK17" s="3" t="n">
        <v>199097.0</v>
      </c>
      <c r="AL17" s="3" t="n">
        <v>201068.0</v>
      </c>
      <c r="AM17" s="3" t="n">
        <v>202575.0</v>
      </c>
      <c r="AN17" s="3" t="n">
        <v>201875.0</v>
      </c>
      <c r="AO17" s="3" t="n">
        <v>199120.0</v>
      </c>
    </row>
    <row r="18" spans="1:41" x14ac:dyDescent="0.2">
      <c r="A18" s="127"/>
      <c r="B18" s="52" t="s">
        <v>29</v>
      </c>
      <c r="C18" s="3" t="n">
        <v>264604.0</v>
      </c>
      <c r="D18" s="3" t="n">
        <v>270144.0</v>
      </c>
      <c r="E18" s="3" t="n">
        <v>276896.0</v>
      </c>
      <c r="F18" s="3" t="n">
        <v>281468.0</v>
      </c>
      <c r="G18" s="3" t="n">
        <v>282699.0</v>
      </c>
      <c r="H18" s="3" t="n">
        <v>287367.0</v>
      </c>
      <c r="I18" s="3" t="n">
        <v>294394.0</v>
      </c>
      <c r="J18" s="3" t="n">
        <v>297306.0</v>
      </c>
      <c r="K18" s="3" t="n">
        <v>297530.0</v>
      </c>
      <c r="L18" s="3" t="n">
        <v>296338.0</v>
      </c>
      <c r="M18" s="3" t="n">
        <v>289679.0</v>
      </c>
      <c r="N18" s="3" t="n">
        <v>280393.0</v>
      </c>
      <c r="O18" s="3" t="n">
        <v>270806.0</v>
      </c>
      <c r="P18" s="3" t="n">
        <v>263515.0</v>
      </c>
      <c r="Q18" s="3" t="n">
        <v>257888.0</v>
      </c>
      <c r="R18" s="3" t="n">
        <v>251991.0</v>
      </c>
      <c r="S18" s="3" t="n">
        <v>245448.0</v>
      </c>
      <c r="T18" s="3" t="n">
        <v>238038.0</v>
      </c>
      <c r="U18" s="3" t="n">
        <v>228413.0</v>
      </c>
      <c r="V18" s="3" t="n">
        <v>218452.0</v>
      </c>
      <c r="W18" s="3" t="n">
        <v>210142.0</v>
      </c>
      <c r="X18" s="3" t="n">
        <v>201750.0</v>
      </c>
      <c r="Y18" s="3" t="n">
        <v>194303.0</v>
      </c>
      <c r="Z18" s="3" t="n">
        <v>188529.0</v>
      </c>
      <c r="AA18" s="3" t="n">
        <v>183309.0</v>
      </c>
      <c r="AB18" s="3" t="n">
        <v>177928.0</v>
      </c>
      <c r="AC18" s="3" t="n">
        <v>173907.0</v>
      </c>
      <c r="AD18" s="3" t="n">
        <v>171491.0</v>
      </c>
      <c r="AE18" s="3" t="n">
        <v>171326.0</v>
      </c>
      <c r="AF18" s="3" t="n">
        <v>173120.0</v>
      </c>
      <c r="AG18" s="3" t="n">
        <v>178323.0</v>
      </c>
      <c r="AH18" s="3" t="n">
        <v>186635.0</v>
      </c>
      <c r="AI18" s="3" t="n">
        <v>195108.0</v>
      </c>
      <c r="AJ18" s="3" t="n">
        <v>201954.0</v>
      </c>
      <c r="AK18" s="3" t="n">
        <v>205177.0</v>
      </c>
      <c r="AL18" s="3" t="n">
        <v>206608.0</v>
      </c>
      <c r="AM18" s="3" t="n">
        <v>203390.0</v>
      </c>
      <c r="AN18" s="3" t="n">
        <v>200632.0</v>
      </c>
      <c r="AO18" s="3" t="n">
        <v>197514.0</v>
      </c>
    </row>
    <row r="19" spans="1:41" x14ac:dyDescent="0.2">
      <c r="A19" s="127"/>
      <c r="B19" s="52" t="s">
        <v>30</v>
      </c>
      <c r="C19" s="3" t="n">
        <v>216045.0</v>
      </c>
      <c r="D19" s="3" t="n">
        <v>224246.0</v>
      </c>
      <c r="E19" s="3" t="n">
        <v>232959.0</v>
      </c>
      <c r="F19" s="3" t="n">
        <v>242437.0</v>
      </c>
      <c r="G19" s="3" t="n">
        <v>251952.0</v>
      </c>
      <c r="H19" s="3" t="n">
        <v>259983.0</v>
      </c>
      <c r="I19" s="3" t="n">
        <v>266254.0</v>
      </c>
      <c r="J19" s="3" t="n">
        <v>273373.0</v>
      </c>
      <c r="K19" s="3" t="n">
        <v>278182.0</v>
      </c>
      <c r="L19" s="3" t="n">
        <v>279631.0</v>
      </c>
      <c r="M19" s="3" t="n">
        <v>283761.0</v>
      </c>
      <c r="N19" s="3" t="n">
        <v>289871.0</v>
      </c>
      <c r="O19" s="3" t="n">
        <v>292350.0</v>
      </c>
      <c r="P19" s="3" t="n">
        <v>292431.0</v>
      </c>
      <c r="Q19" s="3" t="n">
        <v>291221.0</v>
      </c>
      <c r="R19" s="3" t="n">
        <v>284678.0</v>
      </c>
      <c r="S19" s="3" t="n">
        <v>275593.0</v>
      </c>
      <c r="T19" s="3" t="n">
        <v>266240.0</v>
      </c>
      <c r="U19" s="3" t="n">
        <v>259118.0</v>
      </c>
      <c r="V19" s="3" t="n">
        <v>253629.0</v>
      </c>
      <c r="W19" s="3" t="n">
        <v>247854.0</v>
      </c>
      <c r="X19" s="3" t="n">
        <v>241449.0</v>
      </c>
      <c r="Y19" s="3" t="n">
        <v>234226.0</v>
      </c>
      <c r="Z19" s="3" t="n">
        <v>224820.0</v>
      </c>
      <c r="AA19" s="3" t="n">
        <v>215102.0</v>
      </c>
      <c r="AB19" s="3" t="n">
        <v>206989.0</v>
      </c>
      <c r="AC19" s="3" t="n">
        <v>198811.0</v>
      </c>
      <c r="AD19" s="3" t="n">
        <v>191542.0</v>
      </c>
      <c r="AE19" s="3" t="n">
        <v>185902.0</v>
      </c>
      <c r="AF19" s="3" t="n">
        <v>180829.0</v>
      </c>
      <c r="AG19" s="3" t="n">
        <v>175594.0</v>
      </c>
      <c r="AH19" s="3" t="n">
        <v>171695.0</v>
      </c>
      <c r="AI19" s="3" t="n">
        <v>169383.0</v>
      </c>
      <c r="AJ19" s="3" t="n">
        <v>169292.0</v>
      </c>
      <c r="AK19" s="3" t="n">
        <v>171109.0</v>
      </c>
      <c r="AL19" s="3" t="n">
        <v>176290.0</v>
      </c>
      <c r="AM19" s="3" t="n">
        <v>184530.0</v>
      </c>
      <c r="AN19" s="3" t="n">
        <v>192919.0</v>
      </c>
      <c r="AO19" s="3" t="n">
        <v>199702.0</v>
      </c>
    </row>
    <row r="20" spans="1:41" x14ac:dyDescent="0.2">
      <c r="A20" s="127"/>
      <c r="B20" s="52" t="s">
        <v>31</v>
      </c>
      <c r="C20" s="3" t="n">
        <v>195485.0</v>
      </c>
      <c r="D20" s="3" t="n">
        <v>193421.0</v>
      </c>
      <c r="E20" s="3" t="n">
        <v>193845.0</v>
      </c>
      <c r="F20" s="3" t="n">
        <v>196694.0</v>
      </c>
      <c r="G20" s="3" t="n">
        <v>201897.0</v>
      </c>
      <c r="H20" s="3" t="n">
        <v>209768.0</v>
      </c>
      <c r="I20" s="3" t="n">
        <v>218381.0</v>
      </c>
      <c r="J20" s="3" t="n">
        <v>227233.0</v>
      </c>
      <c r="K20" s="3" t="n">
        <v>236662.0</v>
      </c>
      <c r="L20" s="3" t="n">
        <v>246111.0</v>
      </c>
      <c r="M20" s="3" t="n">
        <v>253576.0</v>
      </c>
      <c r="N20" s="3" t="n">
        <v>259136.0</v>
      </c>
      <c r="O20" s="3" t="n">
        <v>265840.0</v>
      </c>
      <c r="P20" s="3" t="n">
        <v>270514.0</v>
      </c>
      <c r="Q20" s="3" t="n">
        <v>271962.0</v>
      </c>
      <c r="R20" s="3" t="n">
        <v>276060.0</v>
      </c>
      <c r="S20" s="3" t="n">
        <v>282113.0</v>
      </c>
      <c r="T20" s="3" t="n">
        <v>284647.0</v>
      </c>
      <c r="U20" s="3" t="n">
        <v>284815.0</v>
      </c>
      <c r="V20" s="3" t="n">
        <v>283693.0</v>
      </c>
      <c r="W20" s="3" t="n">
        <v>277374.0</v>
      </c>
      <c r="X20" s="3" t="n">
        <v>268594.0</v>
      </c>
      <c r="Y20" s="3" t="n">
        <v>259595.0</v>
      </c>
      <c r="Z20" s="3" t="n">
        <v>252760.0</v>
      </c>
      <c r="AA20" s="3" t="n">
        <v>247484.0</v>
      </c>
      <c r="AB20" s="3" t="n">
        <v>241963.0</v>
      </c>
      <c r="AC20" s="3" t="n">
        <v>235794.0</v>
      </c>
      <c r="AD20" s="3" t="n">
        <v>228767.0</v>
      </c>
      <c r="AE20" s="3" t="n">
        <v>219663.0</v>
      </c>
      <c r="AF20" s="3" t="n">
        <v>210243.0</v>
      </c>
      <c r="AG20" s="3" t="n">
        <v>202408.0</v>
      </c>
      <c r="AH20" s="3" t="n">
        <v>194490.0</v>
      </c>
      <c r="AI20" s="3" t="n">
        <v>187476.0</v>
      </c>
      <c r="AJ20" s="3" t="n">
        <v>182051.0</v>
      </c>
      <c r="AK20" s="3" t="n">
        <v>177184.0</v>
      </c>
      <c r="AL20" s="3" t="n">
        <v>172156.0</v>
      </c>
      <c r="AM20" s="3" t="n">
        <v>168428.0</v>
      </c>
      <c r="AN20" s="3" t="n">
        <v>166236.0</v>
      </c>
      <c r="AO20" s="3" t="n">
        <v>166220.0</v>
      </c>
    </row>
    <row r="21" spans="1:41" x14ac:dyDescent="0.2">
      <c r="A21" s="127"/>
      <c r="B21" s="52" t="s">
        <v>32</v>
      </c>
      <c r="C21" s="3" t="n">
        <v>213396.0</v>
      </c>
      <c r="D21" s="3" t="n">
        <v>205617.0</v>
      </c>
      <c r="E21" s="3" t="n">
        <v>197767.0</v>
      </c>
      <c r="F21" s="3" t="n">
        <v>192306.0</v>
      </c>
      <c r="G21" s="3" t="n">
        <v>188517.0</v>
      </c>
      <c r="H21" s="3" t="n">
        <v>186410.0</v>
      </c>
      <c r="I21" s="3" t="n">
        <v>185152.0</v>
      </c>
      <c r="J21" s="3" t="n">
        <v>185910.0</v>
      </c>
      <c r="K21" s="3" t="n">
        <v>188807.0</v>
      </c>
      <c r="L21" s="3" t="n">
        <v>193913.0</v>
      </c>
      <c r="M21" s="3" t="n">
        <v>201171.0</v>
      </c>
      <c r="N21" s="3" t="n">
        <v>209034.0</v>
      </c>
      <c r="O21" s="3" t="n">
        <v>217411.0</v>
      </c>
      <c r="P21" s="3" t="n">
        <v>226510.0</v>
      </c>
      <c r="Q21" s="3" t="n">
        <v>235662.0</v>
      </c>
      <c r="R21" s="3" t="n">
        <v>242935.0</v>
      </c>
      <c r="S21" s="3" t="n">
        <v>248400.0</v>
      </c>
      <c r="T21" s="3" t="n">
        <v>254945.0</v>
      </c>
      <c r="U21" s="3" t="n">
        <v>259567.0</v>
      </c>
      <c r="V21" s="3" t="n">
        <v>261099.0</v>
      </c>
      <c r="W21" s="3" t="n">
        <v>265184.0</v>
      </c>
      <c r="X21" s="3" t="n">
        <v>271179.0</v>
      </c>
      <c r="Y21" s="3" t="n">
        <v>273793.0</v>
      </c>
      <c r="Z21" s="3" t="n">
        <v>274083.0</v>
      </c>
      <c r="AA21" s="3" t="n">
        <v>273111.0</v>
      </c>
      <c r="AB21" s="3" t="n">
        <v>267119.0</v>
      </c>
      <c r="AC21" s="3" t="n">
        <v>258807.0</v>
      </c>
      <c r="AD21" s="3" t="n">
        <v>250280.0</v>
      </c>
      <c r="AE21" s="3" t="n">
        <v>243831.0</v>
      </c>
      <c r="AF21" s="3" t="n">
        <v>238858.0</v>
      </c>
      <c r="AG21" s="3" t="n">
        <v>233589.0</v>
      </c>
      <c r="AH21" s="3" t="n">
        <v>227756.0</v>
      </c>
      <c r="AI21" s="3" t="n">
        <v>221084.0</v>
      </c>
      <c r="AJ21" s="3" t="n">
        <v>212420.0</v>
      </c>
      <c r="AK21" s="3" t="n">
        <v>203436.0</v>
      </c>
      <c r="AL21" s="3" t="n">
        <v>195974.0</v>
      </c>
      <c r="AM21" s="3" t="n">
        <v>188440.0</v>
      </c>
      <c r="AN21" s="3" t="n">
        <v>181765.0</v>
      </c>
      <c r="AO21" s="3" t="n">
        <v>176639.0</v>
      </c>
    </row>
    <row r="22" spans="1:41" x14ac:dyDescent="0.2">
      <c r="A22" s="127"/>
      <c r="B22" s="53" t="s">
        <v>33</v>
      </c>
      <c r="C22" s="3" t="n">
        <v>219755.0</v>
      </c>
      <c r="D22" s="3" t="n">
        <v>220120.0</v>
      </c>
      <c r="E22" s="3" t="n">
        <v>219349.0</v>
      </c>
      <c r="F22" s="3" t="n">
        <v>214233.0</v>
      </c>
      <c r="G22" s="3" t="n">
        <v>207115.0</v>
      </c>
      <c r="H22" s="3" t="n">
        <v>198162.0</v>
      </c>
      <c r="I22" s="3" t="n">
        <v>191599.0</v>
      </c>
      <c r="J22" s="3" t="n">
        <v>184808.0</v>
      </c>
      <c r="K22" s="3" t="n">
        <v>180059.0</v>
      </c>
      <c r="L22" s="3" t="n">
        <v>176786.0</v>
      </c>
      <c r="M22" s="3" t="n">
        <v>174745.0</v>
      </c>
      <c r="N22" s="3" t="n">
        <v>173310.0</v>
      </c>
      <c r="O22" s="3" t="n">
        <v>173975.0</v>
      </c>
      <c r="P22" s="3" t="n">
        <v>176783.0</v>
      </c>
      <c r="Q22" s="3" t="n">
        <v>181695.0</v>
      </c>
      <c r="R22" s="3" t="n">
        <v>188651.0</v>
      </c>
      <c r="S22" s="3" t="n">
        <v>196174.0</v>
      </c>
      <c r="T22" s="3" t="n">
        <v>204213.0</v>
      </c>
      <c r="U22" s="3" t="n">
        <v>212946.0</v>
      </c>
      <c r="V22" s="3" t="n">
        <v>221748.0</v>
      </c>
      <c r="W22" s="3" t="n">
        <v>228775.0</v>
      </c>
      <c r="X22" s="3" t="n">
        <v>234135.0</v>
      </c>
      <c r="Y22" s="3" t="n">
        <v>240525.0</v>
      </c>
      <c r="Z22" s="3" t="n">
        <v>245094.0</v>
      </c>
      <c r="AA22" s="3" t="n">
        <v>246756.0</v>
      </c>
      <c r="AB22" s="3" t="n">
        <v>250874.0</v>
      </c>
      <c r="AC22" s="3" t="n">
        <v>256771.0</v>
      </c>
      <c r="AD22" s="3" t="n">
        <v>259438.0</v>
      </c>
      <c r="AE22" s="3" t="n">
        <v>259904.0</v>
      </c>
      <c r="AF22" s="3" t="n">
        <v>259121.0</v>
      </c>
      <c r="AG22" s="3" t="n">
        <v>253605.0</v>
      </c>
      <c r="AH22" s="3" t="n">
        <v>245896.0</v>
      </c>
      <c r="AI22" s="3" t="n">
        <v>238005.0</v>
      </c>
      <c r="AJ22" s="3" t="n">
        <v>232098.0</v>
      </c>
      <c r="AK22" s="3" t="n">
        <v>227520.0</v>
      </c>
      <c r="AL22" s="3" t="n">
        <v>222669.0</v>
      </c>
      <c r="AM22" s="3" t="n">
        <v>217229.0</v>
      </c>
      <c r="AN22" s="3" t="n">
        <v>211013.0</v>
      </c>
      <c r="AO22" s="3" t="n">
        <v>202898.0</v>
      </c>
    </row>
    <row r="23" spans="1:41" x14ac:dyDescent="0.2">
      <c r="A23" s="127"/>
      <c r="B23" s="52" t="s">
        <v>34</v>
      </c>
      <c r="C23" s="3" t="n">
        <v>183213.0</v>
      </c>
      <c r="D23" s="3" t="n">
        <v>186112.0</v>
      </c>
      <c r="E23" s="3" t="n">
        <v>188564.0</v>
      </c>
      <c r="F23" s="3" t="n">
        <v>192205.0</v>
      </c>
      <c r="G23" s="3" t="n">
        <v>194785.0</v>
      </c>
      <c r="H23" s="3" t="n">
        <v>197900.0</v>
      </c>
      <c r="I23" s="3" t="n">
        <v>198744.0</v>
      </c>
      <c r="J23" s="3" t="n">
        <v>198440.0</v>
      </c>
      <c r="K23" s="3" t="n">
        <v>194116.0</v>
      </c>
      <c r="L23" s="3" t="n">
        <v>188004.0</v>
      </c>
      <c r="M23" s="3" t="n">
        <v>179984.0</v>
      </c>
      <c r="N23" s="3" t="n">
        <v>174110.0</v>
      </c>
      <c r="O23" s="3" t="n">
        <v>168069.0</v>
      </c>
      <c r="P23" s="3" t="n">
        <v>163924.0</v>
      </c>
      <c r="Q23" s="3" t="n">
        <v>161140.0</v>
      </c>
      <c r="R23" s="3" t="n">
        <v>159495.0</v>
      </c>
      <c r="S23" s="3" t="n">
        <v>158419.0</v>
      </c>
      <c r="T23" s="3" t="n">
        <v>159247.0</v>
      </c>
      <c r="U23" s="3" t="n">
        <v>162037.0</v>
      </c>
      <c r="V23" s="3" t="n">
        <v>166742.0</v>
      </c>
      <c r="W23" s="3" t="n">
        <v>173354.0</v>
      </c>
      <c r="X23" s="3" t="n">
        <v>180442.0</v>
      </c>
      <c r="Y23" s="3" t="n">
        <v>188058.0</v>
      </c>
      <c r="Z23" s="3" t="n">
        <v>196332.0</v>
      </c>
      <c r="AA23" s="3" t="n">
        <v>204665.0</v>
      </c>
      <c r="AB23" s="3" t="n">
        <v>211400.0</v>
      </c>
      <c r="AC23" s="3" t="n">
        <v>216608.0</v>
      </c>
      <c r="AD23" s="3" t="n">
        <v>222762.0</v>
      </c>
      <c r="AE23" s="3" t="n">
        <v>227255.0</v>
      </c>
      <c r="AF23" s="3" t="n">
        <v>229082.0</v>
      </c>
      <c r="AG23" s="3" t="n">
        <v>233156.0</v>
      </c>
      <c r="AH23" s="3" t="n">
        <v>238908.0</v>
      </c>
      <c r="AI23" s="3" t="n">
        <v>241678.0</v>
      </c>
      <c r="AJ23" s="3" t="n">
        <v>242369.0</v>
      </c>
      <c r="AK23" s="3" t="n">
        <v>241845.0</v>
      </c>
      <c r="AL23" s="3" t="n">
        <v>236867.0</v>
      </c>
      <c r="AM23" s="3" t="n">
        <v>229898.0</v>
      </c>
      <c r="AN23" s="3" t="n">
        <v>222745.0</v>
      </c>
      <c r="AO23" s="3" t="n">
        <v>217481.0</v>
      </c>
    </row>
    <row r="24" spans="1:41" x14ac:dyDescent="0.2">
      <c r="A24" s="127"/>
      <c r="B24" s="52" t="s">
        <v>35</v>
      </c>
      <c r="C24" s="3" t="n">
        <v>106309.0</v>
      </c>
      <c r="D24" s="3" t="n">
        <v>121697.0</v>
      </c>
      <c r="E24" s="3" t="n">
        <v>137282.0</v>
      </c>
      <c r="F24" s="3" t="n">
        <v>150820.0</v>
      </c>
      <c r="G24" s="3" t="n">
        <v>152972.0</v>
      </c>
      <c r="H24" s="3" t="n">
        <v>157069.0</v>
      </c>
      <c r="I24" s="3" t="n">
        <v>160135.0</v>
      </c>
      <c r="J24" s="3" t="n">
        <v>162690.0</v>
      </c>
      <c r="K24" s="3" t="n">
        <v>166250.0</v>
      </c>
      <c r="L24" s="3" t="n">
        <v>168858.0</v>
      </c>
      <c r="M24" s="3" t="n">
        <v>171809.0</v>
      </c>
      <c r="N24" s="3" t="n">
        <v>172753.0</v>
      </c>
      <c r="O24" s="3" t="n">
        <v>172668.0</v>
      </c>
      <c r="P24" s="3" t="n">
        <v>169129.0</v>
      </c>
      <c r="Q24" s="3" t="n">
        <v>164088.0</v>
      </c>
      <c r="R24" s="3" t="n">
        <v>157381.0</v>
      </c>
      <c r="S24" s="3" t="n">
        <v>152528.0</v>
      </c>
      <c r="T24" s="3" t="n">
        <v>147568.0</v>
      </c>
      <c r="U24" s="3" t="n">
        <v>144166.0</v>
      </c>
      <c r="V24" s="3" t="n">
        <v>141982.0</v>
      </c>
      <c r="W24" s="3" t="n">
        <v>140760.0</v>
      </c>
      <c r="X24" s="3" t="n">
        <v>140080.0</v>
      </c>
      <c r="Y24" s="3" t="n">
        <v>141115.0</v>
      </c>
      <c r="Z24" s="3" t="n">
        <v>143845.0</v>
      </c>
      <c r="AA24" s="3" t="n">
        <v>148271.0</v>
      </c>
      <c r="AB24" s="3" t="n">
        <v>154406.0</v>
      </c>
      <c r="AC24" s="3" t="n">
        <v>160981.0</v>
      </c>
      <c r="AD24" s="3" t="n">
        <v>168042.0</v>
      </c>
      <c r="AE24" s="3" t="n">
        <v>175740.0</v>
      </c>
      <c r="AF24" s="3" t="n">
        <v>183452.0</v>
      </c>
      <c r="AG24" s="3" t="n">
        <v>189747.0</v>
      </c>
      <c r="AH24" s="3" t="n">
        <v>194689.0</v>
      </c>
      <c r="AI24" s="3" t="n">
        <v>200481.0</v>
      </c>
      <c r="AJ24" s="3" t="n">
        <v>204868.0</v>
      </c>
      <c r="AK24" s="3" t="n">
        <v>206826.0</v>
      </c>
      <c r="AL24" s="3" t="n">
        <v>210848.0</v>
      </c>
      <c r="AM24" s="3" t="n">
        <v>216384.0</v>
      </c>
      <c r="AN24" s="3" t="n">
        <v>219264.0</v>
      </c>
      <c r="AO24" s="3" t="n">
        <v>220116.0</v>
      </c>
    </row>
    <row r="25" spans="1:41" x14ac:dyDescent="0.2">
      <c r="A25" s="127"/>
      <c r="B25" s="52" t="s">
        <v>36</v>
      </c>
      <c r="C25" s="3" t="n">
        <v>63132.0</v>
      </c>
      <c r="D25" s="3" t="n">
        <v>61497.0</v>
      </c>
      <c r="E25" s="3" t="n">
        <v>59613.0</v>
      </c>
      <c r="F25" s="3" t="n">
        <v>60076.0</v>
      </c>
      <c r="G25" s="3" t="n">
        <v>73065.0</v>
      </c>
      <c r="H25" s="3" t="n">
        <v>84331.0</v>
      </c>
      <c r="I25" s="3" t="n">
        <v>96841.0</v>
      </c>
      <c r="J25" s="3" t="n">
        <v>109140.0</v>
      </c>
      <c r="K25" s="3" t="n">
        <v>119708.0</v>
      </c>
      <c r="L25" s="3" t="n">
        <v>121903.0</v>
      </c>
      <c r="M25" s="3" t="n">
        <v>125502.0</v>
      </c>
      <c r="N25" s="3" t="n">
        <v>128361.0</v>
      </c>
      <c r="O25" s="3" t="n">
        <v>130745.0</v>
      </c>
      <c r="P25" s="3" t="n">
        <v>133967.0</v>
      </c>
      <c r="Q25" s="3" t="n">
        <v>136431.0</v>
      </c>
      <c r="R25" s="3" t="n">
        <v>139233.0</v>
      </c>
      <c r="S25" s="3" t="n">
        <v>140321.0</v>
      </c>
      <c r="T25" s="3" t="n">
        <v>140548.0</v>
      </c>
      <c r="U25" s="3" t="n">
        <v>137942.0</v>
      </c>
      <c r="V25" s="3" t="n">
        <v>134096.0</v>
      </c>
      <c r="W25" s="3" t="n">
        <v>128948.0</v>
      </c>
      <c r="X25" s="3" t="n">
        <v>125395.0</v>
      </c>
      <c r="Y25" s="3" t="n">
        <v>121735.0</v>
      </c>
      <c r="Z25" s="3" t="n">
        <v>119265.0</v>
      </c>
      <c r="AA25" s="3" t="n">
        <v>117734.0</v>
      </c>
      <c r="AB25" s="3" t="n">
        <v>117003.0</v>
      </c>
      <c r="AC25" s="3" t="n">
        <v>116802.0</v>
      </c>
      <c r="AD25" s="3" t="n">
        <v>117989.0</v>
      </c>
      <c r="AE25" s="3" t="n">
        <v>120612.0</v>
      </c>
      <c r="AF25" s="3" t="n">
        <v>124677.0</v>
      </c>
      <c r="AG25" s="3" t="n">
        <v>130161.0</v>
      </c>
      <c r="AH25" s="3" t="n">
        <v>136012.0</v>
      </c>
      <c r="AI25" s="3" t="n">
        <v>142269.0</v>
      </c>
      <c r="AJ25" s="3" t="n">
        <v>149167.0</v>
      </c>
      <c r="AK25" s="3" t="n">
        <v>156062.0</v>
      </c>
      <c r="AL25" s="3" t="n">
        <v>161754.0</v>
      </c>
      <c r="AM25" s="3" t="n">
        <v>166304.0</v>
      </c>
      <c r="AN25" s="3" t="n">
        <v>171591.0</v>
      </c>
      <c r="AO25" s="3" t="n">
        <v>175733.0</v>
      </c>
    </row>
    <row r="26" spans="1:41" x14ac:dyDescent="0.2">
      <c r="A26" s="127"/>
      <c r="B26" s="52" t="s">
        <v>37</v>
      </c>
      <c r="C26" s="3" t="n">
        <v>40703.0</v>
      </c>
      <c r="D26" s="3" t="n">
        <v>41415.0</v>
      </c>
      <c r="E26" s="3" t="n">
        <v>42157.0</v>
      </c>
      <c r="F26" s="3" t="n">
        <v>42244.0</v>
      </c>
      <c r="G26" s="3" t="n">
        <v>41710.0</v>
      </c>
      <c r="H26" s="3" t="n">
        <v>41135.0</v>
      </c>
      <c r="I26" s="3" t="n">
        <v>40438.0</v>
      </c>
      <c r="J26" s="3" t="n">
        <v>39497.0</v>
      </c>
      <c r="K26" s="3" t="n">
        <v>40122.0</v>
      </c>
      <c r="L26" s="3" t="n">
        <v>49689.0</v>
      </c>
      <c r="M26" s="3" t="n">
        <v>57647.0</v>
      </c>
      <c r="N26" s="3" t="n">
        <v>66303.0</v>
      </c>
      <c r="O26" s="3" t="n">
        <v>74589.0</v>
      </c>
      <c r="P26" s="3" t="n">
        <v>81628.0</v>
      </c>
      <c r="Q26" s="3" t="n">
        <v>83667.0</v>
      </c>
      <c r="R26" s="3" t="n">
        <v>86541.0</v>
      </c>
      <c r="S26" s="3" t="n">
        <v>88966.0</v>
      </c>
      <c r="T26" s="3" t="n">
        <v>91071.0</v>
      </c>
      <c r="U26" s="3" t="n">
        <v>93779.0</v>
      </c>
      <c r="V26" s="3" t="n">
        <v>95961.0</v>
      </c>
      <c r="W26" s="3" t="n">
        <v>98417.0</v>
      </c>
      <c r="X26" s="3" t="n">
        <v>99574.0</v>
      </c>
      <c r="Y26" s="3" t="n">
        <v>100104.0</v>
      </c>
      <c r="Z26" s="3" t="n">
        <v>98551.0</v>
      </c>
      <c r="AA26" s="3" t="n">
        <v>96107.0</v>
      </c>
      <c r="AB26" s="3" t="n">
        <v>92846.0</v>
      </c>
      <c r="AC26" s="3" t="n">
        <v>90782.0</v>
      </c>
      <c r="AD26" s="3" t="n">
        <v>88576.0</v>
      </c>
      <c r="AE26" s="3" t="n">
        <v>87171.0</v>
      </c>
      <c r="AF26" s="3" t="n">
        <v>86400.0</v>
      </c>
      <c r="AG26" s="3" t="n">
        <v>86204.0</v>
      </c>
      <c r="AH26" s="3" t="n">
        <v>86533.0</v>
      </c>
      <c r="AI26" s="3" t="n">
        <v>87856.0</v>
      </c>
      <c r="AJ26" s="3" t="n">
        <v>90253.0</v>
      </c>
      <c r="AK26" s="3" t="n">
        <v>93728.0</v>
      </c>
      <c r="AL26" s="3" t="n">
        <v>98281.0</v>
      </c>
      <c r="AM26" s="3" t="n">
        <v>103134.0</v>
      </c>
      <c r="AN26" s="3" t="n">
        <v>108299.0</v>
      </c>
      <c r="AO26" s="3" t="n">
        <v>113964.0</v>
      </c>
    </row>
    <row r="27" spans="1:41" x14ac:dyDescent="0.2">
      <c r="A27" s="127"/>
      <c r="B27" s="55" t="s">
        <v>69</v>
      </c>
      <c r="C27" s="3" t="n">
        <v>16618.0</v>
      </c>
      <c r="D27" s="3" t="n">
        <v>17437.0</v>
      </c>
      <c r="E27" s="3" t="n">
        <v>18302.0</v>
      </c>
      <c r="F27" s="3" t="n">
        <v>18992.0</v>
      </c>
      <c r="G27" s="3" t="n">
        <v>19683.0</v>
      </c>
      <c r="H27" s="3" t="n">
        <v>20296.0</v>
      </c>
      <c r="I27" s="3" t="n">
        <v>20920.0</v>
      </c>
      <c r="J27" s="3" t="n">
        <v>21492.0</v>
      </c>
      <c r="K27" s="3" t="n">
        <v>21715.0</v>
      </c>
      <c r="L27" s="3" t="n">
        <v>21592.0</v>
      </c>
      <c r="M27" s="3" t="n">
        <v>21435.0</v>
      </c>
      <c r="N27" s="3" t="n">
        <v>21255.0</v>
      </c>
      <c r="O27" s="3" t="n">
        <v>20951.0</v>
      </c>
      <c r="P27" s="3" t="n">
        <v>21514.0</v>
      </c>
      <c r="Q27" s="3" t="n">
        <v>27357.0</v>
      </c>
      <c r="R27" s="3" t="n">
        <v>32022.0</v>
      </c>
      <c r="S27" s="3" t="n">
        <v>36974.0</v>
      </c>
      <c r="T27" s="3" t="n">
        <v>41596.0</v>
      </c>
      <c r="U27" s="3" t="n">
        <v>45492.0</v>
      </c>
      <c r="V27" s="3" t="n">
        <v>47077.0</v>
      </c>
      <c r="W27" s="3" t="n">
        <v>49071.0</v>
      </c>
      <c r="X27" s="3" t="n">
        <v>50853.0</v>
      </c>
      <c r="Y27" s="3" t="n">
        <v>52460.0</v>
      </c>
      <c r="Z27" s="3" t="n">
        <v>54419.0</v>
      </c>
      <c r="AA27" s="3" t="n">
        <v>56035.0</v>
      </c>
      <c r="AB27" s="3" t="n">
        <v>57922.0</v>
      </c>
      <c r="AC27" s="3" t="n">
        <v>58981.0</v>
      </c>
      <c r="AD27" s="3" t="n">
        <v>59590.0</v>
      </c>
      <c r="AE27" s="3" t="n">
        <v>58989.0</v>
      </c>
      <c r="AF27" s="3" t="n">
        <v>57833.0</v>
      </c>
      <c r="AG27" s="3" t="n">
        <v>56201.0</v>
      </c>
      <c r="AH27" s="3" t="n">
        <v>55394.0</v>
      </c>
      <c r="AI27" s="3" t="n">
        <v>54471.0</v>
      </c>
      <c r="AJ27" s="3" t="n">
        <v>54023.0</v>
      </c>
      <c r="AK27" s="3" t="n">
        <v>53903.0</v>
      </c>
      <c r="AL27" s="3" t="n">
        <v>54129.0</v>
      </c>
      <c r="AM27" s="3" t="n">
        <v>54769.0</v>
      </c>
      <c r="AN27" s="3" t="n">
        <v>56022.0</v>
      </c>
      <c r="AO27" s="3" t="n">
        <v>57919.0</v>
      </c>
    </row>
    <row r="28" spans="1:41" x14ac:dyDescent="0.2">
      <c r="A28" s="127"/>
      <c r="B28" s="55" t="s">
        <v>70</v>
      </c>
      <c r="C28" s="3" t="n">
        <v>3781.0</v>
      </c>
      <c r="D28" s="3" t="n">
        <v>4057.0</v>
      </c>
      <c r="E28" s="3" t="n">
        <v>4301.0</v>
      </c>
      <c r="F28" s="3" t="n">
        <v>4695.0</v>
      </c>
      <c r="G28" s="3" t="n">
        <v>5197.0</v>
      </c>
      <c r="H28" s="3" t="n">
        <v>5622.0</v>
      </c>
      <c r="I28" s="3" t="n">
        <v>6015.0</v>
      </c>
      <c r="J28" s="3" t="n">
        <v>6391.0</v>
      </c>
      <c r="K28" s="3" t="n">
        <v>6717.0</v>
      </c>
      <c r="L28" s="3" t="n">
        <v>7062.0</v>
      </c>
      <c r="M28" s="3" t="n">
        <v>7392.0</v>
      </c>
      <c r="N28" s="3" t="n">
        <v>7712.0</v>
      </c>
      <c r="O28" s="3" t="n">
        <v>8022.0</v>
      </c>
      <c r="P28" s="3" t="n">
        <v>8182.0</v>
      </c>
      <c r="Q28" s="3" t="n">
        <v>8206.0</v>
      </c>
      <c r="R28" s="3" t="n">
        <v>8239.0</v>
      </c>
      <c r="S28" s="3" t="n">
        <v>8270.0</v>
      </c>
      <c r="T28" s="3" t="n">
        <v>8269.0</v>
      </c>
      <c r="U28" s="3" t="n">
        <v>8639.0</v>
      </c>
      <c r="V28" s="3" t="n">
        <v>11405.0</v>
      </c>
      <c r="W28" s="3" t="n">
        <v>13508.0</v>
      </c>
      <c r="X28" s="3" t="n">
        <v>15697.0</v>
      </c>
      <c r="Y28" s="3" t="n">
        <v>17689.0</v>
      </c>
      <c r="Z28" s="3" t="n">
        <v>19361.0</v>
      </c>
      <c r="AA28" s="3" t="n">
        <v>20294.0</v>
      </c>
      <c r="AB28" s="3" t="n">
        <v>21385.0</v>
      </c>
      <c r="AC28" s="3" t="n">
        <v>22427.0</v>
      </c>
      <c r="AD28" s="3" t="n">
        <v>23351.0</v>
      </c>
      <c r="AE28" s="3" t="n">
        <v>24487.0</v>
      </c>
      <c r="AF28" s="3" t="n">
        <v>25456.0</v>
      </c>
      <c r="AG28" s="3" t="n">
        <v>26555.0</v>
      </c>
      <c r="AH28" s="3" t="n">
        <v>27297.0</v>
      </c>
      <c r="AI28" s="3" t="n">
        <v>27791.0</v>
      </c>
      <c r="AJ28" s="3" t="n">
        <v>27732.0</v>
      </c>
      <c r="AK28" s="3" t="n">
        <v>27404.0</v>
      </c>
      <c r="AL28" s="3" t="n">
        <v>26916.0</v>
      </c>
      <c r="AM28" s="3" t="n">
        <v>26857.0</v>
      </c>
      <c r="AN28" s="3" t="n">
        <v>26717.0</v>
      </c>
      <c r="AO28" s="3" t="n">
        <v>26738.0</v>
      </c>
    </row>
    <row r="29" spans="1:41" x14ac:dyDescent="0.2">
      <c r="A29" s="128"/>
      <c r="B29" s="54" t="s">
        <v>68</v>
      </c>
      <c r="C29" s="4" t="n">
        <v>576.0</v>
      </c>
      <c r="D29" s="4" t="n">
        <v>609.0</v>
      </c>
      <c r="E29" s="4" t="n">
        <v>646.0</v>
      </c>
      <c r="F29" s="4" t="n">
        <v>692.0</v>
      </c>
      <c r="G29" s="4" t="n">
        <v>726.0</v>
      </c>
      <c r="H29" s="4" t="n">
        <v>783.0</v>
      </c>
      <c r="I29" s="4" t="n">
        <v>870.0</v>
      </c>
      <c r="J29" s="4" t="n">
        <v>943.0</v>
      </c>
      <c r="K29" s="4" t="n">
        <v>1060.0</v>
      </c>
      <c r="L29" s="4" t="n">
        <v>1193.0</v>
      </c>
      <c r="M29" s="4" t="n">
        <v>1296.0</v>
      </c>
      <c r="N29" s="4" t="n">
        <v>1421.0</v>
      </c>
      <c r="O29" s="4" t="n">
        <v>1547.0</v>
      </c>
      <c r="P29" s="4" t="n">
        <v>1665.0</v>
      </c>
      <c r="Q29" s="4" t="n">
        <v>1785.0</v>
      </c>
      <c r="R29" s="4" t="n">
        <v>1906.0</v>
      </c>
      <c r="S29" s="4" t="n">
        <v>2019.0</v>
      </c>
      <c r="T29" s="4" t="n">
        <v>2149.0</v>
      </c>
      <c r="U29" s="4" t="n">
        <v>2244.0</v>
      </c>
      <c r="V29" s="4" t="n">
        <v>2297.0</v>
      </c>
      <c r="W29" s="4" t="n">
        <v>2351.0</v>
      </c>
      <c r="X29" s="4" t="n">
        <v>2421.0</v>
      </c>
      <c r="Y29" s="4" t="n">
        <v>2488.0</v>
      </c>
      <c r="Z29" s="4" t="n">
        <v>2661.0</v>
      </c>
      <c r="AA29" s="4" t="n">
        <v>3545.0</v>
      </c>
      <c r="AB29" s="4" t="n">
        <v>4178.0</v>
      </c>
      <c r="AC29" s="4" t="n">
        <v>4830.0</v>
      </c>
      <c r="AD29" s="4" t="n">
        <v>5406.0</v>
      </c>
      <c r="AE29" s="4" t="n">
        <v>5937.0</v>
      </c>
      <c r="AF29" s="4" t="n">
        <v>6478.0</v>
      </c>
      <c r="AG29" s="4" t="n">
        <v>7004.0</v>
      </c>
      <c r="AH29" s="4" t="n">
        <v>7543.0</v>
      </c>
      <c r="AI29" s="4" t="n">
        <v>8036.0</v>
      </c>
      <c r="AJ29" s="4" t="n">
        <v>8605.0</v>
      </c>
      <c r="AK29" s="4" t="n">
        <v>9117.0</v>
      </c>
      <c r="AL29" s="4" t="n">
        <v>9684.0</v>
      </c>
      <c r="AM29" s="4" t="n">
        <v>10138.0</v>
      </c>
      <c r="AN29" s="4" t="n">
        <v>10508.0</v>
      </c>
      <c r="AO29" s="4" t="n">
        <v>10713.0</v>
      </c>
    </row>
    <row r="30" spans="1:41" x14ac:dyDescent="0.2">
      <c r="A30" s="127" t="s">
        <v>49</v>
      </c>
      <c r="B30" s="59" t="s">
        <v>62</v>
      </c>
      <c r="C30" s="57" t="n">
        <v>1697252.0</v>
      </c>
      <c r="D30" s="57" t="n">
        <v>1695952.0</v>
      </c>
      <c r="E30" s="57" t="n">
        <v>1694899.0</v>
      </c>
      <c r="F30" s="57" t="n">
        <v>1693920.0</v>
      </c>
      <c r="G30" s="57" t="n">
        <v>1693026.0</v>
      </c>
      <c r="H30" s="57" t="n">
        <v>1696881.0</v>
      </c>
      <c r="I30" s="57" t="n">
        <v>1702362.0</v>
      </c>
      <c r="J30" s="57" t="n">
        <v>1704196.0</v>
      </c>
      <c r="K30" s="57" t="n">
        <v>1704088.0</v>
      </c>
      <c r="L30" s="57" t="n">
        <v>1703123.0</v>
      </c>
      <c r="M30" s="57" t="n">
        <v>1701616.0</v>
      </c>
      <c r="N30" s="57" t="n">
        <v>1699676.0</v>
      </c>
      <c r="O30" s="57" t="n">
        <v>1697318.0</v>
      </c>
      <c r="P30" s="57" t="n">
        <v>1694866.0</v>
      </c>
      <c r="Q30" s="57" t="n">
        <v>1692337.0</v>
      </c>
      <c r="R30" s="57" t="n">
        <v>1689755.0</v>
      </c>
      <c r="S30" s="57" t="n">
        <v>1687229.0</v>
      </c>
      <c r="T30" s="57" t="n">
        <v>1684571.0</v>
      </c>
      <c r="U30" s="57" t="n">
        <v>1681978.0</v>
      </c>
      <c r="V30" s="57" t="n">
        <v>1679483.0</v>
      </c>
      <c r="W30" s="57" t="n">
        <v>1677091.0</v>
      </c>
      <c r="X30" s="57" t="n">
        <v>1674809.0</v>
      </c>
      <c r="Y30" s="57" t="n">
        <v>1672617.0</v>
      </c>
      <c r="Z30" s="57" t="n">
        <v>1670265.0</v>
      </c>
      <c r="AA30" s="57" t="n">
        <v>1667949.0</v>
      </c>
      <c r="AB30" s="57" t="n">
        <v>1665650.0</v>
      </c>
      <c r="AC30" s="57" t="n">
        <v>1663313.0</v>
      </c>
      <c r="AD30" s="57" t="n">
        <v>1660913.0</v>
      </c>
      <c r="AE30" s="57" t="n">
        <v>1658241.0</v>
      </c>
      <c r="AF30" s="57" t="n">
        <v>1655502.0</v>
      </c>
      <c r="AG30" s="57" t="n">
        <v>1652633.0</v>
      </c>
      <c r="AH30" s="57" t="n">
        <v>1649709.0</v>
      </c>
      <c r="AI30" s="57" t="n">
        <v>1646683.0</v>
      </c>
      <c r="AJ30" s="57" t="n">
        <v>1643570.0</v>
      </c>
      <c r="AK30" s="57" t="n">
        <v>1640221.0</v>
      </c>
      <c r="AL30" s="57" t="n">
        <v>1636800.0</v>
      </c>
      <c r="AM30" s="57" t="n">
        <v>1633341.0</v>
      </c>
      <c r="AN30" s="57" t="n">
        <v>1629887.0</v>
      </c>
      <c r="AO30" s="57" t="n">
        <v>1626435.0</v>
      </c>
    </row>
    <row r="31" spans="1:41" x14ac:dyDescent="0.2">
      <c r="A31" s="127"/>
      <c r="B31" s="52" t="s">
        <v>20</v>
      </c>
      <c r="C31" s="11" t="n">
        <v>89687.0</v>
      </c>
      <c r="D31" s="3" t="n">
        <v>86383.0</v>
      </c>
      <c r="E31" s="3" t="n">
        <v>83870.0</v>
      </c>
      <c r="F31" s="3" t="n">
        <v>82686.0</v>
      </c>
      <c r="G31" s="3" t="n">
        <v>82274.0</v>
      </c>
      <c r="H31" s="3" t="n">
        <v>84488.0</v>
      </c>
      <c r="I31" s="3" t="n">
        <v>85806.0</v>
      </c>
      <c r="J31" s="3" t="n">
        <v>86419.0</v>
      </c>
      <c r="K31" s="3" t="n">
        <v>86613.0</v>
      </c>
      <c r="L31" s="3" t="n">
        <v>86695.0</v>
      </c>
      <c r="M31" s="3" t="n">
        <v>86781.0</v>
      </c>
      <c r="N31" s="3" t="n">
        <v>86818.0</v>
      </c>
      <c r="O31" s="3" t="n">
        <v>86780.0</v>
      </c>
      <c r="P31" s="3" t="n">
        <v>86763.0</v>
      </c>
      <c r="Q31" s="3" t="n">
        <v>86830.0</v>
      </c>
      <c r="R31" s="3" t="n">
        <v>87033.0</v>
      </c>
      <c r="S31" s="3" t="n">
        <v>87408.0</v>
      </c>
      <c r="T31" s="3" t="n">
        <v>87933.0</v>
      </c>
      <c r="U31" s="3" t="n">
        <v>88581.0</v>
      </c>
      <c r="V31" s="3" t="n">
        <v>89293.0</v>
      </c>
      <c r="W31" s="3" t="n">
        <v>90000.0</v>
      </c>
      <c r="X31" s="3" t="n">
        <v>90679.0</v>
      </c>
      <c r="Y31" s="3" t="n">
        <v>91289.0</v>
      </c>
      <c r="Z31" s="3" t="n">
        <v>91762.0</v>
      </c>
      <c r="AA31" s="3" t="n">
        <v>92059.0</v>
      </c>
      <c r="AB31" s="3" t="n">
        <v>92194.0</v>
      </c>
      <c r="AC31" s="3" t="n">
        <v>92123.0</v>
      </c>
      <c r="AD31" s="3" t="n">
        <v>91876.0</v>
      </c>
      <c r="AE31" s="3" t="n">
        <v>91452.0</v>
      </c>
      <c r="AF31" s="3" t="n">
        <v>90879.0</v>
      </c>
      <c r="AG31" s="3" t="n">
        <v>90179.0</v>
      </c>
      <c r="AH31" s="3" t="n">
        <v>89387.0</v>
      </c>
      <c r="AI31" s="3" t="n">
        <v>88546.0</v>
      </c>
      <c r="AJ31" s="3" t="n">
        <v>87695.0</v>
      </c>
      <c r="AK31" s="3" t="n">
        <v>86880.0</v>
      </c>
      <c r="AL31" s="3" t="n">
        <v>86114.0</v>
      </c>
      <c r="AM31" s="3" t="n">
        <v>85454.0</v>
      </c>
      <c r="AN31" s="3" t="n">
        <v>84892.0</v>
      </c>
      <c r="AO31" s="3" t="n">
        <v>84473.0</v>
      </c>
    </row>
    <row r="32" spans="1:41" x14ac:dyDescent="0.2">
      <c r="A32" s="127"/>
      <c r="B32" s="52" t="s">
        <v>21</v>
      </c>
      <c r="C32" s="11" t="n">
        <v>100209.0</v>
      </c>
      <c r="D32" s="3" t="n">
        <v>100908.0</v>
      </c>
      <c r="E32" s="3" t="n">
        <v>100431.0</v>
      </c>
      <c r="F32" s="3" t="n">
        <v>98903.0</v>
      </c>
      <c r="G32" s="3" t="n">
        <v>96250.0</v>
      </c>
      <c r="H32" s="3" t="n">
        <v>91672.0</v>
      </c>
      <c r="I32" s="3" t="n">
        <v>89744.0</v>
      </c>
      <c r="J32" s="3" t="n">
        <v>87772.0</v>
      </c>
      <c r="K32" s="3" t="n">
        <v>86740.0</v>
      </c>
      <c r="L32" s="3" t="n">
        <v>86267.0</v>
      </c>
      <c r="M32" s="3" t="n">
        <v>87614.0</v>
      </c>
      <c r="N32" s="3" t="n">
        <v>87791.0</v>
      </c>
      <c r="O32" s="3" t="n">
        <v>87897.0</v>
      </c>
      <c r="P32" s="3" t="n">
        <v>87909.0</v>
      </c>
      <c r="Q32" s="3" t="n">
        <v>87922.0</v>
      </c>
      <c r="R32" s="3" t="n">
        <v>87970.0</v>
      </c>
      <c r="S32" s="3" t="n">
        <v>88032.0</v>
      </c>
      <c r="T32" s="3" t="n">
        <v>88019.0</v>
      </c>
      <c r="U32" s="3" t="n">
        <v>88031.0</v>
      </c>
      <c r="V32" s="3" t="n">
        <v>88124.0</v>
      </c>
      <c r="W32" s="3" t="n">
        <v>88350.0</v>
      </c>
      <c r="X32" s="3" t="n">
        <v>88750.0</v>
      </c>
      <c r="Y32" s="3" t="n">
        <v>89288.0</v>
      </c>
      <c r="Z32" s="3" t="n">
        <v>89955.0</v>
      </c>
      <c r="AA32" s="3" t="n">
        <v>90685.0</v>
      </c>
      <c r="AB32" s="3" t="n">
        <v>91413.0</v>
      </c>
      <c r="AC32" s="3" t="n">
        <v>92109.0</v>
      </c>
      <c r="AD32" s="3" t="n">
        <v>92724.0</v>
      </c>
      <c r="AE32" s="3" t="n">
        <v>93205.0</v>
      </c>
      <c r="AF32" s="3" t="n">
        <v>93500.0</v>
      </c>
      <c r="AG32" s="3" t="n">
        <v>93640.0</v>
      </c>
      <c r="AH32" s="3" t="n">
        <v>93587.0</v>
      </c>
      <c r="AI32" s="3" t="n">
        <v>93361.0</v>
      </c>
      <c r="AJ32" s="3" t="n">
        <v>92955.0</v>
      </c>
      <c r="AK32" s="3" t="n">
        <v>92409.0</v>
      </c>
      <c r="AL32" s="3" t="n">
        <v>91728.0</v>
      </c>
      <c r="AM32" s="3" t="n">
        <v>90953.0</v>
      </c>
      <c r="AN32" s="3" t="n">
        <v>90141.0</v>
      </c>
      <c r="AO32" s="3" t="n">
        <v>89303.0</v>
      </c>
    </row>
    <row r="33" spans="1:41" x14ac:dyDescent="0.2">
      <c r="A33" s="127"/>
      <c r="B33" s="52" t="s">
        <v>22</v>
      </c>
      <c r="C33" s="11" t="n">
        <v>104868.0</v>
      </c>
      <c r="D33" s="3" t="n">
        <v>102858.0</v>
      </c>
      <c r="E33" s="3" t="n">
        <v>101049.0</v>
      </c>
      <c r="F33" s="3" t="n">
        <v>99414.0</v>
      </c>
      <c r="G33" s="3" t="n">
        <v>99632.0</v>
      </c>
      <c r="H33" s="3" t="n">
        <v>101582.0</v>
      </c>
      <c r="I33" s="3" t="n">
        <v>103784.0</v>
      </c>
      <c r="J33" s="3" t="n">
        <v>104039.0</v>
      </c>
      <c r="K33" s="3" t="n">
        <v>102800.0</v>
      </c>
      <c r="L33" s="3" t="n">
        <v>100262.0</v>
      </c>
      <c r="M33" s="3" t="n">
        <v>94653.0</v>
      </c>
      <c r="N33" s="3" t="n">
        <v>91268.0</v>
      </c>
      <c r="O33" s="3" t="n">
        <v>88588.0</v>
      </c>
      <c r="P33" s="3" t="n">
        <v>87243.0</v>
      </c>
      <c r="Q33" s="3" t="n">
        <v>86608.0</v>
      </c>
      <c r="R33" s="3" t="n">
        <v>87873.0</v>
      </c>
      <c r="S33" s="3" t="n">
        <v>88043.0</v>
      </c>
      <c r="T33" s="3" t="n">
        <v>88163.0</v>
      </c>
      <c r="U33" s="3" t="n">
        <v>88186.0</v>
      </c>
      <c r="V33" s="3" t="n">
        <v>88211.0</v>
      </c>
      <c r="W33" s="3" t="n">
        <v>88277.0</v>
      </c>
      <c r="X33" s="3" t="n">
        <v>88351.0</v>
      </c>
      <c r="Y33" s="3" t="n">
        <v>88352.0</v>
      </c>
      <c r="Z33" s="3" t="n">
        <v>88369.0</v>
      </c>
      <c r="AA33" s="3" t="n">
        <v>88470.0</v>
      </c>
      <c r="AB33" s="3" t="n">
        <v>88708.0</v>
      </c>
      <c r="AC33" s="3" t="n">
        <v>89113.0</v>
      </c>
      <c r="AD33" s="3" t="n">
        <v>89656.0</v>
      </c>
      <c r="AE33" s="3" t="n">
        <v>90314.0</v>
      </c>
      <c r="AF33" s="3" t="n">
        <v>91045.0</v>
      </c>
      <c r="AG33" s="3" t="n">
        <v>91770.0</v>
      </c>
      <c r="AH33" s="3" t="n">
        <v>92457.0</v>
      </c>
      <c r="AI33" s="3" t="n">
        <v>93072.0</v>
      </c>
      <c r="AJ33" s="3" t="n">
        <v>93553.0</v>
      </c>
      <c r="AK33" s="3" t="n">
        <v>93852.0</v>
      </c>
      <c r="AL33" s="3" t="n">
        <v>94003.0</v>
      </c>
      <c r="AM33" s="3" t="n">
        <v>93953.0</v>
      </c>
      <c r="AN33" s="3" t="n">
        <v>93732.0</v>
      </c>
      <c r="AO33" s="3" t="n">
        <v>93331.0</v>
      </c>
    </row>
    <row r="34" spans="1:41" x14ac:dyDescent="0.2">
      <c r="A34" s="127"/>
      <c r="B34" s="52" t="s">
        <v>23</v>
      </c>
      <c r="C34" s="11" t="n">
        <v>90941.0</v>
      </c>
      <c r="D34" s="3" t="n">
        <v>95273.0</v>
      </c>
      <c r="E34" s="3" t="n">
        <v>99767.0</v>
      </c>
      <c r="F34" s="3" t="n">
        <v>103061.0</v>
      </c>
      <c r="G34" s="3" t="n">
        <v>104267.0</v>
      </c>
      <c r="H34" s="3" t="n">
        <v>105590.0</v>
      </c>
      <c r="I34" s="3" t="n">
        <v>104802.0</v>
      </c>
      <c r="J34" s="3" t="n">
        <v>103651.0</v>
      </c>
      <c r="K34" s="3" t="n">
        <v>102324.0</v>
      </c>
      <c r="L34" s="3" t="n">
        <v>102740.0</v>
      </c>
      <c r="M34" s="3" t="n">
        <v>103842.0</v>
      </c>
      <c r="N34" s="3" t="n">
        <v>104717.0</v>
      </c>
      <c r="O34" s="3" t="n">
        <v>104345.0</v>
      </c>
      <c r="P34" s="3" t="n">
        <v>102847.0</v>
      </c>
      <c r="Q34" s="3" t="n">
        <v>100174.0</v>
      </c>
      <c r="R34" s="3" t="n">
        <v>94511.0</v>
      </c>
      <c r="S34" s="3" t="n">
        <v>91099.0</v>
      </c>
      <c r="T34" s="3" t="n">
        <v>88419.0</v>
      </c>
      <c r="U34" s="3" t="n">
        <v>87073.0</v>
      </c>
      <c r="V34" s="3" t="n">
        <v>86437.0</v>
      </c>
      <c r="W34" s="3" t="n">
        <v>87698.0</v>
      </c>
      <c r="X34" s="3" t="n">
        <v>87867.0</v>
      </c>
      <c r="Y34" s="3" t="n">
        <v>87999.0</v>
      </c>
      <c r="Z34" s="3" t="n">
        <v>88032.0</v>
      </c>
      <c r="AA34" s="3" t="n">
        <v>88069.0</v>
      </c>
      <c r="AB34" s="3" t="n">
        <v>88137.0</v>
      </c>
      <c r="AC34" s="3" t="n">
        <v>88213.0</v>
      </c>
      <c r="AD34" s="3" t="n">
        <v>88214.0</v>
      </c>
      <c r="AE34" s="3" t="n">
        <v>88233.0</v>
      </c>
      <c r="AF34" s="3" t="n">
        <v>88333.0</v>
      </c>
      <c r="AG34" s="3" t="n">
        <v>88561.0</v>
      </c>
      <c r="AH34" s="3" t="n">
        <v>88961.0</v>
      </c>
      <c r="AI34" s="3" t="n">
        <v>89490.0</v>
      </c>
      <c r="AJ34" s="3" t="n">
        <v>90142.0</v>
      </c>
      <c r="AK34" s="3" t="n">
        <v>90877.0</v>
      </c>
      <c r="AL34" s="3" t="n">
        <v>91599.0</v>
      </c>
      <c r="AM34" s="3" t="n">
        <v>92282.0</v>
      </c>
      <c r="AN34" s="3" t="n">
        <v>92897.0</v>
      </c>
      <c r="AO34" s="3" t="n">
        <v>93375.0</v>
      </c>
    </row>
    <row r="35" spans="1:41" x14ac:dyDescent="0.2">
      <c r="A35" s="127"/>
      <c r="B35" s="52" t="s">
        <v>24</v>
      </c>
      <c r="C35" s="11" t="n">
        <v>89763.0</v>
      </c>
      <c r="D35" s="3" t="n">
        <v>87483.0</v>
      </c>
      <c r="E35" s="3" t="n">
        <v>86461.0</v>
      </c>
      <c r="F35" s="3" t="n">
        <v>86480.0</v>
      </c>
      <c r="G35" s="3" t="n">
        <v>87601.0</v>
      </c>
      <c r="H35" s="3" t="n">
        <v>90679.0</v>
      </c>
      <c r="I35" s="3" t="n">
        <v>95306.0</v>
      </c>
      <c r="J35" s="3" t="n">
        <v>100191.0</v>
      </c>
      <c r="K35" s="3" t="n">
        <v>103950.0</v>
      </c>
      <c r="L35" s="3" t="n">
        <v>105591.0</v>
      </c>
      <c r="M35" s="3" t="n">
        <v>106576.0</v>
      </c>
      <c r="N35" s="3" t="n">
        <v>105023.0</v>
      </c>
      <c r="O35" s="3" t="n">
        <v>103513.0</v>
      </c>
      <c r="P35" s="3" t="n">
        <v>102024.0</v>
      </c>
      <c r="Q35" s="3" t="n">
        <v>102365.0</v>
      </c>
      <c r="R35" s="3" t="n">
        <v>103422.0</v>
      </c>
      <c r="S35" s="3" t="n">
        <v>104286.0</v>
      </c>
      <c r="T35" s="3" t="n">
        <v>103915.0</v>
      </c>
      <c r="U35" s="3" t="n">
        <v>102424.0</v>
      </c>
      <c r="V35" s="3" t="n">
        <v>99759.0</v>
      </c>
      <c r="W35" s="3" t="n">
        <v>94121.0</v>
      </c>
      <c r="X35" s="3" t="n">
        <v>90712.0</v>
      </c>
      <c r="Y35" s="3" t="n">
        <v>88031.0</v>
      </c>
      <c r="Z35" s="3" t="n">
        <v>86707.0</v>
      </c>
      <c r="AA35" s="3" t="n">
        <v>86067.0</v>
      </c>
      <c r="AB35" s="3" t="n">
        <v>87309.0</v>
      </c>
      <c r="AC35" s="3" t="n">
        <v>87482.0</v>
      </c>
      <c r="AD35" s="3" t="n">
        <v>87623.0</v>
      </c>
      <c r="AE35" s="3" t="n">
        <v>87662.0</v>
      </c>
      <c r="AF35" s="3" t="n">
        <v>87701.0</v>
      </c>
      <c r="AG35" s="3" t="n">
        <v>87768.0</v>
      </c>
      <c r="AH35" s="3" t="n">
        <v>87845.0</v>
      </c>
      <c r="AI35" s="3" t="n">
        <v>87849.0</v>
      </c>
      <c r="AJ35" s="3" t="n">
        <v>87871.0</v>
      </c>
      <c r="AK35" s="3" t="n">
        <v>87970.0</v>
      </c>
      <c r="AL35" s="3" t="n">
        <v>88200.0</v>
      </c>
      <c r="AM35" s="3" t="n">
        <v>88604.0</v>
      </c>
      <c r="AN35" s="3" t="n">
        <v>89136.0</v>
      </c>
      <c r="AO35" s="3" t="n">
        <v>89793.0</v>
      </c>
    </row>
    <row r="36" spans="1:41" x14ac:dyDescent="0.2">
      <c r="A36" s="127"/>
      <c r="B36" s="52" t="s">
        <v>25</v>
      </c>
      <c r="C36" s="11" t="n">
        <v>106422.0</v>
      </c>
      <c r="D36" s="3" t="n">
        <v>101998.0</v>
      </c>
      <c r="E36" s="3" t="n">
        <v>98059.0</v>
      </c>
      <c r="F36" s="3" t="n">
        <v>95072.0</v>
      </c>
      <c r="G36" s="3" t="n">
        <v>92483.0</v>
      </c>
      <c r="H36" s="3" t="n">
        <v>89806.0</v>
      </c>
      <c r="I36" s="3" t="n">
        <v>87812.0</v>
      </c>
      <c r="J36" s="3" t="n">
        <v>86903.0</v>
      </c>
      <c r="K36" s="3" t="n">
        <v>86950.0</v>
      </c>
      <c r="L36" s="3" t="n">
        <v>88048.0</v>
      </c>
      <c r="M36" s="3" t="n">
        <v>90940.0</v>
      </c>
      <c r="N36" s="3" t="n">
        <v>95316.0</v>
      </c>
      <c r="O36" s="3" t="n">
        <v>100055.0</v>
      </c>
      <c r="P36" s="3" t="n">
        <v>103754.0</v>
      </c>
      <c r="Q36" s="3" t="n">
        <v>105393.0</v>
      </c>
      <c r="R36" s="3" t="n">
        <v>106366.0</v>
      </c>
      <c r="S36" s="3" t="n">
        <v>104806.0</v>
      </c>
      <c r="T36" s="3" t="n">
        <v>103302.0</v>
      </c>
      <c r="U36" s="3" t="n">
        <v>101814.0</v>
      </c>
      <c r="V36" s="3" t="n">
        <v>102144.0</v>
      </c>
      <c r="W36" s="3" t="n">
        <v>103187.0</v>
      </c>
      <c r="X36" s="3" t="n">
        <v>104025.0</v>
      </c>
      <c r="Y36" s="3" t="n">
        <v>103659.0</v>
      </c>
      <c r="Z36" s="3" t="n">
        <v>102165.0</v>
      </c>
      <c r="AA36" s="3" t="n">
        <v>99515.0</v>
      </c>
      <c r="AB36" s="3" t="n">
        <v>93918.0</v>
      </c>
      <c r="AC36" s="3" t="n">
        <v>90520.0</v>
      </c>
      <c r="AD36" s="3" t="n">
        <v>87816.0</v>
      </c>
      <c r="AE36" s="3" t="n">
        <v>86496.0</v>
      </c>
      <c r="AF36" s="3" t="n">
        <v>85840.0</v>
      </c>
      <c r="AG36" s="3" t="n">
        <v>87057.0</v>
      </c>
      <c r="AH36" s="3" t="n">
        <v>87236.0</v>
      </c>
      <c r="AI36" s="3" t="n">
        <v>87385.0</v>
      </c>
      <c r="AJ36" s="3" t="n">
        <v>87424.0</v>
      </c>
      <c r="AK36" s="3" t="n">
        <v>87460.0</v>
      </c>
      <c r="AL36" s="3" t="n">
        <v>87530.0</v>
      </c>
      <c r="AM36" s="3" t="n">
        <v>87615.0</v>
      </c>
      <c r="AN36" s="3" t="n">
        <v>87624.0</v>
      </c>
      <c r="AO36" s="3" t="n">
        <v>87654.0</v>
      </c>
    </row>
    <row r="37" spans="1:41" x14ac:dyDescent="0.2">
      <c r="A37" s="127"/>
      <c r="B37" s="52" t="s">
        <v>26</v>
      </c>
      <c r="C37" s="11" t="n">
        <v>128033.0</v>
      </c>
      <c r="D37" s="3" t="n">
        <v>124796.0</v>
      </c>
      <c r="E37" s="3" t="n">
        <v>120857.0</v>
      </c>
      <c r="F37" s="3" t="n">
        <v>115962.0</v>
      </c>
      <c r="G37" s="3" t="n">
        <v>110720.0</v>
      </c>
      <c r="H37" s="3" t="n">
        <v>106602.0</v>
      </c>
      <c r="I37" s="3" t="n">
        <v>102526.0</v>
      </c>
      <c r="J37" s="3" t="n">
        <v>98747.0</v>
      </c>
      <c r="K37" s="3" t="n">
        <v>95825.0</v>
      </c>
      <c r="L37" s="3" t="n">
        <v>93286.0</v>
      </c>
      <c r="M37" s="3" t="n">
        <v>90491.0</v>
      </c>
      <c r="N37" s="3" t="n">
        <v>88292.0</v>
      </c>
      <c r="O37" s="3" t="n">
        <v>87303.0</v>
      </c>
      <c r="P37" s="3" t="n">
        <v>87302.0</v>
      </c>
      <c r="Q37" s="3" t="n">
        <v>88345.0</v>
      </c>
      <c r="R37" s="3" t="n">
        <v>91178.0</v>
      </c>
      <c r="S37" s="3" t="n">
        <v>95515.0</v>
      </c>
      <c r="T37" s="3" t="n">
        <v>100194.0</v>
      </c>
      <c r="U37" s="3" t="n">
        <v>103877.0</v>
      </c>
      <c r="V37" s="3" t="n">
        <v>105503.0</v>
      </c>
      <c r="W37" s="3" t="n">
        <v>106480.0</v>
      </c>
      <c r="X37" s="3" t="n">
        <v>104941.0</v>
      </c>
      <c r="Y37" s="3" t="n">
        <v>103446.0</v>
      </c>
      <c r="Z37" s="3" t="n">
        <v>101950.0</v>
      </c>
      <c r="AA37" s="3" t="n">
        <v>102245.0</v>
      </c>
      <c r="AB37" s="3" t="n">
        <v>103247.0</v>
      </c>
      <c r="AC37" s="3" t="n">
        <v>104054.0</v>
      </c>
      <c r="AD37" s="3" t="n">
        <v>103702.0</v>
      </c>
      <c r="AE37" s="3" t="n">
        <v>102208.0</v>
      </c>
      <c r="AF37" s="3" t="n">
        <v>99576.0</v>
      </c>
      <c r="AG37" s="3" t="n">
        <v>93997.0</v>
      </c>
      <c r="AH37" s="3" t="n">
        <v>90598.0</v>
      </c>
      <c r="AI37" s="3" t="n">
        <v>87888.0</v>
      </c>
      <c r="AJ37" s="3" t="n">
        <v>86551.0</v>
      </c>
      <c r="AK37" s="3" t="n">
        <v>85885.0</v>
      </c>
      <c r="AL37" s="3" t="n">
        <v>87079.0</v>
      </c>
      <c r="AM37" s="3" t="n">
        <v>87243.0</v>
      </c>
      <c r="AN37" s="3" t="n">
        <v>87397.0</v>
      </c>
      <c r="AO37" s="3" t="n">
        <v>87444.0</v>
      </c>
    </row>
    <row r="38" spans="1:41" x14ac:dyDescent="0.2">
      <c r="A38" s="127"/>
      <c r="B38" s="52" t="s">
        <v>27</v>
      </c>
      <c r="C38" s="11" t="n">
        <v>147603.0</v>
      </c>
      <c r="D38" s="3" t="n">
        <v>142677.0</v>
      </c>
      <c r="E38" s="3" t="n">
        <v>137566.0</v>
      </c>
      <c r="F38" s="3" t="n">
        <v>133431.0</v>
      </c>
      <c r="G38" s="3" t="n">
        <v>130702.0</v>
      </c>
      <c r="H38" s="3" t="n">
        <v>127439.0</v>
      </c>
      <c r="I38" s="3" t="n">
        <v>124559.0</v>
      </c>
      <c r="J38" s="3" t="n">
        <v>120812.0</v>
      </c>
      <c r="K38" s="3" t="n">
        <v>116037.0</v>
      </c>
      <c r="L38" s="3" t="n">
        <v>110880.0</v>
      </c>
      <c r="M38" s="3" t="n">
        <v>106612.0</v>
      </c>
      <c r="N38" s="3" t="n">
        <v>102280.0</v>
      </c>
      <c r="O38" s="3" t="n">
        <v>98434.0</v>
      </c>
      <c r="P38" s="3" t="n">
        <v>95543.0</v>
      </c>
      <c r="Q38" s="3" t="n">
        <v>93037.0</v>
      </c>
      <c r="R38" s="3" t="n">
        <v>90285.0</v>
      </c>
      <c r="S38" s="3" t="n">
        <v>88156.0</v>
      </c>
      <c r="T38" s="3" t="n">
        <v>87215.0</v>
      </c>
      <c r="U38" s="3" t="n">
        <v>87213.0</v>
      </c>
      <c r="V38" s="3" t="n">
        <v>88244.0</v>
      </c>
      <c r="W38" s="3" t="n">
        <v>91039.0</v>
      </c>
      <c r="X38" s="3" t="n">
        <v>95336.0</v>
      </c>
      <c r="Y38" s="3" t="n">
        <v>99965.0</v>
      </c>
      <c r="Z38" s="3" t="n">
        <v>103606.0</v>
      </c>
      <c r="AA38" s="3" t="n">
        <v>105233.0</v>
      </c>
      <c r="AB38" s="3" t="n">
        <v>106224.0</v>
      </c>
      <c r="AC38" s="3" t="n">
        <v>104706.0</v>
      </c>
      <c r="AD38" s="3" t="n">
        <v>103226.0</v>
      </c>
      <c r="AE38" s="3" t="n">
        <v>101734.0</v>
      </c>
      <c r="AF38" s="3" t="n">
        <v>102025.0</v>
      </c>
      <c r="AG38" s="3" t="n">
        <v>103002.0</v>
      </c>
      <c r="AH38" s="3" t="n">
        <v>103809.0</v>
      </c>
      <c r="AI38" s="3" t="n">
        <v>103466.0</v>
      </c>
      <c r="AJ38" s="3" t="n">
        <v>101986.0</v>
      </c>
      <c r="AK38" s="3" t="n">
        <v>99395.0</v>
      </c>
      <c r="AL38" s="3" t="n">
        <v>93895.0</v>
      </c>
      <c r="AM38" s="3" t="n">
        <v>90533.0</v>
      </c>
      <c r="AN38" s="3" t="n">
        <v>87831.0</v>
      </c>
      <c r="AO38" s="3" t="n">
        <v>86505.0</v>
      </c>
    </row>
    <row r="39" spans="1:41" x14ac:dyDescent="0.2">
      <c r="A39" s="127"/>
      <c r="B39" s="52" t="s">
        <v>28</v>
      </c>
      <c r="C39" s="11" t="n">
        <v>146579.0</v>
      </c>
      <c r="D39" s="3" t="n">
        <v>149493.0</v>
      </c>
      <c r="E39" s="3" t="n">
        <v>150325.0</v>
      </c>
      <c r="F39" s="3" t="n">
        <v>150422.0</v>
      </c>
      <c r="G39" s="3" t="n">
        <v>149470.0</v>
      </c>
      <c r="H39" s="3" t="n">
        <v>146338.0</v>
      </c>
      <c r="I39" s="3" t="n">
        <v>141778.0</v>
      </c>
      <c r="J39" s="3" t="n">
        <v>136895.0</v>
      </c>
      <c r="K39" s="3" t="n">
        <v>132947.0</v>
      </c>
      <c r="L39" s="3" t="n">
        <v>130324.0</v>
      </c>
      <c r="M39" s="3" t="n">
        <v>126912.0</v>
      </c>
      <c r="N39" s="3" t="n">
        <v>123766.0</v>
      </c>
      <c r="O39" s="3" t="n">
        <v>119917.0</v>
      </c>
      <c r="P39" s="3" t="n">
        <v>115129.0</v>
      </c>
      <c r="Q39" s="3" t="n">
        <v>110001.0</v>
      </c>
      <c r="R39" s="3" t="n">
        <v>105809.0</v>
      </c>
      <c r="S39" s="3" t="n">
        <v>101549.0</v>
      </c>
      <c r="T39" s="3" t="n">
        <v>97790.0</v>
      </c>
      <c r="U39" s="3" t="n">
        <v>94951.0</v>
      </c>
      <c r="V39" s="3" t="n">
        <v>92508.0</v>
      </c>
      <c r="W39" s="3" t="n">
        <v>89855.0</v>
      </c>
      <c r="X39" s="3" t="n">
        <v>87811.0</v>
      </c>
      <c r="Y39" s="3" t="n">
        <v>86918.0</v>
      </c>
      <c r="Z39" s="3" t="n">
        <v>86943.0</v>
      </c>
      <c r="AA39" s="3" t="n">
        <v>87958.0</v>
      </c>
      <c r="AB39" s="3" t="n">
        <v>90717.0</v>
      </c>
      <c r="AC39" s="3" t="n">
        <v>94957.0</v>
      </c>
      <c r="AD39" s="3" t="n">
        <v>99544.0</v>
      </c>
      <c r="AE39" s="3" t="n">
        <v>103167.0</v>
      </c>
      <c r="AF39" s="3" t="n">
        <v>104809.0</v>
      </c>
      <c r="AG39" s="3" t="n">
        <v>105806.0</v>
      </c>
      <c r="AH39" s="3" t="n">
        <v>104309.0</v>
      </c>
      <c r="AI39" s="3" t="n">
        <v>102856.0</v>
      </c>
      <c r="AJ39" s="3" t="n">
        <v>101385.0</v>
      </c>
      <c r="AK39" s="3" t="n">
        <v>101653.0</v>
      </c>
      <c r="AL39" s="3" t="n">
        <v>102629.0</v>
      </c>
      <c r="AM39" s="3" t="n">
        <v>103454.0</v>
      </c>
      <c r="AN39" s="3" t="n">
        <v>103131.0</v>
      </c>
      <c r="AO39" s="3" t="n">
        <v>101683.0</v>
      </c>
    </row>
    <row r="40" spans="1:41" x14ac:dyDescent="0.2">
      <c r="A40" s="127"/>
      <c r="B40" s="52" t="s">
        <v>29</v>
      </c>
      <c r="C40" s="11" t="n">
        <v>132905.0</v>
      </c>
      <c r="D40" s="3" t="n">
        <v>135545.0</v>
      </c>
      <c r="E40" s="3" t="n">
        <v>139307.0</v>
      </c>
      <c r="F40" s="3" t="n">
        <v>141562.0</v>
      </c>
      <c r="G40" s="3" t="n">
        <v>142092.0</v>
      </c>
      <c r="H40" s="3" t="n">
        <v>144289.0</v>
      </c>
      <c r="I40" s="3" t="n">
        <v>147377.0</v>
      </c>
      <c r="J40" s="3" t="n">
        <v>148356.0</v>
      </c>
      <c r="K40" s="3" t="n">
        <v>148557.0</v>
      </c>
      <c r="L40" s="3" t="n">
        <v>147682.0</v>
      </c>
      <c r="M40" s="3" t="n">
        <v>144461.0</v>
      </c>
      <c r="N40" s="3" t="n">
        <v>139793.0</v>
      </c>
      <c r="O40" s="3" t="n">
        <v>134939.0</v>
      </c>
      <c r="P40" s="3" t="n">
        <v>131043.0</v>
      </c>
      <c r="Q40" s="3" t="n">
        <v>128471.0</v>
      </c>
      <c r="R40" s="3" t="n">
        <v>125129.0</v>
      </c>
      <c r="S40" s="3" t="n">
        <v>122060.0</v>
      </c>
      <c r="T40" s="3" t="n">
        <v>118274.0</v>
      </c>
      <c r="U40" s="3" t="n">
        <v>113584.0</v>
      </c>
      <c r="V40" s="3" t="n">
        <v>108565.0</v>
      </c>
      <c r="W40" s="3" t="n">
        <v>104463.0</v>
      </c>
      <c r="X40" s="3" t="n">
        <v>100305.0</v>
      </c>
      <c r="Y40" s="3" t="n">
        <v>96619.0</v>
      </c>
      <c r="Z40" s="3" t="n">
        <v>93846.0</v>
      </c>
      <c r="AA40" s="3" t="n">
        <v>91483.0</v>
      </c>
      <c r="AB40" s="3" t="n">
        <v>88924.0</v>
      </c>
      <c r="AC40" s="3" t="n">
        <v>86941.0</v>
      </c>
      <c r="AD40" s="3" t="n">
        <v>86090.0</v>
      </c>
      <c r="AE40" s="3" t="n">
        <v>86133.0</v>
      </c>
      <c r="AF40" s="3" t="n">
        <v>87162.0</v>
      </c>
      <c r="AG40" s="3" t="n">
        <v>89910.0</v>
      </c>
      <c r="AH40" s="3" t="n">
        <v>94128.0</v>
      </c>
      <c r="AI40" s="3" t="n">
        <v>98670.0</v>
      </c>
      <c r="AJ40" s="3" t="n">
        <v>102268.0</v>
      </c>
      <c r="AK40" s="3" t="n">
        <v>103915.0</v>
      </c>
      <c r="AL40" s="3" t="n">
        <v>104919.0</v>
      </c>
      <c r="AM40" s="3" t="n">
        <v>103451.0</v>
      </c>
      <c r="AN40" s="3" t="n">
        <v>102020.0</v>
      </c>
      <c r="AO40" s="3" t="n">
        <v>100575.0</v>
      </c>
    </row>
    <row r="41" spans="1:41" x14ac:dyDescent="0.2">
      <c r="A41" s="127"/>
      <c r="B41" s="52" t="s">
        <v>30</v>
      </c>
      <c r="C41" s="11" t="n">
        <v>107217.0</v>
      </c>
      <c r="D41" s="3" t="n">
        <v>111651.0</v>
      </c>
      <c r="E41" s="3" t="n">
        <v>116037.0</v>
      </c>
      <c r="F41" s="3" t="n">
        <v>120554.0</v>
      </c>
      <c r="G41" s="3" t="n">
        <v>125325.0</v>
      </c>
      <c r="H41" s="3" t="n">
        <v>129317.0</v>
      </c>
      <c r="I41" s="3" t="n">
        <v>132039.0</v>
      </c>
      <c r="J41" s="3" t="n">
        <v>135815.0</v>
      </c>
      <c r="K41" s="3" t="n">
        <v>138117.0</v>
      </c>
      <c r="L41" s="3" t="n">
        <v>138726.0</v>
      </c>
      <c r="M41" s="3" t="n">
        <v>140872.0</v>
      </c>
      <c r="N41" s="3" t="n">
        <v>143805.0</v>
      </c>
      <c r="O41" s="3" t="n">
        <v>144715.0</v>
      </c>
      <c r="P41" s="3" t="n">
        <v>144913.0</v>
      </c>
      <c r="Q41" s="3" t="n">
        <v>144079.0</v>
      </c>
      <c r="R41" s="3" t="n">
        <v>140975.0</v>
      </c>
      <c r="S41" s="3" t="n">
        <v>136474.0</v>
      </c>
      <c r="T41" s="3" t="n">
        <v>131786.0</v>
      </c>
      <c r="U41" s="3" t="n">
        <v>128030.0</v>
      </c>
      <c r="V41" s="3" t="n">
        <v>125557.0</v>
      </c>
      <c r="W41" s="3" t="n">
        <v>122318.0</v>
      </c>
      <c r="X41" s="3" t="n">
        <v>119349.0</v>
      </c>
      <c r="Y41" s="3" t="n">
        <v>115699.0</v>
      </c>
      <c r="Z41" s="3" t="n">
        <v>111167.0</v>
      </c>
      <c r="AA41" s="3" t="n">
        <v>106320.0</v>
      </c>
      <c r="AB41" s="3" t="n">
        <v>102347.0</v>
      </c>
      <c r="AC41" s="3" t="n">
        <v>98328.0</v>
      </c>
      <c r="AD41" s="3" t="n">
        <v>94768.0</v>
      </c>
      <c r="AE41" s="3" t="n">
        <v>92093.0</v>
      </c>
      <c r="AF41" s="3" t="n">
        <v>89829.0</v>
      </c>
      <c r="AG41" s="3" t="n">
        <v>87359.0</v>
      </c>
      <c r="AH41" s="3" t="n">
        <v>85460.0</v>
      </c>
      <c r="AI41" s="3" t="n">
        <v>84663.0</v>
      </c>
      <c r="AJ41" s="3" t="n">
        <v>84755.0</v>
      </c>
      <c r="AK41" s="3" t="n">
        <v>85796.0</v>
      </c>
      <c r="AL41" s="3" t="n">
        <v>88519.0</v>
      </c>
      <c r="AM41" s="3" t="n">
        <v>92686.0</v>
      </c>
      <c r="AN41" s="3" t="n">
        <v>97171.0</v>
      </c>
      <c r="AO41" s="3" t="n">
        <v>100727.0</v>
      </c>
    </row>
    <row r="42" spans="1:41" x14ac:dyDescent="0.2">
      <c r="A42" s="127"/>
      <c r="B42" s="52" t="s">
        <v>31</v>
      </c>
      <c r="C42" s="11" t="n">
        <v>95082.0</v>
      </c>
      <c r="D42" s="3" t="n">
        <v>94135.0</v>
      </c>
      <c r="E42" s="3" t="n">
        <v>94470.0</v>
      </c>
      <c r="F42" s="3" t="n">
        <v>96115.0</v>
      </c>
      <c r="G42" s="3" t="n">
        <v>98791.0</v>
      </c>
      <c r="H42" s="3" t="n">
        <v>102451.0</v>
      </c>
      <c r="I42" s="3" t="n">
        <v>106829.0</v>
      </c>
      <c r="J42" s="3" t="n">
        <v>111122.0</v>
      </c>
      <c r="K42" s="3" t="n">
        <v>115512.0</v>
      </c>
      <c r="L42" s="3" t="n">
        <v>120176.0</v>
      </c>
      <c r="M42" s="3" t="n">
        <v>124019.0</v>
      </c>
      <c r="N42" s="3" t="n">
        <v>126629.0</v>
      </c>
      <c r="O42" s="3" t="n">
        <v>130296.0</v>
      </c>
      <c r="P42" s="3" t="n">
        <v>132580.0</v>
      </c>
      <c r="Q42" s="3" t="n">
        <v>133231.0</v>
      </c>
      <c r="R42" s="3" t="n">
        <v>135375.0</v>
      </c>
      <c r="S42" s="3" t="n">
        <v>138281.0</v>
      </c>
      <c r="T42" s="3" t="n">
        <v>139253.0</v>
      </c>
      <c r="U42" s="3" t="n">
        <v>139500.0</v>
      </c>
      <c r="V42" s="3" t="n">
        <v>138731.0</v>
      </c>
      <c r="W42" s="3" t="n">
        <v>135789.0</v>
      </c>
      <c r="X42" s="3" t="n">
        <v>131506.0</v>
      </c>
      <c r="Y42" s="3" t="n">
        <v>127078.0</v>
      </c>
      <c r="Z42" s="3" t="n">
        <v>123532.0</v>
      </c>
      <c r="AA42" s="3" t="n">
        <v>121224.0</v>
      </c>
      <c r="AB42" s="3" t="n">
        <v>118181.0</v>
      </c>
      <c r="AC42" s="3" t="n">
        <v>115387.0</v>
      </c>
      <c r="AD42" s="3" t="n">
        <v>111897.0</v>
      </c>
      <c r="AE42" s="3" t="n">
        <v>107571.0</v>
      </c>
      <c r="AF42" s="3" t="n">
        <v>102936.0</v>
      </c>
      <c r="AG42" s="3" t="n">
        <v>99155.0</v>
      </c>
      <c r="AH42" s="3" t="n">
        <v>95323.0</v>
      </c>
      <c r="AI42" s="3" t="n">
        <v>91943.0</v>
      </c>
      <c r="AJ42" s="3" t="n">
        <v>89403.0</v>
      </c>
      <c r="AK42" s="3" t="n">
        <v>87271.0</v>
      </c>
      <c r="AL42" s="3" t="n">
        <v>84940.0</v>
      </c>
      <c r="AM42" s="3" t="n">
        <v>83151.0</v>
      </c>
      <c r="AN42" s="3" t="n">
        <v>82432.0</v>
      </c>
      <c r="AO42" s="3" t="n">
        <v>82582.0</v>
      </c>
    </row>
    <row r="43" spans="1:41" x14ac:dyDescent="0.2">
      <c r="A43" s="127"/>
      <c r="B43" s="52" t="s">
        <v>32</v>
      </c>
      <c r="C43" s="3" t="n">
        <v>100404.0</v>
      </c>
      <c r="D43" s="3" t="n">
        <v>96885.0</v>
      </c>
      <c r="E43" s="3" t="n">
        <v>93276.0</v>
      </c>
      <c r="F43" s="3" t="n">
        <v>91007.0</v>
      </c>
      <c r="G43" s="3" t="n">
        <v>89439.0</v>
      </c>
      <c r="H43" s="3" t="n">
        <v>88510.0</v>
      </c>
      <c r="I43" s="3" t="n">
        <v>87853.0</v>
      </c>
      <c r="J43" s="3" t="n">
        <v>88281.0</v>
      </c>
      <c r="K43" s="3" t="n">
        <v>89901.0</v>
      </c>
      <c r="L43" s="3" t="n">
        <v>92456.0</v>
      </c>
      <c r="M43" s="3" t="n">
        <v>95871.0</v>
      </c>
      <c r="N43" s="3" t="n">
        <v>100001.0</v>
      </c>
      <c r="O43" s="3" t="n">
        <v>104079.0</v>
      </c>
      <c r="P43" s="3" t="n">
        <v>108305.0</v>
      </c>
      <c r="Q43" s="3" t="n">
        <v>112790.0</v>
      </c>
      <c r="R43" s="3" t="n">
        <v>116496.0</v>
      </c>
      <c r="S43" s="3" t="n">
        <v>119051.0</v>
      </c>
      <c r="T43" s="3" t="n">
        <v>122592.0</v>
      </c>
      <c r="U43" s="3" t="n">
        <v>124855.0</v>
      </c>
      <c r="V43" s="3" t="n">
        <v>125564.0</v>
      </c>
      <c r="W43" s="3" t="n">
        <v>127720.0</v>
      </c>
      <c r="X43" s="3" t="n">
        <v>130591.0</v>
      </c>
      <c r="Y43" s="3" t="n">
        <v>131635.0</v>
      </c>
      <c r="Z43" s="3" t="n">
        <v>131970.0</v>
      </c>
      <c r="AA43" s="3" t="n">
        <v>131317.0</v>
      </c>
      <c r="AB43" s="3" t="n">
        <v>128595.0</v>
      </c>
      <c r="AC43" s="3" t="n">
        <v>124629.0</v>
      </c>
      <c r="AD43" s="3" t="n">
        <v>120526.0</v>
      </c>
      <c r="AE43" s="3" t="n">
        <v>117264.0</v>
      </c>
      <c r="AF43" s="3" t="n">
        <v>115162.0</v>
      </c>
      <c r="AG43" s="3" t="n">
        <v>112336.0</v>
      </c>
      <c r="AH43" s="3" t="n">
        <v>109765.0</v>
      </c>
      <c r="AI43" s="3" t="n">
        <v>106520.0</v>
      </c>
      <c r="AJ43" s="3" t="n">
        <v>102489.0</v>
      </c>
      <c r="AK43" s="3" t="n">
        <v>98142.0</v>
      </c>
      <c r="AL43" s="3" t="n">
        <v>94614.0</v>
      </c>
      <c r="AM43" s="3" t="n">
        <v>91041.0</v>
      </c>
      <c r="AN43" s="3" t="n">
        <v>87877.0</v>
      </c>
      <c r="AO43" s="3" t="n">
        <v>85534.0</v>
      </c>
    </row>
    <row r="44" spans="1:41" x14ac:dyDescent="0.2">
      <c r="A44" s="127"/>
      <c r="B44" s="53" t="s">
        <v>33</v>
      </c>
      <c r="C44" s="3" t="n">
        <v>98959.0</v>
      </c>
      <c r="D44" s="3" t="n">
        <v>99418.0</v>
      </c>
      <c r="E44" s="3" t="n">
        <v>99263.0</v>
      </c>
      <c r="F44" s="3" t="n">
        <v>97171.0</v>
      </c>
      <c r="G44" s="3" t="n">
        <v>93921.0</v>
      </c>
      <c r="H44" s="3" t="n">
        <v>90068.0</v>
      </c>
      <c r="I44" s="3" t="n">
        <v>87198.0</v>
      </c>
      <c r="J44" s="3" t="n">
        <v>84192.0</v>
      </c>
      <c r="K44" s="3" t="n">
        <v>82301.0</v>
      </c>
      <c r="L44" s="3" t="n">
        <v>81013.0</v>
      </c>
      <c r="M44" s="3" t="n">
        <v>80237.0</v>
      </c>
      <c r="N44" s="3" t="n">
        <v>79665.0</v>
      </c>
      <c r="O44" s="3" t="n">
        <v>80125.0</v>
      </c>
      <c r="P44" s="3" t="n">
        <v>81694.0</v>
      </c>
      <c r="Q44" s="3" t="n">
        <v>84132.0</v>
      </c>
      <c r="R44" s="3" t="n">
        <v>87360.0</v>
      </c>
      <c r="S44" s="3" t="n">
        <v>91253.0</v>
      </c>
      <c r="T44" s="3" t="n">
        <v>95094.0</v>
      </c>
      <c r="U44" s="3" t="n">
        <v>99072.0</v>
      </c>
      <c r="V44" s="3" t="n">
        <v>103315.0</v>
      </c>
      <c r="W44" s="3" t="n">
        <v>106839.0</v>
      </c>
      <c r="X44" s="3" t="n">
        <v>109317.0</v>
      </c>
      <c r="Y44" s="3" t="n">
        <v>112737.0</v>
      </c>
      <c r="Z44" s="3" t="n">
        <v>114951.0</v>
      </c>
      <c r="AA44" s="3" t="n">
        <v>115754.0</v>
      </c>
      <c r="AB44" s="3" t="n">
        <v>117903.0</v>
      </c>
      <c r="AC44" s="3" t="n">
        <v>120717.0</v>
      </c>
      <c r="AD44" s="3" t="n">
        <v>121830.0</v>
      </c>
      <c r="AE44" s="3" t="n">
        <v>122271.0</v>
      </c>
      <c r="AF44" s="3" t="n">
        <v>121763.0</v>
      </c>
      <c r="AG44" s="3" t="n">
        <v>119372.0</v>
      </c>
      <c r="AH44" s="3" t="n">
        <v>115815.0</v>
      </c>
      <c r="AI44" s="3" t="n">
        <v>112152.0</v>
      </c>
      <c r="AJ44" s="3" t="n">
        <v>109270.0</v>
      </c>
      <c r="AK44" s="3" t="n">
        <v>107427.0</v>
      </c>
      <c r="AL44" s="3" t="n">
        <v>104893.0</v>
      </c>
      <c r="AM44" s="3" t="n">
        <v>102592.0</v>
      </c>
      <c r="AN44" s="3" t="n">
        <v>99664.0</v>
      </c>
      <c r="AO44" s="3" t="n">
        <v>96002.0</v>
      </c>
    </row>
    <row r="45" spans="1:41" x14ac:dyDescent="0.2">
      <c r="A45" s="127"/>
      <c r="B45" s="52" t="s">
        <v>34</v>
      </c>
      <c r="C45" s="3" t="n">
        <v>77643.0</v>
      </c>
      <c r="D45" s="3" t="n">
        <v>78966.0</v>
      </c>
      <c r="E45" s="3" t="n">
        <v>80246.0</v>
      </c>
      <c r="F45" s="3" t="n">
        <v>81971.0</v>
      </c>
      <c r="G45" s="3" t="n">
        <v>83533.0</v>
      </c>
      <c r="H45" s="3" t="n">
        <v>85050.0</v>
      </c>
      <c r="I45" s="3" t="n">
        <v>85696.0</v>
      </c>
      <c r="J45" s="3" t="n">
        <v>85773.0</v>
      </c>
      <c r="K45" s="3" t="n">
        <v>84158.0</v>
      </c>
      <c r="L45" s="3" t="n">
        <v>81546.0</v>
      </c>
      <c r="M45" s="3" t="n">
        <v>78336.0</v>
      </c>
      <c r="N45" s="3" t="n">
        <v>75982.0</v>
      </c>
      <c r="O45" s="3" t="n">
        <v>73480.0</v>
      </c>
      <c r="P45" s="3" t="n">
        <v>71972.0</v>
      </c>
      <c r="Q45" s="3" t="n">
        <v>70982.0</v>
      </c>
      <c r="R45" s="3" t="n">
        <v>70444.0</v>
      </c>
      <c r="S45" s="3" t="n">
        <v>70090.0</v>
      </c>
      <c r="T45" s="3" t="n">
        <v>70634.0</v>
      </c>
      <c r="U45" s="3" t="n">
        <v>72170.0</v>
      </c>
      <c r="V45" s="3" t="n">
        <v>74463.0</v>
      </c>
      <c r="W45" s="3" t="n">
        <v>77478.0</v>
      </c>
      <c r="X45" s="3" t="n">
        <v>81066.0</v>
      </c>
      <c r="Y45" s="3" t="n">
        <v>84635.0</v>
      </c>
      <c r="Z45" s="3" t="n">
        <v>88326.0</v>
      </c>
      <c r="AA45" s="3" t="n">
        <v>92257.0</v>
      </c>
      <c r="AB45" s="3" t="n">
        <v>95564.0</v>
      </c>
      <c r="AC45" s="3" t="n">
        <v>97940.0</v>
      </c>
      <c r="AD45" s="3" t="n">
        <v>101168.0</v>
      </c>
      <c r="AE45" s="3" t="n">
        <v>103319.0</v>
      </c>
      <c r="AF45" s="3" t="n">
        <v>104223.0</v>
      </c>
      <c r="AG45" s="3" t="n">
        <v>106336.0</v>
      </c>
      <c r="AH45" s="3" t="n">
        <v>109054.0</v>
      </c>
      <c r="AI45" s="3" t="n">
        <v>110243.0</v>
      </c>
      <c r="AJ45" s="3" t="n">
        <v>110832.0</v>
      </c>
      <c r="AK45" s="3" t="n">
        <v>110505.0</v>
      </c>
      <c r="AL45" s="3" t="n">
        <v>108459.0</v>
      </c>
      <c r="AM45" s="3" t="n">
        <v>105378.0</v>
      </c>
      <c r="AN45" s="3" t="n">
        <v>102198.0</v>
      </c>
      <c r="AO45" s="3" t="n">
        <v>99747.0</v>
      </c>
    </row>
    <row r="46" spans="1:41" x14ac:dyDescent="0.2">
      <c r="A46" s="127"/>
      <c r="B46" s="52" t="s">
        <v>35</v>
      </c>
      <c r="C46" s="3" t="n">
        <v>41901.0</v>
      </c>
      <c r="D46" s="3" t="n">
        <v>48249.0</v>
      </c>
      <c r="E46" s="3" t="n">
        <v>54507.0</v>
      </c>
      <c r="F46" s="3" t="n">
        <v>59896.0</v>
      </c>
      <c r="G46" s="3" t="n">
        <v>60895.0</v>
      </c>
      <c r="H46" s="3" t="n">
        <v>62733.0</v>
      </c>
      <c r="I46" s="3" t="n">
        <v>64054.0</v>
      </c>
      <c r="J46" s="3" t="n">
        <v>65319.0</v>
      </c>
      <c r="K46" s="3" t="n">
        <v>66943.0</v>
      </c>
      <c r="L46" s="3" t="n">
        <v>68452.0</v>
      </c>
      <c r="M46" s="3" t="n">
        <v>69878.0</v>
      </c>
      <c r="N46" s="3" t="n">
        <v>70598.0</v>
      </c>
      <c r="O46" s="3" t="n">
        <v>70824.0</v>
      </c>
      <c r="P46" s="3" t="n">
        <v>69641.0</v>
      </c>
      <c r="Q46" s="3" t="n">
        <v>67649.0</v>
      </c>
      <c r="R46" s="3" t="n">
        <v>65166.0</v>
      </c>
      <c r="S46" s="3" t="n">
        <v>63383.0</v>
      </c>
      <c r="T46" s="3" t="n">
        <v>61474.0</v>
      </c>
      <c r="U46" s="3" t="n">
        <v>60361.0</v>
      </c>
      <c r="V46" s="3" t="n">
        <v>59692.0</v>
      </c>
      <c r="W46" s="3" t="n">
        <v>59386.0</v>
      </c>
      <c r="X46" s="3" t="n">
        <v>59257.0</v>
      </c>
      <c r="Y46" s="3" t="n">
        <v>59912.0</v>
      </c>
      <c r="Z46" s="3" t="n">
        <v>61387.0</v>
      </c>
      <c r="AA46" s="3" t="n">
        <v>63512.0</v>
      </c>
      <c r="AB46" s="3" t="n">
        <v>66232.0</v>
      </c>
      <c r="AC46" s="3" t="n">
        <v>69471.0</v>
      </c>
      <c r="AD46" s="3" t="n">
        <v>72696.0</v>
      </c>
      <c r="AE46" s="3" t="n">
        <v>76023.0</v>
      </c>
      <c r="AF46" s="3" t="n">
        <v>79569.0</v>
      </c>
      <c r="AG46" s="3" t="n">
        <v>82585.0</v>
      </c>
      <c r="AH46" s="3" t="n">
        <v>84803.0</v>
      </c>
      <c r="AI46" s="3" t="n">
        <v>87774.0</v>
      </c>
      <c r="AJ46" s="3" t="n">
        <v>89862.0</v>
      </c>
      <c r="AK46" s="3" t="n">
        <v>90835.0</v>
      </c>
      <c r="AL46" s="3" t="n">
        <v>92895.0</v>
      </c>
      <c r="AM46" s="3" t="n">
        <v>95459.0</v>
      </c>
      <c r="AN46" s="3" t="n">
        <v>96728.0</v>
      </c>
      <c r="AO46" s="3" t="n">
        <v>97403.0</v>
      </c>
    </row>
    <row r="47" spans="1:41" x14ac:dyDescent="0.2">
      <c r="A47" s="127"/>
      <c r="B47" s="52" t="s">
        <v>36</v>
      </c>
      <c r="C47" s="3" t="n">
        <v>21794.0</v>
      </c>
      <c r="D47" s="3" t="n">
        <v>21366.0</v>
      </c>
      <c r="E47" s="3" t="n">
        <v>20930.0</v>
      </c>
      <c r="F47" s="3" t="n">
        <v>21364.0</v>
      </c>
      <c r="G47" s="3" t="n">
        <v>26394.0</v>
      </c>
      <c r="H47" s="3" t="n">
        <v>30687.0</v>
      </c>
      <c r="I47" s="3" t="n">
        <v>35445.0</v>
      </c>
      <c r="J47" s="3" t="n">
        <v>40017.0</v>
      </c>
      <c r="K47" s="3" t="n">
        <v>43931.0</v>
      </c>
      <c r="L47" s="3" t="n">
        <v>44896.0</v>
      </c>
      <c r="M47" s="3" t="n">
        <v>46468.0</v>
      </c>
      <c r="N47" s="3" t="n">
        <v>47702.0</v>
      </c>
      <c r="O47" s="3" t="n">
        <v>48846.0</v>
      </c>
      <c r="P47" s="3" t="n">
        <v>50255.0</v>
      </c>
      <c r="Q47" s="3" t="n">
        <v>51598.0</v>
      </c>
      <c r="R47" s="3" t="n">
        <v>52894.0</v>
      </c>
      <c r="S47" s="3" t="n">
        <v>53645.0</v>
      </c>
      <c r="T47" s="3" t="n">
        <v>53981.0</v>
      </c>
      <c r="U47" s="3" t="n">
        <v>53231.0</v>
      </c>
      <c r="V47" s="3" t="n">
        <v>51865.0</v>
      </c>
      <c r="W47" s="3" t="n">
        <v>50140.0</v>
      </c>
      <c r="X47" s="3" t="n">
        <v>48986.0</v>
      </c>
      <c r="Y47" s="3" t="n">
        <v>47729.0</v>
      </c>
      <c r="Z47" s="3" t="n">
        <v>47055.0</v>
      </c>
      <c r="AA47" s="3" t="n">
        <v>46696.0</v>
      </c>
      <c r="AB47" s="3" t="n">
        <v>46624.0</v>
      </c>
      <c r="AC47" s="3" t="n">
        <v>46724.0</v>
      </c>
      <c r="AD47" s="3" t="n">
        <v>47425.0</v>
      </c>
      <c r="AE47" s="3" t="n">
        <v>48780.0</v>
      </c>
      <c r="AF47" s="3" t="n">
        <v>50667.0</v>
      </c>
      <c r="AG47" s="3" t="n">
        <v>53025.0</v>
      </c>
      <c r="AH47" s="3" t="n">
        <v>55800.0</v>
      </c>
      <c r="AI47" s="3" t="n">
        <v>58554.0</v>
      </c>
      <c r="AJ47" s="3" t="n">
        <v>61457.0</v>
      </c>
      <c r="AK47" s="3" t="n">
        <v>64518.0</v>
      </c>
      <c r="AL47" s="3" t="n">
        <v>67156.0</v>
      </c>
      <c r="AM47" s="3" t="n">
        <v>69162.0</v>
      </c>
      <c r="AN47" s="3" t="n">
        <v>71798.0</v>
      </c>
      <c r="AO47" s="3" t="n">
        <v>73718.0</v>
      </c>
    </row>
    <row r="48" spans="1:41" x14ac:dyDescent="0.2">
      <c r="A48" s="127"/>
      <c r="B48" s="52" t="s">
        <v>37</v>
      </c>
      <c r="C48" s="3" t="n">
        <v>12030.0</v>
      </c>
      <c r="D48" s="3" t="n">
        <v>12324.0</v>
      </c>
      <c r="E48" s="3" t="n">
        <v>12653.0</v>
      </c>
      <c r="F48" s="3" t="n">
        <v>12737.0</v>
      </c>
      <c r="G48" s="3" t="n">
        <v>12774.0</v>
      </c>
      <c r="H48" s="3" t="n">
        <v>12787.0</v>
      </c>
      <c r="I48" s="3" t="n">
        <v>12653.0</v>
      </c>
      <c r="J48" s="3" t="n">
        <v>12494.0</v>
      </c>
      <c r="K48" s="3" t="n">
        <v>12882.0</v>
      </c>
      <c r="L48" s="3" t="n">
        <v>16281.0</v>
      </c>
      <c r="M48" s="3" t="n">
        <v>19063.0</v>
      </c>
      <c r="N48" s="3" t="n">
        <v>22105.0</v>
      </c>
      <c r="O48" s="3" t="n">
        <v>24946.0</v>
      </c>
      <c r="P48" s="3" t="n">
        <v>27371.0</v>
      </c>
      <c r="Q48" s="3" t="n">
        <v>28199.0</v>
      </c>
      <c r="R48" s="3" t="n">
        <v>29375.0</v>
      </c>
      <c r="S48" s="3" t="n">
        <v>30359.0</v>
      </c>
      <c r="T48" s="3" t="n">
        <v>31289.0</v>
      </c>
      <c r="U48" s="3" t="n">
        <v>32394.0</v>
      </c>
      <c r="V48" s="3" t="n">
        <v>33467.0</v>
      </c>
      <c r="W48" s="3" t="n">
        <v>34536.0</v>
      </c>
      <c r="X48" s="3" t="n">
        <v>35221.0</v>
      </c>
      <c r="Y48" s="3" t="n">
        <v>35636.0</v>
      </c>
      <c r="Z48" s="3" t="n">
        <v>35280.0</v>
      </c>
      <c r="AA48" s="3" t="n">
        <v>34534.0</v>
      </c>
      <c r="AB48" s="3" t="n">
        <v>33578.0</v>
      </c>
      <c r="AC48" s="3" t="n">
        <v>33026.0</v>
      </c>
      <c r="AD48" s="3" t="n">
        <v>32400.0</v>
      </c>
      <c r="AE48" s="3" t="n">
        <v>32122.0</v>
      </c>
      <c r="AF48" s="3" t="n">
        <v>32033.0</v>
      </c>
      <c r="AG48" s="3" t="n">
        <v>32155.0</v>
      </c>
      <c r="AH48" s="3" t="n">
        <v>32430.0</v>
      </c>
      <c r="AI48" s="3" t="n">
        <v>33115.0</v>
      </c>
      <c r="AJ48" s="3" t="n">
        <v>34301.0</v>
      </c>
      <c r="AK48" s="3" t="n">
        <v>35844.0</v>
      </c>
      <c r="AL48" s="3" t="n">
        <v>37719.0</v>
      </c>
      <c r="AM48" s="3" t="n">
        <v>39899.0</v>
      </c>
      <c r="AN48" s="3" t="n">
        <v>42064.0</v>
      </c>
      <c r="AO48" s="3" t="n">
        <v>44376.0</v>
      </c>
    </row>
    <row r="49" spans="1:41" x14ac:dyDescent="0.2">
      <c r="A49" s="127"/>
      <c r="B49" s="55" t="s">
        <v>69</v>
      </c>
      <c r="C49" s="3" t="n">
        <v>4240.0</v>
      </c>
      <c r="D49" s="3" t="n">
        <v>4519.0</v>
      </c>
      <c r="E49" s="3" t="n">
        <v>4712.0</v>
      </c>
      <c r="F49" s="3" t="n">
        <v>4915.0</v>
      </c>
      <c r="G49" s="3" t="n">
        <v>5112.0</v>
      </c>
      <c r="H49" s="3" t="n">
        <v>5327.0</v>
      </c>
      <c r="I49" s="3" t="n">
        <v>5516.0</v>
      </c>
      <c r="J49" s="3" t="n">
        <v>5715.0</v>
      </c>
      <c r="K49" s="3" t="n">
        <v>5815.0</v>
      </c>
      <c r="L49" s="3" t="n">
        <v>5908.0</v>
      </c>
      <c r="M49" s="3" t="n">
        <v>5973.0</v>
      </c>
      <c r="N49" s="3" t="n">
        <v>5986.0</v>
      </c>
      <c r="O49" s="3" t="n">
        <v>5975.0</v>
      </c>
      <c r="P49" s="3" t="n">
        <v>6231.0</v>
      </c>
      <c r="Q49" s="3" t="n">
        <v>8112.0</v>
      </c>
      <c r="R49" s="3" t="n">
        <v>9589.0</v>
      </c>
      <c r="S49" s="3" t="n">
        <v>11177.0</v>
      </c>
      <c r="T49" s="3" t="n">
        <v>12622.0</v>
      </c>
      <c r="U49" s="3" t="n">
        <v>13851.0</v>
      </c>
      <c r="V49" s="3" t="n">
        <v>14433.0</v>
      </c>
      <c r="W49" s="3" t="n">
        <v>15185.0</v>
      </c>
      <c r="X49" s="3" t="n">
        <v>15848.0</v>
      </c>
      <c r="Y49" s="3" t="n">
        <v>16490.0</v>
      </c>
      <c r="Z49" s="3" t="n">
        <v>17231.0</v>
      </c>
      <c r="AA49" s="3" t="n">
        <v>17959.0</v>
      </c>
      <c r="AB49" s="3" t="n">
        <v>18700.0</v>
      </c>
      <c r="AC49" s="3" t="n">
        <v>19215.0</v>
      </c>
      <c r="AD49" s="3" t="n">
        <v>19567.0</v>
      </c>
      <c r="AE49" s="3" t="n">
        <v>19498.0</v>
      </c>
      <c r="AF49" s="3" t="n">
        <v>19215.0</v>
      </c>
      <c r="AG49" s="3" t="n">
        <v>18824.0</v>
      </c>
      <c r="AH49" s="3" t="n">
        <v>18684.0</v>
      </c>
      <c r="AI49" s="3" t="n">
        <v>18487.0</v>
      </c>
      <c r="AJ49" s="3" t="n">
        <v>18509.0</v>
      </c>
      <c r="AK49" s="3" t="n">
        <v>18604.0</v>
      </c>
      <c r="AL49" s="3" t="n">
        <v>18820.0</v>
      </c>
      <c r="AM49" s="3" t="n">
        <v>19148.0</v>
      </c>
      <c r="AN49" s="3" t="n">
        <v>19724.0</v>
      </c>
      <c r="AO49" s="3" t="n">
        <v>20591.0</v>
      </c>
    </row>
    <row r="50" spans="1:41" x14ac:dyDescent="0.2">
      <c r="A50" s="127"/>
      <c r="B50" s="55" t="s">
        <v>70</v>
      </c>
      <c r="C50" s="3" t="n">
        <v>823.0</v>
      </c>
      <c r="D50" s="3" t="n">
        <v>888.0</v>
      </c>
      <c r="E50" s="3" t="n">
        <v>972.0</v>
      </c>
      <c r="F50" s="3" t="n">
        <v>1053.0</v>
      </c>
      <c r="G50" s="3" t="n">
        <v>1203.0</v>
      </c>
      <c r="H50" s="3" t="n">
        <v>1296.0</v>
      </c>
      <c r="I50" s="3" t="n">
        <v>1402.0</v>
      </c>
      <c r="J50" s="3" t="n">
        <v>1482.0</v>
      </c>
      <c r="K50" s="3" t="n">
        <v>1555.0</v>
      </c>
      <c r="L50" s="3" t="n">
        <v>1634.0</v>
      </c>
      <c r="M50" s="3" t="n">
        <v>1740.0</v>
      </c>
      <c r="N50" s="3" t="n">
        <v>1832.0</v>
      </c>
      <c r="O50" s="3" t="n">
        <v>1925.0</v>
      </c>
      <c r="P50" s="3" t="n">
        <v>1985.0</v>
      </c>
      <c r="Q50" s="3" t="n">
        <v>2035.0</v>
      </c>
      <c r="R50" s="3" t="n">
        <v>2088.0</v>
      </c>
      <c r="S50" s="3" t="n">
        <v>2122.0</v>
      </c>
      <c r="T50" s="3" t="n">
        <v>2152.0</v>
      </c>
      <c r="U50" s="3" t="n">
        <v>2282.0</v>
      </c>
      <c r="V50" s="3" t="n">
        <v>3082.0</v>
      </c>
      <c r="W50" s="3" t="n">
        <v>3680.0</v>
      </c>
      <c r="X50" s="3" t="n">
        <v>4315.0</v>
      </c>
      <c r="Y50" s="3" t="n">
        <v>4905.0</v>
      </c>
      <c r="Z50" s="3" t="n">
        <v>5390.0</v>
      </c>
      <c r="AA50" s="3" t="n">
        <v>5709.0</v>
      </c>
      <c r="AB50" s="3" t="n">
        <v>6077.0</v>
      </c>
      <c r="AC50" s="3" t="n">
        <v>6424.0</v>
      </c>
      <c r="AD50" s="3" t="n">
        <v>6762.0</v>
      </c>
      <c r="AE50" s="3" t="n">
        <v>7144.0</v>
      </c>
      <c r="AF50" s="3" t="n">
        <v>7525.0</v>
      </c>
      <c r="AG50" s="3" t="n">
        <v>7920.0</v>
      </c>
      <c r="AH50" s="3" t="n">
        <v>8227.0</v>
      </c>
      <c r="AI50" s="3" t="n">
        <v>8452.0</v>
      </c>
      <c r="AJ50" s="3" t="n">
        <v>8493.0</v>
      </c>
      <c r="AK50" s="3" t="n">
        <v>8441.0</v>
      </c>
      <c r="AL50" s="3" t="n">
        <v>8370.0</v>
      </c>
      <c r="AM50" s="3" t="n">
        <v>8416.0</v>
      </c>
      <c r="AN50" s="3" t="n">
        <v>8429.0</v>
      </c>
      <c r="AO50" s="3" t="n">
        <v>8536.0</v>
      </c>
    </row>
    <row r="51" spans="1:41" x14ac:dyDescent="0.2">
      <c r="A51" s="127"/>
      <c r="B51" s="54" t="s">
        <v>68</v>
      </c>
      <c r="C51" s="3" t="n">
        <v>149.0</v>
      </c>
      <c r="D51" s="3" t="n">
        <v>137.0</v>
      </c>
      <c r="E51" s="3" t="n">
        <v>141.0</v>
      </c>
      <c r="F51" s="3" t="n">
        <v>144.0</v>
      </c>
      <c r="G51" s="3" t="n">
        <v>148.0</v>
      </c>
      <c r="H51" s="3" t="n">
        <v>170.0</v>
      </c>
      <c r="I51" s="3" t="n">
        <v>183.0</v>
      </c>
      <c r="J51" s="3" t="n">
        <v>201.0</v>
      </c>
      <c r="K51" s="3" t="n">
        <v>230.0</v>
      </c>
      <c r="L51" s="3" t="n">
        <v>260.0</v>
      </c>
      <c r="M51" s="3" t="n">
        <v>277.0</v>
      </c>
      <c r="N51" s="3" t="n">
        <v>307.0</v>
      </c>
      <c r="O51" s="3" t="n">
        <v>336.0</v>
      </c>
      <c r="P51" s="3" t="n">
        <v>362.0</v>
      </c>
      <c r="Q51" s="3" t="n">
        <v>384.0</v>
      </c>
      <c r="R51" s="3" t="n">
        <v>417.0</v>
      </c>
      <c r="S51" s="3" t="n">
        <v>440.0</v>
      </c>
      <c r="T51" s="3" t="n">
        <v>470.0</v>
      </c>
      <c r="U51" s="3" t="n">
        <v>498.0</v>
      </c>
      <c r="V51" s="3" t="n">
        <v>526.0</v>
      </c>
      <c r="W51" s="3" t="n">
        <v>550.0</v>
      </c>
      <c r="X51" s="3" t="n">
        <v>576.0</v>
      </c>
      <c r="Y51" s="3" t="n">
        <v>595.0</v>
      </c>
      <c r="Z51" s="3" t="n">
        <v>641.0</v>
      </c>
      <c r="AA51" s="3" t="n">
        <v>883.0</v>
      </c>
      <c r="AB51" s="3" t="n">
        <v>1058.0</v>
      </c>
      <c r="AC51" s="3" t="n">
        <v>1234.0</v>
      </c>
      <c r="AD51" s="3" t="n">
        <v>1403.0</v>
      </c>
      <c r="AE51" s="3" t="n">
        <v>1552.0</v>
      </c>
      <c r="AF51" s="3" t="n">
        <v>1710.0</v>
      </c>
      <c r="AG51" s="3" t="n">
        <v>1876.0</v>
      </c>
      <c r="AH51" s="3" t="n">
        <v>2031.0</v>
      </c>
      <c r="AI51" s="3" t="n">
        <v>2197.0</v>
      </c>
      <c r="AJ51" s="3" t="n">
        <v>2369.0</v>
      </c>
      <c r="AK51" s="3" t="n">
        <v>2542.0</v>
      </c>
      <c r="AL51" s="3" t="n">
        <v>2719.0</v>
      </c>
      <c r="AM51" s="3" t="n">
        <v>2867.0</v>
      </c>
      <c r="AN51" s="3" t="n">
        <v>3001.0</v>
      </c>
      <c r="AO51" s="3" t="n">
        <v>3083.0</v>
      </c>
    </row>
    <row r="52" spans="1:41" x14ac:dyDescent="0.2">
      <c r="A52" s="126" t="s">
        <v>50</v>
      </c>
      <c r="B52" s="59" t="s">
        <v>62</v>
      </c>
      <c r="C52" s="57" t="n">
        <v>1796325.0</v>
      </c>
      <c r="D52" s="57" t="n">
        <v>1796094.0</v>
      </c>
      <c r="E52" s="57" t="n">
        <v>1796187.0</v>
      </c>
      <c r="F52" s="57" t="n">
        <v>1796420.0</v>
      </c>
      <c r="G52" s="57" t="n">
        <v>1796839.0</v>
      </c>
      <c r="H52" s="57" t="n">
        <v>1806557.0</v>
      </c>
      <c r="I52" s="57" t="n">
        <v>1819888.0</v>
      </c>
      <c r="J52" s="57" t="n">
        <v>1825736.0</v>
      </c>
      <c r="K52" s="57" t="n">
        <v>1827522.0</v>
      </c>
      <c r="L52" s="57" t="n">
        <v>1827816.0</v>
      </c>
      <c r="M52" s="57" t="n">
        <v>1827110.0</v>
      </c>
      <c r="N52" s="57" t="n">
        <v>1825704.0</v>
      </c>
      <c r="O52" s="57" t="n">
        <v>1823667.0</v>
      </c>
      <c r="P52" s="57" t="n">
        <v>1821292.0</v>
      </c>
      <c r="Q52" s="57" t="n">
        <v>1818814.0</v>
      </c>
      <c r="R52" s="57" t="n">
        <v>1816070.0</v>
      </c>
      <c r="S52" s="57" t="n">
        <v>1813043.0</v>
      </c>
      <c r="T52" s="57" t="n">
        <v>1809958.0</v>
      </c>
      <c r="U52" s="57" t="n">
        <v>1806703.0</v>
      </c>
      <c r="V52" s="57" t="n">
        <v>1803455.0</v>
      </c>
      <c r="W52" s="57" t="n">
        <v>1799982.0</v>
      </c>
      <c r="X52" s="57" t="n">
        <v>1796404.0</v>
      </c>
      <c r="Y52" s="57" t="n">
        <v>1792872.0</v>
      </c>
      <c r="Z52" s="57" t="n">
        <v>1789153.0</v>
      </c>
      <c r="AA52" s="57" t="n">
        <v>1785273.0</v>
      </c>
      <c r="AB52" s="57" t="n">
        <v>1781484.0</v>
      </c>
      <c r="AC52" s="57" t="n">
        <v>1777537.0</v>
      </c>
      <c r="AD52" s="57" t="n">
        <v>1773394.0</v>
      </c>
      <c r="AE52" s="57" t="n">
        <v>1769295.0</v>
      </c>
      <c r="AF52" s="57" t="n">
        <v>1764952.0</v>
      </c>
      <c r="AG52" s="57" t="n">
        <v>1760479.0</v>
      </c>
      <c r="AH52" s="57" t="n">
        <v>1756050.0</v>
      </c>
      <c r="AI52" s="57" t="n">
        <v>1751471.0</v>
      </c>
      <c r="AJ52" s="57" t="n">
        <v>1746929.0</v>
      </c>
      <c r="AK52" s="57" t="n">
        <v>1742217.0</v>
      </c>
      <c r="AL52" s="57" t="n">
        <v>1737359.0</v>
      </c>
      <c r="AM52" s="57" t="n">
        <v>1732540.0</v>
      </c>
      <c r="AN52" s="57" t="n">
        <v>1727607.0</v>
      </c>
      <c r="AO52" s="57" t="n">
        <v>1722570.0</v>
      </c>
    </row>
    <row r="53" spans="1:41" x14ac:dyDescent="0.2">
      <c r="A53" s="127"/>
      <c r="B53" s="52" t="s">
        <v>20</v>
      </c>
      <c r="C53" s="3" t="n">
        <v>85200.0</v>
      </c>
      <c r="D53" s="3" t="n">
        <v>81959.0</v>
      </c>
      <c r="E53" s="3" t="n">
        <v>79650.0</v>
      </c>
      <c r="F53" s="3" t="n">
        <v>78443.0</v>
      </c>
      <c r="G53" s="3" t="n">
        <v>77862.0</v>
      </c>
      <c r="H53" s="3" t="n">
        <v>79694.0</v>
      </c>
      <c r="I53" s="3" t="n">
        <v>80889.0</v>
      </c>
      <c r="J53" s="3" t="n">
        <v>81447.0</v>
      </c>
      <c r="K53" s="3" t="n">
        <v>81644.0</v>
      </c>
      <c r="L53" s="3" t="n">
        <v>81730.0</v>
      </c>
      <c r="M53" s="3" t="n">
        <v>81810.0</v>
      </c>
      <c r="N53" s="3" t="n">
        <v>81858.0</v>
      </c>
      <c r="O53" s="3" t="n">
        <v>81842.0</v>
      </c>
      <c r="P53" s="3" t="n">
        <v>81839.0</v>
      </c>
      <c r="Q53" s="3" t="n">
        <v>81911.0</v>
      </c>
      <c r="R53" s="3" t="n">
        <v>82091.0</v>
      </c>
      <c r="S53" s="3" t="n">
        <v>82430.0</v>
      </c>
      <c r="T53" s="3" t="n">
        <v>82907.0</v>
      </c>
      <c r="U53" s="3" t="n">
        <v>83511.0</v>
      </c>
      <c r="V53" s="3" t="n">
        <v>84188.0</v>
      </c>
      <c r="W53" s="3" t="n">
        <v>84872.0</v>
      </c>
      <c r="X53" s="3" t="n">
        <v>85521.0</v>
      </c>
      <c r="Y53" s="3" t="n">
        <v>86087.0</v>
      </c>
      <c r="Z53" s="3" t="n">
        <v>86524.0</v>
      </c>
      <c r="AA53" s="3" t="n">
        <v>86800.0</v>
      </c>
      <c r="AB53" s="3" t="n">
        <v>86917.0</v>
      </c>
      <c r="AC53" s="3" t="n">
        <v>86849.0</v>
      </c>
      <c r="AD53" s="3" t="n">
        <v>86613.0</v>
      </c>
      <c r="AE53" s="3" t="n">
        <v>86218.0</v>
      </c>
      <c r="AF53" s="3" t="n">
        <v>85674.0</v>
      </c>
      <c r="AG53" s="3" t="n">
        <v>85014.0</v>
      </c>
      <c r="AH53" s="3" t="n">
        <v>84259.0</v>
      </c>
      <c r="AI53" s="3" t="n">
        <v>83461.0</v>
      </c>
      <c r="AJ53" s="3" t="n">
        <v>82654.0</v>
      </c>
      <c r="AK53" s="3" t="n">
        <v>81886.0</v>
      </c>
      <c r="AL53" s="3" t="n">
        <v>81164.0</v>
      </c>
      <c r="AM53" s="3" t="n">
        <v>80529.0</v>
      </c>
      <c r="AN53" s="3" t="n">
        <v>80003.0</v>
      </c>
      <c r="AO53" s="3" t="n">
        <v>79615.0</v>
      </c>
    </row>
    <row r="54" spans="1:41" x14ac:dyDescent="0.2">
      <c r="A54" s="127"/>
      <c r="B54" s="52" t="s">
        <v>21</v>
      </c>
      <c r="C54" s="3" t="n">
        <v>94460.0</v>
      </c>
      <c r="D54" s="3" t="n">
        <v>95130.0</v>
      </c>
      <c r="E54" s="3" t="n">
        <v>94733.0</v>
      </c>
      <c r="F54" s="3" t="n">
        <v>93466.0</v>
      </c>
      <c r="G54" s="3" t="n">
        <v>91139.0</v>
      </c>
      <c r="H54" s="3" t="n">
        <v>87023.0</v>
      </c>
      <c r="I54" s="3" t="n">
        <v>85097.0</v>
      </c>
      <c r="J54" s="3" t="n">
        <v>83277.0</v>
      </c>
      <c r="K54" s="3" t="n">
        <v>82162.0</v>
      </c>
      <c r="L54" s="3" t="n">
        <v>81519.0</v>
      </c>
      <c r="M54" s="3" t="n">
        <v>82511.0</v>
      </c>
      <c r="N54" s="3" t="n">
        <v>82656.0</v>
      </c>
      <c r="O54" s="3" t="n">
        <v>82743.0</v>
      </c>
      <c r="P54" s="3" t="n">
        <v>82766.0</v>
      </c>
      <c r="Q54" s="3" t="n">
        <v>82786.0</v>
      </c>
      <c r="R54" s="3" t="n">
        <v>82875.0</v>
      </c>
      <c r="S54" s="3" t="n">
        <v>82949.0</v>
      </c>
      <c r="T54" s="3" t="n">
        <v>82957.0</v>
      </c>
      <c r="U54" s="3" t="n">
        <v>82971.0</v>
      </c>
      <c r="V54" s="3" t="n">
        <v>83052.0</v>
      </c>
      <c r="W54" s="3" t="n">
        <v>83251.0</v>
      </c>
      <c r="X54" s="3" t="n">
        <v>83608.0</v>
      </c>
      <c r="Y54" s="3" t="n">
        <v>84099.0</v>
      </c>
      <c r="Z54" s="3" t="n">
        <v>84720.0</v>
      </c>
      <c r="AA54" s="3" t="n">
        <v>85395.0</v>
      </c>
      <c r="AB54" s="3" t="n">
        <v>86073.0</v>
      </c>
      <c r="AC54" s="3" t="n">
        <v>86725.0</v>
      </c>
      <c r="AD54" s="3" t="n">
        <v>87307.0</v>
      </c>
      <c r="AE54" s="3" t="n">
        <v>87740.0</v>
      </c>
      <c r="AF54" s="3" t="n">
        <v>88019.0</v>
      </c>
      <c r="AG54" s="3" t="n">
        <v>88136.0</v>
      </c>
      <c r="AH54" s="3" t="n">
        <v>88080.0</v>
      </c>
      <c r="AI54" s="3" t="n">
        <v>87860.0</v>
      </c>
      <c r="AJ54" s="3" t="n">
        <v>87482.0</v>
      </c>
      <c r="AK54" s="3" t="n">
        <v>86966.0</v>
      </c>
      <c r="AL54" s="3" t="n">
        <v>86323.0</v>
      </c>
      <c r="AM54" s="3" t="n">
        <v>85583.0</v>
      </c>
      <c r="AN54" s="3" t="n">
        <v>84786.0</v>
      </c>
      <c r="AO54" s="3" t="n">
        <v>83985.0</v>
      </c>
    </row>
    <row r="55" spans="1:41" x14ac:dyDescent="0.2">
      <c r="A55" s="127"/>
      <c r="B55" s="52" t="s">
        <v>22</v>
      </c>
      <c r="C55" s="3" t="n">
        <v>99050.0</v>
      </c>
      <c r="D55" s="3" t="n">
        <v>97114.0</v>
      </c>
      <c r="E55" s="3" t="n">
        <v>95660.0</v>
      </c>
      <c r="F55" s="3" t="n">
        <v>93845.0</v>
      </c>
      <c r="G55" s="3" t="n">
        <v>93844.0</v>
      </c>
      <c r="H55" s="3" t="n">
        <v>95897.0</v>
      </c>
      <c r="I55" s="3" t="n">
        <v>98039.0</v>
      </c>
      <c r="J55" s="3" t="n">
        <v>98339.0</v>
      </c>
      <c r="K55" s="3" t="n">
        <v>97339.0</v>
      </c>
      <c r="L55" s="3" t="n">
        <v>95066.0</v>
      </c>
      <c r="M55" s="3" t="n">
        <v>89945.0</v>
      </c>
      <c r="N55" s="3" t="n">
        <v>86577.0</v>
      </c>
      <c r="O55" s="3" t="n">
        <v>84057.0</v>
      </c>
      <c r="P55" s="3" t="n">
        <v>82656.0</v>
      </c>
      <c r="Q55" s="3" t="n">
        <v>81876.0</v>
      </c>
      <c r="R55" s="3" t="n">
        <v>82790.0</v>
      </c>
      <c r="S55" s="3" t="n">
        <v>82923.0</v>
      </c>
      <c r="T55" s="3" t="n">
        <v>83020.0</v>
      </c>
      <c r="U55" s="3" t="n">
        <v>83048.0</v>
      </c>
      <c r="V55" s="3" t="n">
        <v>83075.0</v>
      </c>
      <c r="W55" s="3" t="n">
        <v>83175.0</v>
      </c>
      <c r="X55" s="3" t="n">
        <v>83263.0</v>
      </c>
      <c r="Y55" s="3" t="n">
        <v>83287.0</v>
      </c>
      <c r="Z55" s="3" t="n">
        <v>83317.0</v>
      </c>
      <c r="AA55" s="3" t="n">
        <v>83410.0</v>
      </c>
      <c r="AB55" s="3" t="n">
        <v>83618.0</v>
      </c>
      <c r="AC55" s="3" t="n">
        <v>83976.0</v>
      </c>
      <c r="AD55" s="3" t="n">
        <v>84454.0</v>
      </c>
      <c r="AE55" s="3" t="n">
        <v>85062.0</v>
      </c>
      <c r="AF55" s="3" t="n">
        <v>85729.0</v>
      </c>
      <c r="AG55" s="3" t="n">
        <v>86406.0</v>
      </c>
      <c r="AH55" s="3" t="n">
        <v>87051.0</v>
      </c>
      <c r="AI55" s="3" t="n">
        <v>87629.0</v>
      </c>
      <c r="AJ55" s="3" t="n">
        <v>88060.0</v>
      </c>
      <c r="AK55" s="3" t="n">
        <v>88346.0</v>
      </c>
      <c r="AL55" s="3" t="n">
        <v>88474.0</v>
      </c>
      <c r="AM55" s="3" t="n">
        <v>88427.0</v>
      </c>
      <c r="AN55" s="3" t="n">
        <v>88216.0</v>
      </c>
      <c r="AO55" s="3" t="n">
        <v>87847.0</v>
      </c>
    </row>
    <row r="56" spans="1:41" x14ac:dyDescent="0.2">
      <c r="A56" s="127"/>
      <c r="B56" s="52" t="s">
        <v>23</v>
      </c>
      <c r="C56" s="3" t="n">
        <v>85539.0</v>
      </c>
      <c r="D56" s="3" t="n">
        <v>89801.0</v>
      </c>
      <c r="E56" s="3" t="n">
        <v>93820.0</v>
      </c>
      <c r="F56" s="3" t="n">
        <v>97136.0</v>
      </c>
      <c r="G56" s="3" t="n">
        <v>98752.0</v>
      </c>
      <c r="H56" s="3" t="n">
        <v>99895.0</v>
      </c>
      <c r="I56" s="3" t="n">
        <v>99159.0</v>
      </c>
      <c r="J56" s="3" t="n">
        <v>98345.0</v>
      </c>
      <c r="K56" s="3" t="n">
        <v>96858.0</v>
      </c>
      <c r="L56" s="3" t="n">
        <v>97083.0</v>
      </c>
      <c r="M56" s="3" t="n">
        <v>98278.0</v>
      </c>
      <c r="N56" s="3" t="n">
        <v>99074.0</v>
      </c>
      <c r="O56" s="3" t="n">
        <v>98750.0</v>
      </c>
      <c r="P56" s="3" t="n">
        <v>97495.0</v>
      </c>
      <c r="Q56" s="3" t="n">
        <v>95093.0</v>
      </c>
      <c r="R56" s="3" t="n">
        <v>89912.0</v>
      </c>
      <c r="S56" s="3" t="n">
        <v>86515.0</v>
      </c>
      <c r="T56" s="3" t="n">
        <v>83969.0</v>
      </c>
      <c r="U56" s="3" t="n">
        <v>82564.0</v>
      </c>
      <c r="V56" s="3" t="n">
        <v>81775.0</v>
      </c>
      <c r="W56" s="3" t="n">
        <v>82683.0</v>
      </c>
      <c r="X56" s="3" t="n">
        <v>82812.0</v>
      </c>
      <c r="Y56" s="3" t="n">
        <v>82916.0</v>
      </c>
      <c r="Z56" s="3" t="n">
        <v>82947.0</v>
      </c>
      <c r="AA56" s="3" t="n">
        <v>82975.0</v>
      </c>
      <c r="AB56" s="3" t="n">
        <v>83077.0</v>
      </c>
      <c r="AC56" s="3" t="n">
        <v>83171.0</v>
      </c>
      <c r="AD56" s="3" t="n">
        <v>83202.0</v>
      </c>
      <c r="AE56" s="3" t="n">
        <v>83234.0</v>
      </c>
      <c r="AF56" s="3" t="n">
        <v>83328.0</v>
      </c>
      <c r="AG56" s="3" t="n">
        <v>83532.0</v>
      </c>
      <c r="AH56" s="3" t="n">
        <v>83891.0</v>
      </c>
      <c r="AI56" s="3" t="n">
        <v>84365.0</v>
      </c>
      <c r="AJ56" s="3" t="n">
        <v>84974.0</v>
      </c>
      <c r="AK56" s="3" t="n">
        <v>85639.0</v>
      </c>
      <c r="AL56" s="3" t="n">
        <v>86314.0</v>
      </c>
      <c r="AM56" s="3" t="n">
        <v>86957.0</v>
      </c>
      <c r="AN56" s="3" t="n">
        <v>87540.0</v>
      </c>
      <c r="AO56" s="3" t="n">
        <v>87968.0</v>
      </c>
    </row>
    <row r="57" spans="1:41" x14ac:dyDescent="0.2">
      <c r="A57" s="127"/>
      <c r="B57" s="52" t="s">
        <v>24</v>
      </c>
      <c r="C57" s="3" t="n">
        <v>86110.0</v>
      </c>
      <c r="D57" s="3" t="n">
        <v>83870.0</v>
      </c>
      <c r="E57" s="3" t="n">
        <v>82129.0</v>
      </c>
      <c r="F57" s="3" t="n">
        <v>81940.0</v>
      </c>
      <c r="G57" s="3" t="n">
        <v>82854.0</v>
      </c>
      <c r="H57" s="3" t="n">
        <v>86112.0</v>
      </c>
      <c r="I57" s="3" t="n">
        <v>91303.0</v>
      </c>
      <c r="J57" s="3" t="n">
        <v>95806.0</v>
      </c>
      <c r="K57" s="3" t="n">
        <v>99356.0</v>
      </c>
      <c r="L57" s="3" t="n">
        <v>101120.0</v>
      </c>
      <c r="M57" s="3" t="n">
        <v>101589.0</v>
      </c>
      <c r="N57" s="3" t="n">
        <v>99847.0</v>
      </c>
      <c r="O57" s="3" t="n">
        <v>98550.0</v>
      </c>
      <c r="P57" s="3" t="n">
        <v>96878.0</v>
      </c>
      <c r="Q57" s="3" t="n">
        <v>96999.0</v>
      </c>
      <c r="R57" s="3" t="n">
        <v>98108.0</v>
      </c>
      <c r="S57" s="3" t="n">
        <v>98888.0</v>
      </c>
      <c r="T57" s="3" t="n">
        <v>98549.0</v>
      </c>
      <c r="U57" s="3" t="n">
        <v>97272.0</v>
      </c>
      <c r="V57" s="3" t="n">
        <v>94860.0</v>
      </c>
      <c r="W57" s="3" t="n">
        <v>89684.0</v>
      </c>
      <c r="X57" s="3" t="n">
        <v>86294.0</v>
      </c>
      <c r="Y57" s="3" t="n">
        <v>83729.0</v>
      </c>
      <c r="Z57" s="3" t="n">
        <v>82326.0</v>
      </c>
      <c r="AA57" s="3" t="n">
        <v>81540.0</v>
      </c>
      <c r="AB57" s="3" t="n">
        <v>82441.0</v>
      </c>
      <c r="AC57" s="3" t="n">
        <v>82565.0</v>
      </c>
      <c r="AD57" s="3" t="n">
        <v>82668.0</v>
      </c>
      <c r="AE57" s="3" t="n">
        <v>82700.0</v>
      </c>
      <c r="AF57" s="3" t="n">
        <v>82722.0</v>
      </c>
      <c r="AG57" s="3" t="n">
        <v>82828.0</v>
      </c>
      <c r="AH57" s="3" t="n">
        <v>82924.0</v>
      </c>
      <c r="AI57" s="3" t="n">
        <v>82955.0</v>
      </c>
      <c r="AJ57" s="3" t="n">
        <v>82991.0</v>
      </c>
      <c r="AK57" s="3" t="n">
        <v>83094.0</v>
      </c>
      <c r="AL57" s="3" t="n">
        <v>83305.0</v>
      </c>
      <c r="AM57" s="3" t="n">
        <v>83671.0</v>
      </c>
      <c r="AN57" s="3" t="n">
        <v>84149.0</v>
      </c>
      <c r="AO57" s="3" t="n">
        <v>84754.0</v>
      </c>
    </row>
    <row r="58" spans="1:41" x14ac:dyDescent="0.2">
      <c r="A58" s="127"/>
      <c r="B58" s="52" t="s">
        <v>25</v>
      </c>
      <c r="C58" s="3" t="n">
        <v>103378.0</v>
      </c>
      <c r="D58" s="3" t="n">
        <v>99105.0</v>
      </c>
      <c r="E58" s="3" t="n">
        <v>95315.0</v>
      </c>
      <c r="F58" s="3" t="n">
        <v>92246.0</v>
      </c>
      <c r="G58" s="3" t="n">
        <v>89324.0</v>
      </c>
      <c r="H58" s="3" t="n">
        <v>87075.0</v>
      </c>
      <c r="I58" s="3" t="n">
        <v>85819.0</v>
      </c>
      <c r="J58" s="3" t="n">
        <v>84524.0</v>
      </c>
      <c r="K58" s="3" t="n">
        <v>84463.0</v>
      </c>
      <c r="L58" s="3" t="n">
        <v>85350.0</v>
      </c>
      <c r="M58" s="3" t="n">
        <v>87957.0</v>
      </c>
      <c r="N58" s="3" t="n">
        <v>92206.0</v>
      </c>
      <c r="O58" s="3" t="n">
        <v>96246.0</v>
      </c>
      <c r="P58" s="3" t="n">
        <v>99619.0</v>
      </c>
      <c r="Q58" s="3" t="n">
        <v>101275.0</v>
      </c>
      <c r="R58" s="3" t="n">
        <v>101699.0</v>
      </c>
      <c r="S58" s="3" t="n">
        <v>99937.0</v>
      </c>
      <c r="T58" s="3" t="n">
        <v>98618.0</v>
      </c>
      <c r="U58" s="3" t="n">
        <v>96941.0</v>
      </c>
      <c r="V58" s="3" t="n">
        <v>97030.0</v>
      </c>
      <c r="W58" s="3" t="n">
        <v>98084.0</v>
      </c>
      <c r="X58" s="3" t="n">
        <v>98821.0</v>
      </c>
      <c r="Y58" s="3" t="n">
        <v>98466.0</v>
      </c>
      <c r="Z58" s="3" t="n">
        <v>97160.0</v>
      </c>
      <c r="AA58" s="3" t="n">
        <v>94745.0</v>
      </c>
      <c r="AB58" s="3" t="n">
        <v>89561.0</v>
      </c>
      <c r="AC58" s="3" t="n">
        <v>86180.0</v>
      </c>
      <c r="AD58" s="3" t="n">
        <v>83608.0</v>
      </c>
      <c r="AE58" s="3" t="n">
        <v>82178.0</v>
      </c>
      <c r="AF58" s="3" t="n">
        <v>81387.0</v>
      </c>
      <c r="AG58" s="3" t="n">
        <v>82279.0</v>
      </c>
      <c r="AH58" s="3" t="n">
        <v>82405.0</v>
      </c>
      <c r="AI58" s="3" t="n">
        <v>82522.0</v>
      </c>
      <c r="AJ58" s="3" t="n">
        <v>82562.0</v>
      </c>
      <c r="AK58" s="3" t="n">
        <v>82587.0</v>
      </c>
      <c r="AL58" s="3" t="n">
        <v>82680.0</v>
      </c>
      <c r="AM58" s="3" t="n">
        <v>82773.0</v>
      </c>
      <c r="AN58" s="3" t="n">
        <v>82796.0</v>
      </c>
      <c r="AO58" s="3" t="n">
        <v>82830.0</v>
      </c>
    </row>
    <row r="59" spans="1:41" x14ac:dyDescent="0.2">
      <c r="A59" s="127"/>
      <c r="B59" s="52" t="s">
        <v>26</v>
      </c>
      <c r="C59" s="3" t="n">
        <v>124783.0</v>
      </c>
      <c r="D59" s="3" t="n">
        <v>121319.0</v>
      </c>
      <c r="E59" s="3" t="n">
        <v>117731.0</v>
      </c>
      <c r="F59" s="3" t="n">
        <v>112813.0</v>
      </c>
      <c r="G59" s="3" t="n">
        <v>107898.0</v>
      </c>
      <c r="H59" s="3" t="n">
        <v>104624.0</v>
      </c>
      <c r="I59" s="3" t="n">
        <v>101628.0</v>
      </c>
      <c r="J59" s="3" t="n">
        <v>98329.0</v>
      </c>
      <c r="K59" s="3" t="n">
        <v>95397.0</v>
      </c>
      <c r="L59" s="3" t="n">
        <v>92452.0</v>
      </c>
      <c r="M59" s="3" t="n">
        <v>89482.0</v>
      </c>
      <c r="N59" s="3" t="n">
        <v>87269.0</v>
      </c>
      <c r="O59" s="3" t="n">
        <v>85555.0</v>
      </c>
      <c r="P59" s="3" t="n">
        <v>85287.0</v>
      </c>
      <c r="Q59" s="3" t="n">
        <v>86066.0</v>
      </c>
      <c r="R59" s="3" t="n">
        <v>88606.0</v>
      </c>
      <c r="S59" s="3" t="n">
        <v>92783.0</v>
      </c>
      <c r="T59" s="3" t="n">
        <v>96782.0</v>
      </c>
      <c r="U59" s="3" t="n">
        <v>100104.0</v>
      </c>
      <c r="V59" s="3" t="n">
        <v>101727.0</v>
      </c>
      <c r="W59" s="3" t="n">
        <v>102143.0</v>
      </c>
      <c r="X59" s="3" t="n">
        <v>100360.0</v>
      </c>
      <c r="Y59" s="3" t="n">
        <v>99025.0</v>
      </c>
      <c r="Z59" s="3" t="n">
        <v>97316.0</v>
      </c>
      <c r="AA59" s="3" t="n">
        <v>97385.0</v>
      </c>
      <c r="AB59" s="3" t="n">
        <v>98418.0</v>
      </c>
      <c r="AC59" s="3" t="n">
        <v>99103.0</v>
      </c>
      <c r="AD59" s="3" t="n">
        <v>98739.0</v>
      </c>
      <c r="AE59" s="3" t="n">
        <v>97442.0</v>
      </c>
      <c r="AF59" s="3" t="n">
        <v>95001.0</v>
      </c>
      <c r="AG59" s="3" t="n">
        <v>89830.0</v>
      </c>
      <c r="AH59" s="3" t="n">
        <v>86428.0</v>
      </c>
      <c r="AI59" s="3" t="n">
        <v>83844.0</v>
      </c>
      <c r="AJ59" s="3" t="n">
        <v>82407.0</v>
      </c>
      <c r="AK59" s="3" t="n">
        <v>81599.0</v>
      </c>
      <c r="AL59" s="3" t="n">
        <v>82480.0</v>
      </c>
      <c r="AM59" s="3" t="n">
        <v>82600.0</v>
      </c>
      <c r="AN59" s="3" t="n">
        <v>82724.0</v>
      </c>
      <c r="AO59" s="3" t="n">
        <v>82767.0</v>
      </c>
    </row>
    <row r="60" spans="1:41" x14ac:dyDescent="0.2">
      <c r="A60" s="127"/>
      <c r="B60" s="52" t="s">
        <v>27</v>
      </c>
      <c r="C60" s="3" t="n">
        <v>143916.0</v>
      </c>
      <c r="D60" s="3" t="n">
        <v>139070.0</v>
      </c>
      <c r="E60" s="3" t="n">
        <v>134137.0</v>
      </c>
      <c r="F60" s="3" t="n">
        <v>130573.0</v>
      </c>
      <c r="G60" s="3" t="n">
        <v>127402.0</v>
      </c>
      <c r="H60" s="3" t="n">
        <v>125806.0</v>
      </c>
      <c r="I60" s="3" t="n">
        <v>123741.0</v>
      </c>
      <c r="J60" s="3" t="n">
        <v>120758.0</v>
      </c>
      <c r="K60" s="3" t="n">
        <v>116027.0</v>
      </c>
      <c r="L60" s="3" t="n">
        <v>111155.0</v>
      </c>
      <c r="M60" s="3" t="n">
        <v>106935.0</v>
      </c>
      <c r="N60" s="3" t="n">
        <v>102620.0</v>
      </c>
      <c r="O60" s="3" t="n">
        <v>98747.0</v>
      </c>
      <c r="P60" s="3" t="n">
        <v>95640.0</v>
      </c>
      <c r="Q60" s="3" t="n">
        <v>92662.0</v>
      </c>
      <c r="R60" s="3" t="n">
        <v>89713.0</v>
      </c>
      <c r="S60" s="3" t="n">
        <v>87570.0</v>
      </c>
      <c r="T60" s="3" t="n">
        <v>85914.0</v>
      </c>
      <c r="U60" s="3" t="n">
        <v>85674.0</v>
      </c>
      <c r="V60" s="3" t="n">
        <v>86436.0</v>
      </c>
      <c r="W60" s="3" t="n">
        <v>88928.0</v>
      </c>
      <c r="X60" s="3" t="n">
        <v>93068.0</v>
      </c>
      <c r="Y60" s="3" t="n">
        <v>97034.0</v>
      </c>
      <c r="Z60" s="3" t="n">
        <v>100323.0</v>
      </c>
      <c r="AA60" s="3" t="n">
        <v>101913.0</v>
      </c>
      <c r="AB60" s="3" t="n">
        <v>102333.0</v>
      </c>
      <c r="AC60" s="3" t="n">
        <v>100568.0</v>
      </c>
      <c r="AD60" s="3" t="n">
        <v>99230.0</v>
      </c>
      <c r="AE60" s="3" t="n">
        <v>97535.0</v>
      </c>
      <c r="AF60" s="3" t="n">
        <v>97612.0</v>
      </c>
      <c r="AG60" s="3" t="n">
        <v>98611.0</v>
      </c>
      <c r="AH60" s="3" t="n">
        <v>99294.0</v>
      </c>
      <c r="AI60" s="3" t="n">
        <v>98911.0</v>
      </c>
      <c r="AJ60" s="3" t="n">
        <v>97609.0</v>
      </c>
      <c r="AK60" s="3" t="n">
        <v>95185.0</v>
      </c>
      <c r="AL60" s="3" t="n">
        <v>90027.0</v>
      </c>
      <c r="AM60" s="3" t="n">
        <v>86628.0</v>
      </c>
      <c r="AN60" s="3" t="n">
        <v>84044.0</v>
      </c>
      <c r="AO60" s="3" t="n">
        <v>82604.0</v>
      </c>
    </row>
    <row r="61" spans="1:41" x14ac:dyDescent="0.2">
      <c r="A61" s="127"/>
      <c r="B61" s="52" t="s">
        <v>28</v>
      </c>
      <c r="C61" s="3" t="n">
        <v>143419.0</v>
      </c>
      <c r="D61" s="3" t="n">
        <v>146437.0</v>
      </c>
      <c r="E61" s="3" t="n">
        <v>147845.0</v>
      </c>
      <c r="F61" s="3" t="n">
        <v>147585.0</v>
      </c>
      <c r="G61" s="3" t="n">
        <v>147073.0</v>
      </c>
      <c r="H61" s="3" t="n">
        <v>144290.0</v>
      </c>
      <c r="I61" s="3" t="n">
        <v>140715.0</v>
      </c>
      <c r="J61" s="3" t="n">
        <v>136455.0</v>
      </c>
      <c r="K61" s="3" t="n">
        <v>133250.0</v>
      </c>
      <c r="L61" s="3" t="n">
        <v>130291.0</v>
      </c>
      <c r="M61" s="3" t="n">
        <v>127801.0</v>
      </c>
      <c r="N61" s="3" t="n">
        <v>124343.0</v>
      </c>
      <c r="O61" s="3" t="n">
        <v>120690.0</v>
      </c>
      <c r="P61" s="3" t="n">
        <v>115702.0</v>
      </c>
      <c r="Q61" s="3" t="n">
        <v>110706.0</v>
      </c>
      <c r="R61" s="3" t="n">
        <v>106452.0</v>
      </c>
      <c r="S61" s="3" t="n">
        <v>102158.0</v>
      </c>
      <c r="T61" s="3" t="n">
        <v>98332.0</v>
      </c>
      <c r="U61" s="3" t="n">
        <v>95288.0</v>
      </c>
      <c r="V61" s="3" t="n">
        <v>92391.0</v>
      </c>
      <c r="W61" s="3" t="n">
        <v>89508.0</v>
      </c>
      <c r="X61" s="3" t="n">
        <v>87425.0</v>
      </c>
      <c r="Y61" s="3" t="n">
        <v>85808.0</v>
      </c>
      <c r="Z61" s="3" t="n">
        <v>85576.0</v>
      </c>
      <c r="AA61" s="3" t="n">
        <v>86345.0</v>
      </c>
      <c r="AB61" s="3" t="n">
        <v>88816.0</v>
      </c>
      <c r="AC61" s="3" t="n">
        <v>92935.0</v>
      </c>
      <c r="AD61" s="3" t="n">
        <v>96871.0</v>
      </c>
      <c r="AE61" s="3" t="n">
        <v>100139.0</v>
      </c>
      <c r="AF61" s="3" t="n">
        <v>101725.0</v>
      </c>
      <c r="AG61" s="3" t="n">
        <v>102149.0</v>
      </c>
      <c r="AH61" s="3" t="n">
        <v>100390.0</v>
      </c>
      <c r="AI61" s="3" t="n">
        <v>99056.0</v>
      </c>
      <c r="AJ61" s="3" t="n">
        <v>97366.0</v>
      </c>
      <c r="AK61" s="3" t="n">
        <v>97444.0</v>
      </c>
      <c r="AL61" s="3" t="n">
        <v>98439.0</v>
      </c>
      <c r="AM61" s="3" t="n">
        <v>99121.0</v>
      </c>
      <c r="AN61" s="3" t="n">
        <v>98744.0</v>
      </c>
      <c r="AO61" s="3" t="n">
        <v>97437.0</v>
      </c>
    </row>
    <row r="62" spans="1:41" x14ac:dyDescent="0.2">
      <c r="A62" s="127"/>
      <c r="B62" s="52" t="s">
        <v>29</v>
      </c>
      <c r="C62" s="3" t="n">
        <v>131699.0</v>
      </c>
      <c r="D62" s="3" t="n">
        <v>134599.0</v>
      </c>
      <c r="E62" s="3" t="n">
        <v>137589.0</v>
      </c>
      <c r="F62" s="3" t="n">
        <v>139906.0</v>
      </c>
      <c r="G62" s="3" t="n">
        <v>140607.0</v>
      </c>
      <c r="H62" s="3" t="n">
        <v>143078.0</v>
      </c>
      <c r="I62" s="3" t="n">
        <v>147017.0</v>
      </c>
      <c r="J62" s="3" t="n">
        <v>148950.0</v>
      </c>
      <c r="K62" s="3" t="n">
        <v>148973.0</v>
      </c>
      <c r="L62" s="3" t="n">
        <v>148656.0</v>
      </c>
      <c r="M62" s="3" t="n">
        <v>145218.0</v>
      </c>
      <c r="N62" s="3" t="n">
        <v>140600.0</v>
      </c>
      <c r="O62" s="3" t="n">
        <v>135867.0</v>
      </c>
      <c r="P62" s="3" t="n">
        <v>132472.0</v>
      </c>
      <c r="Q62" s="3" t="n">
        <v>129417.0</v>
      </c>
      <c r="R62" s="3" t="n">
        <v>126862.0</v>
      </c>
      <c r="S62" s="3" t="n">
        <v>123388.0</v>
      </c>
      <c r="T62" s="3" t="n">
        <v>119764.0</v>
      </c>
      <c r="U62" s="3" t="n">
        <v>114829.0</v>
      </c>
      <c r="V62" s="3" t="n">
        <v>109887.0</v>
      </c>
      <c r="W62" s="3" t="n">
        <v>105679.0</v>
      </c>
      <c r="X62" s="3" t="n">
        <v>101445.0</v>
      </c>
      <c r="Y62" s="3" t="n">
        <v>97684.0</v>
      </c>
      <c r="Z62" s="3" t="n">
        <v>94683.0</v>
      </c>
      <c r="AA62" s="3" t="n">
        <v>91826.0</v>
      </c>
      <c r="AB62" s="3" t="n">
        <v>89004.0</v>
      </c>
      <c r="AC62" s="3" t="n">
        <v>86966.0</v>
      </c>
      <c r="AD62" s="3" t="n">
        <v>85401.0</v>
      </c>
      <c r="AE62" s="3" t="n">
        <v>85193.0</v>
      </c>
      <c r="AF62" s="3" t="n">
        <v>85958.0</v>
      </c>
      <c r="AG62" s="3" t="n">
        <v>88413.0</v>
      </c>
      <c r="AH62" s="3" t="n">
        <v>92507.0</v>
      </c>
      <c r="AI62" s="3" t="n">
        <v>96438.0</v>
      </c>
      <c r="AJ62" s="3" t="n">
        <v>99686.0</v>
      </c>
      <c r="AK62" s="3" t="n">
        <v>101262.0</v>
      </c>
      <c r="AL62" s="3" t="n">
        <v>101689.0</v>
      </c>
      <c r="AM62" s="3" t="n">
        <v>99939.0</v>
      </c>
      <c r="AN62" s="3" t="n">
        <v>98612.0</v>
      </c>
      <c r="AO62" s="3" t="n">
        <v>96939.0</v>
      </c>
    </row>
    <row r="63" spans="1:41" x14ac:dyDescent="0.2">
      <c r="A63" s="127"/>
      <c r="B63" s="52" t="s">
        <v>30</v>
      </c>
      <c r="C63" s="3" t="n">
        <v>108828.0</v>
      </c>
      <c r="D63" s="3" t="n">
        <v>112595.0</v>
      </c>
      <c r="E63" s="3" t="n">
        <v>116922.0</v>
      </c>
      <c r="F63" s="3" t="n">
        <v>121883.0</v>
      </c>
      <c r="G63" s="3" t="n">
        <v>126627.0</v>
      </c>
      <c r="H63" s="3" t="n">
        <v>130666.0</v>
      </c>
      <c r="I63" s="3" t="n">
        <v>134215.0</v>
      </c>
      <c r="J63" s="3" t="n">
        <v>137558.0</v>
      </c>
      <c r="K63" s="3" t="n">
        <v>140065.0</v>
      </c>
      <c r="L63" s="3" t="n">
        <v>140905.0</v>
      </c>
      <c r="M63" s="3" t="n">
        <v>142889.0</v>
      </c>
      <c r="N63" s="3" t="n">
        <v>146066.0</v>
      </c>
      <c r="O63" s="3" t="n">
        <v>147635.0</v>
      </c>
      <c r="P63" s="3" t="n">
        <v>147518.0</v>
      </c>
      <c r="Q63" s="3" t="n">
        <v>147142.0</v>
      </c>
      <c r="R63" s="3" t="n">
        <v>143703.0</v>
      </c>
      <c r="S63" s="3" t="n">
        <v>139119.0</v>
      </c>
      <c r="T63" s="3" t="n">
        <v>134454.0</v>
      </c>
      <c r="U63" s="3" t="n">
        <v>131088.0</v>
      </c>
      <c r="V63" s="3" t="n">
        <v>128072.0</v>
      </c>
      <c r="W63" s="3" t="n">
        <v>125536.0</v>
      </c>
      <c r="X63" s="3" t="n">
        <v>122100.0</v>
      </c>
      <c r="Y63" s="3" t="n">
        <v>118527.0</v>
      </c>
      <c r="Z63" s="3" t="n">
        <v>113653.0</v>
      </c>
      <c r="AA63" s="3" t="n">
        <v>108782.0</v>
      </c>
      <c r="AB63" s="3" t="n">
        <v>104642.0</v>
      </c>
      <c r="AC63" s="3" t="n">
        <v>100483.0</v>
      </c>
      <c r="AD63" s="3" t="n">
        <v>96774.0</v>
      </c>
      <c r="AE63" s="3" t="n">
        <v>93809.0</v>
      </c>
      <c r="AF63" s="3" t="n">
        <v>91000.0</v>
      </c>
      <c r="AG63" s="3" t="n">
        <v>88235.0</v>
      </c>
      <c r="AH63" s="3" t="n">
        <v>86235.0</v>
      </c>
      <c r="AI63" s="3" t="n">
        <v>84720.0</v>
      </c>
      <c r="AJ63" s="3" t="n">
        <v>84537.0</v>
      </c>
      <c r="AK63" s="3" t="n">
        <v>85313.0</v>
      </c>
      <c r="AL63" s="3" t="n">
        <v>87771.0</v>
      </c>
      <c r="AM63" s="3" t="n">
        <v>91844.0</v>
      </c>
      <c r="AN63" s="3" t="n">
        <v>95748.0</v>
      </c>
      <c r="AO63" s="3" t="n">
        <v>98975.0</v>
      </c>
    </row>
    <row r="64" spans="1:41" x14ac:dyDescent="0.2">
      <c r="A64" s="127"/>
      <c r="B64" s="52" t="s">
        <v>31</v>
      </c>
      <c r="C64" s="3" t="n">
        <v>100403.0</v>
      </c>
      <c r="D64" s="3" t="n">
        <v>99286.0</v>
      </c>
      <c r="E64" s="3" t="n">
        <v>99375.0</v>
      </c>
      <c r="F64" s="3" t="n">
        <v>100579.0</v>
      </c>
      <c r="G64" s="3" t="n">
        <v>103106.0</v>
      </c>
      <c r="H64" s="3" t="n">
        <v>107317.0</v>
      </c>
      <c r="I64" s="3" t="n">
        <v>111552.0</v>
      </c>
      <c r="J64" s="3" t="n">
        <v>116111.0</v>
      </c>
      <c r="K64" s="3" t="n">
        <v>121150.0</v>
      </c>
      <c r="L64" s="3" t="n">
        <v>125935.0</v>
      </c>
      <c r="M64" s="3" t="n">
        <v>129557.0</v>
      </c>
      <c r="N64" s="3" t="n">
        <v>132507.0</v>
      </c>
      <c r="O64" s="3" t="n">
        <v>135544.0</v>
      </c>
      <c r="P64" s="3" t="n">
        <v>137934.0</v>
      </c>
      <c r="Q64" s="3" t="n">
        <v>138731.0</v>
      </c>
      <c r="R64" s="3" t="n">
        <v>140685.0</v>
      </c>
      <c r="S64" s="3" t="n">
        <v>143832.0</v>
      </c>
      <c r="T64" s="3" t="n">
        <v>145394.0</v>
      </c>
      <c r="U64" s="3" t="n">
        <v>145315.0</v>
      </c>
      <c r="V64" s="3" t="n">
        <v>144962.0</v>
      </c>
      <c r="W64" s="3" t="n">
        <v>141585.0</v>
      </c>
      <c r="X64" s="3" t="n">
        <v>137088.0</v>
      </c>
      <c r="Y64" s="3" t="n">
        <v>132517.0</v>
      </c>
      <c r="Z64" s="3" t="n">
        <v>129228.0</v>
      </c>
      <c r="AA64" s="3" t="n">
        <v>126260.0</v>
      </c>
      <c r="AB64" s="3" t="n">
        <v>123782.0</v>
      </c>
      <c r="AC64" s="3" t="n">
        <v>120407.0</v>
      </c>
      <c r="AD64" s="3" t="n">
        <v>116870.0</v>
      </c>
      <c r="AE64" s="3" t="n">
        <v>112092.0</v>
      </c>
      <c r="AF64" s="3" t="n">
        <v>107307.0</v>
      </c>
      <c r="AG64" s="3" t="n">
        <v>103253.0</v>
      </c>
      <c r="AH64" s="3" t="n">
        <v>99167.0</v>
      </c>
      <c r="AI64" s="3" t="n">
        <v>95533.0</v>
      </c>
      <c r="AJ64" s="3" t="n">
        <v>92648.0</v>
      </c>
      <c r="AK64" s="3" t="n">
        <v>89913.0</v>
      </c>
      <c r="AL64" s="3" t="n">
        <v>87216.0</v>
      </c>
      <c r="AM64" s="3" t="n">
        <v>85277.0</v>
      </c>
      <c r="AN64" s="3" t="n">
        <v>83804.0</v>
      </c>
      <c r="AO64" s="3" t="n">
        <v>83638.0</v>
      </c>
    </row>
    <row r="65" spans="1:41" x14ac:dyDescent="0.2">
      <c r="A65" s="127"/>
      <c r="B65" s="52" t="s">
        <v>32</v>
      </c>
      <c r="C65" s="3" t="n">
        <v>112992.0</v>
      </c>
      <c r="D65" s="3" t="n">
        <v>108732.0</v>
      </c>
      <c r="E65" s="3" t="n">
        <v>104491.0</v>
      </c>
      <c r="F65" s="3" t="n">
        <v>101299.0</v>
      </c>
      <c r="G65" s="3" t="n">
        <v>99078.0</v>
      </c>
      <c r="H65" s="3" t="n">
        <v>97900.0</v>
      </c>
      <c r="I65" s="3" t="n">
        <v>97299.0</v>
      </c>
      <c r="J65" s="3" t="n">
        <v>97629.0</v>
      </c>
      <c r="K65" s="3" t="n">
        <v>98906.0</v>
      </c>
      <c r="L65" s="3" t="n">
        <v>101457.0</v>
      </c>
      <c r="M65" s="3" t="n">
        <v>105300.0</v>
      </c>
      <c r="N65" s="3" t="n">
        <v>109033.0</v>
      </c>
      <c r="O65" s="3" t="n">
        <v>113332.0</v>
      </c>
      <c r="P65" s="3" t="n">
        <v>118205.0</v>
      </c>
      <c r="Q65" s="3" t="n">
        <v>122872.0</v>
      </c>
      <c r="R65" s="3" t="n">
        <v>126439.0</v>
      </c>
      <c r="S65" s="3" t="n">
        <v>129349.0</v>
      </c>
      <c r="T65" s="3" t="n">
        <v>132353.0</v>
      </c>
      <c r="U65" s="3" t="n">
        <v>134712.0</v>
      </c>
      <c r="V65" s="3" t="n">
        <v>135535.0</v>
      </c>
      <c r="W65" s="3" t="n">
        <v>137464.0</v>
      </c>
      <c r="X65" s="3" t="n">
        <v>140588.0</v>
      </c>
      <c r="Y65" s="3" t="n">
        <v>142158.0</v>
      </c>
      <c r="Z65" s="3" t="n">
        <v>142113.0</v>
      </c>
      <c r="AA65" s="3" t="n">
        <v>141794.0</v>
      </c>
      <c r="AB65" s="3" t="n">
        <v>138524.0</v>
      </c>
      <c r="AC65" s="3" t="n">
        <v>134178.0</v>
      </c>
      <c r="AD65" s="3" t="n">
        <v>129754.0</v>
      </c>
      <c r="AE65" s="3" t="n">
        <v>126567.0</v>
      </c>
      <c r="AF65" s="3" t="n">
        <v>123696.0</v>
      </c>
      <c r="AG65" s="3" t="n">
        <v>121253.0</v>
      </c>
      <c r="AH65" s="3" t="n">
        <v>117991.0</v>
      </c>
      <c r="AI65" s="3" t="n">
        <v>114564.0</v>
      </c>
      <c r="AJ65" s="3" t="n">
        <v>109931.0</v>
      </c>
      <c r="AK65" s="3" t="n">
        <v>105294.0</v>
      </c>
      <c r="AL65" s="3" t="n">
        <v>101360.0</v>
      </c>
      <c r="AM65" s="3" t="n">
        <v>97399.0</v>
      </c>
      <c r="AN65" s="3" t="n">
        <v>93888.0</v>
      </c>
      <c r="AO65" s="3" t="n">
        <v>91105.0</v>
      </c>
    </row>
    <row r="66" spans="1:41" x14ac:dyDescent="0.2">
      <c r="A66" s="127"/>
      <c r="B66" s="53" t="s">
        <v>33</v>
      </c>
      <c r="C66" s="3" t="n">
        <v>120796.0</v>
      </c>
      <c r="D66" s="3" t="n">
        <v>120702.0</v>
      </c>
      <c r="E66" s="3" t="n">
        <v>120086.0</v>
      </c>
      <c r="F66" s="3" t="n">
        <v>117062.0</v>
      </c>
      <c r="G66" s="3" t="n">
        <v>113194.0</v>
      </c>
      <c r="H66" s="3" t="n">
        <v>108094.0</v>
      </c>
      <c r="I66" s="3" t="n">
        <v>104401.0</v>
      </c>
      <c r="J66" s="3" t="n">
        <v>100616.0</v>
      </c>
      <c r="K66" s="3" t="n">
        <v>97758.0</v>
      </c>
      <c r="L66" s="3" t="n">
        <v>95773.0</v>
      </c>
      <c r="M66" s="3" t="n">
        <v>94508.0</v>
      </c>
      <c r="N66" s="3" t="n">
        <v>93645.0</v>
      </c>
      <c r="O66" s="3" t="n">
        <v>93850.0</v>
      </c>
      <c r="P66" s="3" t="n">
        <v>95089.0</v>
      </c>
      <c r="Q66" s="3" t="n">
        <v>97563.0</v>
      </c>
      <c r="R66" s="3" t="n">
        <v>101291.0</v>
      </c>
      <c r="S66" s="3" t="n">
        <v>104921.0</v>
      </c>
      <c r="T66" s="3" t="n">
        <v>109119.0</v>
      </c>
      <c r="U66" s="3" t="n">
        <v>113874.0</v>
      </c>
      <c r="V66" s="3" t="n">
        <v>118433.0</v>
      </c>
      <c r="W66" s="3" t="n">
        <v>121936.0</v>
      </c>
      <c r="X66" s="3" t="n">
        <v>124818.0</v>
      </c>
      <c r="Y66" s="3" t="n">
        <v>127788.0</v>
      </c>
      <c r="Z66" s="3" t="n">
        <v>130143.0</v>
      </c>
      <c r="AA66" s="3" t="n">
        <v>131002.0</v>
      </c>
      <c r="AB66" s="3" t="n">
        <v>132971.0</v>
      </c>
      <c r="AC66" s="3" t="n">
        <v>136054.0</v>
      </c>
      <c r="AD66" s="3" t="n">
        <v>137608.0</v>
      </c>
      <c r="AE66" s="3" t="n">
        <v>137633.0</v>
      </c>
      <c r="AF66" s="3" t="n">
        <v>137358.0</v>
      </c>
      <c r="AG66" s="3" t="n">
        <v>134233.0</v>
      </c>
      <c r="AH66" s="3" t="n">
        <v>130081.0</v>
      </c>
      <c r="AI66" s="3" t="n">
        <v>125853.0</v>
      </c>
      <c r="AJ66" s="3" t="n">
        <v>122828.0</v>
      </c>
      <c r="AK66" s="3" t="n">
        <v>120093.0</v>
      </c>
      <c r="AL66" s="3" t="n">
        <v>117776.0</v>
      </c>
      <c r="AM66" s="3" t="n">
        <v>114637.0</v>
      </c>
      <c r="AN66" s="3" t="n">
        <v>111349.0</v>
      </c>
      <c r="AO66" s="3" t="n">
        <v>106896.0</v>
      </c>
    </row>
    <row r="67" spans="1:41" x14ac:dyDescent="0.2">
      <c r="A67" s="127"/>
      <c r="B67" s="52" t="s">
        <v>34</v>
      </c>
      <c r="C67" s="3" t="n">
        <v>105570.0</v>
      </c>
      <c r="D67" s="3" t="n">
        <v>107146.0</v>
      </c>
      <c r="E67" s="3" t="n">
        <v>108318.0</v>
      </c>
      <c r="F67" s="3" t="n">
        <v>110234.0</v>
      </c>
      <c r="G67" s="3" t="n">
        <v>111252.0</v>
      </c>
      <c r="H67" s="3" t="n">
        <v>112850.0</v>
      </c>
      <c r="I67" s="3" t="n">
        <v>113048.0</v>
      </c>
      <c r="J67" s="3" t="n">
        <v>112667.0</v>
      </c>
      <c r="K67" s="3" t="n">
        <v>109958.0</v>
      </c>
      <c r="L67" s="3" t="n">
        <v>106458.0</v>
      </c>
      <c r="M67" s="3" t="n">
        <v>101648.0</v>
      </c>
      <c r="N67" s="3" t="n">
        <v>98128.0</v>
      </c>
      <c r="O67" s="3" t="n">
        <v>94589.0</v>
      </c>
      <c r="P67" s="3" t="n">
        <v>91952.0</v>
      </c>
      <c r="Q67" s="3" t="n">
        <v>90158.0</v>
      </c>
      <c r="R67" s="3" t="n">
        <v>89051.0</v>
      </c>
      <c r="S67" s="3" t="n">
        <v>88329.0</v>
      </c>
      <c r="T67" s="3" t="n">
        <v>88613.0</v>
      </c>
      <c r="U67" s="3" t="n">
        <v>89867.0</v>
      </c>
      <c r="V67" s="3" t="n">
        <v>92279.0</v>
      </c>
      <c r="W67" s="3" t="n">
        <v>95876.0</v>
      </c>
      <c r="X67" s="3" t="n">
        <v>99376.0</v>
      </c>
      <c r="Y67" s="3" t="n">
        <v>103423.0</v>
      </c>
      <c r="Z67" s="3" t="n">
        <v>108006.0</v>
      </c>
      <c r="AA67" s="3" t="n">
        <v>112408.0</v>
      </c>
      <c r="AB67" s="3" t="n">
        <v>115836.0</v>
      </c>
      <c r="AC67" s="3" t="n">
        <v>118668.0</v>
      </c>
      <c r="AD67" s="3" t="n">
        <v>121594.0</v>
      </c>
      <c r="AE67" s="3" t="n">
        <v>123936.0</v>
      </c>
      <c r="AF67" s="3" t="n">
        <v>124859.0</v>
      </c>
      <c r="AG67" s="3" t="n">
        <v>126820.0</v>
      </c>
      <c r="AH67" s="3" t="n">
        <v>129854.0</v>
      </c>
      <c r="AI67" s="3" t="n">
        <v>131435.0</v>
      </c>
      <c r="AJ67" s="3" t="n">
        <v>131537.0</v>
      </c>
      <c r="AK67" s="3" t="n">
        <v>131340.0</v>
      </c>
      <c r="AL67" s="3" t="n">
        <v>128408.0</v>
      </c>
      <c r="AM67" s="3" t="n">
        <v>124520.0</v>
      </c>
      <c r="AN67" s="3" t="n">
        <v>120547.0</v>
      </c>
      <c r="AO67" s="3" t="n">
        <v>117734.0</v>
      </c>
    </row>
    <row r="68" spans="1:41" x14ac:dyDescent="0.2">
      <c r="A68" s="127"/>
      <c r="B68" s="52" t="s">
        <v>35</v>
      </c>
      <c r="C68" s="3" t="n">
        <v>64408.0</v>
      </c>
      <c r="D68" s="3" t="n">
        <v>73448.0</v>
      </c>
      <c r="E68" s="3" t="n">
        <v>82775.0</v>
      </c>
      <c r="F68" s="3" t="n">
        <v>90924.0</v>
      </c>
      <c r="G68" s="3" t="n">
        <v>92077.0</v>
      </c>
      <c r="H68" s="3" t="n">
        <v>94336.0</v>
      </c>
      <c r="I68" s="3" t="n">
        <v>96081.0</v>
      </c>
      <c r="J68" s="3" t="n">
        <v>97371.0</v>
      </c>
      <c r="K68" s="3" t="n">
        <v>99307.0</v>
      </c>
      <c r="L68" s="3" t="n">
        <v>100406.0</v>
      </c>
      <c r="M68" s="3" t="n">
        <v>101931.0</v>
      </c>
      <c r="N68" s="3" t="n">
        <v>102155.0</v>
      </c>
      <c r="O68" s="3" t="n">
        <v>101844.0</v>
      </c>
      <c r="P68" s="3" t="n">
        <v>99488.0</v>
      </c>
      <c r="Q68" s="3" t="n">
        <v>96439.0</v>
      </c>
      <c r="R68" s="3" t="n">
        <v>92215.0</v>
      </c>
      <c r="S68" s="3" t="n">
        <v>89145.0</v>
      </c>
      <c r="T68" s="3" t="n">
        <v>86094.0</v>
      </c>
      <c r="U68" s="3" t="n">
        <v>83805.0</v>
      </c>
      <c r="V68" s="3" t="n">
        <v>82290.0</v>
      </c>
      <c r="W68" s="3" t="n">
        <v>81374.0</v>
      </c>
      <c r="X68" s="3" t="n">
        <v>80823.0</v>
      </c>
      <c r="Y68" s="3" t="n">
        <v>81203.0</v>
      </c>
      <c r="Z68" s="3" t="n">
        <v>82458.0</v>
      </c>
      <c r="AA68" s="3" t="n">
        <v>84759.0</v>
      </c>
      <c r="AB68" s="3" t="n">
        <v>88174.0</v>
      </c>
      <c r="AC68" s="3" t="n">
        <v>91510.0</v>
      </c>
      <c r="AD68" s="3" t="n">
        <v>95346.0</v>
      </c>
      <c r="AE68" s="3" t="n">
        <v>99717.0</v>
      </c>
      <c r="AF68" s="3" t="n">
        <v>103883.0</v>
      </c>
      <c r="AG68" s="3" t="n">
        <v>107162.0</v>
      </c>
      <c r="AH68" s="3" t="n">
        <v>109886.0</v>
      </c>
      <c r="AI68" s="3" t="n">
        <v>112707.0</v>
      </c>
      <c r="AJ68" s="3" t="n">
        <v>115006.0</v>
      </c>
      <c r="AK68" s="3" t="n">
        <v>115991.0</v>
      </c>
      <c r="AL68" s="3" t="n">
        <v>117953.0</v>
      </c>
      <c r="AM68" s="3" t="n">
        <v>120925.0</v>
      </c>
      <c r="AN68" s="3" t="n">
        <v>122536.0</v>
      </c>
      <c r="AO68" s="3" t="n">
        <v>122713.0</v>
      </c>
    </row>
    <row r="69" spans="1:41" x14ac:dyDescent="0.2">
      <c r="A69" s="127"/>
      <c r="B69" s="52" t="s">
        <v>36</v>
      </c>
      <c r="C69" s="3" t="n">
        <v>41338.0</v>
      </c>
      <c r="D69" s="3" t="n">
        <v>40131.0</v>
      </c>
      <c r="E69" s="3" t="n">
        <v>38683.0</v>
      </c>
      <c r="F69" s="3" t="n">
        <v>38712.0</v>
      </c>
      <c r="G69" s="3" t="n">
        <v>46671.0</v>
      </c>
      <c r="H69" s="3" t="n">
        <v>53644.0</v>
      </c>
      <c r="I69" s="3" t="n">
        <v>61396.0</v>
      </c>
      <c r="J69" s="3" t="n">
        <v>69123.0</v>
      </c>
      <c r="K69" s="3" t="n">
        <v>75777.0</v>
      </c>
      <c r="L69" s="3" t="n">
        <v>77007.0</v>
      </c>
      <c r="M69" s="3" t="n">
        <v>79034.0</v>
      </c>
      <c r="N69" s="3" t="n">
        <v>80659.0</v>
      </c>
      <c r="O69" s="3" t="n">
        <v>81899.0</v>
      </c>
      <c r="P69" s="3" t="n">
        <v>83712.0</v>
      </c>
      <c r="Q69" s="3" t="n">
        <v>84833.0</v>
      </c>
      <c r="R69" s="3" t="n">
        <v>86339.0</v>
      </c>
      <c r="S69" s="3" t="n">
        <v>86676.0</v>
      </c>
      <c r="T69" s="3" t="n">
        <v>86567.0</v>
      </c>
      <c r="U69" s="3" t="n">
        <v>84711.0</v>
      </c>
      <c r="V69" s="3" t="n">
        <v>82231.0</v>
      </c>
      <c r="W69" s="3" t="n">
        <v>78808.0</v>
      </c>
      <c r="X69" s="3" t="n">
        <v>76409.0</v>
      </c>
      <c r="Y69" s="3" t="n">
        <v>74006.0</v>
      </c>
      <c r="Z69" s="3" t="n">
        <v>72210.0</v>
      </c>
      <c r="AA69" s="3" t="n">
        <v>71038.0</v>
      </c>
      <c r="AB69" s="3" t="n">
        <v>70379.0</v>
      </c>
      <c r="AC69" s="3" t="n">
        <v>70078.0</v>
      </c>
      <c r="AD69" s="3" t="n">
        <v>70564.0</v>
      </c>
      <c r="AE69" s="3" t="n">
        <v>71832.0</v>
      </c>
      <c r="AF69" s="3" t="n">
        <v>74010.0</v>
      </c>
      <c r="AG69" s="3" t="n">
        <v>77136.0</v>
      </c>
      <c r="AH69" s="3" t="n">
        <v>80212.0</v>
      </c>
      <c r="AI69" s="3" t="n">
        <v>83715.0</v>
      </c>
      <c r="AJ69" s="3" t="n">
        <v>87710.0</v>
      </c>
      <c r="AK69" s="3" t="n">
        <v>91544.0</v>
      </c>
      <c r="AL69" s="3" t="n">
        <v>94598.0</v>
      </c>
      <c r="AM69" s="3" t="n">
        <v>97142.0</v>
      </c>
      <c r="AN69" s="3" t="n">
        <v>99793.0</v>
      </c>
      <c r="AO69" s="3" t="n">
        <v>102015.0</v>
      </c>
    </row>
    <row r="70" spans="1:41" x14ac:dyDescent="0.2">
      <c r="A70" s="127"/>
      <c r="B70" s="52" t="s">
        <v>37</v>
      </c>
      <c r="C70" s="3" t="n">
        <v>28673.0</v>
      </c>
      <c r="D70" s="3" t="n">
        <v>29091.0</v>
      </c>
      <c r="E70" s="3" t="n">
        <v>29504.0</v>
      </c>
      <c r="F70" s="3" t="n">
        <v>29507.0</v>
      </c>
      <c r="G70" s="3" t="n">
        <v>28936.0</v>
      </c>
      <c r="H70" s="3" t="n">
        <v>28348.0</v>
      </c>
      <c r="I70" s="3" t="n">
        <v>27785.0</v>
      </c>
      <c r="J70" s="3" t="n">
        <v>27003.0</v>
      </c>
      <c r="K70" s="3" t="n">
        <v>27240.0</v>
      </c>
      <c r="L70" s="3" t="n">
        <v>33408.0</v>
      </c>
      <c r="M70" s="3" t="n">
        <v>38584.0</v>
      </c>
      <c r="N70" s="3" t="n">
        <v>44198.0</v>
      </c>
      <c r="O70" s="3" t="n">
        <v>49643.0</v>
      </c>
      <c r="P70" s="3" t="n">
        <v>54257.0</v>
      </c>
      <c r="Q70" s="3" t="n">
        <v>55468.0</v>
      </c>
      <c r="R70" s="3" t="n">
        <v>57166.0</v>
      </c>
      <c r="S70" s="3" t="n">
        <v>58607.0</v>
      </c>
      <c r="T70" s="3" t="n">
        <v>59782.0</v>
      </c>
      <c r="U70" s="3" t="n">
        <v>61385.0</v>
      </c>
      <c r="V70" s="3" t="n">
        <v>62494.0</v>
      </c>
      <c r="W70" s="3" t="n">
        <v>63881.0</v>
      </c>
      <c r="X70" s="3" t="n">
        <v>64353.0</v>
      </c>
      <c r="Y70" s="3" t="n">
        <v>64468.0</v>
      </c>
      <c r="Z70" s="3" t="n">
        <v>63271.0</v>
      </c>
      <c r="AA70" s="3" t="n">
        <v>61573.0</v>
      </c>
      <c r="AB70" s="3" t="n">
        <v>59268.0</v>
      </c>
      <c r="AC70" s="3" t="n">
        <v>57756.0</v>
      </c>
      <c r="AD70" s="3" t="n">
        <v>56176.0</v>
      </c>
      <c r="AE70" s="3" t="n">
        <v>55049.0</v>
      </c>
      <c r="AF70" s="3" t="n">
        <v>54367.0</v>
      </c>
      <c r="AG70" s="3" t="n">
        <v>54049.0</v>
      </c>
      <c r="AH70" s="3" t="n">
        <v>54103.0</v>
      </c>
      <c r="AI70" s="3" t="n">
        <v>54741.0</v>
      </c>
      <c r="AJ70" s="3" t="n">
        <v>55952.0</v>
      </c>
      <c r="AK70" s="3" t="n">
        <v>57884.0</v>
      </c>
      <c r="AL70" s="3" t="n">
        <v>60562.0</v>
      </c>
      <c r="AM70" s="3" t="n">
        <v>63235.0</v>
      </c>
      <c r="AN70" s="3" t="n">
        <v>66235.0</v>
      </c>
      <c r="AO70" s="3" t="n">
        <v>69588.0</v>
      </c>
    </row>
    <row r="71" spans="1:41" x14ac:dyDescent="0.2">
      <c r="A71" s="127"/>
      <c r="B71" s="52" t="s">
        <v>69</v>
      </c>
      <c r="C71" s="3" t="n">
        <v>12378.0</v>
      </c>
      <c r="D71" s="3" t="n">
        <v>12918.0</v>
      </c>
      <c r="E71" s="3" t="n">
        <v>13590.0</v>
      </c>
      <c r="F71" s="3" t="n">
        <v>14077.0</v>
      </c>
      <c r="G71" s="3" t="n">
        <v>14571.0</v>
      </c>
      <c r="H71" s="3" t="n">
        <v>14969.0</v>
      </c>
      <c r="I71" s="3" t="n">
        <v>15404.0</v>
      </c>
      <c r="J71" s="3" t="n">
        <v>15777.0</v>
      </c>
      <c r="K71" s="3" t="n">
        <v>15900.0</v>
      </c>
      <c r="L71" s="3" t="n">
        <v>15684.0</v>
      </c>
      <c r="M71" s="3" t="n">
        <v>15462.0</v>
      </c>
      <c r="N71" s="3" t="n">
        <v>15269.0</v>
      </c>
      <c r="O71" s="3" t="n">
        <v>14976.0</v>
      </c>
      <c r="P71" s="3" t="n">
        <v>15283.0</v>
      </c>
      <c r="Q71" s="3" t="n">
        <v>19245.0</v>
      </c>
      <c r="R71" s="3" t="n">
        <v>22433.0</v>
      </c>
      <c r="S71" s="3" t="n">
        <v>25797.0</v>
      </c>
      <c r="T71" s="3" t="n">
        <v>28974.0</v>
      </c>
      <c r="U71" s="3" t="n">
        <v>31641.0</v>
      </c>
      <c r="V71" s="3" t="n">
        <v>32644.0</v>
      </c>
      <c r="W71" s="3" t="n">
        <v>33886.0</v>
      </c>
      <c r="X71" s="3" t="n">
        <v>35005.0</v>
      </c>
      <c r="Y71" s="3" t="n">
        <v>35970.0</v>
      </c>
      <c r="Z71" s="3" t="n">
        <v>37188.0</v>
      </c>
      <c r="AA71" s="3" t="n">
        <v>38076.0</v>
      </c>
      <c r="AB71" s="3" t="n">
        <v>39222.0</v>
      </c>
      <c r="AC71" s="3" t="n">
        <v>39766.0</v>
      </c>
      <c r="AD71" s="3" t="n">
        <v>40023.0</v>
      </c>
      <c r="AE71" s="3" t="n">
        <v>39491.0</v>
      </c>
      <c r="AF71" s="3" t="n">
        <v>38618.0</v>
      </c>
      <c r="AG71" s="3" t="n">
        <v>37377.0</v>
      </c>
      <c r="AH71" s="3" t="n">
        <v>36710.0</v>
      </c>
      <c r="AI71" s="3" t="n">
        <v>35984.0</v>
      </c>
      <c r="AJ71" s="3" t="n">
        <v>35514.0</v>
      </c>
      <c r="AK71" s="3" t="n">
        <v>35299.0</v>
      </c>
      <c r="AL71" s="3" t="n">
        <v>35309.0</v>
      </c>
      <c r="AM71" s="3" t="n">
        <v>35621.0</v>
      </c>
      <c r="AN71" s="3" t="n">
        <v>36298.0</v>
      </c>
      <c r="AO71" s="3" t="n">
        <v>37328.0</v>
      </c>
    </row>
    <row r="72" spans="1:41" x14ac:dyDescent="0.2">
      <c r="A72" s="127"/>
      <c r="B72" s="55" t="s">
        <v>70</v>
      </c>
      <c r="C72" s="3" t="n">
        <v>2958.0</v>
      </c>
      <c r="D72" s="3" t="n">
        <v>3169.0</v>
      </c>
      <c r="E72" s="3" t="n">
        <v>3329.0</v>
      </c>
      <c r="F72" s="3" t="n">
        <v>3642.0</v>
      </c>
      <c r="G72" s="3" t="n">
        <v>3994.0</v>
      </c>
      <c r="H72" s="3" t="n">
        <v>4326.0</v>
      </c>
      <c r="I72" s="3" t="n">
        <v>4613.0</v>
      </c>
      <c r="J72" s="3" t="n">
        <v>4909.0</v>
      </c>
      <c r="K72" s="3" t="n">
        <v>5162.0</v>
      </c>
      <c r="L72" s="3" t="n">
        <v>5428.0</v>
      </c>
      <c r="M72" s="3" t="n">
        <v>5652.0</v>
      </c>
      <c r="N72" s="3" t="n">
        <v>5880.0</v>
      </c>
      <c r="O72" s="3" t="n">
        <v>6097.0</v>
      </c>
      <c r="P72" s="3" t="n">
        <v>6197.0</v>
      </c>
      <c r="Q72" s="3" t="n">
        <v>6171.0</v>
      </c>
      <c r="R72" s="3" t="n">
        <v>6151.0</v>
      </c>
      <c r="S72" s="3" t="n">
        <v>6148.0</v>
      </c>
      <c r="T72" s="3" t="n">
        <v>6117.0</v>
      </c>
      <c r="U72" s="3" t="n">
        <v>6357.0</v>
      </c>
      <c r="V72" s="3" t="n">
        <v>8323.0</v>
      </c>
      <c r="W72" s="3" t="n">
        <v>9828.0</v>
      </c>
      <c r="X72" s="3" t="n">
        <v>11382.0</v>
      </c>
      <c r="Y72" s="3" t="n">
        <v>12784.0</v>
      </c>
      <c r="Z72" s="3" t="n">
        <v>13971.0</v>
      </c>
      <c r="AA72" s="3" t="n">
        <v>14585.0</v>
      </c>
      <c r="AB72" s="3" t="n">
        <v>15308.0</v>
      </c>
      <c r="AC72" s="3" t="n">
        <v>16003.0</v>
      </c>
      <c r="AD72" s="3" t="n">
        <v>16589.0</v>
      </c>
      <c r="AE72" s="3" t="n">
        <v>17343.0</v>
      </c>
      <c r="AF72" s="3" t="n">
        <v>17931.0</v>
      </c>
      <c r="AG72" s="3" t="n">
        <v>18635.0</v>
      </c>
      <c r="AH72" s="3" t="n">
        <v>19070.0</v>
      </c>
      <c r="AI72" s="3" t="n">
        <v>19339.0</v>
      </c>
      <c r="AJ72" s="3" t="n">
        <v>19239.0</v>
      </c>
      <c r="AK72" s="3" t="n">
        <v>18963.0</v>
      </c>
      <c r="AL72" s="3" t="n">
        <v>18546.0</v>
      </c>
      <c r="AM72" s="3" t="n">
        <v>18441.0</v>
      </c>
      <c r="AN72" s="3" t="n">
        <v>18288.0</v>
      </c>
      <c r="AO72" s="3" t="n">
        <v>18202.0</v>
      </c>
    </row>
    <row r="73" spans="1:41" x14ac:dyDescent="0.2">
      <c r="A73" s="128"/>
      <c r="B73" s="54" t="s">
        <v>68</v>
      </c>
      <c r="C73" s="4" t="n">
        <v>427.0</v>
      </c>
      <c r="D73" s="4" t="n">
        <v>472.0</v>
      </c>
      <c r="E73" s="4" t="n">
        <v>505.0</v>
      </c>
      <c r="F73" s="4" t="n">
        <v>548.0</v>
      </c>
      <c r="G73" s="4" t="n">
        <v>578.0</v>
      </c>
      <c r="H73" s="4" t="n">
        <v>613.0</v>
      </c>
      <c r="I73" s="4" t="n">
        <v>687.0</v>
      </c>
      <c r="J73" s="4" t="n">
        <v>742.0</v>
      </c>
      <c r="K73" s="4" t="n">
        <v>830.0</v>
      </c>
      <c r="L73" s="4" t="n">
        <v>933.0</v>
      </c>
      <c r="M73" s="4" t="n">
        <v>1019.0</v>
      </c>
      <c r="N73" s="4" t="n">
        <v>1114.0</v>
      </c>
      <c r="O73" s="4" t="n">
        <v>1211.0</v>
      </c>
      <c r="P73" s="4" t="n">
        <v>1303.0</v>
      </c>
      <c r="Q73" s="4" t="n">
        <v>1401.0</v>
      </c>
      <c r="R73" s="4" t="n">
        <v>1489.0</v>
      </c>
      <c r="S73" s="4" t="n">
        <v>1579.0</v>
      </c>
      <c r="T73" s="4" t="n">
        <v>1679.0</v>
      </c>
      <c r="U73" s="4" t="n">
        <v>1746.0</v>
      </c>
      <c r="V73" s="4" t="n">
        <v>1771.0</v>
      </c>
      <c r="W73" s="4" t="n">
        <v>1801.0</v>
      </c>
      <c r="X73" s="4" t="n">
        <v>1845.0</v>
      </c>
      <c r="Y73" s="4" t="n">
        <v>1893.0</v>
      </c>
      <c r="Z73" s="4" t="n">
        <v>2020.0</v>
      </c>
      <c r="AA73" s="4" t="n">
        <v>2662.0</v>
      </c>
      <c r="AB73" s="4" t="n">
        <v>3120.0</v>
      </c>
      <c r="AC73" s="4" t="n">
        <v>3596.0</v>
      </c>
      <c r="AD73" s="4" t="n">
        <v>4003.0</v>
      </c>
      <c r="AE73" s="4" t="n">
        <v>4385.0</v>
      </c>
      <c r="AF73" s="4" t="n">
        <v>4768.0</v>
      </c>
      <c r="AG73" s="4" t="n">
        <v>5128.0</v>
      </c>
      <c r="AH73" s="4" t="n">
        <v>5512.0</v>
      </c>
      <c r="AI73" s="4" t="n">
        <v>5839.0</v>
      </c>
      <c r="AJ73" s="4" t="n">
        <v>6236.0</v>
      </c>
      <c r="AK73" s="4" t="n">
        <v>6575.0</v>
      </c>
      <c r="AL73" s="4" t="n">
        <v>6965.0</v>
      </c>
      <c r="AM73" s="4" t="n">
        <v>7271.0</v>
      </c>
      <c r="AN73" s="4" t="n">
        <v>7507.0</v>
      </c>
      <c r="AO73" s="4" t="n">
        <v>7630.0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5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3"/>
      <c r="B1" s="133"/>
      <c r="C1" s="94" t="s">
        <v>64</v>
      </c>
      <c r="D1" s="94"/>
      <c r="E1" s="94"/>
      <c r="F1" s="94"/>
      <c r="G1" s="94"/>
      <c r="H1" s="94"/>
      <c r="I1" s="94"/>
      <c r="J1" s="94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5" t="s">
        <v>83</v>
      </c>
      <c r="B3" s="125"/>
      <c r="D3" s="19" t="s">
        <v>65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48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0" t="s">
        <v>46</v>
      </c>
      <c r="B8" s="59" t="s">
        <v>62</v>
      </c>
      <c r="C8" s="57" t="n">
        <v>3493577.0</v>
      </c>
      <c r="D8" s="57" t="n">
        <v>3492046.0</v>
      </c>
      <c r="E8" s="57" t="n">
        <v>3491086.0</v>
      </c>
      <c r="F8" s="57" t="n">
        <v>3490340.0</v>
      </c>
      <c r="G8" s="57" t="n">
        <v>3489865.0</v>
      </c>
      <c r="H8" s="57" t="n">
        <v>3503438.0</v>
      </c>
      <c r="I8" s="57" t="n">
        <v>3522250.0</v>
      </c>
      <c r="J8" s="57" t="n">
        <v>3529932.0</v>
      </c>
      <c r="K8" s="57" t="n">
        <v>3531610.0</v>
      </c>
      <c r="L8" s="57" t="n">
        <v>3530939.0</v>
      </c>
      <c r="M8" s="57" t="n">
        <v>3528726.0</v>
      </c>
      <c r="N8" s="57" t="n">
        <v>3525380.0</v>
      </c>
      <c r="O8" s="57" t="n">
        <v>3520985.0</v>
      </c>
      <c r="P8" s="57" t="n">
        <v>3516158.0</v>
      </c>
      <c r="Q8" s="57" t="n">
        <v>3511151.0</v>
      </c>
      <c r="R8" s="57" t="n">
        <v>3505825.0</v>
      </c>
      <c r="S8" s="57" t="n">
        <v>3500272.0</v>
      </c>
      <c r="T8" s="57" t="n">
        <v>3494529.0</v>
      </c>
      <c r="U8" s="57" t="n">
        <v>3488681.0</v>
      </c>
      <c r="V8" s="57" t="n">
        <v>3482938.0</v>
      </c>
      <c r="W8" s="57" t="n">
        <v>3477073.0</v>
      </c>
      <c r="X8" s="57" t="n">
        <v>3471213.0</v>
      </c>
      <c r="Y8" s="57" t="n">
        <v>3465489.0</v>
      </c>
      <c r="Z8" s="57" t="n">
        <v>3459418.0</v>
      </c>
      <c r="AA8" s="57" t="n">
        <v>3453222.0</v>
      </c>
      <c r="AB8" s="57" t="n">
        <v>3447134.0</v>
      </c>
      <c r="AC8" s="57" t="n">
        <v>3440850.0</v>
      </c>
      <c r="AD8" s="57" t="n">
        <v>3434307.0</v>
      </c>
      <c r="AE8" s="57" t="n">
        <v>3427536.0</v>
      </c>
      <c r="AF8" s="57" t="n">
        <v>3420454.0</v>
      </c>
      <c r="AG8" s="57" t="n">
        <v>3413112.0</v>
      </c>
      <c r="AH8" s="57" t="n">
        <v>3405759.0</v>
      </c>
      <c r="AI8" s="57" t="n">
        <v>3398154.0</v>
      </c>
      <c r="AJ8" s="57" t="n">
        <v>3390499.0</v>
      </c>
      <c r="AK8" s="57" t="n">
        <v>3382438.0</v>
      </c>
      <c r="AL8" s="57" t="n">
        <v>3374159.0</v>
      </c>
      <c r="AM8" s="57" t="n">
        <v>3365881.0</v>
      </c>
      <c r="AN8" s="57" t="n">
        <v>3357494.0</v>
      </c>
      <c r="AO8" s="57" t="n">
        <v>3349005.0</v>
      </c>
    </row>
    <row r="9" spans="1:41" x14ac:dyDescent="0.2">
      <c r="A9" s="131"/>
      <c r="B9" s="52" t="s">
        <v>8</v>
      </c>
      <c r="C9" s="3" t="n">
        <v>683794.0</v>
      </c>
      <c r="D9" s="3" t="n">
        <v>681012.0</v>
      </c>
      <c r="E9" s="3" t="n">
        <v>677417.0</v>
      </c>
      <c r="F9" s="3" t="n">
        <v>671977.0</v>
      </c>
      <c r="G9" s="3" t="n">
        <v>663884.0</v>
      </c>
      <c r="H9" s="3" t="n">
        <v>661900.0</v>
      </c>
      <c r="I9" s="3" t="n">
        <v>662206.0</v>
      </c>
      <c r="J9" s="3" t="n">
        <v>660374.0</v>
      </c>
      <c r="K9" s="3" t="n">
        <v>655741.0</v>
      </c>
      <c r="L9" s="3" t="n">
        <v>651921.0</v>
      </c>
      <c r="M9" s="3" t="n">
        <v>646651.0</v>
      </c>
      <c r="N9" s="3" t="n">
        <v>641178.0</v>
      </c>
      <c r="O9" s="3" t="n">
        <v>634592.0</v>
      </c>
      <c r="P9" s="3" t="n">
        <v>626051.0</v>
      </c>
      <c r="Q9" s="3" t="n">
        <v>619888.0</v>
      </c>
      <c r="R9" s="3" t="n">
        <v>615292.0</v>
      </c>
      <c r="S9" s="3" t="n">
        <v>613248.0</v>
      </c>
      <c r="T9" s="3" t="n">
        <v>612811.0</v>
      </c>
      <c r="U9" s="3" t="n">
        <v>616409.0</v>
      </c>
      <c r="V9" s="3" t="n">
        <v>618494.0</v>
      </c>
      <c r="W9" s="3" t="n">
        <v>620599.0</v>
      </c>
      <c r="X9" s="3" t="n">
        <v>622699.0</v>
      </c>
      <c r="Y9" s="3" t="n">
        <v>624917.0</v>
      </c>
      <c r="Z9" s="3" t="n">
        <v>627313.0</v>
      </c>
      <c r="AA9" s="3" t="n">
        <v>629721.0</v>
      </c>
      <c r="AB9" s="3" t="n">
        <v>631895.0</v>
      </c>
      <c r="AC9" s="3" t="n">
        <v>633829.0</v>
      </c>
      <c r="AD9" s="3" t="n">
        <v>635519.0</v>
      </c>
      <c r="AE9" s="3" t="n">
        <v>636917.0</v>
      </c>
      <c r="AF9" s="3" t="n">
        <v>638025.0</v>
      </c>
      <c r="AG9" s="3" t="n">
        <v>638791.0</v>
      </c>
      <c r="AH9" s="3" t="n">
        <v>639139.0</v>
      </c>
      <c r="AI9" s="3" t="n">
        <v>639010.0</v>
      </c>
      <c r="AJ9" s="3" t="n">
        <v>638335.0</v>
      </c>
      <c r="AK9" s="3" t="n">
        <v>637169.0</v>
      </c>
      <c r="AL9" s="3" t="n">
        <v>635507.0</v>
      </c>
      <c r="AM9" s="3" t="n">
        <v>633334.0</v>
      </c>
      <c r="AN9" s="3" t="n">
        <v>630764.0</v>
      </c>
      <c r="AO9" s="3" t="n">
        <v>627923.0</v>
      </c>
    </row>
    <row r="10" spans="1:41" x14ac:dyDescent="0.2">
      <c r="A10" s="131"/>
      <c r="B10" s="52" t="s">
        <v>9</v>
      </c>
      <c r="C10" s="3" t="n">
        <v>2062704.0</v>
      </c>
      <c r="D10" s="3" t="n">
        <v>2049358.0</v>
      </c>
      <c r="E10" s="3" t="n">
        <v>2038964.0</v>
      </c>
      <c r="F10" s="3" t="n">
        <v>2033107.0</v>
      </c>
      <c r="G10" s="3" t="n">
        <v>2031650.0</v>
      </c>
      <c r="H10" s="3" t="n">
        <v>2038340.0</v>
      </c>
      <c r="I10" s="3" t="n">
        <v>2047183.0</v>
      </c>
      <c r="J10" s="3" t="n">
        <v>2048528.0</v>
      </c>
      <c r="K10" s="3" t="n">
        <v>2047216.0</v>
      </c>
      <c r="L10" s="3" t="n">
        <v>2042474.0</v>
      </c>
      <c r="M10" s="3" t="n">
        <v>2036965.0</v>
      </c>
      <c r="N10" s="3" t="n">
        <v>2029944.0</v>
      </c>
      <c r="O10" s="3" t="n">
        <v>2022495.0</v>
      </c>
      <c r="P10" s="3" t="n">
        <v>2015110.0</v>
      </c>
      <c r="Q10" s="3" t="n">
        <v>2004022.0</v>
      </c>
      <c r="R10" s="3" t="n">
        <v>1990626.0</v>
      </c>
      <c r="S10" s="3" t="n">
        <v>1974004.0</v>
      </c>
      <c r="T10" s="3" t="n">
        <v>1954704.0</v>
      </c>
      <c r="U10" s="3" t="n">
        <v>1930315.0</v>
      </c>
      <c r="V10" s="3" t="n">
        <v>1907601.0</v>
      </c>
      <c r="W10" s="3" t="n">
        <v>1883826.0</v>
      </c>
      <c r="X10" s="3" t="n">
        <v>1859329.0</v>
      </c>
      <c r="Y10" s="3" t="n">
        <v>1834240.0</v>
      </c>
      <c r="Z10" s="3" t="n">
        <v>1810464.0</v>
      </c>
      <c r="AA10" s="3" t="n">
        <v>1788300.0</v>
      </c>
      <c r="AB10" s="3" t="n">
        <v>1766701.0</v>
      </c>
      <c r="AC10" s="3" t="n">
        <v>1744661.0</v>
      </c>
      <c r="AD10" s="3" t="n">
        <v>1723880.0</v>
      </c>
      <c r="AE10" s="3" t="n">
        <v>1703957.0</v>
      </c>
      <c r="AF10" s="3" t="n">
        <v>1686234.0</v>
      </c>
      <c r="AG10" s="3" t="n">
        <v>1670435.0</v>
      </c>
      <c r="AH10" s="3" t="n">
        <v>1656357.0</v>
      </c>
      <c r="AI10" s="3" t="n">
        <v>1643993.0</v>
      </c>
      <c r="AJ10" s="3" t="n">
        <v>1633118.0</v>
      </c>
      <c r="AK10" s="3" t="n">
        <v>1623570.0</v>
      </c>
      <c r="AL10" s="3" t="n">
        <v>1616144.0</v>
      </c>
      <c r="AM10" s="3" t="n">
        <v>1610435.0</v>
      </c>
      <c r="AN10" s="3" t="n">
        <v>1606683.0</v>
      </c>
      <c r="AO10" s="3" t="n">
        <v>1604415.0</v>
      </c>
    </row>
    <row r="11" spans="1:41" x14ac:dyDescent="0.2">
      <c r="A11" s="131"/>
      <c r="B11" s="52" t="s">
        <v>11</v>
      </c>
      <c r="C11" s="3" t="n">
        <v>1286166.0</v>
      </c>
      <c r="D11" s="3" t="n">
        <v>1264662.0</v>
      </c>
      <c r="E11" s="3" t="n">
        <v>1241988.0</v>
      </c>
      <c r="F11" s="3" t="n">
        <v>1221501.0</v>
      </c>
      <c r="G11" s="3" t="n">
        <v>1205663.0</v>
      </c>
      <c r="H11" s="3" t="n">
        <v>1192712.0</v>
      </c>
      <c r="I11" s="3" t="n">
        <v>1180301.0</v>
      </c>
      <c r="J11" s="3" t="n">
        <v>1162335.0</v>
      </c>
      <c r="K11" s="3" t="n">
        <v>1144941.0</v>
      </c>
      <c r="L11" s="3" t="n">
        <v>1127938.0</v>
      </c>
      <c r="M11" s="3" t="n">
        <v>1114078.0</v>
      </c>
      <c r="N11" s="3" t="n">
        <v>1100543.0</v>
      </c>
      <c r="O11" s="3" t="n">
        <v>1089420.0</v>
      </c>
      <c r="P11" s="3" t="n">
        <v>1080345.0</v>
      </c>
      <c r="Q11" s="3" t="n">
        <v>1070161.0</v>
      </c>
      <c r="R11" s="3" t="n">
        <v>1061401.0</v>
      </c>
      <c r="S11" s="3" t="n">
        <v>1051799.0</v>
      </c>
      <c r="T11" s="3" t="n">
        <v>1043187.0</v>
      </c>
      <c r="U11" s="3" t="n">
        <v>1033114.0</v>
      </c>
      <c r="V11" s="3" t="n">
        <v>1026263.0</v>
      </c>
      <c r="W11" s="3" t="n">
        <v>1020736.0</v>
      </c>
      <c r="X11" s="3" t="n">
        <v>1016945.0</v>
      </c>
      <c r="Y11" s="3" t="n">
        <v>1014481.0</v>
      </c>
      <c r="Z11" s="3" t="n">
        <v>1012385.0</v>
      </c>
      <c r="AA11" s="3" t="n">
        <v>1011088.0</v>
      </c>
      <c r="AB11" s="3" t="n">
        <v>1011226.0</v>
      </c>
      <c r="AC11" s="3" t="n">
        <v>1011520.0</v>
      </c>
      <c r="AD11" s="3" t="n">
        <v>1011554.0</v>
      </c>
      <c r="AE11" s="3" t="n">
        <v>1009802.0</v>
      </c>
      <c r="AF11" s="3" t="n">
        <v>1006880.0</v>
      </c>
      <c r="AG11" s="3" t="n">
        <v>1001774.0</v>
      </c>
      <c r="AH11" s="3" t="n">
        <v>993772.0</v>
      </c>
      <c r="AI11" s="3" t="n">
        <v>985506.0</v>
      </c>
      <c r="AJ11" s="3" t="n">
        <v>977332.0</v>
      </c>
      <c r="AK11" s="3" t="n">
        <v>971958.0</v>
      </c>
      <c r="AL11" s="3" t="n">
        <v>966476.0</v>
      </c>
      <c r="AM11" s="3" t="n">
        <v>963046.0</v>
      </c>
      <c r="AN11" s="3" t="n">
        <v>959019.0</v>
      </c>
      <c r="AO11" s="3" t="n">
        <v>955445.0</v>
      </c>
    </row>
    <row r="12" spans="1:41" x14ac:dyDescent="0.2">
      <c r="A12" s="131"/>
      <c r="B12" s="52" t="s">
        <v>12</v>
      </c>
      <c r="C12" s="3" t="n">
        <v>776538.0</v>
      </c>
      <c r="D12" s="3" t="n">
        <v>784696.0</v>
      </c>
      <c r="E12" s="3" t="n">
        <v>796976.0</v>
      </c>
      <c r="F12" s="3" t="n">
        <v>811606.0</v>
      </c>
      <c r="G12" s="3" t="n">
        <v>825987.0</v>
      </c>
      <c r="H12" s="3" t="n">
        <v>845628.0</v>
      </c>
      <c r="I12" s="3" t="n">
        <v>866882.0</v>
      </c>
      <c r="J12" s="3" t="n">
        <v>886193.0</v>
      </c>
      <c r="K12" s="3" t="n">
        <v>902275.0</v>
      </c>
      <c r="L12" s="3" t="n">
        <v>914536.0</v>
      </c>
      <c r="M12" s="3" t="n">
        <v>922887.0</v>
      </c>
      <c r="N12" s="3" t="n">
        <v>929401.0</v>
      </c>
      <c r="O12" s="3" t="n">
        <v>933075.0</v>
      </c>
      <c r="P12" s="3" t="n">
        <v>934765.0</v>
      </c>
      <c r="Q12" s="3" t="n">
        <v>933861.0</v>
      </c>
      <c r="R12" s="3" t="n">
        <v>929225.0</v>
      </c>
      <c r="S12" s="3" t="n">
        <v>922205.0</v>
      </c>
      <c r="T12" s="3" t="n">
        <v>911517.0</v>
      </c>
      <c r="U12" s="3" t="n">
        <v>897201.0</v>
      </c>
      <c r="V12" s="3" t="n">
        <v>881338.0</v>
      </c>
      <c r="W12" s="3" t="n">
        <v>863090.0</v>
      </c>
      <c r="X12" s="3" t="n">
        <v>842384.0</v>
      </c>
      <c r="Y12" s="3" t="n">
        <v>819759.0</v>
      </c>
      <c r="Z12" s="3" t="n">
        <v>798079.0</v>
      </c>
      <c r="AA12" s="3" t="n">
        <v>777212.0</v>
      </c>
      <c r="AB12" s="3" t="n">
        <v>755475.0</v>
      </c>
      <c r="AC12" s="3" t="n">
        <v>733141.0</v>
      </c>
      <c r="AD12" s="3" t="n">
        <v>712326.0</v>
      </c>
      <c r="AE12" s="3" t="n">
        <v>694155.0</v>
      </c>
      <c r="AF12" s="3" t="n">
        <v>679354.0</v>
      </c>
      <c r="AG12" s="3" t="n">
        <v>668661.0</v>
      </c>
      <c r="AH12" s="3" t="n">
        <v>662585.0</v>
      </c>
      <c r="AI12" s="3" t="n">
        <v>658487.0</v>
      </c>
      <c r="AJ12" s="3" t="n">
        <v>655786.0</v>
      </c>
      <c r="AK12" s="3" t="n">
        <v>651612.0</v>
      </c>
      <c r="AL12" s="3" t="n">
        <v>649668.0</v>
      </c>
      <c r="AM12" s="3" t="n">
        <v>647389.0</v>
      </c>
      <c r="AN12" s="3" t="n">
        <v>647664.0</v>
      </c>
      <c r="AO12" s="3" t="n">
        <v>648970.0</v>
      </c>
    </row>
    <row r="13" spans="1:41" x14ac:dyDescent="0.2">
      <c r="A13" s="131"/>
      <c r="B13" s="52" t="s">
        <v>10</v>
      </c>
      <c r="C13" s="3" t="n">
        <v>747079.0</v>
      </c>
      <c r="D13" s="3" t="n">
        <v>761676.0</v>
      </c>
      <c r="E13" s="3" t="n">
        <v>774705.0</v>
      </c>
      <c r="F13" s="3" t="n">
        <v>785256.0</v>
      </c>
      <c r="G13" s="3" t="n">
        <v>794331.0</v>
      </c>
      <c r="H13" s="3" t="n">
        <v>803198.0</v>
      </c>
      <c r="I13" s="3" t="n">
        <v>812861.0</v>
      </c>
      <c r="J13" s="3" t="n">
        <v>821030.0</v>
      </c>
      <c r="K13" s="3" t="n">
        <v>828653.0</v>
      </c>
      <c r="L13" s="3" t="n">
        <v>836544.0</v>
      </c>
      <c r="M13" s="3" t="n">
        <v>845110.0</v>
      </c>
      <c r="N13" s="3" t="n">
        <v>854258.0</v>
      </c>
      <c r="O13" s="3" t="n">
        <v>863898.0</v>
      </c>
      <c r="P13" s="3" t="n">
        <v>874997.0</v>
      </c>
      <c r="Q13" s="3" t="n">
        <v>887241.0</v>
      </c>
      <c r="R13" s="3" t="n">
        <v>899907.0</v>
      </c>
      <c r="S13" s="3" t="n">
        <v>913020.0</v>
      </c>
      <c r="T13" s="3" t="n">
        <v>927014.0</v>
      </c>
      <c r="U13" s="3" t="n">
        <v>941957.0</v>
      </c>
      <c r="V13" s="3" t="n">
        <v>956843.0</v>
      </c>
      <c r="W13" s="3" t="n">
        <v>972648.0</v>
      </c>
      <c r="X13" s="3" t="n">
        <v>989185.0</v>
      </c>
      <c r="Y13" s="3" t="n">
        <v>1006332.0</v>
      </c>
      <c r="Z13" s="3" t="n">
        <v>1021641.0</v>
      </c>
      <c r="AA13" s="3" t="n">
        <v>1035201.0</v>
      </c>
      <c r="AB13" s="3" t="n">
        <v>1048538.0</v>
      </c>
      <c r="AC13" s="3" t="n">
        <v>1062360.0</v>
      </c>
      <c r="AD13" s="3" t="n">
        <v>1074908.0</v>
      </c>
      <c r="AE13" s="3" t="n">
        <v>1086662.0</v>
      </c>
      <c r="AF13" s="3" t="n">
        <v>1096195.0</v>
      </c>
      <c r="AG13" s="3" t="n">
        <v>1103886.0</v>
      </c>
      <c r="AH13" s="3" t="n">
        <v>1110263.0</v>
      </c>
      <c r="AI13" s="3" t="n">
        <v>1115151.0</v>
      </c>
      <c r="AJ13" s="3" t="n">
        <v>1119046.0</v>
      </c>
      <c r="AK13" s="3" t="n">
        <v>1121699.0</v>
      </c>
      <c r="AL13" s="3" t="n">
        <v>1122508.0</v>
      </c>
      <c r="AM13" s="3" t="n">
        <v>1122112.0</v>
      </c>
      <c r="AN13" s="3" t="n">
        <v>1120047.0</v>
      </c>
      <c r="AO13" s="3" t="n">
        <v>1116667.0</v>
      </c>
    </row>
    <row r="14" spans="1:41" x14ac:dyDescent="0.2">
      <c r="A14" s="131"/>
      <c r="B14" s="52" t="s">
        <v>0</v>
      </c>
      <c r="C14" s="3" t="n">
        <v>98740.0</v>
      </c>
      <c r="D14" s="3" t="n">
        <v>95752.0</v>
      </c>
      <c r="E14" s="3" t="n">
        <v>94355.0</v>
      </c>
      <c r="F14" s="3" t="n">
        <v>96886.0</v>
      </c>
      <c r="G14" s="3" t="n">
        <v>97581.0</v>
      </c>
      <c r="H14" s="3" t="n">
        <v>98676.0</v>
      </c>
      <c r="I14" s="3" t="n">
        <v>99744.0</v>
      </c>
      <c r="J14" s="3" t="n">
        <v>100254.0</v>
      </c>
      <c r="K14" s="3" t="n">
        <v>100565.0</v>
      </c>
      <c r="L14" s="3" t="n">
        <v>100827.0</v>
      </c>
      <c r="M14" s="3" t="n">
        <v>100877.0</v>
      </c>
      <c r="N14" s="3" t="n">
        <v>100786.0</v>
      </c>
      <c r="O14" s="3" t="n">
        <v>100687.0</v>
      </c>
      <c r="P14" s="3" t="n">
        <v>100684.0</v>
      </c>
      <c r="Q14" s="3" t="n">
        <v>100910.0</v>
      </c>
      <c r="R14" s="3" t="n">
        <v>101350.0</v>
      </c>
      <c r="S14" s="3" t="n">
        <v>101985.0</v>
      </c>
      <c r="T14" s="3" t="n">
        <v>102753.0</v>
      </c>
      <c r="U14" s="3" t="n">
        <v>103614.0</v>
      </c>
      <c r="V14" s="3" t="n">
        <v>104514.0</v>
      </c>
      <c r="W14" s="3" t="n">
        <v>105364.0</v>
      </c>
      <c r="X14" s="3" t="n">
        <v>106075.0</v>
      </c>
      <c r="Y14" s="3" t="n">
        <v>106632.0</v>
      </c>
      <c r="Z14" s="3" t="n">
        <v>107007.0</v>
      </c>
      <c r="AA14" s="3" t="n">
        <v>107142.0</v>
      </c>
      <c r="AB14" s="3" t="n">
        <v>107071.0</v>
      </c>
      <c r="AC14" s="3" t="n">
        <v>106757.0</v>
      </c>
      <c r="AD14" s="3" t="n">
        <v>106255.0</v>
      </c>
      <c r="AE14" s="3" t="n">
        <v>105546.0</v>
      </c>
      <c r="AF14" s="3" t="n">
        <v>104691.0</v>
      </c>
      <c r="AG14" s="3" t="n">
        <v>103744.0</v>
      </c>
      <c r="AH14" s="3" t="n">
        <v>102723.0</v>
      </c>
      <c r="AI14" s="3" t="n">
        <v>101699.0</v>
      </c>
      <c r="AJ14" s="3" t="n">
        <v>100686.0</v>
      </c>
      <c r="AK14" s="3" t="n">
        <v>99786.0</v>
      </c>
      <c r="AL14" s="3" t="n">
        <v>98983.0</v>
      </c>
      <c r="AM14" s="3" t="n">
        <v>98334.0</v>
      </c>
      <c r="AN14" s="3" t="n">
        <v>97819.0</v>
      </c>
      <c r="AO14" s="3" t="n">
        <v>97481.0</v>
      </c>
    </row>
    <row r="15" spans="1:41" x14ac:dyDescent="0.2">
      <c r="A15" s="131"/>
      <c r="B15" s="52" t="s">
        <v>1</v>
      </c>
      <c r="C15" s="3" t="n">
        <v>156471.0</v>
      </c>
      <c r="D15" s="3" t="n">
        <v>152634.0</v>
      </c>
      <c r="E15" s="3" t="n">
        <v>145578.0</v>
      </c>
      <c r="F15" s="3" t="n">
        <v>137133.0</v>
      </c>
      <c r="G15" s="3" t="n">
        <v>132031.0</v>
      </c>
      <c r="H15" s="3" t="n">
        <v>130821.0</v>
      </c>
      <c r="I15" s="3" t="n">
        <v>131510.0</v>
      </c>
      <c r="J15" s="3" t="n">
        <v>134831.0</v>
      </c>
      <c r="K15" s="3" t="n">
        <v>135567.0</v>
      </c>
      <c r="L15" s="3" t="n">
        <v>135793.0</v>
      </c>
      <c r="M15" s="3" t="n">
        <v>135852.0</v>
      </c>
      <c r="N15" s="3" t="n">
        <v>135861.0</v>
      </c>
      <c r="O15" s="3" t="n">
        <v>135996.0</v>
      </c>
      <c r="P15" s="3" t="n">
        <v>136163.0</v>
      </c>
      <c r="Q15" s="3" t="n">
        <v>136135.0</v>
      </c>
      <c r="R15" s="3" t="n">
        <v>136072.0</v>
      </c>
      <c r="S15" s="3" t="n">
        <v>136075.0</v>
      </c>
      <c r="T15" s="3" t="n">
        <v>136255.0</v>
      </c>
      <c r="U15" s="3" t="n">
        <v>136727.0</v>
      </c>
      <c r="V15" s="3" t="n">
        <v>137450.0</v>
      </c>
      <c r="W15" s="3" t="n">
        <v>138400.0</v>
      </c>
      <c r="X15" s="3" t="n">
        <v>139518.0</v>
      </c>
      <c r="Y15" s="3" t="n">
        <v>140681.0</v>
      </c>
      <c r="Z15" s="3" t="n">
        <v>141827.0</v>
      </c>
      <c r="AA15" s="3" t="n">
        <v>142892.0</v>
      </c>
      <c r="AB15" s="3" t="n">
        <v>143754.0</v>
      </c>
      <c r="AC15" s="3" t="n">
        <v>144370.0</v>
      </c>
      <c r="AD15" s="3" t="n">
        <v>144705.0</v>
      </c>
      <c r="AE15" s="3" t="n">
        <v>144767.0</v>
      </c>
      <c r="AF15" s="3" t="n">
        <v>144524.0</v>
      </c>
      <c r="AG15" s="3" t="n">
        <v>144005.0</v>
      </c>
      <c r="AH15" s="3" t="n">
        <v>143235.0</v>
      </c>
      <c r="AI15" s="3" t="n">
        <v>142218.0</v>
      </c>
      <c r="AJ15" s="3" t="n">
        <v>141053.0</v>
      </c>
      <c r="AK15" s="3" t="n">
        <v>139764.0</v>
      </c>
      <c r="AL15" s="3" t="n">
        <v>138438.0</v>
      </c>
      <c r="AM15" s="3" t="n">
        <v>137100.0</v>
      </c>
      <c r="AN15" s="3" t="n">
        <v>135851.0</v>
      </c>
      <c r="AO15" s="3" t="n">
        <v>134742.0</v>
      </c>
    </row>
    <row r="16" spans="1:41" x14ac:dyDescent="0.2">
      <c r="A16" s="131"/>
      <c r="B16" s="53" t="s">
        <v>18</v>
      </c>
      <c r="C16" s="3" t="n">
        <v>318263.0</v>
      </c>
      <c r="D16" s="3" t="n">
        <v>315966.0</v>
      </c>
      <c r="E16" s="3" t="n">
        <v>315460.0</v>
      </c>
      <c r="F16" s="3" t="n">
        <v>312738.0</v>
      </c>
      <c r="G16" s="3" t="n">
        <v>311389.0</v>
      </c>
      <c r="H16" s="3" t="n">
        <v>310859.0</v>
      </c>
      <c r="I16" s="3" t="n">
        <v>312105.0</v>
      </c>
      <c r="J16" s="3" t="n">
        <v>306208.0</v>
      </c>
      <c r="K16" s="3" t="n">
        <v>301166.0</v>
      </c>
      <c r="L16" s="3" t="n">
        <v>294919.0</v>
      </c>
      <c r="M16" s="3" t="n">
        <v>286585.0</v>
      </c>
      <c r="N16" s="3" t="n">
        <v>280321.0</v>
      </c>
      <c r="O16" s="3" t="n">
        <v>275224.0</v>
      </c>
      <c r="P16" s="3" t="n">
        <v>272329.0</v>
      </c>
      <c r="Q16" s="3" t="n">
        <v>270888.0</v>
      </c>
      <c r="R16" s="3" t="n">
        <v>273210.0</v>
      </c>
      <c r="S16" s="3" t="n">
        <v>273725.0</v>
      </c>
      <c r="T16" s="3" t="n">
        <v>273991.0</v>
      </c>
      <c r="U16" s="3" t="n">
        <v>273987.0</v>
      </c>
      <c r="V16" s="3" t="n">
        <v>273979.0</v>
      </c>
      <c r="W16" s="3" t="n">
        <v>274161.0</v>
      </c>
      <c r="X16" s="3" t="n">
        <v>274579.0</v>
      </c>
      <c r="Y16" s="3" t="n">
        <v>275089.0</v>
      </c>
      <c r="Z16" s="3" t="n">
        <v>275813.0</v>
      </c>
      <c r="AA16" s="3" t="n">
        <v>276785.0</v>
      </c>
      <c r="AB16" s="3" t="n">
        <v>278098.0</v>
      </c>
      <c r="AC16" s="3" t="n">
        <v>279768.0</v>
      </c>
      <c r="AD16" s="3" t="n">
        <v>281670.0</v>
      </c>
      <c r="AE16" s="3" t="n">
        <v>283678.0</v>
      </c>
      <c r="AF16" s="3" t="n">
        <v>285631.0</v>
      </c>
      <c r="AG16" s="3" t="n">
        <v>287396.0</v>
      </c>
      <c r="AH16" s="3" t="n">
        <v>288863.0</v>
      </c>
      <c r="AI16" s="3" t="n">
        <v>290012.0</v>
      </c>
      <c r="AJ16" s="3" t="n">
        <v>290660.0</v>
      </c>
      <c r="AK16" s="3" t="n">
        <v>290789.0</v>
      </c>
      <c r="AL16" s="3" t="n">
        <v>290385.0</v>
      </c>
      <c r="AM16" s="3" t="n">
        <v>289465.0</v>
      </c>
      <c r="AN16" s="3" t="n">
        <v>288100.0</v>
      </c>
      <c r="AO16" s="3" t="n">
        <v>286331.0</v>
      </c>
    </row>
    <row r="17" spans="1:41" x14ac:dyDescent="0.2">
      <c r="A17" s="131"/>
      <c r="B17" s="52" t="s">
        <v>19</v>
      </c>
      <c r="C17" s="3" t="n">
        <v>143574.0</v>
      </c>
      <c r="D17" s="3" t="n">
        <v>151854.0</v>
      </c>
      <c r="E17" s="3" t="n">
        <v>158429.0</v>
      </c>
      <c r="F17" s="3" t="n">
        <v>163822.0</v>
      </c>
      <c r="G17" s="3" t="n">
        <v>164436.0</v>
      </c>
      <c r="H17" s="3" t="n">
        <v>163674.0</v>
      </c>
      <c r="I17" s="3" t="n">
        <v>161456.0</v>
      </c>
      <c r="J17" s="3" t="n">
        <v>159235.0</v>
      </c>
      <c r="K17" s="3" t="n">
        <v>158984.0</v>
      </c>
      <c r="L17" s="3" t="n">
        <v>159281.0</v>
      </c>
      <c r="M17" s="3" t="n">
        <v>163232.0</v>
      </c>
      <c r="N17" s="3" t="n">
        <v>163918.0</v>
      </c>
      <c r="O17" s="3" t="n">
        <v>163416.0</v>
      </c>
      <c r="P17" s="3" t="n">
        <v>159644.0</v>
      </c>
      <c r="Q17" s="3" t="n">
        <v>152527.0</v>
      </c>
      <c r="R17" s="3" t="n">
        <v>143884.0</v>
      </c>
      <c r="S17" s="3" t="n">
        <v>138421.0</v>
      </c>
      <c r="T17" s="3" t="n">
        <v>135460.0</v>
      </c>
      <c r="U17" s="3" t="n">
        <v>134019.0</v>
      </c>
      <c r="V17" s="3" t="n">
        <v>136305.0</v>
      </c>
      <c r="W17" s="3" t="n">
        <v>136660.0</v>
      </c>
      <c r="X17" s="3" t="n">
        <v>136730.0</v>
      </c>
      <c r="Y17" s="3" t="n">
        <v>136745.0</v>
      </c>
      <c r="Z17" s="3" t="n">
        <v>136784.0</v>
      </c>
      <c r="AA17" s="3" t="n">
        <v>136962.0</v>
      </c>
      <c r="AB17" s="3" t="n">
        <v>137186.0</v>
      </c>
      <c r="AC17" s="3" t="n">
        <v>137201.0</v>
      </c>
      <c r="AD17" s="3" t="n">
        <v>137183.0</v>
      </c>
      <c r="AE17" s="3" t="n">
        <v>137209.0</v>
      </c>
      <c r="AF17" s="3" t="n">
        <v>137411.0</v>
      </c>
      <c r="AG17" s="3" t="n">
        <v>137895.0</v>
      </c>
      <c r="AH17" s="3" t="n">
        <v>138636.0</v>
      </c>
      <c r="AI17" s="3" t="n">
        <v>139568.0</v>
      </c>
      <c r="AJ17" s="3" t="n">
        <v>140658.0</v>
      </c>
      <c r="AK17" s="3" t="n">
        <v>141822.0</v>
      </c>
      <c r="AL17" s="3" t="n">
        <v>142948.0</v>
      </c>
      <c r="AM17" s="3" t="n">
        <v>144022.0</v>
      </c>
      <c r="AN17" s="3" t="n">
        <v>144879.0</v>
      </c>
      <c r="AO17" s="3" t="n">
        <v>145488.0</v>
      </c>
    </row>
    <row r="18" spans="1:41" x14ac:dyDescent="0.2">
      <c r="A18" s="131"/>
      <c r="B18" s="52" t="s">
        <v>2</v>
      </c>
      <c r="C18" s="3" t="n">
        <v>208779.0</v>
      </c>
      <c r="D18" s="3" t="n">
        <v>204573.0</v>
      </c>
      <c r="E18" s="3" t="n">
        <v>203748.0</v>
      </c>
      <c r="F18" s="3" t="n">
        <v>204795.0</v>
      </c>
      <c r="G18" s="3" t="n">
        <v>209038.0</v>
      </c>
      <c r="H18" s="3" t="n">
        <v>218602.0</v>
      </c>
      <c r="I18" s="3" t="n">
        <v>229114.0</v>
      </c>
      <c r="J18" s="3" t="n">
        <v>238758.0</v>
      </c>
      <c r="K18" s="3" t="n">
        <v>243504.0</v>
      </c>
      <c r="L18" s="3" t="n">
        <v>247253.0</v>
      </c>
      <c r="M18" s="3" t="n">
        <v>247053.0</v>
      </c>
      <c r="N18" s="3" t="n">
        <v>244743.0</v>
      </c>
      <c r="O18" s="3" t="n">
        <v>241742.0</v>
      </c>
      <c r="P18" s="3" t="n">
        <v>239600.0</v>
      </c>
      <c r="Q18" s="3" t="n">
        <v>242104.0</v>
      </c>
      <c r="R18" s="3" t="n">
        <v>242069.0</v>
      </c>
      <c r="S18" s="3" t="n">
        <v>242367.0</v>
      </c>
      <c r="T18" s="3" t="n">
        <v>239392.0</v>
      </c>
      <c r="U18" s="3" t="n">
        <v>235314.0</v>
      </c>
      <c r="V18" s="3" t="n">
        <v>226526.0</v>
      </c>
      <c r="W18" s="3" t="n">
        <v>217526.0</v>
      </c>
      <c r="X18" s="3" t="n">
        <v>210955.0</v>
      </c>
      <c r="Y18" s="3" t="n">
        <v>205930.0</v>
      </c>
      <c r="Z18" s="3" t="n">
        <v>203228.0</v>
      </c>
      <c r="AA18" s="3" t="n">
        <v>201689.0</v>
      </c>
      <c r="AB18" s="3" t="n">
        <v>203778.0</v>
      </c>
      <c r="AC18" s="3" t="n">
        <v>204230.0</v>
      </c>
      <c r="AD18" s="3" t="n">
        <v>204524.0</v>
      </c>
      <c r="AE18" s="3" t="n">
        <v>204620.0</v>
      </c>
      <c r="AF18" s="3" t="n">
        <v>204673.0</v>
      </c>
      <c r="AG18" s="3" t="n">
        <v>204794.0</v>
      </c>
      <c r="AH18" s="3" t="n">
        <v>204985.0</v>
      </c>
      <c r="AI18" s="3" t="n">
        <v>205091.0</v>
      </c>
      <c r="AJ18" s="3" t="n">
        <v>205320.0</v>
      </c>
      <c r="AK18" s="3" t="n">
        <v>205758.0</v>
      </c>
      <c r="AL18" s="3" t="n">
        <v>206470.0</v>
      </c>
      <c r="AM18" s="3" t="n">
        <v>207492.0</v>
      </c>
      <c r="AN18" s="3" t="n">
        <v>208843.0</v>
      </c>
      <c r="AO18" s="3" t="n">
        <v>210402.0</v>
      </c>
    </row>
    <row r="19" spans="1:41" x14ac:dyDescent="0.2">
      <c r="A19" s="131"/>
      <c r="B19" s="52" t="s">
        <v>3</v>
      </c>
      <c r="C19" s="3" t="n">
        <v>573474.0</v>
      </c>
      <c r="D19" s="3" t="n">
        <v>564352.0</v>
      </c>
      <c r="E19" s="3" t="n">
        <v>555393.0</v>
      </c>
      <c r="F19" s="3" t="n">
        <v>546757.0</v>
      </c>
      <c r="G19" s="3" t="n">
        <v>541001.0</v>
      </c>
      <c r="H19" s="3" t="n">
        <v>540356.0</v>
      </c>
      <c r="I19" s="3" t="n">
        <v>543359.0</v>
      </c>
      <c r="J19" s="3" t="n">
        <v>541293.0</v>
      </c>
      <c r="K19" s="3" t="n">
        <v>537298.0</v>
      </c>
      <c r="L19" s="3" t="n">
        <v>531539.0</v>
      </c>
      <c r="M19" s="3" t="n">
        <v>523314.0</v>
      </c>
      <c r="N19" s="3" t="n">
        <v>516968.0</v>
      </c>
      <c r="O19" s="3" t="n">
        <v>511907.0</v>
      </c>
      <c r="P19" s="3" t="n">
        <v>509176.0</v>
      </c>
      <c r="Q19" s="3" t="n">
        <v>507933.0</v>
      </c>
      <c r="R19" s="3" t="n">
        <v>510632.0</v>
      </c>
      <c r="S19" s="3" t="n">
        <v>511785.0</v>
      </c>
      <c r="T19" s="3" t="n">
        <v>512999.0</v>
      </c>
      <c r="U19" s="3" t="n">
        <v>514328.0</v>
      </c>
      <c r="V19" s="3" t="n">
        <v>515943.0</v>
      </c>
      <c r="W19" s="3" t="n">
        <v>517925.0</v>
      </c>
      <c r="X19" s="3" t="n">
        <v>520172.0</v>
      </c>
      <c r="Y19" s="3" t="n">
        <v>522402.0</v>
      </c>
      <c r="Z19" s="3" t="n">
        <v>524647.0</v>
      </c>
      <c r="AA19" s="3" t="n">
        <v>526819.0</v>
      </c>
      <c r="AB19" s="3" t="n">
        <v>528923.0</v>
      </c>
      <c r="AC19" s="3" t="n">
        <v>530895.0</v>
      </c>
      <c r="AD19" s="3" t="n">
        <v>532630.0</v>
      </c>
      <c r="AE19" s="3" t="n">
        <v>533991.0</v>
      </c>
      <c r="AF19" s="3" t="n">
        <v>534846.0</v>
      </c>
      <c r="AG19" s="3" t="n">
        <v>535145.0</v>
      </c>
      <c r="AH19" s="3" t="n">
        <v>534821.0</v>
      </c>
      <c r="AI19" s="3" t="n">
        <v>533929.0</v>
      </c>
      <c r="AJ19" s="3" t="n">
        <v>532399.0</v>
      </c>
      <c r="AK19" s="3" t="n">
        <v>530339.0</v>
      </c>
      <c r="AL19" s="3" t="n">
        <v>527806.0</v>
      </c>
      <c r="AM19" s="3" t="n">
        <v>524899.0</v>
      </c>
      <c r="AN19" s="3" t="n">
        <v>521770.0</v>
      </c>
      <c r="AO19" s="3" t="n">
        <v>518554.0</v>
      </c>
    </row>
    <row r="20" spans="1:41" x14ac:dyDescent="0.2">
      <c r="A20" s="131"/>
      <c r="B20" s="52" t="s">
        <v>4</v>
      </c>
      <c r="C20" s="3" t="n">
        <v>2286016.0</v>
      </c>
      <c r="D20" s="3" t="n">
        <v>2274750.0</v>
      </c>
      <c r="E20" s="3" t="n">
        <v>2265479.0</v>
      </c>
      <c r="F20" s="3" t="n">
        <v>2259626.0</v>
      </c>
      <c r="G20" s="3" t="n">
        <v>2253611.0</v>
      </c>
      <c r="H20" s="3" t="n">
        <v>2257784.0</v>
      </c>
      <c r="I20" s="3" t="n">
        <v>2263329.0</v>
      </c>
      <c r="J20" s="3" t="n">
        <v>2265238.0</v>
      </c>
      <c r="K20" s="3" t="n">
        <v>2264565.0</v>
      </c>
      <c r="L20" s="3" t="n">
        <v>2264313.0</v>
      </c>
      <c r="M20" s="3" t="n">
        <v>2265602.0</v>
      </c>
      <c r="N20" s="3" t="n">
        <v>2263187.0</v>
      </c>
      <c r="O20" s="3" t="n">
        <v>2258512.0</v>
      </c>
      <c r="P20" s="3" t="n">
        <v>2250190.0</v>
      </c>
      <c r="Q20" s="3" t="n">
        <v>2238849.0</v>
      </c>
      <c r="R20" s="3" t="n">
        <v>2221725.0</v>
      </c>
      <c r="S20" s="3" t="n">
        <v>2204816.0</v>
      </c>
      <c r="T20" s="3" t="n">
        <v>2186869.0</v>
      </c>
      <c r="U20" s="3" t="n">
        <v>2167108.0</v>
      </c>
      <c r="V20" s="3" t="n">
        <v>2145687.0</v>
      </c>
      <c r="W20" s="3" t="n">
        <v>2123964.0</v>
      </c>
      <c r="X20" s="3" t="n">
        <v>2102444.0</v>
      </c>
      <c r="Y20" s="3" t="n">
        <v>2078913.0</v>
      </c>
      <c r="Z20" s="3" t="n">
        <v>2055243.0</v>
      </c>
      <c r="AA20" s="3" t="n">
        <v>2032996.0</v>
      </c>
      <c r="AB20" s="3" t="n">
        <v>2008197.0</v>
      </c>
      <c r="AC20" s="3" t="n">
        <v>1981773.0</v>
      </c>
      <c r="AD20" s="3" t="n">
        <v>1956523.0</v>
      </c>
      <c r="AE20" s="3" t="n">
        <v>1933450.0</v>
      </c>
      <c r="AF20" s="3" t="n">
        <v>1913109.0</v>
      </c>
      <c r="AG20" s="3" t="n">
        <v>1895334.0</v>
      </c>
      <c r="AH20" s="3" t="n">
        <v>1878666.0</v>
      </c>
      <c r="AI20" s="3" t="n">
        <v>1863638.0</v>
      </c>
      <c r="AJ20" s="3" t="n">
        <v>1848985.0</v>
      </c>
      <c r="AK20" s="3" t="n">
        <v>1835694.0</v>
      </c>
      <c r="AL20" s="3" t="n">
        <v>1825205.0</v>
      </c>
      <c r="AM20" s="3" t="n">
        <v>1816269.0</v>
      </c>
      <c r="AN20" s="3" t="n">
        <v>1809565.0</v>
      </c>
      <c r="AO20" s="3" t="n">
        <v>1804889.0</v>
      </c>
    </row>
    <row r="21" spans="1:41" x14ac:dyDescent="0.2">
      <c r="A21" s="131"/>
      <c r="B21" s="52" t="s">
        <v>5</v>
      </c>
      <c r="C21" s="3" t="n">
        <v>634087.0</v>
      </c>
      <c r="D21" s="3" t="n">
        <v>652944.0</v>
      </c>
      <c r="E21" s="3" t="n">
        <v>670214.0</v>
      </c>
      <c r="F21" s="3" t="n">
        <v>683957.0</v>
      </c>
      <c r="G21" s="3" t="n">
        <v>695253.0</v>
      </c>
      <c r="H21" s="3" t="n">
        <v>705298.0</v>
      </c>
      <c r="I21" s="3" t="n">
        <v>715562.0</v>
      </c>
      <c r="J21" s="3" t="n">
        <v>723401.0</v>
      </c>
      <c r="K21" s="3" t="n">
        <v>729747.0</v>
      </c>
      <c r="L21" s="3" t="n">
        <v>735087.0</v>
      </c>
      <c r="M21" s="3" t="n">
        <v>739810.0</v>
      </c>
      <c r="N21" s="3" t="n">
        <v>745225.0</v>
      </c>
      <c r="O21" s="3" t="n">
        <v>750566.0</v>
      </c>
      <c r="P21" s="3" t="n">
        <v>756792.0</v>
      </c>
      <c r="Q21" s="3" t="n">
        <v>764369.0</v>
      </c>
      <c r="R21" s="3" t="n">
        <v>773468.0</v>
      </c>
      <c r="S21" s="3" t="n">
        <v>783671.0</v>
      </c>
      <c r="T21" s="3" t="n">
        <v>794661.0</v>
      </c>
      <c r="U21" s="3" t="n">
        <v>807245.0</v>
      </c>
      <c r="V21" s="3" t="n">
        <v>821308.0</v>
      </c>
      <c r="W21" s="3" t="n">
        <v>835184.0</v>
      </c>
      <c r="X21" s="3" t="n">
        <v>848597.0</v>
      </c>
      <c r="Y21" s="3" t="n">
        <v>864174.0</v>
      </c>
      <c r="Z21" s="3" t="n">
        <v>879528.0</v>
      </c>
      <c r="AA21" s="3" t="n">
        <v>893407.0</v>
      </c>
      <c r="AB21" s="3" t="n">
        <v>910014.0</v>
      </c>
      <c r="AC21" s="3" t="n">
        <v>928182.0</v>
      </c>
      <c r="AD21" s="3" t="n">
        <v>945154.0</v>
      </c>
      <c r="AE21" s="3" t="n">
        <v>960095.0</v>
      </c>
      <c r="AF21" s="3" t="n">
        <v>972499.0</v>
      </c>
      <c r="AG21" s="3" t="n">
        <v>982633.0</v>
      </c>
      <c r="AH21" s="3" t="n">
        <v>992272.0</v>
      </c>
      <c r="AI21" s="3" t="n">
        <v>1000587.0</v>
      </c>
      <c r="AJ21" s="3" t="n">
        <v>1009115.0</v>
      </c>
      <c r="AK21" s="3" t="n">
        <v>1016405.0</v>
      </c>
      <c r="AL21" s="3" t="n">
        <v>1021148.0</v>
      </c>
      <c r="AM21" s="3" t="n">
        <v>1024713.0</v>
      </c>
      <c r="AN21" s="3" t="n">
        <v>1026159.0</v>
      </c>
      <c r="AO21" s="3" t="n">
        <v>1025562.0</v>
      </c>
    </row>
    <row r="22" spans="1:41" x14ac:dyDescent="0.2">
      <c r="A22" s="132"/>
      <c r="B22" s="54" t="s">
        <v>6</v>
      </c>
      <c r="C22" s="4" t="n">
        <v>124810.0</v>
      </c>
      <c r="D22" s="4" t="n">
        <v>125015.0</v>
      </c>
      <c r="E22" s="4" t="n">
        <v>125019.0</v>
      </c>
      <c r="F22" s="4" t="n">
        <v>126699.0</v>
      </c>
      <c r="G22" s="4" t="n">
        <v>140381.0</v>
      </c>
      <c r="H22" s="4" t="n">
        <v>152167.0</v>
      </c>
      <c r="I22" s="4" t="n">
        <v>165084.0</v>
      </c>
      <c r="J22" s="4" t="n">
        <v>177463.0</v>
      </c>
      <c r="K22" s="4" t="n">
        <v>189322.0</v>
      </c>
      <c r="L22" s="4" t="n">
        <v>201439.0</v>
      </c>
      <c r="M22" s="4" t="n">
        <v>213272.0</v>
      </c>
      <c r="N22" s="4" t="n">
        <v>225052.0</v>
      </c>
      <c r="O22" s="4" t="n">
        <v>235854.0</v>
      </c>
      <c r="P22" s="4" t="n">
        <v>246956.0</v>
      </c>
      <c r="Q22" s="4" t="n">
        <v>257446.0</v>
      </c>
      <c r="R22" s="4" t="n">
        <v>267941.0</v>
      </c>
      <c r="S22" s="4" t="n">
        <v>276550.0</v>
      </c>
      <c r="T22" s="4" t="n">
        <v>283633.0</v>
      </c>
      <c r="U22" s="4" t="n">
        <v>288096.0</v>
      </c>
      <c r="V22" s="4" t="n">
        <v>290836.0</v>
      </c>
      <c r="W22" s="4" t="n">
        <v>292295.0</v>
      </c>
      <c r="X22" s="4" t="n">
        <v>293940.0</v>
      </c>
      <c r="Y22" s="4" t="n">
        <v>294476.0</v>
      </c>
      <c r="Z22" s="4" t="n">
        <v>294257.0</v>
      </c>
      <c r="AA22" s="4" t="n">
        <v>293715.0</v>
      </c>
      <c r="AB22" s="4" t="n">
        <v>293334.0</v>
      </c>
      <c r="AC22" s="4" t="n">
        <v>293822.0</v>
      </c>
      <c r="AD22" s="4" t="n">
        <v>294912.0</v>
      </c>
      <c r="AE22" s="4" t="n">
        <v>297196.0</v>
      </c>
      <c r="AF22" s="4" t="n">
        <v>300844.0</v>
      </c>
      <c r="AG22" s="4" t="n">
        <v>306125.0</v>
      </c>
      <c r="AH22" s="4" t="n">
        <v>312779.0</v>
      </c>
      <c r="AI22" s="4" t="n">
        <v>320423.0</v>
      </c>
      <c r="AJ22" s="4" t="n">
        <v>329780.0</v>
      </c>
      <c r="AK22" s="4" t="n">
        <v>340214.0</v>
      </c>
      <c r="AL22" s="4" t="n">
        <v>350764.0</v>
      </c>
      <c r="AM22" s="4" t="n">
        <v>361202.0</v>
      </c>
      <c r="AN22" s="4" t="n">
        <v>373137.0</v>
      </c>
      <c r="AO22" s="4" t="n">
        <v>385067.0</v>
      </c>
    </row>
    <row r="23" spans="1:41" x14ac:dyDescent="0.2">
      <c r="A23" s="131" t="s">
        <v>49</v>
      </c>
      <c r="B23" s="59" t="s">
        <v>62</v>
      </c>
      <c r="C23" s="57" t="n">
        <v>1697252.0</v>
      </c>
      <c r="D23" s="57" t="n">
        <v>1695952.0</v>
      </c>
      <c r="E23" s="57" t="n">
        <v>1694899.0</v>
      </c>
      <c r="F23" s="57" t="n">
        <v>1693920.0</v>
      </c>
      <c r="G23" s="57" t="n">
        <v>1693026.0</v>
      </c>
      <c r="H23" s="57" t="n">
        <v>1696881.0</v>
      </c>
      <c r="I23" s="57" t="n">
        <v>1702362.0</v>
      </c>
      <c r="J23" s="57" t="n">
        <v>1704196.0</v>
      </c>
      <c r="K23" s="57" t="n">
        <v>1704088.0</v>
      </c>
      <c r="L23" s="57" t="n">
        <v>1703123.0</v>
      </c>
      <c r="M23" s="57" t="n">
        <v>1701616.0</v>
      </c>
      <c r="N23" s="57" t="n">
        <v>1699676.0</v>
      </c>
      <c r="O23" s="57" t="n">
        <v>1697318.0</v>
      </c>
      <c r="P23" s="57" t="n">
        <v>1694866.0</v>
      </c>
      <c r="Q23" s="57" t="n">
        <v>1692337.0</v>
      </c>
      <c r="R23" s="57" t="n">
        <v>1689755.0</v>
      </c>
      <c r="S23" s="57" t="n">
        <v>1687229.0</v>
      </c>
      <c r="T23" s="57" t="n">
        <v>1684571.0</v>
      </c>
      <c r="U23" s="57" t="n">
        <v>1681978.0</v>
      </c>
      <c r="V23" s="57" t="n">
        <v>1679483.0</v>
      </c>
      <c r="W23" s="57" t="n">
        <v>1677091.0</v>
      </c>
      <c r="X23" s="57" t="n">
        <v>1674809.0</v>
      </c>
      <c r="Y23" s="57" t="n">
        <v>1672617.0</v>
      </c>
      <c r="Z23" s="57" t="n">
        <v>1670265.0</v>
      </c>
      <c r="AA23" s="57" t="n">
        <v>1667949.0</v>
      </c>
      <c r="AB23" s="57" t="n">
        <v>1665650.0</v>
      </c>
      <c r="AC23" s="57" t="n">
        <v>1663313.0</v>
      </c>
      <c r="AD23" s="57" t="n">
        <v>1660913.0</v>
      </c>
      <c r="AE23" s="57" t="n">
        <v>1658241.0</v>
      </c>
      <c r="AF23" s="57" t="n">
        <v>1655502.0</v>
      </c>
      <c r="AG23" s="57" t="n">
        <v>1652633.0</v>
      </c>
      <c r="AH23" s="57" t="n">
        <v>1649709.0</v>
      </c>
      <c r="AI23" s="57" t="n">
        <v>1646683.0</v>
      </c>
      <c r="AJ23" s="57" t="n">
        <v>1643570.0</v>
      </c>
      <c r="AK23" s="57" t="n">
        <v>1640221.0</v>
      </c>
      <c r="AL23" s="57" t="n">
        <v>1636800.0</v>
      </c>
      <c r="AM23" s="57" t="n">
        <v>1633341.0</v>
      </c>
      <c r="AN23" s="57" t="n">
        <v>1629887.0</v>
      </c>
      <c r="AO23" s="57" t="n">
        <v>1626435.0</v>
      </c>
    </row>
    <row r="24" spans="1:41" x14ac:dyDescent="0.2">
      <c r="A24" s="131"/>
      <c r="B24" s="52" t="s">
        <v>8</v>
      </c>
      <c r="C24" s="11" t="n">
        <v>351633.0</v>
      </c>
      <c r="D24" s="3" t="n">
        <v>350176.0</v>
      </c>
      <c r="E24" s="3" t="n">
        <v>348185.0</v>
      </c>
      <c r="F24" s="3" t="n">
        <v>345413.0</v>
      </c>
      <c r="G24" s="3" t="n">
        <v>341340.0</v>
      </c>
      <c r="H24" s="3" t="n">
        <v>340100.0</v>
      </c>
      <c r="I24" s="3" t="n">
        <v>340297.0</v>
      </c>
      <c r="J24" s="3" t="n">
        <v>339458.0</v>
      </c>
      <c r="K24" s="3" t="n">
        <v>337049.0</v>
      </c>
      <c r="L24" s="3" t="n">
        <v>335185.0</v>
      </c>
      <c r="M24" s="3" t="n">
        <v>332463.0</v>
      </c>
      <c r="N24" s="3" t="n">
        <v>329626.0</v>
      </c>
      <c r="O24" s="3" t="n">
        <v>326266.0</v>
      </c>
      <c r="P24" s="3" t="n">
        <v>321905.0</v>
      </c>
      <c r="Q24" s="3" t="n">
        <v>318819.0</v>
      </c>
      <c r="R24" s="3" t="n">
        <v>316458.0</v>
      </c>
      <c r="S24" s="3" t="n">
        <v>315479.0</v>
      </c>
      <c r="T24" s="3" t="n">
        <v>315355.0</v>
      </c>
      <c r="U24" s="3" t="n">
        <v>317332.0</v>
      </c>
      <c r="V24" s="3" t="n">
        <v>318419.0</v>
      </c>
      <c r="W24" s="3" t="n">
        <v>319503.0</v>
      </c>
      <c r="X24" s="3" t="n">
        <v>320578.0</v>
      </c>
      <c r="Y24" s="3" t="n">
        <v>321729.0</v>
      </c>
      <c r="Z24" s="3" t="n">
        <v>322950.0</v>
      </c>
      <c r="AA24" s="3" t="n">
        <v>324197.0</v>
      </c>
      <c r="AB24" s="3" t="n">
        <v>325324.0</v>
      </c>
      <c r="AC24" s="3" t="n">
        <v>326324.0</v>
      </c>
      <c r="AD24" s="3" t="n">
        <v>327205.0</v>
      </c>
      <c r="AE24" s="3" t="n">
        <v>327938.0</v>
      </c>
      <c r="AF24" s="3" t="n">
        <v>328530.0</v>
      </c>
      <c r="AG24" s="3" t="n">
        <v>328943.0</v>
      </c>
      <c r="AH24" s="3" t="n">
        <v>329139.0</v>
      </c>
      <c r="AI24" s="3" t="n">
        <v>329088.0</v>
      </c>
      <c r="AJ24" s="3" t="n">
        <v>328751.0</v>
      </c>
      <c r="AK24" s="3" t="n">
        <v>328160.0</v>
      </c>
      <c r="AL24" s="3" t="n">
        <v>327309.0</v>
      </c>
      <c r="AM24" s="3" t="n">
        <v>326204.0</v>
      </c>
      <c r="AN24" s="3" t="n">
        <v>324889.0</v>
      </c>
      <c r="AO24" s="3" t="n">
        <v>323434.0</v>
      </c>
    </row>
    <row r="25" spans="1:41" x14ac:dyDescent="0.2">
      <c r="A25" s="131"/>
      <c r="B25" s="52" t="s">
        <v>14</v>
      </c>
      <c r="C25" s="11" t="n">
        <v>1088080.0</v>
      </c>
      <c r="D25" s="3" t="n">
        <v>1079909.0</v>
      </c>
      <c r="E25" s="3" t="n">
        <v>1073290.0</v>
      </c>
      <c r="F25" s="3" t="n">
        <v>1069256.0</v>
      </c>
      <c r="G25" s="3" t="n">
        <v>1067706.0</v>
      </c>
      <c r="H25" s="3" t="n">
        <v>1068663.0</v>
      </c>
      <c r="I25" s="3" t="n">
        <v>1069918.0</v>
      </c>
      <c r="J25" s="3" t="n">
        <v>1069545.0</v>
      </c>
      <c r="K25" s="3" t="n">
        <v>1069224.0</v>
      </c>
      <c r="L25" s="3" t="n">
        <v>1067948.0</v>
      </c>
      <c r="M25" s="3" t="n">
        <v>1067181.0</v>
      </c>
      <c r="N25" s="3" t="n">
        <v>1065873.0</v>
      </c>
      <c r="O25" s="3" t="n">
        <v>1064595.0</v>
      </c>
      <c r="P25" s="3" t="n">
        <v>1063450.0</v>
      </c>
      <c r="Q25" s="3" t="n">
        <v>1060427.0</v>
      </c>
      <c r="R25" s="3" t="n">
        <v>1055964.0</v>
      </c>
      <c r="S25" s="3" t="n">
        <v>1049281.0</v>
      </c>
      <c r="T25" s="3" t="n">
        <v>1041500.0</v>
      </c>
      <c r="U25" s="3" t="n">
        <v>1030787.0</v>
      </c>
      <c r="V25" s="3" t="n">
        <v>1020221.0</v>
      </c>
      <c r="W25" s="3" t="n">
        <v>1009794.0</v>
      </c>
      <c r="X25" s="3" t="n">
        <v>999645.0</v>
      </c>
      <c r="Y25" s="3" t="n">
        <v>988249.0</v>
      </c>
      <c r="Z25" s="3" t="n">
        <v>977054.0</v>
      </c>
      <c r="AA25" s="3" t="n">
        <v>966448.0</v>
      </c>
      <c r="AB25" s="3" t="n">
        <v>954590.0</v>
      </c>
      <c r="AC25" s="3" t="n">
        <v>942238.0</v>
      </c>
      <c r="AD25" s="3" t="n">
        <v>930457.0</v>
      </c>
      <c r="AE25" s="3" t="n">
        <v>919594.0</v>
      </c>
      <c r="AF25" s="3" t="n">
        <v>910267.0</v>
      </c>
      <c r="AG25" s="3" t="n">
        <v>901597.0</v>
      </c>
      <c r="AH25" s="3" t="n">
        <v>893726.0</v>
      </c>
      <c r="AI25" s="3" t="n">
        <v>886621.0</v>
      </c>
      <c r="AJ25" s="3" t="n">
        <v>879726.0</v>
      </c>
      <c r="AK25" s="3" t="n">
        <v>873345.0</v>
      </c>
      <c r="AL25" s="3" t="n">
        <v>868460.0</v>
      </c>
      <c r="AM25" s="3" t="n">
        <v>864216.0</v>
      </c>
      <c r="AN25" s="3" t="n">
        <v>861392.0</v>
      </c>
      <c r="AO25" s="3" t="n">
        <v>859545.0</v>
      </c>
    </row>
    <row r="26" spans="1:41" x14ac:dyDescent="0.2">
      <c r="A26" s="131"/>
      <c r="B26" s="52" t="s">
        <v>11</v>
      </c>
      <c r="C26" s="11" t="n">
        <v>652472.0</v>
      </c>
      <c r="D26" s="3" t="n">
        <v>641693.0</v>
      </c>
      <c r="E26" s="3" t="n">
        <v>630200.0</v>
      </c>
      <c r="F26" s="3" t="n">
        <v>620018.0</v>
      </c>
      <c r="G26" s="3" t="n">
        <v>612059.0</v>
      </c>
      <c r="H26" s="3" t="n">
        <v>604096.0</v>
      </c>
      <c r="I26" s="3" t="n">
        <v>595820.0</v>
      </c>
      <c r="J26" s="3" t="n">
        <v>585971.0</v>
      </c>
      <c r="K26" s="3" t="n">
        <v>577137.0</v>
      </c>
      <c r="L26" s="3" t="n">
        <v>568908.0</v>
      </c>
      <c r="M26" s="3" t="n">
        <v>561958.0</v>
      </c>
      <c r="N26" s="3" t="n">
        <v>555645.0</v>
      </c>
      <c r="O26" s="3" t="n">
        <v>550566.0</v>
      </c>
      <c r="P26" s="3" t="n">
        <v>546609.0</v>
      </c>
      <c r="Q26" s="3" t="n">
        <v>541856.0</v>
      </c>
      <c r="R26" s="3" t="n">
        <v>537989.0</v>
      </c>
      <c r="S26" s="3" t="n">
        <v>533415.0</v>
      </c>
      <c r="T26" s="3" t="n">
        <v>529595.0</v>
      </c>
      <c r="U26" s="3" t="n">
        <v>524818.0</v>
      </c>
      <c r="V26" s="3" t="n">
        <v>521804.0</v>
      </c>
      <c r="W26" s="3" t="n">
        <v>519504.0</v>
      </c>
      <c r="X26" s="3" t="n">
        <v>517894.0</v>
      </c>
      <c r="Y26" s="3" t="n">
        <v>517218.0</v>
      </c>
      <c r="Z26" s="3" t="n">
        <v>516539.0</v>
      </c>
      <c r="AA26" s="3" t="n">
        <v>516104.0</v>
      </c>
      <c r="AB26" s="3" t="n">
        <v>516543.0</v>
      </c>
      <c r="AC26" s="3" t="n">
        <v>516953.0</v>
      </c>
      <c r="AD26" s="3" t="n">
        <v>517176.0</v>
      </c>
      <c r="AE26" s="3" t="n">
        <v>516533.0</v>
      </c>
      <c r="AF26" s="3" t="n">
        <v>515178.0</v>
      </c>
      <c r="AG26" s="3" t="n">
        <v>512837.0</v>
      </c>
      <c r="AH26" s="3" t="n">
        <v>509050.0</v>
      </c>
      <c r="AI26" s="3" t="n">
        <v>504825.0</v>
      </c>
      <c r="AJ26" s="3" t="n">
        <v>500811.0</v>
      </c>
      <c r="AK26" s="3" t="n">
        <v>498221.0</v>
      </c>
      <c r="AL26" s="3" t="n">
        <v>495468.0</v>
      </c>
      <c r="AM26" s="3" t="n">
        <v>493887.0</v>
      </c>
      <c r="AN26" s="3" t="n">
        <v>491892.0</v>
      </c>
      <c r="AO26" s="3" t="n">
        <v>490127.0</v>
      </c>
    </row>
    <row r="27" spans="1:41" x14ac:dyDescent="0.2">
      <c r="A27" s="131"/>
      <c r="B27" s="52" t="s">
        <v>13</v>
      </c>
      <c r="C27" s="11" t="n">
        <v>435608.0</v>
      </c>
      <c r="D27" s="3" t="n">
        <v>438216.0</v>
      </c>
      <c r="E27" s="3" t="n">
        <v>443090.0</v>
      </c>
      <c r="F27" s="3" t="n">
        <v>449238.0</v>
      </c>
      <c r="G27" s="3" t="n">
        <v>455647.0</v>
      </c>
      <c r="H27" s="3" t="n">
        <v>464567.0</v>
      </c>
      <c r="I27" s="3" t="n">
        <v>474098.0</v>
      </c>
      <c r="J27" s="3" t="n">
        <v>483574.0</v>
      </c>
      <c r="K27" s="3" t="n">
        <v>492087.0</v>
      </c>
      <c r="L27" s="3" t="n">
        <v>499040.0</v>
      </c>
      <c r="M27" s="3" t="n">
        <v>505223.0</v>
      </c>
      <c r="N27" s="3" t="n">
        <v>510228.0</v>
      </c>
      <c r="O27" s="3" t="n">
        <v>514029.0</v>
      </c>
      <c r="P27" s="3" t="n">
        <v>516841.0</v>
      </c>
      <c r="Q27" s="3" t="n">
        <v>518571.0</v>
      </c>
      <c r="R27" s="3" t="n">
        <v>517975.0</v>
      </c>
      <c r="S27" s="3" t="n">
        <v>515866.0</v>
      </c>
      <c r="T27" s="3" t="n">
        <v>511905.0</v>
      </c>
      <c r="U27" s="3" t="n">
        <v>505969.0</v>
      </c>
      <c r="V27" s="3" t="n">
        <v>498417.0</v>
      </c>
      <c r="W27" s="3" t="n">
        <v>490290.0</v>
      </c>
      <c r="X27" s="3" t="n">
        <v>481751.0</v>
      </c>
      <c r="Y27" s="3" t="n">
        <v>471031.0</v>
      </c>
      <c r="Z27" s="3" t="n">
        <v>460515.0</v>
      </c>
      <c r="AA27" s="3" t="n">
        <v>450344.0</v>
      </c>
      <c r="AB27" s="3" t="n">
        <v>438047.0</v>
      </c>
      <c r="AC27" s="3" t="n">
        <v>425285.0</v>
      </c>
      <c r="AD27" s="3" t="n">
        <v>413281.0</v>
      </c>
      <c r="AE27" s="3" t="n">
        <v>403061.0</v>
      </c>
      <c r="AF27" s="3" t="n">
        <v>395089.0</v>
      </c>
      <c r="AG27" s="3" t="n">
        <v>388760.0</v>
      </c>
      <c r="AH27" s="3" t="n">
        <v>384676.0</v>
      </c>
      <c r="AI27" s="3" t="n">
        <v>381796.0</v>
      </c>
      <c r="AJ27" s="3" t="n">
        <v>378915.0</v>
      </c>
      <c r="AK27" s="3" t="n">
        <v>375124.0</v>
      </c>
      <c r="AL27" s="3" t="n">
        <v>372992.0</v>
      </c>
      <c r="AM27" s="3" t="n">
        <v>370329.0</v>
      </c>
      <c r="AN27" s="3" t="n">
        <v>369500.0</v>
      </c>
      <c r="AO27" s="3" t="n">
        <v>369418.0</v>
      </c>
    </row>
    <row r="28" spans="1:41" x14ac:dyDescent="0.2">
      <c r="A28" s="131"/>
      <c r="B28" s="52" t="s">
        <v>5</v>
      </c>
      <c r="C28" s="11" t="n">
        <v>257539.0</v>
      </c>
      <c r="D28" s="3" t="n">
        <v>265867.0</v>
      </c>
      <c r="E28" s="3" t="n">
        <v>273424.0</v>
      </c>
      <c r="F28" s="3" t="n">
        <v>279251.0</v>
      </c>
      <c r="G28" s="3" t="n">
        <v>283980.0</v>
      </c>
      <c r="H28" s="3" t="n">
        <v>288118.0</v>
      </c>
      <c r="I28" s="3" t="n">
        <v>292147.0</v>
      </c>
      <c r="J28" s="3" t="n">
        <v>295193.0</v>
      </c>
      <c r="K28" s="3" t="n">
        <v>297815.0</v>
      </c>
      <c r="L28" s="3" t="n">
        <v>299990.0</v>
      </c>
      <c r="M28" s="3" t="n">
        <v>301972.0</v>
      </c>
      <c r="N28" s="3" t="n">
        <v>304177.0</v>
      </c>
      <c r="O28" s="3" t="n">
        <v>306457.0</v>
      </c>
      <c r="P28" s="3" t="n">
        <v>309511.0</v>
      </c>
      <c r="Q28" s="3" t="n">
        <v>313091.0</v>
      </c>
      <c r="R28" s="3" t="n">
        <v>317333.0</v>
      </c>
      <c r="S28" s="3" t="n">
        <v>322469.0</v>
      </c>
      <c r="T28" s="3" t="n">
        <v>327716.0</v>
      </c>
      <c r="U28" s="3" t="n">
        <v>333859.0</v>
      </c>
      <c r="V28" s="3" t="n">
        <v>340843.0</v>
      </c>
      <c r="W28" s="3" t="n">
        <v>347794.0</v>
      </c>
      <c r="X28" s="3" t="n">
        <v>354586.0</v>
      </c>
      <c r="Y28" s="3" t="n">
        <v>362639.0</v>
      </c>
      <c r="Z28" s="3" t="n">
        <v>370261.0</v>
      </c>
      <c r="AA28" s="3" t="n">
        <v>377304.0</v>
      </c>
      <c r="AB28" s="3" t="n">
        <v>385736.0</v>
      </c>
      <c r="AC28" s="3" t="n">
        <v>394751.0</v>
      </c>
      <c r="AD28" s="3" t="n">
        <v>403251.0</v>
      </c>
      <c r="AE28" s="3" t="n">
        <v>410709.0</v>
      </c>
      <c r="AF28" s="3" t="n">
        <v>416705.0</v>
      </c>
      <c r="AG28" s="3" t="n">
        <v>422093.0</v>
      </c>
      <c r="AH28" s="3" t="n">
        <v>426844.0</v>
      </c>
      <c r="AI28" s="3" t="n">
        <v>430974.0</v>
      </c>
      <c r="AJ28" s="3" t="n">
        <v>435093.0</v>
      </c>
      <c r="AK28" s="3" t="n">
        <v>438716.0</v>
      </c>
      <c r="AL28" s="3" t="n">
        <v>441031.0</v>
      </c>
      <c r="AM28" s="3" t="n">
        <v>442921.0</v>
      </c>
      <c r="AN28" s="3" t="n">
        <v>443606.0</v>
      </c>
      <c r="AO28" s="3" t="n">
        <v>443456.0</v>
      </c>
    </row>
    <row r="29" spans="1:41" x14ac:dyDescent="0.2">
      <c r="A29" s="131"/>
      <c r="B29" s="52" t="s">
        <v>0</v>
      </c>
      <c r="C29" s="3" t="n">
        <v>50538.0</v>
      </c>
      <c r="D29" s="3" t="n">
        <v>49032.0</v>
      </c>
      <c r="E29" s="3" t="n">
        <v>48409.0</v>
      </c>
      <c r="F29" s="3" t="n">
        <v>49829.0</v>
      </c>
      <c r="G29" s="3" t="n">
        <v>50195.0</v>
      </c>
      <c r="H29" s="3" t="n">
        <v>50776.0</v>
      </c>
      <c r="I29" s="3" t="n">
        <v>51330.0</v>
      </c>
      <c r="J29" s="3" t="n">
        <v>51589.0</v>
      </c>
      <c r="K29" s="3" t="n">
        <v>51742.0</v>
      </c>
      <c r="L29" s="3" t="n">
        <v>51876.0</v>
      </c>
      <c r="M29" s="3" t="n">
        <v>51903.0</v>
      </c>
      <c r="N29" s="3" t="n">
        <v>51851.0</v>
      </c>
      <c r="O29" s="3" t="n">
        <v>51795.0</v>
      </c>
      <c r="P29" s="3" t="n">
        <v>51795.0</v>
      </c>
      <c r="Q29" s="3" t="n">
        <v>51911.0</v>
      </c>
      <c r="R29" s="3" t="n">
        <v>52141.0</v>
      </c>
      <c r="S29" s="3" t="n">
        <v>52471.0</v>
      </c>
      <c r="T29" s="3" t="n">
        <v>52869.0</v>
      </c>
      <c r="U29" s="3" t="n">
        <v>53312.0</v>
      </c>
      <c r="V29" s="3" t="n">
        <v>53773.0</v>
      </c>
      <c r="W29" s="3" t="n">
        <v>54204.0</v>
      </c>
      <c r="X29" s="3" t="n">
        <v>54568.0</v>
      </c>
      <c r="Y29" s="3" t="n">
        <v>54865.0</v>
      </c>
      <c r="Z29" s="3" t="n">
        <v>55062.0</v>
      </c>
      <c r="AA29" s="3" t="n">
        <v>55135.0</v>
      </c>
      <c r="AB29" s="3" t="n">
        <v>55099.0</v>
      </c>
      <c r="AC29" s="3" t="n">
        <v>54933.0</v>
      </c>
      <c r="AD29" s="3" t="n">
        <v>54674.0</v>
      </c>
      <c r="AE29" s="3" t="n">
        <v>54304.0</v>
      </c>
      <c r="AF29" s="3" t="n">
        <v>53869.0</v>
      </c>
      <c r="AG29" s="3" t="n">
        <v>53383.0</v>
      </c>
      <c r="AH29" s="3" t="n">
        <v>52858.0</v>
      </c>
      <c r="AI29" s="3" t="n">
        <v>52330.0</v>
      </c>
      <c r="AJ29" s="3" t="n">
        <v>51807.0</v>
      </c>
      <c r="AK29" s="3" t="n">
        <v>51348.0</v>
      </c>
      <c r="AL29" s="3" t="n">
        <v>50934.0</v>
      </c>
      <c r="AM29" s="3" t="n">
        <v>50599.0</v>
      </c>
      <c r="AN29" s="3" t="n">
        <v>50335.0</v>
      </c>
      <c r="AO29" s="3" t="n">
        <v>50158.0</v>
      </c>
    </row>
    <row r="30" spans="1:41" x14ac:dyDescent="0.2">
      <c r="A30" s="131"/>
      <c r="B30" s="52" t="s">
        <v>1</v>
      </c>
      <c r="C30" s="3" t="n">
        <v>80473.0</v>
      </c>
      <c r="D30" s="3" t="n">
        <v>78467.0</v>
      </c>
      <c r="E30" s="3" t="n">
        <v>74752.0</v>
      </c>
      <c r="F30" s="3" t="n">
        <v>70364.0</v>
      </c>
      <c r="G30" s="3" t="n">
        <v>67698.0</v>
      </c>
      <c r="H30" s="3" t="n">
        <v>67119.0</v>
      </c>
      <c r="I30" s="3" t="n">
        <v>67577.0</v>
      </c>
      <c r="J30" s="3" t="n">
        <v>69424.0</v>
      </c>
      <c r="K30" s="3" t="n">
        <v>69822.0</v>
      </c>
      <c r="L30" s="3" t="n">
        <v>69942.0</v>
      </c>
      <c r="M30" s="3" t="n">
        <v>69979.0</v>
      </c>
      <c r="N30" s="3" t="n">
        <v>69983.0</v>
      </c>
      <c r="O30" s="3" t="n">
        <v>70035.0</v>
      </c>
      <c r="P30" s="3" t="n">
        <v>70110.0</v>
      </c>
      <c r="Q30" s="3" t="n">
        <v>70086.0</v>
      </c>
      <c r="R30" s="3" t="n">
        <v>70050.0</v>
      </c>
      <c r="S30" s="3" t="n">
        <v>70050.0</v>
      </c>
      <c r="T30" s="3" t="n">
        <v>70149.0</v>
      </c>
      <c r="U30" s="3" t="n">
        <v>70402.0</v>
      </c>
      <c r="V30" s="3" t="n">
        <v>70783.0</v>
      </c>
      <c r="W30" s="3" t="n">
        <v>71273.0</v>
      </c>
      <c r="X30" s="3" t="n">
        <v>71849.0</v>
      </c>
      <c r="Y30" s="3" t="n">
        <v>72444.0</v>
      </c>
      <c r="Z30" s="3" t="n">
        <v>73035.0</v>
      </c>
      <c r="AA30" s="3" t="n">
        <v>73579.0</v>
      </c>
      <c r="AB30" s="3" t="n">
        <v>74032.0</v>
      </c>
      <c r="AC30" s="3" t="n">
        <v>74351.0</v>
      </c>
      <c r="AD30" s="3" t="n">
        <v>74528.0</v>
      </c>
      <c r="AE30" s="3" t="n">
        <v>74568.0</v>
      </c>
      <c r="AF30" s="3" t="n">
        <v>74442.0</v>
      </c>
      <c r="AG30" s="3" t="n">
        <v>74176.0</v>
      </c>
      <c r="AH30" s="3" t="n">
        <v>73780.0</v>
      </c>
      <c r="AI30" s="3" t="n">
        <v>73259.0</v>
      </c>
      <c r="AJ30" s="3" t="n">
        <v>72666.0</v>
      </c>
      <c r="AK30" s="3" t="n">
        <v>72001.0</v>
      </c>
      <c r="AL30" s="3" t="n">
        <v>71325.0</v>
      </c>
      <c r="AM30" s="3" t="n">
        <v>70641.0</v>
      </c>
      <c r="AN30" s="3" t="n">
        <v>69997.0</v>
      </c>
      <c r="AO30" s="3" t="n">
        <v>69429.0</v>
      </c>
    </row>
    <row r="31" spans="1:41" x14ac:dyDescent="0.2">
      <c r="A31" s="131"/>
      <c r="B31" s="53" t="s">
        <v>18</v>
      </c>
      <c r="C31" s="3" t="n">
        <v>163753.0</v>
      </c>
      <c r="D31" s="3" t="n">
        <v>162650.0</v>
      </c>
      <c r="E31" s="3" t="n">
        <v>162189.0</v>
      </c>
      <c r="F31" s="3" t="n">
        <v>160810.0</v>
      </c>
      <c r="G31" s="3" t="n">
        <v>160263.0</v>
      </c>
      <c r="H31" s="3" t="n">
        <v>159847.0</v>
      </c>
      <c r="I31" s="3" t="n">
        <v>160427.0</v>
      </c>
      <c r="J31" s="3" t="n">
        <v>157217.0</v>
      </c>
      <c r="K31" s="3" t="n">
        <v>154589.0</v>
      </c>
      <c r="L31" s="3" t="n">
        <v>151406.0</v>
      </c>
      <c r="M31" s="3" t="n">
        <v>147166.0</v>
      </c>
      <c r="N31" s="3" t="n">
        <v>144043.0</v>
      </c>
      <c r="O31" s="3" t="n">
        <v>141435.0</v>
      </c>
      <c r="P31" s="3" t="n">
        <v>140010.0</v>
      </c>
      <c r="Q31" s="3" t="n">
        <v>139363.0</v>
      </c>
      <c r="R31" s="3" t="n">
        <v>140685.0</v>
      </c>
      <c r="S31" s="3" t="n">
        <v>140962.0</v>
      </c>
      <c r="T31" s="3" t="n">
        <v>141097.0</v>
      </c>
      <c r="U31" s="3" t="n">
        <v>141084.0</v>
      </c>
      <c r="V31" s="3" t="n">
        <v>141072.0</v>
      </c>
      <c r="W31" s="3" t="n">
        <v>141150.0</v>
      </c>
      <c r="X31" s="3" t="n">
        <v>141363.0</v>
      </c>
      <c r="Y31" s="3" t="n">
        <v>141620.0</v>
      </c>
      <c r="Z31" s="3" t="n">
        <v>141989.0</v>
      </c>
      <c r="AA31" s="3" t="n">
        <v>142500.0</v>
      </c>
      <c r="AB31" s="3" t="n">
        <v>143184.0</v>
      </c>
      <c r="AC31" s="3" t="n">
        <v>144061.0</v>
      </c>
      <c r="AD31" s="3" t="n">
        <v>145054.0</v>
      </c>
      <c r="AE31" s="3" t="n">
        <v>146099.0</v>
      </c>
      <c r="AF31" s="3" t="n">
        <v>147113.0</v>
      </c>
      <c r="AG31" s="3" t="n">
        <v>148030.0</v>
      </c>
      <c r="AH31" s="3" t="n">
        <v>148793.0</v>
      </c>
      <c r="AI31" s="3" t="n">
        <v>149390.0</v>
      </c>
      <c r="AJ31" s="3" t="n">
        <v>149730.0</v>
      </c>
      <c r="AK31" s="3" t="n">
        <v>149792.0</v>
      </c>
      <c r="AL31" s="3" t="n">
        <v>149586.0</v>
      </c>
      <c r="AM31" s="3" t="n">
        <v>149120.0</v>
      </c>
      <c r="AN31" s="3" t="n">
        <v>148433.0</v>
      </c>
      <c r="AO31" s="3" t="n">
        <v>147520.0</v>
      </c>
    </row>
    <row r="32" spans="1:41" x14ac:dyDescent="0.2">
      <c r="A32" s="131"/>
      <c r="B32" s="52" t="s">
        <v>19</v>
      </c>
      <c r="C32" s="3" t="n">
        <v>74035.0</v>
      </c>
      <c r="D32" s="3" t="n">
        <v>78133.0</v>
      </c>
      <c r="E32" s="3" t="n">
        <v>81687.0</v>
      </c>
      <c r="F32" s="3" t="n">
        <v>84234.0</v>
      </c>
      <c r="G32" s="3" t="n">
        <v>84461.0</v>
      </c>
      <c r="H32" s="3" t="n">
        <v>84211.0</v>
      </c>
      <c r="I32" s="3" t="n">
        <v>82799.0</v>
      </c>
      <c r="J32" s="3" t="n">
        <v>81763.0</v>
      </c>
      <c r="K32" s="3" t="n">
        <v>81783.0</v>
      </c>
      <c r="L32" s="3" t="n">
        <v>81867.0</v>
      </c>
      <c r="M32" s="3" t="n">
        <v>83955.0</v>
      </c>
      <c r="N32" s="3" t="n">
        <v>84196.0</v>
      </c>
      <c r="O32" s="3" t="n">
        <v>83924.0</v>
      </c>
      <c r="P32" s="3" t="n">
        <v>81952.0</v>
      </c>
      <c r="Q32" s="3" t="n">
        <v>78238.0</v>
      </c>
      <c r="R32" s="3" t="n">
        <v>73758.0</v>
      </c>
      <c r="S32" s="3" t="n">
        <v>70946.0</v>
      </c>
      <c r="T32" s="3" t="n">
        <v>69492.0</v>
      </c>
      <c r="U32" s="3" t="n">
        <v>68847.0</v>
      </c>
      <c r="V32" s="3" t="n">
        <v>70152.0</v>
      </c>
      <c r="W32" s="3" t="n">
        <v>70365.0</v>
      </c>
      <c r="X32" s="3" t="n">
        <v>70408.0</v>
      </c>
      <c r="Y32" s="3" t="n">
        <v>70418.0</v>
      </c>
      <c r="Z32" s="3" t="n">
        <v>70444.0</v>
      </c>
      <c r="AA32" s="3" t="n">
        <v>70520.0</v>
      </c>
      <c r="AB32" s="3" t="n">
        <v>70629.0</v>
      </c>
      <c r="AC32" s="3" t="n">
        <v>70621.0</v>
      </c>
      <c r="AD32" s="3" t="n">
        <v>70602.0</v>
      </c>
      <c r="AE32" s="3" t="n">
        <v>70611.0</v>
      </c>
      <c r="AF32" s="3" t="n">
        <v>70719.0</v>
      </c>
      <c r="AG32" s="3" t="n">
        <v>70977.0</v>
      </c>
      <c r="AH32" s="3" t="n">
        <v>71367.0</v>
      </c>
      <c r="AI32" s="3" t="n">
        <v>71859.0</v>
      </c>
      <c r="AJ32" s="3" t="n">
        <v>72421.0</v>
      </c>
      <c r="AK32" s="3" t="n">
        <v>73032.0</v>
      </c>
      <c r="AL32" s="3" t="n">
        <v>73612.0</v>
      </c>
      <c r="AM32" s="3" t="n">
        <v>74161.0</v>
      </c>
      <c r="AN32" s="3" t="n">
        <v>74606.0</v>
      </c>
      <c r="AO32" s="3" t="n">
        <v>74920.0</v>
      </c>
    </row>
    <row r="33" spans="1:41" x14ac:dyDescent="0.2">
      <c r="A33" s="131"/>
      <c r="B33" s="52" t="s">
        <v>2</v>
      </c>
      <c r="C33" s="3" t="n">
        <v>106669.0</v>
      </c>
      <c r="D33" s="3" t="n">
        <v>104623.0</v>
      </c>
      <c r="E33" s="3" t="n">
        <v>104541.0</v>
      </c>
      <c r="F33" s="3" t="n">
        <v>105307.0</v>
      </c>
      <c r="G33" s="3" t="n">
        <v>107407.0</v>
      </c>
      <c r="H33" s="3" t="n">
        <v>112058.0</v>
      </c>
      <c r="I33" s="3" t="n">
        <v>117309.0</v>
      </c>
      <c r="J33" s="3" t="n">
        <v>122079.0</v>
      </c>
      <c r="K33" s="3" t="n">
        <v>124491.0</v>
      </c>
      <c r="L33" s="3" t="n">
        <v>126464.0</v>
      </c>
      <c r="M33" s="3" t="n">
        <v>126463.0</v>
      </c>
      <c r="N33" s="3" t="n">
        <v>125544.0</v>
      </c>
      <c r="O33" s="3" t="n">
        <v>123934.0</v>
      </c>
      <c r="P33" s="3" t="n">
        <v>122919.0</v>
      </c>
      <c r="Q33" s="3" t="n">
        <v>124301.0</v>
      </c>
      <c r="R33" s="3" t="n">
        <v>124175.0</v>
      </c>
      <c r="S33" s="3" t="n">
        <v>124439.0</v>
      </c>
      <c r="T33" s="3" t="n">
        <v>122842.0</v>
      </c>
      <c r="U33" s="3" t="n">
        <v>120650.0</v>
      </c>
      <c r="V33" s="3" t="n">
        <v>116044.0</v>
      </c>
      <c r="W33" s="3" t="n">
        <v>111454.0</v>
      </c>
      <c r="X33" s="3" t="n">
        <v>108171.0</v>
      </c>
      <c r="Y33" s="3" t="n">
        <v>105612.0</v>
      </c>
      <c r="Z33" s="3" t="n">
        <v>104295.0</v>
      </c>
      <c r="AA33" s="3" t="n">
        <v>103616.0</v>
      </c>
      <c r="AB33" s="3" t="n">
        <v>104817.0</v>
      </c>
      <c r="AC33" s="3" t="n">
        <v>105074.0</v>
      </c>
      <c r="AD33" s="3" t="n">
        <v>105235.0</v>
      </c>
      <c r="AE33" s="3" t="n">
        <v>105284.0</v>
      </c>
      <c r="AF33" s="3" t="n">
        <v>105315.0</v>
      </c>
      <c r="AG33" s="3" t="n">
        <v>105352.0</v>
      </c>
      <c r="AH33" s="3" t="n">
        <v>105439.0</v>
      </c>
      <c r="AI33" s="3" t="n">
        <v>105480.0</v>
      </c>
      <c r="AJ33" s="3" t="n">
        <v>105592.0</v>
      </c>
      <c r="AK33" s="3" t="n">
        <v>105815.0</v>
      </c>
      <c r="AL33" s="3" t="n">
        <v>106187.0</v>
      </c>
      <c r="AM33" s="3" t="n">
        <v>106725.0</v>
      </c>
      <c r="AN33" s="3" t="n">
        <v>107427.0</v>
      </c>
      <c r="AO33" s="3" t="n">
        <v>108248.0</v>
      </c>
    </row>
    <row r="34" spans="1:41" x14ac:dyDescent="0.2">
      <c r="A34" s="131"/>
      <c r="B34" s="52" t="s">
        <v>3</v>
      </c>
      <c r="C34" s="3" t="n">
        <v>294764.0</v>
      </c>
      <c r="D34" s="3" t="n">
        <v>290149.0</v>
      </c>
      <c r="E34" s="3" t="n">
        <v>285350.0</v>
      </c>
      <c r="F34" s="3" t="n">
        <v>281003.0</v>
      </c>
      <c r="G34" s="3" t="n">
        <v>278156.0</v>
      </c>
      <c r="H34" s="3" t="n">
        <v>277742.0</v>
      </c>
      <c r="I34" s="3" t="n">
        <v>279334.0</v>
      </c>
      <c r="J34" s="3" t="n">
        <v>278230.0</v>
      </c>
      <c r="K34" s="3" t="n">
        <v>276153.0</v>
      </c>
      <c r="L34" s="3" t="n">
        <v>273224.0</v>
      </c>
      <c r="M34" s="3" t="n">
        <v>269048.0</v>
      </c>
      <c r="N34" s="3" t="n">
        <v>265877.0</v>
      </c>
      <c r="O34" s="3" t="n">
        <v>263265.0</v>
      </c>
      <c r="P34" s="3" t="n">
        <v>261915.0</v>
      </c>
      <c r="Q34" s="3" t="n">
        <v>261360.0</v>
      </c>
      <c r="R34" s="3" t="n">
        <v>262876.0</v>
      </c>
      <c r="S34" s="3" t="n">
        <v>263483.0</v>
      </c>
      <c r="T34" s="3" t="n">
        <v>264115.0</v>
      </c>
      <c r="U34" s="3" t="n">
        <v>264798.0</v>
      </c>
      <c r="V34" s="3" t="n">
        <v>265628.0</v>
      </c>
      <c r="W34" s="3" t="n">
        <v>266627.0</v>
      </c>
      <c r="X34" s="3" t="n">
        <v>267780.0</v>
      </c>
      <c r="Y34" s="3" t="n">
        <v>268929.0</v>
      </c>
      <c r="Z34" s="3" t="n">
        <v>270086.0</v>
      </c>
      <c r="AA34" s="3" t="n">
        <v>271214.0</v>
      </c>
      <c r="AB34" s="3" t="n">
        <v>272315.0</v>
      </c>
      <c r="AC34" s="3" t="n">
        <v>273345.0</v>
      </c>
      <c r="AD34" s="3" t="n">
        <v>274256.0</v>
      </c>
      <c r="AE34" s="3" t="n">
        <v>274971.0</v>
      </c>
      <c r="AF34" s="3" t="n">
        <v>275424.0</v>
      </c>
      <c r="AG34" s="3" t="n">
        <v>275589.0</v>
      </c>
      <c r="AH34" s="3" t="n">
        <v>275431.0</v>
      </c>
      <c r="AI34" s="3" t="n">
        <v>274979.0</v>
      </c>
      <c r="AJ34" s="3" t="n">
        <v>274203.0</v>
      </c>
      <c r="AK34" s="3" t="n">
        <v>273141.0</v>
      </c>
      <c r="AL34" s="3" t="n">
        <v>271845.0</v>
      </c>
      <c r="AM34" s="3" t="n">
        <v>270360.0</v>
      </c>
      <c r="AN34" s="3" t="n">
        <v>268765.0</v>
      </c>
      <c r="AO34" s="3" t="n">
        <v>267107.0</v>
      </c>
    </row>
    <row r="35" spans="1:41" x14ac:dyDescent="0.2">
      <c r="A35" s="131"/>
      <c r="B35" s="52" t="s">
        <v>4</v>
      </c>
      <c r="C35" s="3" t="n">
        <v>1144949.0</v>
      </c>
      <c r="D35" s="3" t="n">
        <v>1139936.0</v>
      </c>
      <c r="E35" s="3" t="n">
        <v>1136125.0</v>
      </c>
      <c r="F35" s="3" t="n">
        <v>1133666.0</v>
      </c>
      <c r="G35" s="3" t="n">
        <v>1130890.0</v>
      </c>
      <c r="H35" s="3" t="n">
        <v>1131021.0</v>
      </c>
      <c r="I35" s="3" t="n">
        <v>1130881.0</v>
      </c>
      <c r="J35" s="3" t="n">
        <v>1130773.0</v>
      </c>
      <c r="K35" s="3" t="n">
        <v>1130120.0</v>
      </c>
      <c r="L35" s="3" t="n">
        <v>1129909.0</v>
      </c>
      <c r="M35" s="3" t="n">
        <v>1130596.0</v>
      </c>
      <c r="N35" s="3" t="n">
        <v>1129622.0</v>
      </c>
      <c r="O35" s="3" t="n">
        <v>1127596.0</v>
      </c>
      <c r="P35" s="3" t="n">
        <v>1123440.0</v>
      </c>
      <c r="Q35" s="3" t="n">
        <v>1117886.0</v>
      </c>
      <c r="R35" s="3" t="n">
        <v>1109546.0</v>
      </c>
      <c r="S35" s="3" t="n">
        <v>1101277.0</v>
      </c>
      <c r="T35" s="3" t="n">
        <v>1092740.0</v>
      </c>
      <c r="U35" s="3" t="n">
        <v>1083321.0</v>
      </c>
      <c r="V35" s="3" t="n">
        <v>1073012.0</v>
      </c>
      <c r="W35" s="3" t="n">
        <v>1062670.0</v>
      </c>
      <c r="X35" s="3" t="n">
        <v>1052443.0</v>
      </c>
      <c r="Y35" s="3" t="n">
        <v>1041049.0</v>
      </c>
      <c r="Z35" s="3" t="n">
        <v>1029918.0</v>
      </c>
      <c r="AA35" s="3" t="n">
        <v>1019431.0</v>
      </c>
      <c r="AB35" s="3" t="n">
        <v>1007599.0</v>
      </c>
      <c r="AC35" s="3" t="n">
        <v>995217.0</v>
      </c>
      <c r="AD35" s="3" t="n">
        <v>983406.0</v>
      </c>
      <c r="AE35" s="3" t="n">
        <v>972561.0</v>
      </c>
      <c r="AF35" s="3" t="n">
        <v>963373.0</v>
      </c>
      <c r="AG35" s="3" t="n">
        <v>954951.0</v>
      </c>
      <c r="AH35" s="3" t="n">
        <v>947434.0</v>
      </c>
      <c r="AI35" s="3" t="n">
        <v>940730.0</v>
      </c>
      <c r="AJ35" s="3" t="n">
        <v>934274.0</v>
      </c>
      <c r="AK35" s="3" t="n">
        <v>928364.0</v>
      </c>
      <c r="AL35" s="3" t="n">
        <v>923924.0</v>
      </c>
      <c r="AM35" s="3" t="n">
        <v>920060.0</v>
      </c>
      <c r="AN35" s="3" t="n">
        <v>917516.0</v>
      </c>
      <c r="AO35" s="3" t="n">
        <v>915872.0</v>
      </c>
    </row>
    <row r="36" spans="1:41" x14ac:dyDescent="0.2">
      <c r="A36" s="131"/>
      <c r="B36" s="52" t="s">
        <v>5</v>
      </c>
      <c r="C36" s="3" t="n">
        <v>257539.0</v>
      </c>
      <c r="D36" s="3" t="n">
        <v>265867.0</v>
      </c>
      <c r="E36" s="3" t="n">
        <v>273424.0</v>
      </c>
      <c r="F36" s="3" t="n">
        <v>279251.0</v>
      </c>
      <c r="G36" s="3" t="n">
        <v>283980.0</v>
      </c>
      <c r="H36" s="3" t="n">
        <v>288118.0</v>
      </c>
      <c r="I36" s="3" t="n">
        <v>292147.0</v>
      </c>
      <c r="J36" s="3" t="n">
        <v>295193.0</v>
      </c>
      <c r="K36" s="3" t="n">
        <v>297815.0</v>
      </c>
      <c r="L36" s="3" t="n">
        <v>299990.0</v>
      </c>
      <c r="M36" s="3" t="n">
        <v>301972.0</v>
      </c>
      <c r="N36" s="3" t="n">
        <v>304177.0</v>
      </c>
      <c r="O36" s="3" t="n">
        <v>306457.0</v>
      </c>
      <c r="P36" s="3" t="n">
        <v>309511.0</v>
      </c>
      <c r="Q36" s="3" t="n">
        <v>313091.0</v>
      </c>
      <c r="R36" s="3" t="n">
        <v>317333.0</v>
      </c>
      <c r="S36" s="3" t="n">
        <v>322469.0</v>
      </c>
      <c r="T36" s="3" t="n">
        <v>327716.0</v>
      </c>
      <c r="U36" s="3" t="n">
        <v>333859.0</v>
      </c>
      <c r="V36" s="3" t="n">
        <v>340843.0</v>
      </c>
      <c r="W36" s="3" t="n">
        <v>347794.0</v>
      </c>
      <c r="X36" s="3" t="n">
        <v>354586.0</v>
      </c>
      <c r="Y36" s="3" t="n">
        <v>362639.0</v>
      </c>
      <c r="Z36" s="3" t="n">
        <v>370261.0</v>
      </c>
      <c r="AA36" s="3" t="n">
        <v>377304.0</v>
      </c>
      <c r="AB36" s="3" t="n">
        <v>385736.0</v>
      </c>
      <c r="AC36" s="3" t="n">
        <v>394751.0</v>
      </c>
      <c r="AD36" s="3" t="n">
        <v>403251.0</v>
      </c>
      <c r="AE36" s="3" t="n">
        <v>410709.0</v>
      </c>
      <c r="AF36" s="3" t="n">
        <v>416705.0</v>
      </c>
      <c r="AG36" s="3" t="n">
        <v>422093.0</v>
      </c>
      <c r="AH36" s="3" t="n">
        <v>426844.0</v>
      </c>
      <c r="AI36" s="3" t="n">
        <v>430974.0</v>
      </c>
      <c r="AJ36" s="3" t="n">
        <v>435093.0</v>
      </c>
      <c r="AK36" s="3" t="n">
        <v>438716.0</v>
      </c>
      <c r="AL36" s="3" t="n">
        <v>441031.0</v>
      </c>
      <c r="AM36" s="3" t="n">
        <v>442921.0</v>
      </c>
      <c r="AN36" s="3" t="n">
        <v>443606.0</v>
      </c>
      <c r="AO36" s="3" t="n">
        <v>443456.0</v>
      </c>
    </row>
    <row r="37" spans="1:41" x14ac:dyDescent="0.2">
      <c r="A37" s="131"/>
      <c r="B37" s="54" t="s">
        <v>6</v>
      </c>
      <c r="C37" s="3" t="n">
        <v>39036.0</v>
      </c>
      <c r="D37" s="3" t="n">
        <v>39234.0</v>
      </c>
      <c r="E37" s="3" t="n">
        <v>39408.0</v>
      </c>
      <c r="F37" s="3" t="n">
        <v>40213.0</v>
      </c>
      <c r="G37" s="3" t="n">
        <v>45631.0</v>
      </c>
      <c r="H37" s="3" t="n">
        <v>50267.0</v>
      </c>
      <c r="I37" s="3" t="n">
        <v>55199.0</v>
      </c>
      <c r="J37" s="3" t="n">
        <v>59909.0</v>
      </c>
      <c r="K37" s="3" t="n">
        <v>64413.0</v>
      </c>
      <c r="L37" s="3" t="n">
        <v>68979.0</v>
      </c>
      <c r="M37" s="3" t="n">
        <v>73521.0</v>
      </c>
      <c r="N37" s="3" t="n">
        <v>77932.0</v>
      </c>
      <c r="O37" s="3" t="n">
        <v>82028.0</v>
      </c>
      <c r="P37" s="3" t="n">
        <v>86204.0</v>
      </c>
      <c r="Q37" s="3" t="n">
        <v>90328.0</v>
      </c>
      <c r="R37" s="3" t="n">
        <v>94363.0</v>
      </c>
      <c r="S37" s="3" t="n">
        <v>97743.0</v>
      </c>
      <c r="T37" s="3" t="n">
        <v>100514.0</v>
      </c>
      <c r="U37" s="3" t="n">
        <v>102256.0</v>
      </c>
      <c r="V37" s="3" t="n">
        <v>103373.0</v>
      </c>
      <c r="W37" s="3" t="n">
        <v>104091.0</v>
      </c>
      <c r="X37" s="3" t="n">
        <v>104946.0</v>
      </c>
      <c r="Y37" s="3" t="n">
        <v>105355.0</v>
      </c>
      <c r="Z37" s="3" t="n">
        <v>105597.0</v>
      </c>
      <c r="AA37" s="3" t="n">
        <v>105781.0</v>
      </c>
      <c r="AB37" s="3" t="n">
        <v>106037.0</v>
      </c>
      <c r="AC37" s="3" t="n">
        <v>106623.0</v>
      </c>
      <c r="AD37" s="3" t="n">
        <v>107557.0</v>
      </c>
      <c r="AE37" s="3" t="n">
        <v>109096.0</v>
      </c>
      <c r="AF37" s="3" t="n">
        <v>111150.0</v>
      </c>
      <c r="AG37" s="3" t="n">
        <v>113800.0</v>
      </c>
      <c r="AH37" s="3" t="n">
        <v>117172.0</v>
      </c>
      <c r="AI37" s="3" t="n">
        <v>120805.0</v>
      </c>
      <c r="AJ37" s="3" t="n">
        <v>125129.0</v>
      </c>
      <c r="AK37" s="3" t="n">
        <v>129949.0</v>
      </c>
      <c r="AL37" s="3" t="n">
        <v>134784.0</v>
      </c>
      <c r="AM37" s="3" t="n">
        <v>139492.0</v>
      </c>
      <c r="AN37" s="3" t="n">
        <v>145016.0</v>
      </c>
      <c r="AO37" s="3" t="n">
        <v>150304.0</v>
      </c>
    </row>
    <row r="38" spans="1:41" x14ac:dyDescent="0.2">
      <c r="A38" s="130" t="s">
        <v>50</v>
      </c>
      <c r="B38" s="59" t="s">
        <v>62</v>
      </c>
      <c r="C38" s="57" t="n">
        <v>1796325.0</v>
      </c>
      <c r="D38" s="57" t="n">
        <v>1796094.0</v>
      </c>
      <c r="E38" s="57" t="n">
        <v>1796187.0</v>
      </c>
      <c r="F38" s="57" t="n">
        <v>1796420.0</v>
      </c>
      <c r="G38" s="57" t="n">
        <v>1796839.0</v>
      </c>
      <c r="H38" s="57" t="n">
        <v>1806557.0</v>
      </c>
      <c r="I38" s="57" t="n">
        <v>1819888.0</v>
      </c>
      <c r="J38" s="57" t="n">
        <v>1825736.0</v>
      </c>
      <c r="K38" s="57" t="n">
        <v>1827522.0</v>
      </c>
      <c r="L38" s="57" t="n">
        <v>1827816.0</v>
      </c>
      <c r="M38" s="57" t="n">
        <v>1827110.0</v>
      </c>
      <c r="N38" s="57" t="n">
        <v>1825704.0</v>
      </c>
      <c r="O38" s="57" t="n">
        <v>1823667.0</v>
      </c>
      <c r="P38" s="57" t="n">
        <v>1821292.0</v>
      </c>
      <c r="Q38" s="57" t="n">
        <v>1818814.0</v>
      </c>
      <c r="R38" s="57" t="n">
        <v>1816070.0</v>
      </c>
      <c r="S38" s="57" t="n">
        <v>1813043.0</v>
      </c>
      <c r="T38" s="57" t="n">
        <v>1809958.0</v>
      </c>
      <c r="U38" s="57" t="n">
        <v>1806703.0</v>
      </c>
      <c r="V38" s="57" t="n">
        <v>1803455.0</v>
      </c>
      <c r="W38" s="57" t="n">
        <v>1799982.0</v>
      </c>
      <c r="X38" s="57" t="n">
        <v>1796404.0</v>
      </c>
      <c r="Y38" s="57" t="n">
        <v>1792872.0</v>
      </c>
      <c r="Z38" s="57" t="n">
        <v>1789153.0</v>
      </c>
      <c r="AA38" s="57" t="n">
        <v>1785273.0</v>
      </c>
      <c r="AB38" s="57" t="n">
        <v>1781484.0</v>
      </c>
      <c r="AC38" s="57" t="n">
        <v>1777537.0</v>
      </c>
      <c r="AD38" s="57" t="n">
        <v>1773394.0</v>
      </c>
      <c r="AE38" s="57" t="n">
        <v>1769295.0</v>
      </c>
      <c r="AF38" s="57" t="n">
        <v>1764952.0</v>
      </c>
      <c r="AG38" s="57" t="n">
        <v>1760479.0</v>
      </c>
      <c r="AH38" s="57" t="n">
        <v>1756050.0</v>
      </c>
      <c r="AI38" s="57" t="n">
        <v>1751471.0</v>
      </c>
      <c r="AJ38" s="57" t="n">
        <v>1746929.0</v>
      </c>
      <c r="AK38" s="57" t="n">
        <v>1742217.0</v>
      </c>
      <c r="AL38" s="57" t="n">
        <v>1737359.0</v>
      </c>
      <c r="AM38" s="57" t="n">
        <v>1732540.0</v>
      </c>
      <c r="AN38" s="57" t="n">
        <v>1727607.0</v>
      </c>
      <c r="AO38" s="57" t="n">
        <v>1722570.0</v>
      </c>
    </row>
    <row r="39" spans="1:41" x14ac:dyDescent="0.2">
      <c r="A39" s="131"/>
      <c r="B39" s="52" t="s">
        <v>8</v>
      </c>
      <c r="C39" s="3" t="n">
        <v>332161.0</v>
      </c>
      <c r="D39" s="3" t="n">
        <v>330836.0</v>
      </c>
      <c r="E39" s="3" t="n">
        <v>329232.0</v>
      </c>
      <c r="F39" s="3" t="n">
        <v>326564.0</v>
      </c>
      <c r="G39" s="3" t="n">
        <v>322544.0</v>
      </c>
      <c r="H39" s="3" t="n">
        <v>321800.0</v>
      </c>
      <c r="I39" s="3" t="n">
        <v>321909.0</v>
      </c>
      <c r="J39" s="3" t="n">
        <v>320916.0</v>
      </c>
      <c r="K39" s="3" t="n">
        <v>318692.0</v>
      </c>
      <c r="L39" s="3" t="n">
        <v>316736.0</v>
      </c>
      <c r="M39" s="3" t="n">
        <v>314188.0</v>
      </c>
      <c r="N39" s="3" t="n">
        <v>311552.0</v>
      </c>
      <c r="O39" s="3" t="n">
        <v>308326.0</v>
      </c>
      <c r="P39" s="3" t="n">
        <v>304146.0</v>
      </c>
      <c r="Q39" s="3" t="n">
        <v>301069.0</v>
      </c>
      <c r="R39" s="3" t="n">
        <v>298834.0</v>
      </c>
      <c r="S39" s="3" t="n">
        <v>297769.0</v>
      </c>
      <c r="T39" s="3" t="n">
        <v>297456.0</v>
      </c>
      <c r="U39" s="3" t="n">
        <v>299077.0</v>
      </c>
      <c r="V39" s="3" t="n">
        <v>300075.0</v>
      </c>
      <c r="W39" s="3" t="n">
        <v>301096.0</v>
      </c>
      <c r="X39" s="3" t="n">
        <v>302121.0</v>
      </c>
      <c r="Y39" s="3" t="n">
        <v>303188.0</v>
      </c>
      <c r="Z39" s="3" t="n">
        <v>304363.0</v>
      </c>
      <c r="AA39" s="3" t="n">
        <v>305524.0</v>
      </c>
      <c r="AB39" s="3" t="n">
        <v>306571.0</v>
      </c>
      <c r="AC39" s="3" t="n">
        <v>307505.0</v>
      </c>
      <c r="AD39" s="3" t="n">
        <v>308314.0</v>
      </c>
      <c r="AE39" s="3" t="n">
        <v>308979.0</v>
      </c>
      <c r="AF39" s="3" t="n">
        <v>309495.0</v>
      </c>
      <c r="AG39" s="3" t="n">
        <v>309848.0</v>
      </c>
      <c r="AH39" s="3" t="n">
        <v>310000.0</v>
      </c>
      <c r="AI39" s="3" t="n">
        <v>309922.0</v>
      </c>
      <c r="AJ39" s="3" t="n">
        <v>309584.0</v>
      </c>
      <c r="AK39" s="3" t="n">
        <v>309009.0</v>
      </c>
      <c r="AL39" s="3" t="n">
        <v>308198.0</v>
      </c>
      <c r="AM39" s="3" t="n">
        <v>307130.0</v>
      </c>
      <c r="AN39" s="3" t="n">
        <v>305875.0</v>
      </c>
      <c r="AO39" s="3" t="n">
        <v>304489.0</v>
      </c>
    </row>
    <row r="40" spans="1:41" x14ac:dyDescent="0.2">
      <c r="A40" s="131"/>
      <c r="B40" s="52" t="s">
        <v>15</v>
      </c>
      <c r="C40" s="3" t="n">
        <v>974624.0</v>
      </c>
      <c r="D40" s="3" t="n">
        <v>969449.0</v>
      </c>
      <c r="E40" s="3" t="n">
        <v>965674.0</v>
      </c>
      <c r="F40" s="3" t="n">
        <v>963851.0</v>
      </c>
      <c r="G40" s="3" t="n">
        <v>963944.0</v>
      </c>
      <c r="H40" s="3" t="n">
        <v>969677.0</v>
      </c>
      <c r="I40" s="3" t="n">
        <v>977265.0</v>
      </c>
      <c r="J40" s="3" t="n">
        <v>978983.0</v>
      </c>
      <c r="K40" s="3" t="n">
        <v>977992.0</v>
      </c>
      <c r="L40" s="3" t="n">
        <v>974526.0</v>
      </c>
      <c r="M40" s="3" t="n">
        <v>969784.0</v>
      </c>
      <c r="N40" s="3" t="n">
        <v>964071.0</v>
      </c>
      <c r="O40" s="3" t="n">
        <v>957900.0</v>
      </c>
      <c r="P40" s="3" t="n">
        <v>951660.0</v>
      </c>
      <c r="Q40" s="3" t="n">
        <v>943595.0</v>
      </c>
      <c r="R40" s="3" t="n">
        <v>934662.0</v>
      </c>
      <c r="S40" s="3" t="n">
        <v>924723.0</v>
      </c>
      <c r="T40" s="3" t="n">
        <v>913204.0</v>
      </c>
      <c r="U40" s="3" t="n">
        <v>899528.0</v>
      </c>
      <c r="V40" s="3" t="n">
        <v>887380.0</v>
      </c>
      <c r="W40" s="3" t="n">
        <v>874032.0</v>
      </c>
      <c r="X40" s="3" t="n">
        <v>859684.0</v>
      </c>
      <c r="Y40" s="3" t="n">
        <v>845991.0</v>
      </c>
      <c r="Z40" s="3" t="n">
        <v>833410.0</v>
      </c>
      <c r="AA40" s="3" t="n">
        <v>821852.0</v>
      </c>
      <c r="AB40" s="3" t="n">
        <v>812111.0</v>
      </c>
      <c r="AC40" s="3" t="n">
        <v>802423.0</v>
      </c>
      <c r="AD40" s="3" t="n">
        <v>793423.0</v>
      </c>
      <c r="AE40" s="3" t="n">
        <v>784363.0</v>
      </c>
      <c r="AF40" s="3" t="n">
        <v>775967.0</v>
      </c>
      <c r="AG40" s="3" t="n">
        <v>768838.0</v>
      </c>
      <c r="AH40" s="3" t="n">
        <v>762631.0</v>
      </c>
      <c r="AI40" s="3" t="n">
        <v>757372.0</v>
      </c>
      <c r="AJ40" s="3" t="n">
        <v>753392.0</v>
      </c>
      <c r="AK40" s="3" t="n">
        <v>750225.0</v>
      </c>
      <c r="AL40" s="3" t="n">
        <v>747684.0</v>
      </c>
      <c r="AM40" s="3" t="n">
        <v>746219.0</v>
      </c>
      <c r="AN40" s="3" t="n">
        <v>745291.0</v>
      </c>
      <c r="AO40" s="3" t="n">
        <v>744870.0</v>
      </c>
    </row>
    <row r="41" spans="1:41" x14ac:dyDescent="0.2">
      <c r="A41" s="131"/>
      <c r="B41" s="52" t="s">
        <v>11</v>
      </c>
      <c r="C41" s="3" t="n">
        <v>633694.0</v>
      </c>
      <c r="D41" s="3" t="n">
        <v>622969.0</v>
      </c>
      <c r="E41" s="3" t="n">
        <v>611788.0</v>
      </c>
      <c r="F41" s="3" t="n">
        <v>601483.0</v>
      </c>
      <c r="G41" s="3" t="n">
        <v>593604.0</v>
      </c>
      <c r="H41" s="3" t="n">
        <v>588616.0</v>
      </c>
      <c r="I41" s="3" t="n">
        <v>584481.0</v>
      </c>
      <c r="J41" s="3" t="n">
        <v>576364.0</v>
      </c>
      <c r="K41" s="3" t="n">
        <v>567804.0</v>
      </c>
      <c r="L41" s="3" t="n">
        <v>559030.0</v>
      </c>
      <c r="M41" s="3" t="n">
        <v>552120.0</v>
      </c>
      <c r="N41" s="3" t="n">
        <v>544898.0</v>
      </c>
      <c r="O41" s="3" t="n">
        <v>538854.0</v>
      </c>
      <c r="P41" s="3" t="n">
        <v>533736.0</v>
      </c>
      <c r="Q41" s="3" t="n">
        <v>528305.0</v>
      </c>
      <c r="R41" s="3" t="n">
        <v>523412.0</v>
      </c>
      <c r="S41" s="3" t="n">
        <v>518384.0</v>
      </c>
      <c r="T41" s="3" t="n">
        <v>513592.0</v>
      </c>
      <c r="U41" s="3" t="n">
        <v>508296.0</v>
      </c>
      <c r="V41" s="3" t="n">
        <v>504459.0</v>
      </c>
      <c r="W41" s="3" t="n">
        <v>501232.0</v>
      </c>
      <c r="X41" s="3" t="n">
        <v>499051.0</v>
      </c>
      <c r="Y41" s="3" t="n">
        <v>497263.0</v>
      </c>
      <c r="Z41" s="3" t="n">
        <v>495846.0</v>
      </c>
      <c r="AA41" s="3" t="n">
        <v>494984.0</v>
      </c>
      <c r="AB41" s="3" t="n">
        <v>494683.0</v>
      </c>
      <c r="AC41" s="3" t="n">
        <v>494567.0</v>
      </c>
      <c r="AD41" s="3" t="n">
        <v>494378.0</v>
      </c>
      <c r="AE41" s="3" t="n">
        <v>493269.0</v>
      </c>
      <c r="AF41" s="3" t="n">
        <v>491702.0</v>
      </c>
      <c r="AG41" s="3" t="n">
        <v>488937.0</v>
      </c>
      <c r="AH41" s="3" t="n">
        <v>484722.0</v>
      </c>
      <c r="AI41" s="3" t="n">
        <v>480681.0</v>
      </c>
      <c r="AJ41" s="3" t="n">
        <v>476521.0</v>
      </c>
      <c r="AK41" s="3" t="n">
        <v>473737.0</v>
      </c>
      <c r="AL41" s="3" t="n">
        <v>471008.0</v>
      </c>
      <c r="AM41" s="3" t="n">
        <v>469159.0</v>
      </c>
      <c r="AN41" s="3" t="n">
        <v>467127.0</v>
      </c>
      <c r="AO41" s="3" t="n">
        <v>465318.0</v>
      </c>
    </row>
    <row r="42" spans="1:41" x14ac:dyDescent="0.2">
      <c r="A42" s="131"/>
      <c r="B42" s="52" t="s">
        <v>16</v>
      </c>
      <c r="C42" s="3" t="n">
        <v>340930.0</v>
      </c>
      <c r="D42" s="3" t="n">
        <v>346480.0</v>
      </c>
      <c r="E42" s="3" t="n">
        <v>353886.0</v>
      </c>
      <c r="F42" s="3" t="n">
        <v>362368.0</v>
      </c>
      <c r="G42" s="3" t="n">
        <v>370340.0</v>
      </c>
      <c r="H42" s="3" t="n">
        <v>381061.0</v>
      </c>
      <c r="I42" s="3" t="n">
        <v>392784.0</v>
      </c>
      <c r="J42" s="3" t="n">
        <v>402619.0</v>
      </c>
      <c r="K42" s="3" t="n">
        <v>410188.0</v>
      </c>
      <c r="L42" s="3" t="n">
        <v>415496.0</v>
      </c>
      <c r="M42" s="3" t="n">
        <v>417664.0</v>
      </c>
      <c r="N42" s="3" t="n">
        <v>419173.0</v>
      </c>
      <c r="O42" s="3" t="n">
        <v>419046.0</v>
      </c>
      <c r="P42" s="3" t="n">
        <v>417924.0</v>
      </c>
      <c r="Q42" s="3" t="n">
        <v>415290.0</v>
      </c>
      <c r="R42" s="3" t="n">
        <v>411250.0</v>
      </c>
      <c r="S42" s="3" t="n">
        <v>406339.0</v>
      </c>
      <c r="T42" s="3" t="n">
        <v>399612.0</v>
      </c>
      <c r="U42" s="3" t="n">
        <v>391232.0</v>
      </c>
      <c r="V42" s="3" t="n">
        <v>382921.0</v>
      </c>
      <c r="W42" s="3" t="n">
        <v>372800.0</v>
      </c>
      <c r="X42" s="3" t="n">
        <v>360633.0</v>
      </c>
      <c r="Y42" s="3" t="n">
        <v>348728.0</v>
      </c>
      <c r="Z42" s="3" t="n">
        <v>337564.0</v>
      </c>
      <c r="AA42" s="3" t="n">
        <v>326868.0</v>
      </c>
      <c r="AB42" s="3" t="n">
        <v>317428.0</v>
      </c>
      <c r="AC42" s="3" t="n">
        <v>307856.0</v>
      </c>
      <c r="AD42" s="3" t="n">
        <v>299045.0</v>
      </c>
      <c r="AE42" s="3" t="n">
        <v>291094.0</v>
      </c>
      <c r="AF42" s="3" t="n">
        <v>284265.0</v>
      </c>
      <c r="AG42" s="3" t="n">
        <v>279901.0</v>
      </c>
      <c r="AH42" s="3" t="n">
        <v>277909.0</v>
      </c>
      <c r="AI42" s="3" t="n">
        <v>276691.0</v>
      </c>
      <c r="AJ42" s="3" t="n">
        <v>276871.0</v>
      </c>
      <c r="AK42" s="3" t="n">
        <v>276488.0</v>
      </c>
      <c r="AL42" s="3" t="n">
        <v>276676.0</v>
      </c>
      <c r="AM42" s="3" t="n">
        <v>277060.0</v>
      </c>
      <c r="AN42" s="3" t="n">
        <v>278164.0</v>
      </c>
      <c r="AO42" s="3" t="n">
        <v>279552.0</v>
      </c>
    </row>
    <row r="43" spans="1:41" x14ac:dyDescent="0.2">
      <c r="A43" s="131"/>
      <c r="B43" s="52" t="s">
        <v>17</v>
      </c>
      <c r="C43" s="3" t="n">
        <v>489540.0</v>
      </c>
      <c r="D43" s="3" t="n">
        <v>495809.0</v>
      </c>
      <c r="E43" s="3" t="n">
        <v>501281.0</v>
      </c>
      <c r="F43" s="3" t="n">
        <v>506005.0</v>
      </c>
      <c r="G43" s="3" t="n">
        <v>510351.0</v>
      </c>
      <c r="H43" s="3" t="n">
        <v>515080.0</v>
      </c>
      <c r="I43" s="3" t="n">
        <v>520714.0</v>
      </c>
      <c r="J43" s="3" t="n">
        <v>525837.0</v>
      </c>
      <c r="K43" s="3" t="n">
        <v>530838.0</v>
      </c>
      <c r="L43" s="3" t="n">
        <v>536554.0</v>
      </c>
      <c r="M43" s="3" t="n">
        <v>543138.0</v>
      </c>
      <c r="N43" s="3" t="n">
        <v>550081.0</v>
      </c>
      <c r="O43" s="3" t="n">
        <v>557441.0</v>
      </c>
      <c r="P43" s="3" t="n">
        <v>565486.0</v>
      </c>
      <c r="Q43" s="3" t="n">
        <v>574150.0</v>
      </c>
      <c r="R43" s="3" t="n">
        <v>582574.0</v>
      </c>
      <c r="S43" s="3" t="n">
        <v>590551.0</v>
      </c>
      <c r="T43" s="3" t="n">
        <v>599298.0</v>
      </c>
      <c r="U43" s="3" t="n">
        <v>608098.0</v>
      </c>
      <c r="V43" s="3" t="n">
        <v>616000.0</v>
      </c>
      <c r="W43" s="3" t="n">
        <v>624854.0</v>
      </c>
      <c r="X43" s="3" t="n">
        <v>634599.0</v>
      </c>
      <c r="Y43" s="3" t="n">
        <v>643693.0</v>
      </c>
      <c r="Z43" s="3" t="n">
        <v>651380.0</v>
      </c>
      <c r="AA43" s="3" t="n">
        <v>657897.0</v>
      </c>
      <c r="AB43" s="3" t="n">
        <v>662802.0</v>
      </c>
      <c r="AC43" s="3" t="n">
        <v>667609.0</v>
      </c>
      <c r="AD43" s="3" t="n">
        <v>671657.0</v>
      </c>
      <c r="AE43" s="3" t="n">
        <v>675953.0</v>
      </c>
      <c r="AF43" s="3" t="n">
        <v>679490.0</v>
      </c>
      <c r="AG43" s="3" t="n">
        <v>681793.0</v>
      </c>
      <c r="AH43" s="3" t="n">
        <v>683419.0</v>
      </c>
      <c r="AI43" s="3" t="n">
        <v>684177.0</v>
      </c>
      <c r="AJ43" s="3" t="n">
        <v>683953.0</v>
      </c>
      <c r="AK43" s="3" t="n">
        <v>682983.0</v>
      </c>
      <c r="AL43" s="3" t="n">
        <v>681477.0</v>
      </c>
      <c r="AM43" s="3" t="n">
        <v>679191.0</v>
      </c>
      <c r="AN43" s="3" t="n">
        <v>676441.0</v>
      </c>
      <c r="AO43" s="3" t="n">
        <v>673211.0</v>
      </c>
    </row>
    <row r="44" spans="1:41" x14ac:dyDescent="0.2">
      <c r="A44" s="131"/>
      <c r="B44" s="52" t="s">
        <v>0</v>
      </c>
      <c r="C44" s="3" t="n">
        <v>48202.0</v>
      </c>
      <c r="D44" s="3" t="n">
        <v>46720.0</v>
      </c>
      <c r="E44" s="3" t="n">
        <v>45946.0</v>
      </c>
      <c r="F44" s="3" t="n">
        <v>47057.0</v>
      </c>
      <c r="G44" s="3" t="n">
        <v>47386.0</v>
      </c>
      <c r="H44" s="3" t="n">
        <v>47900.0</v>
      </c>
      <c r="I44" s="3" t="n">
        <v>48414.0</v>
      </c>
      <c r="J44" s="3" t="n">
        <v>48665.0</v>
      </c>
      <c r="K44" s="3" t="n">
        <v>48823.0</v>
      </c>
      <c r="L44" s="3" t="n">
        <v>48951.0</v>
      </c>
      <c r="M44" s="3" t="n">
        <v>48974.0</v>
      </c>
      <c r="N44" s="3" t="n">
        <v>48935.0</v>
      </c>
      <c r="O44" s="3" t="n">
        <v>48892.0</v>
      </c>
      <c r="P44" s="3" t="n">
        <v>48889.0</v>
      </c>
      <c r="Q44" s="3" t="n">
        <v>48999.0</v>
      </c>
      <c r="R44" s="3" t="n">
        <v>49209.0</v>
      </c>
      <c r="S44" s="3" t="n">
        <v>49514.0</v>
      </c>
      <c r="T44" s="3" t="n">
        <v>49884.0</v>
      </c>
      <c r="U44" s="3" t="n">
        <v>50302.0</v>
      </c>
      <c r="V44" s="3" t="n">
        <v>50741.0</v>
      </c>
      <c r="W44" s="3" t="n">
        <v>51160.0</v>
      </c>
      <c r="X44" s="3" t="n">
        <v>51507.0</v>
      </c>
      <c r="Y44" s="3" t="n">
        <v>51767.0</v>
      </c>
      <c r="Z44" s="3" t="n">
        <v>51945.0</v>
      </c>
      <c r="AA44" s="3" t="n">
        <v>52007.0</v>
      </c>
      <c r="AB44" s="3" t="n">
        <v>51972.0</v>
      </c>
      <c r="AC44" s="3" t="n">
        <v>51824.0</v>
      </c>
      <c r="AD44" s="3" t="n">
        <v>51581.0</v>
      </c>
      <c r="AE44" s="3" t="n">
        <v>51242.0</v>
      </c>
      <c r="AF44" s="3" t="n">
        <v>50822.0</v>
      </c>
      <c r="AG44" s="3" t="n">
        <v>50361.0</v>
      </c>
      <c r="AH44" s="3" t="n">
        <v>49865.0</v>
      </c>
      <c r="AI44" s="3" t="n">
        <v>49369.0</v>
      </c>
      <c r="AJ44" s="3" t="n">
        <v>48879.0</v>
      </c>
      <c r="AK44" s="3" t="n">
        <v>48438.0</v>
      </c>
      <c r="AL44" s="3" t="n">
        <v>48049.0</v>
      </c>
      <c r="AM44" s="3" t="n">
        <v>47735.0</v>
      </c>
      <c r="AN44" s="3" t="n">
        <v>47484.0</v>
      </c>
      <c r="AO44" s="3" t="n">
        <v>47323.0</v>
      </c>
    </row>
    <row r="45" spans="1:41" x14ac:dyDescent="0.2">
      <c r="A45" s="131"/>
      <c r="B45" s="52" t="s">
        <v>1</v>
      </c>
      <c r="C45" s="3" t="n">
        <v>75998.0</v>
      </c>
      <c r="D45" s="3" t="n">
        <v>74167.0</v>
      </c>
      <c r="E45" s="3" t="n">
        <v>70826.0</v>
      </c>
      <c r="F45" s="3" t="n">
        <v>66769.0</v>
      </c>
      <c r="G45" s="3" t="n">
        <v>64333.0</v>
      </c>
      <c r="H45" s="3" t="n">
        <v>63702.0</v>
      </c>
      <c r="I45" s="3" t="n">
        <v>63933.0</v>
      </c>
      <c r="J45" s="3" t="n">
        <v>65407.0</v>
      </c>
      <c r="K45" s="3" t="n">
        <v>65745.0</v>
      </c>
      <c r="L45" s="3" t="n">
        <v>65851.0</v>
      </c>
      <c r="M45" s="3" t="n">
        <v>65873.0</v>
      </c>
      <c r="N45" s="3" t="n">
        <v>65878.0</v>
      </c>
      <c r="O45" s="3" t="n">
        <v>65961.0</v>
      </c>
      <c r="P45" s="3" t="n">
        <v>66053.0</v>
      </c>
      <c r="Q45" s="3" t="n">
        <v>66049.0</v>
      </c>
      <c r="R45" s="3" t="n">
        <v>66022.0</v>
      </c>
      <c r="S45" s="3" t="n">
        <v>66025.0</v>
      </c>
      <c r="T45" s="3" t="n">
        <v>66106.0</v>
      </c>
      <c r="U45" s="3" t="n">
        <v>66325.0</v>
      </c>
      <c r="V45" s="3" t="n">
        <v>66667.0</v>
      </c>
      <c r="W45" s="3" t="n">
        <v>67127.0</v>
      </c>
      <c r="X45" s="3" t="n">
        <v>67669.0</v>
      </c>
      <c r="Y45" s="3" t="n">
        <v>68237.0</v>
      </c>
      <c r="Z45" s="3" t="n">
        <v>68792.0</v>
      </c>
      <c r="AA45" s="3" t="n">
        <v>69313.0</v>
      </c>
      <c r="AB45" s="3" t="n">
        <v>69722.0</v>
      </c>
      <c r="AC45" s="3" t="n">
        <v>70019.0</v>
      </c>
      <c r="AD45" s="3" t="n">
        <v>70177.0</v>
      </c>
      <c r="AE45" s="3" t="n">
        <v>70199.0</v>
      </c>
      <c r="AF45" s="3" t="n">
        <v>70082.0</v>
      </c>
      <c r="AG45" s="3" t="n">
        <v>69829.0</v>
      </c>
      <c r="AH45" s="3" t="n">
        <v>69455.0</v>
      </c>
      <c r="AI45" s="3" t="n">
        <v>68959.0</v>
      </c>
      <c r="AJ45" s="3" t="n">
        <v>68387.0</v>
      </c>
      <c r="AK45" s="3" t="n">
        <v>67763.0</v>
      </c>
      <c r="AL45" s="3" t="n">
        <v>67113.0</v>
      </c>
      <c r="AM45" s="3" t="n">
        <v>66459.0</v>
      </c>
      <c r="AN45" s="3" t="n">
        <v>65854.0</v>
      </c>
      <c r="AO45" s="3" t="n">
        <v>65313.0</v>
      </c>
    </row>
    <row r="46" spans="1:41" x14ac:dyDescent="0.2">
      <c r="A46" s="131"/>
      <c r="B46" s="53" t="s">
        <v>18</v>
      </c>
      <c r="C46" s="3" t="n">
        <v>154510.0</v>
      </c>
      <c r="D46" s="3" t="n">
        <v>153316.0</v>
      </c>
      <c r="E46" s="3" t="n">
        <v>153271.0</v>
      </c>
      <c r="F46" s="3" t="n">
        <v>151928.0</v>
      </c>
      <c r="G46" s="3" t="n">
        <v>151126.0</v>
      </c>
      <c r="H46" s="3" t="n">
        <v>151012.0</v>
      </c>
      <c r="I46" s="3" t="n">
        <v>151678.0</v>
      </c>
      <c r="J46" s="3" t="n">
        <v>148991.0</v>
      </c>
      <c r="K46" s="3" t="n">
        <v>146577.0</v>
      </c>
      <c r="L46" s="3" t="n">
        <v>143513.0</v>
      </c>
      <c r="M46" s="3" t="n">
        <v>139419.0</v>
      </c>
      <c r="N46" s="3" t="n">
        <v>136278.0</v>
      </c>
      <c r="O46" s="3" t="n">
        <v>133789.0</v>
      </c>
      <c r="P46" s="3" t="n">
        <v>132319.0</v>
      </c>
      <c r="Q46" s="3" t="n">
        <v>131525.0</v>
      </c>
      <c r="R46" s="3" t="n">
        <v>132525.0</v>
      </c>
      <c r="S46" s="3" t="n">
        <v>132763.0</v>
      </c>
      <c r="T46" s="3" t="n">
        <v>132894.0</v>
      </c>
      <c r="U46" s="3" t="n">
        <v>132903.0</v>
      </c>
      <c r="V46" s="3" t="n">
        <v>132907.0</v>
      </c>
      <c r="W46" s="3" t="n">
        <v>133011.0</v>
      </c>
      <c r="X46" s="3" t="n">
        <v>133216.0</v>
      </c>
      <c r="Y46" s="3" t="n">
        <v>133469.0</v>
      </c>
      <c r="Z46" s="3" t="n">
        <v>133824.0</v>
      </c>
      <c r="AA46" s="3" t="n">
        <v>134285.0</v>
      </c>
      <c r="AB46" s="3" t="n">
        <v>134914.0</v>
      </c>
      <c r="AC46" s="3" t="n">
        <v>135707.0</v>
      </c>
      <c r="AD46" s="3" t="n">
        <v>136616.0</v>
      </c>
      <c r="AE46" s="3" t="n">
        <v>137579.0</v>
      </c>
      <c r="AF46" s="3" t="n">
        <v>138518.0</v>
      </c>
      <c r="AG46" s="3" t="n">
        <v>139366.0</v>
      </c>
      <c r="AH46" s="3" t="n">
        <v>140070.0</v>
      </c>
      <c r="AI46" s="3" t="n">
        <v>140622.0</v>
      </c>
      <c r="AJ46" s="3" t="n">
        <v>140930.0</v>
      </c>
      <c r="AK46" s="3" t="n">
        <v>140997.0</v>
      </c>
      <c r="AL46" s="3" t="n">
        <v>140799.0</v>
      </c>
      <c r="AM46" s="3" t="n">
        <v>140345.0</v>
      </c>
      <c r="AN46" s="3" t="n">
        <v>139667.0</v>
      </c>
      <c r="AO46" s="3" t="n">
        <v>138811.0</v>
      </c>
    </row>
    <row r="47" spans="1:41" x14ac:dyDescent="0.2">
      <c r="A47" s="131"/>
      <c r="B47" s="52" t="s">
        <v>19</v>
      </c>
      <c r="C47" s="3" t="n">
        <v>69539.0</v>
      </c>
      <c r="D47" s="3" t="n">
        <v>73721.0</v>
      </c>
      <c r="E47" s="3" t="n">
        <v>76742.0</v>
      </c>
      <c r="F47" s="3" t="n">
        <v>79588.0</v>
      </c>
      <c r="G47" s="3" t="n">
        <v>79975.0</v>
      </c>
      <c r="H47" s="3" t="n">
        <v>79463.0</v>
      </c>
      <c r="I47" s="3" t="n">
        <v>78657.0</v>
      </c>
      <c r="J47" s="3" t="n">
        <v>77472.0</v>
      </c>
      <c r="K47" s="3" t="n">
        <v>77201.0</v>
      </c>
      <c r="L47" s="3" t="n">
        <v>77414.0</v>
      </c>
      <c r="M47" s="3" t="n">
        <v>79277.0</v>
      </c>
      <c r="N47" s="3" t="n">
        <v>79722.0</v>
      </c>
      <c r="O47" s="3" t="n">
        <v>79492.0</v>
      </c>
      <c r="P47" s="3" t="n">
        <v>77692.0</v>
      </c>
      <c r="Q47" s="3" t="n">
        <v>74289.0</v>
      </c>
      <c r="R47" s="3" t="n">
        <v>70126.0</v>
      </c>
      <c r="S47" s="3" t="n">
        <v>67475.0</v>
      </c>
      <c r="T47" s="3" t="n">
        <v>65968.0</v>
      </c>
      <c r="U47" s="3" t="n">
        <v>65172.0</v>
      </c>
      <c r="V47" s="3" t="n">
        <v>66153.0</v>
      </c>
      <c r="W47" s="3" t="n">
        <v>66295.0</v>
      </c>
      <c r="X47" s="3" t="n">
        <v>66322.0</v>
      </c>
      <c r="Y47" s="3" t="n">
        <v>66327.0</v>
      </c>
      <c r="Z47" s="3" t="n">
        <v>66340.0</v>
      </c>
      <c r="AA47" s="3" t="n">
        <v>66442.0</v>
      </c>
      <c r="AB47" s="3" t="n">
        <v>66557.0</v>
      </c>
      <c r="AC47" s="3" t="n">
        <v>66580.0</v>
      </c>
      <c r="AD47" s="3" t="n">
        <v>66581.0</v>
      </c>
      <c r="AE47" s="3" t="n">
        <v>66598.0</v>
      </c>
      <c r="AF47" s="3" t="n">
        <v>66692.0</v>
      </c>
      <c r="AG47" s="3" t="n">
        <v>66918.0</v>
      </c>
      <c r="AH47" s="3" t="n">
        <v>67269.0</v>
      </c>
      <c r="AI47" s="3" t="n">
        <v>67709.0</v>
      </c>
      <c r="AJ47" s="3" t="n">
        <v>68237.0</v>
      </c>
      <c r="AK47" s="3" t="n">
        <v>68790.0</v>
      </c>
      <c r="AL47" s="3" t="n">
        <v>69336.0</v>
      </c>
      <c r="AM47" s="3" t="n">
        <v>69861.0</v>
      </c>
      <c r="AN47" s="3" t="n">
        <v>70273.0</v>
      </c>
      <c r="AO47" s="3" t="n">
        <v>70568.0</v>
      </c>
    </row>
    <row r="48" spans="1:41" x14ac:dyDescent="0.2">
      <c r="A48" s="131"/>
      <c r="B48" s="52" t="s">
        <v>2</v>
      </c>
      <c r="C48" s="3" t="n">
        <v>102110.0</v>
      </c>
      <c r="D48" s="3" t="n">
        <v>99950.0</v>
      </c>
      <c r="E48" s="3" t="n">
        <v>99207.0</v>
      </c>
      <c r="F48" s="3" t="n">
        <v>99488.0</v>
      </c>
      <c r="G48" s="3" t="n">
        <v>101631.0</v>
      </c>
      <c r="H48" s="3" t="n">
        <v>106544.0</v>
      </c>
      <c r="I48" s="3" t="n">
        <v>111805.0</v>
      </c>
      <c r="J48" s="3" t="n">
        <v>116679.0</v>
      </c>
      <c r="K48" s="3" t="n">
        <v>119013.0</v>
      </c>
      <c r="L48" s="3" t="n">
        <v>120789.0</v>
      </c>
      <c r="M48" s="3" t="n">
        <v>120590.0</v>
      </c>
      <c r="N48" s="3" t="n">
        <v>119199.0</v>
      </c>
      <c r="O48" s="3" t="n">
        <v>117808.0</v>
      </c>
      <c r="P48" s="3" t="n">
        <v>116681.0</v>
      </c>
      <c r="Q48" s="3" t="n">
        <v>117803.0</v>
      </c>
      <c r="R48" s="3" t="n">
        <v>117894.0</v>
      </c>
      <c r="S48" s="3" t="n">
        <v>117928.0</v>
      </c>
      <c r="T48" s="3" t="n">
        <v>116550.0</v>
      </c>
      <c r="U48" s="3" t="n">
        <v>114664.0</v>
      </c>
      <c r="V48" s="3" t="n">
        <v>110482.0</v>
      </c>
      <c r="W48" s="3" t="n">
        <v>106072.0</v>
      </c>
      <c r="X48" s="3" t="n">
        <v>102784.0</v>
      </c>
      <c r="Y48" s="3" t="n">
        <v>100318.0</v>
      </c>
      <c r="Z48" s="3" t="n">
        <v>98933.0</v>
      </c>
      <c r="AA48" s="3" t="n">
        <v>98073.0</v>
      </c>
      <c r="AB48" s="3" t="n">
        <v>98961.0</v>
      </c>
      <c r="AC48" s="3" t="n">
        <v>99156.0</v>
      </c>
      <c r="AD48" s="3" t="n">
        <v>99289.0</v>
      </c>
      <c r="AE48" s="3" t="n">
        <v>99336.0</v>
      </c>
      <c r="AF48" s="3" t="n">
        <v>99358.0</v>
      </c>
      <c r="AG48" s="3" t="n">
        <v>99442.0</v>
      </c>
      <c r="AH48" s="3" t="n">
        <v>99546.0</v>
      </c>
      <c r="AI48" s="3" t="n">
        <v>99611.0</v>
      </c>
      <c r="AJ48" s="3" t="n">
        <v>99728.0</v>
      </c>
      <c r="AK48" s="3" t="n">
        <v>99943.0</v>
      </c>
      <c r="AL48" s="3" t="n">
        <v>100283.0</v>
      </c>
      <c r="AM48" s="3" t="n">
        <v>100767.0</v>
      </c>
      <c r="AN48" s="3" t="n">
        <v>101416.0</v>
      </c>
      <c r="AO48" s="3" t="n">
        <v>102154.0</v>
      </c>
    </row>
    <row r="49" spans="1:41" x14ac:dyDescent="0.2">
      <c r="A49" s="131"/>
      <c r="B49" s="52" t="s">
        <v>3</v>
      </c>
      <c r="C49" s="3" t="n">
        <v>278710.0</v>
      </c>
      <c r="D49" s="3" t="n">
        <v>274203.0</v>
      </c>
      <c r="E49" s="3" t="n">
        <v>270043.0</v>
      </c>
      <c r="F49" s="3" t="n">
        <v>265754.0</v>
      </c>
      <c r="G49" s="3" t="n">
        <v>262845.0</v>
      </c>
      <c r="H49" s="3" t="n">
        <v>262614.0</v>
      </c>
      <c r="I49" s="3" t="n">
        <v>264025.0</v>
      </c>
      <c r="J49" s="3" t="n">
        <v>263063.0</v>
      </c>
      <c r="K49" s="3" t="n">
        <v>261145.0</v>
      </c>
      <c r="L49" s="3" t="n">
        <v>258315.0</v>
      </c>
      <c r="M49" s="3" t="n">
        <v>254266.0</v>
      </c>
      <c r="N49" s="3" t="n">
        <v>251091.0</v>
      </c>
      <c r="O49" s="3" t="n">
        <v>248642.0</v>
      </c>
      <c r="P49" s="3" t="n">
        <v>247261.0</v>
      </c>
      <c r="Q49" s="3" t="n">
        <v>246573.0</v>
      </c>
      <c r="R49" s="3" t="n">
        <v>247756.0</v>
      </c>
      <c r="S49" s="3" t="n">
        <v>248302.0</v>
      </c>
      <c r="T49" s="3" t="n">
        <v>248884.0</v>
      </c>
      <c r="U49" s="3" t="n">
        <v>249530.0</v>
      </c>
      <c r="V49" s="3" t="n">
        <v>250315.0</v>
      </c>
      <c r="W49" s="3" t="n">
        <v>251298.0</v>
      </c>
      <c r="X49" s="3" t="n">
        <v>252392.0</v>
      </c>
      <c r="Y49" s="3" t="n">
        <v>253473.0</v>
      </c>
      <c r="Z49" s="3" t="n">
        <v>254561.0</v>
      </c>
      <c r="AA49" s="3" t="n">
        <v>255605.0</v>
      </c>
      <c r="AB49" s="3" t="n">
        <v>256608.0</v>
      </c>
      <c r="AC49" s="3" t="n">
        <v>257550.0</v>
      </c>
      <c r="AD49" s="3" t="n">
        <v>258374.0</v>
      </c>
      <c r="AE49" s="3" t="n">
        <v>259020.0</v>
      </c>
      <c r="AF49" s="3" t="n">
        <v>259422.0</v>
      </c>
      <c r="AG49" s="3" t="n">
        <v>259556.0</v>
      </c>
      <c r="AH49" s="3" t="n">
        <v>259390.0</v>
      </c>
      <c r="AI49" s="3" t="n">
        <v>258950.0</v>
      </c>
      <c r="AJ49" s="3" t="n">
        <v>258196.0</v>
      </c>
      <c r="AK49" s="3" t="n">
        <v>257198.0</v>
      </c>
      <c r="AL49" s="3" t="n">
        <v>255961.0</v>
      </c>
      <c r="AM49" s="3" t="n">
        <v>254539.0</v>
      </c>
      <c r="AN49" s="3" t="n">
        <v>253005.0</v>
      </c>
      <c r="AO49" s="3" t="n">
        <v>251447.0</v>
      </c>
    </row>
    <row r="50" spans="1:41" x14ac:dyDescent="0.2">
      <c r="A50" s="131"/>
      <c r="B50" s="52" t="s">
        <v>4</v>
      </c>
      <c r="C50" s="3" t="n">
        <v>1141067.0</v>
      </c>
      <c r="D50" s="3" t="n">
        <v>1134814.0</v>
      </c>
      <c r="E50" s="3" t="n">
        <v>1129354.0</v>
      </c>
      <c r="F50" s="3" t="n">
        <v>1125960.0</v>
      </c>
      <c r="G50" s="3" t="n">
        <v>1122721.0</v>
      </c>
      <c r="H50" s="3" t="n">
        <v>1126763.0</v>
      </c>
      <c r="I50" s="3" t="n">
        <v>1132448.0</v>
      </c>
      <c r="J50" s="3" t="n">
        <v>1134465.0</v>
      </c>
      <c r="K50" s="3" t="n">
        <v>1134445.0</v>
      </c>
      <c r="L50" s="3" t="n">
        <v>1134404.0</v>
      </c>
      <c r="M50" s="3" t="n">
        <v>1135006.0</v>
      </c>
      <c r="N50" s="3" t="n">
        <v>1133565.0</v>
      </c>
      <c r="O50" s="3" t="n">
        <v>1130916.0</v>
      </c>
      <c r="P50" s="3" t="n">
        <v>1126750.0</v>
      </c>
      <c r="Q50" s="3" t="n">
        <v>1120963.0</v>
      </c>
      <c r="R50" s="3" t="n">
        <v>1112179.0</v>
      </c>
      <c r="S50" s="3" t="n">
        <v>1103539.0</v>
      </c>
      <c r="T50" s="3" t="n">
        <v>1094129.0</v>
      </c>
      <c r="U50" s="3" t="n">
        <v>1083787.0</v>
      </c>
      <c r="V50" s="3" t="n">
        <v>1072675.0</v>
      </c>
      <c r="W50" s="3" t="n">
        <v>1061294.0</v>
      </c>
      <c r="X50" s="3" t="n">
        <v>1050001.0</v>
      </c>
      <c r="Y50" s="3" t="n">
        <v>1037864.0</v>
      </c>
      <c r="Z50" s="3" t="n">
        <v>1025325.0</v>
      </c>
      <c r="AA50" s="3" t="n">
        <v>1013565.0</v>
      </c>
      <c r="AB50" s="3" t="n">
        <v>1000598.0</v>
      </c>
      <c r="AC50" s="3" t="n">
        <v>986556.0</v>
      </c>
      <c r="AD50" s="3" t="n">
        <v>973117.0</v>
      </c>
      <c r="AE50" s="3" t="n">
        <v>960889.0</v>
      </c>
      <c r="AF50" s="3" t="n">
        <v>949736.0</v>
      </c>
      <c r="AG50" s="3" t="n">
        <v>940383.0</v>
      </c>
      <c r="AH50" s="3" t="n">
        <v>931232.0</v>
      </c>
      <c r="AI50" s="3" t="n">
        <v>922908.0</v>
      </c>
      <c r="AJ50" s="3" t="n">
        <v>914711.0</v>
      </c>
      <c r="AK50" s="3" t="n">
        <v>907330.0</v>
      </c>
      <c r="AL50" s="3" t="n">
        <v>901281.0</v>
      </c>
      <c r="AM50" s="3" t="n">
        <v>896209.0</v>
      </c>
      <c r="AN50" s="3" t="n">
        <v>892049.0</v>
      </c>
      <c r="AO50" s="3" t="n">
        <v>889017.0</v>
      </c>
    </row>
    <row r="51" spans="1:41" x14ac:dyDescent="0.2">
      <c r="A51" s="131"/>
      <c r="B51" s="52" t="s">
        <v>5</v>
      </c>
      <c r="C51" s="3" t="n">
        <v>376548.0</v>
      </c>
      <c r="D51" s="3" t="n">
        <v>387077.0</v>
      </c>
      <c r="E51" s="3" t="n">
        <v>396790.0</v>
      </c>
      <c r="F51" s="3" t="n">
        <v>404706.0</v>
      </c>
      <c r="G51" s="3" t="n">
        <v>411273.0</v>
      </c>
      <c r="H51" s="3" t="n">
        <v>417180.0</v>
      </c>
      <c r="I51" s="3" t="n">
        <v>423415.0</v>
      </c>
      <c r="J51" s="3" t="n">
        <v>428208.0</v>
      </c>
      <c r="K51" s="3" t="n">
        <v>431932.0</v>
      </c>
      <c r="L51" s="3" t="n">
        <v>435097.0</v>
      </c>
      <c r="M51" s="3" t="n">
        <v>437838.0</v>
      </c>
      <c r="N51" s="3" t="n">
        <v>441048.0</v>
      </c>
      <c r="O51" s="3" t="n">
        <v>444109.0</v>
      </c>
      <c r="P51" s="3" t="n">
        <v>447281.0</v>
      </c>
      <c r="Q51" s="3" t="n">
        <v>451278.0</v>
      </c>
      <c r="R51" s="3" t="n">
        <v>456135.0</v>
      </c>
      <c r="S51" s="3" t="n">
        <v>461202.0</v>
      </c>
      <c r="T51" s="3" t="n">
        <v>466945.0</v>
      </c>
      <c r="U51" s="3" t="n">
        <v>473386.0</v>
      </c>
      <c r="V51" s="3" t="n">
        <v>480465.0</v>
      </c>
      <c r="W51" s="3" t="n">
        <v>487390.0</v>
      </c>
      <c r="X51" s="3" t="n">
        <v>494011.0</v>
      </c>
      <c r="Y51" s="3" t="n">
        <v>501535.0</v>
      </c>
      <c r="Z51" s="3" t="n">
        <v>509267.0</v>
      </c>
      <c r="AA51" s="3" t="n">
        <v>516103.0</v>
      </c>
      <c r="AB51" s="3" t="n">
        <v>524278.0</v>
      </c>
      <c r="AC51" s="3" t="n">
        <v>533431.0</v>
      </c>
      <c r="AD51" s="3" t="n">
        <v>541903.0</v>
      </c>
      <c r="AE51" s="3" t="n">
        <v>549386.0</v>
      </c>
      <c r="AF51" s="3" t="n">
        <v>555794.0</v>
      </c>
      <c r="AG51" s="3" t="n">
        <v>560540.0</v>
      </c>
      <c r="AH51" s="3" t="n">
        <v>565428.0</v>
      </c>
      <c r="AI51" s="3" t="n">
        <v>569613.0</v>
      </c>
      <c r="AJ51" s="3" t="n">
        <v>574022.0</v>
      </c>
      <c r="AK51" s="3" t="n">
        <v>577689.0</v>
      </c>
      <c r="AL51" s="3" t="n">
        <v>580117.0</v>
      </c>
      <c r="AM51" s="3" t="n">
        <v>581792.0</v>
      </c>
      <c r="AN51" s="3" t="n">
        <v>582553.0</v>
      </c>
      <c r="AO51" s="3" t="n">
        <v>582106.0</v>
      </c>
    </row>
    <row r="52" spans="1:41" x14ac:dyDescent="0.2">
      <c r="A52" s="131"/>
      <c r="B52" s="52" t="s">
        <v>6</v>
      </c>
      <c r="C52" s="3" t="n">
        <v>85774.0</v>
      </c>
      <c r="D52" s="3" t="n">
        <v>85781.0</v>
      </c>
      <c r="E52" s="3" t="n">
        <v>85611.0</v>
      </c>
      <c r="F52" s="3" t="n">
        <v>86486.0</v>
      </c>
      <c r="G52" s="3" t="n">
        <v>94750.0</v>
      </c>
      <c r="H52" s="3" t="n">
        <v>101900.0</v>
      </c>
      <c r="I52" s="3" t="n">
        <v>109885.0</v>
      </c>
      <c r="J52" s="3" t="n">
        <v>117554.0</v>
      </c>
      <c r="K52" s="3" t="n">
        <v>124909.0</v>
      </c>
      <c r="L52" s="3" t="n">
        <v>132460.0</v>
      </c>
      <c r="M52" s="3" t="n">
        <v>139751.0</v>
      </c>
      <c r="N52" s="3" t="n">
        <v>147120.0</v>
      </c>
      <c r="O52" s="3" t="n">
        <v>153826.0</v>
      </c>
      <c r="P52" s="3" t="n">
        <v>160752.0</v>
      </c>
      <c r="Q52" s="3" t="n">
        <v>167118.0</v>
      </c>
      <c r="R52" s="3" t="n">
        <v>173578.0</v>
      </c>
      <c r="S52" s="3" t="n">
        <v>178807.0</v>
      </c>
      <c r="T52" s="3" t="n">
        <v>183119.0</v>
      </c>
      <c r="U52" s="3" t="n">
        <v>185840.0</v>
      </c>
      <c r="V52" s="3" t="n">
        <v>187463.0</v>
      </c>
      <c r="W52" s="3" t="n">
        <v>188204.0</v>
      </c>
      <c r="X52" s="3" t="n">
        <v>188994.0</v>
      </c>
      <c r="Y52" s="3" t="n">
        <v>189121.0</v>
      </c>
      <c r="Z52" s="3" t="n">
        <v>188660.0</v>
      </c>
      <c r="AA52" s="3" t="n">
        <v>187934.0</v>
      </c>
      <c r="AB52" s="3" t="n">
        <v>187297.0</v>
      </c>
      <c r="AC52" s="3" t="n">
        <v>187199.0</v>
      </c>
      <c r="AD52" s="3" t="n">
        <v>187355.0</v>
      </c>
      <c r="AE52" s="3" t="n">
        <v>188100.0</v>
      </c>
      <c r="AF52" s="3" t="n">
        <v>189694.0</v>
      </c>
      <c r="AG52" s="3" t="n">
        <v>192325.0</v>
      </c>
      <c r="AH52" s="3" t="n">
        <v>195607.0</v>
      </c>
      <c r="AI52" s="3" t="n">
        <v>199618.0</v>
      </c>
      <c r="AJ52" s="3" t="n">
        <v>204651.0</v>
      </c>
      <c r="AK52" s="3" t="n">
        <v>210265.0</v>
      </c>
      <c r="AL52" s="3" t="n">
        <v>215980.0</v>
      </c>
      <c r="AM52" s="3" t="n">
        <v>221710.0</v>
      </c>
      <c r="AN52" s="3" t="n">
        <v>228121.0</v>
      </c>
      <c r="AO52" s="3" t="n">
        <v>234763.0</v>
      </c>
    </row>
    <row r="53" spans="1:41" x14ac:dyDescent="0.2">
      <c r="A53" s="132"/>
      <c r="B53" s="54" t="s">
        <v>7</v>
      </c>
      <c r="C53" s="4" t="n">
        <v>818844.0</v>
      </c>
      <c r="D53" s="4" t="n">
        <v>814201.0</v>
      </c>
      <c r="E53" s="4" t="n">
        <v>808566.0</v>
      </c>
      <c r="F53" s="4" t="n">
        <v>802199.0</v>
      </c>
      <c r="G53" s="4" t="n">
        <v>793910.0</v>
      </c>
      <c r="H53" s="4" t="n">
        <v>790880.0</v>
      </c>
      <c r="I53" s="4" t="n">
        <v>789382.0</v>
      </c>
      <c r="J53" s="4" t="n">
        <v>783167.0</v>
      </c>
      <c r="K53" s="4" t="n">
        <v>774324.0</v>
      </c>
      <c r="L53" s="4" t="n">
        <v>766107.0</v>
      </c>
      <c r="M53" s="4" t="n">
        <v>757260.0</v>
      </c>
      <c r="N53" s="4" t="n">
        <v>745959.0</v>
      </c>
      <c r="O53" s="4" t="n">
        <v>734405.0</v>
      </c>
      <c r="P53" s="4" t="n">
        <v>723093.0</v>
      </c>
      <c r="Q53" s="4" t="n">
        <v>712218.0</v>
      </c>
      <c r="R53" s="4" t="n">
        <v>701352.0</v>
      </c>
      <c r="S53" s="4" t="n">
        <v>691239.0</v>
      </c>
      <c r="T53" s="4" t="n">
        <v>681928.0</v>
      </c>
      <c r="U53" s="4" t="n">
        <v>672672.0</v>
      </c>
      <c r="V53" s="4" t="n">
        <v>664106.0</v>
      </c>
      <c r="W53" s="4" t="n">
        <v>656709.0</v>
      </c>
      <c r="X53" s="4" t="n">
        <v>650225.0</v>
      </c>
      <c r="Y53" s="4" t="n">
        <v>644662.0</v>
      </c>
      <c r="Z53" s="4" t="n">
        <v>640331.0</v>
      </c>
      <c r="AA53" s="4" t="n">
        <v>636729.0</v>
      </c>
      <c r="AB53" s="4" t="n">
        <v>633650.0</v>
      </c>
      <c r="AC53" s="4" t="n">
        <v>631488.0</v>
      </c>
      <c r="AD53" s="4" t="n">
        <v>629719.0</v>
      </c>
      <c r="AE53" s="4" t="n">
        <v>628421.0</v>
      </c>
      <c r="AF53" s="4" t="n">
        <v>627733.0</v>
      </c>
      <c r="AG53" s="4" t="n">
        <v>627642.0</v>
      </c>
      <c r="AH53" s="4" t="n">
        <v>627839.0</v>
      </c>
      <c r="AI53" s="4" t="n">
        <v>628091.0</v>
      </c>
      <c r="AJ53" s="4" t="n">
        <v>627595.0</v>
      </c>
      <c r="AK53" s="4" t="n">
        <v>626810.0</v>
      </c>
      <c r="AL53" s="4" t="n">
        <v>624934.0</v>
      </c>
      <c r="AM53" s="4" t="n">
        <v>621689.0</v>
      </c>
      <c r="AN53" s="4" t="n">
        <v>618609.0</v>
      </c>
      <c r="AO53" s="4" t="n">
        <v>615299.0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sqref="A1:B1"/>
      <selection pane="topRight" sqref="A1:B1"/>
      <selection pane="bottomLeft" sqref="A1:B1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91"/>
      <c r="B1" s="142" t="s">
        <v>53</v>
      </c>
      <c r="C1" s="142"/>
      <c r="D1" s="142"/>
      <c r="E1" s="92"/>
      <c r="F1" s="92"/>
      <c r="G1" s="93"/>
      <c r="H1" s="8"/>
      <c r="I1" s="8"/>
    </row>
    <row r="2" spans="1:9" ht="12" customHeight="1" x14ac:dyDescent="0.2">
      <c r="A2" s="124" t="s">
        <v>82</v>
      </c>
      <c r="B2" s="124"/>
      <c r="C2" s="34" t="s">
        <v>54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5" t="s">
        <v>83</v>
      </c>
      <c r="B3" s="12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4" t="s">
        <v>63</v>
      </c>
      <c r="B5" s="136" t="s">
        <v>57</v>
      </c>
      <c r="C5" s="137"/>
      <c r="D5" s="138" t="s">
        <v>55</v>
      </c>
      <c r="E5" s="139"/>
      <c r="F5" s="140" t="s">
        <v>56</v>
      </c>
      <c r="G5" s="141"/>
    </row>
    <row r="6" spans="1:9" ht="25.15" customHeight="1" x14ac:dyDescent="0.2">
      <c r="A6" s="135"/>
      <c r="B6" s="35" t="s">
        <v>104</v>
      </c>
      <c r="C6" s="41" t="s">
        <v>58</v>
      </c>
      <c r="D6" s="46" t="s">
        <v>59</v>
      </c>
      <c r="E6" s="47" t="s">
        <v>60</v>
      </c>
      <c r="F6" s="37" t="s">
        <v>103</v>
      </c>
      <c r="G6" s="36" t="s">
        <v>61</v>
      </c>
    </row>
    <row r="7" spans="1:9" x14ac:dyDescent="0.2">
      <c r="A7" s="38">
        <v>2023</v>
      </c>
      <c r="B7" s="1" t="n">
        <v>31881.0</v>
      </c>
      <c r="C7" s="42" t="n">
        <v>34835.0</v>
      </c>
      <c r="D7" s="48" t="n">
        <v>41137.0</v>
      </c>
      <c r="E7" s="42" t="n">
        <v>40724.0</v>
      </c>
      <c r="F7" s="2" t="n">
        <v>1743.0</v>
      </c>
      <c r="G7" s="2" t="n">
        <v>736.0</v>
      </c>
    </row>
    <row r="8" spans="1:9" x14ac:dyDescent="0.2">
      <c r="A8" s="39">
        <v>2024</v>
      </c>
      <c r="B8" s="1" t="n">
        <v>32200.0</v>
      </c>
      <c r="C8" s="43" t="n">
        <v>34723.0</v>
      </c>
      <c r="D8" s="48" t="n">
        <v>40530.0</v>
      </c>
      <c r="E8" s="43" t="n">
        <v>40197.0</v>
      </c>
      <c r="F8" s="2" t="n">
        <v>1941.0</v>
      </c>
      <c r="G8" s="2" t="n">
        <v>711.0</v>
      </c>
    </row>
    <row r="9" spans="1:9" x14ac:dyDescent="0.2">
      <c r="A9" s="39">
        <v>2025</v>
      </c>
      <c r="B9" s="1" t="n">
        <v>32426.0</v>
      </c>
      <c r="C9" s="43" t="n">
        <v>34971.0</v>
      </c>
      <c r="D9" s="48" t="n">
        <v>39940.0</v>
      </c>
      <c r="E9" s="43" t="n">
        <v>39755.0</v>
      </c>
      <c r="F9" s="2" t="n">
        <v>2311.0</v>
      </c>
      <c r="G9" s="2" t="n">
        <v>697.0</v>
      </c>
    </row>
    <row r="10" spans="1:9" x14ac:dyDescent="0.2">
      <c r="A10" s="39">
        <v>2026</v>
      </c>
      <c r="B10" s="1" t="n">
        <v>32535.0</v>
      </c>
      <c r="C10" s="43" t="n">
        <v>35217.0</v>
      </c>
      <c r="D10" s="48" t="n">
        <v>39359.0</v>
      </c>
      <c r="E10" s="43" t="n">
        <v>39314.0</v>
      </c>
      <c r="F10" s="2" t="n">
        <v>2847.0</v>
      </c>
      <c r="G10" s="2" t="n">
        <v>685.0</v>
      </c>
    </row>
    <row r="11" spans="1:9" x14ac:dyDescent="0.2">
      <c r="A11" s="39">
        <v>2027</v>
      </c>
      <c r="B11" s="1" t="n">
        <v>32671.0</v>
      </c>
      <c r="C11" s="43" t="n">
        <v>35691.0</v>
      </c>
      <c r="D11" s="48" t="n">
        <v>38913.0</v>
      </c>
      <c r="E11" s="43" t="n">
        <v>38949.0</v>
      </c>
      <c r="F11" s="2" t="n">
        <v>17306.0</v>
      </c>
      <c r="G11" s="2" t="n">
        <v>677.0</v>
      </c>
    </row>
    <row r="12" spans="1:9" x14ac:dyDescent="0.2">
      <c r="A12" s="39">
        <v>2028</v>
      </c>
      <c r="B12" s="1" t="n">
        <v>32956.0</v>
      </c>
      <c r="C12" s="43" t="n">
        <v>36219.0</v>
      </c>
      <c r="D12" s="48" t="n">
        <v>38660.0</v>
      </c>
      <c r="E12" s="43" t="n">
        <v>38769.0</v>
      </c>
      <c r="F12" s="2" t="n">
        <v>22847.0</v>
      </c>
      <c r="G12" s="2" t="n">
        <v>663.0</v>
      </c>
    </row>
    <row r="13" spans="1:9" x14ac:dyDescent="0.2">
      <c r="A13" s="39">
        <v>2029</v>
      </c>
      <c r="B13" s="1" t="n">
        <v>33266.0</v>
      </c>
      <c r="C13" s="43" t="n">
        <v>36729.0</v>
      </c>
      <c r="D13" s="48" t="n">
        <v>38537.0</v>
      </c>
      <c r="E13" s="43" t="n">
        <v>38712.0</v>
      </c>
      <c r="F13" s="2" t="n">
        <v>11976.0</v>
      </c>
      <c r="G13" s="2" t="n">
        <v>656.0</v>
      </c>
    </row>
    <row r="14" spans="1:9" x14ac:dyDescent="0.2">
      <c r="A14" s="39">
        <v>2030</v>
      </c>
      <c r="B14" s="1" t="n">
        <v>33380.0</v>
      </c>
      <c r="C14" s="43" t="n">
        <v>37276.0</v>
      </c>
      <c r="D14" s="48" t="n">
        <v>38346.0</v>
      </c>
      <c r="E14" s="43" t="n">
        <v>38578.0</v>
      </c>
      <c r="F14" s="2" t="n">
        <v>6459.0</v>
      </c>
      <c r="G14" s="2" t="n">
        <v>653.0</v>
      </c>
    </row>
    <row r="15" spans="1:9" x14ac:dyDescent="0.2">
      <c r="A15" s="39">
        <v>2031</v>
      </c>
      <c r="B15" s="1" t="n">
        <v>33416.0</v>
      </c>
      <c r="C15" s="43" t="n">
        <v>37709.0</v>
      </c>
      <c r="D15" s="48" t="n">
        <v>38144.0</v>
      </c>
      <c r="E15" s="43" t="n">
        <v>38439.0</v>
      </c>
      <c r="F15" s="2" t="n">
        <v>4565.0</v>
      </c>
      <c r="G15" s="2" t="n">
        <v>648.0</v>
      </c>
    </row>
    <row r="16" spans="1:9" x14ac:dyDescent="0.2">
      <c r="A16" s="39">
        <v>2032</v>
      </c>
      <c r="B16" s="1" t="n">
        <v>33387.0</v>
      </c>
      <c r="C16" s="43" t="n">
        <v>38268.0</v>
      </c>
      <c r="D16" s="48" t="n">
        <v>37910.0</v>
      </c>
      <c r="E16" s="43" t="n">
        <v>38253.0</v>
      </c>
      <c r="F16" s="2" t="n">
        <v>3639.0</v>
      </c>
      <c r="G16" s="2" t="n">
        <v>628.0</v>
      </c>
    </row>
    <row r="17" spans="1:7" x14ac:dyDescent="0.2">
      <c r="A17" s="39">
        <v>2033</v>
      </c>
      <c r="B17" s="1" t="n">
        <v>33327.0</v>
      </c>
      <c r="C17" s="43" t="n">
        <v>38618.0</v>
      </c>
      <c r="D17" s="48" t="n">
        <v>37715.0</v>
      </c>
      <c r="E17" s="43" t="n">
        <v>38144.0</v>
      </c>
      <c r="F17" s="2" t="n">
        <v>3002.0</v>
      </c>
      <c r="G17" s="2" t="n">
        <v>628.0</v>
      </c>
    </row>
    <row r="18" spans="1:7" x14ac:dyDescent="0.2">
      <c r="A18" s="39">
        <v>2034</v>
      </c>
      <c r="B18" s="1" t="n">
        <v>33322.0</v>
      </c>
      <c r="C18" s="44" t="n">
        <v>39392.0</v>
      </c>
      <c r="D18" s="48" t="n">
        <v>37597.0</v>
      </c>
      <c r="E18" s="44" t="n">
        <v>38078.0</v>
      </c>
      <c r="F18" s="2" t="n">
        <v>2777.0</v>
      </c>
      <c r="G18" s="2" t="n">
        <v>621.0</v>
      </c>
    </row>
    <row r="19" spans="1:7" x14ac:dyDescent="0.2">
      <c r="A19" s="39">
        <v>2035</v>
      </c>
      <c r="B19" s="1" t="n">
        <v>33375.0</v>
      </c>
      <c r="C19" s="44" t="n">
        <v>39935.0</v>
      </c>
      <c r="D19" s="48" t="n">
        <v>37466.0</v>
      </c>
      <c r="E19" s="44" t="n">
        <v>37949.0</v>
      </c>
      <c r="F19" s="2" t="n">
        <v>2830.0</v>
      </c>
      <c r="G19" s="2" t="n">
        <v>614.0</v>
      </c>
    </row>
    <row r="20" spans="1:7" x14ac:dyDescent="0.2">
      <c r="A20" s="39">
        <v>2036</v>
      </c>
      <c r="B20" s="1" t="n">
        <v>33533.0</v>
      </c>
      <c r="C20" s="43" t="n">
        <v>40280.0</v>
      </c>
      <c r="D20" s="48" t="n">
        <v>37327.0</v>
      </c>
      <c r="E20" s="43" t="n">
        <v>37844.0</v>
      </c>
      <c r="F20" s="2" t="n">
        <v>2874.0</v>
      </c>
      <c r="G20" s="2" t="n">
        <v>617.0</v>
      </c>
    </row>
    <row r="21" spans="1:7" x14ac:dyDescent="0.2">
      <c r="A21" s="39">
        <v>2037</v>
      </c>
      <c r="B21" s="1" t="n">
        <v>33745.0</v>
      </c>
      <c r="C21" s="43" t="n">
        <v>40817.0</v>
      </c>
      <c r="D21" s="48" t="n">
        <v>37250.0</v>
      </c>
      <c r="E21" s="43" t="n">
        <v>37810.0</v>
      </c>
      <c r="F21" s="2" t="n">
        <v>2912.0</v>
      </c>
      <c r="G21" s="2" t="n">
        <v>606.0</v>
      </c>
    </row>
    <row r="22" spans="1:7" x14ac:dyDescent="0.2">
      <c r="A22" s="39">
        <v>2038</v>
      </c>
      <c r="B22" s="1" t="n">
        <v>33998.0</v>
      </c>
      <c r="C22" s="43" t="n">
        <v>41301.0</v>
      </c>
      <c r="D22" s="48" t="n">
        <v>37147.0</v>
      </c>
      <c r="E22" s="43" t="n">
        <v>37747.0</v>
      </c>
      <c r="F22" s="2" t="n">
        <v>2949.0</v>
      </c>
      <c r="G22" s="2" t="n">
        <v>599.0</v>
      </c>
    </row>
    <row r="23" spans="1:7" x14ac:dyDescent="0.2">
      <c r="A23" s="39">
        <v>2039</v>
      </c>
      <c r="B23" s="1" t="n">
        <v>34279.0</v>
      </c>
      <c r="C23" s="43" t="n">
        <v>41741.0</v>
      </c>
      <c r="D23" s="48" t="n">
        <v>37049.0</v>
      </c>
      <c r="E23" s="43" t="n">
        <v>37708.0</v>
      </c>
      <c r="F23" s="2" t="n">
        <v>2982.0</v>
      </c>
      <c r="G23" s="2" t="n">
        <v>604.0</v>
      </c>
    </row>
    <row r="24" spans="1:7" x14ac:dyDescent="0.2">
      <c r="A24" s="39">
        <v>2040</v>
      </c>
      <c r="B24" s="1" t="n">
        <v>34594.0</v>
      </c>
      <c r="C24" s="43" t="n">
        <v>42202.0</v>
      </c>
      <c r="D24" s="48" t="n">
        <v>37003.0</v>
      </c>
      <c r="E24" s="43" t="n">
        <v>37674.0</v>
      </c>
      <c r="F24" s="2" t="n">
        <v>3021.0</v>
      </c>
      <c r="G24" s="2" t="n">
        <v>590.0</v>
      </c>
    </row>
    <row r="25" spans="1:7" x14ac:dyDescent="0.2">
      <c r="A25" s="39">
        <v>2041</v>
      </c>
      <c r="B25" s="1" t="n">
        <v>34882.0</v>
      </c>
      <c r="C25" s="43" t="n">
        <v>42344.0</v>
      </c>
      <c r="D25" s="48" t="n">
        <v>36917.0</v>
      </c>
      <c r="E25" s="43" t="n">
        <v>37660.0</v>
      </c>
      <c r="F25" s="2" t="n">
        <v>3053.0</v>
      </c>
      <c r="G25" s="2" t="n">
        <v>591.0</v>
      </c>
    </row>
    <row r="26" spans="1:7" x14ac:dyDescent="0.2">
      <c r="A26" s="39">
        <v>2042</v>
      </c>
      <c r="B26" s="1" t="n">
        <v>35120.0</v>
      </c>
      <c r="C26" s="43" t="n">
        <v>42724.0</v>
      </c>
      <c r="D26" s="48" t="n">
        <v>36812.0</v>
      </c>
      <c r="E26" s="43" t="n">
        <v>37579.0</v>
      </c>
      <c r="F26" s="2" t="n">
        <v>3088.0</v>
      </c>
      <c r="G26" s="2" t="n">
        <v>582.0</v>
      </c>
    </row>
    <row r="27" spans="1:7" x14ac:dyDescent="0.2">
      <c r="A27" s="39">
        <v>2043</v>
      </c>
      <c r="B27" s="1" t="n">
        <v>35309.0</v>
      </c>
      <c r="C27" s="43" t="n">
        <v>42948.0</v>
      </c>
      <c r="D27" s="48" t="n">
        <v>36750.0</v>
      </c>
      <c r="E27" s="43" t="n">
        <v>37502.0</v>
      </c>
      <c r="F27" s="2" t="n">
        <v>3121.0</v>
      </c>
      <c r="G27" s="2" t="n">
        <v>590.0</v>
      </c>
    </row>
    <row r="28" spans="1:7" x14ac:dyDescent="0.2">
      <c r="A28" s="39">
        <v>2044</v>
      </c>
      <c r="B28" s="1" t="n">
        <v>35429.0</v>
      </c>
      <c r="C28" s="43" t="n">
        <v>42913.0</v>
      </c>
      <c r="D28" s="48" t="n">
        <v>36634.0</v>
      </c>
      <c r="E28" s="43" t="n">
        <v>37429.0</v>
      </c>
      <c r="F28" s="2" t="n">
        <v>3146.0</v>
      </c>
      <c r="G28" s="2" t="n">
        <v>591.0</v>
      </c>
    </row>
    <row r="29" spans="1:7" x14ac:dyDescent="0.2">
      <c r="A29" s="39">
        <v>2045</v>
      </c>
      <c r="B29" s="1" t="n">
        <v>35483.0</v>
      </c>
      <c r="C29" s="43" t="n">
        <v>43283.0</v>
      </c>
      <c r="D29" s="48" t="n">
        <v>36468.0</v>
      </c>
      <c r="E29" s="43" t="n">
        <v>37330.0</v>
      </c>
      <c r="F29" s="2" t="n">
        <v>3178.0</v>
      </c>
      <c r="G29" s="2" t="n">
        <v>587.0</v>
      </c>
    </row>
    <row r="30" spans="1:7" x14ac:dyDescent="0.2">
      <c r="A30" s="39">
        <v>2046</v>
      </c>
      <c r="B30" s="1" t="n">
        <v>35439.0</v>
      </c>
      <c r="C30" s="43" t="n">
        <v>43365.0</v>
      </c>
      <c r="D30" s="48" t="n">
        <v>36302.0</v>
      </c>
      <c r="E30" s="43" t="n">
        <v>37183.0</v>
      </c>
      <c r="F30" s="2" t="n">
        <v>3200.0</v>
      </c>
      <c r="G30" s="2" t="n">
        <v>589.0</v>
      </c>
    </row>
    <row r="31" spans="1:7" x14ac:dyDescent="0.2">
      <c r="A31" s="39">
        <v>2047</v>
      </c>
      <c r="B31" s="1" t="n">
        <v>35352.0</v>
      </c>
      <c r="C31" s="43" t="n">
        <v>43197.0</v>
      </c>
      <c r="D31" s="48" t="n">
        <v>36116.0</v>
      </c>
      <c r="E31" s="43" t="n">
        <v>37002.0</v>
      </c>
      <c r="F31" s="2" t="n">
        <v>3227.0</v>
      </c>
      <c r="G31" s="2" t="n">
        <v>584.0</v>
      </c>
    </row>
    <row r="32" spans="1:7" x14ac:dyDescent="0.2">
      <c r="A32" s="39">
        <v>2048</v>
      </c>
      <c r="B32" s="1" t="n">
        <v>35163.0</v>
      </c>
      <c r="C32" s="43" t="n">
        <v>43207.0</v>
      </c>
      <c r="D32" s="48" t="n">
        <v>35913.0</v>
      </c>
      <c r="E32" s="43" t="n">
        <v>36827.0</v>
      </c>
      <c r="F32" s="2" t="n">
        <v>3248.0</v>
      </c>
      <c r="G32" s="2" t="n">
        <v>574.0</v>
      </c>
    </row>
    <row r="33" spans="1:7" x14ac:dyDescent="0.2">
      <c r="A33" s="39">
        <v>2049</v>
      </c>
      <c r="B33" s="1" t="n">
        <v>34924.0</v>
      </c>
      <c r="C33" s="43" t="n">
        <v>43242.0</v>
      </c>
      <c r="D33" s="48" t="n">
        <v>35689.0</v>
      </c>
      <c r="E33" s="43" t="n">
        <v>36615.0</v>
      </c>
      <c r="F33" s="2" t="n">
        <v>3271.0</v>
      </c>
      <c r="G33" s="2" t="n">
        <v>570.0</v>
      </c>
    </row>
    <row r="34" spans="1:7" x14ac:dyDescent="0.2">
      <c r="A34" s="39">
        <v>2050</v>
      </c>
      <c r="B34" s="1" t="n">
        <v>34626.0</v>
      </c>
      <c r="C34" s="43" t="n">
        <v>43147.0</v>
      </c>
      <c r="D34" s="48" t="n">
        <v>35436.0</v>
      </c>
      <c r="E34" s="43" t="n">
        <v>36407.0</v>
      </c>
      <c r="F34" s="2" t="n">
        <v>3287.0</v>
      </c>
      <c r="G34" s="2" t="n">
        <v>566.0</v>
      </c>
    </row>
    <row r="35" spans="1:7" x14ac:dyDescent="0.2">
      <c r="A35" s="39">
        <v>2051</v>
      </c>
      <c r="B35" s="1" t="n">
        <v>34299.0</v>
      </c>
      <c r="C35" s="43" t="n">
        <v>43076.0</v>
      </c>
      <c r="D35" s="48" t="n">
        <v>35186.0</v>
      </c>
      <c r="E35" s="43" t="n">
        <v>36234.0</v>
      </c>
      <c r="F35" s="2" t="n">
        <v>3306.0</v>
      </c>
      <c r="G35" s="2" t="n">
        <v>563.0</v>
      </c>
    </row>
    <row r="36" spans="1:7" x14ac:dyDescent="0.2">
      <c r="A36" s="39">
        <v>2052</v>
      </c>
      <c r="B36" s="1" t="n">
        <v>33967.0</v>
      </c>
      <c r="C36" s="43" t="n">
        <v>42971.0</v>
      </c>
      <c r="D36" s="48" t="n">
        <v>34928.0</v>
      </c>
      <c r="E36" s="43" t="n">
        <v>36031.0</v>
      </c>
      <c r="F36" s="2" t="n">
        <v>3328.0</v>
      </c>
      <c r="G36" s="2" t="n">
        <v>563.0</v>
      </c>
    </row>
    <row r="37" spans="1:7" x14ac:dyDescent="0.2">
      <c r="A37" s="39">
        <v>2053</v>
      </c>
      <c r="B37" s="1" t="n">
        <v>33602.0</v>
      </c>
      <c r="C37" s="43" t="n">
        <v>42627.0</v>
      </c>
      <c r="D37" s="48" t="n">
        <v>34724.0</v>
      </c>
      <c r="E37" s="43" t="n">
        <v>35840.0</v>
      </c>
      <c r="F37" s="2" t="n">
        <v>3350.0</v>
      </c>
      <c r="G37" s="2" t="n">
        <v>562.0</v>
      </c>
    </row>
    <row r="38" spans="1:7" x14ac:dyDescent="0.2">
      <c r="A38" s="39">
        <v>2054</v>
      </c>
      <c r="B38" s="1" t="n">
        <v>33267.0</v>
      </c>
      <c r="C38" s="43" t="n">
        <v>42588.0</v>
      </c>
      <c r="D38" s="48" t="n">
        <v>34572.0</v>
      </c>
      <c r="E38" s="43" t="n">
        <v>35666.0</v>
      </c>
      <c r="F38" s="2" t="n">
        <v>3372.0</v>
      </c>
      <c r="G38" s="2" t="n">
        <v>562.0</v>
      </c>
    </row>
    <row r="39" spans="1:7" x14ac:dyDescent="0.2">
      <c r="A39" s="39">
        <v>2055</v>
      </c>
      <c r="B39" s="1" t="n">
        <v>32941.0</v>
      </c>
      <c r="C39" s="43" t="n">
        <v>42279.0</v>
      </c>
      <c r="D39" s="48" t="n">
        <v>34376.0</v>
      </c>
      <c r="E39" s="43" t="n">
        <v>35519.0</v>
      </c>
      <c r="F39" s="2" t="n">
        <v>3386.0</v>
      </c>
      <c r="G39" s="2" t="n">
        <v>560.0</v>
      </c>
    </row>
    <row r="40" spans="1:7" x14ac:dyDescent="0.2">
      <c r="A40" s="39">
        <v>2056</v>
      </c>
      <c r="B40" s="1" t="n">
        <v>32681.0</v>
      </c>
      <c r="C40" s="43" t="n">
        <v>42463.0</v>
      </c>
      <c r="D40" s="48" t="n">
        <v>34188.0</v>
      </c>
      <c r="E40" s="43" t="n">
        <v>35307.0</v>
      </c>
      <c r="F40" s="2" t="n">
        <v>3406.0</v>
      </c>
      <c r="G40" s="2" t="n">
        <v>566.0</v>
      </c>
    </row>
    <row r="41" spans="1:7" x14ac:dyDescent="0.2">
      <c r="A41" s="39">
        <v>2057</v>
      </c>
      <c r="B41" s="1" t="n">
        <v>32454.0</v>
      </c>
      <c r="C41" s="43" t="n">
        <v>42441.0</v>
      </c>
      <c r="D41" s="48" t="n">
        <v>34031.0</v>
      </c>
      <c r="E41" s="43" t="n">
        <v>35179.0</v>
      </c>
      <c r="F41" s="2" t="n">
        <v>3421.0</v>
      </c>
      <c r="G41" s="2" t="n">
        <v>565.0</v>
      </c>
    </row>
    <row r="42" spans="1:7" x14ac:dyDescent="0.2">
      <c r="A42" s="39">
        <v>2058</v>
      </c>
      <c r="B42" s="1" t="n">
        <v>32276.0</v>
      </c>
      <c r="C42" s="43" t="n">
        <v>42279.0</v>
      </c>
      <c r="D42" s="48" t="n">
        <v>33865.0</v>
      </c>
      <c r="E42" s="43" t="n">
        <v>35024.0</v>
      </c>
      <c r="F42" s="2" t="n">
        <v>3442.0</v>
      </c>
      <c r="G42" s="2" t="n">
        <v>558.0</v>
      </c>
    </row>
    <row r="43" spans="1:7" x14ac:dyDescent="0.2">
      <c r="A43" s="39">
        <v>2059</v>
      </c>
      <c r="B43" s="1" t="n">
        <v>32158.0</v>
      </c>
      <c r="C43" s="43" t="n">
        <v>42296.0</v>
      </c>
      <c r="D43" s="48" t="n">
        <v>33724.0</v>
      </c>
      <c r="E43" s="43" t="n">
        <v>34881.0</v>
      </c>
      <c r="F43" s="2" t="n">
        <v>3462.0</v>
      </c>
      <c r="G43" s="2" t="n">
        <v>554.0</v>
      </c>
    </row>
    <row r="44" spans="1:7" x14ac:dyDescent="0.2">
      <c r="A44" s="40">
        <v>2060</v>
      </c>
      <c r="B44" s="5" t="n">
        <v>32105.0</v>
      </c>
      <c r="C44" s="45" t="n">
        <v>42348.0</v>
      </c>
      <c r="D44" s="49" t="n">
        <v>33601.0</v>
      </c>
      <c r="E44" s="45" t="n">
        <v>34777.0</v>
      </c>
      <c r="F44" s="6" t="n">
        <v>3478.0</v>
      </c>
      <c r="G44" s="6" t="n">
        <v>548.0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87CB53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1" width="23.7109375"/>
    <col min="4" max="4" customWidth="true" style="71" width="11.7109375"/>
    <col min="5" max="5" style="71" width="9.140625"/>
    <col min="6" max="6" customWidth="true" style="71" width="7.28515625"/>
    <col min="7" max="8" customWidth="true" style="71" width="11.85546875"/>
    <col min="9" max="21" style="71" width="9.140625"/>
    <col min="22" max="26" style="72" width="9.140625"/>
    <col min="27" max="29" style="73" width="9.140625"/>
    <col min="30" max="32" customWidth="true" style="73" width="15.42578125"/>
    <col min="33" max="33" customWidth="true" style="72" width="15.42578125"/>
    <col min="34" max="35" style="71" width="9.140625"/>
    <col min="36" max="16384" style="74" width="9.140625"/>
  </cols>
  <sheetData>
    <row r="1" spans="1:39" ht="22.9" customHeight="1" x14ac:dyDescent="0.25">
      <c r="A1" s="117"/>
      <c r="B1" s="143" t="s">
        <v>91</v>
      </c>
      <c r="C1" s="144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77"/>
      <c r="S1" s="77"/>
      <c r="T1" s="77"/>
      <c r="U1" s="77"/>
      <c r="V1" s="76"/>
      <c r="W1" s="76"/>
      <c r="X1" s="76"/>
      <c r="Y1" s="76"/>
      <c r="Z1" s="76"/>
      <c r="AA1" s="82"/>
      <c r="AB1" s="82"/>
      <c r="AC1" s="82"/>
      <c r="AD1" s="82"/>
      <c r="AE1" s="82"/>
      <c r="AF1" s="82"/>
      <c r="AG1" s="83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82</v>
      </c>
      <c r="B2" s="145" t="s">
        <v>92</v>
      </c>
      <c r="C2" s="146"/>
      <c r="D2" s="101"/>
      <c r="E2" s="101"/>
      <c r="F2" s="101"/>
      <c r="G2" s="101"/>
      <c r="H2" s="70"/>
      <c r="I2" s="70"/>
      <c r="J2" s="70"/>
      <c r="K2" s="70"/>
      <c r="L2" s="70"/>
      <c r="M2" s="70"/>
      <c r="N2" s="70"/>
      <c r="O2" s="70"/>
      <c r="P2" s="70"/>
      <c r="Q2" s="70"/>
      <c r="R2" s="77"/>
      <c r="S2" s="77"/>
      <c r="T2" s="77"/>
      <c r="U2" s="77"/>
      <c r="V2" s="76"/>
      <c r="W2" s="76"/>
      <c r="X2" s="76"/>
      <c r="Y2" s="76"/>
      <c r="Z2" s="76"/>
      <c r="AA2" s="82"/>
      <c r="AB2" s="82"/>
      <c r="AC2" s="82"/>
      <c r="AD2" s="82"/>
      <c r="AE2" s="82"/>
      <c r="AF2" s="82"/>
      <c r="AG2" s="83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83</v>
      </c>
      <c r="B3" s="147"/>
      <c r="C3" s="148"/>
      <c r="D3" s="101"/>
      <c r="E3" s="101"/>
      <c r="F3" s="101"/>
      <c r="G3" s="101"/>
      <c r="H3" s="32"/>
      <c r="I3" s="32"/>
      <c r="J3" s="75"/>
      <c r="O3" s="71" t="s">
        <v>38</v>
      </c>
      <c r="P3" s="77"/>
      <c r="Q3" s="77"/>
      <c r="R3" s="77"/>
      <c r="S3" s="77"/>
      <c r="T3" s="77"/>
      <c r="U3" s="77"/>
      <c r="V3" s="76"/>
      <c r="W3" s="76"/>
      <c r="X3" s="76"/>
      <c r="Y3" s="76"/>
      <c r="Z3" s="76"/>
      <c r="AA3" s="82"/>
      <c r="AB3" s="82"/>
      <c r="AC3" s="82"/>
      <c r="AD3" s="82"/>
      <c r="AE3" s="82"/>
      <c r="AF3" s="82"/>
      <c r="AG3" s="83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49" t="s">
        <v>105</v>
      </c>
      <c r="B4" s="150"/>
      <c r="C4" s="151"/>
      <c r="I4" s="75"/>
      <c r="J4" s="75"/>
      <c r="P4" s="77"/>
      <c r="Q4" s="77"/>
      <c r="R4" s="77"/>
      <c r="S4" s="77"/>
      <c r="T4" s="77"/>
      <c r="U4" s="77"/>
      <c r="V4" s="76"/>
      <c r="W4" s="76"/>
      <c r="X4" s="76"/>
      <c r="Y4" s="76"/>
      <c r="Z4" s="76"/>
      <c r="AA4" s="82"/>
      <c r="AB4" s="82"/>
      <c r="AC4" s="82"/>
      <c r="AD4" s="82"/>
      <c r="AE4" s="82"/>
      <c r="AF4" s="82"/>
      <c r="AG4" s="83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78"/>
      <c r="B5" s="79"/>
      <c r="C5" s="108"/>
      <c r="P5" s="77"/>
      <c r="Q5" s="77"/>
      <c r="R5" s="77"/>
      <c r="S5" s="77"/>
      <c r="T5" s="77"/>
      <c r="U5" s="77"/>
      <c r="V5" s="76"/>
      <c r="W5" s="76"/>
      <c r="X5" s="76"/>
      <c r="Y5" s="76"/>
      <c r="Z5" s="76"/>
      <c r="AA5" s="82"/>
      <c r="AB5" s="82"/>
      <c r="AC5" s="82"/>
      <c r="AD5" s="82"/>
      <c r="AE5" s="82"/>
      <c r="AF5" s="82"/>
      <c r="AG5" s="83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0" t="s">
        <v>38</v>
      </c>
      <c r="B6" s="109" t="s">
        <v>98</v>
      </c>
      <c r="C6" s="110"/>
      <c r="I6" s="81"/>
      <c r="P6" s="77"/>
      <c r="Q6" s="77"/>
      <c r="R6" s="77"/>
      <c r="S6" s="77"/>
      <c r="T6" s="77"/>
      <c r="U6" s="77"/>
      <c r="V6" s="76"/>
      <c r="W6" s="76"/>
      <c r="X6" s="76"/>
      <c r="Y6" s="76"/>
      <c r="Z6" s="76"/>
      <c r="AA6" s="82"/>
      <c r="AB6" s="82"/>
      <c r="AC6" s="82"/>
      <c r="AD6" s="82"/>
      <c r="AE6" s="82"/>
      <c r="AF6" s="82"/>
      <c r="AG6" s="83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4"/>
      <c r="B7" s="111"/>
      <c r="C7" s="116">
        <v>2022</v>
      </c>
      <c r="I7" s="81"/>
      <c r="P7" s="77"/>
      <c r="Q7" s="77"/>
      <c r="R7" s="77"/>
      <c r="S7" s="77"/>
      <c r="T7" s="77"/>
      <c r="U7" s="77"/>
      <c r="V7" s="76"/>
      <c r="W7" s="76"/>
      <c r="X7" s="76"/>
      <c r="Y7" s="76"/>
      <c r="Z7" s="76"/>
      <c r="AA7" s="82">
        <v>2022</v>
      </c>
      <c r="AB7" s="82">
        <v>0</v>
      </c>
      <c r="AC7" s="82"/>
      <c r="AD7" s="82" t="s">
        <v>93</v>
      </c>
      <c r="AE7" s="82" t="s">
        <v>94</v>
      </c>
      <c r="AF7" s="82" t="s">
        <v>95</v>
      </c>
      <c r="AG7" s="83" t="s">
        <v>96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4"/>
      <c r="B8" s="109" t="s">
        <v>99</v>
      </c>
      <c r="C8" s="110"/>
      <c r="I8" s="86"/>
      <c r="P8" s="77"/>
      <c r="Q8" s="77"/>
      <c r="R8" s="77"/>
      <c r="S8" s="77"/>
      <c r="T8" s="77"/>
      <c r="U8" s="77"/>
      <c r="V8" s="76"/>
      <c r="W8" s="76"/>
      <c r="X8" s="76"/>
      <c r="Y8" s="76"/>
      <c r="Z8" s="76"/>
      <c r="AA8" s="82">
        <v>2023</v>
      </c>
      <c r="AB8" s="82">
        <v>1</v>
      </c>
      <c r="AC8" s="82"/>
      <c r="AD8" s="87">
        <f>(-1*B12)-AF8</f>
        <v>-99999999999</v>
      </c>
      <c r="AE8" s="88">
        <f>C12-AG8</f>
        <v>99999999999</v>
      </c>
      <c r="AF8" s="82">
        <f>IF(B12&gt;C12,-1*(B12-C12),0)</f>
        <v>0</v>
      </c>
      <c r="AG8" s="88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4"/>
      <c r="B9" s="85"/>
      <c r="C9" s="110"/>
      <c r="I9" s="86"/>
      <c r="P9" s="77"/>
      <c r="Q9" s="77"/>
      <c r="R9" s="77"/>
      <c r="S9" s="77"/>
      <c r="T9" s="77"/>
      <c r="U9" s="77"/>
      <c r="V9" s="76"/>
      <c r="W9" s="76"/>
      <c r="X9" s="76"/>
      <c r="Y9" s="76"/>
      <c r="Z9" s="76"/>
      <c r="AA9" s="82">
        <v>2024</v>
      </c>
      <c r="AB9" s="82">
        <v>2</v>
      </c>
      <c r="AC9" s="82"/>
      <c r="AD9" s="87">
        <f>(-1*B13)-AF9</f>
        <v>-99999999999</v>
      </c>
      <c r="AE9" s="88">
        <f>C13-AG9</f>
        <v>99999999999</v>
      </c>
      <c r="AF9" s="82">
        <f>IF(B13&gt;C13,-1*(B13-C13),0)</f>
        <v>0</v>
      </c>
      <c r="AG9" s="88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5"/>
      <c r="B10" s="75"/>
      <c r="C10" s="110"/>
      <c r="I10" s="86"/>
      <c r="P10" s="77"/>
      <c r="Q10" s="77"/>
      <c r="R10" s="77"/>
      <c r="S10" s="77"/>
      <c r="T10" s="77"/>
      <c r="U10" s="77"/>
      <c r="V10" s="76"/>
      <c r="W10" s="76"/>
      <c r="X10" s="76"/>
      <c r="Y10" s="76"/>
      <c r="Z10" s="76"/>
      <c r="AA10" s="82">
        <v>2025</v>
      </c>
      <c r="AB10" s="82">
        <v>3</v>
      </c>
      <c r="AC10" s="82"/>
      <c r="AD10" s="87">
        <f t="shared" ref="AD10:AD73" si="0">(-1*B14)-AF10</f>
        <v>-99999999999</v>
      </c>
      <c r="AE10" s="88">
        <f t="shared" ref="AE10:AE73" si="1">C14-AG10</f>
        <v>99999999999</v>
      </c>
      <c r="AF10" s="82">
        <f t="shared" ref="AF10:AF73" si="2">IF(B14&gt;C14,-1*(B14-C14),0)</f>
        <v>0</v>
      </c>
      <c r="AG10" s="88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6"/>
      <c r="P11" s="77"/>
      <c r="Q11" s="104"/>
      <c r="R11" s="77"/>
      <c r="S11" s="77"/>
      <c r="T11" s="77"/>
      <c r="U11" s="77"/>
      <c r="V11" s="76"/>
      <c r="W11" s="76"/>
      <c r="X11" s="76"/>
      <c r="Y11" s="76"/>
      <c r="Z11" s="76"/>
      <c r="AA11" s="82">
        <v>2026</v>
      </c>
      <c r="AB11" s="82">
        <v>4</v>
      </c>
      <c r="AC11" s="82"/>
      <c r="AD11" s="87">
        <f t="shared" si="0"/>
        <v>-99999999999</v>
      </c>
      <c r="AE11" s="88">
        <f t="shared" si="1"/>
        <v>99999999999</v>
      </c>
      <c r="AF11" s="82">
        <f t="shared" si="2"/>
        <v>0</v>
      </c>
      <c r="AG11" s="88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99999999999</v>
      </c>
      <c r="C12" s="114">
        <f>INDEX('Tabl. 1'!$C$8:$AO$313,206+$AB7,MATCH($C$7,$AA$7:$AA$45))</f>
        <v>99999999999</v>
      </c>
      <c r="I12" s="86"/>
      <c r="P12" s="77"/>
      <c r="Q12" s="77"/>
      <c r="R12" s="77"/>
      <c r="S12" s="77"/>
      <c r="T12" s="77"/>
      <c r="U12" s="77"/>
      <c r="V12" s="76"/>
      <c r="W12" s="76"/>
      <c r="X12" s="76"/>
      <c r="Y12" s="76"/>
      <c r="Z12" s="76"/>
      <c r="AA12" s="82">
        <v>2027</v>
      </c>
      <c r="AB12" s="82">
        <v>5</v>
      </c>
      <c r="AC12" s="82"/>
      <c r="AD12" s="87">
        <f t="shared" si="0"/>
        <v>-99999999999</v>
      </c>
      <c r="AE12" s="88">
        <f t="shared" si="1"/>
        <v>99999999999</v>
      </c>
      <c r="AF12" s="82">
        <f t="shared" si="2"/>
        <v>0</v>
      </c>
      <c r="AG12" s="88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99999999999</v>
      </c>
      <c r="C13" s="114">
        <f>INDEX('Tabl. 1'!$C$8:$AO$313,206+$AB8,MATCH($C$7,$AA$7:$AA$45))</f>
        <v>99999999999</v>
      </c>
      <c r="I13" s="86"/>
      <c r="P13" s="77"/>
      <c r="Q13" s="77"/>
      <c r="R13" s="77"/>
      <c r="S13" s="77"/>
      <c r="T13" s="77"/>
      <c r="U13" s="77"/>
      <c r="V13" s="76"/>
      <c r="W13" s="76"/>
      <c r="X13" s="76"/>
      <c r="Y13" s="76"/>
      <c r="Z13" s="76"/>
      <c r="AA13" s="82">
        <v>2028</v>
      </c>
      <c r="AB13" s="82">
        <v>6</v>
      </c>
      <c r="AC13" s="82"/>
      <c r="AD13" s="87">
        <f t="shared" si="0"/>
        <v>-99999999999</v>
      </c>
      <c r="AE13" s="88">
        <f t="shared" si="1"/>
        <v>99999999999</v>
      </c>
      <c r="AF13" s="82">
        <f t="shared" si="2"/>
        <v>0</v>
      </c>
      <c r="AG13" s="88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99999999999</v>
      </c>
      <c r="C14" s="114">
        <f>INDEX('Tabl. 1'!$C$8:$AO$313,206+$AB9,MATCH($C$7,$AA$7:$AA$45))</f>
        <v>99999999999</v>
      </c>
      <c r="I14" s="86"/>
      <c r="P14" s="77"/>
      <c r="Q14" s="77"/>
      <c r="R14" s="77"/>
      <c r="S14" s="77"/>
      <c r="T14" s="77"/>
      <c r="U14" s="77"/>
      <c r="V14" s="76"/>
      <c r="W14" s="76"/>
      <c r="X14" s="76"/>
      <c r="Y14" s="76"/>
      <c r="Z14" s="76"/>
      <c r="AA14" s="82">
        <v>2029</v>
      </c>
      <c r="AB14" s="82">
        <v>7</v>
      </c>
      <c r="AC14" s="82"/>
      <c r="AD14" s="87">
        <f t="shared" si="0"/>
        <v>-99999999999</v>
      </c>
      <c r="AE14" s="88">
        <f t="shared" si="1"/>
        <v>99999999999</v>
      </c>
      <c r="AF14" s="82">
        <f t="shared" si="2"/>
        <v>0</v>
      </c>
      <c r="AG14" s="88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99999999999</v>
      </c>
      <c r="C15" s="114">
        <f>INDEX('Tabl. 1'!$C$8:$AO$313,206+$AB10,MATCH($C$7,$AA$7:$AA$45))</f>
        <v>99999999999</v>
      </c>
      <c r="I15" s="86"/>
      <c r="P15" s="77"/>
      <c r="Q15" s="77"/>
      <c r="R15" s="77"/>
      <c r="S15" s="77"/>
      <c r="T15" s="77"/>
      <c r="U15" s="77"/>
      <c r="V15" s="76"/>
      <c r="W15" s="76"/>
      <c r="X15" s="76"/>
      <c r="Y15" s="76"/>
      <c r="Z15" s="76"/>
      <c r="AA15" s="82">
        <v>2030</v>
      </c>
      <c r="AB15" s="82">
        <v>8</v>
      </c>
      <c r="AC15" s="82"/>
      <c r="AD15" s="87">
        <f t="shared" si="0"/>
        <v>-99999999999</v>
      </c>
      <c r="AE15" s="88">
        <f t="shared" si="1"/>
        <v>99999999999</v>
      </c>
      <c r="AF15" s="82">
        <f t="shared" si="2"/>
        <v>0</v>
      </c>
      <c r="AG15" s="88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99999999999</v>
      </c>
      <c r="C16" s="114">
        <f>INDEX('Tabl. 1'!$C$8:$AO$313,206+$AB11,MATCH($C$7,$AA$7:$AA$45))</f>
        <v>99999999999</v>
      </c>
      <c r="I16" s="86"/>
      <c r="P16" s="77"/>
      <c r="Q16" s="77"/>
      <c r="R16" s="77"/>
      <c r="S16" s="77"/>
      <c r="T16" s="77"/>
      <c r="U16" s="77"/>
      <c r="V16" s="76"/>
      <c r="W16" s="76"/>
      <c r="X16" s="76"/>
      <c r="Y16" s="76"/>
      <c r="Z16" s="76"/>
      <c r="AA16" s="82">
        <v>2031</v>
      </c>
      <c r="AB16" s="82">
        <v>9</v>
      </c>
      <c r="AC16" s="82"/>
      <c r="AD16" s="87">
        <f t="shared" si="0"/>
        <v>-99999999999</v>
      </c>
      <c r="AE16" s="88">
        <f t="shared" si="1"/>
        <v>99999999999</v>
      </c>
      <c r="AF16" s="82">
        <f t="shared" si="2"/>
        <v>0</v>
      </c>
      <c r="AG16" s="88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99999999999</v>
      </c>
      <c r="C17" s="114">
        <f>INDEX('Tabl. 1'!$C$8:$AO$313,206+$AB12,MATCH($C$7,$AA$7:$AA$45))</f>
        <v>99999999999</v>
      </c>
      <c r="I17" s="86"/>
      <c r="P17" s="77"/>
      <c r="Q17" s="77"/>
      <c r="R17" s="77"/>
      <c r="S17" s="77"/>
      <c r="T17" s="77"/>
      <c r="U17" s="77"/>
      <c r="V17" s="76"/>
      <c r="W17" s="76"/>
      <c r="X17" s="76"/>
      <c r="Y17" s="76"/>
      <c r="Z17" s="76"/>
      <c r="AA17" s="82">
        <v>2032</v>
      </c>
      <c r="AB17" s="82">
        <v>10</v>
      </c>
      <c r="AC17" s="82"/>
      <c r="AD17" s="87">
        <f t="shared" si="0"/>
        <v>-99999999999</v>
      </c>
      <c r="AE17" s="88">
        <f t="shared" si="1"/>
        <v>99999999999</v>
      </c>
      <c r="AF17" s="82">
        <f t="shared" si="2"/>
        <v>0</v>
      </c>
      <c r="AG17" s="88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89">
        <v>6</v>
      </c>
      <c r="B18" s="114">
        <f>INDEX('Tabl. 1'!$C$8:$AO$313,104+$AB13,MATCH($C$7,$AA$7:$AA$45))</f>
        <v>99999999999</v>
      </c>
      <c r="C18" s="114">
        <f>INDEX('Tabl. 1'!$C$8:$AO$313,206+$AB13,MATCH($C$7,$AA$7:$AA$45))</f>
        <v>99999999999</v>
      </c>
      <c r="I18" s="86"/>
      <c r="P18" s="77"/>
      <c r="Q18" s="77"/>
      <c r="R18" s="77"/>
      <c r="S18" s="77"/>
      <c r="T18" s="77"/>
      <c r="U18" s="77"/>
      <c r="V18" s="76"/>
      <c r="W18" s="76"/>
      <c r="X18" s="76"/>
      <c r="Y18" s="76"/>
      <c r="Z18" s="76"/>
      <c r="AA18" s="82">
        <v>2033</v>
      </c>
      <c r="AB18" s="82">
        <v>11</v>
      </c>
      <c r="AC18" s="82"/>
      <c r="AD18" s="87">
        <f t="shared" si="0"/>
        <v>-99999999999</v>
      </c>
      <c r="AE18" s="88">
        <f t="shared" si="1"/>
        <v>99999999999</v>
      </c>
      <c r="AF18" s="82">
        <f t="shared" si="2"/>
        <v>0</v>
      </c>
      <c r="AG18" s="88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89">
        <v>7</v>
      </c>
      <c r="B19" s="114">
        <f>INDEX('Tabl. 1'!$C$8:$AO$313,104+$AB14,MATCH($C$7,$AA$7:$AA$45))</f>
        <v>99999999999</v>
      </c>
      <c r="C19" s="114">
        <f>INDEX('Tabl. 1'!$C$8:$AO$313,206+$AB14,MATCH($C$7,$AA$7:$AA$45))</f>
        <v>99999999999</v>
      </c>
      <c r="I19" s="86"/>
      <c r="P19" s="77"/>
      <c r="Q19" s="77"/>
      <c r="R19" s="77"/>
      <c r="S19" s="77"/>
      <c r="T19" s="77"/>
      <c r="U19" s="77"/>
      <c r="V19" s="76"/>
      <c r="W19" s="76"/>
      <c r="X19" s="76"/>
      <c r="Y19" s="76"/>
      <c r="Z19" s="76"/>
      <c r="AA19" s="82">
        <v>2034</v>
      </c>
      <c r="AB19" s="82">
        <v>12</v>
      </c>
      <c r="AC19" s="82"/>
      <c r="AD19" s="87">
        <f t="shared" si="0"/>
        <v>-99999999999</v>
      </c>
      <c r="AE19" s="88">
        <f t="shared" si="1"/>
        <v>99999999999</v>
      </c>
      <c r="AF19" s="82">
        <f t="shared" si="2"/>
        <v>0</v>
      </c>
      <c r="AG19" s="88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89">
        <v>8</v>
      </c>
      <c r="B20" s="114">
        <f>INDEX('Tabl. 1'!$C$8:$AO$313,104+$AB15,MATCH($C$7,$AA$7:$AA$45))</f>
        <v>99999999999</v>
      </c>
      <c r="C20" s="114">
        <f>INDEX('Tabl. 1'!$C$8:$AO$313,206+$AB15,MATCH($C$7,$AA$7:$AA$45))</f>
        <v>99999999999</v>
      </c>
      <c r="I20" s="86"/>
      <c r="P20" s="77"/>
      <c r="Q20" s="77"/>
      <c r="R20" s="77"/>
      <c r="S20" s="77"/>
      <c r="T20" s="77"/>
      <c r="U20" s="77"/>
      <c r="V20" s="76"/>
      <c r="W20" s="76"/>
      <c r="X20" s="76"/>
      <c r="Y20" s="76"/>
      <c r="Z20" s="76"/>
      <c r="AA20" s="82">
        <v>2035</v>
      </c>
      <c r="AB20" s="82">
        <v>13</v>
      </c>
      <c r="AC20" s="82"/>
      <c r="AD20" s="87">
        <f t="shared" si="0"/>
        <v>-99999999999</v>
      </c>
      <c r="AE20" s="88">
        <f t="shared" si="1"/>
        <v>99999999999</v>
      </c>
      <c r="AF20" s="82">
        <f t="shared" si="2"/>
        <v>0</v>
      </c>
      <c r="AG20" s="88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89">
        <v>9</v>
      </c>
      <c r="B21" s="114">
        <f>INDEX('Tabl. 1'!$C$8:$AO$313,104+$AB16,MATCH($C$7,$AA$7:$AA$45))</f>
        <v>99999999999</v>
      </c>
      <c r="C21" s="114">
        <f>INDEX('Tabl. 1'!$C$8:$AO$313,206+$AB16,MATCH($C$7,$AA$7:$AA$45))</f>
        <v>99999999999</v>
      </c>
      <c r="I21" s="86"/>
      <c r="P21" s="77"/>
      <c r="Q21" s="77"/>
      <c r="R21" s="77"/>
      <c r="S21" s="77"/>
      <c r="T21" s="77"/>
      <c r="U21" s="77"/>
      <c r="V21" s="76"/>
      <c r="W21" s="76"/>
      <c r="X21" s="76"/>
      <c r="Y21" s="76"/>
      <c r="Z21" s="76"/>
      <c r="AA21" s="82">
        <v>2036</v>
      </c>
      <c r="AB21" s="82">
        <v>14</v>
      </c>
      <c r="AC21" s="82"/>
      <c r="AD21" s="87">
        <f t="shared" si="0"/>
        <v>-99999999999</v>
      </c>
      <c r="AE21" s="88">
        <f t="shared" si="1"/>
        <v>99999999999</v>
      </c>
      <c r="AF21" s="82">
        <f t="shared" si="2"/>
        <v>0</v>
      </c>
      <c r="AG21" s="88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89">
        <v>10</v>
      </c>
      <c r="B22" s="114">
        <f>INDEX('Tabl. 1'!$C$8:$AO$313,104+$AB17,MATCH($C$7,$AA$7:$AA$45))</f>
        <v>99999999999</v>
      </c>
      <c r="C22" s="114">
        <f>INDEX('Tabl. 1'!$C$8:$AO$313,206+$AB17,MATCH($C$7,$AA$7:$AA$45))</f>
        <v>99999999999</v>
      </c>
      <c r="I22" s="86"/>
      <c r="P22" s="77"/>
      <c r="Q22" s="77"/>
      <c r="R22" s="77"/>
      <c r="S22" s="77"/>
      <c r="T22" s="77"/>
      <c r="U22" s="77"/>
      <c r="V22" s="76"/>
      <c r="W22" s="76"/>
      <c r="X22" s="76"/>
      <c r="Y22" s="76"/>
      <c r="Z22" s="76"/>
      <c r="AA22" s="82">
        <v>2037</v>
      </c>
      <c r="AB22" s="82">
        <v>15</v>
      </c>
      <c r="AC22" s="82"/>
      <c r="AD22" s="87">
        <f t="shared" si="0"/>
        <v>-99999999999</v>
      </c>
      <c r="AE22" s="88">
        <f t="shared" si="1"/>
        <v>99999999999</v>
      </c>
      <c r="AF22" s="82">
        <f t="shared" si="2"/>
        <v>0</v>
      </c>
      <c r="AG22" s="88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89">
        <v>11</v>
      </c>
      <c r="B23" s="114">
        <f>INDEX('Tabl. 1'!$C$8:$AO$313,104+$AB18,MATCH($C$7,$AA$7:$AA$45))</f>
        <v>99999999999</v>
      </c>
      <c r="C23" s="114">
        <f>INDEX('Tabl. 1'!$C$8:$AO$313,206+$AB18,MATCH($C$7,$AA$7:$AA$45))</f>
        <v>99999999999</v>
      </c>
      <c r="I23" s="86"/>
      <c r="P23" s="77"/>
      <c r="Q23" s="77"/>
      <c r="R23" s="77"/>
      <c r="S23" s="77"/>
      <c r="T23" s="77"/>
      <c r="U23" s="77"/>
      <c r="V23" s="76"/>
      <c r="W23" s="76"/>
      <c r="X23" s="76"/>
      <c r="Y23" s="76"/>
      <c r="Z23" s="76"/>
      <c r="AA23" s="82">
        <v>2038</v>
      </c>
      <c r="AB23" s="82">
        <v>16</v>
      </c>
      <c r="AC23" s="82"/>
      <c r="AD23" s="87">
        <f t="shared" si="0"/>
        <v>-99999999999</v>
      </c>
      <c r="AE23" s="88">
        <f t="shared" si="1"/>
        <v>99999999999</v>
      </c>
      <c r="AF23" s="82">
        <f t="shared" si="2"/>
        <v>0</v>
      </c>
      <c r="AG23" s="88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89">
        <v>12</v>
      </c>
      <c r="B24" s="114">
        <f>INDEX('Tabl. 1'!$C$8:$AO$313,104+$AB19,MATCH($C$7,$AA$7:$AA$45))</f>
        <v>99999999999</v>
      </c>
      <c r="C24" s="114">
        <f>INDEX('Tabl. 1'!$C$8:$AO$313,206+$AB19,MATCH($C$7,$AA$7:$AA$45))</f>
        <v>99999999999</v>
      </c>
      <c r="I24" s="86"/>
      <c r="P24" s="77"/>
      <c r="Q24" s="77"/>
      <c r="R24" s="77"/>
      <c r="S24" s="77"/>
      <c r="T24" s="77"/>
      <c r="U24" s="77"/>
      <c r="V24" s="76"/>
      <c r="W24" s="76"/>
      <c r="X24" s="76"/>
      <c r="Y24" s="76"/>
      <c r="Z24" s="76"/>
      <c r="AA24" s="82">
        <v>2039</v>
      </c>
      <c r="AB24" s="82">
        <v>17</v>
      </c>
      <c r="AC24" s="82"/>
      <c r="AD24" s="87">
        <f t="shared" si="0"/>
        <v>-99999999999</v>
      </c>
      <c r="AE24" s="88">
        <f t="shared" si="1"/>
        <v>99999999999</v>
      </c>
      <c r="AF24" s="82">
        <f t="shared" si="2"/>
        <v>0</v>
      </c>
      <c r="AG24" s="88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89">
        <v>13</v>
      </c>
      <c r="B25" s="114">
        <f>INDEX('Tabl. 1'!$C$8:$AO$313,104+$AB20,MATCH($C$7,$AA$7:$AA$45))</f>
        <v>99999999999</v>
      </c>
      <c r="C25" s="114">
        <f>INDEX('Tabl. 1'!$C$8:$AO$313,206+$AB20,MATCH($C$7,$AA$7:$AA$45))</f>
        <v>99999999999</v>
      </c>
      <c r="I25" s="86"/>
      <c r="P25" s="77"/>
      <c r="Q25" s="77"/>
      <c r="R25" s="77"/>
      <c r="S25" s="77"/>
      <c r="T25" s="77"/>
      <c r="U25" s="77"/>
      <c r="V25" s="76"/>
      <c r="W25" s="76"/>
      <c r="X25" s="76"/>
      <c r="Y25" s="76"/>
      <c r="Z25" s="76"/>
      <c r="AA25" s="82">
        <v>2040</v>
      </c>
      <c r="AB25" s="82">
        <v>18</v>
      </c>
      <c r="AC25" s="82"/>
      <c r="AD25" s="87">
        <f t="shared" si="0"/>
        <v>-99999999999</v>
      </c>
      <c r="AE25" s="88">
        <f t="shared" si="1"/>
        <v>99999999999</v>
      </c>
      <c r="AF25" s="82">
        <f t="shared" si="2"/>
        <v>0</v>
      </c>
      <c r="AG25" s="88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89">
        <v>14</v>
      </c>
      <c r="B26" s="114">
        <f>INDEX('Tabl. 1'!$C$8:$AO$313,104+$AB21,MATCH($C$7,$AA$7:$AA$45))</f>
        <v>99999999999</v>
      </c>
      <c r="C26" s="114">
        <f>INDEX('Tabl. 1'!$C$8:$AO$313,206+$AB21,MATCH($C$7,$AA$7:$AA$45))</f>
        <v>99999999999</v>
      </c>
      <c r="I26" s="86"/>
      <c r="P26" s="77"/>
      <c r="Q26" s="77"/>
      <c r="R26" s="77"/>
      <c r="S26" s="77"/>
      <c r="T26" s="77"/>
      <c r="U26" s="77"/>
      <c r="V26" s="76"/>
      <c r="W26" s="76"/>
      <c r="X26" s="76"/>
      <c r="Y26" s="76"/>
      <c r="Z26" s="76"/>
      <c r="AA26" s="82">
        <v>2041</v>
      </c>
      <c r="AB26" s="82">
        <v>19</v>
      </c>
      <c r="AC26" s="82"/>
      <c r="AD26" s="87">
        <f t="shared" si="0"/>
        <v>-99999999999</v>
      </c>
      <c r="AE26" s="88">
        <f t="shared" si="1"/>
        <v>99999999999</v>
      </c>
      <c r="AF26" s="82">
        <f t="shared" si="2"/>
        <v>0</v>
      </c>
      <c r="AG26" s="88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89">
        <v>15</v>
      </c>
      <c r="B27" s="114">
        <f>INDEX('Tabl. 1'!$C$8:$AO$313,104+$AB22,MATCH($C$7,$AA$7:$AA$45))</f>
        <v>99999999999</v>
      </c>
      <c r="C27" s="114">
        <f>INDEX('Tabl. 1'!$C$8:$AO$313,206+$AB22,MATCH($C$7,$AA$7:$AA$45))</f>
        <v>99999999999</v>
      </c>
      <c r="I27" s="86"/>
      <c r="P27" s="77"/>
      <c r="Q27" s="77"/>
      <c r="R27" s="77"/>
      <c r="S27" s="77"/>
      <c r="T27" s="77"/>
      <c r="U27" s="77"/>
      <c r="V27" s="76"/>
      <c r="W27" s="76"/>
      <c r="X27" s="76"/>
      <c r="Y27" s="76"/>
      <c r="Z27" s="76"/>
      <c r="AA27" s="82">
        <v>2042</v>
      </c>
      <c r="AB27" s="82">
        <v>20</v>
      </c>
      <c r="AC27" s="82"/>
      <c r="AD27" s="87">
        <f t="shared" si="0"/>
        <v>-99999999999</v>
      </c>
      <c r="AE27" s="88">
        <f t="shared" si="1"/>
        <v>99999999999</v>
      </c>
      <c r="AF27" s="82">
        <f t="shared" si="2"/>
        <v>0</v>
      </c>
      <c r="AG27" s="88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89">
        <v>16</v>
      </c>
      <c r="B28" s="114">
        <f>INDEX('Tabl. 1'!$C$8:$AO$313,104+$AB23,MATCH($C$7,$AA$7:$AA$45))</f>
        <v>99999999999</v>
      </c>
      <c r="C28" s="114">
        <f>INDEX('Tabl. 1'!$C$8:$AO$313,206+$AB23,MATCH($C$7,$AA$7:$AA$45))</f>
        <v>99999999999</v>
      </c>
      <c r="I28" s="86"/>
      <c r="P28" s="77"/>
      <c r="Q28" s="77"/>
      <c r="R28" s="77"/>
      <c r="S28" s="77"/>
      <c r="T28" s="77"/>
      <c r="U28" s="77"/>
      <c r="V28" s="76"/>
      <c r="W28" s="76"/>
      <c r="X28" s="76"/>
      <c r="Y28" s="76"/>
      <c r="Z28" s="76"/>
      <c r="AA28" s="82">
        <v>2043</v>
      </c>
      <c r="AB28" s="82">
        <v>21</v>
      </c>
      <c r="AC28" s="82"/>
      <c r="AD28" s="87">
        <f t="shared" si="0"/>
        <v>-99999999999</v>
      </c>
      <c r="AE28" s="88">
        <f t="shared" si="1"/>
        <v>99999999999</v>
      </c>
      <c r="AF28" s="82">
        <f t="shared" si="2"/>
        <v>0</v>
      </c>
      <c r="AG28" s="88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89">
        <v>17</v>
      </c>
      <c r="B29" s="114">
        <f>INDEX('Tabl. 1'!$C$8:$AO$313,104+$AB24,MATCH($C$7,$AA$7:$AA$45))</f>
        <v>99999999999</v>
      </c>
      <c r="C29" s="114">
        <f>INDEX('Tabl. 1'!$C$8:$AO$313,206+$AB24,MATCH($C$7,$AA$7:$AA$45))</f>
        <v>99999999999</v>
      </c>
      <c r="I29" s="86"/>
      <c r="P29" s="77"/>
      <c r="Q29" s="77"/>
      <c r="R29" s="77"/>
      <c r="S29" s="77"/>
      <c r="T29" s="77"/>
      <c r="U29" s="77"/>
      <c r="V29" s="76"/>
      <c r="W29" s="76"/>
      <c r="X29" s="76"/>
      <c r="Y29" s="76"/>
      <c r="Z29" s="76"/>
      <c r="AA29" s="82">
        <v>2044</v>
      </c>
      <c r="AB29" s="82">
        <v>22</v>
      </c>
      <c r="AC29" s="82"/>
      <c r="AD29" s="87">
        <f t="shared" si="0"/>
        <v>-99999999999</v>
      </c>
      <c r="AE29" s="88">
        <f t="shared" si="1"/>
        <v>99999999999</v>
      </c>
      <c r="AF29" s="82">
        <f t="shared" si="2"/>
        <v>0</v>
      </c>
      <c r="AG29" s="88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89">
        <v>18</v>
      </c>
      <c r="B30" s="114">
        <f>INDEX('Tabl. 1'!$C$8:$AO$313,104+$AB25,MATCH($C$7,$AA$7:$AA$45))</f>
        <v>99999999999</v>
      </c>
      <c r="C30" s="114">
        <f>INDEX('Tabl. 1'!$C$8:$AO$313,206+$AB25,MATCH($C$7,$AA$7:$AA$45))</f>
        <v>99999999999</v>
      </c>
      <c r="I30" s="86"/>
      <c r="P30" s="77"/>
      <c r="Q30" s="77"/>
      <c r="R30" s="77"/>
      <c r="S30" s="77"/>
      <c r="T30" s="77"/>
      <c r="U30" s="77"/>
      <c r="V30" s="76"/>
      <c r="W30" s="76"/>
      <c r="X30" s="76"/>
      <c r="Y30" s="76"/>
      <c r="Z30" s="76"/>
      <c r="AA30" s="82">
        <v>2045</v>
      </c>
      <c r="AB30" s="82">
        <v>23</v>
      </c>
      <c r="AC30" s="82"/>
      <c r="AD30" s="87">
        <f t="shared" si="0"/>
        <v>-99999999999</v>
      </c>
      <c r="AE30" s="88">
        <f t="shared" si="1"/>
        <v>99999999999</v>
      </c>
      <c r="AF30" s="82">
        <f t="shared" si="2"/>
        <v>0</v>
      </c>
      <c r="AG30" s="88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89">
        <v>19</v>
      </c>
      <c r="B31" s="114">
        <f>INDEX('Tabl. 1'!$C$8:$AO$313,104+$AB26,MATCH($C$7,$AA$7:$AA$45))</f>
        <v>99999999999</v>
      </c>
      <c r="C31" s="114">
        <f>INDEX('Tabl. 1'!$C$8:$AO$313,206+$AB26,MATCH($C$7,$AA$7:$AA$45))</f>
        <v>99999999999</v>
      </c>
      <c r="I31" s="86"/>
      <c r="P31" s="77"/>
      <c r="Q31" s="77"/>
      <c r="R31" s="77"/>
      <c r="S31" s="77"/>
      <c r="T31" s="77"/>
      <c r="U31" s="77"/>
      <c r="V31" s="76"/>
      <c r="W31" s="76"/>
      <c r="X31" s="76"/>
      <c r="Y31" s="76"/>
      <c r="Z31" s="76"/>
      <c r="AA31" s="82">
        <v>2046</v>
      </c>
      <c r="AB31" s="82">
        <v>24</v>
      </c>
      <c r="AC31" s="82"/>
      <c r="AD31" s="87">
        <f t="shared" si="0"/>
        <v>-99999999999</v>
      </c>
      <c r="AE31" s="88">
        <f t="shared" si="1"/>
        <v>99999999999</v>
      </c>
      <c r="AF31" s="82">
        <f t="shared" si="2"/>
        <v>0</v>
      </c>
      <c r="AG31" s="88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89">
        <v>20</v>
      </c>
      <c r="B32" s="114">
        <f>INDEX('Tabl. 1'!$C$8:$AO$313,104+$AB27,MATCH($C$7,$AA$7:$AA$45))</f>
        <v>99999999999</v>
      </c>
      <c r="C32" s="114">
        <f>INDEX('Tabl. 1'!$C$8:$AO$313,206+$AB27,MATCH($C$7,$AA$7:$AA$45))</f>
        <v>99999999999</v>
      </c>
      <c r="I32" s="86"/>
      <c r="P32" s="77"/>
      <c r="Q32" s="77"/>
      <c r="R32" s="77"/>
      <c r="S32" s="77"/>
      <c r="T32" s="77"/>
      <c r="U32" s="77"/>
      <c r="V32" s="76"/>
      <c r="W32" s="76"/>
      <c r="X32" s="76"/>
      <c r="Y32" s="76"/>
      <c r="Z32" s="76"/>
      <c r="AA32" s="82">
        <v>2047</v>
      </c>
      <c r="AB32" s="82">
        <v>25</v>
      </c>
      <c r="AC32" s="82"/>
      <c r="AD32" s="87">
        <f t="shared" si="0"/>
        <v>-99999999999</v>
      </c>
      <c r="AE32" s="88">
        <f t="shared" si="1"/>
        <v>99999999999</v>
      </c>
      <c r="AF32" s="82">
        <f t="shared" si="2"/>
        <v>0</v>
      </c>
      <c r="AG32" s="88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89">
        <v>21</v>
      </c>
      <c r="B33" s="114">
        <f>INDEX('Tabl. 1'!$C$8:$AO$313,104+$AB28,MATCH($C$7,$AA$7:$AA$45))</f>
        <v>99999999999</v>
      </c>
      <c r="C33" s="114">
        <f>INDEX('Tabl. 1'!$C$8:$AO$313,206+$AB28,MATCH($C$7,$AA$7:$AA$45))</f>
        <v>99999999999</v>
      </c>
      <c r="I33" s="86"/>
      <c r="P33" s="77"/>
      <c r="Q33" s="77"/>
      <c r="R33" s="77"/>
      <c r="S33" s="77"/>
      <c r="T33" s="77"/>
      <c r="U33" s="77"/>
      <c r="V33" s="76"/>
      <c r="W33" s="76"/>
      <c r="X33" s="76"/>
      <c r="Y33" s="76"/>
      <c r="Z33" s="76"/>
      <c r="AA33" s="82">
        <v>2048</v>
      </c>
      <c r="AB33" s="82">
        <v>26</v>
      </c>
      <c r="AC33" s="82"/>
      <c r="AD33" s="87">
        <f t="shared" si="0"/>
        <v>-99999999999</v>
      </c>
      <c r="AE33" s="88">
        <f t="shared" si="1"/>
        <v>99999999999</v>
      </c>
      <c r="AF33" s="82">
        <f t="shared" si="2"/>
        <v>0</v>
      </c>
      <c r="AG33" s="88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89">
        <v>22</v>
      </c>
      <c r="B34" s="114">
        <f>INDEX('Tabl. 1'!$C$8:$AO$313,104+$AB29,MATCH($C$7,$AA$7:$AA$45))</f>
        <v>99999999999</v>
      </c>
      <c r="C34" s="114">
        <f>INDEX('Tabl. 1'!$C$8:$AO$313,206+$AB29,MATCH($C$7,$AA$7:$AA$45))</f>
        <v>99999999999</v>
      </c>
      <c r="I34" s="86"/>
      <c r="P34" s="77"/>
      <c r="Q34" s="77"/>
      <c r="R34" s="77"/>
      <c r="S34" s="77"/>
      <c r="T34" s="77"/>
      <c r="U34" s="77"/>
      <c r="V34" s="76"/>
      <c r="W34" s="76"/>
      <c r="X34" s="76"/>
      <c r="Y34" s="76"/>
      <c r="Z34" s="76"/>
      <c r="AA34" s="82">
        <v>2049</v>
      </c>
      <c r="AB34" s="82">
        <v>27</v>
      </c>
      <c r="AC34" s="82"/>
      <c r="AD34" s="87">
        <f t="shared" si="0"/>
        <v>-99999999999</v>
      </c>
      <c r="AE34" s="88">
        <f t="shared" si="1"/>
        <v>99999999999</v>
      </c>
      <c r="AF34" s="82">
        <f t="shared" si="2"/>
        <v>0</v>
      </c>
      <c r="AG34" s="88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89">
        <v>23</v>
      </c>
      <c r="B35" s="114">
        <f>INDEX('Tabl. 1'!$C$8:$AO$313,104+$AB30,MATCH($C$7,$AA$7:$AA$45))</f>
        <v>99999999999</v>
      </c>
      <c r="C35" s="114">
        <f>INDEX('Tabl. 1'!$C$8:$AO$313,206+$AB30,MATCH($C$7,$AA$7:$AA$45))</f>
        <v>99999999999</v>
      </c>
      <c r="I35" s="86"/>
      <c r="P35" s="77"/>
      <c r="Q35" s="77"/>
      <c r="R35" s="77"/>
      <c r="S35" s="77"/>
      <c r="T35" s="77"/>
      <c r="U35" s="77"/>
      <c r="V35" s="76"/>
      <c r="W35" s="76"/>
      <c r="X35" s="76"/>
      <c r="Y35" s="76"/>
      <c r="Z35" s="76"/>
      <c r="AA35" s="82">
        <v>2050</v>
      </c>
      <c r="AB35" s="82">
        <v>28</v>
      </c>
      <c r="AC35" s="82"/>
      <c r="AD35" s="87">
        <f t="shared" si="0"/>
        <v>-99999999999</v>
      </c>
      <c r="AE35" s="88">
        <f t="shared" si="1"/>
        <v>99999999999</v>
      </c>
      <c r="AF35" s="82">
        <f t="shared" si="2"/>
        <v>0</v>
      </c>
      <c r="AG35" s="88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89">
        <v>24</v>
      </c>
      <c r="B36" s="114">
        <f>INDEX('Tabl. 1'!$C$8:$AO$313,104+$AB31,MATCH($C$7,$AA$7:$AA$45))</f>
        <v>99999999999</v>
      </c>
      <c r="C36" s="114">
        <f>INDEX('Tabl. 1'!$C$8:$AO$313,206+$AB31,MATCH($C$7,$AA$7:$AA$45))</f>
        <v>99999999999</v>
      </c>
      <c r="I36" s="86"/>
      <c r="P36" s="77"/>
      <c r="Q36" s="77"/>
      <c r="R36" s="77"/>
      <c r="S36" s="77"/>
      <c r="T36" s="77"/>
      <c r="U36" s="77"/>
      <c r="V36" s="76"/>
      <c r="W36" s="76"/>
      <c r="X36" s="76"/>
      <c r="Y36" s="76"/>
      <c r="Z36" s="76"/>
      <c r="AA36" s="82">
        <v>2051</v>
      </c>
      <c r="AB36" s="82">
        <v>29</v>
      </c>
      <c r="AC36" s="82"/>
      <c r="AD36" s="87">
        <f t="shared" si="0"/>
        <v>-99999999999</v>
      </c>
      <c r="AE36" s="88">
        <f t="shared" si="1"/>
        <v>99999999999</v>
      </c>
      <c r="AF36" s="82">
        <f t="shared" si="2"/>
        <v>0</v>
      </c>
      <c r="AG36" s="88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89">
        <v>25</v>
      </c>
      <c r="B37" s="114">
        <f>INDEX('Tabl. 1'!$C$8:$AO$313,104+$AB32,MATCH($C$7,$AA$7:$AA$45))</f>
        <v>99999999999</v>
      </c>
      <c r="C37" s="114">
        <f>INDEX('Tabl. 1'!$C$8:$AO$313,206+$AB32,MATCH($C$7,$AA$7:$AA$45))</f>
        <v>99999999999</v>
      </c>
      <c r="I37" s="86"/>
      <c r="P37" s="77"/>
      <c r="Q37" s="77"/>
      <c r="R37" s="77"/>
      <c r="S37" s="77"/>
      <c r="T37" s="77"/>
      <c r="U37" s="77"/>
      <c r="V37" s="76"/>
      <c r="W37" s="76"/>
      <c r="X37" s="76"/>
      <c r="Y37" s="76"/>
      <c r="Z37" s="76"/>
      <c r="AA37" s="82">
        <v>2052</v>
      </c>
      <c r="AB37" s="82">
        <v>30</v>
      </c>
      <c r="AC37" s="82"/>
      <c r="AD37" s="87">
        <f t="shared" si="0"/>
        <v>-99999999999</v>
      </c>
      <c r="AE37" s="88">
        <f t="shared" si="1"/>
        <v>99999999999</v>
      </c>
      <c r="AF37" s="82">
        <f t="shared" si="2"/>
        <v>0</v>
      </c>
      <c r="AG37" s="88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89">
        <v>26</v>
      </c>
      <c r="B38" s="114">
        <f>INDEX('Tabl. 1'!$C$8:$AO$313,104+$AB33,MATCH($C$7,$AA$7:$AA$45))</f>
        <v>99999999999</v>
      </c>
      <c r="C38" s="114">
        <f>INDEX('Tabl. 1'!$C$8:$AO$313,206+$AB33,MATCH($C$7,$AA$7:$AA$45))</f>
        <v>99999999999</v>
      </c>
      <c r="I38" s="86"/>
      <c r="P38" s="77"/>
      <c r="Q38" s="77"/>
      <c r="R38" s="77"/>
      <c r="S38" s="77"/>
      <c r="T38" s="77"/>
      <c r="U38" s="77"/>
      <c r="V38" s="76"/>
      <c r="W38" s="76"/>
      <c r="X38" s="76"/>
      <c r="Y38" s="76"/>
      <c r="Z38" s="76"/>
      <c r="AA38" s="82">
        <v>2053</v>
      </c>
      <c r="AB38" s="82">
        <v>31</v>
      </c>
      <c r="AC38" s="82"/>
      <c r="AD38" s="87">
        <f t="shared" si="0"/>
        <v>-99999999999</v>
      </c>
      <c r="AE38" s="88">
        <f t="shared" si="1"/>
        <v>99999999999</v>
      </c>
      <c r="AF38" s="82">
        <f t="shared" si="2"/>
        <v>0</v>
      </c>
      <c r="AG38" s="88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89">
        <v>27</v>
      </c>
      <c r="B39" s="114">
        <f>INDEX('Tabl. 1'!$C$8:$AO$313,104+$AB34,MATCH($C$7,$AA$7:$AA$45))</f>
        <v>99999999999</v>
      </c>
      <c r="C39" s="114">
        <f>INDEX('Tabl. 1'!$C$8:$AO$313,206+$AB34,MATCH($C$7,$AA$7:$AA$45))</f>
        <v>99999999999</v>
      </c>
      <c r="I39" s="86"/>
      <c r="P39" s="77"/>
      <c r="Q39" s="77"/>
      <c r="R39" s="77"/>
      <c r="S39" s="77"/>
      <c r="T39" s="77"/>
      <c r="U39" s="77"/>
      <c r="V39" s="76"/>
      <c r="W39" s="76"/>
      <c r="X39" s="76"/>
      <c r="Y39" s="76"/>
      <c r="Z39" s="76"/>
      <c r="AA39" s="82">
        <v>2054</v>
      </c>
      <c r="AB39" s="82">
        <v>32</v>
      </c>
      <c r="AC39" s="82"/>
      <c r="AD39" s="87">
        <f t="shared" si="0"/>
        <v>-99999999999</v>
      </c>
      <c r="AE39" s="88">
        <f t="shared" si="1"/>
        <v>99999999999</v>
      </c>
      <c r="AF39" s="82">
        <f t="shared" si="2"/>
        <v>0</v>
      </c>
      <c r="AG39" s="88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89">
        <v>28</v>
      </c>
      <c r="B40" s="114">
        <f>INDEX('Tabl. 1'!$C$8:$AO$313,104+$AB35,MATCH($C$7,$AA$7:$AA$45))</f>
        <v>99999999999</v>
      </c>
      <c r="C40" s="114">
        <f>INDEX('Tabl. 1'!$C$8:$AO$313,206+$AB35,MATCH($C$7,$AA$7:$AA$45))</f>
        <v>99999999999</v>
      </c>
      <c r="I40" s="86"/>
      <c r="P40" s="77"/>
      <c r="Q40" s="77"/>
      <c r="R40" s="77"/>
      <c r="S40" s="77"/>
      <c r="T40" s="77"/>
      <c r="U40" s="77"/>
      <c r="V40" s="76"/>
      <c r="W40" s="76"/>
      <c r="X40" s="76"/>
      <c r="Y40" s="76"/>
      <c r="Z40" s="76"/>
      <c r="AA40" s="82">
        <v>2055</v>
      </c>
      <c r="AB40" s="82">
        <v>33</v>
      </c>
      <c r="AC40" s="82"/>
      <c r="AD40" s="87">
        <f t="shared" si="0"/>
        <v>-99999999999</v>
      </c>
      <c r="AE40" s="88">
        <f t="shared" si="1"/>
        <v>99999999999</v>
      </c>
      <c r="AF40" s="82">
        <f t="shared" si="2"/>
        <v>0</v>
      </c>
      <c r="AG40" s="88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89">
        <v>29</v>
      </c>
      <c r="B41" s="114">
        <f>INDEX('Tabl. 1'!$C$8:$AO$313,104+$AB36,MATCH($C$7,$AA$7:$AA$45))</f>
        <v>99999999999</v>
      </c>
      <c r="C41" s="114">
        <f>INDEX('Tabl. 1'!$C$8:$AO$313,206+$AB36,MATCH($C$7,$AA$7:$AA$45))</f>
        <v>99999999999</v>
      </c>
      <c r="I41" s="86"/>
      <c r="P41" s="77"/>
      <c r="Q41" s="77"/>
      <c r="R41" s="77"/>
      <c r="S41" s="77"/>
      <c r="T41" s="77"/>
      <c r="U41" s="77"/>
      <c r="V41" s="76"/>
      <c r="W41" s="76"/>
      <c r="X41" s="76"/>
      <c r="Y41" s="76"/>
      <c r="Z41" s="76"/>
      <c r="AA41" s="82">
        <v>2056</v>
      </c>
      <c r="AB41" s="82">
        <v>34</v>
      </c>
      <c r="AC41" s="82"/>
      <c r="AD41" s="87">
        <f t="shared" si="0"/>
        <v>-99999999999</v>
      </c>
      <c r="AE41" s="88">
        <f t="shared" si="1"/>
        <v>99999999999</v>
      </c>
      <c r="AF41" s="82">
        <f t="shared" si="2"/>
        <v>0</v>
      </c>
      <c r="AG41" s="88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89">
        <v>30</v>
      </c>
      <c r="B42" s="114">
        <f>INDEX('Tabl. 1'!$C$8:$AO$313,104+$AB37,MATCH($C$7,$AA$7:$AA$45))</f>
        <v>99999999999</v>
      </c>
      <c r="C42" s="114">
        <f>INDEX('Tabl. 1'!$C$8:$AO$313,206+$AB37,MATCH($C$7,$AA$7:$AA$45))</f>
        <v>99999999999</v>
      </c>
      <c r="I42" s="86"/>
      <c r="P42" s="77"/>
      <c r="Q42" s="77"/>
      <c r="R42" s="77"/>
      <c r="S42" s="77"/>
      <c r="T42" s="77"/>
      <c r="U42" s="77"/>
      <c r="V42" s="76"/>
      <c r="W42" s="76"/>
      <c r="X42" s="76"/>
      <c r="Y42" s="76"/>
      <c r="Z42" s="76"/>
      <c r="AA42" s="82">
        <v>2057</v>
      </c>
      <c r="AB42" s="82">
        <v>35</v>
      </c>
      <c r="AC42" s="82"/>
      <c r="AD42" s="87">
        <f t="shared" si="0"/>
        <v>-99999999999</v>
      </c>
      <c r="AE42" s="88">
        <f t="shared" si="1"/>
        <v>99999999999</v>
      </c>
      <c r="AF42" s="82">
        <f t="shared" si="2"/>
        <v>0</v>
      </c>
      <c r="AG42" s="88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89">
        <v>31</v>
      </c>
      <c r="B43" s="114">
        <f>INDEX('Tabl. 1'!$C$8:$AO$313,104+$AB38,MATCH($C$7,$AA$7:$AA$45))</f>
        <v>99999999999</v>
      </c>
      <c r="C43" s="114">
        <f>INDEX('Tabl. 1'!$C$8:$AO$313,206+$AB38,MATCH($C$7,$AA$7:$AA$45))</f>
        <v>99999999999</v>
      </c>
      <c r="I43" s="86"/>
      <c r="P43" s="77"/>
      <c r="Q43" s="77"/>
      <c r="R43" s="77"/>
      <c r="S43" s="77"/>
      <c r="T43" s="77"/>
      <c r="U43" s="77"/>
      <c r="V43" s="76"/>
      <c r="W43" s="76"/>
      <c r="X43" s="76"/>
      <c r="Y43" s="76"/>
      <c r="Z43" s="76"/>
      <c r="AA43" s="82">
        <v>2058</v>
      </c>
      <c r="AB43" s="82">
        <v>36</v>
      </c>
      <c r="AC43" s="82"/>
      <c r="AD43" s="87">
        <f t="shared" si="0"/>
        <v>-99999999999</v>
      </c>
      <c r="AE43" s="88">
        <f t="shared" si="1"/>
        <v>99999999999</v>
      </c>
      <c r="AF43" s="82">
        <f t="shared" si="2"/>
        <v>0</v>
      </c>
      <c r="AG43" s="88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89">
        <v>32</v>
      </c>
      <c r="B44" s="114">
        <f>INDEX('Tabl. 1'!$C$8:$AO$313,104+$AB39,MATCH($C$7,$AA$7:$AA$45))</f>
        <v>99999999999</v>
      </c>
      <c r="C44" s="114">
        <f>INDEX('Tabl. 1'!$C$8:$AO$313,206+$AB39,MATCH($C$7,$AA$7:$AA$45))</f>
        <v>99999999999</v>
      </c>
      <c r="I44" s="86"/>
      <c r="P44" s="77"/>
      <c r="Q44" s="77"/>
      <c r="R44" s="77"/>
      <c r="S44" s="77"/>
      <c r="T44" s="77"/>
      <c r="U44" s="77"/>
      <c r="V44" s="76"/>
      <c r="W44" s="76"/>
      <c r="X44" s="76"/>
      <c r="Y44" s="76"/>
      <c r="Z44" s="76"/>
      <c r="AA44" s="82">
        <v>2059</v>
      </c>
      <c r="AB44" s="82">
        <v>37</v>
      </c>
      <c r="AC44" s="82"/>
      <c r="AD44" s="87">
        <f t="shared" si="0"/>
        <v>-99999999999</v>
      </c>
      <c r="AE44" s="88">
        <f t="shared" si="1"/>
        <v>99999999999</v>
      </c>
      <c r="AF44" s="82">
        <f t="shared" si="2"/>
        <v>0</v>
      </c>
      <c r="AG44" s="88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89">
        <v>33</v>
      </c>
      <c r="B45" s="114">
        <f>INDEX('Tabl. 1'!$C$8:$AO$313,104+$AB40,MATCH($C$7,$AA$7:$AA$45))</f>
        <v>99999999999</v>
      </c>
      <c r="C45" s="114">
        <f>INDEX('Tabl. 1'!$C$8:$AO$313,206+$AB40,MATCH($C$7,$AA$7:$AA$45))</f>
        <v>99999999999</v>
      </c>
      <c r="I45" s="86"/>
      <c r="P45" s="77"/>
      <c r="Q45" s="77"/>
      <c r="R45" s="77"/>
      <c r="S45" s="77"/>
      <c r="T45" s="77"/>
      <c r="U45" s="77"/>
      <c r="V45" s="76"/>
      <c r="W45" s="76"/>
      <c r="X45" s="76"/>
      <c r="Y45" s="76"/>
      <c r="Z45" s="76"/>
      <c r="AA45" s="82">
        <v>2060</v>
      </c>
      <c r="AB45" s="82">
        <v>38</v>
      </c>
      <c r="AC45" s="82"/>
      <c r="AD45" s="87">
        <f t="shared" si="0"/>
        <v>-99999999999</v>
      </c>
      <c r="AE45" s="88">
        <f t="shared" si="1"/>
        <v>99999999999</v>
      </c>
      <c r="AF45" s="82">
        <f t="shared" si="2"/>
        <v>0</v>
      </c>
      <c r="AG45" s="88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89">
        <v>34</v>
      </c>
      <c r="B46" s="114">
        <f>INDEX('Tabl. 1'!$C$8:$AO$313,104+$AB41,MATCH($C$7,$AA$7:$AA$45))</f>
        <v>99999999999</v>
      </c>
      <c r="C46" s="114">
        <f>INDEX('Tabl. 1'!$C$8:$AO$313,206+$AB41,MATCH($C$7,$AA$7:$AA$45))</f>
        <v>99999999999</v>
      </c>
      <c r="I46" s="86"/>
      <c r="P46" s="77"/>
      <c r="Q46" s="77"/>
      <c r="R46" s="77"/>
      <c r="S46" s="77"/>
      <c r="T46" s="77"/>
      <c r="U46" s="77"/>
      <c r="V46" s="76"/>
      <c r="W46" s="76"/>
      <c r="X46" s="76"/>
      <c r="Y46" s="76"/>
      <c r="Z46" s="76"/>
      <c r="AA46" s="82"/>
      <c r="AB46" s="82">
        <v>39</v>
      </c>
      <c r="AC46" s="82"/>
      <c r="AD46" s="87">
        <f t="shared" si="0"/>
        <v>-99999999999</v>
      </c>
      <c r="AE46" s="88">
        <f t="shared" si="1"/>
        <v>99999999999</v>
      </c>
      <c r="AF46" s="82">
        <f t="shared" si="2"/>
        <v>0</v>
      </c>
      <c r="AG46" s="88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89">
        <v>35</v>
      </c>
      <c r="B47" s="114">
        <f>INDEX('Tabl. 1'!$C$8:$AO$313,104+$AB42,MATCH($C$7,$AA$7:$AA$45))</f>
        <v>99999999999</v>
      </c>
      <c r="C47" s="114">
        <f>INDEX('Tabl. 1'!$C$8:$AO$313,206+$AB42,MATCH($C$7,$AA$7:$AA$45))</f>
        <v>99999999999</v>
      </c>
      <c r="I47" s="86"/>
      <c r="P47" s="77"/>
      <c r="Q47" s="77"/>
      <c r="R47" s="77"/>
      <c r="S47" s="77"/>
      <c r="T47" s="77"/>
      <c r="U47" s="77"/>
      <c r="V47" s="76"/>
      <c r="W47" s="76"/>
      <c r="X47" s="76"/>
      <c r="Y47" s="76"/>
      <c r="Z47" s="76"/>
      <c r="AA47" s="82"/>
      <c r="AB47" s="82">
        <v>40</v>
      </c>
      <c r="AC47" s="82"/>
      <c r="AD47" s="87">
        <f t="shared" si="0"/>
        <v>-99999999999</v>
      </c>
      <c r="AE47" s="88">
        <f t="shared" si="1"/>
        <v>99999999999</v>
      </c>
      <c r="AF47" s="82">
        <f t="shared" si="2"/>
        <v>0</v>
      </c>
      <c r="AG47" s="88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89">
        <v>36</v>
      </c>
      <c r="B48" s="114">
        <f>INDEX('Tabl. 1'!$C$8:$AO$313,104+$AB43,MATCH($C$7,$AA$7:$AA$45))</f>
        <v>99999999999</v>
      </c>
      <c r="C48" s="114">
        <f>INDEX('Tabl. 1'!$C$8:$AO$313,206+$AB43,MATCH($C$7,$AA$7:$AA$45))</f>
        <v>99999999999</v>
      </c>
      <c r="I48" s="86"/>
      <c r="P48" s="77"/>
      <c r="Q48" s="77"/>
      <c r="R48" s="77"/>
      <c r="S48" s="77"/>
      <c r="T48" s="77"/>
      <c r="U48" s="77"/>
      <c r="V48" s="76"/>
      <c r="W48" s="76"/>
      <c r="X48" s="76"/>
      <c r="Y48" s="76"/>
      <c r="Z48" s="76"/>
      <c r="AA48" s="82"/>
      <c r="AB48" s="82">
        <v>41</v>
      </c>
      <c r="AC48" s="82"/>
      <c r="AD48" s="87">
        <f t="shared" si="0"/>
        <v>-99999999999</v>
      </c>
      <c r="AE48" s="88">
        <f t="shared" si="1"/>
        <v>99999999999</v>
      </c>
      <c r="AF48" s="82">
        <f t="shared" si="2"/>
        <v>0</v>
      </c>
      <c r="AG48" s="88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89">
        <v>37</v>
      </c>
      <c r="B49" s="114">
        <f>INDEX('Tabl. 1'!$C$8:$AO$313,104+$AB44,MATCH($C$7,$AA$7:$AA$45))</f>
        <v>99999999999</v>
      </c>
      <c r="C49" s="114">
        <f>INDEX('Tabl. 1'!$C$8:$AO$313,206+$AB44,MATCH($C$7,$AA$7:$AA$45))</f>
        <v>99999999999</v>
      </c>
      <c r="I49" s="86"/>
      <c r="P49" s="77"/>
      <c r="Q49" s="77"/>
      <c r="R49" s="77"/>
      <c r="S49" s="77"/>
      <c r="T49" s="77"/>
      <c r="U49" s="77"/>
      <c r="V49" s="76"/>
      <c r="W49" s="76"/>
      <c r="X49" s="76"/>
      <c r="Y49" s="76"/>
      <c r="Z49" s="76"/>
      <c r="AA49" s="82"/>
      <c r="AB49" s="82">
        <v>42</v>
      </c>
      <c r="AC49" s="82"/>
      <c r="AD49" s="87">
        <f t="shared" si="0"/>
        <v>-99999999999</v>
      </c>
      <c r="AE49" s="88">
        <f t="shared" si="1"/>
        <v>99999999999</v>
      </c>
      <c r="AF49" s="82">
        <f t="shared" si="2"/>
        <v>0</v>
      </c>
      <c r="AG49" s="88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89">
        <v>38</v>
      </c>
      <c r="B50" s="114">
        <f>INDEX('Tabl. 1'!$C$8:$AO$313,104+$AB45,MATCH($C$7,$AA$7:$AA$45))</f>
        <v>99999999999</v>
      </c>
      <c r="C50" s="114">
        <f>INDEX('Tabl. 1'!$C$8:$AO$313,206+$AB45,MATCH($C$7,$AA$7:$AA$45))</f>
        <v>99999999999</v>
      </c>
      <c r="I50" s="86"/>
      <c r="P50" s="77"/>
      <c r="Q50" s="77"/>
      <c r="R50" s="77"/>
      <c r="S50" s="77"/>
      <c r="T50" s="77"/>
      <c r="U50" s="77"/>
      <c r="V50" s="76"/>
      <c r="W50" s="76"/>
      <c r="X50" s="76"/>
      <c r="Y50" s="76"/>
      <c r="Z50" s="76"/>
      <c r="AA50" s="82"/>
      <c r="AB50" s="82">
        <v>43</v>
      </c>
      <c r="AC50" s="82"/>
      <c r="AD50" s="87">
        <f t="shared" si="0"/>
        <v>-99999999999</v>
      </c>
      <c r="AE50" s="88">
        <f t="shared" si="1"/>
        <v>99999999999</v>
      </c>
      <c r="AF50" s="82">
        <f t="shared" si="2"/>
        <v>0</v>
      </c>
      <c r="AG50" s="88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89">
        <v>39</v>
      </c>
      <c r="B51" s="114">
        <f>INDEX('Tabl. 1'!$C$8:$AO$313,104+$AB46,MATCH($C$7,$AA$7:$AA$45))</f>
        <v>99999999999</v>
      </c>
      <c r="C51" s="114">
        <f>INDEX('Tabl. 1'!$C$8:$AO$313,206+$AB46,MATCH($C$7,$AA$7:$AA$45))</f>
        <v>99999999999</v>
      </c>
      <c r="I51" s="86"/>
      <c r="P51" s="77"/>
      <c r="Q51" s="77"/>
      <c r="R51" s="77"/>
      <c r="S51" s="77"/>
      <c r="T51" s="77"/>
      <c r="U51" s="77"/>
      <c r="V51" s="76"/>
      <c r="W51" s="76"/>
      <c r="X51" s="76"/>
      <c r="Y51" s="76"/>
      <c r="Z51" s="76"/>
      <c r="AA51" s="82"/>
      <c r="AB51" s="82">
        <v>44</v>
      </c>
      <c r="AC51" s="82"/>
      <c r="AD51" s="87">
        <f t="shared" si="0"/>
        <v>-99999999999</v>
      </c>
      <c r="AE51" s="88">
        <f t="shared" si="1"/>
        <v>99999999999</v>
      </c>
      <c r="AF51" s="82">
        <f t="shared" si="2"/>
        <v>0</v>
      </c>
      <c r="AG51" s="88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89">
        <v>40</v>
      </c>
      <c r="B52" s="114">
        <f>INDEX('Tabl. 1'!$C$8:$AO$313,104+$AB47,MATCH($C$7,$AA$7:$AA$45))</f>
        <v>99999999999</v>
      </c>
      <c r="C52" s="114">
        <f>INDEX('Tabl. 1'!$C$8:$AO$313,206+$AB47,MATCH($C$7,$AA$7:$AA$45))</f>
        <v>99999999999</v>
      </c>
      <c r="I52" s="86"/>
      <c r="P52" s="77"/>
      <c r="Q52" s="77"/>
      <c r="R52" s="77"/>
      <c r="S52" s="77"/>
      <c r="T52" s="77"/>
      <c r="U52" s="77"/>
      <c r="V52" s="76"/>
      <c r="W52" s="76"/>
      <c r="X52" s="76"/>
      <c r="Y52" s="76"/>
      <c r="Z52" s="76"/>
      <c r="AA52" s="82"/>
      <c r="AB52" s="82">
        <v>45</v>
      </c>
      <c r="AC52" s="82"/>
      <c r="AD52" s="87">
        <f t="shared" si="0"/>
        <v>-99999999999</v>
      </c>
      <c r="AE52" s="88">
        <f t="shared" si="1"/>
        <v>99999999999</v>
      </c>
      <c r="AF52" s="82">
        <f t="shared" si="2"/>
        <v>0</v>
      </c>
      <c r="AG52" s="88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89">
        <v>41</v>
      </c>
      <c r="B53" s="114">
        <f>INDEX('Tabl. 1'!$C$8:$AO$313,104+$AB48,MATCH($C$7,$AA$7:$AA$45))</f>
        <v>99999999999</v>
      </c>
      <c r="C53" s="114">
        <f>INDEX('Tabl. 1'!$C$8:$AO$313,206+$AB48,MATCH($C$7,$AA$7:$AA$45))</f>
        <v>99999999999</v>
      </c>
      <c r="I53" s="86"/>
      <c r="P53" s="77"/>
      <c r="Q53" s="77"/>
      <c r="R53" s="77"/>
      <c r="S53" s="77"/>
      <c r="T53" s="77"/>
      <c r="U53" s="77"/>
      <c r="V53" s="76"/>
      <c r="W53" s="76"/>
      <c r="X53" s="76"/>
      <c r="Y53" s="76"/>
      <c r="Z53" s="76"/>
      <c r="AA53" s="82"/>
      <c r="AB53" s="82">
        <v>46</v>
      </c>
      <c r="AC53" s="82"/>
      <c r="AD53" s="87">
        <f t="shared" si="0"/>
        <v>-99999999999</v>
      </c>
      <c r="AE53" s="88">
        <f t="shared" si="1"/>
        <v>99999999999</v>
      </c>
      <c r="AF53" s="82">
        <f t="shared" si="2"/>
        <v>0</v>
      </c>
      <c r="AG53" s="88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89">
        <v>42</v>
      </c>
      <c r="B54" s="114">
        <f>INDEX('Tabl. 1'!$C$8:$AO$313,104+$AB49,MATCH($C$7,$AA$7:$AA$45))</f>
        <v>99999999999</v>
      </c>
      <c r="C54" s="114">
        <f>INDEX('Tabl. 1'!$C$8:$AO$313,206+$AB49,MATCH($C$7,$AA$7:$AA$45))</f>
        <v>99999999999</v>
      </c>
      <c r="I54" s="86"/>
      <c r="P54" s="77"/>
      <c r="Q54" s="77"/>
      <c r="R54" s="77"/>
      <c r="S54" s="77"/>
      <c r="T54" s="77"/>
      <c r="U54" s="77"/>
      <c r="V54" s="76"/>
      <c r="W54" s="76"/>
      <c r="X54" s="76"/>
      <c r="Y54" s="76"/>
      <c r="Z54" s="76"/>
      <c r="AA54" s="82"/>
      <c r="AB54" s="82">
        <v>47</v>
      </c>
      <c r="AC54" s="82"/>
      <c r="AD54" s="87">
        <f t="shared" si="0"/>
        <v>-99999999999</v>
      </c>
      <c r="AE54" s="88">
        <f t="shared" si="1"/>
        <v>99999999999</v>
      </c>
      <c r="AF54" s="82">
        <f t="shared" si="2"/>
        <v>0</v>
      </c>
      <c r="AG54" s="88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89">
        <v>43</v>
      </c>
      <c r="B55" s="114">
        <f>INDEX('Tabl. 1'!$C$8:$AO$313,104+$AB50,MATCH($C$7,$AA$7:$AA$45))</f>
        <v>99999999999</v>
      </c>
      <c r="C55" s="114">
        <f>INDEX('Tabl. 1'!$C$8:$AO$313,206+$AB50,MATCH($C$7,$AA$7:$AA$45))</f>
        <v>99999999999</v>
      </c>
      <c r="I55" s="86"/>
      <c r="P55" s="77"/>
      <c r="Q55" s="77"/>
      <c r="R55" s="77"/>
      <c r="S55" s="77"/>
      <c r="T55" s="77"/>
      <c r="U55" s="77"/>
      <c r="V55" s="76"/>
      <c r="W55" s="76"/>
      <c r="X55" s="76"/>
      <c r="Y55" s="76"/>
      <c r="Z55" s="76"/>
      <c r="AA55" s="82"/>
      <c r="AB55" s="82">
        <v>48</v>
      </c>
      <c r="AC55" s="82"/>
      <c r="AD55" s="87">
        <f t="shared" si="0"/>
        <v>-99999999999</v>
      </c>
      <c r="AE55" s="88">
        <f t="shared" si="1"/>
        <v>99999999999</v>
      </c>
      <c r="AF55" s="82">
        <f t="shared" si="2"/>
        <v>0</v>
      </c>
      <c r="AG55" s="88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89">
        <v>44</v>
      </c>
      <c r="B56" s="114">
        <f>INDEX('Tabl. 1'!$C$8:$AO$313,104+$AB51,MATCH($C$7,$AA$7:$AA$45))</f>
        <v>99999999999</v>
      </c>
      <c r="C56" s="114">
        <f>INDEX('Tabl. 1'!$C$8:$AO$313,206+$AB51,MATCH($C$7,$AA$7:$AA$45))</f>
        <v>99999999999</v>
      </c>
      <c r="I56" s="86"/>
      <c r="P56" s="77"/>
      <c r="Q56" s="77"/>
      <c r="R56" s="77"/>
      <c r="S56" s="77"/>
      <c r="T56" s="77"/>
      <c r="U56" s="77"/>
      <c r="V56" s="76"/>
      <c r="W56" s="76"/>
      <c r="X56" s="76"/>
      <c r="Y56" s="76"/>
      <c r="Z56" s="76"/>
      <c r="AA56" s="82"/>
      <c r="AB56" s="82">
        <v>49</v>
      </c>
      <c r="AC56" s="82"/>
      <c r="AD56" s="87">
        <f t="shared" si="0"/>
        <v>-99999999999</v>
      </c>
      <c r="AE56" s="88">
        <f t="shared" si="1"/>
        <v>99999999999</v>
      </c>
      <c r="AF56" s="82">
        <f t="shared" si="2"/>
        <v>0</v>
      </c>
      <c r="AG56" s="88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89">
        <v>45</v>
      </c>
      <c r="B57" s="114">
        <f>INDEX('Tabl. 1'!$C$8:$AO$313,104+$AB52,MATCH($C$7,$AA$7:$AA$45))</f>
        <v>99999999999</v>
      </c>
      <c r="C57" s="114">
        <f>INDEX('Tabl. 1'!$C$8:$AO$313,206+$AB52,MATCH($C$7,$AA$7:$AA$45))</f>
        <v>99999999999</v>
      </c>
      <c r="I57" s="86"/>
      <c r="P57" s="77"/>
      <c r="Q57" s="77"/>
      <c r="R57" s="77"/>
      <c r="S57" s="77"/>
      <c r="T57" s="77"/>
      <c r="U57" s="77"/>
      <c r="V57" s="76"/>
      <c r="W57" s="76"/>
      <c r="X57" s="76"/>
      <c r="Y57" s="76"/>
      <c r="Z57" s="76"/>
      <c r="AA57" s="82"/>
      <c r="AB57" s="82">
        <v>50</v>
      </c>
      <c r="AC57" s="82"/>
      <c r="AD57" s="87">
        <f t="shared" si="0"/>
        <v>-99999999999</v>
      </c>
      <c r="AE57" s="88">
        <f t="shared" si="1"/>
        <v>99999999999</v>
      </c>
      <c r="AF57" s="82">
        <f t="shared" si="2"/>
        <v>0</v>
      </c>
      <c r="AG57" s="88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89">
        <v>46</v>
      </c>
      <c r="B58" s="114">
        <f>INDEX('Tabl. 1'!$C$8:$AO$313,104+$AB53,MATCH($C$7,$AA$7:$AA$45))</f>
        <v>99999999999</v>
      </c>
      <c r="C58" s="114">
        <f>INDEX('Tabl. 1'!$C$8:$AO$313,206+$AB53,MATCH($C$7,$AA$7:$AA$45))</f>
        <v>99999999999</v>
      </c>
      <c r="I58" s="86"/>
      <c r="P58" s="77"/>
      <c r="Q58" s="77"/>
      <c r="R58" s="77"/>
      <c r="S58" s="77"/>
      <c r="T58" s="77"/>
      <c r="U58" s="77"/>
      <c r="V58" s="76"/>
      <c r="W58" s="76"/>
      <c r="X58" s="76"/>
      <c r="Y58" s="76"/>
      <c r="Z58" s="76"/>
      <c r="AA58" s="82"/>
      <c r="AB58" s="82">
        <v>51</v>
      </c>
      <c r="AC58" s="82"/>
      <c r="AD58" s="87">
        <f t="shared" si="0"/>
        <v>-99999999999</v>
      </c>
      <c r="AE58" s="88">
        <f t="shared" si="1"/>
        <v>99999999999</v>
      </c>
      <c r="AF58" s="82">
        <f t="shared" si="2"/>
        <v>0</v>
      </c>
      <c r="AG58" s="88">
        <f t="shared" si="3"/>
        <v>0</v>
      </c>
      <c r="AH58" s="104"/>
      <c r="AI58" s="104"/>
      <c r="AJ58" s="105"/>
      <c r="AK58" s="105"/>
      <c r="AL58" s="105"/>
      <c r="AM58" s="105"/>
    </row>
    <row r="59" spans="1:39" x14ac:dyDescent="0.25">
      <c r="A59" s="89">
        <v>47</v>
      </c>
      <c r="B59" s="114">
        <f>INDEX('Tabl. 1'!$C$8:$AO$313,104+$AB54,MATCH($C$7,$AA$7:$AA$45))</f>
        <v>99999999999</v>
      </c>
      <c r="C59" s="114">
        <f>INDEX('Tabl. 1'!$C$8:$AO$313,206+$AB54,MATCH($C$7,$AA$7:$AA$45))</f>
        <v>99999999999</v>
      </c>
      <c r="I59" s="86"/>
      <c r="P59" s="77"/>
      <c r="Q59" s="77"/>
      <c r="R59" s="77"/>
      <c r="S59" s="77"/>
      <c r="T59" s="77"/>
      <c r="U59" s="77"/>
      <c r="V59" s="76"/>
      <c r="W59" s="76"/>
      <c r="X59" s="76"/>
      <c r="Y59" s="76"/>
      <c r="Z59" s="76"/>
      <c r="AA59" s="82"/>
      <c r="AB59" s="82">
        <v>52</v>
      </c>
      <c r="AC59" s="82"/>
      <c r="AD59" s="87">
        <f t="shared" si="0"/>
        <v>-99999999999</v>
      </c>
      <c r="AE59" s="88">
        <f t="shared" si="1"/>
        <v>99999999999</v>
      </c>
      <c r="AF59" s="82">
        <f t="shared" si="2"/>
        <v>0</v>
      </c>
      <c r="AG59" s="88">
        <f t="shared" si="3"/>
        <v>0</v>
      </c>
      <c r="AH59" s="104"/>
      <c r="AI59" s="104"/>
      <c r="AJ59" s="105"/>
      <c r="AK59" s="105"/>
      <c r="AL59" s="105"/>
      <c r="AM59" s="105"/>
    </row>
    <row r="60" spans="1:39" x14ac:dyDescent="0.25">
      <c r="A60" s="89">
        <v>48</v>
      </c>
      <c r="B60" s="114">
        <f>INDEX('Tabl. 1'!$C$8:$AO$313,104+$AB55,MATCH($C$7,$AA$7:$AA$45))</f>
        <v>99999999999</v>
      </c>
      <c r="C60" s="114">
        <f>INDEX('Tabl. 1'!$C$8:$AO$313,206+$AB55,MATCH($C$7,$AA$7:$AA$45))</f>
        <v>99999999999</v>
      </c>
      <c r="I60" s="86"/>
      <c r="P60" s="77"/>
      <c r="Q60" s="77"/>
      <c r="R60" s="77"/>
      <c r="S60" s="77"/>
      <c r="T60" s="77"/>
      <c r="U60" s="77"/>
      <c r="V60" s="76"/>
      <c r="W60" s="76"/>
      <c r="X60" s="76"/>
      <c r="Y60" s="76"/>
      <c r="Z60" s="76"/>
      <c r="AA60" s="82"/>
      <c r="AB60" s="82">
        <v>53</v>
      </c>
      <c r="AC60" s="82"/>
      <c r="AD60" s="87">
        <f t="shared" si="0"/>
        <v>-99999999999</v>
      </c>
      <c r="AE60" s="88">
        <f t="shared" si="1"/>
        <v>99999999999</v>
      </c>
      <c r="AF60" s="82">
        <f t="shared" si="2"/>
        <v>0</v>
      </c>
      <c r="AG60" s="88">
        <f t="shared" si="3"/>
        <v>0</v>
      </c>
      <c r="AH60" s="104"/>
      <c r="AI60" s="104"/>
      <c r="AJ60" s="105"/>
      <c r="AK60" s="105"/>
      <c r="AL60" s="105"/>
      <c r="AM60" s="105"/>
    </row>
    <row r="61" spans="1:39" x14ac:dyDescent="0.25">
      <c r="A61" s="89">
        <v>49</v>
      </c>
      <c r="B61" s="114">
        <f>INDEX('Tabl. 1'!$C$8:$AO$313,104+$AB56,MATCH($C$7,$AA$7:$AA$45))</f>
        <v>99999999999</v>
      </c>
      <c r="C61" s="114">
        <f>INDEX('Tabl. 1'!$C$8:$AO$313,206+$AB56,MATCH($C$7,$AA$7:$AA$45))</f>
        <v>99999999999</v>
      </c>
      <c r="I61" s="86"/>
      <c r="P61" s="77"/>
      <c r="Q61" s="77"/>
      <c r="R61" s="77"/>
      <c r="S61" s="77"/>
      <c r="T61" s="77"/>
      <c r="U61" s="77"/>
      <c r="V61" s="76"/>
      <c r="W61" s="76"/>
      <c r="X61" s="76"/>
      <c r="Y61" s="76"/>
      <c r="Z61" s="76"/>
      <c r="AA61" s="82"/>
      <c r="AB61" s="82">
        <v>54</v>
      </c>
      <c r="AC61" s="82"/>
      <c r="AD61" s="87">
        <f t="shared" si="0"/>
        <v>-99999999999</v>
      </c>
      <c r="AE61" s="88">
        <f t="shared" si="1"/>
        <v>99999999999</v>
      </c>
      <c r="AF61" s="82">
        <f t="shared" si="2"/>
        <v>0</v>
      </c>
      <c r="AG61" s="88">
        <f t="shared" si="3"/>
        <v>0</v>
      </c>
      <c r="AH61" s="104"/>
      <c r="AI61" s="104"/>
      <c r="AJ61" s="105"/>
      <c r="AK61" s="105"/>
      <c r="AL61" s="105"/>
      <c r="AM61" s="105"/>
    </row>
    <row r="62" spans="1:39" x14ac:dyDescent="0.25">
      <c r="A62" s="89">
        <v>50</v>
      </c>
      <c r="B62" s="114">
        <f>INDEX('Tabl. 1'!$C$8:$AO$313,104+$AB57,MATCH($C$7,$AA$7:$AA$45))</f>
        <v>99999999999</v>
      </c>
      <c r="C62" s="114">
        <f>INDEX('Tabl. 1'!$C$8:$AO$313,206+$AB57,MATCH($C$7,$AA$7:$AA$45))</f>
        <v>99999999999</v>
      </c>
      <c r="I62" s="86"/>
      <c r="P62" s="77"/>
      <c r="Q62" s="77"/>
      <c r="R62" s="77"/>
      <c r="S62" s="77"/>
      <c r="T62" s="77"/>
      <c r="U62" s="77"/>
      <c r="V62" s="76"/>
      <c r="W62" s="76"/>
      <c r="X62" s="76"/>
      <c r="Y62" s="76"/>
      <c r="Z62" s="76"/>
      <c r="AA62" s="82"/>
      <c r="AB62" s="82">
        <v>55</v>
      </c>
      <c r="AC62" s="82"/>
      <c r="AD62" s="87">
        <f t="shared" si="0"/>
        <v>-99999999999</v>
      </c>
      <c r="AE62" s="88">
        <f t="shared" si="1"/>
        <v>99999999999</v>
      </c>
      <c r="AF62" s="82">
        <f t="shared" si="2"/>
        <v>0</v>
      </c>
      <c r="AG62" s="88">
        <f t="shared" si="3"/>
        <v>0</v>
      </c>
      <c r="AH62" s="104"/>
      <c r="AI62" s="104"/>
      <c r="AJ62" s="105"/>
      <c r="AK62" s="105"/>
      <c r="AL62" s="105"/>
      <c r="AM62" s="105"/>
    </row>
    <row r="63" spans="1:39" x14ac:dyDescent="0.25">
      <c r="A63" s="89">
        <v>51</v>
      </c>
      <c r="B63" s="114">
        <f>INDEX('Tabl. 1'!$C$8:$AO$313,104+$AB58,MATCH($C$7,$AA$7:$AA$45))</f>
        <v>99999999999</v>
      </c>
      <c r="C63" s="114">
        <f>INDEX('Tabl. 1'!$C$8:$AO$313,206+$AB58,MATCH($C$7,$AA$7:$AA$45))</f>
        <v>99999999999</v>
      </c>
      <c r="I63" s="86"/>
      <c r="P63" s="77"/>
      <c r="Q63" s="77"/>
      <c r="R63" s="77"/>
      <c r="S63" s="77"/>
      <c r="T63" s="77"/>
      <c r="U63" s="77"/>
      <c r="V63" s="76"/>
      <c r="W63" s="76"/>
      <c r="X63" s="76"/>
      <c r="Y63" s="76"/>
      <c r="Z63" s="76"/>
      <c r="AA63" s="82"/>
      <c r="AB63" s="82">
        <v>56</v>
      </c>
      <c r="AC63" s="82"/>
      <c r="AD63" s="87">
        <f t="shared" si="0"/>
        <v>-99999999999</v>
      </c>
      <c r="AE63" s="88">
        <f t="shared" si="1"/>
        <v>99999999999</v>
      </c>
      <c r="AF63" s="82">
        <f t="shared" si="2"/>
        <v>0</v>
      </c>
      <c r="AG63" s="88">
        <f t="shared" si="3"/>
        <v>0</v>
      </c>
      <c r="AH63" s="104"/>
      <c r="AI63" s="104"/>
      <c r="AJ63" s="105"/>
      <c r="AK63" s="105"/>
      <c r="AL63" s="105"/>
      <c r="AM63" s="105"/>
    </row>
    <row r="64" spans="1:39" x14ac:dyDescent="0.25">
      <c r="A64" s="89">
        <v>52</v>
      </c>
      <c r="B64" s="114">
        <f>INDEX('Tabl. 1'!$C$8:$AO$313,104+$AB59,MATCH($C$7,$AA$7:$AA$45))</f>
        <v>99999999999</v>
      </c>
      <c r="C64" s="114">
        <f>INDEX('Tabl. 1'!$C$8:$AO$313,206+$AB59,MATCH($C$7,$AA$7:$AA$45))</f>
        <v>99999999999</v>
      </c>
      <c r="I64" s="86"/>
      <c r="P64" s="77"/>
      <c r="Q64" s="77"/>
      <c r="R64" s="77"/>
      <c r="S64" s="77"/>
      <c r="T64" s="77"/>
      <c r="U64" s="77"/>
      <c r="V64" s="76"/>
      <c r="W64" s="76"/>
      <c r="X64" s="76"/>
      <c r="Y64" s="76"/>
      <c r="Z64" s="76"/>
      <c r="AA64" s="82"/>
      <c r="AB64" s="82">
        <v>57</v>
      </c>
      <c r="AC64" s="82"/>
      <c r="AD64" s="87">
        <f t="shared" si="0"/>
        <v>-99999999999</v>
      </c>
      <c r="AE64" s="88">
        <f t="shared" si="1"/>
        <v>99999999999</v>
      </c>
      <c r="AF64" s="82">
        <f t="shared" si="2"/>
        <v>0</v>
      </c>
      <c r="AG64" s="88">
        <f t="shared" si="3"/>
        <v>0</v>
      </c>
      <c r="AH64" s="104"/>
      <c r="AI64" s="104"/>
      <c r="AJ64" s="105"/>
      <c r="AK64" s="105"/>
      <c r="AL64" s="105"/>
      <c r="AM64" s="105"/>
    </row>
    <row r="65" spans="1:39" x14ac:dyDescent="0.25">
      <c r="A65" s="89">
        <v>53</v>
      </c>
      <c r="B65" s="114">
        <f>INDEX('Tabl. 1'!$C$8:$AO$313,104+$AB60,MATCH($C$7,$AA$7:$AA$45))</f>
        <v>99999999999</v>
      </c>
      <c r="C65" s="114">
        <f>INDEX('Tabl. 1'!$C$8:$AO$313,206+$AB60,MATCH($C$7,$AA$7:$AA$45))</f>
        <v>99999999999</v>
      </c>
      <c r="I65" s="86"/>
      <c r="P65" s="77"/>
      <c r="Q65" s="77"/>
      <c r="R65" s="77"/>
      <c r="S65" s="77"/>
      <c r="T65" s="77"/>
      <c r="U65" s="77"/>
      <c r="V65" s="76"/>
      <c r="W65" s="76"/>
      <c r="X65" s="76"/>
      <c r="Y65" s="76"/>
      <c r="Z65" s="76"/>
      <c r="AA65" s="82"/>
      <c r="AB65" s="82">
        <v>58</v>
      </c>
      <c r="AC65" s="82"/>
      <c r="AD65" s="87">
        <f t="shared" si="0"/>
        <v>-99999999999</v>
      </c>
      <c r="AE65" s="88">
        <f t="shared" si="1"/>
        <v>99999999999</v>
      </c>
      <c r="AF65" s="82">
        <f t="shared" si="2"/>
        <v>0</v>
      </c>
      <c r="AG65" s="88">
        <f t="shared" si="3"/>
        <v>0</v>
      </c>
      <c r="AH65" s="104"/>
      <c r="AI65" s="104"/>
      <c r="AJ65" s="105"/>
      <c r="AK65" s="105"/>
      <c r="AL65" s="105"/>
      <c r="AM65" s="105"/>
    </row>
    <row r="66" spans="1:39" x14ac:dyDescent="0.25">
      <c r="A66" s="89">
        <v>54</v>
      </c>
      <c r="B66" s="114">
        <f>INDEX('Tabl. 1'!$C$8:$AO$313,104+$AB61,MATCH($C$7,$AA$7:$AA$45))</f>
        <v>99999999999</v>
      </c>
      <c r="C66" s="114">
        <f>INDEX('Tabl. 1'!$C$8:$AO$313,206+$AB61,MATCH($C$7,$AA$7:$AA$45))</f>
        <v>99999999999</v>
      </c>
      <c r="I66" s="86"/>
      <c r="P66" s="77"/>
      <c r="Q66" s="77"/>
      <c r="R66" s="77"/>
      <c r="S66" s="77"/>
      <c r="T66" s="77"/>
      <c r="U66" s="77"/>
      <c r="V66" s="76"/>
      <c r="W66" s="76"/>
      <c r="X66" s="76"/>
      <c r="Y66" s="76"/>
      <c r="Z66" s="76"/>
      <c r="AA66" s="82"/>
      <c r="AB66" s="82">
        <v>59</v>
      </c>
      <c r="AC66" s="82"/>
      <c r="AD66" s="87">
        <f t="shared" si="0"/>
        <v>-99999999999</v>
      </c>
      <c r="AE66" s="88">
        <f t="shared" si="1"/>
        <v>99999999999</v>
      </c>
      <c r="AF66" s="82">
        <f t="shared" si="2"/>
        <v>0</v>
      </c>
      <c r="AG66" s="88">
        <f t="shared" si="3"/>
        <v>0</v>
      </c>
      <c r="AH66" s="104"/>
      <c r="AI66" s="104"/>
      <c r="AJ66" s="105"/>
      <c r="AK66" s="105"/>
      <c r="AL66" s="105"/>
      <c r="AM66" s="105"/>
    </row>
    <row r="67" spans="1:39" x14ac:dyDescent="0.25">
      <c r="A67" s="89">
        <v>55</v>
      </c>
      <c r="B67" s="114">
        <f>INDEX('Tabl. 1'!$C$8:$AO$313,104+$AB62,MATCH($C$7,$AA$7:$AA$45))</f>
        <v>99999999999</v>
      </c>
      <c r="C67" s="114">
        <f>INDEX('Tabl. 1'!$C$8:$AO$313,206+$AB62,MATCH($C$7,$AA$7:$AA$45))</f>
        <v>99999999999</v>
      </c>
      <c r="I67" s="86"/>
      <c r="P67" s="77"/>
      <c r="Q67" s="77"/>
      <c r="R67" s="77"/>
      <c r="S67" s="77"/>
      <c r="T67" s="77"/>
      <c r="U67" s="77"/>
      <c r="V67" s="76"/>
      <c r="W67" s="76"/>
      <c r="X67" s="76"/>
      <c r="Y67" s="76"/>
      <c r="Z67" s="76"/>
      <c r="AA67" s="82"/>
      <c r="AB67" s="82">
        <v>60</v>
      </c>
      <c r="AC67" s="82"/>
      <c r="AD67" s="87">
        <f t="shared" si="0"/>
        <v>-99999999999</v>
      </c>
      <c r="AE67" s="88">
        <f t="shared" si="1"/>
        <v>99999999999</v>
      </c>
      <c r="AF67" s="82">
        <f t="shared" si="2"/>
        <v>0</v>
      </c>
      <c r="AG67" s="88">
        <f t="shared" si="3"/>
        <v>0</v>
      </c>
      <c r="AH67" s="104"/>
      <c r="AI67" s="104"/>
      <c r="AJ67" s="105"/>
      <c r="AK67" s="105"/>
      <c r="AL67" s="105"/>
      <c r="AM67" s="105"/>
    </row>
    <row r="68" spans="1:39" x14ac:dyDescent="0.25">
      <c r="A68" s="89">
        <v>56</v>
      </c>
      <c r="B68" s="114">
        <f>INDEX('Tabl. 1'!$C$8:$AO$313,104+$AB63,MATCH($C$7,$AA$7:$AA$45))</f>
        <v>99999999999</v>
      </c>
      <c r="C68" s="114">
        <f>INDEX('Tabl. 1'!$C$8:$AO$313,206+$AB63,MATCH($C$7,$AA$7:$AA$45))</f>
        <v>99999999999</v>
      </c>
      <c r="I68" s="86"/>
      <c r="P68" s="77"/>
      <c r="Q68" s="77"/>
      <c r="R68" s="77"/>
      <c r="S68" s="77"/>
      <c r="T68" s="77"/>
      <c r="U68" s="77"/>
      <c r="V68" s="76"/>
      <c r="W68" s="76"/>
      <c r="X68" s="76"/>
      <c r="Y68" s="76"/>
      <c r="Z68" s="76"/>
      <c r="AA68" s="82"/>
      <c r="AB68" s="82">
        <v>61</v>
      </c>
      <c r="AC68" s="82"/>
      <c r="AD68" s="87">
        <f t="shared" si="0"/>
        <v>-99999999999</v>
      </c>
      <c r="AE68" s="88">
        <f t="shared" si="1"/>
        <v>99999999999</v>
      </c>
      <c r="AF68" s="82">
        <f t="shared" si="2"/>
        <v>0</v>
      </c>
      <c r="AG68" s="88">
        <f t="shared" si="3"/>
        <v>0</v>
      </c>
      <c r="AH68" s="104"/>
      <c r="AI68" s="104"/>
      <c r="AJ68" s="105"/>
      <c r="AK68" s="105"/>
      <c r="AL68" s="105"/>
      <c r="AM68" s="105"/>
    </row>
    <row r="69" spans="1:39" x14ac:dyDescent="0.25">
      <c r="A69" s="89">
        <v>57</v>
      </c>
      <c r="B69" s="114">
        <f>INDEX('Tabl. 1'!$C$8:$AO$313,104+$AB64,MATCH($C$7,$AA$7:$AA$45))</f>
        <v>99999999999</v>
      </c>
      <c r="C69" s="114">
        <f>INDEX('Tabl. 1'!$C$8:$AO$313,206+$AB64,MATCH($C$7,$AA$7:$AA$45))</f>
        <v>99999999999</v>
      </c>
      <c r="I69" s="86"/>
      <c r="P69" s="77"/>
      <c r="Q69" s="77"/>
      <c r="R69" s="77"/>
      <c r="S69" s="77"/>
      <c r="T69" s="77"/>
      <c r="U69" s="77"/>
      <c r="V69" s="76"/>
      <c r="W69" s="76"/>
      <c r="X69" s="76"/>
      <c r="Y69" s="76"/>
      <c r="Z69" s="76"/>
      <c r="AA69" s="82"/>
      <c r="AB69" s="82">
        <v>62</v>
      </c>
      <c r="AC69" s="82"/>
      <c r="AD69" s="87">
        <f t="shared" si="0"/>
        <v>-99999999999</v>
      </c>
      <c r="AE69" s="88">
        <f t="shared" si="1"/>
        <v>99999999999</v>
      </c>
      <c r="AF69" s="82">
        <f t="shared" si="2"/>
        <v>0</v>
      </c>
      <c r="AG69" s="88">
        <f t="shared" si="3"/>
        <v>0</v>
      </c>
      <c r="AH69" s="104"/>
      <c r="AI69" s="104"/>
      <c r="AJ69" s="105"/>
      <c r="AK69" s="105"/>
      <c r="AL69" s="105"/>
      <c r="AM69" s="105"/>
    </row>
    <row r="70" spans="1:39" x14ac:dyDescent="0.25">
      <c r="A70" s="89">
        <v>58</v>
      </c>
      <c r="B70" s="114">
        <f>INDEX('Tabl. 1'!$C$8:$AO$313,104+$AB65,MATCH($C$7,$AA$7:$AA$45))</f>
        <v>99999999999</v>
      </c>
      <c r="C70" s="114">
        <f>INDEX('Tabl. 1'!$C$8:$AO$313,206+$AB65,MATCH($C$7,$AA$7:$AA$45))</f>
        <v>99999999999</v>
      </c>
      <c r="I70" s="86"/>
      <c r="P70" s="77"/>
      <c r="Q70" s="77"/>
      <c r="R70" s="77"/>
      <c r="S70" s="77"/>
      <c r="T70" s="77"/>
      <c r="U70" s="77"/>
      <c r="V70" s="76"/>
      <c r="W70" s="76"/>
      <c r="X70" s="76"/>
      <c r="Y70" s="76"/>
      <c r="Z70" s="76"/>
      <c r="AA70" s="82"/>
      <c r="AB70" s="82">
        <v>63</v>
      </c>
      <c r="AC70" s="82"/>
      <c r="AD70" s="87">
        <f t="shared" si="0"/>
        <v>-99999999999</v>
      </c>
      <c r="AE70" s="88">
        <f t="shared" si="1"/>
        <v>99999999999</v>
      </c>
      <c r="AF70" s="82">
        <f t="shared" si="2"/>
        <v>0</v>
      </c>
      <c r="AG70" s="88">
        <f t="shared" si="3"/>
        <v>0</v>
      </c>
      <c r="AH70" s="104"/>
      <c r="AI70" s="104"/>
      <c r="AJ70" s="105"/>
      <c r="AK70" s="105"/>
      <c r="AL70" s="105"/>
      <c r="AM70" s="105"/>
    </row>
    <row r="71" spans="1:39" x14ac:dyDescent="0.25">
      <c r="A71" s="89">
        <v>59</v>
      </c>
      <c r="B71" s="114">
        <f>INDEX('Tabl. 1'!$C$8:$AO$313,104+$AB66,MATCH($C$7,$AA$7:$AA$45))</f>
        <v>99999999999</v>
      </c>
      <c r="C71" s="114">
        <f>INDEX('Tabl. 1'!$C$8:$AO$313,206+$AB66,MATCH($C$7,$AA$7:$AA$45))</f>
        <v>99999999999</v>
      </c>
      <c r="I71" s="86"/>
      <c r="P71" s="77"/>
      <c r="Q71" s="77"/>
      <c r="R71" s="77"/>
      <c r="S71" s="77"/>
      <c r="T71" s="77"/>
      <c r="U71" s="77"/>
      <c r="V71" s="76"/>
      <c r="W71" s="76"/>
      <c r="X71" s="76"/>
      <c r="Y71" s="76"/>
      <c r="Z71" s="76"/>
      <c r="AA71" s="82"/>
      <c r="AB71" s="82">
        <v>64</v>
      </c>
      <c r="AC71" s="82"/>
      <c r="AD71" s="87">
        <f t="shared" si="0"/>
        <v>-99999999999</v>
      </c>
      <c r="AE71" s="88">
        <f t="shared" si="1"/>
        <v>99999999999</v>
      </c>
      <c r="AF71" s="82">
        <f t="shared" si="2"/>
        <v>0</v>
      </c>
      <c r="AG71" s="88">
        <f t="shared" si="3"/>
        <v>0</v>
      </c>
      <c r="AH71" s="104"/>
      <c r="AI71" s="104"/>
      <c r="AJ71" s="105"/>
      <c r="AK71" s="105"/>
      <c r="AL71" s="105"/>
      <c r="AM71" s="105"/>
    </row>
    <row r="72" spans="1:39" x14ac:dyDescent="0.25">
      <c r="A72" s="89">
        <v>60</v>
      </c>
      <c r="B72" s="114">
        <f>INDEX('Tabl. 1'!$C$8:$AO$313,104+$AB67,MATCH($C$7,$AA$7:$AA$45))</f>
        <v>99999999999</v>
      </c>
      <c r="C72" s="114">
        <f>INDEX('Tabl. 1'!$C$8:$AO$313,206+$AB67,MATCH($C$7,$AA$7:$AA$45))</f>
        <v>99999999999</v>
      </c>
      <c r="I72" s="86"/>
      <c r="P72" s="77"/>
      <c r="Q72" s="77"/>
      <c r="R72" s="77"/>
      <c r="S72" s="77"/>
      <c r="T72" s="77"/>
      <c r="U72" s="77"/>
      <c r="V72" s="76"/>
      <c r="W72" s="76"/>
      <c r="X72" s="76"/>
      <c r="Y72" s="76"/>
      <c r="Z72" s="76"/>
      <c r="AA72" s="82"/>
      <c r="AB72" s="82">
        <v>65</v>
      </c>
      <c r="AC72" s="82"/>
      <c r="AD72" s="87">
        <f t="shared" si="0"/>
        <v>-99999999999</v>
      </c>
      <c r="AE72" s="88">
        <f t="shared" si="1"/>
        <v>99999999999</v>
      </c>
      <c r="AF72" s="82">
        <f t="shared" si="2"/>
        <v>0</v>
      </c>
      <c r="AG72" s="88">
        <f t="shared" si="3"/>
        <v>0</v>
      </c>
      <c r="AH72" s="104"/>
      <c r="AI72" s="104"/>
      <c r="AJ72" s="105"/>
      <c r="AK72" s="105"/>
      <c r="AL72" s="105"/>
      <c r="AM72" s="105"/>
    </row>
    <row r="73" spans="1:39" x14ac:dyDescent="0.25">
      <c r="A73" s="89">
        <v>61</v>
      </c>
      <c r="B73" s="114">
        <f>INDEX('Tabl. 1'!$C$8:$AO$313,104+$AB68,MATCH($C$7,$AA$7:$AA$45))</f>
        <v>99999999999</v>
      </c>
      <c r="C73" s="114">
        <f>INDEX('Tabl. 1'!$C$8:$AO$313,206+$AB68,MATCH($C$7,$AA$7:$AA$45))</f>
        <v>99999999999</v>
      </c>
      <c r="I73" s="86"/>
      <c r="P73" s="77"/>
      <c r="Q73" s="77"/>
      <c r="R73" s="77"/>
      <c r="S73" s="77"/>
      <c r="T73" s="77"/>
      <c r="U73" s="77"/>
      <c r="V73" s="76"/>
      <c r="W73" s="76"/>
      <c r="X73" s="76"/>
      <c r="Y73" s="76"/>
      <c r="Z73" s="76"/>
      <c r="AA73" s="82"/>
      <c r="AB73" s="82">
        <v>66</v>
      </c>
      <c r="AC73" s="82"/>
      <c r="AD73" s="87">
        <f t="shared" si="0"/>
        <v>-99999999999</v>
      </c>
      <c r="AE73" s="88">
        <f t="shared" si="1"/>
        <v>99999999999</v>
      </c>
      <c r="AF73" s="82">
        <f t="shared" si="2"/>
        <v>0</v>
      </c>
      <c r="AG73" s="88">
        <f t="shared" si="3"/>
        <v>0</v>
      </c>
      <c r="AH73" s="104"/>
      <c r="AI73" s="104"/>
      <c r="AJ73" s="105"/>
      <c r="AK73" s="105"/>
      <c r="AL73" s="105"/>
      <c r="AM73" s="105"/>
    </row>
    <row r="74" spans="1:39" x14ac:dyDescent="0.25">
      <c r="A74" s="89">
        <v>62</v>
      </c>
      <c r="B74" s="114">
        <f>INDEX('Tabl. 1'!$C$8:$AO$313,104+$AB69,MATCH($C$7,$AA$7:$AA$45))</f>
        <v>99999999999</v>
      </c>
      <c r="C74" s="114">
        <f>INDEX('Tabl. 1'!$C$8:$AO$313,206+$AB69,MATCH($C$7,$AA$7:$AA$45))</f>
        <v>99999999999</v>
      </c>
      <c r="I74" s="86"/>
      <c r="P74" s="77"/>
      <c r="Q74" s="77"/>
      <c r="R74" s="77"/>
      <c r="S74" s="77"/>
      <c r="T74" s="77"/>
      <c r="U74" s="77"/>
      <c r="V74" s="76"/>
      <c r="W74" s="76"/>
      <c r="X74" s="76"/>
      <c r="Y74" s="76"/>
      <c r="Z74" s="76"/>
      <c r="AA74" s="82"/>
      <c r="AB74" s="82">
        <v>67</v>
      </c>
      <c r="AC74" s="82"/>
      <c r="AD74" s="87">
        <f t="shared" ref="AD74:AD108" si="4">(-1*B78)-AF74</f>
        <v>-99999999999</v>
      </c>
      <c r="AE74" s="88">
        <f t="shared" ref="AE74:AE108" si="5">C78-AG74</f>
        <v>99999999999</v>
      </c>
      <c r="AF74" s="82">
        <f t="shared" ref="AF74:AF109" si="6">IF(B78&gt;C78,-1*(B78-C78),0)</f>
        <v>0</v>
      </c>
      <c r="AG74" s="88">
        <f t="shared" ref="AG74:AG109" si="7">IF(C78&gt;B78,C78-B78,0)</f>
        <v>0</v>
      </c>
      <c r="AH74" s="104"/>
      <c r="AI74" s="104"/>
      <c r="AJ74" s="105"/>
      <c r="AK74" s="105"/>
      <c r="AL74" s="105"/>
      <c r="AM74" s="105"/>
    </row>
    <row r="75" spans="1:39" x14ac:dyDescent="0.25">
      <c r="A75" s="89">
        <v>63</v>
      </c>
      <c r="B75" s="114">
        <f>INDEX('Tabl. 1'!$C$8:$AO$313,104+$AB70,MATCH($C$7,$AA$7:$AA$45))</f>
        <v>99999999999</v>
      </c>
      <c r="C75" s="114">
        <f>INDEX('Tabl. 1'!$C$8:$AO$313,206+$AB70,MATCH($C$7,$AA$7:$AA$45))</f>
        <v>99999999999</v>
      </c>
      <c r="I75" s="86"/>
      <c r="P75" s="77"/>
      <c r="Q75" s="77"/>
      <c r="R75" s="77"/>
      <c r="S75" s="77"/>
      <c r="T75" s="77"/>
      <c r="U75" s="77"/>
      <c r="V75" s="76"/>
      <c r="W75" s="76"/>
      <c r="X75" s="76"/>
      <c r="Y75" s="76"/>
      <c r="Z75" s="76"/>
      <c r="AA75" s="82"/>
      <c r="AB75" s="82">
        <v>68</v>
      </c>
      <c r="AC75" s="82"/>
      <c r="AD75" s="87">
        <f t="shared" si="4"/>
        <v>-99999999999</v>
      </c>
      <c r="AE75" s="88">
        <f t="shared" si="5"/>
        <v>99999999999</v>
      </c>
      <c r="AF75" s="82">
        <f t="shared" si="6"/>
        <v>0</v>
      </c>
      <c r="AG75" s="88">
        <f t="shared" si="7"/>
        <v>0</v>
      </c>
      <c r="AH75" s="104"/>
      <c r="AI75" s="104"/>
      <c r="AJ75" s="105"/>
      <c r="AK75" s="105"/>
      <c r="AL75" s="105"/>
      <c r="AM75" s="105"/>
    </row>
    <row r="76" spans="1:39" x14ac:dyDescent="0.25">
      <c r="A76" s="89">
        <v>64</v>
      </c>
      <c r="B76" s="114">
        <f>INDEX('Tabl. 1'!$C$8:$AO$313,104+$AB71,MATCH($C$7,$AA$7:$AA$45))</f>
        <v>99999999999</v>
      </c>
      <c r="C76" s="114">
        <f>INDEX('Tabl. 1'!$C$8:$AO$313,206+$AB71,MATCH($C$7,$AA$7:$AA$45))</f>
        <v>99999999999</v>
      </c>
      <c r="I76" s="86"/>
      <c r="P76" s="77"/>
      <c r="Q76" s="77"/>
      <c r="R76" s="77"/>
      <c r="S76" s="77"/>
      <c r="T76" s="77"/>
      <c r="U76" s="77"/>
      <c r="V76" s="76"/>
      <c r="W76" s="76"/>
      <c r="X76" s="76"/>
      <c r="Y76" s="76"/>
      <c r="Z76" s="76"/>
      <c r="AA76" s="82"/>
      <c r="AB76" s="82">
        <v>69</v>
      </c>
      <c r="AC76" s="82"/>
      <c r="AD76" s="87">
        <f t="shared" si="4"/>
        <v>-99999999999</v>
      </c>
      <c r="AE76" s="88">
        <f t="shared" si="5"/>
        <v>99999999999</v>
      </c>
      <c r="AF76" s="82">
        <f t="shared" si="6"/>
        <v>0</v>
      </c>
      <c r="AG76" s="88">
        <f t="shared" si="7"/>
        <v>0</v>
      </c>
      <c r="AH76" s="104"/>
      <c r="AI76" s="104"/>
      <c r="AJ76" s="105"/>
      <c r="AK76" s="105"/>
      <c r="AL76" s="105"/>
      <c r="AM76" s="105"/>
    </row>
    <row r="77" spans="1:39" x14ac:dyDescent="0.25">
      <c r="A77" s="89">
        <v>65</v>
      </c>
      <c r="B77" s="114">
        <f>INDEX('Tabl. 1'!$C$8:$AO$313,104+$AB72,MATCH($C$7,$AA$7:$AA$45))</f>
        <v>99999999999</v>
      </c>
      <c r="C77" s="114">
        <f>INDEX('Tabl. 1'!$C$8:$AO$313,206+$AB72,MATCH($C$7,$AA$7:$AA$45))</f>
        <v>99999999999</v>
      </c>
      <c r="I77" s="86"/>
      <c r="P77" s="77"/>
      <c r="Q77" s="77"/>
      <c r="R77" s="77"/>
      <c r="S77" s="77"/>
      <c r="T77" s="77"/>
      <c r="U77" s="77"/>
      <c r="V77" s="76"/>
      <c r="W77" s="76"/>
      <c r="X77" s="76"/>
      <c r="Y77" s="76"/>
      <c r="Z77" s="76"/>
      <c r="AA77" s="82"/>
      <c r="AB77" s="82">
        <v>70</v>
      </c>
      <c r="AC77" s="82"/>
      <c r="AD77" s="87">
        <f t="shared" si="4"/>
        <v>-99999999999</v>
      </c>
      <c r="AE77" s="88">
        <f t="shared" si="5"/>
        <v>99999999999</v>
      </c>
      <c r="AF77" s="82">
        <f t="shared" si="6"/>
        <v>0</v>
      </c>
      <c r="AG77" s="88">
        <f t="shared" si="7"/>
        <v>0</v>
      </c>
      <c r="AH77" s="104"/>
      <c r="AI77" s="104"/>
      <c r="AJ77" s="105"/>
      <c r="AK77" s="105"/>
      <c r="AL77" s="105"/>
      <c r="AM77" s="105"/>
    </row>
    <row r="78" spans="1:39" x14ac:dyDescent="0.25">
      <c r="A78" s="89">
        <v>66</v>
      </c>
      <c r="B78" s="114">
        <f>INDEX('Tabl. 1'!$C$8:$AO$313,104+$AB73,MATCH($C$7,$AA$7:$AA$45))</f>
        <v>99999999999</v>
      </c>
      <c r="C78" s="114">
        <f>INDEX('Tabl. 1'!$C$8:$AO$313,206+$AB73,MATCH($C$7,$AA$7:$AA$45))</f>
        <v>99999999999</v>
      </c>
      <c r="I78" s="86"/>
      <c r="P78" s="77"/>
      <c r="Q78" s="77"/>
      <c r="R78" s="77"/>
      <c r="S78" s="77"/>
      <c r="T78" s="77"/>
      <c r="U78" s="77"/>
      <c r="V78" s="76"/>
      <c r="W78" s="76"/>
      <c r="X78" s="76"/>
      <c r="Y78" s="76"/>
      <c r="Z78" s="76"/>
      <c r="AA78" s="82"/>
      <c r="AB78" s="82">
        <v>71</v>
      </c>
      <c r="AC78" s="82"/>
      <c r="AD78" s="87">
        <f t="shared" si="4"/>
        <v>-99999999999</v>
      </c>
      <c r="AE78" s="88">
        <f t="shared" si="5"/>
        <v>99999999999</v>
      </c>
      <c r="AF78" s="82">
        <f t="shared" si="6"/>
        <v>0</v>
      </c>
      <c r="AG78" s="88">
        <f t="shared" si="7"/>
        <v>0</v>
      </c>
      <c r="AH78" s="104"/>
      <c r="AI78" s="104"/>
      <c r="AJ78" s="105"/>
      <c r="AK78" s="105"/>
      <c r="AL78" s="105"/>
      <c r="AM78" s="105"/>
    </row>
    <row r="79" spans="1:39" x14ac:dyDescent="0.25">
      <c r="A79" s="89">
        <v>67</v>
      </c>
      <c r="B79" s="114">
        <f>INDEX('Tabl. 1'!$C$8:$AO$313,104+$AB74,MATCH($C$7,$AA$7:$AA$45))</f>
        <v>99999999999</v>
      </c>
      <c r="C79" s="114">
        <f>INDEX('Tabl. 1'!$C$8:$AO$313,206+$AB74,MATCH($C$7,$AA$7:$AA$45))</f>
        <v>99999999999</v>
      </c>
      <c r="I79" s="86"/>
      <c r="P79" s="77"/>
      <c r="Q79" s="77"/>
      <c r="R79" s="77"/>
      <c r="S79" s="77"/>
      <c r="T79" s="77"/>
      <c r="U79" s="77"/>
      <c r="V79" s="76"/>
      <c r="W79" s="76"/>
      <c r="X79" s="76"/>
      <c r="Y79" s="76"/>
      <c r="Z79" s="76"/>
      <c r="AA79" s="82"/>
      <c r="AB79" s="82">
        <v>72</v>
      </c>
      <c r="AC79" s="82"/>
      <c r="AD79" s="87">
        <f t="shared" si="4"/>
        <v>-99999999999</v>
      </c>
      <c r="AE79" s="88">
        <f t="shared" si="5"/>
        <v>99999999999</v>
      </c>
      <c r="AF79" s="82">
        <f t="shared" si="6"/>
        <v>0</v>
      </c>
      <c r="AG79" s="88">
        <f t="shared" si="7"/>
        <v>0</v>
      </c>
      <c r="AH79" s="104"/>
      <c r="AI79" s="104"/>
      <c r="AJ79" s="105"/>
      <c r="AK79" s="105"/>
      <c r="AL79" s="105"/>
      <c r="AM79" s="105"/>
    </row>
    <row r="80" spans="1:39" x14ac:dyDescent="0.25">
      <c r="A80" s="89">
        <v>68</v>
      </c>
      <c r="B80" s="114">
        <f>INDEX('Tabl. 1'!$C$8:$AO$313,104+$AB75,MATCH($C$7,$AA$7:$AA$45))</f>
        <v>99999999999</v>
      </c>
      <c r="C80" s="114">
        <f>INDEX('Tabl. 1'!$C$8:$AO$313,206+$AB75,MATCH($C$7,$AA$7:$AA$45))</f>
        <v>99999999999</v>
      </c>
      <c r="I80" s="86"/>
      <c r="P80" s="77"/>
      <c r="Q80" s="77"/>
      <c r="R80" s="77"/>
      <c r="S80" s="77"/>
      <c r="T80" s="77"/>
      <c r="U80" s="77"/>
      <c r="V80" s="76"/>
      <c r="W80" s="76"/>
      <c r="X80" s="76"/>
      <c r="Y80" s="76"/>
      <c r="Z80" s="76"/>
      <c r="AA80" s="82"/>
      <c r="AB80" s="82">
        <v>73</v>
      </c>
      <c r="AC80" s="82"/>
      <c r="AD80" s="87">
        <f t="shared" si="4"/>
        <v>-99999999999</v>
      </c>
      <c r="AE80" s="88">
        <f t="shared" si="5"/>
        <v>99999999999</v>
      </c>
      <c r="AF80" s="82">
        <f t="shared" si="6"/>
        <v>0</v>
      </c>
      <c r="AG80" s="88">
        <f t="shared" si="7"/>
        <v>0</v>
      </c>
      <c r="AH80" s="104"/>
      <c r="AI80" s="104"/>
      <c r="AJ80" s="105"/>
      <c r="AK80" s="105"/>
      <c r="AL80" s="105"/>
      <c r="AM80" s="105"/>
    </row>
    <row r="81" spans="1:39" x14ac:dyDescent="0.25">
      <c r="A81" s="89">
        <v>69</v>
      </c>
      <c r="B81" s="114">
        <f>INDEX('Tabl. 1'!$C$8:$AO$313,104+$AB76,MATCH($C$7,$AA$7:$AA$45))</f>
        <v>99999999999</v>
      </c>
      <c r="C81" s="114">
        <f>INDEX('Tabl. 1'!$C$8:$AO$313,206+$AB76,MATCH($C$7,$AA$7:$AA$45))</f>
        <v>99999999999</v>
      </c>
      <c r="I81" s="86"/>
      <c r="P81" s="77"/>
      <c r="Q81" s="77"/>
      <c r="R81" s="77"/>
      <c r="S81" s="77"/>
      <c r="T81" s="77"/>
      <c r="U81" s="77"/>
      <c r="V81" s="76"/>
      <c r="W81" s="76"/>
      <c r="X81" s="76"/>
      <c r="Y81" s="76"/>
      <c r="Z81" s="76"/>
      <c r="AA81" s="82"/>
      <c r="AB81" s="82">
        <v>74</v>
      </c>
      <c r="AC81" s="82"/>
      <c r="AD81" s="87">
        <f t="shared" si="4"/>
        <v>-99999999999</v>
      </c>
      <c r="AE81" s="88">
        <f t="shared" si="5"/>
        <v>99999999999</v>
      </c>
      <c r="AF81" s="82">
        <f t="shared" si="6"/>
        <v>0</v>
      </c>
      <c r="AG81" s="88">
        <f t="shared" si="7"/>
        <v>0</v>
      </c>
      <c r="AH81" s="104"/>
      <c r="AI81" s="104"/>
      <c r="AJ81" s="105"/>
      <c r="AK81" s="105"/>
      <c r="AL81" s="105"/>
      <c r="AM81" s="105"/>
    </row>
    <row r="82" spans="1:39" x14ac:dyDescent="0.25">
      <c r="A82" s="89">
        <v>70</v>
      </c>
      <c r="B82" s="114">
        <f>INDEX('Tabl. 1'!$C$8:$AO$313,104+$AB77,MATCH($C$7,$AA$7:$AA$45))</f>
        <v>99999999999</v>
      </c>
      <c r="C82" s="114">
        <f>INDEX('Tabl. 1'!$C$8:$AO$313,206+$AB77,MATCH($C$7,$AA$7:$AA$45))</f>
        <v>99999999999</v>
      </c>
      <c r="I82" s="86"/>
      <c r="P82" s="77"/>
      <c r="Q82" s="77"/>
      <c r="R82" s="77"/>
      <c r="S82" s="77"/>
      <c r="T82" s="77"/>
      <c r="U82" s="77"/>
      <c r="V82" s="76"/>
      <c r="W82" s="76"/>
      <c r="X82" s="76"/>
      <c r="Y82" s="76"/>
      <c r="Z82" s="76"/>
      <c r="AA82" s="82"/>
      <c r="AB82" s="82">
        <v>75</v>
      </c>
      <c r="AC82" s="82"/>
      <c r="AD82" s="87">
        <f t="shared" si="4"/>
        <v>-99999999999</v>
      </c>
      <c r="AE82" s="88">
        <f t="shared" si="5"/>
        <v>99999999999</v>
      </c>
      <c r="AF82" s="82">
        <f t="shared" si="6"/>
        <v>0</v>
      </c>
      <c r="AG82" s="88">
        <f t="shared" si="7"/>
        <v>0</v>
      </c>
      <c r="AH82" s="104"/>
      <c r="AI82" s="104"/>
      <c r="AJ82" s="105"/>
      <c r="AK82" s="105"/>
      <c r="AL82" s="105"/>
      <c r="AM82" s="105"/>
    </row>
    <row r="83" spans="1:39" x14ac:dyDescent="0.25">
      <c r="A83" s="89">
        <v>71</v>
      </c>
      <c r="B83" s="114">
        <f>INDEX('Tabl. 1'!$C$8:$AO$313,104+$AB78,MATCH($C$7,$AA$7:$AA$45))</f>
        <v>99999999999</v>
      </c>
      <c r="C83" s="114">
        <f>INDEX('Tabl. 1'!$C$8:$AO$313,206+$AB78,MATCH($C$7,$AA$7:$AA$45))</f>
        <v>99999999999</v>
      </c>
      <c r="I83" s="86"/>
      <c r="P83" s="77"/>
      <c r="Q83" s="77"/>
      <c r="R83" s="77"/>
      <c r="S83" s="77"/>
      <c r="T83" s="77"/>
      <c r="U83" s="77"/>
      <c r="V83" s="76"/>
      <c r="W83" s="76"/>
      <c r="X83" s="76"/>
      <c r="Y83" s="76"/>
      <c r="Z83" s="76"/>
      <c r="AA83" s="82"/>
      <c r="AB83" s="82">
        <v>76</v>
      </c>
      <c r="AC83" s="82"/>
      <c r="AD83" s="87">
        <f t="shared" si="4"/>
        <v>-99999999999</v>
      </c>
      <c r="AE83" s="88">
        <f t="shared" si="5"/>
        <v>99999999999</v>
      </c>
      <c r="AF83" s="82">
        <f t="shared" si="6"/>
        <v>0</v>
      </c>
      <c r="AG83" s="88">
        <f t="shared" si="7"/>
        <v>0</v>
      </c>
      <c r="AH83" s="104"/>
      <c r="AI83" s="104"/>
      <c r="AJ83" s="105"/>
      <c r="AK83" s="105"/>
      <c r="AL83" s="105"/>
      <c r="AM83" s="105"/>
    </row>
    <row r="84" spans="1:39" x14ac:dyDescent="0.25">
      <c r="A84" s="89">
        <v>72</v>
      </c>
      <c r="B84" s="114">
        <f>INDEX('Tabl. 1'!$C$8:$AO$313,104+$AB79,MATCH($C$7,$AA$7:$AA$45))</f>
        <v>99999999999</v>
      </c>
      <c r="C84" s="114">
        <f>INDEX('Tabl. 1'!$C$8:$AO$313,206+$AB79,MATCH($C$7,$AA$7:$AA$45))</f>
        <v>99999999999</v>
      </c>
      <c r="I84" s="86"/>
      <c r="P84" s="77"/>
      <c r="Q84" s="77"/>
      <c r="R84" s="77"/>
      <c r="S84" s="77"/>
      <c r="T84" s="77"/>
      <c r="U84" s="77"/>
      <c r="V84" s="76"/>
      <c r="W84" s="76"/>
      <c r="X84" s="76"/>
      <c r="Y84" s="76"/>
      <c r="Z84" s="76"/>
      <c r="AA84" s="82"/>
      <c r="AB84" s="82">
        <v>77</v>
      </c>
      <c r="AC84" s="82"/>
      <c r="AD84" s="87">
        <f t="shared" si="4"/>
        <v>-99999999999</v>
      </c>
      <c r="AE84" s="88">
        <f t="shared" si="5"/>
        <v>99999999999</v>
      </c>
      <c r="AF84" s="82">
        <f t="shared" si="6"/>
        <v>0</v>
      </c>
      <c r="AG84" s="88">
        <f t="shared" si="7"/>
        <v>0</v>
      </c>
      <c r="AH84" s="104"/>
      <c r="AI84" s="104"/>
      <c r="AJ84" s="105"/>
      <c r="AK84" s="105"/>
      <c r="AL84" s="105"/>
      <c r="AM84" s="105"/>
    </row>
    <row r="85" spans="1:39" x14ac:dyDescent="0.25">
      <c r="A85" s="89">
        <v>73</v>
      </c>
      <c r="B85" s="114">
        <f>INDEX('Tabl. 1'!$C$8:$AO$313,104+$AB80,MATCH($C$7,$AA$7:$AA$45))</f>
        <v>99999999999</v>
      </c>
      <c r="C85" s="114">
        <f>INDEX('Tabl. 1'!$C$8:$AO$313,206+$AB80,MATCH($C$7,$AA$7:$AA$45))</f>
        <v>99999999999</v>
      </c>
      <c r="I85" s="86"/>
      <c r="P85" s="77"/>
      <c r="Q85" s="77"/>
      <c r="R85" s="77"/>
      <c r="S85" s="77"/>
      <c r="T85" s="77"/>
      <c r="U85" s="77"/>
      <c r="V85" s="76"/>
      <c r="W85" s="76"/>
      <c r="X85" s="76"/>
      <c r="Y85" s="76"/>
      <c r="Z85" s="76"/>
      <c r="AA85" s="82"/>
      <c r="AB85" s="82">
        <v>78</v>
      </c>
      <c r="AC85" s="82"/>
      <c r="AD85" s="87">
        <f t="shared" si="4"/>
        <v>-99999999999</v>
      </c>
      <c r="AE85" s="88">
        <f t="shared" si="5"/>
        <v>99999999999</v>
      </c>
      <c r="AF85" s="82">
        <f t="shared" si="6"/>
        <v>0</v>
      </c>
      <c r="AG85" s="88">
        <f t="shared" si="7"/>
        <v>0</v>
      </c>
      <c r="AH85" s="104"/>
      <c r="AI85" s="104"/>
      <c r="AJ85" s="105"/>
      <c r="AK85" s="105"/>
      <c r="AL85" s="105"/>
      <c r="AM85" s="105"/>
    </row>
    <row r="86" spans="1:39" x14ac:dyDescent="0.25">
      <c r="A86" s="89">
        <v>74</v>
      </c>
      <c r="B86" s="114">
        <f>INDEX('Tabl. 1'!$C$8:$AO$313,104+$AB81,MATCH($C$7,$AA$7:$AA$45))</f>
        <v>99999999999</v>
      </c>
      <c r="C86" s="114">
        <f>INDEX('Tabl. 1'!$C$8:$AO$313,206+$AB81,MATCH($C$7,$AA$7:$AA$45))</f>
        <v>99999999999</v>
      </c>
      <c r="I86" s="86"/>
      <c r="P86" s="77"/>
      <c r="Q86" s="77"/>
      <c r="R86" s="77"/>
      <c r="S86" s="77"/>
      <c r="T86" s="77"/>
      <c r="U86" s="77"/>
      <c r="V86" s="76"/>
      <c r="W86" s="76"/>
      <c r="X86" s="76"/>
      <c r="Y86" s="76"/>
      <c r="Z86" s="76"/>
      <c r="AA86" s="82"/>
      <c r="AB86" s="82">
        <v>79</v>
      </c>
      <c r="AC86" s="82"/>
      <c r="AD86" s="87">
        <f t="shared" si="4"/>
        <v>-99999999999</v>
      </c>
      <c r="AE86" s="88">
        <f t="shared" si="5"/>
        <v>99999999999</v>
      </c>
      <c r="AF86" s="82">
        <f t="shared" si="6"/>
        <v>0</v>
      </c>
      <c r="AG86" s="88">
        <f t="shared" si="7"/>
        <v>0</v>
      </c>
      <c r="AH86" s="104"/>
      <c r="AI86" s="104"/>
      <c r="AJ86" s="105"/>
      <c r="AK86" s="105"/>
      <c r="AL86" s="105"/>
      <c r="AM86" s="105"/>
    </row>
    <row r="87" spans="1:39" x14ac:dyDescent="0.25">
      <c r="A87" s="89">
        <v>75</v>
      </c>
      <c r="B87" s="114">
        <f>INDEX('Tabl. 1'!$C$8:$AO$313,104+$AB82,MATCH($C$7,$AA$7:$AA$45))</f>
        <v>99999999999</v>
      </c>
      <c r="C87" s="114">
        <f>INDEX('Tabl. 1'!$C$8:$AO$313,206+$AB82,MATCH($C$7,$AA$7:$AA$45))</f>
        <v>99999999999</v>
      </c>
      <c r="I87" s="86"/>
      <c r="P87" s="77"/>
      <c r="Q87" s="77"/>
      <c r="R87" s="77"/>
      <c r="S87" s="77"/>
      <c r="T87" s="77"/>
      <c r="U87" s="77"/>
      <c r="V87" s="76"/>
      <c r="W87" s="76"/>
      <c r="X87" s="76"/>
      <c r="Y87" s="76"/>
      <c r="Z87" s="76"/>
      <c r="AA87" s="82"/>
      <c r="AB87" s="82">
        <v>80</v>
      </c>
      <c r="AC87" s="82"/>
      <c r="AD87" s="87">
        <f t="shared" si="4"/>
        <v>-99999999999</v>
      </c>
      <c r="AE87" s="88">
        <f t="shared" si="5"/>
        <v>99999999999</v>
      </c>
      <c r="AF87" s="82">
        <f t="shared" si="6"/>
        <v>0</v>
      </c>
      <c r="AG87" s="88">
        <f t="shared" si="7"/>
        <v>0</v>
      </c>
      <c r="AH87" s="104"/>
      <c r="AI87" s="104"/>
      <c r="AJ87" s="105"/>
      <c r="AK87" s="105"/>
      <c r="AL87" s="105"/>
      <c r="AM87" s="105"/>
    </row>
    <row r="88" spans="1:39" x14ac:dyDescent="0.25">
      <c r="A88" s="89">
        <v>76</v>
      </c>
      <c r="B88" s="114">
        <f>INDEX('Tabl. 1'!$C$8:$AO$313,104+$AB83,MATCH($C$7,$AA$7:$AA$45))</f>
        <v>99999999999</v>
      </c>
      <c r="C88" s="114">
        <f>INDEX('Tabl. 1'!$C$8:$AO$313,206+$AB83,MATCH($C$7,$AA$7:$AA$45))</f>
        <v>99999999999</v>
      </c>
      <c r="I88" s="86"/>
      <c r="P88" s="77"/>
      <c r="Q88" s="77"/>
      <c r="R88" s="77"/>
      <c r="S88" s="77"/>
      <c r="T88" s="77"/>
      <c r="U88" s="77"/>
      <c r="V88" s="76"/>
      <c r="W88" s="76"/>
      <c r="X88" s="76"/>
      <c r="Y88" s="76"/>
      <c r="Z88" s="76"/>
      <c r="AA88" s="82"/>
      <c r="AB88" s="82">
        <v>81</v>
      </c>
      <c r="AC88" s="82"/>
      <c r="AD88" s="87">
        <f t="shared" si="4"/>
        <v>-99999999999</v>
      </c>
      <c r="AE88" s="88">
        <f t="shared" si="5"/>
        <v>99999999999</v>
      </c>
      <c r="AF88" s="82">
        <f t="shared" si="6"/>
        <v>0</v>
      </c>
      <c r="AG88" s="88">
        <f t="shared" si="7"/>
        <v>0</v>
      </c>
      <c r="AH88" s="104"/>
      <c r="AI88" s="104"/>
      <c r="AJ88" s="105"/>
      <c r="AK88" s="105"/>
      <c r="AL88" s="105"/>
      <c r="AM88" s="105"/>
    </row>
    <row r="89" spans="1:39" x14ac:dyDescent="0.25">
      <c r="A89" s="89">
        <v>77</v>
      </c>
      <c r="B89" s="114">
        <f>INDEX('Tabl. 1'!$C$8:$AO$313,104+$AB84,MATCH($C$7,$AA$7:$AA$45))</f>
        <v>99999999999</v>
      </c>
      <c r="C89" s="114">
        <f>INDEX('Tabl. 1'!$C$8:$AO$313,206+$AB84,MATCH($C$7,$AA$7:$AA$45))</f>
        <v>99999999999</v>
      </c>
      <c r="I89" s="86"/>
      <c r="P89" s="77"/>
      <c r="Q89" s="77"/>
      <c r="R89" s="77"/>
      <c r="S89" s="77"/>
      <c r="T89" s="77"/>
      <c r="U89" s="77"/>
      <c r="V89" s="76"/>
      <c r="W89" s="76"/>
      <c r="X89" s="76"/>
      <c r="Y89" s="76"/>
      <c r="Z89" s="76"/>
      <c r="AA89" s="82"/>
      <c r="AB89" s="82">
        <v>82</v>
      </c>
      <c r="AC89" s="82"/>
      <c r="AD89" s="87">
        <f t="shared" si="4"/>
        <v>-99999999999</v>
      </c>
      <c r="AE89" s="88">
        <f t="shared" si="5"/>
        <v>99999999999</v>
      </c>
      <c r="AF89" s="82">
        <f t="shared" si="6"/>
        <v>0</v>
      </c>
      <c r="AG89" s="88">
        <f t="shared" si="7"/>
        <v>0</v>
      </c>
      <c r="AH89" s="104"/>
      <c r="AI89" s="104"/>
      <c r="AJ89" s="105"/>
      <c r="AK89" s="105"/>
      <c r="AL89" s="105"/>
      <c r="AM89" s="105"/>
    </row>
    <row r="90" spans="1:39" x14ac:dyDescent="0.25">
      <c r="A90" s="89">
        <v>78</v>
      </c>
      <c r="B90" s="114">
        <f>INDEX('Tabl. 1'!$C$8:$AO$313,104+$AB85,MATCH($C$7,$AA$7:$AA$45))</f>
        <v>99999999999</v>
      </c>
      <c r="C90" s="114">
        <f>INDEX('Tabl. 1'!$C$8:$AO$313,206+$AB85,MATCH($C$7,$AA$7:$AA$45))</f>
        <v>99999999999</v>
      </c>
      <c r="I90" s="86"/>
      <c r="P90" s="77"/>
      <c r="Q90" s="77"/>
      <c r="R90" s="77"/>
      <c r="S90" s="77"/>
      <c r="T90" s="77"/>
      <c r="U90" s="77"/>
      <c r="V90" s="76"/>
      <c r="W90" s="76"/>
      <c r="X90" s="76"/>
      <c r="Y90" s="76"/>
      <c r="Z90" s="76"/>
      <c r="AA90" s="82"/>
      <c r="AB90" s="82">
        <v>83</v>
      </c>
      <c r="AC90" s="82"/>
      <c r="AD90" s="87">
        <f t="shared" si="4"/>
        <v>-99999999999</v>
      </c>
      <c r="AE90" s="88">
        <f t="shared" si="5"/>
        <v>99999999999</v>
      </c>
      <c r="AF90" s="82">
        <f t="shared" si="6"/>
        <v>0</v>
      </c>
      <c r="AG90" s="88">
        <f t="shared" si="7"/>
        <v>0</v>
      </c>
      <c r="AH90" s="104"/>
      <c r="AI90" s="104"/>
      <c r="AJ90" s="105"/>
      <c r="AK90" s="105"/>
      <c r="AL90" s="105"/>
      <c r="AM90" s="105"/>
    </row>
    <row r="91" spans="1:39" x14ac:dyDescent="0.25">
      <c r="A91" s="89">
        <v>79</v>
      </c>
      <c r="B91" s="114">
        <f>INDEX('Tabl. 1'!$C$8:$AO$313,104+$AB86,MATCH($C$7,$AA$7:$AA$45))</f>
        <v>99999999999</v>
      </c>
      <c r="C91" s="114">
        <f>INDEX('Tabl. 1'!$C$8:$AO$313,206+$AB86,MATCH($C$7,$AA$7:$AA$45))</f>
        <v>99999999999</v>
      </c>
      <c r="I91" s="86"/>
      <c r="P91" s="77"/>
      <c r="Q91" s="77"/>
      <c r="R91" s="77"/>
      <c r="S91" s="77"/>
      <c r="T91" s="77"/>
      <c r="U91" s="77"/>
      <c r="V91" s="76"/>
      <c r="W91" s="76"/>
      <c r="X91" s="76"/>
      <c r="Y91" s="76"/>
      <c r="Z91" s="76"/>
      <c r="AA91" s="82"/>
      <c r="AB91" s="82">
        <v>84</v>
      </c>
      <c r="AC91" s="82"/>
      <c r="AD91" s="87">
        <f t="shared" si="4"/>
        <v>-99999999999</v>
      </c>
      <c r="AE91" s="88">
        <f t="shared" si="5"/>
        <v>99999999999</v>
      </c>
      <c r="AF91" s="82">
        <f t="shared" si="6"/>
        <v>0</v>
      </c>
      <c r="AG91" s="88">
        <f t="shared" si="7"/>
        <v>0</v>
      </c>
      <c r="AH91" s="104"/>
      <c r="AI91" s="104"/>
      <c r="AJ91" s="105"/>
      <c r="AK91" s="105"/>
      <c r="AL91" s="105"/>
      <c r="AM91" s="105"/>
    </row>
    <row r="92" spans="1:39" x14ac:dyDescent="0.25">
      <c r="A92" s="89">
        <v>80</v>
      </c>
      <c r="B92" s="114">
        <f>INDEX('Tabl. 1'!$C$8:$AO$313,104+$AB87,MATCH($C$7,$AA$7:$AA$45))</f>
        <v>99999999999</v>
      </c>
      <c r="C92" s="114">
        <f>INDEX('Tabl. 1'!$C$8:$AO$313,206+$AB87,MATCH($C$7,$AA$7:$AA$45))</f>
        <v>99999999999</v>
      </c>
      <c r="I92" s="86"/>
      <c r="P92" s="77"/>
      <c r="Q92" s="77"/>
      <c r="R92" s="77"/>
      <c r="S92" s="77"/>
      <c r="T92" s="77"/>
      <c r="U92" s="77"/>
      <c r="V92" s="76"/>
      <c r="W92" s="76"/>
      <c r="X92" s="76"/>
      <c r="Y92" s="76"/>
      <c r="Z92" s="76"/>
      <c r="AA92" s="82"/>
      <c r="AB92" s="82">
        <v>85</v>
      </c>
      <c r="AC92" s="82"/>
      <c r="AD92" s="87">
        <f t="shared" si="4"/>
        <v>-99999999999</v>
      </c>
      <c r="AE92" s="88">
        <f t="shared" si="5"/>
        <v>99999999999</v>
      </c>
      <c r="AF92" s="82">
        <f t="shared" si="6"/>
        <v>0</v>
      </c>
      <c r="AG92" s="88">
        <f t="shared" si="7"/>
        <v>0</v>
      </c>
      <c r="AH92" s="104"/>
      <c r="AI92" s="104"/>
      <c r="AJ92" s="105"/>
      <c r="AK92" s="105"/>
      <c r="AL92" s="105"/>
      <c r="AM92" s="105"/>
    </row>
    <row r="93" spans="1:39" x14ac:dyDescent="0.25">
      <c r="A93" s="89">
        <v>81</v>
      </c>
      <c r="B93" s="114">
        <f>INDEX('Tabl. 1'!$C$8:$AO$313,104+$AB88,MATCH($C$7,$AA$7:$AA$45))</f>
        <v>99999999999</v>
      </c>
      <c r="C93" s="114">
        <f>INDEX('Tabl. 1'!$C$8:$AO$313,206+$AB88,MATCH($C$7,$AA$7:$AA$45))</f>
        <v>99999999999</v>
      </c>
      <c r="I93" s="86"/>
      <c r="P93" s="77"/>
      <c r="Q93" s="77"/>
      <c r="R93" s="77"/>
      <c r="S93" s="77"/>
      <c r="T93" s="77"/>
      <c r="U93" s="77"/>
      <c r="V93" s="76"/>
      <c r="W93" s="76"/>
      <c r="X93" s="76"/>
      <c r="Y93" s="76"/>
      <c r="Z93" s="76"/>
      <c r="AA93" s="82"/>
      <c r="AB93" s="82">
        <v>86</v>
      </c>
      <c r="AC93" s="82"/>
      <c r="AD93" s="87">
        <f t="shared" si="4"/>
        <v>-99999999999</v>
      </c>
      <c r="AE93" s="88">
        <f t="shared" si="5"/>
        <v>99999999999</v>
      </c>
      <c r="AF93" s="82">
        <f t="shared" si="6"/>
        <v>0</v>
      </c>
      <c r="AG93" s="88">
        <f t="shared" si="7"/>
        <v>0</v>
      </c>
      <c r="AH93" s="104"/>
      <c r="AI93" s="104"/>
      <c r="AJ93" s="105"/>
      <c r="AK93" s="105"/>
      <c r="AL93" s="105"/>
      <c r="AM93" s="105"/>
    </row>
    <row r="94" spans="1:39" x14ac:dyDescent="0.25">
      <c r="A94" s="89">
        <v>82</v>
      </c>
      <c r="B94" s="114">
        <f>INDEX('Tabl. 1'!$C$8:$AO$313,104+$AB89,MATCH($C$7,$AA$7:$AA$45))</f>
        <v>99999999999</v>
      </c>
      <c r="C94" s="114">
        <f>INDEX('Tabl. 1'!$C$8:$AO$313,206+$AB89,MATCH($C$7,$AA$7:$AA$45))</f>
        <v>99999999999</v>
      </c>
      <c r="I94" s="86"/>
      <c r="P94" s="77"/>
      <c r="Q94" s="77"/>
      <c r="R94" s="77"/>
      <c r="S94" s="77"/>
      <c r="T94" s="77"/>
      <c r="U94" s="77"/>
      <c r="V94" s="76"/>
      <c r="W94" s="76"/>
      <c r="X94" s="76"/>
      <c r="Y94" s="76"/>
      <c r="Z94" s="76"/>
      <c r="AA94" s="82"/>
      <c r="AB94" s="82">
        <v>87</v>
      </c>
      <c r="AC94" s="82"/>
      <c r="AD94" s="87">
        <f t="shared" si="4"/>
        <v>-99999999999</v>
      </c>
      <c r="AE94" s="88">
        <f t="shared" si="5"/>
        <v>99999999999</v>
      </c>
      <c r="AF94" s="82">
        <f t="shared" si="6"/>
        <v>0</v>
      </c>
      <c r="AG94" s="88">
        <f t="shared" si="7"/>
        <v>0</v>
      </c>
      <c r="AH94" s="104"/>
      <c r="AI94" s="104"/>
      <c r="AJ94" s="105"/>
      <c r="AK94" s="105"/>
      <c r="AL94" s="105"/>
      <c r="AM94" s="105"/>
    </row>
    <row r="95" spans="1:39" x14ac:dyDescent="0.25">
      <c r="A95" s="89">
        <v>83</v>
      </c>
      <c r="B95" s="114">
        <f>INDEX('Tabl. 1'!$C$8:$AO$313,104+$AB90,MATCH($C$7,$AA$7:$AA$45))</f>
        <v>99999999999</v>
      </c>
      <c r="C95" s="114">
        <f>INDEX('Tabl. 1'!$C$8:$AO$313,206+$AB90,MATCH($C$7,$AA$7:$AA$45))</f>
        <v>99999999999</v>
      </c>
      <c r="I95" s="86"/>
      <c r="P95" s="77"/>
      <c r="Q95" s="77"/>
      <c r="R95" s="77"/>
      <c r="S95" s="77"/>
      <c r="T95" s="77"/>
      <c r="U95" s="77"/>
      <c r="V95" s="76"/>
      <c r="W95" s="76"/>
      <c r="X95" s="76"/>
      <c r="Y95" s="76"/>
      <c r="Z95" s="76"/>
      <c r="AA95" s="82"/>
      <c r="AB95" s="82">
        <v>88</v>
      </c>
      <c r="AC95" s="82"/>
      <c r="AD95" s="87">
        <f t="shared" si="4"/>
        <v>-99999999999</v>
      </c>
      <c r="AE95" s="88">
        <f t="shared" si="5"/>
        <v>99999999999</v>
      </c>
      <c r="AF95" s="82">
        <f t="shared" si="6"/>
        <v>0</v>
      </c>
      <c r="AG95" s="88">
        <f t="shared" si="7"/>
        <v>0</v>
      </c>
      <c r="AH95" s="104"/>
      <c r="AI95" s="104"/>
      <c r="AJ95" s="105"/>
      <c r="AK95" s="105"/>
      <c r="AL95" s="105"/>
      <c r="AM95" s="105"/>
    </row>
    <row r="96" spans="1:39" x14ac:dyDescent="0.25">
      <c r="A96" s="89">
        <v>84</v>
      </c>
      <c r="B96" s="114">
        <f>INDEX('Tabl. 1'!$C$8:$AO$313,104+$AB91,MATCH($C$7,$AA$7:$AA$45))</f>
        <v>99999999999</v>
      </c>
      <c r="C96" s="114">
        <f>INDEX('Tabl. 1'!$C$8:$AO$313,206+$AB91,MATCH($C$7,$AA$7:$AA$45))</f>
        <v>99999999999</v>
      </c>
      <c r="I96" s="86"/>
      <c r="P96" s="77"/>
      <c r="Q96" s="77"/>
      <c r="R96" s="77"/>
      <c r="S96" s="77"/>
      <c r="T96" s="77"/>
      <c r="U96" s="77"/>
      <c r="V96" s="76"/>
      <c r="W96" s="76"/>
      <c r="X96" s="76"/>
      <c r="Y96" s="76"/>
      <c r="Z96" s="76"/>
      <c r="AA96" s="82"/>
      <c r="AB96" s="82">
        <v>89</v>
      </c>
      <c r="AC96" s="82"/>
      <c r="AD96" s="87">
        <f t="shared" si="4"/>
        <v>-99999999999</v>
      </c>
      <c r="AE96" s="88">
        <f t="shared" si="5"/>
        <v>99999999999</v>
      </c>
      <c r="AF96" s="82">
        <f t="shared" si="6"/>
        <v>0</v>
      </c>
      <c r="AG96" s="88">
        <f t="shared" si="7"/>
        <v>0</v>
      </c>
      <c r="AH96" s="104"/>
      <c r="AI96" s="104"/>
      <c r="AJ96" s="105"/>
      <c r="AK96" s="105"/>
      <c r="AL96" s="105"/>
      <c r="AM96" s="105"/>
    </row>
    <row r="97" spans="1:39" x14ac:dyDescent="0.25">
      <c r="A97" s="89">
        <v>85</v>
      </c>
      <c r="B97" s="114">
        <f>INDEX('Tabl. 1'!$C$8:$AO$313,104+$AB92,MATCH($C$7,$AA$7:$AA$45))</f>
        <v>99999999999</v>
      </c>
      <c r="C97" s="114">
        <f>INDEX('Tabl. 1'!$C$8:$AO$313,206+$AB92,MATCH($C$7,$AA$7:$AA$45))</f>
        <v>99999999999</v>
      </c>
      <c r="I97" s="86"/>
      <c r="P97" s="77"/>
      <c r="Q97" s="77"/>
      <c r="R97" s="77"/>
      <c r="S97" s="77"/>
      <c r="T97" s="77"/>
      <c r="U97" s="77"/>
      <c r="V97" s="76"/>
      <c r="W97" s="76"/>
      <c r="X97" s="76"/>
      <c r="Y97" s="76"/>
      <c r="Z97" s="76"/>
      <c r="AA97" s="82"/>
      <c r="AB97" s="82">
        <v>90</v>
      </c>
      <c r="AC97" s="82"/>
      <c r="AD97" s="87">
        <f t="shared" si="4"/>
        <v>-99999999999</v>
      </c>
      <c r="AE97" s="88">
        <f t="shared" si="5"/>
        <v>99999999999</v>
      </c>
      <c r="AF97" s="82">
        <f t="shared" si="6"/>
        <v>0</v>
      </c>
      <c r="AG97" s="88">
        <f t="shared" si="7"/>
        <v>0</v>
      </c>
      <c r="AH97" s="104"/>
      <c r="AI97" s="104"/>
      <c r="AJ97" s="105"/>
      <c r="AK97" s="105"/>
      <c r="AL97" s="105"/>
      <c r="AM97" s="105"/>
    </row>
    <row r="98" spans="1:39" x14ac:dyDescent="0.25">
      <c r="A98" s="89">
        <v>86</v>
      </c>
      <c r="B98" s="114">
        <f>INDEX('Tabl. 1'!$C$8:$AO$313,104+$AB93,MATCH($C$7,$AA$7:$AA$45))</f>
        <v>99999999999</v>
      </c>
      <c r="C98" s="114">
        <f>INDEX('Tabl. 1'!$C$8:$AO$313,206+$AB93,MATCH($C$7,$AA$7:$AA$45))</f>
        <v>99999999999</v>
      </c>
      <c r="I98" s="86"/>
      <c r="P98" s="77"/>
      <c r="Q98" s="77"/>
      <c r="R98" s="77"/>
      <c r="S98" s="77"/>
      <c r="T98" s="77"/>
      <c r="U98" s="77"/>
      <c r="V98" s="76"/>
      <c r="W98" s="76"/>
      <c r="X98" s="76"/>
      <c r="Y98" s="76"/>
      <c r="Z98" s="76"/>
      <c r="AA98" s="82"/>
      <c r="AB98" s="82">
        <v>91</v>
      </c>
      <c r="AC98" s="82"/>
      <c r="AD98" s="87">
        <f t="shared" si="4"/>
        <v>-99999999999</v>
      </c>
      <c r="AE98" s="88">
        <f t="shared" si="5"/>
        <v>99999999999</v>
      </c>
      <c r="AF98" s="82">
        <f t="shared" si="6"/>
        <v>0</v>
      </c>
      <c r="AG98" s="88">
        <f t="shared" si="7"/>
        <v>0</v>
      </c>
      <c r="AH98" s="104"/>
      <c r="AI98" s="104"/>
      <c r="AJ98" s="105"/>
      <c r="AK98" s="105"/>
      <c r="AL98" s="105"/>
      <c r="AM98" s="105"/>
    </row>
    <row r="99" spans="1:39" x14ac:dyDescent="0.25">
      <c r="A99" s="89">
        <v>87</v>
      </c>
      <c r="B99" s="114">
        <f>INDEX('Tabl. 1'!$C$8:$AO$313,104+$AB94,MATCH($C$7,$AA$7:$AA$45))</f>
        <v>99999999999</v>
      </c>
      <c r="C99" s="114">
        <f>INDEX('Tabl. 1'!$C$8:$AO$313,206+$AB94,MATCH($C$7,$AA$7:$AA$45))</f>
        <v>99999999999</v>
      </c>
      <c r="I99" s="86"/>
      <c r="P99" s="77"/>
      <c r="Q99" s="77"/>
      <c r="R99" s="77"/>
      <c r="S99" s="77"/>
      <c r="T99" s="77"/>
      <c r="U99" s="77"/>
      <c r="V99" s="76"/>
      <c r="W99" s="76"/>
      <c r="X99" s="76"/>
      <c r="Y99" s="76"/>
      <c r="Z99" s="76"/>
      <c r="AA99" s="82"/>
      <c r="AB99" s="82">
        <v>92</v>
      </c>
      <c r="AC99" s="82"/>
      <c r="AD99" s="87">
        <f t="shared" si="4"/>
        <v>-99999999999</v>
      </c>
      <c r="AE99" s="88">
        <f t="shared" si="5"/>
        <v>99999999999</v>
      </c>
      <c r="AF99" s="82">
        <f t="shared" si="6"/>
        <v>0</v>
      </c>
      <c r="AG99" s="88">
        <f t="shared" si="7"/>
        <v>0</v>
      </c>
      <c r="AH99" s="104"/>
      <c r="AI99" s="104"/>
      <c r="AJ99" s="105"/>
      <c r="AK99" s="105"/>
      <c r="AL99" s="105"/>
      <c r="AM99" s="105"/>
    </row>
    <row r="100" spans="1:39" x14ac:dyDescent="0.25">
      <c r="A100" s="89">
        <v>88</v>
      </c>
      <c r="B100" s="114">
        <f>INDEX('Tabl. 1'!$C$8:$AO$313,104+$AB95,MATCH($C$7,$AA$7:$AA$45))</f>
        <v>99999999999</v>
      </c>
      <c r="C100" s="114">
        <f>INDEX('Tabl. 1'!$C$8:$AO$313,206+$AB95,MATCH($C$7,$AA$7:$AA$45))</f>
        <v>99999999999</v>
      </c>
      <c r="I100" s="86"/>
      <c r="P100" s="77"/>
      <c r="Q100" s="77"/>
      <c r="R100" s="77"/>
      <c r="S100" s="77"/>
      <c r="T100" s="77"/>
      <c r="U100" s="77"/>
      <c r="V100" s="76"/>
      <c r="W100" s="76"/>
      <c r="X100" s="76"/>
      <c r="Y100" s="76"/>
      <c r="Z100" s="76"/>
      <c r="AA100" s="82"/>
      <c r="AB100" s="82">
        <v>93</v>
      </c>
      <c r="AC100" s="82"/>
      <c r="AD100" s="87">
        <f t="shared" si="4"/>
        <v>-99999999999</v>
      </c>
      <c r="AE100" s="88">
        <f t="shared" si="5"/>
        <v>99999999999</v>
      </c>
      <c r="AF100" s="82">
        <f t="shared" si="6"/>
        <v>0</v>
      </c>
      <c r="AG100" s="88">
        <f t="shared" si="7"/>
        <v>0</v>
      </c>
      <c r="AH100" s="104"/>
      <c r="AI100" s="104"/>
      <c r="AJ100" s="105"/>
      <c r="AK100" s="105"/>
      <c r="AL100" s="105"/>
      <c r="AM100" s="105"/>
    </row>
    <row r="101" spans="1:39" x14ac:dyDescent="0.25">
      <c r="A101" s="89">
        <v>89</v>
      </c>
      <c r="B101" s="114">
        <f>INDEX('Tabl. 1'!$C$8:$AO$313,104+$AB96,MATCH($C$7,$AA$7:$AA$45))</f>
        <v>99999999999</v>
      </c>
      <c r="C101" s="114">
        <f>INDEX('Tabl. 1'!$C$8:$AO$313,206+$AB96,MATCH($C$7,$AA$7:$AA$45))</f>
        <v>99999999999</v>
      </c>
      <c r="I101" s="86"/>
      <c r="P101" s="77"/>
      <c r="Q101" s="77"/>
      <c r="R101" s="77"/>
      <c r="S101" s="77"/>
      <c r="T101" s="77"/>
      <c r="U101" s="77"/>
      <c r="V101" s="76"/>
      <c r="W101" s="76"/>
      <c r="X101" s="76"/>
      <c r="Y101" s="76"/>
      <c r="Z101" s="76"/>
      <c r="AA101" s="82"/>
      <c r="AB101" s="82">
        <v>94</v>
      </c>
      <c r="AC101" s="82"/>
      <c r="AD101" s="87">
        <f t="shared" si="4"/>
        <v>-99999999999</v>
      </c>
      <c r="AE101" s="88">
        <f t="shared" si="5"/>
        <v>99999999999</v>
      </c>
      <c r="AF101" s="82">
        <f t="shared" si="6"/>
        <v>0</v>
      </c>
      <c r="AG101" s="88">
        <f t="shared" si="7"/>
        <v>0</v>
      </c>
      <c r="AH101" s="104"/>
      <c r="AI101" s="104"/>
      <c r="AJ101" s="105"/>
      <c r="AK101" s="105"/>
      <c r="AL101" s="105"/>
      <c r="AM101" s="105"/>
    </row>
    <row r="102" spans="1:39" x14ac:dyDescent="0.25">
      <c r="A102" s="89">
        <v>90</v>
      </c>
      <c r="B102" s="114">
        <f>INDEX('Tabl. 1'!$C$8:$AO$313,104+$AB97,MATCH($C$7,$AA$7:$AA$45))</f>
        <v>99999999999</v>
      </c>
      <c r="C102" s="114">
        <f>INDEX('Tabl. 1'!$C$8:$AO$313,206+$AB97,MATCH($C$7,$AA$7:$AA$45))</f>
        <v>99999999999</v>
      </c>
      <c r="I102" s="86"/>
      <c r="P102" s="77"/>
      <c r="Q102" s="77"/>
      <c r="R102" s="77"/>
      <c r="S102" s="77"/>
      <c r="T102" s="77"/>
      <c r="U102" s="77"/>
      <c r="V102" s="76"/>
      <c r="W102" s="76"/>
      <c r="X102" s="76"/>
      <c r="Y102" s="76"/>
      <c r="Z102" s="76"/>
      <c r="AA102" s="82"/>
      <c r="AB102" s="82">
        <v>95</v>
      </c>
      <c r="AC102" s="82"/>
      <c r="AD102" s="87">
        <f t="shared" si="4"/>
        <v>-99999999999</v>
      </c>
      <c r="AE102" s="88">
        <f t="shared" si="5"/>
        <v>99999999999</v>
      </c>
      <c r="AF102" s="82">
        <f t="shared" si="6"/>
        <v>0</v>
      </c>
      <c r="AG102" s="88">
        <f t="shared" si="7"/>
        <v>0</v>
      </c>
      <c r="AH102" s="104"/>
      <c r="AI102" s="104"/>
      <c r="AJ102" s="105"/>
      <c r="AK102" s="105"/>
      <c r="AL102" s="105"/>
      <c r="AM102" s="105"/>
    </row>
    <row r="103" spans="1:39" x14ac:dyDescent="0.25">
      <c r="A103" s="89">
        <v>91</v>
      </c>
      <c r="B103" s="114">
        <f>INDEX('Tabl. 1'!$C$8:$AO$313,104+$AB98,MATCH($C$7,$AA$7:$AA$45))</f>
        <v>99999999999</v>
      </c>
      <c r="C103" s="114">
        <f>INDEX('Tabl. 1'!$C$8:$AO$313,206+$AB98,MATCH($C$7,$AA$7:$AA$45))</f>
        <v>99999999999</v>
      </c>
      <c r="I103" s="86"/>
      <c r="P103" s="77"/>
      <c r="Q103" s="77"/>
      <c r="R103" s="77"/>
      <c r="S103" s="77"/>
      <c r="T103" s="77"/>
      <c r="U103" s="77"/>
      <c r="V103" s="76"/>
      <c r="W103" s="76"/>
      <c r="X103" s="76"/>
      <c r="Y103" s="76"/>
      <c r="Z103" s="76"/>
      <c r="AA103" s="82"/>
      <c r="AB103" s="82">
        <v>96</v>
      </c>
      <c r="AC103" s="82"/>
      <c r="AD103" s="87">
        <f t="shared" si="4"/>
        <v>-99999999999</v>
      </c>
      <c r="AE103" s="88">
        <f t="shared" si="5"/>
        <v>99999999999</v>
      </c>
      <c r="AF103" s="82">
        <f t="shared" si="6"/>
        <v>0</v>
      </c>
      <c r="AG103" s="88">
        <f t="shared" si="7"/>
        <v>0</v>
      </c>
      <c r="AH103" s="104"/>
      <c r="AI103" s="104"/>
      <c r="AJ103" s="105"/>
      <c r="AK103" s="105"/>
      <c r="AL103" s="105"/>
      <c r="AM103" s="105"/>
    </row>
    <row r="104" spans="1:39" x14ac:dyDescent="0.25">
      <c r="A104" s="89">
        <v>92</v>
      </c>
      <c r="B104" s="114">
        <f>INDEX('Tabl. 1'!$C$8:$AO$313,104+$AB99,MATCH($C$7,$AA$7:$AA$45))</f>
        <v>99999999999</v>
      </c>
      <c r="C104" s="114">
        <f>INDEX('Tabl. 1'!$C$8:$AO$313,206+$AB99,MATCH($C$7,$AA$7:$AA$45))</f>
        <v>99999999999</v>
      </c>
      <c r="I104" s="86"/>
      <c r="P104" s="77"/>
      <c r="Q104" s="77"/>
      <c r="R104" s="77"/>
      <c r="S104" s="77"/>
      <c r="T104" s="77"/>
      <c r="U104" s="77"/>
      <c r="V104" s="76"/>
      <c r="W104" s="76"/>
      <c r="X104" s="76"/>
      <c r="Y104" s="76"/>
      <c r="Z104" s="76"/>
      <c r="AA104" s="82"/>
      <c r="AB104" s="82">
        <v>97</v>
      </c>
      <c r="AC104" s="82"/>
      <c r="AD104" s="87">
        <f t="shared" si="4"/>
        <v>-99999999999</v>
      </c>
      <c r="AE104" s="88">
        <f t="shared" si="5"/>
        <v>99999999999</v>
      </c>
      <c r="AF104" s="82">
        <f t="shared" si="6"/>
        <v>0</v>
      </c>
      <c r="AG104" s="88">
        <f t="shared" si="7"/>
        <v>0</v>
      </c>
      <c r="AH104" s="104"/>
      <c r="AI104" s="104"/>
      <c r="AJ104" s="105"/>
      <c r="AK104" s="105"/>
      <c r="AL104" s="105"/>
      <c r="AM104" s="105"/>
    </row>
    <row r="105" spans="1:39" x14ac:dyDescent="0.25">
      <c r="A105" s="89">
        <v>93</v>
      </c>
      <c r="B105" s="114">
        <f>INDEX('Tabl. 1'!$C$8:$AO$313,104+$AB100,MATCH($C$7,$AA$7:$AA$45))</f>
        <v>99999999999</v>
      </c>
      <c r="C105" s="114">
        <f>INDEX('Tabl. 1'!$C$8:$AO$313,206+$AB100,MATCH($C$7,$AA$7:$AA$45))</f>
        <v>99999999999</v>
      </c>
      <c r="I105" s="86"/>
      <c r="P105" s="77"/>
      <c r="Q105" s="77"/>
      <c r="R105" s="77"/>
      <c r="S105" s="77"/>
      <c r="T105" s="77"/>
      <c r="U105" s="77"/>
      <c r="V105" s="76"/>
      <c r="W105" s="76"/>
      <c r="X105" s="76"/>
      <c r="Y105" s="76"/>
      <c r="Z105" s="76"/>
      <c r="AA105" s="82"/>
      <c r="AB105" s="82">
        <v>98</v>
      </c>
      <c r="AC105" s="82"/>
      <c r="AD105" s="87">
        <f t="shared" si="4"/>
        <v>-99999999999</v>
      </c>
      <c r="AE105" s="88">
        <f t="shared" si="5"/>
        <v>99999999999</v>
      </c>
      <c r="AF105" s="82">
        <f t="shared" si="6"/>
        <v>0</v>
      </c>
      <c r="AG105" s="88">
        <f t="shared" si="7"/>
        <v>0</v>
      </c>
      <c r="AH105" s="104"/>
      <c r="AI105" s="104"/>
      <c r="AJ105" s="105"/>
      <c r="AK105" s="105"/>
      <c r="AL105" s="105"/>
      <c r="AM105" s="105"/>
    </row>
    <row r="106" spans="1:39" x14ac:dyDescent="0.25">
      <c r="A106" s="89">
        <v>94</v>
      </c>
      <c r="B106" s="114">
        <f>INDEX('Tabl. 1'!$C$8:$AO$313,104+$AB101,MATCH($C$7,$AA$7:$AA$45))</f>
        <v>99999999999</v>
      </c>
      <c r="C106" s="114">
        <f>INDEX('Tabl. 1'!$C$8:$AO$313,206+$AB101,MATCH($C$7,$AA$7:$AA$45))</f>
        <v>99999999999</v>
      </c>
      <c r="I106" s="86"/>
      <c r="P106" s="77"/>
      <c r="Q106" s="77"/>
      <c r="R106" s="77"/>
      <c r="S106" s="77"/>
      <c r="T106" s="77"/>
      <c r="U106" s="77"/>
      <c r="V106" s="76"/>
      <c r="W106" s="76"/>
      <c r="X106" s="76"/>
      <c r="Y106" s="76"/>
      <c r="Z106" s="76"/>
      <c r="AA106" s="82"/>
      <c r="AB106" s="82">
        <v>99</v>
      </c>
      <c r="AC106" s="82"/>
      <c r="AD106" s="87">
        <f t="shared" si="4"/>
        <v>-99999999999</v>
      </c>
      <c r="AE106" s="88">
        <f t="shared" si="5"/>
        <v>99999999999</v>
      </c>
      <c r="AF106" s="82">
        <f t="shared" si="6"/>
        <v>0</v>
      </c>
      <c r="AG106" s="88">
        <f t="shared" si="7"/>
        <v>0</v>
      </c>
      <c r="AH106" s="104"/>
      <c r="AI106" s="104"/>
      <c r="AJ106" s="105"/>
      <c r="AK106" s="105"/>
      <c r="AL106" s="105"/>
      <c r="AM106" s="105"/>
    </row>
    <row r="107" spans="1:39" x14ac:dyDescent="0.25">
      <c r="A107" s="89">
        <v>95</v>
      </c>
      <c r="B107" s="114">
        <f>INDEX('Tabl. 1'!$C$8:$AO$313,104+$AB102,MATCH($C$7,$AA$7:$AA$45))</f>
        <v>99999999999</v>
      </c>
      <c r="C107" s="114">
        <f>INDEX('Tabl. 1'!$C$8:$AO$313,206+$AB102,MATCH($C$7,$AA$7:$AA$45))</f>
        <v>99999999999</v>
      </c>
      <c r="I107" s="86"/>
      <c r="P107" s="77"/>
      <c r="Q107" s="77"/>
      <c r="R107" s="77"/>
      <c r="S107" s="77"/>
      <c r="T107" s="77"/>
      <c r="U107" s="77"/>
      <c r="V107" s="76"/>
      <c r="W107" s="76"/>
      <c r="X107" s="76"/>
      <c r="Y107" s="76"/>
      <c r="Z107" s="76"/>
      <c r="AA107" s="82"/>
      <c r="AB107" s="82">
        <v>100</v>
      </c>
      <c r="AC107" s="82"/>
      <c r="AD107" s="87">
        <f t="shared" si="4"/>
        <v>-99999999999</v>
      </c>
      <c r="AE107" s="88">
        <f t="shared" si="5"/>
        <v>99999999999</v>
      </c>
      <c r="AF107" s="82">
        <f t="shared" si="6"/>
        <v>0</v>
      </c>
      <c r="AG107" s="88">
        <f t="shared" si="7"/>
        <v>0</v>
      </c>
      <c r="AH107" s="104"/>
      <c r="AI107" s="104"/>
      <c r="AJ107" s="105"/>
      <c r="AK107" s="105"/>
      <c r="AL107" s="105"/>
      <c r="AM107" s="105"/>
    </row>
    <row r="108" spans="1:39" x14ac:dyDescent="0.25">
      <c r="A108" s="89">
        <v>96</v>
      </c>
      <c r="B108" s="114">
        <f>INDEX('Tabl. 1'!$C$8:$AO$313,104+$AB103,MATCH($C$7,$AA$7:$AA$45))</f>
        <v>99999999999</v>
      </c>
      <c r="C108" s="114">
        <f>INDEX('Tabl. 1'!$C$8:$AO$313,206+$AB103,MATCH($C$7,$AA$7:$AA$45))</f>
        <v>99999999999</v>
      </c>
      <c r="I108" s="86"/>
      <c r="P108" s="77"/>
      <c r="Q108" s="77"/>
      <c r="R108" s="77"/>
      <c r="S108" s="77"/>
      <c r="T108" s="77"/>
      <c r="U108" s="77"/>
      <c r="V108" s="76"/>
      <c r="W108" s="76"/>
      <c r="X108" s="76"/>
      <c r="Y108" s="76"/>
      <c r="Z108" s="76"/>
      <c r="AA108" s="82"/>
      <c r="AB108" s="82">
        <v>101</v>
      </c>
      <c r="AC108" s="82"/>
      <c r="AD108" s="87">
        <f t="shared" si="4"/>
        <v>-99999999999</v>
      </c>
      <c r="AE108" s="88">
        <f t="shared" si="5"/>
        <v>99999999999</v>
      </c>
      <c r="AF108" s="82">
        <f t="shared" si="6"/>
        <v>0</v>
      </c>
      <c r="AG108" s="88">
        <f t="shared" si="7"/>
        <v>0</v>
      </c>
      <c r="AH108" s="104"/>
      <c r="AI108" s="104"/>
      <c r="AJ108" s="105"/>
      <c r="AK108" s="105"/>
      <c r="AL108" s="105"/>
      <c r="AM108" s="105"/>
    </row>
    <row r="109" spans="1:39" x14ac:dyDescent="0.25">
      <c r="A109" s="89">
        <v>97</v>
      </c>
      <c r="B109" s="114">
        <f>INDEX('Tabl. 1'!$C$8:$AO$313,104+$AB104,MATCH($C$7,$AA$7:$AA$45))</f>
        <v>99999999999</v>
      </c>
      <c r="C109" s="114">
        <f>INDEX('Tabl. 1'!$C$8:$AO$313,206+$AB104,MATCH($C$7,$AA$7:$AA$45))</f>
        <v>99999999999</v>
      </c>
      <c r="AA109" s="82"/>
      <c r="AB109" s="82"/>
      <c r="AC109" s="82"/>
      <c r="AD109" s="87">
        <f>MAX('Tabl. 1'!C111:C211)*-1</f>
        <v>-99999999999</v>
      </c>
      <c r="AE109" s="88">
        <f>MAX('Tabl. 1'!C213:C313)</f>
        <v>99999999999</v>
      </c>
      <c r="AF109" s="82">
        <f t="shared" si="6"/>
        <v>0</v>
      </c>
      <c r="AG109" s="88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89">
        <v>98</v>
      </c>
      <c r="B110" s="114">
        <f>INDEX('Tabl. 1'!$C$8:$AO$313,104+$AB105,MATCH($C$7,$AA$7:$AA$45))</f>
        <v>99999999999</v>
      </c>
      <c r="C110" s="114">
        <f>INDEX('Tabl. 1'!$C$8:$AO$313,206+$AB105,MATCH($C$7,$AA$7:$AA$45))</f>
        <v>99999999999</v>
      </c>
      <c r="AA110" s="82"/>
      <c r="AB110" s="82"/>
      <c r="AC110" s="82"/>
      <c r="AD110" s="82"/>
      <c r="AE110" s="82"/>
      <c r="AF110" s="82"/>
      <c r="AG110" s="83"/>
      <c r="AH110" s="104"/>
      <c r="AI110" s="104"/>
      <c r="AJ110" s="105"/>
      <c r="AK110" s="105"/>
      <c r="AL110" s="105"/>
      <c r="AM110" s="105"/>
    </row>
    <row r="111" spans="1:39" x14ac:dyDescent="0.25">
      <c r="A111" s="89">
        <v>99</v>
      </c>
      <c r="B111" s="114">
        <f>INDEX('Tabl. 1'!$C$8:$AO$313,104+$AB106,MATCH($C$7,$AA$7:$AA$45))</f>
        <v>99999999999</v>
      </c>
      <c r="C111" s="114">
        <f>INDEX('Tabl. 1'!$C$8:$AO$313,206+$AB106,MATCH($C$7,$AA$7:$AA$45))</f>
        <v>99999999999</v>
      </c>
      <c r="AA111" s="82"/>
      <c r="AB111" s="82"/>
      <c r="AC111" s="82"/>
      <c r="AD111" s="82"/>
      <c r="AE111" s="82"/>
      <c r="AF111" s="82"/>
      <c r="AG111" s="83"/>
      <c r="AH111" s="104"/>
      <c r="AI111" s="104"/>
      <c r="AJ111" s="105"/>
      <c r="AK111" s="105"/>
      <c r="AL111" s="105"/>
      <c r="AM111" s="105"/>
    </row>
    <row r="112" spans="1:39" x14ac:dyDescent="0.25">
      <c r="A112" s="90" t="s">
        <v>68</v>
      </c>
      <c r="B112" s="118">
        <f>INDEX('Tabl. 1'!$C$8:$AO$313,104+$AB107,MATCH($C$7,$AA$7:$AA$45))</f>
        <v>99999999999</v>
      </c>
      <c r="C112" s="118">
        <f>INDEX('Tabl. 1'!$C$8:$AO$313,206+$AB107,MATCH($C$7,$AA$7:$AA$45))</f>
        <v>99999999999</v>
      </c>
      <c r="AA112" s="82"/>
      <c r="AB112" s="82"/>
      <c r="AC112" s="82"/>
      <c r="AD112" s="82"/>
      <c r="AE112" s="82"/>
      <c r="AF112" s="82"/>
      <c r="AG112" s="83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SMM2pLY6n7OaOW9jj1KkUraATUS04wBdz+WrDccxPEadgPGG6MpY8pga+KYbzkFilcm+ZLZGw8Q6IMZef9FIxQ==" saltValue="6N+D7C1YHmuzC0dsDonDdQ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10241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2023-08-29T13:53:58Z</dcterms:modified>
</cp:coreProperties>
</file>