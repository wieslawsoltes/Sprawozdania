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7" r:id="rId1"/>
    <sheet name="Tabl. 1" sheetId="12" r:id="rId2"/>
    <sheet name="Tabl. 2" sheetId="13" r:id="rId3"/>
    <sheet name="Tabl. 3" sheetId="11" r:id="rId4"/>
    <sheet name="Tabl. 4" sheetId="5" r:id="rId5"/>
    <sheet name="Wykres 1 Chart 1" sheetId="20" r:id="rId6"/>
  </sheets>
  <calcPr calcId="152511"/>
</workbook>
</file>

<file path=xl/calcChain.xml><?xml version="1.0" encoding="utf-8"?>
<calcChain xmlns="http://schemas.openxmlformats.org/spreadsheetml/2006/main">
  <c r="AE109" i="20" l="1"/>
  <c r="AD109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2" i="20"/>
  <c r="B12" i="20"/>
  <c r="AG109" i="20" l="1"/>
  <c r="AF109" i="20"/>
  <c r="AF20" i="20" l="1"/>
  <c r="AD20" i="20" s="1"/>
  <c r="AG24" i="20"/>
  <c r="AE24" i="20" s="1"/>
  <c r="AG28" i="20"/>
  <c r="AE28" i="20" s="1"/>
  <c r="AG44" i="20"/>
  <c r="AE44" i="20" s="1"/>
  <c r="AG54" i="20"/>
  <c r="AE54" i="20" s="1"/>
  <c r="AF60" i="20"/>
  <c r="AD60" i="20" s="1"/>
  <c r="AF62" i="20"/>
  <c r="AD62" i="20" s="1"/>
  <c r="AF96" i="20"/>
  <c r="AD96" i="20" s="1"/>
  <c r="AF68" i="20"/>
  <c r="AD68" i="20" s="1"/>
  <c r="AF73" i="20"/>
  <c r="AD73" i="20" s="1"/>
  <c r="AF8" i="20"/>
  <c r="AD8" i="20" s="1"/>
  <c r="AG10" i="20"/>
  <c r="AE10" i="20" s="1"/>
  <c r="AF35" i="20"/>
  <c r="AD35" i="20" s="1"/>
  <c r="AF70" i="20"/>
  <c r="AD70" i="20" s="1"/>
  <c r="AG86" i="20"/>
  <c r="AE86" i="20" s="1"/>
  <c r="AF105" i="20"/>
  <c r="AD105" i="20" s="1"/>
  <c r="AF107" i="20"/>
  <c r="AD107" i="20" s="1"/>
  <c r="AF79" i="20"/>
  <c r="AD79" i="20" s="1"/>
  <c r="AF81" i="20"/>
  <c r="AD81" i="20" s="1"/>
  <c r="AF83" i="20"/>
  <c r="AD83" i="20" s="1"/>
  <c r="AF9" i="20"/>
  <c r="AD9" i="20" s="1"/>
  <c r="AF15" i="20"/>
  <c r="AD15" i="20" s="1"/>
  <c r="AF26" i="20"/>
  <c r="AD26" i="20" s="1"/>
  <c r="AG30" i="20"/>
  <c r="AE30" i="20" s="1"/>
  <c r="AG34" i="20"/>
  <c r="AE34" i="20" s="1"/>
  <c r="AF93" i="20"/>
  <c r="AD93" i="20" s="1"/>
  <c r="AG102" i="20"/>
  <c r="AE102" i="20" s="1"/>
  <c r="AF104" i="20"/>
  <c r="AD104" i="20" s="1"/>
  <c r="AG106" i="20"/>
  <c r="AE106" i="20" s="1"/>
  <c r="AG108" i="20"/>
  <c r="AE108" i="20" s="1"/>
  <c r="AG38" i="20"/>
  <c r="AE38" i="20" s="1"/>
  <c r="AF41" i="20"/>
  <c r="AD41" i="20" s="1"/>
  <c r="AF90" i="20"/>
  <c r="AD90" i="20" s="1"/>
  <c r="AG94" i="20"/>
  <c r="AE94" i="20" s="1"/>
  <c r="AF99" i="20"/>
  <c r="AD99" i="20" s="1"/>
  <c r="AG42" i="20"/>
  <c r="AE42" i="20" s="1"/>
  <c r="AG46" i="20"/>
  <c r="AE46" i="20" s="1"/>
  <c r="AG50" i="20"/>
  <c r="AE50" i="20" s="1"/>
  <c r="AF88" i="20"/>
  <c r="AD88" i="20" s="1"/>
  <c r="AF97" i="20"/>
  <c r="AD97" i="20" s="1"/>
  <c r="AF19" i="20"/>
  <c r="AD19" i="20" s="1"/>
  <c r="AF29" i="20"/>
  <c r="AD29" i="20" s="1"/>
  <c r="AF57" i="20"/>
  <c r="AD57" i="20" s="1"/>
  <c r="AF63" i="20"/>
  <c r="AD63" i="20" s="1"/>
  <c r="AF65" i="20"/>
  <c r="AD65" i="20" s="1"/>
  <c r="AG90" i="20"/>
  <c r="AE90" i="20" s="1"/>
  <c r="AF98" i="20"/>
  <c r="AF100" i="20"/>
  <c r="AD100" i="20" s="1"/>
  <c r="AF101" i="20"/>
  <c r="AD101" i="20" s="1"/>
  <c r="AG12" i="20"/>
  <c r="AE12" i="20" s="1"/>
  <c r="AF14" i="20"/>
  <c r="AD14" i="20" s="1"/>
  <c r="AF36" i="20"/>
  <c r="AD36" i="20" s="1"/>
  <c r="AF39" i="20"/>
  <c r="AD39" i="20" s="1"/>
  <c r="AF43" i="20"/>
  <c r="AD43" i="20" s="1"/>
  <c r="AF76" i="20"/>
  <c r="AD76" i="20" s="1"/>
  <c r="AF78" i="20"/>
  <c r="AD78" i="20" s="1"/>
  <c r="AF84" i="20"/>
  <c r="AD84" i="20" s="1"/>
  <c r="AF87" i="20"/>
  <c r="AD87" i="20" s="1"/>
  <c r="AF89" i="20"/>
  <c r="AD89" i="20" s="1"/>
  <c r="AF92" i="20"/>
  <c r="AD92" i="20" s="1"/>
  <c r="AF49" i="20"/>
  <c r="AD49" i="20" s="1"/>
  <c r="AG74" i="20"/>
  <c r="AE74" i="20" s="1"/>
  <c r="AG82" i="20"/>
  <c r="AE82" i="20" s="1"/>
  <c r="AF95" i="20"/>
  <c r="AD95" i="20" s="1"/>
  <c r="AF18" i="20"/>
  <c r="AD18" i="20" s="1"/>
  <c r="AF67" i="20"/>
  <c r="AD67" i="20" s="1"/>
  <c r="AG78" i="20"/>
  <c r="AE78" i="20" s="1"/>
  <c r="AF11" i="20"/>
  <c r="AD11" i="20" s="1"/>
  <c r="AF25" i="20"/>
  <c r="AD25" i="20" s="1"/>
  <c r="AF33" i="20"/>
  <c r="AD33" i="20" s="1"/>
  <c r="AF38" i="20"/>
  <c r="AD38" i="20" s="1"/>
  <c r="AF44" i="20"/>
  <c r="AD44" i="20" s="1"/>
  <c r="AF46" i="20"/>
  <c r="AD46" i="20" s="1"/>
  <c r="AF51" i="20"/>
  <c r="AD51" i="20" s="1"/>
  <c r="AG60" i="20"/>
  <c r="AE60" i="20" s="1"/>
  <c r="AG58" i="20"/>
  <c r="AE58" i="20" s="1"/>
  <c r="AG62" i="20"/>
  <c r="AE62" i="20" s="1"/>
  <c r="AG66" i="20"/>
  <c r="AE66" i="20" s="1"/>
  <c r="AF71" i="20"/>
  <c r="AD71" i="20" s="1"/>
  <c r="AF75" i="20"/>
  <c r="AD75" i="20" s="1"/>
  <c r="AF91" i="20"/>
  <c r="AD91" i="20" s="1"/>
  <c r="AF94" i="20"/>
  <c r="AD94" i="20" s="1"/>
  <c r="AF102" i="20"/>
  <c r="AD102" i="20" s="1"/>
  <c r="AG20" i="20"/>
  <c r="AE20" i="20" s="1"/>
  <c r="AF22" i="20"/>
  <c r="AD22" i="20" s="1"/>
  <c r="AF47" i="20"/>
  <c r="AD47" i="20" s="1"/>
  <c r="AF54" i="20"/>
  <c r="AD54" i="20" s="1"/>
  <c r="AG76" i="20"/>
  <c r="AE76" i="20" s="1"/>
  <c r="AF12" i="20"/>
  <c r="AD12" i="20" s="1"/>
  <c r="AF23" i="20"/>
  <c r="AD23" i="20" s="1"/>
  <c r="AG26" i="20"/>
  <c r="AE26" i="20" s="1"/>
  <c r="AF28" i="20"/>
  <c r="AD28" i="20" s="1"/>
  <c r="AF52" i="20"/>
  <c r="AD52" i="20" s="1"/>
  <c r="AF55" i="20"/>
  <c r="AD55" i="20" s="1"/>
  <c r="AF59" i="20"/>
  <c r="AD59" i="20" s="1"/>
  <c r="AG70" i="20"/>
  <c r="AE70" i="20" s="1"/>
  <c r="AG92" i="20"/>
  <c r="AE92" i="20" s="1"/>
  <c r="AG98" i="20"/>
  <c r="AE98" i="20" s="1"/>
  <c r="AF103" i="20"/>
  <c r="AD103" i="20" s="1"/>
  <c r="AG104" i="20"/>
  <c r="AE104" i="20" s="1"/>
  <c r="AF13" i="20"/>
  <c r="AD13" i="20" s="1"/>
  <c r="AF27" i="20"/>
  <c r="AD27" i="20" s="1"/>
  <c r="AF32" i="20"/>
  <c r="AD32" i="20" s="1"/>
  <c r="AF34" i="20"/>
  <c r="AD34" i="20" s="1"/>
  <c r="AF45" i="20"/>
  <c r="AD45" i="20" s="1"/>
  <c r="AF48" i="20"/>
  <c r="AD48" i="20" s="1"/>
  <c r="AF50" i="20"/>
  <c r="AD50" i="20" s="1"/>
  <c r="AF61" i="20"/>
  <c r="AD61" i="20" s="1"/>
  <c r="AF64" i="20"/>
  <c r="AD64" i="20" s="1"/>
  <c r="AF66" i="20"/>
  <c r="AD66" i="20" s="1"/>
  <c r="AF77" i="20"/>
  <c r="AD77" i="20" s="1"/>
  <c r="AF80" i="20"/>
  <c r="AD80" i="20" s="1"/>
  <c r="AF82" i="20"/>
  <c r="AD82" i="20" s="1"/>
  <c r="AG100" i="20"/>
  <c r="AE100" i="20" s="1"/>
  <c r="AD98" i="20"/>
  <c r="AF106" i="20"/>
  <c r="AD106" i="20" s="1"/>
  <c r="AF30" i="20"/>
  <c r="AD30" i="20" s="1"/>
  <c r="AG36" i="20"/>
  <c r="AE36" i="20" s="1"/>
  <c r="AG52" i="20"/>
  <c r="AE52" i="20" s="1"/>
  <c r="AG68" i="20"/>
  <c r="AE68" i="20" s="1"/>
  <c r="AG84" i="20"/>
  <c r="AE84" i="20" s="1"/>
  <c r="AG8" i="20"/>
  <c r="AE8" i="20" s="1"/>
  <c r="AG14" i="20"/>
  <c r="AE14" i="20" s="1"/>
  <c r="AF16" i="20"/>
  <c r="AD16" i="20" s="1"/>
  <c r="AF37" i="20"/>
  <c r="AD37" i="20" s="1"/>
  <c r="AF40" i="20"/>
  <c r="AD40" i="20" s="1"/>
  <c r="AF42" i="20"/>
  <c r="AD42" i="20" s="1"/>
  <c r="AF53" i="20"/>
  <c r="AD53" i="20" s="1"/>
  <c r="AF56" i="20"/>
  <c r="AD56" i="20" s="1"/>
  <c r="AF58" i="20"/>
  <c r="AD58" i="20" s="1"/>
  <c r="AF69" i="20"/>
  <c r="AD69" i="20" s="1"/>
  <c r="AF72" i="20"/>
  <c r="AD72" i="20" s="1"/>
  <c r="AF74" i="20"/>
  <c r="AD74" i="20" s="1"/>
  <c r="AF86" i="20"/>
  <c r="AD86" i="20" s="1"/>
  <c r="AG88" i="20"/>
  <c r="AE88" i="20" s="1"/>
  <c r="AG96" i="20"/>
  <c r="AE96" i="20" s="1"/>
  <c r="AF108" i="20"/>
  <c r="AD108" i="20" s="1"/>
  <c r="AG16" i="20"/>
  <c r="AE16" i="20" s="1"/>
  <c r="AG18" i="20"/>
  <c r="AE18" i="20" s="1"/>
  <c r="AG22" i="20"/>
  <c r="AE22" i="20" s="1"/>
  <c r="AF24" i="20"/>
  <c r="AD24" i="20" s="1"/>
  <c r="AG32" i="20"/>
  <c r="AE32" i="20" s="1"/>
  <c r="AG40" i="20"/>
  <c r="AE40" i="20" s="1"/>
  <c r="AG48" i="20"/>
  <c r="AE48" i="20" s="1"/>
  <c r="AG56" i="20"/>
  <c r="AE56" i="20" s="1"/>
  <c r="AG64" i="20"/>
  <c r="AE64" i="20" s="1"/>
  <c r="AG72" i="20"/>
  <c r="AE72" i="20" s="1"/>
  <c r="AG80" i="20"/>
  <c r="AE80" i="20" s="1"/>
  <c r="AF85" i="20"/>
  <c r="AD85" i="20" s="1"/>
  <c r="AF10" i="20"/>
  <c r="AD10" i="20" s="1"/>
  <c r="AF17" i="20"/>
  <c r="AD17" i="20" s="1"/>
  <c r="AF21" i="20"/>
  <c r="AD21" i="20" s="1"/>
  <c r="AF31" i="20"/>
  <c r="AD31" i="20" s="1"/>
  <c r="AG9" i="20"/>
  <c r="AE9" i="20" s="1"/>
  <c r="AG11" i="20"/>
  <c r="AE11" i="20" s="1"/>
  <c r="AG13" i="20"/>
  <c r="AE13" i="20" s="1"/>
  <c r="AG15" i="20"/>
  <c r="AE15" i="20" s="1"/>
  <c r="AG17" i="20"/>
  <c r="AE17" i="20" s="1"/>
  <c r="AG19" i="20"/>
  <c r="AE19" i="20" s="1"/>
  <c r="AG21" i="20"/>
  <c r="AE21" i="20" s="1"/>
  <c r="AG23" i="20"/>
  <c r="AE23" i="20" s="1"/>
  <c r="AG25" i="20"/>
  <c r="AE25" i="20" s="1"/>
  <c r="AG27" i="20"/>
  <c r="AE27" i="20" s="1"/>
  <c r="AG29" i="20"/>
  <c r="AE29" i="20" s="1"/>
  <c r="AG31" i="20"/>
  <c r="AE31" i="20" s="1"/>
  <c r="AG33" i="20"/>
  <c r="AE33" i="20" s="1"/>
  <c r="AG35" i="20"/>
  <c r="AE35" i="20" s="1"/>
  <c r="AG37" i="20"/>
  <c r="AE37" i="20" s="1"/>
  <c r="AG39" i="20"/>
  <c r="AE39" i="20" s="1"/>
  <c r="AG41" i="20"/>
  <c r="AE41" i="20" s="1"/>
  <c r="AG43" i="20"/>
  <c r="AE43" i="20" s="1"/>
  <c r="AG45" i="20"/>
  <c r="AE45" i="20" s="1"/>
  <c r="AG47" i="20"/>
  <c r="AE47" i="20" s="1"/>
  <c r="AG49" i="20"/>
  <c r="AE49" i="20" s="1"/>
  <c r="AG51" i="20"/>
  <c r="AE51" i="20" s="1"/>
  <c r="AG53" i="20"/>
  <c r="AE53" i="20" s="1"/>
  <c r="AG55" i="20"/>
  <c r="AE55" i="20" s="1"/>
  <c r="AG57" i="20"/>
  <c r="AE57" i="20" s="1"/>
  <c r="AG59" i="20"/>
  <c r="AE59" i="20" s="1"/>
  <c r="AG61" i="20"/>
  <c r="AE61" i="20" s="1"/>
  <c r="AG63" i="20"/>
  <c r="AE63" i="20" s="1"/>
  <c r="AG65" i="20"/>
  <c r="AE65" i="20" s="1"/>
  <c r="AG67" i="20"/>
  <c r="AE67" i="20" s="1"/>
  <c r="AG69" i="20"/>
  <c r="AE69" i="20" s="1"/>
  <c r="AG71" i="20"/>
  <c r="AE71" i="20" s="1"/>
  <c r="AG73" i="20"/>
  <c r="AE73" i="20" s="1"/>
  <c r="AG75" i="20"/>
  <c r="AE75" i="20" s="1"/>
  <c r="AG77" i="20"/>
  <c r="AE77" i="20" s="1"/>
  <c r="AG79" i="20"/>
  <c r="AE79" i="20" s="1"/>
  <c r="AG81" i="20"/>
  <c r="AE81" i="20" s="1"/>
  <c r="AG83" i="20"/>
  <c r="AE83" i="20" s="1"/>
  <c r="AG85" i="20"/>
  <c r="AE85" i="20" s="1"/>
  <c r="AG87" i="20"/>
  <c r="AE87" i="20" s="1"/>
  <c r="AG89" i="20"/>
  <c r="AE89" i="20" s="1"/>
  <c r="AG91" i="20"/>
  <c r="AE91" i="20" s="1"/>
  <c r="AG93" i="20"/>
  <c r="AE93" i="20" s="1"/>
  <c r="AG95" i="20"/>
  <c r="AE95" i="20" s="1"/>
  <c r="AG97" i="20"/>
  <c r="AE97" i="20" s="1"/>
  <c r="AG99" i="20"/>
  <c r="AE99" i="20" s="1"/>
  <c r="AG101" i="20"/>
  <c r="AE101" i="20" s="1"/>
  <c r="AG103" i="20"/>
  <c r="AE103" i="20" s="1"/>
  <c r="AG105" i="20"/>
  <c r="AE105" i="20" s="1"/>
  <c r="AG107" i="20"/>
  <c r="AE107" i="20" s="1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<sst xmlns="http://schemas.openxmlformats.org/spreadsheetml/2006/main" count="223" uniqueCount="106">
  <si>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</si>
  <si>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</si>
  <si>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</si>
  <si>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</si>
  <si>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</si>
  <si>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</si>
  <si>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</si>
  <si>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</si>
  <si>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</si>
  <si>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</si>
  <si>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</si>
  <si>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</si>
  <si>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</si>
  <si>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</si>
  <si>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</si>
  <si>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</si>
  <si>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</si>
  <si>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</si>
  <si>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</si>
  <si>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</si>
  <si>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</si>
  <si>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</si>
  <si>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</si>
  <si>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</si>
  <si>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</si>
  <si>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</si>
  <si>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</si>
  <si>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</si>
  <si>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</si>
  <si>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</si>
  <si>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</si>
  <si>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</si>
  <si>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</si>
  <si>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</si>
  <si>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</si>
  <si>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</si>
  <si>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</si>
  <si>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</si>
  <si>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</si>
  <si>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</si>
  <si>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</si>
  <si>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</si>
  <si>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</si>
  <si>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</si>
  <si>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</si>
  <si>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</si>
  <si>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</si>
  <si>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</si>
  <si>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</si>
  <si>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</si>
  <si>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</si>
  <si>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</si>
  <si>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</si>
  <si>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</si>
  <si>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2. LUDNOŚĆ WEDŁUG PŁCI I PIECIOLETNICH GRUP WIEKU</t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</si>
  <si>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</si>
  <si>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</si>
  <si>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</si>
  <si>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</si>
  <si>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</si>
  <si>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</si>
  <si>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</si>
  <si>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</si>
  <si>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</si>
  <si>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</si>
  <si>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</si>
  <si>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</si>
  <si>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</si>
  <si>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</si>
  <si>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</si>
  <si>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</si>
  <si>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</si>
  <si>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</si>
  <si>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</si>
  <si>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</si>
  <si>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</si>
  <si>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</si>
  <si>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</si>
  <si>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</si>
  <si>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</si>
  <si>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</si>
  <si>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</si>
  <si>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</si>
  <si>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</si>
  <si>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</si>
  <si>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główny (średni)</t>
  </si>
  <si>
    <t>Main scenario (medium)</t>
  </si>
  <si>
    <t>LUDNOŚĆ WEDŁUG PŁCI I PIĘCIOLETNICH GRUP WIEKU</t>
  </si>
  <si>
    <t>K</t>
  </si>
  <si>
    <t>M</t>
  </si>
  <si>
    <t>WYKRES 1. PIRAMIDA LUDNOŚCI</t>
  </si>
  <si>
    <t>WYKRES 1.</t>
  </si>
  <si>
    <t>PIRAMIDA LUDNOŚCI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</si>
  <si>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</si>
  <si>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</si>
  <si>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 POPULATION PYRAMID</t>
  </si>
  <si>
    <t>POPULATION PYRAMID</t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</si>
  <si>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</si>
  <si>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</si>
  <si>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</si>
  <si>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</si>
  <si>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</si>
  <si>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</si>
  <si>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</si>
  <si>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</si>
  <si>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dolnośląskie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</si>
</sst>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5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23" fillId="3" borderId="35" xfId="26" applyFont="1" applyFill="1" applyBorder="1" applyAlignment="1">
      <alignment horizontal="left" vertical="top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0" fontId="5" fillId="5" borderId="12" xfId="0" applyFont="1" applyFill="1" applyBorder="1" applyAlignment="1">
      <alignment horizontal="right"/>
    </xf>
    <xf numFmtId="3" fontId="10" fillId="5" borderId="5" xfId="0" applyNumberFormat="1" applyFont="1" applyFill="1" applyBorder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2" fillId="3" borderId="0" xfId="25" applyFill="1" applyProtection="1">
      <protection locked="0" hidden="1"/>
    </xf>
    <xf numFmtId="0" fontId="2" fillId="3" borderId="0" xfId="25" applyFill="1"/>
    <xf numFmtId="0" fontId="32" fillId="3" borderId="0" xfId="25" applyFont="1" applyFill="1" applyProtection="1">
      <protection hidden="1"/>
    </xf>
    <xf numFmtId="3" fontId="2" fillId="3" borderId="0" xfId="25" applyNumberFormat="1" applyFont="1" applyFill="1" applyProtection="1">
      <protection locked="0" hidden="1"/>
    </xf>
    <xf numFmtId="0" fontId="2" fillId="3" borderId="36" xfId="25" applyFill="1" applyBorder="1"/>
    <xf numFmtId="0" fontId="2" fillId="3" borderId="37" xfId="25" applyFill="1" applyBorder="1"/>
    <xf numFmtId="0" fontId="2" fillId="3" borderId="18" xfId="25" applyFont="1" applyFill="1" applyBorder="1" applyProtection="1">
      <protection locked="0"/>
    </xf>
    <xf numFmtId="0" fontId="2" fillId="3" borderId="18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0" fontId="2" fillId="3" borderId="0" xfId="25" applyFont="1" applyFill="1"/>
    <xf numFmtId="0" fontId="8" fillId="3" borderId="38" xfId="0" applyFont="1" applyFill="1" applyBorder="1"/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0" fontId="2" fillId="3" borderId="0" xfId="25" applyFill="1" applyBorder="1"/>
    <xf numFmtId="0" fontId="2" fillId="3" borderId="0" xfId="25" applyFill="1" applyProtection="1"/>
    <xf numFmtId="0" fontId="2" fillId="3" borderId="0" xfId="25" applyFont="1" applyFill="1" applyProtection="1"/>
    <xf numFmtId="0" fontId="32" fillId="3" borderId="0" xfId="25" applyFont="1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16" fillId="3" borderId="0" xfId="24" applyFont="1" applyFill="1" applyBorder="1" applyAlignment="1" applyProtection="1">
      <alignment vertical="top" wrapText="1"/>
      <protection locked="0"/>
    </xf>
    <xf numFmtId="49" fontId="24" fillId="3" borderId="13" xfId="53" applyNumberFormat="1" applyFont="1" applyFill="1" applyBorder="1" applyAlignment="1" applyProtection="1">
      <alignment horizontal="right" vertical="center"/>
      <protection locked="0"/>
    </xf>
    <xf numFmtId="49" fontId="24" fillId="3" borderId="14" xfId="53" applyNumberFormat="1" applyFont="1" applyFill="1" applyBorder="1" applyAlignment="1" applyProtection="1">
      <alignment horizontal="right" vertical="center"/>
      <protection locked="0"/>
    </xf>
    <xf numFmtId="0" fontId="11" fillId="3" borderId="0" xfId="0" applyFont="1" applyFill="1"/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5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4" borderId="0" xfId="24" applyFont="1" applyFill="1" applyBorder="1" applyAlignment="1" applyProtection="1">
      <alignment vertical="center" wrapText="1"/>
      <protection locked="0"/>
    </xf>
    <xf numFmtId="165" fontId="2" fillId="0" borderId="10" xfId="25" applyNumberFormat="1" applyFill="1" applyBorder="1" applyAlignment="1" applyProtection="1">
      <alignment vertical="center"/>
      <protection locked="0" hidden="1"/>
    </xf>
    <xf numFmtId="0" fontId="6" fillId="3" borderId="0" xfId="25" applyFont="1" applyFill="1" applyProtection="1"/>
    <xf numFmtId="0" fontId="6" fillId="3" borderId="0" xfId="25" applyFont="1" applyFill="1" applyProtection="1">
      <protection hidden="1"/>
    </xf>
    <xf numFmtId="0" fontId="6" fillId="3" borderId="0" xfId="25" applyFont="1" applyFill="1"/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0" xfId="24" applyFont="1" applyFill="1" applyBorder="1" applyAlignment="1" applyProtection="1">
      <alignment horizontal="left" vertical="center" wrapText="1"/>
      <protection locked="0"/>
    </xf>
    <xf numFmtId="0" fontId="13" fillId="4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CEAED"/>
      <color rgb="FF66C2C9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-145928</c:v>
                </c:pt>
                <c:pt idx="1">
                  <c:v>-162672</c:v>
                </c:pt>
                <c:pt idx="2">
                  <c:v>-170423</c:v>
                </c:pt>
                <c:pt idx="3">
                  <c:v>-182557</c:v>
                </c:pt>
                <c:pt idx="4">
                  <c:v>-190994</c:v>
                </c:pt>
                <c:pt idx="5">
                  <c:v>-200562</c:v>
                </c:pt>
                <c:pt idx="6">
                  <c:v>-192798</c:v>
                </c:pt>
                <c:pt idx="7">
                  <c:v>-188771</c:v>
                </c:pt>
                <c:pt idx="8">
                  <c:v>-190398</c:v>
                </c:pt>
                <c:pt idx="9">
                  <c:v>-187114</c:v>
                </c:pt>
                <c:pt idx="10">
                  <c:v>-196201</c:v>
                </c:pt>
                <c:pt idx="11">
                  <c:v>-196016</c:v>
                </c:pt>
                <c:pt idx="12">
                  <c:v>-207696</c:v>
                </c:pt>
                <c:pt idx="13">
                  <c:v>-210537</c:v>
                </c:pt>
                <c:pt idx="14">
                  <c:v>-207705</c:v>
                </c:pt>
                <c:pt idx="15">
                  <c:v>-193449</c:v>
                </c:pt>
                <c:pt idx="16">
                  <c:v>-183348</c:v>
                </c:pt>
                <c:pt idx="17">
                  <c:v>-176451</c:v>
                </c:pt>
                <c:pt idx="18">
                  <c:v>-170211</c:v>
                </c:pt>
                <c:pt idx="19">
                  <c:v>-167529</c:v>
                </c:pt>
                <c:pt idx="20">
                  <c:v>-169347</c:v>
                </c:pt>
                <c:pt idx="21">
                  <c:v>-175543</c:v>
                </c:pt>
                <c:pt idx="22">
                  <c:v>-180686</c:v>
                </c:pt>
                <c:pt idx="23">
                  <c:v>-182410</c:v>
                </c:pt>
                <c:pt idx="24">
                  <c:v>-187669</c:v>
                </c:pt>
                <c:pt idx="25">
                  <c:v>-196323</c:v>
                </c:pt>
                <c:pt idx="26">
                  <c:v>-204221</c:v>
                </c:pt>
                <c:pt idx="27">
                  <c:v>-211173</c:v>
                </c:pt>
                <c:pt idx="28">
                  <c:v>-225110</c:v>
                </c:pt>
                <c:pt idx="29">
                  <c:v>-233988</c:v>
                </c:pt>
                <c:pt idx="30">
                  <c:v>-243552</c:v>
                </c:pt>
                <c:pt idx="31">
                  <c:v>-257932</c:v>
                </c:pt>
                <c:pt idx="32">
                  <c:v>-264546</c:v>
                </c:pt>
                <c:pt idx="33">
                  <c:v>-266504</c:v>
                </c:pt>
                <c:pt idx="34">
                  <c:v>-275192</c:v>
                </c:pt>
                <c:pt idx="35">
                  <c:v>-279279</c:v>
                </c:pt>
                <c:pt idx="36">
                  <c:v>-293097</c:v>
                </c:pt>
                <c:pt idx="37">
                  <c:v>-310240</c:v>
                </c:pt>
                <c:pt idx="38">
                  <c:v>-319683</c:v>
                </c:pt>
                <c:pt idx="39">
                  <c:v>-329973</c:v>
                </c:pt>
                <c:pt idx="40">
                  <c:v>-318633</c:v>
                </c:pt>
                <c:pt idx="41">
                  <c:v>-306214</c:v>
                </c:pt>
                <c:pt idx="42">
                  <c:v>-312078</c:v>
                </c:pt>
                <c:pt idx="43">
                  <c:v>-308845</c:v>
                </c:pt>
                <c:pt idx="44">
                  <c:v>-300603</c:v>
                </c:pt>
                <c:pt idx="45">
                  <c:v>-297553</c:v>
                </c:pt>
                <c:pt idx="46">
                  <c:v>-298876</c:v>
                </c:pt>
                <c:pt idx="47">
                  <c:v>-288171</c:v>
                </c:pt>
                <c:pt idx="48">
                  <c:v>-276620</c:v>
                </c:pt>
                <c:pt idx="49">
                  <c:v>-265902</c:v>
                </c:pt>
                <c:pt idx="50">
                  <c:v>-255093</c:v>
                </c:pt>
                <c:pt idx="51">
                  <c:v>-242612</c:v>
                </c:pt>
                <c:pt idx="52">
                  <c:v>-234516</c:v>
                </c:pt>
                <c:pt idx="53">
                  <c:v>-223652</c:v>
                </c:pt>
                <c:pt idx="54">
                  <c:v>-218365</c:v>
                </c:pt>
                <c:pt idx="55">
                  <c:v>-214748</c:v>
                </c:pt>
                <c:pt idx="56">
                  <c:v>-213465</c:v>
                </c:pt>
                <c:pt idx="57">
                  <c:v>-214065</c:v>
                </c:pt>
                <c:pt idx="58">
                  <c:v>-216700</c:v>
                </c:pt>
                <c:pt idx="59">
                  <c:v>-218200</c:v>
                </c:pt>
                <c:pt idx="60">
                  <c:v>-217276</c:v>
                </c:pt>
                <c:pt idx="61">
                  <c:v>-221209</c:v>
                </c:pt>
                <c:pt idx="62">
                  <c:v>-229447</c:v>
                </c:pt>
                <c:pt idx="63">
                  <c:v>-240038</c:v>
                </c:pt>
                <c:pt idx="64">
                  <c:v>-243543</c:v>
                </c:pt>
                <c:pt idx="65">
                  <c:v>-242001</c:v>
                </c:pt>
                <c:pt idx="66">
                  <c:v>-234571</c:v>
                </c:pt>
                <c:pt idx="67">
                  <c:v>-230546</c:v>
                </c:pt>
                <c:pt idx="68">
                  <c:v>-214845</c:v>
                </c:pt>
                <c:pt idx="69">
                  <c:v>-207276</c:v>
                </c:pt>
                <c:pt idx="70">
                  <c:v>-197254</c:v>
                </c:pt>
                <c:pt idx="71">
                  <c:v>-186799</c:v>
                </c:pt>
                <c:pt idx="72">
                  <c:v>-173668</c:v>
                </c:pt>
                <c:pt idx="73">
                  <c:v>-159189</c:v>
                </c:pt>
                <c:pt idx="74">
                  <c:v>-149185</c:v>
                </c:pt>
                <c:pt idx="75">
                  <c:v>-132682</c:v>
                </c:pt>
                <c:pt idx="76">
                  <c:v>-114223</c:v>
                </c:pt>
                <c:pt idx="77">
                  <c:v>-77636</c:v>
                </c:pt>
                <c:pt idx="78">
                  <c:v>-71835</c:v>
                </c:pt>
                <c:pt idx="79">
                  <c:v>-65855</c:v>
                </c:pt>
                <c:pt idx="80">
                  <c:v>-59997</c:v>
                </c:pt>
                <c:pt idx="81">
                  <c:v>-59022</c:v>
                </c:pt>
                <c:pt idx="82">
                  <c:v>-56426</c:v>
                </c:pt>
                <c:pt idx="83">
                  <c:v>-51092</c:v>
                </c:pt>
                <c:pt idx="84">
                  <c:v>-45976</c:v>
                </c:pt>
                <c:pt idx="85">
                  <c:v>-41231</c:v>
                </c:pt>
                <c:pt idx="86">
                  <c:v>-36240</c:v>
                </c:pt>
                <c:pt idx="87">
                  <c:v>-30731</c:v>
                </c:pt>
                <c:pt idx="88">
                  <c:v>-25279</c:v>
                </c:pt>
                <c:pt idx="89">
                  <c:v>-20883</c:v>
                </c:pt>
                <c:pt idx="90">
                  <c:v>-17460</c:v>
                </c:pt>
                <c:pt idx="91">
                  <c:v>-14058</c:v>
                </c:pt>
                <c:pt idx="92">
                  <c:v>-10977</c:v>
                </c:pt>
                <c:pt idx="93">
                  <c:v>-7767</c:v>
                </c:pt>
                <c:pt idx="94">
                  <c:v>-5661</c:v>
                </c:pt>
                <c:pt idx="95">
                  <c:v>-3716</c:v>
                </c:pt>
                <c:pt idx="96">
                  <c:v>-2466</c:v>
                </c:pt>
                <c:pt idx="97">
                  <c:v>-1771</c:v>
                </c:pt>
                <c:pt idx="98">
                  <c:v>-1123</c:v>
                </c:pt>
                <c:pt idx="99">
                  <c:v>-879</c:v>
                </c:pt>
                <c:pt idx="100">
                  <c:v>-1354</c:v>
                </c:pt>
                <c:pt idx="101">
                  <c:v>-336987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145928</c:v>
                </c:pt>
                <c:pt idx="1">
                  <c:v>162672</c:v>
                </c:pt>
                <c:pt idx="2">
                  <c:v>170423</c:v>
                </c:pt>
                <c:pt idx="3">
                  <c:v>182557</c:v>
                </c:pt>
                <c:pt idx="4">
                  <c:v>190994</c:v>
                </c:pt>
                <c:pt idx="5">
                  <c:v>200562</c:v>
                </c:pt>
                <c:pt idx="6">
                  <c:v>192798</c:v>
                </c:pt>
                <c:pt idx="7">
                  <c:v>188771</c:v>
                </c:pt>
                <c:pt idx="8">
                  <c:v>190398</c:v>
                </c:pt>
                <c:pt idx="9">
                  <c:v>187114</c:v>
                </c:pt>
                <c:pt idx="10">
                  <c:v>196201</c:v>
                </c:pt>
                <c:pt idx="11">
                  <c:v>196016</c:v>
                </c:pt>
                <c:pt idx="12">
                  <c:v>207696</c:v>
                </c:pt>
                <c:pt idx="13">
                  <c:v>210537</c:v>
                </c:pt>
                <c:pt idx="14">
                  <c:v>207705</c:v>
                </c:pt>
                <c:pt idx="15">
                  <c:v>193449</c:v>
                </c:pt>
                <c:pt idx="16">
                  <c:v>183348</c:v>
                </c:pt>
                <c:pt idx="17">
                  <c:v>176451</c:v>
                </c:pt>
                <c:pt idx="18">
                  <c:v>170211</c:v>
                </c:pt>
                <c:pt idx="19">
                  <c:v>167529</c:v>
                </c:pt>
                <c:pt idx="20">
                  <c:v>169347</c:v>
                </c:pt>
                <c:pt idx="21">
                  <c:v>175543</c:v>
                </c:pt>
                <c:pt idx="22">
                  <c:v>180686</c:v>
                </c:pt>
                <c:pt idx="23">
                  <c:v>182410</c:v>
                </c:pt>
                <c:pt idx="24">
                  <c:v>187669</c:v>
                </c:pt>
                <c:pt idx="25">
                  <c:v>196323</c:v>
                </c:pt>
                <c:pt idx="26">
                  <c:v>204221</c:v>
                </c:pt>
                <c:pt idx="27">
                  <c:v>211173</c:v>
                </c:pt>
                <c:pt idx="28">
                  <c:v>225110</c:v>
                </c:pt>
                <c:pt idx="29">
                  <c:v>233988</c:v>
                </c:pt>
                <c:pt idx="30">
                  <c:v>243552</c:v>
                </c:pt>
                <c:pt idx="31">
                  <c:v>257932</c:v>
                </c:pt>
                <c:pt idx="32">
                  <c:v>264546</c:v>
                </c:pt>
                <c:pt idx="33">
                  <c:v>266504</c:v>
                </c:pt>
                <c:pt idx="34">
                  <c:v>275192</c:v>
                </c:pt>
                <c:pt idx="35">
                  <c:v>279279</c:v>
                </c:pt>
                <c:pt idx="36">
                  <c:v>293097</c:v>
                </c:pt>
                <c:pt idx="37">
                  <c:v>310240</c:v>
                </c:pt>
                <c:pt idx="38">
                  <c:v>319683</c:v>
                </c:pt>
                <c:pt idx="39">
                  <c:v>329973</c:v>
                </c:pt>
                <c:pt idx="40">
                  <c:v>318633</c:v>
                </c:pt>
                <c:pt idx="41">
                  <c:v>306214</c:v>
                </c:pt>
                <c:pt idx="42">
                  <c:v>312078</c:v>
                </c:pt>
                <c:pt idx="43">
                  <c:v>308845</c:v>
                </c:pt>
                <c:pt idx="44">
                  <c:v>300603</c:v>
                </c:pt>
                <c:pt idx="45">
                  <c:v>297553</c:v>
                </c:pt>
                <c:pt idx="46">
                  <c:v>298876</c:v>
                </c:pt>
                <c:pt idx="47">
                  <c:v>288171</c:v>
                </c:pt>
                <c:pt idx="48">
                  <c:v>276620</c:v>
                </c:pt>
                <c:pt idx="49">
                  <c:v>265902</c:v>
                </c:pt>
                <c:pt idx="50">
                  <c:v>255093</c:v>
                </c:pt>
                <c:pt idx="51">
                  <c:v>242612</c:v>
                </c:pt>
                <c:pt idx="52">
                  <c:v>234516</c:v>
                </c:pt>
                <c:pt idx="53">
                  <c:v>223652</c:v>
                </c:pt>
                <c:pt idx="54">
                  <c:v>218365</c:v>
                </c:pt>
                <c:pt idx="55">
                  <c:v>214748</c:v>
                </c:pt>
                <c:pt idx="56">
                  <c:v>213465</c:v>
                </c:pt>
                <c:pt idx="57">
                  <c:v>214065</c:v>
                </c:pt>
                <c:pt idx="58">
                  <c:v>216700</c:v>
                </c:pt>
                <c:pt idx="59">
                  <c:v>218200</c:v>
                </c:pt>
                <c:pt idx="60">
                  <c:v>217276</c:v>
                </c:pt>
                <c:pt idx="61">
                  <c:v>221209</c:v>
                </c:pt>
                <c:pt idx="62">
                  <c:v>229447</c:v>
                </c:pt>
                <c:pt idx="63">
                  <c:v>240038</c:v>
                </c:pt>
                <c:pt idx="64">
                  <c:v>243543</c:v>
                </c:pt>
                <c:pt idx="65">
                  <c:v>242001</c:v>
                </c:pt>
                <c:pt idx="66">
                  <c:v>234571</c:v>
                </c:pt>
                <c:pt idx="67">
                  <c:v>230546</c:v>
                </c:pt>
                <c:pt idx="68">
                  <c:v>214845</c:v>
                </c:pt>
                <c:pt idx="69">
                  <c:v>207276</c:v>
                </c:pt>
                <c:pt idx="70">
                  <c:v>197254</c:v>
                </c:pt>
                <c:pt idx="71">
                  <c:v>186799</c:v>
                </c:pt>
                <c:pt idx="72">
                  <c:v>173668</c:v>
                </c:pt>
                <c:pt idx="73">
                  <c:v>159189</c:v>
                </c:pt>
                <c:pt idx="74">
                  <c:v>149185</c:v>
                </c:pt>
                <c:pt idx="75">
                  <c:v>132682</c:v>
                </c:pt>
                <c:pt idx="76">
                  <c:v>114223</c:v>
                </c:pt>
                <c:pt idx="77">
                  <c:v>77636</c:v>
                </c:pt>
                <c:pt idx="78">
                  <c:v>71835</c:v>
                </c:pt>
                <c:pt idx="79">
                  <c:v>65855</c:v>
                </c:pt>
                <c:pt idx="80">
                  <c:v>59997</c:v>
                </c:pt>
                <c:pt idx="81">
                  <c:v>59022</c:v>
                </c:pt>
                <c:pt idx="82">
                  <c:v>56426</c:v>
                </c:pt>
                <c:pt idx="83">
                  <c:v>51092</c:v>
                </c:pt>
                <c:pt idx="84">
                  <c:v>45976</c:v>
                </c:pt>
                <c:pt idx="85">
                  <c:v>41231</c:v>
                </c:pt>
                <c:pt idx="86">
                  <c:v>36240</c:v>
                </c:pt>
                <c:pt idx="87">
                  <c:v>30731</c:v>
                </c:pt>
                <c:pt idx="88">
                  <c:v>25279</c:v>
                </c:pt>
                <c:pt idx="89">
                  <c:v>20883</c:v>
                </c:pt>
                <c:pt idx="90">
                  <c:v>17460</c:v>
                </c:pt>
                <c:pt idx="91">
                  <c:v>14058</c:v>
                </c:pt>
                <c:pt idx="92">
                  <c:v>10977</c:v>
                </c:pt>
                <c:pt idx="93">
                  <c:v>7767</c:v>
                </c:pt>
                <c:pt idx="94">
                  <c:v>5661</c:v>
                </c:pt>
                <c:pt idx="95">
                  <c:v>3716</c:v>
                </c:pt>
                <c:pt idx="96">
                  <c:v>2466</c:v>
                </c:pt>
                <c:pt idx="97">
                  <c:v>1771</c:v>
                </c:pt>
                <c:pt idx="98">
                  <c:v>1123</c:v>
                </c:pt>
                <c:pt idx="99">
                  <c:v>879</c:v>
                </c:pt>
                <c:pt idx="100">
                  <c:v>1354</c:v>
                </c:pt>
                <c:pt idx="101">
                  <c:v>329973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-7459</c:v>
                </c:pt>
                <c:pt idx="1">
                  <c:v>-8770</c:v>
                </c:pt>
                <c:pt idx="2">
                  <c:v>-9111</c:v>
                </c:pt>
                <c:pt idx="3">
                  <c:v>-10212</c:v>
                </c:pt>
                <c:pt idx="4">
                  <c:v>-11512</c:v>
                </c:pt>
                <c:pt idx="5">
                  <c:v>-10990</c:v>
                </c:pt>
                <c:pt idx="6">
                  <c:v>-10622</c:v>
                </c:pt>
                <c:pt idx="7">
                  <c:v>-10568</c:v>
                </c:pt>
                <c:pt idx="8">
                  <c:v>-10429</c:v>
                </c:pt>
                <c:pt idx="9">
                  <c:v>-10153</c:v>
                </c:pt>
                <c:pt idx="10">
                  <c:v>-11473</c:v>
                </c:pt>
                <c:pt idx="11">
                  <c:v>-11487</c:v>
                </c:pt>
                <c:pt idx="12">
                  <c:v>-11967</c:v>
                </c:pt>
                <c:pt idx="13">
                  <c:v>-10402</c:v>
                </c:pt>
                <c:pt idx="14">
                  <c:v>-10145</c:v>
                </c:pt>
                <c:pt idx="15">
                  <c:v>-9868</c:v>
                </c:pt>
                <c:pt idx="16">
                  <c:v>-9512</c:v>
                </c:pt>
                <c:pt idx="17">
                  <c:v>-8906</c:v>
                </c:pt>
                <c:pt idx="18">
                  <c:v>-9435</c:v>
                </c:pt>
                <c:pt idx="19">
                  <c:v>-7713</c:v>
                </c:pt>
                <c:pt idx="20">
                  <c:v>-8009</c:v>
                </c:pt>
                <c:pt idx="21">
                  <c:v>-7619</c:v>
                </c:pt>
                <c:pt idx="22">
                  <c:v>-6923</c:v>
                </c:pt>
                <c:pt idx="23">
                  <c:v>-6812</c:v>
                </c:pt>
                <c:pt idx="24">
                  <c:v>-7758</c:v>
                </c:pt>
                <c:pt idx="25">
                  <c:v>-7203</c:v>
                </c:pt>
                <c:pt idx="26">
                  <c:v>-7893</c:v>
                </c:pt>
                <c:pt idx="27">
                  <c:v>-6339</c:v>
                </c:pt>
                <c:pt idx="28">
                  <c:v>-5979</c:v>
                </c:pt>
                <c:pt idx="29">
                  <c:v>-7823</c:v>
                </c:pt>
                <c:pt idx="30">
                  <c:v>-7776</c:v>
                </c:pt>
                <c:pt idx="31">
                  <c:v>-9488</c:v>
                </c:pt>
                <c:pt idx="32">
                  <c:v>-8790</c:v>
                </c:pt>
                <c:pt idx="33">
                  <c:v>-8686</c:v>
                </c:pt>
                <c:pt idx="34">
                  <c:v>-6945</c:v>
                </c:pt>
                <c:pt idx="35">
                  <c:v>-8527</c:v>
                </c:pt>
                <c:pt idx="36">
                  <c:v>-6955</c:v>
                </c:pt>
                <c:pt idx="37">
                  <c:v>-8099</c:v>
                </c:pt>
                <c:pt idx="38">
                  <c:v>-8792</c:v>
                </c:pt>
                <c:pt idx="39">
                  <c:v>-7014</c:v>
                </c:pt>
                <c:pt idx="40">
                  <c:v>-8454</c:v>
                </c:pt>
                <c:pt idx="41">
                  <c:v>-5510</c:v>
                </c:pt>
                <c:pt idx="42">
                  <c:v>-4652</c:v>
                </c:pt>
                <c:pt idx="43">
                  <c:v>-6290</c:v>
                </c:pt>
                <c:pt idx="44">
                  <c:v>-4154</c:v>
                </c:pt>
                <c:pt idx="45">
                  <c:v>-4298</c:v>
                </c:pt>
                <c:pt idx="46">
                  <c:v>-2175</c:v>
                </c:pt>
                <c:pt idx="47">
                  <c:v>-1672</c:v>
                </c:pt>
                <c:pt idx="48">
                  <c:v>-1925</c:v>
                </c:pt>
                <c:pt idx="49">
                  <c:v>-101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414</c:v>
                </c:pt>
                <c:pt idx="51">
                  <c:v>2992</c:v>
                </c:pt>
                <c:pt idx="52">
                  <c:v>2359</c:v>
                </c:pt>
                <c:pt idx="53">
                  <c:v>5003</c:v>
                </c:pt>
                <c:pt idx="54">
                  <c:v>5320</c:v>
                </c:pt>
                <c:pt idx="55">
                  <c:v>6451</c:v>
                </c:pt>
                <c:pt idx="56">
                  <c:v>8693</c:v>
                </c:pt>
                <c:pt idx="57">
                  <c:v>10285</c:v>
                </c:pt>
                <c:pt idx="58">
                  <c:v>12336</c:v>
                </c:pt>
                <c:pt idx="59">
                  <c:v>15891</c:v>
                </c:pt>
                <c:pt idx="60">
                  <c:v>18239</c:v>
                </c:pt>
                <c:pt idx="61">
                  <c:v>22841</c:v>
                </c:pt>
                <c:pt idx="62">
                  <c:v>28514</c:v>
                </c:pt>
                <c:pt idx="63">
                  <c:v>33584</c:v>
                </c:pt>
                <c:pt idx="64">
                  <c:v>38051</c:v>
                </c:pt>
                <c:pt idx="65">
                  <c:v>43459</c:v>
                </c:pt>
                <c:pt idx="66">
                  <c:v>46605</c:v>
                </c:pt>
                <c:pt idx="67">
                  <c:v>51568</c:v>
                </c:pt>
                <c:pt idx="68">
                  <c:v>54836</c:v>
                </c:pt>
                <c:pt idx="69">
                  <c:v>58608</c:v>
                </c:pt>
                <c:pt idx="70">
                  <c:v>61685</c:v>
                </c:pt>
                <c:pt idx="71">
                  <c:v>66119</c:v>
                </c:pt>
                <c:pt idx="72">
                  <c:v>63915</c:v>
                </c:pt>
                <c:pt idx="73">
                  <c:v>65102</c:v>
                </c:pt>
                <c:pt idx="74">
                  <c:v>64273</c:v>
                </c:pt>
                <c:pt idx="75">
                  <c:v>63342</c:v>
                </c:pt>
                <c:pt idx="76">
                  <c:v>60338</c:v>
                </c:pt>
                <c:pt idx="77">
                  <c:v>45129</c:v>
                </c:pt>
                <c:pt idx="78">
                  <c:v>47113</c:v>
                </c:pt>
                <c:pt idx="79">
                  <c:v>45921</c:v>
                </c:pt>
                <c:pt idx="80">
                  <c:v>46377</c:v>
                </c:pt>
                <c:pt idx="81">
                  <c:v>50409</c:v>
                </c:pt>
                <c:pt idx="82">
                  <c:v>53654</c:v>
                </c:pt>
                <c:pt idx="83">
                  <c:v>53834</c:v>
                </c:pt>
                <c:pt idx="84">
                  <c:v>52134</c:v>
                </c:pt>
                <c:pt idx="85">
                  <c:v>50336</c:v>
                </c:pt>
                <c:pt idx="86">
                  <c:v>48809</c:v>
                </c:pt>
                <c:pt idx="87">
                  <c:v>44063</c:v>
                </c:pt>
                <c:pt idx="88">
                  <c:v>38970</c:v>
                </c:pt>
                <c:pt idx="89">
                  <c:v>33732</c:v>
                </c:pt>
                <c:pt idx="90">
                  <c:v>31068</c:v>
                </c:pt>
                <c:pt idx="91">
                  <c:v>26337</c:v>
                </c:pt>
                <c:pt idx="92">
                  <c:v>22096</c:v>
                </c:pt>
                <c:pt idx="93">
                  <c:v>16637</c:v>
                </c:pt>
                <c:pt idx="94">
                  <c:v>13028</c:v>
                </c:pt>
                <c:pt idx="95">
                  <c:v>9382</c:v>
                </c:pt>
                <c:pt idx="96">
                  <c:v>6950</c:v>
                </c:pt>
                <c:pt idx="97">
                  <c:v>5333</c:v>
                </c:pt>
                <c:pt idx="98">
                  <c:v>3452</c:v>
                </c:pt>
                <c:pt idx="99">
                  <c:v>2293</c:v>
                </c:pt>
                <c:pt idx="100">
                  <c:v>3200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5888"/>
        <c:axId val="1500391536"/>
      </c:barChart>
      <c:catAx>
        <c:axId val="1500395888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5888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0.77741</cdr:x>
      <cdr:y>0.13914</cdr:y>
    </cdr:from>
    <cdr:to>
      <cdr:x>0.97121</cdr:x>
      <cdr:y>0.22834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596566" y="688621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0.23816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8830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0.34533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101260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CCEAED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4.42578125"/>
    <col min="3" max="3" customWidth="true" style="7" width="3.140625"/>
    <col min="4" max="16384" style="7" width="8.85546875"/>
  </cols>
  <sheetData>
    <row r="1" spans="1:18" ht="15" customHeight="1" x14ac:dyDescent="0.2"/>
    <row r="2" spans="1:18" ht="18" x14ac:dyDescent="0.25">
      <c r="B2" s="55" t="s">
        <v>70</v>
      </c>
    </row>
    <row r="3" spans="1:18" ht="15" x14ac:dyDescent="0.2">
      <c r="B3" s="60" t="s">
        <v>71</v>
      </c>
    </row>
    <row r="4" spans="1:18" ht="6" customHeight="1" x14ac:dyDescent="0.2">
      <c r="B4" s="60"/>
    </row>
    <row r="5" spans="1:18" ht="15" x14ac:dyDescent="0.25">
      <c r="B5" s="100" t="s">
        <v>85</v>
      </c>
    </row>
    <row r="6" spans="1:18" x14ac:dyDescent="0.2">
      <c r="B6" s="61" t="s">
        <v>86</v>
      </c>
    </row>
    <row r="7" spans="1:18" ht="18.75" x14ac:dyDescent="0.3">
      <c r="B7" s="56"/>
    </row>
    <row r="8" spans="1:18" ht="15.75" x14ac:dyDescent="0.25">
      <c r="B8" s="59" t="s">
        <v>72</v>
      </c>
    </row>
    <row r="9" spans="1:18" x14ac:dyDescent="0.2">
      <c r="B9" s="61" t="s">
        <v>73</v>
      </c>
    </row>
    <row r="10" spans="1:18" ht="16.5" thickBot="1" x14ac:dyDescent="0.25">
      <c r="B10" s="57"/>
    </row>
    <row r="11" spans="1:18" ht="15" thickTop="1" x14ac:dyDescent="0.2"/>
    <row r="12" spans="1:18" ht="15" x14ac:dyDescent="0.25">
      <c r="B12" s="7" t="s">
        <v>74</v>
      </c>
      <c r="C12" s="58"/>
      <c r="D12" s="122" t="s">
        <v>42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</row>
    <row r="13" spans="1:18" x14ac:dyDescent="0.2">
      <c r="C13" s="58"/>
      <c r="D13" s="123" t="s">
        <v>43</v>
      </c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</row>
    <row r="14" spans="1:18" x14ac:dyDescent="0.2">
      <c r="C14" s="58"/>
    </row>
    <row r="15" spans="1:18" ht="15" x14ac:dyDescent="0.25">
      <c r="B15" s="7" t="s">
        <v>75</v>
      </c>
      <c r="C15" s="58"/>
      <c r="D15" s="122" t="s">
        <v>87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</row>
    <row r="16" spans="1:18" x14ac:dyDescent="0.2">
      <c r="A16" s="7" t="s">
        <v>38</v>
      </c>
      <c r="C16" s="58"/>
      <c r="D16" s="123" t="s">
        <v>69</v>
      </c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</row>
    <row r="17" spans="2:18" x14ac:dyDescent="0.2">
      <c r="C17" s="58"/>
    </row>
    <row r="18" spans="2:18" ht="15" x14ac:dyDescent="0.25">
      <c r="B18" s="7" t="s">
        <v>76</v>
      </c>
      <c r="C18" s="58"/>
      <c r="D18" s="122" t="s">
        <v>78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</row>
    <row r="19" spans="2:18" x14ac:dyDescent="0.2">
      <c r="C19" s="58"/>
      <c r="D19" s="123" t="s">
        <v>68</v>
      </c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</row>
    <row r="20" spans="2:18" x14ac:dyDescent="0.2">
      <c r="C20" s="58"/>
    </row>
    <row r="21" spans="2:18" ht="15" x14ac:dyDescent="0.25">
      <c r="B21" s="7" t="s">
        <v>77</v>
      </c>
      <c r="C21" s="58"/>
      <c r="D21" s="122" t="s">
        <v>55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</row>
    <row r="22" spans="2:18" ht="15" customHeight="1" x14ac:dyDescent="0.2">
      <c r="C22" s="58"/>
      <c r="D22" s="123" t="s">
        <v>57</v>
      </c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</row>
    <row r="23" spans="2:18" x14ac:dyDescent="0.2">
      <c r="B23" s="88"/>
      <c r="K23" s="7" t="s">
        <v>38</v>
      </c>
    </row>
    <row r="24" spans="2:18" ht="15" x14ac:dyDescent="0.25">
      <c r="B24" s="7" t="s">
        <v>91</v>
      </c>
      <c r="C24" s="58"/>
      <c r="D24" s="122" t="s">
        <v>92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</row>
    <row r="25" spans="2:18" x14ac:dyDescent="0.2">
      <c r="B25" s="61" t="s">
        <v>97</v>
      </c>
      <c r="C25" s="58"/>
      <c r="D25" s="123" t="s">
        <v>96</v>
      </c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B24" location="'Wykres 1 Chart 1'!A1" display="WYKRES 1."/>
    <hyperlink ref="D24:R25" location="'Wykres 1'!A1" display="PIRAMIDA LUDNOŚCI"/>
    <hyperlink ref="B25" location="'Wykres 1 Chart 1'!A1" display="CHART 1."/>
    <hyperlink ref="D24:R24" location="'Wykres 1 Chart 1'!A1" display="PIRAMIDA LUDNOŚCI"/>
    <hyperlink ref="D25:R25" location="'Wykres 1 Chart 1'!A1" display="POPULATION PYRAMID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66C2C9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6" customFormat="1" ht="22.9" customHeight="1" x14ac:dyDescent="0.2">
      <c r="A1" s="124"/>
      <c r="B1" s="124"/>
      <c r="C1" s="73" t="s">
        <v>44</v>
      </c>
      <c r="D1" s="74"/>
      <c r="E1" s="74"/>
      <c r="F1" s="74"/>
      <c r="G1" s="74"/>
      <c r="H1" s="74"/>
      <c r="I1" s="74"/>
      <c r="J1" s="74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7"/>
    </row>
    <row r="2" spans="1:41" ht="12" customHeight="1" x14ac:dyDescent="0.2">
      <c r="A2" s="127" t="s">
        <v>83</v>
      </c>
      <c r="B2" s="127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8" t="s">
        <v>84</v>
      </c>
      <c r="B3" s="128"/>
      <c r="D3" s="22" t="s">
        <v>43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49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15" t="s">
        <v>46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5" t="s">
        <v>47</v>
      </c>
      <c r="B8" s="71" t="s">
        <v>48</v>
      </c>
      <c r="C8" s="70" t="n">
        <v>2888033.0</v>
      </c>
      <c r="D8" s="70" t="n">
        <v>2880848.0</v>
      </c>
      <c r="E8" s="70" t="n">
        <v>2873484.0</v>
      </c>
      <c r="F8" s="70" t="n">
        <v>2865935.0</v>
      </c>
      <c r="G8" s="70" t="n">
        <v>2858163.0</v>
      </c>
      <c r="H8" s="70" t="n">
        <v>2860561.0</v>
      </c>
      <c r="I8" s="70" t="n">
        <v>2866583.0</v>
      </c>
      <c r="J8" s="70" t="n">
        <v>2863774.0</v>
      </c>
      <c r="K8" s="70" t="n">
        <v>2856425.0</v>
      </c>
      <c r="L8" s="70" t="n">
        <v>2846975.0</v>
      </c>
      <c r="M8" s="70" t="n">
        <v>2836007.0</v>
      </c>
      <c r="N8" s="70" t="n">
        <v>2823850.0</v>
      </c>
      <c r="O8" s="70" t="n">
        <v>2810976.0</v>
      </c>
      <c r="P8" s="70" t="n">
        <v>2797518.0</v>
      </c>
      <c r="Q8" s="70" t="n">
        <v>2783549.0</v>
      </c>
      <c r="R8" s="70" t="n">
        <v>2769364.0</v>
      </c>
      <c r="S8" s="70" t="n">
        <v>2754911.0</v>
      </c>
      <c r="T8" s="70" t="n">
        <v>2740233.0</v>
      </c>
      <c r="U8" s="70" t="n">
        <v>2725301.0</v>
      </c>
      <c r="V8" s="70" t="n">
        <v>2710309.0</v>
      </c>
      <c r="W8" s="70" t="n">
        <v>2695225.0</v>
      </c>
      <c r="X8" s="70" t="n">
        <v>2680295.0</v>
      </c>
      <c r="Y8" s="70" t="n">
        <v>2665332.0</v>
      </c>
      <c r="Z8" s="70" t="n">
        <v>2650158.0</v>
      </c>
      <c r="AA8" s="70" t="n">
        <v>2634984.0</v>
      </c>
      <c r="AB8" s="70" t="n">
        <v>2619895.0</v>
      </c>
      <c r="AC8" s="70" t="n">
        <v>2604756.0</v>
      </c>
      <c r="AD8" s="70" t="n">
        <v>2589715.0</v>
      </c>
      <c r="AE8" s="70" t="n">
        <v>2574595.0</v>
      </c>
      <c r="AF8" s="70" t="n">
        <v>2559418.0</v>
      </c>
      <c r="AG8" s="70" t="n">
        <v>2543936.0</v>
      </c>
      <c r="AH8" s="70" t="n">
        <v>2528317.0</v>
      </c>
      <c r="AI8" s="70" t="n">
        <v>2512559.0</v>
      </c>
      <c r="AJ8" s="70" t="n">
        <v>2496550.0</v>
      </c>
      <c r="AK8" s="70" t="n">
        <v>2480285.0</v>
      </c>
      <c r="AL8" s="70" t="n">
        <v>2463812.0</v>
      </c>
      <c r="AM8" s="70" t="n">
        <v>2446982.0</v>
      </c>
      <c r="AN8" s="70" t="n">
        <v>2429807.0</v>
      </c>
      <c r="AO8" s="70" t="n">
        <v>2412517.0</v>
      </c>
    </row>
    <row r="9" spans="1:41" x14ac:dyDescent="0.2">
      <c r="A9" s="125"/>
      <c r="B9" s="9">
        <v>0</v>
      </c>
      <c r="C9" s="3" t="n">
        <v>22349.0</v>
      </c>
      <c r="D9" s="3" t="n">
        <v>22639.0</v>
      </c>
      <c r="E9" s="3" t="n">
        <v>22315.0</v>
      </c>
      <c r="F9" s="3" t="n">
        <v>22104.0</v>
      </c>
      <c r="G9" s="3" t="n">
        <v>21860.0</v>
      </c>
      <c r="H9" s="3" t="n">
        <v>21727.0</v>
      </c>
      <c r="I9" s="3" t="n">
        <v>21649.0</v>
      </c>
      <c r="J9" s="3" t="n">
        <v>21510.0</v>
      </c>
      <c r="K9" s="3" t="n">
        <v>21312.0</v>
      </c>
      <c r="L9" s="3" t="n">
        <v>21100.0</v>
      </c>
      <c r="M9" s="3" t="n">
        <v>20834.0</v>
      </c>
      <c r="N9" s="3" t="n">
        <v>20631.0</v>
      </c>
      <c r="O9" s="3" t="n">
        <v>20450.0</v>
      </c>
      <c r="P9" s="3" t="n">
        <v>20326.0</v>
      </c>
      <c r="Q9" s="3" t="n">
        <v>20232.0</v>
      </c>
      <c r="R9" s="3" t="n">
        <v>20251.0</v>
      </c>
      <c r="S9" s="3" t="n">
        <v>20311.0</v>
      </c>
      <c r="T9" s="3" t="n">
        <v>20410.0</v>
      </c>
      <c r="U9" s="3" t="n">
        <v>20542.0</v>
      </c>
      <c r="V9" s="3" t="n">
        <v>20649.0</v>
      </c>
      <c r="W9" s="3" t="n">
        <v>20781.0</v>
      </c>
      <c r="X9" s="3" t="n">
        <v>20867.0</v>
      </c>
      <c r="Y9" s="3" t="n">
        <v>20914.0</v>
      </c>
      <c r="Z9" s="3" t="n">
        <v>20925.0</v>
      </c>
      <c r="AA9" s="3" t="n">
        <v>20881.0</v>
      </c>
      <c r="AB9" s="3" t="n">
        <v>20788.0</v>
      </c>
      <c r="AC9" s="3" t="n">
        <v>20644.0</v>
      </c>
      <c r="AD9" s="3" t="n">
        <v>20459.0</v>
      </c>
      <c r="AE9" s="3" t="n">
        <v>20215.0</v>
      </c>
      <c r="AF9" s="3" t="n">
        <v>19955.0</v>
      </c>
      <c r="AG9" s="3" t="n">
        <v>19668.0</v>
      </c>
      <c r="AH9" s="3" t="n">
        <v>19346.0</v>
      </c>
      <c r="AI9" s="3" t="n">
        <v>19016.0</v>
      </c>
      <c r="AJ9" s="3" t="n">
        <v>18687.0</v>
      </c>
      <c r="AK9" s="3" t="n">
        <v>18369.0</v>
      </c>
      <c r="AL9" s="3" t="n">
        <v>18068.0</v>
      </c>
      <c r="AM9" s="3" t="n">
        <v>17779.0</v>
      </c>
      <c r="AN9" s="3" t="n">
        <v>17514.0</v>
      </c>
      <c r="AO9" s="3" t="n">
        <v>17293.0</v>
      </c>
    </row>
    <row r="10" spans="1:41" x14ac:dyDescent="0.2">
      <c r="A10" s="125"/>
      <c r="B10" s="9">
        <v>1</v>
      </c>
      <c r="C10" s="3" t="n">
        <v>24814.0</v>
      </c>
      <c r="D10" s="3" t="n">
        <v>22474.0</v>
      </c>
      <c r="E10" s="3" t="n">
        <v>22760.0</v>
      </c>
      <c r="F10" s="3" t="n">
        <v>22433.0</v>
      </c>
      <c r="G10" s="3" t="n">
        <v>22240.0</v>
      </c>
      <c r="H10" s="3" t="n">
        <v>22144.0</v>
      </c>
      <c r="I10" s="3" t="n">
        <v>22074.0</v>
      </c>
      <c r="J10" s="3" t="n">
        <v>21884.0</v>
      </c>
      <c r="K10" s="3" t="n">
        <v>21691.0</v>
      </c>
      <c r="L10" s="3" t="n">
        <v>21482.0</v>
      </c>
      <c r="M10" s="3" t="n">
        <v>21260.0</v>
      </c>
      <c r="N10" s="3" t="n">
        <v>20994.0</v>
      </c>
      <c r="O10" s="3" t="n">
        <v>20787.0</v>
      </c>
      <c r="P10" s="3" t="n">
        <v>20606.0</v>
      </c>
      <c r="Q10" s="3" t="n">
        <v>20485.0</v>
      </c>
      <c r="R10" s="3" t="n">
        <v>20394.0</v>
      </c>
      <c r="S10" s="3" t="n">
        <v>20418.0</v>
      </c>
      <c r="T10" s="3" t="n">
        <v>20482.0</v>
      </c>
      <c r="U10" s="3" t="n">
        <v>20580.0</v>
      </c>
      <c r="V10" s="3" t="n">
        <v>20713.0</v>
      </c>
      <c r="W10" s="3" t="n">
        <v>20826.0</v>
      </c>
      <c r="X10" s="3" t="n">
        <v>20959.0</v>
      </c>
      <c r="Y10" s="3" t="n">
        <v>21040.0</v>
      </c>
      <c r="Z10" s="3" t="n">
        <v>21087.0</v>
      </c>
      <c r="AA10" s="3" t="n">
        <v>21098.0</v>
      </c>
      <c r="AB10" s="3" t="n">
        <v>21051.0</v>
      </c>
      <c r="AC10" s="3" t="n">
        <v>20956.0</v>
      </c>
      <c r="AD10" s="3" t="n">
        <v>20813.0</v>
      </c>
      <c r="AE10" s="3" t="n">
        <v>20626.0</v>
      </c>
      <c r="AF10" s="3" t="n">
        <v>20383.0</v>
      </c>
      <c r="AG10" s="3" t="n">
        <v>20120.0</v>
      </c>
      <c r="AH10" s="3" t="n">
        <v>19833.0</v>
      </c>
      <c r="AI10" s="3" t="n">
        <v>19501.0</v>
      </c>
      <c r="AJ10" s="3" t="n">
        <v>19177.0</v>
      </c>
      <c r="AK10" s="3" t="n">
        <v>18844.0</v>
      </c>
      <c r="AL10" s="3" t="n">
        <v>18525.0</v>
      </c>
      <c r="AM10" s="3" t="n">
        <v>18226.0</v>
      </c>
      <c r="AN10" s="3" t="n">
        <v>17936.0</v>
      </c>
      <c r="AO10" s="3" t="n">
        <v>17671.0</v>
      </c>
    </row>
    <row r="11" spans="1:41" x14ac:dyDescent="0.2">
      <c r="A11" s="125"/>
      <c r="B11" s="9">
        <v>2</v>
      </c>
      <c r="C11" s="3" t="n">
        <v>25097.0</v>
      </c>
      <c r="D11" s="3" t="n">
        <v>24940.0</v>
      </c>
      <c r="E11" s="3" t="n">
        <v>22601.0</v>
      </c>
      <c r="F11" s="3" t="n">
        <v>22888.0</v>
      </c>
      <c r="G11" s="3" t="n">
        <v>22569.0</v>
      </c>
      <c r="H11" s="3" t="n">
        <v>22590.0</v>
      </c>
      <c r="I11" s="3" t="n">
        <v>22572.0</v>
      </c>
      <c r="J11" s="3" t="n">
        <v>22344.0</v>
      </c>
      <c r="K11" s="3" t="n">
        <v>22072.0</v>
      </c>
      <c r="L11" s="3" t="n">
        <v>21850.0</v>
      </c>
      <c r="M11" s="3" t="n">
        <v>21627.0</v>
      </c>
      <c r="N11" s="3" t="n">
        <v>21399.0</v>
      </c>
      <c r="O11" s="3" t="n">
        <v>21134.0</v>
      </c>
      <c r="P11" s="3" t="n">
        <v>20936.0</v>
      </c>
      <c r="Q11" s="3" t="n">
        <v>20760.0</v>
      </c>
      <c r="R11" s="3" t="n">
        <v>20645.0</v>
      </c>
      <c r="S11" s="3" t="n">
        <v>20554.0</v>
      </c>
      <c r="T11" s="3" t="n">
        <v>20575.0</v>
      </c>
      <c r="U11" s="3" t="n">
        <v>20640.0</v>
      </c>
      <c r="V11" s="3" t="n">
        <v>20740.0</v>
      </c>
      <c r="W11" s="3" t="n">
        <v>20873.0</v>
      </c>
      <c r="X11" s="3" t="n">
        <v>20984.0</v>
      </c>
      <c r="Y11" s="3" t="n">
        <v>21120.0</v>
      </c>
      <c r="Z11" s="3" t="n">
        <v>21202.0</v>
      </c>
      <c r="AA11" s="3" t="n">
        <v>21245.0</v>
      </c>
      <c r="AB11" s="3" t="n">
        <v>21253.0</v>
      </c>
      <c r="AC11" s="3" t="n">
        <v>21208.0</v>
      </c>
      <c r="AD11" s="3" t="n">
        <v>21118.0</v>
      </c>
      <c r="AE11" s="3" t="n">
        <v>20974.0</v>
      </c>
      <c r="AF11" s="3" t="n">
        <v>20787.0</v>
      </c>
      <c r="AG11" s="3" t="n">
        <v>20550.0</v>
      </c>
      <c r="AH11" s="3" t="n">
        <v>20285.0</v>
      </c>
      <c r="AI11" s="3" t="n">
        <v>19997.0</v>
      </c>
      <c r="AJ11" s="3" t="n">
        <v>19670.0</v>
      </c>
      <c r="AK11" s="3" t="n">
        <v>19344.0</v>
      </c>
      <c r="AL11" s="3" t="n">
        <v>19009.0</v>
      </c>
      <c r="AM11" s="3" t="n">
        <v>18687.0</v>
      </c>
      <c r="AN11" s="3" t="n">
        <v>18391.0</v>
      </c>
      <c r="AO11" s="3" t="n">
        <v>18099.0</v>
      </c>
    </row>
    <row r="12" spans="1:41" x14ac:dyDescent="0.2">
      <c r="A12" s="125"/>
      <c r="B12" s="9">
        <v>3</v>
      </c>
      <c r="C12" s="3" t="n">
        <v>26960.0</v>
      </c>
      <c r="D12" s="3" t="n">
        <v>25216.0</v>
      </c>
      <c r="E12" s="3" t="n">
        <v>25046.0</v>
      </c>
      <c r="F12" s="3" t="n">
        <v>22712.0</v>
      </c>
      <c r="G12" s="3" t="n">
        <v>23004.0</v>
      </c>
      <c r="H12" s="3" t="n">
        <v>22911.0</v>
      </c>
      <c r="I12" s="3" t="n">
        <v>23022.0</v>
      </c>
      <c r="J12" s="3" t="n">
        <v>22831.0</v>
      </c>
      <c r="K12" s="3" t="n">
        <v>22528.0</v>
      </c>
      <c r="L12" s="3" t="n">
        <v>22228.0</v>
      </c>
      <c r="M12" s="3" t="n">
        <v>21996.0</v>
      </c>
      <c r="N12" s="3" t="n">
        <v>21767.0</v>
      </c>
      <c r="O12" s="3" t="n">
        <v>21538.0</v>
      </c>
      <c r="P12" s="3" t="n">
        <v>21279.0</v>
      </c>
      <c r="Q12" s="3" t="n">
        <v>21085.0</v>
      </c>
      <c r="R12" s="3" t="n">
        <v>20908.0</v>
      </c>
      <c r="S12" s="3" t="n">
        <v>20797.0</v>
      </c>
      <c r="T12" s="3" t="n">
        <v>20710.0</v>
      </c>
      <c r="U12" s="3" t="n">
        <v>20732.0</v>
      </c>
      <c r="V12" s="3" t="n">
        <v>20801.0</v>
      </c>
      <c r="W12" s="3" t="n">
        <v>20901.0</v>
      </c>
      <c r="X12" s="3" t="n">
        <v>21031.0</v>
      </c>
      <c r="Y12" s="3" t="n">
        <v>21144.0</v>
      </c>
      <c r="Z12" s="3" t="n">
        <v>21276.0</v>
      </c>
      <c r="AA12" s="3" t="n">
        <v>21358.0</v>
      </c>
      <c r="AB12" s="3" t="n">
        <v>21399.0</v>
      </c>
      <c r="AC12" s="3" t="n">
        <v>21406.0</v>
      </c>
      <c r="AD12" s="3" t="n">
        <v>21365.0</v>
      </c>
      <c r="AE12" s="3" t="n">
        <v>21274.0</v>
      </c>
      <c r="AF12" s="3" t="n">
        <v>21124.0</v>
      </c>
      <c r="AG12" s="3" t="n">
        <v>20944.0</v>
      </c>
      <c r="AH12" s="3" t="n">
        <v>20710.0</v>
      </c>
      <c r="AI12" s="3" t="n">
        <v>20445.0</v>
      </c>
      <c r="AJ12" s="3" t="n">
        <v>20158.0</v>
      </c>
      <c r="AK12" s="3" t="n">
        <v>19828.0</v>
      </c>
      <c r="AL12" s="3" t="n">
        <v>19502.0</v>
      </c>
      <c r="AM12" s="3" t="n">
        <v>19172.0</v>
      </c>
      <c r="AN12" s="3" t="n">
        <v>18843.0</v>
      </c>
      <c r="AO12" s="3" t="n">
        <v>18548.0</v>
      </c>
    </row>
    <row r="13" spans="1:41" x14ac:dyDescent="0.2">
      <c r="A13" s="125"/>
      <c r="B13" s="9">
        <v>4</v>
      </c>
      <c r="C13" s="3" t="n">
        <v>28187.0</v>
      </c>
      <c r="D13" s="3" t="n">
        <v>27048.0</v>
      </c>
      <c r="E13" s="3" t="n">
        <v>25317.0</v>
      </c>
      <c r="F13" s="3" t="n">
        <v>25141.0</v>
      </c>
      <c r="G13" s="3" t="n">
        <v>22811.0</v>
      </c>
      <c r="H13" s="3" t="n">
        <v>23336.0</v>
      </c>
      <c r="I13" s="3" t="n">
        <v>23323.0</v>
      </c>
      <c r="J13" s="3" t="n">
        <v>23266.0</v>
      </c>
      <c r="K13" s="3" t="n">
        <v>22992.0</v>
      </c>
      <c r="L13" s="3" t="n">
        <v>22667.0</v>
      </c>
      <c r="M13" s="3" t="n">
        <v>22355.0</v>
      </c>
      <c r="N13" s="3" t="n">
        <v>22112.0</v>
      </c>
      <c r="O13" s="3" t="n">
        <v>21882.0</v>
      </c>
      <c r="P13" s="3" t="n">
        <v>21656.0</v>
      </c>
      <c r="Q13" s="3" t="n">
        <v>21397.0</v>
      </c>
      <c r="R13" s="3" t="n">
        <v>21203.0</v>
      </c>
      <c r="S13" s="3" t="n">
        <v>21026.0</v>
      </c>
      <c r="T13" s="3" t="n">
        <v>20920.0</v>
      </c>
      <c r="U13" s="3" t="n">
        <v>20833.0</v>
      </c>
      <c r="V13" s="3" t="n">
        <v>20858.0</v>
      </c>
      <c r="W13" s="3" t="n">
        <v>20934.0</v>
      </c>
      <c r="X13" s="3" t="n">
        <v>21037.0</v>
      </c>
      <c r="Y13" s="3" t="n">
        <v>21164.0</v>
      </c>
      <c r="Z13" s="3" t="n">
        <v>21276.0</v>
      </c>
      <c r="AA13" s="3" t="n">
        <v>21406.0</v>
      </c>
      <c r="AB13" s="3" t="n">
        <v>21488.0</v>
      </c>
      <c r="AC13" s="3" t="n">
        <v>21531.0</v>
      </c>
      <c r="AD13" s="3" t="n">
        <v>21539.0</v>
      </c>
      <c r="AE13" s="3" t="n">
        <v>21498.0</v>
      </c>
      <c r="AF13" s="3" t="n">
        <v>21408.0</v>
      </c>
      <c r="AG13" s="3" t="n">
        <v>21255.0</v>
      </c>
      <c r="AH13" s="3" t="n">
        <v>21077.0</v>
      </c>
      <c r="AI13" s="3" t="n">
        <v>20842.0</v>
      </c>
      <c r="AJ13" s="3" t="n">
        <v>20576.0</v>
      </c>
      <c r="AK13" s="3" t="n">
        <v>20291.0</v>
      </c>
      <c r="AL13" s="3" t="n">
        <v>19964.0</v>
      </c>
      <c r="AM13" s="3" t="n">
        <v>19639.0</v>
      </c>
      <c r="AN13" s="3" t="n">
        <v>19308.0</v>
      </c>
      <c r="AO13" s="3" t="n">
        <v>18975.0</v>
      </c>
    </row>
    <row r="14" spans="1:41" x14ac:dyDescent="0.2">
      <c r="A14" s="125"/>
      <c r="B14" s="9">
        <v>5</v>
      </c>
      <c r="C14" s="3" t="n">
        <v>29595.0</v>
      </c>
      <c r="D14" s="3" t="n">
        <v>28269.0</v>
      </c>
      <c r="E14" s="3" t="n">
        <v>27143.0</v>
      </c>
      <c r="F14" s="3" t="n">
        <v>25411.0</v>
      </c>
      <c r="G14" s="3" t="n">
        <v>25238.0</v>
      </c>
      <c r="H14" s="3" t="n">
        <v>23142.0</v>
      </c>
      <c r="I14" s="3" t="n">
        <v>23750.0</v>
      </c>
      <c r="J14" s="3" t="n">
        <v>23563.0</v>
      </c>
      <c r="K14" s="3" t="n">
        <v>23405.0</v>
      </c>
      <c r="L14" s="3" t="n">
        <v>23098.0</v>
      </c>
      <c r="M14" s="3" t="n">
        <v>22757.0</v>
      </c>
      <c r="N14" s="3" t="n">
        <v>22432.0</v>
      </c>
      <c r="O14" s="3" t="n">
        <v>22194.0</v>
      </c>
      <c r="P14" s="3" t="n">
        <v>21969.0</v>
      </c>
      <c r="Q14" s="3" t="n">
        <v>21747.0</v>
      </c>
      <c r="R14" s="3" t="n">
        <v>21487.0</v>
      </c>
      <c r="S14" s="3" t="n">
        <v>21291.0</v>
      </c>
      <c r="T14" s="3" t="n">
        <v>21120.0</v>
      </c>
      <c r="U14" s="3" t="n">
        <v>21015.0</v>
      </c>
      <c r="V14" s="3" t="n">
        <v>20931.0</v>
      </c>
      <c r="W14" s="3" t="n">
        <v>20959.0</v>
      </c>
      <c r="X14" s="3" t="n">
        <v>21032.0</v>
      </c>
      <c r="Y14" s="3" t="n">
        <v>21137.0</v>
      </c>
      <c r="Z14" s="3" t="n">
        <v>21269.0</v>
      </c>
      <c r="AA14" s="3" t="n">
        <v>21384.0</v>
      </c>
      <c r="AB14" s="3" t="n">
        <v>21517.0</v>
      </c>
      <c r="AC14" s="3" t="n">
        <v>21596.0</v>
      </c>
      <c r="AD14" s="3" t="n">
        <v>21641.0</v>
      </c>
      <c r="AE14" s="3" t="n">
        <v>21654.0</v>
      </c>
      <c r="AF14" s="3" t="n">
        <v>21613.0</v>
      </c>
      <c r="AG14" s="3" t="n">
        <v>21516.0</v>
      </c>
      <c r="AH14" s="3" t="n">
        <v>21366.0</v>
      </c>
      <c r="AI14" s="3" t="n">
        <v>21189.0</v>
      </c>
      <c r="AJ14" s="3" t="n">
        <v>20952.0</v>
      </c>
      <c r="AK14" s="3" t="n">
        <v>20687.0</v>
      </c>
      <c r="AL14" s="3" t="n">
        <v>20407.0</v>
      </c>
      <c r="AM14" s="3" t="n">
        <v>20078.0</v>
      </c>
      <c r="AN14" s="3" t="n">
        <v>19759.0</v>
      </c>
      <c r="AO14" s="3" t="n">
        <v>19420.0</v>
      </c>
    </row>
    <row r="15" spans="1:41" x14ac:dyDescent="0.2">
      <c r="A15" s="125"/>
      <c r="B15" s="9">
        <v>6</v>
      </c>
      <c r="C15" s="3" t="n">
        <v>29089.0</v>
      </c>
      <c r="D15" s="3" t="n">
        <v>29678.0</v>
      </c>
      <c r="E15" s="3" t="n">
        <v>28375.0</v>
      </c>
      <c r="F15" s="3" t="n">
        <v>27249.0</v>
      </c>
      <c r="G15" s="3" t="n">
        <v>25518.0</v>
      </c>
      <c r="H15" s="3" t="n">
        <v>25597.0</v>
      </c>
      <c r="I15" s="3" t="n">
        <v>23583.0</v>
      </c>
      <c r="J15" s="3" t="n">
        <v>23987.0</v>
      </c>
      <c r="K15" s="3" t="n">
        <v>23716.0</v>
      </c>
      <c r="L15" s="3" t="n">
        <v>23520.0</v>
      </c>
      <c r="M15" s="3" t="n">
        <v>23200.0</v>
      </c>
      <c r="N15" s="3" t="n">
        <v>22855.0</v>
      </c>
      <c r="O15" s="3" t="n">
        <v>22531.0</v>
      </c>
      <c r="P15" s="3" t="n">
        <v>22292.0</v>
      </c>
      <c r="Q15" s="3" t="n">
        <v>22066.0</v>
      </c>
      <c r="R15" s="3" t="n">
        <v>21849.0</v>
      </c>
      <c r="S15" s="3" t="n">
        <v>21592.0</v>
      </c>
      <c r="T15" s="3" t="n">
        <v>21398.0</v>
      </c>
      <c r="U15" s="3" t="n">
        <v>21229.0</v>
      </c>
      <c r="V15" s="3" t="n">
        <v>21126.0</v>
      </c>
      <c r="W15" s="3" t="n">
        <v>21041.0</v>
      </c>
      <c r="X15" s="3" t="n">
        <v>21073.0</v>
      </c>
      <c r="Y15" s="3" t="n">
        <v>21147.0</v>
      </c>
      <c r="Z15" s="3" t="n">
        <v>21254.0</v>
      </c>
      <c r="AA15" s="3" t="n">
        <v>21385.0</v>
      </c>
      <c r="AB15" s="3" t="n">
        <v>21500.0</v>
      </c>
      <c r="AC15" s="3" t="n">
        <v>21631.0</v>
      </c>
      <c r="AD15" s="3" t="n">
        <v>21709.0</v>
      </c>
      <c r="AE15" s="3" t="n">
        <v>21753.0</v>
      </c>
      <c r="AF15" s="3" t="n">
        <v>21767.0</v>
      </c>
      <c r="AG15" s="3" t="n">
        <v>21731.0</v>
      </c>
      <c r="AH15" s="3" t="n">
        <v>21628.0</v>
      </c>
      <c r="AI15" s="3" t="n">
        <v>21478.0</v>
      </c>
      <c r="AJ15" s="3" t="n">
        <v>21302.0</v>
      </c>
      <c r="AK15" s="3" t="n">
        <v>21059.0</v>
      </c>
      <c r="AL15" s="3" t="n">
        <v>20791.0</v>
      </c>
      <c r="AM15" s="3" t="n">
        <v>20514.0</v>
      </c>
      <c r="AN15" s="3" t="n">
        <v>20186.0</v>
      </c>
      <c r="AO15" s="3" t="n">
        <v>19863.0</v>
      </c>
    </row>
    <row r="16" spans="1:41" x14ac:dyDescent="0.2">
      <c r="A16" s="125"/>
      <c r="B16" s="9">
        <v>7</v>
      </c>
      <c r="C16" s="3" t="n">
        <v>28271.0</v>
      </c>
      <c r="D16" s="3" t="n">
        <v>29161.0</v>
      </c>
      <c r="E16" s="3" t="n">
        <v>29761.0</v>
      </c>
      <c r="F16" s="3" t="n">
        <v>28458.0</v>
      </c>
      <c r="G16" s="3" t="n">
        <v>27342.0</v>
      </c>
      <c r="H16" s="3" t="n">
        <v>25864.0</v>
      </c>
      <c r="I16" s="3" t="n">
        <v>26043.0</v>
      </c>
      <c r="J16" s="3" t="n">
        <v>23819.0</v>
      </c>
      <c r="K16" s="3" t="n">
        <v>24116.0</v>
      </c>
      <c r="L16" s="3" t="n">
        <v>23816.0</v>
      </c>
      <c r="M16" s="3" t="n">
        <v>23602.0</v>
      </c>
      <c r="N16" s="3" t="n">
        <v>23266.0</v>
      </c>
      <c r="O16" s="3" t="n">
        <v>22923.0</v>
      </c>
      <c r="P16" s="3" t="n">
        <v>22606.0</v>
      </c>
      <c r="Q16" s="3" t="n">
        <v>22365.0</v>
      </c>
      <c r="R16" s="3" t="n">
        <v>22141.0</v>
      </c>
      <c r="S16" s="3" t="n">
        <v>21922.0</v>
      </c>
      <c r="T16" s="3" t="n">
        <v>21668.0</v>
      </c>
      <c r="U16" s="3" t="n">
        <v>21473.0</v>
      </c>
      <c r="V16" s="3" t="n">
        <v>21305.0</v>
      </c>
      <c r="W16" s="3" t="n">
        <v>21204.0</v>
      </c>
      <c r="X16" s="3" t="n">
        <v>21123.0</v>
      </c>
      <c r="Y16" s="3" t="n">
        <v>21158.0</v>
      </c>
      <c r="Z16" s="3" t="n">
        <v>21231.0</v>
      </c>
      <c r="AA16" s="3" t="n">
        <v>21341.0</v>
      </c>
      <c r="AB16" s="3" t="n">
        <v>21474.0</v>
      </c>
      <c r="AC16" s="3" t="n">
        <v>21592.0</v>
      </c>
      <c r="AD16" s="3" t="n">
        <v>21721.0</v>
      </c>
      <c r="AE16" s="3" t="n">
        <v>21797.0</v>
      </c>
      <c r="AF16" s="3" t="n">
        <v>21841.0</v>
      </c>
      <c r="AG16" s="3" t="n">
        <v>21856.0</v>
      </c>
      <c r="AH16" s="3" t="n">
        <v>21817.0</v>
      </c>
      <c r="AI16" s="3" t="n">
        <v>21713.0</v>
      </c>
      <c r="AJ16" s="3" t="n">
        <v>21558.0</v>
      </c>
      <c r="AK16" s="3" t="n">
        <v>21385.0</v>
      </c>
      <c r="AL16" s="3" t="n">
        <v>21145.0</v>
      </c>
      <c r="AM16" s="3" t="n">
        <v>20879.0</v>
      </c>
      <c r="AN16" s="3" t="n">
        <v>20598.0</v>
      </c>
      <c r="AO16" s="3" t="n">
        <v>20271.0</v>
      </c>
    </row>
    <row r="17" spans="1:41" x14ac:dyDescent="0.2">
      <c r="A17" s="125"/>
      <c r="B17" s="9">
        <v>8</v>
      </c>
      <c r="C17" s="3" t="n">
        <v>28753.0</v>
      </c>
      <c r="D17" s="3" t="n">
        <v>28300.0</v>
      </c>
      <c r="E17" s="3" t="n">
        <v>29199.0</v>
      </c>
      <c r="F17" s="3" t="n">
        <v>29810.0</v>
      </c>
      <c r="G17" s="3" t="n">
        <v>28515.0</v>
      </c>
      <c r="H17" s="3" t="n">
        <v>27679.0</v>
      </c>
      <c r="I17" s="3" t="n">
        <v>26311.0</v>
      </c>
      <c r="J17" s="3" t="n">
        <v>26268.0</v>
      </c>
      <c r="K17" s="3" t="n">
        <v>23930.0</v>
      </c>
      <c r="L17" s="3" t="n">
        <v>24189.0</v>
      </c>
      <c r="M17" s="3" t="n">
        <v>23872.0</v>
      </c>
      <c r="N17" s="3" t="n">
        <v>23641.0</v>
      </c>
      <c r="O17" s="3" t="n">
        <v>23302.0</v>
      </c>
      <c r="P17" s="3" t="n">
        <v>22962.0</v>
      </c>
      <c r="Q17" s="3" t="n">
        <v>22646.0</v>
      </c>
      <c r="R17" s="3" t="n">
        <v>22406.0</v>
      </c>
      <c r="S17" s="3" t="n">
        <v>22185.0</v>
      </c>
      <c r="T17" s="3" t="n">
        <v>21967.0</v>
      </c>
      <c r="U17" s="3" t="n">
        <v>21713.0</v>
      </c>
      <c r="V17" s="3" t="n">
        <v>21520.0</v>
      </c>
      <c r="W17" s="3" t="n">
        <v>21354.0</v>
      </c>
      <c r="X17" s="3" t="n">
        <v>21254.0</v>
      </c>
      <c r="Y17" s="3" t="n">
        <v>21173.0</v>
      </c>
      <c r="Z17" s="3" t="n">
        <v>21211.0</v>
      </c>
      <c r="AA17" s="3" t="n">
        <v>21285.0</v>
      </c>
      <c r="AB17" s="3" t="n">
        <v>21396.0</v>
      </c>
      <c r="AC17" s="3" t="n">
        <v>21527.0</v>
      </c>
      <c r="AD17" s="3" t="n">
        <v>21645.0</v>
      </c>
      <c r="AE17" s="3" t="n">
        <v>21776.0</v>
      </c>
      <c r="AF17" s="3" t="n">
        <v>21853.0</v>
      </c>
      <c r="AG17" s="3" t="n">
        <v>21897.0</v>
      </c>
      <c r="AH17" s="3" t="n">
        <v>21912.0</v>
      </c>
      <c r="AI17" s="3" t="n">
        <v>21870.0</v>
      </c>
      <c r="AJ17" s="3" t="n">
        <v>21767.0</v>
      </c>
      <c r="AK17" s="3" t="n">
        <v>21614.0</v>
      </c>
      <c r="AL17" s="3" t="n">
        <v>21440.0</v>
      </c>
      <c r="AM17" s="3" t="n">
        <v>21202.0</v>
      </c>
      <c r="AN17" s="3" t="n">
        <v>20936.0</v>
      </c>
      <c r="AO17" s="3" t="n">
        <v>20656.0</v>
      </c>
    </row>
    <row r="18" spans="1:41" x14ac:dyDescent="0.2">
      <c r="A18" s="125"/>
      <c r="B18" s="9">
        <v>9</v>
      </c>
      <c r="C18" s="3" t="n">
        <v>27372.0</v>
      </c>
      <c r="D18" s="3" t="n">
        <v>28775.0</v>
      </c>
      <c r="E18" s="3" t="n">
        <v>28321.0</v>
      </c>
      <c r="F18" s="3" t="n">
        <v>29229.0</v>
      </c>
      <c r="G18" s="3" t="n">
        <v>29846.0</v>
      </c>
      <c r="H18" s="3" t="n">
        <v>28853.0</v>
      </c>
      <c r="I18" s="3" t="n">
        <v>28119.0</v>
      </c>
      <c r="J18" s="3" t="n">
        <v>26525.0</v>
      </c>
      <c r="K18" s="3" t="n">
        <v>26376.0</v>
      </c>
      <c r="L18" s="3" t="n">
        <v>23991.0</v>
      </c>
      <c r="M18" s="3" t="n">
        <v>24216.0</v>
      </c>
      <c r="N18" s="3" t="n">
        <v>23890.0</v>
      </c>
      <c r="O18" s="3" t="n">
        <v>23663.0</v>
      </c>
      <c r="P18" s="3" t="n">
        <v>23321.0</v>
      </c>
      <c r="Q18" s="3" t="n">
        <v>22981.0</v>
      </c>
      <c r="R18" s="3" t="n">
        <v>22666.0</v>
      </c>
      <c r="S18" s="3" t="n">
        <v>22430.0</v>
      </c>
      <c r="T18" s="3" t="n">
        <v>22211.0</v>
      </c>
      <c r="U18" s="3" t="n">
        <v>21991.0</v>
      </c>
      <c r="V18" s="3" t="n">
        <v>21737.0</v>
      </c>
      <c r="W18" s="3" t="n">
        <v>21545.0</v>
      </c>
      <c r="X18" s="3" t="n">
        <v>21381.0</v>
      </c>
      <c r="Y18" s="3" t="n">
        <v>21284.0</v>
      </c>
      <c r="Z18" s="3" t="n">
        <v>21203.0</v>
      </c>
      <c r="AA18" s="3" t="n">
        <v>21241.0</v>
      </c>
      <c r="AB18" s="3" t="n">
        <v>21314.0</v>
      </c>
      <c r="AC18" s="3" t="n">
        <v>21426.0</v>
      </c>
      <c r="AD18" s="3" t="n">
        <v>21556.0</v>
      </c>
      <c r="AE18" s="3" t="n">
        <v>21676.0</v>
      </c>
      <c r="AF18" s="3" t="n">
        <v>21806.0</v>
      </c>
      <c r="AG18" s="3" t="n">
        <v>21882.0</v>
      </c>
      <c r="AH18" s="3" t="n">
        <v>21929.0</v>
      </c>
      <c r="AI18" s="3" t="n">
        <v>21941.0</v>
      </c>
      <c r="AJ18" s="3" t="n">
        <v>21893.0</v>
      </c>
      <c r="AK18" s="3" t="n">
        <v>21791.0</v>
      </c>
      <c r="AL18" s="3" t="n">
        <v>21642.0</v>
      </c>
      <c r="AM18" s="3" t="n">
        <v>21467.0</v>
      </c>
      <c r="AN18" s="3" t="n">
        <v>21227.0</v>
      </c>
      <c r="AO18" s="3" t="n">
        <v>20962.0</v>
      </c>
    </row>
    <row r="19" spans="1:41" x14ac:dyDescent="0.2">
      <c r="A19" s="125"/>
      <c r="B19" s="9">
        <v>10</v>
      </c>
      <c r="C19" s="3" t="n">
        <v>28841.0</v>
      </c>
      <c r="D19" s="3" t="n">
        <v>27406.0</v>
      </c>
      <c r="E19" s="3" t="n">
        <v>28804.0</v>
      </c>
      <c r="F19" s="3" t="n">
        <v>28351.0</v>
      </c>
      <c r="G19" s="3" t="n">
        <v>29276.0</v>
      </c>
      <c r="H19" s="3" t="n">
        <v>30181.0</v>
      </c>
      <c r="I19" s="3" t="n">
        <v>29292.0</v>
      </c>
      <c r="J19" s="3" t="n">
        <v>28334.0</v>
      </c>
      <c r="K19" s="3" t="n">
        <v>26627.0</v>
      </c>
      <c r="L19" s="3" t="n">
        <v>26436.0</v>
      </c>
      <c r="M19" s="3" t="n">
        <v>24032.0</v>
      </c>
      <c r="N19" s="3" t="n">
        <v>24239.0</v>
      </c>
      <c r="O19" s="3" t="n">
        <v>23911.0</v>
      </c>
      <c r="P19" s="3" t="n">
        <v>23681.0</v>
      </c>
      <c r="Q19" s="3" t="n">
        <v>23343.0</v>
      </c>
      <c r="R19" s="3" t="n">
        <v>23004.0</v>
      </c>
      <c r="S19" s="3" t="n">
        <v>22696.0</v>
      </c>
      <c r="T19" s="3" t="n">
        <v>22462.0</v>
      </c>
      <c r="U19" s="3" t="n">
        <v>22244.0</v>
      </c>
      <c r="V19" s="3" t="n">
        <v>22025.0</v>
      </c>
      <c r="W19" s="3" t="n">
        <v>21778.0</v>
      </c>
      <c r="X19" s="3" t="n">
        <v>21584.0</v>
      </c>
      <c r="Y19" s="3" t="n">
        <v>21420.0</v>
      </c>
      <c r="Z19" s="3" t="n">
        <v>21321.0</v>
      </c>
      <c r="AA19" s="3" t="n">
        <v>21242.0</v>
      </c>
      <c r="AB19" s="3" t="n">
        <v>21278.0</v>
      </c>
      <c r="AC19" s="3" t="n">
        <v>21351.0</v>
      </c>
      <c r="AD19" s="3" t="n">
        <v>21461.0</v>
      </c>
      <c r="AE19" s="3" t="n">
        <v>21591.0</v>
      </c>
      <c r="AF19" s="3" t="n">
        <v>21709.0</v>
      </c>
      <c r="AG19" s="3" t="n">
        <v>21841.0</v>
      </c>
      <c r="AH19" s="3" t="n">
        <v>21913.0</v>
      </c>
      <c r="AI19" s="3" t="n">
        <v>21961.0</v>
      </c>
      <c r="AJ19" s="3" t="n">
        <v>21974.0</v>
      </c>
      <c r="AK19" s="3" t="n">
        <v>21928.0</v>
      </c>
      <c r="AL19" s="3" t="n">
        <v>21829.0</v>
      </c>
      <c r="AM19" s="3" t="n">
        <v>21681.0</v>
      </c>
      <c r="AN19" s="3" t="n">
        <v>21505.0</v>
      </c>
      <c r="AO19" s="3" t="n">
        <v>21265.0</v>
      </c>
    </row>
    <row r="20" spans="1:41" x14ac:dyDescent="0.2">
      <c r="A20" s="125"/>
      <c r="B20" s="9">
        <v>11</v>
      </c>
      <c r="C20" s="3" t="n">
        <v>29042.0</v>
      </c>
      <c r="D20" s="3" t="n">
        <v>28850.0</v>
      </c>
      <c r="E20" s="3" t="n">
        <v>27417.0</v>
      </c>
      <c r="F20" s="3" t="n">
        <v>28817.0</v>
      </c>
      <c r="G20" s="3" t="n">
        <v>28366.0</v>
      </c>
      <c r="H20" s="3" t="n">
        <v>29584.0</v>
      </c>
      <c r="I20" s="3" t="n">
        <v>30603.0</v>
      </c>
      <c r="J20" s="3" t="n">
        <v>29502.0</v>
      </c>
      <c r="K20" s="3" t="n">
        <v>28438.0</v>
      </c>
      <c r="L20" s="3" t="n">
        <v>26679.0</v>
      </c>
      <c r="M20" s="3" t="n">
        <v>26467.0</v>
      </c>
      <c r="N20" s="3" t="n">
        <v>24035.0</v>
      </c>
      <c r="O20" s="3" t="n">
        <v>24241.0</v>
      </c>
      <c r="P20" s="3" t="n">
        <v>23911.0</v>
      </c>
      <c r="Q20" s="3" t="n">
        <v>23679.0</v>
      </c>
      <c r="R20" s="3" t="n">
        <v>23342.0</v>
      </c>
      <c r="S20" s="3" t="n">
        <v>23006.0</v>
      </c>
      <c r="T20" s="3" t="n">
        <v>22702.0</v>
      </c>
      <c r="U20" s="3" t="n">
        <v>22467.0</v>
      </c>
      <c r="V20" s="3" t="n">
        <v>22248.0</v>
      </c>
      <c r="W20" s="3" t="n">
        <v>22030.0</v>
      </c>
      <c r="X20" s="3" t="n">
        <v>21783.0</v>
      </c>
      <c r="Y20" s="3" t="n">
        <v>21592.0</v>
      </c>
      <c r="Z20" s="3" t="n">
        <v>21430.0</v>
      </c>
      <c r="AA20" s="3" t="n">
        <v>21332.0</v>
      </c>
      <c r="AB20" s="3" t="n">
        <v>21256.0</v>
      </c>
      <c r="AC20" s="3" t="n">
        <v>21291.0</v>
      </c>
      <c r="AD20" s="3" t="n">
        <v>21364.0</v>
      </c>
      <c r="AE20" s="3" t="n">
        <v>21474.0</v>
      </c>
      <c r="AF20" s="3" t="n">
        <v>21604.0</v>
      </c>
      <c r="AG20" s="3" t="n">
        <v>21722.0</v>
      </c>
      <c r="AH20" s="3" t="n">
        <v>21855.0</v>
      </c>
      <c r="AI20" s="3" t="n">
        <v>21923.0</v>
      </c>
      <c r="AJ20" s="3" t="n">
        <v>21971.0</v>
      </c>
      <c r="AK20" s="3" t="n">
        <v>21984.0</v>
      </c>
      <c r="AL20" s="3" t="n">
        <v>21936.0</v>
      </c>
      <c r="AM20" s="3" t="n">
        <v>21838.0</v>
      </c>
      <c r="AN20" s="3" t="n">
        <v>21689.0</v>
      </c>
      <c r="AO20" s="3" t="n">
        <v>21514.0</v>
      </c>
    </row>
    <row r="21" spans="1:41" x14ac:dyDescent="0.2">
      <c r="A21" s="125"/>
      <c r="B21" s="9">
        <v>12</v>
      </c>
      <c r="C21" s="3" t="n">
        <v>30785.0</v>
      </c>
      <c r="D21" s="3" t="n">
        <v>29057.0</v>
      </c>
      <c r="E21" s="3" t="n">
        <v>28863.0</v>
      </c>
      <c r="F21" s="3" t="n">
        <v>27435.0</v>
      </c>
      <c r="G21" s="3" t="n">
        <v>28840.0</v>
      </c>
      <c r="H21" s="3" t="n">
        <v>28666.0</v>
      </c>
      <c r="I21" s="3" t="n">
        <v>29984.0</v>
      </c>
      <c r="J21" s="3" t="n">
        <v>30792.0</v>
      </c>
      <c r="K21" s="3" t="n">
        <v>29580.0</v>
      </c>
      <c r="L21" s="3" t="n">
        <v>28482.0</v>
      </c>
      <c r="M21" s="3" t="n">
        <v>26716.0</v>
      </c>
      <c r="N21" s="3" t="n">
        <v>26471.0</v>
      </c>
      <c r="O21" s="3" t="n">
        <v>24027.0</v>
      </c>
      <c r="P21" s="3" t="n">
        <v>24233.0</v>
      </c>
      <c r="Q21" s="3" t="n">
        <v>23905.0</v>
      </c>
      <c r="R21" s="3" t="n">
        <v>23674.0</v>
      </c>
      <c r="S21" s="3" t="n">
        <v>23339.0</v>
      </c>
      <c r="T21" s="3" t="n">
        <v>23005.0</v>
      </c>
      <c r="U21" s="3" t="n">
        <v>22700.0</v>
      </c>
      <c r="V21" s="3" t="n">
        <v>22466.0</v>
      </c>
      <c r="W21" s="3" t="n">
        <v>22248.0</v>
      </c>
      <c r="X21" s="3" t="n">
        <v>22032.0</v>
      </c>
      <c r="Y21" s="3" t="n">
        <v>21789.0</v>
      </c>
      <c r="Z21" s="3" t="n">
        <v>21600.0</v>
      </c>
      <c r="AA21" s="3" t="n">
        <v>21437.0</v>
      </c>
      <c r="AB21" s="3" t="n">
        <v>21341.0</v>
      </c>
      <c r="AC21" s="3" t="n">
        <v>21266.0</v>
      </c>
      <c r="AD21" s="3" t="n">
        <v>21302.0</v>
      </c>
      <c r="AE21" s="3" t="n">
        <v>21376.0</v>
      </c>
      <c r="AF21" s="3" t="n">
        <v>21486.0</v>
      </c>
      <c r="AG21" s="3" t="n">
        <v>21616.0</v>
      </c>
      <c r="AH21" s="3" t="n">
        <v>21735.0</v>
      </c>
      <c r="AI21" s="3" t="n">
        <v>21867.0</v>
      </c>
      <c r="AJ21" s="3" t="n">
        <v>21936.0</v>
      </c>
      <c r="AK21" s="3" t="n">
        <v>21983.0</v>
      </c>
      <c r="AL21" s="3" t="n">
        <v>21996.0</v>
      </c>
      <c r="AM21" s="3" t="n">
        <v>21950.0</v>
      </c>
      <c r="AN21" s="3" t="n">
        <v>21849.0</v>
      </c>
      <c r="AO21" s="3" t="n">
        <v>21702.0</v>
      </c>
    </row>
    <row r="22" spans="1:41" x14ac:dyDescent="0.2">
      <c r="A22" s="125"/>
      <c r="B22" s="9">
        <v>13</v>
      </c>
      <c r="C22" s="3" t="n">
        <v>30941.0</v>
      </c>
      <c r="D22" s="3" t="n">
        <v>30795.0</v>
      </c>
      <c r="E22" s="3" t="n">
        <v>29069.0</v>
      </c>
      <c r="F22" s="3" t="n">
        <v>28880.0</v>
      </c>
      <c r="G22" s="3" t="n">
        <v>27467.0</v>
      </c>
      <c r="H22" s="3" t="n">
        <v>29135.0</v>
      </c>
      <c r="I22" s="3" t="n">
        <v>29075.0</v>
      </c>
      <c r="J22" s="3" t="n">
        <v>30175.0</v>
      </c>
      <c r="K22" s="3" t="n">
        <v>30878.0</v>
      </c>
      <c r="L22" s="3" t="n">
        <v>29632.0</v>
      </c>
      <c r="M22" s="3" t="n">
        <v>28512.0</v>
      </c>
      <c r="N22" s="3" t="n">
        <v>26726.0</v>
      </c>
      <c r="O22" s="3" t="n">
        <v>26480.0</v>
      </c>
      <c r="P22" s="3" t="n">
        <v>24027.0</v>
      </c>
      <c r="Q22" s="3" t="n">
        <v>24236.0</v>
      </c>
      <c r="R22" s="3" t="n">
        <v>23909.0</v>
      </c>
      <c r="S22" s="3" t="n">
        <v>23679.0</v>
      </c>
      <c r="T22" s="3" t="n">
        <v>23339.0</v>
      </c>
      <c r="U22" s="3" t="n">
        <v>23006.0</v>
      </c>
      <c r="V22" s="3" t="n">
        <v>22699.0</v>
      </c>
      <c r="W22" s="3" t="n">
        <v>22466.0</v>
      </c>
      <c r="X22" s="3" t="n">
        <v>22246.0</v>
      </c>
      <c r="Y22" s="3" t="n">
        <v>22031.0</v>
      </c>
      <c r="Z22" s="3" t="n">
        <v>21790.0</v>
      </c>
      <c r="AA22" s="3" t="n">
        <v>21599.0</v>
      </c>
      <c r="AB22" s="3" t="n">
        <v>21437.0</v>
      </c>
      <c r="AC22" s="3" t="n">
        <v>21342.0</v>
      </c>
      <c r="AD22" s="3" t="n">
        <v>21268.0</v>
      </c>
      <c r="AE22" s="3" t="n">
        <v>21304.0</v>
      </c>
      <c r="AF22" s="3" t="n">
        <v>21381.0</v>
      </c>
      <c r="AG22" s="3" t="n">
        <v>21489.0</v>
      </c>
      <c r="AH22" s="3" t="n">
        <v>21621.0</v>
      </c>
      <c r="AI22" s="3" t="n">
        <v>21742.0</v>
      </c>
      <c r="AJ22" s="3" t="n">
        <v>21874.0</v>
      </c>
      <c r="AK22" s="3" t="n">
        <v>21942.0</v>
      </c>
      <c r="AL22" s="3" t="n">
        <v>21987.0</v>
      </c>
      <c r="AM22" s="3" t="n">
        <v>22000.0</v>
      </c>
      <c r="AN22" s="3" t="n">
        <v>21955.0</v>
      </c>
      <c r="AO22" s="3" t="n">
        <v>21853.0</v>
      </c>
    </row>
    <row r="23" spans="1:41" x14ac:dyDescent="0.2">
      <c r="A23" s="125"/>
      <c r="B23" s="9">
        <v>14</v>
      </c>
      <c r="C23" s="3" t="n">
        <v>30838.0</v>
      </c>
      <c r="D23" s="3" t="n">
        <v>30950.0</v>
      </c>
      <c r="E23" s="3" t="n">
        <v>30808.0</v>
      </c>
      <c r="F23" s="3" t="n">
        <v>29088.0</v>
      </c>
      <c r="G23" s="3" t="n">
        <v>28916.0</v>
      </c>
      <c r="H23" s="3" t="n">
        <v>27781.0</v>
      </c>
      <c r="I23" s="3" t="n">
        <v>29542.0</v>
      </c>
      <c r="J23" s="3" t="n">
        <v>29264.0</v>
      </c>
      <c r="K23" s="3" t="n">
        <v>30262.0</v>
      </c>
      <c r="L23" s="3" t="n">
        <v>30932.0</v>
      </c>
      <c r="M23" s="3" t="n">
        <v>29665.0</v>
      </c>
      <c r="N23" s="3" t="n">
        <v>28531.0</v>
      </c>
      <c r="O23" s="3" t="n">
        <v>26738.0</v>
      </c>
      <c r="P23" s="3" t="n">
        <v>26495.0</v>
      </c>
      <c r="Q23" s="3" t="n">
        <v>24032.0</v>
      </c>
      <c r="R23" s="3" t="n">
        <v>24235.0</v>
      </c>
      <c r="S23" s="3" t="n">
        <v>23908.0</v>
      </c>
      <c r="T23" s="3" t="n">
        <v>23681.0</v>
      </c>
      <c r="U23" s="3" t="n">
        <v>23343.0</v>
      </c>
      <c r="V23" s="3" t="n">
        <v>23006.0</v>
      </c>
      <c r="W23" s="3" t="n">
        <v>22699.0</v>
      </c>
      <c r="X23" s="3" t="n">
        <v>22467.0</v>
      </c>
      <c r="Y23" s="3" t="n">
        <v>22248.0</v>
      </c>
      <c r="Z23" s="3" t="n">
        <v>22035.0</v>
      </c>
      <c r="AA23" s="3" t="n">
        <v>21797.0</v>
      </c>
      <c r="AB23" s="3" t="n">
        <v>21609.0</v>
      </c>
      <c r="AC23" s="3" t="n">
        <v>21448.0</v>
      </c>
      <c r="AD23" s="3" t="n">
        <v>21355.0</v>
      </c>
      <c r="AE23" s="3" t="n">
        <v>21281.0</v>
      </c>
      <c r="AF23" s="3" t="n">
        <v>21317.0</v>
      </c>
      <c r="AG23" s="3" t="n">
        <v>21395.0</v>
      </c>
      <c r="AH23" s="3" t="n">
        <v>21500.0</v>
      </c>
      <c r="AI23" s="3" t="n">
        <v>21631.0</v>
      </c>
      <c r="AJ23" s="3" t="n">
        <v>21751.0</v>
      </c>
      <c r="AK23" s="3" t="n">
        <v>21883.0</v>
      </c>
      <c r="AL23" s="3" t="n">
        <v>21951.0</v>
      </c>
      <c r="AM23" s="3" t="n">
        <v>21996.0</v>
      </c>
      <c r="AN23" s="3" t="n">
        <v>22009.0</v>
      </c>
      <c r="AO23" s="3" t="n">
        <v>21964.0</v>
      </c>
    </row>
    <row r="24" spans="1:41" x14ac:dyDescent="0.2">
      <c r="A24" s="125"/>
      <c r="B24" s="9">
        <v>15</v>
      </c>
      <c r="C24" s="3" t="n">
        <v>28447.0</v>
      </c>
      <c r="D24" s="3" t="n">
        <v>30830.0</v>
      </c>
      <c r="E24" s="3" t="n">
        <v>30941.0</v>
      </c>
      <c r="F24" s="3" t="n">
        <v>30804.0</v>
      </c>
      <c r="G24" s="3" t="n">
        <v>29090.0</v>
      </c>
      <c r="H24" s="3" t="n">
        <v>29176.0</v>
      </c>
      <c r="I24" s="3" t="n">
        <v>28124.0</v>
      </c>
      <c r="J24" s="3" t="n">
        <v>29692.0</v>
      </c>
      <c r="K24" s="3" t="n">
        <v>29318.0</v>
      </c>
      <c r="L24" s="3" t="n">
        <v>30292.0</v>
      </c>
      <c r="M24" s="3" t="n">
        <v>30942.0</v>
      </c>
      <c r="N24" s="3" t="n">
        <v>29663.0</v>
      </c>
      <c r="O24" s="3" t="n">
        <v>28522.0</v>
      </c>
      <c r="P24" s="3" t="n">
        <v>26730.0</v>
      </c>
      <c r="Q24" s="3" t="n">
        <v>26481.0</v>
      </c>
      <c r="R24" s="3" t="n">
        <v>24025.0</v>
      </c>
      <c r="S24" s="3" t="n">
        <v>24225.0</v>
      </c>
      <c r="T24" s="3" t="n">
        <v>23898.0</v>
      </c>
      <c r="U24" s="3" t="n">
        <v>23673.0</v>
      </c>
      <c r="V24" s="3" t="n">
        <v>23337.0</v>
      </c>
      <c r="W24" s="3" t="n">
        <v>23002.0</v>
      </c>
      <c r="X24" s="3" t="n">
        <v>22694.0</v>
      </c>
      <c r="Y24" s="3" t="n">
        <v>22463.0</v>
      </c>
      <c r="Z24" s="3" t="n">
        <v>22244.0</v>
      </c>
      <c r="AA24" s="3" t="n">
        <v>22031.0</v>
      </c>
      <c r="AB24" s="3" t="n">
        <v>21790.0</v>
      </c>
      <c r="AC24" s="3" t="n">
        <v>21603.0</v>
      </c>
      <c r="AD24" s="3" t="n">
        <v>21443.0</v>
      </c>
      <c r="AE24" s="3" t="n">
        <v>21351.0</v>
      </c>
      <c r="AF24" s="3" t="n">
        <v>21276.0</v>
      </c>
      <c r="AG24" s="3" t="n">
        <v>21313.0</v>
      </c>
      <c r="AH24" s="3" t="n">
        <v>21392.0</v>
      </c>
      <c r="AI24" s="3" t="n">
        <v>21499.0</v>
      </c>
      <c r="AJ24" s="3" t="n">
        <v>21630.0</v>
      </c>
      <c r="AK24" s="3" t="n">
        <v>21750.0</v>
      </c>
      <c r="AL24" s="3" t="n">
        <v>21881.0</v>
      </c>
      <c r="AM24" s="3" t="n">
        <v>21951.0</v>
      </c>
      <c r="AN24" s="3" t="n">
        <v>21995.0</v>
      </c>
      <c r="AO24" s="3" t="n">
        <v>22009.0</v>
      </c>
    </row>
    <row r="25" spans="1:41" x14ac:dyDescent="0.2">
      <c r="A25" s="125"/>
      <c r="B25" s="9">
        <v>16</v>
      </c>
      <c r="C25" s="3" t="n">
        <v>26666.0</v>
      </c>
      <c r="D25" s="3" t="n">
        <v>28421.0</v>
      </c>
      <c r="E25" s="3" t="n">
        <v>30804.0</v>
      </c>
      <c r="F25" s="3" t="n">
        <v>30928.0</v>
      </c>
      <c r="G25" s="3" t="n">
        <v>30795.0</v>
      </c>
      <c r="H25" s="3" t="n">
        <v>29303.0</v>
      </c>
      <c r="I25" s="3" t="n">
        <v>29468.0</v>
      </c>
      <c r="J25" s="3" t="n">
        <v>28254.0</v>
      </c>
      <c r="K25" s="3" t="n">
        <v>29716.0</v>
      </c>
      <c r="L25" s="3" t="n">
        <v>29321.0</v>
      </c>
      <c r="M25" s="3" t="n">
        <v>30286.0</v>
      </c>
      <c r="N25" s="3" t="n">
        <v>30925.0</v>
      </c>
      <c r="O25" s="3" t="n">
        <v>29637.0</v>
      </c>
      <c r="P25" s="3" t="n">
        <v>28501.0</v>
      </c>
      <c r="Q25" s="3" t="n">
        <v>26698.0</v>
      </c>
      <c r="R25" s="3" t="n">
        <v>26444.0</v>
      </c>
      <c r="S25" s="3" t="n">
        <v>23997.0</v>
      </c>
      <c r="T25" s="3" t="n">
        <v>24197.0</v>
      </c>
      <c r="U25" s="3" t="n">
        <v>23868.0</v>
      </c>
      <c r="V25" s="3" t="n">
        <v>23641.0</v>
      </c>
      <c r="W25" s="3" t="n">
        <v>23307.0</v>
      </c>
      <c r="X25" s="3" t="n">
        <v>22976.0</v>
      </c>
      <c r="Y25" s="3" t="n">
        <v>22668.0</v>
      </c>
      <c r="Z25" s="3" t="n">
        <v>22437.0</v>
      </c>
      <c r="AA25" s="3" t="n">
        <v>22223.0</v>
      </c>
      <c r="AB25" s="3" t="n">
        <v>22011.0</v>
      </c>
      <c r="AC25" s="3" t="n">
        <v>21770.0</v>
      </c>
      <c r="AD25" s="3" t="n">
        <v>21587.0</v>
      </c>
      <c r="AE25" s="3" t="n">
        <v>21428.0</v>
      </c>
      <c r="AF25" s="3" t="n">
        <v>21337.0</v>
      </c>
      <c r="AG25" s="3" t="n">
        <v>21261.0</v>
      </c>
      <c r="AH25" s="3" t="n">
        <v>21299.0</v>
      </c>
      <c r="AI25" s="3" t="n">
        <v>21378.0</v>
      </c>
      <c r="AJ25" s="3" t="n">
        <v>21485.0</v>
      </c>
      <c r="AK25" s="3" t="n">
        <v>21614.0</v>
      </c>
      <c r="AL25" s="3" t="n">
        <v>21732.0</v>
      </c>
      <c r="AM25" s="3" t="n">
        <v>21867.0</v>
      </c>
      <c r="AN25" s="3" t="n">
        <v>21934.0</v>
      </c>
      <c r="AO25" s="3" t="n">
        <v>21979.0</v>
      </c>
    </row>
    <row r="26" spans="1:41" x14ac:dyDescent="0.2">
      <c r="A26" s="125"/>
      <c r="B26" s="9">
        <v>17</v>
      </c>
      <c r="C26" s="3" t="n">
        <v>25223.0</v>
      </c>
      <c r="D26" s="3" t="n">
        <v>26625.0</v>
      </c>
      <c r="E26" s="3" t="n">
        <v>28368.0</v>
      </c>
      <c r="F26" s="3" t="n">
        <v>30759.0</v>
      </c>
      <c r="G26" s="3" t="n">
        <v>30896.0</v>
      </c>
      <c r="H26" s="3" t="n">
        <v>30987.0</v>
      </c>
      <c r="I26" s="3" t="n">
        <v>29583.0</v>
      </c>
      <c r="J26" s="3" t="n">
        <v>29575.0</v>
      </c>
      <c r="K26" s="3" t="n">
        <v>28272.0</v>
      </c>
      <c r="L26" s="3" t="n">
        <v>29698.0</v>
      </c>
      <c r="M26" s="3" t="n">
        <v>29286.0</v>
      </c>
      <c r="N26" s="3" t="n">
        <v>30245.0</v>
      </c>
      <c r="O26" s="3" t="n">
        <v>30881.0</v>
      </c>
      <c r="P26" s="3" t="n">
        <v>29600.0</v>
      </c>
      <c r="Q26" s="3" t="n">
        <v>28455.0</v>
      </c>
      <c r="R26" s="3" t="n">
        <v>26660.0</v>
      </c>
      <c r="S26" s="3" t="n">
        <v>26403.0</v>
      </c>
      <c r="T26" s="3" t="n">
        <v>23960.0</v>
      </c>
      <c r="U26" s="3" t="n">
        <v>24161.0</v>
      </c>
      <c r="V26" s="3" t="n">
        <v>23838.0</v>
      </c>
      <c r="W26" s="3" t="n">
        <v>23609.0</v>
      </c>
      <c r="X26" s="3" t="n">
        <v>23273.0</v>
      </c>
      <c r="Y26" s="3" t="n">
        <v>22947.0</v>
      </c>
      <c r="Z26" s="3" t="n">
        <v>22639.0</v>
      </c>
      <c r="AA26" s="3" t="n">
        <v>22407.0</v>
      </c>
      <c r="AB26" s="3" t="n">
        <v>22194.0</v>
      </c>
      <c r="AC26" s="3" t="n">
        <v>21983.0</v>
      </c>
      <c r="AD26" s="3" t="n">
        <v>21743.0</v>
      </c>
      <c r="AE26" s="3" t="n">
        <v>21562.0</v>
      </c>
      <c r="AF26" s="3" t="n">
        <v>21403.0</v>
      </c>
      <c r="AG26" s="3" t="n">
        <v>21312.0</v>
      </c>
      <c r="AH26" s="3" t="n">
        <v>21236.0</v>
      </c>
      <c r="AI26" s="3" t="n">
        <v>21273.0</v>
      </c>
      <c r="AJ26" s="3" t="n">
        <v>21352.0</v>
      </c>
      <c r="AK26" s="3" t="n">
        <v>21459.0</v>
      </c>
      <c r="AL26" s="3" t="n">
        <v>21588.0</v>
      </c>
      <c r="AM26" s="3" t="n">
        <v>21705.0</v>
      </c>
      <c r="AN26" s="3" t="n">
        <v>21842.0</v>
      </c>
      <c r="AO26" s="3" t="n">
        <v>21909.0</v>
      </c>
    </row>
    <row r="27" spans="1:41" x14ac:dyDescent="0.2">
      <c r="A27" s="125"/>
      <c r="B27" s="9">
        <v>18</v>
      </c>
      <c r="C27" s="3" t="n">
        <v>24186.0</v>
      </c>
      <c r="D27" s="3" t="n">
        <v>25187.0</v>
      </c>
      <c r="E27" s="3" t="n">
        <v>26588.0</v>
      </c>
      <c r="F27" s="3" t="n">
        <v>28326.0</v>
      </c>
      <c r="G27" s="3" t="n">
        <v>30720.0</v>
      </c>
      <c r="H27" s="3" t="n">
        <v>31117.0</v>
      </c>
      <c r="I27" s="3" t="n">
        <v>31319.0</v>
      </c>
      <c r="J27" s="3" t="n">
        <v>29712.0</v>
      </c>
      <c r="K27" s="3" t="n">
        <v>29604.0</v>
      </c>
      <c r="L27" s="3" t="n">
        <v>28273.0</v>
      </c>
      <c r="M27" s="3" t="n">
        <v>29671.0</v>
      </c>
      <c r="N27" s="3" t="n">
        <v>29239.0</v>
      </c>
      <c r="O27" s="3" t="n">
        <v>30193.0</v>
      </c>
      <c r="P27" s="3" t="n">
        <v>30832.0</v>
      </c>
      <c r="Q27" s="3" t="n">
        <v>29555.0</v>
      </c>
      <c r="R27" s="3" t="n">
        <v>28411.0</v>
      </c>
      <c r="S27" s="3" t="n">
        <v>26618.0</v>
      </c>
      <c r="T27" s="3" t="n">
        <v>26359.0</v>
      </c>
      <c r="U27" s="3" t="n">
        <v>23919.0</v>
      </c>
      <c r="V27" s="3" t="n">
        <v>24119.0</v>
      </c>
      <c r="W27" s="3" t="n">
        <v>23790.0</v>
      </c>
      <c r="X27" s="3" t="n">
        <v>23566.0</v>
      </c>
      <c r="Y27" s="3" t="n">
        <v>23228.0</v>
      </c>
      <c r="Z27" s="3" t="n">
        <v>22904.0</v>
      </c>
      <c r="AA27" s="3" t="n">
        <v>22603.0</v>
      </c>
      <c r="AB27" s="3" t="n">
        <v>22369.0</v>
      </c>
      <c r="AC27" s="3" t="n">
        <v>22155.0</v>
      </c>
      <c r="AD27" s="3" t="n">
        <v>21948.0</v>
      </c>
      <c r="AE27" s="3" t="n">
        <v>21706.0</v>
      </c>
      <c r="AF27" s="3" t="n">
        <v>21526.0</v>
      </c>
      <c r="AG27" s="3" t="n">
        <v>21369.0</v>
      </c>
      <c r="AH27" s="3" t="n">
        <v>21277.0</v>
      </c>
      <c r="AI27" s="3" t="n">
        <v>21202.0</v>
      </c>
      <c r="AJ27" s="3" t="n">
        <v>21240.0</v>
      </c>
      <c r="AK27" s="3" t="n">
        <v>21320.0</v>
      </c>
      <c r="AL27" s="3" t="n">
        <v>21426.0</v>
      </c>
      <c r="AM27" s="3" t="n">
        <v>21556.0</v>
      </c>
      <c r="AN27" s="3" t="n">
        <v>21672.0</v>
      </c>
      <c r="AO27" s="3" t="n">
        <v>21808.0</v>
      </c>
    </row>
    <row r="28" spans="1:41" x14ac:dyDescent="0.2">
      <c r="A28" s="125"/>
      <c r="B28" s="9">
        <v>19</v>
      </c>
      <c r="C28" s="3" t="n">
        <v>23335.0</v>
      </c>
      <c r="D28" s="3" t="n">
        <v>24145.0</v>
      </c>
      <c r="E28" s="3" t="n">
        <v>25147.0</v>
      </c>
      <c r="F28" s="3" t="n">
        <v>26553.0</v>
      </c>
      <c r="G28" s="3" t="n">
        <v>28283.0</v>
      </c>
      <c r="H28" s="3" t="n">
        <v>30899.0</v>
      </c>
      <c r="I28" s="3" t="n">
        <v>31366.0</v>
      </c>
      <c r="J28" s="3" t="n">
        <v>31407.0</v>
      </c>
      <c r="K28" s="3" t="n">
        <v>29712.0</v>
      </c>
      <c r="L28" s="3" t="n">
        <v>29579.0</v>
      </c>
      <c r="M28" s="3" t="n">
        <v>28231.0</v>
      </c>
      <c r="N28" s="3" t="n">
        <v>29621.0</v>
      </c>
      <c r="O28" s="3" t="n">
        <v>29184.0</v>
      </c>
      <c r="P28" s="3" t="n">
        <v>30133.0</v>
      </c>
      <c r="Q28" s="3" t="n">
        <v>30778.0</v>
      </c>
      <c r="R28" s="3" t="n">
        <v>29500.0</v>
      </c>
      <c r="S28" s="3" t="n">
        <v>28357.0</v>
      </c>
      <c r="T28" s="3" t="n">
        <v>26566.0</v>
      </c>
      <c r="U28" s="3" t="n">
        <v>26320.0</v>
      </c>
      <c r="V28" s="3" t="n">
        <v>23873.0</v>
      </c>
      <c r="W28" s="3" t="n">
        <v>24068.0</v>
      </c>
      <c r="X28" s="3" t="n">
        <v>23743.0</v>
      </c>
      <c r="Y28" s="3" t="n">
        <v>23520.0</v>
      </c>
      <c r="Z28" s="3" t="n">
        <v>23182.0</v>
      </c>
      <c r="AA28" s="3" t="n">
        <v>22860.0</v>
      </c>
      <c r="AB28" s="3" t="n">
        <v>22561.0</v>
      </c>
      <c r="AC28" s="3" t="n">
        <v>22329.0</v>
      </c>
      <c r="AD28" s="3" t="n">
        <v>22116.0</v>
      </c>
      <c r="AE28" s="3" t="n">
        <v>21909.0</v>
      </c>
      <c r="AF28" s="3" t="n">
        <v>21670.0</v>
      </c>
      <c r="AG28" s="3" t="n">
        <v>21490.0</v>
      </c>
      <c r="AH28" s="3" t="n">
        <v>21333.0</v>
      </c>
      <c r="AI28" s="3" t="n">
        <v>21241.0</v>
      </c>
      <c r="AJ28" s="3" t="n">
        <v>21165.0</v>
      </c>
      <c r="AK28" s="3" t="n">
        <v>21205.0</v>
      </c>
      <c r="AL28" s="3" t="n">
        <v>21286.0</v>
      </c>
      <c r="AM28" s="3" t="n">
        <v>21393.0</v>
      </c>
      <c r="AN28" s="3" t="n">
        <v>21521.0</v>
      </c>
      <c r="AO28" s="3" t="n">
        <v>21635.0</v>
      </c>
    </row>
    <row r="29" spans="1:41" x14ac:dyDescent="0.2">
      <c r="A29" s="125"/>
      <c r="B29" s="9">
        <v>20</v>
      </c>
      <c r="C29" s="3" t="n">
        <v>23963.0</v>
      </c>
      <c r="D29" s="3" t="n">
        <v>23301.0</v>
      </c>
      <c r="E29" s="3" t="n">
        <v>24113.0</v>
      </c>
      <c r="F29" s="3" t="n">
        <v>25115.0</v>
      </c>
      <c r="G29" s="3" t="n">
        <v>26528.0</v>
      </c>
      <c r="H29" s="3" t="n">
        <v>28390.0</v>
      </c>
      <c r="I29" s="3" t="n">
        <v>31056.0</v>
      </c>
      <c r="J29" s="3" t="n">
        <v>31408.0</v>
      </c>
      <c r="K29" s="3" t="n">
        <v>31398.0</v>
      </c>
      <c r="L29" s="3" t="n">
        <v>29686.0</v>
      </c>
      <c r="M29" s="3" t="n">
        <v>29546.0</v>
      </c>
      <c r="N29" s="3" t="n">
        <v>28194.0</v>
      </c>
      <c r="O29" s="3" t="n">
        <v>29578.0</v>
      </c>
      <c r="P29" s="3" t="n">
        <v>29139.0</v>
      </c>
      <c r="Q29" s="3" t="n">
        <v>30092.0</v>
      </c>
      <c r="R29" s="3" t="n">
        <v>30736.0</v>
      </c>
      <c r="S29" s="3" t="n">
        <v>29461.0</v>
      </c>
      <c r="T29" s="3" t="n">
        <v>28320.0</v>
      </c>
      <c r="U29" s="3" t="n">
        <v>26525.0</v>
      </c>
      <c r="V29" s="3" t="n">
        <v>26280.0</v>
      </c>
      <c r="W29" s="3" t="n">
        <v>23832.0</v>
      </c>
      <c r="X29" s="3" t="n">
        <v>24030.0</v>
      </c>
      <c r="Y29" s="3" t="n">
        <v>23700.0</v>
      </c>
      <c r="Z29" s="3" t="n">
        <v>23478.0</v>
      </c>
      <c r="AA29" s="3" t="n">
        <v>23140.0</v>
      </c>
      <c r="AB29" s="3" t="n">
        <v>22819.0</v>
      </c>
      <c r="AC29" s="3" t="n">
        <v>22518.0</v>
      </c>
      <c r="AD29" s="3" t="n">
        <v>22288.0</v>
      </c>
      <c r="AE29" s="3" t="n">
        <v>22076.0</v>
      </c>
      <c r="AF29" s="3" t="n">
        <v>21871.0</v>
      </c>
      <c r="AG29" s="3" t="n">
        <v>21636.0</v>
      </c>
      <c r="AH29" s="3" t="n">
        <v>21457.0</v>
      </c>
      <c r="AI29" s="3" t="n">
        <v>21301.0</v>
      </c>
      <c r="AJ29" s="3" t="n">
        <v>21210.0</v>
      </c>
      <c r="AK29" s="3" t="n">
        <v>21130.0</v>
      </c>
      <c r="AL29" s="3" t="n">
        <v>21170.0</v>
      </c>
      <c r="AM29" s="3" t="n">
        <v>21250.0</v>
      </c>
      <c r="AN29" s="3" t="n">
        <v>21354.0</v>
      </c>
      <c r="AO29" s="3" t="n">
        <v>21482.0</v>
      </c>
    </row>
    <row r="30" spans="1:41" x14ac:dyDescent="0.2">
      <c r="A30" s="125"/>
      <c r="B30" s="9">
        <v>21</v>
      </c>
      <c r="C30" s="3" t="n">
        <v>25244.0</v>
      </c>
      <c r="D30" s="3" t="n">
        <v>23946.0</v>
      </c>
      <c r="E30" s="3" t="n">
        <v>23281.0</v>
      </c>
      <c r="F30" s="3" t="n">
        <v>24090.0</v>
      </c>
      <c r="G30" s="3" t="n">
        <v>25098.0</v>
      </c>
      <c r="H30" s="3" t="n">
        <v>26636.0</v>
      </c>
      <c r="I30" s="3" t="n">
        <v>28547.0</v>
      </c>
      <c r="J30" s="3" t="n">
        <v>31111.0</v>
      </c>
      <c r="K30" s="3" t="n">
        <v>31410.0</v>
      </c>
      <c r="L30" s="3" t="n">
        <v>31381.0</v>
      </c>
      <c r="M30" s="3" t="n">
        <v>29662.0</v>
      </c>
      <c r="N30" s="3" t="n">
        <v>29519.0</v>
      </c>
      <c r="O30" s="3" t="n">
        <v>28168.0</v>
      </c>
      <c r="P30" s="3" t="n">
        <v>29545.0</v>
      </c>
      <c r="Q30" s="3" t="n">
        <v>29106.0</v>
      </c>
      <c r="R30" s="3" t="n">
        <v>30066.0</v>
      </c>
      <c r="S30" s="3" t="n">
        <v>30709.0</v>
      </c>
      <c r="T30" s="3" t="n">
        <v>29433.0</v>
      </c>
      <c r="U30" s="3" t="n">
        <v>28297.0</v>
      </c>
      <c r="V30" s="3" t="n">
        <v>26495.0</v>
      </c>
      <c r="W30" s="3" t="n">
        <v>26249.0</v>
      </c>
      <c r="X30" s="3" t="n">
        <v>23804.0</v>
      </c>
      <c r="Y30" s="3" t="n">
        <v>24004.0</v>
      </c>
      <c r="Z30" s="3" t="n">
        <v>23671.0</v>
      </c>
      <c r="AA30" s="3" t="n">
        <v>23450.0</v>
      </c>
      <c r="AB30" s="3" t="n">
        <v>23115.0</v>
      </c>
      <c r="AC30" s="3" t="n">
        <v>22794.0</v>
      </c>
      <c r="AD30" s="3" t="n">
        <v>22494.0</v>
      </c>
      <c r="AE30" s="3" t="n">
        <v>22265.0</v>
      </c>
      <c r="AF30" s="3" t="n">
        <v>22054.0</v>
      </c>
      <c r="AG30" s="3" t="n">
        <v>21848.0</v>
      </c>
      <c r="AH30" s="3" t="n">
        <v>21616.0</v>
      </c>
      <c r="AI30" s="3" t="n">
        <v>21439.0</v>
      </c>
      <c r="AJ30" s="3" t="n">
        <v>21283.0</v>
      </c>
      <c r="AK30" s="3" t="n">
        <v>21193.0</v>
      </c>
      <c r="AL30" s="3" t="n">
        <v>21114.0</v>
      </c>
      <c r="AM30" s="3" t="n">
        <v>21155.0</v>
      </c>
      <c r="AN30" s="3" t="n">
        <v>21236.0</v>
      </c>
      <c r="AO30" s="3" t="n">
        <v>21342.0</v>
      </c>
    </row>
    <row r="31" spans="1:41" x14ac:dyDescent="0.2">
      <c r="A31" s="125"/>
      <c r="B31" s="9">
        <v>22</v>
      </c>
      <c r="C31" s="3" t="n">
        <v>26008.0</v>
      </c>
      <c r="D31" s="3" t="n">
        <v>25244.0</v>
      </c>
      <c r="E31" s="3" t="n">
        <v>23952.0</v>
      </c>
      <c r="F31" s="3" t="n">
        <v>23295.0</v>
      </c>
      <c r="G31" s="3" t="n">
        <v>24102.0</v>
      </c>
      <c r="H31" s="3" t="n">
        <v>25230.0</v>
      </c>
      <c r="I31" s="3" t="n">
        <v>26814.0</v>
      </c>
      <c r="J31" s="3" t="n">
        <v>28611.0</v>
      </c>
      <c r="K31" s="3" t="n">
        <v>31135.0</v>
      </c>
      <c r="L31" s="3" t="n">
        <v>31416.0</v>
      </c>
      <c r="M31" s="3" t="n">
        <v>31376.0</v>
      </c>
      <c r="N31" s="3" t="n">
        <v>29651.0</v>
      </c>
      <c r="O31" s="3" t="n">
        <v>29511.0</v>
      </c>
      <c r="P31" s="3" t="n">
        <v>28159.0</v>
      </c>
      <c r="Q31" s="3" t="n">
        <v>29533.0</v>
      </c>
      <c r="R31" s="3" t="n">
        <v>29092.0</v>
      </c>
      <c r="S31" s="3" t="n">
        <v>30049.0</v>
      </c>
      <c r="T31" s="3" t="n">
        <v>30700.0</v>
      </c>
      <c r="U31" s="3" t="n">
        <v>29427.0</v>
      </c>
      <c r="V31" s="3" t="n">
        <v>28296.0</v>
      </c>
      <c r="W31" s="3" t="n">
        <v>26497.0</v>
      </c>
      <c r="X31" s="3" t="n">
        <v>26240.0</v>
      </c>
      <c r="Y31" s="3" t="n">
        <v>23798.0</v>
      </c>
      <c r="Z31" s="3" t="n">
        <v>23996.0</v>
      </c>
      <c r="AA31" s="3" t="n">
        <v>23663.0</v>
      </c>
      <c r="AB31" s="3" t="n">
        <v>23441.0</v>
      </c>
      <c r="AC31" s="3" t="n">
        <v>23106.0</v>
      </c>
      <c r="AD31" s="3" t="n">
        <v>22781.0</v>
      </c>
      <c r="AE31" s="3" t="n">
        <v>22477.0</v>
      </c>
      <c r="AF31" s="3" t="n">
        <v>22251.0</v>
      </c>
      <c r="AG31" s="3" t="n">
        <v>22038.0</v>
      </c>
      <c r="AH31" s="3" t="n">
        <v>21835.0</v>
      </c>
      <c r="AI31" s="3" t="n">
        <v>21605.0</v>
      </c>
      <c r="AJ31" s="3" t="n">
        <v>21427.0</v>
      </c>
      <c r="AK31" s="3" t="n">
        <v>21272.0</v>
      </c>
      <c r="AL31" s="3" t="n">
        <v>21184.0</v>
      </c>
      <c r="AM31" s="3" t="n">
        <v>21105.0</v>
      </c>
      <c r="AN31" s="3" t="n">
        <v>21146.0</v>
      </c>
      <c r="AO31" s="3" t="n">
        <v>21228.0</v>
      </c>
    </row>
    <row r="32" spans="1:41" x14ac:dyDescent="0.2">
      <c r="A32" s="125"/>
      <c r="B32" s="9">
        <v>23</v>
      </c>
      <c r="C32" s="3" t="n">
        <v>26553.0</v>
      </c>
      <c r="D32" s="3" t="n">
        <v>26035.0</v>
      </c>
      <c r="E32" s="3" t="n">
        <v>25270.0</v>
      </c>
      <c r="F32" s="3" t="n">
        <v>23985.0</v>
      </c>
      <c r="G32" s="3" t="n">
        <v>23333.0</v>
      </c>
      <c r="H32" s="3" t="n">
        <v>24274.0</v>
      </c>
      <c r="I32" s="3" t="n">
        <v>25452.0</v>
      </c>
      <c r="J32" s="3" t="n">
        <v>26927.0</v>
      </c>
      <c r="K32" s="3" t="n">
        <v>28693.0</v>
      </c>
      <c r="L32" s="3" t="n">
        <v>31186.0</v>
      </c>
      <c r="M32" s="3" t="n">
        <v>31456.0</v>
      </c>
      <c r="N32" s="3" t="n">
        <v>31408.0</v>
      </c>
      <c r="O32" s="3" t="n">
        <v>29685.0</v>
      </c>
      <c r="P32" s="3" t="n">
        <v>29549.0</v>
      </c>
      <c r="Q32" s="3" t="n">
        <v>28186.0</v>
      </c>
      <c r="R32" s="3" t="n">
        <v>29560.0</v>
      </c>
      <c r="S32" s="3" t="n">
        <v>29120.0</v>
      </c>
      <c r="T32" s="3" t="n">
        <v>30085.0</v>
      </c>
      <c r="U32" s="3" t="n">
        <v>30738.0</v>
      </c>
      <c r="V32" s="3" t="n">
        <v>29462.0</v>
      </c>
      <c r="W32" s="3" t="n">
        <v>28321.0</v>
      </c>
      <c r="X32" s="3" t="n">
        <v>26520.0</v>
      </c>
      <c r="Y32" s="3" t="n">
        <v>26262.0</v>
      </c>
      <c r="Z32" s="3" t="n">
        <v>23817.0</v>
      </c>
      <c r="AA32" s="3" t="n">
        <v>24020.0</v>
      </c>
      <c r="AB32" s="3" t="n">
        <v>23684.0</v>
      </c>
      <c r="AC32" s="3" t="n">
        <v>23465.0</v>
      </c>
      <c r="AD32" s="3" t="n">
        <v>23127.0</v>
      </c>
      <c r="AE32" s="3" t="n">
        <v>22801.0</v>
      </c>
      <c r="AF32" s="3" t="n">
        <v>22494.0</v>
      </c>
      <c r="AG32" s="3" t="n">
        <v>22265.0</v>
      </c>
      <c r="AH32" s="3" t="n">
        <v>22051.0</v>
      </c>
      <c r="AI32" s="3" t="n">
        <v>21849.0</v>
      </c>
      <c r="AJ32" s="3" t="n">
        <v>21619.0</v>
      </c>
      <c r="AK32" s="3" t="n">
        <v>21439.0</v>
      </c>
      <c r="AL32" s="3" t="n">
        <v>21285.0</v>
      </c>
      <c r="AM32" s="3" t="n">
        <v>21197.0</v>
      </c>
      <c r="AN32" s="3" t="n">
        <v>21117.0</v>
      </c>
      <c r="AO32" s="3" t="n">
        <v>21157.0</v>
      </c>
    </row>
    <row r="33" spans="1:41" x14ac:dyDescent="0.2">
      <c r="A33" s="125"/>
      <c r="B33" s="9">
        <v>24</v>
      </c>
      <c r="C33" s="3" t="n">
        <v>28239.0</v>
      </c>
      <c r="D33" s="3" t="n">
        <v>26622.0</v>
      </c>
      <c r="E33" s="3" t="n">
        <v>26110.0</v>
      </c>
      <c r="F33" s="3" t="n">
        <v>25350.0</v>
      </c>
      <c r="G33" s="3" t="n">
        <v>24080.0</v>
      </c>
      <c r="H33" s="3" t="n">
        <v>23543.0</v>
      </c>
      <c r="I33" s="3" t="n">
        <v>24526.0</v>
      </c>
      <c r="J33" s="3" t="n">
        <v>25611.0</v>
      </c>
      <c r="K33" s="3" t="n">
        <v>27040.0</v>
      </c>
      <c r="L33" s="3" t="n">
        <v>28782.0</v>
      </c>
      <c r="M33" s="3" t="n">
        <v>31274.0</v>
      </c>
      <c r="N33" s="3" t="n">
        <v>31545.0</v>
      </c>
      <c r="O33" s="3" t="n">
        <v>31487.0</v>
      </c>
      <c r="P33" s="3" t="n">
        <v>29764.0</v>
      </c>
      <c r="Q33" s="3" t="n">
        <v>29629.0</v>
      </c>
      <c r="R33" s="3" t="n">
        <v>28260.0</v>
      </c>
      <c r="S33" s="3" t="n">
        <v>29629.0</v>
      </c>
      <c r="T33" s="3" t="n">
        <v>29189.0</v>
      </c>
      <c r="U33" s="3" t="n">
        <v>30149.0</v>
      </c>
      <c r="V33" s="3" t="n">
        <v>30813.0</v>
      </c>
      <c r="W33" s="3" t="n">
        <v>29546.0</v>
      </c>
      <c r="X33" s="3" t="n">
        <v>28400.0</v>
      </c>
      <c r="Y33" s="3" t="n">
        <v>26595.0</v>
      </c>
      <c r="Z33" s="3" t="n">
        <v>26324.0</v>
      </c>
      <c r="AA33" s="3" t="n">
        <v>23871.0</v>
      </c>
      <c r="AB33" s="3" t="n">
        <v>24078.0</v>
      </c>
      <c r="AC33" s="3" t="n">
        <v>23737.0</v>
      </c>
      <c r="AD33" s="3" t="n">
        <v>23524.0</v>
      </c>
      <c r="AE33" s="3" t="n">
        <v>23190.0</v>
      </c>
      <c r="AF33" s="3" t="n">
        <v>22861.0</v>
      </c>
      <c r="AG33" s="3" t="n">
        <v>22553.0</v>
      </c>
      <c r="AH33" s="3" t="n">
        <v>22324.0</v>
      </c>
      <c r="AI33" s="3" t="n">
        <v>22115.0</v>
      </c>
      <c r="AJ33" s="3" t="n">
        <v>21915.0</v>
      </c>
      <c r="AK33" s="3" t="n">
        <v>21685.0</v>
      </c>
      <c r="AL33" s="3" t="n">
        <v>21509.0</v>
      </c>
      <c r="AM33" s="3" t="n">
        <v>21354.0</v>
      </c>
      <c r="AN33" s="3" t="n">
        <v>21264.0</v>
      </c>
      <c r="AO33" s="3" t="n">
        <v>21187.0</v>
      </c>
    </row>
    <row r="34" spans="1:41" x14ac:dyDescent="0.2">
      <c r="A34" s="125"/>
      <c r="B34" s="9">
        <v>25</v>
      </c>
      <c r="C34" s="3" t="n">
        <v>30606.0</v>
      </c>
      <c r="D34" s="3" t="n">
        <v>28365.0</v>
      </c>
      <c r="E34" s="3" t="n">
        <v>26759.0</v>
      </c>
      <c r="F34" s="3" t="n">
        <v>26248.0</v>
      </c>
      <c r="G34" s="3" t="n">
        <v>25486.0</v>
      </c>
      <c r="H34" s="3" t="n">
        <v>24359.0</v>
      </c>
      <c r="I34" s="3" t="n">
        <v>23867.0</v>
      </c>
      <c r="J34" s="3" t="n">
        <v>24745.0</v>
      </c>
      <c r="K34" s="3" t="n">
        <v>25775.0</v>
      </c>
      <c r="L34" s="3" t="n">
        <v>27194.0</v>
      </c>
      <c r="M34" s="3" t="n">
        <v>28917.0</v>
      </c>
      <c r="N34" s="3" t="n">
        <v>31400.0</v>
      </c>
      <c r="O34" s="3" t="n">
        <v>31678.0</v>
      </c>
      <c r="P34" s="3" t="n">
        <v>31628.0</v>
      </c>
      <c r="Q34" s="3" t="n">
        <v>29902.0</v>
      </c>
      <c r="R34" s="3" t="n">
        <v>29762.0</v>
      </c>
      <c r="S34" s="3" t="n">
        <v>28386.0</v>
      </c>
      <c r="T34" s="3" t="n">
        <v>29751.0</v>
      </c>
      <c r="U34" s="3" t="n">
        <v>29310.0</v>
      </c>
      <c r="V34" s="3" t="n">
        <v>30271.0</v>
      </c>
      <c r="W34" s="3" t="n">
        <v>30942.0</v>
      </c>
      <c r="X34" s="3" t="n">
        <v>29677.0</v>
      </c>
      <c r="Y34" s="3" t="n">
        <v>28531.0</v>
      </c>
      <c r="Z34" s="3" t="n">
        <v>26713.0</v>
      </c>
      <c r="AA34" s="3" t="n">
        <v>26433.0</v>
      </c>
      <c r="AB34" s="3" t="n">
        <v>23975.0</v>
      </c>
      <c r="AC34" s="3" t="n">
        <v>24180.0</v>
      </c>
      <c r="AD34" s="3" t="n">
        <v>23838.0</v>
      </c>
      <c r="AE34" s="3" t="n">
        <v>23628.0</v>
      </c>
      <c r="AF34" s="3" t="n">
        <v>23289.0</v>
      </c>
      <c r="AG34" s="3" t="n">
        <v>22957.0</v>
      </c>
      <c r="AH34" s="3" t="n">
        <v>22648.0</v>
      </c>
      <c r="AI34" s="3" t="n">
        <v>22415.0</v>
      </c>
      <c r="AJ34" s="3" t="n">
        <v>22208.0</v>
      </c>
      <c r="AK34" s="3" t="n">
        <v>22008.0</v>
      </c>
      <c r="AL34" s="3" t="n">
        <v>21776.0</v>
      </c>
      <c r="AM34" s="3" t="n">
        <v>21598.0</v>
      </c>
      <c r="AN34" s="3" t="n">
        <v>21446.0</v>
      </c>
      <c r="AO34" s="3" t="n">
        <v>21356.0</v>
      </c>
    </row>
    <row r="35" spans="1:41" x14ac:dyDescent="0.2">
      <c r="A35" s="125"/>
      <c r="B35" s="9">
        <v>26</v>
      </c>
      <c r="C35" s="3" t="n">
        <v>32443.0</v>
      </c>
      <c r="D35" s="3" t="n">
        <v>30742.0</v>
      </c>
      <c r="E35" s="3" t="n">
        <v>28515.0</v>
      </c>
      <c r="F35" s="3" t="n">
        <v>26919.0</v>
      </c>
      <c r="G35" s="3" t="n">
        <v>26419.0</v>
      </c>
      <c r="H35" s="3" t="n">
        <v>25792.0</v>
      </c>
      <c r="I35" s="3" t="n">
        <v>24719.0</v>
      </c>
      <c r="J35" s="3" t="n">
        <v>24118.0</v>
      </c>
      <c r="K35" s="3" t="n">
        <v>24948.0</v>
      </c>
      <c r="L35" s="3" t="n">
        <v>25954.0</v>
      </c>
      <c r="M35" s="3" t="n">
        <v>27357.0</v>
      </c>
      <c r="N35" s="3" t="n">
        <v>29074.0</v>
      </c>
      <c r="O35" s="3" t="n">
        <v>31553.0</v>
      </c>
      <c r="P35" s="3" t="n">
        <v>31840.0</v>
      </c>
      <c r="Q35" s="3" t="n">
        <v>31787.0</v>
      </c>
      <c r="R35" s="3" t="n">
        <v>30057.0</v>
      </c>
      <c r="S35" s="3" t="n">
        <v>29925.0</v>
      </c>
      <c r="T35" s="3" t="n">
        <v>28543.0</v>
      </c>
      <c r="U35" s="3" t="n">
        <v>29897.0</v>
      </c>
      <c r="V35" s="3" t="n">
        <v>29449.0</v>
      </c>
      <c r="W35" s="3" t="n">
        <v>30415.0</v>
      </c>
      <c r="X35" s="3" t="n">
        <v>31096.0</v>
      </c>
      <c r="Y35" s="3" t="n">
        <v>29831.0</v>
      </c>
      <c r="Z35" s="3" t="n">
        <v>28680.0</v>
      </c>
      <c r="AA35" s="3" t="n">
        <v>26862.0</v>
      </c>
      <c r="AB35" s="3" t="n">
        <v>26561.0</v>
      </c>
      <c r="AC35" s="3" t="n">
        <v>24096.0</v>
      </c>
      <c r="AD35" s="3" t="n">
        <v>24301.0</v>
      </c>
      <c r="AE35" s="3" t="n">
        <v>23963.0</v>
      </c>
      <c r="AF35" s="3" t="n">
        <v>23753.0</v>
      </c>
      <c r="AG35" s="3" t="n">
        <v>23413.0</v>
      </c>
      <c r="AH35" s="3" t="n">
        <v>23079.0</v>
      </c>
      <c r="AI35" s="3" t="n">
        <v>22764.0</v>
      </c>
      <c r="AJ35" s="3" t="n">
        <v>22534.0</v>
      </c>
      <c r="AK35" s="3" t="n">
        <v>22321.0</v>
      </c>
      <c r="AL35" s="3" t="n">
        <v>22119.0</v>
      </c>
      <c r="AM35" s="3" t="n">
        <v>21885.0</v>
      </c>
      <c r="AN35" s="3" t="n">
        <v>21707.0</v>
      </c>
      <c r="AO35" s="3" t="n">
        <v>21557.0</v>
      </c>
    </row>
    <row r="36" spans="1:41" x14ac:dyDescent="0.2">
      <c r="A36" s="125"/>
      <c r="B36" s="9">
        <v>27</v>
      </c>
      <c r="C36" s="3" t="n">
        <v>34043.0</v>
      </c>
      <c r="D36" s="3" t="n">
        <v>32607.0</v>
      </c>
      <c r="E36" s="3" t="n">
        <v>30924.0</v>
      </c>
      <c r="F36" s="3" t="n">
        <v>28693.0</v>
      </c>
      <c r="G36" s="3" t="n">
        <v>27123.0</v>
      </c>
      <c r="H36" s="3" t="n">
        <v>26751.0</v>
      </c>
      <c r="I36" s="3" t="n">
        <v>26162.0</v>
      </c>
      <c r="J36" s="3" t="n">
        <v>24987.0</v>
      </c>
      <c r="K36" s="3" t="n">
        <v>24341.0</v>
      </c>
      <c r="L36" s="3" t="n">
        <v>25153.0</v>
      </c>
      <c r="M36" s="3" t="n">
        <v>26146.0</v>
      </c>
      <c r="N36" s="3" t="n">
        <v>27551.0</v>
      </c>
      <c r="O36" s="3" t="n">
        <v>29264.0</v>
      </c>
      <c r="P36" s="3" t="n">
        <v>31752.0</v>
      </c>
      <c r="Q36" s="3" t="n">
        <v>32045.0</v>
      </c>
      <c r="R36" s="3" t="n">
        <v>31994.0</v>
      </c>
      <c r="S36" s="3" t="n">
        <v>30263.0</v>
      </c>
      <c r="T36" s="3" t="n">
        <v>30131.0</v>
      </c>
      <c r="U36" s="3" t="n">
        <v>28751.0</v>
      </c>
      <c r="V36" s="3" t="n">
        <v>30084.0</v>
      </c>
      <c r="W36" s="3" t="n">
        <v>29630.0</v>
      </c>
      <c r="X36" s="3" t="n">
        <v>30607.0</v>
      </c>
      <c r="Y36" s="3" t="n">
        <v>31295.0</v>
      </c>
      <c r="Z36" s="3" t="n">
        <v>30036.0</v>
      </c>
      <c r="AA36" s="3" t="n">
        <v>28878.0</v>
      </c>
      <c r="AB36" s="3" t="n">
        <v>27038.0</v>
      </c>
      <c r="AC36" s="3" t="n">
        <v>26729.0</v>
      </c>
      <c r="AD36" s="3" t="n">
        <v>24256.0</v>
      </c>
      <c r="AE36" s="3" t="n">
        <v>24460.0</v>
      </c>
      <c r="AF36" s="3" t="n">
        <v>24123.0</v>
      </c>
      <c r="AG36" s="3" t="n">
        <v>23909.0</v>
      </c>
      <c r="AH36" s="3" t="n">
        <v>23575.0</v>
      </c>
      <c r="AI36" s="3" t="n">
        <v>23239.0</v>
      </c>
      <c r="AJ36" s="3" t="n">
        <v>22912.0</v>
      </c>
      <c r="AK36" s="3" t="n">
        <v>22684.0</v>
      </c>
      <c r="AL36" s="3" t="n">
        <v>22473.0</v>
      </c>
      <c r="AM36" s="3" t="n">
        <v>22274.0</v>
      </c>
      <c r="AN36" s="3" t="n">
        <v>22034.0</v>
      </c>
      <c r="AO36" s="3" t="n">
        <v>21856.0</v>
      </c>
    </row>
    <row r="37" spans="1:41" x14ac:dyDescent="0.2">
      <c r="A37" s="125"/>
      <c r="B37" s="9">
        <v>28</v>
      </c>
      <c r="C37" s="3" t="n">
        <v>36177.0</v>
      </c>
      <c r="D37" s="3" t="n">
        <v>34232.0</v>
      </c>
      <c r="E37" s="3" t="n">
        <v>32801.0</v>
      </c>
      <c r="F37" s="3" t="n">
        <v>31128.0</v>
      </c>
      <c r="G37" s="3" t="n">
        <v>28908.0</v>
      </c>
      <c r="H37" s="3" t="n">
        <v>27486.0</v>
      </c>
      <c r="I37" s="3" t="n">
        <v>27165.0</v>
      </c>
      <c r="J37" s="3" t="n">
        <v>26463.0</v>
      </c>
      <c r="K37" s="3" t="n">
        <v>25249.0</v>
      </c>
      <c r="L37" s="3" t="n">
        <v>24590.0</v>
      </c>
      <c r="M37" s="3" t="n">
        <v>25384.0</v>
      </c>
      <c r="N37" s="3" t="n">
        <v>26368.0</v>
      </c>
      <c r="O37" s="3" t="n">
        <v>27771.0</v>
      </c>
      <c r="P37" s="3" t="n">
        <v>29481.0</v>
      </c>
      <c r="Q37" s="3" t="n">
        <v>31978.0</v>
      </c>
      <c r="R37" s="3" t="n">
        <v>32277.0</v>
      </c>
      <c r="S37" s="3" t="n">
        <v>32223.0</v>
      </c>
      <c r="T37" s="3" t="n">
        <v>30490.0</v>
      </c>
      <c r="U37" s="3" t="n">
        <v>30358.0</v>
      </c>
      <c r="V37" s="3" t="n">
        <v>28969.0</v>
      </c>
      <c r="W37" s="3" t="n">
        <v>30290.0</v>
      </c>
      <c r="X37" s="3" t="n">
        <v>29839.0</v>
      </c>
      <c r="Y37" s="3" t="n">
        <v>30813.0</v>
      </c>
      <c r="Z37" s="3" t="n">
        <v>31516.0</v>
      </c>
      <c r="AA37" s="3" t="n">
        <v>30264.0</v>
      </c>
      <c r="AB37" s="3" t="n">
        <v>29094.0</v>
      </c>
      <c r="AC37" s="3" t="n">
        <v>27237.0</v>
      </c>
      <c r="AD37" s="3" t="n">
        <v>26919.0</v>
      </c>
      <c r="AE37" s="3" t="n">
        <v>24426.0</v>
      </c>
      <c r="AF37" s="3" t="n">
        <v>24626.0</v>
      </c>
      <c r="AG37" s="3" t="n">
        <v>24285.0</v>
      </c>
      <c r="AH37" s="3" t="n">
        <v>24068.0</v>
      </c>
      <c r="AI37" s="3" t="n">
        <v>23736.0</v>
      </c>
      <c r="AJ37" s="3" t="n">
        <v>23396.0</v>
      </c>
      <c r="AK37" s="3" t="n">
        <v>23072.0</v>
      </c>
      <c r="AL37" s="3" t="n">
        <v>22844.0</v>
      </c>
      <c r="AM37" s="3" t="n">
        <v>22632.0</v>
      </c>
      <c r="AN37" s="3" t="n">
        <v>22433.0</v>
      </c>
      <c r="AO37" s="3" t="n">
        <v>22189.0</v>
      </c>
    </row>
    <row r="38" spans="1:41" x14ac:dyDescent="0.2">
      <c r="A38" s="125"/>
      <c r="B38" s="9">
        <v>29</v>
      </c>
      <c r="C38" s="3" t="n">
        <v>37240.0</v>
      </c>
      <c r="D38" s="3" t="n">
        <v>36361.0</v>
      </c>
      <c r="E38" s="3" t="n">
        <v>34409.0</v>
      </c>
      <c r="F38" s="3" t="n">
        <v>32984.0</v>
      </c>
      <c r="G38" s="3" t="n">
        <v>31331.0</v>
      </c>
      <c r="H38" s="3" t="n">
        <v>29252.0</v>
      </c>
      <c r="I38" s="3" t="n">
        <v>27891.0</v>
      </c>
      <c r="J38" s="3" t="n">
        <v>27468.0</v>
      </c>
      <c r="K38" s="3" t="n">
        <v>26720.0</v>
      </c>
      <c r="L38" s="3" t="n">
        <v>25489.0</v>
      </c>
      <c r="M38" s="3" t="n">
        <v>24822.0</v>
      </c>
      <c r="N38" s="3" t="n">
        <v>25599.0</v>
      </c>
      <c r="O38" s="3" t="n">
        <v>26579.0</v>
      </c>
      <c r="P38" s="3" t="n">
        <v>27979.0</v>
      </c>
      <c r="Q38" s="3" t="n">
        <v>29690.0</v>
      </c>
      <c r="R38" s="3" t="n">
        <v>32194.0</v>
      </c>
      <c r="S38" s="3" t="n">
        <v>32500.0</v>
      </c>
      <c r="T38" s="3" t="n">
        <v>32446.0</v>
      </c>
      <c r="U38" s="3" t="n">
        <v>30707.0</v>
      </c>
      <c r="V38" s="3" t="n">
        <v>30581.0</v>
      </c>
      <c r="W38" s="3" t="n">
        <v>29184.0</v>
      </c>
      <c r="X38" s="3" t="n">
        <v>30494.0</v>
      </c>
      <c r="Y38" s="3" t="n">
        <v>30042.0</v>
      </c>
      <c r="Z38" s="3" t="n">
        <v>31027.0</v>
      </c>
      <c r="AA38" s="3" t="n">
        <v>31738.0</v>
      </c>
      <c r="AB38" s="3" t="n">
        <v>30483.0</v>
      </c>
      <c r="AC38" s="3" t="n">
        <v>29308.0</v>
      </c>
      <c r="AD38" s="3" t="n">
        <v>27432.0</v>
      </c>
      <c r="AE38" s="3" t="n">
        <v>27096.0</v>
      </c>
      <c r="AF38" s="3" t="n">
        <v>24592.0</v>
      </c>
      <c r="AG38" s="3" t="n">
        <v>24789.0</v>
      </c>
      <c r="AH38" s="3" t="n">
        <v>24446.0</v>
      </c>
      <c r="AI38" s="3" t="n">
        <v>24228.0</v>
      </c>
      <c r="AJ38" s="3" t="n">
        <v>23897.0</v>
      </c>
      <c r="AK38" s="3" t="n">
        <v>23558.0</v>
      </c>
      <c r="AL38" s="3" t="n">
        <v>23235.0</v>
      </c>
      <c r="AM38" s="3" t="n">
        <v>23006.0</v>
      </c>
      <c r="AN38" s="3" t="n">
        <v>22792.0</v>
      </c>
      <c r="AO38" s="3" t="n">
        <v>22591.0</v>
      </c>
    </row>
    <row r="39" spans="1:41" x14ac:dyDescent="0.2">
      <c r="A39" s="125"/>
      <c r="B39" s="9">
        <v>30</v>
      </c>
      <c r="C39" s="3" t="n">
        <v>38311.0</v>
      </c>
      <c r="D39" s="3" t="n">
        <v>37436.0</v>
      </c>
      <c r="E39" s="3" t="n">
        <v>36550.0</v>
      </c>
      <c r="F39" s="3" t="n">
        <v>34594.0</v>
      </c>
      <c r="G39" s="3" t="n">
        <v>33180.0</v>
      </c>
      <c r="H39" s="3" t="n">
        <v>31690.0</v>
      </c>
      <c r="I39" s="3" t="n">
        <v>29678.0</v>
      </c>
      <c r="J39" s="3" t="n">
        <v>28201.0</v>
      </c>
      <c r="K39" s="3" t="n">
        <v>27727.0</v>
      </c>
      <c r="L39" s="3" t="n">
        <v>26950.0</v>
      </c>
      <c r="M39" s="3" t="n">
        <v>25709.0</v>
      </c>
      <c r="N39" s="3" t="n">
        <v>25037.0</v>
      </c>
      <c r="O39" s="3" t="n">
        <v>25813.0</v>
      </c>
      <c r="P39" s="3" t="n">
        <v>26794.0</v>
      </c>
      <c r="Q39" s="3" t="n">
        <v>28194.0</v>
      </c>
      <c r="R39" s="3" t="n">
        <v>29901.0</v>
      </c>
      <c r="S39" s="3" t="n">
        <v>32416.0</v>
      </c>
      <c r="T39" s="3" t="n">
        <v>32726.0</v>
      </c>
      <c r="U39" s="3" t="n">
        <v>32670.0</v>
      </c>
      <c r="V39" s="3" t="n">
        <v>30925.0</v>
      </c>
      <c r="W39" s="3" t="n">
        <v>30803.0</v>
      </c>
      <c r="X39" s="3" t="n">
        <v>29402.0</v>
      </c>
      <c r="Y39" s="3" t="n">
        <v>30702.0</v>
      </c>
      <c r="Z39" s="3" t="n">
        <v>30254.0</v>
      </c>
      <c r="AA39" s="3" t="n">
        <v>31239.0</v>
      </c>
      <c r="AB39" s="3" t="n">
        <v>31962.0</v>
      </c>
      <c r="AC39" s="3" t="n">
        <v>30706.0</v>
      </c>
      <c r="AD39" s="3" t="n">
        <v>29515.0</v>
      </c>
      <c r="AE39" s="3" t="n">
        <v>27632.0</v>
      </c>
      <c r="AF39" s="3" t="n">
        <v>27285.0</v>
      </c>
      <c r="AG39" s="3" t="n">
        <v>24767.0</v>
      </c>
      <c r="AH39" s="3" t="n">
        <v>24958.0</v>
      </c>
      <c r="AI39" s="3" t="n">
        <v>24609.0</v>
      </c>
      <c r="AJ39" s="3" t="n">
        <v>24393.0</v>
      </c>
      <c r="AK39" s="3" t="n">
        <v>24063.0</v>
      </c>
      <c r="AL39" s="3" t="n">
        <v>23721.0</v>
      </c>
      <c r="AM39" s="3" t="n">
        <v>23397.0</v>
      </c>
      <c r="AN39" s="3" t="n">
        <v>23162.0</v>
      </c>
      <c r="AO39" s="3" t="n">
        <v>22950.0</v>
      </c>
    </row>
    <row r="40" spans="1:41" x14ac:dyDescent="0.2">
      <c r="A40" s="125"/>
      <c r="B40" s="9">
        <v>31</v>
      </c>
      <c r="C40" s="3" t="n">
        <v>41251.0</v>
      </c>
      <c r="D40" s="3" t="n">
        <v>38511.0</v>
      </c>
      <c r="E40" s="3" t="n">
        <v>37624.0</v>
      </c>
      <c r="F40" s="3" t="n">
        <v>36722.0</v>
      </c>
      <c r="G40" s="3" t="n">
        <v>34773.0</v>
      </c>
      <c r="H40" s="3" t="n">
        <v>33548.0</v>
      </c>
      <c r="I40" s="3" t="n">
        <v>32128.0</v>
      </c>
      <c r="J40" s="3" t="n">
        <v>29984.0</v>
      </c>
      <c r="K40" s="3" t="n">
        <v>28448.0</v>
      </c>
      <c r="L40" s="3" t="n">
        <v>27952.0</v>
      </c>
      <c r="M40" s="3" t="n">
        <v>27165.0</v>
      </c>
      <c r="N40" s="3" t="n">
        <v>25908.0</v>
      </c>
      <c r="O40" s="3" t="n">
        <v>25236.0</v>
      </c>
      <c r="P40" s="3" t="n">
        <v>26009.0</v>
      </c>
      <c r="Q40" s="3" t="n">
        <v>26992.0</v>
      </c>
      <c r="R40" s="3" t="n">
        <v>28405.0</v>
      </c>
      <c r="S40" s="3" t="n">
        <v>30105.0</v>
      </c>
      <c r="T40" s="3" t="n">
        <v>32628.0</v>
      </c>
      <c r="U40" s="3" t="n">
        <v>32941.0</v>
      </c>
      <c r="V40" s="3" t="n">
        <v>32881.0</v>
      </c>
      <c r="W40" s="3" t="n">
        <v>31127.0</v>
      </c>
      <c r="X40" s="3" t="n">
        <v>31010.0</v>
      </c>
      <c r="Y40" s="3" t="n">
        <v>29605.0</v>
      </c>
      <c r="Z40" s="3" t="n">
        <v>30892.0</v>
      </c>
      <c r="AA40" s="3" t="n">
        <v>30452.0</v>
      </c>
      <c r="AB40" s="3" t="n">
        <v>31444.0</v>
      </c>
      <c r="AC40" s="3" t="n">
        <v>32175.0</v>
      </c>
      <c r="AD40" s="3" t="n">
        <v>30914.0</v>
      </c>
      <c r="AE40" s="3" t="n">
        <v>29714.0</v>
      </c>
      <c r="AF40" s="3" t="n">
        <v>27818.0</v>
      </c>
      <c r="AG40" s="3" t="n">
        <v>27456.0</v>
      </c>
      <c r="AH40" s="3" t="n">
        <v>24923.0</v>
      </c>
      <c r="AI40" s="3" t="n">
        <v>25119.0</v>
      </c>
      <c r="AJ40" s="3" t="n">
        <v>24766.0</v>
      </c>
      <c r="AK40" s="3" t="n">
        <v>24549.0</v>
      </c>
      <c r="AL40" s="3" t="n">
        <v>24224.0</v>
      </c>
      <c r="AM40" s="3" t="n">
        <v>23881.0</v>
      </c>
      <c r="AN40" s="3" t="n">
        <v>23557.0</v>
      </c>
      <c r="AO40" s="3" t="n">
        <v>23317.0</v>
      </c>
    </row>
    <row r="41" spans="1:41" x14ac:dyDescent="0.2">
      <c r="A41" s="125"/>
      <c r="B41" s="9">
        <v>32</v>
      </c>
      <c r="C41" s="3" t="n">
        <v>42500.0</v>
      </c>
      <c r="D41" s="3" t="n">
        <v>41438.0</v>
      </c>
      <c r="E41" s="3" t="n">
        <v>38699.0</v>
      </c>
      <c r="F41" s="3" t="n">
        <v>37807.0</v>
      </c>
      <c r="G41" s="3" t="n">
        <v>36881.0</v>
      </c>
      <c r="H41" s="3" t="n">
        <v>35105.0</v>
      </c>
      <c r="I41" s="3" t="n">
        <v>33947.0</v>
      </c>
      <c r="J41" s="3" t="n">
        <v>32403.0</v>
      </c>
      <c r="K41" s="3" t="n">
        <v>30200.0</v>
      </c>
      <c r="L41" s="3" t="n">
        <v>28656.0</v>
      </c>
      <c r="M41" s="3" t="n">
        <v>28152.0</v>
      </c>
      <c r="N41" s="3" t="n">
        <v>27348.0</v>
      </c>
      <c r="O41" s="3" t="n">
        <v>26101.0</v>
      </c>
      <c r="P41" s="3" t="n">
        <v>25430.0</v>
      </c>
      <c r="Q41" s="3" t="n">
        <v>26203.0</v>
      </c>
      <c r="R41" s="3" t="n">
        <v>27178.0</v>
      </c>
      <c r="S41" s="3" t="n">
        <v>28592.0</v>
      </c>
      <c r="T41" s="3" t="n">
        <v>30298.0</v>
      </c>
      <c r="U41" s="3" t="n">
        <v>32818.0</v>
      </c>
      <c r="V41" s="3" t="n">
        <v>33138.0</v>
      </c>
      <c r="W41" s="3" t="n">
        <v>33081.0</v>
      </c>
      <c r="X41" s="3" t="n">
        <v>31326.0</v>
      </c>
      <c r="Y41" s="3" t="n">
        <v>31202.0</v>
      </c>
      <c r="Z41" s="3" t="n">
        <v>29793.0</v>
      </c>
      <c r="AA41" s="3" t="n">
        <v>31075.0</v>
      </c>
      <c r="AB41" s="3" t="n">
        <v>30638.0</v>
      </c>
      <c r="AC41" s="3" t="n">
        <v>31634.0</v>
      </c>
      <c r="AD41" s="3" t="n">
        <v>32372.0</v>
      </c>
      <c r="AE41" s="3" t="n">
        <v>31102.0</v>
      </c>
      <c r="AF41" s="3" t="n">
        <v>29907.0</v>
      </c>
      <c r="AG41" s="3" t="n">
        <v>27988.0</v>
      </c>
      <c r="AH41" s="3" t="n">
        <v>27617.0</v>
      </c>
      <c r="AI41" s="3" t="n">
        <v>25071.0</v>
      </c>
      <c r="AJ41" s="3" t="n">
        <v>25265.0</v>
      </c>
      <c r="AK41" s="3" t="n">
        <v>24914.0</v>
      </c>
      <c r="AL41" s="3" t="n">
        <v>24690.0</v>
      </c>
      <c r="AM41" s="3" t="n">
        <v>24367.0</v>
      </c>
      <c r="AN41" s="3" t="n">
        <v>24020.0</v>
      </c>
      <c r="AO41" s="3" t="n">
        <v>23698.0</v>
      </c>
    </row>
    <row r="42" spans="1:41" x14ac:dyDescent="0.2">
      <c r="A42" s="125"/>
      <c r="B42" s="9">
        <v>33</v>
      </c>
      <c r="C42" s="3" t="n">
        <v>42884.0</v>
      </c>
      <c r="D42" s="3" t="n">
        <v>42653.0</v>
      </c>
      <c r="E42" s="3" t="n">
        <v>41595.0</v>
      </c>
      <c r="F42" s="3" t="n">
        <v>38854.0</v>
      </c>
      <c r="G42" s="3" t="n">
        <v>37949.0</v>
      </c>
      <c r="H42" s="3" t="n">
        <v>37188.0</v>
      </c>
      <c r="I42" s="3" t="n">
        <v>35473.0</v>
      </c>
      <c r="J42" s="3" t="n">
        <v>34176.0</v>
      </c>
      <c r="K42" s="3" t="n">
        <v>32581.0</v>
      </c>
      <c r="L42" s="3" t="n">
        <v>30360.0</v>
      </c>
      <c r="M42" s="3" t="n">
        <v>28819.0</v>
      </c>
      <c r="N42" s="3" t="n">
        <v>28306.0</v>
      </c>
      <c r="O42" s="3" t="n">
        <v>27510.0</v>
      </c>
      <c r="P42" s="3" t="n">
        <v>26262.0</v>
      </c>
      <c r="Q42" s="3" t="n">
        <v>25589.0</v>
      </c>
      <c r="R42" s="3" t="n">
        <v>26359.0</v>
      </c>
      <c r="S42" s="3" t="n">
        <v>27335.0</v>
      </c>
      <c r="T42" s="3" t="n">
        <v>28747.0</v>
      </c>
      <c r="U42" s="3" t="n">
        <v>30457.0</v>
      </c>
      <c r="V42" s="3" t="n">
        <v>32981.0</v>
      </c>
      <c r="W42" s="3" t="n">
        <v>33302.0</v>
      </c>
      <c r="X42" s="3" t="n">
        <v>33238.0</v>
      </c>
      <c r="Y42" s="3" t="n">
        <v>31477.0</v>
      </c>
      <c r="Z42" s="3" t="n">
        <v>31363.0</v>
      </c>
      <c r="AA42" s="3" t="n">
        <v>29944.0</v>
      </c>
      <c r="AB42" s="3" t="n">
        <v>31219.0</v>
      </c>
      <c r="AC42" s="3" t="n">
        <v>30777.0</v>
      </c>
      <c r="AD42" s="3" t="n">
        <v>31783.0</v>
      </c>
      <c r="AE42" s="3" t="n">
        <v>32527.0</v>
      </c>
      <c r="AF42" s="3" t="n">
        <v>31258.0</v>
      </c>
      <c r="AG42" s="3" t="n">
        <v>30063.0</v>
      </c>
      <c r="AH42" s="3" t="n">
        <v>28131.0</v>
      </c>
      <c r="AI42" s="3" t="n">
        <v>27745.0</v>
      </c>
      <c r="AJ42" s="3" t="n">
        <v>25200.0</v>
      </c>
      <c r="AK42" s="3" t="n">
        <v>25388.0</v>
      </c>
      <c r="AL42" s="3" t="n">
        <v>25034.0</v>
      </c>
      <c r="AM42" s="3" t="n">
        <v>24815.0</v>
      </c>
      <c r="AN42" s="3" t="n">
        <v>24490.0</v>
      </c>
      <c r="AO42" s="3" t="n">
        <v>24146.0</v>
      </c>
    </row>
    <row r="43" spans="1:41" x14ac:dyDescent="0.2">
      <c r="A43" s="125"/>
      <c r="B43" s="9">
        <v>34</v>
      </c>
      <c r="C43" s="3" t="n">
        <v>43770.0</v>
      </c>
      <c r="D43" s="3" t="n">
        <v>42982.0</v>
      </c>
      <c r="E43" s="3" t="n">
        <v>42755.0</v>
      </c>
      <c r="F43" s="3" t="n">
        <v>41708.0</v>
      </c>
      <c r="G43" s="3" t="n">
        <v>38969.0</v>
      </c>
      <c r="H43" s="3" t="n">
        <v>38225.0</v>
      </c>
      <c r="I43" s="3" t="n">
        <v>37516.0</v>
      </c>
      <c r="J43" s="3" t="n">
        <v>35664.0</v>
      </c>
      <c r="K43" s="3" t="n">
        <v>34312.0</v>
      </c>
      <c r="L43" s="3" t="n">
        <v>32698.0</v>
      </c>
      <c r="M43" s="3" t="n">
        <v>30472.0</v>
      </c>
      <c r="N43" s="3" t="n">
        <v>28933.0</v>
      </c>
      <c r="O43" s="3" t="n">
        <v>28420.0</v>
      </c>
      <c r="P43" s="3" t="n">
        <v>27627.0</v>
      </c>
      <c r="Q43" s="3" t="n">
        <v>26383.0</v>
      </c>
      <c r="R43" s="3" t="n">
        <v>25716.0</v>
      </c>
      <c r="S43" s="3" t="n">
        <v>26482.0</v>
      </c>
      <c r="T43" s="3" t="n">
        <v>27454.0</v>
      </c>
      <c r="U43" s="3" t="n">
        <v>28862.0</v>
      </c>
      <c r="V43" s="3" t="n">
        <v>30579.0</v>
      </c>
      <c r="W43" s="3" t="n">
        <v>33107.0</v>
      </c>
      <c r="X43" s="3" t="n">
        <v>33433.0</v>
      </c>
      <c r="Y43" s="3" t="n">
        <v>33360.0</v>
      </c>
      <c r="Z43" s="3" t="n">
        <v>31607.0</v>
      </c>
      <c r="AA43" s="3" t="n">
        <v>31487.0</v>
      </c>
      <c r="AB43" s="3" t="n">
        <v>30066.0</v>
      </c>
      <c r="AC43" s="3" t="n">
        <v>31325.0</v>
      </c>
      <c r="AD43" s="3" t="n">
        <v>30889.0</v>
      </c>
      <c r="AE43" s="3" t="n">
        <v>31896.0</v>
      </c>
      <c r="AF43" s="3" t="n">
        <v>32655.0</v>
      </c>
      <c r="AG43" s="3" t="n">
        <v>31377.0</v>
      </c>
      <c r="AH43" s="3" t="n">
        <v>30164.0</v>
      </c>
      <c r="AI43" s="3" t="n">
        <v>28233.0</v>
      </c>
      <c r="AJ43" s="3" t="n">
        <v>27842.0</v>
      </c>
      <c r="AK43" s="3" t="n">
        <v>25280.0</v>
      </c>
      <c r="AL43" s="3" t="n">
        <v>25475.0</v>
      </c>
      <c r="AM43" s="3" t="n">
        <v>25113.0</v>
      </c>
      <c r="AN43" s="3" t="n">
        <v>24901.0</v>
      </c>
      <c r="AO43" s="3" t="n">
        <v>24572.0</v>
      </c>
    </row>
    <row r="44" spans="1:41" x14ac:dyDescent="0.2">
      <c r="A44" s="125"/>
      <c r="B44" s="9">
        <v>35</v>
      </c>
      <c r="C44" s="3" t="n">
        <v>45108.0</v>
      </c>
      <c r="D44" s="3" t="n">
        <v>43850.0</v>
      </c>
      <c r="E44" s="3" t="n">
        <v>43067.0</v>
      </c>
      <c r="F44" s="3" t="n">
        <v>42832.0</v>
      </c>
      <c r="G44" s="3" t="n">
        <v>41789.0</v>
      </c>
      <c r="H44" s="3" t="n">
        <v>39244.0</v>
      </c>
      <c r="I44" s="3" t="n">
        <v>38582.0</v>
      </c>
      <c r="J44" s="3" t="n">
        <v>37712.0</v>
      </c>
      <c r="K44" s="3" t="n">
        <v>35779.0</v>
      </c>
      <c r="L44" s="3" t="n">
        <v>34407.0</v>
      </c>
      <c r="M44" s="3" t="n">
        <v>32787.0</v>
      </c>
      <c r="N44" s="3" t="n">
        <v>30565.0</v>
      </c>
      <c r="O44" s="3" t="n">
        <v>29029.0</v>
      </c>
      <c r="P44" s="3" t="n">
        <v>28516.0</v>
      </c>
      <c r="Q44" s="3" t="n">
        <v>27727.0</v>
      </c>
      <c r="R44" s="3" t="n">
        <v>26487.0</v>
      </c>
      <c r="S44" s="3" t="n">
        <v>25829.0</v>
      </c>
      <c r="T44" s="3" t="n">
        <v>26588.0</v>
      </c>
      <c r="U44" s="3" t="n">
        <v>27563.0</v>
      </c>
      <c r="V44" s="3" t="n">
        <v>28972.0</v>
      </c>
      <c r="W44" s="3" t="n">
        <v>30692.0</v>
      </c>
      <c r="X44" s="3" t="n">
        <v>33216.0</v>
      </c>
      <c r="Y44" s="3" t="n">
        <v>33542.0</v>
      </c>
      <c r="Z44" s="3" t="n">
        <v>33468.0</v>
      </c>
      <c r="AA44" s="3" t="n">
        <v>31707.0</v>
      </c>
      <c r="AB44" s="3" t="n">
        <v>31592.0</v>
      </c>
      <c r="AC44" s="3" t="n">
        <v>30170.0</v>
      </c>
      <c r="AD44" s="3" t="n">
        <v>31419.0</v>
      </c>
      <c r="AE44" s="3" t="n">
        <v>30983.0</v>
      </c>
      <c r="AF44" s="3" t="n">
        <v>31985.0</v>
      </c>
      <c r="AG44" s="3" t="n">
        <v>32749.0</v>
      </c>
      <c r="AH44" s="3" t="n">
        <v>31479.0</v>
      </c>
      <c r="AI44" s="3" t="n">
        <v>30275.0</v>
      </c>
      <c r="AJ44" s="3" t="n">
        <v>28338.0</v>
      </c>
      <c r="AK44" s="3" t="n">
        <v>27930.0</v>
      </c>
      <c r="AL44" s="3" t="n">
        <v>25367.0</v>
      </c>
      <c r="AM44" s="3" t="n">
        <v>25565.0</v>
      </c>
      <c r="AN44" s="3" t="n">
        <v>25192.0</v>
      </c>
      <c r="AO44" s="3" t="n">
        <v>24982.0</v>
      </c>
    </row>
    <row r="45" spans="1:41" x14ac:dyDescent="0.2">
      <c r="A45" s="125"/>
      <c r="B45" s="9">
        <v>36</v>
      </c>
      <c r="C45" s="3" t="n">
        <v>46887.0</v>
      </c>
      <c r="D45" s="3" t="n">
        <v>45173.0</v>
      </c>
      <c r="E45" s="3" t="n">
        <v>43927.0</v>
      </c>
      <c r="F45" s="3" t="n">
        <v>43146.0</v>
      </c>
      <c r="G45" s="3" t="n">
        <v>42914.0</v>
      </c>
      <c r="H45" s="3" t="n">
        <v>42069.0</v>
      </c>
      <c r="I45" s="3" t="n">
        <v>39591.0</v>
      </c>
      <c r="J45" s="3" t="n">
        <v>38772.0</v>
      </c>
      <c r="K45" s="3" t="n">
        <v>37829.0</v>
      </c>
      <c r="L45" s="3" t="n">
        <v>35872.0</v>
      </c>
      <c r="M45" s="3" t="n">
        <v>34487.0</v>
      </c>
      <c r="N45" s="3" t="n">
        <v>32864.0</v>
      </c>
      <c r="O45" s="3" t="n">
        <v>30656.0</v>
      </c>
      <c r="P45" s="3" t="n">
        <v>29120.0</v>
      </c>
      <c r="Q45" s="3" t="n">
        <v>28611.0</v>
      </c>
      <c r="R45" s="3" t="n">
        <v>27831.0</v>
      </c>
      <c r="S45" s="3" t="n">
        <v>26598.0</v>
      </c>
      <c r="T45" s="3" t="n">
        <v>25936.0</v>
      </c>
      <c r="U45" s="3" t="n">
        <v>26696.0</v>
      </c>
      <c r="V45" s="3" t="n">
        <v>27669.0</v>
      </c>
      <c r="W45" s="3" t="n">
        <v>29064.0</v>
      </c>
      <c r="X45" s="3" t="n">
        <v>30787.0</v>
      </c>
      <c r="Y45" s="3" t="n">
        <v>33316.0</v>
      </c>
      <c r="Z45" s="3" t="n">
        <v>33649.0</v>
      </c>
      <c r="AA45" s="3" t="n">
        <v>33574.0</v>
      </c>
      <c r="AB45" s="3" t="n">
        <v>31803.0</v>
      </c>
      <c r="AC45" s="3" t="n">
        <v>31692.0</v>
      </c>
      <c r="AD45" s="3" t="n">
        <v>30275.0</v>
      </c>
      <c r="AE45" s="3" t="n">
        <v>31515.0</v>
      </c>
      <c r="AF45" s="3" t="n">
        <v>31079.0</v>
      </c>
      <c r="AG45" s="3" t="n">
        <v>32086.0</v>
      </c>
      <c r="AH45" s="3" t="n">
        <v>32856.0</v>
      </c>
      <c r="AI45" s="3" t="n">
        <v>31584.0</v>
      </c>
      <c r="AJ45" s="3" t="n">
        <v>30369.0</v>
      </c>
      <c r="AK45" s="3" t="n">
        <v>28431.0</v>
      </c>
      <c r="AL45" s="3" t="n">
        <v>28009.0</v>
      </c>
      <c r="AM45" s="3" t="n">
        <v>25442.0</v>
      </c>
      <c r="AN45" s="3" t="n">
        <v>25636.0</v>
      </c>
      <c r="AO45" s="3" t="n">
        <v>25267.0</v>
      </c>
    </row>
    <row r="46" spans="1:41" x14ac:dyDescent="0.2">
      <c r="A46" s="125"/>
      <c r="B46" s="9">
        <v>37</v>
      </c>
      <c r="C46" s="3" t="n">
        <v>50639.0</v>
      </c>
      <c r="D46" s="3" t="n">
        <v>46922.0</v>
      </c>
      <c r="E46" s="3" t="n">
        <v>45216.0</v>
      </c>
      <c r="F46" s="3" t="n">
        <v>43966.0</v>
      </c>
      <c r="G46" s="3" t="n">
        <v>43204.0</v>
      </c>
      <c r="H46" s="3" t="n">
        <v>43151.0</v>
      </c>
      <c r="I46" s="3" t="n">
        <v>42388.0</v>
      </c>
      <c r="J46" s="3" t="n">
        <v>39762.0</v>
      </c>
      <c r="K46" s="3" t="n">
        <v>38864.0</v>
      </c>
      <c r="L46" s="3" t="n">
        <v>37888.0</v>
      </c>
      <c r="M46" s="3" t="n">
        <v>35908.0</v>
      </c>
      <c r="N46" s="3" t="n">
        <v>34517.0</v>
      </c>
      <c r="O46" s="3" t="n">
        <v>32902.0</v>
      </c>
      <c r="P46" s="3" t="n">
        <v>30707.0</v>
      </c>
      <c r="Q46" s="3" t="n">
        <v>29187.0</v>
      </c>
      <c r="R46" s="3" t="n">
        <v>28677.0</v>
      </c>
      <c r="S46" s="3" t="n">
        <v>27901.0</v>
      </c>
      <c r="T46" s="3" t="n">
        <v>26675.0</v>
      </c>
      <c r="U46" s="3" t="n">
        <v>26020.0</v>
      </c>
      <c r="V46" s="3" t="n">
        <v>26778.0</v>
      </c>
      <c r="W46" s="3" t="n">
        <v>27743.0</v>
      </c>
      <c r="X46" s="3" t="n">
        <v>29134.0</v>
      </c>
      <c r="Y46" s="3" t="n">
        <v>30857.0</v>
      </c>
      <c r="Z46" s="3" t="n">
        <v>33386.0</v>
      </c>
      <c r="AA46" s="3" t="n">
        <v>33715.0</v>
      </c>
      <c r="AB46" s="3" t="n">
        <v>33642.0</v>
      </c>
      <c r="AC46" s="3" t="n">
        <v>31869.0</v>
      </c>
      <c r="AD46" s="3" t="n">
        <v>31760.0</v>
      </c>
      <c r="AE46" s="3" t="n">
        <v>30349.0</v>
      </c>
      <c r="AF46" s="3" t="n">
        <v>31583.0</v>
      </c>
      <c r="AG46" s="3" t="n">
        <v>31144.0</v>
      </c>
      <c r="AH46" s="3" t="n">
        <v>32151.0</v>
      </c>
      <c r="AI46" s="3" t="n">
        <v>32927.0</v>
      </c>
      <c r="AJ46" s="3" t="n">
        <v>31650.0</v>
      </c>
      <c r="AK46" s="3" t="n">
        <v>30437.0</v>
      </c>
      <c r="AL46" s="3" t="n">
        <v>28491.0</v>
      </c>
      <c r="AM46" s="3" t="n">
        <v>28070.0</v>
      </c>
      <c r="AN46" s="3" t="n">
        <v>25502.0</v>
      </c>
      <c r="AO46" s="3" t="n">
        <v>25691.0</v>
      </c>
    </row>
    <row r="47" spans="1:41" x14ac:dyDescent="0.2">
      <c r="A47" s="125"/>
      <c r="B47" s="9">
        <v>38</v>
      </c>
      <c r="C47" s="3" t="n">
        <v>52364.0</v>
      </c>
      <c r="D47" s="3" t="n">
        <v>50589.0</v>
      </c>
      <c r="E47" s="3" t="n">
        <v>46875.0</v>
      </c>
      <c r="F47" s="3" t="n">
        <v>45182.0</v>
      </c>
      <c r="G47" s="3" t="n">
        <v>43940.0</v>
      </c>
      <c r="H47" s="3" t="n">
        <v>43374.0</v>
      </c>
      <c r="I47" s="3" t="n">
        <v>43395.0</v>
      </c>
      <c r="J47" s="3" t="n">
        <v>42487.0</v>
      </c>
      <c r="K47" s="3" t="n">
        <v>39786.0</v>
      </c>
      <c r="L47" s="3" t="n">
        <v>38859.0</v>
      </c>
      <c r="M47" s="3" t="n">
        <v>37873.0</v>
      </c>
      <c r="N47" s="3" t="n">
        <v>35883.0</v>
      </c>
      <c r="O47" s="3" t="n">
        <v>34501.0</v>
      </c>
      <c r="P47" s="3" t="n">
        <v>32900.0</v>
      </c>
      <c r="Q47" s="3" t="n">
        <v>30715.0</v>
      </c>
      <c r="R47" s="3" t="n">
        <v>29201.0</v>
      </c>
      <c r="S47" s="3" t="n">
        <v>28700.0</v>
      </c>
      <c r="T47" s="3" t="n">
        <v>27921.0</v>
      </c>
      <c r="U47" s="3" t="n">
        <v>26703.0</v>
      </c>
      <c r="V47" s="3" t="n">
        <v>26056.0</v>
      </c>
      <c r="W47" s="3" t="n">
        <v>26807.0</v>
      </c>
      <c r="X47" s="3" t="n">
        <v>27769.0</v>
      </c>
      <c r="Y47" s="3" t="n">
        <v>29160.0</v>
      </c>
      <c r="Z47" s="3" t="n">
        <v>30868.0</v>
      </c>
      <c r="AA47" s="3" t="n">
        <v>33397.0</v>
      </c>
      <c r="AB47" s="3" t="n">
        <v>33726.0</v>
      </c>
      <c r="AC47" s="3" t="n">
        <v>33654.0</v>
      </c>
      <c r="AD47" s="3" t="n">
        <v>31886.0</v>
      </c>
      <c r="AE47" s="3" t="n">
        <v>31772.0</v>
      </c>
      <c r="AF47" s="3" t="n">
        <v>30371.0</v>
      </c>
      <c r="AG47" s="3" t="n">
        <v>31597.0</v>
      </c>
      <c r="AH47" s="3" t="n">
        <v>31158.0</v>
      </c>
      <c r="AI47" s="3" t="n">
        <v>32164.0</v>
      </c>
      <c r="AJ47" s="3" t="n">
        <v>32940.0</v>
      </c>
      <c r="AK47" s="3" t="n">
        <v>31667.0</v>
      </c>
      <c r="AL47" s="3" t="n">
        <v>30449.0</v>
      </c>
      <c r="AM47" s="3" t="n">
        <v>28506.0</v>
      </c>
      <c r="AN47" s="3" t="n">
        <v>28079.0</v>
      </c>
      <c r="AO47" s="3" t="n">
        <v>25522.0</v>
      </c>
    </row>
    <row r="48" spans="1:41" x14ac:dyDescent="0.2">
      <c r="A48" s="125"/>
      <c r="B48" s="9">
        <v>39</v>
      </c>
      <c r="C48" s="3" t="n">
        <v>54143.0</v>
      </c>
      <c r="D48" s="3" t="n">
        <v>52277.0</v>
      </c>
      <c r="E48" s="3" t="n">
        <v>50530.0</v>
      </c>
      <c r="F48" s="3" t="n">
        <v>46834.0</v>
      </c>
      <c r="G48" s="3" t="n">
        <v>45145.0</v>
      </c>
      <c r="H48" s="3" t="n">
        <v>44103.0</v>
      </c>
      <c r="I48" s="3" t="n">
        <v>43614.0</v>
      </c>
      <c r="J48" s="3" t="n">
        <v>43476.0</v>
      </c>
      <c r="K48" s="3" t="n">
        <v>42506.0</v>
      </c>
      <c r="L48" s="3" t="n">
        <v>39771.0</v>
      </c>
      <c r="M48" s="3" t="n">
        <v>38833.0</v>
      </c>
      <c r="N48" s="3" t="n">
        <v>37843.0</v>
      </c>
      <c r="O48" s="3" t="n">
        <v>35849.0</v>
      </c>
      <c r="P48" s="3" t="n">
        <v>34469.0</v>
      </c>
      <c r="Q48" s="3" t="n">
        <v>32876.0</v>
      </c>
      <c r="R48" s="3" t="n">
        <v>30707.0</v>
      </c>
      <c r="S48" s="3" t="n">
        <v>29209.0</v>
      </c>
      <c r="T48" s="3" t="n">
        <v>28714.0</v>
      </c>
      <c r="U48" s="3" t="n">
        <v>27931.0</v>
      </c>
      <c r="V48" s="3" t="n">
        <v>26718.0</v>
      </c>
      <c r="W48" s="3" t="n">
        <v>26073.0</v>
      </c>
      <c r="X48" s="3" t="n">
        <v>26821.0</v>
      </c>
      <c r="Y48" s="3" t="n">
        <v>27787.0</v>
      </c>
      <c r="Z48" s="3" t="n">
        <v>29172.0</v>
      </c>
      <c r="AA48" s="3" t="n">
        <v>30872.0</v>
      </c>
      <c r="AB48" s="3" t="n">
        <v>33407.0</v>
      </c>
      <c r="AC48" s="3" t="n">
        <v>33728.0</v>
      </c>
      <c r="AD48" s="3" t="n">
        <v>33656.0</v>
      </c>
      <c r="AE48" s="3" t="n">
        <v>31892.0</v>
      </c>
      <c r="AF48" s="3" t="n">
        <v>31778.0</v>
      </c>
      <c r="AG48" s="3" t="n">
        <v>30382.0</v>
      </c>
      <c r="AH48" s="3" t="n">
        <v>31593.0</v>
      </c>
      <c r="AI48" s="3" t="n">
        <v>31152.0</v>
      </c>
      <c r="AJ48" s="3" t="n">
        <v>32161.0</v>
      </c>
      <c r="AK48" s="3" t="n">
        <v>32939.0</v>
      </c>
      <c r="AL48" s="3" t="n">
        <v>31668.0</v>
      </c>
      <c r="AM48" s="3" t="n">
        <v>30456.0</v>
      </c>
      <c r="AN48" s="3" t="n">
        <v>28507.0</v>
      </c>
      <c r="AO48" s="3" t="n">
        <v>28084.0</v>
      </c>
    </row>
    <row r="49" spans="1:41" x14ac:dyDescent="0.2">
      <c r="A49" s="125"/>
      <c r="B49" s="9">
        <v>40</v>
      </c>
      <c r="C49" s="3" t="n">
        <v>51498.0</v>
      </c>
      <c r="D49" s="3" t="n">
        <v>54083.0</v>
      </c>
      <c r="E49" s="3" t="n">
        <v>52217.0</v>
      </c>
      <c r="F49" s="3" t="n">
        <v>50488.0</v>
      </c>
      <c r="G49" s="3" t="n">
        <v>46805.0</v>
      </c>
      <c r="H49" s="3" t="n">
        <v>45274.0</v>
      </c>
      <c r="I49" s="3" t="n">
        <v>44300.0</v>
      </c>
      <c r="J49" s="3" t="n">
        <v>43688.0</v>
      </c>
      <c r="K49" s="3" t="n">
        <v>43483.0</v>
      </c>
      <c r="L49" s="3" t="n">
        <v>42497.0</v>
      </c>
      <c r="M49" s="3" t="n">
        <v>39761.0</v>
      </c>
      <c r="N49" s="3" t="n">
        <v>38804.0</v>
      </c>
      <c r="O49" s="3" t="n">
        <v>37807.0</v>
      </c>
      <c r="P49" s="3" t="n">
        <v>35814.0</v>
      </c>
      <c r="Q49" s="3" t="n">
        <v>34434.0</v>
      </c>
      <c r="R49" s="3" t="n">
        <v>32853.0</v>
      </c>
      <c r="S49" s="3" t="n">
        <v>30700.0</v>
      </c>
      <c r="T49" s="3" t="n">
        <v>29206.0</v>
      </c>
      <c r="U49" s="3" t="n">
        <v>28720.0</v>
      </c>
      <c r="V49" s="3" t="n">
        <v>27941.0</v>
      </c>
      <c r="W49" s="3" t="n">
        <v>26739.0</v>
      </c>
      <c r="X49" s="3" t="n">
        <v>26097.0</v>
      </c>
      <c r="Y49" s="3" t="n">
        <v>26844.0</v>
      </c>
      <c r="Z49" s="3" t="n">
        <v>27801.0</v>
      </c>
      <c r="AA49" s="3" t="n">
        <v>29188.0</v>
      </c>
      <c r="AB49" s="3" t="n">
        <v>30881.0</v>
      </c>
      <c r="AC49" s="3" t="n">
        <v>33417.0</v>
      </c>
      <c r="AD49" s="3" t="n">
        <v>33736.0</v>
      </c>
      <c r="AE49" s="3" t="n">
        <v>33657.0</v>
      </c>
      <c r="AF49" s="3" t="n">
        <v>31900.0</v>
      </c>
      <c r="AG49" s="3" t="n">
        <v>31781.0</v>
      </c>
      <c r="AH49" s="3" t="n">
        <v>30391.0</v>
      </c>
      <c r="AI49" s="3" t="n">
        <v>31597.0</v>
      </c>
      <c r="AJ49" s="3" t="n">
        <v>31149.0</v>
      </c>
      <c r="AK49" s="3" t="n">
        <v>32164.0</v>
      </c>
      <c r="AL49" s="3" t="n">
        <v>32941.0</v>
      </c>
      <c r="AM49" s="3" t="n">
        <v>31675.0</v>
      </c>
      <c r="AN49" s="3" t="n">
        <v>30467.0</v>
      </c>
      <c r="AO49" s="3" t="n">
        <v>28522.0</v>
      </c>
    </row>
    <row r="50" spans="1:41" x14ac:dyDescent="0.2">
      <c r="A50" s="125"/>
      <c r="B50" s="9">
        <v>41</v>
      </c>
      <c r="C50" s="3" t="n">
        <v>50238.0</v>
      </c>
      <c r="D50" s="3" t="n">
        <v>51410.0</v>
      </c>
      <c r="E50" s="3" t="n">
        <v>53994.0</v>
      </c>
      <c r="F50" s="3" t="n">
        <v>52137.0</v>
      </c>
      <c r="G50" s="3" t="n">
        <v>50431.0</v>
      </c>
      <c r="H50" s="3" t="n">
        <v>46915.0</v>
      </c>
      <c r="I50" s="3" t="n">
        <v>45453.0</v>
      </c>
      <c r="J50" s="3" t="n">
        <v>44377.0</v>
      </c>
      <c r="K50" s="3" t="n">
        <v>43701.0</v>
      </c>
      <c r="L50" s="3" t="n">
        <v>43462.0</v>
      </c>
      <c r="M50" s="3" t="n">
        <v>42466.0</v>
      </c>
      <c r="N50" s="3" t="n">
        <v>39737.0</v>
      </c>
      <c r="O50" s="3" t="n">
        <v>38777.0</v>
      </c>
      <c r="P50" s="3" t="n">
        <v>37769.0</v>
      </c>
      <c r="Q50" s="3" t="n">
        <v>35779.0</v>
      </c>
      <c r="R50" s="3" t="n">
        <v>34403.0</v>
      </c>
      <c r="S50" s="3" t="n">
        <v>32836.0</v>
      </c>
      <c r="T50" s="3" t="n">
        <v>30692.0</v>
      </c>
      <c r="U50" s="3" t="n">
        <v>29206.0</v>
      </c>
      <c r="V50" s="3" t="n">
        <v>28722.0</v>
      </c>
      <c r="W50" s="3" t="n">
        <v>27946.0</v>
      </c>
      <c r="X50" s="3" t="n">
        <v>26753.0</v>
      </c>
      <c r="Y50" s="3" t="n">
        <v>26110.0</v>
      </c>
      <c r="Z50" s="3" t="n">
        <v>26864.0</v>
      </c>
      <c r="AA50" s="3" t="n">
        <v>27811.0</v>
      </c>
      <c r="AB50" s="3" t="n">
        <v>29197.0</v>
      </c>
      <c r="AC50" s="3" t="n">
        <v>30886.0</v>
      </c>
      <c r="AD50" s="3" t="n">
        <v>33419.0</v>
      </c>
      <c r="AE50" s="3" t="n">
        <v>33744.0</v>
      </c>
      <c r="AF50" s="3" t="n">
        <v>33667.0</v>
      </c>
      <c r="AG50" s="3" t="n">
        <v>31910.0</v>
      </c>
      <c r="AH50" s="3" t="n">
        <v>31794.0</v>
      </c>
      <c r="AI50" s="3" t="n">
        <v>30396.0</v>
      </c>
      <c r="AJ50" s="3" t="n">
        <v>31605.0</v>
      </c>
      <c r="AK50" s="3" t="n">
        <v>31157.0</v>
      </c>
      <c r="AL50" s="3" t="n">
        <v>32173.0</v>
      </c>
      <c r="AM50" s="3" t="n">
        <v>32950.0</v>
      </c>
      <c r="AN50" s="3" t="n">
        <v>31683.0</v>
      </c>
      <c r="AO50" s="3" t="n">
        <v>30474.0</v>
      </c>
    </row>
    <row r="51" spans="1:41" x14ac:dyDescent="0.2">
      <c r="A51" s="125"/>
      <c r="B51" s="9">
        <v>42</v>
      </c>
      <c r="C51" s="3" t="n">
        <v>50759.0</v>
      </c>
      <c r="D51" s="3" t="n">
        <v>50143.0</v>
      </c>
      <c r="E51" s="3" t="n">
        <v>51312.0</v>
      </c>
      <c r="F51" s="3" t="n">
        <v>53896.0</v>
      </c>
      <c r="G51" s="3" t="n">
        <v>52042.0</v>
      </c>
      <c r="H51" s="3" t="n">
        <v>50507.0</v>
      </c>
      <c r="I51" s="3" t="n">
        <v>47040.0</v>
      </c>
      <c r="J51" s="3" t="n">
        <v>45482.0</v>
      </c>
      <c r="K51" s="3" t="n">
        <v>44353.0</v>
      </c>
      <c r="L51" s="3" t="n">
        <v>43659.0</v>
      </c>
      <c r="M51" s="3" t="n">
        <v>43411.0</v>
      </c>
      <c r="N51" s="3" t="n">
        <v>42415.0</v>
      </c>
      <c r="O51" s="3" t="n">
        <v>39694.0</v>
      </c>
      <c r="P51" s="3" t="n">
        <v>38737.0</v>
      </c>
      <c r="Q51" s="3" t="n">
        <v>37725.0</v>
      </c>
      <c r="R51" s="3" t="n">
        <v>35736.0</v>
      </c>
      <c r="S51" s="3" t="n">
        <v>34360.0</v>
      </c>
      <c r="T51" s="3" t="n">
        <v>32811.0</v>
      </c>
      <c r="U51" s="3" t="n">
        <v>30679.0</v>
      </c>
      <c r="V51" s="3" t="n">
        <v>29203.0</v>
      </c>
      <c r="W51" s="3" t="n">
        <v>28724.0</v>
      </c>
      <c r="X51" s="3" t="n">
        <v>27953.0</v>
      </c>
      <c r="Y51" s="3" t="n">
        <v>26764.0</v>
      </c>
      <c r="Z51" s="3" t="n">
        <v>26128.0</v>
      </c>
      <c r="AA51" s="3" t="n">
        <v>26881.0</v>
      </c>
      <c r="AB51" s="3" t="n">
        <v>27821.0</v>
      </c>
      <c r="AC51" s="3" t="n">
        <v>29200.0</v>
      </c>
      <c r="AD51" s="3" t="n">
        <v>30879.0</v>
      </c>
      <c r="AE51" s="3" t="n">
        <v>33410.0</v>
      </c>
      <c r="AF51" s="3" t="n">
        <v>33731.0</v>
      </c>
      <c r="AG51" s="3" t="n">
        <v>33651.0</v>
      </c>
      <c r="AH51" s="3" t="n">
        <v>31903.0</v>
      </c>
      <c r="AI51" s="3" t="n">
        <v>31788.0</v>
      </c>
      <c r="AJ51" s="3" t="n">
        <v>30397.0</v>
      </c>
      <c r="AK51" s="3" t="n">
        <v>31606.0</v>
      </c>
      <c r="AL51" s="3" t="n">
        <v>31155.0</v>
      </c>
      <c r="AM51" s="3" t="n">
        <v>32168.0</v>
      </c>
      <c r="AN51" s="3" t="n">
        <v>32943.0</v>
      </c>
      <c r="AO51" s="3" t="n">
        <v>31683.0</v>
      </c>
    </row>
    <row r="52" spans="1:41" x14ac:dyDescent="0.2">
      <c r="A52" s="125"/>
      <c r="B52" s="9">
        <v>43</v>
      </c>
      <c r="C52" s="3" t="n">
        <v>49354.0</v>
      </c>
      <c r="D52" s="3" t="n">
        <v>50641.0</v>
      </c>
      <c r="E52" s="3" t="n">
        <v>50032.0</v>
      </c>
      <c r="F52" s="3" t="n">
        <v>51214.0</v>
      </c>
      <c r="G52" s="3" t="n">
        <v>53789.0</v>
      </c>
      <c r="H52" s="3" t="n">
        <v>52085.0</v>
      </c>
      <c r="I52" s="3" t="n">
        <v>50620.0</v>
      </c>
      <c r="J52" s="3" t="n">
        <v>47051.0</v>
      </c>
      <c r="K52" s="3" t="n">
        <v>45445.0</v>
      </c>
      <c r="L52" s="3" t="n">
        <v>44299.0</v>
      </c>
      <c r="M52" s="3" t="n">
        <v>43599.0</v>
      </c>
      <c r="N52" s="3" t="n">
        <v>43339.0</v>
      </c>
      <c r="O52" s="3" t="n">
        <v>42338.0</v>
      </c>
      <c r="P52" s="3" t="n">
        <v>39622.0</v>
      </c>
      <c r="Q52" s="3" t="n">
        <v>38673.0</v>
      </c>
      <c r="R52" s="3" t="n">
        <v>37661.0</v>
      </c>
      <c r="S52" s="3" t="n">
        <v>35660.0</v>
      </c>
      <c r="T52" s="3" t="n">
        <v>34287.0</v>
      </c>
      <c r="U52" s="3" t="n">
        <v>32750.0</v>
      </c>
      <c r="V52" s="3" t="n">
        <v>30631.0</v>
      </c>
      <c r="W52" s="3" t="n">
        <v>29168.0</v>
      </c>
      <c r="X52" s="3" t="n">
        <v>28693.0</v>
      </c>
      <c r="Y52" s="3" t="n">
        <v>27924.0</v>
      </c>
      <c r="Z52" s="3" t="n">
        <v>26735.0</v>
      </c>
      <c r="AA52" s="3" t="n">
        <v>26111.0</v>
      </c>
      <c r="AB52" s="3" t="n">
        <v>26867.0</v>
      </c>
      <c r="AC52" s="3" t="n">
        <v>27798.0</v>
      </c>
      <c r="AD52" s="3" t="n">
        <v>29171.0</v>
      </c>
      <c r="AE52" s="3" t="n">
        <v>30846.0</v>
      </c>
      <c r="AF52" s="3" t="n">
        <v>33376.0</v>
      </c>
      <c r="AG52" s="3" t="n">
        <v>33692.0</v>
      </c>
      <c r="AH52" s="3" t="n">
        <v>33610.0</v>
      </c>
      <c r="AI52" s="3" t="n">
        <v>31865.0</v>
      </c>
      <c r="AJ52" s="3" t="n">
        <v>31756.0</v>
      </c>
      <c r="AK52" s="3" t="n">
        <v>30366.0</v>
      </c>
      <c r="AL52" s="3" t="n">
        <v>31567.0</v>
      </c>
      <c r="AM52" s="3" t="n">
        <v>31122.0</v>
      </c>
      <c r="AN52" s="3" t="n">
        <v>32132.0</v>
      </c>
      <c r="AO52" s="3" t="n">
        <v>32908.0</v>
      </c>
    </row>
    <row r="53" spans="1:41" x14ac:dyDescent="0.2">
      <c r="A53" s="125"/>
      <c r="B53" s="9">
        <v>44</v>
      </c>
      <c r="C53" s="3" t="n">
        <v>47899.0</v>
      </c>
      <c r="D53" s="3" t="n">
        <v>49213.0</v>
      </c>
      <c r="E53" s="3" t="n">
        <v>50500.0</v>
      </c>
      <c r="F53" s="3" t="n">
        <v>49905.0</v>
      </c>
      <c r="G53" s="3" t="n">
        <v>51082.0</v>
      </c>
      <c r="H53" s="3" t="n">
        <v>53798.0</v>
      </c>
      <c r="I53" s="3" t="n">
        <v>52149.0</v>
      </c>
      <c r="J53" s="3" t="n">
        <v>50591.0</v>
      </c>
      <c r="K53" s="3" t="n">
        <v>46985.0</v>
      </c>
      <c r="L53" s="3" t="n">
        <v>45368.0</v>
      </c>
      <c r="M53" s="3" t="n">
        <v>44214.0</v>
      </c>
      <c r="N53" s="3" t="n">
        <v>43512.0</v>
      </c>
      <c r="O53" s="3" t="n">
        <v>43250.0</v>
      </c>
      <c r="P53" s="3" t="n">
        <v>42250.0</v>
      </c>
      <c r="Q53" s="3" t="n">
        <v>39540.0</v>
      </c>
      <c r="R53" s="3" t="n">
        <v>38599.0</v>
      </c>
      <c r="S53" s="3" t="n">
        <v>37588.0</v>
      </c>
      <c r="T53" s="3" t="n">
        <v>35582.0</v>
      </c>
      <c r="U53" s="3" t="n">
        <v>34211.0</v>
      </c>
      <c r="V53" s="3" t="n">
        <v>32684.0</v>
      </c>
      <c r="W53" s="3" t="n">
        <v>30581.0</v>
      </c>
      <c r="X53" s="3" t="n">
        <v>29124.0</v>
      </c>
      <c r="Y53" s="3" t="n">
        <v>28657.0</v>
      </c>
      <c r="Z53" s="3" t="n">
        <v>27889.0</v>
      </c>
      <c r="AA53" s="3" t="n">
        <v>26705.0</v>
      </c>
      <c r="AB53" s="3" t="n">
        <v>26082.0</v>
      </c>
      <c r="AC53" s="3" t="n">
        <v>26846.0</v>
      </c>
      <c r="AD53" s="3" t="n">
        <v>27765.0</v>
      </c>
      <c r="AE53" s="3" t="n">
        <v>29138.0</v>
      </c>
      <c r="AF53" s="3" t="n">
        <v>30803.0</v>
      </c>
      <c r="AG53" s="3" t="n">
        <v>33329.0</v>
      </c>
      <c r="AH53" s="3" t="n">
        <v>33646.0</v>
      </c>
      <c r="AI53" s="3" t="n">
        <v>33565.0</v>
      </c>
      <c r="AJ53" s="3" t="n">
        <v>31823.0</v>
      </c>
      <c r="AK53" s="3" t="n">
        <v>31714.0</v>
      </c>
      <c r="AL53" s="3" t="n">
        <v>30336.0</v>
      </c>
      <c r="AM53" s="3" t="n">
        <v>31528.0</v>
      </c>
      <c r="AN53" s="3" t="n">
        <v>31088.0</v>
      </c>
      <c r="AO53" s="3" t="n">
        <v>32094.0</v>
      </c>
    </row>
    <row r="54" spans="1:41" x14ac:dyDescent="0.2">
      <c r="A54" s="125"/>
      <c r="B54" s="9">
        <v>45</v>
      </c>
      <c r="C54" s="3" t="n">
        <v>47282.0</v>
      </c>
      <c r="D54" s="3" t="n">
        <v>47753.0</v>
      </c>
      <c r="E54" s="3" t="n">
        <v>49072.0</v>
      </c>
      <c r="F54" s="3" t="n">
        <v>50354.0</v>
      </c>
      <c r="G54" s="3" t="n">
        <v>49766.0</v>
      </c>
      <c r="H54" s="3" t="n">
        <v>51068.0</v>
      </c>
      <c r="I54" s="3" t="n">
        <v>53820.0</v>
      </c>
      <c r="J54" s="3" t="n">
        <v>52090.0</v>
      </c>
      <c r="K54" s="3" t="n">
        <v>50488.0</v>
      </c>
      <c r="L54" s="3" t="n">
        <v>46884.0</v>
      </c>
      <c r="M54" s="3" t="n">
        <v>45259.0</v>
      </c>
      <c r="N54" s="3" t="n">
        <v>44097.0</v>
      </c>
      <c r="O54" s="3" t="n">
        <v>43395.0</v>
      </c>
      <c r="P54" s="3" t="n">
        <v>43131.0</v>
      </c>
      <c r="Q54" s="3" t="n">
        <v>42132.0</v>
      </c>
      <c r="R54" s="3" t="n">
        <v>39438.0</v>
      </c>
      <c r="S54" s="3" t="n">
        <v>38499.0</v>
      </c>
      <c r="T54" s="3" t="n">
        <v>37489.0</v>
      </c>
      <c r="U54" s="3" t="n">
        <v>35493.0</v>
      </c>
      <c r="V54" s="3" t="n">
        <v>34125.0</v>
      </c>
      <c r="W54" s="3" t="n">
        <v>32612.0</v>
      </c>
      <c r="X54" s="3" t="n">
        <v>30514.0</v>
      </c>
      <c r="Y54" s="3" t="n">
        <v>29073.0</v>
      </c>
      <c r="Z54" s="3" t="n">
        <v>28609.0</v>
      </c>
      <c r="AA54" s="3" t="n">
        <v>27842.0</v>
      </c>
      <c r="AB54" s="3" t="n">
        <v>26667.0</v>
      </c>
      <c r="AC54" s="3" t="n">
        <v>26041.0</v>
      </c>
      <c r="AD54" s="3" t="n">
        <v>26810.0</v>
      </c>
      <c r="AE54" s="3" t="n">
        <v>27727.0</v>
      </c>
      <c r="AF54" s="3" t="n">
        <v>29087.0</v>
      </c>
      <c r="AG54" s="3" t="n">
        <v>30751.0</v>
      </c>
      <c r="AH54" s="3" t="n">
        <v>33280.0</v>
      </c>
      <c r="AI54" s="3" t="n">
        <v>33599.0</v>
      </c>
      <c r="AJ54" s="3" t="n">
        <v>33511.0</v>
      </c>
      <c r="AK54" s="3" t="n">
        <v>31777.0</v>
      </c>
      <c r="AL54" s="3" t="n">
        <v>31664.0</v>
      </c>
      <c r="AM54" s="3" t="n">
        <v>30291.0</v>
      </c>
      <c r="AN54" s="3" t="n">
        <v>31472.0</v>
      </c>
      <c r="AO54" s="3" t="n">
        <v>31034.0</v>
      </c>
    </row>
    <row r="55" spans="1:41" x14ac:dyDescent="0.2">
      <c r="A55" s="125"/>
      <c r="B55" s="9">
        <v>46</v>
      </c>
      <c r="C55" s="3" t="n">
        <v>46795.0</v>
      </c>
      <c r="D55" s="3" t="n">
        <v>47132.0</v>
      </c>
      <c r="E55" s="3" t="n">
        <v>47604.0</v>
      </c>
      <c r="F55" s="3" t="n">
        <v>48921.0</v>
      </c>
      <c r="G55" s="3" t="n">
        <v>50193.0</v>
      </c>
      <c r="H55" s="3" t="n">
        <v>49711.0</v>
      </c>
      <c r="I55" s="3" t="n">
        <v>51056.0</v>
      </c>
      <c r="J55" s="3" t="n">
        <v>53723.0</v>
      </c>
      <c r="K55" s="3" t="n">
        <v>51957.0</v>
      </c>
      <c r="L55" s="3" t="n">
        <v>50352.0</v>
      </c>
      <c r="M55" s="3" t="n">
        <v>46758.0</v>
      </c>
      <c r="N55" s="3" t="n">
        <v>45132.0</v>
      </c>
      <c r="O55" s="3" t="n">
        <v>43972.0</v>
      </c>
      <c r="P55" s="3" t="n">
        <v>43270.0</v>
      </c>
      <c r="Q55" s="3" t="n">
        <v>43005.0</v>
      </c>
      <c r="R55" s="3" t="n">
        <v>42014.0</v>
      </c>
      <c r="S55" s="3" t="n">
        <v>39328.0</v>
      </c>
      <c r="T55" s="3" t="n">
        <v>38388.0</v>
      </c>
      <c r="U55" s="3" t="n">
        <v>37381.0</v>
      </c>
      <c r="V55" s="3" t="n">
        <v>35401.0</v>
      </c>
      <c r="W55" s="3" t="n">
        <v>34041.0</v>
      </c>
      <c r="X55" s="3" t="n">
        <v>32538.0</v>
      </c>
      <c r="Y55" s="3" t="n">
        <v>30448.0</v>
      </c>
      <c r="Z55" s="3" t="n">
        <v>29018.0</v>
      </c>
      <c r="AA55" s="3" t="n">
        <v>28555.0</v>
      </c>
      <c r="AB55" s="3" t="n">
        <v>27799.0</v>
      </c>
      <c r="AC55" s="3" t="n">
        <v>26634.0</v>
      </c>
      <c r="AD55" s="3" t="n">
        <v>26007.0</v>
      </c>
      <c r="AE55" s="3" t="n">
        <v>26772.0</v>
      </c>
      <c r="AF55" s="3" t="n">
        <v>27690.0</v>
      </c>
      <c r="AG55" s="3" t="n">
        <v>29042.0</v>
      </c>
      <c r="AH55" s="3" t="n">
        <v>30697.0</v>
      </c>
      <c r="AI55" s="3" t="n">
        <v>33220.0</v>
      </c>
      <c r="AJ55" s="3" t="n">
        <v>33533.0</v>
      </c>
      <c r="AK55" s="3" t="n">
        <v>33447.0</v>
      </c>
      <c r="AL55" s="3" t="n">
        <v>31720.0</v>
      </c>
      <c r="AM55" s="3" t="n">
        <v>31616.0</v>
      </c>
      <c r="AN55" s="3" t="n">
        <v>30247.0</v>
      </c>
      <c r="AO55" s="3" t="n">
        <v>31424.0</v>
      </c>
    </row>
    <row r="56" spans="1:41" x14ac:dyDescent="0.2">
      <c r="A56" s="125"/>
      <c r="B56" s="9">
        <v>47</v>
      </c>
      <c r="C56" s="3" t="n">
        <v>45314.0</v>
      </c>
      <c r="D56" s="3" t="n">
        <v>46624.0</v>
      </c>
      <c r="E56" s="3" t="n">
        <v>46965.0</v>
      </c>
      <c r="F56" s="3" t="n">
        <v>47442.0</v>
      </c>
      <c r="G56" s="3" t="n">
        <v>48763.0</v>
      </c>
      <c r="H56" s="3" t="n">
        <v>50139.0</v>
      </c>
      <c r="I56" s="3" t="n">
        <v>49695.0</v>
      </c>
      <c r="J56" s="3" t="n">
        <v>50961.0</v>
      </c>
      <c r="K56" s="3" t="n">
        <v>53574.0</v>
      </c>
      <c r="L56" s="3" t="n">
        <v>51795.0</v>
      </c>
      <c r="M56" s="3" t="n">
        <v>50196.0</v>
      </c>
      <c r="N56" s="3" t="n">
        <v>46629.0</v>
      </c>
      <c r="O56" s="3" t="n">
        <v>45005.0</v>
      </c>
      <c r="P56" s="3" t="n">
        <v>43846.0</v>
      </c>
      <c r="Q56" s="3" t="n">
        <v>43148.0</v>
      </c>
      <c r="R56" s="3" t="n">
        <v>42881.0</v>
      </c>
      <c r="S56" s="3" t="n">
        <v>41901.0</v>
      </c>
      <c r="T56" s="3" t="n">
        <v>39219.0</v>
      </c>
      <c r="U56" s="3" t="n">
        <v>38275.0</v>
      </c>
      <c r="V56" s="3" t="n">
        <v>37271.0</v>
      </c>
      <c r="W56" s="3" t="n">
        <v>35299.0</v>
      </c>
      <c r="X56" s="3" t="n">
        <v>33951.0</v>
      </c>
      <c r="Y56" s="3" t="n">
        <v>32454.0</v>
      </c>
      <c r="Z56" s="3" t="n">
        <v>30374.0</v>
      </c>
      <c r="AA56" s="3" t="n">
        <v>28954.0</v>
      </c>
      <c r="AB56" s="3" t="n">
        <v>28493.0</v>
      </c>
      <c r="AC56" s="3" t="n">
        <v>27739.0</v>
      </c>
      <c r="AD56" s="3" t="n">
        <v>26586.0</v>
      </c>
      <c r="AE56" s="3" t="n">
        <v>25961.0</v>
      </c>
      <c r="AF56" s="3" t="n">
        <v>26719.0</v>
      </c>
      <c r="AG56" s="3" t="n">
        <v>27638.0</v>
      </c>
      <c r="AH56" s="3" t="n">
        <v>28988.0</v>
      </c>
      <c r="AI56" s="3" t="n">
        <v>30635.0</v>
      </c>
      <c r="AJ56" s="3" t="n">
        <v>33153.0</v>
      </c>
      <c r="AK56" s="3" t="n">
        <v>33462.0</v>
      </c>
      <c r="AL56" s="3" t="n">
        <v>33380.0</v>
      </c>
      <c r="AM56" s="3" t="n">
        <v>31661.0</v>
      </c>
      <c r="AN56" s="3" t="n">
        <v>31558.0</v>
      </c>
      <c r="AO56" s="3" t="n">
        <v>30197.0</v>
      </c>
    </row>
    <row r="57" spans="1:41" x14ac:dyDescent="0.2">
      <c r="A57" s="125"/>
      <c r="B57" s="9">
        <v>48</v>
      </c>
      <c r="C57" s="3" t="n">
        <v>42739.0</v>
      </c>
      <c r="D57" s="3" t="n">
        <v>45147.0</v>
      </c>
      <c r="E57" s="3" t="n">
        <v>46447.0</v>
      </c>
      <c r="F57" s="3" t="n">
        <v>46794.0</v>
      </c>
      <c r="G57" s="3" t="n">
        <v>47274.0</v>
      </c>
      <c r="H57" s="3" t="n">
        <v>48695.0</v>
      </c>
      <c r="I57" s="3" t="n">
        <v>50106.0</v>
      </c>
      <c r="J57" s="3" t="n">
        <v>49581.0</v>
      </c>
      <c r="K57" s="3" t="n">
        <v>50808.0</v>
      </c>
      <c r="L57" s="3" t="n">
        <v>53395.0</v>
      </c>
      <c r="M57" s="3" t="n">
        <v>51616.0</v>
      </c>
      <c r="N57" s="3" t="n">
        <v>50023.0</v>
      </c>
      <c r="O57" s="3" t="n">
        <v>46468.0</v>
      </c>
      <c r="P57" s="3" t="n">
        <v>44859.0</v>
      </c>
      <c r="Q57" s="3" t="n">
        <v>43712.0</v>
      </c>
      <c r="R57" s="3" t="n">
        <v>43014.0</v>
      </c>
      <c r="S57" s="3" t="n">
        <v>42751.0</v>
      </c>
      <c r="T57" s="3" t="n">
        <v>41775.0</v>
      </c>
      <c r="U57" s="3" t="n">
        <v>39107.0</v>
      </c>
      <c r="V57" s="3" t="n">
        <v>38156.0</v>
      </c>
      <c r="W57" s="3" t="n">
        <v>37151.0</v>
      </c>
      <c r="X57" s="3" t="n">
        <v>35193.0</v>
      </c>
      <c r="Y57" s="3" t="n">
        <v>33854.0</v>
      </c>
      <c r="Z57" s="3" t="n">
        <v>32375.0</v>
      </c>
      <c r="AA57" s="3" t="n">
        <v>30301.0</v>
      </c>
      <c r="AB57" s="3" t="n">
        <v>28889.0</v>
      </c>
      <c r="AC57" s="3" t="n">
        <v>28430.0</v>
      </c>
      <c r="AD57" s="3" t="n">
        <v>27677.0</v>
      </c>
      <c r="AE57" s="3" t="n">
        <v>26535.0</v>
      </c>
      <c r="AF57" s="3" t="n">
        <v>25911.0</v>
      </c>
      <c r="AG57" s="3" t="n">
        <v>26669.0</v>
      </c>
      <c r="AH57" s="3" t="n">
        <v>27582.0</v>
      </c>
      <c r="AI57" s="3" t="n">
        <v>28931.0</v>
      </c>
      <c r="AJ57" s="3" t="n">
        <v>30575.0</v>
      </c>
      <c r="AK57" s="3" t="n">
        <v>33083.0</v>
      </c>
      <c r="AL57" s="3" t="n">
        <v>33391.0</v>
      </c>
      <c r="AM57" s="3" t="n">
        <v>33308.0</v>
      </c>
      <c r="AN57" s="3" t="n">
        <v>31595.0</v>
      </c>
      <c r="AO57" s="3" t="n">
        <v>31495.0</v>
      </c>
    </row>
    <row r="58" spans="1:41" x14ac:dyDescent="0.2">
      <c r="A58" s="125"/>
      <c r="B58" s="9">
        <v>49</v>
      </c>
      <c r="C58" s="3" t="n">
        <v>40519.0</v>
      </c>
      <c r="D58" s="3" t="n">
        <v>42572.0</v>
      </c>
      <c r="E58" s="3" t="n">
        <v>44970.0</v>
      </c>
      <c r="F58" s="3" t="n">
        <v>46263.0</v>
      </c>
      <c r="G58" s="3" t="n">
        <v>46612.0</v>
      </c>
      <c r="H58" s="3" t="n">
        <v>47190.0</v>
      </c>
      <c r="I58" s="3" t="n">
        <v>48653.0</v>
      </c>
      <c r="J58" s="3" t="n">
        <v>49972.0</v>
      </c>
      <c r="K58" s="3" t="n">
        <v>49418.0</v>
      </c>
      <c r="L58" s="3" t="n">
        <v>50618.0</v>
      </c>
      <c r="M58" s="3" t="n">
        <v>53184.0</v>
      </c>
      <c r="N58" s="3" t="n">
        <v>51420.0</v>
      </c>
      <c r="O58" s="3" t="n">
        <v>49834.0</v>
      </c>
      <c r="P58" s="3" t="n">
        <v>46296.0</v>
      </c>
      <c r="Q58" s="3" t="n">
        <v>44690.0</v>
      </c>
      <c r="R58" s="3" t="n">
        <v>43555.0</v>
      </c>
      <c r="S58" s="3" t="n">
        <v>42849.0</v>
      </c>
      <c r="T58" s="3" t="n">
        <v>42593.0</v>
      </c>
      <c r="U58" s="3" t="n">
        <v>41624.0</v>
      </c>
      <c r="V58" s="3" t="n">
        <v>38968.0</v>
      </c>
      <c r="W58" s="3" t="n">
        <v>38021.0</v>
      </c>
      <c r="X58" s="3" t="n">
        <v>37016.0</v>
      </c>
      <c r="Y58" s="3" t="n">
        <v>35062.0</v>
      </c>
      <c r="Z58" s="3" t="n">
        <v>33733.0</v>
      </c>
      <c r="AA58" s="3" t="n">
        <v>32266.0</v>
      </c>
      <c r="AB58" s="3" t="n">
        <v>30209.0</v>
      </c>
      <c r="AC58" s="3" t="n">
        <v>28806.0</v>
      </c>
      <c r="AD58" s="3" t="n">
        <v>28349.0</v>
      </c>
      <c r="AE58" s="3" t="n">
        <v>27599.0</v>
      </c>
      <c r="AF58" s="3" t="n">
        <v>26462.0</v>
      </c>
      <c r="AG58" s="3" t="n">
        <v>25845.0</v>
      </c>
      <c r="AH58" s="3" t="n">
        <v>26602.0</v>
      </c>
      <c r="AI58" s="3" t="n">
        <v>27508.0</v>
      </c>
      <c r="AJ58" s="3" t="n">
        <v>28863.0</v>
      </c>
      <c r="AK58" s="3" t="n">
        <v>30499.0</v>
      </c>
      <c r="AL58" s="3" t="n">
        <v>33000.0</v>
      </c>
      <c r="AM58" s="3" t="n">
        <v>33309.0</v>
      </c>
      <c r="AN58" s="3" t="n">
        <v>33225.0</v>
      </c>
      <c r="AO58" s="3" t="n">
        <v>31511.0</v>
      </c>
    </row>
    <row r="59" spans="1:41" x14ac:dyDescent="0.2">
      <c r="A59" s="125"/>
      <c r="B59" s="9">
        <v>50</v>
      </c>
      <c r="C59" s="3" t="n">
        <v>38327.0</v>
      </c>
      <c r="D59" s="3" t="n">
        <v>40338.0</v>
      </c>
      <c r="E59" s="3" t="n">
        <v>42393.0</v>
      </c>
      <c r="F59" s="3" t="n">
        <v>44779.0</v>
      </c>
      <c r="G59" s="3" t="n">
        <v>46067.0</v>
      </c>
      <c r="H59" s="3" t="n">
        <v>46499.0</v>
      </c>
      <c r="I59" s="3" t="n">
        <v>47119.0</v>
      </c>
      <c r="J59" s="3" t="n">
        <v>48501.0</v>
      </c>
      <c r="K59" s="3" t="n">
        <v>49776.0</v>
      </c>
      <c r="L59" s="3" t="n">
        <v>49219.0</v>
      </c>
      <c r="M59" s="3" t="n">
        <v>50405.0</v>
      </c>
      <c r="N59" s="3" t="n">
        <v>52956.0</v>
      </c>
      <c r="O59" s="3" t="n">
        <v>51198.0</v>
      </c>
      <c r="P59" s="3" t="n">
        <v>49625.0</v>
      </c>
      <c r="Q59" s="3" t="n">
        <v>46102.0</v>
      </c>
      <c r="R59" s="3" t="n">
        <v>44513.0</v>
      </c>
      <c r="S59" s="3" t="n">
        <v>43383.0</v>
      </c>
      <c r="T59" s="3" t="n">
        <v>42676.0</v>
      </c>
      <c r="U59" s="3" t="n">
        <v>42418.0</v>
      </c>
      <c r="V59" s="3" t="n">
        <v>41459.0</v>
      </c>
      <c r="W59" s="3" t="n">
        <v>38820.0</v>
      </c>
      <c r="X59" s="3" t="n">
        <v>37877.0</v>
      </c>
      <c r="Y59" s="3" t="n">
        <v>36875.0</v>
      </c>
      <c r="Z59" s="3" t="n">
        <v>34925.0</v>
      </c>
      <c r="AA59" s="3" t="n">
        <v>33607.0</v>
      </c>
      <c r="AB59" s="3" t="n">
        <v>32147.0</v>
      </c>
      <c r="AC59" s="3" t="n">
        <v>30104.0</v>
      </c>
      <c r="AD59" s="3" t="n">
        <v>28710.0</v>
      </c>
      <c r="AE59" s="3" t="n">
        <v>28257.0</v>
      </c>
      <c r="AF59" s="3" t="n">
        <v>27512.0</v>
      </c>
      <c r="AG59" s="3" t="n">
        <v>26389.0</v>
      </c>
      <c r="AH59" s="3" t="n">
        <v>25772.0</v>
      </c>
      <c r="AI59" s="3" t="n">
        <v>26522.0</v>
      </c>
      <c r="AJ59" s="3" t="n">
        <v>27430.0</v>
      </c>
      <c r="AK59" s="3" t="n">
        <v>28773.0</v>
      </c>
      <c r="AL59" s="3" t="n">
        <v>30410.0</v>
      </c>
      <c r="AM59" s="3" t="n">
        <v>32904.0</v>
      </c>
      <c r="AN59" s="3" t="n">
        <v>33212.0</v>
      </c>
      <c r="AO59" s="3" t="n">
        <v>33131.0</v>
      </c>
    </row>
    <row r="60" spans="1:41" x14ac:dyDescent="0.2">
      <c r="A60" s="125"/>
      <c r="B60" s="9">
        <v>51</v>
      </c>
      <c r="C60" s="3" t="n">
        <v>36369.0</v>
      </c>
      <c r="D60" s="3" t="n">
        <v>38148.0</v>
      </c>
      <c r="E60" s="3" t="n">
        <v>40156.0</v>
      </c>
      <c r="F60" s="3" t="n">
        <v>42202.0</v>
      </c>
      <c r="G60" s="3" t="n">
        <v>44574.0</v>
      </c>
      <c r="H60" s="3" t="n">
        <v>45934.0</v>
      </c>
      <c r="I60" s="3" t="n">
        <v>46392.0</v>
      </c>
      <c r="J60" s="3" t="n">
        <v>46957.0</v>
      </c>
      <c r="K60" s="3" t="n">
        <v>48303.0</v>
      </c>
      <c r="L60" s="3" t="n">
        <v>49565.0</v>
      </c>
      <c r="M60" s="3" t="n">
        <v>48999.0</v>
      </c>
      <c r="N60" s="3" t="n">
        <v>50188.0</v>
      </c>
      <c r="O60" s="3" t="n">
        <v>52722.0</v>
      </c>
      <c r="P60" s="3" t="n">
        <v>50973.0</v>
      </c>
      <c r="Q60" s="3" t="n">
        <v>49412.0</v>
      </c>
      <c r="R60" s="3" t="n">
        <v>45899.0</v>
      </c>
      <c r="S60" s="3" t="n">
        <v>44324.0</v>
      </c>
      <c r="T60" s="3" t="n">
        <v>43196.0</v>
      </c>
      <c r="U60" s="3" t="n">
        <v>42494.0</v>
      </c>
      <c r="V60" s="3" t="n">
        <v>42242.0</v>
      </c>
      <c r="W60" s="3" t="n">
        <v>41294.0</v>
      </c>
      <c r="X60" s="3" t="n">
        <v>38667.0</v>
      </c>
      <c r="Y60" s="3" t="n">
        <v>37725.0</v>
      </c>
      <c r="Z60" s="3" t="n">
        <v>36725.0</v>
      </c>
      <c r="AA60" s="3" t="n">
        <v>34779.0</v>
      </c>
      <c r="AB60" s="3" t="n">
        <v>33465.0</v>
      </c>
      <c r="AC60" s="3" t="n">
        <v>32019.0</v>
      </c>
      <c r="AD60" s="3" t="n">
        <v>29995.0</v>
      </c>
      <c r="AE60" s="3" t="n">
        <v>28611.0</v>
      </c>
      <c r="AF60" s="3" t="n">
        <v>28175.0</v>
      </c>
      <c r="AG60" s="3" t="n">
        <v>27422.0</v>
      </c>
      <c r="AH60" s="3" t="n">
        <v>26311.0</v>
      </c>
      <c r="AI60" s="3" t="n">
        <v>25697.0</v>
      </c>
      <c r="AJ60" s="3" t="n">
        <v>26447.0</v>
      </c>
      <c r="AK60" s="3" t="n">
        <v>27350.0</v>
      </c>
      <c r="AL60" s="3" t="n">
        <v>28689.0</v>
      </c>
      <c r="AM60" s="3" t="n">
        <v>30309.0</v>
      </c>
      <c r="AN60" s="3" t="n">
        <v>32792.0</v>
      </c>
      <c r="AO60" s="3" t="n">
        <v>33103.0</v>
      </c>
    </row>
    <row r="61" spans="1:41" x14ac:dyDescent="0.2">
      <c r="A61" s="125"/>
      <c r="B61" s="9">
        <v>52</v>
      </c>
      <c r="C61" s="3" t="n">
        <v>34194.0</v>
      </c>
      <c r="D61" s="3" t="n">
        <v>36174.0</v>
      </c>
      <c r="E61" s="3" t="n">
        <v>37943.0</v>
      </c>
      <c r="F61" s="3" t="n">
        <v>39942.0</v>
      </c>
      <c r="G61" s="3" t="n">
        <v>41994.0</v>
      </c>
      <c r="H61" s="3" t="n">
        <v>44430.0</v>
      </c>
      <c r="I61" s="3" t="n">
        <v>45803.0</v>
      </c>
      <c r="J61" s="3" t="n">
        <v>46204.0</v>
      </c>
      <c r="K61" s="3" t="n">
        <v>46737.0</v>
      </c>
      <c r="L61" s="3" t="n">
        <v>48060.0</v>
      </c>
      <c r="M61" s="3" t="n">
        <v>49318.0</v>
      </c>
      <c r="N61" s="3" t="n">
        <v>48748.0</v>
      </c>
      <c r="O61" s="3" t="n">
        <v>49933.0</v>
      </c>
      <c r="P61" s="3" t="n">
        <v>52456.0</v>
      </c>
      <c r="Q61" s="3" t="n">
        <v>50717.0</v>
      </c>
      <c r="R61" s="3" t="n">
        <v>49171.0</v>
      </c>
      <c r="S61" s="3" t="n">
        <v>45687.0</v>
      </c>
      <c r="T61" s="3" t="n">
        <v>44117.0</v>
      </c>
      <c r="U61" s="3" t="n">
        <v>43000.0</v>
      </c>
      <c r="V61" s="3" t="n">
        <v>42303.0</v>
      </c>
      <c r="W61" s="3" t="n">
        <v>42054.0</v>
      </c>
      <c r="X61" s="3" t="n">
        <v>41107.0</v>
      </c>
      <c r="Y61" s="3" t="n">
        <v>38490.0</v>
      </c>
      <c r="Z61" s="3" t="n">
        <v>37550.0</v>
      </c>
      <c r="AA61" s="3" t="n">
        <v>36557.0</v>
      </c>
      <c r="AB61" s="3" t="n">
        <v>34614.0</v>
      </c>
      <c r="AC61" s="3" t="n">
        <v>33312.0</v>
      </c>
      <c r="AD61" s="3" t="n">
        <v>31873.0</v>
      </c>
      <c r="AE61" s="3" t="n">
        <v>29862.0</v>
      </c>
      <c r="AF61" s="3" t="n">
        <v>28485.0</v>
      </c>
      <c r="AG61" s="3" t="n">
        <v>28061.0</v>
      </c>
      <c r="AH61" s="3" t="n">
        <v>27307.0</v>
      </c>
      <c r="AI61" s="3" t="n">
        <v>26207.0</v>
      </c>
      <c r="AJ61" s="3" t="n">
        <v>25595.0</v>
      </c>
      <c r="AK61" s="3" t="n">
        <v>26344.0</v>
      </c>
      <c r="AL61" s="3" t="n">
        <v>27241.0</v>
      </c>
      <c r="AM61" s="3" t="n">
        <v>28582.0</v>
      </c>
      <c r="AN61" s="3" t="n">
        <v>30190.0</v>
      </c>
      <c r="AO61" s="3" t="n">
        <v>32664.0</v>
      </c>
    </row>
    <row r="62" spans="1:41" x14ac:dyDescent="0.2">
      <c r="A62" s="125"/>
      <c r="B62" s="9">
        <v>53</v>
      </c>
      <c r="C62" s="3" t="n">
        <v>32637.0</v>
      </c>
      <c r="D62" s="3" t="n">
        <v>34003.0</v>
      </c>
      <c r="E62" s="3" t="n">
        <v>35977.0</v>
      </c>
      <c r="F62" s="3" t="n">
        <v>37727.0</v>
      </c>
      <c r="G62" s="3" t="n">
        <v>39720.0</v>
      </c>
      <c r="H62" s="3" t="n">
        <v>41835.0</v>
      </c>
      <c r="I62" s="3" t="n">
        <v>44284.0</v>
      </c>
      <c r="J62" s="3" t="n">
        <v>45602.0</v>
      </c>
      <c r="K62" s="3" t="n">
        <v>45971.0</v>
      </c>
      <c r="L62" s="3" t="n">
        <v>46491.0</v>
      </c>
      <c r="M62" s="3" t="n">
        <v>47797.0</v>
      </c>
      <c r="N62" s="3" t="n">
        <v>49043.0</v>
      </c>
      <c r="O62" s="3" t="n">
        <v>48476.0</v>
      </c>
      <c r="P62" s="3" t="n">
        <v>49664.0</v>
      </c>
      <c r="Q62" s="3" t="n">
        <v>52176.0</v>
      </c>
      <c r="R62" s="3" t="n">
        <v>50444.0</v>
      </c>
      <c r="S62" s="3" t="n">
        <v>48917.0</v>
      </c>
      <c r="T62" s="3" t="n">
        <v>45457.0</v>
      </c>
      <c r="U62" s="3" t="n">
        <v>43891.0</v>
      </c>
      <c r="V62" s="3" t="n">
        <v>42784.0</v>
      </c>
      <c r="W62" s="3" t="n">
        <v>42091.0</v>
      </c>
      <c r="X62" s="3" t="n">
        <v>41839.0</v>
      </c>
      <c r="Y62" s="3" t="n">
        <v>40900.0</v>
      </c>
      <c r="Z62" s="3" t="n">
        <v>38298.0</v>
      </c>
      <c r="AA62" s="3" t="n">
        <v>37364.0</v>
      </c>
      <c r="AB62" s="3" t="n">
        <v>36380.0</v>
      </c>
      <c r="AC62" s="3" t="n">
        <v>34448.0</v>
      </c>
      <c r="AD62" s="3" t="n">
        <v>33155.0</v>
      </c>
      <c r="AE62" s="3" t="n">
        <v>31730.0</v>
      </c>
      <c r="AF62" s="3" t="n">
        <v>29728.0</v>
      </c>
      <c r="AG62" s="3" t="n">
        <v>28360.0</v>
      </c>
      <c r="AH62" s="3" t="n">
        <v>27940.0</v>
      </c>
      <c r="AI62" s="3" t="n">
        <v>27197.0</v>
      </c>
      <c r="AJ62" s="3" t="n">
        <v>26107.0</v>
      </c>
      <c r="AK62" s="3" t="n">
        <v>25499.0</v>
      </c>
      <c r="AL62" s="3" t="n">
        <v>26240.0</v>
      </c>
      <c r="AM62" s="3" t="n">
        <v>27137.0</v>
      </c>
      <c r="AN62" s="3" t="n">
        <v>28472.0</v>
      </c>
      <c r="AO62" s="3" t="n">
        <v>30073.0</v>
      </c>
    </row>
    <row r="63" spans="1:41" x14ac:dyDescent="0.2">
      <c r="A63" s="125"/>
      <c r="B63" s="9">
        <v>54</v>
      </c>
      <c r="C63" s="3" t="n">
        <v>31127.0</v>
      </c>
      <c r="D63" s="3" t="n">
        <v>32446.0</v>
      </c>
      <c r="E63" s="3" t="n">
        <v>33803.0</v>
      </c>
      <c r="F63" s="3" t="n">
        <v>35763.0</v>
      </c>
      <c r="G63" s="3" t="n">
        <v>37500.0</v>
      </c>
      <c r="H63" s="3" t="n">
        <v>39565.0</v>
      </c>
      <c r="I63" s="3" t="n">
        <v>41695.0</v>
      </c>
      <c r="J63" s="3" t="n">
        <v>44078.0</v>
      </c>
      <c r="K63" s="3" t="n">
        <v>45362.0</v>
      </c>
      <c r="L63" s="3" t="n">
        <v>45717.0</v>
      </c>
      <c r="M63" s="3" t="n">
        <v>46238.0</v>
      </c>
      <c r="N63" s="3" t="n">
        <v>47528.0</v>
      </c>
      <c r="O63" s="3" t="n">
        <v>48763.0</v>
      </c>
      <c r="P63" s="3" t="n">
        <v>48195.0</v>
      </c>
      <c r="Q63" s="3" t="n">
        <v>49375.0</v>
      </c>
      <c r="R63" s="3" t="n">
        <v>51880.0</v>
      </c>
      <c r="S63" s="3" t="n">
        <v>50155.0</v>
      </c>
      <c r="T63" s="3" t="n">
        <v>48647.0</v>
      </c>
      <c r="U63" s="3" t="n">
        <v>45209.0</v>
      </c>
      <c r="V63" s="3" t="n">
        <v>43651.0</v>
      </c>
      <c r="W63" s="3" t="n">
        <v>42556.0</v>
      </c>
      <c r="X63" s="3" t="n">
        <v>41872.0</v>
      </c>
      <c r="Y63" s="3" t="n">
        <v>41619.0</v>
      </c>
      <c r="Z63" s="3" t="n">
        <v>40689.0</v>
      </c>
      <c r="AA63" s="3" t="n">
        <v>38101.0</v>
      </c>
      <c r="AB63" s="3" t="n">
        <v>37172.0</v>
      </c>
      <c r="AC63" s="3" t="n">
        <v>36187.0</v>
      </c>
      <c r="AD63" s="3" t="n">
        <v>34259.0</v>
      </c>
      <c r="AE63" s="3" t="n">
        <v>32980.0</v>
      </c>
      <c r="AF63" s="3" t="n">
        <v>31567.0</v>
      </c>
      <c r="AG63" s="3" t="n">
        <v>29587.0</v>
      </c>
      <c r="AH63" s="3" t="n">
        <v>28221.0</v>
      </c>
      <c r="AI63" s="3" t="n">
        <v>27808.0</v>
      </c>
      <c r="AJ63" s="3" t="n">
        <v>27077.0</v>
      </c>
      <c r="AK63" s="3" t="n">
        <v>25993.0</v>
      </c>
      <c r="AL63" s="3" t="n">
        <v>25389.0</v>
      </c>
      <c r="AM63" s="3" t="n">
        <v>26127.0</v>
      </c>
      <c r="AN63" s="3" t="n">
        <v>27022.0</v>
      </c>
      <c r="AO63" s="3" t="n">
        <v>28351.0</v>
      </c>
    </row>
    <row r="64" spans="1:41" x14ac:dyDescent="0.2">
      <c r="A64" s="125"/>
      <c r="B64" s="9">
        <v>55</v>
      </c>
      <c r="C64" s="3" t="n">
        <v>30515.0</v>
      </c>
      <c r="D64" s="3" t="n">
        <v>30934.0</v>
      </c>
      <c r="E64" s="3" t="n">
        <v>32246.0</v>
      </c>
      <c r="F64" s="3" t="n">
        <v>33592.0</v>
      </c>
      <c r="G64" s="3" t="n">
        <v>35539.0</v>
      </c>
      <c r="H64" s="3" t="n">
        <v>37320.0</v>
      </c>
      <c r="I64" s="3" t="n">
        <v>39406.0</v>
      </c>
      <c r="J64" s="3" t="n">
        <v>41466.0</v>
      </c>
      <c r="K64" s="3" t="n">
        <v>43812.0</v>
      </c>
      <c r="L64" s="3" t="n">
        <v>45085.0</v>
      </c>
      <c r="M64" s="3" t="n">
        <v>45433.0</v>
      </c>
      <c r="N64" s="3" t="n">
        <v>45956.0</v>
      </c>
      <c r="O64" s="3" t="n">
        <v>47239.0</v>
      </c>
      <c r="P64" s="3" t="n">
        <v>48464.0</v>
      </c>
      <c r="Q64" s="3" t="n">
        <v>47902.0</v>
      </c>
      <c r="R64" s="3" t="n">
        <v>49088.0</v>
      </c>
      <c r="S64" s="3" t="n">
        <v>51580.0</v>
      </c>
      <c r="T64" s="3" t="n">
        <v>49861.0</v>
      </c>
      <c r="U64" s="3" t="n">
        <v>48363.0</v>
      </c>
      <c r="V64" s="3" t="n">
        <v>44954.0</v>
      </c>
      <c r="W64" s="3" t="n">
        <v>43409.0</v>
      </c>
      <c r="X64" s="3" t="n">
        <v>42326.0</v>
      </c>
      <c r="Y64" s="3" t="n">
        <v>41645.0</v>
      </c>
      <c r="Z64" s="3" t="n">
        <v>41383.0</v>
      </c>
      <c r="AA64" s="3" t="n">
        <v>40460.0</v>
      </c>
      <c r="AB64" s="3" t="n">
        <v>37896.0</v>
      </c>
      <c r="AC64" s="3" t="n">
        <v>36984.0</v>
      </c>
      <c r="AD64" s="3" t="n">
        <v>36006.0</v>
      </c>
      <c r="AE64" s="3" t="n">
        <v>34094.0</v>
      </c>
      <c r="AF64" s="3" t="n">
        <v>32819.0</v>
      </c>
      <c r="AG64" s="3" t="n">
        <v>31423.0</v>
      </c>
      <c r="AH64" s="3" t="n">
        <v>29463.0</v>
      </c>
      <c r="AI64" s="3" t="n">
        <v>28105.0</v>
      </c>
      <c r="AJ64" s="3" t="n">
        <v>27691.0</v>
      </c>
      <c r="AK64" s="3" t="n">
        <v>26967.0</v>
      </c>
      <c r="AL64" s="3" t="n">
        <v>25894.0</v>
      </c>
      <c r="AM64" s="3" t="n">
        <v>25295.0</v>
      </c>
      <c r="AN64" s="3" t="n">
        <v>26033.0</v>
      </c>
      <c r="AO64" s="3" t="n">
        <v>26919.0</v>
      </c>
    </row>
    <row r="65" spans="1:41" x14ac:dyDescent="0.2">
      <c r="A65" s="125"/>
      <c r="B65" s="9">
        <v>56</v>
      </c>
      <c r="C65" s="3" t="n">
        <v>31075.0</v>
      </c>
      <c r="D65" s="3" t="n">
        <v>30297.0</v>
      </c>
      <c r="E65" s="3" t="n">
        <v>30721.0</v>
      </c>
      <c r="F65" s="3" t="n">
        <v>32026.0</v>
      </c>
      <c r="G65" s="3" t="n">
        <v>33365.0</v>
      </c>
      <c r="H65" s="3" t="n">
        <v>35349.0</v>
      </c>
      <c r="I65" s="3" t="n">
        <v>37150.0</v>
      </c>
      <c r="J65" s="3" t="n">
        <v>39178.0</v>
      </c>
      <c r="K65" s="3" t="n">
        <v>41201.0</v>
      </c>
      <c r="L65" s="3" t="n">
        <v>43521.0</v>
      </c>
      <c r="M65" s="3" t="n">
        <v>44777.0</v>
      </c>
      <c r="N65" s="3" t="n">
        <v>45125.0</v>
      </c>
      <c r="O65" s="3" t="n">
        <v>45642.0</v>
      </c>
      <c r="P65" s="3" t="n">
        <v>46915.0</v>
      </c>
      <c r="Q65" s="3" t="n">
        <v>48135.0</v>
      </c>
      <c r="R65" s="3" t="n">
        <v>47580.0</v>
      </c>
      <c r="S65" s="3" t="n">
        <v>48771.0</v>
      </c>
      <c r="T65" s="3" t="n">
        <v>51251.0</v>
      </c>
      <c r="U65" s="3" t="n">
        <v>49545.0</v>
      </c>
      <c r="V65" s="3" t="n">
        <v>48058.0</v>
      </c>
      <c r="W65" s="3" t="n">
        <v>44674.0</v>
      </c>
      <c r="X65" s="3" t="n">
        <v>43150.0</v>
      </c>
      <c r="Y65" s="3" t="n">
        <v>42076.0</v>
      </c>
      <c r="Z65" s="3" t="n">
        <v>41397.0</v>
      </c>
      <c r="AA65" s="3" t="n">
        <v>41141.0</v>
      </c>
      <c r="AB65" s="3" t="n">
        <v>40227.0</v>
      </c>
      <c r="AC65" s="3" t="n">
        <v>37683.0</v>
      </c>
      <c r="AD65" s="3" t="n">
        <v>36778.0</v>
      </c>
      <c r="AE65" s="3" t="n">
        <v>35805.0</v>
      </c>
      <c r="AF65" s="3" t="n">
        <v>33908.0</v>
      </c>
      <c r="AG65" s="3" t="n">
        <v>32639.0</v>
      </c>
      <c r="AH65" s="3" t="n">
        <v>31261.0</v>
      </c>
      <c r="AI65" s="3" t="n">
        <v>29310.0</v>
      </c>
      <c r="AJ65" s="3" t="n">
        <v>27966.0</v>
      </c>
      <c r="AK65" s="3" t="n">
        <v>27556.0</v>
      </c>
      <c r="AL65" s="3" t="n">
        <v>26835.0</v>
      </c>
      <c r="AM65" s="3" t="n">
        <v>25772.0</v>
      </c>
      <c r="AN65" s="3" t="n">
        <v>25181.0</v>
      </c>
      <c r="AO65" s="3" t="n">
        <v>25917.0</v>
      </c>
    </row>
    <row r="66" spans="1:41" x14ac:dyDescent="0.2">
      <c r="A66" s="125"/>
      <c r="B66" s="9">
        <v>57</v>
      </c>
      <c r="C66" s="3" t="n">
        <v>31684.0</v>
      </c>
      <c r="D66" s="3" t="n">
        <v>30820.0</v>
      </c>
      <c r="E66" s="3" t="n">
        <v>30052.0</v>
      </c>
      <c r="F66" s="3" t="n">
        <v>30485.0</v>
      </c>
      <c r="G66" s="3" t="n">
        <v>31780.0</v>
      </c>
      <c r="H66" s="3" t="n">
        <v>33160.0</v>
      </c>
      <c r="I66" s="3" t="n">
        <v>35143.0</v>
      </c>
      <c r="J66" s="3" t="n">
        <v>36889.0</v>
      </c>
      <c r="K66" s="3" t="n">
        <v>38885.0</v>
      </c>
      <c r="L66" s="3" t="n">
        <v>40893.0</v>
      </c>
      <c r="M66" s="3" t="n">
        <v>43197.0</v>
      </c>
      <c r="N66" s="3" t="n">
        <v>44437.0</v>
      </c>
      <c r="O66" s="3" t="n">
        <v>44779.0</v>
      </c>
      <c r="P66" s="3" t="n">
        <v>45301.0</v>
      </c>
      <c r="Q66" s="3" t="n">
        <v>46562.0</v>
      </c>
      <c r="R66" s="3" t="n">
        <v>47776.0</v>
      </c>
      <c r="S66" s="3" t="n">
        <v>47228.0</v>
      </c>
      <c r="T66" s="3" t="n">
        <v>48412.0</v>
      </c>
      <c r="U66" s="3" t="n">
        <v>50878.0</v>
      </c>
      <c r="V66" s="3" t="n">
        <v>49185.0</v>
      </c>
      <c r="W66" s="3" t="n">
        <v>47712.0</v>
      </c>
      <c r="X66" s="3" t="n">
        <v>44357.0</v>
      </c>
      <c r="Y66" s="3" t="n">
        <v>42853.0</v>
      </c>
      <c r="Z66" s="3" t="n">
        <v>41784.0</v>
      </c>
      <c r="AA66" s="3" t="n">
        <v>41119.0</v>
      </c>
      <c r="AB66" s="3" t="n">
        <v>40867.0</v>
      </c>
      <c r="AC66" s="3" t="n">
        <v>39967.0</v>
      </c>
      <c r="AD66" s="3" t="n">
        <v>37446.0</v>
      </c>
      <c r="AE66" s="3" t="n">
        <v>36555.0</v>
      </c>
      <c r="AF66" s="3" t="n">
        <v>35578.0</v>
      </c>
      <c r="AG66" s="3" t="n">
        <v>33701.0</v>
      </c>
      <c r="AH66" s="3" t="n">
        <v>32442.0</v>
      </c>
      <c r="AI66" s="3" t="n">
        <v>31078.0</v>
      </c>
      <c r="AJ66" s="3" t="n">
        <v>29146.0</v>
      </c>
      <c r="AK66" s="3" t="n">
        <v>27813.0</v>
      </c>
      <c r="AL66" s="3" t="n">
        <v>27411.0</v>
      </c>
      <c r="AM66" s="3" t="n">
        <v>26690.0</v>
      </c>
      <c r="AN66" s="3" t="n">
        <v>25642.0</v>
      </c>
      <c r="AO66" s="3" t="n">
        <v>25053.0</v>
      </c>
    </row>
    <row r="67" spans="1:41" x14ac:dyDescent="0.2">
      <c r="A67" s="125"/>
      <c r="B67" s="9">
        <v>58</v>
      </c>
      <c r="C67" s="3" t="n">
        <v>32128.0</v>
      </c>
      <c r="D67" s="3" t="n">
        <v>31393.0</v>
      </c>
      <c r="E67" s="3" t="n">
        <v>30543.0</v>
      </c>
      <c r="F67" s="3" t="n">
        <v>29790.0</v>
      </c>
      <c r="G67" s="3" t="n">
        <v>30220.0</v>
      </c>
      <c r="H67" s="3" t="n">
        <v>31574.0</v>
      </c>
      <c r="I67" s="3" t="n">
        <v>32964.0</v>
      </c>
      <c r="J67" s="3" t="n">
        <v>34878.0</v>
      </c>
      <c r="K67" s="3" t="n">
        <v>36592.0</v>
      </c>
      <c r="L67" s="3" t="n">
        <v>38566.0</v>
      </c>
      <c r="M67" s="3" t="n">
        <v>40559.0</v>
      </c>
      <c r="N67" s="3" t="n">
        <v>42839.0</v>
      </c>
      <c r="O67" s="3" t="n">
        <v>44074.0</v>
      </c>
      <c r="P67" s="3" t="n">
        <v>44414.0</v>
      </c>
      <c r="Q67" s="3" t="n">
        <v>44939.0</v>
      </c>
      <c r="R67" s="3" t="n">
        <v>46195.0</v>
      </c>
      <c r="S67" s="3" t="n">
        <v>47404.0</v>
      </c>
      <c r="T67" s="3" t="n">
        <v>46861.0</v>
      </c>
      <c r="U67" s="3" t="n">
        <v>48036.0</v>
      </c>
      <c r="V67" s="3" t="n">
        <v>50485.0</v>
      </c>
      <c r="W67" s="3" t="n">
        <v>48809.0</v>
      </c>
      <c r="X67" s="3" t="n">
        <v>47353.0</v>
      </c>
      <c r="Y67" s="3" t="n">
        <v>44026.0</v>
      </c>
      <c r="Z67" s="3" t="n">
        <v>42534.0</v>
      </c>
      <c r="AA67" s="3" t="n">
        <v>41476.0</v>
      </c>
      <c r="AB67" s="3" t="n">
        <v>40820.0</v>
      </c>
      <c r="AC67" s="3" t="n">
        <v>40573.0</v>
      </c>
      <c r="AD67" s="3" t="n">
        <v>39684.0</v>
      </c>
      <c r="AE67" s="3" t="n">
        <v>37182.0</v>
      </c>
      <c r="AF67" s="3" t="n">
        <v>36293.0</v>
      </c>
      <c r="AG67" s="3" t="n">
        <v>35331.0</v>
      </c>
      <c r="AH67" s="3" t="n">
        <v>33470.0</v>
      </c>
      <c r="AI67" s="3" t="n">
        <v>32224.0</v>
      </c>
      <c r="AJ67" s="3" t="n">
        <v>30871.0</v>
      </c>
      <c r="AK67" s="3" t="n">
        <v>28955.0</v>
      </c>
      <c r="AL67" s="3" t="n">
        <v>27633.0</v>
      </c>
      <c r="AM67" s="3" t="n">
        <v>27242.0</v>
      </c>
      <c r="AN67" s="3" t="n">
        <v>26529.0</v>
      </c>
      <c r="AO67" s="3" t="n">
        <v>25488.0</v>
      </c>
    </row>
    <row r="68" spans="1:41" x14ac:dyDescent="0.2">
      <c r="A68" s="125"/>
      <c r="B68" s="9">
        <v>59</v>
      </c>
      <c r="C68" s="3" t="n">
        <v>32883.0</v>
      </c>
      <c r="D68" s="3" t="n">
        <v>31833.0</v>
      </c>
      <c r="E68" s="3" t="n">
        <v>31105.0</v>
      </c>
      <c r="F68" s="3" t="n">
        <v>30263.0</v>
      </c>
      <c r="G68" s="3" t="n">
        <v>29525.0</v>
      </c>
      <c r="H68" s="3" t="n">
        <v>30009.0</v>
      </c>
      <c r="I68" s="3" t="n">
        <v>31370.0</v>
      </c>
      <c r="J68" s="3" t="n">
        <v>32720.0</v>
      </c>
      <c r="K68" s="3" t="n">
        <v>34591.0</v>
      </c>
      <c r="L68" s="3" t="n">
        <v>36278.0</v>
      </c>
      <c r="M68" s="3" t="n">
        <v>38229.0</v>
      </c>
      <c r="N68" s="3" t="n">
        <v>40210.0</v>
      </c>
      <c r="O68" s="3" t="n">
        <v>42485.0</v>
      </c>
      <c r="P68" s="3" t="n">
        <v>43704.0</v>
      </c>
      <c r="Q68" s="3" t="n">
        <v>44044.0</v>
      </c>
      <c r="R68" s="3" t="n">
        <v>44573.0</v>
      </c>
      <c r="S68" s="3" t="n">
        <v>45815.0</v>
      </c>
      <c r="T68" s="3" t="n">
        <v>47016.0</v>
      </c>
      <c r="U68" s="3" t="n">
        <v>46484.0</v>
      </c>
      <c r="V68" s="3" t="n">
        <v>47650.0</v>
      </c>
      <c r="W68" s="3" t="n">
        <v>50080.0</v>
      </c>
      <c r="X68" s="3" t="n">
        <v>48420.0</v>
      </c>
      <c r="Y68" s="3" t="n">
        <v>46984.0</v>
      </c>
      <c r="Z68" s="3" t="n">
        <v>43677.0</v>
      </c>
      <c r="AA68" s="3" t="n">
        <v>42202.0</v>
      </c>
      <c r="AB68" s="3" t="n">
        <v>41160.0</v>
      </c>
      <c r="AC68" s="3" t="n">
        <v>40514.0</v>
      </c>
      <c r="AD68" s="3" t="n">
        <v>40267.0</v>
      </c>
      <c r="AE68" s="3" t="n">
        <v>39390.0</v>
      </c>
      <c r="AF68" s="3" t="n">
        <v>36914.0</v>
      </c>
      <c r="AG68" s="3" t="n">
        <v>36027.0</v>
      </c>
      <c r="AH68" s="3" t="n">
        <v>35076.0</v>
      </c>
      <c r="AI68" s="3" t="n">
        <v>33227.0</v>
      </c>
      <c r="AJ68" s="3" t="n">
        <v>31997.0</v>
      </c>
      <c r="AK68" s="3" t="n">
        <v>30659.0</v>
      </c>
      <c r="AL68" s="3" t="n">
        <v>28762.0</v>
      </c>
      <c r="AM68" s="3" t="n">
        <v>27459.0</v>
      </c>
      <c r="AN68" s="3" t="n">
        <v>27078.0</v>
      </c>
      <c r="AO68" s="3" t="n">
        <v>26370.0</v>
      </c>
    </row>
    <row r="69" spans="1:41" x14ac:dyDescent="0.2">
      <c r="A69" s="125"/>
      <c r="B69" s="9">
        <v>60</v>
      </c>
      <c r="C69" s="3" t="n">
        <v>33380.0</v>
      </c>
      <c r="D69" s="3" t="n">
        <v>32547.0</v>
      </c>
      <c r="E69" s="3" t="n">
        <v>31510.0</v>
      </c>
      <c r="F69" s="3" t="n">
        <v>30807.0</v>
      </c>
      <c r="G69" s="3" t="n">
        <v>29977.0</v>
      </c>
      <c r="H69" s="3" t="n">
        <v>29312.0</v>
      </c>
      <c r="I69" s="3" t="n">
        <v>29825.0</v>
      </c>
      <c r="J69" s="3" t="n">
        <v>31117.0</v>
      </c>
      <c r="K69" s="3" t="n">
        <v>32432.0</v>
      </c>
      <c r="L69" s="3" t="n">
        <v>34276.0</v>
      </c>
      <c r="M69" s="3" t="n">
        <v>35947.0</v>
      </c>
      <c r="N69" s="3" t="n">
        <v>37871.0</v>
      </c>
      <c r="O69" s="3" t="n">
        <v>39845.0</v>
      </c>
      <c r="P69" s="3" t="n">
        <v>42100.0</v>
      </c>
      <c r="Q69" s="3" t="n">
        <v>43313.0</v>
      </c>
      <c r="R69" s="3" t="n">
        <v>43654.0</v>
      </c>
      <c r="S69" s="3" t="n">
        <v>44178.0</v>
      </c>
      <c r="T69" s="3" t="n">
        <v>45413.0</v>
      </c>
      <c r="U69" s="3" t="n">
        <v>46606.0</v>
      </c>
      <c r="V69" s="3" t="n">
        <v>46088.0</v>
      </c>
      <c r="W69" s="3" t="n">
        <v>47240.0</v>
      </c>
      <c r="X69" s="3" t="n">
        <v>49658.0</v>
      </c>
      <c r="Y69" s="3" t="n">
        <v>48012.0</v>
      </c>
      <c r="Z69" s="3" t="n">
        <v>46593.0</v>
      </c>
      <c r="AA69" s="3" t="n">
        <v>43330.0</v>
      </c>
      <c r="AB69" s="3" t="n">
        <v>41870.0</v>
      </c>
      <c r="AC69" s="3" t="n">
        <v>40837.0</v>
      </c>
      <c r="AD69" s="3" t="n">
        <v>40206.0</v>
      </c>
      <c r="AE69" s="3" t="n">
        <v>39966.0</v>
      </c>
      <c r="AF69" s="3" t="n">
        <v>39099.0</v>
      </c>
      <c r="AG69" s="3" t="n">
        <v>36641.0</v>
      </c>
      <c r="AH69" s="3" t="n">
        <v>35758.0</v>
      </c>
      <c r="AI69" s="3" t="n">
        <v>34823.0</v>
      </c>
      <c r="AJ69" s="3" t="n">
        <v>32986.0</v>
      </c>
      <c r="AK69" s="3" t="n">
        <v>31775.0</v>
      </c>
      <c r="AL69" s="3" t="n">
        <v>30451.0</v>
      </c>
      <c r="AM69" s="3" t="n">
        <v>28569.0</v>
      </c>
      <c r="AN69" s="3" t="n">
        <v>27274.0</v>
      </c>
      <c r="AO69" s="3" t="n">
        <v>26897.0</v>
      </c>
    </row>
    <row r="70" spans="1:41" x14ac:dyDescent="0.2">
      <c r="A70" s="125"/>
      <c r="B70" s="9">
        <v>61</v>
      </c>
      <c r="C70" s="3" t="n">
        <v>35798.0</v>
      </c>
      <c r="D70" s="3" t="n">
        <v>33003.0</v>
      </c>
      <c r="E70" s="3" t="n">
        <v>32184.0</v>
      </c>
      <c r="F70" s="3" t="n">
        <v>31164.0</v>
      </c>
      <c r="G70" s="3" t="n">
        <v>30471.0</v>
      </c>
      <c r="H70" s="3" t="n">
        <v>29724.0</v>
      </c>
      <c r="I70" s="3" t="n">
        <v>29094.0</v>
      </c>
      <c r="J70" s="3" t="n">
        <v>29557.0</v>
      </c>
      <c r="K70" s="3" t="n">
        <v>30817.0</v>
      </c>
      <c r="L70" s="3" t="n">
        <v>32103.0</v>
      </c>
      <c r="M70" s="3" t="n">
        <v>33934.0</v>
      </c>
      <c r="N70" s="3" t="n">
        <v>35585.0</v>
      </c>
      <c r="O70" s="3" t="n">
        <v>37493.0</v>
      </c>
      <c r="P70" s="3" t="n">
        <v>39440.0</v>
      </c>
      <c r="Q70" s="3" t="n">
        <v>41674.0</v>
      </c>
      <c r="R70" s="3" t="n">
        <v>42877.0</v>
      </c>
      <c r="S70" s="3" t="n">
        <v>43223.0</v>
      </c>
      <c r="T70" s="3" t="n">
        <v>43746.0</v>
      </c>
      <c r="U70" s="3" t="n">
        <v>44964.0</v>
      </c>
      <c r="V70" s="3" t="n">
        <v>46152.0</v>
      </c>
      <c r="W70" s="3" t="n">
        <v>45641.0</v>
      </c>
      <c r="X70" s="3" t="n">
        <v>46791.0</v>
      </c>
      <c r="Y70" s="3" t="n">
        <v>49195.0</v>
      </c>
      <c r="Z70" s="3" t="n">
        <v>47564.0</v>
      </c>
      <c r="AA70" s="3" t="n">
        <v>46154.0</v>
      </c>
      <c r="AB70" s="3" t="n">
        <v>42944.0</v>
      </c>
      <c r="AC70" s="3" t="n">
        <v>41495.0</v>
      </c>
      <c r="AD70" s="3" t="n">
        <v>40479.0</v>
      </c>
      <c r="AE70" s="3" t="n">
        <v>39859.0</v>
      </c>
      <c r="AF70" s="3" t="n">
        <v>39623.0</v>
      </c>
      <c r="AG70" s="3" t="n">
        <v>38763.0</v>
      </c>
      <c r="AH70" s="3" t="n">
        <v>36324.0</v>
      </c>
      <c r="AI70" s="3" t="n">
        <v>35452.0</v>
      </c>
      <c r="AJ70" s="3" t="n">
        <v>34523.0</v>
      </c>
      <c r="AK70" s="3" t="n">
        <v>32706.0</v>
      </c>
      <c r="AL70" s="3" t="n">
        <v>31503.0</v>
      </c>
      <c r="AM70" s="3" t="n">
        <v>30199.0</v>
      </c>
      <c r="AN70" s="3" t="n">
        <v>28344.0</v>
      </c>
      <c r="AO70" s="3" t="n">
        <v>27065.0</v>
      </c>
    </row>
    <row r="71" spans="1:41" x14ac:dyDescent="0.2">
      <c r="A71" s="125"/>
      <c r="B71" s="9">
        <v>62</v>
      </c>
      <c r="C71" s="3" t="n">
        <v>37672.0</v>
      </c>
      <c r="D71" s="3" t="n">
        <v>35358.0</v>
      </c>
      <c r="E71" s="3" t="n">
        <v>32617.0</v>
      </c>
      <c r="F71" s="3" t="n">
        <v>31820.0</v>
      </c>
      <c r="G71" s="3" t="n">
        <v>30813.0</v>
      </c>
      <c r="H71" s="3" t="n">
        <v>30184.0</v>
      </c>
      <c r="I71" s="3" t="n">
        <v>29474.0</v>
      </c>
      <c r="J71" s="3" t="n">
        <v>28805.0</v>
      </c>
      <c r="K71" s="3" t="n">
        <v>29247.0</v>
      </c>
      <c r="L71" s="3" t="n">
        <v>30492.0</v>
      </c>
      <c r="M71" s="3" t="n">
        <v>31765.0</v>
      </c>
      <c r="N71" s="3" t="n">
        <v>33574.0</v>
      </c>
      <c r="O71" s="3" t="n">
        <v>35211.0</v>
      </c>
      <c r="P71" s="3" t="n">
        <v>37096.0</v>
      </c>
      <c r="Q71" s="3" t="n">
        <v>39022.0</v>
      </c>
      <c r="R71" s="3" t="n">
        <v>41240.0</v>
      </c>
      <c r="S71" s="3" t="n">
        <v>42433.0</v>
      </c>
      <c r="T71" s="3" t="n">
        <v>42772.0</v>
      </c>
      <c r="U71" s="3" t="n">
        <v>43299.0</v>
      </c>
      <c r="V71" s="3" t="n">
        <v>44498.0</v>
      </c>
      <c r="W71" s="3" t="n">
        <v>45682.0</v>
      </c>
      <c r="X71" s="3" t="n">
        <v>45180.0</v>
      </c>
      <c r="Y71" s="3" t="n">
        <v>46317.0</v>
      </c>
      <c r="Z71" s="3" t="n">
        <v>48701.0</v>
      </c>
      <c r="AA71" s="3" t="n">
        <v>47091.0</v>
      </c>
      <c r="AB71" s="3" t="n">
        <v>45703.0</v>
      </c>
      <c r="AC71" s="3" t="n">
        <v>42534.0</v>
      </c>
      <c r="AD71" s="3" t="n">
        <v>41105.0</v>
      </c>
      <c r="AE71" s="3" t="n">
        <v>40105.0</v>
      </c>
      <c r="AF71" s="3" t="n">
        <v>39493.0</v>
      </c>
      <c r="AG71" s="3" t="n">
        <v>39266.0</v>
      </c>
      <c r="AH71" s="3" t="n">
        <v>38422.0</v>
      </c>
      <c r="AI71" s="3" t="n">
        <v>36009.0</v>
      </c>
      <c r="AJ71" s="3" t="n">
        <v>35145.0</v>
      </c>
      <c r="AK71" s="3" t="n">
        <v>34222.0</v>
      </c>
      <c r="AL71" s="3" t="n">
        <v>32419.0</v>
      </c>
      <c r="AM71" s="3" t="n">
        <v>31227.0</v>
      </c>
      <c r="AN71" s="3" t="n">
        <v>29938.0</v>
      </c>
      <c r="AO71" s="3" t="n">
        <v>28108.0</v>
      </c>
    </row>
    <row r="72" spans="1:41" x14ac:dyDescent="0.2">
      <c r="A72" s="125"/>
      <c r="B72" s="9">
        <v>63</v>
      </c>
      <c r="C72" s="3" t="n">
        <v>40227.0</v>
      </c>
      <c r="D72" s="3" t="n">
        <v>37168.0</v>
      </c>
      <c r="E72" s="3" t="n">
        <v>34891.0</v>
      </c>
      <c r="F72" s="3" t="n">
        <v>32198.0</v>
      </c>
      <c r="G72" s="3" t="n">
        <v>31431.0</v>
      </c>
      <c r="H72" s="3" t="n">
        <v>30499.0</v>
      </c>
      <c r="I72" s="3" t="n">
        <v>29919.0</v>
      </c>
      <c r="J72" s="3" t="n">
        <v>29176.0</v>
      </c>
      <c r="K72" s="3" t="n">
        <v>28499.0</v>
      </c>
      <c r="L72" s="3" t="n">
        <v>28924.0</v>
      </c>
      <c r="M72" s="3" t="n">
        <v>30155.0</v>
      </c>
      <c r="N72" s="3" t="n">
        <v>31399.0</v>
      </c>
      <c r="O72" s="3" t="n">
        <v>33182.0</v>
      </c>
      <c r="P72" s="3" t="n">
        <v>34799.0</v>
      </c>
      <c r="Q72" s="3" t="n">
        <v>36672.0</v>
      </c>
      <c r="R72" s="3" t="n">
        <v>38572.0</v>
      </c>
      <c r="S72" s="3" t="n">
        <v>40770.0</v>
      </c>
      <c r="T72" s="3" t="n">
        <v>41955.0</v>
      </c>
      <c r="U72" s="3" t="n">
        <v>42295.0</v>
      </c>
      <c r="V72" s="3" t="n">
        <v>42824.0</v>
      </c>
      <c r="W72" s="3" t="n">
        <v>44011.0</v>
      </c>
      <c r="X72" s="3" t="n">
        <v>45187.0</v>
      </c>
      <c r="Y72" s="3" t="n">
        <v>44697.0</v>
      </c>
      <c r="Z72" s="3" t="n">
        <v>45825.0</v>
      </c>
      <c r="AA72" s="3" t="n">
        <v>48185.0</v>
      </c>
      <c r="AB72" s="3" t="n">
        <v>46602.0</v>
      </c>
      <c r="AC72" s="3" t="n">
        <v>45237.0</v>
      </c>
      <c r="AD72" s="3" t="n">
        <v>42107.0</v>
      </c>
      <c r="AE72" s="3" t="n">
        <v>40695.0</v>
      </c>
      <c r="AF72" s="3" t="n">
        <v>39707.0</v>
      </c>
      <c r="AG72" s="3" t="n">
        <v>39107.0</v>
      </c>
      <c r="AH72" s="3" t="n">
        <v>38883.0</v>
      </c>
      <c r="AI72" s="3" t="n">
        <v>38046.0</v>
      </c>
      <c r="AJ72" s="3" t="n">
        <v>35664.0</v>
      </c>
      <c r="AK72" s="3" t="n">
        <v>34816.0</v>
      </c>
      <c r="AL72" s="3" t="n">
        <v>33908.0</v>
      </c>
      <c r="AM72" s="3" t="n">
        <v>32127.0</v>
      </c>
      <c r="AN72" s="3" t="n">
        <v>30948.0</v>
      </c>
      <c r="AO72" s="3" t="n">
        <v>29682.0</v>
      </c>
    </row>
    <row r="73" spans="1:41" x14ac:dyDescent="0.2">
      <c r="A73" s="125"/>
      <c r="B73" s="9">
        <v>64</v>
      </c>
      <c r="C73" s="3" t="n">
        <v>42141.0</v>
      </c>
      <c r="D73" s="3" t="n">
        <v>39644.0</v>
      </c>
      <c r="E73" s="3" t="n">
        <v>36642.0</v>
      </c>
      <c r="F73" s="3" t="n">
        <v>34410.0</v>
      </c>
      <c r="G73" s="3" t="n">
        <v>31767.0</v>
      </c>
      <c r="H73" s="3" t="n">
        <v>31082.0</v>
      </c>
      <c r="I73" s="3" t="n">
        <v>30183.0</v>
      </c>
      <c r="J73" s="3" t="n">
        <v>29567.0</v>
      </c>
      <c r="K73" s="3" t="n">
        <v>28816.0</v>
      </c>
      <c r="L73" s="3" t="n">
        <v>28147.0</v>
      </c>
      <c r="M73" s="3" t="n">
        <v>28564.0</v>
      </c>
      <c r="N73" s="3" t="n">
        <v>29775.0</v>
      </c>
      <c r="O73" s="3" t="n">
        <v>31012.0</v>
      </c>
      <c r="P73" s="3" t="n">
        <v>32774.0</v>
      </c>
      <c r="Q73" s="3" t="n">
        <v>34375.0</v>
      </c>
      <c r="R73" s="3" t="n">
        <v>36222.0</v>
      </c>
      <c r="S73" s="3" t="n">
        <v>38106.0</v>
      </c>
      <c r="T73" s="3" t="n">
        <v>40274.0</v>
      </c>
      <c r="U73" s="3" t="n">
        <v>41445.0</v>
      </c>
      <c r="V73" s="3" t="n">
        <v>41787.0</v>
      </c>
      <c r="W73" s="3" t="n">
        <v>42312.0</v>
      </c>
      <c r="X73" s="3" t="n">
        <v>43497.0</v>
      </c>
      <c r="Y73" s="3" t="n">
        <v>44663.0</v>
      </c>
      <c r="Z73" s="3" t="n">
        <v>44185.0</v>
      </c>
      <c r="AA73" s="3" t="n">
        <v>45292.0</v>
      </c>
      <c r="AB73" s="3" t="n">
        <v>47639.0</v>
      </c>
      <c r="AC73" s="3" t="n">
        <v>46084.0</v>
      </c>
      <c r="AD73" s="3" t="n">
        <v>44743.0</v>
      </c>
      <c r="AE73" s="3" t="n">
        <v>41653.0</v>
      </c>
      <c r="AF73" s="3" t="n">
        <v>40262.0</v>
      </c>
      <c r="AG73" s="3" t="n">
        <v>39283.0</v>
      </c>
      <c r="AH73" s="3" t="n">
        <v>38698.0</v>
      </c>
      <c r="AI73" s="3" t="n">
        <v>38478.0</v>
      </c>
      <c r="AJ73" s="3" t="n">
        <v>37653.0</v>
      </c>
      <c r="AK73" s="3" t="n">
        <v>35309.0</v>
      </c>
      <c r="AL73" s="3" t="n">
        <v>34467.0</v>
      </c>
      <c r="AM73" s="3" t="n">
        <v>33569.0</v>
      </c>
      <c r="AN73" s="3" t="n">
        <v>31801.0</v>
      </c>
      <c r="AO73" s="3" t="n">
        <v>30639.0</v>
      </c>
    </row>
    <row r="74" spans="1:41" x14ac:dyDescent="0.2">
      <c r="A74" s="125"/>
      <c r="B74" s="9">
        <v>65</v>
      </c>
      <c r="C74" s="3" t="n">
        <v>42256.0</v>
      </c>
      <c r="D74" s="3" t="n">
        <v>41460.0</v>
      </c>
      <c r="E74" s="3" t="n">
        <v>39026.0</v>
      </c>
      <c r="F74" s="3" t="n">
        <v>36084.0</v>
      </c>
      <c r="G74" s="3" t="n">
        <v>33883.0</v>
      </c>
      <c r="H74" s="3" t="n">
        <v>31345.0</v>
      </c>
      <c r="I74" s="3" t="n">
        <v>30704.0</v>
      </c>
      <c r="J74" s="3" t="n">
        <v>29782.0</v>
      </c>
      <c r="K74" s="3" t="n">
        <v>29158.0</v>
      </c>
      <c r="L74" s="3" t="n">
        <v>28415.0</v>
      </c>
      <c r="M74" s="3" t="n">
        <v>27758.0</v>
      </c>
      <c r="N74" s="3" t="n">
        <v>28169.0</v>
      </c>
      <c r="O74" s="3" t="n">
        <v>29369.0</v>
      </c>
      <c r="P74" s="3" t="n">
        <v>30590.0</v>
      </c>
      <c r="Q74" s="3" t="n">
        <v>32325.0</v>
      </c>
      <c r="R74" s="3" t="n">
        <v>33917.0</v>
      </c>
      <c r="S74" s="3" t="n">
        <v>35737.0</v>
      </c>
      <c r="T74" s="3" t="n">
        <v>37600.0</v>
      </c>
      <c r="U74" s="3" t="n">
        <v>39741.0</v>
      </c>
      <c r="V74" s="3" t="n">
        <v>40904.0</v>
      </c>
      <c r="W74" s="3" t="n">
        <v>41250.0</v>
      </c>
      <c r="X74" s="3" t="n">
        <v>41780.0</v>
      </c>
      <c r="Y74" s="3" t="n">
        <v>42945.0</v>
      </c>
      <c r="Z74" s="3" t="n">
        <v>44098.0</v>
      </c>
      <c r="AA74" s="3" t="n">
        <v>43637.0</v>
      </c>
      <c r="AB74" s="3" t="n">
        <v>44740.0</v>
      </c>
      <c r="AC74" s="3" t="n">
        <v>47057.0</v>
      </c>
      <c r="AD74" s="3" t="n">
        <v>45525.0</v>
      </c>
      <c r="AE74" s="3" t="n">
        <v>44211.0</v>
      </c>
      <c r="AF74" s="3" t="n">
        <v>41160.0</v>
      </c>
      <c r="AG74" s="3" t="n">
        <v>39784.0</v>
      </c>
      <c r="AH74" s="3" t="n">
        <v>38818.0</v>
      </c>
      <c r="AI74" s="3" t="n">
        <v>38259.0</v>
      </c>
      <c r="AJ74" s="3" t="n">
        <v>38039.0</v>
      </c>
      <c r="AK74" s="3" t="n">
        <v>37222.0</v>
      </c>
      <c r="AL74" s="3" t="n">
        <v>34915.0</v>
      </c>
      <c r="AM74" s="3" t="n">
        <v>34087.0</v>
      </c>
      <c r="AN74" s="3" t="n">
        <v>33206.0</v>
      </c>
      <c r="AO74" s="3" t="n">
        <v>31455.0</v>
      </c>
    </row>
    <row r="75" spans="1:41" x14ac:dyDescent="0.2">
      <c r="A75" s="125"/>
      <c r="B75" s="9">
        <v>66</v>
      </c>
      <c r="C75" s="3" t="n">
        <v>41963.0</v>
      </c>
      <c r="D75" s="3" t="n">
        <v>41525.0</v>
      </c>
      <c r="E75" s="3" t="n">
        <v>40749.0</v>
      </c>
      <c r="F75" s="3" t="n">
        <v>38377.0</v>
      </c>
      <c r="G75" s="3" t="n">
        <v>35500.0</v>
      </c>
      <c r="H75" s="3" t="n">
        <v>33372.0</v>
      </c>
      <c r="I75" s="3" t="n">
        <v>30904.0</v>
      </c>
      <c r="J75" s="3" t="n">
        <v>30256.0</v>
      </c>
      <c r="K75" s="3" t="n">
        <v>29335.0</v>
      </c>
      <c r="L75" s="3" t="n">
        <v>28724.0</v>
      </c>
      <c r="M75" s="3" t="n">
        <v>27994.0</v>
      </c>
      <c r="N75" s="3" t="n">
        <v>27343.0</v>
      </c>
      <c r="O75" s="3" t="n">
        <v>27758.0</v>
      </c>
      <c r="P75" s="3" t="n">
        <v>28939.0</v>
      </c>
      <c r="Q75" s="3" t="n">
        <v>30148.0</v>
      </c>
      <c r="R75" s="3" t="n">
        <v>31862.0</v>
      </c>
      <c r="S75" s="3" t="n">
        <v>33434.0</v>
      </c>
      <c r="T75" s="3" t="n">
        <v>35225.0</v>
      </c>
      <c r="U75" s="3" t="n">
        <v>37071.0</v>
      </c>
      <c r="V75" s="3" t="n">
        <v>39185.0</v>
      </c>
      <c r="W75" s="3" t="n">
        <v>40334.0</v>
      </c>
      <c r="X75" s="3" t="n">
        <v>40681.0</v>
      </c>
      <c r="Y75" s="3" t="n">
        <v>41215.0</v>
      </c>
      <c r="Z75" s="3" t="n">
        <v>42355.0</v>
      </c>
      <c r="AA75" s="3" t="n">
        <v>43502.0</v>
      </c>
      <c r="AB75" s="3" t="n">
        <v>43050.0</v>
      </c>
      <c r="AC75" s="3" t="n">
        <v>44145.0</v>
      </c>
      <c r="AD75" s="3" t="n">
        <v>46435.0</v>
      </c>
      <c r="AE75" s="3" t="n">
        <v>44934.0</v>
      </c>
      <c r="AF75" s="3" t="n">
        <v>43649.0</v>
      </c>
      <c r="AG75" s="3" t="n">
        <v>40643.0</v>
      </c>
      <c r="AH75" s="3" t="n">
        <v>39289.0</v>
      </c>
      <c r="AI75" s="3" t="n">
        <v>38344.0</v>
      </c>
      <c r="AJ75" s="3" t="n">
        <v>37786.0</v>
      </c>
      <c r="AK75" s="3" t="n">
        <v>37569.0</v>
      </c>
      <c r="AL75" s="3" t="n">
        <v>36775.0</v>
      </c>
      <c r="AM75" s="3" t="n">
        <v>34501.0</v>
      </c>
      <c r="AN75" s="3" t="n">
        <v>33681.0</v>
      </c>
      <c r="AO75" s="3" t="n">
        <v>32808.0</v>
      </c>
    </row>
    <row r="76" spans="1:41" x14ac:dyDescent="0.2">
      <c r="A76" s="125"/>
      <c r="B76" s="9">
        <v>67</v>
      </c>
      <c r="C76" s="3" t="n">
        <v>42326.0</v>
      </c>
      <c r="D76" s="3" t="n">
        <v>41176.0</v>
      </c>
      <c r="E76" s="3" t="n">
        <v>40764.0</v>
      </c>
      <c r="F76" s="3" t="n">
        <v>40009.0</v>
      </c>
      <c r="G76" s="3" t="n">
        <v>37702.0</v>
      </c>
      <c r="H76" s="3" t="n">
        <v>34926.0</v>
      </c>
      <c r="I76" s="3" t="n">
        <v>32861.0</v>
      </c>
      <c r="J76" s="3" t="n">
        <v>30415.0</v>
      </c>
      <c r="K76" s="3" t="n">
        <v>29772.0</v>
      </c>
      <c r="L76" s="3" t="n">
        <v>28867.0</v>
      </c>
      <c r="M76" s="3" t="n">
        <v>28266.0</v>
      </c>
      <c r="N76" s="3" t="n">
        <v>27556.0</v>
      </c>
      <c r="O76" s="3" t="n">
        <v>26924.0</v>
      </c>
      <c r="P76" s="3" t="n">
        <v>27335.0</v>
      </c>
      <c r="Q76" s="3" t="n">
        <v>28500.0</v>
      </c>
      <c r="R76" s="3" t="n">
        <v>29696.0</v>
      </c>
      <c r="S76" s="3" t="n">
        <v>31372.0</v>
      </c>
      <c r="T76" s="3" t="n">
        <v>32928.0</v>
      </c>
      <c r="U76" s="3" t="n">
        <v>34689.0</v>
      </c>
      <c r="V76" s="3" t="n">
        <v>36512.0</v>
      </c>
      <c r="W76" s="3" t="n">
        <v>38599.0</v>
      </c>
      <c r="X76" s="3" t="n">
        <v>39735.0</v>
      </c>
      <c r="Y76" s="3" t="n">
        <v>40083.0</v>
      </c>
      <c r="Z76" s="3" t="n">
        <v>40612.0</v>
      </c>
      <c r="AA76" s="3" t="n">
        <v>41738.0</v>
      </c>
      <c r="AB76" s="3" t="n">
        <v>42871.0</v>
      </c>
      <c r="AC76" s="3" t="n">
        <v>42431.0</v>
      </c>
      <c r="AD76" s="3" t="n">
        <v>43525.0</v>
      </c>
      <c r="AE76" s="3" t="n">
        <v>45779.0</v>
      </c>
      <c r="AF76" s="3" t="n">
        <v>44316.0</v>
      </c>
      <c r="AG76" s="3" t="n">
        <v>43048.0</v>
      </c>
      <c r="AH76" s="3" t="n">
        <v>40093.0</v>
      </c>
      <c r="AI76" s="3" t="n">
        <v>38765.0</v>
      </c>
      <c r="AJ76" s="3" t="n">
        <v>37838.0</v>
      </c>
      <c r="AK76" s="3" t="n">
        <v>37289.0</v>
      </c>
      <c r="AL76" s="3" t="n">
        <v>37083.0</v>
      </c>
      <c r="AM76" s="3" t="n">
        <v>36299.0</v>
      </c>
      <c r="AN76" s="3" t="n">
        <v>34058.0</v>
      </c>
      <c r="AO76" s="3" t="n">
        <v>33256.0</v>
      </c>
    </row>
    <row r="77" spans="1:41" x14ac:dyDescent="0.2">
      <c r="A77" s="125"/>
      <c r="B77" s="9">
        <v>68</v>
      </c>
      <c r="C77" s="3" t="n">
        <v>39910.0</v>
      </c>
      <c r="D77" s="3" t="n">
        <v>41476.0</v>
      </c>
      <c r="E77" s="3" t="n">
        <v>40374.0</v>
      </c>
      <c r="F77" s="3" t="n">
        <v>39988.0</v>
      </c>
      <c r="G77" s="3" t="n">
        <v>39247.0</v>
      </c>
      <c r="H77" s="3" t="n">
        <v>37035.0</v>
      </c>
      <c r="I77" s="3" t="n">
        <v>34341.0</v>
      </c>
      <c r="J77" s="3" t="n">
        <v>32285.0</v>
      </c>
      <c r="K77" s="3" t="n">
        <v>29881.0</v>
      </c>
      <c r="L77" s="3" t="n">
        <v>29248.0</v>
      </c>
      <c r="M77" s="3" t="n">
        <v>28363.0</v>
      </c>
      <c r="N77" s="3" t="n">
        <v>27784.0</v>
      </c>
      <c r="O77" s="3" t="n">
        <v>27083.0</v>
      </c>
      <c r="P77" s="3" t="n">
        <v>26476.0</v>
      </c>
      <c r="Q77" s="3" t="n">
        <v>26884.0</v>
      </c>
      <c r="R77" s="3" t="n">
        <v>28033.0</v>
      </c>
      <c r="S77" s="3" t="n">
        <v>29210.0</v>
      </c>
      <c r="T77" s="3" t="n">
        <v>30865.0</v>
      </c>
      <c r="U77" s="3" t="n">
        <v>32392.0</v>
      </c>
      <c r="V77" s="3" t="n">
        <v>34133.0</v>
      </c>
      <c r="W77" s="3" t="n">
        <v>35937.0</v>
      </c>
      <c r="X77" s="3" t="n">
        <v>37985.0</v>
      </c>
      <c r="Y77" s="3" t="n">
        <v>39112.0</v>
      </c>
      <c r="Z77" s="3" t="n">
        <v>39451.0</v>
      </c>
      <c r="AA77" s="3" t="n">
        <v>39986.0</v>
      </c>
      <c r="AB77" s="3" t="n">
        <v>41098.0</v>
      </c>
      <c r="AC77" s="3" t="n">
        <v>42222.0</v>
      </c>
      <c r="AD77" s="3" t="n">
        <v>41796.0</v>
      </c>
      <c r="AE77" s="3" t="n">
        <v>42869.0</v>
      </c>
      <c r="AF77" s="3" t="n">
        <v>45106.0</v>
      </c>
      <c r="AG77" s="3" t="n">
        <v>43665.0</v>
      </c>
      <c r="AH77" s="3" t="n">
        <v>42418.0</v>
      </c>
      <c r="AI77" s="3" t="n">
        <v>39517.0</v>
      </c>
      <c r="AJ77" s="3" t="n">
        <v>38208.0</v>
      </c>
      <c r="AK77" s="3" t="n">
        <v>37308.0</v>
      </c>
      <c r="AL77" s="3" t="n">
        <v>36774.0</v>
      </c>
      <c r="AM77" s="3" t="n">
        <v>36573.0</v>
      </c>
      <c r="AN77" s="3" t="n">
        <v>35807.0</v>
      </c>
      <c r="AO77" s="3" t="n">
        <v>33603.0</v>
      </c>
    </row>
    <row r="78" spans="1:41" x14ac:dyDescent="0.2">
      <c r="A78" s="125"/>
      <c r="B78" s="9">
        <v>69</v>
      </c>
      <c r="C78" s="3" t="n">
        <v>39195.0</v>
      </c>
      <c r="D78" s="3" t="n">
        <v>39053.0</v>
      </c>
      <c r="E78" s="3" t="n">
        <v>40604.0</v>
      </c>
      <c r="F78" s="3" t="n">
        <v>39532.0</v>
      </c>
      <c r="G78" s="3" t="n">
        <v>39172.0</v>
      </c>
      <c r="H78" s="3" t="n">
        <v>38481.0</v>
      </c>
      <c r="I78" s="3" t="n">
        <v>36352.0</v>
      </c>
      <c r="J78" s="3" t="n">
        <v>33686.0</v>
      </c>
      <c r="K78" s="3" t="n">
        <v>31681.0</v>
      </c>
      <c r="L78" s="3" t="n">
        <v>29329.0</v>
      </c>
      <c r="M78" s="3" t="n">
        <v>28705.0</v>
      </c>
      <c r="N78" s="3" t="n">
        <v>27837.0</v>
      </c>
      <c r="O78" s="3" t="n">
        <v>27277.0</v>
      </c>
      <c r="P78" s="3" t="n">
        <v>26602.0</v>
      </c>
      <c r="Q78" s="3" t="n">
        <v>26009.0</v>
      </c>
      <c r="R78" s="3" t="n">
        <v>26416.0</v>
      </c>
      <c r="S78" s="3" t="n">
        <v>27544.0</v>
      </c>
      <c r="T78" s="3" t="n">
        <v>28706.0</v>
      </c>
      <c r="U78" s="3" t="n">
        <v>30333.0</v>
      </c>
      <c r="V78" s="3" t="n">
        <v>31835.0</v>
      </c>
      <c r="W78" s="3" t="n">
        <v>33548.0</v>
      </c>
      <c r="X78" s="3" t="n">
        <v>35330.0</v>
      </c>
      <c r="Y78" s="3" t="n">
        <v>37342.0</v>
      </c>
      <c r="Z78" s="3" t="n">
        <v>38455.0</v>
      </c>
      <c r="AA78" s="3" t="n">
        <v>38790.0</v>
      </c>
      <c r="AB78" s="3" t="n">
        <v>39333.0</v>
      </c>
      <c r="AC78" s="3" t="n">
        <v>40418.0</v>
      </c>
      <c r="AD78" s="3" t="n">
        <v>41546.0</v>
      </c>
      <c r="AE78" s="3" t="n">
        <v>41137.0</v>
      </c>
      <c r="AF78" s="3" t="n">
        <v>42190.0</v>
      </c>
      <c r="AG78" s="3" t="n">
        <v>44398.0</v>
      </c>
      <c r="AH78" s="3" t="n">
        <v>42995.0</v>
      </c>
      <c r="AI78" s="3" t="n">
        <v>41768.0</v>
      </c>
      <c r="AJ78" s="3" t="n">
        <v>38916.0</v>
      </c>
      <c r="AK78" s="3" t="n">
        <v>37630.0</v>
      </c>
      <c r="AL78" s="3" t="n">
        <v>36749.0</v>
      </c>
      <c r="AM78" s="3" t="n">
        <v>36228.0</v>
      </c>
      <c r="AN78" s="3" t="n">
        <v>36030.0</v>
      </c>
      <c r="AO78" s="3" t="n">
        <v>35286.0</v>
      </c>
    </row>
    <row r="79" spans="1:41" x14ac:dyDescent="0.2">
      <c r="A79" s="125"/>
      <c r="B79" s="9">
        <v>70</v>
      </c>
      <c r="C79" s="3" t="n">
        <v>38863.0</v>
      </c>
      <c r="D79" s="3" t="n">
        <v>38295.0</v>
      </c>
      <c r="E79" s="3" t="n">
        <v>38173.0</v>
      </c>
      <c r="F79" s="3" t="n">
        <v>39707.0</v>
      </c>
      <c r="G79" s="3" t="n">
        <v>38670.0</v>
      </c>
      <c r="H79" s="3" t="n">
        <v>38356.0</v>
      </c>
      <c r="I79" s="3" t="n">
        <v>37705.0</v>
      </c>
      <c r="J79" s="3" t="n">
        <v>35605.0</v>
      </c>
      <c r="K79" s="3" t="n">
        <v>33000.0</v>
      </c>
      <c r="L79" s="3" t="n">
        <v>31043.0</v>
      </c>
      <c r="M79" s="3" t="n">
        <v>28744.0</v>
      </c>
      <c r="N79" s="3" t="n">
        <v>28138.0</v>
      </c>
      <c r="O79" s="3" t="n">
        <v>27293.0</v>
      </c>
      <c r="P79" s="3" t="n">
        <v>26749.0</v>
      </c>
      <c r="Q79" s="3" t="n">
        <v>26086.0</v>
      </c>
      <c r="R79" s="3" t="n">
        <v>25518.0</v>
      </c>
      <c r="S79" s="3" t="n">
        <v>25920.0</v>
      </c>
      <c r="T79" s="3" t="n">
        <v>27036.0</v>
      </c>
      <c r="U79" s="3" t="n">
        <v>28170.0</v>
      </c>
      <c r="V79" s="3" t="n">
        <v>29778.0</v>
      </c>
      <c r="W79" s="3" t="n">
        <v>31247.0</v>
      </c>
      <c r="X79" s="3" t="n">
        <v>32941.0</v>
      </c>
      <c r="Y79" s="3" t="n">
        <v>34694.0</v>
      </c>
      <c r="Z79" s="3" t="n">
        <v>36672.0</v>
      </c>
      <c r="AA79" s="3" t="n">
        <v>37762.0</v>
      </c>
      <c r="AB79" s="3" t="n">
        <v>38101.0</v>
      </c>
      <c r="AC79" s="3" t="n">
        <v>38640.0</v>
      </c>
      <c r="AD79" s="3" t="n">
        <v>39717.0</v>
      </c>
      <c r="AE79" s="3" t="n">
        <v>40829.0</v>
      </c>
      <c r="AF79" s="3" t="n">
        <v>40433.0</v>
      </c>
      <c r="AG79" s="3" t="n">
        <v>41474.0</v>
      </c>
      <c r="AH79" s="3" t="n">
        <v>43648.0</v>
      </c>
      <c r="AI79" s="3" t="n">
        <v>42273.0</v>
      </c>
      <c r="AJ79" s="3" t="n">
        <v>41078.0</v>
      </c>
      <c r="AK79" s="3" t="n">
        <v>38278.0</v>
      </c>
      <c r="AL79" s="3" t="n">
        <v>37025.0</v>
      </c>
      <c r="AM79" s="3" t="n">
        <v>36160.0</v>
      </c>
      <c r="AN79" s="3" t="n">
        <v>35659.0</v>
      </c>
      <c r="AO79" s="3" t="n">
        <v>35468.0</v>
      </c>
    </row>
    <row r="80" spans="1:41" x14ac:dyDescent="0.2">
      <c r="A80" s="125"/>
      <c r="B80" s="9">
        <v>71</v>
      </c>
      <c r="C80" s="3" t="n">
        <v>37381.0</v>
      </c>
      <c r="D80" s="3" t="n">
        <v>37902.0</v>
      </c>
      <c r="E80" s="3" t="n">
        <v>37369.0</v>
      </c>
      <c r="F80" s="3" t="n">
        <v>37277.0</v>
      </c>
      <c r="G80" s="3" t="n">
        <v>38775.0</v>
      </c>
      <c r="H80" s="3" t="n">
        <v>37791.0</v>
      </c>
      <c r="I80" s="3" t="n">
        <v>37511.0</v>
      </c>
      <c r="J80" s="3" t="n">
        <v>36859.0</v>
      </c>
      <c r="K80" s="3" t="n">
        <v>34811.0</v>
      </c>
      <c r="L80" s="3" t="n">
        <v>32275.0</v>
      </c>
      <c r="M80" s="3" t="n">
        <v>30362.0</v>
      </c>
      <c r="N80" s="3" t="n">
        <v>28128.0</v>
      </c>
      <c r="O80" s="3" t="n">
        <v>27540.0</v>
      </c>
      <c r="P80" s="3" t="n">
        <v>26716.0</v>
      </c>
      <c r="Q80" s="3" t="n">
        <v>26199.0</v>
      </c>
      <c r="R80" s="3" t="n">
        <v>25555.0</v>
      </c>
      <c r="S80" s="3" t="n">
        <v>25006.0</v>
      </c>
      <c r="T80" s="3" t="n">
        <v>25407.0</v>
      </c>
      <c r="U80" s="3" t="n">
        <v>26500.0</v>
      </c>
      <c r="V80" s="3" t="n">
        <v>27610.0</v>
      </c>
      <c r="W80" s="3" t="n">
        <v>29194.0</v>
      </c>
      <c r="X80" s="3" t="n">
        <v>30641.0</v>
      </c>
      <c r="Y80" s="3" t="n">
        <v>32297.0</v>
      </c>
      <c r="Z80" s="3" t="n">
        <v>34017.0</v>
      </c>
      <c r="AA80" s="3" t="n">
        <v>35977.0</v>
      </c>
      <c r="AB80" s="3" t="n">
        <v>37044.0</v>
      </c>
      <c r="AC80" s="3" t="n">
        <v>37386.0</v>
      </c>
      <c r="AD80" s="3" t="n">
        <v>37932.0</v>
      </c>
      <c r="AE80" s="3" t="n">
        <v>38986.0</v>
      </c>
      <c r="AF80" s="3" t="n">
        <v>40083.0</v>
      </c>
      <c r="AG80" s="3" t="n">
        <v>39701.0</v>
      </c>
      <c r="AH80" s="3" t="n">
        <v>40728.0</v>
      </c>
      <c r="AI80" s="3" t="n">
        <v>42871.0</v>
      </c>
      <c r="AJ80" s="3" t="n">
        <v>41531.0</v>
      </c>
      <c r="AK80" s="3" t="n">
        <v>40364.0</v>
      </c>
      <c r="AL80" s="3" t="n">
        <v>37614.0</v>
      </c>
      <c r="AM80" s="3" t="n">
        <v>36382.0</v>
      </c>
      <c r="AN80" s="3" t="n">
        <v>35538.0</v>
      </c>
      <c r="AO80" s="3" t="n">
        <v>35060.0</v>
      </c>
    </row>
    <row r="81" spans="1:41" x14ac:dyDescent="0.2">
      <c r="A81" s="125"/>
      <c r="B81" s="9">
        <v>72</v>
      </c>
      <c r="C81" s="3" t="n">
        <v>34599.0</v>
      </c>
      <c r="D81" s="3" t="n">
        <v>36401.0</v>
      </c>
      <c r="E81" s="3" t="n">
        <v>36925.0</v>
      </c>
      <c r="F81" s="3" t="n">
        <v>36420.0</v>
      </c>
      <c r="G81" s="3" t="n">
        <v>36345.0</v>
      </c>
      <c r="H81" s="3" t="n">
        <v>37839.0</v>
      </c>
      <c r="I81" s="3" t="n">
        <v>36901.0</v>
      </c>
      <c r="J81" s="3" t="n">
        <v>36620.0</v>
      </c>
      <c r="K81" s="3" t="n">
        <v>35975.0</v>
      </c>
      <c r="L81" s="3" t="n">
        <v>33987.0</v>
      </c>
      <c r="M81" s="3" t="n">
        <v>31519.0</v>
      </c>
      <c r="N81" s="3" t="n">
        <v>29667.0</v>
      </c>
      <c r="O81" s="3" t="n">
        <v>27491.0</v>
      </c>
      <c r="P81" s="3" t="n">
        <v>26927.0</v>
      </c>
      <c r="Q81" s="3" t="n">
        <v>26130.0</v>
      </c>
      <c r="R81" s="3" t="n">
        <v>25640.0</v>
      </c>
      <c r="S81" s="3" t="n">
        <v>25011.0</v>
      </c>
      <c r="T81" s="3" t="n">
        <v>24478.0</v>
      </c>
      <c r="U81" s="3" t="n">
        <v>24877.0</v>
      </c>
      <c r="V81" s="3" t="n">
        <v>25951.0</v>
      </c>
      <c r="W81" s="3" t="n">
        <v>27039.0</v>
      </c>
      <c r="X81" s="3" t="n">
        <v>28593.0</v>
      </c>
      <c r="Y81" s="3" t="n">
        <v>30013.0</v>
      </c>
      <c r="Z81" s="3" t="n">
        <v>31634.0</v>
      </c>
      <c r="AA81" s="3" t="n">
        <v>33323.0</v>
      </c>
      <c r="AB81" s="3" t="n">
        <v>35254.0</v>
      </c>
      <c r="AC81" s="3" t="n">
        <v>36296.0</v>
      </c>
      <c r="AD81" s="3" t="n">
        <v>36642.0</v>
      </c>
      <c r="AE81" s="3" t="n">
        <v>37187.0</v>
      </c>
      <c r="AF81" s="3" t="n">
        <v>38221.0</v>
      </c>
      <c r="AG81" s="3" t="n">
        <v>39300.0</v>
      </c>
      <c r="AH81" s="3" t="n">
        <v>38932.0</v>
      </c>
      <c r="AI81" s="3" t="n">
        <v>39944.0</v>
      </c>
      <c r="AJ81" s="3" t="n">
        <v>42056.0</v>
      </c>
      <c r="AK81" s="3" t="n">
        <v>40750.0</v>
      </c>
      <c r="AL81" s="3" t="n">
        <v>39617.0</v>
      </c>
      <c r="AM81" s="3" t="n">
        <v>36924.0</v>
      </c>
      <c r="AN81" s="3" t="n">
        <v>35717.0</v>
      </c>
      <c r="AO81" s="3" t="n">
        <v>34904.0</v>
      </c>
    </row>
    <row r="82" spans="1:41" x14ac:dyDescent="0.2">
      <c r="A82" s="125"/>
      <c r="B82" s="9">
        <v>73</v>
      </c>
      <c r="C82" s="3" t="n">
        <v>32379.0</v>
      </c>
      <c r="D82" s="3" t="n">
        <v>33604.0</v>
      </c>
      <c r="E82" s="3" t="n">
        <v>35386.0</v>
      </c>
      <c r="F82" s="3" t="n">
        <v>35905.0</v>
      </c>
      <c r="G82" s="3" t="n">
        <v>35426.0</v>
      </c>
      <c r="H82" s="3" t="n">
        <v>35388.0</v>
      </c>
      <c r="I82" s="3" t="n">
        <v>36862.0</v>
      </c>
      <c r="J82" s="3" t="n">
        <v>35948.0</v>
      </c>
      <c r="K82" s="3" t="n">
        <v>35676.0</v>
      </c>
      <c r="L82" s="3" t="n">
        <v>35048.0</v>
      </c>
      <c r="M82" s="3" t="n">
        <v>33119.0</v>
      </c>
      <c r="N82" s="3" t="n">
        <v>30726.0</v>
      </c>
      <c r="O82" s="3" t="n">
        <v>28920.0</v>
      </c>
      <c r="P82" s="3" t="n">
        <v>26815.0</v>
      </c>
      <c r="Q82" s="3" t="n">
        <v>26273.0</v>
      </c>
      <c r="R82" s="3" t="n">
        <v>25506.0</v>
      </c>
      <c r="S82" s="3" t="n">
        <v>25026.0</v>
      </c>
      <c r="T82" s="3" t="n">
        <v>24419.0</v>
      </c>
      <c r="U82" s="3" t="n">
        <v>23904.0</v>
      </c>
      <c r="V82" s="3" t="n">
        <v>24300.0</v>
      </c>
      <c r="W82" s="3" t="n">
        <v>25355.0</v>
      </c>
      <c r="X82" s="3" t="n">
        <v>26431.0</v>
      </c>
      <c r="Y82" s="3" t="n">
        <v>27958.0</v>
      </c>
      <c r="Z82" s="3" t="n">
        <v>29337.0</v>
      </c>
      <c r="AA82" s="3" t="n">
        <v>30926.0</v>
      </c>
      <c r="AB82" s="3" t="n">
        <v>32584.0</v>
      </c>
      <c r="AC82" s="3" t="n">
        <v>34478.0</v>
      </c>
      <c r="AD82" s="3" t="n">
        <v>35501.0</v>
      </c>
      <c r="AE82" s="3" t="n">
        <v>35846.0</v>
      </c>
      <c r="AF82" s="3" t="n">
        <v>36389.0</v>
      </c>
      <c r="AG82" s="3" t="n">
        <v>37414.0</v>
      </c>
      <c r="AH82" s="3" t="n">
        <v>38470.0</v>
      </c>
      <c r="AI82" s="3" t="n">
        <v>38121.0</v>
      </c>
      <c r="AJ82" s="3" t="n">
        <v>39119.0</v>
      </c>
      <c r="AK82" s="3" t="n">
        <v>41197.0</v>
      </c>
      <c r="AL82" s="3" t="n">
        <v>39920.0</v>
      </c>
      <c r="AM82" s="3" t="n">
        <v>38817.0</v>
      </c>
      <c r="AN82" s="3" t="n">
        <v>36187.0</v>
      </c>
      <c r="AO82" s="3" t="n">
        <v>35011.0</v>
      </c>
    </row>
    <row r="83" spans="1:41" x14ac:dyDescent="0.2">
      <c r="A83" s="125"/>
      <c r="B83" s="9">
        <v>74</v>
      </c>
      <c r="C83" s="3" t="n">
        <v>30457.0</v>
      </c>
      <c r="D83" s="3" t="n">
        <v>31386.0</v>
      </c>
      <c r="E83" s="3" t="n">
        <v>32606.0</v>
      </c>
      <c r="F83" s="3" t="n">
        <v>34356.0</v>
      </c>
      <c r="G83" s="3" t="n">
        <v>34864.0</v>
      </c>
      <c r="H83" s="3" t="n">
        <v>34421.0</v>
      </c>
      <c r="I83" s="3" t="n">
        <v>34407.0</v>
      </c>
      <c r="J83" s="3" t="n">
        <v>35827.0</v>
      </c>
      <c r="K83" s="3" t="n">
        <v>34956.0</v>
      </c>
      <c r="L83" s="3" t="n">
        <v>34701.0</v>
      </c>
      <c r="M83" s="3" t="n">
        <v>34095.0</v>
      </c>
      <c r="N83" s="3" t="n">
        <v>32227.0</v>
      </c>
      <c r="O83" s="3" t="n">
        <v>29916.0</v>
      </c>
      <c r="P83" s="3" t="n">
        <v>28156.0</v>
      </c>
      <c r="Q83" s="3" t="n">
        <v>26112.0</v>
      </c>
      <c r="R83" s="3" t="n">
        <v>25595.0</v>
      </c>
      <c r="S83" s="3" t="n">
        <v>24862.0</v>
      </c>
      <c r="T83" s="3" t="n">
        <v>24401.0</v>
      </c>
      <c r="U83" s="3" t="n">
        <v>23815.0</v>
      </c>
      <c r="V83" s="3" t="n">
        <v>23323.0</v>
      </c>
      <c r="W83" s="3" t="n">
        <v>23712.0</v>
      </c>
      <c r="X83" s="3" t="n">
        <v>24743.0</v>
      </c>
      <c r="Y83" s="3" t="n">
        <v>25793.0</v>
      </c>
      <c r="Z83" s="3" t="n">
        <v>27287.0</v>
      </c>
      <c r="AA83" s="3" t="n">
        <v>28641.0</v>
      </c>
      <c r="AB83" s="3" t="n">
        <v>30188.0</v>
      </c>
      <c r="AC83" s="3" t="n">
        <v>31819.0</v>
      </c>
      <c r="AD83" s="3" t="n">
        <v>33674.0</v>
      </c>
      <c r="AE83" s="3" t="n">
        <v>34681.0</v>
      </c>
      <c r="AF83" s="3" t="n">
        <v>35020.0</v>
      </c>
      <c r="AG83" s="3" t="n">
        <v>35561.0</v>
      </c>
      <c r="AH83" s="3" t="n">
        <v>36570.0</v>
      </c>
      <c r="AI83" s="3" t="n">
        <v>37612.0</v>
      </c>
      <c r="AJ83" s="3" t="n">
        <v>37278.0</v>
      </c>
      <c r="AK83" s="3" t="n">
        <v>38253.0</v>
      </c>
      <c r="AL83" s="3" t="n">
        <v>40298.0</v>
      </c>
      <c r="AM83" s="3" t="n">
        <v>39057.0</v>
      </c>
      <c r="AN83" s="3" t="n">
        <v>37976.0</v>
      </c>
      <c r="AO83" s="3" t="n">
        <v>35416.0</v>
      </c>
    </row>
    <row r="84" spans="1:41" x14ac:dyDescent="0.2">
      <c r="A84" s="125"/>
      <c r="B84" s="9">
        <v>75</v>
      </c>
      <c r="C84" s="3" t="n">
        <v>26606.0</v>
      </c>
      <c r="D84" s="3" t="n">
        <v>29445.0</v>
      </c>
      <c r="E84" s="3" t="n">
        <v>30361.0</v>
      </c>
      <c r="F84" s="3" t="n">
        <v>31564.0</v>
      </c>
      <c r="G84" s="3" t="n">
        <v>33265.0</v>
      </c>
      <c r="H84" s="3" t="n">
        <v>33779.0</v>
      </c>
      <c r="I84" s="3" t="n">
        <v>33379.0</v>
      </c>
      <c r="J84" s="3" t="n">
        <v>33362.0</v>
      </c>
      <c r="K84" s="3" t="n">
        <v>34748.0</v>
      </c>
      <c r="L84" s="3" t="n">
        <v>33910.0</v>
      </c>
      <c r="M84" s="3" t="n">
        <v>33663.0</v>
      </c>
      <c r="N84" s="3" t="n">
        <v>33088.0</v>
      </c>
      <c r="O84" s="3" t="n">
        <v>31291.0</v>
      </c>
      <c r="P84" s="3" t="n">
        <v>29057.0</v>
      </c>
      <c r="Q84" s="3" t="n">
        <v>27366.0</v>
      </c>
      <c r="R84" s="3" t="n">
        <v>25392.0</v>
      </c>
      <c r="S84" s="3" t="n">
        <v>24899.0</v>
      </c>
      <c r="T84" s="3" t="n">
        <v>24197.0</v>
      </c>
      <c r="U84" s="3" t="n">
        <v>23750.0</v>
      </c>
      <c r="V84" s="3" t="n">
        <v>23184.0</v>
      </c>
      <c r="W84" s="3" t="n">
        <v>22702.0</v>
      </c>
      <c r="X84" s="3" t="n">
        <v>23089.0</v>
      </c>
      <c r="Y84" s="3" t="n">
        <v>24115.0</v>
      </c>
      <c r="Z84" s="3" t="n">
        <v>25137.0</v>
      </c>
      <c r="AA84" s="3" t="n">
        <v>26591.0</v>
      </c>
      <c r="AB84" s="3" t="n">
        <v>27909.0</v>
      </c>
      <c r="AC84" s="3" t="n">
        <v>29427.0</v>
      </c>
      <c r="AD84" s="3" t="n">
        <v>31017.0</v>
      </c>
      <c r="AE84" s="3" t="n">
        <v>32821.0</v>
      </c>
      <c r="AF84" s="3" t="n">
        <v>33818.0</v>
      </c>
      <c r="AG84" s="3" t="n">
        <v>34152.0</v>
      </c>
      <c r="AH84" s="3" t="n">
        <v>34696.0</v>
      </c>
      <c r="AI84" s="3" t="n">
        <v>35681.0</v>
      </c>
      <c r="AJ84" s="3" t="n">
        <v>36699.0</v>
      </c>
      <c r="AK84" s="3" t="n">
        <v>36391.0</v>
      </c>
      <c r="AL84" s="3" t="n">
        <v>37337.0</v>
      </c>
      <c r="AM84" s="3" t="n">
        <v>39341.0</v>
      </c>
      <c r="AN84" s="3" t="n">
        <v>38148.0</v>
      </c>
      <c r="AO84" s="3" t="n">
        <v>37105.0</v>
      </c>
    </row>
    <row r="85" spans="1:41" x14ac:dyDescent="0.2">
      <c r="A85" s="125"/>
      <c r="B85" s="9">
        <v>76</v>
      </c>
      <c r="C85" s="3" t="n">
        <v>21745.0</v>
      </c>
      <c r="D85" s="3" t="n">
        <v>25652.0</v>
      </c>
      <c r="E85" s="3" t="n">
        <v>28404.0</v>
      </c>
      <c r="F85" s="3" t="n">
        <v>29297.0</v>
      </c>
      <c r="G85" s="3" t="n">
        <v>30475.0</v>
      </c>
      <c r="H85" s="3" t="n">
        <v>32140.0</v>
      </c>
      <c r="I85" s="3" t="n">
        <v>32654.0</v>
      </c>
      <c r="J85" s="3" t="n">
        <v>32265.0</v>
      </c>
      <c r="K85" s="3" t="n">
        <v>32262.0</v>
      </c>
      <c r="L85" s="3" t="n">
        <v>33620.0</v>
      </c>
      <c r="M85" s="3" t="n">
        <v>32815.0</v>
      </c>
      <c r="N85" s="3" t="n">
        <v>32581.0</v>
      </c>
      <c r="O85" s="3" t="n">
        <v>32045.0</v>
      </c>
      <c r="P85" s="3" t="n">
        <v>30308.0</v>
      </c>
      <c r="Q85" s="3" t="n">
        <v>28156.0</v>
      </c>
      <c r="R85" s="3" t="n">
        <v>26530.0</v>
      </c>
      <c r="S85" s="3" t="n">
        <v>24621.0</v>
      </c>
      <c r="T85" s="3" t="n">
        <v>24147.0</v>
      </c>
      <c r="U85" s="3" t="n">
        <v>23473.0</v>
      </c>
      <c r="V85" s="3" t="n">
        <v>23045.0</v>
      </c>
      <c r="W85" s="3" t="n">
        <v>22504.0</v>
      </c>
      <c r="X85" s="3" t="n">
        <v>22043.0</v>
      </c>
      <c r="Y85" s="3" t="n">
        <v>22431.0</v>
      </c>
      <c r="Z85" s="3" t="n">
        <v>23422.0</v>
      </c>
      <c r="AA85" s="3" t="n">
        <v>24421.0</v>
      </c>
      <c r="AB85" s="3" t="n">
        <v>25844.0</v>
      </c>
      <c r="AC85" s="3" t="n">
        <v>27129.0</v>
      </c>
      <c r="AD85" s="3" t="n">
        <v>28617.0</v>
      </c>
      <c r="AE85" s="3" t="n">
        <v>30176.0</v>
      </c>
      <c r="AF85" s="3" t="n">
        <v>31934.0</v>
      </c>
      <c r="AG85" s="3" t="n">
        <v>32906.0</v>
      </c>
      <c r="AH85" s="3" t="n">
        <v>33240.0</v>
      </c>
      <c r="AI85" s="3" t="n">
        <v>33776.0</v>
      </c>
      <c r="AJ85" s="3" t="n">
        <v>34741.0</v>
      </c>
      <c r="AK85" s="3" t="n">
        <v>35748.0</v>
      </c>
      <c r="AL85" s="3" t="n">
        <v>35456.0</v>
      </c>
      <c r="AM85" s="3" t="n">
        <v>36378.0</v>
      </c>
      <c r="AN85" s="3" t="n">
        <v>38345.0</v>
      </c>
      <c r="AO85" s="3" t="n">
        <v>37191.0</v>
      </c>
    </row>
    <row r="86" spans="1:41" x14ac:dyDescent="0.2">
      <c r="A86" s="125"/>
      <c r="B86" s="9">
        <v>77</v>
      </c>
      <c r="C86" s="3" t="n">
        <v>14055.0</v>
      </c>
      <c r="D86" s="3" t="n">
        <v>20918.0</v>
      </c>
      <c r="E86" s="3" t="n">
        <v>24677.0</v>
      </c>
      <c r="F86" s="3" t="n">
        <v>27331.0</v>
      </c>
      <c r="G86" s="3" t="n">
        <v>28200.0</v>
      </c>
      <c r="H86" s="3" t="n">
        <v>29355.0</v>
      </c>
      <c r="I86" s="3" t="n">
        <v>30986.0</v>
      </c>
      <c r="J86" s="3" t="n">
        <v>31474.0</v>
      </c>
      <c r="K86" s="3" t="n">
        <v>31106.0</v>
      </c>
      <c r="L86" s="3" t="n">
        <v>31112.0</v>
      </c>
      <c r="M86" s="3" t="n">
        <v>32428.0</v>
      </c>
      <c r="N86" s="3" t="n">
        <v>31672.0</v>
      </c>
      <c r="O86" s="3" t="n">
        <v>31452.0</v>
      </c>
      <c r="P86" s="3" t="n">
        <v>30936.0</v>
      </c>
      <c r="Q86" s="3" t="n">
        <v>29279.0</v>
      </c>
      <c r="R86" s="3" t="n">
        <v>27216.0</v>
      </c>
      <c r="S86" s="3" t="n">
        <v>25655.0</v>
      </c>
      <c r="T86" s="3" t="n">
        <v>23829.0</v>
      </c>
      <c r="U86" s="3" t="n">
        <v>23374.0</v>
      </c>
      <c r="V86" s="3" t="n">
        <v>22731.0</v>
      </c>
      <c r="W86" s="3" t="n">
        <v>22318.0</v>
      </c>
      <c r="X86" s="3" t="n">
        <v>21810.0</v>
      </c>
      <c r="Y86" s="3" t="n">
        <v>21367.0</v>
      </c>
      <c r="Z86" s="3" t="n">
        <v>21749.0</v>
      </c>
      <c r="AA86" s="3" t="n">
        <v>22709.0</v>
      </c>
      <c r="AB86" s="3" t="n">
        <v>23678.0</v>
      </c>
      <c r="AC86" s="3" t="n">
        <v>25059.0</v>
      </c>
      <c r="AD86" s="3" t="n">
        <v>26308.0</v>
      </c>
      <c r="AE86" s="3" t="n">
        <v>27756.0</v>
      </c>
      <c r="AF86" s="3" t="n">
        <v>29284.0</v>
      </c>
      <c r="AG86" s="3" t="n">
        <v>30997.0</v>
      </c>
      <c r="AH86" s="3" t="n">
        <v>31937.0</v>
      </c>
      <c r="AI86" s="3" t="n">
        <v>32275.0</v>
      </c>
      <c r="AJ86" s="3" t="n">
        <v>32803.0</v>
      </c>
      <c r="AK86" s="3" t="n">
        <v>33743.0</v>
      </c>
      <c r="AL86" s="3" t="n">
        <v>34728.0</v>
      </c>
      <c r="AM86" s="3" t="n">
        <v>34457.0</v>
      </c>
      <c r="AN86" s="3" t="n">
        <v>35360.0</v>
      </c>
      <c r="AO86" s="3" t="n">
        <v>37283.0</v>
      </c>
    </row>
    <row r="87" spans="1:41" x14ac:dyDescent="0.2">
      <c r="A87" s="125"/>
      <c r="B87" s="9">
        <v>78</v>
      </c>
      <c r="C87" s="3" t="n">
        <v>13526.0</v>
      </c>
      <c r="D87" s="3" t="n">
        <v>13463.0</v>
      </c>
      <c r="E87" s="3" t="n">
        <v>20058.0</v>
      </c>
      <c r="F87" s="3" t="n">
        <v>23663.0</v>
      </c>
      <c r="G87" s="3" t="n">
        <v>26219.0</v>
      </c>
      <c r="H87" s="3" t="n">
        <v>27079.0</v>
      </c>
      <c r="I87" s="3" t="n">
        <v>28201.0</v>
      </c>
      <c r="J87" s="3" t="n">
        <v>29776.0</v>
      </c>
      <c r="K87" s="3" t="n">
        <v>30253.0</v>
      </c>
      <c r="L87" s="3" t="n">
        <v>29906.0</v>
      </c>
      <c r="M87" s="3" t="n">
        <v>29928.0</v>
      </c>
      <c r="N87" s="3" t="n">
        <v>31201.0</v>
      </c>
      <c r="O87" s="3" t="n">
        <v>30487.0</v>
      </c>
      <c r="P87" s="3" t="n">
        <v>30283.0</v>
      </c>
      <c r="Q87" s="3" t="n">
        <v>29795.0</v>
      </c>
      <c r="R87" s="3" t="n">
        <v>28220.0</v>
      </c>
      <c r="S87" s="3" t="n">
        <v>26243.0</v>
      </c>
      <c r="T87" s="3" t="n">
        <v>24741.0</v>
      </c>
      <c r="U87" s="3" t="n">
        <v>22989.0</v>
      </c>
      <c r="V87" s="3" t="n">
        <v>22557.0</v>
      </c>
      <c r="W87" s="3" t="n">
        <v>21940.0</v>
      </c>
      <c r="X87" s="3" t="n">
        <v>21558.0</v>
      </c>
      <c r="Y87" s="3" t="n">
        <v>21068.0</v>
      </c>
      <c r="Z87" s="3" t="n">
        <v>20645.0</v>
      </c>
      <c r="AA87" s="3" t="n">
        <v>21021.0</v>
      </c>
      <c r="AB87" s="3" t="n">
        <v>21961.0</v>
      </c>
      <c r="AC87" s="3" t="n">
        <v>22895.0</v>
      </c>
      <c r="AD87" s="3" t="n">
        <v>24240.0</v>
      </c>
      <c r="AE87" s="3" t="n">
        <v>25452.0</v>
      </c>
      <c r="AF87" s="3" t="n">
        <v>26863.0</v>
      </c>
      <c r="AG87" s="3" t="n">
        <v>28347.0</v>
      </c>
      <c r="AH87" s="3" t="n">
        <v>30019.0</v>
      </c>
      <c r="AI87" s="3" t="n">
        <v>30941.0</v>
      </c>
      <c r="AJ87" s="3" t="n">
        <v>31273.0</v>
      </c>
      <c r="AK87" s="3" t="n">
        <v>31789.0</v>
      </c>
      <c r="AL87" s="3" t="n">
        <v>32713.0</v>
      </c>
      <c r="AM87" s="3" t="n">
        <v>33673.0</v>
      </c>
      <c r="AN87" s="3" t="n">
        <v>33419.0</v>
      </c>
      <c r="AO87" s="3" t="n">
        <v>34301.0</v>
      </c>
    </row>
    <row r="88" spans="1:41" x14ac:dyDescent="0.2">
      <c r="A88" s="125"/>
      <c r="B88" s="9">
        <v>79</v>
      </c>
      <c r="C88" s="3" t="n">
        <v>12278.0</v>
      </c>
      <c r="D88" s="3" t="n">
        <v>12906.0</v>
      </c>
      <c r="E88" s="3" t="n">
        <v>12864.0</v>
      </c>
      <c r="F88" s="3" t="n">
        <v>19174.0</v>
      </c>
      <c r="G88" s="3" t="n">
        <v>22628.0</v>
      </c>
      <c r="H88" s="3" t="n">
        <v>25084.0</v>
      </c>
      <c r="I88" s="3" t="n">
        <v>25934.0</v>
      </c>
      <c r="J88" s="3" t="n">
        <v>27009.0</v>
      </c>
      <c r="K88" s="3" t="n">
        <v>28533.0</v>
      </c>
      <c r="L88" s="3" t="n">
        <v>29006.0</v>
      </c>
      <c r="M88" s="3" t="n">
        <v>28673.0</v>
      </c>
      <c r="N88" s="3" t="n">
        <v>28705.0</v>
      </c>
      <c r="O88" s="3" t="n">
        <v>29939.0</v>
      </c>
      <c r="P88" s="3" t="n">
        <v>29271.0</v>
      </c>
      <c r="Q88" s="3" t="n">
        <v>29083.0</v>
      </c>
      <c r="R88" s="3" t="n">
        <v>28624.0</v>
      </c>
      <c r="S88" s="3" t="n">
        <v>27128.0</v>
      </c>
      <c r="T88" s="3" t="n">
        <v>25230.0</v>
      </c>
      <c r="U88" s="3" t="n">
        <v>23797.0</v>
      </c>
      <c r="V88" s="3" t="n">
        <v>22121.0</v>
      </c>
      <c r="W88" s="3" t="n">
        <v>21708.0</v>
      </c>
      <c r="X88" s="3" t="n">
        <v>21128.0</v>
      </c>
      <c r="Y88" s="3" t="n">
        <v>20766.0</v>
      </c>
      <c r="Z88" s="3" t="n">
        <v>20298.0</v>
      </c>
      <c r="AA88" s="3" t="n">
        <v>19897.0</v>
      </c>
      <c r="AB88" s="3" t="n">
        <v>20268.0</v>
      </c>
      <c r="AC88" s="3" t="n">
        <v>21181.0</v>
      </c>
      <c r="AD88" s="3" t="n">
        <v>22088.0</v>
      </c>
      <c r="AE88" s="3" t="n">
        <v>23397.0</v>
      </c>
      <c r="AF88" s="3" t="n">
        <v>24573.0</v>
      </c>
      <c r="AG88" s="3" t="n">
        <v>25938.0</v>
      </c>
      <c r="AH88" s="3" t="n">
        <v>27370.0</v>
      </c>
      <c r="AI88" s="3" t="n">
        <v>29000.0</v>
      </c>
      <c r="AJ88" s="3" t="n">
        <v>29893.0</v>
      </c>
      <c r="AK88" s="3" t="n">
        <v>30230.0</v>
      </c>
      <c r="AL88" s="3" t="n">
        <v>30738.0</v>
      </c>
      <c r="AM88" s="3" t="n">
        <v>31632.0</v>
      </c>
      <c r="AN88" s="3" t="n">
        <v>32567.0</v>
      </c>
      <c r="AO88" s="3" t="n">
        <v>32337.0</v>
      </c>
    </row>
    <row r="89" spans="1:41" x14ac:dyDescent="0.2">
      <c r="A89" s="125"/>
      <c r="B89" s="9">
        <v>80</v>
      </c>
      <c r="C89" s="3" t="n">
        <v>11701.0</v>
      </c>
      <c r="D89" s="3" t="n">
        <v>11678.0</v>
      </c>
      <c r="E89" s="3" t="n">
        <v>12289.0</v>
      </c>
      <c r="F89" s="3" t="n">
        <v>12251.0</v>
      </c>
      <c r="G89" s="3" t="n">
        <v>18264.0</v>
      </c>
      <c r="H89" s="3" t="n">
        <v>21563.0</v>
      </c>
      <c r="I89" s="3" t="n">
        <v>23914.0</v>
      </c>
      <c r="J89" s="3" t="n">
        <v>24725.0</v>
      </c>
      <c r="K89" s="3" t="n">
        <v>25757.0</v>
      </c>
      <c r="L89" s="3" t="n">
        <v>27221.0</v>
      </c>
      <c r="M89" s="3" t="n">
        <v>27683.0</v>
      </c>
      <c r="N89" s="3" t="n">
        <v>27372.0</v>
      </c>
      <c r="O89" s="3" t="n">
        <v>27421.0</v>
      </c>
      <c r="P89" s="3" t="n">
        <v>28609.0</v>
      </c>
      <c r="Q89" s="3" t="n">
        <v>27990.0</v>
      </c>
      <c r="R89" s="3" t="n">
        <v>27817.0</v>
      </c>
      <c r="S89" s="3" t="n">
        <v>27389.0</v>
      </c>
      <c r="T89" s="3" t="n">
        <v>25973.0</v>
      </c>
      <c r="U89" s="3" t="n">
        <v>24171.0</v>
      </c>
      <c r="V89" s="3" t="n">
        <v>22807.0</v>
      </c>
      <c r="W89" s="3" t="n">
        <v>21214.0</v>
      </c>
      <c r="X89" s="3" t="n">
        <v>20827.0</v>
      </c>
      <c r="Y89" s="3" t="n">
        <v>20284.0</v>
      </c>
      <c r="Z89" s="3" t="n">
        <v>19936.0</v>
      </c>
      <c r="AA89" s="3" t="n">
        <v>19498.0</v>
      </c>
      <c r="AB89" s="3" t="n">
        <v>19120.0</v>
      </c>
      <c r="AC89" s="3" t="n">
        <v>19479.0</v>
      </c>
      <c r="AD89" s="3" t="n">
        <v>20360.0</v>
      </c>
      <c r="AE89" s="3" t="n">
        <v>21234.0</v>
      </c>
      <c r="AF89" s="3" t="n">
        <v>22507.0</v>
      </c>
      <c r="AG89" s="3" t="n">
        <v>23632.0</v>
      </c>
      <c r="AH89" s="3" t="n">
        <v>24958.0</v>
      </c>
      <c r="AI89" s="3" t="n">
        <v>26340.0</v>
      </c>
      <c r="AJ89" s="3" t="n">
        <v>27918.0</v>
      </c>
      <c r="AK89" s="3" t="n">
        <v>28783.0</v>
      </c>
      <c r="AL89" s="3" t="n">
        <v>29117.0</v>
      </c>
      <c r="AM89" s="3" t="n">
        <v>29615.0</v>
      </c>
      <c r="AN89" s="3" t="n">
        <v>30487.0</v>
      </c>
      <c r="AO89" s="3" t="n">
        <v>31402.0</v>
      </c>
    </row>
    <row r="90" spans="1:41" x14ac:dyDescent="0.2">
      <c r="A90" s="125"/>
      <c r="B90" s="9">
        <v>81</v>
      </c>
      <c r="C90" s="3" t="n">
        <v>12068.0</v>
      </c>
      <c r="D90" s="3" t="n">
        <v>11064.0</v>
      </c>
      <c r="E90" s="3" t="n">
        <v>11048.0</v>
      </c>
      <c r="F90" s="3" t="n">
        <v>11633.0</v>
      </c>
      <c r="G90" s="3" t="n">
        <v>11606.0</v>
      </c>
      <c r="H90" s="3" t="n">
        <v>17317.0</v>
      </c>
      <c r="I90" s="3" t="n">
        <v>20444.0</v>
      </c>
      <c r="J90" s="3" t="n">
        <v>22676.0</v>
      </c>
      <c r="K90" s="3" t="n">
        <v>23455.0</v>
      </c>
      <c r="L90" s="3" t="n">
        <v>24448.0</v>
      </c>
      <c r="M90" s="3" t="n">
        <v>25844.0</v>
      </c>
      <c r="N90" s="3" t="n">
        <v>26291.0</v>
      </c>
      <c r="O90" s="3" t="n">
        <v>26006.0</v>
      </c>
      <c r="P90" s="3" t="n">
        <v>26075.0</v>
      </c>
      <c r="Q90" s="3" t="n">
        <v>27216.0</v>
      </c>
      <c r="R90" s="3" t="n">
        <v>26637.0</v>
      </c>
      <c r="S90" s="3" t="n">
        <v>26485.0</v>
      </c>
      <c r="T90" s="3" t="n">
        <v>26092.0</v>
      </c>
      <c r="U90" s="3" t="n">
        <v>24752.0</v>
      </c>
      <c r="V90" s="3" t="n">
        <v>23049.0</v>
      </c>
      <c r="W90" s="3" t="n">
        <v>21753.0</v>
      </c>
      <c r="X90" s="3" t="n">
        <v>20251.0</v>
      </c>
      <c r="Y90" s="3" t="n">
        <v>19890.0</v>
      </c>
      <c r="Z90" s="3" t="n">
        <v>19373.0</v>
      </c>
      <c r="AA90" s="3" t="n">
        <v>19052.0</v>
      </c>
      <c r="AB90" s="3" t="n">
        <v>18643.0</v>
      </c>
      <c r="AC90" s="3" t="n">
        <v>18291.0</v>
      </c>
      <c r="AD90" s="3" t="n">
        <v>18641.0</v>
      </c>
      <c r="AE90" s="3" t="n">
        <v>19491.0</v>
      </c>
      <c r="AF90" s="3" t="n">
        <v>20332.0</v>
      </c>
      <c r="AG90" s="3" t="n">
        <v>21563.0</v>
      </c>
      <c r="AH90" s="3" t="n">
        <v>22641.0</v>
      </c>
      <c r="AI90" s="3" t="n">
        <v>23919.0</v>
      </c>
      <c r="AJ90" s="3" t="n">
        <v>25243.0</v>
      </c>
      <c r="AK90" s="3" t="n">
        <v>26762.0</v>
      </c>
      <c r="AL90" s="3" t="n">
        <v>27618.0</v>
      </c>
      <c r="AM90" s="3" t="n">
        <v>27936.0</v>
      </c>
      <c r="AN90" s="3" t="n">
        <v>28423.0</v>
      </c>
      <c r="AO90" s="3" t="n">
        <v>29272.0</v>
      </c>
    </row>
    <row r="91" spans="1:41" x14ac:dyDescent="0.2">
      <c r="A91" s="125"/>
      <c r="B91" s="9">
        <v>82</v>
      </c>
      <c r="C91" s="3" t="n">
        <v>12314.0</v>
      </c>
      <c r="D91" s="3" t="n">
        <v>11325.0</v>
      </c>
      <c r="E91" s="3" t="n">
        <v>10403.0</v>
      </c>
      <c r="F91" s="3" t="n">
        <v>10395.0</v>
      </c>
      <c r="G91" s="3" t="n">
        <v>10953.0</v>
      </c>
      <c r="H91" s="3" t="n">
        <v>10947.0</v>
      </c>
      <c r="I91" s="3" t="n">
        <v>16334.0</v>
      </c>
      <c r="J91" s="3" t="n">
        <v>19263.0</v>
      </c>
      <c r="K91" s="3" t="n">
        <v>21368.0</v>
      </c>
      <c r="L91" s="3" t="n">
        <v>22118.0</v>
      </c>
      <c r="M91" s="3" t="n">
        <v>23066.0</v>
      </c>
      <c r="N91" s="3" t="n">
        <v>24395.0</v>
      </c>
      <c r="O91" s="3" t="n">
        <v>24828.0</v>
      </c>
      <c r="P91" s="3" t="n">
        <v>24576.0</v>
      </c>
      <c r="Q91" s="3" t="n">
        <v>24651.0</v>
      </c>
      <c r="R91" s="3" t="n">
        <v>25753.0</v>
      </c>
      <c r="S91" s="3" t="n">
        <v>25211.0</v>
      </c>
      <c r="T91" s="3" t="n">
        <v>25080.0</v>
      </c>
      <c r="U91" s="3" t="n">
        <v>24717.0</v>
      </c>
      <c r="V91" s="3" t="n">
        <v>23458.0</v>
      </c>
      <c r="W91" s="3" t="n">
        <v>21861.0</v>
      </c>
      <c r="X91" s="3" t="n">
        <v>20645.0</v>
      </c>
      <c r="Y91" s="3" t="n">
        <v>19231.0</v>
      </c>
      <c r="Z91" s="3" t="n">
        <v>18899.0</v>
      </c>
      <c r="AA91" s="3" t="n">
        <v>18405.0</v>
      </c>
      <c r="AB91" s="3" t="n">
        <v>18120.0</v>
      </c>
      <c r="AC91" s="3" t="n">
        <v>17732.0</v>
      </c>
      <c r="AD91" s="3" t="n">
        <v>17421.0</v>
      </c>
      <c r="AE91" s="3" t="n">
        <v>17754.0</v>
      </c>
      <c r="AF91" s="3" t="n">
        <v>18564.0</v>
      </c>
      <c r="AG91" s="3" t="n">
        <v>19365.0</v>
      </c>
      <c r="AH91" s="3" t="n">
        <v>20550.0</v>
      </c>
      <c r="AI91" s="3" t="n">
        <v>21586.0</v>
      </c>
      <c r="AJ91" s="3" t="n">
        <v>22810.0</v>
      </c>
      <c r="AK91" s="3" t="n">
        <v>24082.0</v>
      </c>
      <c r="AL91" s="3" t="n">
        <v>25542.0</v>
      </c>
      <c r="AM91" s="3" t="n">
        <v>26361.0</v>
      </c>
      <c r="AN91" s="3" t="n">
        <v>26675.0</v>
      </c>
      <c r="AO91" s="3" t="n">
        <v>27157.0</v>
      </c>
    </row>
    <row r="92" spans="1:41" x14ac:dyDescent="0.2">
      <c r="A92" s="125"/>
      <c r="B92" s="9">
        <v>83</v>
      </c>
      <c r="C92" s="3" t="n">
        <v>11496.0</v>
      </c>
      <c r="D92" s="3" t="n">
        <v>11452.0</v>
      </c>
      <c r="E92" s="3" t="n">
        <v>10544.0</v>
      </c>
      <c r="F92" s="3" t="n">
        <v>9699.0</v>
      </c>
      <c r="G92" s="3" t="n">
        <v>9697.0</v>
      </c>
      <c r="H92" s="3" t="n">
        <v>10231.0</v>
      </c>
      <c r="I92" s="3" t="n">
        <v>10235.0</v>
      </c>
      <c r="J92" s="3" t="n">
        <v>15263.0</v>
      </c>
      <c r="K92" s="3" t="n">
        <v>17995.0</v>
      </c>
      <c r="L92" s="3" t="n">
        <v>19968.0</v>
      </c>
      <c r="M92" s="3" t="n">
        <v>20681.0</v>
      </c>
      <c r="N92" s="3" t="n">
        <v>21581.0</v>
      </c>
      <c r="O92" s="3" t="n">
        <v>22843.0</v>
      </c>
      <c r="P92" s="3" t="n">
        <v>23257.0</v>
      </c>
      <c r="Q92" s="3" t="n">
        <v>23033.0</v>
      </c>
      <c r="R92" s="3" t="n">
        <v>23122.0</v>
      </c>
      <c r="S92" s="3" t="n">
        <v>24177.0</v>
      </c>
      <c r="T92" s="3" t="n">
        <v>23679.0</v>
      </c>
      <c r="U92" s="3" t="n">
        <v>23561.0</v>
      </c>
      <c r="V92" s="3" t="n">
        <v>23234.0</v>
      </c>
      <c r="W92" s="3" t="n">
        <v>22067.0</v>
      </c>
      <c r="X92" s="3" t="n">
        <v>20578.0</v>
      </c>
      <c r="Y92" s="3" t="n">
        <v>19445.0</v>
      </c>
      <c r="Z92" s="3" t="n">
        <v>18123.0</v>
      </c>
      <c r="AA92" s="3" t="n">
        <v>17816.0</v>
      </c>
      <c r="AB92" s="3" t="n">
        <v>17366.0</v>
      </c>
      <c r="AC92" s="3" t="n">
        <v>17101.0</v>
      </c>
      <c r="AD92" s="3" t="n">
        <v>16751.0</v>
      </c>
      <c r="AE92" s="3" t="n">
        <v>16469.0</v>
      </c>
      <c r="AF92" s="3" t="n">
        <v>16782.0</v>
      </c>
      <c r="AG92" s="3" t="n">
        <v>17552.0</v>
      </c>
      <c r="AH92" s="3" t="n">
        <v>18314.0</v>
      </c>
      <c r="AI92" s="3" t="n">
        <v>19447.0</v>
      </c>
      <c r="AJ92" s="3" t="n">
        <v>20432.0</v>
      </c>
      <c r="AK92" s="3" t="n">
        <v>21601.0</v>
      </c>
      <c r="AL92" s="3" t="n">
        <v>22824.0</v>
      </c>
      <c r="AM92" s="3" t="n">
        <v>24211.0</v>
      </c>
      <c r="AN92" s="3" t="n">
        <v>24992.0</v>
      </c>
      <c r="AO92" s="3" t="n">
        <v>25314.0</v>
      </c>
    </row>
    <row r="93" spans="1:41" x14ac:dyDescent="0.2">
      <c r="A93" s="125"/>
      <c r="B93" s="9">
        <v>84</v>
      </c>
      <c r="C93" s="3" t="n">
        <v>10586.0</v>
      </c>
      <c r="D93" s="3" t="n">
        <v>10583.0</v>
      </c>
      <c r="E93" s="3" t="n">
        <v>10554.0</v>
      </c>
      <c r="F93" s="3" t="n">
        <v>9728.0</v>
      </c>
      <c r="G93" s="3" t="n">
        <v>8957.0</v>
      </c>
      <c r="H93" s="3" t="n">
        <v>8977.0</v>
      </c>
      <c r="I93" s="3" t="n">
        <v>9480.0</v>
      </c>
      <c r="J93" s="3" t="n">
        <v>9481.0</v>
      </c>
      <c r="K93" s="3" t="n">
        <v>14133.0</v>
      </c>
      <c r="L93" s="3" t="n">
        <v>16673.0</v>
      </c>
      <c r="M93" s="3" t="n">
        <v>18508.0</v>
      </c>
      <c r="N93" s="3" t="n">
        <v>19183.0</v>
      </c>
      <c r="O93" s="3" t="n">
        <v>20033.0</v>
      </c>
      <c r="P93" s="3" t="n">
        <v>21224.0</v>
      </c>
      <c r="Q93" s="3" t="n">
        <v>21617.0</v>
      </c>
      <c r="R93" s="3" t="n">
        <v>21428.0</v>
      </c>
      <c r="S93" s="3" t="n">
        <v>21530.0</v>
      </c>
      <c r="T93" s="3" t="n">
        <v>22522.0</v>
      </c>
      <c r="U93" s="3" t="n">
        <v>22075.0</v>
      </c>
      <c r="V93" s="3" t="n">
        <v>21982.0</v>
      </c>
      <c r="W93" s="3" t="n">
        <v>21675.0</v>
      </c>
      <c r="X93" s="3" t="n">
        <v>20620.0</v>
      </c>
      <c r="Y93" s="3" t="n">
        <v>19235.0</v>
      </c>
      <c r="Z93" s="3" t="n">
        <v>18183.0</v>
      </c>
      <c r="AA93" s="3" t="n">
        <v>16961.0</v>
      </c>
      <c r="AB93" s="3" t="n">
        <v>16682.0</v>
      </c>
      <c r="AC93" s="3" t="n">
        <v>16274.0</v>
      </c>
      <c r="AD93" s="3" t="n">
        <v>16037.0</v>
      </c>
      <c r="AE93" s="3" t="n">
        <v>15714.0</v>
      </c>
      <c r="AF93" s="3" t="n">
        <v>15460.0</v>
      </c>
      <c r="AG93" s="3" t="n">
        <v>15757.0</v>
      </c>
      <c r="AH93" s="3" t="n">
        <v>16484.0</v>
      </c>
      <c r="AI93" s="3" t="n">
        <v>17215.0</v>
      </c>
      <c r="AJ93" s="3" t="n">
        <v>18290.0</v>
      </c>
      <c r="AK93" s="3" t="n">
        <v>19220.0</v>
      </c>
      <c r="AL93" s="3" t="n">
        <v>20329.0</v>
      </c>
      <c r="AM93" s="3" t="n">
        <v>21494.0</v>
      </c>
      <c r="AN93" s="3" t="n">
        <v>22807.0</v>
      </c>
      <c r="AO93" s="3" t="n">
        <v>23560.0</v>
      </c>
    </row>
    <row r="94" spans="1:41" x14ac:dyDescent="0.2">
      <c r="A94" s="125"/>
      <c r="B94" s="9">
        <v>85</v>
      </c>
      <c r="C94" s="3" t="n">
        <v>10121.0</v>
      </c>
      <c r="D94" s="3" t="n">
        <v>9652.0</v>
      </c>
      <c r="E94" s="3" t="n">
        <v>9665.0</v>
      </c>
      <c r="F94" s="3" t="n">
        <v>9645.0</v>
      </c>
      <c r="G94" s="3" t="n">
        <v>8900.0</v>
      </c>
      <c r="H94" s="3" t="n">
        <v>8210.0</v>
      </c>
      <c r="I94" s="3" t="n">
        <v>8238.0</v>
      </c>
      <c r="J94" s="3" t="n">
        <v>8693.0</v>
      </c>
      <c r="K94" s="3" t="n">
        <v>8707.0</v>
      </c>
      <c r="L94" s="3" t="n">
        <v>12971.0</v>
      </c>
      <c r="M94" s="3" t="n">
        <v>15307.0</v>
      </c>
      <c r="N94" s="3" t="n">
        <v>17001.0</v>
      </c>
      <c r="O94" s="3" t="n">
        <v>17636.0</v>
      </c>
      <c r="P94" s="3" t="n">
        <v>18434.0</v>
      </c>
      <c r="Q94" s="3" t="n">
        <v>19548.0</v>
      </c>
      <c r="R94" s="3" t="n">
        <v>19921.0</v>
      </c>
      <c r="S94" s="3" t="n">
        <v>19766.0</v>
      </c>
      <c r="T94" s="3" t="n">
        <v>19877.0</v>
      </c>
      <c r="U94" s="3" t="n">
        <v>20808.0</v>
      </c>
      <c r="V94" s="3" t="n">
        <v>20413.0</v>
      </c>
      <c r="W94" s="3" t="n">
        <v>20343.0</v>
      </c>
      <c r="X94" s="3" t="n">
        <v>20070.0</v>
      </c>
      <c r="Y94" s="3" t="n">
        <v>19109.0</v>
      </c>
      <c r="Z94" s="3" t="n">
        <v>17832.0</v>
      </c>
      <c r="AA94" s="3" t="n">
        <v>16865.0</v>
      </c>
      <c r="AB94" s="3" t="n">
        <v>15752.0</v>
      </c>
      <c r="AC94" s="3" t="n">
        <v>15502.0</v>
      </c>
      <c r="AD94" s="3" t="n">
        <v>15138.0</v>
      </c>
      <c r="AE94" s="3" t="n">
        <v>14925.0</v>
      </c>
      <c r="AF94" s="3" t="n">
        <v>14626.0</v>
      </c>
      <c r="AG94" s="3" t="n">
        <v>14394.0</v>
      </c>
      <c r="AH94" s="3" t="n">
        <v>14689.0</v>
      </c>
      <c r="AI94" s="3" t="n">
        <v>15375.0</v>
      </c>
      <c r="AJ94" s="3" t="n">
        <v>16067.0</v>
      </c>
      <c r="AK94" s="3" t="n">
        <v>17074.0</v>
      </c>
      <c r="AL94" s="3" t="n">
        <v>17953.0</v>
      </c>
      <c r="AM94" s="3" t="n">
        <v>18990.0</v>
      </c>
      <c r="AN94" s="3" t="n">
        <v>20091.0</v>
      </c>
      <c r="AO94" s="3" t="n">
        <v>21345.0</v>
      </c>
    </row>
    <row r="95" spans="1:41" x14ac:dyDescent="0.2">
      <c r="A95" s="125"/>
      <c r="B95" s="9">
        <v>86</v>
      </c>
      <c r="C95" s="3" t="n">
        <v>9351.0</v>
      </c>
      <c r="D95" s="3" t="n">
        <v>9122.0</v>
      </c>
      <c r="E95" s="3" t="n">
        <v>8721.0</v>
      </c>
      <c r="F95" s="3" t="n">
        <v>8745.0</v>
      </c>
      <c r="G95" s="3" t="n">
        <v>8736.0</v>
      </c>
      <c r="H95" s="3" t="n">
        <v>8079.0</v>
      </c>
      <c r="I95" s="3" t="n">
        <v>7463.0</v>
      </c>
      <c r="J95" s="3" t="n">
        <v>7487.0</v>
      </c>
      <c r="K95" s="3" t="n">
        <v>7913.0</v>
      </c>
      <c r="L95" s="3" t="n">
        <v>7927.0</v>
      </c>
      <c r="M95" s="3" t="n">
        <v>11807.0</v>
      </c>
      <c r="N95" s="3" t="n">
        <v>13939.0</v>
      </c>
      <c r="O95" s="3" t="n">
        <v>15495.0</v>
      </c>
      <c r="P95" s="3" t="n">
        <v>16087.0</v>
      </c>
      <c r="Q95" s="3" t="n">
        <v>16827.0</v>
      </c>
      <c r="R95" s="3" t="n">
        <v>17869.0</v>
      </c>
      <c r="S95" s="3" t="n">
        <v>18222.0</v>
      </c>
      <c r="T95" s="3" t="n">
        <v>18095.0</v>
      </c>
      <c r="U95" s="3" t="n">
        <v>18208.0</v>
      </c>
      <c r="V95" s="3" t="n">
        <v>19074.0</v>
      </c>
      <c r="W95" s="3" t="n">
        <v>18728.0</v>
      </c>
      <c r="X95" s="3" t="n">
        <v>18693.0</v>
      </c>
      <c r="Y95" s="3" t="n">
        <v>18450.0</v>
      </c>
      <c r="Z95" s="3" t="n">
        <v>17572.0</v>
      </c>
      <c r="AA95" s="3" t="n">
        <v>16407.0</v>
      </c>
      <c r="AB95" s="3" t="n">
        <v>15534.0</v>
      </c>
      <c r="AC95" s="3" t="n">
        <v>14523.0</v>
      </c>
      <c r="AD95" s="3" t="n">
        <v>14311.0</v>
      </c>
      <c r="AE95" s="3" t="n">
        <v>13986.0</v>
      </c>
      <c r="AF95" s="3" t="n">
        <v>13796.0</v>
      </c>
      <c r="AG95" s="3" t="n">
        <v>13520.0</v>
      </c>
      <c r="AH95" s="3" t="n">
        <v>13325.0</v>
      </c>
      <c r="AI95" s="3" t="n">
        <v>13608.0</v>
      </c>
      <c r="AJ95" s="3" t="n">
        <v>14250.0</v>
      </c>
      <c r="AK95" s="3" t="n">
        <v>14898.0</v>
      </c>
      <c r="AL95" s="3" t="n">
        <v>15846.0</v>
      </c>
      <c r="AM95" s="3" t="n">
        <v>16664.0</v>
      </c>
      <c r="AN95" s="3" t="n">
        <v>17632.0</v>
      </c>
      <c r="AO95" s="3" t="n">
        <v>18667.0</v>
      </c>
    </row>
    <row r="96" spans="1:41" x14ac:dyDescent="0.2">
      <c r="A96" s="125"/>
      <c r="B96" s="9">
        <v>87</v>
      </c>
      <c r="C96" s="3" t="n">
        <v>8238.0</v>
      </c>
      <c r="D96" s="3" t="n">
        <v>8344.0</v>
      </c>
      <c r="E96" s="3" t="n">
        <v>8161.0</v>
      </c>
      <c r="F96" s="3" t="n">
        <v>7819.0</v>
      </c>
      <c r="G96" s="3" t="n">
        <v>7844.0</v>
      </c>
      <c r="H96" s="3" t="n">
        <v>7857.0</v>
      </c>
      <c r="I96" s="3" t="n">
        <v>7277.0</v>
      </c>
      <c r="J96" s="3" t="n">
        <v>6725.0</v>
      </c>
      <c r="K96" s="3" t="n">
        <v>6748.0</v>
      </c>
      <c r="L96" s="3" t="n">
        <v>7135.0</v>
      </c>
      <c r="M96" s="3" t="n">
        <v>7154.0</v>
      </c>
      <c r="N96" s="3" t="n">
        <v>10656.0</v>
      </c>
      <c r="O96" s="3" t="n">
        <v>12591.0</v>
      </c>
      <c r="P96" s="3" t="n">
        <v>14002.0</v>
      </c>
      <c r="Q96" s="3" t="n">
        <v>14555.0</v>
      </c>
      <c r="R96" s="3" t="n">
        <v>15245.0</v>
      </c>
      <c r="S96" s="3" t="n">
        <v>16208.0</v>
      </c>
      <c r="T96" s="3" t="n">
        <v>16538.0</v>
      </c>
      <c r="U96" s="3" t="n">
        <v>16432.0</v>
      </c>
      <c r="V96" s="3" t="n">
        <v>16557.0</v>
      </c>
      <c r="W96" s="3" t="n">
        <v>17353.0</v>
      </c>
      <c r="X96" s="3" t="n">
        <v>17057.0</v>
      </c>
      <c r="Y96" s="3" t="n">
        <v>17044.0</v>
      </c>
      <c r="Z96" s="3" t="n">
        <v>16819.0</v>
      </c>
      <c r="AA96" s="3" t="n">
        <v>16034.0</v>
      </c>
      <c r="AB96" s="3" t="n">
        <v>14995.0</v>
      </c>
      <c r="AC96" s="3" t="n">
        <v>14202.0</v>
      </c>
      <c r="AD96" s="3" t="n">
        <v>13295.0</v>
      </c>
      <c r="AE96" s="3" t="n">
        <v>13109.0</v>
      </c>
      <c r="AF96" s="3" t="n">
        <v>12828.0</v>
      </c>
      <c r="AG96" s="3" t="n">
        <v>12661.0</v>
      </c>
      <c r="AH96" s="3" t="n">
        <v>12416.0</v>
      </c>
      <c r="AI96" s="3" t="n">
        <v>12251.0</v>
      </c>
      <c r="AJ96" s="3" t="n">
        <v>12515.0</v>
      </c>
      <c r="AK96" s="3" t="n">
        <v>13112.0</v>
      </c>
      <c r="AL96" s="3" t="n">
        <v>13717.0</v>
      </c>
      <c r="AM96" s="3" t="n">
        <v>14597.0</v>
      </c>
      <c r="AN96" s="3" t="n">
        <v>15354.0</v>
      </c>
      <c r="AO96" s="3" t="n">
        <v>16259.0</v>
      </c>
    </row>
    <row r="97" spans="1:41" x14ac:dyDescent="0.2">
      <c r="A97" s="125"/>
      <c r="B97" s="9">
        <v>88</v>
      </c>
      <c r="C97" s="3" t="n">
        <v>7010.0</v>
      </c>
      <c r="D97" s="3" t="n">
        <v>7254.0</v>
      </c>
      <c r="E97" s="3" t="n">
        <v>7371.0</v>
      </c>
      <c r="F97" s="3" t="n">
        <v>7221.0</v>
      </c>
      <c r="G97" s="3" t="n">
        <v>6932.0</v>
      </c>
      <c r="H97" s="3" t="n">
        <v>6975.0</v>
      </c>
      <c r="I97" s="3" t="n">
        <v>6991.0</v>
      </c>
      <c r="J97" s="3" t="n">
        <v>6475.0</v>
      </c>
      <c r="K97" s="3" t="n">
        <v>5996.0</v>
      </c>
      <c r="L97" s="3" t="n">
        <v>6010.0</v>
      </c>
      <c r="M97" s="3" t="n">
        <v>6364.0</v>
      </c>
      <c r="N97" s="3" t="n">
        <v>6398.0</v>
      </c>
      <c r="O97" s="3" t="n">
        <v>9519.0</v>
      </c>
      <c r="P97" s="3" t="n">
        <v>11247.0</v>
      </c>
      <c r="Q97" s="3" t="n">
        <v>12519.0</v>
      </c>
      <c r="R97" s="3" t="n">
        <v>13040.0</v>
      </c>
      <c r="S97" s="3" t="n">
        <v>13678.0</v>
      </c>
      <c r="T97" s="3" t="n">
        <v>14552.0</v>
      </c>
      <c r="U97" s="3" t="n">
        <v>14856.0</v>
      </c>
      <c r="V97" s="3" t="n">
        <v>14777.0</v>
      </c>
      <c r="W97" s="3" t="n">
        <v>14908.0</v>
      </c>
      <c r="X97" s="3" t="n">
        <v>15642.0</v>
      </c>
      <c r="Y97" s="3" t="n">
        <v>15390.0</v>
      </c>
      <c r="Z97" s="3" t="n">
        <v>15378.0</v>
      </c>
      <c r="AA97" s="3" t="n">
        <v>15192.0</v>
      </c>
      <c r="AB97" s="3" t="n">
        <v>14503.0</v>
      </c>
      <c r="AC97" s="3" t="n">
        <v>13571.0</v>
      </c>
      <c r="AD97" s="3" t="n">
        <v>12861.0</v>
      </c>
      <c r="AE97" s="3" t="n">
        <v>12058.0</v>
      </c>
      <c r="AF97" s="3" t="n">
        <v>11898.0</v>
      </c>
      <c r="AG97" s="3" t="n">
        <v>11645.0</v>
      </c>
      <c r="AH97" s="3" t="n">
        <v>11502.0</v>
      </c>
      <c r="AI97" s="3" t="n">
        <v>11293.0</v>
      </c>
      <c r="AJ97" s="3" t="n">
        <v>11154.0</v>
      </c>
      <c r="AK97" s="3" t="n">
        <v>11406.0</v>
      </c>
      <c r="AL97" s="3" t="n">
        <v>11960.0</v>
      </c>
      <c r="AM97" s="3" t="n">
        <v>12518.0</v>
      </c>
      <c r="AN97" s="3" t="n">
        <v>13327.0</v>
      </c>
      <c r="AO97" s="3" t="n">
        <v>14027.0</v>
      </c>
    </row>
    <row r="98" spans="1:41" x14ac:dyDescent="0.2">
      <c r="A98" s="125"/>
      <c r="B98" s="9">
        <v>89</v>
      </c>
      <c r="C98" s="3" t="n">
        <v>5928.0</v>
      </c>
      <c r="D98" s="3" t="n">
        <v>6091.0</v>
      </c>
      <c r="E98" s="3" t="n">
        <v>6319.0</v>
      </c>
      <c r="F98" s="3" t="n">
        <v>6440.0</v>
      </c>
      <c r="G98" s="3" t="n">
        <v>6312.0</v>
      </c>
      <c r="H98" s="3" t="n">
        <v>6086.0</v>
      </c>
      <c r="I98" s="3" t="n">
        <v>6133.0</v>
      </c>
      <c r="J98" s="3" t="n">
        <v>6149.0</v>
      </c>
      <c r="K98" s="3" t="n">
        <v>5704.0</v>
      </c>
      <c r="L98" s="3" t="n">
        <v>5286.0</v>
      </c>
      <c r="M98" s="3" t="n">
        <v>5305.0</v>
      </c>
      <c r="N98" s="3" t="n">
        <v>5621.0</v>
      </c>
      <c r="O98" s="3" t="n">
        <v>5653.0</v>
      </c>
      <c r="P98" s="3" t="n">
        <v>8420.0</v>
      </c>
      <c r="Q98" s="3" t="n">
        <v>9955.0</v>
      </c>
      <c r="R98" s="3" t="n">
        <v>11096.0</v>
      </c>
      <c r="S98" s="3" t="n">
        <v>11566.0</v>
      </c>
      <c r="T98" s="3" t="n">
        <v>12147.0</v>
      </c>
      <c r="U98" s="3" t="n">
        <v>12944.0</v>
      </c>
      <c r="V98" s="3" t="n">
        <v>13233.0</v>
      </c>
      <c r="W98" s="3" t="n">
        <v>13174.0</v>
      </c>
      <c r="X98" s="3" t="n">
        <v>13309.0</v>
      </c>
      <c r="Y98" s="3" t="n">
        <v>13981.0</v>
      </c>
      <c r="Z98" s="3" t="n">
        <v>13765.0</v>
      </c>
      <c r="AA98" s="3" t="n">
        <v>13768.0</v>
      </c>
      <c r="AB98" s="3" t="n">
        <v>13611.0</v>
      </c>
      <c r="AC98" s="3" t="n">
        <v>13016.0</v>
      </c>
      <c r="AD98" s="3" t="n">
        <v>12183.0</v>
      </c>
      <c r="AE98" s="3" t="n">
        <v>11555.0</v>
      </c>
      <c r="AF98" s="3" t="n">
        <v>10848.0</v>
      </c>
      <c r="AG98" s="3" t="n">
        <v>10703.0</v>
      </c>
      <c r="AH98" s="3" t="n">
        <v>10488.0</v>
      </c>
      <c r="AI98" s="3" t="n">
        <v>10366.0</v>
      </c>
      <c r="AJ98" s="3" t="n">
        <v>10196.0</v>
      </c>
      <c r="AK98" s="3" t="n">
        <v>10075.0</v>
      </c>
      <c r="AL98" s="3" t="n">
        <v>10311.0</v>
      </c>
      <c r="AM98" s="3" t="n">
        <v>10815.0</v>
      </c>
      <c r="AN98" s="3" t="n">
        <v>11332.0</v>
      </c>
      <c r="AO98" s="3" t="n">
        <v>12078.0</v>
      </c>
    </row>
    <row r="99" spans="1:41" x14ac:dyDescent="0.2">
      <c r="A99" s="125"/>
      <c r="B99" s="9">
        <v>90</v>
      </c>
      <c r="C99" s="3" t="n">
        <v>5305.0</v>
      </c>
      <c r="D99" s="3" t="n">
        <v>5094.0</v>
      </c>
      <c r="E99" s="3" t="n">
        <v>5248.0</v>
      </c>
      <c r="F99" s="3" t="n">
        <v>5455.0</v>
      </c>
      <c r="G99" s="3" t="n">
        <v>5573.0</v>
      </c>
      <c r="H99" s="3" t="n">
        <v>5473.0</v>
      </c>
      <c r="I99" s="3" t="n">
        <v>5282.0</v>
      </c>
      <c r="J99" s="3" t="n">
        <v>5335.0</v>
      </c>
      <c r="K99" s="3" t="n">
        <v>5348.0</v>
      </c>
      <c r="L99" s="3" t="n">
        <v>4975.0</v>
      </c>
      <c r="M99" s="3" t="n">
        <v>4617.0</v>
      </c>
      <c r="N99" s="3" t="n">
        <v>4640.0</v>
      </c>
      <c r="O99" s="3" t="n">
        <v>4912.0</v>
      </c>
      <c r="P99" s="3" t="n">
        <v>4954.0</v>
      </c>
      <c r="Q99" s="3" t="n">
        <v>7384.0</v>
      </c>
      <c r="R99" s="3" t="n">
        <v>8737.0</v>
      </c>
      <c r="S99" s="3" t="n">
        <v>9749.0</v>
      </c>
      <c r="T99" s="3" t="n">
        <v>10173.0</v>
      </c>
      <c r="U99" s="3" t="n">
        <v>10688.0</v>
      </c>
      <c r="V99" s="3" t="n">
        <v>11415.0</v>
      </c>
      <c r="W99" s="3" t="n">
        <v>11679.0</v>
      </c>
      <c r="X99" s="3" t="n">
        <v>11640.0</v>
      </c>
      <c r="Y99" s="3" t="n">
        <v>11776.0</v>
      </c>
      <c r="Z99" s="3" t="n">
        <v>12372.0</v>
      </c>
      <c r="AA99" s="3" t="n">
        <v>12194.0</v>
      </c>
      <c r="AB99" s="3" t="n">
        <v>12204.0</v>
      </c>
      <c r="AC99" s="3" t="n">
        <v>12084.0</v>
      </c>
      <c r="AD99" s="3" t="n">
        <v>11570.0</v>
      </c>
      <c r="AE99" s="3" t="n">
        <v>10847.0</v>
      </c>
      <c r="AF99" s="3" t="n">
        <v>10302.0</v>
      </c>
      <c r="AG99" s="3" t="n">
        <v>9680.0</v>
      </c>
      <c r="AH99" s="3" t="n">
        <v>9558.0</v>
      </c>
      <c r="AI99" s="3" t="n">
        <v>9372.0</v>
      </c>
      <c r="AJ99" s="3" t="n">
        <v>9276.0</v>
      </c>
      <c r="AK99" s="3" t="n">
        <v>9134.0</v>
      </c>
      <c r="AL99" s="3" t="n">
        <v>9034.0</v>
      </c>
      <c r="AM99" s="3" t="n">
        <v>9251.0</v>
      </c>
      <c r="AN99" s="3" t="n">
        <v>9707.0</v>
      </c>
      <c r="AO99" s="3" t="n">
        <v>10186.0</v>
      </c>
    </row>
    <row r="100" spans="1:41" x14ac:dyDescent="0.2">
      <c r="A100" s="125"/>
      <c r="B100" s="9">
        <v>91</v>
      </c>
      <c r="C100" s="3" t="n">
        <v>4164.0</v>
      </c>
      <c r="D100" s="3" t="n">
        <v>4482.0</v>
      </c>
      <c r="E100" s="3" t="n">
        <v>4318.0</v>
      </c>
      <c r="F100" s="3" t="n">
        <v>4464.0</v>
      </c>
      <c r="G100" s="3" t="n">
        <v>4642.0</v>
      </c>
      <c r="H100" s="3" t="n">
        <v>4757.0</v>
      </c>
      <c r="I100" s="3" t="n">
        <v>4684.0</v>
      </c>
      <c r="J100" s="3" t="n">
        <v>4522.0</v>
      </c>
      <c r="K100" s="3" t="n">
        <v>4577.0</v>
      </c>
      <c r="L100" s="3" t="n">
        <v>4591.0</v>
      </c>
      <c r="M100" s="3" t="n">
        <v>4281.0</v>
      </c>
      <c r="N100" s="3" t="n">
        <v>3980.0</v>
      </c>
      <c r="O100" s="3" t="n">
        <v>4000.0</v>
      </c>
      <c r="P100" s="3" t="n">
        <v>4244.0</v>
      </c>
      <c r="Q100" s="3" t="n">
        <v>4280.0</v>
      </c>
      <c r="R100" s="3" t="n">
        <v>6396.0</v>
      </c>
      <c r="S100" s="3" t="n">
        <v>7573.0</v>
      </c>
      <c r="T100" s="3" t="n">
        <v>8467.0</v>
      </c>
      <c r="U100" s="3" t="n">
        <v>8835.0</v>
      </c>
      <c r="V100" s="3" t="n">
        <v>9294.0</v>
      </c>
      <c r="W100" s="3" t="n">
        <v>9942.0</v>
      </c>
      <c r="X100" s="3" t="n">
        <v>10187.0</v>
      </c>
      <c r="Y100" s="3" t="n">
        <v>10168.0</v>
      </c>
      <c r="Z100" s="3" t="n">
        <v>10299.0</v>
      </c>
      <c r="AA100" s="3" t="n">
        <v>10824.0</v>
      </c>
      <c r="AB100" s="3" t="n">
        <v>10676.0</v>
      </c>
      <c r="AC100" s="3" t="n">
        <v>10703.0</v>
      </c>
      <c r="AD100" s="3" t="n">
        <v>10607.0</v>
      </c>
      <c r="AE100" s="3" t="n">
        <v>10175.0</v>
      </c>
      <c r="AF100" s="3" t="n">
        <v>9557.0</v>
      </c>
      <c r="AG100" s="3" t="n">
        <v>9078.0</v>
      </c>
      <c r="AH100" s="3" t="n">
        <v>8544.0</v>
      </c>
      <c r="AI100" s="3" t="n">
        <v>8437.0</v>
      </c>
      <c r="AJ100" s="3" t="n">
        <v>8287.0</v>
      </c>
      <c r="AK100" s="3" t="n">
        <v>8206.0</v>
      </c>
      <c r="AL100" s="3" t="n">
        <v>8097.0</v>
      </c>
      <c r="AM100" s="3" t="n">
        <v>8007.0</v>
      </c>
      <c r="AN100" s="3" t="n">
        <v>8212.0</v>
      </c>
      <c r="AO100" s="3" t="n">
        <v>8623.0</v>
      </c>
    </row>
    <row r="101" spans="1:41" x14ac:dyDescent="0.2">
      <c r="A101" s="125"/>
      <c r="B101" s="9">
        <v>92</v>
      </c>
      <c r="C101" s="3" t="n">
        <v>3475.0</v>
      </c>
      <c r="D101" s="3" t="n">
        <v>3462.0</v>
      </c>
      <c r="E101" s="3" t="n">
        <v>3731.0</v>
      </c>
      <c r="F101" s="3" t="n">
        <v>3609.0</v>
      </c>
      <c r="G101" s="3" t="n">
        <v>3743.0</v>
      </c>
      <c r="H101" s="3" t="n">
        <v>3901.0</v>
      </c>
      <c r="I101" s="3" t="n">
        <v>4007.0</v>
      </c>
      <c r="J101" s="3" t="n">
        <v>3947.0</v>
      </c>
      <c r="K101" s="3" t="n">
        <v>3819.0</v>
      </c>
      <c r="L101" s="3" t="n">
        <v>3870.0</v>
      </c>
      <c r="M101" s="3" t="n">
        <v>3890.0</v>
      </c>
      <c r="N101" s="3" t="n">
        <v>3637.0</v>
      </c>
      <c r="O101" s="3" t="n">
        <v>3384.0</v>
      </c>
      <c r="P101" s="3" t="n">
        <v>3406.0</v>
      </c>
      <c r="Q101" s="3" t="n">
        <v>3624.0</v>
      </c>
      <c r="R101" s="3" t="n">
        <v>3652.0</v>
      </c>
      <c r="S101" s="3" t="n">
        <v>5462.0</v>
      </c>
      <c r="T101" s="3" t="n">
        <v>6484.0</v>
      </c>
      <c r="U101" s="3" t="n">
        <v>7253.0</v>
      </c>
      <c r="V101" s="3" t="n">
        <v>7576.0</v>
      </c>
      <c r="W101" s="3" t="n">
        <v>7983.0</v>
      </c>
      <c r="X101" s="3" t="n">
        <v>8555.0</v>
      </c>
      <c r="Y101" s="3" t="n">
        <v>8768.0</v>
      </c>
      <c r="Z101" s="3" t="n">
        <v>8763.0</v>
      </c>
      <c r="AA101" s="3" t="n">
        <v>8887.0</v>
      </c>
      <c r="AB101" s="3" t="n">
        <v>9352.0</v>
      </c>
      <c r="AC101" s="3" t="n">
        <v>9228.0</v>
      </c>
      <c r="AD101" s="3" t="n">
        <v>9273.0</v>
      </c>
      <c r="AE101" s="3" t="n">
        <v>9202.0</v>
      </c>
      <c r="AF101" s="3" t="n">
        <v>8844.0</v>
      </c>
      <c r="AG101" s="3" t="n">
        <v>8306.0</v>
      </c>
      <c r="AH101" s="3" t="n">
        <v>7896.0</v>
      </c>
      <c r="AI101" s="3" t="n">
        <v>7443.0</v>
      </c>
      <c r="AJ101" s="3" t="n">
        <v>7357.0</v>
      </c>
      <c r="AK101" s="3" t="n">
        <v>7241.0</v>
      </c>
      <c r="AL101" s="3" t="n">
        <v>7175.0</v>
      </c>
      <c r="AM101" s="3" t="n">
        <v>7086.0</v>
      </c>
      <c r="AN101" s="3" t="n">
        <v>7015.0</v>
      </c>
      <c r="AO101" s="3" t="n">
        <v>7207.0</v>
      </c>
    </row>
    <row r="102" spans="1:41" x14ac:dyDescent="0.2">
      <c r="A102" s="125"/>
      <c r="B102" s="9">
        <v>93</v>
      </c>
      <c r="C102" s="3" t="n">
        <v>2576.0</v>
      </c>
      <c r="D102" s="3" t="n">
        <v>2834.0</v>
      </c>
      <c r="E102" s="3" t="n">
        <v>2831.0</v>
      </c>
      <c r="F102" s="3" t="n">
        <v>3064.0</v>
      </c>
      <c r="G102" s="3" t="n">
        <v>2974.0</v>
      </c>
      <c r="H102" s="3" t="n">
        <v>3089.0</v>
      </c>
      <c r="I102" s="3" t="n">
        <v>3231.0</v>
      </c>
      <c r="J102" s="3" t="n">
        <v>3321.0</v>
      </c>
      <c r="K102" s="3" t="n">
        <v>3274.0</v>
      </c>
      <c r="L102" s="3" t="n">
        <v>3177.0</v>
      </c>
      <c r="M102" s="3" t="n">
        <v>3222.0</v>
      </c>
      <c r="N102" s="3" t="n">
        <v>3248.0</v>
      </c>
      <c r="O102" s="3" t="n">
        <v>3044.0</v>
      </c>
      <c r="P102" s="3" t="n">
        <v>2840.0</v>
      </c>
      <c r="Q102" s="3" t="n">
        <v>2863.0</v>
      </c>
      <c r="R102" s="3" t="n">
        <v>3045.0</v>
      </c>
      <c r="S102" s="3" t="n">
        <v>3076.0</v>
      </c>
      <c r="T102" s="3" t="n">
        <v>4609.0</v>
      </c>
      <c r="U102" s="3" t="n">
        <v>5467.0</v>
      </c>
      <c r="V102" s="3" t="n">
        <v>6127.0</v>
      </c>
      <c r="W102" s="3" t="n">
        <v>6410.0</v>
      </c>
      <c r="X102" s="3" t="n">
        <v>6767.0</v>
      </c>
      <c r="Y102" s="3" t="n">
        <v>7260.0</v>
      </c>
      <c r="Z102" s="3" t="n">
        <v>7447.0</v>
      </c>
      <c r="AA102" s="3" t="n">
        <v>7451.0</v>
      </c>
      <c r="AB102" s="3" t="n">
        <v>7569.0</v>
      </c>
      <c r="AC102" s="3" t="n">
        <v>7984.0</v>
      </c>
      <c r="AD102" s="3" t="n">
        <v>7889.0</v>
      </c>
      <c r="AE102" s="3" t="n">
        <v>7937.0</v>
      </c>
      <c r="AF102" s="3" t="n">
        <v>7892.0</v>
      </c>
      <c r="AG102" s="3" t="n">
        <v>7582.0</v>
      </c>
      <c r="AH102" s="3" t="n">
        <v>7135.0</v>
      </c>
      <c r="AI102" s="3" t="n">
        <v>6795.0</v>
      </c>
      <c r="AJ102" s="3" t="n">
        <v>6411.0</v>
      </c>
      <c r="AK102" s="3" t="n">
        <v>6346.0</v>
      </c>
      <c r="AL102" s="3" t="n">
        <v>6256.0</v>
      </c>
      <c r="AM102" s="3" t="n">
        <v>6205.0</v>
      </c>
      <c r="AN102" s="3" t="n">
        <v>6131.0</v>
      </c>
      <c r="AO102" s="3" t="n">
        <v>6088.0</v>
      </c>
    </row>
    <row r="103" spans="1:41" x14ac:dyDescent="0.2">
      <c r="A103" s="125"/>
      <c r="B103" s="9">
        <v>94</v>
      </c>
      <c r="C103" s="3" t="n">
        <v>2038.0</v>
      </c>
      <c r="D103" s="3" t="n">
        <v>2061.0</v>
      </c>
      <c r="E103" s="3" t="n">
        <v>2275.0</v>
      </c>
      <c r="F103" s="3" t="n">
        <v>2285.0</v>
      </c>
      <c r="G103" s="3" t="n">
        <v>2484.0</v>
      </c>
      <c r="H103" s="3" t="n">
        <v>2417.0</v>
      </c>
      <c r="I103" s="3" t="n">
        <v>2504.0</v>
      </c>
      <c r="J103" s="3" t="n">
        <v>2627.0</v>
      </c>
      <c r="K103" s="3" t="n">
        <v>2707.0</v>
      </c>
      <c r="L103" s="3" t="n">
        <v>2676.0</v>
      </c>
      <c r="M103" s="3" t="n">
        <v>2604.0</v>
      </c>
      <c r="N103" s="3" t="n">
        <v>2642.0</v>
      </c>
      <c r="O103" s="3" t="n">
        <v>2674.0</v>
      </c>
      <c r="P103" s="3" t="n">
        <v>2509.0</v>
      </c>
      <c r="Q103" s="3" t="n">
        <v>2348.0</v>
      </c>
      <c r="R103" s="3" t="n">
        <v>2370.0</v>
      </c>
      <c r="S103" s="3" t="n">
        <v>2528.0</v>
      </c>
      <c r="T103" s="3" t="n">
        <v>2559.0</v>
      </c>
      <c r="U103" s="3" t="n">
        <v>3830.0</v>
      </c>
      <c r="V103" s="3" t="n">
        <v>4560.0</v>
      </c>
      <c r="W103" s="3" t="n">
        <v>5114.0</v>
      </c>
      <c r="X103" s="3" t="n">
        <v>5359.0</v>
      </c>
      <c r="Y103" s="3" t="n">
        <v>5664.0</v>
      </c>
      <c r="Z103" s="3" t="n">
        <v>6078.0</v>
      </c>
      <c r="AA103" s="3" t="n">
        <v>6246.0</v>
      </c>
      <c r="AB103" s="3" t="n">
        <v>6254.0</v>
      </c>
      <c r="AC103" s="3" t="n">
        <v>6367.0</v>
      </c>
      <c r="AD103" s="3" t="n">
        <v>6727.0</v>
      </c>
      <c r="AE103" s="3" t="n">
        <v>6659.0</v>
      </c>
      <c r="AF103" s="3" t="n">
        <v>6706.0</v>
      </c>
      <c r="AG103" s="3" t="n">
        <v>6672.0</v>
      </c>
      <c r="AH103" s="3" t="n">
        <v>6424.0</v>
      </c>
      <c r="AI103" s="3" t="n">
        <v>6064.0</v>
      </c>
      <c r="AJ103" s="3" t="n">
        <v>5777.0</v>
      </c>
      <c r="AK103" s="3" t="n">
        <v>5460.0</v>
      </c>
      <c r="AL103" s="3" t="n">
        <v>5414.0</v>
      </c>
      <c r="AM103" s="3" t="n">
        <v>5335.0</v>
      </c>
      <c r="AN103" s="3" t="n">
        <v>5307.0</v>
      </c>
      <c r="AO103" s="3" t="n">
        <v>5247.0</v>
      </c>
    </row>
    <row r="104" spans="1:41" x14ac:dyDescent="0.2">
      <c r="A104" s="125"/>
      <c r="B104" s="9">
        <v>95</v>
      </c>
      <c r="C104" s="3" t="n">
        <v>1438.0</v>
      </c>
      <c r="D104" s="3" t="n">
        <v>1598.0</v>
      </c>
      <c r="E104" s="3" t="n">
        <v>1619.0</v>
      </c>
      <c r="F104" s="3" t="n">
        <v>1801.0</v>
      </c>
      <c r="G104" s="3" t="n">
        <v>1813.0</v>
      </c>
      <c r="H104" s="3" t="n">
        <v>1978.0</v>
      </c>
      <c r="I104" s="3" t="n">
        <v>1930.0</v>
      </c>
      <c r="J104" s="3" t="n">
        <v>1997.0</v>
      </c>
      <c r="K104" s="3" t="n">
        <v>2104.0</v>
      </c>
      <c r="L104" s="3" t="n">
        <v>2170.0</v>
      </c>
      <c r="M104" s="3" t="n">
        <v>2153.0</v>
      </c>
      <c r="N104" s="3" t="n">
        <v>2096.0</v>
      </c>
      <c r="O104" s="3" t="n">
        <v>2141.0</v>
      </c>
      <c r="P104" s="3" t="n">
        <v>2168.0</v>
      </c>
      <c r="Q104" s="3" t="n">
        <v>2037.0</v>
      </c>
      <c r="R104" s="3" t="n">
        <v>1916.0</v>
      </c>
      <c r="S104" s="3" t="n">
        <v>1935.0</v>
      </c>
      <c r="T104" s="3" t="n">
        <v>2061.0</v>
      </c>
      <c r="U104" s="3" t="n">
        <v>2090.0</v>
      </c>
      <c r="V104" s="3" t="n">
        <v>3128.0</v>
      </c>
      <c r="W104" s="3" t="n">
        <v>3725.0</v>
      </c>
      <c r="X104" s="3" t="n">
        <v>4190.0</v>
      </c>
      <c r="Y104" s="3" t="n">
        <v>4402.0</v>
      </c>
      <c r="Z104" s="3" t="n">
        <v>4661.0</v>
      </c>
      <c r="AA104" s="3" t="n">
        <v>5005.0</v>
      </c>
      <c r="AB104" s="3" t="n">
        <v>5156.0</v>
      </c>
      <c r="AC104" s="3" t="n">
        <v>5174.0</v>
      </c>
      <c r="AD104" s="3" t="n">
        <v>5280.0</v>
      </c>
      <c r="AE104" s="3" t="n">
        <v>5583.0</v>
      </c>
      <c r="AF104" s="3" t="n">
        <v>5536.0</v>
      </c>
      <c r="AG104" s="3" t="n">
        <v>5573.0</v>
      </c>
      <c r="AH104" s="3" t="n">
        <v>5559.0</v>
      </c>
      <c r="AI104" s="3" t="n">
        <v>5365.0</v>
      </c>
      <c r="AJ104" s="3" t="n">
        <v>5067.0</v>
      </c>
      <c r="AK104" s="3" t="n">
        <v>4838.0</v>
      </c>
      <c r="AL104" s="3" t="n">
        <v>4582.0</v>
      </c>
      <c r="AM104" s="3" t="n">
        <v>4549.0</v>
      </c>
      <c r="AN104" s="3" t="n">
        <v>4487.0</v>
      </c>
      <c r="AO104" s="3" t="n">
        <v>4478.0</v>
      </c>
    </row>
    <row r="105" spans="1:41" x14ac:dyDescent="0.2">
      <c r="A105" s="125"/>
      <c r="B105" s="9">
        <v>96</v>
      </c>
      <c r="C105" s="3" t="n">
        <v>995.0</v>
      </c>
      <c r="D105" s="3" t="n">
        <v>1092.0</v>
      </c>
      <c r="E105" s="3" t="n">
        <v>1233.0</v>
      </c>
      <c r="F105" s="3" t="n">
        <v>1248.0</v>
      </c>
      <c r="G105" s="3" t="n">
        <v>1392.0</v>
      </c>
      <c r="H105" s="3" t="n">
        <v>1399.0</v>
      </c>
      <c r="I105" s="3" t="n">
        <v>1541.0</v>
      </c>
      <c r="J105" s="3" t="n">
        <v>1501.0</v>
      </c>
      <c r="K105" s="3" t="n">
        <v>1559.0</v>
      </c>
      <c r="L105" s="3" t="n">
        <v>1644.0</v>
      </c>
      <c r="M105" s="3" t="n">
        <v>1700.0</v>
      </c>
      <c r="N105" s="3" t="n">
        <v>1691.0</v>
      </c>
      <c r="O105" s="3" t="n">
        <v>1655.0</v>
      </c>
      <c r="P105" s="3" t="n">
        <v>1691.0</v>
      </c>
      <c r="Q105" s="3" t="n">
        <v>1720.0</v>
      </c>
      <c r="R105" s="3" t="n">
        <v>1618.0</v>
      </c>
      <c r="S105" s="3" t="n">
        <v>1523.0</v>
      </c>
      <c r="T105" s="3" t="n">
        <v>1546.0</v>
      </c>
      <c r="U105" s="3" t="n">
        <v>1650.0</v>
      </c>
      <c r="V105" s="3" t="n">
        <v>1678.0</v>
      </c>
      <c r="W105" s="3" t="n">
        <v>2509.0</v>
      </c>
      <c r="X105" s="3" t="n">
        <v>2991.0</v>
      </c>
      <c r="Y105" s="3" t="n">
        <v>3377.0</v>
      </c>
      <c r="Z105" s="3" t="n">
        <v>3543.0</v>
      </c>
      <c r="AA105" s="3" t="n">
        <v>3761.0</v>
      </c>
      <c r="AB105" s="3" t="n">
        <v>4051.0</v>
      </c>
      <c r="AC105" s="3" t="n">
        <v>4181.0</v>
      </c>
      <c r="AD105" s="3" t="n">
        <v>4200.0</v>
      </c>
      <c r="AE105" s="3" t="n">
        <v>4295.0</v>
      </c>
      <c r="AF105" s="3" t="n">
        <v>4553.0</v>
      </c>
      <c r="AG105" s="3" t="n">
        <v>4520.0</v>
      </c>
      <c r="AH105" s="3" t="n">
        <v>4558.0</v>
      </c>
      <c r="AI105" s="3" t="n">
        <v>4556.0</v>
      </c>
      <c r="AJ105" s="3" t="n">
        <v>4404.0</v>
      </c>
      <c r="AK105" s="3" t="n">
        <v>4165.0</v>
      </c>
      <c r="AL105" s="3" t="n">
        <v>3986.0</v>
      </c>
      <c r="AM105" s="3" t="n">
        <v>3778.0</v>
      </c>
      <c r="AN105" s="3" t="n">
        <v>3758.0</v>
      </c>
      <c r="AO105" s="3" t="n">
        <v>3715.0</v>
      </c>
    </row>
    <row r="106" spans="1:41" x14ac:dyDescent="0.2">
      <c r="A106" s="125"/>
      <c r="B106" s="9">
        <v>97</v>
      </c>
      <c r="C106" s="3" t="n">
        <v>710.0</v>
      </c>
      <c r="D106" s="3" t="n">
        <v>732.0</v>
      </c>
      <c r="E106" s="3" t="n">
        <v>812.0</v>
      </c>
      <c r="F106" s="3" t="n">
        <v>924.0</v>
      </c>
      <c r="G106" s="3" t="n">
        <v>936.0</v>
      </c>
      <c r="H106" s="3" t="n">
        <v>1044.0</v>
      </c>
      <c r="I106" s="3" t="n">
        <v>1055.0</v>
      </c>
      <c r="J106" s="3" t="n">
        <v>1165.0</v>
      </c>
      <c r="K106" s="3" t="n">
        <v>1140.0</v>
      </c>
      <c r="L106" s="3" t="n">
        <v>1187.0</v>
      </c>
      <c r="M106" s="3" t="n">
        <v>1252.0</v>
      </c>
      <c r="N106" s="3" t="n">
        <v>1303.0</v>
      </c>
      <c r="O106" s="3" t="n">
        <v>1296.0</v>
      </c>
      <c r="P106" s="3" t="n">
        <v>1277.0</v>
      </c>
      <c r="Q106" s="3" t="n">
        <v>1303.0</v>
      </c>
      <c r="R106" s="3" t="n">
        <v>1333.0</v>
      </c>
      <c r="S106" s="3" t="n">
        <v>1257.0</v>
      </c>
      <c r="T106" s="3" t="n">
        <v>1179.0</v>
      </c>
      <c r="U106" s="3" t="n">
        <v>1206.0</v>
      </c>
      <c r="V106" s="3" t="n">
        <v>1290.0</v>
      </c>
      <c r="W106" s="3" t="n">
        <v>1310.0</v>
      </c>
      <c r="X106" s="3" t="n">
        <v>1975.0</v>
      </c>
      <c r="Y106" s="3" t="n">
        <v>2350.0</v>
      </c>
      <c r="Z106" s="3" t="n">
        <v>2659.0</v>
      </c>
      <c r="AA106" s="3" t="n">
        <v>2798.0</v>
      </c>
      <c r="AB106" s="3" t="n">
        <v>2974.0</v>
      </c>
      <c r="AC106" s="3" t="n">
        <v>3210.0</v>
      </c>
      <c r="AD106" s="3" t="n">
        <v>3321.0</v>
      </c>
      <c r="AE106" s="3" t="n">
        <v>3340.0</v>
      </c>
      <c r="AF106" s="3" t="n">
        <v>3431.0</v>
      </c>
      <c r="AG106" s="3" t="n">
        <v>3640.0</v>
      </c>
      <c r="AH106" s="3" t="n">
        <v>3621.0</v>
      </c>
      <c r="AI106" s="3" t="n">
        <v>3658.0</v>
      </c>
      <c r="AJ106" s="3" t="n">
        <v>3661.0</v>
      </c>
      <c r="AK106" s="3" t="n">
        <v>3551.0</v>
      </c>
      <c r="AL106" s="3" t="n">
        <v>3362.0</v>
      </c>
      <c r="AM106" s="3" t="n">
        <v>3216.0</v>
      </c>
      <c r="AN106" s="3" t="n">
        <v>3055.0</v>
      </c>
      <c r="AO106" s="3" t="n">
        <v>3046.0</v>
      </c>
    </row>
    <row r="107" spans="1:41" x14ac:dyDescent="0.2">
      <c r="A107" s="125"/>
      <c r="B107" s="9">
        <v>98</v>
      </c>
      <c r="C107" s="3" t="n">
        <v>479.0</v>
      </c>
      <c r="D107" s="3" t="n">
        <v>521.0</v>
      </c>
      <c r="E107" s="3" t="n">
        <v>528.0</v>
      </c>
      <c r="F107" s="3" t="n">
        <v>594.0</v>
      </c>
      <c r="G107" s="3" t="n">
        <v>681.0</v>
      </c>
      <c r="H107" s="3" t="n">
        <v>693.0</v>
      </c>
      <c r="I107" s="3" t="n">
        <v>774.0</v>
      </c>
      <c r="J107" s="3" t="n">
        <v>790.0</v>
      </c>
      <c r="K107" s="3" t="n">
        <v>873.0</v>
      </c>
      <c r="L107" s="3" t="n">
        <v>857.0</v>
      </c>
      <c r="M107" s="3" t="n">
        <v>893.0</v>
      </c>
      <c r="N107" s="3" t="n">
        <v>936.0</v>
      </c>
      <c r="O107" s="3" t="n">
        <v>984.0</v>
      </c>
      <c r="P107" s="3" t="n">
        <v>980.0</v>
      </c>
      <c r="Q107" s="3" t="n">
        <v>968.0</v>
      </c>
      <c r="R107" s="3" t="n">
        <v>993.0</v>
      </c>
      <c r="S107" s="3" t="n">
        <v>1019.0</v>
      </c>
      <c r="T107" s="3" t="n">
        <v>961.0</v>
      </c>
      <c r="U107" s="3" t="n">
        <v>906.0</v>
      </c>
      <c r="V107" s="3" t="n">
        <v>924.0</v>
      </c>
      <c r="W107" s="3" t="n">
        <v>994.0</v>
      </c>
      <c r="X107" s="3" t="n">
        <v>1010.0</v>
      </c>
      <c r="Y107" s="3" t="n">
        <v>1530.0</v>
      </c>
      <c r="Z107" s="3" t="n">
        <v>1817.0</v>
      </c>
      <c r="AA107" s="3" t="n">
        <v>2060.0</v>
      </c>
      <c r="AB107" s="3" t="n">
        <v>2174.0</v>
      </c>
      <c r="AC107" s="3" t="n">
        <v>2308.0</v>
      </c>
      <c r="AD107" s="3" t="n">
        <v>2504.0</v>
      </c>
      <c r="AE107" s="3" t="n">
        <v>2591.0</v>
      </c>
      <c r="AF107" s="3" t="n">
        <v>2608.0</v>
      </c>
      <c r="AG107" s="3" t="n">
        <v>2683.0</v>
      </c>
      <c r="AH107" s="3" t="n">
        <v>2849.0</v>
      </c>
      <c r="AI107" s="3" t="n">
        <v>2842.0</v>
      </c>
      <c r="AJ107" s="3" t="n">
        <v>2883.0</v>
      </c>
      <c r="AK107" s="3" t="n">
        <v>2892.0</v>
      </c>
      <c r="AL107" s="3" t="n">
        <v>2804.0</v>
      </c>
      <c r="AM107" s="3" t="n">
        <v>2662.0</v>
      </c>
      <c r="AN107" s="3" t="n">
        <v>2548.0</v>
      </c>
      <c r="AO107" s="3" t="n">
        <v>2432.0</v>
      </c>
    </row>
    <row r="108" spans="1:41" x14ac:dyDescent="0.2">
      <c r="A108" s="125"/>
      <c r="B108" s="9">
        <v>99</v>
      </c>
      <c r="C108" s="3" t="n">
        <v>357.0</v>
      </c>
      <c r="D108" s="3" t="n">
        <v>342.0</v>
      </c>
      <c r="E108" s="3" t="n">
        <v>379.0</v>
      </c>
      <c r="F108" s="3" t="n">
        <v>378.0</v>
      </c>
      <c r="G108" s="3" t="n">
        <v>430.0</v>
      </c>
      <c r="H108" s="3" t="n">
        <v>496.0</v>
      </c>
      <c r="I108" s="3" t="n">
        <v>501.0</v>
      </c>
      <c r="J108" s="3" t="n">
        <v>565.0</v>
      </c>
      <c r="K108" s="3" t="n">
        <v>573.0</v>
      </c>
      <c r="L108" s="3" t="n">
        <v>647.0</v>
      </c>
      <c r="M108" s="3" t="n">
        <v>632.0</v>
      </c>
      <c r="N108" s="3" t="n">
        <v>657.0</v>
      </c>
      <c r="O108" s="3" t="n">
        <v>691.0</v>
      </c>
      <c r="P108" s="3" t="n">
        <v>731.0</v>
      </c>
      <c r="Q108" s="3" t="n">
        <v>736.0</v>
      </c>
      <c r="R108" s="3" t="n">
        <v>723.0</v>
      </c>
      <c r="S108" s="3" t="n">
        <v>744.0</v>
      </c>
      <c r="T108" s="3" t="n">
        <v>771.0</v>
      </c>
      <c r="U108" s="3" t="n">
        <v>724.0</v>
      </c>
      <c r="V108" s="3" t="n">
        <v>686.0</v>
      </c>
      <c r="W108" s="3" t="n">
        <v>697.0</v>
      </c>
      <c r="X108" s="3" t="n">
        <v>759.0</v>
      </c>
      <c r="Y108" s="3" t="n">
        <v>772.0</v>
      </c>
      <c r="Z108" s="3" t="n">
        <v>1166.0</v>
      </c>
      <c r="AA108" s="3" t="n">
        <v>1388.0</v>
      </c>
      <c r="AB108" s="3" t="n">
        <v>1571.0</v>
      </c>
      <c r="AC108" s="3" t="n">
        <v>1663.0</v>
      </c>
      <c r="AD108" s="3" t="n">
        <v>1773.0</v>
      </c>
      <c r="AE108" s="3" t="n">
        <v>1923.0</v>
      </c>
      <c r="AF108" s="3" t="n">
        <v>1996.0</v>
      </c>
      <c r="AG108" s="3" t="n">
        <v>2010.0</v>
      </c>
      <c r="AH108" s="3" t="n">
        <v>2077.0</v>
      </c>
      <c r="AI108" s="3" t="n">
        <v>2205.0</v>
      </c>
      <c r="AJ108" s="3" t="n">
        <v>2205.0</v>
      </c>
      <c r="AK108" s="3" t="n">
        <v>2237.0</v>
      </c>
      <c r="AL108" s="3" t="n">
        <v>2252.0</v>
      </c>
      <c r="AM108" s="3" t="n">
        <v>2189.0</v>
      </c>
      <c r="AN108" s="3" t="n">
        <v>2079.0</v>
      </c>
      <c r="AO108" s="3" t="n">
        <v>1995.0</v>
      </c>
    </row>
    <row r="109" spans="1:41" x14ac:dyDescent="0.2">
      <c r="A109" s="125"/>
      <c r="B109" s="9" t="s">
        <v>80</v>
      </c>
      <c r="C109" s="4" t="n">
        <v>426.0</v>
      </c>
      <c r="D109" s="4" t="n">
        <v>527.0</v>
      </c>
      <c r="E109" s="4" t="n">
        <v>580.0</v>
      </c>
      <c r="F109" s="4" t="n">
        <v>643.0</v>
      </c>
      <c r="G109" s="4" t="n">
        <v>679.0</v>
      </c>
      <c r="H109" s="4" t="n">
        <v>741.0</v>
      </c>
      <c r="I109" s="4" t="n">
        <v>837.0</v>
      </c>
      <c r="J109" s="4" t="n">
        <v>897.0</v>
      </c>
      <c r="K109" s="4" t="n">
        <v>989.0</v>
      </c>
      <c r="L109" s="4" t="n">
        <v>1058.0</v>
      </c>
      <c r="M109" s="4" t="n">
        <v>1159.0</v>
      </c>
      <c r="N109" s="4" t="n">
        <v>1224.0</v>
      </c>
      <c r="O109" s="4" t="n">
        <v>1282.0</v>
      </c>
      <c r="P109" s="4" t="n">
        <v>1347.0</v>
      </c>
      <c r="Q109" s="4" t="n">
        <v>1421.0</v>
      </c>
      <c r="R109" s="4" t="n">
        <v>1481.0</v>
      </c>
      <c r="S109" s="4" t="n">
        <v>1513.0</v>
      </c>
      <c r="T109" s="4" t="n">
        <v>1558.0</v>
      </c>
      <c r="U109" s="4" t="n">
        <v>1611.0</v>
      </c>
      <c r="V109" s="4" t="n">
        <v>1627.0</v>
      </c>
      <c r="W109" s="4" t="n">
        <v>1612.0</v>
      </c>
      <c r="X109" s="4" t="n">
        <v>1621.0</v>
      </c>
      <c r="Y109" s="4" t="n">
        <v>1674.0</v>
      </c>
      <c r="Z109" s="4" t="n">
        <v>1722.0</v>
      </c>
      <c r="AA109" s="4" t="n">
        <v>2043.0</v>
      </c>
      <c r="AB109" s="4" t="n">
        <v>2441.0</v>
      </c>
      <c r="AC109" s="4" t="n">
        <v>2850.0</v>
      </c>
      <c r="AD109" s="4" t="n">
        <v>3216.0</v>
      </c>
      <c r="AE109" s="4" t="n">
        <v>3565.0</v>
      </c>
      <c r="AF109" s="4" t="n">
        <v>3925.0</v>
      </c>
      <c r="AG109" s="4" t="n">
        <v>4235.0</v>
      </c>
      <c r="AH109" s="4" t="n">
        <v>4472.0</v>
      </c>
      <c r="AI109" s="4" t="n">
        <v>4709.0</v>
      </c>
      <c r="AJ109" s="4" t="n">
        <v>4983.0</v>
      </c>
      <c r="AK109" s="4" t="n">
        <v>5189.0</v>
      </c>
      <c r="AL109" s="4" t="n">
        <v>5370.0</v>
      </c>
      <c r="AM109" s="4" t="n">
        <v>5510.0</v>
      </c>
      <c r="AN109" s="4" t="n">
        <v>5580.0</v>
      </c>
      <c r="AO109" s="3" t="n">
        <v>5563.0</v>
      </c>
    </row>
    <row r="110" spans="1:41" x14ac:dyDescent="0.2">
      <c r="A110" s="126" t="s">
        <v>50</v>
      </c>
      <c r="B110" s="71" t="s">
        <v>47</v>
      </c>
      <c r="C110" s="72" t="n">
        <v>1388123.0</v>
      </c>
      <c r="D110" s="72" t="n">
        <v>1384643.0</v>
      </c>
      <c r="E110" s="72" t="n">
        <v>1380984.0</v>
      </c>
      <c r="F110" s="72" t="n">
        <v>1377166.0</v>
      </c>
      <c r="G110" s="72" t="n">
        <v>1373153.0</v>
      </c>
      <c r="H110" s="72" t="n">
        <v>1372534.0</v>
      </c>
      <c r="I110" s="72" t="n">
        <v>1373157.0</v>
      </c>
      <c r="J110" s="72" t="n">
        <v>1370605.0</v>
      </c>
      <c r="K110" s="72" t="n">
        <v>1366481.0</v>
      </c>
      <c r="L110" s="72" t="n">
        <v>1361512.0</v>
      </c>
      <c r="M110" s="72" t="n">
        <v>1355874.0</v>
      </c>
      <c r="N110" s="72" t="n">
        <v>1349753.0</v>
      </c>
      <c r="O110" s="72" t="n">
        <v>1343353.0</v>
      </c>
      <c r="P110" s="72" t="n">
        <v>1336713.0</v>
      </c>
      <c r="Q110" s="72" t="n">
        <v>1329835.0</v>
      </c>
      <c r="R110" s="72" t="n">
        <v>1322968.0</v>
      </c>
      <c r="S110" s="72" t="n">
        <v>1316004.0</v>
      </c>
      <c r="T110" s="72" t="n">
        <v>1308947.0</v>
      </c>
      <c r="U110" s="72" t="n">
        <v>1301840.0</v>
      </c>
      <c r="V110" s="72" t="n">
        <v>1294739.0</v>
      </c>
      <c r="W110" s="72" t="n">
        <v>1287622.0</v>
      </c>
      <c r="X110" s="72" t="n">
        <v>1280718.0</v>
      </c>
      <c r="Y110" s="72" t="n">
        <v>1273818.0</v>
      </c>
      <c r="Z110" s="72" t="n">
        <v>1266913.0</v>
      </c>
      <c r="AA110" s="72" t="n">
        <v>1259996.0</v>
      </c>
      <c r="AB110" s="72" t="n">
        <v>1253095.0</v>
      </c>
      <c r="AC110" s="72" t="n">
        <v>1246135.0</v>
      </c>
      <c r="AD110" s="72" t="n">
        <v>1239261.0</v>
      </c>
      <c r="AE110" s="72" t="n">
        <v>1232271.0</v>
      </c>
      <c r="AF110" s="72" t="n">
        <v>1225187.0</v>
      </c>
      <c r="AG110" s="72" t="n">
        <v>1217999.0</v>
      </c>
      <c r="AH110" s="72" t="n">
        <v>1210645.0</v>
      </c>
      <c r="AI110" s="72" t="n">
        <v>1203143.0</v>
      </c>
      <c r="AJ110" s="72" t="n">
        <v>1195481.0</v>
      </c>
      <c r="AK110" s="72" t="n">
        <v>1187606.0</v>
      </c>
      <c r="AL110" s="72" t="n">
        <v>1179582.0</v>
      </c>
      <c r="AM110" s="72" t="n">
        <v>1171441.0</v>
      </c>
      <c r="AN110" s="72" t="n">
        <v>1163095.0</v>
      </c>
      <c r="AO110" s="70" t="n">
        <v>1154760.0</v>
      </c>
    </row>
    <row r="111" spans="1:41" x14ac:dyDescent="0.2">
      <c r="A111" s="125"/>
      <c r="B111" s="9">
        <v>0</v>
      </c>
      <c r="C111" s="3" t="n">
        <v>11556.0</v>
      </c>
      <c r="D111" s="3" t="n">
        <v>11643.0</v>
      </c>
      <c r="E111" s="3" t="n">
        <v>11476.0</v>
      </c>
      <c r="F111" s="3" t="n">
        <v>11368.0</v>
      </c>
      <c r="G111" s="3" t="n">
        <v>11242.0</v>
      </c>
      <c r="H111" s="3" t="n">
        <v>11171.0</v>
      </c>
      <c r="I111" s="3" t="n">
        <v>11135.0</v>
      </c>
      <c r="J111" s="3" t="n">
        <v>11062.0</v>
      </c>
      <c r="K111" s="3" t="n">
        <v>10960.0</v>
      </c>
      <c r="L111" s="3" t="n">
        <v>10854.0</v>
      </c>
      <c r="M111" s="3" t="n">
        <v>10711.0</v>
      </c>
      <c r="N111" s="3" t="n">
        <v>10612.0</v>
      </c>
      <c r="O111" s="3" t="n">
        <v>10518.0</v>
      </c>
      <c r="P111" s="3" t="n">
        <v>10451.0</v>
      </c>
      <c r="Q111" s="3" t="n">
        <v>10402.0</v>
      </c>
      <c r="R111" s="3" t="n">
        <v>10414.0</v>
      </c>
      <c r="S111" s="3" t="n">
        <v>10445.0</v>
      </c>
      <c r="T111" s="3" t="n">
        <v>10499.0</v>
      </c>
      <c r="U111" s="3" t="n">
        <v>10564.0</v>
      </c>
      <c r="V111" s="3" t="n">
        <v>10616.0</v>
      </c>
      <c r="W111" s="3" t="n">
        <v>10685.0</v>
      </c>
      <c r="X111" s="3" t="n">
        <v>10730.0</v>
      </c>
      <c r="Y111" s="3" t="n">
        <v>10755.0</v>
      </c>
      <c r="Z111" s="3" t="n">
        <v>10761.0</v>
      </c>
      <c r="AA111" s="3" t="n">
        <v>10739.0</v>
      </c>
      <c r="AB111" s="3" t="n">
        <v>10693.0</v>
      </c>
      <c r="AC111" s="3" t="n">
        <v>10618.0</v>
      </c>
      <c r="AD111" s="3" t="n">
        <v>10519.0</v>
      </c>
      <c r="AE111" s="3" t="n">
        <v>10396.0</v>
      </c>
      <c r="AF111" s="3" t="n">
        <v>10263.0</v>
      </c>
      <c r="AG111" s="3" t="n">
        <v>10114.0</v>
      </c>
      <c r="AH111" s="3" t="n">
        <v>9949.0</v>
      </c>
      <c r="AI111" s="3" t="n">
        <v>9776.0</v>
      </c>
      <c r="AJ111" s="3" t="n">
        <v>9607.0</v>
      </c>
      <c r="AK111" s="3" t="n">
        <v>9445.0</v>
      </c>
      <c r="AL111" s="3" t="n">
        <v>9286.0</v>
      </c>
      <c r="AM111" s="3" t="n">
        <v>9138.0</v>
      </c>
      <c r="AN111" s="3" t="n">
        <v>9003.0</v>
      </c>
      <c r="AO111" s="3" t="n">
        <v>8890.0</v>
      </c>
    </row>
    <row r="112" spans="1:41" x14ac:dyDescent="0.2">
      <c r="A112" s="125"/>
      <c r="B112" s="9">
        <v>1</v>
      </c>
      <c r="C112" s="3" t="n">
        <v>12840.0</v>
      </c>
      <c r="D112" s="3" t="n">
        <v>11619.0</v>
      </c>
      <c r="E112" s="3" t="n">
        <v>11710.0</v>
      </c>
      <c r="F112" s="3" t="n">
        <v>11539.0</v>
      </c>
      <c r="G112" s="3" t="n">
        <v>11442.0</v>
      </c>
      <c r="H112" s="3" t="n">
        <v>11392.0</v>
      </c>
      <c r="I112" s="3" t="n">
        <v>11354.0</v>
      </c>
      <c r="J112" s="3" t="n">
        <v>11263.0</v>
      </c>
      <c r="K112" s="3" t="n">
        <v>11161.0</v>
      </c>
      <c r="L112" s="3" t="n">
        <v>11055.0</v>
      </c>
      <c r="M112" s="3" t="n">
        <v>10944.0</v>
      </c>
      <c r="N112" s="3" t="n">
        <v>10798.0</v>
      </c>
      <c r="O112" s="3" t="n">
        <v>10700.0</v>
      </c>
      <c r="P112" s="3" t="n">
        <v>10603.0</v>
      </c>
      <c r="Q112" s="3" t="n">
        <v>10540.0</v>
      </c>
      <c r="R112" s="3" t="n">
        <v>10492.0</v>
      </c>
      <c r="S112" s="3" t="n">
        <v>10508.0</v>
      </c>
      <c r="T112" s="3" t="n">
        <v>10540.0</v>
      </c>
      <c r="U112" s="3" t="n">
        <v>10594.0</v>
      </c>
      <c r="V112" s="3" t="n">
        <v>10659.0</v>
      </c>
      <c r="W112" s="3" t="n">
        <v>10712.0</v>
      </c>
      <c r="X112" s="3" t="n">
        <v>10781.0</v>
      </c>
      <c r="Y112" s="3" t="n">
        <v>10824.0</v>
      </c>
      <c r="Z112" s="3" t="n">
        <v>10849.0</v>
      </c>
      <c r="AA112" s="3" t="n">
        <v>10854.0</v>
      </c>
      <c r="AB112" s="3" t="n">
        <v>10831.0</v>
      </c>
      <c r="AC112" s="3" t="n">
        <v>10783.0</v>
      </c>
      <c r="AD112" s="3" t="n">
        <v>10708.0</v>
      </c>
      <c r="AE112" s="3" t="n">
        <v>10607.0</v>
      </c>
      <c r="AF112" s="3" t="n">
        <v>10484.0</v>
      </c>
      <c r="AG112" s="3" t="n">
        <v>10349.0</v>
      </c>
      <c r="AH112" s="3" t="n">
        <v>10198.0</v>
      </c>
      <c r="AI112" s="3" t="n">
        <v>10031.0</v>
      </c>
      <c r="AJ112" s="3" t="n">
        <v>9863.0</v>
      </c>
      <c r="AK112" s="3" t="n">
        <v>9692.0</v>
      </c>
      <c r="AL112" s="3" t="n">
        <v>9536.0</v>
      </c>
      <c r="AM112" s="3" t="n">
        <v>9376.0</v>
      </c>
      <c r="AN112" s="3" t="n">
        <v>9228.0</v>
      </c>
      <c r="AO112" s="3" t="n">
        <v>9092.0</v>
      </c>
    </row>
    <row r="113" spans="1:41" x14ac:dyDescent="0.2">
      <c r="A113" s="125"/>
      <c r="B113" s="9">
        <v>2</v>
      </c>
      <c r="C113" s="3" t="n">
        <v>12764.0</v>
      </c>
      <c r="D113" s="3" t="n">
        <v>12915.0</v>
      </c>
      <c r="E113" s="3" t="n">
        <v>11686.0</v>
      </c>
      <c r="F113" s="3" t="n">
        <v>11778.0</v>
      </c>
      <c r="G113" s="3" t="n">
        <v>11615.0</v>
      </c>
      <c r="H113" s="3" t="n">
        <v>11623.0</v>
      </c>
      <c r="I113" s="3" t="n">
        <v>11613.0</v>
      </c>
      <c r="J113" s="3" t="n">
        <v>11494.0</v>
      </c>
      <c r="K113" s="3" t="n">
        <v>11362.0</v>
      </c>
      <c r="L113" s="3" t="n">
        <v>11244.0</v>
      </c>
      <c r="M113" s="3" t="n">
        <v>11134.0</v>
      </c>
      <c r="N113" s="3" t="n">
        <v>11018.0</v>
      </c>
      <c r="O113" s="3" t="n">
        <v>10875.0</v>
      </c>
      <c r="P113" s="3" t="n">
        <v>10782.0</v>
      </c>
      <c r="Q113" s="3" t="n">
        <v>10686.0</v>
      </c>
      <c r="R113" s="3" t="n">
        <v>10626.0</v>
      </c>
      <c r="S113" s="3" t="n">
        <v>10577.0</v>
      </c>
      <c r="T113" s="3" t="n">
        <v>10590.0</v>
      </c>
      <c r="U113" s="3" t="n">
        <v>10622.0</v>
      </c>
      <c r="V113" s="3" t="n">
        <v>10678.0</v>
      </c>
      <c r="W113" s="3" t="n">
        <v>10742.0</v>
      </c>
      <c r="X113" s="3" t="n">
        <v>10797.0</v>
      </c>
      <c r="Y113" s="3" t="n">
        <v>10866.0</v>
      </c>
      <c r="Z113" s="3" t="n">
        <v>10909.0</v>
      </c>
      <c r="AA113" s="3" t="n">
        <v>10933.0</v>
      </c>
      <c r="AB113" s="3" t="n">
        <v>10936.0</v>
      </c>
      <c r="AC113" s="3" t="n">
        <v>10916.0</v>
      </c>
      <c r="AD113" s="3" t="n">
        <v>10873.0</v>
      </c>
      <c r="AE113" s="3" t="n">
        <v>10800.0</v>
      </c>
      <c r="AF113" s="3" t="n">
        <v>10697.0</v>
      </c>
      <c r="AG113" s="3" t="n">
        <v>10578.0</v>
      </c>
      <c r="AH113" s="3" t="n">
        <v>10441.0</v>
      </c>
      <c r="AI113" s="3" t="n">
        <v>10288.0</v>
      </c>
      <c r="AJ113" s="3" t="n">
        <v>10121.0</v>
      </c>
      <c r="AK113" s="3" t="n">
        <v>9952.0</v>
      </c>
      <c r="AL113" s="3" t="n">
        <v>9776.0</v>
      </c>
      <c r="AM113" s="3" t="n">
        <v>9618.0</v>
      </c>
      <c r="AN113" s="3" t="n">
        <v>9461.0</v>
      </c>
      <c r="AO113" s="3" t="n">
        <v>9309.0</v>
      </c>
    </row>
    <row r="114" spans="1:41" x14ac:dyDescent="0.2">
      <c r="A114" s="125"/>
      <c r="B114" s="9">
        <v>3</v>
      </c>
      <c r="C114" s="3" t="n">
        <v>13971.0</v>
      </c>
      <c r="D114" s="3" t="n">
        <v>12824.0</v>
      </c>
      <c r="E114" s="3" t="n">
        <v>12968.0</v>
      </c>
      <c r="F114" s="3" t="n">
        <v>11745.0</v>
      </c>
      <c r="G114" s="3" t="n">
        <v>11841.0</v>
      </c>
      <c r="H114" s="3" t="n">
        <v>11791.0</v>
      </c>
      <c r="I114" s="3" t="n">
        <v>11847.0</v>
      </c>
      <c r="J114" s="3" t="n">
        <v>11750.0</v>
      </c>
      <c r="K114" s="3" t="n">
        <v>11593.0</v>
      </c>
      <c r="L114" s="3" t="n">
        <v>11452.0</v>
      </c>
      <c r="M114" s="3" t="n">
        <v>11329.0</v>
      </c>
      <c r="N114" s="3" t="n">
        <v>11215.0</v>
      </c>
      <c r="O114" s="3" t="n">
        <v>11096.0</v>
      </c>
      <c r="P114" s="3" t="n">
        <v>10955.0</v>
      </c>
      <c r="Q114" s="3" t="n">
        <v>10866.0</v>
      </c>
      <c r="R114" s="3" t="n">
        <v>10770.0</v>
      </c>
      <c r="S114" s="3" t="n">
        <v>10711.0</v>
      </c>
      <c r="T114" s="3" t="n">
        <v>10662.0</v>
      </c>
      <c r="U114" s="3" t="n">
        <v>10676.0</v>
      </c>
      <c r="V114" s="3" t="n">
        <v>10711.0</v>
      </c>
      <c r="W114" s="3" t="n">
        <v>10767.0</v>
      </c>
      <c r="X114" s="3" t="n">
        <v>10828.0</v>
      </c>
      <c r="Y114" s="3" t="n">
        <v>10883.0</v>
      </c>
      <c r="Z114" s="3" t="n">
        <v>10950.0</v>
      </c>
      <c r="AA114" s="3" t="n">
        <v>10994.0</v>
      </c>
      <c r="AB114" s="3" t="n">
        <v>11016.0</v>
      </c>
      <c r="AC114" s="3" t="n">
        <v>11018.0</v>
      </c>
      <c r="AD114" s="3" t="n">
        <v>10999.0</v>
      </c>
      <c r="AE114" s="3" t="n">
        <v>10955.0</v>
      </c>
      <c r="AF114" s="3" t="n">
        <v>10878.0</v>
      </c>
      <c r="AG114" s="3" t="n">
        <v>10779.0</v>
      </c>
      <c r="AH114" s="3" t="n">
        <v>10662.0</v>
      </c>
      <c r="AI114" s="3" t="n">
        <v>10525.0</v>
      </c>
      <c r="AJ114" s="3" t="n">
        <v>10371.0</v>
      </c>
      <c r="AK114" s="3" t="n">
        <v>10200.0</v>
      </c>
      <c r="AL114" s="3" t="n">
        <v>10029.0</v>
      </c>
      <c r="AM114" s="3" t="n">
        <v>9860.0</v>
      </c>
      <c r="AN114" s="3" t="n">
        <v>9697.0</v>
      </c>
      <c r="AO114" s="3" t="n">
        <v>9542.0</v>
      </c>
    </row>
    <row r="115" spans="1:41" x14ac:dyDescent="0.2">
      <c r="A115" s="125"/>
      <c r="B115" s="9">
        <v>4</v>
      </c>
      <c r="C115" s="3" t="n">
        <v>14445.0</v>
      </c>
      <c r="D115" s="3" t="n">
        <v>14016.0</v>
      </c>
      <c r="E115" s="3" t="n">
        <v>12875.0</v>
      </c>
      <c r="F115" s="3" t="n">
        <v>13015.0</v>
      </c>
      <c r="G115" s="3" t="n">
        <v>11787.0</v>
      </c>
      <c r="H115" s="3" t="n">
        <v>12007.0</v>
      </c>
      <c r="I115" s="3" t="n">
        <v>11998.0</v>
      </c>
      <c r="J115" s="3" t="n">
        <v>11968.0</v>
      </c>
      <c r="K115" s="3" t="n">
        <v>11830.0</v>
      </c>
      <c r="L115" s="3" t="n">
        <v>11659.0</v>
      </c>
      <c r="M115" s="3" t="n">
        <v>11512.0</v>
      </c>
      <c r="N115" s="3" t="n">
        <v>11385.0</v>
      </c>
      <c r="O115" s="3" t="n">
        <v>11270.0</v>
      </c>
      <c r="P115" s="3" t="n">
        <v>11153.0</v>
      </c>
      <c r="Q115" s="3" t="n">
        <v>11011.0</v>
      </c>
      <c r="R115" s="3" t="n">
        <v>10923.0</v>
      </c>
      <c r="S115" s="3" t="n">
        <v>10828.0</v>
      </c>
      <c r="T115" s="3" t="n">
        <v>10770.0</v>
      </c>
      <c r="U115" s="3" t="n">
        <v>10721.0</v>
      </c>
      <c r="V115" s="3" t="n">
        <v>10738.0</v>
      </c>
      <c r="W115" s="3" t="n">
        <v>10775.0</v>
      </c>
      <c r="X115" s="3" t="n">
        <v>10831.0</v>
      </c>
      <c r="Y115" s="3" t="n">
        <v>10892.0</v>
      </c>
      <c r="Z115" s="3" t="n">
        <v>10948.0</v>
      </c>
      <c r="AA115" s="3" t="n">
        <v>11013.0</v>
      </c>
      <c r="AB115" s="3" t="n">
        <v>11056.0</v>
      </c>
      <c r="AC115" s="3" t="n">
        <v>11080.0</v>
      </c>
      <c r="AD115" s="3" t="n">
        <v>11083.0</v>
      </c>
      <c r="AE115" s="3" t="n">
        <v>11063.0</v>
      </c>
      <c r="AF115" s="3" t="n">
        <v>11021.0</v>
      </c>
      <c r="AG115" s="3" t="n">
        <v>10944.0</v>
      </c>
      <c r="AH115" s="3" t="n">
        <v>10847.0</v>
      </c>
      <c r="AI115" s="3" t="n">
        <v>10730.0</v>
      </c>
      <c r="AJ115" s="3" t="n">
        <v>10593.0</v>
      </c>
      <c r="AK115" s="3" t="n">
        <v>10440.0</v>
      </c>
      <c r="AL115" s="3" t="n">
        <v>10269.0</v>
      </c>
      <c r="AM115" s="3" t="n">
        <v>10100.0</v>
      </c>
      <c r="AN115" s="3" t="n">
        <v>9931.0</v>
      </c>
      <c r="AO115" s="3" t="n">
        <v>9766.0</v>
      </c>
    </row>
    <row r="116" spans="1:41" x14ac:dyDescent="0.2">
      <c r="A116" s="125"/>
      <c r="B116" s="9">
        <v>5</v>
      </c>
      <c r="C116" s="3" t="n">
        <v>15075.0</v>
      </c>
      <c r="D116" s="3" t="n">
        <v>14485.0</v>
      </c>
      <c r="E116" s="3" t="n">
        <v>14068.0</v>
      </c>
      <c r="F116" s="3" t="n">
        <v>12928.0</v>
      </c>
      <c r="G116" s="3" t="n">
        <v>13065.0</v>
      </c>
      <c r="H116" s="3" t="n">
        <v>11948.0</v>
      </c>
      <c r="I116" s="3" t="n">
        <v>12207.0</v>
      </c>
      <c r="J116" s="3" t="n">
        <v>12118.0</v>
      </c>
      <c r="K116" s="3" t="n">
        <v>12038.0</v>
      </c>
      <c r="L116" s="3" t="n">
        <v>11888.0</v>
      </c>
      <c r="M116" s="3" t="n">
        <v>11705.0</v>
      </c>
      <c r="N116" s="3" t="n">
        <v>11555.0</v>
      </c>
      <c r="O116" s="3" t="n">
        <v>11429.0</v>
      </c>
      <c r="P116" s="3" t="n">
        <v>11316.0</v>
      </c>
      <c r="Q116" s="3" t="n">
        <v>11200.0</v>
      </c>
      <c r="R116" s="3" t="n">
        <v>11058.0</v>
      </c>
      <c r="S116" s="3" t="n">
        <v>10967.0</v>
      </c>
      <c r="T116" s="3" t="n">
        <v>10875.0</v>
      </c>
      <c r="U116" s="3" t="n">
        <v>10820.0</v>
      </c>
      <c r="V116" s="3" t="n">
        <v>10773.0</v>
      </c>
      <c r="W116" s="3" t="n">
        <v>10793.0</v>
      </c>
      <c r="X116" s="3" t="n">
        <v>10829.0</v>
      </c>
      <c r="Y116" s="3" t="n">
        <v>10886.0</v>
      </c>
      <c r="Z116" s="3" t="n">
        <v>10950.0</v>
      </c>
      <c r="AA116" s="3" t="n">
        <v>11010.0</v>
      </c>
      <c r="AB116" s="3" t="n">
        <v>11075.0</v>
      </c>
      <c r="AC116" s="3" t="n">
        <v>11116.0</v>
      </c>
      <c r="AD116" s="3" t="n">
        <v>11141.0</v>
      </c>
      <c r="AE116" s="3" t="n">
        <v>11144.0</v>
      </c>
      <c r="AF116" s="3" t="n">
        <v>11122.0</v>
      </c>
      <c r="AG116" s="3" t="n">
        <v>11074.0</v>
      </c>
      <c r="AH116" s="3" t="n">
        <v>10999.0</v>
      </c>
      <c r="AI116" s="3" t="n">
        <v>10902.0</v>
      </c>
      <c r="AJ116" s="3" t="n">
        <v>10783.0</v>
      </c>
      <c r="AK116" s="3" t="n">
        <v>10646.0</v>
      </c>
      <c r="AL116" s="3" t="n">
        <v>10495.0</v>
      </c>
      <c r="AM116" s="3" t="n">
        <v>10325.0</v>
      </c>
      <c r="AN116" s="3" t="n">
        <v>10159.0</v>
      </c>
      <c r="AO116" s="3" t="n">
        <v>9984.0</v>
      </c>
    </row>
    <row r="117" spans="1:41" x14ac:dyDescent="0.2">
      <c r="A117" s="125"/>
      <c r="B117" s="9">
        <v>6</v>
      </c>
      <c r="C117" s="3" t="n">
        <v>15005.0</v>
      </c>
      <c r="D117" s="3" t="n">
        <v>15120.0</v>
      </c>
      <c r="E117" s="3" t="n">
        <v>14542.0</v>
      </c>
      <c r="F117" s="3" t="n">
        <v>14122.0</v>
      </c>
      <c r="G117" s="3" t="n">
        <v>12984.0</v>
      </c>
      <c r="H117" s="3" t="n">
        <v>13246.0</v>
      </c>
      <c r="I117" s="3" t="n">
        <v>12167.0</v>
      </c>
      <c r="J117" s="3" t="n">
        <v>12322.0</v>
      </c>
      <c r="K117" s="3" t="n">
        <v>12194.0</v>
      </c>
      <c r="L117" s="3" t="n">
        <v>12094.0</v>
      </c>
      <c r="M117" s="3" t="n">
        <v>11940.0</v>
      </c>
      <c r="N117" s="3" t="n">
        <v>11756.0</v>
      </c>
      <c r="O117" s="3" t="n">
        <v>11607.0</v>
      </c>
      <c r="P117" s="3" t="n">
        <v>11481.0</v>
      </c>
      <c r="Q117" s="3" t="n">
        <v>11367.0</v>
      </c>
      <c r="R117" s="3" t="n">
        <v>11253.0</v>
      </c>
      <c r="S117" s="3" t="n">
        <v>11114.0</v>
      </c>
      <c r="T117" s="3" t="n">
        <v>11025.0</v>
      </c>
      <c r="U117" s="3" t="n">
        <v>10935.0</v>
      </c>
      <c r="V117" s="3" t="n">
        <v>10881.0</v>
      </c>
      <c r="W117" s="3" t="n">
        <v>10833.0</v>
      </c>
      <c r="X117" s="3" t="n">
        <v>10855.0</v>
      </c>
      <c r="Y117" s="3" t="n">
        <v>10893.0</v>
      </c>
      <c r="Z117" s="3" t="n">
        <v>10948.0</v>
      </c>
      <c r="AA117" s="3" t="n">
        <v>11013.0</v>
      </c>
      <c r="AB117" s="3" t="n">
        <v>11072.0</v>
      </c>
      <c r="AC117" s="3" t="n">
        <v>11136.0</v>
      </c>
      <c r="AD117" s="3" t="n">
        <v>11177.0</v>
      </c>
      <c r="AE117" s="3" t="n">
        <v>11201.0</v>
      </c>
      <c r="AF117" s="3" t="n">
        <v>11204.0</v>
      </c>
      <c r="AG117" s="3" t="n">
        <v>11183.0</v>
      </c>
      <c r="AH117" s="3" t="n">
        <v>11133.0</v>
      </c>
      <c r="AI117" s="3" t="n">
        <v>11061.0</v>
      </c>
      <c r="AJ117" s="3" t="n">
        <v>10962.0</v>
      </c>
      <c r="AK117" s="3" t="n">
        <v>10838.0</v>
      </c>
      <c r="AL117" s="3" t="n">
        <v>10700.0</v>
      </c>
      <c r="AM117" s="3" t="n">
        <v>10552.0</v>
      </c>
      <c r="AN117" s="3" t="n">
        <v>10380.0</v>
      </c>
      <c r="AO117" s="3" t="n">
        <v>10212.0</v>
      </c>
    </row>
    <row r="118" spans="1:41" x14ac:dyDescent="0.2">
      <c r="A118" s="125"/>
      <c r="B118" s="9">
        <v>7</v>
      </c>
      <c r="C118" s="3" t="n">
        <v>14476.0</v>
      </c>
      <c r="D118" s="3" t="n">
        <v>15040.0</v>
      </c>
      <c r="E118" s="3" t="n">
        <v>15162.0</v>
      </c>
      <c r="F118" s="3" t="n">
        <v>14585.0</v>
      </c>
      <c r="G118" s="3" t="n">
        <v>14162.0</v>
      </c>
      <c r="H118" s="3" t="n">
        <v>13166.0</v>
      </c>
      <c r="I118" s="3" t="n">
        <v>13475.0</v>
      </c>
      <c r="J118" s="3" t="n">
        <v>12288.0</v>
      </c>
      <c r="K118" s="3" t="n">
        <v>12387.0</v>
      </c>
      <c r="L118" s="3" t="n">
        <v>12246.0</v>
      </c>
      <c r="M118" s="3" t="n">
        <v>12135.0</v>
      </c>
      <c r="N118" s="3" t="n">
        <v>11974.0</v>
      </c>
      <c r="O118" s="3" t="n">
        <v>11792.0</v>
      </c>
      <c r="P118" s="3" t="n">
        <v>11646.0</v>
      </c>
      <c r="Q118" s="3" t="n">
        <v>11517.0</v>
      </c>
      <c r="R118" s="3" t="n">
        <v>11404.0</v>
      </c>
      <c r="S118" s="3" t="n">
        <v>11290.0</v>
      </c>
      <c r="T118" s="3" t="n">
        <v>11154.0</v>
      </c>
      <c r="U118" s="3" t="n">
        <v>11064.0</v>
      </c>
      <c r="V118" s="3" t="n">
        <v>10977.0</v>
      </c>
      <c r="W118" s="3" t="n">
        <v>10922.0</v>
      </c>
      <c r="X118" s="3" t="n">
        <v>10877.0</v>
      </c>
      <c r="Y118" s="3" t="n">
        <v>10901.0</v>
      </c>
      <c r="Z118" s="3" t="n">
        <v>10939.0</v>
      </c>
      <c r="AA118" s="3" t="n">
        <v>10994.0</v>
      </c>
      <c r="AB118" s="3" t="n">
        <v>11060.0</v>
      </c>
      <c r="AC118" s="3" t="n">
        <v>11121.0</v>
      </c>
      <c r="AD118" s="3" t="n">
        <v>11184.0</v>
      </c>
      <c r="AE118" s="3" t="n">
        <v>11225.0</v>
      </c>
      <c r="AF118" s="3" t="n">
        <v>11249.0</v>
      </c>
      <c r="AG118" s="3" t="n">
        <v>11252.0</v>
      </c>
      <c r="AH118" s="3" t="n">
        <v>11231.0</v>
      </c>
      <c r="AI118" s="3" t="n">
        <v>11180.0</v>
      </c>
      <c r="AJ118" s="3" t="n">
        <v>11106.0</v>
      </c>
      <c r="AK118" s="3" t="n">
        <v>11007.0</v>
      </c>
      <c r="AL118" s="3" t="n">
        <v>10886.0</v>
      </c>
      <c r="AM118" s="3" t="n">
        <v>10748.0</v>
      </c>
      <c r="AN118" s="3" t="n">
        <v>10597.0</v>
      </c>
      <c r="AO118" s="3" t="n">
        <v>10423.0</v>
      </c>
    </row>
    <row r="119" spans="1:41" x14ac:dyDescent="0.2">
      <c r="A119" s="125"/>
      <c r="B119" s="9">
        <v>8</v>
      </c>
      <c r="C119" s="3" t="n">
        <v>14644.0</v>
      </c>
      <c r="D119" s="3" t="n">
        <v>14488.0</v>
      </c>
      <c r="E119" s="3" t="n">
        <v>15054.0</v>
      </c>
      <c r="F119" s="3" t="n">
        <v>15186.0</v>
      </c>
      <c r="G119" s="3" t="n">
        <v>14617.0</v>
      </c>
      <c r="H119" s="3" t="n">
        <v>14328.0</v>
      </c>
      <c r="I119" s="3" t="n">
        <v>13398.0</v>
      </c>
      <c r="J119" s="3" t="n">
        <v>13592.0</v>
      </c>
      <c r="K119" s="3" t="n">
        <v>12345.0</v>
      </c>
      <c r="L119" s="3" t="n">
        <v>12424.0</v>
      </c>
      <c r="M119" s="3" t="n">
        <v>12273.0</v>
      </c>
      <c r="N119" s="3" t="n">
        <v>12153.0</v>
      </c>
      <c r="O119" s="3" t="n">
        <v>11991.0</v>
      </c>
      <c r="P119" s="3" t="n">
        <v>11810.0</v>
      </c>
      <c r="Q119" s="3" t="n">
        <v>11665.0</v>
      </c>
      <c r="R119" s="3" t="n">
        <v>11535.0</v>
      </c>
      <c r="S119" s="3" t="n">
        <v>11421.0</v>
      </c>
      <c r="T119" s="3" t="n">
        <v>11306.0</v>
      </c>
      <c r="U119" s="3" t="n">
        <v>11173.0</v>
      </c>
      <c r="V119" s="3" t="n">
        <v>11085.0</v>
      </c>
      <c r="W119" s="3" t="n">
        <v>10999.0</v>
      </c>
      <c r="X119" s="3" t="n">
        <v>10945.0</v>
      </c>
      <c r="Y119" s="3" t="n">
        <v>10900.0</v>
      </c>
      <c r="Z119" s="3" t="n">
        <v>10923.0</v>
      </c>
      <c r="AA119" s="3" t="n">
        <v>10963.0</v>
      </c>
      <c r="AB119" s="3" t="n">
        <v>11019.0</v>
      </c>
      <c r="AC119" s="3" t="n">
        <v>11085.0</v>
      </c>
      <c r="AD119" s="3" t="n">
        <v>11144.0</v>
      </c>
      <c r="AE119" s="3" t="n">
        <v>11208.0</v>
      </c>
      <c r="AF119" s="3" t="n">
        <v>11249.0</v>
      </c>
      <c r="AG119" s="3" t="n">
        <v>11272.0</v>
      </c>
      <c r="AH119" s="3" t="n">
        <v>11275.0</v>
      </c>
      <c r="AI119" s="3" t="n">
        <v>11252.0</v>
      </c>
      <c r="AJ119" s="3" t="n">
        <v>11202.0</v>
      </c>
      <c r="AK119" s="3" t="n">
        <v>11128.0</v>
      </c>
      <c r="AL119" s="3" t="n">
        <v>11029.0</v>
      </c>
      <c r="AM119" s="3" t="n">
        <v>10909.0</v>
      </c>
      <c r="AN119" s="3" t="n">
        <v>10770.0</v>
      </c>
      <c r="AO119" s="3" t="n">
        <v>10621.0</v>
      </c>
    </row>
    <row r="120" spans="1:41" x14ac:dyDescent="0.2">
      <c r="A120" s="125"/>
      <c r="B120" s="9">
        <v>9</v>
      </c>
      <c r="C120" s="3" t="n">
        <v>14039.0</v>
      </c>
      <c r="D120" s="3" t="n">
        <v>14657.0</v>
      </c>
      <c r="E120" s="3" t="n">
        <v>14498.0</v>
      </c>
      <c r="F120" s="3" t="n">
        <v>15067.0</v>
      </c>
      <c r="G120" s="3" t="n">
        <v>15203.0</v>
      </c>
      <c r="H120" s="3" t="n">
        <v>14788.0</v>
      </c>
      <c r="I120" s="3" t="n">
        <v>14547.0</v>
      </c>
      <c r="J120" s="3" t="n">
        <v>13508.0</v>
      </c>
      <c r="K120" s="3" t="n">
        <v>13653.0</v>
      </c>
      <c r="L120" s="3" t="n">
        <v>12378.0</v>
      </c>
      <c r="M120" s="3" t="n">
        <v>12437.0</v>
      </c>
      <c r="N120" s="3" t="n">
        <v>12283.0</v>
      </c>
      <c r="O120" s="3" t="n">
        <v>12164.0</v>
      </c>
      <c r="P120" s="3" t="n">
        <v>11998.0</v>
      </c>
      <c r="Q120" s="3" t="n">
        <v>11817.0</v>
      </c>
      <c r="R120" s="3" t="n">
        <v>11671.0</v>
      </c>
      <c r="S120" s="3" t="n">
        <v>11544.0</v>
      </c>
      <c r="T120" s="3" t="n">
        <v>11432.0</v>
      </c>
      <c r="U120" s="3" t="n">
        <v>11317.0</v>
      </c>
      <c r="V120" s="3" t="n">
        <v>11185.0</v>
      </c>
      <c r="W120" s="3" t="n">
        <v>11097.0</v>
      </c>
      <c r="X120" s="3" t="n">
        <v>11012.0</v>
      </c>
      <c r="Y120" s="3" t="n">
        <v>10960.0</v>
      </c>
      <c r="Z120" s="3" t="n">
        <v>10916.0</v>
      </c>
      <c r="AA120" s="3" t="n">
        <v>10940.0</v>
      </c>
      <c r="AB120" s="3" t="n">
        <v>10979.0</v>
      </c>
      <c r="AC120" s="3" t="n">
        <v>11037.0</v>
      </c>
      <c r="AD120" s="3" t="n">
        <v>11103.0</v>
      </c>
      <c r="AE120" s="3" t="n">
        <v>11163.0</v>
      </c>
      <c r="AF120" s="3" t="n">
        <v>11225.0</v>
      </c>
      <c r="AG120" s="3" t="n">
        <v>11266.0</v>
      </c>
      <c r="AH120" s="3" t="n">
        <v>11289.0</v>
      </c>
      <c r="AI120" s="3" t="n">
        <v>11291.0</v>
      </c>
      <c r="AJ120" s="3" t="n">
        <v>11267.0</v>
      </c>
      <c r="AK120" s="3" t="n">
        <v>11219.0</v>
      </c>
      <c r="AL120" s="3" t="n">
        <v>11147.0</v>
      </c>
      <c r="AM120" s="3" t="n">
        <v>11047.0</v>
      </c>
      <c r="AN120" s="3" t="n">
        <v>10926.0</v>
      </c>
      <c r="AO120" s="3" t="n">
        <v>10788.0</v>
      </c>
    </row>
    <row r="121" spans="1:41" x14ac:dyDescent="0.2">
      <c r="A121" s="125"/>
      <c r="B121" s="9">
        <v>10</v>
      </c>
      <c r="C121" s="3" t="n">
        <v>14854.0</v>
      </c>
      <c r="D121" s="3" t="n">
        <v>14058.0</v>
      </c>
      <c r="E121" s="3" t="n">
        <v>14673.0</v>
      </c>
      <c r="F121" s="3" t="n">
        <v>14514.0</v>
      </c>
      <c r="G121" s="3" t="n">
        <v>15094.0</v>
      </c>
      <c r="H121" s="3" t="n">
        <v>15374.0</v>
      </c>
      <c r="I121" s="3" t="n">
        <v>15014.0</v>
      </c>
      <c r="J121" s="3" t="n">
        <v>14652.0</v>
      </c>
      <c r="K121" s="3" t="n">
        <v>13558.0</v>
      </c>
      <c r="L121" s="3" t="n">
        <v>13677.0</v>
      </c>
      <c r="M121" s="3" t="n">
        <v>12397.0</v>
      </c>
      <c r="N121" s="3" t="n">
        <v>12446.0</v>
      </c>
      <c r="O121" s="3" t="n">
        <v>12294.0</v>
      </c>
      <c r="P121" s="3" t="n">
        <v>12174.0</v>
      </c>
      <c r="Q121" s="3" t="n">
        <v>12012.0</v>
      </c>
      <c r="R121" s="3" t="n">
        <v>11833.0</v>
      </c>
      <c r="S121" s="3" t="n">
        <v>11689.0</v>
      </c>
      <c r="T121" s="3" t="n">
        <v>11561.0</v>
      </c>
      <c r="U121" s="3" t="n">
        <v>11449.0</v>
      </c>
      <c r="V121" s="3" t="n">
        <v>11332.0</v>
      </c>
      <c r="W121" s="3" t="n">
        <v>11203.0</v>
      </c>
      <c r="X121" s="3" t="n">
        <v>11115.0</v>
      </c>
      <c r="Y121" s="3" t="n">
        <v>11031.0</v>
      </c>
      <c r="Z121" s="3" t="n">
        <v>10979.0</v>
      </c>
      <c r="AA121" s="3" t="n">
        <v>10936.0</v>
      </c>
      <c r="AB121" s="3" t="n">
        <v>10958.0</v>
      </c>
      <c r="AC121" s="3" t="n">
        <v>10996.0</v>
      </c>
      <c r="AD121" s="3" t="n">
        <v>11055.0</v>
      </c>
      <c r="AE121" s="3" t="n">
        <v>11121.0</v>
      </c>
      <c r="AF121" s="3" t="n">
        <v>11180.0</v>
      </c>
      <c r="AG121" s="3" t="n">
        <v>11244.0</v>
      </c>
      <c r="AH121" s="3" t="n">
        <v>11283.0</v>
      </c>
      <c r="AI121" s="3" t="n">
        <v>11305.0</v>
      </c>
      <c r="AJ121" s="3" t="n">
        <v>11307.0</v>
      </c>
      <c r="AK121" s="3" t="n">
        <v>11284.0</v>
      </c>
      <c r="AL121" s="3" t="n">
        <v>11238.0</v>
      </c>
      <c r="AM121" s="3" t="n">
        <v>11168.0</v>
      </c>
      <c r="AN121" s="3" t="n">
        <v>11068.0</v>
      </c>
      <c r="AO121" s="3" t="n">
        <v>10947.0</v>
      </c>
    </row>
    <row r="122" spans="1:41" x14ac:dyDescent="0.2">
      <c r="A122" s="125"/>
      <c r="B122" s="9">
        <v>11</v>
      </c>
      <c r="C122" s="3" t="n">
        <v>14983.0</v>
      </c>
      <c r="D122" s="3" t="n">
        <v>14849.0</v>
      </c>
      <c r="E122" s="3" t="n">
        <v>14051.0</v>
      </c>
      <c r="F122" s="3" t="n">
        <v>14672.0</v>
      </c>
      <c r="G122" s="3" t="n">
        <v>14511.0</v>
      </c>
      <c r="H122" s="3" t="n">
        <v>15241.0</v>
      </c>
      <c r="I122" s="3" t="n">
        <v>15576.0</v>
      </c>
      <c r="J122" s="3" t="n">
        <v>15113.0</v>
      </c>
      <c r="K122" s="3" t="n">
        <v>14692.0</v>
      </c>
      <c r="L122" s="3" t="n">
        <v>13577.0</v>
      </c>
      <c r="M122" s="3" t="n">
        <v>13683.0</v>
      </c>
      <c r="N122" s="3" t="n">
        <v>12392.0</v>
      </c>
      <c r="O122" s="3" t="n">
        <v>12443.0</v>
      </c>
      <c r="P122" s="3" t="n">
        <v>12290.0</v>
      </c>
      <c r="Q122" s="3" t="n">
        <v>12170.0</v>
      </c>
      <c r="R122" s="3" t="n">
        <v>12009.0</v>
      </c>
      <c r="S122" s="3" t="n">
        <v>11831.0</v>
      </c>
      <c r="T122" s="3" t="n">
        <v>11690.0</v>
      </c>
      <c r="U122" s="3" t="n">
        <v>11562.0</v>
      </c>
      <c r="V122" s="3" t="n">
        <v>11449.0</v>
      </c>
      <c r="W122" s="3" t="n">
        <v>11332.0</v>
      </c>
      <c r="X122" s="3" t="n">
        <v>11202.0</v>
      </c>
      <c r="Y122" s="3" t="n">
        <v>11116.0</v>
      </c>
      <c r="Z122" s="3" t="n">
        <v>11032.0</v>
      </c>
      <c r="AA122" s="3" t="n">
        <v>10981.0</v>
      </c>
      <c r="AB122" s="3" t="n">
        <v>10939.0</v>
      </c>
      <c r="AC122" s="3" t="n">
        <v>10962.0</v>
      </c>
      <c r="AD122" s="3" t="n">
        <v>11000.0</v>
      </c>
      <c r="AE122" s="3" t="n">
        <v>11058.0</v>
      </c>
      <c r="AF122" s="3" t="n">
        <v>11123.0</v>
      </c>
      <c r="AG122" s="3" t="n">
        <v>11182.0</v>
      </c>
      <c r="AH122" s="3" t="n">
        <v>11248.0</v>
      </c>
      <c r="AI122" s="3" t="n">
        <v>11286.0</v>
      </c>
      <c r="AJ122" s="3" t="n">
        <v>11308.0</v>
      </c>
      <c r="AK122" s="3" t="n">
        <v>11308.0</v>
      </c>
      <c r="AL122" s="3" t="n">
        <v>11284.0</v>
      </c>
      <c r="AM122" s="3" t="n">
        <v>11239.0</v>
      </c>
      <c r="AN122" s="3" t="n">
        <v>11166.0</v>
      </c>
      <c r="AO122" s="3" t="n">
        <v>11067.0</v>
      </c>
    </row>
    <row r="123" spans="1:41" x14ac:dyDescent="0.2">
      <c r="A123" s="125"/>
      <c r="B123" s="9">
        <v>12</v>
      </c>
      <c r="C123" s="3" t="n">
        <v>15840.0</v>
      </c>
      <c r="D123" s="3" t="n">
        <v>14996.0</v>
      </c>
      <c r="E123" s="3" t="n">
        <v>14860.0</v>
      </c>
      <c r="F123" s="3" t="n">
        <v>14060.0</v>
      </c>
      <c r="G123" s="3" t="n">
        <v>14687.0</v>
      </c>
      <c r="H123" s="3" t="n">
        <v>14656.0</v>
      </c>
      <c r="I123" s="3" t="n">
        <v>15441.0</v>
      </c>
      <c r="J123" s="3" t="n">
        <v>15673.0</v>
      </c>
      <c r="K123" s="3" t="n">
        <v>15155.0</v>
      </c>
      <c r="L123" s="3" t="n">
        <v>14712.0</v>
      </c>
      <c r="M123" s="3" t="n">
        <v>13595.0</v>
      </c>
      <c r="N123" s="3" t="n">
        <v>13684.0</v>
      </c>
      <c r="O123" s="3" t="n">
        <v>12387.0</v>
      </c>
      <c r="P123" s="3" t="n">
        <v>12441.0</v>
      </c>
      <c r="Q123" s="3" t="n">
        <v>12289.0</v>
      </c>
      <c r="R123" s="3" t="n">
        <v>12168.0</v>
      </c>
      <c r="S123" s="3" t="n">
        <v>12007.0</v>
      </c>
      <c r="T123" s="3" t="n">
        <v>11831.0</v>
      </c>
      <c r="U123" s="3" t="n">
        <v>11689.0</v>
      </c>
      <c r="V123" s="3" t="n">
        <v>11560.0</v>
      </c>
      <c r="W123" s="3" t="n">
        <v>11450.0</v>
      </c>
      <c r="X123" s="3" t="n">
        <v>11335.0</v>
      </c>
      <c r="Y123" s="3" t="n">
        <v>11208.0</v>
      </c>
      <c r="Z123" s="3" t="n">
        <v>11124.0</v>
      </c>
      <c r="AA123" s="3" t="n">
        <v>11038.0</v>
      </c>
      <c r="AB123" s="3" t="n">
        <v>10988.0</v>
      </c>
      <c r="AC123" s="3" t="n">
        <v>10946.0</v>
      </c>
      <c r="AD123" s="3" t="n">
        <v>10970.0</v>
      </c>
      <c r="AE123" s="3" t="n">
        <v>11008.0</v>
      </c>
      <c r="AF123" s="3" t="n">
        <v>11067.0</v>
      </c>
      <c r="AG123" s="3" t="n">
        <v>11133.0</v>
      </c>
      <c r="AH123" s="3" t="n">
        <v>11193.0</v>
      </c>
      <c r="AI123" s="3" t="n">
        <v>11257.0</v>
      </c>
      <c r="AJ123" s="3" t="n">
        <v>11295.0</v>
      </c>
      <c r="AK123" s="3" t="n">
        <v>11317.0</v>
      </c>
      <c r="AL123" s="3" t="n">
        <v>11317.0</v>
      </c>
      <c r="AM123" s="3" t="n">
        <v>11293.0</v>
      </c>
      <c r="AN123" s="3" t="n">
        <v>11248.0</v>
      </c>
      <c r="AO123" s="3" t="n">
        <v>11175.0</v>
      </c>
    </row>
    <row r="124" spans="1:41" x14ac:dyDescent="0.2">
      <c r="A124" s="125"/>
      <c r="B124" s="9">
        <v>13</v>
      </c>
      <c r="C124" s="3" t="n">
        <v>15716.0</v>
      </c>
      <c r="D124" s="3" t="n">
        <v>15840.0</v>
      </c>
      <c r="E124" s="3" t="n">
        <v>14998.0</v>
      </c>
      <c r="F124" s="3" t="n">
        <v>14861.0</v>
      </c>
      <c r="G124" s="3" t="n">
        <v>14075.0</v>
      </c>
      <c r="H124" s="3" t="n">
        <v>14839.0</v>
      </c>
      <c r="I124" s="3" t="n">
        <v>14858.0</v>
      </c>
      <c r="J124" s="3" t="n">
        <v>15534.0</v>
      </c>
      <c r="K124" s="3" t="n">
        <v>15715.0</v>
      </c>
      <c r="L124" s="3" t="n">
        <v>15177.0</v>
      </c>
      <c r="M124" s="3" t="n">
        <v>14726.0</v>
      </c>
      <c r="N124" s="3" t="n">
        <v>13603.0</v>
      </c>
      <c r="O124" s="3" t="n">
        <v>13689.0</v>
      </c>
      <c r="P124" s="3" t="n">
        <v>12387.0</v>
      </c>
      <c r="Q124" s="3" t="n">
        <v>12442.0</v>
      </c>
      <c r="R124" s="3" t="n">
        <v>12291.0</v>
      </c>
      <c r="S124" s="3" t="n">
        <v>12172.0</v>
      </c>
      <c r="T124" s="3" t="n">
        <v>12007.0</v>
      </c>
      <c r="U124" s="3" t="n">
        <v>11831.0</v>
      </c>
      <c r="V124" s="3" t="n">
        <v>11688.0</v>
      </c>
      <c r="W124" s="3" t="n">
        <v>11560.0</v>
      </c>
      <c r="X124" s="3" t="n">
        <v>11449.0</v>
      </c>
      <c r="Y124" s="3" t="n">
        <v>11335.0</v>
      </c>
      <c r="Z124" s="3" t="n">
        <v>11209.0</v>
      </c>
      <c r="AA124" s="3" t="n">
        <v>11124.0</v>
      </c>
      <c r="AB124" s="3" t="n">
        <v>11037.0</v>
      </c>
      <c r="AC124" s="3" t="n">
        <v>10989.0</v>
      </c>
      <c r="AD124" s="3" t="n">
        <v>10947.0</v>
      </c>
      <c r="AE124" s="3" t="n">
        <v>10972.0</v>
      </c>
      <c r="AF124" s="3" t="n">
        <v>11011.0</v>
      </c>
      <c r="AG124" s="3" t="n">
        <v>11068.0</v>
      </c>
      <c r="AH124" s="3" t="n">
        <v>11135.0</v>
      </c>
      <c r="AI124" s="3" t="n">
        <v>11196.0</v>
      </c>
      <c r="AJ124" s="3" t="n">
        <v>11260.0</v>
      </c>
      <c r="AK124" s="3" t="n">
        <v>11298.0</v>
      </c>
      <c r="AL124" s="3" t="n">
        <v>11319.0</v>
      </c>
      <c r="AM124" s="3" t="n">
        <v>11319.0</v>
      </c>
      <c r="AN124" s="3" t="n">
        <v>11295.0</v>
      </c>
      <c r="AO124" s="3" t="n">
        <v>11250.0</v>
      </c>
    </row>
    <row r="125" spans="1:41" x14ac:dyDescent="0.2">
      <c r="A125" s="125"/>
      <c r="B125" s="9">
        <v>14</v>
      </c>
      <c r="C125" s="3" t="n">
        <v>15789.0</v>
      </c>
      <c r="D125" s="3" t="n">
        <v>15719.0</v>
      </c>
      <c r="E125" s="3" t="n">
        <v>15846.0</v>
      </c>
      <c r="F125" s="3" t="n">
        <v>15007.0</v>
      </c>
      <c r="G125" s="3" t="n">
        <v>14876.0</v>
      </c>
      <c r="H125" s="3" t="n">
        <v>14236.0</v>
      </c>
      <c r="I125" s="3" t="n">
        <v>15050.0</v>
      </c>
      <c r="J125" s="3" t="n">
        <v>14958.0</v>
      </c>
      <c r="K125" s="3" t="n">
        <v>15577.0</v>
      </c>
      <c r="L125" s="3" t="n">
        <v>15740.0</v>
      </c>
      <c r="M125" s="3" t="n">
        <v>15190.0</v>
      </c>
      <c r="N125" s="3" t="n">
        <v>14737.0</v>
      </c>
      <c r="O125" s="3" t="n">
        <v>13608.0</v>
      </c>
      <c r="P125" s="3" t="n">
        <v>13693.0</v>
      </c>
      <c r="Q125" s="3" t="n">
        <v>12388.0</v>
      </c>
      <c r="R125" s="3" t="n">
        <v>12440.0</v>
      </c>
      <c r="S125" s="3" t="n">
        <v>12287.0</v>
      </c>
      <c r="T125" s="3" t="n">
        <v>12171.0</v>
      </c>
      <c r="U125" s="3" t="n">
        <v>12007.0</v>
      </c>
      <c r="V125" s="3" t="n">
        <v>11831.0</v>
      </c>
      <c r="W125" s="3" t="n">
        <v>11688.0</v>
      </c>
      <c r="X125" s="3" t="n">
        <v>11562.0</v>
      </c>
      <c r="Y125" s="3" t="n">
        <v>11451.0</v>
      </c>
      <c r="Z125" s="3" t="n">
        <v>11339.0</v>
      </c>
      <c r="AA125" s="3" t="n">
        <v>11212.0</v>
      </c>
      <c r="AB125" s="3" t="n">
        <v>11129.0</v>
      </c>
      <c r="AC125" s="3" t="n">
        <v>11041.0</v>
      </c>
      <c r="AD125" s="3" t="n">
        <v>10995.0</v>
      </c>
      <c r="AE125" s="3" t="n">
        <v>10952.0</v>
      </c>
      <c r="AF125" s="3" t="n">
        <v>10977.0</v>
      </c>
      <c r="AG125" s="3" t="n">
        <v>11017.0</v>
      </c>
      <c r="AH125" s="3" t="n">
        <v>11073.0</v>
      </c>
      <c r="AI125" s="3" t="n">
        <v>11140.0</v>
      </c>
      <c r="AJ125" s="3" t="n">
        <v>11200.0</v>
      </c>
      <c r="AK125" s="3" t="n">
        <v>11264.0</v>
      </c>
      <c r="AL125" s="3" t="n">
        <v>11302.0</v>
      </c>
      <c r="AM125" s="3" t="n">
        <v>11323.0</v>
      </c>
      <c r="AN125" s="3" t="n">
        <v>11323.0</v>
      </c>
      <c r="AO125" s="3" t="n">
        <v>11299.0</v>
      </c>
    </row>
    <row r="126" spans="1:41" x14ac:dyDescent="0.2">
      <c r="A126" s="125"/>
      <c r="B126" s="9">
        <v>15</v>
      </c>
      <c r="C126" s="3" t="n">
        <v>14515.0</v>
      </c>
      <c r="D126" s="3" t="n">
        <v>15784.0</v>
      </c>
      <c r="E126" s="3" t="n">
        <v>15715.0</v>
      </c>
      <c r="F126" s="3" t="n">
        <v>15844.0</v>
      </c>
      <c r="G126" s="3" t="n">
        <v>15007.0</v>
      </c>
      <c r="H126" s="3" t="n">
        <v>15005.0</v>
      </c>
      <c r="I126" s="3" t="n">
        <v>14408.0</v>
      </c>
      <c r="J126" s="3" t="n">
        <v>15124.0</v>
      </c>
      <c r="K126" s="3" t="n">
        <v>14987.0</v>
      </c>
      <c r="L126" s="3" t="n">
        <v>15590.0</v>
      </c>
      <c r="M126" s="3" t="n">
        <v>15741.0</v>
      </c>
      <c r="N126" s="3" t="n">
        <v>15190.0</v>
      </c>
      <c r="O126" s="3" t="n">
        <v>14733.0</v>
      </c>
      <c r="P126" s="3" t="n">
        <v>13599.0</v>
      </c>
      <c r="Q126" s="3" t="n">
        <v>13682.0</v>
      </c>
      <c r="R126" s="3" t="n">
        <v>12382.0</v>
      </c>
      <c r="S126" s="3" t="n">
        <v>12434.0</v>
      </c>
      <c r="T126" s="3" t="n">
        <v>12280.0</v>
      </c>
      <c r="U126" s="3" t="n">
        <v>12166.0</v>
      </c>
      <c r="V126" s="3" t="n">
        <v>12002.0</v>
      </c>
      <c r="W126" s="3" t="n">
        <v>11827.0</v>
      </c>
      <c r="X126" s="3" t="n">
        <v>11683.0</v>
      </c>
      <c r="Y126" s="3" t="n">
        <v>11558.0</v>
      </c>
      <c r="Z126" s="3" t="n">
        <v>11447.0</v>
      </c>
      <c r="AA126" s="3" t="n">
        <v>11335.0</v>
      </c>
      <c r="AB126" s="3" t="n">
        <v>11206.0</v>
      </c>
      <c r="AC126" s="3" t="n">
        <v>11125.0</v>
      </c>
      <c r="AD126" s="3" t="n">
        <v>11037.0</v>
      </c>
      <c r="AE126" s="3" t="n">
        <v>10992.0</v>
      </c>
      <c r="AF126" s="3" t="n">
        <v>10948.0</v>
      </c>
      <c r="AG126" s="3" t="n">
        <v>10973.0</v>
      </c>
      <c r="AH126" s="3" t="n">
        <v>11014.0</v>
      </c>
      <c r="AI126" s="3" t="n">
        <v>11070.0</v>
      </c>
      <c r="AJ126" s="3" t="n">
        <v>11139.0</v>
      </c>
      <c r="AK126" s="3" t="n">
        <v>11199.0</v>
      </c>
      <c r="AL126" s="3" t="n">
        <v>11263.0</v>
      </c>
      <c r="AM126" s="3" t="n">
        <v>11302.0</v>
      </c>
      <c r="AN126" s="3" t="n">
        <v>11321.0</v>
      </c>
      <c r="AO126" s="3" t="n">
        <v>11322.0</v>
      </c>
    </row>
    <row r="127" spans="1:41" x14ac:dyDescent="0.2">
      <c r="A127" s="125"/>
      <c r="B127" s="9">
        <v>16</v>
      </c>
      <c r="C127" s="3" t="n">
        <v>13655.0</v>
      </c>
      <c r="D127" s="3" t="n">
        <v>14495.0</v>
      </c>
      <c r="E127" s="3" t="n">
        <v>15763.0</v>
      </c>
      <c r="F127" s="3" t="n">
        <v>15705.0</v>
      </c>
      <c r="G127" s="3" t="n">
        <v>15835.0</v>
      </c>
      <c r="H127" s="3" t="n">
        <v>15104.0</v>
      </c>
      <c r="I127" s="3" t="n">
        <v>15139.0</v>
      </c>
      <c r="J127" s="3" t="n">
        <v>14463.0</v>
      </c>
      <c r="K127" s="3" t="n">
        <v>15132.0</v>
      </c>
      <c r="L127" s="3" t="n">
        <v>14983.0</v>
      </c>
      <c r="M127" s="3" t="n">
        <v>15579.0</v>
      </c>
      <c r="N127" s="3" t="n">
        <v>15729.0</v>
      </c>
      <c r="O127" s="3" t="n">
        <v>15170.0</v>
      </c>
      <c r="P127" s="3" t="n">
        <v>14718.0</v>
      </c>
      <c r="Q127" s="3" t="n">
        <v>13585.0</v>
      </c>
      <c r="R127" s="3" t="n">
        <v>13665.0</v>
      </c>
      <c r="S127" s="3" t="n">
        <v>12368.0</v>
      </c>
      <c r="T127" s="3" t="n">
        <v>12421.0</v>
      </c>
      <c r="U127" s="3" t="n">
        <v>12266.0</v>
      </c>
      <c r="V127" s="3" t="n">
        <v>12153.0</v>
      </c>
      <c r="W127" s="3" t="n">
        <v>11989.0</v>
      </c>
      <c r="X127" s="3" t="n">
        <v>11815.0</v>
      </c>
      <c r="Y127" s="3" t="n">
        <v>11670.0</v>
      </c>
      <c r="Z127" s="3" t="n">
        <v>11545.0</v>
      </c>
      <c r="AA127" s="3" t="n">
        <v>11435.0</v>
      </c>
      <c r="AB127" s="3" t="n">
        <v>11324.0</v>
      </c>
      <c r="AC127" s="3" t="n">
        <v>11196.0</v>
      </c>
      <c r="AD127" s="3" t="n">
        <v>11117.0</v>
      </c>
      <c r="AE127" s="3" t="n">
        <v>11029.0</v>
      </c>
      <c r="AF127" s="3" t="n">
        <v>10985.0</v>
      </c>
      <c r="AG127" s="3" t="n">
        <v>10940.0</v>
      </c>
      <c r="AH127" s="3" t="n">
        <v>10966.0</v>
      </c>
      <c r="AI127" s="3" t="n">
        <v>11008.0</v>
      </c>
      <c r="AJ127" s="3" t="n">
        <v>11063.0</v>
      </c>
      <c r="AK127" s="3" t="n">
        <v>11130.0</v>
      </c>
      <c r="AL127" s="3" t="n">
        <v>11189.0</v>
      </c>
      <c r="AM127" s="3" t="n">
        <v>11256.0</v>
      </c>
      <c r="AN127" s="3" t="n">
        <v>11294.0</v>
      </c>
      <c r="AO127" s="3" t="n">
        <v>11314.0</v>
      </c>
    </row>
    <row r="128" spans="1:41" x14ac:dyDescent="0.2">
      <c r="A128" s="125"/>
      <c r="B128" s="9">
        <v>17</v>
      </c>
      <c r="C128" s="3" t="n">
        <v>12925.0</v>
      </c>
      <c r="D128" s="3" t="n">
        <v>13623.0</v>
      </c>
      <c r="E128" s="3" t="n">
        <v>14455.0</v>
      </c>
      <c r="F128" s="3" t="n">
        <v>15731.0</v>
      </c>
      <c r="G128" s="3" t="n">
        <v>15680.0</v>
      </c>
      <c r="H128" s="3" t="n">
        <v>15924.0</v>
      </c>
      <c r="I128" s="3" t="n">
        <v>15240.0</v>
      </c>
      <c r="J128" s="3" t="n">
        <v>15186.0</v>
      </c>
      <c r="K128" s="3" t="n">
        <v>14465.0</v>
      </c>
      <c r="L128" s="3" t="n">
        <v>15115.0</v>
      </c>
      <c r="M128" s="3" t="n">
        <v>14958.0</v>
      </c>
      <c r="N128" s="3" t="n">
        <v>15547.0</v>
      </c>
      <c r="O128" s="3" t="n">
        <v>15693.0</v>
      </c>
      <c r="P128" s="3" t="n">
        <v>15142.0</v>
      </c>
      <c r="Q128" s="3" t="n">
        <v>14685.0</v>
      </c>
      <c r="R128" s="3" t="n">
        <v>13557.0</v>
      </c>
      <c r="S128" s="3" t="n">
        <v>13631.0</v>
      </c>
      <c r="T128" s="3" t="n">
        <v>12337.0</v>
      </c>
      <c r="U128" s="3" t="n">
        <v>12392.0</v>
      </c>
      <c r="V128" s="3" t="n">
        <v>12241.0</v>
      </c>
      <c r="W128" s="3" t="n">
        <v>12126.0</v>
      </c>
      <c r="X128" s="3" t="n">
        <v>11960.0</v>
      </c>
      <c r="Y128" s="3" t="n">
        <v>11789.0</v>
      </c>
      <c r="Z128" s="3" t="n">
        <v>11647.0</v>
      </c>
      <c r="AA128" s="3" t="n">
        <v>11521.0</v>
      </c>
      <c r="AB128" s="3" t="n">
        <v>11412.0</v>
      </c>
      <c r="AC128" s="3" t="n">
        <v>11302.0</v>
      </c>
      <c r="AD128" s="3" t="n">
        <v>11174.0</v>
      </c>
      <c r="AE128" s="3" t="n">
        <v>11096.0</v>
      </c>
      <c r="AF128" s="3" t="n">
        <v>11008.0</v>
      </c>
      <c r="AG128" s="3" t="n">
        <v>10964.0</v>
      </c>
      <c r="AH128" s="3" t="n">
        <v>10919.0</v>
      </c>
      <c r="AI128" s="3" t="n">
        <v>10944.0</v>
      </c>
      <c r="AJ128" s="3" t="n">
        <v>10986.0</v>
      </c>
      <c r="AK128" s="3" t="n">
        <v>11041.0</v>
      </c>
      <c r="AL128" s="3" t="n">
        <v>11108.0</v>
      </c>
      <c r="AM128" s="3" t="n">
        <v>11167.0</v>
      </c>
      <c r="AN128" s="3" t="n">
        <v>11236.0</v>
      </c>
      <c r="AO128" s="3" t="n">
        <v>11273.0</v>
      </c>
    </row>
    <row r="129" spans="1:41" x14ac:dyDescent="0.2">
      <c r="A129" s="125"/>
      <c r="B129" s="9">
        <v>18</v>
      </c>
      <c r="C129" s="3" t="n">
        <v>12385.0</v>
      </c>
      <c r="D129" s="3" t="n">
        <v>12897.0</v>
      </c>
      <c r="E129" s="3" t="n">
        <v>13595.0</v>
      </c>
      <c r="F129" s="3" t="n">
        <v>14418.0</v>
      </c>
      <c r="G129" s="3" t="n">
        <v>15696.0</v>
      </c>
      <c r="H129" s="3" t="n">
        <v>15796.0</v>
      </c>
      <c r="I129" s="3" t="n">
        <v>16101.0</v>
      </c>
      <c r="J129" s="3" t="n">
        <v>15301.0</v>
      </c>
      <c r="K129" s="3" t="n">
        <v>15191.0</v>
      </c>
      <c r="L129" s="3" t="n">
        <v>14453.0</v>
      </c>
      <c r="M129" s="3" t="n">
        <v>15089.0</v>
      </c>
      <c r="N129" s="3" t="n">
        <v>14920.0</v>
      </c>
      <c r="O129" s="3" t="n">
        <v>15504.0</v>
      </c>
      <c r="P129" s="3" t="n">
        <v>15653.0</v>
      </c>
      <c r="Q129" s="3" t="n">
        <v>15104.0</v>
      </c>
      <c r="R129" s="3" t="n">
        <v>14648.0</v>
      </c>
      <c r="S129" s="3" t="n">
        <v>13527.0</v>
      </c>
      <c r="T129" s="3" t="n">
        <v>13601.0</v>
      </c>
      <c r="U129" s="3" t="n">
        <v>12307.0</v>
      </c>
      <c r="V129" s="3" t="n">
        <v>12362.0</v>
      </c>
      <c r="W129" s="3" t="n">
        <v>12207.0</v>
      </c>
      <c r="X129" s="3" t="n">
        <v>12095.0</v>
      </c>
      <c r="Y129" s="3" t="n">
        <v>11928.0</v>
      </c>
      <c r="Z129" s="3" t="n">
        <v>11756.0</v>
      </c>
      <c r="AA129" s="3" t="n">
        <v>11618.0</v>
      </c>
      <c r="AB129" s="3" t="n">
        <v>11491.0</v>
      </c>
      <c r="AC129" s="3" t="n">
        <v>11380.0</v>
      </c>
      <c r="AD129" s="3" t="n">
        <v>11272.0</v>
      </c>
      <c r="AE129" s="3" t="n">
        <v>11142.0</v>
      </c>
      <c r="AF129" s="3" t="n">
        <v>11064.0</v>
      </c>
      <c r="AG129" s="3" t="n">
        <v>10977.0</v>
      </c>
      <c r="AH129" s="3" t="n">
        <v>10932.0</v>
      </c>
      <c r="AI129" s="3" t="n">
        <v>10888.0</v>
      </c>
      <c r="AJ129" s="3" t="n">
        <v>10914.0</v>
      </c>
      <c r="AK129" s="3" t="n">
        <v>10957.0</v>
      </c>
      <c r="AL129" s="3" t="n">
        <v>11011.0</v>
      </c>
      <c r="AM129" s="3" t="n">
        <v>11079.0</v>
      </c>
      <c r="AN129" s="3" t="n">
        <v>11138.0</v>
      </c>
      <c r="AO129" s="3" t="n">
        <v>11208.0</v>
      </c>
    </row>
    <row r="130" spans="1:41" x14ac:dyDescent="0.2">
      <c r="A130" s="125"/>
      <c r="B130" s="9">
        <v>19</v>
      </c>
      <c r="C130" s="3" t="n">
        <v>11971.0</v>
      </c>
      <c r="D130" s="3" t="n">
        <v>12350.0</v>
      </c>
      <c r="E130" s="3" t="n">
        <v>12864.0</v>
      </c>
      <c r="F130" s="3" t="n">
        <v>13564.0</v>
      </c>
      <c r="G130" s="3" t="n">
        <v>14381.0</v>
      </c>
      <c r="H130" s="3" t="n">
        <v>15755.0</v>
      </c>
      <c r="I130" s="3" t="n">
        <v>15891.0</v>
      </c>
      <c r="J130" s="3" t="n">
        <v>16121.0</v>
      </c>
      <c r="K130" s="3" t="n">
        <v>15281.0</v>
      </c>
      <c r="L130" s="3" t="n">
        <v>15160.0</v>
      </c>
      <c r="M130" s="3" t="n">
        <v>14417.0</v>
      </c>
      <c r="N130" s="3" t="n">
        <v>15050.0</v>
      </c>
      <c r="O130" s="3" t="n">
        <v>14878.0</v>
      </c>
      <c r="P130" s="3" t="n">
        <v>15460.0</v>
      </c>
      <c r="Q130" s="3" t="n">
        <v>15612.0</v>
      </c>
      <c r="R130" s="3" t="n">
        <v>15061.0</v>
      </c>
      <c r="S130" s="3" t="n">
        <v>14607.0</v>
      </c>
      <c r="T130" s="3" t="n">
        <v>13485.0</v>
      </c>
      <c r="U130" s="3" t="n">
        <v>13567.0</v>
      </c>
      <c r="V130" s="3" t="n">
        <v>12271.0</v>
      </c>
      <c r="W130" s="3" t="n">
        <v>12326.0</v>
      </c>
      <c r="X130" s="3" t="n">
        <v>12172.0</v>
      </c>
      <c r="Y130" s="3" t="n">
        <v>12061.0</v>
      </c>
      <c r="Z130" s="3" t="n">
        <v>11893.0</v>
      </c>
      <c r="AA130" s="3" t="n">
        <v>11722.0</v>
      </c>
      <c r="AB130" s="3" t="n">
        <v>11585.0</v>
      </c>
      <c r="AC130" s="3" t="n">
        <v>11461.0</v>
      </c>
      <c r="AD130" s="3" t="n">
        <v>11350.0</v>
      </c>
      <c r="AE130" s="3" t="n">
        <v>11243.0</v>
      </c>
      <c r="AF130" s="3" t="n">
        <v>11114.0</v>
      </c>
      <c r="AG130" s="3" t="n">
        <v>11035.0</v>
      </c>
      <c r="AH130" s="3" t="n">
        <v>10948.0</v>
      </c>
      <c r="AI130" s="3" t="n">
        <v>10904.0</v>
      </c>
      <c r="AJ130" s="3" t="n">
        <v>10861.0</v>
      </c>
      <c r="AK130" s="3" t="n">
        <v>10887.0</v>
      </c>
      <c r="AL130" s="3" t="n">
        <v>10930.0</v>
      </c>
      <c r="AM130" s="3" t="n">
        <v>10984.0</v>
      </c>
      <c r="AN130" s="3" t="n">
        <v>11050.0</v>
      </c>
      <c r="AO130" s="3" t="n">
        <v>11108.0</v>
      </c>
    </row>
    <row r="131" spans="1:41" x14ac:dyDescent="0.2">
      <c r="A131" s="125"/>
      <c r="B131" s="9">
        <v>20</v>
      </c>
      <c r="C131" s="3" t="n">
        <v>12289.0</v>
      </c>
      <c r="D131" s="3" t="n">
        <v>11948.0</v>
      </c>
      <c r="E131" s="3" t="n">
        <v>12326.0</v>
      </c>
      <c r="F131" s="3" t="n">
        <v>12841.0</v>
      </c>
      <c r="G131" s="3" t="n">
        <v>13539.0</v>
      </c>
      <c r="H131" s="3" t="n">
        <v>14387.0</v>
      </c>
      <c r="I131" s="3" t="n">
        <v>15770.0</v>
      </c>
      <c r="J131" s="3" t="n">
        <v>15877.0</v>
      </c>
      <c r="K131" s="3" t="n">
        <v>16100.0</v>
      </c>
      <c r="L131" s="3" t="n">
        <v>15253.0</v>
      </c>
      <c r="M131" s="3" t="n">
        <v>15128.0</v>
      </c>
      <c r="N131" s="3" t="n">
        <v>14384.0</v>
      </c>
      <c r="O131" s="3" t="n">
        <v>15016.0</v>
      </c>
      <c r="P131" s="3" t="n">
        <v>14845.0</v>
      </c>
      <c r="Q131" s="3" t="n">
        <v>15428.0</v>
      </c>
      <c r="R131" s="3" t="n">
        <v>15584.0</v>
      </c>
      <c r="S131" s="3" t="n">
        <v>15028.0</v>
      </c>
      <c r="T131" s="3" t="n">
        <v>14579.0</v>
      </c>
      <c r="U131" s="3" t="n">
        <v>13455.0</v>
      </c>
      <c r="V131" s="3" t="n">
        <v>13538.0</v>
      </c>
      <c r="W131" s="3" t="n">
        <v>12243.0</v>
      </c>
      <c r="X131" s="3" t="n">
        <v>12300.0</v>
      </c>
      <c r="Y131" s="3" t="n">
        <v>12146.0</v>
      </c>
      <c r="Z131" s="3" t="n">
        <v>12034.0</v>
      </c>
      <c r="AA131" s="3" t="n">
        <v>11866.0</v>
      </c>
      <c r="AB131" s="3" t="n">
        <v>11696.0</v>
      </c>
      <c r="AC131" s="3" t="n">
        <v>11556.0</v>
      </c>
      <c r="AD131" s="3" t="n">
        <v>11433.0</v>
      </c>
      <c r="AE131" s="3" t="n">
        <v>11323.0</v>
      </c>
      <c r="AF131" s="3" t="n">
        <v>11218.0</v>
      </c>
      <c r="AG131" s="3" t="n">
        <v>11092.0</v>
      </c>
      <c r="AH131" s="3" t="n">
        <v>11014.0</v>
      </c>
      <c r="AI131" s="3" t="n">
        <v>10927.0</v>
      </c>
      <c r="AJ131" s="3" t="n">
        <v>10885.0</v>
      </c>
      <c r="AK131" s="3" t="n">
        <v>10838.0</v>
      </c>
      <c r="AL131" s="3" t="n">
        <v>10865.0</v>
      </c>
      <c r="AM131" s="3" t="n">
        <v>10907.0</v>
      </c>
      <c r="AN131" s="3" t="n">
        <v>10958.0</v>
      </c>
      <c r="AO131" s="3" t="n">
        <v>11023.0</v>
      </c>
    </row>
    <row r="132" spans="1:41" x14ac:dyDescent="0.2">
      <c r="A132" s="125"/>
      <c r="B132" s="9">
        <v>21</v>
      </c>
      <c r="C132" s="3" t="n">
        <v>12723.0</v>
      </c>
      <c r="D132" s="3" t="n">
        <v>12277.0</v>
      </c>
      <c r="E132" s="3" t="n">
        <v>11935.0</v>
      </c>
      <c r="F132" s="3" t="n">
        <v>12312.0</v>
      </c>
      <c r="G132" s="3" t="n">
        <v>12829.0</v>
      </c>
      <c r="H132" s="3" t="n">
        <v>13553.0</v>
      </c>
      <c r="I132" s="3" t="n">
        <v>14410.0</v>
      </c>
      <c r="J132" s="3" t="n">
        <v>15773.0</v>
      </c>
      <c r="K132" s="3" t="n">
        <v>15863.0</v>
      </c>
      <c r="L132" s="3" t="n">
        <v>16083.0</v>
      </c>
      <c r="M132" s="3" t="n">
        <v>15233.0</v>
      </c>
      <c r="N132" s="3" t="n">
        <v>15109.0</v>
      </c>
      <c r="O132" s="3" t="n">
        <v>14367.0</v>
      </c>
      <c r="P132" s="3" t="n">
        <v>14995.0</v>
      </c>
      <c r="Q132" s="3" t="n">
        <v>14824.0</v>
      </c>
      <c r="R132" s="3" t="n">
        <v>15410.0</v>
      </c>
      <c r="S132" s="3" t="n">
        <v>15564.0</v>
      </c>
      <c r="T132" s="3" t="n">
        <v>15009.0</v>
      </c>
      <c r="U132" s="3" t="n">
        <v>14562.0</v>
      </c>
      <c r="V132" s="3" t="n">
        <v>13436.0</v>
      </c>
      <c r="W132" s="3" t="n">
        <v>13519.0</v>
      </c>
      <c r="X132" s="3" t="n">
        <v>12224.0</v>
      </c>
      <c r="Y132" s="3" t="n">
        <v>12282.0</v>
      </c>
      <c r="Z132" s="3" t="n">
        <v>12127.0</v>
      </c>
      <c r="AA132" s="3" t="n">
        <v>12016.0</v>
      </c>
      <c r="AB132" s="3" t="n">
        <v>11849.0</v>
      </c>
      <c r="AC132" s="3" t="n">
        <v>11678.0</v>
      </c>
      <c r="AD132" s="3" t="n">
        <v>11538.0</v>
      </c>
      <c r="AE132" s="3" t="n">
        <v>11417.0</v>
      </c>
      <c r="AF132" s="3" t="n">
        <v>11306.0</v>
      </c>
      <c r="AG132" s="3" t="n">
        <v>11202.0</v>
      </c>
      <c r="AH132" s="3" t="n">
        <v>11077.0</v>
      </c>
      <c r="AI132" s="3" t="n">
        <v>10999.0</v>
      </c>
      <c r="AJ132" s="3" t="n">
        <v>10911.0</v>
      </c>
      <c r="AK132" s="3" t="n">
        <v>10870.0</v>
      </c>
      <c r="AL132" s="3" t="n">
        <v>10824.0</v>
      </c>
      <c r="AM132" s="3" t="n">
        <v>10851.0</v>
      </c>
      <c r="AN132" s="3" t="n">
        <v>10893.0</v>
      </c>
      <c r="AO132" s="3" t="n">
        <v>10947.0</v>
      </c>
    </row>
    <row r="133" spans="1:41" x14ac:dyDescent="0.2">
      <c r="A133" s="125"/>
      <c r="B133" s="9">
        <v>22</v>
      </c>
      <c r="C133" s="3" t="n">
        <v>13003.0</v>
      </c>
      <c r="D133" s="3" t="n">
        <v>12706.0</v>
      </c>
      <c r="E133" s="3" t="n">
        <v>12263.0</v>
      </c>
      <c r="F133" s="3" t="n">
        <v>11924.0</v>
      </c>
      <c r="G133" s="3" t="n">
        <v>12299.0</v>
      </c>
      <c r="H133" s="3" t="n">
        <v>12844.0</v>
      </c>
      <c r="I133" s="3" t="n">
        <v>13577.0</v>
      </c>
      <c r="J133" s="3" t="n">
        <v>14405.0</v>
      </c>
      <c r="K133" s="3" t="n">
        <v>15760.0</v>
      </c>
      <c r="L133" s="3" t="n">
        <v>15849.0</v>
      </c>
      <c r="M133" s="3" t="n">
        <v>16065.0</v>
      </c>
      <c r="N133" s="3" t="n">
        <v>15214.0</v>
      </c>
      <c r="O133" s="3" t="n">
        <v>15092.0</v>
      </c>
      <c r="P133" s="3" t="n">
        <v>14349.0</v>
      </c>
      <c r="Q133" s="3" t="n">
        <v>14976.0</v>
      </c>
      <c r="R133" s="3" t="n">
        <v>14804.0</v>
      </c>
      <c r="S133" s="3" t="n">
        <v>15388.0</v>
      </c>
      <c r="T133" s="3" t="n">
        <v>15549.0</v>
      </c>
      <c r="U133" s="3" t="n">
        <v>14993.0</v>
      </c>
      <c r="V133" s="3" t="n">
        <v>14545.0</v>
      </c>
      <c r="W133" s="3" t="n">
        <v>13419.0</v>
      </c>
      <c r="X133" s="3" t="n">
        <v>13501.0</v>
      </c>
      <c r="Y133" s="3" t="n">
        <v>12207.0</v>
      </c>
      <c r="Z133" s="3" t="n">
        <v>12265.0</v>
      </c>
      <c r="AA133" s="3" t="n">
        <v>12110.0</v>
      </c>
      <c r="AB133" s="3" t="n">
        <v>11997.0</v>
      </c>
      <c r="AC133" s="3" t="n">
        <v>11829.0</v>
      </c>
      <c r="AD133" s="3" t="n">
        <v>11656.0</v>
      </c>
      <c r="AE133" s="3" t="n">
        <v>11516.0</v>
      </c>
      <c r="AF133" s="3" t="n">
        <v>11397.0</v>
      </c>
      <c r="AG133" s="3" t="n">
        <v>11286.0</v>
      </c>
      <c r="AH133" s="3" t="n">
        <v>11184.0</v>
      </c>
      <c r="AI133" s="3" t="n">
        <v>11060.0</v>
      </c>
      <c r="AJ133" s="3" t="n">
        <v>10982.0</v>
      </c>
      <c r="AK133" s="3" t="n">
        <v>10894.0</v>
      </c>
      <c r="AL133" s="3" t="n">
        <v>10854.0</v>
      </c>
      <c r="AM133" s="3" t="n">
        <v>10808.0</v>
      </c>
      <c r="AN133" s="3" t="n">
        <v>10834.0</v>
      </c>
      <c r="AO133" s="3" t="n">
        <v>10878.0</v>
      </c>
    </row>
    <row r="134" spans="1:41" x14ac:dyDescent="0.2">
      <c r="A134" s="125"/>
      <c r="B134" s="9">
        <v>23</v>
      </c>
      <c r="C134" s="3" t="n">
        <v>13391.0</v>
      </c>
      <c r="D134" s="3" t="n">
        <v>13011.0</v>
      </c>
      <c r="E134" s="3" t="n">
        <v>12712.0</v>
      </c>
      <c r="F134" s="3" t="n">
        <v>12268.0</v>
      </c>
      <c r="G134" s="3" t="n">
        <v>11933.0</v>
      </c>
      <c r="H134" s="3" t="n">
        <v>12342.0</v>
      </c>
      <c r="I134" s="3" t="n">
        <v>12897.0</v>
      </c>
      <c r="J134" s="3" t="n">
        <v>13606.0</v>
      </c>
      <c r="K134" s="3" t="n">
        <v>14426.0</v>
      </c>
      <c r="L134" s="3" t="n">
        <v>15769.0</v>
      </c>
      <c r="M134" s="3" t="n">
        <v>15854.0</v>
      </c>
      <c r="N134" s="3" t="n">
        <v>16070.0</v>
      </c>
      <c r="O134" s="3" t="n">
        <v>15219.0</v>
      </c>
      <c r="P134" s="3" t="n">
        <v>15100.0</v>
      </c>
      <c r="Q134" s="3" t="n">
        <v>14355.0</v>
      </c>
      <c r="R134" s="3" t="n">
        <v>14985.0</v>
      </c>
      <c r="S134" s="3" t="n">
        <v>14809.0</v>
      </c>
      <c r="T134" s="3" t="n">
        <v>15395.0</v>
      </c>
      <c r="U134" s="3" t="n">
        <v>15557.0</v>
      </c>
      <c r="V134" s="3" t="n">
        <v>15002.0</v>
      </c>
      <c r="W134" s="3" t="n">
        <v>14553.0</v>
      </c>
      <c r="X134" s="3" t="n">
        <v>13429.0</v>
      </c>
      <c r="Y134" s="3" t="n">
        <v>13504.0</v>
      </c>
      <c r="Z134" s="3" t="n">
        <v>12209.0</v>
      </c>
      <c r="AA134" s="3" t="n">
        <v>12268.0</v>
      </c>
      <c r="AB134" s="3" t="n">
        <v>12114.0</v>
      </c>
      <c r="AC134" s="3" t="n">
        <v>12003.0</v>
      </c>
      <c r="AD134" s="3" t="n">
        <v>11833.0</v>
      </c>
      <c r="AE134" s="3" t="n">
        <v>11659.0</v>
      </c>
      <c r="AF134" s="3" t="n">
        <v>11521.0</v>
      </c>
      <c r="AG134" s="3" t="n">
        <v>11400.0</v>
      </c>
      <c r="AH134" s="3" t="n">
        <v>11290.0</v>
      </c>
      <c r="AI134" s="3" t="n">
        <v>11189.0</v>
      </c>
      <c r="AJ134" s="3" t="n">
        <v>11065.0</v>
      </c>
      <c r="AK134" s="3" t="n">
        <v>10986.0</v>
      </c>
      <c r="AL134" s="3" t="n">
        <v>10899.0</v>
      </c>
      <c r="AM134" s="3" t="n">
        <v>10858.0</v>
      </c>
      <c r="AN134" s="3" t="n">
        <v>10812.0</v>
      </c>
      <c r="AO134" s="3" t="n">
        <v>10838.0</v>
      </c>
    </row>
    <row r="135" spans="1:41" x14ac:dyDescent="0.2">
      <c r="A135" s="125"/>
      <c r="B135" s="9">
        <v>24</v>
      </c>
      <c r="C135" s="3" t="n">
        <v>14264.0</v>
      </c>
      <c r="D135" s="3" t="n">
        <v>13408.0</v>
      </c>
      <c r="E135" s="3" t="n">
        <v>13034.0</v>
      </c>
      <c r="F135" s="3" t="n">
        <v>12735.0</v>
      </c>
      <c r="G135" s="3" t="n">
        <v>12296.0</v>
      </c>
      <c r="H135" s="3" t="n">
        <v>11991.0</v>
      </c>
      <c r="I135" s="3" t="n">
        <v>12409.0</v>
      </c>
      <c r="J135" s="3" t="n">
        <v>12942.0</v>
      </c>
      <c r="K135" s="3" t="n">
        <v>13642.0</v>
      </c>
      <c r="L135" s="3" t="n">
        <v>14456.0</v>
      </c>
      <c r="M135" s="3" t="n">
        <v>15798.0</v>
      </c>
      <c r="N135" s="3" t="n">
        <v>15882.0</v>
      </c>
      <c r="O135" s="3" t="n">
        <v>16093.0</v>
      </c>
      <c r="P135" s="3" t="n">
        <v>15244.0</v>
      </c>
      <c r="Q135" s="3" t="n">
        <v>15129.0</v>
      </c>
      <c r="R135" s="3" t="n">
        <v>14381.0</v>
      </c>
      <c r="S135" s="3" t="n">
        <v>15012.0</v>
      </c>
      <c r="T135" s="3" t="n">
        <v>14834.0</v>
      </c>
      <c r="U135" s="3" t="n">
        <v>15418.0</v>
      </c>
      <c r="V135" s="3" t="n">
        <v>15586.0</v>
      </c>
      <c r="W135" s="3" t="n">
        <v>15032.0</v>
      </c>
      <c r="X135" s="3" t="n">
        <v>14578.0</v>
      </c>
      <c r="Y135" s="3" t="n">
        <v>13451.0</v>
      </c>
      <c r="Z135" s="3" t="n">
        <v>13526.0</v>
      </c>
      <c r="AA135" s="3" t="n">
        <v>12230.0</v>
      </c>
      <c r="AB135" s="3" t="n">
        <v>12290.0</v>
      </c>
      <c r="AC135" s="3" t="n">
        <v>12136.0</v>
      </c>
      <c r="AD135" s="3" t="n">
        <v>12028.0</v>
      </c>
      <c r="AE135" s="3" t="n">
        <v>11862.0</v>
      </c>
      <c r="AF135" s="3" t="n">
        <v>11686.0</v>
      </c>
      <c r="AG135" s="3" t="n">
        <v>11549.0</v>
      </c>
      <c r="AH135" s="3" t="n">
        <v>11428.0</v>
      </c>
      <c r="AI135" s="3" t="n">
        <v>11320.0</v>
      </c>
      <c r="AJ135" s="3" t="n">
        <v>11222.0</v>
      </c>
      <c r="AK135" s="3" t="n">
        <v>11097.0</v>
      </c>
      <c r="AL135" s="3" t="n">
        <v>11019.0</v>
      </c>
      <c r="AM135" s="3" t="n">
        <v>10931.0</v>
      </c>
      <c r="AN135" s="3" t="n">
        <v>10888.0</v>
      </c>
      <c r="AO135" s="3" t="n">
        <v>10843.0</v>
      </c>
    </row>
    <row r="136" spans="1:41" x14ac:dyDescent="0.2">
      <c r="A136" s="125"/>
      <c r="B136" s="9">
        <v>25</v>
      </c>
      <c r="C136" s="3" t="n">
        <v>15303.0</v>
      </c>
      <c r="D136" s="3" t="n">
        <v>14309.0</v>
      </c>
      <c r="E136" s="3" t="n">
        <v>13455.0</v>
      </c>
      <c r="F136" s="3" t="n">
        <v>13081.0</v>
      </c>
      <c r="G136" s="3" t="n">
        <v>12780.0</v>
      </c>
      <c r="H136" s="3" t="n">
        <v>12378.0</v>
      </c>
      <c r="I136" s="3" t="n">
        <v>12086.0</v>
      </c>
      <c r="J136" s="3" t="n">
        <v>12474.0</v>
      </c>
      <c r="K136" s="3" t="n">
        <v>12992.0</v>
      </c>
      <c r="L136" s="3" t="n">
        <v>13694.0</v>
      </c>
      <c r="M136" s="3" t="n">
        <v>14506.0</v>
      </c>
      <c r="N136" s="3" t="n">
        <v>15838.0</v>
      </c>
      <c r="O136" s="3" t="n">
        <v>15929.0</v>
      </c>
      <c r="P136" s="3" t="n">
        <v>16142.0</v>
      </c>
      <c r="Q136" s="3" t="n">
        <v>15297.0</v>
      </c>
      <c r="R136" s="3" t="n">
        <v>15177.0</v>
      </c>
      <c r="S136" s="3" t="n">
        <v>14431.0</v>
      </c>
      <c r="T136" s="3" t="n">
        <v>15060.0</v>
      </c>
      <c r="U136" s="3" t="n">
        <v>14880.0</v>
      </c>
      <c r="V136" s="3" t="n">
        <v>15462.0</v>
      </c>
      <c r="W136" s="3" t="n">
        <v>15631.0</v>
      </c>
      <c r="X136" s="3" t="n">
        <v>15082.0</v>
      </c>
      <c r="Y136" s="3" t="n">
        <v>14622.0</v>
      </c>
      <c r="Z136" s="3" t="n">
        <v>13491.0</v>
      </c>
      <c r="AA136" s="3" t="n">
        <v>13560.0</v>
      </c>
      <c r="AB136" s="3" t="n">
        <v>12265.0</v>
      </c>
      <c r="AC136" s="3" t="n">
        <v>12325.0</v>
      </c>
      <c r="AD136" s="3" t="n">
        <v>12173.0</v>
      </c>
      <c r="AE136" s="3" t="n">
        <v>12067.0</v>
      </c>
      <c r="AF136" s="3" t="n">
        <v>11897.0</v>
      </c>
      <c r="AG136" s="3" t="n">
        <v>11721.0</v>
      </c>
      <c r="AH136" s="3" t="n">
        <v>11582.0</v>
      </c>
      <c r="AI136" s="3" t="n">
        <v>11459.0</v>
      </c>
      <c r="AJ136" s="3" t="n">
        <v>11350.0</v>
      </c>
      <c r="AK136" s="3" t="n">
        <v>11252.0</v>
      </c>
      <c r="AL136" s="3" t="n">
        <v>11126.0</v>
      </c>
      <c r="AM136" s="3" t="n">
        <v>11048.0</v>
      </c>
      <c r="AN136" s="3" t="n">
        <v>10961.0</v>
      </c>
      <c r="AO136" s="3" t="n">
        <v>10917.0</v>
      </c>
    </row>
    <row r="137" spans="1:41" x14ac:dyDescent="0.2">
      <c r="A137" s="125"/>
      <c r="B137" s="9">
        <v>26</v>
      </c>
      <c r="C137" s="3" t="n">
        <v>16338.0</v>
      </c>
      <c r="D137" s="3" t="n">
        <v>15354.0</v>
      </c>
      <c r="E137" s="3" t="n">
        <v>14362.0</v>
      </c>
      <c r="F137" s="3" t="n">
        <v>13512.0</v>
      </c>
      <c r="G137" s="3" t="n">
        <v>13146.0</v>
      </c>
      <c r="H137" s="3" t="n">
        <v>12877.0</v>
      </c>
      <c r="I137" s="3" t="n">
        <v>12489.0</v>
      </c>
      <c r="J137" s="3" t="n">
        <v>12170.0</v>
      </c>
      <c r="K137" s="3" t="n">
        <v>12548.0</v>
      </c>
      <c r="L137" s="3" t="n">
        <v>13057.0</v>
      </c>
      <c r="M137" s="3" t="n">
        <v>13749.0</v>
      </c>
      <c r="N137" s="3" t="n">
        <v>14564.0</v>
      </c>
      <c r="O137" s="3" t="n">
        <v>15894.0</v>
      </c>
      <c r="P137" s="3" t="n">
        <v>15992.0</v>
      </c>
      <c r="Q137" s="3" t="n">
        <v>16200.0</v>
      </c>
      <c r="R137" s="3" t="n">
        <v>15356.0</v>
      </c>
      <c r="S137" s="3" t="n">
        <v>15239.0</v>
      </c>
      <c r="T137" s="3" t="n">
        <v>14494.0</v>
      </c>
      <c r="U137" s="3" t="n">
        <v>15117.0</v>
      </c>
      <c r="V137" s="3" t="n">
        <v>14931.0</v>
      </c>
      <c r="W137" s="3" t="n">
        <v>15517.0</v>
      </c>
      <c r="X137" s="3" t="n">
        <v>15688.0</v>
      </c>
      <c r="Y137" s="3" t="n">
        <v>15141.0</v>
      </c>
      <c r="Z137" s="3" t="n">
        <v>14680.0</v>
      </c>
      <c r="AA137" s="3" t="n">
        <v>13549.0</v>
      </c>
      <c r="AB137" s="3" t="n">
        <v>13609.0</v>
      </c>
      <c r="AC137" s="3" t="n">
        <v>12311.0</v>
      </c>
      <c r="AD137" s="3" t="n">
        <v>12377.0</v>
      </c>
      <c r="AE137" s="3" t="n">
        <v>12221.0</v>
      </c>
      <c r="AF137" s="3" t="n">
        <v>12115.0</v>
      </c>
      <c r="AG137" s="3" t="n">
        <v>11946.0</v>
      </c>
      <c r="AH137" s="3" t="n">
        <v>11769.0</v>
      </c>
      <c r="AI137" s="3" t="n">
        <v>11626.0</v>
      </c>
      <c r="AJ137" s="3" t="n">
        <v>11505.0</v>
      </c>
      <c r="AK137" s="3" t="n">
        <v>11392.0</v>
      </c>
      <c r="AL137" s="3" t="n">
        <v>11292.0</v>
      </c>
      <c r="AM137" s="3" t="n">
        <v>11164.0</v>
      </c>
      <c r="AN137" s="3" t="n">
        <v>11087.0</v>
      </c>
      <c r="AO137" s="3" t="n">
        <v>11001.0</v>
      </c>
    </row>
    <row r="138" spans="1:41" x14ac:dyDescent="0.2">
      <c r="A138" s="125"/>
      <c r="B138" s="9">
        <v>27</v>
      </c>
      <c r="C138" s="3" t="n">
        <v>17132.0</v>
      </c>
      <c r="D138" s="3" t="n">
        <v>16401.0</v>
      </c>
      <c r="E138" s="3" t="n">
        <v>15431.0</v>
      </c>
      <c r="F138" s="3" t="n">
        <v>14435.0</v>
      </c>
      <c r="G138" s="3" t="n">
        <v>13595.0</v>
      </c>
      <c r="H138" s="3" t="n">
        <v>13260.0</v>
      </c>
      <c r="I138" s="3" t="n">
        <v>12992.0</v>
      </c>
      <c r="J138" s="3" t="n">
        <v>12578.0</v>
      </c>
      <c r="K138" s="3" t="n">
        <v>12253.0</v>
      </c>
      <c r="L138" s="3" t="n">
        <v>12628.0</v>
      </c>
      <c r="M138" s="3" t="n">
        <v>13135.0</v>
      </c>
      <c r="N138" s="3" t="n">
        <v>13830.0</v>
      </c>
      <c r="O138" s="3" t="n">
        <v>14643.0</v>
      </c>
      <c r="P138" s="3" t="n">
        <v>15979.0</v>
      </c>
      <c r="Q138" s="3" t="n">
        <v>16074.0</v>
      </c>
      <c r="R138" s="3" t="n">
        <v>16279.0</v>
      </c>
      <c r="S138" s="3" t="n">
        <v>15439.0</v>
      </c>
      <c r="T138" s="3" t="n">
        <v>15324.0</v>
      </c>
      <c r="U138" s="3" t="n">
        <v>14581.0</v>
      </c>
      <c r="V138" s="3" t="n">
        <v>15199.0</v>
      </c>
      <c r="W138" s="3" t="n">
        <v>15010.0</v>
      </c>
      <c r="X138" s="3" t="n">
        <v>15597.0</v>
      </c>
      <c r="Y138" s="3" t="n">
        <v>15777.0</v>
      </c>
      <c r="Z138" s="3" t="n">
        <v>15229.0</v>
      </c>
      <c r="AA138" s="3" t="n">
        <v>14764.0</v>
      </c>
      <c r="AB138" s="3" t="n">
        <v>13619.0</v>
      </c>
      <c r="AC138" s="3" t="n">
        <v>13681.0</v>
      </c>
      <c r="AD138" s="3" t="n">
        <v>12383.0</v>
      </c>
      <c r="AE138" s="3" t="n">
        <v>12445.0</v>
      </c>
      <c r="AF138" s="3" t="n">
        <v>12288.0</v>
      </c>
      <c r="AG138" s="3" t="n">
        <v>12182.0</v>
      </c>
      <c r="AH138" s="3" t="n">
        <v>12015.0</v>
      </c>
      <c r="AI138" s="3" t="n">
        <v>11839.0</v>
      </c>
      <c r="AJ138" s="3" t="n">
        <v>11690.0</v>
      </c>
      <c r="AK138" s="3" t="n">
        <v>11571.0</v>
      </c>
      <c r="AL138" s="3" t="n">
        <v>11458.0</v>
      </c>
      <c r="AM138" s="3" t="n">
        <v>11358.0</v>
      </c>
      <c r="AN138" s="3" t="n">
        <v>11226.0</v>
      </c>
      <c r="AO138" s="3" t="n">
        <v>11150.0</v>
      </c>
    </row>
    <row r="139" spans="1:41" x14ac:dyDescent="0.2">
      <c r="A139" s="125"/>
      <c r="B139" s="9">
        <v>28</v>
      </c>
      <c r="C139" s="3" t="n">
        <v>17885.0</v>
      </c>
      <c r="D139" s="3" t="n">
        <v>17207.0</v>
      </c>
      <c r="E139" s="3" t="n">
        <v>16474.0</v>
      </c>
      <c r="F139" s="3" t="n">
        <v>15510.0</v>
      </c>
      <c r="G139" s="3" t="n">
        <v>14521.0</v>
      </c>
      <c r="H139" s="3" t="n">
        <v>13719.0</v>
      </c>
      <c r="I139" s="3" t="n">
        <v>13400.0</v>
      </c>
      <c r="J139" s="3" t="n">
        <v>13101.0</v>
      </c>
      <c r="K139" s="3" t="n">
        <v>12683.0</v>
      </c>
      <c r="L139" s="3" t="n">
        <v>12350.0</v>
      </c>
      <c r="M139" s="3" t="n">
        <v>12719.0</v>
      </c>
      <c r="N139" s="3" t="n">
        <v>13223.0</v>
      </c>
      <c r="O139" s="3" t="n">
        <v>13916.0</v>
      </c>
      <c r="P139" s="3" t="n">
        <v>14728.0</v>
      </c>
      <c r="Q139" s="3" t="n">
        <v>16068.0</v>
      </c>
      <c r="R139" s="3" t="n">
        <v>16165.0</v>
      </c>
      <c r="S139" s="3" t="n">
        <v>16366.0</v>
      </c>
      <c r="T139" s="3" t="n">
        <v>15529.0</v>
      </c>
      <c r="U139" s="3" t="n">
        <v>15411.0</v>
      </c>
      <c r="V139" s="3" t="n">
        <v>14671.0</v>
      </c>
      <c r="W139" s="3" t="n">
        <v>15279.0</v>
      </c>
      <c r="X139" s="3" t="n">
        <v>15091.0</v>
      </c>
      <c r="Y139" s="3" t="n">
        <v>15673.0</v>
      </c>
      <c r="Z139" s="3" t="n">
        <v>15864.0</v>
      </c>
      <c r="AA139" s="3" t="n">
        <v>15320.0</v>
      </c>
      <c r="AB139" s="3" t="n">
        <v>14852.0</v>
      </c>
      <c r="AC139" s="3" t="n">
        <v>13698.0</v>
      </c>
      <c r="AD139" s="3" t="n">
        <v>13756.0</v>
      </c>
      <c r="AE139" s="3" t="n">
        <v>12455.0</v>
      </c>
      <c r="AF139" s="3" t="n">
        <v>12511.0</v>
      </c>
      <c r="AG139" s="3" t="n">
        <v>12354.0</v>
      </c>
      <c r="AH139" s="3" t="n">
        <v>12247.0</v>
      </c>
      <c r="AI139" s="3" t="n">
        <v>12080.0</v>
      </c>
      <c r="AJ139" s="3" t="n">
        <v>11903.0</v>
      </c>
      <c r="AK139" s="3" t="n">
        <v>11754.0</v>
      </c>
      <c r="AL139" s="3" t="n">
        <v>11635.0</v>
      </c>
      <c r="AM139" s="3" t="n">
        <v>11521.0</v>
      </c>
      <c r="AN139" s="3" t="n">
        <v>11424.0</v>
      </c>
      <c r="AO139" s="3" t="n">
        <v>11291.0</v>
      </c>
    </row>
    <row r="140" spans="1:41" x14ac:dyDescent="0.2">
      <c r="A140" s="125"/>
      <c r="B140" s="9">
        <v>29</v>
      </c>
      <c r="C140" s="3" t="n">
        <v>18772.0</v>
      </c>
      <c r="D140" s="3" t="n">
        <v>17970.0</v>
      </c>
      <c r="E140" s="3" t="n">
        <v>17290.0</v>
      </c>
      <c r="F140" s="3" t="n">
        <v>16555.0</v>
      </c>
      <c r="G140" s="3" t="n">
        <v>15597.0</v>
      </c>
      <c r="H140" s="3" t="n">
        <v>14651.0</v>
      </c>
      <c r="I140" s="3" t="n">
        <v>13865.0</v>
      </c>
      <c r="J140" s="3" t="n">
        <v>13522.0</v>
      </c>
      <c r="K140" s="3" t="n">
        <v>13210.0</v>
      </c>
      <c r="L140" s="3" t="n">
        <v>12787.0</v>
      </c>
      <c r="M140" s="3" t="n">
        <v>12447.0</v>
      </c>
      <c r="N140" s="3" t="n">
        <v>12815.0</v>
      </c>
      <c r="O140" s="3" t="n">
        <v>13320.0</v>
      </c>
      <c r="P140" s="3" t="n">
        <v>14010.0</v>
      </c>
      <c r="Q140" s="3" t="n">
        <v>14823.0</v>
      </c>
      <c r="R140" s="3" t="n">
        <v>16165.0</v>
      </c>
      <c r="S140" s="3" t="n">
        <v>16269.0</v>
      </c>
      <c r="T140" s="3" t="n">
        <v>16466.0</v>
      </c>
      <c r="U140" s="3" t="n">
        <v>15625.0</v>
      </c>
      <c r="V140" s="3" t="n">
        <v>15509.0</v>
      </c>
      <c r="W140" s="3" t="n">
        <v>14770.0</v>
      </c>
      <c r="X140" s="3" t="n">
        <v>15372.0</v>
      </c>
      <c r="Y140" s="3" t="n">
        <v>15185.0</v>
      </c>
      <c r="Z140" s="3" t="n">
        <v>15773.0</v>
      </c>
      <c r="AA140" s="3" t="n">
        <v>15967.0</v>
      </c>
      <c r="AB140" s="3" t="n">
        <v>15420.0</v>
      </c>
      <c r="AC140" s="3" t="n">
        <v>14949.0</v>
      </c>
      <c r="AD140" s="3" t="n">
        <v>13789.0</v>
      </c>
      <c r="AE140" s="3" t="n">
        <v>13834.0</v>
      </c>
      <c r="AF140" s="3" t="n">
        <v>12531.0</v>
      </c>
      <c r="AG140" s="3" t="n">
        <v>12587.0</v>
      </c>
      <c r="AH140" s="3" t="n">
        <v>12429.0</v>
      </c>
      <c r="AI140" s="3" t="n">
        <v>12320.0</v>
      </c>
      <c r="AJ140" s="3" t="n">
        <v>12152.0</v>
      </c>
      <c r="AK140" s="3" t="n">
        <v>11976.0</v>
      </c>
      <c r="AL140" s="3" t="n">
        <v>11828.0</v>
      </c>
      <c r="AM140" s="3" t="n">
        <v>11706.0</v>
      </c>
      <c r="AN140" s="3" t="n">
        <v>11591.0</v>
      </c>
      <c r="AO140" s="3" t="n">
        <v>11494.0</v>
      </c>
    </row>
    <row r="141" spans="1:41" x14ac:dyDescent="0.2">
      <c r="A141" s="125"/>
      <c r="B141" s="9">
        <v>30</v>
      </c>
      <c r="C141" s="3" t="n">
        <v>19320.0</v>
      </c>
      <c r="D141" s="3" t="n">
        <v>18854.0</v>
      </c>
      <c r="E141" s="3" t="n">
        <v>18052.0</v>
      </c>
      <c r="F141" s="3" t="n">
        <v>17372.0</v>
      </c>
      <c r="G141" s="3" t="n">
        <v>16645.0</v>
      </c>
      <c r="H141" s="3" t="n">
        <v>15727.0</v>
      </c>
      <c r="I141" s="3" t="n">
        <v>14802.0</v>
      </c>
      <c r="J141" s="3" t="n">
        <v>13986.0</v>
      </c>
      <c r="K141" s="3" t="n">
        <v>13636.0</v>
      </c>
      <c r="L141" s="3" t="n">
        <v>13311.0</v>
      </c>
      <c r="M141" s="3" t="n">
        <v>12882.0</v>
      </c>
      <c r="N141" s="3" t="n">
        <v>12542.0</v>
      </c>
      <c r="O141" s="3" t="n">
        <v>12910.0</v>
      </c>
      <c r="P141" s="3" t="n">
        <v>13417.0</v>
      </c>
      <c r="Q141" s="3" t="n">
        <v>14110.0</v>
      </c>
      <c r="R141" s="3" t="n">
        <v>14920.0</v>
      </c>
      <c r="S141" s="3" t="n">
        <v>16263.0</v>
      </c>
      <c r="T141" s="3" t="n">
        <v>16371.0</v>
      </c>
      <c r="U141" s="3" t="n">
        <v>16567.0</v>
      </c>
      <c r="V141" s="3" t="n">
        <v>15724.0</v>
      </c>
      <c r="W141" s="3" t="n">
        <v>15608.0</v>
      </c>
      <c r="X141" s="3" t="n">
        <v>14872.0</v>
      </c>
      <c r="Y141" s="3" t="n">
        <v>15469.0</v>
      </c>
      <c r="Z141" s="3" t="n">
        <v>15284.0</v>
      </c>
      <c r="AA141" s="3" t="n">
        <v>15868.0</v>
      </c>
      <c r="AB141" s="3" t="n">
        <v>16071.0</v>
      </c>
      <c r="AC141" s="3" t="n">
        <v>15525.0</v>
      </c>
      <c r="AD141" s="3" t="n">
        <v>15044.0</v>
      </c>
      <c r="AE141" s="3" t="n">
        <v>13886.0</v>
      </c>
      <c r="AF141" s="3" t="n">
        <v>13921.0</v>
      </c>
      <c r="AG141" s="3" t="n">
        <v>12611.0</v>
      </c>
      <c r="AH141" s="3" t="n">
        <v>12666.0</v>
      </c>
      <c r="AI141" s="3" t="n">
        <v>12509.0</v>
      </c>
      <c r="AJ141" s="3" t="n">
        <v>12404.0</v>
      </c>
      <c r="AK141" s="3" t="n">
        <v>12236.0</v>
      </c>
      <c r="AL141" s="3" t="n">
        <v>12057.0</v>
      </c>
      <c r="AM141" s="3" t="n">
        <v>11909.0</v>
      </c>
      <c r="AN141" s="3" t="n">
        <v>11784.0</v>
      </c>
      <c r="AO141" s="3" t="n">
        <v>11671.0</v>
      </c>
    </row>
    <row r="142" spans="1:41" x14ac:dyDescent="0.2">
      <c r="A142" s="125"/>
      <c r="B142" s="9">
        <v>31</v>
      </c>
      <c r="C142" s="3" t="n">
        <v>20748.0</v>
      </c>
      <c r="D142" s="3" t="n">
        <v>19410.0</v>
      </c>
      <c r="E142" s="3" t="n">
        <v>18946.0</v>
      </c>
      <c r="F142" s="3" t="n">
        <v>18136.0</v>
      </c>
      <c r="G142" s="3" t="n">
        <v>17455.0</v>
      </c>
      <c r="H142" s="3" t="n">
        <v>16783.0</v>
      </c>
      <c r="I142" s="3" t="n">
        <v>15885.0</v>
      </c>
      <c r="J142" s="3" t="n">
        <v>14923.0</v>
      </c>
      <c r="K142" s="3" t="n">
        <v>14094.0</v>
      </c>
      <c r="L142" s="3" t="n">
        <v>13743.0</v>
      </c>
      <c r="M142" s="3" t="n">
        <v>13412.0</v>
      </c>
      <c r="N142" s="3" t="n">
        <v>12976.0</v>
      </c>
      <c r="O142" s="3" t="n">
        <v>12637.0</v>
      </c>
      <c r="P142" s="3" t="n">
        <v>13001.0</v>
      </c>
      <c r="Q142" s="3" t="n">
        <v>13511.0</v>
      </c>
      <c r="R142" s="3" t="n">
        <v>14211.0</v>
      </c>
      <c r="S142" s="3" t="n">
        <v>15016.0</v>
      </c>
      <c r="T142" s="3" t="n">
        <v>16366.0</v>
      </c>
      <c r="U142" s="3" t="n">
        <v>16475.0</v>
      </c>
      <c r="V142" s="3" t="n">
        <v>16669.0</v>
      </c>
      <c r="W142" s="3" t="n">
        <v>15820.0</v>
      </c>
      <c r="X142" s="3" t="n">
        <v>15709.0</v>
      </c>
      <c r="Y142" s="3" t="n">
        <v>14968.0</v>
      </c>
      <c r="Z142" s="3" t="n">
        <v>15563.0</v>
      </c>
      <c r="AA142" s="3" t="n">
        <v>15384.0</v>
      </c>
      <c r="AB142" s="3" t="n">
        <v>15966.0</v>
      </c>
      <c r="AC142" s="3" t="n">
        <v>16177.0</v>
      </c>
      <c r="AD142" s="3" t="n">
        <v>15630.0</v>
      </c>
      <c r="AE142" s="3" t="n">
        <v>15138.0</v>
      </c>
      <c r="AF142" s="3" t="n">
        <v>13977.0</v>
      </c>
      <c r="AG142" s="3" t="n">
        <v>14006.0</v>
      </c>
      <c r="AH142" s="3" t="n">
        <v>12691.0</v>
      </c>
      <c r="AI142" s="3" t="n">
        <v>12743.0</v>
      </c>
      <c r="AJ142" s="3" t="n">
        <v>12587.0</v>
      </c>
      <c r="AK142" s="3" t="n">
        <v>12483.0</v>
      </c>
      <c r="AL142" s="3" t="n">
        <v>12319.0</v>
      </c>
      <c r="AM142" s="3" t="n">
        <v>12138.0</v>
      </c>
      <c r="AN142" s="3" t="n">
        <v>11987.0</v>
      </c>
      <c r="AO142" s="3" t="n">
        <v>11859.0</v>
      </c>
    </row>
    <row r="143" spans="1:41" x14ac:dyDescent="0.2">
      <c r="A143" s="125"/>
      <c r="B143" s="9">
        <v>32</v>
      </c>
      <c r="C143" s="3" t="n">
        <v>21501.0</v>
      </c>
      <c r="D143" s="3" t="n">
        <v>20837.0</v>
      </c>
      <c r="E143" s="3" t="n">
        <v>19496.0</v>
      </c>
      <c r="F143" s="3" t="n">
        <v>19038.0</v>
      </c>
      <c r="G143" s="3" t="n">
        <v>18220.0</v>
      </c>
      <c r="H143" s="3" t="n">
        <v>17570.0</v>
      </c>
      <c r="I143" s="3" t="n">
        <v>16922.0</v>
      </c>
      <c r="J143" s="3" t="n">
        <v>15995.0</v>
      </c>
      <c r="K143" s="3" t="n">
        <v>15020.0</v>
      </c>
      <c r="L143" s="3" t="n">
        <v>14196.0</v>
      </c>
      <c r="M143" s="3" t="n">
        <v>13844.0</v>
      </c>
      <c r="N143" s="3" t="n">
        <v>13510.0</v>
      </c>
      <c r="O143" s="3" t="n">
        <v>13071.0</v>
      </c>
      <c r="P143" s="3" t="n">
        <v>12733.0</v>
      </c>
      <c r="Q143" s="3" t="n">
        <v>13100.0</v>
      </c>
      <c r="R143" s="3" t="n">
        <v>13607.0</v>
      </c>
      <c r="S143" s="3" t="n">
        <v>14307.0</v>
      </c>
      <c r="T143" s="3" t="n">
        <v>15111.0</v>
      </c>
      <c r="U143" s="3" t="n">
        <v>16462.0</v>
      </c>
      <c r="V143" s="3" t="n">
        <v>16575.0</v>
      </c>
      <c r="W143" s="3" t="n">
        <v>16767.0</v>
      </c>
      <c r="X143" s="3" t="n">
        <v>15921.0</v>
      </c>
      <c r="Y143" s="3" t="n">
        <v>15806.0</v>
      </c>
      <c r="Z143" s="3" t="n">
        <v>15062.0</v>
      </c>
      <c r="AA143" s="3" t="n">
        <v>15654.0</v>
      </c>
      <c r="AB143" s="3" t="n">
        <v>15478.0</v>
      </c>
      <c r="AC143" s="3" t="n">
        <v>16060.0</v>
      </c>
      <c r="AD143" s="3" t="n">
        <v>16276.0</v>
      </c>
      <c r="AE143" s="3" t="n">
        <v>15725.0</v>
      </c>
      <c r="AF143" s="3" t="n">
        <v>15238.0</v>
      </c>
      <c r="AG143" s="3" t="n">
        <v>14064.0</v>
      </c>
      <c r="AH143" s="3" t="n">
        <v>14086.0</v>
      </c>
      <c r="AI143" s="3" t="n">
        <v>12764.0</v>
      </c>
      <c r="AJ143" s="3" t="n">
        <v>12820.0</v>
      </c>
      <c r="AK143" s="3" t="n">
        <v>12663.0</v>
      </c>
      <c r="AL143" s="3" t="n">
        <v>12557.0</v>
      </c>
      <c r="AM143" s="3" t="n">
        <v>12394.0</v>
      </c>
      <c r="AN143" s="3" t="n">
        <v>12212.0</v>
      </c>
      <c r="AO143" s="3" t="n">
        <v>12063.0</v>
      </c>
    </row>
    <row r="144" spans="1:41" x14ac:dyDescent="0.2">
      <c r="A144" s="125"/>
      <c r="B144" s="9">
        <v>33</v>
      </c>
      <c r="C144" s="3" t="n">
        <v>21560.0</v>
      </c>
      <c r="D144" s="3" t="n">
        <v>21569.0</v>
      </c>
      <c r="E144" s="3" t="n">
        <v>20907.0</v>
      </c>
      <c r="F144" s="3" t="n">
        <v>19563.0</v>
      </c>
      <c r="G144" s="3" t="n">
        <v>19105.0</v>
      </c>
      <c r="H144" s="3" t="n">
        <v>18323.0</v>
      </c>
      <c r="I144" s="3" t="n">
        <v>17688.0</v>
      </c>
      <c r="J144" s="3" t="n">
        <v>17004.0</v>
      </c>
      <c r="K144" s="3" t="n">
        <v>16070.0</v>
      </c>
      <c r="L144" s="3" t="n">
        <v>15094.0</v>
      </c>
      <c r="M144" s="3" t="n">
        <v>14272.0</v>
      </c>
      <c r="N144" s="3" t="n">
        <v>13918.0</v>
      </c>
      <c r="O144" s="3" t="n">
        <v>13587.0</v>
      </c>
      <c r="P144" s="3" t="n">
        <v>13147.0</v>
      </c>
      <c r="Q144" s="3" t="n">
        <v>12809.0</v>
      </c>
      <c r="R144" s="3" t="n">
        <v>13175.0</v>
      </c>
      <c r="S144" s="3" t="n">
        <v>13679.0</v>
      </c>
      <c r="T144" s="3" t="n">
        <v>14381.0</v>
      </c>
      <c r="U144" s="3" t="n">
        <v>15187.0</v>
      </c>
      <c r="V144" s="3" t="n">
        <v>16536.0</v>
      </c>
      <c r="W144" s="3" t="n">
        <v>16651.0</v>
      </c>
      <c r="X144" s="3" t="n">
        <v>16838.0</v>
      </c>
      <c r="Y144" s="3" t="n">
        <v>15991.0</v>
      </c>
      <c r="Z144" s="3" t="n">
        <v>15881.0</v>
      </c>
      <c r="AA144" s="3" t="n">
        <v>15133.0</v>
      </c>
      <c r="AB144" s="3" t="n">
        <v>15724.0</v>
      </c>
      <c r="AC144" s="3" t="n">
        <v>15544.0</v>
      </c>
      <c r="AD144" s="3" t="n">
        <v>16128.0</v>
      </c>
      <c r="AE144" s="3" t="n">
        <v>16346.0</v>
      </c>
      <c r="AF144" s="3" t="n">
        <v>15797.0</v>
      </c>
      <c r="AG144" s="3" t="n">
        <v>15311.0</v>
      </c>
      <c r="AH144" s="3" t="n">
        <v>14132.0</v>
      </c>
      <c r="AI144" s="3" t="n">
        <v>14146.0</v>
      </c>
      <c r="AJ144" s="3" t="n">
        <v>12824.0</v>
      </c>
      <c r="AK144" s="3" t="n">
        <v>12876.0</v>
      </c>
      <c r="AL144" s="3" t="n">
        <v>12719.0</v>
      </c>
      <c r="AM144" s="3" t="n">
        <v>12616.0</v>
      </c>
      <c r="AN144" s="3" t="n">
        <v>12454.0</v>
      </c>
      <c r="AO144" s="3" t="n">
        <v>12276.0</v>
      </c>
    </row>
    <row r="145" spans="1:41" x14ac:dyDescent="0.2">
      <c r="A145" s="125"/>
      <c r="B145" s="9">
        <v>34</v>
      </c>
      <c r="C145" s="3" t="n">
        <v>22215.0</v>
      </c>
      <c r="D145" s="3" t="n">
        <v>21607.0</v>
      </c>
      <c r="E145" s="3" t="n">
        <v>21618.0</v>
      </c>
      <c r="F145" s="3" t="n">
        <v>20961.0</v>
      </c>
      <c r="G145" s="3" t="n">
        <v>19615.0</v>
      </c>
      <c r="H145" s="3" t="n">
        <v>19204.0</v>
      </c>
      <c r="I145" s="3" t="n">
        <v>18437.0</v>
      </c>
      <c r="J145" s="3" t="n">
        <v>17762.0</v>
      </c>
      <c r="K145" s="3" t="n">
        <v>17068.0</v>
      </c>
      <c r="L145" s="3" t="n">
        <v>16131.0</v>
      </c>
      <c r="M145" s="3" t="n">
        <v>15153.0</v>
      </c>
      <c r="N145" s="3" t="n">
        <v>14335.0</v>
      </c>
      <c r="O145" s="3" t="n">
        <v>13984.0</v>
      </c>
      <c r="P145" s="3" t="n">
        <v>13650.0</v>
      </c>
      <c r="Q145" s="3" t="n">
        <v>13210.0</v>
      </c>
      <c r="R145" s="3" t="n">
        <v>12874.0</v>
      </c>
      <c r="S145" s="3" t="n">
        <v>13241.0</v>
      </c>
      <c r="T145" s="3" t="n">
        <v>13742.0</v>
      </c>
      <c r="U145" s="3" t="n">
        <v>14441.0</v>
      </c>
      <c r="V145" s="3" t="n">
        <v>15252.0</v>
      </c>
      <c r="W145" s="3" t="n">
        <v>16604.0</v>
      </c>
      <c r="X145" s="3" t="n">
        <v>16725.0</v>
      </c>
      <c r="Y145" s="3" t="n">
        <v>16907.0</v>
      </c>
      <c r="Z145" s="3" t="n">
        <v>16059.0</v>
      </c>
      <c r="AA145" s="3" t="n">
        <v>15948.0</v>
      </c>
      <c r="AB145" s="3" t="n">
        <v>15202.0</v>
      </c>
      <c r="AC145" s="3" t="n">
        <v>15782.0</v>
      </c>
      <c r="AD145" s="3" t="n">
        <v>15605.0</v>
      </c>
      <c r="AE145" s="3" t="n">
        <v>16184.0</v>
      </c>
      <c r="AF145" s="3" t="n">
        <v>16415.0</v>
      </c>
      <c r="AG145" s="3" t="n">
        <v>15863.0</v>
      </c>
      <c r="AH145" s="3" t="n">
        <v>15366.0</v>
      </c>
      <c r="AI145" s="3" t="n">
        <v>14189.0</v>
      </c>
      <c r="AJ145" s="3" t="n">
        <v>14197.0</v>
      </c>
      <c r="AK145" s="3" t="n">
        <v>12868.0</v>
      </c>
      <c r="AL145" s="3" t="n">
        <v>12924.0</v>
      </c>
      <c r="AM145" s="3" t="n">
        <v>12764.0</v>
      </c>
      <c r="AN145" s="3" t="n">
        <v>12661.0</v>
      </c>
      <c r="AO145" s="3" t="n">
        <v>12496.0</v>
      </c>
    </row>
    <row r="146" spans="1:41" x14ac:dyDescent="0.2">
      <c r="A146" s="125"/>
      <c r="B146" s="9">
        <v>35</v>
      </c>
      <c r="C146" s="3" t="n">
        <v>22851.0</v>
      </c>
      <c r="D146" s="3" t="n">
        <v>22247.0</v>
      </c>
      <c r="E146" s="3" t="n">
        <v>21645.0</v>
      </c>
      <c r="F146" s="3" t="n">
        <v>21654.0</v>
      </c>
      <c r="G146" s="3" t="n">
        <v>20997.0</v>
      </c>
      <c r="H146" s="3" t="n">
        <v>19708.0</v>
      </c>
      <c r="I146" s="3" t="n">
        <v>19315.0</v>
      </c>
      <c r="J146" s="3" t="n">
        <v>18506.0</v>
      </c>
      <c r="K146" s="3" t="n">
        <v>17809.0</v>
      </c>
      <c r="L146" s="3" t="n">
        <v>17115.0</v>
      </c>
      <c r="M146" s="3" t="n">
        <v>16178.0</v>
      </c>
      <c r="N146" s="3" t="n">
        <v>15204.0</v>
      </c>
      <c r="O146" s="3" t="n">
        <v>14386.0</v>
      </c>
      <c r="P146" s="3" t="n">
        <v>14034.0</v>
      </c>
      <c r="Q146" s="3" t="n">
        <v>13702.0</v>
      </c>
      <c r="R146" s="3" t="n">
        <v>13262.0</v>
      </c>
      <c r="S146" s="3" t="n">
        <v>12931.0</v>
      </c>
      <c r="T146" s="3" t="n">
        <v>13296.0</v>
      </c>
      <c r="U146" s="3" t="n">
        <v>13801.0</v>
      </c>
      <c r="V146" s="3" t="n">
        <v>14499.0</v>
      </c>
      <c r="W146" s="3" t="n">
        <v>15309.0</v>
      </c>
      <c r="X146" s="3" t="n">
        <v>16661.0</v>
      </c>
      <c r="Y146" s="3" t="n">
        <v>16785.0</v>
      </c>
      <c r="Z146" s="3" t="n">
        <v>16965.0</v>
      </c>
      <c r="AA146" s="3" t="n">
        <v>16115.0</v>
      </c>
      <c r="AB146" s="3" t="n">
        <v>16003.0</v>
      </c>
      <c r="AC146" s="3" t="n">
        <v>15256.0</v>
      </c>
      <c r="AD146" s="3" t="n">
        <v>15832.0</v>
      </c>
      <c r="AE146" s="3" t="n">
        <v>15658.0</v>
      </c>
      <c r="AF146" s="3" t="n">
        <v>16232.0</v>
      </c>
      <c r="AG146" s="3" t="n">
        <v>16468.0</v>
      </c>
      <c r="AH146" s="3" t="n">
        <v>15914.0</v>
      </c>
      <c r="AI146" s="3" t="n">
        <v>15421.0</v>
      </c>
      <c r="AJ146" s="3" t="n">
        <v>14247.0</v>
      </c>
      <c r="AK146" s="3" t="n">
        <v>14246.0</v>
      </c>
      <c r="AL146" s="3" t="n">
        <v>12915.0</v>
      </c>
      <c r="AM146" s="3" t="n">
        <v>12974.0</v>
      </c>
      <c r="AN146" s="3" t="n">
        <v>12807.0</v>
      </c>
      <c r="AO146" s="3" t="n">
        <v>12706.0</v>
      </c>
    </row>
    <row r="147" spans="1:41" x14ac:dyDescent="0.2">
      <c r="A147" s="125"/>
      <c r="B147" s="9">
        <v>36</v>
      </c>
      <c r="C147" s="3" t="n">
        <v>23433.0</v>
      </c>
      <c r="D147" s="3" t="n">
        <v>22871.0</v>
      </c>
      <c r="E147" s="3" t="n">
        <v>22271.0</v>
      </c>
      <c r="F147" s="3" t="n">
        <v>21673.0</v>
      </c>
      <c r="G147" s="3" t="n">
        <v>21685.0</v>
      </c>
      <c r="H147" s="3" t="n">
        <v>21074.0</v>
      </c>
      <c r="I147" s="3" t="n">
        <v>19799.0</v>
      </c>
      <c r="J147" s="3" t="n">
        <v>19371.0</v>
      </c>
      <c r="K147" s="3" t="n">
        <v>18549.0</v>
      </c>
      <c r="L147" s="3" t="n">
        <v>17846.0</v>
      </c>
      <c r="M147" s="3" t="n">
        <v>17148.0</v>
      </c>
      <c r="N147" s="3" t="n">
        <v>16214.0</v>
      </c>
      <c r="O147" s="3" t="n">
        <v>15251.0</v>
      </c>
      <c r="P147" s="3" t="n">
        <v>14435.0</v>
      </c>
      <c r="Q147" s="3" t="n">
        <v>14087.0</v>
      </c>
      <c r="R147" s="3" t="n">
        <v>13757.0</v>
      </c>
      <c r="S147" s="3" t="n">
        <v>13316.0</v>
      </c>
      <c r="T147" s="3" t="n">
        <v>12982.0</v>
      </c>
      <c r="U147" s="3" t="n">
        <v>13353.0</v>
      </c>
      <c r="V147" s="3" t="n">
        <v>13857.0</v>
      </c>
      <c r="W147" s="3" t="n">
        <v>14545.0</v>
      </c>
      <c r="X147" s="3" t="n">
        <v>15350.0</v>
      </c>
      <c r="Y147" s="3" t="n">
        <v>16703.0</v>
      </c>
      <c r="Z147" s="3" t="n">
        <v>16833.0</v>
      </c>
      <c r="AA147" s="3" t="n">
        <v>17014.0</v>
      </c>
      <c r="AB147" s="3" t="n">
        <v>16157.0</v>
      </c>
      <c r="AC147" s="3" t="n">
        <v>16048.0</v>
      </c>
      <c r="AD147" s="3" t="n">
        <v>15307.0</v>
      </c>
      <c r="AE147" s="3" t="n">
        <v>15879.0</v>
      </c>
      <c r="AF147" s="3" t="n">
        <v>15706.0</v>
      </c>
      <c r="AG147" s="3" t="n">
        <v>16278.0</v>
      </c>
      <c r="AH147" s="3" t="n">
        <v>16517.0</v>
      </c>
      <c r="AI147" s="3" t="n">
        <v>15966.0</v>
      </c>
      <c r="AJ147" s="3" t="n">
        <v>15471.0</v>
      </c>
      <c r="AK147" s="3" t="n">
        <v>14291.0</v>
      </c>
      <c r="AL147" s="3" t="n">
        <v>14282.0</v>
      </c>
      <c r="AM147" s="3" t="n">
        <v>12953.0</v>
      </c>
      <c r="AN147" s="3" t="n">
        <v>13007.0</v>
      </c>
      <c r="AO147" s="3" t="n">
        <v>12844.0</v>
      </c>
    </row>
    <row r="148" spans="1:41" x14ac:dyDescent="0.2">
      <c r="A148" s="125"/>
      <c r="B148" s="9">
        <v>37</v>
      </c>
      <c r="C148" s="3" t="n">
        <v>25617.0</v>
      </c>
      <c r="D148" s="3" t="n">
        <v>23451.0</v>
      </c>
      <c r="E148" s="3" t="n">
        <v>22893.0</v>
      </c>
      <c r="F148" s="3" t="n">
        <v>22289.0</v>
      </c>
      <c r="G148" s="3" t="n">
        <v>21699.0</v>
      </c>
      <c r="H148" s="3" t="n">
        <v>21747.0</v>
      </c>
      <c r="I148" s="3" t="n">
        <v>21157.0</v>
      </c>
      <c r="J148" s="3" t="n">
        <v>19848.0</v>
      </c>
      <c r="K148" s="3" t="n">
        <v>19401.0</v>
      </c>
      <c r="L148" s="3" t="n">
        <v>18575.0</v>
      </c>
      <c r="M148" s="3" t="n">
        <v>17862.0</v>
      </c>
      <c r="N148" s="3" t="n">
        <v>17161.0</v>
      </c>
      <c r="O148" s="3" t="n">
        <v>16230.0</v>
      </c>
      <c r="P148" s="3" t="n">
        <v>15275.0</v>
      </c>
      <c r="Q148" s="3" t="n">
        <v>14471.0</v>
      </c>
      <c r="R148" s="3" t="n">
        <v>14123.0</v>
      </c>
      <c r="S148" s="3" t="n">
        <v>13798.0</v>
      </c>
      <c r="T148" s="3" t="n">
        <v>13354.0</v>
      </c>
      <c r="U148" s="3" t="n">
        <v>13026.0</v>
      </c>
      <c r="V148" s="3" t="n">
        <v>13395.0</v>
      </c>
      <c r="W148" s="3" t="n">
        <v>13893.0</v>
      </c>
      <c r="X148" s="3" t="n">
        <v>14583.0</v>
      </c>
      <c r="Y148" s="3" t="n">
        <v>15389.0</v>
      </c>
      <c r="Z148" s="3" t="n">
        <v>16736.0</v>
      </c>
      <c r="AA148" s="3" t="n">
        <v>16865.0</v>
      </c>
      <c r="AB148" s="3" t="n">
        <v>17049.0</v>
      </c>
      <c r="AC148" s="3" t="n">
        <v>16187.0</v>
      </c>
      <c r="AD148" s="3" t="n">
        <v>16082.0</v>
      </c>
      <c r="AE148" s="3" t="n">
        <v>15348.0</v>
      </c>
      <c r="AF148" s="3" t="n">
        <v>15916.0</v>
      </c>
      <c r="AG148" s="3" t="n">
        <v>15740.0</v>
      </c>
      <c r="AH148" s="3" t="n">
        <v>16313.0</v>
      </c>
      <c r="AI148" s="3" t="n">
        <v>16555.0</v>
      </c>
      <c r="AJ148" s="3" t="n">
        <v>16000.0</v>
      </c>
      <c r="AK148" s="3" t="n">
        <v>15511.0</v>
      </c>
      <c r="AL148" s="3" t="n">
        <v>14323.0</v>
      </c>
      <c r="AM148" s="3" t="n">
        <v>14311.0</v>
      </c>
      <c r="AN148" s="3" t="n">
        <v>12984.0</v>
      </c>
      <c r="AO148" s="3" t="n">
        <v>13039.0</v>
      </c>
    </row>
    <row r="149" spans="1:41" x14ac:dyDescent="0.2">
      <c r="A149" s="125"/>
      <c r="B149" s="9">
        <v>38</v>
      </c>
      <c r="C149" s="3" t="n">
        <v>26475.0</v>
      </c>
      <c r="D149" s="3" t="n">
        <v>25576.0</v>
      </c>
      <c r="E149" s="3" t="n">
        <v>23413.0</v>
      </c>
      <c r="F149" s="3" t="n">
        <v>22864.0</v>
      </c>
      <c r="G149" s="3" t="n">
        <v>22268.0</v>
      </c>
      <c r="H149" s="3" t="n">
        <v>21722.0</v>
      </c>
      <c r="I149" s="3" t="n">
        <v>21789.0</v>
      </c>
      <c r="J149" s="3" t="n">
        <v>21170.0</v>
      </c>
      <c r="K149" s="3" t="n">
        <v>19844.0</v>
      </c>
      <c r="L149" s="3" t="n">
        <v>19391.0</v>
      </c>
      <c r="M149" s="3" t="n">
        <v>18566.0</v>
      </c>
      <c r="N149" s="3" t="n">
        <v>17849.0</v>
      </c>
      <c r="O149" s="3" t="n">
        <v>17155.0</v>
      </c>
      <c r="P149" s="3" t="n">
        <v>16233.0</v>
      </c>
      <c r="Q149" s="3" t="n">
        <v>15281.0</v>
      </c>
      <c r="R149" s="3" t="n">
        <v>14480.0</v>
      </c>
      <c r="S149" s="3" t="n">
        <v>14139.0</v>
      </c>
      <c r="T149" s="3" t="n">
        <v>13814.0</v>
      </c>
      <c r="U149" s="3" t="n">
        <v>13371.0</v>
      </c>
      <c r="V149" s="3" t="n">
        <v>13046.0</v>
      </c>
      <c r="W149" s="3" t="n">
        <v>13412.0</v>
      </c>
      <c r="X149" s="3" t="n">
        <v>13905.0</v>
      </c>
      <c r="Y149" s="3" t="n">
        <v>14596.0</v>
      </c>
      <c r="Z149" s="3" t="n">
        <v>15399.0</v>
      </c>
      <c r="AA149" s="3" t="n">
        <v>16746.0</v>
      </c>
      <c r="AB149" s="3" t="n">
        <v>16873.0</v>
      </c>
      <c r="AC149" s="3" t="n">
        <v>17057.0</v>
      </c>
      <c r="AD149" s="3" t="n">
        <v>16194.0</v>
      </c>
      <c r="AE149" s="3" t="n">
        <v>16088.0</v>
      </c>
      <c r="AF149" s="3" t="n">
        <v>15363.0</v>
      </c>
      <c r="AG149" s="3" t="n">
        <v>15927.0</v>
      </c>
      <c r="AH149" s="3" t="n">
        <v>15750.0</v>
      </c>
      <c r="AI149" s="3" t="n">
        <v>16323.0</v>
      </c>
      <c r="AJ149" s="3" t="n">
        <v>16564.0</v>
      </c>
      <c r="AK149" s="3" t="n">
        <v>16014.0</v>
      </c>
      <c r="AL149" s="3" t="n">
        <v>15518.0</v>
      </c>
      <c r="AM149" s="3" t="n">
        <v>14332.0</v>
      </c>
      <c r="AN149" s="3" t="n">
        <v>14314.0</v>
      </c>
      <c r="AO149" s="3" t="n">
        <v>12999.0</v>
      </c>
    </row>
    <row r="150" spans="1:41" x14ac:dyDescent="0.2">
      <c r="A150" s="125"/>
      <c r="B150" s="9">
        <v>39</v>
      </c>
      <c r="C150" s="3" t="n">
        <v>27544.0</v>
      </c>
      <c r="D150" s="3" t="n">
        <v>26419.0</v>
      </c>
      <c r="E150" s="3" t="n">
        <v>25537.0</v>
      </c>
      <c r="F150" s="3" t="n">
        <v>23389.0</v>
      </c>
      <c r="G150" s="3" t="n">
        <v>22838.0</v>
      </c>
      <c r="H150" s="3" t="n">
        <v>22294.0</v>
      </c>
      <c r="I150" s="3" t="n">
        <v>21768.0</v>
      </c>
      <c r="J150" s="3" t="n">
        <v>21795.0</v>
      </c>
      <c r="K150" s="3" t="n">
        <v>21164.0</v>
      </c>
      <c r="L150" s="3" t="n">
        <v>19829.0</v>
      </c>
      <c r="M150" s="3" t="n">
        <v>19380.0</v>
      </c>
      <c r="N150" s="3" t="n">
        <v>18555.0</v>
      </c>
      <c r="O150" s="3" t="n">
        <v>17834.0</v>
      </c>
      <c r="P150" s="3" t="n">
        <v>17141.0</v>
      </c>
      <c r="Q150" s="3" t="n">
        <v>16224.0</v>
      </c>
      <c r="R150" s="3" t="n">
        <v>15279.0</v>
      </c>
      <c r="S150" s="3" t="n">
        <v>14486.0</v>
      </c>
      <c r="T150" s="3" t="n">
        <v>14149.0</v>
      </c>
      <c r="U150" s="3" t="n">
        <v>13825.0</v>
      </c>
      <c r="V150" s="3" t="n">
        <v>13379.0</v>
      </c>
      <c r="W150" s="3" t="n">
        <v>13056.0</v>
      </c>
      <c r="X150" s="3" t="n">
        <v>13421.0</v>
      </c>
      <c r="Y150" s="3" t="n">
        <v>13915.0</v>
      </c>
      <c r="Z150" s="3" t="n">
        <v>14606.0</v>
      </c>
      <c r="AA150" s="3" t="n">
        <v>15410.0</v>
      </c>
      <c r="AB150" s="3" t="n">
        <v>16760.0</v>
      </c>
      <c r="AC150" s="3" t="n">
        <v>16881.0</v>
      </c>
      <c r="AD150" s="3" t="n">
        <v>17065.0</v>
      </c>
      <c r="AE150" s="3" t="n">
        <v>16204.0</v>
      </c>
      <c r="AF150" s="3" t="n">
        <v>16095.0</v>
      </c>
      <c r="AG150" s="3" t="n">
        <v>15371.0</v>
      </c>
      <c r="AH150" s="3" t="n">
        <v>15930.0</v>
      </c>
      <c r="AI150" s="3" t="n">
        <v>15751.0</v>
      </c>
      <c r="AJ150" s="3" t="n">
        <v>16326.0</v>
      </c>
      <c r="AK150" s="3" t="n">
        <v>16572.0</v>
      </c>
      <c r="AL150" s="3" t="n">
        <v>16020.0</v>
      </c>
      <c r="AM150" s="3" t="n">
        <v>15522.0</v>
      </c>
      <c r="AN150" s="3" t="n">
        <v>14337.0</v>
      </c>
      <c r="AO150" s="3" t="n">
        <v>14319.0</v>
      </c>
    </row>
    <row r="151" spans="1:41" x14ac:dyDescent="0.2">
      <c r="A151" s="125"/>
      <c r="B151" s="9">
        <v>40</v>
      </c>
      <c r="C151" s="3" t="n">
        <v>26161.0</v>
      </c>
      <c r="D151" s="3" t="n">
        <v>27494.0</v>
      </c>
      <c r="E151" s="3" t="n">
        <v>26371.0</v>
      </c>
      <c r="F151" s="3" t="n">
        <v>25499.0</v>
      </c>
      <c r="G151" s="3" t="n">
        <v>23366.0</v>
      </c>
      <c r="H151" s="3" t="n">
        <v>22838.0</v>
      </c>
      <c r="I151" s="3" t="n">
        <v>22313.0</v>
      </c>
      <c r="J151" s="3" t="n">
        <v>21768.0</v>
      </c>
      <c r="K151" s="3" t="n">
        <v>21780.0</v>
      </c>
      <c r="L151" s="3" t="n">
        <v>21147.0</v>
      </c>
      <c r="M151" s="3" t="n">
        <v>19818.0</v>
      </c>
      <c r="N151" s="3" t="n">
        <v>19358.0</v>
      </c>
      <c r="O151" s="3" t="n">
        <v>18533.0</v>
      </c>
      <c r="P151" s="3" t="n">
        <v>17815.0</v>
      </c>
      <c r="Q151" s="3" t="n">
        <v>17122.0</v>
      </c>
      <c r="R151" s="3" t="n">
        <v>16212.0</v>
      </c>
      <c r="S151" s="3" t="n">
        <v>15278.0</v>
      </c>
      <c r="T151" s="3" t="n">
        <v>14491.0</v>
      </c>
      <c r="U151" s="3" t="n">
        <v>14158.0</v>
      </c>
      <c r="V151" s="3" t="n">
        <v>13833.0</v>
      </c>
      <c r="W151" s="3" t="n">
        <v>13392.0</v>
      </c>
      <c r="X151" s="3" t="n">
        <v>13069.0</v>
      </c>
      <c r="Y151" s="3" t="n">
        <v>13434.0</v>
      </c>
      <c r="Z151" s="3" t="n">
        <v>13924.0</v>
      </c>
      <c r="AA151" s="3" t="n">
        <v>14613.0</v>
      </c>
      <c r="AB151" s="3" t="n">
        <v>15416.0</v>
      </c>
      <c r="AC151" s="3" t="n">
        <v>16769.0</v>
      </c>
      <c r="AD151" s="3" t="n">
        <v>16886.0</v>
      </c>
      <c r="AE151" s="3" t="n">
        <v>17064.0</v>
      </c>
      <c r="AF151" s="3" t="n">
        <v>16208.0</v>
      </c>
      <c r="AG151" s="3" t="n">
        <v>16099.0</v>
      </c>
      <c r="AH151" s="3" t="n">
        <v>15378.0</v>
      </c>
      <c r="AI151" s="3" t="n">
        <v>15934.0</v>
      </c>
      <c r="AJ151" s="3" t="n">
        <v>15750.0</v>
      </c>
      <c r="AK151" s="3" t="n">
        <v>16331.0</v>
      </c>
      <c r="AL151" s="3" t="n">
        <v>16577.0</v>
      </c>
      <c r="AM151" s="3" t="n">
        <v>16028.0</v>
      </c>
      <c r="AN151" s="3" t="n">
        <v>15528.0</v>
      </c>
      <c r="AO151" s="3" t="n">
        <v>14346.0</v>
      </c>
    </row>
    <row r="152" spans="1:41" x14ac:dyDescent="0.2">
      <c r="A152" s="125"/>
      <c r="B152" s="9">
        <v>41</v>
      </c>
      <c r="C152" s="3" t="n">
        <v>25169.0</v>
      </c>
      <c r="D152" s="3" t="n">
        <v>26106.0</v>
      </c>
      <c r="E152" s="3" t="n">
        <v>27436.0</v>
      </c>
      <c r="F152" s="3" t="n">
        <v>26315.0</v>
      </c>
      <c r="G152" s="3" t="n">
        <v>25454.0</v>
      </c>
      <c r="H152" s="3" t="n">
        <v>23360.0</v>
      </c>
      <c r="I152" s="3" t="n">
        <v>22852.0</v>
      </c>
      <c r="J152" s="3" t="n">
        <v>22315.0</v>
      </c>
      <c r="K152" s="3" t="n">
        <v>21758.0</v>
      </c>
      <c r="L152" s="3" t="n">
        <v>21757.0</v>
      </c>
      <c r="M152" s="3" t="n">
        <v>21119.0</v>
      </c>
      <c r="N152" s="3" t="n">
        <v>19793.0</v>
      </c>
      <c r="O152" s="3" t="n">
        <v>19333.0</v>
      </c>
      <c r="P152" s="3" t="n">
        <v>18505.0</v>
      </c>
      <c r="Q152" s="3" t="n">
        <v>17784.0</v>
      </c>
      <c r="R152" s="3" t="n">
        <v>17094.0</v>
      </c>
      <c r="S152" s="3" t="n">
        <v>16192.0</v>
      </c>
      <c r="T152" s="3" t="n">
        <v>15266.0</v>
      </c>
      <c r="U152" s="3" t="n">
        <v>14484.0</v>
      </c>
      <c r="V152" s="3" t="n">
        <v>14154.0</v>
      </c>
      <c r="W152" s="3" t="n">
        <v>13829.0</v>
      </c>
      <c r="X152" s="3" t="n">
        <v>13393.0</v>
      </c>
      <c r="Y152" s="3" t="n">
        <v>13071.0</v>
      </c>
      <c r="Z152" s="3" t="n">
        <v>13441.0</v>
      </c>
      <c r="AA152" s="3" t="n">
        <v>13920.0</v>
      </c>
      <c r="AB152" s="3" t="n">
        <v>14610.0</v>
      </c>
      <c r="AC152" s="3" t="n">
        <v>15408.0</v>
      </c>
      <c r="AD152" s="3" t="n">
        <v>16761.0</v>
      </c>
      <c r="AE152" s="3" t="n">
        <v>16882.0</v>
      </c>
      <c r="AF152" s="3" t="n">
        <v>17062.0</v>
      </c>
      <c r="AG152" s="3" t="n">
        <v>16204.0</v>
      </c>
      <c r="AH152" s="3" t="n">
        <v>16097.0</v>
      </c>
      <c r="AI152" s="3" t="n">
        <v>15371.0</v>
      </c>
      <c r="AJ152" s="3" t="n">
        <v>15931.0</v>
      </c>
      <c r="AK152" s="3" t="n">
        <v>15746.0</v>
      </c>
      <c r="AL152" s="3" t="n">
        <v>16329.0</v>
      </c>
      <c r="AM152" s="3" t="n">
        <v>16572.0</v>
      </c>
      <c r="AN152" s="3" t="n">
        <v>16024.0</v>
      </c>
      <c r="AO152" s="3" t="n">
        <v>15526.0</v>
      </c>
    </row>
    <row r="153" spans="1:41" x14ac:dyDescent="0.2">
      <c r="A153" s="125"/>
      <c r="B153" s="9">
        <v>42</v>
      </c>
      <c r="C153" s="3" t="n">
        <v>25698.0</v>
      </c>
      <c r="D153" s="3" t="n">
        <v>25107.0</v>
      </c>
      <c r="E153" s="3" t="n">
        <v>26041.0</v>
      </c>
      <c r="F153" s="3" t="n">
        <v>27367.0</v>
      </c>
      <c r="G153" s="3" t="n">
        <v>26248.0</v>
      </c>
      <c r="H153" s="3" t="n">
        <v>25430.0</v>
      </c>
      <c r="I153" s="3" t="n">
        <v>23355.0</v>
      </c>
      <c r="J153" s="3" t="n">
        <v>22824.0</v>
      </c>
      <c r="K153" s="3" t="n">
        <v>22283.0</v>
      </c>
      <c r="L153" s="3" t="n">
        <v>21719.0</v>
      </c>
      <c r="M153" s="3" t="n">
        <v>21718.0</v>
      </c>
      <c r="N153" s="3" t="n">
        <v>21087.0</v>
      </c>
      <c r="O153" s="3" t="n">
        <v>19764.0</v>
      </c>
      <c r="P153" s="3" t="n">
        <v>19307.0</v>
      </c>
      <c r="Q153" s="3" t="n">
        <v>18477.0</v>
      </c>
      <c r="R153" s="3" t="n">
        <v>17760.0</v>
      </c>
      <c r="S153" s="3" t="n">
        <v>17070.0</v>
      </c>
      <c r="T153" s="3" t="n">
        <v>16178.0</v>
      </c>
      <c r="U153" s="3" t="n">
        <v>15257.0</v>
      </c>
      <c r="V153" s="3" t="n">
        <v>14482.0</v>
      </c>
      <c r="W153" s="3" t="n">
        <v>14152.0</v>
      </c>
      <c r="X153" s="3" t="n">
        <v>13833.0</v>
      </c>
      <c r="Y153" s="3" t="n">
        <v>13396.0</v>
      </c>
      <c r="Z153" s="3" t="n">
        <v>13081.0</v>
      </c>
      <c r="AA153" s="3" t="n">
        <v>13451.0</v>
      </c>
      <c r="AB153" s="3" t="n">
        <v>13923.0</v>
      </c>
      <c r="AC153" s="3" t="n">
        <v>14611.0</v>
      </c>
      <c r="AD153" s="3" t="n">
        <v>15401.0</v>
      </c>
      <c r="AE153" s="3" t="n">
        <v>16753.0</v>
      </c>
      <c r="AF153" s="3" t="n">
        <v>16873.0</v>
      </c>
      <c r="AG153" s="3" t="n">
        <v>17056.0</v>
      </c>
      <c r="AH153" s="3" t="n">
        <v>16199.0</v>
      </c>
      <c r="AI153" s="3" t="n">
        <v>16091.0</v>
      </c>
      <c r="AJ153" s="3" t="n">
        <v>15369.0</v>
      </c>
      <c r="AK153" s="3" t="n">
        <v>15927.0</v>
      </c>
      <c r="AL153" s="3" t="n">
        <v>15743.0</v>
      </c>
      <c r="AM153" s="3" t="n">
        <v>16329.0</v>
      </c>
      <c r="AN153" s="3" t="n">
        <v>16569.0</v>
      </c>
      <c r="AO153" s="3" t="n">
        <v>16023.0</v>
      </c>
    </row>
    <row r="154" spans="1:41" x14ac:dyDescent="0.2">
      <c r="A154" s="125"/>
      <c r="B154" s="9">
        <v>43</v>
      </c>
      <c r="C154" s="3" t="n">
        <v>24987.0</v>
      </c>
      <c r="D154" s="3" t="n">
        <v>25616.0</v>
      </c>
      <c r="E154" s="3" t="n">
        <v>25030.0</v>
      </c>
      <c r="F154" s="3" t="n">
        <v>25971.0</v>
      </c>
      <c r="G154" s="3" t="n">
        <v>27287.0</v>
      </c>
      <c r="H154" s="3" t="n">
        <v>26207.0</v>
      </c>
      <c r="I154" s="3" t="n">
        <v>25407.0</v>
      </c>
      <c r="J154" s="3" t="n">
        <v>23320.0</v>
      </c>
      <c r="K154" s="3" t="n">
        <v>22781.0</v>
      </c>
      <c r="L154" s="3" t="n">
        <v>22234.0</v>
      </c>
      <c r="M154" s="3" t="n">
        <v>21671.0</v>
      </c>
      <c r="N154" s="3" t="n">
        <v>21670.0</v>
      </c>
      <c r="O154" s="3" t="n">
        <v>21037.0</v>
      </c>
      <c r="P154" s="3" t="n">
        <v>19718.0</v>
      </c>
      <c r="Q154" s="3" t="n">
        <v>19264.0</v>
      </c>
      <c r="R154" s="3" t="n">
        <v>18435.0</v>
      </c>
      <c r="S154" s="3" t="n">
        <v>17712.0</v>
      </c>
      <c r="T154" s="3" t="n">
        <v>17022.0</v>
      </c>
      <c r="U154" s="3" t="n">
        <v>16141.0</v>
      </c>
      <c r="V154" s="3" t="n">
        <v>15230.0</v>
      </c>
      <c r="W154" s="3" t="n">
        <v>14462.0</v>
      </c>
      <c r="X154" s="3" t="n">
        <v>14133.0</v>
      </c>
      <c r="Y154" s="3" t="n">
        <v>13816.0</v>
      </c>
      <c r="Z154" s="3" t="n">
        <v>13378.0</v>
      </c>
      <c r="AA154" s="3" t="n">
        <v>13069.0</v>
      </c>
      <c r="AB154" s="3" t="n">
        <v>13440.0</v>
      </c>
      <c r="AC154" s="3" t="n">
        <v>13908.0</v>
      </c>
      <c r="AD154" s="3" t="n">
        <v>14596.0</v>
      </c>
      <c r="AE154" s="3" t="n">
        <v>15384.0</v>
      </c>
      <c r="AF154" s="3" t="n">
        <v>16730.0</v>
      </c>
      <c r="AG154" s="3" t="n">
        <v>16847.0</v>
      </c>
      <c r="AH154" s="3" t="n">
        <v>17027.0</v>
      </c>
      <c r="AI154" s="3" t="n">
        <v>16176.0</v>
      </c>
      <c r="AJ154" s="3" t="n">
        <v>16072.0</v>
      </c>
      <c r="AK154" s="3" t="n">
        <v>15353.0</v>
      </c>
      <c r="AL154" s="3" t="n">
        <v>15908.0</v>
      </c>
      <c r="AM154" s="3" t="n">
        <v>15726.0</v>
      </c>
      <c r="AN154" s="3" t="n">
        <v>16309.0</v>
      </c>
      <c r="AO154" s="3" t="n">
        <v>16546.0</v>
      </c>
    </row>
    <row r="155" spans="1:41" x14ac:dyDescent="0.2">
      <c r="A155" s="125"/>
      <c r="B155" s="9">
        <v>44</v>
      </c>
      <c r="C155" s="3" t="n">
        <v>24067.0</v>
      </c>
      <c r="D155" s="3" t="n">
        <v>24898.0</v>
      </c>
      <c r="E155" s="3" t="n">
        <v>25530.0</v>
      </c>
      <c r="F155" s="3" t="n">
        <v>24951.0</v>
      </c>
      <c r="G155" s="3" t="n">
        <v>25887.0</v>
      </c>
      <c r="H155" s="3" t="n">
        <v>27230.0</v>
      </c>
      <c r="I155" s="3" t="n">
        <v>26167.0</v>
      </c>
      <c r="J155" s="3" t="n">
        <v>25352.0</v>
      </c>
      <c r="K155" s="3" t="n">
        <v>23260.0</v>
      </c>
      <c r="L155" s="3" t="n">
        <v>22725.0</v>
      </c>
      <c r="M155" s="3" t="n">
        <v>22178.0</v>
      </c>
      <c r="N155" s="3" t="n">
        <v>21619.0</v>
      </c>
      <c r="O155" s="3" t="n">
        <v>21617.0</v>
      </c>
      <c r="P155" s="3" t="n">
        <v>20985.0</v>
      </c>
      <c r="Q155" s="3" t="n">
        <v>19668.0</v>
      </c>
      <c r="R155" s="3" t="n">
        <v>19219.0</v>
      </c>
      <c r="S155" s="3" t="n">
        <v>18392.0</v>
      </c>
      <c r="T155" s="3" t="n">
        <v>17668.0</v>
      </c>
      <c r="U155" s="3" t="n">
        <v>16980.0</v>
      </c>
      <c r="V155" s="3" t="n">
        <v>16106.0</v>
      </c>
      <c r="W155" s="3" t="n">
        <v>15203.0</v>
      </c>
      <c r="X155" s="3" t="n">
        <v>14437.0</v>
      </c>
      <c r="Y155" s="3" t="n">
        <v>14115.0</v>
      </c>
      <c r="Z155" s="3" t="n">
        <v>13797.0</v>
      </c>
      <c r="AA155" s="3" t="n">
        <v>13362.0</v>
      </c>
      <c r="AB155" s="3" t="n">
        <v>13055.0</v>
      </c>
      <c r="AC155" s="3" t="n">
        <v>13430.0</v>
      </c>
      <c r="AD155" s="3" t="n">
        <v>13889.0</v>
      </c>
      <c r="AE155" s="3" t="n">
        <v>14580.0</v>
      </c>
      <c r="AF155" s="3" t="n">
        <v>15364.0</v>
      </c>
      <c r="AG155" s="3" t="n">
        <v>16705.0</v>
      </c>
      <c r="AH155" s="3" t="n">
        <v>16821.0</v>
      </c>
      <c r="AI155" s="3" t="n">
        <v>17003.0</v>
      </c>
      <c r="AJ155" s="3" t="n">
        <v>16155.0</v>
      </c>
      <c r="AK155" s="3" t="n">
        <v>16049.0</v>
      </c>
      <c r="AL155" s="3" t="n">
        <v>15335.0</v>
      </c>
      <c r="AM155" s="3" t="n">
        <v>15885.0</v>
      </c>
      <c r="AN155" s="3" t="n">
        <v>15704.0</v>
      </c>
      <c r="AO155" s="3" t="n">
        <v>16289.0</v>
      </c>
    </row>
    <row r="156" spans="1:41" x14ac:dyDescent="0.2">
      <c r="A156" s="125"/>
      <c r="B156" s="9">
        <v>45</v>
      </c>
      <c r="C156" s="3" t="n">
        <v>23986.0</v>
      </c>
      <c r="D156" s="3" t="n">
        <v>23980.0</v>
      </c>
      <c r="E156" s="3" t="n">
        <v>24815.0</v>
      </c>
      <c r="F156" s="3" t="n">
        <v>25440.0</v>
      </c>
      <c r="G156" s="3" t="n">
        <v>24862.0</v>
      </c>
      <c r="H156" s="3" t="n">
        <v>25815.0</v>
      </c>
      <c r="I156" s="3" t="n">
        <v>27161.0</v>
      </c>
      <c r="J156" s="3" t="n">
        <v>26094.0</v>
      </c>
      <c r="K156" s="3" t="n">
        <v>25274.0</v>
      </c>
      <c r="L156" s="3" t="n">
        <v>23196.0</v>
      </c>
      <c r="M156" s="3" t="n">
        <v>22660.0</v>
      </c>
      <c r="N156" s="3" t="n">
        <v>22111.0</v>
      </c>
      <c r="O156" s="3" t="n">
        <v>21556.0</v>
      </c>
      <c r="P156" s="3" t="n">
        <v>21555.0</v>
      </c>
      <c r="Q156" s="3" t="n">
        <v>20922.0</v>
      </c>
      <c r="R156" s="3" t="n">
        <v>19612.0</v>
      </c>
      <c r="S156" s="3" t="n">
        <v>19165.0</v>
      </c>
      <c r="T156" s="3" t="n">
        <v>18341.0</v>
      </c>
      <c r="U156" s="3" t="n">
        <v>17615.0</v>
      </c>
      <c r="V156" s="3" t="n">
        <v>16928.0</v>
      </c>
      <c r="W156" s="3" t="n">
        <v>16063.0</v>
      </c>
      <c r="X156" s="3" t="n">
        <v>15166.0</v>
      </c>
      <c r="Y156" s="3" t="n">
        <v>14408.0</v>
      </c>
      <c r="Z156" s="3" t="n">
        <v>14090.0</v>
      </c>
      <c r="AA156" s="3" t="n">
        <v>13776.0</v>
      </c>
      <c r="AB156" s="3" t="n">
        <v>13341.0</v>
      </c>
      <c r="AC156" s="3" t="n">
        <v>13034.0</v>
      </c>
      <c r="AD156" s="3" t="n">
        <v>13410.0</v>
      </c>
      <c r="AE156" s="3" t="n">
        <v>13866.0</v>
      </c>
      <c r="AF156" s="3" t="n">
        <v>14551.0</v>
      </c>
      <c r="AG156" s="3" t="n">
        <v>15339.0</v>
      </c>
      <c r="AH156" s="3" t="n">
        <v>16677.0</v>
      </c>
      <c r="AI156" s="3" t="n">
        <v>16797.0</v>
      </c>
      <c r="AJ156" s="3" t="n">
        <v>16973.0</v>
      </c>
      <c r="AK156" s="3" t="n">
        <v>16128.0</v>
      </c>
      <c r="AL156" s="3" t="n">
        <v>16020.0</v>
      </c>
      <c r="AM156" s="3" t="n">
        <v>15312.0</v>
      </c>
      <c r="AN156" s="3" t="n">
        <v>15855.0</v>
      </c>
      <c r="AO156" s="3" t="n">
        <v>15678.0</v>
      </c>
    </row>
    <row r="157" spans="1:41" x14ac:dyDescent="0.2">
      <c r="A157" s="125"/>
      <c r="B157" s="9">
        <v>46</v>
      </c>
      <c r="C157" s="3" t="n">
        <v>23679.0</v>
      </c>
      <c r="D157" s="3" t="n">
        <v>23895.0</v>
      </c>
      <c r="E157" s="3" t="n">
        <v>23889.0</v>
      </c>
      <c r="F157" s="3" t="n">
        <v>24725.0</v>
      </c>
      <c r="G157" s="3" t="n">
        <v>25343.0</v>
      </c>
      <c r="H157" s="3" t="n">
        <v>24789.0</v>
      </c>
      <c r="I157" s="3" t="n">
        <v>25743.0</v>
      </c>
      <c r="J157" s="3" t="n">
        <v>27072.0</v>
      </c>
      <c r="K157" s="3" t="n">
        <v>26001.0</v>
      </c>
      <c r="L157" s="3" t="n">
        <v>25185.0</v>
      </c>
      <c r="M157" s="3" t="n">
        <v>23120.0</v>
      </c>
      <c r="N157" s="3" t="n">
        <v>22585.0</v>
      </c>
      <c r="O157" s="3" t="n">
        <v>22036.0</v>
      </c>
      <c r="P157" s="3" t="n">
        <v>21482.0</v>
      </c>
      <c r="Q157" s="3" t="n">
        <v>21482.0</v>
      </c>
      <c r="R157" s="3" t="n">
        <v>20853.0</v>
      </c>
      <c r="S157" s="3" t="n">
        <v>19547.0</v>
      </c>
      <c r="T157" s="3" t="n">
        <v>19099.0</v>
      </c>
      <c r="U157" s="3" t="n">
        <v>18279.0</v>
      </c>
      <c r="V157" s="3" t="n">
        <v>17566.0</v>
      </c>
      <c r="W157" s="3" t="n">
        <v>16884.0</v>
      </c>
      <c r="X157" s="3" t="n">
        <v>16026.0</v>
      </c>
      <c r="Y157" s="3" t="n">
        <v>15131.0</v>
      </c>
      <c r="Z157" s="3" t="n">
        <v>14381.0</v>
      </c>
      <c r="AA157" s="3" t="n">
        <v>14066.0</v>
      </c>
      <c r="AB157" s="3" t="n">
        <v>13757.0</v>
      </c>
      <c r="AC157" s="3" t="n">
        <v>13329.0</v>
      </c>
      <c r="AD157" s="3" t="n">
        <v>13019.0</v>
      </c>
      <c r="AE157" s="3" t="n">
        <v>13393.0</v>
      </c>
      <c r="AF157" s="3" t="n">
        <v>13848.0</v>
      </c>
      <c r="AG157" s="3" t="n">
        <v>14530.0</v>
      </c>
      <c r="AH157" s="3" t="n">
        <v>15311.0</v>
      </c>
      <c r="AI157" s="3" t="n">
        <v>16647.0</v>
      </c>
      <c r="AJ157" s="3" t="n">
        <v>16765.0</v>
      </c>
      <c r="AK157" s="3" t="n">
        <v>16943.0</v>
      </c>
      <c r="AL157" s="3" t="n">
        <v>16102.0</v>
      </c>
      <c r="AM157" s="3" t="n">
        <v>15999.0</v>
      </c>
      <c r="AN157" s="3" t="n">
        <v>15292.0</v>
      </c>
      <c r="AO157" s="3" t="n">
        <v>15834.0</v>
      </c>
    </row>
    <row r="158" spans="1:41" x14ac:dyDescent="0.2">
      <c r="A158" s="125"/>
      <c r="B158" s="9">
        <v>47</v>
      </c>
      <c r="C158" s="3" t="n">
        <v>22799.0</v>
      </c>
      <c r="D158" s="3" t="n">
        <v>23557.0</v>
      </c>
      <c r="E158" s="3" t="n">
        <v>23778.0</v>
      </c>
      <c r="F158" s="3" t="n">
        <v>23773.0</v>
      </c>
      <c r="G158" s="3" t="n">
        <v>24607.0</v>
      </c>
      <c r="H158" s="3" t="n">
        <v>25245.0</v>
      </c>
      <c r="I158" s="3" t="n">
        <v>24700.0</v>
      </c>
      <c r="J158" s="3" t="n">
        <v>25639.0</v>
      </c>
      <c r="K158" s="3" t="n">
        <v>26951.0</v>
      </c>
      <c r="L158" s="3" t="n">
        <v>25879.0</v>
      </c>
      <c r="M158" s="3" t="n">
        <v>25070.0</v>
      </c>
      <c r="N158" s="3" t="n">
        <v>23024.0</v>
      </c>
      <c r="O158" s="3" t="n">
        <v>22489.0</v>
      </c>
      <c r="P158" s="3" t="n">
        <v>21938.0</v>
      </c>
      <c r="Q158" s="3" t="n">
        <v>21393.0</v>
      </c>
      <c r="R158" s="3" t="n">
        <v>21390.0</v>
      </c>
      <c r="S158" s="3" t="n">
        <v>20767.0</v>
      </c>
      <c r="T158" s="3" t="n">
        <v>19466.0</v>
      </c>
      <c r="U158" s="3" t="n">
        <v>19017.0</v>
      </c>
      <c r="V158" s="3" t="n">
        <v>18198.0</v>
      </c>
      <c r="W158" s="3" t="n">
        <v>17490.0</v>
      </c>
      <c r="X158" s="3" t="n">
        <v>16818.0</v>
      </c>
      <c r="Y158" s="3" t="n">
        <v>15961.0</v>
      </c>
      <c r="Z158" s="3" t="n">
        <v>15075.0</v>
      </c>
      <c r="AA158" s="3" t="n">
        <v>14331.0</v>
      </c>
      <c r="AB158" s="3" t="n">
        <v>14016.0</v>
      </c>
      <c r="AC158" s="3" t="n">
        <v>13711.0</v>
      </c>
      <c r="AD158" s="3" t="n">
        <v>13288.0</v>
      </c>
      <c r="AE158" s="3" t="n">
        <v>12980.0</v>
      </c>
      <c r="AF158" s="3" t="n">
        <v>13348.0</v>
      </c>
      <c r="AG158" s="3" t="n">
        <v>13805.0</v>
      </c>
      <c r="AH158" s="3" t="n">
        <v>14486.0</v>
      </c>
      <c r="AI158" s="3" t="n">
        <v>15261.0</v>
      </c>
      <c r="AJ158" s="3" t="n">
        <v>16592.0</v>
      </c>
      <c r="AK158" s="3" t="n">
        <v>16708.0</v>
      </c>
      <c r="AL158" s="3" t="n">
        <v>16886.0</v>
      </c>
      <c r="AM158" s="3" t="n">
        <v>16053.0</v>
      </c>
      <c r="AN158" s="3" t="n">
        <v>15950.0</v>
      </c>
      <c r="AO158" s="3" t="n">
        <v>15248.0</v>
      </c>
    </row>
    <row r="159" spans="1:41" x14ac:dyDescent="0.2">
      <c r="A159" s="125"/>
      <c r="B159" s="9">
        <v>48</v>
      </c>
      <c r="C159" s="3" t="n">
        <v>21470.0</v>
      </c>
      <c r="D159" s="3" t="n">
        <v>22686.0</v>
      </c>
      <c r="E159" s="3" t="n">
        <v>23436.0</v>
      </c>
      <c r="F159" s="3" t="n">
        <v>23660.0</v>
      </c>
      <c r="G159" s="3" t="n">
        <v>23661.0</v>
      </c>
      <c r="H159" s="3" t="n">
        <v>24508.0</v>
      </c>
      <c r="I159" s="3" t="n">
        <v>25148.0</v>
      </c>
      <c r="J159" s="3" t="n">
        <v>24590.0</v>
      </c>
      <c r="K159" s="3" t="n">
        <v>25518.0</v>
      </c>
      <c r="L159" s="3" t="n">
        <v>26823.0</v>
      </c>
      <c r="M159" s="3" t="n">
        <v>25757.0</v>
      </c>
      <c r="N159" s="3" t="n">
        <v>24952.0</v>
      </c>
      <c r="O159" s="3" t="n">
        <v>22920.0</v>
      </c>
      <c r="P159" s="3" t="n">
        <v>22392.0</v>
      </c>
      <c r="Q159" s="3" t="n">
        <v>21845.0</v>
      </c>
      <c r="R159" s="3" t="n">
        <v>21303.0</v>
      </c>
      <c r="S159" s="3" t="n">
        <v>21305.0</v>
      </c>
      <c r="T159" s="3" t="n">
        <v>20682.0</v>
      </c>
      <c r="U159" s="3" t="n">
        <v>19391.0</v>
      </c>
      <c r="V159" s="3" t="n">
        <v>18936.0</v>
      </c>
      <c r="W159" s="3" t="n">
        <v>18119.0</v>
      </c>
      <c r="X159" s="3" t="n">
        <v>17423.0</v>
      </c>
      <c r="Y159" s="3" t="n">
        <v>16755.0</v>
      </c>
      <c r="Z159" s="3" t="n">
        <v>15906.0</v>
      </c>
      <c r="AA159" s="3" t="n">
        <v>15021.0</v>
      </c>
      <c r="AB159" s="3" t="n">
        <v>14284.0</v>
      </c>
      <c r="AC159" s="3" t="n">
        <v>13975.0</v>
      </c>
      <c r="AD159" s="3" t="n">
        <v>13670.0</v>
      </c>
      <c r="AE159" s="3" t="n">
        <v>13248.0</v>
      </c>
      <c r="AF159" s="3" t="n">
        <v>12941.0</v>
      </c>
      <c r="AG159" s="3" t="n">
        <v>13308.0</v>
      </c>
      <c r="AH159" s="3" t="n">
        <v>13764.0</v>
      </c>
      <c r="AI159" s="3" t="n">
        <v>14446.0</v>
      </c>
      <c r="AJ159" s="3" t="n">
        <v>15219.0</v>
      </c>
      <c r="AK159" s="3" t="n">
        <v>16543.0</v>
      </c>
      <c r="AL159" s="3" t="n">
        <v>16658.0</v>
      </c>
      <c r="AM159" s="3" t="n">
        <v>16834.0</v>
      </c>
      <c r="AN159" s="3" t="n">
        <v>16005.0</v>
      </c>
      <c r="AO159" s="3" t="n">
        <v>15901.0</v>
      </c>
    </row>
    <row r="160" spans="1:41" x14ac:dyDescent="0.2">
      <c r="A160" s="125"/>
      <c r="B160" s="9">
        <v>49</v>
      </c>
      <c r="C160" s="3" t="n">
        <v>20371.0</v>
      </c>
      <c r="D160" s="3" t="n">
        <v>21352.0</v>
      </c>
      <c r="E160" s="3" t="n">
        <v>22560.0</v>
      </c>
      <c r="F160" s="3" t="n">
        <v>23306.0</v>
      </c>
      <c r="G160" s="3" t="n">
        <v>23530.0</v>
      </c>
      <c r="H160" s="3" t="n">
        <v>23545.0</v>
      </c>
      <c r="I160" s="3" t="n">
        <v>24403.0</v>
      </c>
      <c r="J160" s="3" t="n">
        <v>25022.0</v>
      </c>
      <c r="K160" s="3" t="n">
        <v>24463.0</v>
      </c>
      <c r="L160" s="3" t="n">
        <v>25384.0</v>
      </c>
      <c r="M160" s="3" t="n">
        <v>26680.0</v>
      </c>
      <c r="N160" s="3" t="n">
        <v>25623.0</v>
      </c>
      <c r="O160" s="3" t="n">
        <v>24824.0</v>
      </c>
      <c r="P160" s="3" t="n">
        <v>22804.0</v>
      </c>
      <c r="Q160" s="3" t="n">
        <v>22277.0</v>
      </c>
      <c r="R160" s="3" t="n">
        <v>21739.0</v>
      </c>
      <c r="S160" s="3" t="n">
        <v>21197.0</v>
      </c>
      <c r="T160" s="3" t="n">
        <v>21200.0</v>
      </c>
      <c r="U160" s="3" t="n">
        <v>20582.0</v>
      </c>
      <c r="V160" s="3" t="n">
        <v>19296.0</v>
      </c>
      <c r="W160" s="3" t="n">
        <v>18846.0</v>
      </c>
      <c r="X160" s="3" t="n">
        <v>18033.0</v>
      </c>
      <c r="Y160" s="3" t="n">
        <v>17338.0</v>
      </c>
      <c r="Z160" s="3" t="n">
        <v>16676.0</v>
      </c>
      <c r="AA160" s="3" t="n">
        <v>15836.0</v>
      </c>
      <c r="AB160" s="3" t="n">
        <v>14960.0</v>
      </c>
      <c r="AC160" s="3" t="n">
        <v>14229.0</v>
      </c>
      <c r="AD160" s="3" t="n">
        <v>13925.0</v>
      </c>
      <c r="AE160" s="3" t="n">
        <v>13623.0</v>
      </c>
      <c r="AF160" s="3" t="n">
        <v>13202.0</v>
      </c>
      <c r="AG160" s="3" t="n">
        <v>12901.0</v>
      </c>
      <c r="AH160" s="3" t="n">
        <v>13268.0</v>
      </c>
      <c r="AI160" s="3" t="n">
        <v>13716.0</v>
      </c>
      <c r="AJ160" s="3" t="n">
        <v>14402.0</v>
      </c>
      <c r="AK160" s="3" t="n">
        <v>15168.0</v>
      </c>
      <c r="AL160" s="3" t="n">
        <v>16484.0</v>
      </c>
      <c r="AM160" s="3" t="n">
        <v>16604.0</v>
      </c>
      <c r="AN160" s="3" t="n">
        <v>16777.0</v>
      </c>
      <c r="AO160" s="3" t="n">
        <v>15946.0</v>
      </c>
    </row>
    <row r="161" spans="1:41" x14ac:dyDescent="0.2">
      <c r="A161" s="125"/>
      <c r="B161" s="9">
        <v>50</v>
      </c>
      <c r="C161" s="3" t="n">
        <v>19372.0</v>
      </c>
      <c r="D161" s="3" t="n">
        <v>20254.0</v>
      </c>
      <c r="E161" s="3" t="n">
        <v>21238.0</v>
      </c>
      <c r="F161" s="3" t="n">
        <v>22433.0</v>
      </c>
      <c r="G161" s="3" t="n">
        <v>23171.0</v>
      </c>
      <c r="H161" s="3" t="n">
        <v>23405.0</v>
      </c>
      <c r="I161" s="3" t="n">
        <v>23429.0</v>
      </c>
      <c r="J161" s="3" t="n">
        <v>24266.0</v>
      </c>
      <c r="K161" s="3" t="n">
        <v>24882.0</v>
      </c>
      <c r="L161" s="3" t="n">
        <v>24325.0</v>
      </c>
      <c r="M161" s="3" t="n">
        <v>25240.0</v>
      </c>
      <c r="N161" s="3" t="n">
        <v>26528.0</v>
      </c>
      <c r="O161" s="3" t="n">
        <v>25473.0</v>
      </c>
      <c r="P161" s="3" t="n">
        <v>24685.0</v>
      </c>
      <c r="Q161" s="3" t="n">
        <v>22678.0</v>
      </c>
      <c r="R161" s="3" t="n">
        <v>22165.0</v>
      </c>
      <c r="S161" s="3" t="n">
        <v>21628.0</v>
      </c>
      <c r="T161" s="3" t="n">
        <v>21087.0</v>
      </c>
      <c r="U161" s="3" t="n">
        <v>21090.0</v>
      </c>
      <c r="V161" s="3" t="n">
        <v>20477.0</v>
      </c>
      <c r="W161" s="3" t="n">
        <v>19208.0</v>
      </c>
      <c r="X161" s="3" t="n">
        <v>18757.0</v>
      </c>
      <c r="Y161" s="3" t="n">
        <v>17948.0</v>
      </c>
      <c r="Z161" s="3" t="n">
        <v>17258.0</v>
      </c>
      <c r="AA161" s="3" t="n">
        <v>16601.0</v>
      </c>
      <c r="AB161" s="3" t="n">
        <v>15768.0</v>
      </c>
      <c r="AC161" s="3" t="n">
        <v>14897.0</v>
      </c>
      <c r="AD161" s="3" t="n">
        <v>14173.0</v>
      </c>
      <c r="AE161" s="3" t="n">
        <v>13874.0</v>
      </c>
      <c r="AF161" s="3" t="n">
        <v>13575.0</v>
      </c>
      <c r="AG161" s="3" t="n">
        <v>13161.0</v>
      </c>
      <c r="AH161" s="3" t="n">
        <v>12860.0</v>
      </c>
      <c r="AI161" s="3" t="n">
        <v>13224.0</v>
      </c>
      <c r="AJ161" s="3" t="n">
        <v>13671.0</v>
      </c>
      <c r="AK161" s="3" t="n">
        <v>14350.0</v>
      </c>
      <c r="AL161" s="3" t="n">
        <v>15115.0</v>
      </c>
      <c r="AM161" s="3" t="n">
        <v>16424.0</v>
      </c>
      <c r="AN161" s="3" t="n">
        <v>16547.0</v>
      </c>
      <c r="AO161" s="3" t="n">
        <v>16721.0</v>
      </c>
    </row>
    <row r="162" spans="1:41" x14ac:dyDescent="0.2">
      <c r="A162" s="125"/>
      <c r="B162" s="9">
        <v>51</v>
      </c>
      <c r="C162" s="3" t="n">
        <v>18187.0</v>
      </c>
      <c r="D162" s="3" t="n">
        <v>19246.0</v>
      </c>
      <c r="E162" s="3" t="n">
        <v>20121.0</v>
      </c>
      <c r="F162" s="3" t="n">
        <v>21103.0</v>
      </c>
      <c r="G162" s="3" t="n">
        <v>22286.0</v>
      </c>
      <c r="H162" s="3" t="n">
        <v>23029.0</v>
      </c>
      <c r="I162" s="3" t="n">
        <v>23267.0</v>
      </c>
      <c r="J162" s="3" t="n">
        <v>23285.0</v>
      </c>
      <c r="K162" s="3" t="n">
        <v>24112.0</v>
      </c>
      <c r="L162" s="3" t="n">
        <v>24726.0</v>
      </c>
      <c r="M162" s="3" t="n">
        <v>24170.0</v>
      </c>
      <c r="N162" s="3" t="n">
        <v>25086.0</v>
      </c>
      <c r="O162" s="3" t="n">
        <v>26363.0</v>
      </c>
      <c r="P162" s="3" t="n">
        <v>25315.0</v>
      </c>
      <c r="Q162" s="3" t="n">
        <v>24535.0</v>
      </c>
      <c r="R162" s="3" t="n">
        <v>22533.0</v>
      </c>
      <c r="S162" s="3" t="n">
        <v>22031.0</v>
      </c>
      <c r="T162" s="3" t="n">
        <v>21495.0</v>
      </c>
      <c r="U162" s="3" t="n">
        <v>20958.0</v>
      </c>
      <c r="V162" s="3" t="n">
        <v>20965.0</v>
      </c>
      <c r="W162" s="3" t="n">
        <v>20361.0</v>
      </c>
      <c r="X162" s="3" t="n">
        <v>19099.0</v>
      </c>
      <c r="Y162" s="3" t="n">
        <v>18651.0</v>
      </c>
      <c r="Z162" s="3" t="n">
        <v>17845.0</v>
      </c>
      <c r="AA162" s="3" t="n">
        <v>17156.0</v>
      </c>
      <c r="AB162" s="3" t="n">
        <v>16500.0</v>
      </c>
      <c r="AC162" s="3" t="n">
        <v>15676.0</v>
      </c>
      <c r="AD162" s="3" t="n">
        <v>14816.0</v>
      </c>
      <c r="AE162" s="3" t="n">
        <v>14099.0</v>
      </c>
      <c r="AF162" s="3" t="n">
        <v>13811.0</v>
      </c>
      <c r="AG162" s="3" t="n">
        <v>13507.0</v>
      </c>
      <c r="AH162" s="3" t="n">
        <v>13100.0</v>
      </c>
      <c r="AI162" s="3" t="n">
        <v>12801.0</v>
      </c>
      <c r="AJ162" s="3" t="n">
        <v>13164.0</v>
      </c>
      <c r="AK162" s="3" t="n">
        <v>13607.0</v>
      </c>
      <c r="AL162" s="3" t="n">
        <v>14285.0</v>
      </c>
      <c r="AM162" s="3" t="n">
        <v>15040.0</v>
      </c>
      <c r="AN162" s="3" t="n">
        <v>16341.0</v>
      </c>
      <c r="AO162" s="3" t="n">
        <v>16466.0</v>
      </c>
    </row>
    <row r="163" spans="1:41" x14ac:dyDescent="0.2">
      <c r="A163" s="125"/>
      <c r="B163" s="9">
        <v>52</v>
      </c>
      <c r="C163" s="3" t="n">
        <v>17074.0</v>
      </c>
      <c r="D163" s="3" t="n">
        <v>18046.0</v>
      </c>
      <c r="E163" s="3" t="n">
        <v>19094.0</v>
      </c>
      <c r="F163" s="3" t="n">
        <v>19966.0</v>
      </c>
      <c r="G163" s="3" t="n">
        <v>20955.0</v>
      </c>
      <c r="H163" s="3" t="n">
        <v>22146.0</v>
      </c>
      <c r="I163" s="3" t="n">
        <v>22879.0</v>
      </c>
      <c r="J163" s="3" t="n">
        <v>23110.0</v>
      </c>
      <c r="K163" s="3" t="n">
        <v>23123.0</v>
      </c>
      <c r="L163" s="3" t="n">
        <v>23941.0</v>
      </c>
      <c r="M163" s="3" t="n">
        <v>24552.0</v>
      </c>
      <c r="N163" s="3" t="n">
        <v>24000.0</v>
      </c>
      <c r="O163" s="3" t="n">
        <v>24914.0</v>
      </c>
      <c r="P163" s="3" t="n">
        <v>26182.0</v>
      </c>
      <c r="Q163" s="3" t="n">
        <v>25141.0</v>
      </c>
      <c r="R163" s="3" t="n">
        <v>24372.0</v>
      </c>
      <c r="S163" s="3" t="n">
        <v>22389.0</v>
      </c>
      <c r="T163" s="3" t="n">
        <v>21887.0</v>
      </c>
      <c r="U163" s="3" t="n">
        <v>21356.0</v>
      </c>
      <c r="V163" s="3" t="n">
        <v>20822.0</v>
      </c>
      <c r="W163" s="3" t="n">
        <v>20829.0</v>
      </c>
      <c r="X163" s="3" t="n">
        <v>20225.0</v>
      </c>
      <c r="Y163" s="3" t="n">
        <v>18972.0</v>
      </c>
      <c r="Z163" s="3" t="n">
        <v>18528.0</v>
      </c>
      <c r="AA163" s="3" t="n">
        <v>17728.0</v>
      </c>
      <c r="AB163" s="3" t="n">
        <v>17043.0</v>
      </c>
      <c r="AC163" s="3" t="n">
        <v>16400.0</v>
      </c>
      <c r="AD163" s="3" t="n">
        <v>15580.0</v>
      </c>
      <c r="AE163" s="3" t="n">
        <v>14731.0</v>
      </c>
      <c r="AF163" s="3" t="n">
        <v>14019.0</v>
      </c>
      <c r="AG163" s="3" t="n">
        <v>13740.0</v>
      </c>
      <c r="AH163" s="3" t="n">
        <v>13435.0</v>
      </c>
      <c r="AI163" s="3" t="n">
        <v>13034.0</v>
      </c>
      <c r="AJ163" s="3" t="n">
        <v>12735.0</v>
      </c>
      <c r="AK163" s="3" t="n">
        <v>13101.0</v>
      </c>
      <c r="AL163" s="3" t="n">
        <v>13538.0</v>
      </c>
      <c r="AM163" s="3" t="n">
        <v>14217.0</v>
      </c>
      <c r="AN163" s="3" t="n">
        <v>14963.0</v>
      </c>
      <c r="AO163" s="3" t="n">
        <v>16255.0</v>
      </c>
    </row>
    <row r="164" spans="1:41" x14ac:dyDescent="0.2">
      <c r="A164" s="125"/>
      <c r="B164" s="9">
        <v>53</v>
      </c>
      <c r="C164" s="3" t="n">
        <v>16247.0</v>
      </c>
      <c r="D164" s="3" t="n">
        <v>16937.0</v>
      </c>
      <c r="E164" s="3" t="n">
        <v>17902.0</v>
      </c>
      <c r="F164" s="3" t="n">
        <v>18931.0</v>
      </c>
      <c r="G164" s="3" t="n">
        <v>19796.0</v>
      </c>
      <c r="H164" s="3" t="n">
        <v>20789.0</v>
      </c>
      <c r="I164" s="3" t="n">
        <v>21979.0</v>
      </c>
      <c r="J164" s="3" t="n">
        <v>22703.0</v>
      </c>
      <c r="K164" s="3" t="n">
        <v>22929.0</v>
      </c>
      <c r="L164" s="3" t="n">
        <v>22941.0</v>
      </c>
      <c r="M164" s="3" t="n">
        <v>23751.0</v>
      </c>
      <c r="N164" s="3" t="n">
        <v>24358.0</v>
      </c>
      <c r="O164" s="3" t="n">
        <v>23809.0</v>
      </c>
      <c r="P164" s="3" t="n">
        <v>24722.0</v>
      </c>
      <c r="Q164" s="3" t="n">
        <v>25981.0</v>
      </c>
      <c r="R164" s="3" t="n">
        <v>24942.0</v>
      </c>
      <c r="S164" s="3" t="n">
        <v>24187.0</v>
      </c>
      <c r="T164" s="3" t="n">
        <v>22229.0</v>
      </c>
      <c r="U164" s="3" t="n">
        <v>21727.0</v>
      </c>
      <c r="V164" s="3" t="n">
        <v>21206.0</v>
      </c>
      <c r="W164" s="3" t="n">
        <v>20678.0</v>
      </c>
      <c r="X164" s="3" t="n">
        <v>20680.0</v>
      </c>
      <c r="Y164" s="3" t="n">
        <v>20081.0</v>
      </c>
      <c r="Z164" s="3" t="n">
        <v>18836.0</v>
      </c>
      <c r="AA164" s="3" t="n">
        <v>18396.0</v>
      </c>
      <c r="AB164" s="3" t="n">
        <v>17606.0</v>
      </c>
      <c r="AC164" s="3" t="n">
        <v>16925.0</v>
      </c>
      <c r="AD164" s="3" t="n">
        <v>16290.0</v>
      </c>
      <c r="AE164" s="3" t="n">
        <v>15481.0</v>
      </c>
      <c r="AF164" s="3" t="n">
        <v>14637.0</v>
      </c>
      <c r="AG164" s="3" t="n">
        <v>13929.0</v>
      </c>
      <c r="AH164" s="3" t="n">
        <v>13655.0</v>
      </c>
      <c r="AI164" s="3" t="n">
        <v>13354.0</v>
      </c>
      <c r="AJ164" s="3" t="n">
        <v>12960.0</v>
      </c>
      <c r="AK164" s="3" t="n">
        <v>12663.0</v>
      </c>
      <c r="AL164" s="3" t="n">
        <v>13021.0</v>
      </c>
      <c r="AM164" s="3" t="n">
        <v>13457.0</v>
      </c>
      <c r="AN164" s="3" t="n">
        <v>14137.0</v>
      </c>
      <c r="AO164" s="3" t="n">
        <v>14878.0</v>
      </c>
    </row>
    <row r="165" spans="1:41" x14ac:dyDescent="0.2">
      <c r="A165" s="125"/>
      <c r="B165" s="9">
        <v>54</v>
      </c>
      <c r="C165" s="3" t="n">
        <v>15438.0</v>
      </c>
      <c r="D165" s="3" t="n">
        <v>16108.0</v>
      </c>
      <c r="E165" s="3" t="n">
        <v>16794.0</v>
      </c>
      <c r="F165" s="3" t="n">
        <v>17750.0</v>
      </c>
      <c r="G165" s="3" t="n">
        <v>18769.0</v>
      </c>
      <c r="H165" s="3" t="n">
        <v>19640.0</v>
      </c>
      <c r="I165" s="3" t="n">
        <v>20633.0</v>
      </c>
      <c r="J165" s="3" t="n">
        <v>21805.0</v>
      </c>
      <c r="K165" s="3" t="n">
        <v>22525.0</v>
      </c>
      <c r="L165" s="3" t="n">
        <v>22747.0</v>
      </c>
      <c r="M165" s="3" t="n">
        <v>22760.0</v>
      </c>
      <c r="N165" s="3" t="n">
        <v>23562.0</v>
      </c>
      <c r="O165" s="3" t="n">
        <v>24162.0</v>
      </c>
      <c r="P165" s="3" t="n">
        <v>23616.0</v>
      </c>
      <c r="Q165" s="3" t="n">
        <v>24522.0</v>
      </c>
      <c r="R165" s="3" t="n">
        <v>25777.0</v>
      </c>
      <c r="S165" s="3" t="n">
        <v>24744.0</v>
      </c>
      <c r="T165" s="3" t="n">
        <v>23998.0</v>
      </c>
      <c r="U165" s="3" t="n">
        <v>22057.0</v>
      </c>
      <c r="V165" s="3" t="n">
        <v>21559.0</v>
      </c>
      <c r="W165" s="3" t="n">
        <v>21042.0</v>
      </c>
      <c r="X165" s="3" t="n">
        <v>20524.0</v>
      </c>
      <c r="Y165" s="3" t="n">
        <v>20525.0</v>
      </c>
      <c r="Z165" s="3" t="n">
        <v>19935.0</v>
      </c>
      <c r="AA165" s="3" t="n">
        <v>18697.0</v>
      </c>
      <c r="AB165" s="3" t="n">
        <v>18260.0</v>
      </c>
      <c r="AC165" s="3" t="n">
        <v>17474.0</v>
      </c>
      <c r="AD165" s="3" t="n">
        <v>16792.0</v>
      </c>
      <c r="AE165" s="3" t="n">
        <v>16167.0</v>
      </c>
      <c r="AF165" s="3" t="n">
        <v>15367.0</v>
      </c>
      <c r="AG165" s="3" t="n">
        <v>14541.0</v>
      </c>
      <c r="AH165" s="3" t="n">
        <v>13835.0</v>
      </c>
      <c r="AI165" s="3" t="n">
        <v>13566.0</v>
      </c>
      <c r="AJ165" s="3" t="n">
        <v>13274.0</v>
      </c>
      <c r="AK165" s="3" t="n">
        <v>12879.0</v>
      </c>
      <c r="AL165" s="3" t="n">
        <v>12588.0</v>
      </c>
      <c r="AM165" s="3" t="n">
        <v>12944.0</v>
      </c>
      <c r="AN165" s="3" t="n">
        <v>13376.0</v>
      </c>
      <c r="AO165" s="3" t="n">
        <v>14051.0</v>
      </c>
    </row>
    <row r="166" spans="1:41" x14ac:dyDescent="0.2">
      <c r="A166" s="125"/>
      <c r="B166" s="9">
        <v>55</v>
      </c>
      <c r="C166" s="3" t="n">
        <v>15102.0</v>
      </c>
      <c r="D166" s="3" t="n">
        <v>15299.0</v>
      </c>
      <c r="E166" s="3" t="n">
        <v>15963.0</v>
      </c>
      <c r="F166" s="3" t="n">
        <v>16641.0</v>
      </c>
      <c r="G166" s="3" t="n">
        <v>17588.0</v>
      </c>
      <c r="H166" s="3" t="n">
        <v>18599.0</v>
      </c>
      <c r="I166" s="3" t="n">
        <v>19472.0</v>
      </c>
      <c r="J166" s="3" t="n">
        <v>20448.0</v>
      </c>
      <c r="K166" s="3" t="n">
        <v>21608.0</v>
      </c>
      <c r="L166" s="3" t="n">
        <v>22325.0</v>
      </c>
      <c r="M166" s="3" t="n">
        <v>22547.0</v>
      </c>
      <c r="N166" s="3" t="n">
        <v>22565.0</v>
      </c>
      <c r="O166" s="3" t="n">
        <v>23362.0</v>
      </c>
      <c r="P166" s="3" t="n">
        <v>23955.0</v>
      </c>
      <c r="Q166" s="3" t="n">
        <v>23415.0</v>
      </c>
      <c r="R166" s="3" t="n">
        <v>24323.0</v>
      </c>
      <c r="S166" s="3" t="n">
        <v>25569.0</v>
      </c>
      <c r="T166" s="3" t="n">
        <v>24541.0</v>
      </c>
      <c r="U166" s="3" t="n">
        <v>23801.0</v>
      </c>
      <c r="V166" s="3" t="n">
        <v>21881.0</v>
      </c>
      <c r="W166" s="3" t="n">
        <v>21389.0</v>
      </c>
      <c r="X166" s="3" t="n">
        <v>20880.0</v>
      </c>
      <c r="Y166" s="3" t="n">
        <v>20366.0</v>
      </c>
      <c r="Z166" s="3" t="n">
        <v>20365.0</v>
      </c>
      <c r="AA166" s="3" t="n">
        <v>19776.0</v>
      </c>
      <c r="AB166" s="3" t="n">
        <v>18552.0</v>
      </c>
      <c r="AC166" s="3" t="n">
        <v>18127.0</v>
      </c>
      <c r="AD166" s="3" t="n">
        <v>17350.0</v>
      </c>
      <c r="AE166" s="3" t="n">
        <v>16677.0</v>
      </c>
      <c r="AF166" s="3" t="n">
        <v>16052.0</v>
      </c>
      <c r="AG166" s="3" t="n">
        <v>15263.0</v>
      </c>
      <c r="AH166" s="3" t="n">
        <v>14447.0</v>
      </c>
      <c r="AI166" s="3" t="n">
        <v>13747.0</v>
      </c>
      <c r="AJ166" s="3" t="n">
        <v>13477.0</v>
      </c>
      <c r="AK166" s="3" t="n">
        <v>13191.0</v>
      </c>
      <c r="AL166" s="3" t="n">
        <v>12802.0</v>
      </c>
      <c r="AM166" s="3" t="n">
        <v>12515.0</v>
      </c>
      <c r="AN166" s="3" t="n">
        <v>12870.0</v>
      </c>
      <c r="AO166" s="3" t="n">
        <v>13297.0</v>
      </c>
    </row>
    <row r="167" spans="1:41" x14ac:dyDescent="0.2">
      <c r="A167" s="125"/>
      <c r="B167" s="9">
        <v>56</v>
      </c>
      <c r="C167" s="3" t="n">
        <v>15291.0</v>
      </c>
      <c r="D167" s="3" t="n">
        <v>14947.0</v>
      </c>
      <c r="E167" s="3" t="n">
        <v>15144.0</v>
      </c>
      <c r="F167" s="3" t="n">
        <v>15805.0</v>
      </c>
      <c r="G167" s="3" t="n">
        <v>16480.0</v>
      </c>
      <c r="H167" s="3" t="n">
        <v>17424.0</v>
      </c>
      <c r="I167" s="3" t="n">
        <v>18430.0</v>
      </c>
      <c r="J167" s="3" t="n">
        <v>19290.0</v>
      </c>
      <c r="K167" s="3" t="n">
        <v>20254.0</v>
      </c>
      <c r="L167" s="3" t="n">
        <v>21401.0</v>
      </c>
      <c r="M167" s="3" t="n">
        <v>22106.0</v>
      </c>
      <c r="N167" s="3" t="n">
        <v>22332.0</v>
      </c>
      <c r="O167" s="3" t="n">
        <v>22348.0</v>
      </c>
      <c r="P167" s="3" t="n">
        <v>23139.0</v>
      </c>
      <c r="Q167" s="3" t="n">
        <v>23727.0</v>
      </c>
      <c r="R167" s="3" t="n">
        <v>23198.0</v>
      </c>
      <c r="S167" s="3" t="n">
        <v>24106.0</v>
      </c>
      <c r="T167" s="3" t="n">
        <v>25344.0</v>
      </c>
      <c r="U167" s="3" t="n">
        <v>24326.0</v>
      </c>
      <c r="V167" s="3" t="n">
        <v>23590.0</v>
      </c>
      <c r="W167" s="3" t="n">
        <v>21686.0</v>
      </c>
      <c r="X167" s="3" t="n">
        <v>21205.0</v>
      </c>
      <c r="Y167" s="3" t="n">
        <v>20704.0</v>
      </c>
      <c r="Z167" s="3" t="n">
        <v>20195.0</v>
      </c>
      <c r="AA167" s="3" t="n">
        <v>20195.0</v>
      </c>
      <c r="AB167" s="3" t="n">
        <v>19617.0</v>
      </c>
      <c r="AC167" s="3" t="n">
        <v>18403.0</v>
      </c>
      <c r="AD167" s="3" t="n">
        <v>17982.0</v>
      </c>
      <c r="AE167" s="3" t="n">
        <v>17212.0</v>
      </c>
      <c r="AF167" s="3" t="n">
        <v>16545.0</v>
      </c>
      <c r="AG167" s="3" t="n">
        <v>15927.0</v>
      </c>
      <c r="AH167" s="3" t="n">
        <v>15148.0</v>
      </c>
      <c r="AI167" s="3" t="n">
        <v>14337.0</v>
      </c>
      <c r="AJ167" s="3" t="n">
        <v>13647.0</v>
      </c>
      <c r="AK167" s="3" t="n">
        <v>13379.0</v>
      </c>
      <c r="AL167" s="3" t="n">
        <v>13096.0</v>
      </c>
      <c r="AM167" s="3" t="n">
        <v>12709.0</v>
      </c>
      <c r="AN167" s="3" t="n">
        <v>12429.0</v>
      </c>
      <c r="AO167" s="3" t="n">
        <v>12782.0</v>
      </c>
    </row>
    <row r="168" spans="1:41" x14ac:dyDescent="0.2">
      <c r="A168" s="125"/>
      <c r="B168" s="9">
        <v>57</v>
      </c>
      <c r="C168" s="3" t="n">
        <v>15388.0</v>
      </c>
      <c r="D168" s="3" t="n">
        <v>15117.0</v>
      </c>
      <c r="E168" s="3" t="n">
        <v>14782.0</v>
      </c>
      <c r="F168" s="3" t="n">
        <v>14985.0</v>
      </c>
      <c r="G168" s="3" t="n">
        <v>15635.0</v>
      </c>
      <c r="H168" s="3" t="n">
        <v>16304.0</v>
      </c>
      <c r="I168" s="3" t="n">
        <v>17235.0</v>
      </c>
      <c r="J168" s="3" t="n">
        <v>18228.0</v>
      </c>
      <c r="K168" s="3" t="n">
        <v>19080.0</v>
      </c>
      <c r="L168" s="3" t="n">
        <v>20042.0</v>
      </c>
      <c r="M168" s="3" t="n">
        <v>21179.0</v>
      </c>
      <c r="N168" s="3" t="n">
        <v>21870.0</v>
      </c>
      <c r="O168" s="3" t="n">
        <v>22093.0</v>
      </c>
      <c r="P168" s="3" t="n">
        <v>22112.0</v>
      </c>
      <c r="Q168" s="3" t="n">
        <v>22891.0</v>
      </c>
      <c r="R168" s="3" t="n">
        <v>23474.0</v>
      </c>
      <c r="S168" s="3" t="n">
        <v>22953.0</v>
      </c>
      <c r="T168" s="3" t="n">
        <v>23856.0</v>
      </c>
      <c r="U168" s="3" t="n">
        <v>25084.0</v>
      </c>
      <c r="V168" s="3" t="n">
        <v>24079.0</v>
      </c>
      <c r="W168" s="3" t="n">
        <v>23353.0</v>
      </c>
      <c r="X168" s="3" t="n">
        <v>21476.0</v>
      </c>
      <c r="Y168" s="3" t="n">
        <v>21008.0</v>
      </c>
      <c r="Z168" s="3" t="n">
        <v>20510.0</v>
      </c>
      <c r="AA168" s="3" t="n">
        <v>20014.0</v>
      </c>
      <c r="AB168" s="3" t="n">
        <v>20012.0</v>
      </c>
      <c r="AC168" s="3" t="n">
        <v>19446.0</v>
      </c>
      <c r="AD168" s="3" t="n">
        <v>18243.0</v>
      </c>
      <c r="AE168" s="3" t="n">
        <v>17830.0</v>
      </c>
      <c r="AF168" s="3" t="n">
        <v>17062.0</v>
      </c>
      <c r="AG168" s="3" t="n">
        <v>16402.0</v>
      </c>
      <c r="AH168" s="3" t="n">
        <v>15790.0</v>
      </c>
      <c r="AI168" s="3" t="n">
        <v>15019.0</v>
      </c>
      <c r="AJ168" s="3" t="n">
        <v>14221.0</v>
      </c>
      <c r="AK168" s="3" t="n">
        <v>13537.0</v>
      </c>
      <c r="AL168" s="3" t="n">
        <v>13275.0</v>
      </c>
      <c r="AM168" s="3" t="n">
        <v>12994.0</v>
      </c>
      <c r="AN168" s="3" t="n">
        <v>12615.0</v>
      </c>
      <c r="AO168" s="3" t="n">
        <v>12337.0</v>
      </c>
    </row>
    <row r="169" spans="1:41" x14ac:dyDescent="0.2">
      <c r="A169" s="125"/>
      <c r="B169" s="9">
        <v>58</v>
      </c>
      <c r="C169" s="3" t="n">
        <v>15505.0</v>
      </c>
      <c r="D169" s="3" t="n">
        <v>15183.0</v>
      </c>
      <c r="E169" s="3" t="n">
        <v>14923.0</v>
      </c>
      <c r="F169" s="3" t="n">
        <v>14597.0</v>
      </c>
      <c r="G169" s="3" t="n">
        <v>14796.0</v>
      </c>
      <c r="H169" s="3" t="n">
        <v>15450.0</v>
      </c>
      <c r="I169" s="3" t="n">
        <v>16119.0</v>
      </c>
      <c r="J169" s="3" t="n">
        <v>17033.0</v>
      </c>
      <c r="K169" s="3" t="n">
        <v>18011.0</v>
      </c>
      <c r="L169" s="3" t="n">
        <v>18851.0</v>
      </c>
      <c r="M169" s="3" t="n">
        <v>19804.0</v>
      </c>
      <c r="N169" s="3" t="n">
        <v>20921.0</v>
      </c>
      <c r="O169" s="3" t="n">
        <v>21613.0</v>
      </c>
      <c r="P169" s="3" t="n">
        <v>21832.0</v>
      </c>
      <c r="Q169" s="3" t="n">
        <v>21855.0</v>
      </c>
      <c r="R169" s="3" t="n">
        <v>22630.0</v>
      </c>
      <c r="S169" s="3" t="n">
        <v>23210.0</v>
      </c>
      <c r="T169" s="3" t="n">
        <v>22693.0</v>
      </c>
      <c r="U169" s="3" t="n">
        <v>23584.0</v>
      </c>
      <c r="V169" s="3" t="n">
        <v>24800.0</v>
      </c>
      <c r="W169" s="3" t="n">
        <v>23812.0</v>
      </c>
      <c r="X169" s="3" t="n">
        <v>23097.0</v>
      </c>
      <c r="Y169" s="3" t="n">
        <v>21245.0</v>
      </c>
      <c r="Z169" s="3" t="n">
        <v>20783.0</v>
      </c>
      <c r="AA169" s="3" t="n">
        <v>20291.0</v>
      </c>
      <c r="AB169" s="3" t="n">
        <v>19804.0</v>
      </c>
      <c r="AC169" s="3" t="n">
        <v>19804.0</v>
      </c>
      <c r="AD169" s="3" t="n">
        <v>19246.0</v>
      </c>
      <c r="AE169" s="3" t="n">
        <v>18056.0</v>
      </c>
      <c r="AF169" s="3" t="n">
        <v>17646.0</v>
      </c>
      <c r="AG169" s="3" t="n">
        <v>16890.0</v>
      </c>
      <c r="AH169" s="3" t="n">
        <v>16240.0</v>
      </c>
      <c r="AI169" s="3" t="n">
        <v>15638.0</v>
      </c>
      <c r="AJ169" s="3" t="n">
        <v>14875.0</v>
      </c>
      <c r="AK169" s="3" t="n">
        <v>14086.0</v>
      </c>
      <c r="AL169" s="3" t="n">
        <v>13410.0</v>
      </c>
      <c r="AM169" s="3" t="n">
        <v>13155.0</v>
      </c>
      <c r="AN169" s="3" t="n">
        <v>12878.0</v>
      </c>
      <c r="AO169" s="3" t="n">
        <v>12506.0</v>
      </c>
    </row>
    <row r="170" spans="1:41" x14ac:dyDescent="0.2">
      <c r="A170" s="125"/>
      <c r="B170" s="9">
        <v>59</v>
      </c>
      <c r="C170" s="3" t="n">
        <v>15722.0</v>
      </c>
      <c r="D170" s="3" t="n">
        <v>15288.0</v>
      </c>
      <c r="E170" s="3" t="n">
        <v>14968.0</v>
      </c>
      <c r="F170" s="3" t="n">
        <v>14718.0</v>
      </c>
      <c r="G170" s="3" t="n">
        <v>14396.0</v>
      </c>
      <c r="H170" s="3" t="n">
        <v>14602.0</v>
      </c>
      <c r="I170" s="3" t="n">
        <v>15250.0</v>
      </c>
      <c r="J170" s="3" t="n">
        <v>15914.0</v>
      </c>
      <c r="K170" s="3" t="n">
        <v>16812.0</v>
      </c>
      <c r="L170" s="3" t="n">
        <v>17771.0</v>
      </c>
      <c r="M170" s="3" t="n">
        <v>18602.0</v>
      </c>
      <c r="N170" s="3" t="n">
        <v>19548.0</v>
      </c>
      <c r="O170" s="3" t="n">
        <v>20659.0</v>
      </c>
      <c r="P170" s="3" t="n">
        <v>21339.0</v>
      </c>
      <c r="Q170" s="3" t="n">
        <v>21554.0</v>
      </c>
      <c r="R170" s="3" t="n">
        <v>21586.0</v>
      </c>
      <c r="S170" s="3" t="n">
        <v>22356.0</v>
      </c>
      <c r="T170" s="3" t="n">
        <v>22926.0</v>
      </c>
      <c r="U170" s="3" t="n">
        <v>22422.0</v>
      </c>
      <c r="V170" s="3" t="n">
        <v>23299.0</v>
      </c>
      <c r="W170" s="3" t="n">
        <v>24501.0</v>
      </c>
      <c r="X170" s="3" t="n">
        <v>23528.0</v>
      </c>
      <c r="Y170" s="3" t="n">
        <v>22827.0</v>
      </c>
      <c r="Z170" s="3" t="n">
        <v>20993.0</v>
      </c>
      <c r="AA170" s="3" t="n">
        <v>20537.0</v>
      </c>
      <c r="AB170" s="3" t="n">
        <v>20058.0</v>
      </c>
      <c r="AC170" s="3" t="n">
        <v>19578.0</v>
      </c>
      <c r="AD170" s="3" t="n">
        <v>19581.0</v>
      </c>
      <c r="AE170" s="3" t="n">
        <v>19030.0</v>
      </c>
      <c r="AF170" s="3" t="n">
        <v>17862.0</v>
      </c>
      <c r="AG170" s="3" t="n">
        <v>17454.0</v>
      </c>
      <c r="AH170" s="3" t="n">
        <v>16705.0</v>
      </c>
      <c r="AI170" s="3" t="n">
        <v>16064.0</v>
      </c>
      <c r="AJ170" s="3" t="n">
        <v>15474.0</v>
      </c>
      <c r="AK170" s="3" t="n">
        <v>14720.0</v>
      </c>
      <c r="AL170" s="3" t="n">
        <v>13945.0</v>
      </c>
      <c r="AM170" s="3" t="n">
        <v>13283.0</v>
      </c>
      <c r="AN170" s="3" t="n">
        <v>13032.0</v>
      </c>
      <c r="AO170" s="3" t="n">
        <v>12757.0</v>
      </c>
    </row>
    <row r="171" spans="1:41" x14ac:dyDescent="0.2">
      <c r="A171" s="125"/>
      <c r="B171" s="9">
        <v>60</v>
      </c>
      <c r="C171" s="3" t="n">
        <v>15780.0</v>
      </c>
      <c r="D171" s="3" t="n">
        <v>15484.0</v>
      </c>
      <c r="E171" s="3" t="n">
        <v>15056.0</v>
      </c>
      <c r="F171" s="3" t="n">
        <v>14750.0</v>
      </c>
      <c r="G171" s="3" t="n">
        <v>14503.0</v>
      </c>
      <c r="H171" s="3" t="n">
        <v>14203.0</v>
      </c>
      <c r="I171" s="3" t="n">
        <v>14417.0</v>
      </c>
      <c r="J171" s="3" t="n">
        <v>15044.0</v>
      </c>
      <c r="K171" s="3" t="n">
        <v>15700.0</v>
      </c>
      <c r="L171" s="3" t="n">
        <v>16584.0</v>
      </c>
      <c r="M171" s="3" t="n">
        <v>17532.0</v>
      </c>
      <c r="N171" s="3" t="n">
        <v>18350.0</v>
      </c>
      <c r="O171" s="3" t="n">
        <v>19291.0</v>
      </c>
      <c r="P171" s="3" t="n">
        <v>20389.0</v>
      </c>
      <c r="Q171" s="3" t="n">
        <v>21063.0</v>
      </c>
      <c r="R171" s="3" t="n">
        <v>21279.0</v>
      </c>
      <c r="S171" s="3" t="n">
        <v>21307.0</v>
      </c>
      <c r="T171" s="3" t="n">
        <v>22072.0</v>
      </c>
      <c r="U171" s="3" t="n">
        <v>22635.0</v>
      </c>
      <c r="V171" s="3" t="n">
        <v>22145.0</v>
      </c>
      <c r="W171" s="3" t="n">
        <v>23007.0</v>
      </c>
      <c r="X171" s="3" t="n">
        <v>24205.0</v>
      </c>
      <c r="Y171" s="3" t="n">
        <v>23241.0</v>
      </c>
      <c r="Z171" s="3" t="n">
        <v>22551.0</v>
      </c>
      <c r="AA171" s="3" t="n">
        <v>20747.0</v>
      </c>
      <c r="AB171" s="3" t="n">
        <v>20299.0</v>
      </c>
      <c r="AC171" s="3" t="n">
        <v>19826.0</v>
      </c>
      <c r="AD171" s="3" t="n">
        <v>19358.0</v>
      </c>
      <c r="AE171" s="3" t="n">
        <v>19364.0</v>
      </c>
      <c r="AF171" s="3" t="n">
        <v>18820.0</v>
      </c>
      <c r="AG171" s="3" t="n">
        <v>17666.0</v>
      </c>
      <c r="AH171" s="3" t="n">
        <v>17259.0</v>
      </c>
      <c r="AI171" s="3" t="n">
        <v>16524.0</v>
      </c>
      <c r="AJ171" s="3" t="n">
        <v>15887.0</v>
      </c>
      <c r="AK171" s="3" t="n">
        <v>15312.0</v>
      </c>
      <c r="AL171" s="3" t="n">
        <v>14568.0</v>
      </c>
      <c r="AM171" s="3" t="n">
        <v>13800.0</v>
      </c>
      <c r="AN171" s="3" t="n">
        <v>13148.0</v>
      </c>
      <c r="AO171" s="3" t="n">
        <v>12900.0</v>
      </c>
    </row>
    <row r="172" spans="1:41" x14ac:dyDescent="0.2">
      <c r="A172" s="125"/>
      <c r="B172" s="9">
        <v>61</v>
      </c>
      <c r="C172" s="3" t="n">
        <v>16946.0</v>
      </c>
      <c r="D172" s="3" t="n">
        <v>15523.0</v>
      </c>
      <c r="E172" s="3" t="n">
        <v>15234.0</v>
      </c>
      <c r="F172" s="3" t="n">
        <v>14811.0</v>
      </c>
      <c r="G172" s="3" t="n">
        <v>14509.0</v>
      </c>
      <c r="H172" s="3" t="n">
        <v>14293.0</v>
      </c>
      <c r="I172" s="3" t="n">
        <v>14011.0</v>
      </c>
      <c r="J172" s="3" t="n">
        <v>14209.0</v>
      </c>
      <c r="K172" s="3" t="n">
        <v>14823.0</v>
      </c>
      <c r="L172" s="3" t="n">
        <v>15465.0</v>
      </c>
      <c r="M172" s="3" t="n">
        <v>16339.0</v>
      </c>
      <c r="N172" s="3" t="n">
        <v>17271.0</v>
      </c>
      <c r="O172" s="3" t="n">
        <v>18081.0</v>
      </c>
      <c r="P172" s="3" t="n">
        <v>19008.0</v>
      </c>
      <c r="Q172" s="3" t="n">
        <v>20090.0</v>
      </c>
      <c r="R172" s="3" t="n">
        <v>20761.0</v>
      </c>
      <c r="S172" s="3" t="n">
        <v>20976.0</v>
      </c>
      <c r="T172" s="3" t="n">
        <v>21006.0</v>
      </c>
      <c r="U172" s="3" t="n">
        <v>21760.0</v>
      </c>
      <c r="V172" s="3" t="n">
        <v>22317.0</v>
      </c>
      <c r="W172" s="3" t="n">
        <v>21835.0</v>
      </c>
      <c r="X172" s="3" t="n">
        <v>22691.0</v>
      </c>
      <c r="Y172" s="3" t="n">
        <v>23881.0</v>
      </c>
      <c r="Z172" s="3" t="n">
        <v>22930.0</v>
      </c>
      <c r="AA172" s="3" t="n">
        <v>22247.0</v>
      </c>
      <c r="AB172" s="3" t="n">
        <v>20475.0</v>
      </c>
      <c r="AC172" s="3" t="n">
        <v>20034.0</v>
      </c>
      <c r="AD172" s="3" t="n">
        <v>19575.0</v>
      </c>
      <c r="AE172" s="3" t="n">
        <v>19115.0</v>
      </c>
      <c r="AF172" s="3" t="n">
        <v>19120.0</v>
      </c>
      <c r="AG172" s="3" t="n">
        <v>18585.0</v>
      </c>
      <c r="AH172" s="3" t="n">
        <v>17443.0</v>
      </c>
      <c r="AI172" s="3" t="n">
        <v>17049.0</v>
      </c>
      <c r="AJ172" s="3" t="n">
        <v>16318.0</v>
      </c>
      <c r="AK172" s="3" t="n">
        <v>15691.0</v>
      </c>
      <c r="AL172" s="3" t="n">
        <v>15121.0</v>
      </c>
      <c r="AM172" s="3" t="n">
        <v>14392.0</v>
      </c>
      <c r="AN172" s="3" t="n">
        <v>13637.0</v>
      </c>
      <c r="AO172" s="3" t="n">
        <v>12998.0</v>
      </c>
    </row>
    <row r="173" spans="1:41" x14ac:dyDescent="0.2">
      <c r="A173" s="125"/>
      <c r="B173" s="9">
        <v>62</v>
      </c>
      <c r="C173" s="3" t="n">
        <v>17479.0</v>
      </c>
      <c r="D173" s="3" t="n">
        <v>16640.0</v>
      </c>
      <c r="E173" s="3" t="n">
        <v>15254.0</v>
      </c>
      <c r="F173" s="3" t="n">
        <v>14979.0</v>
      </c>
      <c r="G173" s="3" t="n">
        <v>14565.0</v>
      </c>
      <c r="H173" s="3" t="n">
        <v>14286.0</v>
      </c>
      <c r="I173" s="3" t="n">
        <v>14080.0</v>
      </c>
      <c r="J173" s="3" t="n">
        <v>13791.0</v>
      </c>
      <c r="K173" s="3" t="n">
        <v>13986.0</v>
      </c>
      <c r="L173" s="3" t="n">
        <v>14590.0</v>
      </c>
      <c r="M173" s="3" t="n">
        <v>15222.0</v>
      </c>
      <c r="N173" s="3" t="n">
        <v>16085.0</v>
      </c>
      <c r="O173" s="3" t="n">
        <v>17009.0</v>
      </c>
      <c r="P173" s="3" t="n">
        <v>17804.0</v>
      </c>
      <c r="Q173" s="3" t="n">
        <v>18716.0</v>
      </c>
      <c r="R173" s="3" t="n">
        <v>19786.0</v>
      </c>
      <c r="S173" s="3" t="n">
        <v>20450.0</v>
      </c>
      <c r="T173" s="3" t="n">
        <v>20658.0</v>
      </c>
      <c r="U173" s="3" t="n">
        <v>20695.0</v>
      </c>
      <c r="V173" s="3" t="n">
        <v>21437.0</v>
      </c>
      <c r="W173" s="3" t="n">
        <v>21990.0</v>
      </c>
      <c r="X173" s="3" t="n">
        <v>21518.0</v>
      </c>
      <c r="Y173" s="3" t="n">
        <v>22362.0</v>
      </c>
      <c r="Z173" s="3" t="n">
        <v>23536.0</v>
      </c>
      <c r="AA173" s="3" t="n">
        <v>22601.0</v>
      </c>
      <c r="AB173" s="3" t="n">
        <v>21936.0</v>
      </c>
      <c r="AC173" s="3" t="n">
        <v>20194.0</v>
      </c>
      <c r="AD173" s="3" t="n">
        <v>19764.0</v>
      </c>
      <c r="AE173" s="3" t="n">
        <v>19313.0</v>
      </c>
      <c r="AF173" s="3" t="n">
        <v>18861.0</v>
      </c>
      <c r="AG173" s="3" t="n">
        <v>18874.0</v>
      </c>
      <c r="AH173" s="3" t="n">
        <v>18346.0</v>
      </c>
      <c r="AI173" s="3" t="n">
        <v>17220.0</v>
      </c>
      <c r="AJ173" s="3" t="n">
        <v>16833.0</v>
      </c>
      <c r="AK173" s="3" t="n">
        <v>16113.0</v>
      </c>
      <c r="AL173" s="3" t="n">
        <v>15494.0</v>
      </c>
      <c r="AM173" s="3" t="n">
        <v>14932.0</v>
      </c>
      <c r="AN173" s="3" t="n">
        <v>14213.0</v>
      </c>
      <c r="AO173" s="3" t="n">
        <v>13475.0</v>
      </c>
    </row>
    <row r="174" spans="1:41" x14ac:dyDescent="0.2">
      <c r="A174" s="125"/>
      <c r="B174" s="9">
        <v>63</v>
      </c>
      <c r="C174" s="3" t="n">
        <v>18600.0</v>
      </c>
      <c r="D174" s="3" t="n">
        <v>17131.0</v>
      </c>
      <c r="E174" s="3" t="n">
        <v>16315.0</v>
      </c>
      <c r="F174" s="3" t="n">
        <v>14960.0</v>
      </c>
      <c r="G174" s="3" t="n">
        <v>14701.0</v>
      </c>
      <c r="H174" s="3" t="n">
        <v>14315.0</v>
      </c>
      <c r="I174" s="3" t="n">
        <v>14058.0</v>
      </c>
      <c r="J174" s="3" t="n">
        <v>13846.0</v>
      </c>
      <c r="K174" s="3" t="n">
        <v>13563.0</v>
      </c>
      <c r="L174" s="3" t="n">
        <v>13753.0</v>
      </c>
      <c r="M174" s="3" t="n">
        <v>14344.0</v>
      </c>
      <c r="N174" s="3" t="n">
        <v>14957.0</v>
      </c>
      <c r="O174" s="3" t="n">
        <v>15804.0</v>
      </c>
      <c r="P174" s="3" t="n">
        <v>16713.0</v>
      </c>
      <c r="Q174" s="3" t="n">
        <v>17501.0</v>
      </c>
      <c r="R174" s="3" t="n">
        <v>18397.0</v>
      </c>
      <c r="S174" s="3" t="n">
        <v>19455.0</v>
      </c>
      <c r="T174" s="3" t="n">
        <v>20110.0</v>
      </c>
      <c r="U174" s="3" t="n">
        <v>20317.0</v>
      </c>
      <c r="V174" s="3" t="n">
        <v>20359.0</v>
      </c>
      <c r="W174" s="3" t="n">
        <v>21093.0</v>
      </c>
      <c r="X174" s="3" t="n">
        <v>21644.0</v>
      </c>
      <c r="Y174" s="3" t="n">
        <v>21182.0</v>
      </c>
      <c r="Z174" s="3" t="n">
        <v>22014.0</v>
      </c>
      <c r="AA174" s="3" t="n">
        <v>23171.0</v>
      </c>
      <c r="AB174" s="3" t="n">
        <v>22256.0</v>
      </c>
      <c r="AC174" s="3" t="n">
        <v>21606.0</v>
      </c>
      <c r="AD174" s="3" t="n">
        <v>19895.0</v>
      </c>
      <c r="AE174" s="3" t="n">
        <v>19474.0</v>
      </c>
      <c r="AF174" s="3" t="n">
        <v>19032.0</v>
      </c>
      <c r="AG174" s="3" t="n">
        <v>18592.0</v>
      </c>
      <c r="AH174" s="3" t="n">
        <v>18606.0</v>
      </c>
      <c r="AI174" s="3" t="n">
        <v>18083.0</v>
      </c>
      <c r="AJ174" s="3" t="n">
        <v>16977.0</v>
      </c>
      <c r="AK174" s="3" t="n">
        <v>16597.0</v>
      </c>
      <c r="AL174" s="3" t="n">
        <v>15888.0</v>
      </c>
      <c r="AM174" s="3" t="n">
        <v>15283.0</v>
      </c>
      <c r="AN174" s="3" t="n">
        <v>14729.0</v>
      </c>
      <c r="AO174" s="3" t="n">
        <v>14029.0</v>
      </c>
    </row>
    <row r="175" spans="1:41" x14ac:dyDescent="0.2">
      <c r="A175" s="125"/>
      <c r="B175" s="9">
        <v>64</v>
      </c>
      <c r="C175" s="3" t="n">
        <v>19501.0</v>
      </c>
      <c r="D175" s="3" t="n">
        <v>18207.0</v>
      </c>
      <c r="E175" s="3" t="n">
        <v>16780.0</v>
      </c>
      <c r="F175" s="3" t="n">
        <v>15988.0</v>
      </c>
      <c r="G175" s="3" t="n">
        <v>14670.0</v>
      </c>
      <c r="H175" s="3" t="n">
        <v>14437.0</v>
      </c>
      <c r="I175" s="3" t="n">
        <v>14058.0</v>
      </c>
      <c r="J175" s="3" t="n">
        <v>13796.0</v>
      </c>
      <c r="K175" s="3" t="n">
        <v>13588.0</v>
      </c>
      <c r="L175" s="3" t="n">
        <v>13311.0</v>
      </c>
      <c r="M175" s="3" t="n">
        <v>13498.0</v>
      </c>
      <c r="N175" s="3" t="n">
        <v>14079.0</v>
      </c>
      <c r="O175" s="3" t="n">
        <v>14688.0</v>
      </c>
      <c r="P175" s="3" t="n">
        <v>15524.0</v>
      </c>
      <c r="Q175" s="3" t="n">
        <v>16420.0</v>
      </c>
      <c r="R175" s="3" t="n">
        <v>17196.0</v>
      </c>
      <c r="S175" s="3" t="n">
        <v>18075.0</v>
      </c>
      <c r="T175" s="3" t="n">
        <v>19112.0</v>
      </c>
      <c r="U175" s="3" t="n">
        <v>19761.0</v>
      </c>
      <c r="V175" s="3" t="n">
        <v>19965.0</v>
      </c>
      <c r="W175" s="3" t="n">
        <v>20007.0</v>
      </c>
      <c r="X175" s="3" t="n">
        <v>20740.0</v>
      </c>
      <c r="Y175" s="3" t="n">
        <v>21283.0</v>
      </c>
      <c r="Z175" s="3" t="n">
        <v>20835.0</v>
      </c>
      <c r="AA175" s="3" t="n">
        <v>21650.0</v>
      </c>
      <c r="AB175" s="3" t="n">
        <v>22794.0</v>
      </c>
      <c r="AC175" s="3" t="n">
        <v>21899.0</v>
      </c>
      <c r="AD175" s="3" t="n">
        <v>21268.0</v>
      </c>
      <c r="AE175" s="3" t="n">
        <v>19587.0</v>
      </c>
      <c r="AF175" s="3" t="n">
        <v>19176.0</v>
      </c>
      <c r="AG175" s="3" t="n">
        <v>18742.0</v>
      </c>
      <c r="AH175" s="3" t="n">
        <v>18318.0</v>
      </c>
      <c r="AI175" s="3" t="n">
        <v>18331.0</v>
      </c>
      <c r="AJ175" s="3" t="n">
        <v>17817.0</v>
      </c>
      <c r="AK175" s="3" t="n">
        <v>16735.0</v>
      </c>
      <c r="AL175" s="3" t="n">
        <v>16357.0</v>
      </c>
      <c r="AM175" s="3" t="n">
        <v>15660.0</v>
      </c>
      <c r="AN175" s="3" t="n">
        <v>15060.0</v>
      </c>
      <c r="AO175" s="3" t="n">
        <v>14517.0</v>
      </c>
    </row>
    <row r="176" spans="1:41" x14ac:dyDescent="0.2">
      <c r="A176" s="125"/>
      <c r="B176" s="9">
        <v>65</v>
      </c>
      <c r="C176" s="3" t="n">
        <v>19302.0</v>
      </c>
      <c r="D176" s="3" t="n">
        <v>19045.0</v>
      </c>
      <c r="E176" s="3" t="n">
        <v>17791.0</v>
      </c>
      <c r="F176" s="3" t="n">
        <v>16399.0</v>
      </c>
      <c r="G176" s="3" t="n">
        <v>15629.0</v>
      </c>
      <c r="H176" s="3" t="n">
        <v>14363.0</v>
      </c>
      <c r="I176" s="3" t="n">
        <v>14147.0</v>
      </c>
      <c r="J176" s="3" t="n">
        <v>13771.0</v>
      </c>
      <c r="K176" s="3" t="n">
        <v>13512.0</v>
      </c>
      <c r="L176" s="3" t="n">
        <v>13312.0</v>
      </c>
      <c r="M176" s="3" t="n">
        <v>13042.0</v>
      </c>
      <c r="N176" s="3" t="n">
        <v>13227.0</v>
      </c>
      <c r="O176" s="3" t="n">
        <v>13799.0</v>
      </c>
      <c r="P176" s="3" t="n">
        <v>14398.0</v>
      </c>
      <c r="Q176" s="3" t="n">
        <v>15214.0</v>
      </c>
      <c r="R176" s="3" t="n">
        <v>16100.0</v>
      </c>
      <c r="S176" s="3" t="n">
        <v>16859.0</v>
      </c>
      <c r="T176" s="3" t="n">
        <v>17721.0</v>
      </c>
      <c r="U176" s="3" t="n">
        <v>18741.0</v>
      </c>
      <c r="V176" s="3" t="n">
        <v>19387.0</v>
      </c>
      <c r="W176" s="3" t="n">
        <v>19592.0</v>
      </c>
      <c r="X176" s="3" t="n">
        <v>19639.0</v>
      </c>
      <c r="Y176" s="3" t="n">
        <v>20361.0</v>
      </c>
      <c r="Z176" s="3" t="n">
        <v>20897.0</v>
      </c>
      <c r="AA176" s="3" t="n">
        <v>20460.0</v>
      </c>
      <c r="AB176" s="3" t="n">
        <v>21272.0</v>
      </c>
      <c r="AC176" s="3" t="n">
        <v>22393.0</v>
      </c>
      <c r="AD176" s="3" t="n">
        <v>21519.0</v>
      </c>
      <c r="AE176" s="3" t="n">
        <v>20903.0</v>
      </c>
      <c r="AF176" s="3" t="n">
        <v>19252.0</v>
      </c>
      <c r="AG176" s="3" t="n">
        <v>18848.0</v>
      </c>
      <c r="AH176" s="3" t="n">
        <v>18420.0</v>
      </c>
      <c r="AI176" s="3" t="n">
        <v>18009.0</v>
      </c>
      <c r="AJ176" s="3" t="n">
        <v>18023.0</v>
      </c>
      <c r="AK176" s="3" t="n">
        <v>17523.0</v>
      </c>
      <c r="AL176" s="3" t="n">
        <v>16461.0</v>
      </c>
      <c r="AM176" s="3" t="n">
        <v>16091.0</v>
      </c>
      <c r="AN176" s="3" t="n">
        <v>15409.0</v>
      </c>
      <c r="AO176" s="3" t="n">
        <v>14819.0</v>
      </c>
    </row>
    <row r="177" spans="1:41" x14ac:dyDescent="0.2">
      <c r="A177" s="125"/>
      <c r="B177" s="9">
        <v>66</v>
      </c>
      <c r="C177" s="3" t="n">
        <v>18854.0</v>
      </c>
      <c r="D177" s="3" t="n">
        <v>18817.0</v>
      </c>
      <c r="E177" s="3" t="n">
        <v>18572.0</v>
      </c>
      <c r="F177" s="3" t="n">
        <v>17356.0</v>
      </c>
      <c r="G177" s="3" t="n">
        <v>16012.0</v>
      </c>
      <c r="H177" s="3" t="n">
        <v>15271.0</v>
      </c>
      <c r="I177" s="3" t="n">
        <v>14047.0</v>
      </c>
      <c r="J177" s="3" t="n">
        <v>13840.0</v>
      </c>
      <c r="K177" s="3" t="n">
        <v>13468.0</v>
      </c>
      <c r="L177" s="3" t="n">
        <v>13217.0</v>
      </c>
      <c r="M177" s="3" t="n">
        <v>13024.0</v>
      </c>
      <c r="N177" s="3" t="n">
        <v>12755.0</v>
      </c>
      <c r="O177" s="3" t="n">
        <v>12946.0</v>
      </c>
      <c r="P177" s="3" t="n">
        <v>13506.0</v>
      </c>
      <c r="Q177" s="3" t="n">
        <v>14098.0</v>
      </c>
      <c r="R177" s="3" t="n">
        <v>14900.0</v>
      </c>
      <c r="S177" s="3" t="n">
        <v>15765.0</v>
      </c>
      <c r="T177" s="3" t="n">
        <v>16510.0</v>
      </c>
      <c r="U177" s="3" t="n">
        <v>17358.0</v>
      </c>
      <c r="V177" s="3" t="n">
        <v>18360.0</v>
      </c>
      <c r="W177" s="3" t="n">
        <v>18997.0</v>
      </c>
      <c r="X177" s="3" t="n">
        <v>19199.0</v>
      </c>
      <c r="Y177" s="3" t="n">
        <v>19253.0</v>
      </c>
      <c r="Z177" s="3" t="n">
        <v>19956.0</v>
      </c>
      <c r="AA177" s="3" t="n">
        <v>20490.0</v>
      </c>
      <c r="AB177" s="3" t="n">
        <v>20062.0</v>
      </c>
      <c r="AC177" s="3" t="n">
        <v>20862.0</v>
      </c>
      <c r="AD177" s="3" t="n">
        <v>21970.0</v>
      </c>
      <c r="AE177" s="3" t="n">
        <v>21116.0</v>
      </c>
      <c r="AF177" s="3" t="n">
        <v>20519.0</v>
      </c>
      <c r="AG177" s="3" t="n">
        <v>18901.0</v>
      </c>
      <c r="AH177" s="3" t="n">
        <v>18509.0</v>
      </c>
      <c r="AI177" s="3" t="n">
        <v>18095.0</v>
      </c>
      <c r="AJ177" s="3" t="n">
        <v>17691.0</v>
      </c>
      <c r="AK177" s="3" t="n">
        <v>17703.0</v>
      </c>
      <c r="AL177" s="3" t="n">
        <v>17223.0</v>
      </c>
      <c r="AM177" s="3" t="n">
        <v>16187.0</v>
      </c>
      <c r="AN177" s="3" t="n">
        <v>15822.0</v>
      </c>
      <c r="AO177" s="3" t="n">
        <v>15146.0</v>
      </c>
    </row>
    <row r="178" spans="1:41" x14ac:dyDescent="0.2">
      <c r="A178" s="125"/>
      <c r="B178" s="9">
        <v>67</v>
      </c>
      <c r="C178" s="3" t="n">
        <v>18843.0</v>
      </c>
      <c r="D178" s="3" t="n">
        <v>18347.0</v>
      </c>
      <c r="E178" s="3" t="n">
        <v>18322.0</v>
      </c>
      <c r="F178" s="3" t="n">
        <v>18085.0</v>
      </c>
      <c r="G178" s="3" t="n">
        <v>16917.0</v>
      </c>
      <c r="H178" s="3" t="n">
        <v>15616.0</v>
      </c>
      <c r="I178" s="3" t="n">
        <v>14911.0</v>
      </c>
      <c r="J178" s="3" t="n">
        <v>13713.0</v>
      </c>
      <c r="K178" s="3" t="n">
        <v>13514.0</v>
      </c>
      <c r="L178" s="3" t="n">
        <v>13156.0</v>
      </c>
      <c r="M178" s="3" t="n">
        <v>12913.0</v>
      </c>
      <c r="N178" s="3" t="n">
        <v>12726.0</v>
      </c>
      <c r="O178" s="3" t="n">
        <v>12471.0</v>
      </c>
      <c r="P178" s="3" t="n">
        <v>12661.0</v>
      </c>
      <c r="Q178" s="3" t="n">
        <v>13212.0</v>
      </c>
      <c r="R178" s="3" t="n">
        <v>13796.0</v>
      </c>
      <c r="S178" s="3" t="n">
        <v>14572.0</v>
      </c>
      <c r="T178" s="3" t="n">
        <v>15422.0</v>
      </c>
      <c r="U178" s="3" t="n">
        <v>16151.0</v>
      </c>
      <c r="V178" s="3" t="n">
        <v>16983.0</v>
      </c>
      <c r="W178" s="3" t="n">
        <v>17970.0</v>
      </c>
      <c r="X178" s="3" t="n">
        <v>18597.0</v>
      </c>
      <c r="Y178" s="3" t="n">
        <v>18796.0</v>
      </c>
      <c r="Z178" s="3" t="n">
        <v>18853.0</v>
      </c>
      <c r="AA178" s="3" t="n">
        <v>19543.0</v>
      </c>
      <c r="AB178" s="3" t="n">
        <v>20068.0</v>
      </c>
      <c r="AC178" s="3" t="n">
        <v>19651.0</v>
      </c>
      <c r="AD178" s="3" t="n">
        <v>20443.0</v>
      </c>
      <c r="AE178" s="3" t="n">
        <v>21528.0</v>
      </c>
      <c r="AF178" s="3" t="n">
        <v>20702.0</v>
      </c>
      <c r="AG178" s="3" t="n">
        <v>20119.0</v>
      </c>
      <c r="AH178" s="3" t="n">
        <v>18536.0</v>
      </c>
      <c r="AI178" s="3" t="n">
        <v>18152.0</v>
      </c>
      <c r="AJ178" s="3" t="n">
        <v>17754.0</v>
      </c>
      <c r="AK178" s="3" t="n">
        <v>17355.0</v>
      </c>
      <c r="AL178" s="3" t="n">
        <v>17375.0</v>
      </c>
      <c r="AM178" s="3" t="n">
        <v>16905.0</v>
      </c>
      <c r="AN178" s="3" t="n">
        <v>15890.0</v>
      </c>
      <c r="AO178" s="3" t="n">
        <v>15539.0</v>
      </c>
    </row>
    <row r="179" spans="1:41" x14ac:dyDescent="0.2">
      <c r="A179" s="125"/>
      <c r="B179" s="9">
        <v>68</v>
      </c>
      <c r="C179" s="3" t="n">
        <v>17451.0</v>
      </c>
      <c r="D179" s="3" t="n">
        <v>18310.0</v>
      </c>
      <c r="E179" s="3" t="n">
        <v>17844.0</v>
      </c>
      <c r="F179" s="3" t="n">
        <v>17830.0</v>
      </c>
      <c r="G179" s="3" t="n">
        <v>17598.0</v>
      </c>
      <c r="H179" s="3" t="n">
        <v>16485.0</v>
      </c>
      <c r="I179" s="3" t="n">
        <v>15232.0</v>
      </c>
      <c r="J179" s="3" t="n">
        <v>14533.0</v>
      </c>
      <c r="K179" s="3" t="n">
        <v>13372.0</v>
      </c>
      <c r="L179" s="3" t="n">
        <v>13177.0</v>
      </c>
      <c r="M179" s="3" t="n">
        <v>12830.0</v>
      </c>
      <c r="N179" s="3" t="n">
        <v>12600.0</v>
      </c>
      <c r="O179" s="3" t="n">
        <v>12419.0</v>
      </c>
      <c r="P179" s="3" t="n">
        <v>12181.0</v>
      </c>
      <c r="Q179" s="3" t="n">
        <v>12366.0</v>
      </c>
      <c r="R179" s="3" t="n">
        <v>12910.0</v>
      </c>
      <c r="S179" s="3" t="n">
        <v>13482.0</v>
      </c>
      <c r="T179" s="3" t="n">
        <v>14242.0</v>
      </c>
      <c r="U179" s="3" t="n">
        <v>15073.0</v>
      </c>
      <c r="V179" s="3" t="n">
        <v>15790.0</v>
      </c>
      <c r="W179" s="3" t="n">
        <v>16608.0</v>
      </c>
      <c r="X179" s="3" t="n">
        <v>17574.0</v>
      </c>
      <c r="Y179" s="3" t="n">
        <v>18192.0</v>
      </c>
      <c r="Z179" s="3" t="n">
        <v>18384.0</v>
      </c>
      <c r="AA179" s="3" t="n">
        <v>18447.0</v>
      </c>
      <c r="AB179" s="3" t="n">
        <v>19127.0</v>
      </c>
      <c r="AC179" s="3" t="n">
        <v>19644.0</v>
      </c>
      <c r="AD179" s="3" t="n">
        <v>19240.0</v>
      </c>
      <c r="AE179" s="3" t="n">
        <v>20015.0</v>
      </c>
      <c r="AF179" s="3" t="n">
        <v>21083.0</v>
      </c>
      <c r="AG179" s="3" t="n">
        <v>20274.0</v>
      </c>
      <c r="AH179" s="3" t="n">
        <v>19707.0</v>
      </c>
      <c r="AI179" s="3" t="n">
        <v>18170.0</v>
      </c>
      <c r="AJ179" s="3" t="n">
        <v>17794.0</v>
      </c>
      <c r="AK179" s="3" t="n">
        <v>17412.0</v>
      </c>
      <c r="AL179" s="3" t="n">
        <v>17023.0</v>
      </c>
      <c r="AM179" s="3" t="n">
        <v>17046.0</v>
      </c>
      <c r="AN179" s="3" t="n">
        <v>16586.0</v>
      </c>
      <c r="AO179" s="3" t="n">
        <v>15594.0</v>
      </c>
    </row>
    <row r="180" spans="1:41" x14ac:dyDescent="0.2">
      <c r="A180" s="125"/>
      <c r="B180" s="9">
        <v>69</v>
      </c>
      <c r="C180" s="3" t="n">
        <v>17134.0</v>
      </c>
      <c r="D180" s="3" t="n">
        <v>16912.0</v>
      </c>
      <c r="E180" s="3" t="n">
        <v>17757.0</v>
      </c>
      <c r="F180" s="3" t="n">
        <v>17312.0</v>
      </c>
      <c r="G180" s="3" t="n">
        <v>17304.0</v>
      </c>
      <c r="H180" s="3" t="n">
        <v>17093.0</v>
      </c>
      <c r="I180" s="3" t="n">
        <v>16026.0</v>
      </c>
      <c r="J180" s="3" t="n">
        <v>14802.0</v>
      </c>
      <c r="K180" s="3" t="n">
        <v>14133.0</v>
      </c>
      <c r="L180" s="3" t="n">
        <v>13008.0</v>
      </c>
      <c r="M180" s="3" t="n">
        <v>12822.0</v>
      </c>
      <c r="N180" s="3" t="n">
        <v>12484.0</v>
      </c>
      <c r="O180" s="3" t="n">
        <v>12268.0</v>
      </c>
      <c r="P180" s="3" t="n">
        <v>12096.0</v>
      </c>
      <c r="Q180" s="3" t="n">
        <v>11867.0</v>
      </c>
      <c r="R180" s="3" t="n">
        <v>12053.0</v>
      </c>
      <c r="S180" s="3" t="n">
        <v>12584.0</v>
      </c>
      <c r="T180" s="3" t="n">
        <v>13141.0</v>
      </c>
      <c r="U180" s="3" t="n">
        <v>13883.0</v>
      </c>
      <c r="V180" s="3" t="n">
        <v>14696.0</v>
      </c>
      <c r="W180" s="3" t="n">
        <v>15396.0</v>
      </c>
      <c r="X180" s="3" t="n">
        <v>16201.0</v>
      </c>
      <c r="Y180" s="3" t="n">
        <v>17143.0</v>
      </c>
      <c r="Z180" s="3" t="n">
        <v>17754.0</v>
      </c>
      <c r="AA180" s="3" t="n">
        <v>17943.0</v>
      </c>
      <c r="AB180" s="3" t="n">
        <v>18017.0</v>
      </c>
      <c r="AC180" s="3" t="n">
        <v>18673.0</v>
      </c>
      <c r="AD180" s="3" t="n">
        <v>19190.0</v>
      </c>
      <c r="AE180" s="3" t="n">
        <v>18804.0</v>
      </c>
      <c r="AF180" s="3" t="n">
        <v>19563.0</v>
      </c>
      <c r="AG180" s="3" t="n">
        <v>20612.0</v>
      </c>
      <c r="AH180" s="3" t="n">
        <v>19827.0</v>
      </c>
      <c r="AI180" s="3" t="n">
        <v>19273.0</v>
      </c>
      <c r="AJ180" s="3" t="n">
        <v>17768.0</v>
      </c>
      <c r="AK180" s="3" t="n">
        <v>17407.0</v>
      </c>
      <c r="AL180" s="3" t="n">
        <v>17037.0</v>
      </c>
      <c r="AM180" s="3" t="n">
        <v>16660.0</v>
      </c>
      <c r="AN180" s="3" t="n">
        <v>16681.0</v>
      </c>
      <c r="AO180" s="3" t="n">
        <v>16239.0</v>
      </c>
    </row>
    <row r="181" spans="1:41" x14ac:dyDescent="0.2">
      <c r="A181" s="125"/>
      <c r="B181" s="9">
        <v>70</v>
      </c>
      <c r="C181" s="3" t="n">
        <v>16665.0</v>
      </c>
      <c r="D181" s="3" t="n">
        <v>16576.0</v>
      </c>
      <c r="E181" s="3" t="n">
        <v>16368.0</v>
      </c>
      <c r="F181" s="3" t="n">
        <v>17201.0</v>
      </c>
      <c r="G181" s="3" t="n">
        <v>16771.0</v>
      </c>
      <c r="H181" s="3" t="n">
        <v>16777.0</v>
      </c>
      <c r="I181" s="3" t="n">
        <v>16588.0</v>
      </c>
      <c r="J181" s="3" t="n">
        <v>15550.0</v>
      </c>
      <c r="K181" s="3" t="n">
        <v>14368.0</v>
      </c>
      <c r="L181" s="3" t="n">
        <v>13726.0</v>
      </c>
      <c r="M181" s="3" t="n">
        <v>12636.0</v>
      </c>
      <c r="N181" s="3" t="n">
        <v>12458.0</v>
      </c>
      <c r="O181" s="3" t="n">
        <v>12137.0</v>
      </c>
      <c r="P181" s="3" t="n">
        <v>11930.0</v>
      </c>
      <c r="Q181" s="3" t="n">
        <v>11764.0</v>
      </c>
      <c r="R181" s="3" t="n">
        <v>11545.0</v>
      </c>
      <c r="S181" s="3" t="n">
        <v>11730.0</v>
      </c>
      <c r="T181" s="3" t="n">
        <v>12253.0</v>
      </c>
      <c r="U181" s="3" t="n">
        <v>12792.0</v>
      </c>
      <c r="V181" s="3" t="n">
        <v>13520.0</v>
      </c>
      <c r="W181" s="3" t="n">
        <v>14307.0</v>
      </c>
      <c r="X181" s="3" t="n">
        <v>15001.0</v>
      </c>
      <c r="Y181" s="3" t="n">
        <v>15792.0</v>
      </c>
      <c r="Z181" s="3" t="n">
        <v>16710.0</v>
      </c>
      <c r="AA181" s="3" t="n">
        <v>17303.0</v>
      </c>
      <c r="AB181" s="3" t="n">
        <v>17491.0</v>
      </c>
      <c r="AC181" s="3" t="n">
        <v>17565.0</v>
      </c>
      <c r="AD181" s="3" t="n">
        <v>18214.0</v>
      </c>
      <c r="AE181" s="3" t="n">
        <v>18723.0</v>
      </c>
      <c r="AF181" s="3" t="n">
        <v>18350.0</v>
      </c>
      <c r="AG181" s="3" t="n">
        <v>19095.0</v>
      </c>
      <c r="AH181" s="3" t="n">
        <v>20125.0</v>
      </c>
      <c r="AI181" s="3" t="n">
        <v>19360.0</v>
      </c>
      <c r="AJ181" s="3" t="n">
        <v>18822.0</v>
      </c>
      <c r="AK181" s="3" t="n">
        <v>17355.0</v>
      </c>
      <c r="AL181" s="3" t="n">
        <v>17012.0</v>
      </c>
      <c r="AM181" s="3" t="n">
        <v>16655.0</v>
      </c>
      <c r="AN181" s="3" t="n">
        <v>16293.0</v>
      </c>
      <c r="AO181" s="3" t="n">
        <v>16316.0</v>
      </c>
    </row>
    <row r="182" spans="1:41" x14ac:dyDescent="0.2">
      <c r="A182" s="125"/>
      <c r="B182" s="9">
        <v>71</v>
      </c>
      <c r="C182" s="3" t="n">
        <v>15645.0</v>
      </c>
      <c r="D182" s="3" t="n">
        <v>16087.0</v>
      </c>
      <c r="E182" s="3" t="n">
        <v>16014.0</v>
      </c>
      <c r="F182" s="3" t="n">
        <v>15821.0</v>
      </c>
      <c r="G182" s="3" t="n">
        <v>16629.0</v>
      </c>
      <c r="H182" s="3" t="n">
        <v>16219.0</v>
      </c>
      <c r="I182" s="3" t="n">
        <v>16240.0</v>
      </c>
      <c r="J182" s="3" t="n">
        <v>16055.0</v>
      </c>
      <c r="K182" s="3" t="n">
        <v>15058.0</v>
      </c>
      <c r="L182" s="3" t="n">
        <v>13921.0</v>
      </c>
      <c r="M182" s="3" t="n">
        <v>13302.0</v>
      </c>
      <c r="N182" s="3" t="n">
        <v>12252.0</v>
      </c>
      <c r="O182" s="3" t="n">
        <v>12086.0</v>
      </c>
      <c r="P182" s="3" t="n">
        <v>11774.0</v>
      </c>
      <c r="Q182" s="3" t="n">
        <v>11586.0</v>
      </c>
      <c r="R182" s="3" t="n">
        <v>11428.0</v>
      </c>
      <c r="S182" s="3" t="n">
        <v>11218.0</v>
      </c>
      <c r="T182" s="3" t="n">
        <v>11402.0</v>
      </c>
      <c r="U182" s="3" t="n">
        <v>11910.0</v>
      </c>
      <c r="V182" s="3" t="n">
        <v>12433.0</v>
      </c>
      <c r="W182" s="3" t="n">
        <v>13143.0</v>
      </c>
      <c r="X182" s="3" t="n">
        <v>13919.0</v>
      </c>
      <c r="Y182" s="3" t="n">
        <v>14588.0</v>
      </c>
      <c r="Z182" s="3" t="n">
        <v>15365.0</v>
      </c>
      <c r="AA182" s="3" t="n">
        <v>16267.0</v>
      </c>
      <c r="AB182" s="3" t="n">
        <v>16843.0</v>
      </c>
      <c r="AC182" s="3" t="n">
        <v>17033.0</v>
      </c>
      <c r="AD182" s="3" t="n">
        <v>17116.0</v>
      </c>
      <c r="AE182" s="3" t="n">
        <v>17747.0</v>
      </c>
      <c r="AF182" s="3" t="n">
        <v>18245.0</v>
      </c>
      <c r="AG182" s="3" t="n">
        <v>17885.0</v>
      </c>
      <c r="AH182" s="3" t="n">
        <v>18615.0</v>
      </c>
      <c r="AI182" s="3" t="n">
        <v>19625.0</v>
      </c>
      <c r="AJ182" s="3" t="n">
        <v>18882.0</v>
      </c>
      <c r="AK182" s="3" t="n">
        <v>18364.0</v>
      </c>
      <c r="AL182" s="3" t="n">
        <v>16930.0</v>
      </c>
      <c r="AM182" s="3" t="n">
        <v>16599.0</v>
      </c>
      <c r="AN182" s="3" t="n">
        <v>16252.0</v>
      </c>
      <c r="AO182" s="3" t="n">
        <v>15912.0</v>
      </c>
    </row>
    <row r="183" spans="1:41" x14ac:dyDescent="0.2">
      <c r="A183" s="125"/>
      <c r="B183" s="9">
        <v>72</v>
      </c>
      <c r="C183" s="3" t="n">
        <v>14536.0</v>
      </c>
      <c r="D183" s="3" t="n">
        <v>15069.0</v>
      </c>
      <c r="E183" s="3" t="n">
        <v>15508.0</v>
      </c>
      <c r="F183" s="3" t="n">
        <v>15445.0</v>
      </c>
      <c r="G183" s="3" t="n">
        <v>15262.0</v>
      </c>
      <c r="H183" s="3" t="n">
        <v>16058.0</v>
      </c>
      <c r="I183" s="3" t="n">
        <v>15671.0</v>
      </c>
      <c r="J183" s="3" t="n">
        <v>15693.0</v>
      </c>
      <c r="K183" s="3" t="n">
        <v>15516.0</v>
      </c>
      <c r="L183" s="3" t="n">
        <v>14555.0</v>
      </c>
      <c r="M183" s="3" t="n">
        <v>13462.0</v>
      </c>
      <c r="N183" s="3" t="n">
        <v>12876.0</v>
      </c>
      <c r="O183" s="3" t="n">
        <v>11869.0</v>
      </c>
      <c r="P183" s="3" t="n">
        <v>11715.0</v>
      </c>
      <c r="Q183" s="3" t="n">
        <v>11415.0</v>
      </c>
      <c r="R183" s="3" t="n">
        <v>11240.0</v>
      </c>
      <c r="S183" s="3" t="n">
        <v>11093.0</v>
      </c>
      <c r="T183" s="3" t="n">
        <v>10886.0</v>
      </c>
      <c r="U183" s="3" t="n">
        <v>11069.0</v>
      </c>
      <c r="V183" s="3" t="n">
        <v>11564.0</v>
      </c>
      <c r="W183" s="3" t="n">
        <v>12073.0</v>
      </c>
      <c r="X183" s="3" t="n">
        <v>12767.0</v>
      </c>
      <c r="Y183" s="3" t="n">
        <v>13524.0</v>
      </c>
      <c r="Z183" s="3" t="n">
        <v>14177.0</v>
      </c>
      <c r="AA183" s="3" t="n">
        <v>14930.0</v>
      </c>
      <c r="AB183" s="3" t="n">
        <v>15813.0</v>
      </c>
      <c r="AC183" s="3" t="n">
        <v>16371.0</v>
      </c>
      <c r="AD183" s="3" t="n">
        <v>16564.0</v>
      </c>
      <c r="AE183" s="3" t="n">
        <v>16652.0</v>
      </c>
      <c r="AF183" s="3" t="n">
        <v>17265.0</v>
      </c>
      <c r="AG183" s="3" t="n">
        <v>17753.0</v>
      </c>
      <c r="AH183" s="3" t="n">
        <v>17407.0</v>
      </c>
      <c r="AI183" s="3" t="n">
        <v>18120.0</v>
      </c>
      <c r="AJ183" s="3" t="n">
        <v>19110.0</v>
      </c>
      <c r="AK183" s="3" t="n">
        <v>18392.0</v>
      </c>
      <c r="AL183" s="3" t="n">
        <v>17894.0</v>
      </c>
      <c r="AM183" s="3" t="n">
        <v>16498.0</v>
      </c>
      <c r="AN183" s="3" t="n">
        <v>16180.0</v>
      </c>
      <c r="AO183" s="3" t="n">
        <v>15850.0</v>
      </c>
    </row>
    <row r="184" spans="1:41" x14ac:dyDescent="0.2">
      <c r="A184" s="125"/>
      <c r="B184" s="9">
        <v>73</v>
      </c>
      <c r="C184" s="3" t="n">
        <v>13447.0</v>
      </c>
      <c r="D184" s="3" t="n">
        <v>13960.0</v>
      </c>
      <c r="E184" s="3" t="n">
        <v>14484.0</v>
      </c>
      <c r="F184" s="3" t="n">
        <v>14914.0</v>
      </c>
      <c r="G184" s="3" t="n">
        <v>14860.0</v>
      </c>
      <c r="H184" s="3" t="n">
        <v>14694.0</v>
      </c>
      <c r="I184" s="3" t="n">
        <v>15473.0</v>
      </c>
      <c r="J184" s="3" t="n">
        <v>15106.0</v>
      </c>
      <c r="K184" s="3" t="n">
        <v>15133.0</v>
      </c>
      <c r="L184" s="3" t="n">
        <v>14961.0</v>
      </c>
      <c r="M184" s="3" t="n">
        <v>14035.0</v>
      </c>
      <c r="N184" s="3" t="n">
        <v>12993.0</v>
      </c>
      <c r="O184" s="3" t="n">
        <v>12432.0</v>
      </c>
      <c r="P184" s="3" t="n">
        <v>11469.0</v>
      </c>
      <c r="Q184" s="3" t="n">
        <v>11323.0</v>
      </c>
      <c r="R184" s="3" t="n">
        <v>11038.0</v>
      </c>
      <c r="S184" s="3" t="n">
        <v>10869.0</v>
      </c>
      <c r="T184" s="3" t="n">
        <v>10731.0</v>
      </c>
      <c r="U184" s="3" t="n">
        <v>10534.0</v>
      </c>
      <c r="V184" s="3" t="n">
        <v>10717.0</v>
      </c>
      <c r="W184" s="3" t="n">
        <v>11198.0</v>
      </c>
      <c r="X184" s="3" t="n">
        <v>11698.0</v>
      </c>
      <c r="Y184" s="3" t="n">
        <v>12377.0</v>
      </c>
      <c r="Z184" s="3" t="n">
        <v>13103.0</v>
      </c>
      <c r="AA184" s="3" t="n">
        <v>13741.0</v>
      </c>
      <c r="AB184" s="3" t="n">
        <v>14478.0</v>
      </c>
      <c r="AC184" s="3" t="n">
        <v>15338.0</v>
      </c>
      <c r="AD184" s="3" t="n">
        <v>15884.0</v>
      </c>
      <c r="AE184" s="3" t="n">
        <v>16075.0</v>
      </c>
      <c r="AF184" s="3" t="n">
        <v>16168.0</v>
      </c>
      <c r="AG184" s="3" t="n">
        <v>16772.0</v>
      </c>
      <c r="AH184" s="3" t="n">
        <v>17245.0</v>
      </c>
      <c r="AI184" s="3" t="n">
        <v>16913.0</v>
      </c>
      <c r="AJ184" s="3" t="n">
        <v>17612.0</v>
      </c>
      <c r="AK184" s="3" t="n">
        <v>18575.0</v>
      </c>
      <c r="AL184" s="3" t="n">
        <v>17880.0</v>
      </c>
      <c r="AM184" s="3" t="n">
        <v>17402.0</v>
      </c>
      <c r="AN184" s="3" t="n">
        <v>16048.0</v>
      </c>
      <c r="AO184" s="3" t="n">
        <v>15744.0</v>
      </c>
    </row>
    <row r="185" spans="1:41" x14ac:dyDescent="0.2">
      <c r="A185" s="125"/>
      <c r="B185" s="9">
        <v>74</v>
      </c>
      <c r="C185" s="3" t="n">
        <v>12618.0</v>
      </c>
      <c r="D185" s="3" t="n">
        <v>12887.0</v>
      </c>
      <c r="E185" s="3" t="n">
        <v>13395.0</v>
      </c>
      <c r="F185" s="3" t="n">
        <v>13909.0</v>
      </c>
      <c r="G185" s="3" t="n">
        <v>14323.0</v>
      </c>
      <c r="H185" s="3" t="n">
        <v>14278.0</v>
      </c>
      <c r="I185" s="3" t="n">
        <v>14132.0</v>
      </c>
      <c r="J185" s="3" t="n">
        <v>14875.0</v>
      </c>
      <c r="K185" s="3" t="n">
        <v>14538.0</v>
      </c>
      <c r="L185" s="3" t="n">
        <v>14569.0</v>
      </c>
      <c r="M185" s="3" t="n">
        <v>14406.0</v>
      </c>
      <c r="N185" s="3" t="n">
        <v>13521.0</v>
      </c>
      <c r="O185" s="3" t="n">
        <v>12528.0</v>
      </c>
      <c r="P185" s="3" t="n">
        <v>11991.0</v>
      </c>
      <c r="Q185" s="3" t="n">
        <v>11062.0</v>
      </c>
      <c r="R185" s="3" t="n">
        <v>10934.0</v>
      </c>
      <c r="S185" s="3" t="n">
        <v>10663.0</v>
      </c>
      <c r="T185" s="3" t="n">
        <v>10501.0</v>
      </c>
      <c r="U185" s="3" t="n">
        <v>10371.0</v>
      </c>
      <c r="V185" s="3" t="n">
        <v>10185.0</v>
      </c>
      <c r="W185" s="3" t="n">
        <v>10362.0</v>
      </c>
      <c r="X185" s="3" t="n">
        <v>10830.0</v>
      </c>
      <c r="Y185" s="3" t="n">
        <v>11318.0</v>
      </c>
      <c r="Z185" s="3" t="n">
        <v>11976.0</v>
      </c>
      <c r="AA185" s="3" t="n">
        <v>12692.0</v>
      </c>
      <c r="AB185" s="3" t="n">
        <v>13303.0</v>
      </c>
      <c r="AC185" s="3" t="n">
        <v>14019.0</v>
      </c>
      <c r="AD185" s="3" t="n">
        <v>14858.0</v>
      </c>
      <c r="AE185" s="3" t="n">
        <v>15389.0</v>
      </c>
      <c r="AF185" s="3" t="n">
        <v>15577.0</v>
      </c>
      <c r="AG185" s="3" t="n">
        <v>15673.0</v>
      </c>
      <c r="AH185" s="3" t="n">
        <v>16262.0</v>
      </c>
      <c r="AI185" s="3" t="n">
        <v>16725.0</v>
      </c>
      <c r="AJ185" s="3" t="n">
        <v>16408.0</v>
      </c>
      <c r="AK185" s="3" t="n">
        <v>17088.0</v>
      </c>
      <c r="AL185" s="3" t="n">
        <v>18030.0</v>
      </c>
      <c r="AM185" s="3" t="n">
        <v>17360.0</v>
      </c>
      <c r="AN185" s="3" t="n">
        <v>16898.0</v>
      </c>
      <c r="AO185" s="3" t="n">
        <v>15589.0</v>
      </c>
    </row>
    <row r="186" spans="1:41" x14ac:dyDescent="0.2">
      <c r="A186" s="125"/>
      <c r="B186" s="9">
        <v>75</v>
      </c>
      <c r="C186" s="3" t="n">
        <v>10857.0</v>
      </c>
      <c r="D186" s="3" t="n">
        <v>12058.0</v>
      </c>
      <c r="E186" s="3" t="n">
        <v>12319.0</v>
      </c>
      <c r="F186" s="3" t="n">
        <v>12815.0</v>
      </c>
      <c r="G186" s="3" t="n">
        <v>13308.0</v>
      </c>
      <c r="H186" s="3" t="n">
        <v>13715.0</v>
      </c>
      <c r="I186" s="3" t="n">
        <v>13689.0</v>
      </c>
      <c r="J186" s="3" t="n">
        <v>13549.0</v>
      </c>
      <c r="K186" s="3" t="n">
        <v>14272.0</v>
      </c>
      <c r="L186" s="3" t="n">
        <v>13951.0</v>
      </c>
      <c r="M186" s="3" t="n">
        <v>13980.0</v>
      </c>
      <c r="N186" s="3" t="n">
        <v>13833.0</v>
      </c>
      <c r="O186" s="3" t="n">
        <v>12989.0</v>
      </c>
      <c r="P186" s="3" t="n">
        <v>12042.0</v>
      </c>
      <c r="Q186" s="3" t="n">
        <v>11538.0</v>
      </c>
      <c r="R186" s="3" t="n">
        <v>10649.0</v>
      </c>
      <c r="S186" s="3" t="n">
        <v>10532.0</v>
      </c>
      <c r="T186" s="3" t="n">
        <v>10279.0</v>
      </c>
      <c r="U186" s="3" t="n">
        <v>10126.0</v>
      </c>
      <c r="V186" s="3" t="n">
        <v>10002.0</v>
      </c>
      <c r="W186" s="3" t="n">
        <v>9822.0</v>
      </c>
      <c r="X186" s="3" t="n">
        <v>9999.0</v>
      </c>
      <c r="Y186" s="3" t="n">
        <v>10460.0</v>
      </c>
      <c r="Z186" s="3" t="n">
        <v>10935.0</v>
      </c>
      <c r="AA186" s="3" t="n">
        <v>11565.0</v>
      </c>
      <c r="AB186" s="3" t="n">
        <v>12257.0</v>
      </c>
      <c r="AC186" s="3" t="n">
        <v>12852.0</v>
      </c>
      <c r="AD186" s="3" t="n">
        <v>13548.0</v>
      </c>
      <c r="AE186" s="3" t="n">
        <v>14358.0</v>
      </c>
      <c r="AF186" s="3" t="n">
        <v>14880.0</v>
      </c>
      <c r="AG186" s="3" t="n">
        <v>15068.0</v>
      </c>
      <c r="AH186" s="3" t="n">
        <v>15168.0</v>
      </c>
      <c r="AI186" s="3" t="n">
        <v>15740.0</v>
      </c>
      <c r="AJ186" s="3" t="n">
        <v>16190.0</v>
      </c>
      <c r="AK186" s="3" t="n">
        <v>15889.0</v>
      </c>
      <c r="AL186" s="3" t="n">
        <v>16546.0</v>
      </c>
      <c r="AM186" s="3" t="n">
        <v>17464.0</v>
      </c>
      <c r="AN186" s="3" t="n">
        <v>16821.0</v>
      </c>
      <c r="AO186" s="3" t="n">
        <v>16386.0</v>
      </c>
    </row>
    <row r="187" spans="1:41" x14ac:dyDescent="0.2">
      <c r="A187" s="125"/>
      <c r="B187" s="9">
        <v>76</v>
      </c>
      <c r="C187" s="3" t="n">
        <v>8685.0</v>
      </c>
      <c r="D187" s="3" t="n">
        <v>10329.0</v>
      </c>
      <c r="E187" s="3" t="n">
        <v>11481.0</v>
      </c>
      <c r="F187" s="3" t="n">
        <v>11739.0</v>
      </c>
      <c r="G187" s="3" t="n">
        <v>12218.0</v>
      </c>
      <c r="H187" s="3" t="n">
        <v>12692.0</v>
      </c>
      <c r="I187" s="3" t="n">
        <v>13093.0</v>
      </c>
      <c r="J187" s="3" t="n">
        <v>13072.0</v>
      </c>
      <c r="K187" s="3" t="n">
        <v>12946.0</v>
      </c>
      <c r="L187" s="3" t="n">
        <v>13647.0</v>
      </c>
      <c r="M187" s="3" t="n">
        <v>13342.0</v>
      </c>
      <c r="N187" s="3" t="n">
        <v>13373.0</v>
      </c>
      <c r="O187" s="3" t="n">
        <v>13247.0</v>
      </c>
      <c r="P187" s="3" t="n">
        <v>12441.0</v>
      </c>
      <c r="Q187" s="3" t="n">
        <v>11538.0</v>
      </c>
      <c r="R187" s="3" t="n">
        <v>11064.0</v>
      </c>
      <c r="S187" s="3" t="n">
        <v>10214.0</v>
      </c>
      <c r="T187" s="3" t="n">
        <v>10105.0</v>
      </c>
      <c r="U187" s="3" t="n">
        <v>9866.0</v>
      </c>
      <c r="V187" s="3" t="n">
        <v>9720.0</v>
      </c>
      <c r="W187" s="3" t="n">
        <v>9607.0</v>
      </c>
      <c r="X187" s="3" t="n">
        <v>9437.0</v>
      </c>
      <c r="Y187" s="3" t="n">
        <v>9615.0</v>
      </c>
      <c r="Z187" s="3" t="n">
        <v>10058.0</v>
      </c>
      <c r="AA187" s="3" t="n">
        <v>10516.0</v>
      </c>
      <c r="AB187" s="3" t="n">
        <v>11134.0</v>
      </c>
      <c r="AC187" s="3" t="n">
        <v>11801.0</v>
      </c>
      <c r="AD187" s="3" t="n">
        <v>12382.0</v>
      </c>
      <c r="AE187" s="3" t="n">
        <v>13060.0</v>
      </c>
      <c r="AF187" s="3" t="n">
        <v>13839.0</v>
      </c>
      <c r="AG187" s="3" t="n">
        <v>14347.0</v>
      </c>
      <c r="AH187" s="3" t="n">
        <v>14531.0</v>
      </c>
      <c r="AI187" s="3" t="n">
        <v>14634.0</v>
      </c>
      <c r="AJ187" s="3" t="n">
        <v>15187.0</v>
      </c>
      <c r="AK187" s="3" t="n">
        <v>15632.0</v>
      </c>
      <c r="AL187" s="3" t="n">
        <v>15346.0</v>
      </c>
      <c r="AM187" s="3" t="n">
        <v>15982.0</v>
      </c>
      <c r="AN187" s="3" t="n">
        <v>16880.0</v>
      </c>
      <c r="AO187" s="3" t="n">
        <v>16263.0</v>
      </c>
    </row>
    <row r="188" spans="1:41" x14ac:dyDescent="0.2">
      <c r="A188" s="125"/>
      <c r="B188" s="9">
        <v>77</v>
      </c>
      <c r="C188" s="3" t="n">
        <v>5438.0</v>
      </c>
      <c r="D188" s="3" t="n">
        <v>8242.0</v>
      </c>
      <c r="E188" s="3" t="n">
        <v>9804.0</v>
      </c>
      <c r="F188" s="3" t="n">
        <v>10902.0</v>
      </c>
      <c r="G188" s="3" t="n">
        <v>11150.0</v>
      </c>
      <c r="H188" s="3" t="n">
        <v>11608.0</v>
      </c>
      <c r="I188" s="3" t="n">
        <v>12068.0</v>
      </c>
      <c r="J188" s="3" t="n">
        <v>12454.0</v>
      </c>
      <c r="K188" s="3" t="n">
        <v>12441.0</v>
      </c>
      <c r="L188" s="3" t="n">
        <v>12327.0</v>
      </c>
      <c r="M188" s="3" t="n">
        <v>12998.0</v>
      </c>
      <c r="N188" s="3" t="n">
        <v>12719.0</v>
      </c>
      <c r="O188" s="3" t="n">
        <v>12756.0</v>
      </c>
      <c r="P188" s="3" t="n">
        <v>12633.0</v>
      </c>
      <c r="Q188" s="3" t="n">
        <v>11876.0</v>
      </c>
      <c r="R188" s="3" t="n">
        <v>11024.0</v>
      </c>
      <c r="S188" s="3" t="n">
        <v>10581.0</v>
      </c>
      <c r="T188" s="3" t="n">
        <v>9777.0</v>
      </c>
      <c r="U188" s="3" t="n">
        <v>9677.0</v>
      </c>
      <c r="V188" s="3" t="n">
        <v>9455.0</v>
      </c>
      <c r="W188" s="3" t="n">
        <v>9314.0</v>
      </c>
      <c r="X188" s="3" t="n">
        <v>9218.0</v>
      </c>
      <c r="Y188" s="3" t="n">
        <v>9054.0</v>
      </c>
      <c r="Z188" s="3" t="n">
        <v>9229.0</v>
      </c>
      <c r="AA188" s="3" t="n">
        <v>9654.0</v>
      </c>
      <c r="AB188" s="3" t="n">
        <v>10093.0</v>
      </c>
      <c r="AC188" s="3" t="n">
        <v>10689.0</v>
      </c>
      <c r="AD188" s="3" t="n">
        <v>11330.0</v>
      </c>
      <c r="AE188" s="3" t="n">
        <v>11893.0</v>
      </c>
      <c r="AF188" s="3" t="n">
        <v>12557.0</v>
      </c>
      <c r="AG188" s="3" t="n">
        <v>13307.0</v>
      </c>
      <c r="AH188" s="3" t="n">
        <v>13792.0</v>
      </c>
      <c r="AI188" s="3" t="n">
        <v>13979.0</v>
      </c>
      <c r="AJ188" s="3" t="n">
        <v>14077.0</v>
      </c>
      <c r="AK188" s="3" t="n">
        <v>14611.0</v>
      </c>
      <c r="AL188" s="3" t="n">
        <v>15042.0</v>
      </c>
      <c r="AM188" s="3" t="n">
        <v>14774.0</v>
      </c>
      <c r="AN188" s="3" t="n">
        <v>15393.0</v>
      </c>
      <c r="AO188" s="3" t="n">
        <v>16264.0</v>
      </c>
    </row>
    <row r="189" spans="1:41" x14ac:dyDescent="0.2">
      <c r="A189" s="125"/>
      <c r="B189" s="9">
        <v>78</v>
      </c>
      <c r="C189" s="3" t="n">
        <v>5102.0</v>
      </c>
      <c r="D189" s="3" t="n">
        <v>5135.0</v>
      </c>
      <c r="E189" s="3" t="n">
        <v>7785.0</v>
      </c>
      <c r="F189" s="3" t="n">
        <v>9265.0</v>
      </c>
      <c r="G189" s="3" t="n">
        <v>10311.0</v>
      </c>
      <c r="H189" s="3" t="n">
        <v>10551.0</v>
      </c>
      <c r="I189" s="3" t="n">
        <v>10995.0</v>
      </c>
      <c r="J189" s="3" t="n">
        <v>11435.0</v>
      </c>
      <c r="K189" s="3" t="n">
        <v>11808.0</v>
      </c>
      <c r="L189" s="3" t="n">
        <v>11805.0</v>
      </c>
      <c r="M189" s="3" t="n">
        <v>11700.0</v>
      </c>
      <c r="N189" s="3" t="n">
        <v>12344.0</v>
      </c>
      <c r="O189" s="3" t="n">
        <v>12084.0</v>
      </c>
      <c r="P189" s="3" t="n">
        <v>12126.0</v>
      </c>
      <c r="Q189" s="3" t="n">
        <v>12014.0</v>
      </c>
      <c r="R189" s="3" t="n">
        <v>11308.0</v>
      </c>
      <c r="S189" s="3" t="n">
        <v>10502.0</v>
      </c>
      <c r="T189" s="3" t="n">
        <v>10082.0</v>
      </c>
      <c r="U189" s="3" t="n">
        <v>9320.0</v>
      </c>
      <c r="V189" s="3" t="n">
        <v>9228.0</v>
      </c>
      <c r="W189" s="3" t="n">
        <v>9022.0</v>
      </c>
      <c r="X189" s="3" t="n">
        <v>8894.0</v>
      </c>
      <c r="Y189" s="3" t="n">
        <v>8807.0</v>
      </c>
      <c r="Z189" s="3" t="n">
        <v>8653.0</v>
      </c>
      <c r="AA189" s="3" t="n">
        <v>8823.0</v>
      </c>
      <c r="AB189" s="3" t="n">
        <v>9235.0</v>
      </c>
      <c r="AC189" s="3" t="n">
        <v>9650.0</v>
      </c>
      <c r="AD189" s="3" t="n">
        <v>10233.0</v>
      </c>
      <c r="AE189" s="3" t="n">
        <v>10848.0</v>
      </c>
      <c r="AF189" s="3" t="n">
        <v>11390.0</v>
      </c>
      <c r="AG189" s="3" t="n">
        <v>12034.0</v>
      </c>
      <c r="AH189" s="3" t="n">
        <v>12759.0</v>
      </c>
      <c r="AI189" s="3" t="n">
        <v>13230.0</v>
      </c>
      <c r="AJ189" s="3" t="n">
        <v>13413.0</v>
      </c>
      <c r="AK189" s="3" t="n">
        <v>13506.0</v>
      </c>
      <c r="AL189" s="3" t="n">
        <v>14028.0</v>
      </c>
      <c r="AM189" s="3" t="n">
        <v>14446.0</v>
      </c>
      <c r="AN189" s="3" t="n">
        <v>14190.0</v>
      </c>
      <c r="AO189" s="3" t="n">
        <v>14793.0</v>
      </c>
    </row>
    <row r="190" spans="1:41" x14ac:dyDescent="0.2">
      <c r="A190" s="125"/>
      <c r="B190" s="9">
        <v>79</v>
      </c>
      <c r="C190" s="3" t="n">
        <v>4523.0</v>
      </c>
      <c r="D190" s="3" t="n">
        <v>4788.0</v>
      </c>
      <c r="E190" s="3" t="n">
        <v>4826.0</v>
      </c>
      <c r="F190" s="3" t="n">
        <v>7324.0</v>
      </c>
      <c r="G190" s="3" t="n">
        <v>8718.0</v>
      </c>
      <c r="H190" s="3" t="n">
        <v>9704.0</v>
      </c>
      <c r="I190" s="3" t="n">
        <v>9942.0</v>
      </c>
      <c r="J190" s="3" t="n">
        <v>10366.0</v>
      </c>
      <c r="K190" s="3" t="n">
        <v>10789.0</v>
      </c>
      <c r="L190" s="3" t="n">
        <v>11156.0</v>
      </c>
      <c r="M190" s="3" t="n">
        <v>11156.0</v>
      </c>
      <c r="N190" s="3" t="n">
        <v>11061.0</v>
      </c>
      <c r="O190" s="3" t="n">
        <v>11680.0</v>
      </c>
      <c r="P190" s="3" t="n">
        <v>11445.0</v>
      </c>
      <c r="Q190" s="3" t="n">
        <v>11486.0</v>
      </c>
      <c r="R190" s="3" t="n">
        <v>11387.0</v>
      </c>
      <c r="S190" s="3" t="n">
        <v>10725.0</v>
      </c>
      <c r="T190" s="3" t="n">
        <v>9957.0</v>
      </c>
      <c r="U190" s="3" t="n">
        <v>9567.0</v>
      </c>
      <c r="V190" s="3" t="n">
        <v>8850.0</v>
      </c>
      <c r="W190" s="3" t="n">
        <v>8764.0</v>
      </c>
      <c r="X190" s="3" t="n">
        <v>8581.0</v>
      </c>
      <c r="Y190" s="3" t="n">
        <v>8462.0</v>
      </c>
      <c r="Z190" s="3" t="n">
        <v>8384.0</v>
      </c>
      <c r="AA190" s="3" t="n">
        <v>8240.0</v>
      </c>
      <c r="AB190" s="3" t="n">
        <v>8406.0</v>
      </c>
      <c r="AC190" s="3" t="n">
        <v>8803.0</v>
      </c>
      <c r="AD190" s="3" t="n">
        <v>9203.0</v>
      </c>
      <c r="AE190" s="3" t="n">
        <v>9763.0</v>
      </c>
      <c r="AF190" s="3" t="n">
        <v>10355.0</v>
      </c>
      <c r="AG190" s="3" t="n">
        <v>10872.0</v>
      </c>
      <c r="AH190" s="3" t="n">
        <v>11487.0</v>
      </c>
      <c r="AI190" s="3" t="n">
        <v>12185.0</v>
      </c>
      <c r="AJ190" s="3" t="n">
        <v>12640.0</v>
      </c>
      <c r="AK190" s="3" t="n">
        <v>12824.0</v>
      </c>
      <c r="AL190" s="3" t="n">
        <v>12917.0</v>
      </c>
      <c r="AM190" s="3" t="n">
        <v>13418.0</v>
      </c>
      <c r="AN190" s="3" t="n">
        <v>13825.0</v>
      </c>
      <c r="AO190" s="3" t="n">
        <v>13590.0</v>
      </c>
    </row>
    <row r="191" spans="1:41" x14ac:dyDescent="0.2">
      <c r="A191" s="125"/>
      <c r="B191" s="9">
        <v>80</v>
      </c>
      <c r="C191" s="3" t="n">
        <v>4110.0</v>
      </c>
      <c r="D191" s="3" t="n">
        <v>4231.0</v>
      </c>
      <c r="E191" s="3" t="n">
        <v>4485.0</v>
      </c>
      <c r="F191" s="3" t="n">
        <v>4523.0</v>
      </c>
      <c r="G191" s="3" t="n">
        <v>6866.0</v>
      </c>
      <c r="H191" s="3" t="n">
        <v>8174.0</v>
      </c>
      <c r="I191" s="3" t="n">
        <v>9103.0</v>
      </c>
      <c r="J191" s="3" t="n">
        <v>9332.0</v>
      </c>
      <c r="K191" s="3" t="n">
        <v>9738.0</v>
      </c>
      <c r="L191" s="3" t="n">
        <v>10140.0</v>
      </c>
      <c r="M191" s="3" t="n">
        <v>10488.0</v>
      </c>
      <c r="N191" s="3" t="n">
        <v>10492.0</v>
      </c>
      <c r="O191" s="3" t="n">
        <v>10411.0</v>
      </c>
      <c r="P191" s="3" t="n">
        <v>10998.0</v>
      </c>
      <c r="Q191" s="3" t="n">
        <v>10792.0</v>
      </c>
      <c r="R191" s="3" t="n">
        <v>10837.0</v>
      </c>
      <c r="S191" s="3" t="n">
        <v>10749.0</v>
      </c>
      <c r="T191" s="3" t="n">
        <v>10128.0</v>
      </c>
      <c r="U191" s="3" t="n">
        <v>9410.0</v>
      </c>
      <c r="V191" s="3" t="n">
        <v>9048.0</v>
      </c>
      <c r="W191" s="3" t="n">
        <v>8377.0</v>
      </c>
      <c r="X191" s="3" t="n">
        <v>8303.0</v>
      </c>
      <c r="Y191" s="3" t="n">
        <v>8138.0</v>
      </c>
      <c r="Z191" s="3" t="n">
        <v>8023.0</v>
      </c>
      <c r="AA191" s="3" t="n">
        <v>7957.0</v>
      </c>
      <c r="AB191" s="3" t="n">
        <v>7823.0</v>
      </c>
      <c r="AC191" s="3" t="n">
        <v>7982.0</v>
      </c>
      <c r="AD191" s="3" t="n">
        <v>8362.0</v>
      </c>
      <c r="AE191" s="3" t="n">
        <v>8744.0</v>
      </c>
      <c r="AF191" s="3" t="n">
        <v>9281.0</v>
      </c>
      <c r="AG191" s="3" t="n">
        <v>9846.0</v>
      </c>
      <c r="AH191" s="3" t="n">
        <v>10345.0</v>
      </c>
      <c r="AI191" s="3" t="n">
        <v>10929.0</v>
      </c>
      <c r="AJ191" s="3" t="n">
        <v>11600.0</v>
      </c>
      <c r="AK191" s="3" t="n">
        <v>12036.0</v>
      </c>
      <c r="AL191" s="3" t="n">
        <v>12218.0</v>
      </c>
      <c r="AM191" s="3" t="n">
        <v>12311.0</v>
      </c>
      <c r="AN191" s="3" t="n">
        <v>12797.0</v>
      </c>
      <c r="AO191" s="3" t="n">
        <v>13195.0</v>
      </c>
    </row>
    <row r="192" spans="1:41" x14ac:dyDescent="0.2">
      <c r="A192" s="125"/>
      <c r="B192" s="9">
        <v>81</v>
      </c>
      <c r="C192" s="3" t="n">
        <v>4082.0</v>
      </c>
      <c r="D192" s="3" t="n">
        <v>3808.0</v>
      </c>
      <c r="E192" s="3" t="n">
        <v>3922.0</v>
      </c>
      <c r="F192" s="3" t="n">
        <v>4159.0</v>
      </c>
      <c r="G192" s="3" t="n">
        <v>4208.0</v>
      </c>
      <c r="H192" s="3" t="n">
        <v>6393.0</v>
      </c>
      <c r="I192" s="3" t="n">
        <v>7610.0</v>
      </c>
      <c r="J192" s="3" t="n">
        <v>8478.0</v>
      </c>
      <c r="K192" s="3" t="n">
        <v>8702.0</v>
      </c>
      <c r="L192" s="3" t="n">
        <v>9089.0</v>
      </c>
      <c r="M192" s="3" t="n">
        <v>9464.0</v>
      </c>
      <c r="N192" s="3" t="n">
        <v>9797.0</v>
      </c>
      <c r="O192" s="3" t="n">
        <v>9811.0</v>
      </c>
      <c r="P192" s="3" t="n">
        <v>9741.0</v>
      </c>
      <c r="Q192" s="3" t="n">
        <v>10297.0</v>
      </c>
      <c r="R192" s="3" t="n">
        <v>10112.0</v>
      </c>
      <c r="S192" s="3" t="n">
        <v>10159.0</v>
      </c>
      <c r="T192" s="3" t="n">
        <v>10088.0</v>
      </c>
      <c r="U192" s="3" t="n">
        <v>9507.0</v>
      </c>
      <c r="V192" s="3" t="n">
        <v>8843.0</v>
      </c>
      <c r="W192" s="3" t="n">
        <v>8503.0</v>
      </c>
      <c r="X192" s="3" t="n">
        <v>7884.0</v>
      </c>
      <c r="Y192" s="3" t="n">
        <v>7815.0</v>
      </c>
      <c r="Z192" s="3" t="n">
        <v>7663.0</v>
      </c>
      <c r="AA192" s="3" t="n">
        <v>7560.0</v>
      </c>
      <c r="AB192" s="3" t="n">
        <v>7505.0</v>
      </c>
      <c r="AC192" s="3" t="n">
        <v>7381.0</v>
      </c>
      <c r="AD192" s="3" t="n">
        <v>7536.0</v>
      </c>
      <c r="AE192" s="3" t="n">
        <v>7898.0</v>
      </c>
      <c r="AF192" s="3" t="n">
        <v>8264.0</v>
      </c>
      <c r="AG192" s="3" t="n">
        <v>8778.0</v>
      </c>
      <c r="AH192" s="3" t="n">
        <v>9311.0</v>
      </c>
      <c r="AI192" s="3" t="n">
        <v>9785.0</v>
      </c>
      <c r="AJ192" s="3" t="n">
        <v>10342.0</v>
      </c>
      <c r="AK192" s="3" t="n">
        <v>10979.0</v>
      </c>
      <c r="AL192" s="3" t="n">
        <v>11404.0</v>
      </c>
      <c r="AM192" s="3" t="n">
        <v>11581.0</v>
      </c>
      <c r="AN192" s="3" t="n">
        <v>11672.0</v>
      </c>
      <c r="AO192" s="3" t="n">
        <v>12141.0</v>
      </c>
    </row>
    <row r="193" spans="1:41" x14ac:dyDescent="0.2">
      <c r="A193" s="125"/>
      <c r="B193" s="9">
        <v>82</v>
      </c>
      <c r="C193" s="3" t="n">
        <v>4012.0</v>
      </c>
      <c r="D193" s="3" t="n">
        <v>3757.0</v>
      </c>
      <c r="E193" s="3" t="n">
        <v>3511.0</v>
      </c>
      <c r="F193" s="3" t="n">
        <v>3620.0</v>
      </c>
      <c r="G193" s="3" t="n">
        <v>3844.0</v>
      </c>
      <c r="H193" s="3" t="n">
        <v>3894.0</v>
      </c>
      <c r="I193" s="3" t="n">
        <v>5920.0</v>
      </c>
      <c r="J193" s="3" t="n">
        <v>7039.0</v>
      </c>
      <c r="K193" s="3" t="n">
        <v>7850.0</v>
      </c>
      <c r="L193" s="3" t="n">
        <v>8062.0</v>
      </c>
      <c r="M193" s="3" t="n">
        <v>8429.0</v>
      </c>
      <c r="N193" s="3" t="n">
        <v>8779.0</v>
      </c>
      <c r="O193" s="3" t="n">
        <v>9099.0</v>
      </c>
      <c r="P193" s="3" t="n">
        <v>9119.0</v>
      </c>
      <c r="Q193" s="3" t="n">
        <v>9058.0</v>
      </c>
      <c r="R193" s="3" t="n">
        <v>9588.0</v>
      </c>
      <c r="S193" s="3" t="n">
        <v>9421.0</v>
      </c>
      <c r="T193" s="3" t="n">
        <v>9469.0</v>
      </c>
      <c r="U193" s="3" t="n">
        <v>9407.0</v>
      </c>
      <c r="V193" s="3" t="n">
        <v>8872.0</v>
      </c>
      <c r="W193" s="3" t="n">
        <v>8257.0</v>
      </c>
      <c r="X193" s="3" t="n">
        <v>7951.0</v>
      </c>
      <c r="Y193" s="3" t="n">
        <v>7377.0</v>
      </c>
      <c r="Z193" s="3" t="n">
        <v>7317.0</v>
      </c>
      <c r="AA193" s="3" t="n">
        <v>7178.0</v>
      </c>
      <c r="AB193" s="3" t="n">
        <v>7086.0</v>
      </c>
      <c r="AC193" s="3" t="n">
        <v>7037.0</v>
      </c>
      <c r="AD193" s="3" t="n">
        <v>6934.0</v>
      </c>
      <c r="AE193" s="3" t="n">
        <v>7078.0</v>
      </c>
      <c r="AF193" s="3" t="n">
        <v>7418.0</v>
      </c>
      <c r="AG193" s="3" t="n">
        <v>7767.0</v>
      </c>
      <c r="AH193" s="3" t="n">
        <v>8255.0</v>
      </c>
      <c r="AI193" s="3" t="n">
        <v>8763.0</v>
      </c>
      <c r="AJ193" s="3" t="n">
        <v>9211.0</v>
      </c>
      <c r="AK193" s="3" t="n">
        <v>9737.0</v>
      </c>
      <c r="AL193" s="3" t="n">
        <v>10345.0</v>
      </c>
      <c r="AM193" s="3" t="n">
        <v>10746.0</v>
      </c>
      <c r="AN193" s="3" t="n">
        <v>10923.0</v>
      </c>
      <c r="AO193" s="3" t="n">
        <v>11015.0</v>
      </c>
    </row>
    <row r="194" spans="1:41" x14ac:dyDescent="0.2">
      <c r="A194" s="125"/>
      <c r="B194" s="9">
        <v>83</v>
      </c>
      <c r="C194" s="3" t="n">
        <v>3486.0</v>
      </c>
      <c r="D194" s="3" t="n">
        <v>3652.0</v>
      </c>
      <c r="E194" s="3" t="n">
        <v>3424.0</v>
      </c>
      <c r="F194" s="3" t="n">
        <v>3207.0</v>
      </c>
      <c r="G194" s="3" t="n">
        <v>3310.0</v>
      </c>
      <c r="H194" s="3" t="n">
        <v>3516.0</v>
      </c>
      <c r="I194" s="3" t="n">
        <v>3570.0</v>
      </c>
      <c r="J194" s="3" t="n">
        <v>5427.0</v>
      </c>
      <c r="K194" s="3" t="n">
        <v>6456.0</v>
      </c>
      <c r="L194" s="3" t="n">
        <v>7204.0</v>
      </c>
      <c r="M194" s="3" t="n">
        <v>7405.0</v>
      </c>
      <c r="N194" s="3" t="n">
        <v>7745.0</v>
      </c>
      <c r="O194" s="3" t="n">
        <v>8068.0</v>
      </c>
      <c r="P194" s="3" t="n">
        <v>8371.0</v>
      </c>
      <c r="Q194" s="3" t="n">
        <v>8393.0</v>
      </c>
      <c r="R194" s="3" t="n">
        <v>8349.0</v>
      </c>
      <c r="S194" s="3" t="n">
        <v>8846.0</v>
      </c>
      <c r="T194" s="3" t="n">
        <v>8700.0</v>
      </c>
      <c r="U194" s="3" t="n">
        <v>8747.0</v>
      </c>
      <c r="V194" s="3" t="n">
        <v>8695.0</v>
      </c>
      <c r="W194" s="3" t="n">
        <v>8208.0</v>
      </c>
      <c r="X194" s="3" t="n">
        <v>7651.0</v>
      </c>
      <c r="Y194" s="3" t="n">
        <v>7373.0</v>
      </c>
      <c r="Z194" s="3" t="n">
        <v>6848.0</v>
      </c>
      <c r="AA194" s="3" t="n">
        <v>6793.0</v>
      </c>
      <c r="AB194" s="3" t="n">
        <v>6669.0</v>
      </c>
      <c r="AC194" s="3" t="n">
        <v>6586.0</v>
      </c>
      <c r="AD194" s="3" t="n">
        <v>6552.0</v>
      </c>
      <c r="AE194" s="3" t="n">
        <v>6461.0</v>
      </c>
      <c r="AF194" s="3" t="n">
        <v>6596.0</v>
      </c>
      <c r="AG194" s="3" t="n">
        <v>6914.0</v>
      </c>
      <c r="AH194" s="3" t="n">
        <v>7242.0</v>
      </c>
      <c r="AI194" s="3" t="n">
        <v>7703.0</v>
      </c>
      <c r="AJ194" s="3" t="n">
        <v>8180.0</v>
      </c>
      <c r="AK194" s="3" t="n">
        <v>8602.0</v>
      </c>
      <c r="AL194" s="3" t="n">
        <v>9101.0</v>
      </c>
      <c r="AM194" s="3" t="n">
        <v>9670.0</v>
      </c>
      <c r="AN194" s="3" t="n">
        <v>10051.0</v>
      </c>
      <c r="AO194" s="3" t="n">
        <v>10231.0</v>
      </c>
    </row>
    <row r="195" spans="1:41" x14ac:dyDescent="0.2">
      <c r="A195" s="125"/>
      <c r="B195" s="9">
        <v>84</v>
      </c>
      <c r="C195" s="3" t="n">
        <v>3204.0</v>
      </c>
      <c r="D195" s="3" t="n">
        <v>3129.0</v>
      </c>
      <c r="E195" s="3" t="n">
        <v>3285.0</v>
      </c>
      <c r="F195" s="3" t="n">
        <v>3081.0</v>
      </c>
      <c r="G195" s="3" t="n">
        <v>2890.0</v>
      </c>
      <c r="H195" s="3" t="n">
        <v>2991.0</v>
      </c>
      <c r="I195" s="3" t="n">
        <v>3178.0</v>
      </c>
      <c r="J195" s="3" t="n">
        <v>3234.0</v>
      </c>
      <c r="K195" s="3" t="n">
        <v>4921.0</v>
      </c>
      <c r="L195" s="3" t="n">
        <v>5859.0</v>
      </c>
      <c r="M195" s="3" t="n">
        <v>6543.0</v>
      </c>
      <c r="N195" s="3" t="n">
        <v>6730.0</v>
      </c>
      <c r="O195" s="3" t="n">
        <v>7046.0</v>
      </c>
      <c r="P195" s="3" t="n">
        <v>7352.0</v>
      </c>
      <c r="Q195" s="3" t="n">
        <v>7630.0</v>
      </c>
      <c r="R195" s="3" t="n">
        <v>7662.0</v>
      </c>
      <c r="S195" s="3" t="n">
        <v>7632.0</v>
      </c>
      <c r="T195" s="3" t="n">
        <v>8091.0</v>
      </c>
      <c r="U195" s="3" t="n">
        <v>7964.0</v>
      </c>
      <c r="V195" s="3" t="n">
        <v>8013.0</v>
      </c>
      <c r="W195" s="3" t="n">
        <v>7962.0</v>
      </c>
      <c r="X195" s="3" t="n">
        <v>7538.0</v>
      </c>
      <c r="Y195" s="3" t="n">
        <v>7025.0</v>
      </c>
      <c r="Z195" s="3" t="n">
        <v>6779.0</v>
      </c>
      <c r="AA195" s="3" t="n">
        <v>6300.0</v>
      </c>
      <c r="AB195" s="3" t="n">
        <v>6253.0</v>
      </c>
      <c r="AC195" s="3" t="n">
        <v>6145.0</v>
      </c>
      <c r="AD195" s="3" t="n">
        <v>6073.0</v>
      </c>
      <c r="AE195" s="3" t="n">
        <v>6048.0</v>
      </c>
      <c r="AF195" s="3" t="n">
        <v>5966.0</v>
      </c>
      <c r="AG195" s="3" t="n">
        <v>6095.0</v>
      </c>
      <c r="AH195" s="3" t="n">
        <v>6392.0</v>
      </c>
      <c r="AI195" s="3" t="n">
        <v>6702.0</v>
      </c>
      <c r="AJ195" s="3" t="n">
        <v>7134.0</v>
      </c>
      <c r="AK195" s="3" t="n">
        <v>7574.0</v>
      </c>
      <c r="AL195" s="3" t="n">
        <v>7971.0</v>
      </c>
      <c r="AM195" s="3" t="n">
        <v>8444.0</v>
      </c>
      <c r="AN195" s="3" t="n">
        <v>8977.0</v>
      </c>
      <c r="AO195" s="3" t="n">
        <v>9340.0</v>
      </c>
    </row>
    <row r="196" spans="1:41" x14ac:dyDescent="0.2">
      <c r="A196" s="125"/>
      <c r="B196" s="9">
        <v>85</v>
      </c>
      <c r="C196" s="3" t="n">
        <v>2924.0</v>
      </c>
      <c r="D196" s="3" t="n">
        <v>2853.0</v>
      </c>
      <c r="E196" s="3" t="n">
        <v>2788.0</v>
      </c>
      <c r="F196" s="3" t="n">
        <v>2928.0</v>
      </c>
      <c r="G196" s="3" t="n">
        <v>2750.0</v>
      </c>
      <c r="H196" s="3" t="n">
        <v>2584.0</v>
      </c>
      <c r="I196" s="3" t="n">
        <v>2675.0</v>
      </c>
      <c r="J196" s="3" t="n">
        <v>2847.0</v>
      </c>
      <c r="K196" s="3" t="n">
        <v>2905.0</v>
      </c>
      <c r="L196" s="3" t="n">
        <v>4422.0</v>
      </c>
      <c r="M196" s="3" t="n">
        <v>5270.0</v>
      </c>
      <c r="N196" s="3" t="n">
        <v>5888.0</v>
      </c>
      <c r="O196" s="3" t="n">
        <v>6065.0</v>
      </c>
      <c r="P196" s="3" t="n">
        <v>6354.0</v>
      </c>
      <c r="Q196" s="3" t="n">
        <v>6633.0</v>
      </c>
      <c r="R196" s="3" t="n">
        <v>6896.0</v>
      </c>
      <c r="S196" s="3" t="n">
        <v>6930.0</v>
      </c>
      <c r="T196" s="3" t="n">
        <v>6908.0</v>
      </c>
      <c r="U196" s="3" t="n">
        <v>7336.0</v>
      </c>
      <c r="V196" s="3" t="n">
        <v>7226.0</v>
      </c>
      <c r="W196" s="3" t="n">
        <v>7278.0</v>
      </c>
      <c r="X196" s="3" t="n">
        <v>7237.0</v>
      </c>
      <c r="Y196" s="3" t="n">
        <v>6860.0</v>
      </c>
      <c r="Z196" s="3" t="n">
        <v>6401.0</v>
      </c>
      <c r="AA196" s="3" t="n">
        <v>6178.0</v>
      </c>
      <c r="AB196" s="3" t="n">
        <v>5748.0</v>
      </c>
      <c r="AC196" s="3" t="n">
        <v>5710.0</v>
      </c>
      <c r="AD196" s="3" t="n">
        <v>5623.0</v>
      </c>
      <c r="AE196" s="3" t="n">
        <v>5554.0</v>
      </c>
      <c r="AF196" s="3" t="n">
        <v>5536.0</v>
      </c>
      <c r="AG196" s="3" t="n">
        <v>5468.0</v>
      </c>
      <c r="AH196" s="3" t="n">
        <v>5591.0</v>
      </c>
      <c r="AI196" s="3" t="n">
        <v>5871.0</v>
      </c>
      <c r="AJ196" s="3" t="n">
        <v>6157.0</v>
      </c>
      <c r="AK196" s="3" t="n">
        <v>6553.0</v>
      </c>
      <c r="AL196" s="3" t="n">
        <v>6963.0</v>
      </c>
      <c r="AM196" s="3" t="n">
        <v>7336.0</v>
      </c>
      <c r="AN196" s="3" t="n">
        <v>7772.0</v>
      </c>
      <c r="AO196" s="3" t="n">
        <v>8281.0</v>
      </c>
    </row>
    <row r="197" spans="1:41" x14ac:dyDescent="0.2">
      <c r="A197" s="125"/>
      <c r="B197" s="9">
        <v>86</v>
      </c>
      <c r="C197" s="3" t="n">
        <v>2624.0</v>
      </c>
      <c r="D197" s="3" t="n">
        <v>2577.0</v>
      </c>
      <c r="E197" s="3" t="n">
        <v>2521.0</v>
      </c>
      <c r="F197" s="3" t="n">
        <v>2468.0</v>
      </c>
      <c r="G197" s="3" t="n">
        <v>2596.0</v>
      </c>
      <c r="H197" s="3" t="n">
        <v>2443.0</v>
      </c>
      <c r="I197" s="3" t="n">
        <v>2304.0</v>
      </c>
      <c r="J197" s="3" t="n">
        <v>2381.0</v>
      </c>
      <c r="K197" s="3" t="n">
        <v>2543.0</v>
      </c>
      <c r="L197" s="3" t="n">
        <v>2593.0</v>
      </c>
      <c r="M197" s="3" t="n">
        <v>3951.0</v>
      </c>
      <c r="N197" s="3" t="n">
        <v>4709.0</v>
      </c>
      <c r="O197" s="3" t="n">
        <v>5267.0</v>
      </c>
      <c r="P197" s="3" t="n">
        <v>5430.0</v>
      </c>
      <c r="Q197" s="3" t="n">
        <v>5694.0</v>
      </c>
      <c r="R197" s="3" t="n">
        <v>5960.0</v>
      </c>
      <c r="S197" s="3" t="n">
        <v>6197.0</v>
      </c>
      <c r="T197" s="3" t="n">
        <v>6233.0</v>
      </c>
      <c r="U197" s="3" t="n">
        <v>6219.0</v>
      </c>
      <c r="V197" s="3" t="n">
        <v>6610.0</v>
      </c>
      <c r="W197" s="3" t="n">
        <v>6515.0</v>
      </c>
      <c r="X197" s="3" t="n">
        <v>6581.0</v>
      </c>
      <c r="Y197" s="3" t="n">
        <v>6545.0</v>
      </c>
      <c r="Z197" s="3" t="n">
        <v>6205.0</v>
      </c>
      <c r="AA197" s="3" t="n">
        <v>5797.0</v>
      </c>
      <c r="AB197" s="3" t="n">
        <v>5598.0</v>
      </c>
      <c r="AC197" s="3" t="n">
        <v>5216.0</v>
      </c>
      <c r="AD197" s="3" t="n">
        <v>5190.0</v>
      </c>
      <c r="AE197" s="3" t="n">
        <v>5117.0</v>
      </c>
      <c r="AF197" s="3" t="n">
        <v>5054.0</v>
      </c>
      <c r="AG197" s="3" t="n">
        <v>5045.0</v>
      </c>
      <c r="AH197" s="3" t="n">
        <v>4988.0</v>
      </c>
      <c r="AI197" s="3" t="n">
        <v>5104.0</v>
      </c>
      <c r="AJ197" s="3" t="n">
        <v>5364.0</v>
      </c>
      <c r="AK197" s="3" t="n">
        <v>5627.0</v>
      </c>
      <c r="AL197" s="3" t="n">
        <v>5993.0</v>
      </c>
      <c r="AM197" s="3" t="n">
        <v>6373.0</v>
      </c>
      <c r="AN197" s="3" t="n">
        <v>6717.0</v>
      </c>
      <c r="AO197" s="3" t="n">
        <v>7125.0</v>
      </c>
    </row>
    <row r="198" spans="1:41" x14ac:dyDescent="0.2">
      <c r="A198" s="125"/>
      <c r="B198" s="9">
        <v>87</v>
      </c>
      <c r="C198" s="3" t="n">
        <v>2305.0</v>
      </c>
      <c r="D198" s="3" t="n">
        <v>2291.0</v>
      </c>
      <c r="E198" s="3" t="n">
        <v>2253.0</v>
      </c>
      <c r="F198" s="3" t="n">
        <v>2211.0</v>
      </c>
      <c r="G198" s="3" t="n">
        <v>2164.0</v>
      </c>
      <c r="H198" s="3" t="n">
        <v>2282.0</v>
      </c>
      <c r="I198" s="3" t="n">
        <v>2153.0</v>
      </c>
      <c r="J198" s="3" t="n">
        <v>2031.0</v>
      </c>
      <c r="K198" s="3" t="n">
        <v>2106.0</v>
      </c>
      <c r="L198" s="3" t="n">
        <v>2247.0</v>
      </c>
      <c r="M198" s="3" t="n">
        <v>2291.0</v>
      </c>
      <c r="N198" s="3" t="n">
        <v>3499.0</v>
      </c>
      <c r="O198" s="3" t="n">
        <v>4175.0</v>
      </c>
      <c r="P198" s="3" t="n">
        <v>4671.0</v>
      </c>
      <c r="Q198" s="3" t="n">
        <v>4820.0</v>
      </c>
      <c r="R198" s="3" t="n">
        <v>5065.0</v>
      </c>
      <c r="S198" s="3" t="n">
        <v>5310.0</v>
      </c>
      <c r="T198" s="3" t="n">
        <v>5521.0</v>
      </c>
      <c r="U198" s="3" t="n">
        <v>5560.0</v>
      </c>
      <c r="V198" s="3" t="n">
        <v>5553.0</v>
      </c>
      <c r="W198" s="3" t="n">
        <v>5905.0</v>
      </c>
      <c r="X198" s="3" t="n">
        <v>5829.0</v>
      </c>
      <c r="Y198" s="3" t="n">
        <v>5896.0</v>
      </c>
      <c r="Z198" s="3" t="n">
        <v>5865.0</v>
      </c>
      <c r="AA198" s="3" t="n">
        <v>5567.0</v>
      </c>
      <c r="AB198" s="3" t="n">
        <v>5209.0</v>
      </c>
      <c r="AC198" s="3" t="n">
        <v>5036.0</v>
      </c>
      <c r="AD198" s="3" t="n">
        <v>4702.0</v>
      </c>
      <c r="AE198" s="3" t="n">
        <v>4682.0</v>
      </c>
      <c r="AF198" s="3" t="n">
        <v>4624.0</v>
      </c>
      <c r="AG198" s="3" t="n">
        <v>4569.0</v>
      </c>
      <c r="AH198" s="3" t="n">
        <v>4563.0</v>
      </c>
      <c r="AI198" s="3" t="n">
        <v>4517.0</v>
      </c>
      <c r="AJ198" s="3" t="n">
        <v>4624.0</v>
      </c>
      <c r="AK198" s="3" t="n">
        <v>4861.0</v>
      </c>
      <c r="AL198" s="3" t="n">
        <v>5104.0</v>
      </c>
      <c r="AM198" s="3" t="n">
        <v>5441.0</v>
      </c>
      <c r="AN198" s="3" t="n">
        <v>5787.0</v>
      </c>
      <c r="AO198" s="3" t="n">
        <v>6108.0</v>
      </c>
    </row>
    <row r="199" spans="1:41" x14ac:dyDescent="0.2">
      <c r="A199" s="125"/>
      <c r="B199" s="9">
        <v>88</v>
      </c>
      <c r="C199" s="3" t="n">
        <v>1872.0</v>
      </c>
      <c r="D199" s="3" t="n">
        <v>1982.0</v>
      </c>
      <c r="E199" s="3" t="n">
        <v>1976.0</v>
      </c>
      <c r="F199" s="3" t="n">
        <v>1947.0</v>
      </c>
      <c r="G199" s="3" t="n">
        <v>1916.0</v>
      </c>
      <c r="H199" s="3" t="n">
        <v>1880.0</v>
      </c>
      <c r="I199" s="3" t="n">
        <v>1987.0</v>
      </c>
      <c r="J199" s="3" t="n">
        <v>1872.0</v>
      </c>
      <c r="K199" s="3" t="n">
        <v>1775.0</v>
      </c>
      <c r="L199" s="3" t="n">
        <v>1836.0</v>
      </c>
      <c r="M199" s="3" t="n">
        <v>1966.0</v>
      </c>
      <c r="N199" s="3" t="n">
        <v>2009.0</v>
      </c>
      <c r="O199" s="3" t="n">
        <v>3062.0</v>
      </c>
      <c r="P199" s="3" t="n">
        <v>3654.0</v>
      </c>
      <c r="Q199" s="3" t="n">
        <v>4092.0</v>
      </c>
      <c r="R199" s="3" t="n">
        <v>4237.0</v>
      </c>
      <c r="S199" s="3" t="n">
        <v>4462.0</v>
      </c>
      <c r="T199" s="3" t="n">
        <v>4679.0</v>
      </c>
      <c r="U199" s="3" t="n">
        <v>4866.0</v>
      </c>
      <c r="V199" s="3" t="n">
        <v>4908.0</v>
      </c>
      <c r="W199" s="3" t="n">
        <v>4910.0</v>
      </c>
      <c r="X199" s="3" t="n">
        <v>5229.0</v>
      </c>
      <c r="Y199" s="3" t="n">
        <v>5168.0</v>
      </c>
      <c r="Z199" s="3" t="n">
        <v>5228.0</v>
      </c>
      <c r="AA199" s="3" t="n">
        <v>5214.0</v>
      </c>
      <c r="AB199" s="3" t="n">
        <v>4953.0</v>
      </c>
      <c r="AC199" s="3" t="n">
        <v>4638.0</v>
      </c>
      <c r="AD199" s="3" t="n">
        <v>4489.0</v>
      </c>
      <c r="AE199" s="3" t="n">
        <v>4194.0</v>
      </c>
      <c r="AF199" s="3" t="n">
        <v>4179.0</v>
      </c>
      <c r="AG199" s="3" t="n">
        <v>4133.0</v>
      </c>
      <c r="AH199" s="3" t="n">
        <v>4086.0</v>
      </c>
      <c r="AI199" s="3" t="n">
        <v>4085.0</v>
      </c>
      <c r="AJ199" s="3" t="n">
        <v>4051.0</v>
      </c>
      <c r="AK199" s="3" t="n">
        <v>4149.0</v>
      </c>
      <c r="AL199" s="3" t="n">
        <v>4369.0</v>
      </c>
      <c r="AM199" s="3" t="n">
        <v>4591.0</v>
      </c>
      <c r="AN199" s="3" t="n">
        <v>4897.0</v>
      </c>
      <c r="AO199" s="3" t="n">
        <v>5216.0</v>
      </c>
    </row>
    <row r="200" spans="1:41" x14ac:dyDescent="0.2">
      <c r="A200" s="125"/>
      <c r="B200" s="9">
        <v>89</v>
      </c>
      <c r="C200" s="3" t="n">
        <v>1556.0</v>
      </c>
      <c r="D200" s="3" t="n">
        <v>1586.0</v>
      </c>
      <c r="E200" s="3" t="n">
        <v>1686.0</v>
      </c>
      <c r="F200" s="3" t="n">
        <v>1682.0</v>
      </c>
      <c r="G200" s="3" t="n">
        <v>1659.0</v>
      </c>
      <c r="H200" s="3" t="n">
        <v>1640.0</v>
      </c>
      <c r="I200" s="3" t="n">
        <v>1612.0</v>
      </c>
      <c r="J200" s="3" t="n">
        <v>1705.0</v>
      </c>
      <c r="K200" s="3" t="n">
        <v>1613.0</v>
      </c>
      <c r="L200" s="3" t="n">
        <v>1528.0</v>
      </c>
      <c r="M200" s="3" t="n">
        <v>1585.0</v>
      </c>
      <c r="N200" s="3" t="n">
        <v>1700.0</v>
      </c>
      <c r="O200" s="3" t="n">
        <v>1738.0</v>
      </c>
      <c r="P200" s="3" t="n">
        <v>2655.0</v>
      </c>
      <c r="Q200" s="3" t="n">
        <v>3171.0</v>
      </c>
      <c r="R200" s="3" t="n">
        <v>3558.0</v>
      </c>
      <c r="S200" s="3" t="n">
        <v>3685.0</v>
      </c>
      <c r="T200" s="3" t="n">
        <v>3886.0</v>
      </c>
      <c r="U200" s="3" t="n">
        <v>4081.0</v>
      </c>
      <c r="V200" s="3" t="n">
        <v>4252.0</v>
      </c>
      <c r="W200" s="3" t="n">
        <v>4295.0</v>
      </c>
      <c r="X200" s="3" t="n">
        <v>4303.0</v>
      </c>
      <c r="Y200" s="3" t="n">
        <v>4592.0</v>
      </c>
      <c r="Z200" s="3" t="n">
        <v>4539.0</v>
      </c>
      <c r="AA200" s="3" t="n">
        <v>4600.0</v>
      </c>
      <c r="AB200" s="3" t="n">
        <v>4592.0</v>
      </c>
      <c r="AC200" s="3" t="n">
        <v>4367.0</v>
      </c>
      <c r="AD200" s="3" t="n">
        <v>4092.0</v>
      </c>
      <c r="AE200" s="3" t="n">
        <v>3968.0</v>
      </c>
      <c r="AF200" s="3" t="n">
        <v>3712.0</v>
      </c>
      <c r="AG200" s="3" t="n">
        <v>3699.0</v>
      </c>
      <c r="AH200" s="3" t="n">
        <v>3662.0</v>
      </c>
      <c r="AI200" s="3" t="n">
        <v>3622.0</v>
      </c>
      <c r="AJ200" s="3" t="n">
        <v>3629.0</v>
      </c>
      <c r="AK200" s="3" t="n">
        <v>3601.0</v>
      </c>
      <c r="AL200" s="3" t="n">
        <v>3688.0</v>
      </c>
      <c r="AM200" s="3" t="n">
        <v>3889.0</v>
      </c>
      <c r="AN200" s="3" t="n">
        <v>4093.0</v>
      </c>
      <c r="AO200" s="3" t="n">
        <v>4376.0</v>
      </c>
    </row>
    <row r="201" spans="1:41" x14ac:dyDescent="0.2">
      <c r="A201" s="125"/>
      <c r="B201" s="9">
        <v>90</v>
      </c>
      <c r="C201" s="3" t="n">
        <v>1349.0</v>
      </c>
      <c r="D201" s="3" t="n">
        <v>1313.0</v>
      </c>
      <c r="E201" s="3" t="n">
        <v>1339.0</v>
      </c>
      <c r="F201" s="3" t="n">
        <v>1425.0</v>
      </c>
      <c r="G201" s="3" t="n">
        <v>1427.0</v>
      </c>
      <c r="H201" s="3" t="n">
        <v>1409.0</v>
      </c>
      <c r="I201" s="3" t="n">
        <v>1395.0</v>
      </c>
      <c r="J201" s="3" t="n">
        <v>1375.0</v>
      </c>
      <c r="K201" s="3" t="n">
        <v>1455.0</v>
      </c>
      <c r="L201" s="3" t="n">
        <v>1379.0</v>
      </c>
      <c r="M201" s="3" t="n">
        <v>1312.0</v>
      </c>
      <c r="N201" s="3" t="n">
        <v>1363.0</v>
      </c>
      <c r="O201" s="3" t="n">
        <v>1460.0</v>
      </c>
      <c r="P201" s="3" t="n">
        <v>1493.0</v>
      </c>
      <c r="Q201" s="3" t="n">
        <v>2286.0</v>
      </c>
      <c r="R201" s="3" t="n">
        <v>2733.0</v>
      </c>
      <c r="S201" s="3" t="n">
        <v>3068.0</v>
      </c>
      <c r="T201" s="3" t="n">
        <v>3181.0</v>
      </c>
      <c r="U201" s="3" t="n">
        <v>3357.0</v>
      </c>
      <c r="V201" s="3" t="n">
        <v>3534.0</v>
      </c>
      <c r="W201" s="3" t="n">
        <v>3684.0</v>
      </c>
      <c r="X201" s="3" t="n">
        <v>3729.0</v>
      </c>
      <c r="Y201" s="3" t="n">
        <v>3741.0</v>
      </c>
      <c r="Z201" s="3" t="n">
        <v>3994.0</v>
      </c>
      <c r="AA201" s="3" t="n">
        <v>3956.0</v>
      </c>
      <c r="AB201" s="3" t="n">
        <v>4011.0</v>
      </c>
      <c r="AC201" s="3" t="n">
        <v>4009.0</v>
      </c>
      <c r="AD201" s="3" t="n">
        <v>3823.0</v>
      </c>
      <c r="AE201" s="3" t="n">
        <v>3586.0</v>
      </c>
      <c r="AF201" s="3" t="n">
        <v>3481.0</v>
      </c>
      <c r="AG201" s="3" t="n">
        <v>3265.0</v>
      </c>
      <c r="AH201" s="3" t="n">
        <v>3255.0</v>
      </c>
      <c r="AI201" s="3" t="n">
        <v>3224.0</v>
      </c>
      <c r="AJ201" s="3" t="n">
        <v>3193.0</v>
      </c>
      <c r="AK201" s="3" t="n">
        <v>3200.0</v>
      </c>
      <c r="AL201" s="3" t="n">
        <v>3183.0</v>
      </c>
      <c r="AM201" s="3" t="n">
        <v>3262.0</v>
      </c>
      <c r="AN201" s="3" t="n">
        <v>3441.0</v>
      </c>
      <c r="AO201" s="3" t="n">
        <v>3627.0</v>
      </c>
    </row>
    <row r="202" spans="1:41" x14ac:dyDescent="0.2">
      <c r="A202" s="125"/>
      <c r="B202" s="9">
        <v>91</v>
      </c>
      <c r="C202" s="3" t="n">
        <v>1036.0</v>
      </c>
      <c r="D202" s="3" t="n">
        <v>1117.0</v>
      </c>
      <c r="E202" s="3" t="n">
        <v>1091.0</v>
      </c>
      <c r="F202" s="3" t="n">
        <v>1117.0</v>
      </c>
      <c r="G202" s="3" t="n">
        <v>1186.0</v>
      </c>
      <c r="H202" s="3" t="n">
        <v>1192.0</v>
      </c>
      <c r="I202" s="3" t="n">
        <v>1177.0</v>
      </c>
      <c r="J202" s="3" t="n">
        <v>1171.0</v>
      </c>
      <c r="K202" s="3" t="n">
        <v>1156.0</v>
      </c>
      <c r="L202" s="3" t="n">
        <v>1226.0</v>
      </c>
      <c r="M202" s="3" t="n">
        <v>1164.0</v>
      </c>
      <c r="N202" s="3" t="n">
        <v>1112.0</v>
      </c>
      <c r="O202" s="3" t="n">
        <v>1154.0</v>
      </c>
      <c r="P202" s="3" t="n">
        <v>1241.0</v>
      </c>
      <c r="Q202" s="3" t="n">
        <v>1264.0</v>
      </c>
      <c r="R202" s="3" t="n">
        <v>1947.0</v>
      </c>
      <c r="S202" s="3" t="n">
        <v>2331.0</v>
      </c>
      <c r="T202" s="3" t="n">
        <v>2619.0</v>
      </c>
      <c r="U202" s="3" t="n">
        <v>2715.0</v>
      </c>
      <c r="V202" s="3" t="n">
        <v>2869.0</v>
      </c>
      <c r="W202" s="3" t="n">
        <v>3026.0</v>
      </c>
      <c r="X202" s="3" t="n">
        <v>3159.0</v>
      </c>
      <c r="Y202" s="3" t="n">
        <v>3205.0</v>
      </c>
      <c r="Z202" s="3" t="n">
        <v>3222.0</v>
      </c>
      <c r="AA202" s="3" t="n">
        <v>3441.0</v>
      </c>
      <c r="AB202" s="3" t="n">
        <v>3408.0</v>
      </c>
      <c r="AC202" s="3" t="n">
        <v>3462.0</v>
      </c>
      <c r="AD202" s="3" t="n">
        <v>3466.0</v>
      </c>
      <c r="AE202" s="3" t="n">
        <v>3310.0</v>
      </c>
      <c r="AF202" s="3" t="n">
        <v>3113.0</v>
      </c>
      <c r="AG202" s="3" t="n">
        <v>3024.0</v>
      </c>
      <c r="AH202" s="3" t="n">
        <v>2842.0</v>
      </c>
      <c r="AI202" s="3" t="n">
        <v>2834.0</v>
      </c>
      <c r="AJ202" s="3" t="n">
        <v>2812.0</v>
      </c>
      <c r="AK202" s="3" t="n">
        <v>2783.0</v>
      </c>
      <c r="AL202" s="3" t="n">
        <v>2794.0</v>
      </c>
      <c r="AM202" s="3" t="n">
        <v>2784.0</v>
      </c>
      <c r="AN202" s="3" t="n">
        <v>2860.0</v>
      </c>
      <c r="AO202" s="3" t="n">
        <v>3019.0</v>
      </c>
    </row>
    <row r="203" spans="1:41" x14ac:dyDescent="0.2">
      <c r="A203" s="125"/>
      <c r="B203" s="9">
        <v>92</v>
      </c>
      <c r="C203" s="3" t="n">
        <v>808.0</v>
      </c>
      <c r="D203" s="3" t="n">
        <v>843.0</v>
      </c>
      <c r="E203" s="3" t="n">
        <v>907.0</v>
      </c>
      <c r="F203" s="3" t="n">
        <v>890.0</v>
      </c>
      <c r="G203" s="3" t="n">
        <v>918.0</v>
      </c>
      <c r="H203" s="3" t="n">
        <v>973.0</v>
      </c>
      <c r="I203" s="3" t="n">
        <v>982.0</v>
      </c>
      <c r="J203" s="3" t="n">
        <v>966.0</v>
      </c>
      <c r="K203" s="3" t="n">
        <v>964.0</v>
      </c>
      <c r="L203" s="3" t="n">
        <v>953.0</v>
      </c>
      <c r="M203" s="3" t="n">
        <v>1016.0</v>
      </c>
      <c r="N203" s="3" t="n">
        <v>971.0</v>
      </c>
      <c r="O203" s="3" t="n">
        <v>925.0</v>
      </c>
      <c r="P203" s="3" t="n">
        <v>965.0</v>
      </c>
      <c r="Q203" s="3" t="n">
        <v>1036.0</v>
      </c>
      <c r="R203" s="3" t="n">
        <v>1060.0</v>
      </c>
      <c r="S203" s="3" t="n">
        <v>1630.0</v>
      </c>
      <c r="T203" s="3" t="n">
        <v>1961.0</v>
      </c>
      <c r="U203" s="3" t="n">
        <v>2200.0</v>
      </c>
      <c r="V203" s="3" t="n">
        <v>2282.0</v>
      </c>
      <c r="W203" s="3" t="n">
        <v>2417.0</v>
      </c>
      <c r="X203" s="3" t="n">
        <v>2555.0</v>
      </c>
      <c r="Y203" s="3" t="n">
        <v>2668.0</v>
      </c>
      <c r="Z203" s="3" t="n">
        <v>2712.0</v>
      </c>
      <c r="AA203" s="3" t="n">
        <v>2733.0</v>
      </c>
      <c r="AB203" s="3" t="n">
        <v>2923.0</v>
      </c>
      <c r="AC203" s="3" t="n">
        <v>2893.0</v>
      </c>
      <c r="AD203" s="3" t="n">
        <v>2945.0</v>
      </c>
      <c r="AE203" s="3" t="n">
        <v>2953.0</v>
      </c>
      <c r="AF203" s="3" t="n">
        <v>2824.0</v>
      </c>
      <c r="AG203" s="3" t="n">
        <v>2659.0</v>
      </c>
      <c r="AH203" s="3" t="n">
        <v>2586.0</v>
      </c>
      <c r="AI203" s="3" t="n">
        <v>2432.0</v>
      </c>
      <c r="AJ203" s="3" t="n">
        <v>2428.0</v>
      </c>
      <c r="AK203" s="3" t="n">
        <v>2415.0</v>
      </c>
      <c r="AL203" s="3" t="n">
        <v>2392.0</v>
      </c>
      <c r="AM203" s="3" t="n">
        <v>2407.0</v>
      </c>
      <c r="AN203" s="3" t="n">
        <v>2401.0</v>
      </c>
      <c r="AO203" s="3" t="n">
        <v>2471.0</v>
      </c>
    </row>
    <row r="204" spans="1:41" x14ac:dyDescent="0.2">
      <c r="A204" s="125"/>
      <c r="B204" s="9">
        <v>93</v>
      </c>
      <c r="C204" s="3" t="n">
        <v>534.0</v>
      </c>
      <c r="D204" s="3" t="n">
        <v>637.0</v>
      </c>
      <c r="E204" s="3" t="n">
        <v>667.0</v>
      </c>
      <c r="F204" s="3" t="n">
        <v>722.0</v>
      </c>
      <c r="G204" s="3" t="n">
        <v>715.0</v>
      </c>
      <c r="H204" s="3" t="n">
        <v>734.0</v>
      </c>
      <c r="I204" s="3" t="n">
        <v>782.0</v>
      </c>
      <c r="J204" s="3" t="n">
        <v>791.0</v>
      </c>
      <c r="K204" s="3" t="n">
        <v>779.0</v>
      </c>
      <c r="L204" s="3" t="n">
        <v>780.0</v>
      </c>
      <c r="M204" s="3" t="n">
        <v>772.0</v>
      </c>
      <c r="N204" s="3" t="n">
        <v>827.0</v>
      </c>
      <c r="O204" s="3" t="n">
        <v>795.0</v>
      </c>
      <c r="P204" s="3" t="n">
        <v>765.0</v>
      </c>
      <c r="Q204" s="3" t="n">
        <v>793.0</v>
      </c>
      <c r="R204" s="3" t="n">
        <v>850.0</v>
      </c>
      <c r="S204" s="3" t="n">
        <v>873.0</v>
      </c>
      <c r="T204" s="3" t="n">
        <v>1345.0</v>
      </c>
      <c r="U204" s="3" t="n">
        <v>1619.0</v>
      </c>
      <c r="V204" s="3" t="n">
        <v>1818.0</v>
      </c>
      <c r="W204" s="3" t="n">
        <v>1890.0</v>
      </c>
      <c r="X204" s="3" t="n">
        <v>2006.0</v>
      </c>
      <c r="Y204" s="3" t="n">
        <v>2122.0</v>
      </c>
      <c r="Z204" s="3" t="n">
        <v>2222.0</v>
      </c>
      <c r="AA204" s="3" t="n">
        <v>2262.0</v>
      </c>
      <c r="AB204" s="3" t="n">
        <v>2280.0</v>
      </c>
      <c r="AC204" s="3" t="n">
        <v>2451.0</v>
      </c>
      <c r="AD204" s="3" t="n">
        <v>2427.0</v>
      </c>
      <c r="AE204" s="3" t="n">
        <v>2473.0</v>
      </c>
      <c r="AF204" s="3" t="n">
        <v>2482.0</v>
      </c>
      <c r="AG204" s="3" t="n">
        <v>2374.0</v>
      </c>
      <c r="AH204" s="3" t="n">
        <v>2244.0</v>
      </c>
      <c r="AI204" s="3" t="n">
        <v>2184.0</v>
      </c>
      <c r="AJ204" s="3" t="n">
        <v>2056.0</v>
      </c>
      <c r="AK204" s="3" t="n">
        <v>2053.0</v>
      </c>
      <c r="AL204" s="3" t="n">
        <v>2045.0</v>
      </c>
      <c r="AM204" s="3" t="n">
        <v>2030.0</v>
      </c>
      <c r="AN204" s="3" t="n">
        <v>2043.0</v>
      </c>
      <c r="AO204" s="3" t="n">
        <v>2050.0</v>
      </c>
    </row>
    <row r="205" spans="1:41" x14ac:dyDescent="0.2">
      <c r="A205" s="125"/>
      <c r="B205" s="9">
        <v>94</v>
      </c>
      <c r="C205" s="3" t="n">
        <v>422.0</v>
      </c>
      <c r="D205" s="3" t="n">
        <v>415.0</v>
      </c>
      <c r="E205" s="3" t="n">
        <v>498.0</v>
      </c>
      <c r="F205" s="3" t="n">
        <v>525.0</v>
      </c>
      <c r="G205" s="3" t="n">
        <v>573.0</v>
      </c>
      <c r="H205" s="3" t="n">
        <v>570.0</v>
      </c>
      <c r="I205" s="3" t="n">
        <v>581.0</v>
      </c>
      <c r="J205" s="3" t="n">
        <v>621.0</v>
      </c>
      <c r="K205" s="3" t="n">
        <v>631.0</v>
      </c>
      <c r="L205" s="3" t="n">
        <v>624.0</v>
      </c>
      <c r="M205" s="3" t="n">
        <v>627.0</v>
      </c>
      <c r="N205" s="3" t="n">
        <v>617.0</v>
      </c>
      <c r="O205" s="3" t="n">
        <v>666.0</v>
      </c>
      <c r="P205" s="3" t="n">
        <v>643.0</v>
      </c>
      <c r="Q205" s="3" t="n">
        <v>622.0</v>
      </c>
      <c r="R205" s="3" t="n">
        <v>643.0</v>
      </c>
      <c r="S205" s="3" t="n">
        <v>695.0</v>
      </c>
      <c r="T205" s="3" t="n">
        <v>712.0</v>
      </c>
      <c r="U205" s="3" t="n">
        <v>1094.0</v>
      </c>
      <c r="V205" s="3" t="n">
        <v>1319.0</v>
      </c>
      <c r="W205" s="3" t="n">
        <v>1485.0</v>
      </c>
      <c r="X205" s="3" t="n">
        <v>1548.0</v>
      </c>
      <c r="Y205" s="3" t="n">
        <v>1643.0</v>
      </c>
      <c r="Z205" s="3" t="n">
        <v>1742.0</v>
      </c>
      <c r="AA205" s="3" t="n">
        <v>1824.0</v>
      </c>
      <c r="AB205" s="3" t="n">
        <v>1859.0</v>
      </c>
      <c r="AC205" s="3" t="n">
        <v>1877.0</v>
      </c>
      <c r="AD205" s="3" t="n">
        <v>2026.0</v>
      </c>
      <c r="AE205" s="3" t="n">
        <v>2006.0</v>
      </c>
      <c r="AF205" s="3" t="n">
        <v>2048.0</v>
      </c>
      <c r="AG205" s="3" t="n">
        <v>2060.0</v>
      </c>
      <c r="AH205" s="3" t="n">
        <v>1973.0</v>
      </c>
      <c r="AI205" s="3" t="n">
        <v>1874.0</v>
      </c>
      <c r="AJ205" s="3" t="n">
        <v>1820.0</v>
      </c>
      <c r="AK205" s="3" t="n">
        <v>1716.0</v>
      </c>
      <c r="AL205" s="3" t="n">
        <v>1715.0</v>
      </c>
      <c r="AM205" s="3" t="n">
        <v>1707.0</v>
      </c>
      <c r="AN205" s="3" t="n">
        <v>1704.0</v>
      </c>
      <c r="AO205" s="3" t="n">
        <v>1719.0</v>
      </c>
    </row>
    <row r="206" spans="1:41" x14ac:dyDescent="0.2">
      <c r="A206" s="125"/>
      <c r="B206" s="9">
        <v>95</v>
      </c>
      <c r="C206" s="3" t="n">
        <v>311.0</v>
      </c>
      <c r="D206" s="3" t="n">
        <v>320.0</v>
      </c>
      <c r="E206" s="3" t="n">
        <v>314.0</v>
      </c>
      <c r="F206" s="3" t="n">
        <v>383.0</v>
      </c>
      <c r="G206" s="3" t="n">
        <v>402.0</v>
      </c>
      <c r="H206" s="3" t="n">
        <v>446.0</v>
      </c>
      <c r="I206" s="3" t="n">
        <v>444.0</v>
      </c>
      <c r="J206" s="3" t="n">
        <v>447.0</v>
      </c>
      <c r="K206" s="3" t="n">
        <v>482.0</v>
      </c>
      <c r="L206" s="3" t="n">
        <v>490.0</v>
      </c>
      <c r="M206" s="3" t="n">
        <v>488.0</v>
      </c>
      <c r="N206" s="3" t="n">
        <v>487.0</v>
      </c>
      <c r="O206" s="3" t="n">
        <v>489.0</v>
      </c>
      <c r="P206" s="3" t="n">
        <v>527.0</v>
      </c>
      <c r="Q206" s="3" t="n">
        <v>508.0</v>
      </c>
      <c r="R206" s="3" t="n">
        <v>497.0</v>
      </c>
      <c r="S206" s="3" t="n">
        <v>509.0</v>
      </c>
      <c r="T206" s="3" t="n">
        <v>550.0</v>
      </c>
      <c r="U206" s="3" t="n">
        <v>563.0</v>
      </c>
      <c r="V206" s="3" t="n">
        <v>870.0</v>
      </c>
      <c r="W206" s="3" t="n">
        <v>1051.0</v>
      </c>
      <c r="X206" s="3" t="n">
        <v>1190.0</v>
      </c>
      <c r="Y206" s="3" t="n">
        <v>1243.0</v>
      </c>
      <c r="Z206" s="3" t="n">
        <v>1324.0</v>
      </c>
      <c r="AA206" s="3" t="n">
        <v>1403.0</v>
      </c>
      <c r="AB206" s="3" t="n">
        <v>1477.0</v>
      </c>
      <c r="AC206" s="3" t="n">
        <v>1506.0</v>
      </c>
      <c r="AD206" s="3" t="n">
        <v>1529.0</v>
      </c>
      <c r="AE206" s="3" t="n">
        <v>1650.0</v>
      </c>
      <c r="AF206" s="3" t="n">
        <v>1635.0</v>
      </c>
      <c r="AG206" s="3" t="n">
        <v>1670.0</v>
      </c>
      <c r="AH206" s="3" t="n">
        <v>1684.0</v>
      </c>
      <c r="AI206" s="3" t="n">
        <v>1615.0</v>
      </c>
      <c r="AJ206" s="3" t="n">
        <v>1536.0</v>
      </c>
      <c r="AK206" s="3" t="n">
        <v>1493.0</v>
      </c>
      <c r="AL206" s="3" t="n">
        <v>1414.0</v>
      </c>
      <c r="AM206" s="3" t="n">
        <v>1418.0</v>
      </c>
      <c r="AN206" s="3" t="n">
        <v>1410.0</v>
      </c>
      <c r="AO206" s="3" t="n">
        <v>1412.0</v>
      </c>
    </row>
    <row r="207" spans="1:41" x14ac:dyDescent="0.2">
      <c r="A207" s="125"/>
      <c r="B207" s="9">
        <v>96</v>
      </c>
      <c r="C207" s="3" t="n">
        <v>178.0</v>
      </c>
      <c r="D207" s="3" t="n">
        <v>228.0</v>
      </c>
      <c r="E207" s="3" t="n">
        <v>244.0</v>
      </c>
      <c r="F207" s="3" t="n">
        <v>237.0</v>
      </c>
      <c r="G207" s="3" t="n">
        <v>287.0</v>
      </c>
      <c r="H207" s="3" t="n">
        <v>300.0</v>
      </c>
      <c r="I207" s="3" t="n">
        <v>342.0</v>
      </c>
      <c r="J207" s="3" t="n">
        <v>335.0</v>
      </c>
      <c r="K207" s="3" t="n">
        <v>338.0</v>
      </c>
      <c r="L207" s="3" t="n">
        <v>367.0</v>
      </c>
      <c r="M207" s="3" t="n">
        <v>376.0</v>
      </c>
      <c r="N207" s="3" t="n">
        <v>375.0</v>
      </c>
      <c r="O207" s="3" t="n">
        <v>377.0</v>
      </c>
      <c r="P207" s="3" t="n">
        <v>376.0</v>
      </c>
      <c r="Q207" s="3" t="n">
        <v>412.0</v>
      </c>
      <c r="R207" s="3" t="n">
        <v>396.0</v>
      </c>
      <c r="S207" s="3" t="n">
        <v>387.0</v>
      </c>
      <c r="T207" s="3" t="n">
        <v>399.0</v>
      </c>
      <c r="U207" s="3" t="n">
        <v>433.0</v>
      </c>
      <c r="V207" s="3" t="n">
        <v>444.0</v>
      </c>
      <c r="W207" s="3" t="n">
        <v>685.0</v>
      </c>
      <c r="X207" s="3" t="n">
        <v>827.0</v>
      </c>
      <c r="Y207" s="3" t="n">
        <v>941.0</v>
      </c>
      <c r="Z207" s="3" t="n">
        <v>981.0</v>
      </c>
      <c r="AA207" s="3" t="n">
        <v>1046.0</v>
      </c>
      <c r="AB207" s="3" t="n">
        <v>1114.0</v>
      </c>
      <c r="AC207" s="3" t="n">
        <v>1172.0</v>
      </c>
      <c r="AD207" s="3" t="n">
        <v>1199.0</v>
      </c>
      <c r="AE207" s="3" t="n">
        <v>1217.0</v>
      </c>
      <c r="AF207" s="3" t="n">
        <v>1322.0</v>
      </c>
      <c r="AG207" s="3" t="n">
        <v>1309.0</v>
      </c>
      <c r="AH207" s="3" t="n">
        <v>1342.0</v>
      </c>
      <c r="AI207" s="3" t="n">
        <v>1356.0</v>
      </c>
      <c r="AJ207" s="3" t="n">
        <v>1302.0</v>
      </c>
      <c r="AK207" s="3" t="n">
        <v>1239.0</v>
      </c>
      <c r="AL207" s="3" t="n">
        <v>1206.0</v>
      </c>
      <c r="AM207" s="3" t="n">
        <v>1143.0</v>
      </c>
      <c r="AN207" s="3" t="n">
        <v>1152.0</v>
      </c>
      <c r="AO207" s="3" t="n">
        <v>1147.0</v>
      </c>
    </row>
    <row r="208" spans="1:41" x14ac:dyDescent="0.2">
      <c r="A208" s="125"/>
      <c r="B208" s="9">
        <v>97</v>
      </c>
      <c r="C208" s="3" t="n">
        <v>134.0</v>
      </c>
      <c r="D208" s="3" t="n">
        <v>122.0</v>
      </c>
      <c r="E208" s="3" t="n">
        <v>161.0</v>
      </c>
      <c r="F208" s="3" t="n">
        <v>176.0</v>
      </c>
      <c r="G208" s="3" t="n">
        <v>168.0</v>
      </c>
      <c r="H208" s="3" t="n">
        <v>206.0</v>
      </c>
      <c r="I208" s="3" t="n">
        <v>217.0</v>
      </c>
      <c r="J208" s="3" t="n">
        <v>250.0</v>
      </c>
      <c r="K208" s="3" t="n">
        <v>247.0</v>
      </c>
      <c r="L208" s="3" t="n">
        <v>251.0</v>
      </c>
      <c r="M208" s="3" t="n">
        <v>272.0</v>
      </c>
      <c r="N208" s="3" t="n">
        <v>281.0</v>
      </c>
      <c r="O208" s="3" t="n">
        <v>281.0</v>
      </c>
      <c r="P208" s="3" t="n">
        <v>285.0</v>
      </c>
      <c r="Q208" s="3" t="n">
        <v>283.0</v>
      </c>
      <c r="R208" s="3" t="n">
        <v>312.0</v>
      </c>
      <c r="S208" s="3" t="n">
        <v>300.0</v>
      </c>
      <c r="T208" s="3" t="n">
        <v>288.0</v>
      </c>
      <c r="U208" s="3" t="n">
        <v>301.0</v>
      </c>
      <c r="V208" s="3" t="n">
        <v>330.0</v>
      </c>
      <c r="W208" s="3" t="n">
        <v>337.0</v>
      </c>
      <c r="X208" s="3" t="n">
        <v>528.0</v>
      </c>
      <c r="Y208" s="3" t="n">
        <v>632.0</v>
      </c>
      <c r="Z208" s="3" t="n">
        <v>727.0</v>
      </c>
      <c r="AA208" s="3" t="n">
        <v>758.0</v>
      </c>
      <c r="AB208" s="3" t="n">
        <v>811.0</v>
      </c>
      <c r="AC208" s="3" t="n">
        <v>864.0</v>
      </c>
      <c r="AD208" s="3" t="n">
        <v>909.0</v>
      </c>
      <c r="AE208" s="3" t="n">
        <v>930.0</v>
      </c>
      <c r="AF208" s="3" t="n">
        <v>950.0</v>
      </c>
      <c r="AG208" s="3" t="n">
        <v>1034.0</v>
      </c>
      <c r="AH208" s="3" t="n">
        <v>1026.0</v>
      </c>
      <c r="AI208" s="3" t="n">
        <v>1052.0</v>
      </c>
      <c r="AJ208" s="3" t="n">
        <v>1068.0</v>
      </c>
      <c r="AK208" s="3" t="n">
        <v>1028.0</v>
      </c>
      <c r="AL208" s="3" t="n">
        <v>981.0</v>
      </c>
      <c r="AM208" s="3" t="n">
        <v>953.0</v>
      </c>
      <c r="AN208" s="3" t="n">
        <v>902.0</v>
      </c>
      <c r="AO208" s="3" t="n">
        <v>915.0</v>
      </c>
    </row>
    <row r="209" spans="1:41" x14ac:dyDescent="0.2">
      <c r="A209" s="125"/>
      <c r="B209" s="9">
        <v>98</v>
      </c>
      <c r="C209" s="3" t="n">
        <v>88.0</v>
      </c>
      <c r="D209" s="3" t="n">
        <v>99.0</v>
      </c>
      <c r="E209" s="3" t="n">
        <v>87.0</v>
      </c>
      <c r="F209" s="3" t="n">
        <v>117.0</v>
      </c>
      <c r="G209" s="3" t="n">
        <v>129.0</v>
      </c>
      <c r="H209" s="3" t="n">
        <v>122.0</v>
      </c>
      <c r="I209" s="3" t="n">
        <v>151.0</v>
      </c>
      <c r="J209" s="3" t="n">
        <v>163.0</v>
      </c>
      <c r="K209" s="3" t="n">
        <v>187.0</v>
      </c>
      <c r="L209" s="3" t="n">
        <v>185.0</v>
      </c>
      <c r="M209" s="3" t="n">
        <v>188.0</v>
      </c>
      <c r="N209" s="3" t="n">
        <v>200.0</v>
      </c>
      <c r="O209" s="3" t="n">
        <v>211.0</v>
      </c>
      <c r="P209" s="3" t="n">
        <v>213.0</v>
      </c>
      <c r="Q209" s="3" t="n">
        <v>215.0</v>
      </c>
      <c r="R209" s="3" t="n">
        <v>213.0</v>
      </c>
      <c r="S209" s="3" t="n">
        <v>238.0</v>
      </c>
      <c r="T209" s="3" t="n">
        <v>226.0</v>
      </c>
      <c r="U209" s="3" t="n">
        <v>217.0</v>
      </c>
      <c r="V209" s="3" t="n">
        <v>228.0</v>
      </c>
      <c r="W209" s="3" t="n">
        <v>250.0</v>
      </c>
      <c r="X209" s="3" t="n">
        <v>256.0</v>
      </c>
      <c r="Y209" s="3" t="n">
        <v>401.0</v>
      </c>
      <c r="Z209" s="3" t="n">
        <v>484.0</v>
      </c>
      <c r="AA209" s="3" t="n">
        <v>558.0</v>
      </c>
      <c r="AB209" s="3" t="n">
        <v>582.0</v>
      </c>
      <c r="AC209" s="3" t="n">
        <v>620.0</v>
      </c>
      <c r="AD209" s="3" t="n">
        <v>663.0</v>
      </c>
      <c r="AE209" s="3" t="n">
        <v>694.0</v>
      </c>
      <c r="AF209" s="3" t="n">
        <v>712.0</v>
      </c>
      <c r="AG209" s="3" t="n">
        <v>728.0</v>
      </c>
      <c r="AH209" s="3" t="n">
        <v>797.0</v>
      </c>
      <c r="AI209" s="3" t="n">
        <v>792.0</v>
      </c>
      <c r="AJ209" s="3" t="n">
        <v>816.0</v>
      </c>
      <c r="AK209" s="3" t="n">
        <v>832.0</v>
      </c>
      <c r="AL209" s="3" t="n">
        <v>798.0</v>
      </c>
      <c r="AM209" s="3" t="n">
        <v>763.0</v>
      </c>
      <c r="AN209" s="3" t="n">
        <v>741.0</v>
      </c>
      <c r="AO209" s="3" t="n">
        <v>708.0</v>
      </c>
    </row>
    <row r="210" spans="1:41" x14ac:dyDescent="0.2">
      <c r="A210" s="125"/>
      <c r="B210" s="9">
        <v>99</v>
      </c>
      <c r="C210" s="3" t="n">
        <v>79.0</v>
      </c>
      <c r="D210" s="3" t="n">
        <v>64.0</v>
      </c>
      <c r="E210" s="3" t="n">
        <v>73.0</v>
      </c>
      <c r="F210" s="3" t="n">
        <v>66.0</v>
      </c>
      <c r="G210" s="3" t="n">
        <v>89.0</v>
      </c>
      <c r="H210" s="3" t="n">
        <v>95.0</v>
      </c>
      <c r="I210" s="3" t="n">
        <v>88.0</v>
      </c>
      <c r="J210" s="3" t="n">
        <v>112.0</v>
      </c>
      <c r="K210" s="3" t="n">
        <v>117.0</v>
      </c>
      <c r="L210" s="3" t="n">
        <v>139.0</v>
      </c>
      <c r="M210" s="3" t="n">
        <v>137.0</v>
      </c>
      <c r="N210" s="3" t="n">
        <v>138.0</v>
      </c>
      <c r="O210" s="3" t="n">
        <v>144.0</v>
      </c>
      <c r="P210" s="3" t="n">
        <v>156.0</v>
      </c>
      <c r="Q210" s="3" t="n">
        <v>159.0</v>
      </c>
      <c r="R210" s="3" t="n">
        <v>158.0</v>
      </c>
      <c r="S210" s="3" t="n">
        <v>158.0</v>
      </c>
      <c r="T210" s="3" t="n">
        <v>180.0</v>
      </c>
      <c r="U210" s="3" t="n">
        <v>172.0</v>
      </c>
      <c r="V210" s="3" t="n">
        <v>163.0</v>
      </c>
      <c r="W210" s="3" t="n">
        <v>172.0</v>
      </c>
      <c r="X210" s="3" t="n">
        <v>193.0</v>
      </c>
      <c r="Y210" s="3" t="n">
        <v>197.0</v>
      </c>
      <c r="Z210" s="3" t="n">
        <v>301.0</v>
      </c>
      <c r="AA210" s="3" t="n">
        <v>365.0</v>
      </c>
      <c r="AB210" s="3" t="n">
        <v>424.0</v>
      </c>
      <c r="AC210" s="3" t="n">
        <v>443.0</v>
      </c>
      <c r="AD210" s="3" t="n">
        <v>476.0</v>
      </c>
      <c r="AE210" s="3" t="n">
        <v>507.0</v>
      </c>
      <c r="AF210" s="3" t="n">
        <v>533.0</v>
      </c>
      <c r="AG210" s="3" t="n">
        <v>545.0</v>
      </c>
      <c r="AH210" s="3" t="n">
        <v>563.0</v>
      </c>
      <c r="AI210" s="3" t="n">
        <v>612.0</v>
      </c>
      <c r="AJ210" s="3" t="n">
        <v>611.0</v>
      </c>
      <c r="AK210" s="3" t="n">
        <v>626.0</v>
      </c>
      <c r="AL210" s="3" t="n">
        <v>641.0</v>
      </c>
      <c r="AM210" s="3" t="n">
        <v>618.0</v>
      </c>
      <c r="AN210" s="3" t="n">
        <v>590.0</v>
      </c>
      <c r="AO210" s="3" t="n">
        <v>573.0</v>
      </c>
    </row>
    <row r="211" spans="1:41" x14ac:dyDescent="0.2">
      <c r="A211" s="125"/>
      <c r="B211" s="9" t="s">
        <v>80</v>
      </c>
      <c r="C211" s="3" t="n">
        <v>78.0</v>
      </c>
      <c r="D211" s="3" t="n">
        <v>106.0</v>
      </c>
      <c r="E211" s="3" t="n">
        <v>109.0</v>
      </c>
      <c r="F211" s="3" t="n">
        <v>120.0</v>
      </c>
      <c r="G211" s="3" t="n">
        <v>119.0</v>
      </c>
      <c r="H211" s="3" t="n">
        <v>133.0</v>
      </c>
      <c r="I211" s="3" t="n">
        <v>150.0</v>
      </c>
      <c r="J211" s="3" t="n">
        <v>152.0</v>
      </c>
      <c r="K211" s="3" t="n">
        <v>175.0</v>
      </c>
      <c r="L211" s="3" t="n">
        <v>193.0</v>
      </c>
      <c r="M211" s="3" t="n">
        <v>219.0</v>
      </c>
      <c r="N211" s="3" t="n">
        <v>238.0</v>
      </c>
      <c r="O211" s="3" t="n">
        <v>245.0</v>
      </c>
      <c r="P211" s="3" t="n">
        <v>258.0</v>
      </c>
      <c r="Q211" s="3" t="n">
        <v>276.0</v>
      </c>
      <c r="R211" s="3" t="n">
        <v>289.0</v>
      </c>
      <c r="S211" s="3" t="n">
        <v>295.0</v>
      </c>
      <c r="T211" s="3" t="n">
        <v>305.0</v>
      </c>
      <c r="U211" s="3" t="n">
        <v>328.0</v>
      </c>
      <c r="V211" s="3" t="n">
        <v>339.0</v>
      </c>
      <c r="W211" s="3" t="n">
        <v>338.0</v>
      </c>
      <c r="X211" s="3" t="n">
        <v>347.0</v>
      </c>
      <c r="Y211" s="3" t="n">
        <v>369.0</v>
      </c>
      <c r="Z211" s="3" t="n">
        <v>389.0</v>
      </c>
      <c r="AA211" s="3" t="n">
        <v>478.0</v>
      </c>
      <c r="AB211" s="3" t="n">
        <v>589.0</v>
      </c>
      <c r="AC211" s="3" t="n">
        <v>712.0</v>
      </c>
      <c r="AD211" s="3" t="n">
        <v>816.0</v>
      </c>
      <c r="AE211" s="3" t="n">
        <v>914.0</v>
      </c>
      <c r="AF211" s="3" t="n">
        <v>1001.0</v>
      </c>
      <c r="AG211" s="3" t="n">
        <v>1088.0</v>
      </c>
      <c r="AH211" s="3" t="n">
        <v>1158.0</v>
      </c>
      <c r="AI211" s="3" t="n">
        <v>1224.0</v>
      </c>
      <c r="AJ211" s="3" t="n">
        <v>1305.0</v>
      </c>
      <c r="AK211" s="3" t="n">
        <v>1367.0</v>
      </c>
      <c r="AL211" s="3" t="n">
        <v>1420.0</v>
      </c>
      <c r="AM211" s="3" t="n">
        <v>1472.0</v>
      </c>
      <c r="AN211" s="3" t="n">
        <v>1497.0</v>
      </c>
      <c r="AO211" s="3" t="n">
        <v>1497.0</v>
      </c>
    </row>
    <row r="212" spans="1:41" x14ac:dyDescent="0.2">
      <c r="A212" s="125" t="s">
        <v>51</v>
      </c>
      <c r="B212" s="71" t="s">
        <v>52</v>
      </c>
      <c r="C212" s="70" t="n">
        <v>1499910.0</v>
      </c>
      <c r="D212" s="70" t="n">
        <v>1496205.0</v>
      </c>
      <c r="E212" s="70" t="n">
        <v>1492500.0</v>
      </c>
      <c r="F212" s="70" t="n">
        <v>1488769.0</v>
      </c>
      <c r="G212" s="70" t="n">
        <v>1485010.0</v>
      </c>
      <c r="H212" s="70" t="n">
        <v>1488027.0</v>
      </c>
      <c r="I212" s="70" t="n">
        <v>1493426.0</v>
      </c>
      <c r="J212" s="70" t="n">
        <v>1493169.0</v>
      </c>
      <c r="K212" s="70" t="n">
        <v>1489944.0</v>
      </c>
      <c r="L212" s="70" t="n">
        <v>1485463.0</v>
      </c>
      <c r="M212" s="70" t="n">
        <v>1480133.0</v>
      </c>
      <c r="N212" s="70" t="n">
        <v>1474097.0</v>
      </c>
      <c r="O212" s="70" t="n">
        <v>1467623.0</v>
      </c>
      <c r="P212" s="70" t="n">
        <v>1460805.0</v>
      </c>
      <c r="Q212" s="70" t="n">
        <v>1453714.0</v>
      </c>
      <c r="R212" s="70" t="n">
        <v>1446396.0</v>
      </c>
      <c r="S212" s="70" t="n">
        <v>1438907.0</v>
      </c>
      <c r="T212" s="70" t="n">
        <v>1431286.0</v>
      </c>
      <c r="U212" s="70" t="n">
        <v>1423461.0</v>
      </c>
      <c r="V212" s="70" t="n">
        <v>1415570.0</v>
      </c>
      <c r="W212" s="70" t="n">
        <v>1407603.0</v>
      </c>
      <c r="X212" s="70" t="n">
        <v>1399577.0</v>
      </c>
      <c r="Y212" s="70" t="n">
        <v>1391514.0</v>
      </c>
      <c r="Z212" s="70" t="n">
        <v>1383245.0</v>
      </c>
      <c r="AA212" s="70" t="n">
        <v>1374988.0</v>
      </c>
      <c r="AB212" s="70" t="n">
        <v>1366800.0</v>
      </c>
      <c r="AC212" s="70" t="n">
        <v>1358621.0</v>
      </c>
      <c r="AD212" s="70" t="n">
        <v>1350454.0</v>
      </c>
      <c r="AE212" s="70" t="n">
        <v>1342324.0</v>
      </c>
      <c r="AF212" s="70" t="n">
        <v>1334231.0</v>
      </c>
      <c r="AG212" s="70" t="n">
        <v>1325937.0</v>
      </c>
      <c r="AH212" s="70" t="n">
        <v>1317672.0</v>
      </c>
      <c r="AI212" s="70" t="n">
        <v>1309416.0</v>
      </c>
      <c r="AJ212" s="70" t="n">
        <v>1301069.0</v>
      </c>
      <c r="AK212" s="70" t="n">
        <v>1292679.0</v>
      </c>
      <c r="AL212" s="70" t="n">
        <v>1284230.0</v>
      </c>
      <c r="AM212" s="70" t="n">
        <v>1275541.0</v>
      </c>
      <c r="AN212" s="70" t="n">
        <v>1266712.0</v>
      </c>
      <c r="AO212" s="70" t="n">
        <v>1257757.0</v>
      </c>
    </row>
    <row r="213" spans="1:41" x14ac:dyDescent="0.2">
      <c r="A213" s="125"/>
      <c r="B213" s="9">
        <v>0</v>
      </c>
      <c r="C213" s="3" t="n">
        <v>10793.0</v>
      </c>
      <c r="D213" s="3" t="n">
        <v>10996.0</v>
      </c>
      <c r="E213" s="3" t="n">
        <v>10839.0</v>
      </c>
      <c r="F213" s="3" t="n">
        <v>10736.0</v>
      </c>
      <c r="G213" s="3" t="n">
        <v>10618.0</v>
      </c>
      <c r="H213" s="3" t="n">
        <v>10556.0</v>
      </c>
      <c r="I213" s="3" t="n">
        <v>10514.0</v>
      </c>
      <c r="J213" s="3" t="n">
        <v>10448.0</v>
      </c>
      <c r="K213" s="3" t="n">
        <v>10352.0</v>
      </c>
      <c r="L213" s="3" t="n">
        <v>10246.0</v>
      </c>
      <c r="M213" s="3" t="n">
        <v>10123.0</v>
      </c>
      <c r="N213" s="3" t="n">
        <v>10019.0</v>
      </c>
      <c r="O213" s="3" t="n">
        <v>9932.0</v>
      </c>
      <c r="P213" s="3" t="n">
        <v>9875.0</v>
      </c>
      <c r="Q213" s="3" t="n">
        <v>9830.0</v>
      </c>
      <c r="R213" s="3" t="n">
        <v>9837.0</v>
      </c>
      <c r="S213" s="3" t="n">
        <v>9866.0</v>
      </c>
      <c r="T213" s="3" t="n">
        <v>9911.0</v>
      </c>
      <c r="U213" s="3" t="n">
        <v>9978.0</v>
      </c>
      <c r="V213" s="3" t="n">
        <v>10033.0</v>
      </c>
      <c r="W213" s="3" t="n">
        <v>10096.0</v>
      </c>
      <c r="X213" s="3" t="n">
        <v>10137.0</v>
      </c>
      <c r="Y213" s="3" t="n">
        <v>10159.0</v>
      </c>
      <c r="Z213" s="3" t="n">
        <v>10164.0</v>
      </c>
      <c r="AA213" s="3" t="n">
        <v>10142.0</v>
      </c>
      <c r="AB213" s="3" t="n">
        <v>10095.0</v>
      </c>
      <c r="AC213" s="3" t="n">
        <v>10026.0</v>
      </c>
      <c r="AD213" s="3" t="n">
        <v>9940.0</v>
      </c>
      <c r="AE213" s="3" t="n">
        <v>9819.0</v>
      </c>
      <c r="AF213" s="3" t="n">
        <v>9692.0</v>
      </c>
      <c r="AG213" s="3" t="n">
        <v>9554.0</v>
      </c>
      <c r="AH213" s="3" t="n">
        <v>9397.0</v>
      </c>
      <c r="AI213" s="3" t="n">
        <v>9240.0</v>
      </c>
      <c r="AJ213" s="3" t="n">
        <v>9080.0</v>
      </c>
      <c r="AK213" s="3" t="n">
        <v>8924.0</v>
      </c>
      <c r="AL213" s="3" t="n">
        <v>8782.0</v>
      </c>
      <c r="AM213" s="3" t="n">
        <v>8641.0</v>
      </c>
      <c r="AN213" s="3" t="n">
        <v>8511.0</v>
      </c>
      <c r="AO213" s="3" t="n">
        <v>8403.0</v>
      </c>
    </row>
    <row r="214" spans="1:41" x14ac:dyDescent="0.2">
      <c r="A214" s="125"/>
      <c r="B214" s="9">
        <v>1</v>
      </c>
      <c r="C214" s="3" t="n">
        <v>11974.0</v>
      </c>
      <c r="D214" s="3" t="n">
        <v>10855.0</v>
      </c>
      <c r="E214" s="3" t="n">
        <v>11050.0</v>
      </c>
      <c r="F214" s="3" t="n">
        <v>10894.0</v>
      </c>
      <c r="G214" s="3" t="n">
        <v>10798.0</v>
      </c>
      <c r="H214" s="3" t="n">
        <v>10752.0</v>
      </c>
      <c r="I214" s="3" t="n">
        <v>10720.0</v>
      </c>
      <c r="J214" s="3" t="n">
        <v>10621.0</v>
      </c>
      <c r="K214" s="3" t="n">
        <v>10530.0</v>
      </c>
      <c r="L214" s="3" t="n">
        <v>10427.0</v>
      </c>
      <c r="M214" s="3" t="n">
        <v>10316.0</v>
      </c>
      <c r="N214" s="3" t="n">
        <v>10196.0</v>
      </c>
      <c r="O214" s="3" t="n">
        <v>10087.0</v>
      </c>
      <c r="P214" s="3" t="n">
        <v>10003.0</v>
      </c>
      <c r="Q214" s="3" t="n">
        <v>9945.0</v>
      </c>
      <c r="R214" s="3" t="n">
        <v>9902.0</v>
      </c>
      <c r="S214" s="3" t="n">
        <v>9910.0</v>
      </c>
      <c r="T214" s="3" t="n">
        <v>9942.0</v>
      </c>
      <c r="U214" s="3" t="n">
        <v>9986.0</v>
      </c>
      <c r="V214" s="3" t="n">
        <v>10054.0</v>
      </c>
      <c r="W214" s="3" t="n">
        <v>10114.0</v>
      </c>
      <c r="X214" s="3" t="n">
        <v>10178.0</v>
      </c>
      <c r="Y214" s="3" t="n">
        <v>10216.0</v>
      </c>
      <c r="Z214" s="3" t="n">
        <v>10238.0</v>
      </c>
      <c r="AA214" s="3" t="n">
        <v>10244.0</v>
      </c>
      <c r="AB214" s="3" t="n">
        <v>10220.0</v>
      </c>
      <c r="AC214" s="3" t="n">
        <v>10173.0</v>
      </c>
      <c r="AD214" s="3" t="n">
        <v>10105.0</v>
      </c>
      <c r="AE214" s="3" t="n">
        <v>10019.0</v>
      </c>
      <c r="AF214" s="3" t="n">
        <v>9899.0</v>
      </c>
      <c r="AG214" s="3" t="n">
        <v>9771.0</v>
      </c>
      <c r="AH214" s="3" t="n">
        <v>9635.0</v>
      </c>
      <c r="AI214" s="3" t="n">
        <v>9470.0</v>
      </c>
      <c r="AJ214" s="3" t="n">
        <v>9314.0</v>
      </c>
      <c r="AK214" s="3" t="n">
        <v>9152.0</v>
      </c>
      <c r="AL214" s="3" t="n">
        <v>8989.0</v>
      </c>
      <c r="AM214" s="3" t="n">
        <v>8850.0</v>
      </c>
      <c r="AN214" s="3" t="n">
        <v>8708.0</v>
      </c>
      <c r="AO214" s="3" t="n">
        <v>8579.0</v>
      </c>
    </row>
    <row r="215" spans="1:41" x14ac:dyDescent="0.2">
      <c r="A215" s="125"/>
      <c r="B215" s="9">
        <v>2</v>
      </c>
      <c r="C215" s="3" t="n">
        <v>12333.0</v>
      </c>
      <c r="D215" s="3" t="n">
        <v>12025.0</v>
      </c>
      <c r="E215" s="3" t="n">
        <v>10915.0</v>
      </c>
      <c r="F215" s="3" t="n">
        <v>11110.0</v>
      </c>
      <c r="G215" s="3" t="n">
        <v>10954.0</v>
      </c>
      <c r="H215" s="3" t="n">
        <v>10967.0</v>
      </c>
      <c r="I215" s="3" t="n">
        <v>10959.0</v>
      </c>
      <c r="J215" s="3" t="n">
        <v>10850.0</v>
      </c>
      <c r="K215" s="3" t="n">
        <v>10710.0</v>
      </c>
      <c r="L215" s="3" t="n">
        <v>10606.0</v>
      </c>
      <c r="M215" s="3" t="n">
        <v>10493.0</v>
      </c>
      <c r="N215" s="3" t="n">
        <v>10381.0</v>
      </c>
      <c r="O215" s="3" t="n">
        <v>10259.0</v>
      </c>
      <c r="P215" s="3" t="n">
        <v>10154.0</v>
      </c>
      <c r="Q215" s="3" t="n">
        <v>10074.0</v>
      </c>
      <c r="R215" s="3" t="n">
        <v>10019.0</v>
      </c>
      <c r="S215" s="3" t="n">
        <v>9977.0</v>
      </c>
      <c r="T215" s="3" t="n">
        <v>9985.0</v>
      </c>
      <c r="U215" s="3" t="n">
        <v>10018.0</v>
      </c>
      <c r="V215" s="3" t="n">
        <v>10062.0</v>
      </c>
      <c r="W215" s="3" t="n">
        <v>10131.0</v>
      </c>
      <c r="X215" s="3" t="n">
        <v>10187.0</v>
      </c>
      <c r="Y215" s="3" t="n">
        <v>10254.0</v>
      </c>
      <c r="Z215" s="3" t="n">
        <v>10293.0</v>
      </c>
      <c r="AA215" s="3" t="n">
        <v>10312.0</v>
      </c>
      <c r="AB215" s="3" t="n">
        <v>10317.0</v>
      </c>
      <c r="AC215" s="3" t="n">
        <v>10292.0</v>
      </c>
      <c r="AD215" s="3" t="n">
        <v>10245.0</v>
      </c>
      <c r="AE215" s="3" t="n">
        <v>10174.0</v>
      </c>
      <c r="AF215" s="3" t="n">
        <v>10090.0</v>
      </c>
      <c r="AG215" s="3" t="n">
        <v>9972.0</v>
      </c>
      <c r="AH215" s="3" t="n">
        <v>9844.0</v>
      </c>
      <c r="AI215" s="3" t="n">
        <v>9709.0</v>
      </c>
      <c r="AJ215" s="3" t="n">
        <v>9549.0</v>
      </c>
      <c r="AK215" s="3" t="n">
        <v>9392.0</v>
      </c>
      <c r="AL215" s="3" t="n">
        <v>9233.0</v>
      </c>
      <c r="AM215" s="3" t="n">
        <v>9069.0</v>
      </c>
      <c r="AN215" s="3" t="n">
        <v>8930.0</v>
      </c>
      <c r="AO215" s="3" t="n">
        <v>8790.0</v>
      </c>
    </row>
    <row r="216" spans="1:41" x14ac:dyDescent="0.2">
      <c r="A216" s="125"/>
      <c r="B216" s="9">
        <v>3</v>
      </c>
      <c r="C216" s="3" t="n">
        <v>12989.0</v>
      </c>
      <c r="D216" s="3" t="n">
        <v>12392.0</v>
      </c>
      <c r="E216" s="3" t="n">
        <v>12078.0</v>
      </c>
      <c r="F216" s="3" t="n">
        <v>10967.0</v>
      </c>
      <c r="G216" s="3" t="n">
        <v>11163.0</v>
      </c>
      <c r="H216" s="3" t="n">
        <v>11120.0</v>
      </c>
      <c r="I216" s="3" t="n">
        <v>11175.0</v>
      </c>
      <c r="J216" s="3" t="n">
        <v>11081.0</v>
      </c>
      <c r="K216" s="3" t="n">
        <v>10935.0</v>
      </c>
      <c r="L216" s="3" t="n">
        <v>10776.0</v>
      </c>
      <c r="M216" s="3" t="n">
        <v>10667.0</v>
      </c>
      <c r="N216" s="3" t="n">
        <v>10552.0</v>
      </c>
      <c r="O216" s="3" t="n">
        <v>10442.0</v>
      </c>
      <c r="P216" s="3" t="n">
        <v>10324.0</v>
      </c>
      <c r="Q216" s="3" t="n">
        <v>10219.0</v>
      </c>
      <c r="R216" s="3" t="n">
        <v>10138.0</v>
      </c>
      <c r="S216" s="3" t="n">
        <v>10086.0</v>
      </c>
      <c r="T216" s="3" t="n">
        <v>10048.0</v>
      </c>
      <c r="U216" s="3" t="n">
        <v>10056.0</v>
      </c>
      <c r="V216" s="3" t="n">
        <v>10090.0</v>
      </c>
      <c r="W216" s="3" t="n">
        <v>10134.0</v>
      </c>
      <c r="X216" s="3" t="n">
        <v>10203.0</v>
      </c>
      <c r="Y216" s="3" t="n">
        <v>10261.0</v>
      </c>
      <c r="Z216" s="3" t="n">
        <v>10326.0</v>
      </c>
      <c r="AA216" s="3" t="n">
        <v>10364.0</v>
      </c>
      <c r="AB216" s="3" t="n">
        <v>10383.0</v>
      </c>
      <c r="AC216" s="3" t="n">
        <v>10388.0</v>
      </c>
      <c r="AD216" s="3" t="n">
        <v>10366.0</v>
      </c>
      <c r="AE216" s="3" t="n">
        <v>10319.0</v>
      </c>
      <c r="AF216" s="3" t="n">
        <v>10246.0</v>
      </c>
      <c r="AG216" s="3" t="n">
        <v>10165.0</v>
      </c>
      <c r="AH216" s="3" t="n">
        <v>10048.0</v>
      </c>
      <c r="AI216" s="3" t="n">
        <v>9920.0</v>
      </c>
      <c r="AJ216" s="3" t="n">
        <v>9787.0</v>
      </c>
      <c r="AK216" s="3" t="n">
        <v>9628.0</v>
      </c>
      <c r="AL216" s="3" t="n">
        <v>9473.0</v>
      </c>
      <c r="AM216" s="3" t="n">
        <v>9312.0</v>
      </c>
      <c r="AN216" s="3" t="n">
        <v>9146.0</v>
      </c>
      <c r="AO216" s="3" t="n">
        <v>9006.0</v>
      </c>
    </row>
    <row r="217" spans="1:41" x14ac:dyDescent="0.2">
      <c r="A217" s="125"/>
      <c r="B217" s="9">
        <v>4</v>
      </c>
      <c r="C217" s="3" t="n">
        <v>13742.0</v>
      </c>
      <c r="D217" s="3" t="n">
        <v>13032.0</v>
      </c>
      <c r="E217" s="3" t="n">
        <v>12442.0</v>
      </c>
      <c r="F217" s="3" t="n">
        <v>12126.0</v>
      </c>
      <c r="G217" s="3" t="n">
        <v>11024.0</v>
      </c>
      <c r="H217" s="3" t="n">
        <v>11329.0</v>
      </c>
      <c r="I217" s="3" t="n">
        <v>11325.0</v>
      </c>
      <c r="J217" s="3" t="n">
        <v>11298.0</v>
      </c>
      <c r="K217" s="3" t="n">
        <v>11162.0</v>
      </c>
      <c r="L217" s="3" t="n">
        <v>11008.0</v>
      </c>
      <c r="M217" s="3" t="n">
        <v>10843.0</v>
      </c>
      <c r="N217" s="3" t="n">
        <v>10727.0</v>
      </c>
      <c r="O217" s="3" t="n">
        <v>10612.0</v>
      </c>
      <c r="P217" s="3" t="n">
        <v>10503.0</v>
      </c>
      <c r="Q217" s="3" t="n">
        <v>10386.0</v>
      </c>
      <c r="R217" s="3" t="n">
        <v>10280.0</v>
      </c>
      <c r="S217" s="3" t="n">
        <v>10198.0</v>
      </c>
      <c r="T217" s="3" t="n">
        <v>10150.0</v>
      </c>
      <c r="U217" s="3" t="n">
        <v>10112.0</v>
      </c>
      <c r="V217" s="3" t="n">
        <v>10120.0</v>
      </c>
      <c r="W217" s="3" t="n">
        <v>10159.0</v>
      </c>
      <c r="X217" s="3" t="n">
        <v>10206.0</v>
      </c>
      <c r="Y217" s="3" t="n">
        <v>10272.0</v>
      </c>
      <c r="Z217" s="3" t="n">
        <v>10328.0</v>
      </c>
      <c r="AA217" s="3" t="n">
        <v>10393.0</v>
      </c>
      <c r="AB217" s="3" t="n">
        <v>10432.0</v>
      </c>
      <c r="AC217" s="3" t="n">
        <v>10451.0</v>
      </c>
      <c r="AD217" s="3" t="n">
        <v>10456.0</v>
      </c>
      <c r="AE217" s="3" t="n">
        <v>10435.0</v>
      </c>
      <c r="AF217" s="3" t="n">
        <v>10387.0</v>
      </c>
      <c r="AG217" s="3" t="n">
        <v>10311.0</v>
      </c>
      <c r="AH217" s="3" t="n">
        <v>10230.0</v>
      </c>
      <c r="AI217" s="3" t="n">
        <v>10112.0</v>
      </c>
      <c r="AJ217" s="3" t="n">
        <v>9983.0</v>
      </c>
      <c r="AK217" s="3" t="n">
        <v>9851.0</v>
      </c>
      <c r="AL217" s="3" t="n">
        <v>9695.0</v>
      </c>
      <c r="AM217" s="3" t="n">
        <v>9539.0</v>
      </c>
      <c r="AN217" s="3" t="n">
        <v>9377.0</v>
      </c>
      <c r="AO217" s="3" t="n">
        <v>9209.0</v>
      </c>
    </row>
    <row r="218" spans="1:41" x14ac:dyDescent="0.2">
      <c r="A218" s="125"/>
      <c r="B218" s="9">
        <v>5</v>
      </c>
      <c r="C218" s="3" t="n">
        <v>14520.0</v>
      </c>
      <c r="D218" s="3" t="n">
        <v>13784.0</v>
      </c>
      <c r="E218" s="3" t="n">
        <v>13075.0</v>
      </c>
      <c r="F218" s="3" t="n">
        <v>12483.0</v>
      </c>
      <c r="G218" s="3" t="n">
        <v>12173.0</v>
      </c>
      <c r="H218" s="3" t="n">
        <v>11194.0</v>
      </c>
      <c r="I218" s="3" t="n">
        <v>11543.0</v>
      </c>
      <c r="J218" s="3" t="n">
        <v>11445.0</v>
      </c>
      <c r="K218" s="3" t="n">
        <v>11367.0</v>
      </c>
      <c r="L218" s="3" t="n">
        <v>11210.0</v>
      </c>
      <c r="M218" s="3" t="n">
        <v>11052.0</v>
      </c>
      <c r="N218" s="3" t="n">
        <v>10877.0</v>
      </c>
      <c r="O218" s="3" t="n">
        <v>10765.0</v>
      </c>
      <c r="P218" s="3" t="n">
        <v>10653.0</v>
      </c>
      <c r="Q218" s="3" t="n">
        <v>10547.0</v>
      </c>
      <c r="R218" s="3" t="n">
        <v>10429.0</v>
      </c>
      <c r="S218" s="3" t="n">
        <v>10324.0</v>
      </c>
      <c r="T218" s="3" t="n">
        <v>10245.0</v>
      </c>
      <c r="U218" s="3" t="n">
        <v>10195.0</v>
      </c>
      <c r="V218" s="3" t="n">
        <v>10158.0</v>
      </c>
      <c r="W218" s="3" t="n">
        <v>10166.0</v>
      </c>
      <c r="X218" s="3" t="n">
        <v>10203.0</v>
      </c>
      <c r="Y218" s="3" t="n">
        <v>10251.0</v>
      </c>
      <c r="Z218" s="3" t="n">
        <v>10319.0</v>
      </c>
      <c r="AA218" s="3" t="n">
        <v>10374.0</v>
      </c>
      <c r="AB218" s="3" t="n">
        <v>10442.0</v>
      </c>
      <c r="AC218" s="3" t="n">
        <v>10480.0</v>
      </c>
      <c r="AD218" s="3" t="n">
        <v>10500.0</v>
      </c>
      <c r="AE218" s="3" t="n">
        <v>10510.0</v>
      </c>
      <c r="AF218" s="3" t="n">
        <v>10491.0</v>
      </c>
      <c r="AG218" s="3" t="n">
        <v>10442.0</v>
      </c>
      <c r="AH218" s="3" t="n">
        <v>10367.0</v>
      </c>
      <c r="AI218" s="3" t="n">
        <v>10287.0</v>
      </c>
      <c r="AJ218" s="3" t="n">
        <v>10169.0</v>
      </c>
      <c r="AK218" s="3" t="n">
        <v>10041.0</v>
      </c>
      <c r="AL218" s="3" t="n">
        <v>9912.0</v>
      </c>
      <c r="AM218" s="3" t="n">
        <v>9753.0</v>
      </c>
      <c r="AN218" s="3" t="n">
        <v>9600.0</v>
      </c>
      <c r="AO218" s="3" t="n">
        <v>9436.0</v>
      </c>
    </row>
    <row r="219" spans="1:41" x14ac:dyDescent="0.2">
      <c r="A219" s="125"/>
      <c r="B219" s="9">
        <v>6</v>
      </c>
      <c r="C219" s="3" t="n">
        <v>14084.0</v>
      </c>
      <c r="D219" s="3" t="n">
        <v>14558.0</v>
      </c>
      <c r="E219" s="3" t="n">
        <v>13833.0</v>
      </c>
      <c r="F219" s="3" t="n">
        <v>13127.0</v>
      </c>
      <c r="G219" s="3" t="n">
        <v>12534.0</v>
      </c>
      <c r="H219" s="3" t="n">
        <v>12351.0</v>
      </c>
      <c r="I219" s="3" t="n">
        <v>11416.0</v>
      </c>
      <c r="J219" s="3" t="n">
        <v>11665.0</v>
      </c>
      <c r="K219" s="3" t="n">
        <v>11522.0</v>
      </c>
      <c r="L219" s="3" t="n">
        <v>11426.0</v>
      </c>
      <c r="M219" s="3" t="n">
        <v>11260.0</v>
      </c>
      <c r="N219" s="3" t="n">
        <v>11099.0</v>
      </c>
      <c r="O219" s="3" t="n">
        <v>10924.0</v>
      </c>
      <c r="P219" s="3" t="n">
        <v>10811.0</v>
      </c>
      <c r="Q219" s="3" t="n">
        <v>10699.0</v>
      </c>
      <c r="R219" s="3" t="n">
        <v>10596.0</v>
      </c>
      <c r="S219" s="3" t="n">
        <v>10478.0</v>
      </c>
      <c r="T219" s="3" t="n">
        <v>10373.0</v>
      </c>
      <c r="U219" s="3" t="n">
        <v>10294.0</v>
      </c>
      <c r="V219" s="3" t="n">
        <v>10245.0</v>
      </c>
      <c r="W219" s="3" t="n">
        <v>10208.0</v>
      </c>
      <c r="X219" s="3" t="n">
        <v>10218.0</v>
      </c>
      <c r="Y219" s="3" t="n">
        <v>10254.0</v>
      </c>
      <c r="Z219" s="3" t="n">
        <v>10306.0</v>
      </c>
      <c r="AA219" s="3" t="n">
        <v>10372.0</v>
      </c>
      <c r="AB219" s="3" t="n">
        <v>10428.0</v>
      </c>
      <c r="AC219" s="3" t="n">
        <v>10495.0</v>
      </c>
      <c r="AD219" s="3" t="n">
        <v>10532.0</v>
      </c>
      <c r="AE219" s="3" t="n">
        <v>10552.0</v>
      </c>
      <c r="AF219" s="3" t="n">
        <v>10563.0</v>
      </c>
      <c r="AG219" s="3" t="n">
        <v>10548.0</v>
      </c>
      <c r="AH219" s="3" t="n">
        <v>10495.0</v>
      </c>
      <c r="AI219" s="3" t="n">
        <v>10417.0</v>
      </c>
      <c r="AJ219" s="3" t="n">
        <v>10340.0</v>
      </c>
      <c r="AK219" s="3" t="n">
        <v>10221.0</v>
      </c>
      <c r="AL219" s="3" t="n">
        <v>10091.0</v>
      </c>
      <c r="AM219" s="3" t="n">
        <v>9962.0</v>
      </c>
      <c r="AN219" s="3" t="n">
        <v>9806.0</v>
      </c>
      <c r="AO219" s="3" t="n">
        <v>9651.0</v>
      </c>
    </row>
    <row r="220" spans="1:41" x14ac:dyDescent="0.2">
      <c r="A220" s="125"/>
      <c r="B220" s="9">
        <v>7</v>
      </c>
      <c r="C220" s="3" t="n">
        <v>13795.0</v>
      </c>
      <c r="D220" s="3" t="n">
        <v>14121.0</v>
      </c>
      <c r="E220" s="3" t="n">
        <v>14599.0</v>
      </c>
      <c r="F220" s="3" t="n">
        <v>13873.0</v>
      </c>
      <c r="G220" s="3" t="n">
        <v>13180.0</v>
      </c>
      <c r="H220" s="3" t="n">
        <v>12698.0</v>
      </c>
      <c r="I220" s="3" t="n">
        <v>12568.0</v>
      </c>
      <c r="J220" s="3" t="n">
        <v>11531.0</v>
      </c>
      <c r="K220" s="3" t="n">
        <v>11729.0</v>
      </c>
      <c r="L220" s="3" t="n">
        <v>11570.0</v>
      </c>
      <c r="M220" s="3" t="n">
        <v>11467.0</v>
      </c>
      <c r="N220" s="3" t="n">
        <v>11292.0</v>
      </c>
      <c r="O220" s="3" t="n">
        <v>11131.0</v>
      </c>
      <c r="P220" s="3" t="n">
        <v>10960.0</v>
      </c>
      <c r="Q220" s="3" t="n">
        <v>10848.0</v>
      </c>
      <c r="R220" s="3" t="n">
        <v>10737.0</v>
      </c>
      <c r="S220" s="3" t="n">
        <v>10632.0</v>
      </c>
      <c r="T220" s="3" t="n">
        <v>10514.0</v>
      </c>
      <c r="U220" s="3" t="n">
        <v>10409.0</v>
      </c>
      <c r="V220" s="3" t="n">
        <v>10328.0</v>
      </c>
      <c r="W220" s="3" t="n">
        <v>10282.0</v>
      </c>
      <c r="X220" s="3" t="n">
        <v>10246.0</v>
      </c>
      <c r="Y220" s="3" t="n">
        <v>10257.0</v>
      </c>
      <c r="Z220" s="3" t="n">
        <v>10292.0</v>
      </c>
      <c r="AA220" s="3" t="n">
        <v>10347.0</v>
      </c>
      <c r="AB220" s="3" t="n">
        <v>10414.0</v>
      </c>
      <c r="AC220" s="3" t="n">
        <v>10471.0</v>
      </c>
      <c r="AD220" s="3" t="n">
        <v>10537.0</v>
      </c>
      <c r="AE220" s="3" t="n">
        <v>10572.0</v>
      </c>
      <c r="AF220" s="3" t="n">
        <v>10592.0</v>
      </c>
      <c r="AG220" s="3" t="n">
        <v>10604.0</v>
      </c>
      <c r="AH220" s="3" t="n">
        <v>10586.0</v>
      </c>
      <c r="AI220" s="3" t="n">
        <v>10533.0</v>
      </c>
      <c r="AJ220" s="3" t="n">
        <v>10452.0</v>
      </c>
      <c r="AK220" s="3" t="n">
        <v>10378.0</v>
      </c>
      <c r="AL220" s="3" t="n">
        <v>10259.0</v>
      </c>
      <c r="AM220" s="3" t="n">
        <v>10131.0</v>
      </c>
      <c r="AN220" s="3" t="n">
        <v>10001.0</v>
      </c>
      <c r="AO220" s="3" t="n">
        <v>9848.0</v>
      </c>
    </row>
    <row r="221" spans="1:41" x14ac:dyDescent="0.2">
      <c r="A221" s="125"/>
      <c r="B221" s="9">
        <v>8</v>
      </c>
      <c r="C221" s="3" t="n">
        <v>14109.0</v>
      </c>
      <c r="D221" s="3" t="n">
        <v>13812.0</v>
      </c>
      <c r="E221" s="3" t="n">
        <v>14145.0</v>
      </c>
      <c r="F221" s="3" t="n">
        <v>14624.0</v>
      </c>
      <c r="G221" s="3" t="n">
        <v>13898.0</v>
      </c>
      <c r="H221" s="3" t="n">
        <v>13351.0</v>
      </c>
      <c r="I221" s="3" t="n">
        <v>12913.0</v>
      </c>
      <c r="J221" s="3" t="n">
        <v>12676.0</v>
      </c>
      <c r="K221" s="3" t="n">
        <v>11585.0</v>
      </c>
      <c r="L221" s="3" t="n">
        <v>11765.0</v>
      </c>
      <c r="M221" s="3" t="n">
        <v>11599.0</v>
      </c>
      <c r="N221" s="3" t="n">
        <v>11488.0</v>
      </c>
      <c r="O221" s="3" t="n">
        <v>11311.0</v>
      </c>
      <c r="P221" s="3" t="n">
        <v>11152.0</v>
      </c>
      <c r="Q221" s="3" t="n">
        <v>10981.0</v>
      </c>
      <c r="R221" s="3" t="n">
        <v>10871.0</v>
      </c>
      <c r="S221" s="3" t="n">
        <v>10764.0</v>
      </c>
      <c r="T221" s="3" t="n">
        <v>10661.0</v>
      </c>
      <c r="U221" s="3" t="n">
        <v>10540.0</v>
      </c>
      <c r="V221" s="3" t="n">
        <v>10435.0</v>
      </c>
      <c r="W221" s="3" t="n">
        <v>10355.0</v>
      </c>
      <c r="X221" s="3" t="n">
        <v>10309.0</v>
      </c>
      <c r="Y221" s="3" t="n">
        <v>10273.0</v>
      </c>
      <c r="Z221" s="3" t="n">
        <v>10288.0</v>
      </c>
      <c r="AA221" s="3" t="n">
        <v>10322.0</v>
      </c>
      <c r="AB221" s="3" t="n">
        <v>10377.0</v>
      </c>
      <c r="AC221" s="3" t="n">
        <v>10442.0</v>
      </c>
      <c r="AD221" s="3" t="n">
        <v>10501.0</v>
      </c>
      <c r="AE221" s="3" t="n">
        <v>10568.0</v>
      </c>
      <c r="AF221" s="3" t="n">
        <v>10604.0</v>
      </c>
      <c r="AG221" s="3" t="n">
        <v>10625.0</v>
      </c>
      <c r="AH221" s="3" t="n">
        <v>10637.0</v>
      </c>
      <c r="AI221" s="3" t="n">
        <v>10618.0</v>
      </c>
      <c r="AJ221" s="3" t="n">
        <v>10565.0</v>
      </c>
      <c r="AK221" s="3" t="n">
        <v>10486.0</v>
      </c>
      <c r="AL221" s="3" t="n">
        <v>10411.0</v>
      </c>
      <c r="AM221" s="3" t="n">
        <v>10293.0</v>
      </c>
      <c r="AN221" s="3" t="n">
        <v>10166.0</v>
      </c>
      <c r="AO221" s="3" t="n">
        <v>10035.0</v>
      </c>
    </row>
    <row r="222" spans="1:41" x14ac:dyDescent="0.2">
      <c r="A222" s="125"/>
      <c r="B222" s="9">
        <v>9</v>
      </c>
      <c r="C222" s="3" t="n">
        <v>13333.0</v>
      </c>
      <c r="D222" s="3" t="n">
        <v>14118.0</v>
      </c>
      <c r="E222" s="3" t="n">
        <v>13823.0</v>
      </c>
      <c r="F222" s="3" t="n">
        <v>14162.0</v>
      </c>
      <c r="G222" s="3" t="n">
        <v>14643.0</v>
      </c>
      <c r="H222" s="3" t="n">
        <v>14065.0</v>
      </c>
      <c r="I222" s="3" t="n">
        <v>13572.0</v>
      </c>
      <c r="J222" s="3" t="n">
        <v>13017.0</v>
      </c>
      <c r="K222" s="3" t="n">
        <v>12723.0</v>
      </c>
      <c r="L222" s="3" t="n">
        <v>11613.0</v>
      </c>
      <c r="M222" s="3" t="n">
        <v>11779.0</v>
      </c>
      <c r="N222" s="3" t="n">
        <v>11607.0</v>
      </c>
      <c r="O222" s="3" t="n">
        <v>11499.0</v>
      </c>
      <c r="P222" s="3" t="n">
        <v>11323.0</v>
      </c>
      <c r="Q222" s="3" t="n">
        <v>11164.0</v>
      </c>
      <c r="R222" s="3" t="n">
        <v>10995.0</v>
      </c>
      <c r="S222" s="3" t="n">
        <v>10886.0</v>
      </c>
      <c r="T222" s="3" t="n">
        <v>10779.0</v>
      </c>
      <c r="U222" s="3" t="n">
        <v>10674.0</v>
      </c>
      <c r="V222" s="3" t="n">
        <v>10552.0</v>
      </c>
      <c r="W222" s="3" t="n">
        <v>10448.0</v>
      </c>
      <c r="X222" s="3" t="n">
        <v>10369.0</v>
      </c>
      <c r="Y222" s="3" t="n">
        <v>10324.0</v>
      </c>
      <c r="Z222" s="3" t="n">
        <v>10287.0</v>
      </c>
      <c r="AA222" s="3" t="n">
        <v>10301.0</v>
      </c>
      <c r="AB222" s="3" t="n">
        <v>10335.0</v>
      </c>
      <c r="AC222" s="3" t="n">
        <v>10389.0</v>
      </c>
      <c r="AD222" s="3" t="n">
        <v>10453.0</v>
      </c>
      <c r="AE222" s="3" t="n">
        <v>10513.0</v>
      </c>
      <c r="AF222" s="3" t="n">
        <v>10581.0</v>
      </c>
      <c r="AG222" s="3" t="n">
        <v>10616.0</v>
      </c>
      <c r="AH222" s="3" t="n">
        <v>10640.0</v>
      </c>
      <c r="AI222" s="3" t="n">
        <v>10650.0</v>
      </c>
      <c r="AJ222" s="3" t="n">
        <v>10626.0</v>
      </c>
      <c r="AK222" s="3" t="n">
        <v>10572.0</v>
      </c>
      <c r="AL222" s="3" t="n">
        <v>10495.0</v>
      </c>
      <c r="AM222" s="3" t="n">
        <v>10420.0</v>
      </c>
      <c r="AN222" s="3" t="n">
        <v>10301.0</v>
      </c>
      <c r="AO222" s="3" t="n">
        <v>10174.0</v>
      </c>
    </row>
    <row r="223" spans="1:41" x14ac:dyDescent="0.2">
      <c r="A223" s="125"/>
      <c r="B223" s="9">
        <v>10</v>
      </c>
      <c r="C223" s="3" t="n">
        <v>13987.0</v>
      </c>
      <c r="D223" s="3" t="n">
        <v>13348.0</v>
      </c>
      <c r="E223" s="3" t="n">
        <v>14131.0</v>
      </c>
      <c r="F223" s="3" t="n">
        <v>13837.0</v>
      </c>
      <c r="G223" s="3" t="n">
        <v>14182.0</v>
      </c>
      <c r="H223" s="3" t="n">
        <v>14807.0</v>
      </c>
      <c r="I223" s="3" t="n">
        <v>14278.0</v>
      </c>
      <c r="J223" s="3" t="n">
        <v>13682.0</v>
      </c>
      <c r="K223" s="3" t="n">
        <v>13069.0</v>
      </c>
      <c r="L223" s="3" t="n">
        <v>12759.0</v>
      </c>
      <c r="M223" s="3" t="n">
        <v>11635.0</v>
      </c>
      <c r="N223" s="3" t="n">
        <v>11793.0</v>
      </c>
      <c r="O223" s="3" t="n">
        <v>11617.0</v>
      </c>
      <c r="P223" s="3" t="n">
        <v>11507.0</v>
      </c>
      <c r="Q223" s="3" t="n">
        <v>11331.0</v>
      </c>
      <c r="R223" s="3" t="n">
        <v>11171.0</v>
      </c>
      <c r="S223" s="3" t="n">
        <v>11007.0</v>
      </c>
      <c r="T223" s="3" t="n">
        <v>10901.0</v>
      </c>
      <c r="U223" s="3" t="n">
        <v>10795.0</v>
      </c>
      <c r="V223" s="3" t="n">
        <v>10693.0</v>
      </c>
      <c r="W223" s="3" t="n">
        <v>10575.0</v>
      </c>
      <c r="X223" s="3" t="n">
        <v>10469.0</v>
      </c>
      <c r="Y223" s="3" t="n">
        <v>10389.0</v>
      </c>
      <c r="Z223" s="3" t="n">
        <v>10342.0</v>
      </c>
      <c r="AA223" s="3" t="n">
        <v>10306.0</v>
      </c>
      <c r="AB223" s="3" t="n">
        <v>10320.0</v>
      </c>
      <c r="AC223" s="3" t="n">
        <v>10355.0</v>
      </c>
      <c r="AD223" s="3" t="n">
        <v>10406.0</v>
      </c>
      <c r="AE223" s="3" t="n">
        <v>10470.0</v>
      </c>
      <c r="AF223" s="3" t="n">
        <v>10529.0</v>
      </c>
      <c r="AG223" s="3" t="n">
        <v>10597.0</v>
      </c>
      <c r="AH223" s="3" t="n">
        <v>10630.0</v>
      </c>
      <c r="AI223" s="3" t="n">
        <v>10656.0</v>
      </c>
      <c r="AJ223" s="3" t="n">
        <v>10667.0</v>
      </c>
      <c r="AK223" s="3" t="n">
        <v>10644.0</v>
      </c>
      <c r="AL223" s="3" t="n">
        <v>10591.0</v>
      </c>
      <c r="AM223" s="3" t="n">
        <v>10513.0</v>
      </c>
      <c r="AN223" s="3" t="n">
        <v>10437.0</v>
      </c>
      <c r="AO223" s="3" t="n">
        <v>10318.0</v>
      </c>
    </row>
    <row r="224" spans="1:41" x14ac:dyDescent="0.2">
      <c r="A224" s="125"/>
      <c r="B224" s="9">
        <v>11</v>
      </c>
      <c r="C224" s="3" t="n">
        <v>14059.0</v>
      </c>
      <c r="D224" s="3" t="n">
        <v>14001.0</v>
      </c>
      <c r="E224" s="3" t="n">
        <v>13366.0</v>
      </c>
      <c r="F224" s="3" t="n">
        <v>14145.0</v>
      </c>
      <c r="G224" s="3" t="n">
        <v>13855.0</v>
      </c>
      <c r="H224" s="3" t="n">
        <v>14343.0</v>
      </c>
      <c r="I224" s="3" t="n">
        <v>15027.0</v>
      </c>
      <c r="J224" s="3" t="n">
        <v>14389.0</v>
      </c>
      <c r="K224" s="3" t="n">
        <v>13746.0</v>
      </c>
      <c r="L224" s="3" t="n">
        <v>13102.0</v>
      </c>
      <c r="M224" s="3" t="n">
        <v>12784.0</v>
      </c>
      <c r="N224" s="3" t="n">
        <v>11643.0</v>
      </c>
      <c r="O224" s="3" t="n">
        <v>11798.0</v>
      </c>
      <c r="P224" s="3" t="n">
        <v>11621.0</v>
      </c>
      <c r="Q224" s="3" t="n">
        <v>11509.0</v>
      </c>
      <c r="R224" s="3" t="n">
        <v>11333.0</v>
      </c>
      <c r="S224" s="3" t="n">
        <v>11175.0</v>
      </c>
      <c r="T224" s="3" t="n">
        <v>11012.0</v>
      </c>
      <c r="U224" s="3" t="n">
        <v>10905.0</v>
      </c>
      <c r="V224" s="3" t="n">
        <v>10799.0</v>
      </c>
      <c r="W224" s="3" t="n">
        <v>10698.0</v>
      </c>
      <c r="X224" s="3" t="n">
        <v>10581.0</v>
      </c>
      <c r="Y224" s="3" t="n">
        <v>10476.0</v>
      </c>
      <c r="Z224" s="3" t="n">
        <v>10398.0</v>
      </c>
      <c r="AA224" s="3" t="n">
        <v>10351.0</v>
      </c>
      <c r="AB224" s="3" t="n">
        <v>10317.0</v>
      </c>
      <c r="AC224" s="3" t="n">
        <v>10329.0</v>
      </c>
      <c r="AD224" s="3" t="n">
        <v>10364.0</v>
      </c>
      <c r="AE224" s="3" t="n">
        <v>10416.0</v>
      </c>
      <c r="AF224" s="3" t="n">
        <v>10481.0</v>
      </c>
      <c r="AG224" s="3" t="n">
        <v>10540.0</v>
      </c>
      <c r="AH224" s="3" t="n">
        <v>10607.0</v>
      </c>
      <c r="AI224" s="3" t="n">
        <v>10637.0</v>
      </c>
      <c r="AJ224" s="3" t="n">
        <v>10663.0</v>
      </c>
      <c r="AK224" s="3" t="n">
        <v>10676.0</v>
      </c>
      <c r="AL224" s="3" t="n">
        <v>10652.0</v>
      </c>
      <c r="AM224" s="3" t="n">
        <v>10599.0</v>
      </c>
      <c r="AN224" s="3" t="n">
        <v>10523.0</v>
      </c>
      <c r="AO224" s="3" t="n">
        <v>10447.0</v>
      </c>
    </row>
    <row r="225" spans="1:41" x14ac:dyDescent="0.2">
      <c r="A225" s="125"/>
      <c r="B225" s="9">
        <v>12</v>
      </c>
      <c r="C225" s="3" t="n">
        <v>14945.0</v>
      </c>
      <c r="D225" s="3" t="n">
        <v>14061.0</v>
      </c>
      <c r="E225" s="3" t="n">
        <v>14003.0</v>
      </c>
      <c r="F225" s="3" t="n">
        <v>13375.0</v>
      </c>
      <c r="G225" s="3" t="n">
        <v>14153.0</v>
      </c>
      <c r="H225" s="3" t="n">
        <v>14010.0</v>
      </c>
      <c r="I225" s="3" t="n">
        <v>14543.0</v>
      </c>
      <c r="J225" s="3" t="n">
        <v>15119.0</v>
      </c>
      <c r="K225" s="3" t="n">
        <v>14425.0</v>
      </c>
      <c r="L225" s="3" t="n">
        <v>13770.0</v>
      </c>
      <c r="M225" s="3" t="n">
        <v>13121.0</v>
      </c>
      <c r="N225" s="3" t="n">
        <v>12787.0</v>
      </c>
      <c r="O225" s="3" t="n">
        <v>11640.0</v>
      </c>
      <c r="P225" s="3" t="n">
        <v>11792.0</v>
      </c>
      <c r="Q225" s="3" t="n">
        <v>11616.0</v>
      </c>
      <c r="R225" s="3" t="n">
        <v>11506.0</v>
      </c>
      <c r="S225" s="3" t="n">
        <v>11332.0</v>
      </c>
      <c r="T225" s="3" t="n">
        <v>11174.0</v>
      </c>
      <c r="U225" s="3" t="n">
        <v>11011.0</v>
      </c>
      <c r="V225" s="3" t="n">
        <v>10906.0</v>
      </c>
      <c r="W225" s="3" t="n">
        <v>10798.0</v>
      </c>
      <c r="X225" s="3" t="n">
        <v>10697.0</v>
      </c>
      <c r="Y225" s="3" t="n">
        <v>10581.0</v>
      </c>
      <c r="Z225" s="3" t="n">
        <v>10476.0</v>
      </c>
      <c r="AA225" s="3" t="n">
        <v>10399.0</v>
      </c>
      <c r="AB225" s="3" t="n">
        <v>10353.0</v>
      </c>
      <c r="AC225" s="3" t="n">
        <v>10320.0</v>
      </c>
      <c r="AD225" s="3" t="n">
        <v>10332.0</v>
      </c>
      <c r="AE225" s="3" t="n">
        <v>10368.0</v>
      </c>
      <c r="AF225" s="3" t="n">
        <v>10419.0</v>
      </c>
      <c r="AG225" s="3" t="n">
        <v>10483.0</v>
      </c>
      <c r="AH225" s="3" t="n">
        <v>10542.0</v>
      </c>
      <c r="AI225" s="3" t="n">
        <v>10610.0</v>
      </c>
      <c r="AJ225" s="3" t="n">
        <v>10641.0</v>
      </c>
      <c r="AK225" s="3" t="n">
        <v>10666.0</v>
      </c>
      <c r="AL225" s="3" t="n">
        <v>10679.0</v>
      </c>
      <c r="AM225" s="3" t="n">
        <v>10657.0</v>
      </c>
      <c r="AN225" s="3" t="n">
        <v>10601.0</v>
      </c>
      <c r="AO225" s="3" t="n">
        <v>10527.0</v>
      </c>
    </row>
    <row r="226" spans="1:41" x14ac:dyDescent="0.2">
      <c r="A226" s="125"/>
      <c r="B226" s="9">
        <v>13</v>
      </c>
      <c r="C226" s="3" t="n">
        <v>15225.0</v>
      </c>
      <c r="D226" s="3" t="n">
        <v>14955.0</v>
      </c>
      <c r="E226" s="3" t="n">
        <v>14071.0</v>
      </c>
      <c r="F226" s="3" t="n">
        <v>14019.0</v>
      </c>
      <c r="G226" s="3" t="n">
        <v>13392.0</v>
      </c>
      <c r="H226" s="3" t="n">
        <v>14296.0</v>
      </c>
      <c r="I226" s="3" t="n">
        <v>14217.0</v>
      </c>
      <c r="J226" s="3" t="n">
        <v>14641.0</v>
      </c>
      <c r="K226" s="3" t="n">
        <v>15163.0</v>
      </c>
      <c r="L226" s="3" t="n">
        <v>14455.0</v>
      </c>
      <c r="M226" s="3" t="n">
        <v>13786.0</v>
      </c>
      <c r="N226" s="3" t="n">
        <v>13123.0</v>
      </c>
      <c r="O226" s="3" t="n">
        <v>12791.0</v>
      </c>
      <c r="P226" s="3" t="n">
        <v>11640.0</v>
      </c>
      <c r="Q226" s="3" t="n">
        <v>11794.0</v>
      </c>
      <c r="R226" s="3" t="n">
        <v>11618.0</v>
      </c>
      <c r="S226" s="3" t="n">
        <v>11507.0</v>
      </c>
      <c r="T226" s="3" t="n">
        <v>11332.0</v>
      </c>
      <c r="U226" s="3" t="n">
        <v>11175.0</v>
      </c>
      <c r="V226" s="3" t="n">
        <v>11011.0</v>
      </c>
      <c r="W226" s="3" t="n">
        <v>10906.0</v>
      </c>
      <c r="X226" s="3" t="n">
        <v>10797.0</v>
      </c>
      <c r="Y226" s="3" t="n">
        <v>10696.0</v>
      </c>
      <c r="Z226" s="3" t="n">
        <v>10581.0</v>
      </c>
      <c r="AA226" s="3" t="n">
        <v>10475.0</v>
      </c>
      <c r="AB226" s="3" t="n">
        <v>10400.0</v>
      </c>
      <c r="AC226" s="3" t="n">
        <v>10353.0</v>
      </c>
      <c r="AD226" s="3" t="n">
        <v>10321.0</v>
      </c>
      <c r="AE226" s="3" t="n">
        <v>10332.0</v>
      </c>
      <c r="AF226" s="3" t="n">
        <v>10370.0</v>
      </c>
      <c r="AG226" s="3" t="n">
        <v>10421.0</v>
      </c>
      <c r="AH226" s="3" t="n">
        <v>10486.0</v>
      </c>
      <c r="AI226" s="3" t="n">
        <v>10546.0</v>
      </c>
      <c r="AJ226" s="3" t="n">
        <v>10614.0</v>
      </c>
      <c r="AK226" s="3" t="n">
        <v>10644.0</v>
      </c>
      <c r="AL226" s="3" t="n">
        <v>10668.0</v>
      </c>
      <c r="AM226" s="3" t="n">
        <v>10681.0</v>
      </c>
      <c r="AN226" s="3" t="n">
        <v>10660.0</v>
      </c>
      <c r="AO226" s="3" t="n">
        <v>10603.0</v>
      </c>
    </row>
    <row r="227" spans="1:41" x14ac:dyDescent="0.2">
      <c r="A227" s="125"/>
      <c r="B227" s="9">
        <v>14</v>
      </c>
      <c r="C227" s="3" t="n">
        <v>15049.0</v>
      </c>
      <c r="D227" s="3" t="n">
        <v>15231.0</v>
      </c>
      <c r="E227" s="3" t="n">
        <v>14962.0</v>
      </c>
      <c r="F227" s="3" t="n">
        <v>14081.0</v>
      </c>
      <c r="G227" s="3" t="n">
        <v>14040.0</v>
      </c>
      <c r="H227" s="3" t="n">
        <v>13545.0</v>
      </c>
      <c r="I227" s="3" t="n">
        <v>14492.0</v>
      </c>
      <c r="J227" s="3" t="n">
        <v>14306.0</v>
      </c>
      <c r="K227" s="3" t="n">
        <v>14685.0</v>
      </c>
      <c r="L227" s="3" t="n">
        <v>15192.0</v>
      </c>
      <c r="M227" s="3" t="n">
        <v>14475.0</v>
      </c>
      <c r="N227" s="3" t="n">
        <v>13794.0</v>
      </c>
      <c r="O227" s="3" t="n">
        <v>13130.0</v>
      </c>
      <c r="P227" s="3" t="n">
        <v>12802.0</v>
      </c>
      <c r="Q227" s="3" t="n">
        <v>11644.0</v>
      </c>
      <c r="R227" s="3" t="n">
        <v>11795.0</v>
      </c>
      <c r="S227" s="3" t="n">
        <v>11621.0</v>
      </c>
      <c r="T227" s="3" t="n">
        <v>11510.0</v>
      </c>
      <c r="U227" s="3" t="n">
        <v>11336.0</v>
      </c>
      <c r="V227" s="3" t="n">
        <v>11175.0</v>
      </c>
      <c r="W227" s="3" t="n">
        <v>11011.0</v>
      </c>
      <c r="X227" s="3" t="n">
        <v>10905.0</v>
      </c>
      <c r="Y227" s="3" t="n">
        <v>10797.0</v>
      </c>
      <c r="Z227" s="3" t="n">
        <v>10696.0</v>
      </c>
      <c r="AA227" s="3" t="n">
        <v>10585.0</v>
      </c>
      <c r="AB227" s="3" t="n">
        <v>10480.0</v>
      </c>
      <c r="AC227" s="3" t="n">
        <v>10407.0</v>
      </c>
      <c r="AD227" s="3" t="n">
        <v>10360.0</v>
      </c>
      <c r="AE227" s="3" t="n">
        <v>10329.0</v>
      </c>
      <c r="AF227" s="3" t="n">
        <v>10340.0</v>
      </c>
      <c r="AG227" s="3" t="n">
        <v>10378.0</v>
      </c>
      <c r="AH227" s="3" t="n">
        <v>10427.0</v>
      </c>
      <c r="AI227" s="3" t="n">
        <v>10491.0</v>
      </c>
      <c r="AJ227" s="3" t="n">
        <v>10551.0</v>
      </c>
      <c r="AK227" s="3" t="n">
        <v>10619.0</v>
      </c>
      <c r="AL227" s="3" t="n">
        <v>10649.0</v>
      </c>
      <c r="AM227" s="3" t="n">
        <v>10673.0</v>
      </c>
      <c r="AN227" s="3" t="n">
        <v>10686.0</v>
      </c>
      <c r="AO227" s="3" t="n">
        <v>10665.0</v>
      </c>
    </row>
    <row r="228" spans="1:41" x14ac:dyDescent="0.2">
      <c r="A228" s="125"/>
      <c r="B228" s="9">
        <v>15</v>
      </c>
      <c r="C228" s="3" t="n">
        <v>13932.0</v>
      </c>
      <c r="D228" s="3" t="n">
        <v>15046.0</v>
      </c>
      <c r="E228" s="3" t="n">
        <v>15226.0</v>
      </c>
      <c r="F228" s="3" t="n">
        <v>14960.0</v>
      </c>
      <c r="G228" s="3" t="n">
        <v>14083.0</v>
      </c>
      <c r="H228" s="3" t="n">
        <v>14171.0</v>
      </c>
      <c r="I228" s="3" t="n">
        <v>13716.0</v>
      </c>
      <c r="J228" s="3" t="n">
        <v>14568.0</v>
      </c>
      <c r="K228" s="3" t="n">
        <v>14331.0</v>
      </c>
      <c r="L228" s="3" t="n">
        <v>14702.0</v>
      </c>
      <c r="M228" s="3" t="n">
        <v>15201.0</v>
      </c>
      <c r="N228" s="3" t="n">
        <v>14473.0</v>
      </c>
      <c r="O228" s="3" t="n">
        <v>13789.0</v>
      </c>
      <c r="P228" s="3" t="n">
        <v>13131.0</v>
      </c>
      <c r="Q228" s="3" t="n">
        <v>12799.0</v>
      </c>
      <c r="R228" s="3" t="n">
        <v>11643.0</v>
      </c>
      <c r="S228" s="3" t="n">
        <v>11791.0</v>
      </c>
      <c r="T228" s="3" t="n">
        <v>11618.0</v>
      </c>
      <c r="U228" s="3" t="n">
        <v>11507.0</v>
      </c>
      <c r="V228" s="3" t="n">
        <v>11335.0</v>
      </c>
      <c r="W228" s="3" t="n">
        <v>11175.0</v>
      </c>
      <c r="X228" s="3" t="n">
        <v>11011.0</v>
      </c>
      <c r="Y228" s="3" t="n">
        <v>10905.0</v>
      </c>
      <c r="Z228" s="3" t="n">
        <v>10797.0</v>
      </c>
      <c r="AA228" s="3" t="n">
        <v>10696.0</v>
      </c>
      <c r="AB228" s="3" t="n">
        <v>10584.0</v>
      </c>
      <c r="AC228" s="3" t="n">
        <v>10478.0</v>
      </c>
      <c r="AD228" s="3" t="n">
        <v>10406.0</v>
      </c>
      <c r="AE228" s="3" t="n">
        <v>10359.0</v>
      </c>
      <c r="AF228" s="3" t="n">
        <v>10328.0</v>
      </c>
      <c r="AG228" s="3" t="n">
        <v>10340.0</v>
      </c>
      <c r="AH228" s="3" t="n">
        <v>10378.0</v>
      </c>
      <c r="AI228" s="3" t="n">
        <v>10429.0</v>
      </c>
      <c r="AJ228" s="3" t="n">
        <v>10491.0</v>
      </c>
      <c r="AK228" s="3" t="n">
        <v>10551.0</v>
      </c>
      <c r="AL228" s="3" t="n">
        <v>10618.0</v>
      </c>
      <c r="AM228" s="3" t="n">
        <v>10649.0</v>
      </c>
      <c r="AN228" s="3" t="n">
        <v>10674.0</v>
      </c>
      <c r="AO228" s="3" t="n">
        <v>10687.0</v>
      </c>
    </row>
    <row r="229" spans="1:41" x14ac:dyDescent="0.2">
      <c r="A229" s="125"/>
      <c r="B229" s="9">
        <v>16</v>
      </c>
      <c r="C229" s="3" t="n">
        <v>13011.0</v>
      </c>
      <c r="D229" s="3" t="n">
        <v>13926.0</v>
      </c>
      <c r="E229" s="3" t="n">
        <v>15041.0</v>
      </c>
      <c r="F229" s="3" t="n">
        <v>15223.0</v>
      </c>
      <c r="G229" s="3" t="n">
        <v>14960.0</v>
      </c>
      <c r="H229" s="3" t="n">
        <v>14199.0</v>
      </c>
      <c r="I229" s="3" t="n">
        <v>14329.0</v>
      </c>
      <c r="J229" s="3" t="n">
        <v>13791.0</v>
      </c>
      <c r="K229" s="3" t="n">
        <v>14584.0</v>
      </c>
      <c r="L229" s="3" t="n">
        <v>14338.0</v>
      </c>
      <c r="M229" s="3" t="n">
        <v>14707.0</v>
      </c>
      <c r="N229" s="3" t="n">
        <v>15196.0</v>
      </c>
      <c r="O229" s="3" t="n">
        <v>14467.0</v>
      </c>
      <c r="P229" s="3" t="n">
        <v>13783.0</v>
      </c>
      <c r="Q229" s="3" t="n">
        <v>13113.0</v>
      </c>
      <c r="R229" s="3" t="n">
        <v>12779.0</v>
      </c>
      <c r="S229" s="3" t="n">
        <v>11629.0</v>
      </c>
      <c r="T229" s="3" t="n">
        <v>11776.0</v>
      </c>
      <c r="U229" s="3" t="n">
        <v>11602.0</v>
      </c>
      <c r="V229" s="3" t="n">
        <v>11488.0</v>
      </c>
      <c r="W229" s="3" t="n">
        <v>11318.0</v>
      </c>
      <c r="X229" s="3" t="n">
        <v>11161.0</v>
      </c>
      <c r="Y229" s="3" t="n">
        <v>10998.0</v>
      </c>
      <c r="Z229" s="3" t="n">
        <v>10892.0</v>
      </c>
      <c r="AA229" s="3" t="n">
        <v>10788.0</v>
      </c>
      <c r="AB229" s="3" t="n">
        <v>10687.0</v>
      </c>
      <c r="AC229" s="3" t="n">
        <v>10574.0</v>
      </c>
      <c r="AD229" s="3" t="n">
        <v>10470.0</v>
      </c>
      <c r="AE229" s="3" t="n">
        <v>10399.0</v>
      </c>
      <c r="AF229" s="3" t="n">
        <v>10352.0</v>
      </c>
      <c r="AG229" s="3" t="n">
        <v>10321.0</v>
      </c>
      <c r="AH229" s="3" t="n">
        <v>10333.0</v>
      </c>
      <c r="AI229" s="3" t="n">
        <v>10370.0</v>
      </c>
      <c r="AJ229" s="3" t="n">
        <v>10422.0</v>
      </c>
      <c r="AK229" s="3" t="n">
        <v>10484.0</v>
      </c>
      <c r="AL229" s="3" t="n">
        <v>10543.0</v>
      </c>
      <c r="AM229" s="3" t="n">
        <v>10611.0</v>
      </c>
      <c r="AN229" s="3" t="n">
        <v>10640.0</v>
      </c>
      <c r="AO229" s="3" t="n">
        <v>10665.0</v>
      </c>
    </row>
    <row r="230" spans="1:41" x14ac:dyDescent="0.2">
      <c r="A230" s="125"/>
      <c r="B230" s="9">
        <v>17</v>
      </c>
      <c r="C230" s="3" t="n">
        <v>12298.0</v>
      </c>
      <c r="D230" s="3" t="n">
        <v>13002.0</v>
      </c>
      <c r="E230" s="3" t="n">
        <v>13913.0</v>
      </c>
      <c r="F230" s="3" t="n">
        <v>15028.0</v>
      </c>
      <c r="G230" s="3" t="n">
        <v>15216.0</v>
      </c>
      <c r="H230" s="3" t="n">
        <v>15063.0</v>
      </c>
      <c r="I230" s="3" t="n">
        <v>14343.0</v>
      </c>
      <c r="J230" s="3" t="n">
        <v>14389.0</v>
      </c>
      <c r="K230" s="3" t="n">
        <v>13807.0</v>
      </c>
      <c r="L230" s="3" t="n">
        <v>14583.0</v>
      </c>
      <c r="M230" s="3" t="n">
        <v>14328.0</v>
      </c>
      <c r="N230" s="3" t="n">
        <v>14698.0</v>
      </c>
      <c r="O230" s="3" t="n">
        <v>15188.0</v>
      </c>
      <c r="P230" s="3" t="n">
        <v>14458.0</v>
      </c>
      <c r="Q230" s="3" t="n">
        <v>13770.0</v>
      </c>
      <c r="R230" s="3" t="n">
        <v>13103.0</v>
      </c>
      <c r="S230" s="3" t="n">
        <v>12772.0</v>
      </c>
      <c r="T230" s="3" t="n">
        <v>11623.0</v>
      </c>
      <c r="U230" s="3" t="n">
        <v>11769.0</v>
      </c>
      <c r="V230" s="3" t="n">
        <v>11597.0</v>
      </c>
      <c r="W230" s="3" t="n">
        <v>11483.0</v>
      </c>
      <c r="X230" s="3" t="n">
        <v>11313.0</v>
      </c>
      <c r="Y230" s="3" t="n">
        <v>11158.0</v>
      </c>
      <c r="Z230" s="3" t="n">
        <v>10992.0</v>
      </c>
      <c r="AA230" s="3" t="n">
        <v>10886.0</v>
      </c>
      <c r="AB230" s="3" t="n">
        <v>10782.0</v>
      </c>
      <c r="AC230" s="3" t="n">
        <v>10681.0</v>
      </c>
      <c r="AD230" s="3" t="n">
        <v>10569.0</v>
      </c>
      <c r="AE230" s="3" t="n">
        <v>10466.0</v>
      </c>
      <c r="AF230" s="3" t="n">
        <v>10395.0</v>
      </c>
      <c r="AG230" s="3" t="n">
        <v>10348.0</v>
      </c>
      <c r="AH230" s="3" t="n">
        <v>10317.0</v>
      </c>
      <c r="AI230" s="3" t="n">
        <v>10329.0</v>
      </c>
      <c r="AJ230" s="3" t="n">
        <v>10366.0</v>
      </c>
      <c r="AK230" s="3" t="n">
        <v>10418.0</v>
      </c>
      <c r="AL230" s="3" t="n">
        <v>10480.0</v>
      </c>
      <c r="AM230" s="3" t="n">
        <v>10538.0</v>
      </c>
      <c r="AN230" s="3" t="n">
        <v>10606.0</v>
      </c>
      <c r="AO230" s="3" t="n">
        <v>10636.0</v>
      </c>
    </row>
    <row r="231" spans="1:41" x14ac:dyDescent="0.2">
      <c r="A231" s="125"/>
      <c r="B231" s="9">
        <v>18</v>
      </c>
      <c r="C231" s="3" t="n">
        <v>11801.0</v>
      </c>
      <c r="D231" s="3" t="n">
        <v>12290.0</v>
      </c>
      <c r="E231" s="3" t="n">
        <v>12993.0</v>
      </c>
      <c r="F231" s="3" t="n">
        <v>13908.0</v>
      </c>
      <c r="G231" s="3" t="n">
        <v>15024.0</v>
      </c>
      <c r="H231" s="3" t="n">
        <v>15321.0</v>
      </c>
      <c r="I231" s="3" t="n">
        <v>15218.0</v>
      </c>
      <c r="J231" s="3" t="n">
        <v>14411.0</v>
      </c>
      <c r="K231" s="3" t="n">
        <v>14413.0</v>
      </c>
      <c r="L231" s="3" t="n">
        <v>13820.0</v>
      </c>
      <c r="M231" s="3" t="n">
        <v>14582.0</v>
      </c>
      <c r="N231" s="3" t="n">
        <v>14319.0</v>
      </c>
      <c r="O231" s="3" t="n">
        <v>14689.0</v>
      </c>
      <c r="P231" s="3" t="n">
        <v>15179.0</v>
      </c>
      <c r="Q231" s="3" t="n">
        <v>14451.0</v>
      </c>
      <c r="R231" s="3" t="n">
        <v>13763.0</v>
      </c>
      <c r="S231" s="3" t="n">
        <v>13091.0</v>
      </c>
      <c r="T231" s="3" t="n">
        <v>12758.0</v>
      </c>
      <c r="U231" s="3" t="n">
        <v>11612.0</v>
      </c>
      <c r="V231" s="3" t="n">
        <v>11757.0</v>
      </c>
      <c r="W231" s="3" t="n">
        <v>11583.0</v>
      </c>
      <c r="X231" s="3" t="n">
        <v>11471.0</v>
      </c>
      <c r="Y231" s="3" t="n">
        <v>11300.0</v>
      </c>
      <c r="Z231" s="3" t="n">
        <v>11148.0</v>
      </c>
      <c r="AA231" s="3" t="n">
        <v>10985.0</v>
      </c>
      <c r="AB231" s="3" t="n">
        <v>10878.0</v>
      </c>
      <c r="AC231" s="3" t="n">
        <v>10775.0</v>
      </c>
      <c r="AD231" s="3" t="n">
        <v>10676.0</v>
      </c>
      <c r="AE231" s="3" t="n">
        <v>10564.0</v>
      </c>
      <c r="AF231" s="3" t="n">
        <v>10462.0</v>
      </c>
      <c r="AG231" s="3" t="n">
        <v>10392.0</v>
      </c>
      <c r="AH231" s="3" t="n">
        <v>10345.0</v>
      </c>
      <c r="AI231" s="3" t="n">
        <v>10314.0</v>
      </c>
      <c r="AJ231" s="3" t="n">
        <v>10326.0</v>
      </c>
      <c r="AK231" s="3" t="n">
        <v>10363.0</v>
      </c>
      <c r="AL231" s="3" t="n">
        <v>10415.0</v>
      </c>
      <c r="AM231" s="3" t="n">
        <v>10477.0</v>
      </c>
      <c r="AN231" s="3" t="n">
        <v>10534.0</v>
      </c>
      <c r="AO231" s="3" t="n">
        <v>10600.0</v>
      </c>
    </row>
    <row r="232" spans="1:41" x14ac:dyDescent="0.2">
      <c r="A232" s="125"/>
      <c r="B232" s="9">
        <v>19</v>
      </c>
      <c r="C232" s="3" t="n">
        <v>11364.0</v>
      </c>
      <c r="D232" s="3" t="n">
        <v>11795.0</v>
      </c>
      <c r="E232" s="3" t="n">
        <v>12283.0</v>
      </c>
      <c r="F232" s="3" t="n">
        <v>12989.0</v>
      </c>
      <c r="G232" s="3" t="n">
        <v>13902.0</v>
      </c>
      <c r="H232" s="3" t="n">
        <v>15144.0</v>
      </c>
      <c r="I232" s="3" t="n">
        <v>15475.0</v>
      </c>
      <c r="J232" s="3" t="n">
        <v>15286.0</v>
      </c>
      <c r="K232" s="3" t="n">
        <v>14431.0</v>
      </c>
      <c r="L232" s="3" t="n">
        <v>14419.0</v>
      </c>
      <c r="M232" s="3" t="n">
        <v>13814.0</v>
      </c>
      <c r="N232" s="3" t="n">
        <v>14571.0</v>
      </c>
      <c r="O232" s="3" t="n">
        <v>14306.0</v>
      </c>
      <c r="P232" s="3" t="n">
        <v>14673.0</v>
      </c>
      <c r="Q232" s="3" t="n">
        <v>15166.0</v>
      </c>
      <c r="R232" s="3" t="n">
        <v>14439.0</v>
      </c>
      <c r="S232" s="3" t="n">
        <v>13750.0</v>
      </c>
      <c r="T232" s="3" t="n">
        <v>13081.0</v>
      </c>
      <c r="U232" s="3" t="n">
        <v>12753.0</v>
      </c>
      <c r="V232" s="3" t="n">
        <v>11602.0</v>
      </c>
      <c r="W232" s="3" t="n">
        <v>11742.0</v>
      </c>
      <c r="X232" s="3" t="n">
        <v>11571.0</v>
      </c>
      <c r="Y232" s="3" t="n">
        <v>11459.0</v>
      </c>
      <c r="Z232" s="3" t="n">
        <v>11289.0</v>
      </c>
      <c r="AA232" s="3" t="n">
        <v>11138.0</v>
      </c>
      <c r="AB232" s="3" t="n">
        <v>10976.0</v>
      </c>
      <c r="AC232" s="3" t="n">
        <v>10868.0</v>
      </c>
      <c r="AD232" s="3" t="n">
        <v>10766.0</v>
      </c>
      <c r="AE232" s="3" t="n">
        <v>10666.0</v>
      </c>
      <c r="AF232" s="3" t="n">
        <v>10556.0</v>
      </c>
      <c r="AG232" s="3" t="n">
        <v>10455.0</v>
      </c>
      <c r="AH232" s="3" t="n">
        <v>10385.0</v>
      </c>
      <c r="AI232" s="3" t="n">
        <v>10337.0</v>
      </c>
      <c r="AJ232" s="3" t="n">
        <v>10304.0</v>
      </c>
      <c r="AK232" s="3" t="n">
        <v>10318.0</v>
      </c>
      <c r="AL232" s="3" t="n">
        <v>10356.0</v>
      </c>
      <c r="AM232" s="3" t="n">
        <v>10409.0</v>
      </c>
      <c r="AN232" s="3" t="n">
        <v>10471.0</v>
      </c>
      <c r="AO232" s="3" t="n">
        <v>10527.0</v>
      </c>
    </row>
    <row r="233" spans="1:41" x14ac:dyDescent="0.2">
      <c r="A233" s="125"/>
      <c r="B233" s="9">
        <v>20</v>
      </c>
      <c r="C233" s="3" t="n">
        <v>11674.0</v>
      </c>
      <c r="D233" s="3" t="n">
        <v>11353.0</v>
      </c>
      <c r="E233" s="3" t="n">
        <v>11787.0</v>
      </c>
      <c r="F233" s="3" t="n">
        <v>12274.0</v>
      </c>
      <c r="G233" s="3" t="n">
        <v>12989.0</v>
      </c>
      <c r="H233" s="3" t="n">
        <v>14003.0</v>
      </c>
      <c r="I233" s="3" t="n">
        <v>15286.0</v>
      </c>
      <c r="J233" s="3" t="n">
        <v>15531.0</v>
      </c>
      <c r="K233" s="3" t="n">
        <v>15298.0</v>
      </c>
      <c r="L233" s="3" t="n">
        <v>14433.0</v>
      </c>
      <c r="M233" s="3" t="n">
        <v>14418.0</v>
      </c>
      <c r="N233" s="3" t="n">
        <v>13810.0</v>
      </c>
      <c r="O233" s="3" t="n">
        <v>14562.0</v>
      </c>
      <c r="P233" s="3" t="n">
        <v>14294.0</v>
      </c>
      <c r="Q233" s="3" t="n">
        <v>14664.0</v>
      </c>
      <c r="R233" s="3" t="n">
        <v>15152.0</v>
      </c>
      <c r="S233" s="3" t="n">
        <v>14433.0</v>
      </c>
      <c r="T233" s="3" t="n">
        <v>13741.0</v>
      </c>
      <c r="U233" s="3" t="n">
        <v>13070.0</v>
      </c>
      <c r="V233" s="3" t="n">
        <v>12742.0</v>
      </c>
      <c r="W233" s="3" t="n">
        <v>11589.0</v>
      </c>
      <c r="X233" s="3" t="n">
        <v>11730.0</v>
      </c>
      <c r="Y233" s="3" t="n">
        <v>11554.0</v>
      </c>
      <c r="Z233" s="3" t="n">
        <v>11444.0</v>
      </c>
      <c r="AA233" s="3" t="n">
        <v>11274.0</v>
      </c>
      <c r="AB233" s="3" t="n">
        <v>11123.0</v>
      </c>
      <c r="AC233" s="3" t="n">
        <v>10962.0</v>
      </c>
      <c r="AD233" s="3" t="n">
        <v>10855.0</v>
      </c>
      <c r="AE233" s="3" t="n">
        <v>10753.0</v>
      </c>
      <c r="AF233" s="3" t="n">
        <v>10653.0</v>
      </c>
      <c r="AG233" s="3" t="n">
        <v>10544.0</v>
      </c>
      <c r="AH233" s="3" t="n">
        <v>10443.0</v>
      </c>
      <c r="AI233" s="3" t="n">
        <v>10374.0</v>
      </c>
      <c r="AJ233" s="3" t="n">
        <v>10325.0</v>
      </c>
      <c r="AK233" s="3" t="n">
        <v>10292.0</v>
      </c>
      <c r="AL233" s="3" t="n">
        <v>10305.0</v>
      </c>
      <c r="AM233" s="3" t="n">
        <v>10343.0</v>
      </c>
      <c r="AN233" s="3" t="n">
        <v>10396.0</v>
      </c>
      <c r="AO233" s="3" t="n">
        <v>10459.0</v>
      </c>
    </row>
    <row r="234" spans="1:41" x14ac:dyDescent="0.2">
      <c r="A234" s="125"/>
      <c r="B234" s="9">
        <v>21</v>
      </c>
      <c r="C234" s="3" t="n">
        <v>12521.0</v>
      </c>
      <c r="D234" s="3" t="n">
        <v>11669.0</v>
      </c>
      <c r="E234" s="3" t="n">
        <v>11346.0</v>
      </c>
      <c r="F234" s="3" t="n">
        <v>11778.0</v>
      </c>
      <c r="G234" s="3" t="n">
        <v>12269.0</v>
      </c>
      <c r="H234" s="3" t="n">
        <v>13083.0</v>
      </c>
      <c r="I234" s="3" t="n">
        <v>14137.0</v>
      </c>
      <c r="J234" s="3" t="n">
        <v>15338.0</v>
      </c>
      <c r="K234" s="3" t="n">
        <v>15547.0</v>
      </c>
      <c r="L234" s="3" t="n">
        <v>15298.0</v>
      </c>
      <c r="M234" s="3" t="n">
        <v>14429.0</v>
      </c>
      <c r="N234" s="3" t="n">
        <v>14410.0</v>
      </c>
      <c r="O234" s="3" t="n">
        <v>13801.0</v>
      </c>
      <c r="P234" s="3" t="n">
        <v>14550.0</v>
      </c>
      <c r="Q234" s="3" t="n">
        <v>14282.0</v>
      </c>
      <c r="R234" s="3" t="n">
        <v>14656.0</v>
      </c>
      <c r="S234" s="3" t="n">
        <v>15145.0</v>
      </c>
      <c r="T234" s="3" t="n">
        <v>14424.0</v>
      </c>
      <c r="U234" s="3" t="n">
        <v>13735.0</v>
      </c>
      <c r="V234" s="3" t="n">
        <v>13059.0</v>
      </c>
      <c r="W234" s="3" t="n">
        <v>12730.0</v>
      </c>
      <c r="X234" s="3" t="n">
        <v>11580.0</v>
      </c>
      <c r="Y234" s="3" t="n">
        <v>11722.0</v>
      </c>
      <c r="Z234" s="3" t="n">
        <v>11544.0</v>
      </c>
      <c r="AA234" s="3" t="n">
        <v>11434.0</v>
      </c>
      <c r="AB234" s="3" t="n">
        <v>11266.0</v>
      </c>
      <c r="AC234" s="3" t="n">
        <v>11116.0</v>
      </c>
      <c r="AD234" s="3" t="n">
        <v>10956.0</v>
      </c>
      <c r="AE234" s="3" t="n">
        <v>10848.0</v>
      </c>
      <c r="AF234" s="3" t="n">
        <v>10748.0</v>
      </c>
      <c r="AG234" s="3" t="n">
        <v>10646.0</v>
      </c>
      <c r="AH234" s="3" t="n">
        <v>10539.0</v>
      </c>
      <c r="AI234" s="3" t="n">
        <v>10440.0</v>
      </c>
      <c r="AJ234" s="3" t="n">
        <v>10372.0</v>
      </c>
      <c r="AK234" s="3" t="n">
        <v>10323.0</v>
      </c>
      <c r="AL234" s="3" t="n">
        <v>10290.0</v>
      </c>
      <c r="AM234" s="3" t="n">
        <v>10304.0</v>
      </c>
      <c r="AN234" s="3" t="n">
        <v>10343.0</v>
      </c>
      <c r="AO234" s="3" t="n">
        <v>10395.0</v>
      </c>
    </row>
    <row r="235" spans="1:41" x14ac:dyDescent="0.2">
      <c r="A235" s="125"/>
      <c r="B235" s="9">
        <v>22</v>
      </c>
      <c r="C235" s="3" t="n">
        <v>13005.0</v>
      </c>
      <c r="D235" s="3" t="n">
        <v>12538.0</v>
      </c>
      <c r="E235" s="3" t="n">
        <v>11689.0</v>
      </c>
      <c r="F235" s="3" t="n">
        <v>11371.0</v>
      </c>
      <c r="G235" s="3" t="n">
        <v>11803.0</v>
      </c>
      <c r="H235" s="3" t="n">
        <v>12386.0</v>
      </c>
      <c r="I235" s="3" t="n">
        <v>13237.0</v>
      </c>
      <c r="J235" s="3" t="n">
        <v>14206.0</v>
      </c>
      <c r="K235" s="3" t="n">
        <v>15375.0</v>
      </c>
      <c r="L235" s="3" t="n">
        <v>15567.0</v>
      </c>
      <c r="M235" s="3" t="n">
        <v>15311.0</v>
      </c>
      <c r="N235" s="3" t="n">
        <v>14437.0</v>
      </c>
      <c r="O235" s="3" t="n">
        <v>14419.0</v>
      </c>
      <c r="P235" s="3" t="n">
        <v>13810.0</v>
      </c>
      <c r="Q235" s="3" t="n">
        <v>14557.0</v>
      </c>
      <c r="R235" s="3" t="n">
        <v>14288.0</v>
      </c>
      <c r="S235" s="3" t="n">
        <v>14661.0</v>
      </c>
      <c r="T235" s="3" t="n">
        <v>15151.0</v>
      </c>
      <c r="U235" s="3" t="n">
        <v>14434.0</v>
      </c>
      <c r="V235" s="3" t="n">
        <v>13751.0</v>
      </c>
      <c r="W235" s="3" t="n">
        <v>13078.0</v>
      </c>
      <c r="X235" s="3" t="n">
        <v>12739.0</v>
      </c>
      <c r="Y235" s="3" t="n">
        <v>11591.0</v>
      </c>
      <c r="Z235" s="3" t="n">
        <v>11731.0</v>
      </c>
      <c r="AA235" s="3" t="n">
        <v>11553.0</v>
      </c>
      <c r="AB235" s="3" t="n">
        <v>11444.0</v>
      </c>
      <c r="AC235" s="3" t="n">
        <v>11277.0</v>
      </c>
      <c r="AD235" s="3" t="n">
        <v>11125.0</v>
      </c>
      <c r="AE235" s="3" t="n">
        <v>10961.0</v>
      </c>
      <c r="AF235" s="3" t="n">
        <v>10854.0</v>
      </c>
      <c r="AG235" s="3" t="n">
        <v>10752.0</v>
      </c>
      <c r="AH235" s="3" t="n">
        <v>10651.0</v>
      </c>
      <c r="AI235" s="3" t="n">
        <v>10545.0</v>
      </c>
      <c r="AJ235" s="3" t="n">
        <v>10445.0</v>
      </c>
      <c r="AK235" s="3" t="n">
        <v>10378.0</v>
      </c>
      <c r="AL235" s="3" t="n">
        <v>10330.0</v>
      </c>
      <c r="AM235" s="3" t="n">
        <v>10297.0</v>
      </c>
      <c r="AN235" s="3" t="n">
        <v>10312.0</v>
      </c>
      <c r="AO235" s="3" t="n">
        <v>10350.0</v>
      </c>
    </row>
    <row r="236" spans="1:41" x14ac:dyDescent="0.2">
      <c r="A236" s="125"/>
      <c r="B236" s="9">
        <v>23</v>
      </c>
      <c r="C236" s="3" t="n">
        <v>13162.0</v>
      </c>
      <c r="D236" s="3" t="n">
        <v>13024.0</v>
      </c>
      <c r="E236" s="3" t="n">
        <v>12558.0</v>
      </c>
      <c r="F236" s="3" t="n">
        <v>11717.0</v>
      </c>
      <c r="G236" s="3" t="n">
        <v>11400.0</v>
      </c>
      <c r="H236" s="3" t="n">
        <v>11932.0</v>
      </c>
      <c r="I236" s="3" t="n">
        <v>12555.0</v>
      </c>
      <c r="J236" s="3" t="n">
        <v>13321.0</v>
      </c>
      <c r="K236" s="3" t="n">
        <v>14267.0</v>
      </c>
      <c r="L236" s="3" t="n">
        <v>15417.0</v>
      </c>
      <c r="M236" s="3" t="n">
        <v>15602.0</v>
      </c>
      <c r="N236" s="3" t="n">
        <v>15338.0</v>
      </c>
      <c r="O236" s="3" t="n">
        <v>14466.0</v>
      </c>
      <c r="P236" s="3" t="n">
        <v>14449.0</v>
      </c>
      <c r="Q236" s="3" t="n">
        <v>13831.0</v>
      </c>
      <c r="R236" s="3" t="n">
        <v>14575.0</v>
      </c>
      <c r="S236" s="3" t="n">
        <v>14311.0</v>
      </c>
      <c r="T236" s="3" t="n">
        <v>14690.0</v>
      </c>
      <c r="U236" s="3" t="n">
        <v>15181.0</v>
      </c>
      <c r="V236" s="3" t="n">
        <v>14460.0</v>
      </c>
      <c r="W236" s="3" t="n">
        <v>13768.0</v>
      </c>
      <c r="X236" s="3" t="n">
        <v>13091.0</v>
      </c>
      <c r="Y236" s="3" t="n">
        <v>12758.0</v>
      </c>
      <c r="Z236" s="3" t="n">
        <v>11608.0</v>
      </c>
      <c r="AA236" s="3" t="n">
        <v>11752.0</v>
      </c>
      <c r="AB236" s="3" t="n">
        <v>11570.0</v>
      </c>
      <c r="AC236" s="3" t="n">
        <v>11462.0</v>
      </c>
      <c r="AD236" s="3" t="n">
        <v>11294.0</v>
      </c>
      <c r="AE236" s="3" t="n">
        <v>11142.0</v>
      </c>
      <c r="AF236" s="3" t="n">
        <v>10973.0</v>
      </c>
      <c r="AG236" s="3" t="n">
        <v>10865.0</v>
      </c>
      <c r="AH236" s="3" t="n">
        <v>10761.0</v>
      </c>
      <c r="AI236" s="3" t="n">
        <v>10660.0</v>
      </c>
      <c r="AJ236" s="3" t="n">
        <v>10554.0</v>
      </c>
      <c r="AK236" s="3" t="n">
        <v>10453.0</v>
      </c>
      <c r="AL236" s="3" t="n">
        <v>10386.0</v>
      </c>
      <c r="AM236" s="3" t="n">
        <v>10339.0</v>
      </c>
      <c r="AN236" s="3" t="n">
        <v>10305.0</v>
      </c>
      <c r="AO236" s="3" t="n">
        <v>10319.0</v>
      </c>
    </row>
    <row r="237" spans="1:41" x14ac:dyDescent="0.2">
      <c r="A237" s="125"/>
      <c r="B237" s="9">
        <v>24</v>
      </c>
      <c r="C237" s="3" t="n">
        <v>13975.0</v>
      </c>
      <c r="D237" s="3" t="n">
        <v>13214.0</v>
      </c>
      <c r="E237" s="3" t="n">
        <v>13076.0</v>
      </c>
      <c r="F237" s="3" t="n">
        <v>12615.0</v>
      </c>
      <c r="G237" s="3" t="n">
        <v>11784.0</v>
      </c>
      <c r="H237" s="3" t="n">
        <v>11552.0</v>
      </c>
      <c r="I237" s="3" t="n">
        <v>12117.0</v>
      </c>
      <c r="J237" s="3" t="n">
        <v>12669.0</v>
      </c>
      <c r="K237" s="3" t="n">
        <v>13398.0</v>
      </c>
      <c r="L237" s="3" t="n">
        <v>14326.0</v>
      </c>
      <c r="M237" s="3" t="n">
        <v>15476.0</v>
      </c>
      <c r="N237" s="3" t="n">
        <v>15663.0</v>
      </c>
      <c r="O237" s="3" t="n">
        <v>15394.0</v>
      </c>
      <c r="P237" s="3" t="n">
        <v>14520.0</v>
      </c>
      <c r="Q237" s="3" t="n">
        <v>14500.0</v>
      </c>
      <c r="R237" s="3" t="n">
        <v>13879.0</v>
      </c>
      <c r="S237" s="3" t="n">
        <v>14617.0</v>
      </c>
      <c r="T237" s="3" t="n">
        <v>14355.0</v>
      </c>
      <c r="U237" s="3" t="n">
        <v>14731.0</v>
      </c>
      <c r="V237" s="3" t="n">
        <v>15227.0</v>
      </c>
      <c r="W237" s="3" t="n">
        <v>14514.0</v>
      </c>
      <c r="X237" s="3" t="n">
        <v>13822.0</v>
      </c>
      <c r="Y237" s="3" t="n">
        <v>13144.0</v>
      </c>
      <c r="Z237" s="3" t="n">
        <v>12798.0</v>
      </c>
      <c r="AA237" s="3" t="n">
        <v>11641.0</v>
      </c>
      <c r="AB237" s="3" t="n">
        <v>11788.0</v>
      </c>
      <c r="AC237" s="3" t="n">
        <v>11601.0</v>
      </c>
      <c r="AD237" s="3" t="n">
        <v>11496.0</v>
      </c>
      <c r="AE237" s="3" t="n">
        <v>11328.0</v>
      </c>
      <c r="AF237" s="3" t="n">
        <v>11175.0</v>
      </c>
      <c r="AG237" s="3" t="n">
        <v>11004.0</v>
      </c>
      <c r="AH237" s="3" t="n">
        <v>10896.0</v>
      </c>
      <c r="AI237" s="3" t="n">
        <v>10795.0</v>
      </c>
      <c r="AJ237" s="3" t="n">
        <v>10693.0</v>
      </c>
      <c r="AK237" s="3" t="n">
        <v>10588.0</v>
      </c>
      <c r="AL237" s="3" t="n">
        <v>10490.0</v>
      </c>
      <c r="AM237" s="3" t="n">
        <v>10423.0</v>
      </c>
      <c r="AN237" s="3" t="n">
        <v>10376.0</v>
      </c>
      <c r="AO237" s="3" t="n">
        <v>10344.0</v>
      </c>
    </row>
    <row r="238" spans="1:41" x14ac:dyDescent="0.2">
      <c r="A238" s="125"/>
      <c r="B238" s="9">
        <v>25</v>
      </c>
      <c r="C238" s="3" t="n">
        <v>15303.0</v>
      </c>
      <c r="D238" s="3" t="n">
        <v>14056.0</v>
      </c>
      <c r="E238" s="3" t="n">
        <v>13304.0</v>
      </c>
      <c r="F238" s="3" t="n">
        <v>13167.0</v>
      </c>
      <c r="G238" s="3" t="n">
        <v>12706.0</v>
      </c>
      <c r="H238" s="3" t="n">
        <v>11981.0</v>
      </c>
      <c r="I238" s="3" t="n">
        <v>11781.0</v>
      </c>
      <c r="J238" s="3" t="n">
        <v>12271.0</v>
      </c>
      <c r="K238" s="3" t="n">
        <v>12783.0</v>
      </c>
      <c r="L238" s="3" t="n">
        <v>13500.0</v>
      </c>
      <c r="M238" s="3" t="n">
        <v>14411.0</v>
      </c>
      <c r="N238" s="3" t="n">
        <v>15562.0</v>
      </c>
      <c r="O238" s="3" t="n">
        <v>15749.0</v>
      </c>
      <c r="P238" s="3" t="n">
        <v>15486.0</v>
      </c>
      <c r="Q238" s="3" t="n">
        <v>14605.0</v>
      </c>
      <c r="R238" s="3" t="n">
        <v>14585.0</v>
      </c>
      <c r="S238" s="3" t="n">
        <v>13955.0</v>
      </c>
      <c r="T238" s="3" t="n">
        <v>14691.0</v>
      </c>
      <c r="U238" s="3" t="n">
        <v>14430.0</v>
      </c>
      <c r="V238" s="3" t="n">
        <v>14809.0</v>
      </c>
      <c r="W238" s="3" t="n">
        <v>15311.0</v>
      </c>
      <c r="X238" s="3" t="n">
        <v>14595.0</v>
      </c>
      <c r="Y238" s="3" t="n">
        <v>13909.0</v>
      </c>
      <c r="Z238" s="3" t="n">
        <v>13222.0</v>
      </c>
      <c r="AA238" s="3" t="n">
        <v>12873.0</v>
      </c>
      <c r="AB238" s="3" t="n">
        <v>11710.0</v>
      </c>
      <c r="AC238" s="3" t="n">
        <v>11855.0</v>
      </c>
      <c r="AD238" s="3" t="n">
        <v>11665.0</v>
      </c>
      <c r="AE238" s="3" t="n">
        <v>11561.0</v>
      </c>
      <c r="AF238" s="3" t="n">
        <v>11392.0</v>
      </c>
      <c r="AG238" s="3" t="n">
        <v>11236.0</v>
      </c>
      <c r="AH238" s="3" t="n">
        <v>11066.0</v>
      </c>
      <c r="AI238" s="3" t="n">
        <v>10956.0</v>
      </c>
      <c r="AJ238" s="3" t="n">
        <v>10858.0</v>
      </c>
      <c r="AK238" s="3" t="n">
        <v>10756.0</v>
      </c>
      <c r="AL238" s="3" t="n">
        <v>10650.0</v>
      </c>
      <c r="AM238" s="3" t="n">
        <v>10550.0</v>
      </c>
      <c r="AN238" s="3" t="n">
        <v>10485.0</v>
      </c>
      <c r="AO238" s="3" t="n">
        <v>10439.0</v>
      </c>
    </row>
    <row r="239" spans="1:41" x14ac:dyDescent="0.2">
      <c r="A239" s="125"/>
      <c r="B239" s="9">
        <v>26</v>
      </c>
      <c r="C239" s="3" t="n">
        <v>16105.0</v>
      </c>
      <c r="D239" s="3" t="n">
        <v>15388.0</v>
      </c>
      <c r="E239" s="3" t="n">
        <v>14153.0</v>
      </c>
      <c r="F239" s="3" t="n">
        <v>13407.0</v>
      </c>
      <c r="G239" s="3" t="n">
        <v>13273.0</v>
      </c>
      <c r="H239" s="3" t="n">
        <v>12915.0</v>
      </c>
      <c r="I239" s="3" t="n">
        <v>12230.0</v>
      </c>
      <c r="J239" s="3" t="n">
        <v>11948.0</v>
      </c>
      <c r="K239" s="3" t="n">
        <v>12400.0</v>
      </c>
      <c r="L239" s="3" t="n">
        <v>12897.0</v>
      </c>
      <c r="M239" s="3" t="n">
        <v>13608.0</v>
      </c>
      <c r="N239" s="3" t="n">
        <v>14510.0</v>
      </c>
      <c r="O239" s="3" t="n">
        <v>15659.0</v>
      </c>
      <c r="P239" s="3" t="n">
        <v>15848.0</v>
      </c>
      <c r="Q239" s="3" t="n">
        <v>15587.0</v>
      </c>
      <c r="R239" s="3" t="n">
        <v>14701.0</v>
      </c>
      <c r="S239" s="3" t="n">
        <v>14686.0</v>
      </c>
      <c r="T239" s="3" t="n">
        <v>14049.0</v>
      </c>
      <c r="U239" s="3" t="n">
        <v>14780.0</v>
      </c>
      <c r="V239" s="3" t="n">
        <v>14518.0</v>
      </c>
      <c r="W239" s="3" t="n">
        <v>14898.0</v>
      </c>
      <c r="X239" s="3" t="n">
        <v>15408.0</v>
      </c>
      <c r="Y239" s="3" t="n">
        <v>14690.0</v>
      </c>
      <c r="Z239" s="3" t="n">
        <v>14000.0</v>
      </c>
      <c r="AA239" s="3" t="n">
        <v>13313.0</v>
      </c>
      <c r="AB239" s="3" t="n">
        <v>12952.0</v>
      </c>
      <c r="AC239" s="3" t="n">
        <v>11785.0</v>
      </c>
      <c r="AD239" s="3" t="n">
        <v>11924.0</v>
      </c>
      <c r="AE239" s="3" t="n">
        <v>11742.0</v>
      </c>
      <c r="AF239" s="3" t="n">
        <v>11638.0</v>
      </c>
      <c r="AG239" s="3" t="n">
        <v>11467.0</v>
      </c>
      <c r="AH239" s="3" t="n">
        <v>11310.0</v>
      </c>
      <c r="AI239" s="3" t="n">
        <v>11138.0</v>
      </c>
      <c r="AJ239" s="3" t="n">
        <v>11029.0</v>
      </c>
      <c r="AK239" s="3" t="n">
        <v>10929.0</v>
      </c>
      <c r="AL239" s="3" t="n">
        <v>10827.0</v>
      </c>
      <c r="AM239" s="3" t="n">
        <v>10721.0</v>
      </c>
      <c r="AN239" s="3" t="n">
        <v>10620.0</v>
      </c>
      <c r="AO239" s="3" t="n">
        <v>10556.0</v>
      </c>
    </row>
    <row r="240" spans="1:41" x14ac:dyDescent="0.2">
      <c r="A240" s="125"/>
      <c r="B240" s="9">
        <v>27</v>
      </c>
      <c r="C240" s="3" t="n">
        <v>16911.0</v>
      </c>
      <c r="D240" s="3" t="n">
        <v>16206.0</v>
      </c>
      <c r="E240" s="3" t="n">
        <v>15493.0</v>
      </c>
      <c r="F240" s="3" t="n">
        <v>14258.0</v>
      </c>
      <c r="G240" s="3" t="n">
        <v>13528.0</v>
      </c>
      <c r="H240" s="3" t="n">
        <v>13491.0</v>
      </c>
      <c r="I240" s="3" t="n">
        <v>13170.0</v>
      </c>
      <c r="J240" s="3" t="n">
        <v>12409.0</v>
      </c>
      <c r="K240" s="3" t="n">
        <v>12088.0</v>
      </c>
      <c r="L240" s="3" t="n">
        <v>12525.0</v>
      </c>
      <c r="M240" s="3" t="n">
        <v>13011.0</v>
      </c>
      <c r="N240" s="3" t="n">
        <v>13721.0</v>
      </c>
      <c r="O240" s="3" t="n">
        <v>14621.0</v>
      </c>
      <c r="P240" s="3" t="n">
        <v>15773.0</v>
      </c>
      <c r="Q240" s="3" t="n">
        <v>15971.0</v>
      </c>
      <c r="R240" s="3" t="n">
        <v>15715.0</v>
      </c>
      <c r="S240" s="3" t="n">
        <v>14824.0</v>
      </c>
      <c r="T240" s="3" t="n">
        <v>14807.0</v>
      </c>
      <c r="U240" s="3" t="n">
        <v>14170.0</v>
      </c>
      <c r="V240" s="3" t="n">
        <v>14885.0</v>
      </c>
      <c r="W240" s="3" t="n">
        <v>14620.0</v>
      </c>
      <c r="X240" s="3" t="n">
        <v>15010.0</v>
      </c>
      <c r="Y240" s="3" t="n">
        <v>15518.0</v>
      </c>
      <c r="Z240" s="3" t="n">
        <v>14807.0</v>
      </c>
      <c r="AA240" s="3" t="n">
        <v>14114.0</v>
      </c>
      <c r="AB240" s="3" t="n">
        <v>13419.0</v>
      </c>
      <c r="AC240" s="3" t="n">
        <v>13048.0</v>
      </c>
      <c r="AD240" s="3" t="n">
        <v>11873.0</v>
      </c>
      <c r="AE240" s="3" t="n">
        <v>12015.0</v>
      </c>
      <c r="AF240" s="3" t="n">
        <v>11835.0</v>
      </c>
      <c r="AG240" s="3" t="n">
        <v>11727.0</v>
      </c>
      <c r="AH240" s="3" t="n">
        <v>11560.0</v>
      </c>
      <c r="AI240" s="3" t="n">
        <v>11400.0</v>
      </c>
      <c r="AJ240" s="3" t="n">
        <v>11222.0</v>
      </c>
      <c r="AK240" s="3" t="n">
        <v>11113.0</v>
      </c>
      <c r="AL240" s="3" t="n">
        <v>11015.0</v>
      </c>
      <c r="AM240" s="3" t="n">
        <v>10916.0</v>
      </c>
      <c r="AN240" s="3" t="n">
        <v>10808.0</v>
      </c>
      <c r="AO240" s="3" t="n">
        <v>10706.0</v>
      </c>
    </row>
    <row r="241" spans="1:41" x14ac:dyDescent="0.2">
      <c r="A241" s="125"/>
      <c r="B241" s="9">
        <v>28</v>
      </c>
      <c r="C241" s="3" t="n">
        <v>18292.0</v>
      </c>
      <c r="D241" s="3" t="n">
        <v>17025.0</v>
      </c>
      <c r="E241" s="3" t="n">
        <v>16327.0</v>
      </c>
      <c r="F241" s="3" t="n">
        <v>15618.0</v>
      </c>
      <c r="G241" s="3" t="n">
        <v>14387.0</v>
      </c>
      <c r="H241" s="3" t="n">
        <v>13767.0</v>
      </c>
      <c r="I241" s="3" t="n">
        <v>13765.0</v>
      </c>
      <c r="J241" s="3" t="n">
        <v>13362.0</v>
      </c>
      <c r="K241" s="3" t="n">
        <v>12566.0</v>
      </c>
      <c r="L241" s="3" t="n">
        <v>12240.0</v>
      </c>
      <c r="M241" s="3" t="n">
        <v>12665.0</v>
      </c>
      <c r="N241" s="3" t="n">
        <v>13145.0</v>
      </c>
      <c r="O241" s="3" t="n">
        <v>13855.0</v>
      </c>
      <c r="P241" s="3" t="n">
        <v>14753.0</v>
      </c>
      <c r="Q241" s="3" t="n">
        <v>15910.0</v>
      </c>
      <c r="R241" s="3" t="n">
        <v>16112.0</v>
      </c>
      <c r="S241" s="3" t="n">
        <v>15857.0</v>
      </c>
      <c r="T241" s="3" t="n">
        <v>14961.0</v>
      </c>
      <c r="U241" s="3" t="n">
        <v>14947.0</v>
      </c>
      <c r="V241" s="3" t="n">
        <v>14298.0</v>
      </c>
      <c r="W241" s="3" t="n">
        <v>15011.0</v>
      </c>
      <c r="X241" s="3" t="n">
        <v>14748.0</v>
      </c>
      <c r="Y241" s="3" t="n">
        <v>15140.0</v>
      </c>
      <c r="Z241" s="3" t="n">
        <v>15652.0</v>
      </c>
      <c r="AA241" s="3" t="n">
        <v>14944.0</v>
      </c>
      <c r="AB241" s="3" t="n">
        <v>14242.0</v>
      </c>
      <c r="AC241" s="3" t="n">
        <v>13539.0</v>
      </c>
      <c r="AD241" s="3" t="n">
        <v>13163.0</v>
      </c>
      <c r="AE241" s="3" t="n">
        <v>11971.0</v>
      </c>
      <c r="AF241" s="3" t="n">
        <v>12115.0</v>
      </c>
      <c r="AG241" s="3" t="n">
        <v>11931.0</v>
      </c>
      <c r="AH241" s="3" t="n">
        <v>11821.0</v>
      </c>
      <c r="AI241" s="3" t="n">
        <v>11656.0</v>
      </c>
      <c r="AJ241" s="3" t="n">
        <v>11493.0</v>
      </c>
      <c r="AK241" s="3" t="n">
        <v>11318.0</v>
      </c>
      <c r="AL241" s="3" t="n">
        <v>11209.0</v>
      </c>
      <c r="AM241" s="3" t="n">
        <v>11111.0</v>
      </c>
      <c r="AN241" s="3" t="n">
        <v>11009.0</v>
      </c>
      <c r="AO241" s="3" t="n">
        <v>10898.0</v>
      </c>
    </row>
    <row r="242" spans="1:41" x14ac:dyDescent="0.2">
      <c r="A242" s="125"/>
      <c r="B242" s="9">
        <v>29</v>
      </c>
      <c r="C242" s="3" t="n">
        <v>18468.0</v>
      </c>
      <c r="D242" s="3" t="n">
        <v>18391.0</v>
      </c>
      <c r="E242" s="3" t="n">
        <v>17119.0</v>
      </c>
      <c r="F242" s="3" t="n">
        <v>16429.0</v>
      </c>
      <c r="G242" s="3" t="n">
        <v>15734.0</v>
      </c>
      <c r="H242" s="3" t="n">
        <v>14601.0</v>
      </c>
      <c r="I242" s="3" t="n">
        <v>14026.0</v>
      </c>
      <c r="J242" s="3" t="n">
        <v>13946.0</v>
      </c>
      <c r="K242" s="3" t="n">
        <v>13510.0</v>
      </c>
      <c r="L242" s="3" t="n">
        <v>12702.0</v>
      </c>
      <c r="M242" s="3" t="n">
        <v>12375.0</v>
      </c>
      <c r="N242" s="3" t="n">
        <v>12784.0</v>
      </c>
      <c r="O242" s="3" t="n">
        <v>13259.0</v>
      </c>
      <c r="P242" s="3" t="n">
        <v>13969.0</v>
      </c>
      <c r="Q242" s="3" t="n">
        <v>14867.0</v>
      </c>
      <c r="R242" s="3" t="n">
        <v>16029.0</v>
      </c>
      <c r="S242" s="3" t="n">
        <v>16231.0</v>
      </c>
      <c r="T242" s="3" t="n">
        <v>15980.0</v>
      </c>
      <c r="U242" s="3" t="n">
        <v>15082.0</v>
      </c>
      <c r="V242" s="3" t="n">
        <v>15072.0</v>
      </c>
      <c r="W242" s="3" t="n">
        <v>14414.0</v>
      </c>
      <c r="X242" s="3" t="n">
        <v>15122.0</v>
      </c>
      <c r="Y242" s="3" t="n">
        <v>14857.0</v>
      </c>
      <c r="Z242" s="3" t="n">
        <v>15254.0</v>
      </c>
      <c r="AA242" s="3" t="n">
        <v>15771.0</v>
      </c>
      <c r="AB242" s="3" t="n">
        <v>15063.0</v>
      </c>
      <c r="AC242" s="3" t="n">
        <v>14359.0</v>
      </c>
      <c r="AD242" s="3" t="n">
        <v>13643.0</v>
      </c>
      <c r="AE242" s="3" t="n">
        <v>13262.0</v>
      </c>
      <c r="AF242" s="3" t="n">
        <v>12061.0</v>
      </c>
      <c r="AG242" s="3" t="n">
        <v>12202.0</v>
      </c>
      <c r="AH242" s="3" t="n">
        <v>12017.0</v>
      </c>
      <c r="AI242" s="3" t="n">
        <v>11908.0</v>
      </c>
      <c r="AJ242" s="3" t="n">
        <v>11745.0</v>
      </c>
      <c r="AK242" s="3" t="n">
        <v>11582.0</v>
      </c>
      <c r="AL242" s="3" t="n">
        <v>11407.0</v>
      </c>
      <c r="AM242" s="3" t="n">
        <v>11300.0</v>
      </c>
      <c r="AN242" s="3" t="n">
        <v>11201.0</v>
      </c>
      <c r="AO242" s="3" t="n">
        <v>11097.0</v>
      </c>
    </row>
    <row r="243" spans="1:41" x14ac:dyDescent="0.2">
      <c r="A243" s="125"/>
      <c r="B243" s="9">
        <v>30</v>
      </c>
      <c r="C243" s="3" t="n">
        <v>18991.0</v>
      </c>
      <c r="D243" s="3" t="n">
        <v>18582.0</v>
      </c>
      <c r="E243" s="3" t="n">
        <v>18498.0</v>
      </c>
      <c r="F243" s="3" t="n">
        <v>17222.0</v>
      </c>
      <c r="G243" s="3" t="n">
        <v>16535.0</v>
      </c>
      <c r="H243" s="3" t="n">
        <v>15963.0</v>
      </c>
      <c r="I243" s="3" t="n">
        <v>14876.0</v>
      </c>
      <c r="J243" s="3" t="n">
        <v>14215.0</v>
      </c>
      <c r="K243" s="3" t="n">
        <v>14091.0</v>
      </c>
      <c r="L243" s="3" t="n">
        <v>13639.0</v>
      </c>
      <c r="M243" s="3" t="n">
        <v>12827.0</v>
      </c>
      <c r="N243" s="3" t="n">
        <v>12495.0</v>
      </c>
      <c r="O243" s="3" t="n">
        <v>12903.0</v>
      </c>
      <c r="P243" s="3" t="n">
        <v>13377.0</v>
      </c>
      <c r="Q243" s="3" t="n">
        <v>14084.0</v>
      </c>
      <c r="R243" s="3" t="n">
        <v>14981.0</v>
      </c>
      <c r="S243" s="3" t="n">
        <v>16153.0</v>
      </c>
      <c r="T243" s="3" t="n">
        <v>16355.0</v>
      </c>
      <c r="U243" s="3" t="n">
        <v>16103.0</v>
      </c>
      <c r="V243" s="3" t="n">
        <v>15201.0</v>
      </c>
      <c r="W243" s="3" t="n">
        <v>15195.0</v>
      </c>
      <c r="X243" s="3" t="n">
        <v>14530.0</v>
      </c>
      <c r="Y243" s="3" t="n">
        <v>15233.0</v>
      </c>
      <c r="Z243" s="3" t="n">
        <v>14970.0</v>
      </c>
      <c r="AA243" s="3" t="n">
        <v>15371.0</v>
      </c>
      <c r="AB243" s="3" t="n">
        <v>15891.0</v>
      </c>
      <c r="AC243" s="3" t="n">
        <v>15181.0</v>
      </c>
      <c r="AD243" s="3" t="n">
        <v>14471.0</v>
      </c>
      <c r="AE243" s="3" t="n">
        <v>13746.0</v>
      </c>
      <c r="AF243" s="3" t="n">
        <v>13364.0</v>
      </c>
      <c r="AG243" s="3" t="n">
        <v>12156.0</v>
      </c>
      <c r="AH243" s="3" t="n">
        <v>12292.0</v>
      </c>
      <c r="AI243" s="3" t="n">
        <v>12100.0</v>
      </c>
      <c r="AJ243" s="3" t="n">
        <v>11989.0</v>
      </c>
      <c r="AK243" s="3" t="n">
        <v>11827.0</v>
      </c>
      <c r="AL243" s="3" t="n">
        <v>11664.0</v>
      </c>
      <c r="AM243" s="3" t="n">
        <v>11488.0</v>
      </c>
      <c r="AN243" s="3" t="n">
        <v>11378.0</v>
      </c>
      <c r="AO243" s="3" t="n">
        <v>11279.0</v>
      </c>
    </row>
    <row r="244" spans="1:41" x14ac:dyDescent="0.2">
      <c r="A244" s="125"/>
      <c r="B244" s="9">
        <v>31</v>
      </c>
      <c r="C244" s="3" t="n">
        <v>20503.0</v>
      </c>
      <c r="D244" s="3" t="n">
        <v>19101.0</v>
      </c>
      <c r="E244" s="3" t="n">
        <v>18678.0</v>
      </c>
      <c r="F244" s="3" t="n">
        <v>18586.0</v>
      </c>
      <c r="G244" s="3" t="n">
        <v>17318.0</v>
      </c>
      <c r="H244" s="3" t="n">
        <v>16765.0</v>
      </c>
      <c r="I244" s="3" t="n">
        <v>16243.0</v>
      </c>
      <c r="J244" s="3" t="n">
        <v>15061.0</v>
      </c>
      <c r="K244" s="3" t="n">
        <v>14354.0</v>
      </c>
      <c r="L244" s="3" t="n">
        <v>14209.0</v>
      </c>
      <c r="M244" s="3" t="n">
        <v>13753.0</v>
      </c>
      <c r="N244" s="3" t="n">
        <v>12932.0</v>
      </c>
      <c r="O244" s="3" t="n">
        <v>12599.0</v>
      </c>
      <c r="P244" s="3" t="n">
        <v>13008.0</v>
      </c>
      <c r="Q244" s="3" t="n">
        <v>13481.0</v>
      </c>
      <c r="R244" s="3" t="n">
        <v>14194.0</v>
      </c>
      <c r="S244" s="3" t="n">
        <v>15089.0</v>
      </c>
      <c r="T244" s="3" t="n">
        <v>16262.0</v>
      </c>
      <c r="U244" s="3" t="n">
        <v>16466.0</v>
      </c>
      <c r="V244" s="3" t="n">
        <v>16212.0</v>
      </c>
      <c r="W244" s="3" t="n">
        <v>15307.0</v>
      </c>
      <c r="X244" s="3" t="n">
        <v>15301.0</v>
      </c>
      <c r="Y244" s="3" t="n">
        <v>14637.0</v>
      </c>
      <c r="Z244" s="3" t="n">
        <v>15329.0</v>
      </c>
      <c r="AA244" s="3" t="n">
        <v>15068.0</v>
      </c>
      <c r="AB244" s="3" t="n">
        <v>15478.0</v>
      </c>
      <c r="AC244" s="3" t="n">
        <v>15998.0</v>
      </c>
      <c r="AD244" s="3" t="n">
        <v>15284.0</v>
      </c>
      <c r="AE244" s="3" t="n">
        <v>14576.0</v>
      </c>
      <c r="AF244" s="3" t="n">
        <v>13841.0</v>
      </c>
      <c r="AG244" s="3" t="n">
        <v>13450.0</v>
      </c>
      <c r="AH244" s="3" t="n">
        <v>12232.0</v>
      </c>
      <c r="AI244" s="3" t="n">
        <v>12376.0</v>
      </c>
      <c r="AJ244" s="3" t="n">
        <v>12179.0</v>
      </c>
      <c r="AK244" s="3" t="n">
        <v>12066.0</v>
      </c>
      <c r="AL244" s="3" t="n">
        <v>11905.0</v>
      </c>
      <c r="AM244" s="3" t="n">
        <v>11743.0</v>
      </c>
      <c r="AN244" s="3" t="n">
        <v>11570.0</v>
      </c>
      <c r="AO244" s="3" t="n">
        <v>11458.0</v>
      </c>
    </row>
    <row r="245" spans="1:41" x14ac:dyDescent="0.2">
      <c r="A245" s="125"/>
      <c r="B245" s="9">
        <v>32</v>
      </c>
      <c r="C245" s="3" t="n">
        <v>20999.0</v>
      </c>
      <c r="D245" s="3" t="n">
        <v>20601.0</v>
      </c>
      <c r="E245" s="3" t="n">
        <v>19203.0</v>
      </c>
      <c r="F245" s="3" t="n">
        <v>18769.0</v>
      </c>
      <c r="G245" s="3" t="n">
        <v>18661.0</v>
      </c>
      <c r="H245" s="3" t="n">
        <v>17535.0</v>
      </c>
      <c r="I245" s="3" t="n">
        <v>17025.0</v>
      </c>
      <c r="J245" s="3" t="n">
        <v>16408.0</v>
      </c>
      <c r="K245" s="3" t="n">
        <v>15180.0</v>
      </c>
      <c r="L245" s="3" t="n">
        <v>14460.0</v>
      </c>
      <c r="M245" s="3" t="n">
        <v>14308.0</v>
      </c>
      <c r="N245" s="3" t="n">
        <v>13838.0</v>
      </c>
      <c r="O245" s="3" t="n">
        <v>13030.0</v>
      </c>
      <c r="P245" s="3" t="n">
        <v>12697.0</v>
      </c>
      <c r="Q245" s="3" t="n">
        <v>13103.0</v>
      </c>
      <c r="R245" s="3" t="n">
        <v>13571.0</v>
      </c>
      <c r="S245" s="3" t="n">
        <v>14285.0</v>
      </c>
      <c r="T245" s="3" t="n">
        <v>15187.0</v>
      </c>
      <c r="U245" s="3" t="n">
        <v>16356.0</v>
      </c>
      <c r="V245" s="3" t="n">
        <v>16563.0</v>
      </c>
      <c r="W245" s="3" t="n">
        <v>16314.0</v>
      </c>
      <c r="X245" s="3" t="n">
        <v>15405.0</v>
      </c>
      <c r="Y245" s="3" t="n">
        <v>15396.0</v>
      </c>
      <c r="Z245" s="3" t="n">
        <v>14731.0</v>
      </c>
      <c r="AA245" s="3" t="n">
        <v>15421.0</v>
      </c>
      <c r="AB245" s="3" t="n">
        <v>15160.0</v>
      </c>
      <c r="AC245" s="3" t="n">
        <v>15574.0</v>
      </c>
      <c r="AD245" s="3" t="n">
        <v>16096.0</v>
      </c>
      <c r="AE245" s="3" t="n">
        <v>15377.0</v>
      </c>
      <c r="AF245" s="3" t="n">
        <v>14669.0</v>
      </c>
      <c r="AG245" s="3" t="n">
        <v>13924.0</v>
      </c>
      <c r="AH245" s="3" t="n">
        <v>13531.0</v>
      </c>
      <c r="AI245" s="3" t="n">
        <v>12307.0</v>
      </c>
      <c r="AJ245" s="3" t="n">
        <v>12445.0</v>
      </c>
      <c r="AK245" s="3" t="n">
        <v>12251.0</v>
      </c>
      <c r="AL245" s="3" t="n">
        <v>12133.0</v>
      </c>
      <c r="AM245" s="3" t="n">
        <v>11973.0</v>
      </c>
      <c r="AN245" s="3" t="n">
        <v>11808.0</v>
      </c>
      <c r="AO245" s="3" t="n">
        <v>11635.0</v>
      </c>
    </row>
    <row r="246" spans="1:41" x14ac:dyDescent="0.2">
      <c r="A246" s="125"/>
      <c r="B246" s="9">
        <v>33</v>
      </c>
      <c r="C246" s="3" t="n">
        <v>21324.0</v>
      </c>
      <c r="D246" s="3" t="n">
        <v>21084.0</v>
      </c>
      <c r="E246" s="3" t="n">
        <v>20688.0</v>
      </c>
      <c r="F246" s="3" t="n">
        <v>19291.0</v>
      </c>
      <c r="G246" s="3" t="n">
        <v>18844.0</v>
      </c>
      <c r="H246" s="3" t="n">
        <v>18865.0</v>
      </c>
      <c r="I246" s="3" t="n">
        <v>17785.0</v>
      </c>
      <c r="J246" s="3" t="n">
        <v>17172.0</v>
      </c>
      <c r="K246" s="3" t="n">
        <v>16511.0</v>
      </c>
      <c r="L246" s="3" t="n">
        <v>15266.0</v>
      </c>
      <c r="M246" s="3" t="n">
        <v>14547.0</v>
      </c>
      <c r="N246" s="3" t="n">
        <v>14388.0</v>
      </c>
      <c r="O246" s="3" t="n">
        <v>13923.0</v>
      </c>
      <c r="P246" s="3" t="n">
        <v>13115.0</v>
      </c>
      <c r="Q246" s="3" t="n">
        <v>12780.0</v>
      </c>
      <c r="R246" s="3" t="n">
        <v>13184.0</v>
      </c>
      <c r="S246" s="3" t="n">
        <v>13656.0</v>
      </c>
      <c r="T246" s="3" t="n">
        <v>14366.0</v>
      </c>
      <c r="U246" s="3" t="n">
        <v>15270.0</v>
      </c>
      <c r="V246" s="3" t="n">
        <v>16445.0</v>
      </c>
      <c r="W246" s="3" t="n">
        <v>16651.0</v>
      </c>
      <c r="X246" s="3" t="n">
        <v>16400.0</v>
      </c>
      <c r="Y246" s="3" t="n">
        <v>15486.0</v>
      </c>
      <c r="Z246" s="3" t="n">
        <v>15482.0</v>
      </c>
      <c r="AA246" s="3" t="n">
        <v>14811.0</v>
      </c>
      <c r="AB246" s="3" t="n">
        <v>15495.0</v>
      </c>
      <c r="AC246" s="3" t="n">
        <v>15233.0</v>
      </c>
      <c r="AD246" s="3" t="n">
        <v>15655.0</v>
      </c>
      <c r="AE246" s="3" t="n">
        <v>16181.0</v>
      </c>
      <c r="AF246" s="3" t="n">
        <v>15461.0</v>
      </c>
      <c r="AG246" s="3" t="n">
        <v>14752.0</v>
      </c>
      <c r="AH246" s="3" t="n">
        <v>13999.0</v>
      </c>
      <c r="AI246" s="3" t="n">
        <v>13599.0</v>
      </c>
      <c r="AJ246" s="3" t="n">
        <v>12376.0</v>
      </c>
      <c r="AK246" s="3" t="n">
        <v>12512.0</v>
      </c>
      <c r="AL246" s="3" t="n">
        <v>12315.0</v>
      </c>
      <c r="AM246" s="3" t="n">
        <v>12199.0</v>
      </c>
      <c r="AN246" s="3" t="n">
        <v>12036.0</v>
      </c>
      <c r="AO246" s="3" t="n">
        <v>11870.0</v>
      </c>
    </row>
    <row r="247" spans="1:41" x14ac:dyDescent="0.2">
      <c r="A247" s="125"/>
      <c r="B247" s="9">
        <v>34</v>
      </c>
      <c r="C247" s="3" t="n">
        <v>21555.0</v>
      </c>
      <c r="D247" s="3" t="n">
        <v>21375.0</v>
      </c>
      <c r="E247" s="3" t="n">
        <v>21137.0</v>
      </c>
      <c r="F247" s="3" t="n">
        <v>20747.0</v>
      </c>
      <c r="G247" s="3" t="n">
        <v>19354.0</v>
      </c>
      <c r="H247" s="3" t="n">
        <v>19021.0</v>
      </c>
      <c r="I247" s="3" t="n">
        <v>19079.0</v>
      </c>
      <c r="J247" s="3" t="n">
        <v>17902.0</v>
      </c>
      <c r="K247" s="3" t="n">
        <v>17244.0</v>
      </c>
      <c r="L247" s="3" t="n">
        <v>16567.0</v>
      </c>
      <c r="M247" s="3" t="n">
        <v>15319.0</v>
      </c>
      <c r="N247" s="3" t="n">
        <v>14598.0</v>
      </c>
      <c r="O247" s="3" t="n">
        <v>14436.0</v>
      </c>
      <c r="P247" s="3" t="n">
        <v>13977.0</v>
      </c>
      <c r="Q247" s="3" t="n">
        <v>13173.0</v>
      </c>
      <c r="R247" s="3" t="n">
        <v>12842.0</v>
      </c>
      <c r="S247" s="3" t="n">
        <v>13241.0</v>
      </c>
      <c r="T247" s="3" t="n">
        <v>13712.0</v>
      </c>
      <c r="U247" s="3" t="n">
        <v>14421.0</v>
      </c>
      <c r="V247" s="3" t="n">
        <v>15327.0</v>
      </c>
      <c r="W247" s="3" t="n">
        <v>16503.0</v>
      </c>
      <c r="X247" s="3" t="n">
        <v>16708.0</v>
      </c>
      <c r="Y247" s="3" t="n">
        <v>16453.0</v>
      </c>
      <c r="Z247" s="3" t="n">
        <v>15548.0</v>
      </c>
      <c r="AA247" s="3" t="n">
        <v>15539.0</v>
      </c>
      <c r="AB247" s="3" t="n">
        <v>14864.0</v>
      </c>
      <c r="AC247" s="3" t="n">
        <v>15543.0</v>
      </c>
      <c r="AD247" s="3" t="n">
        <v>15284.0</v>
      </c>
      <c r="AE247" s="3" t="n">
        <v>15712.0</v>
      </c>
      <c r="AF247" s="3" t="n">
        <v>16240.0</v>
      </c>
      <c r="AG247" s="3" t="n">
        <v>15514.0</v>
      </c>
      <c r="AH247" s="3" t="n">
        <v>14798.0</v>
      </c>
      <c r="AI247" s="3" t="n">
        <v>14044.0</v>
      </c>
      <c r="AJ247" s="3" t="n">
        <v>13645.0</v>
      </c>
      <c r="AK247" s="3" t="n">
        <v>12412.0</v>
      </c>
      <c r="AL247" s="3" t="n">
        <v>12551.0</v>
      </c>
      <c r="AM247" s="3" t="n">
        <v>12349.0</v>
      </c>
      <c r="AN247" s="3" t="n">
        <v>12240.0</v>
      </c>
      <c r="AO247" s="3" t="n">
        <v>12076.0</v>
      </c>
    </row>
    <row r="248" spans="1:41" x14ac:dyDescent="0.2">
      <c r="A248" s="125"/>
      <c r="B248" s="9">
        <v>35</v>
      </c>
      <c r="C248" s="3" t="n">
        <v>22257.0</v>
      </c>
      <c r="D248" s="3" t="n">
        <v>21603.0</v>
      </c>
      <c r="E248" s="3" t="n">
        <v>21422.0</v>
      </c>
      <c r="F248" s="3" t="n">
        <v>21178.0</v>
      </c>
      <c r="G248" s="3" t="n">
        <v>20792.0</v>
      </c>
      <c r="H248" s="3" t="n">
        <v>19536.0</v>
      </c>
      <c r="I248" s="3" t="n">
        <v>19267.0</v>
      </c>
      <c r="J248" s="3" t="n">
        <v>19206.0</v>
      </c>
      <c r="K248" s="3" t="n">
        <v>17970.0</v>
      </c>
      <c r="L248" s="3" t="n">
        <v>17292.0</v>
      </c>
      <c r="M248" s="3" t="n">
        <v>16609.0</v>
      </c>
      <c r="N248" s="3" t="n">
        <v>15361.0</v>
      </c>
      <c r="O248" s="3" t="n">
        <v>14643.0</v>
      </c>
      <c r="P248" s="3" t="n">
        <v>14482.0</v>
      </c>
      <c r="Q248" s="3" t="n">
        <v>14025.0</v>
      </c>
      <c r="R248" s="3" t="n">
        <v>13225.0</v>
      </c>
      <c r="S248" s="3" t="n">
        <v>12898.0</v>
      </c>
      <c r="T248" s="3" t="n">
        <v>13292.0</v>
      </c>
      <c r="U248" s="3" t="n">
        <v>13762.0</v>
      </c>
      <c r="V248" s="3" t="n">
        <v>14473.0</v>
      </c>
      <c r="W248" s="3" t="n">
        <v>15383.0</v>
      </c>
      <c r="X248" s="3" t="n">
        <v>16555.0</v>
      </c>
      <c r="Y248" s="3" t="n">
        <v>16757.0</v>
      </c>
      <c r="Z248" s="3" t="n">
        <v>16503.0</v>
      </c>
      <c r="AA248" s="3" t="n">
        <v>15592.0</v>
      </c>
      <c r="AB248" s="3" t="n">
        <v>15589.0</v>
      </c>
      <c r="AC248" s="3" t="n">
        <v>14914.0</v>
      </c>
      <c r="AD248" s="3" t="n">
        <v>15587.0</v>
      </c>
      <c r="AE248" s="3" t="n">
        <v>15325.0</v>
      </c>
      <c r="AF248" s="3" t="n">
        <v>15753.0</v>
      </c>
      <c r="AG248" s="3" t="n">
        <v>16281.0</v>
      </c>
      <c r="AH248" s="3" t="n">
        <v>15565.0</v>
      </c>
      <c r="AI248" s="3" t="n">
        <v>14854.0</v>
      </c>
      <c r="AJ248" s="3" t="n">
        <v>14091.0</v>
      </c>
      <c r="AK248" s="3" t="n">
        <v>13684.0</v>
      </c>
      <c r="AL248" s="3" t="n">
        <v>12452.0</v>
      </c>
      <c r="AM248" s="3" t="n">
        <v>12591.0</v>
      </c>
      <c r="AN248" s="3" t="n">
        <v>12385.0</v>
      </c>
      <c r="AO248" s="3" t="n">
        <v>12276.0</v>
      </c>
    </row>
    <row r="249" spans="1:41" x14ac:dyDescent="0.2">
      <c r="A249" s="125"/>
      <c r="B249" s="9">
        <v>36</v>
      </c>
      <c r="C249" s="3" t="n">
        <v>23454.0</v>
      </c>
      <c r="D249" s="3" t="n">
        <v>22302.0</v>
      </c>
      <c r="E249" s="3" t="n">
        <v>21656.0</v>
      </c>
      <c r="F249" s="3" t="n">
        <v>21473.0</v>
      </c>
      <c r="G249" s="3" t="n">
        <v>21229.0</v>
      </c>
      <c r="H249" s="3" t="n">
        <v>20995.0</v>
      </c>
      <c r="I249" s="3" t="n">
        <v>19792.0</v>
      </c>
      <c r="J249" s="3" t="n">
        <v>19401.0</v>
      </c>
      <c r="K249" s="3" t="n">
        <v>19280.0</v>
      </c>
      <c r="L249" s="3" t="n">
        <v>18026.0</v>
      </c>
      <c r="M249" s="3" t="n">
        <v>17339.0</v>
      </c>
      <c r="N249" s="3" t="n">
        <v>16650.0</v>
      </c>
      <c r="O249" s="3" t="n">
        <v>15405.0</v>
      </c>
      <c r="P249" s="3" t="n">
        <v>14685.0</v>
      </c>
      <c r="Q249" s="3" t="n">
        <v>14524.0</v>
      </c>
      <c r="R249" s="3" t="n">
        <v>14074.0</v>
      </c>
      <c r="S249" s="3" t="n">
        <v>13282.0</v>
      </c>
      <c r="T249" s="3" t="n">
        <v>12954.0</v>
      </c>
      <c r="U249" s="3" t="n">
        <v>13343.0</v>
      </c>
      <c r="V249" s="3" t="n">
        <v>13812.0</v>
      </c>
      <c r="W249" s="3" t="n">
        <v>14519.0</v>
      </c>
      <c r="X249" s="3" t="n">
        <v>15437.0</v>
      </c>
      <c r="Y249" s="3" t="n">
        <v>16613.0</v>
      </c>
      <c r="Z249" s="3" t="n">
        <v>16816.0</v>
      </c>
      <c r="AA249" s="3" t="n">
        <v>16560.0</v>
      </c>
      <c r="AB249" s="3" t="n">
        <v>15646.0</v>
      </c>
      <c r="AC249" s="3" t="n">
        <v>15644.0</v>
      </c>
      <c r="AD249" s="3" t="n">
        <v>14968.0</v>
      </c>
      <c r="AE249" s="3" t="n">
        <v>15636.0</v>
      </c>
      <c r="AF249" s="3" t="n">
        <v>15373.0</v>
      </c>
      <c r="AG249" s="3" t="n">
        <v>15808.0</v>
      </c>
      <c r="AH249" s="3" t="n">
        <v>16339.0</v>
      </c>
      <c r="AI249" s="3" t="n">
        <v>15618.0</v>
      </c>
      <c r="AJ249" s="3" t="n">
        <v>14898.0</v>
      </c>
      <c r="AK249" s="3" t="n">
        <v>14140.0</v>
      </c>
      <c r="AL249" s="3" t="n">
        <v>13727.0</v>
      </c>
      <c r="AM249" s="3" t="n">
        <v>12489.0</v>
      </c>
      <c r="AN249" s="3" t="n">
        <v>12629.0</v>
      </c>
      <c r="AO249" s="3" t="n">
        <v>12423.0</v>
      </c>
    </row>
    <row r="250" spans="1:41" x14ac:dyDescent="0.2">
      <c r="A250" s="125"/>
      <c r="B250" s="9">
        <v>37</v>
      </c>
      <c r="C250" s="3" t="n">
        <v>25022.0</v>
      </c>
      <c r="D250" s="3" t="n">
        <v>23471.0</v>
      </c>
      <c r="E250" s="3" t="n">
        <v>22323.0</v>
      </c>
      <c r="F250" s="3" t="n">
        <v>21677.0</v>
      </c>
      <c r="G250" s="3" t="n">
        <v>21505.0</v>
      </c>
      <c r="H250" s="3" t="n">
        <v>21404.0</v>
      </c>
      <c r="I250" s="3" t="n">
        <v>21231.0</v>
      </c>
      <c r="J250" s="3" t="n">
        <v>19914.0</v>
      </c>
      <c r="K250" s="3" t="n">
        <v>19463.0</v>
      </c>
      <c r="L250" s="3" t="n">
        <v>19313.0</v>
      </c>
      <c r="M250" s="3" t="n">
        <v>18046.0</v>
      </c>
      <c r="N250" s="3" t="n">
        <v>17356.0</v>
      </c>
      <c r="O250" s="3" t="n">
        <v>16672.0</v>
      </c>
      <c r="P250" s="3" t="n">
        <v>15432.0</v>
      </c>
      <c r="Q250" s="3" t="n">
        <v>14716.0</v>
      </c>
      <c r="R250" s="3" t="n">
        <v>14554.0</v>
      </c>
      <c r="S250" s="3" t="n">
        <v>14103.0</v>
      </c>
      <c r="T250" s="3" t="n">
        <v>13321.0</v>
      </c>
      <c r="U250" s="3" t="n">
        <v>12994.0</v>
      </c>
      <c r="V250" s="3" t="n">
        <v>13383.0</v>
      </c>
      <c r="W250" s="3" t="n">
        <v>13850.0</v>
      </c>
      <c r="X250" s="3" t="n">
        <v>14551.0</v>
      </c>
      <c r="Y250" s="3" t="n">
        <v>15468.0</v>
      </c>
      <c r="Z250" s="3" t="n">
        <v>16650.0</v>
      </c>
      <c r="AA250" s="3" t="n">
        <v>16850.0</v>
      </c>
      <c r="AB250" s="3" t="n">
        <v>16593.0</v>
      </c>
      <c r="AC250" s="3" t="n">
        <v>15682.0</v>
      </c>
      <c r="AD250" s="3" t="n">
        <v>15678.0</v>
      </c>
      <c r="AE250" s="3" t="n">
        <v>15001.0</v>
      </c>
      <c r="AF250" s="3" t="n">
        <v>15667.0</v>
      </c>
      <c r="AG250" s="3" t="n">
        <v>15404.0</v>
      </c>
      <c r="AH250" s="3" t="n">
        <v>15838.0</v>
      </c>
      <c r="AI250" s="3" t="n">
        <v>16372.0</v>
      </c>
      <c r="AJ250" s="3" t="n">
        <v>15650.0</v>
      </c>
      <c r="AK250" s="3" t="n">
        <v>14926.0</v>
      </c>
      <c r="AL250" s="3" t="n">
        <v>14168.0</v>
      </c>
      <c r="AM250" s="3" t="n">
        <v>13759.0</v>
      </c>
      <c r="AN250" s="3" t="n">
        <v>12518.0</v>
      </c>
      <c r="AO250" s="3" t="n">
        <v>12652.0</v>
      </c>
    </row>
    <row r="251" spans="1:41" x14ac:dyDescent="0.2">
      <c r="A251" s="125"/>
      <c r="B251" s="9">
        <v>38</v>
      </c>
      <c r="C251" s="3" t="n">
        <v>25889.0</v>
      </c>
      <c r="D251" s="3" t="n">
        <v>25013.0</v>
      </c>
      <c r="E251" s="3" t="n">
        <v>23462.0</v>
      </c>
      <c r="F251" s="3" t="n">
        <v>22318.0</v>
      </c>
      <c r="G251" s="3" t="n">
        <v>21672.0</v>
      </c>
      <c r="H251" s="3" t="n">
        <v>21652.0</v>
      </c>
      <c r="I251" s="3" t="n">
        <v>21606.0</v>
      </c>
      <c r="J251" s="3" t="n">
        <v>21317.0</v>
      </c>
      <c r="K251" s="3" t="n">
        <v>19942.0</v>
      </c>
      <c r="L251" s="3" t="n">
        <v>19468.0</v>
      </c>
      <c r="M251" s="3" t="n">
        <v>19307.0</v>
      </c>
      <c r="N251" s="3" t="n">
        <v>18034.0</v>
      </c>
      <c r="O251" s="3" t="n">
        <v>17346.0</v>
      </c>
      <c r="P251" s="3" t="n">
        <v>16667.0</v>
      </c>
      <c r="Q251" s="3" t="n">
        <v>15434.0</v>
      </c>
      <c r="R251" s="3" t="n">
        <v>14721.0</v>
      </c>
      <c r="S251" s="3" t="n">
        <v>14561.0</v>
      </c>
      <c r="T251" s="3" t="n">
        <v>14107.0</v>
      </c>
      <c r="U251" s="3" t="n">
        <v>13332.0</v>
      </c>
      <c r="V251" s="3" t="n">
        <v>13010.0</v>
      </c>
      <c r="W251" s="3" t="n">
        <v>13395.0</v>
      </c>
      <c r="X251" s="3" t="n">
        <v>13864.0</v>
      </c>
      <c r="Y251" s="3" t="n">
        <v>14564.0</v>
      </c>
      <c r="Z251" s="3" t="n">
        <v>15469.0</v>
      </c>
      <c r="AA251" s="3" t="n">
        <v>16651.0</v>
      </c>
      <c r="AB251" s="3" t="n">
        <v>16853.0</v>
      </c>
      <c r="AC251" s="3" t="n">
        <v>16597.0</v>
      </c>
      <c r="AD251" s="3" t="n">
        <v>15692.0</v>
      </c>
      <c r="AE251" s="3" t="n">
        <v>15684.0</v>
      </c>
      <c r="AF251" s="3" t="n">
        <v>15008.0</v>
      </c>
      <c r="AG251" s="3" t="n">
        <v>15670.0</v>
      </c>
      <c r="AH251" s="3" t="n">
        <v>15408.0</v>
      </c>
      <c r="AI251" s="3" t="n">
        <v>15841.0</v>
      </c>
      <c r="AJ251" s="3" t="n">
        <v>16376.0</v>
      </c>
      <c r="AK251" s="3" t="n">
        <v>15653.0</v>
      </c>
      <c r="AL251" s="3" t="n">
        <v>14931.0</v>
      </c>
      <c r="AM251" s="3" t="n">
        <v>14174.0</v>
      </c>
      <c r="AN251" s="3" t="n">
        <v>13765.0</v>
      </c>
      <c r="AO251" s="3" t="n">
        <v>12523.0</v>
      </c>
    </row>
    <row r="252" spans="1:41" x14ac:dyDescent="0.2">
      <c r="A252" s="125"/>
      <c r="B252" s="9">
        <v>39</v>
      </c>
      <c r="C252" s="3" t="n">
        <v>26599.0</v>
      </c>
      <c r="D252" s="3" t="n">
        <v>25858.0</v>
      </c>
      <c r="E252" s="3" t="n">
        <v>24993.0</v>
      </c>
      <c r="F252" s="3" t="n">
        <v>23445.0</v>
      </c>
      <c r="G252" s="3" t="n">
        <v>22307.0</v>
      </c>
      <c r="H252" s="3" t="n">
        <v>21809.0</v>
      </c>
      <c r="I252" s="3" t="n">
        <v>21846.0</v>
      </c>
      <c r="J252" s="3" t="n">
        <v>21681.0</v>
      </c>
      <c r="K252" s="3" t="n">
        <v>21342.0</v>
      </c>
      <c r="L252" s="3" t="n">
        <v>19942.0</v>
      </c>
      <c r="M252" s="3" t="n">
        <v>19453.0</v>
      </c>
      <c r="N252" s="3" t="n">
        <v>19288.0</v>
      </c>
      <c r="O252" s="3" t="n">
        <v>18015.0</v>
      </c>
      <c r="P252" s="3" t="n">
        <v>17328.0</v>
      </c>
      <c r="Q252" s="3" t="n">
        <v>16652.0</v>
      </c>
      <c r="R252" s="3" t="n">
        <v>15428.0</v>
      </c>
      <c r="S252" s="3" t="n">
        <v>14723.0</v>
      </c>
      <c r="T252" s="3" t="n">
        <v>14565.0</v>
      </c>
      <c r="U252" s="3" t="n">
        <v>14106.0</v>
      </c>
      <c r="V252" s="3" t="n">
        <v>13339.0</v>
      </c>
      <c r="W252" s="3" t="n">
        <v>13017.0</v>
      </c>
      <c r="X252" s="3" t="n">
        <v>13400.0</v>
      </c>
      <c r="Y252" s="3" t="n">
        <v>13872.0</v>
      </c>
      <c r="Z252" s="3" t="n">
        <v>14566.0</v>
      </c>
      <c r="AA252" s="3" t="n">
        <v>15462.0</v>
      </c>
      <c r="AB252" s="3" t="n">
        <v>16647.0</v>
      </c>
      <c r="AC252" s="3" t="n">
        <v>16847.0</v>
      </c>
      <c r="AD252" s="3" t="n">
        <v>16591.0</v>
      </c>
      <c r="AE252" s="3" t="n">
        <v>15688.0</v>
      </c>
      <c r="AF252" s="3" t="n">
        <v>15683.0</v>
      </c>
      <c r="AG252" s="3" t="n">
        <v>15011.0</v>
      </c>
      <c r="AH252" s="3" t="n">
        <v>15663.0</v>
      </c>
      <c r="AI252" s="3" t="n">
        <v>15401.0</v>
      </c>
      <c r="AJ252" s="3" t="n">
        <v>15835.0</v>
      </c>
      <c r="AK252" s="3" t="n">
        <v>16367.0</v>
      </c>
      <c r="AL252" s="3" t="n">
        <v>15648.0</v>
      </c>
      <c r="AM252" s="3" t="n">
        <v>14934.0</v>
      </c>
      <c r="AN252" s="3" t="n">
        <v>14170.0</v>
      </c>
      <c r="AO252" s="3" t="n">
        <v>13765.0</v>
      </c>
    </row>
    <row r="253" spans="1:41" x14ac:dyDescent="0.2">
      <c r="A253" s="125"/>
      <c r="B253" s="9">
        <v>40</v>
      </c>
      <c r="C253" s="3" t="n">
        <v>25337.0</v>
      </c>
      <c r="D253" s="3" t="n">
        <v>26589.0</v>
      </c>
      <c r="E253" s="3" t="n">
        <v>25846.0</v>
      </c>
      <c r="F253" s="3" t="n">
        <v>24989.0</v>
      </c>
      <c r="G253" s="3" t="n">
        <v>23439.0</v>
      </c>
      <c r="H253" s="3" t="n">
        <v>22436.0</v>
      </c>
      <c r="I253" s="3" t="n">
        <v>21987.0</v>
      </c>
      <c r="J253" s="3" t="n">
        <v>21920.0</v>
      </c>
      <c r="K253" s="3" t="n">
        <v>21703.0</v>
      </c>
      <c r="L253" s="3" t="n">
        <v>21350.0</v>
      </c>
      <c r="M253" s="3" t="n">
        <v>19943.0</v>
      </c>
      <c r="N253" s="3" t="n">
        <v>19446.0</v>
      </c>
      <c r="O253" s="3" t="n">
        <v>19274.0</v>
      </c>
      <c r="P253" s="3" t="n">
        <v>17999.0</v>
      </c>
      <c r="Q253" s="3" t="n">
        <v>17312.0</v>
      </c>
      <c r="R253" s="3" t="n">
        <v>16641.0</v>
      </c>
      <c r="S253" s="3" t="n">
        <v>15422.0</v>
      </c>
      <c r="T253" s="3" t="n">
        <v>14715.0</v>
      </c>
      <c r="U253" s="3" t="n">
        <v>14562.0</v>
      </c>
      <c r="V253" s="3" t="n">
        <v>14108.0</v>
      </c>
      <c r="W253" s="3" t="n">
        <v>13347.0</v>
      </c>
      <c r="X253" s="3" t="n">
        <v>13028.0</v>
      </c>
      <c r="Y253" s="3" t="n">
        <v>13410.0</v>
      </c>
      <c r="Z253" s="3" t="n">
        <v>13877.0</v>
      </c>
      <c r="AA253" s="3" t="n">
        <v>14575.0</v>
      </c>
      <c r="AB253" s="3" t="n">
        <v>15465.0</v>
      </c>
      <c r="AC253" s="3" t="n">
        <v>16648.0</v>
      </c>
      <c r="AD253" s="3" t="n">
        <v>16850.0</v>
      </c>
      <c r="AE253" s="3" t="n">
        <v>16593.0</v>
      </c>
      <c r="AF253" s="3" t="n">
        <v>15692.0</v>
      </c>
      <c r="AG253" s="3" t="n">
        <v>15682.0</v>
      </c>
      <c r="AH253" s="3" t="n">
        <v>15013.0</v>
      </c>
      <c r="AI253" s="3" t="n">
        <v>15663.0</v>
      </c>
      <c r="AJ253" s="3" t="n">
        <v>15399.0</v>
      </c>
      <c r="AK253" s="3" t="n">
        <v>15833.0</v>
      </c>
      <c r="AL253" s="3" t="n">
        <v>16364.0</v>
      </c>
      <c r="AM253" s="3" t="n">
        <v>15647.0</v>
      </c>
      <c r="AN253" s="3" t="n">
        <v>14939.0</v>
      </c>
      <c r="AO253" s="3" t="n">
        <v>14176.0</v>
      </c>
    </row>
    <row r="254" spans="1:41" x14ac:dyDescent="0.2">
      <c r="A254" s="125"/>
      <c r="B254" s="9">
        <v>41</v>
      </c>
      <c r="C254" s="3" t="n">
        <v>25069.0</v>
      </c>
      <c r="D254" s="3" t="n">
        <v>25304.0</v>
      </c>
      <c r="E254" s="3" t="n">
        <v>26558.0</v>
      </c>
      <c r="F254" s="3" t="n">
        <v>25822.0</v>
      </c>
      <c r="G254" s="3" t="n">
        <v>24977.0</v>
      </c>
      <c r="H254" s="3" t="n">
        <v>23555.0</v>
      </c>
      <c r="I254" s="3" t="n">
        <v>22601.0</v>
      </c>
      <c r="J254" s="3" t="n">
        <v>22062.0</v>
      </c>
      <c r="K254" s="3" t="n">
        <v>21943.0</v>
      </c>
      <c r="L254" s="3" t="n">
        <v>21705.0</v>
      </c>
      <c r="M254" s="3" t="n">
        <v>21347.0</v>
      </c>
      <c r="N254" s="3" t="n">
        <v>19944.0</v>
      </c>
      <c r="O254" s="3" t="n">
        <v>19444.0</v>
      </c>
      <c r="P254" s="3" t="n">
        <v>19264.0</v>
      </c>
      <c r="Q254" s="3" t="n">
        <v>17995.0</v>
      </c>
      <c r="R254" s="3" t="n">
        <v>17309.0</v>
      </c>
      <c r="S254" s="3" t="n">
        <v>16644.0</v>
      </c>
      <c r="T254" s="3" t="n">
        <v>15426.0</v>
      </c>
      <c r="U254" s="3" t="n">
        <v>14722.0</v>
      </c>
      <c r="V254" s="3" t="n">
        <v>14568.0</v>
      </c>
      <c r="W254" s="3" t="n">
        <v>14117.0</v>
      </c>
      <c r="X254" s="3" t="n">
        <v>13360.0</v>
      </c>
      <c r="Y254" s="3" t="n">
        <v>13039.0</v>
      </c>
      <c r="Z254" s="3" t="n">
        <v>13423.0</v>
      </c>
      <c r="AA254" s="3" t="n">
        <v>13891.0</v>
      </c>
      <c r="AB254" s="3" t="n">
        <v>14587.0</v>
      </c>
      <c r="AC254" s="3" t="n">
        <v>15478.0</v>
      </c>
      <c r="AD254" s="3" t="n">
        <v>16658.0</v>
      </c>
      <c r="AE254" s="3" t="n">
        <v>16862.0</v>
      </c>
      <c r="AF254" s="3" t="n">
        <v>16605.0</v>
      </c>
      <c r="AG254" s="3" t="n">
        <v>15706.0</v>
      </c>
      <c r="AH254" s="3" t="n">
        <v>15697.0</v>
      </c>
      <c r="AI254" s="3" t="n">
        <v>15025.0</v>
      </c>
      <c r="AJ254" s="3" t="n">
        <v>15674.0</v>
      </c>
      <c r="AK254" s="3" t="n">
        <v>15411.0</v>
      </c>
      <c r="AL254" s="3" t="n">
        <v>15844.0</v>
      </c>
      <c r="AM254" s="3" t="n">
        <v>16378.0</v>
      </c>
      <c r="AN254" s="3" t="n">
        <v>15659.0</v>
      </c>
      <c r="AO254" s="3" t="n">
        <v>14948.0</v>
      </c>
    </row>
    <row r="255" spans="1:41" x14ac:dyDescent="0.2">
      <c r="A255" s="125"/>
      <c r="B255" s="9">
        <v>42</v>
      </c>
      <c r="C255" s="3" t="n">
        <v>25061.0</v>
      </c>
      <c r="D255" s="3" t="n">
        <v>25036.0</v>
      </c>
      <c r="E255" s="3" t="n">
        <v>25271.0</v>
      </c>
      <c r="F255" s="3" t="n">
        <v>26529.0</v>
      </c>
      <c r="G255" s="3" t="n">
        <v>25794.0</v>
      </c>
      <c r="H255" s="3" t="n">
        <v>25077.0</v>
      </c>
      <c r="I255" s="3" t="n">
        <v>23685.0</v>
      </c>
      <c r="J255" s="3" t="n">
        <v>22658.0</v>
      </c>
      <c r="K255" s="3" t="n">
        <v>22070.0</v>
      </c>
      <c r="L255" s="3" t="n">
        <v>21940.0</v>
      </c>
      <c r="M255" s="3" t="n">
        <v>21693.0</v>
      </c>
      <c r="N255" s="3" t="n">
        <v>21328.0</v>
      </c>
      <c r="O255" s="3" t="n">
        <v>19930.0</v>
      </c>
      <c r="P255" s="3" t="n">
        <v>19430.0</v>
      </c>
      <c r="Q255" s="3" t="n">
        <v>19248.0</v>
      </c>
      <c r="R255" s="3" t="n">
        <v>17976.0</v>
      </c>
      <c r="S255" s="3" t="n">
        <v>17290.0</v>
      </c>
      <c r="T255" s="3" t="n">
        <v>16633.0</v>
      </c>
      <c r="U255" s="3" t="n">
        <v>15422.0</v>
      </c>
      <c r="V255" s="3" t="n">
        <v>14721.0</v>
      </c>
      <c r="W255" s="3" t="n">
        <v>14572.0</v>
      </c>
      <c r="X255" s="3" t="n">
        <v>14120.0</v>
      </c>
      <c r="Y255" s="3" t="n">
        <v>13368.0</v>
      </c>
      <c r="Z255" s="3" t="n">
        <v>13047.0</v>
      </c>
      <c r="AA255" s="3" t="n">
        <v>13430.0</v>
      </c>
      <c r="AB255" s="3" t="n">
        <v>13898.0</v>
      </c>
      <c r="AC255" s="3" t="n">
        <v>14589.0</v>
      </c>
      <c r="AD255" s="3" t="n">
        <v>15478.0</v>
      </c>
      <c r="AE255" s="3" t="n">
        <v>16657.0</v>
      </c>
      <c r="AF255" s="3" t="n">
        <v>16858.0</v>
      </c>
      <c r="AG255" s="3" t="n">
        <v>16595.0</v>
      </c>
      <c r="AH255" s="3" t="n">
        <v>15704.0</v>
      </c>
      <c r="AI255" s="3" t="n">
        <v>15697.0</v>
      </c>
      <c r="AJ255" s="3" t="n">
        <v>15028.0</v>
      </c>
      <c r="AK255" s="3" t="n">
        <v>15679.0</v>
      </c>
      <c r="AL255" s="3" t="n">
        <v>15412.0</v>
      </c>
      <c r="AM255" s="3" t="n">
        <v>15839.0</v>
      </c>
      <c r="AN255" s="3" t="n">
        <v>16374.0</v>
      </c>
      <c r="AO255" s="3" t="n">
        <v>15660.0</v>
      </c>
    </row>
    <row r="256" spans="1:41" x14ac:dyDescent="0.2">
      <c r="A256" s="125"/>
      <c r="B256" s="9">
        <v>43</v>
      </c>
      <c r="C256" s="3" t="n">
        <v>24367.0</v>
      </c>
      <c r="D256" s="3" t="n">
        <v>25025.0</v>
      </c>
      <c r="E256" s="3" t="n">
        <v>25002.0</v>
      </c>
      <c r="F256" s="3" t="n">
        <v>25243.0</v>
      </c>
      <c r="G256" s="3" t="n">
        <v>26502.0</v>
      </c>
      <c r="H256" s="3" t="n">
        <v>25878.0</v>
      </c>
      <c r="I256" s="3" t="n">
        <v>25213.0</v>
      </c>
      <c r="J256" s="3" t="n">
        <v>23731.0</v>
      </c>
      <c r="K256" s="3" t="n">
        <v>22664.0</v>
      </c>
      <c r="L256" s="3" t="n">
        <v>22065.0</v>
      </c>
      <c r="M256" s="3" t="n">
        <v>21928.0</v>
      </c>
      <c r="N256" s="3" t="n">
        <v>21669.0</v>
      </c>
      <c r="O256" s="3" t="n">
        <v>21301.0</v>
      </c>
      <c r="P256" s="3" t="n">
        <v>19904.0</v>
      </c>
      <c r="Q256" s="3" t="n">
        <v>19409.0</v>
      </c>
      <c r="R256" s="3" t="n">
        <v>19226.0</v>
      </c>
      <c r="S256" s="3" t="n">
        <v>17948.0</v>
      </c>
      <c r="T256" s="3" t="n">
        <v>17265.0</v>
      </c>
      <c r="U256" s="3" t="n">
        <v>16609.0</v>
      </c>
      <c r="V256" s="3" t="n">
        <v>15401.0</v>
      </c>
      <c r="W256" s="3" t="n">
        <v>14706.0</v>
      </c>
      <c r="X256" s="3" t="n">
        <v>14560.0</v>
      </c>
      <c r="Y256" s="3" t="n">
        <v>14108.0</v>
      </c>
      <c r="Z256" s="3" t="n">
        <v>13357.0</v>
      </c>
      <c r="AA256" s="3" t="n">
        <v>13042.0</v>
      </c>
      <c r="AB256" s="3" t="n">
        <v>13427.0</v>
      </c>
      <c r="AC256" s="3" t="n">
        <v>13890.0</v>
      </c>
      <c r="AD256" s="3" t="n">
        <v>14575.0</v>
      </c>
      <c r="AE256" s="3" t="n">
        <v>15462.0</v>
      </c>
      <c r="AF256" s="3" t="n">
        <v>16646.0</v>
      </c>
      <c r="AG256" s="3" t="n">
        <v>16845.0</v>
      </c>
      <c r="AH256" s="3" t="n">
        <v>16583.0</v>
      </c>
      <c r="AI256" s="3" t="n">
        <v>15689.0</v>
      </c>
      <c r="AJ256" s="3" t="n">
        <v>15684.0</v>
      </c>
      <c r="AK256" s="3" t="n">
        <v>15013.0</v>
      </c>
      <c r="AL256" s="3" t="n">
        <v>15659.0</v>
      </c>
      <c r="AM256" s="3" t="n">
        <v>15396.0</v>
      </c>
      <c r="AN256" s="3" t="n">
        <v>15823.0</v>
      </c>
      <c r="AO256" s="3" t="n">
        <v>16362.0</v>
      </c>
    </row>
    <row r="257" spans="1:41" x14ac:dyDescent="0.2">
      <c r="A257" s="125"/>
      <c r="B257" s="9">
        <v>44</v>
      </c>
      <c r="C257" s="3" t="n">
        <v>23832.0</v>
      </c>
      <c r="D257" s="3" t="n">
        <v>24315.0</v>
      </c>
      <c r="E257" s="3" t="n">
        <v>24970.0</v>
      </c>
      <c r="F257" s="3" t="n">
        <v>24954.0</v>
      </c>
      <c r="G257" s="3" t="n">
        <v>25195.0</v>
      </c>
      <c r="H257" s="3" t="n">
        <v>26568.0</v>
      </c>
      <c r="I257" s="3" t="n">
        <v>25982.0</v>
      </c>
      <c r="J257" s="3" t="n">
        <v>25239.0</v>
      </c>
      <c r="K257" s="3" t="n">
        <v>23725.0</v>
      </c>
      <c r="L257" s="3" t="n">
        <v>22643.0</v>
      </c>
      <c r="M257" s="3" t="n">
        <v>22036.0</v>
      </c>
      <c r="N257" s="3" t="n">
        <v>21893.0</v>
      </c>
      <c r="O257" s="3" t="n">
        <v>21633.0</v>
      </c>
      <c r="P257" s="3" t="n">
        <v>21265.0</v>
      </c>
      <c r="Q257" s="3" t="n">
        <v>19872.0</v>
      </c>
      <c r="R257" s="3" t="n">
        <v>19380.0</v>
      </c>
      <c r="S257" s="3" t="n">
        <v>19196.0</v>
      </c>
      <c r="T257" s="3" t="n">
        <v>17914.0</v>
      </c>
      <c r="U257" s="3" t="n">
        <v>17231.0</v>
      </c>
      <c r="V257" s="3" t="n">
        <v>16578.0</v>
      </c>
      <c r="W257" s="3" t="n">
        <v>15378.0</v>
      </c>
      <c r="X257" s="3" t="n">
        <v>14687.0</v>
      </c>
      <c r="Y257" s="3" t="n">
        <v>14542.0</v>
      </c>
      <c r="Z257" s="3" t="n">
        <v>14092.0</v>
      </c>
      <c r="AA257" s="3" t="n">
        <v>13343.0</v>
      </c>
      <c r="AB257" s="3" t="n">
        <v>13027.0</v>
      </c>
      <c r="AC257" s="3" t="n">
        <v>13416.0</v>
      </c>
      <c r="AD257" s="3" t="n">
        <v>13876.0</v>
      </c>
      <c r="AE257" s="3" t="n">
        <v>14558.0</v>
      </c>
      <c r="AF257" s="3" t="n">
        <v>15439.0</v>
      </c>
      <c r="AG257" s="3" t="n">
        <v>16624.0</v>
      </c>
      <c r="AH257" s="3" t="n">
        <v>16825.0</v>
      </c>
      <c r="AI257" s="3" t="n">
        <v>16562.0</v>
      </c>
      <c r="AJ257" s="3" t="n">
        <v>15668.0</v>
      </c>
      <c r="AK257" s="3" t="n">
        <v>15665.0</v>
      </c>
      <c r="AL257" s="3" t="n">
        <v>15001.0</v>
      </c>
      <c r="AM257" s="3" t="n">
        <v>15643.0</v>
      </c>
      <c r="AN257" s="3" t="n">
        <v>15384.0</v>
      </c>
      <c r="AO257" s="3" t="n">
        <v>15805.0</v>
      </c>
    </row>
    <row r="258" spans="1:41" x14ac:dyDescent="0.2">
      <c r="A258" s="125"/>
      <c r="B258" s="9">
        <v>45</v>
      </c>
      <c r="C258" s="3" t="n">
        <v>23296.0</v>
      </c>
      <c r="D258" s="3" t="n">
        <v>23773.0</v>
      </c>
      <c r="E258" s="3" t="n">
        <v>24257.0</v>
      </c>
      <c r="F258" s="3" t="n">
        <v>24914.0</v>
      </c>
      <c r="G258" s="3" t="n">
        <v>24904.0</v>
      </c>
      <c r="H258" s="3" t="n">
        <v>25253.0</v>
      </c>
      <c r="I258" s="3" t="n">
        <v>26659.0</v>
      </c>
      <c r="J258" s="3" t="n">
        <v>25996.0</v>
      </c>
      <c r="K258" s="3" t="n">
        <v>25214.0</v>
      </c>
      <c r="L258" s="3" t="n">
        <v>23688.0</v>
      </c>
      <c r="M258" s="3" t="n">
        <v>22599.0</v>
      </c>
      <c r="N258" s="3" t="n">
        <v>21986.0</v>
      </c>
      <c r="O258" s="3" t="n">
        <v>21839.0</v>
      </c>
      <c r="P258" s="3" t="n">
        <v>21576.0</v>
      </c>
      <c r="Q258" s="3" t="n">
        <v>21210.0</v>
      </c>
      <c r="R258" s="3" t="n">
        <v>19826.0</v>
      </c>
      <c r="S258" s="3" t="n">
        <v>19334.0</v>
      </c>
      <c r="T258" s="3" t="n">
        <v>19148.0</v>
      </c>
      <c r="U258" s="3" t="n">
        <v>17878.0</v>
      </c>
      <c r="V258" s="3" t="n">
        <v>17197.0</v>
      </c>
      <c r="W258" s="3" t="n">
        <v>16549.0</v>
      </c>
      <c r="X258" s="3" t="n">
        <v>15348.0</v>
      </c>
      <c r="Y258" s="3" t="n">
        <v>14665.0</v>
      </c>
      <c r="Z258" s="3" t="n">
        <v>14519.0</v>
      </c>
      <c r="AA258" s="3" t="n">
        <v>14066.0</v>
      </c>
      <c r="AB258" s="3" t="n">
        <v>13326.0</v>
      </c>
      <c r="AC258" s="3" t="n">
        <v>13007.0</v>
      </c>
      <c r="AD258" s="3" t="n">
        <v>13400.0</v>
      </c>
      <c r="AE258" s="3" t="n">
        <v>13861.0</v>
      </c>
      <c r="AF258" s="3" t="n">
        <v>14536.0</v>
      </c>
      <c r="AG258" s="3" t="n">
        <v>15412.0</v>
      </c>
      <c r="AH258" s="3" t="n">
        <v>16603.0</v>
      </c>
      <c r="AI258" s="3" t="n">
        <v>16802.0</v>
      </c>
      <c r="AJ258" s="3" t="n">
        <v>16538.0</v>
      </c>
      <c r="AK258" s="3" t="n">
        <v>15649.0</v>
      </c>
      <c r="AL258" s="3" t="n">
        <v>15644.0</v>
      </c>
      <c r="AM258" s="3" t="n">
        <v>14979.0</v>
      </c>
      <c r="AN258" s="3" t="n">
        <v>15617.0</v>
      </c>
      <c r="AO258" s="3" t="n">
        <v>15356.0</v>
      </c>
    </row>
    <row r="259" spans="1:41" x14ac:dyDescent="0.2">
      <c r="A259" s="125"/>
      <c r="B259" s="9">
        <v>46</v>
      </c>
      <c r="C259" s="3" t="n">
        <v>23116.0</v>
      </c>
      <c r="D259" s="3" t="n">
        <v>23237.0</v>
      </c>
      <c r="E259" s="3" t="n">
        <v>23715.0</v>
      </c>
      <c r="F259" s="3" t="n">
        <v>24196.0</v>
      </c>
      <c r="G259" s="3" t="n">
        <v>24850.0</v>
      </c>
      <c r="H259" s="3" t="n">
        <v>24922.0</v>
      </c>
      <c r="I259" s="3" t="n">
        <v>25313.0</v>
      </c>
      <c r="J259" s="3" t="n">
        <v>26651.0</v>
      </c>
      <c r="K259" s="3" t="n">
        <v>25956.0</v>
      </c>
      <c r="L259" s="3" t="n">
        <v>25167.0</v>
      </c>
      <c r="M259" s="3" t="n">
        <v>23638.0</v>
      </c>
      <c r="N259" s="3" t="n">
        <v>22547.0</v>
      </c>
      <c r="O259" s="3" t="n">
        <v>21936.0</v>
      </c>
      <c r="P259" s="3" t="n">
        <v>21788.0</v>
      </c>
      <c r="Q259" s="3" t="n">
        <v>21523.0</v>
      </c>
      <c r="R259" s="3" t="n">
        <v>21161.0</v>
      </c>
      <c r="S259" s="3" t="n">
        <v>19781.0</v>
      </c>
      <c r="T259" s="3" t="n">
        <v>19289.0</v>
      </c>
      <c r="U259" s="3" t="n">
        <v>19102.0</v>
      </c>
      <c r="V259" s="3" t="n">
        <v>17835.0</v>
      </c>
      <c r="W259" s="3" t="n">
        <v>17157.0</v>
      </c>
      <c r="X259" s="3" t="n">
        <v>16512.0</v>
      </c>
      <c r="Y259" s="3" t="n">
        <v>15317.0</v>
      </c>
      <c r="Z259" s="3" t="n">
        <v>14637.0</v>
      </c>
      <c r="AA259" s="3" t="n">
        <v>14489.0</v>
      </c>
      <c r="AB259" s="3" t="n">
        <v>14042.0</v>
      </c>
      <c r="AC259" s="3" t="n">
        <v>13305.0</v>
      </c>
      <c r="AD259" s="3" t="n">
        <v>12988.0</v>
      </c>
      <c r="AE259" s="3" t="n">
        <v>13379.0</v>
      </c>
      <c r="AF259" s="3" t="n">
        <v>13842.0</v>
      </c>
      <c r="AG259" s="3" t="n">
        <v>14512.0</v>
      </c>
      <c r="AH259" s="3" t="n">
        <v>15386.0</v>
      </c>
      <c r="AI259" s="3" t="n">
        <v>16573.0</v>
      </c>
      <c r="AJ259" s="3" t="n">
        <v>16768.0</v>
      </c>
      <c r="AK259" s="3" t="n">
        <v>16504.0</v>
      </c>
      <c r="AL259" s="3" t="n">
        <v>15618.0</v>
      </c>
      <c r="AM259" s="3" t="n">
        <v>15617.0</v>
      </c>
      <c r="AN259" s="3" t="n">
        <v>14955.0</v>
      </c>
      <c r="AO259" s="3" t="n">
        <v>15590.0</v>
      </c>
    </row>
    <row r="260" spans="1:41" x14ac:dyDescent="0.2">
      <c r="A260" s="125"/>
      <c r="B260" s="9">
        <v>47</v>
      </c>
      <c r="C260" s="3" t="n">
        <v>22515.0</v>
      </c>
      <c r="D260" s="3" t="n">
        <v>23067.0</v>
      </c>
      <c r="E260" s="3" t="n">
        <v>23187.0</v>
      </c>
      <c r="F260" s="3" t="n">
        <v>23669.0</v>
      </c>
      <c r="G260" s="3" t="n">
        <v>24156.0</v>
      </c>
      <c r="H260" s="3" t="n">
        <v>24894.0</v>
      </c>
      <c r="I260" s="3" t="n">
        <v>24995.0</v>
      </c>
      <c r="J260" s="3" t="n">
        <v>25322.0</v>
      </c>
      <c r="K260" s="3" t="n">
        <v>26623.0</v>
      </c>
      <c r="L260" s="3" t="n">
        <v>25916.0</v>
      </c>
      <c r="M260" s="3" t="n">
        <v>25126.0</v>
      </c>
      <c r="N260" s="3" t="n">
        <v>23605.0</v>
      </c>
      <c r="O260" s="3" t="n">
        <v>22516.0</v>
      </c>
      <c r="P260" s="3" t="n">
        <v>21908.0</v>
      </c>
      <c r="Q260" s="3" t="n">
        <v>21755.0</v>
      </c>
      <c r="R260" s="3" t="n">
        <v>21491.0</v>
      </c>
      <c r="S260" s="3" t="n">
        <v>21134.0</v>
      </c>
      <c r="T260" s="3" t="n">
        <v>19753.0</v>
      </c>
      <c r="U260" s="3" t="n">
        <v>19258.0</v>
      </c>
      <c r="V260" s="3" t="n">
        <v>19073.0</v>
      </c>
      <c r="W260" s="3" t="n">
        <v>17809.0</v>
      </c>
      <c r="X260" s="3" t="n">
        <v>17133.0</v>
      </c>
      <c r="Y260" s="3" t="n">
        <v>16493.0</v>
      </c>
      <c r="Z260" s="3" t="n">
        <v>15299.0</v>
      </c>
      <c r="AA260" s="3" t="n">
        <v>14623.0</v>
      </c>
      <c r="AB260" s="3" t="n">
        <v>14477.0</v>
      </c>
      <c r="AC260" s="3" t="n">
        <v>14028.0</v>
      </c>
      <c r="AD260" s="3" t="n">
        <v>13298.0</v>
      </c>
      <c r="AE260" s="3" t="n">
        <v>12981.0</v>
      </c>
      <c r="AF260" s="3" t="n">
        <v>13371.0</v>
      </c>
      <c r="AG260" s="3" t="n">
        <v>13833.0</v>
      </c>
      <c r="AH260" s="3" t="n">
        <v>14502.0</v>
      </c>
      <c r="AI260" s="3" t="n">
        <v>15374.0</v>
      </c>
      <c r="AJ260" s="3" t="n">
        <v>16561.0</v>
      </c>
      <c r="AK260" s="3" t="n">
        <v>16754.0</v>
      </c>
      <c r="AL260" s="3" t="n">
        <v>16494.0</v>
      </c>
      <c r="AM260" s="3" t="n">
        <v>15608.0</v>
      </c>
      <c r="AN260" s="3" t="n">
        <v>15608.0</v>
      </c>
      <c r="AO260" s="3" t="n">
        <v>14949.0</v>
      </c>
    </row>
    <row r="261" spans="1:41" x14ac:dyDescent="0.2">
      <c r="A261" s="125"/>
      <c r="B261" s="9">
        <v>48</v>
      </c>
      <c r="C261" s="3" t="n">
        <v>21269.0</v>
      </c>
      <c r="D261" s="3" t="n">
        <v>22461.0</v>
      </c>
      <c r="E261" s="3" t="n">
        <v>23011.0</v>
      </c>
      <c r="F261" s="3" t="n">
        <v>23134.0</v>
      </c>
      <c r="G261" s="3" t="n">
        <v>23613.0</v>
      </c>
      <c r="H261" s="3" t="n">
        <v>24187.0</v>
      </c>
      <c r="I261" s="3" t="n">
        <v>24958.0</v>
      </c>
      <c r="J261" s="3" t="n">
        <v>24991.0</v>
      </c>
      <c r="K261" s="3" t="n">
        <v>25290.0</v>
      </c>
      <c r="L261" s="3" t="n">
        <v>26572.0</v>
      </c>
      <c r="M261" s="3" t="n">
        <v>25859.0</v>
      </c>
      <c r="N261" s="3" t="n">
        <v>25071.0</v>
      </c>
      <c r="O261" s="3" t="n">
        <v>23548.0</v>
      </c>
      <c r="P261" s="3" t="n">
        <v>22467.0</v>
      </c>
      <c r="Q261" s="3" t="n">
        <v>21867.0</v>
      </c>
      <c r="R261" s="3" t="n">
        <v>21711.0</v>
      </c>
      <c r="S261" s="3" t="n">
        <v>21446.0</v>
      </c>
      <c r="T261" s="3" t="n">
        <v>21093.0</v>
      </c>
      <c r="U261" s="3" t="n">
        <v>19716.0</v>
      </c>
      <c r="V261" s="3" t="n">
        <v>19220.0</v>
      </c>
      <c r="W261" s="3" t="n">
        <v>19032.0</v>
      </c>
      <c r="X261" s="3" t="n">
        <v>17770.0</v>
      </c>
      <c r="Y261" s="3" t="n">
        <v>17099.0</v>
      </c>
      <c r="Z261" s="3" t="n">
        <v>16469.0</v>
      </c>
      <c r="AA261" s="3" t="n">
        <v>15280.0</v>
      </c>
      <c r="AB261" s="3" t="n">
        <v>14605.0</v>
      </c>
      <c r="AC261" s="3" t="n">
        <v>14455.0</v>
      </c>
      <c r="AD261" s="3" t="n">
        <v>14007.0</v>
      </c>
      <c r="AE261" s="3" t="n">
        <v>13287.0</v>
      </c>
      <c r="AF261" s="3" t="n">
        <v>12970.0</v>
      </c>
      <c r="AG261" s="3" t="n">
        <v>13361.0</v>
      </c>
      <c r="AH261" s="3" t="n">
        <v>13818.0</v>
      </c>
      <c r="AI261" s="3" t="n">
        <v>14485.0</v>
      </c>
      <c r="AJ261" s="3" t="n">
        <v>15356.0</v>
      </c>
      <c r="AK261" s="3" t="n">
        <v>16540.0</v>
      </c>
      <c r="AL261" s="3" t="n">
        <v>16733.0</v>
      </c>
      <c r="AM261" s="3" t="n">
        <v>16474.0</v>
      </c>
      <c r="AN261" s="3" t="n">
        <v>15590.0</v>
      </c>
      <c r="AO261" s="3" t="n">
        <v>15594.0</v>
      </c>
    </row>
    <row r="262" spans="1:41" x14ac:dyDescent="0.2">
      <c r="A262" s="125"/>
      <c r="B262" s="9">
        <v>49</v>
      </c>
      <c r="C262" s="3" t="n">
        <v>20148.0</v>
      </c>
      <c r="D262" s="3" t="n">
        <v>21220.0</v>
      </c>
      <c r="E262" s="3" t="n">
        <v>22410.0</v>
      </c>
      <c r="F262" s="3" t="n">
        <v>22957.0</v>
      </c>
      <c r="G262" s="3" t="n">
        <v>23082.0</v>
      </c>
      <c r="H262" s="3" t="n">
        <v>23645.0</v>
      </c>
      <c r="I262" s="3" t="n">
        <v>24250.0</v>
      </c>
      <c r="J262" s="3" t="n">
        <v>24950.0</v>
      </c>
      <c r="K262" s="3" t="n">
        <v>24955.0</v>
      </c>
      <c r="L262" s="3" t="n">
        <v>25234.0</v>
      </c>
      <c r="M262" s="3" t="n">
        <v>26504.0</v>
      </c>
      <c r="N262" s="3" t="n">
        <v>25797.0</v>
      </c>
      <c r="O262" s="3" t="n">
        <v>25010.0</v>
      </c>
      <c r="P262" s="3" t="n">
        <v>23492.0</v>
      </c>
      <c r="Q262" s="3" t="n">
        <v>22413.0</v>
      </c>
      <c r="R262" s="3" t="n">
        <v>21816.0</v>
      </c>
      <c r="S262" s="3" t="n">
        <v>21652.0</v>
      </c>
      <c r="T262" s="3" t="n">
        <v>21393.0</v>
      </c>
      <c r="U262" s="3" t="n">
        <v>21042.0</v>
      </c>
      <c r="V262" s="3" t="n">
        <v>19672.0</v>
      </c>
      <c r="W262" s="3" t="n">
        <v>19175.0</v>
      </c>
      <c r="X262" s="3" t="n">
        <v>18983.0</v>
      </c>
      <c r="Y262" s="3" t="n">
        <v>17724.0</v>
      </c>
      <c r="Z262" s="3" t="n">
        <v>17057.0</v>
      </c>
      <c r="AA262" s="3" t="n">
        <v>16430.0</v>
      </c>
      <c r="AB262" s="3" t="n">
        <v>15249.0</v>
      </c>
      <c r="AC262" s="3" t="n">
        <v>14577.0</v>
      </c>
      <c r="AD262" s="3" t="n">
        <v>14424.0</v>
      </c>
      <c r="AE262" s="3" t="n">
        <v>13976.0</v>
      </c>
      <c r="AF262" s="3" t="n">
        <v>13260.0</v>
      </c>
      <c r="AG262" s="3" t="n">
        <v>12944.0</v>
      </c>
      <c r="AH262" s="3" t="n">
        <v>13334.0</v>
      </c>
      <c r="AI262" s="3" t="n">
        <v>13792.0</v>
      </c>
      <c r="AJ262" s="3" t="n">
        <v>14461.0</v>
      </c>
      <c r="AK262" s="3" t="n">
        <v>15331.0</v>
      </c>
      <c r="AL262" s="3" t="n">
        <v>16516.0</v>
      </c>
      <c r="AM262" s="3" t="n">
        <v>16705.0</v>
      </c>
      <c r="AN262" s="3" t="n">
        <v>16448.0</v>
      </c>
      <c r="AO262" s="3" t="n">
        <v>15565.0</v>
      </c>
    </row>
    <row r="263" spans="1:41" x14ac:dyDescent="0.2">
      <c r="A263" s="125"/>
      <c r="B263" s="9">
        <v>50</v>
      </c>
      <c r="C263" s="3" t="n">
        <v>18955.0</v>
      </c>
      <c r="D263" s="3" t="n">
        <v>20084.0</v>
      </c>
      <c r="E263" s="3" t="n">
        <v>21155.0</v>
      </c>
      <c r="F263" s="3" t="n">
        <v>22346.0</v>
      </c>
      <c r="G263" s="3" t="n">
        <v>22896.0</v>
      </c>
      <c r="H263" s="3" t="n">
        <v>23094.0</v>
      </c>
      <c r="I263" s="3" t="n">
        <v>23690.0</v>
      </c>
      <c r="J263" s="3" t="n">
        <v>24235.0</v>
      </c>
      <c r="K263" s="3" t="n">
        <v>24894.0</v>
      </c>
      <c r="L263" s="3" t="n">
        <v>24894.0</v>
      </c>
      <c r="M263" s="3" t="n">
        <v>25165.0</v>
      </c>
      <c r="N263" s="3" t="n">
        <v>26428.0</v>
      </c>
      <c r="O263" s="3" t="n">
        <v>25725.0</v>
      </c>
      <c r="P263" s="3" t="n">
        <v>24940.0</v>
      </c>
      <c r="Q263" s="3" t="n">
        <v>23424.0</v>
      </c>
      <c r="R263" s="3" t="n">
        <v>22348.0</v>
      </c>
      <c r="S263" s="3" t="n">
        <v>21755.0</v>
      </c>
      <c r="T263" s="3" t="n">
        <v>21589.0</v>
      </c>
      <c r="U263" s="3" t="n">
        <v>21328.0</v>
      </c>
      <c r="V263" s="3" t="n">
        <v>20982.0</v>
      </c>
      <c r="W263" s="3" t="n">
        <v>19612.0</v>
      </c>
      <c r="X263" s="3" t="n">
        <v>19120.0</v>
      </c>
      <c r="Y263" s="3" t="n">
        <v>18927.0</v>
      </c>
      <c r="Z263" s="3" t="n">
        <v>17667.0</v>
      </c>
      <c r="AA263" s="3" t="n">
        <v>17006.0</v>
      </c>
      <c r="AB263" s="3" t="n">
        <v>16379.0</v>
      </c>
      <c r="AC263" s="3" t="n">
        <v>15207.0</v>
      </c>
      <c r="AD263" s="3" t="n">
        <v>14537.0</v>
      </c>
      <c r="AE263" s="3" t="n">
        <v>14383.0</v>
      </c>
      <c r="AF263" s="3" t="n">
        <v>13937.0</v>
      </c>
      <c r="AG263" s="3" t="n">
        <v>13228.0</v>
      </c>
      <c r="AH263" s="3" t="n">
        <v>12912.0</v>
      </c>
      <c r="AI263" s="3" t="n">
        <v>13298.0</v>
      </c>
      <c r="AJ263" s="3" t="n">
        <v>13759.0</v>
      </c>
      <c r="AK263" s="3" t="n">
        <v>14423.0</v>
      </c>
      <c r="AL263" s="3" t="n">
        <v>15295.0</v>
      </c>
      <c r="AM263" s="3" t="n">
        <v>16480.0</v>
      </c>
      <c r="AN263" s="3" t="n">
        <v>16665.0</v>
      </c>
      <c r="AO263" s="3" t="n">
        <v>16410.0</v>
      </c>
    </row>
    <row r="264" spans="1:41" x14ac:dyDescent="0.2">
      <c r="A264" s="125"/>
      <c r="B264" s="9">
        <v>51</v>
      </c>
      <c r="C264" s="3" t="n">
        <v>18182.0</v>
      </c>
      <c r="D264" s="3" t="n">
        <v>18902.0</v>
      </c>
      <c r="E264" s="3" t="n">
        <v>20035.0</v>
      </c>
      <c r="F264" s="3" t="n">
        <v>21099.0</v>
      </c>
      <c r="G264" s="3" t="n">
        <v>22288.0</v>
      </c>
      <c r="H264" s="3" t="n">
        <v>22905.0</v>
      </c>
      <c r="I264" s="3" t="n">
        <v>23125.0</v>
      </c>
      <c r="J264" s="3" t="n">
        <v>23672.0</v>
      </c>
      <c r="K264" s="3" t="n">
        <v>24191.0</v>
      </c>
      <c r="L264" s="3" t="n">
        <v>24839.0</v>
      </c>
      <c r="M264" s="3" t="n">
        <v>24829.0</v>
      </c>
      <c r="N264" s="3" t="n">
        <v>25102.0</v>
      </c>
      <c r="O264" s="3" t="n">
        <v>26359.0</v>
      </c>
      <c r="P264" s="3" t="n">
        <v>25658.0</v>
      </c>
      <c r="Q264" s="3" t="n">
        <v>24877.0</v>
      </c>
      <c r="R264" s="3" t="n">
        <v>23366.0</v>
      </c>
      <c r="S264" s="3" t="n">
        <v>22293.0</v>
      </c>
      <c r="T264" s="3" t="n">
        <v>21701.0</v>
      </c>
      <c r="U264" s="3" t="n">
        <v>21536.0</v>
      </c>
      <c r="V264" s="3" t="n">
        <v>21277.0</v>
      </c>
      <c r="W264" s="3" t="n">
        <v>20933.0</v>
      </c>
      <c r="X264" s="3" t="n">
        <v>19568.0</v>
      </c>
      <c r="Y264" s="3" t="n">
        <v>19074.0</v>
      </c>
      <c r="Z264" s="3" t="n">
        <v>18880.0</v>
      </c>
      <c r="AA264" s="3" t="n">
        <v>17623.0</v>
      </c>
      <c r="AB264" s="3" t="n">
        <v>16965.0</v>
      </c>
      <c r="AC264" s="3" t="n">
        <v>16343.0</v>
      </c>
      <c r="AD264" s="3" t="n">
        <v>15179.0</v>
      </c>
      <c r="AE264" s="3" t="n">
        <v>14512.0</v>
      </c>
      <c r="AF264" s="3" t="n">
        <v>14364.0</v>
      </c>
      <c r="AG264" s="3" t="n">
        <v>13915.0</v>
      </c>
      <c r="AH264" s="3" t="n">
        <v>13211.0</v>
      </c>
      <c r="AI264" s="3" t="n">
        <v>12896.0</v>
      </c>
      <c r="AJ264" s="3" t="n">
        <v>13283.0</v>
      </c>
      <c r="AK264" s="3" t="n">
        <v>13743.0</v>
      </c>
      <c r="AL264" s="3" t="n">
        <v>14404.0</v>
      </c>
      <c r="AM264" s="3" t="n">
        <v>15269.0</v>
      </c>
      <c r="AN264" s="3" t="n">
        <v>16451.0</v>
      </c>
      <c r="AO264" s="3" t="n">
        <v>16637.0</v>
      </c>
    </row>
    <row r="265" spans="1:41" x14ac:dyDescent="0.2">
      <c r="A265" s="125"/>
      <c r="B265" s="9">
        <v>52</v>
      </c>
      <c r="C265" s="3" t="n">
        <v>17120.0</v>
      </c>
      <c r="D265" s="3" t="n">
        <v>18128.0</v>
      </c>
      <c r="E265" s="3" t="n">
        <v>18849.0</v>
      </c>
      <c r="F265" s="3" t="n">
        <v>19976.0</v>
      </c>
      <c r="G265" s="3" t="n">
        <v>21039.0</v>
      </c>
      <c r="H265" s="3" t="n">
        <v>22284.0</v>
      </c>
      <c r="I265" s="3" t="n">
        <v>22924.0</v>
      </c>
      <c r="J265" s="3" t="n">
        <v>23094.0</v>
      </c>
      <c r="K265" s="3" t="n">
        <v>23614.0</v>
      </c>
      <c r="L265" s="3" t="n">
        <v>24119.0</v>
      </c>
      <c r="M265" s="3" t="n">
        <v>24766.0</v>
      </c>
      <c r="N265" s="3" t="n">
        <v>24748.0</v>
      </c>
      <c r="O265" s="3" t="n">
        <v>25019.0</v>
      </c>
      <c r="P265" s="3" t="n">
        <v>26274.0</v>
      </c>
      <c r="Q265" s="3" t="n">
        <v>25576.0</v>
      </c>
      <c r="R265" s="3" t="n">
        <v>24799.0</v>
      </c>
      <c r="S265" s="3" t="n">
        <v>23298.0</v>
      </c>
      <c r="T265" s="3" t="n">
        <v>22230.0</v>
      </c>
      <c r="U265" s="3" t="n">
        <v>21644.0</v>
      </c>
      <c r="V265" s="3" t="n">
        <v>21481.0</v>
      </c>
      <c r="W265" s="3" t="n">
        <v>21225.0</v>
      </c>
      <c r="X265" s="3" t="n">
        <v>20882.0</v>
      </c>
      <c r="Y265" s="3" t="n">
        <v>19518.0</v>
      </c>
      <c r="Z265" s="3" t="n">
        <v>19022.0</v>
      </c>
      <c r="AA265" s="3" t="n">
        <v>18829.0</v>
      </c>
      <c r="AB265" s="3" t="n">
        <v>17571.0</v>
      </c>
      <c r="AC265" s="3" t="n">
        <v>16912.0</v>
      </c>
      <c r="AD265" s="3" t="n">
        <v>16293.0</v>
      </c>
      <c r="AE265" s="3" t="n">
        <v>15131.0</v>
      </c>
      <c r="AF265" s="3" t="n">
        <v>14466.0</v>
      </c>
      <c r="AG265" s="3" t="n">
        <v>14321.0</v>
      </c>
      <c r="AH265" s="3" t="n">
        <v>13872.0</v>
      </c>
      <c r="AI265" s="3" t="n">
        <v>13173.0</v>
      </c>
      <c r="AJ265" s="3" t="n">
        <v>12860.0</v>
      </c>
      <c r="AK265" s="3" t="n">
        <v>13243.0</v>
      </c>
      <c r="AL265" s="3" t="n">
        <v>13703.0</v>
      </c>
      <c r="AM265" s="3" t="n">
        <v>14365.0</v>
      </c>
      <c r="AN265" s="3" t="n">
        <v>15227.0</v>
      </c>
      <c r="AO265" s="3" t="n">
        <v>16409.0</v>
      </c>
    </row>
    <row r="266" spans="1:41" x14ac:dyDescent="0.2">
      <c r="A266" s="125"/>
      <c r="B266" s="9">
        <v>53</v>
      </c>
      <c r="C266" s="3" t="n">
        <v>16390.0</v>
      </c>
      <c r="D266" s="3" t="n">
        <v>17066.0</v>
      </c>
      <c r="E266" s="3" t="n">
        <v>18075.0</v>
      </c>
      <c r="F266" s="3" t="n">
        <v>18796.0</v>
      </c>
      <c r="G266" s="3" t="n">
        <v>19924.0</v>
      </c>
      <c r="H266" s="3" t="n">
        <v>21046.0</v>
      </c>
      <c r="I266" s="3" t="n">
        <v>22305.0</v>
      </c>
      <c r="J266" s="3" t="n">
        <v>22899.0</v>
      </c>
      <c r="K266" s="3" t="n">
        <v>23042.0</v>
      </c>
      <c r="L266" s="3" t="n">
        <v>23550.0</v>
      </c>
      <c r="M266" s="3" t="n">
        <v>24046.0</v>
      </c>
      <c r="N266" s="3" t="n">
        <v>24685.0</v>
      </c>
      <c r="O266" s="3" t="n">
        <v>24667.0</v>
      </c>
      <c r="P266" s="3" t="n">
        <v>24942.0</v>
      </c>
      <c r="Q266" s="3" t="n">
        <v>26195.0</v>
      </c>
      <c r="R266" s="3" t="n">
        <v>25502.0</v>
      </c>
      <c r="S266" s="3" t="n">
        <v>24730.0</v>
      </c>
      <c r="T266" s="3" t="n">
        <v>23228.0</v>
      </c>
      <c r="U266" s="3" t="n">
        <v>22164.0</v>
      </c>
      <c r="V266" s="3" t="n">
        <v>21578.0</v>
      </c>
      <c r="W266" s="3" t="n">
        <v>21413.0</v>
      </c>
      <c r="X266" s="3" t="n">
        <v>21159.0</v>
      </c>
      <c r="Y266" s="3" t="n">
        <v>20819.0</v>
      </c>
      <c r="Z266" s="3" t="n">
        <v>19462.0</v>
      </c>
      <c r="AA266" s="3" t="n">
        <v>18968.0</v>
      </c>
      <c r="AB266" s="3" t="n">
        <v>18774.0</v>
      </c>
      <c r="AC266" s="3" t="n">
        <v>17523.0</v>
      </c>
      <c r="AD266" s="3" t="n">
        <v>16865.0</v>
      </c>
      <c r="AE266" s="3" t="n">
        <v>16249.0</v>
      </c>
      <c r="AF266" s="3" t="n">
        <v>15091.0</v>
      </c>
      <c r="AG266" s="3" t="n">
        <v>14431.0</v>
      </c>
      <c r="AH266" s="3" t="n">
        <v>14285.0</v>
      </c>
      <c r="AI266" s="3" t="n">
        <v>13843.0</v>
      </c>
      <c r="AJ266" s="3" t="n">
        <v>13147.0</v>
      </c>
      <c r="AK266" s="3" t="n">
        <v>12836.0</v>
      </c>
      <c r="AL266" s="3" t="n">
        <v>13219.0</v>
      </c>
      <c r="AM266" s="3" t="n">
        <v>13680.0</v>
      </c>
      <c r="AN266" s="3" t="n">
        <v>14335.0</v>
      </c>
      <c r="AO266" s="3" t="n">
        <v>15195.0</v>
      </c>
    </row>
    <row r="267" spans="1:41" x14ac:dyDescent="0.2">
      <c r="A267" s="125"/>
      <c r="B267" s="9">
        <v>54</v>
      </c>
      <c r="C267" s="3" t="n">
        <v>15689.0</v>
      </c>
      <c r="D267" s="3" t="n">
        <v>16338.0</v>
      </c>
      <c r="E267" s="3" t="n">
        <v>17009.0</v>
      </c>
      <c r="F267" s="3" t="n">
        <v>18013.0</v>
      </c>
      <c r="G267" s="3" t="n">
        <v>18731.0</v>
      </c>
      <c r="H267" s="3" t="n">
        <v>19925.0</v>
      </c>
      <c r="I267" s="3" t="n">
        <v>21062.0</v>
      </c>
      <c r="J267" s="3" t="n">
        <v>22273.0</v>
      </c>
      <c r="K267" s="3" t="n">
        <v>22837.0</v>
      </c>
      <c r="L267" s="3" t="n">
        <v>22970.0</v>
      </c>
      <c r="M267" s="3" t="n">
        <v>23478.0</v>
      </c>
      <c r="N267" s="3" t="n">
        <v>23966.0</v>
      </c>
      <c r="O267" s="3" t="n">
        <v>24601.0</v>
      </c>
      <c r="P267" s="3" t="n">
        <v>24579.0</v>
      </c>
      <c r="Q267" s="3" t="n">
        <v>24853.0</v>
      </c>
      <c r="R267" s="3" t="n">
        <v>26103.0</v>
      </c>
      <c r="S267" s="3" t="n">
        <v>25411.0</v>
      </c>
      <c r="T267" s="3" t="n">
        <v>24649.0</v>
      </c>
      <c r="U267" s="3" t="n">
        <v>23152.0</v>
      </c>
      <c r="V267" s="3" t="n">
        <v>22092.0</v>
      </c>
      <c r="W267" s="3" t="n">
        <v>21514.0</v>
      </c>
      <c r="X267" s="3" t="n">
        <v>21348.0</v>
      </c>
      <c r="Y267" s="3" t="n">
        <v>21094.0</v>
      </c>
      <c r="Z267" s="3" t="n">
        <v>20754.0</v>
      </c>
      <c r="AA267" s="3" t="n">
        <v>19404.0</v>
      </c>
      <c r="AB267" s="3" t="n">
        <v>18912.0</v>
      </c>
      <c r="AC267" s="3" t="n">
        <v>18713.0</v>
      </c>
      <c r="AD267" s="3" t="n">
        <v>17467.0</v>
      </c>
      <c r="AE267" s="3" t="n">
        <v>16813.0</v>
      </c>
      <c r="AF267" s="3" t="n">
        <v>16200.0</v>
      </c>
      <c r="AG267" s="3" t="n">
        <v>15046.0</v>
      </c>
      <c r="AH267" s="3" t="n">
        <v>14386.0</v>
      </c>
      <c r="AI267" s="3" t="n">
        <v>14242.0</v>
      </c>
      <c r="AJ267" s="3" t="n">
        <v>13803.0</v>
      </c>
      <c r="AK267" s="3" t="n">
        <v>13114.0</v>
      </c>
      <c r="AL267" s="3" t="n">
        <v>12801.0</v>
      </c>
      <c r="AM267" s="3" t="n">
        <v>13183.0</v>
      </c>
      <c r="AN267" s="3" t="n">
        <v>13646.0</v>
      </c>
      <c r="AO267" s="3" t="n">
        <v>14300.0</v>
      </c>
    </row>
    <row r="268" spans="1:41" x14ac:dyDescent="0.2">
      <c r="A268" s="125"/>
      <c r="B268" s="9">
        <v>55</v>
      </c>
      <c r="C268" s="3" t="n">
        <v>15413.0</v>
      </c>
      <c r="D268" s="3" t="n">
        <v>15635.0</v>
      </c>
      <c r="E268" s="3" t="n">
        <v>16283.0</v>
      </c>
      <c r="F268" s="3" t="n">
        <v>16951.0</v>
      </c>
      <c r="G268" s="3" t="n">
        <v>17951.0</v>
      </c>
      <c r="H268" s="3" t="n">
        <v>18721.0</v>
      </c>
      <c r="I268" s="3" t="n">
        <v>19934.0</v>
      </c>
      <c r="J268" s="3" t="n">
        <v>21018.0</v>
      </c>
      <c r="K268" s="3" t="n">
        <v>22204.0</v>
      </c>
      <c r="L268" s="3" t="n">
        <v>22760.0</v>
      </c>
      <c r="M268" s="3" t="n">
        <v>22886.0</v>
      </c>
      <c r="N268" s="3" t="n">
        <v>23391.0</v>
      </c>
      <c r="O268" s="3" t="n">
        <v>23877.0</v>
      </c>
      <c r="P268" s="3" t="n">
        <v>24509.0</v>
      </c>
      <c r="Q268" s="3" t="n">
        <v>24487.0</v>
      </c>
      <c r="R268" s="3" t="n">
        <v>24765.0</v>
      </c>
      <c r="S268" s="3" t="n">
        <v>26011.0</v>
      </c>
      <c r="T268" s="3" t="n">
        <v>25320.0</v>
      </c>
      <c r="U268" s="3" t="n">
        <v>24562.0</v>
      </c>
      <c r="V268" s="3" t="n">
        <v>23073.0</v>
      </c>
      <c r="W268" s="3" t="n">
        <v>22020.0</v>
      </c>
      <c r="X268" s="3" t="n">
        <v>21446.0</v>
      </c>
      <c r="Y268" s="3" t="n">
        <v>21279.0</v>
      </c>
      <c r="Z268" s="3" t="n">
        <v>21018.0</v>
      </c>
      <c r="AA268" s="3" t="n">
        <v>20684.0</v>
      </c>
      <c r="AB268" s="3" t="n">
        <v>19344.0</v>
      </c>
      <c r="AC268" s="3" t="n">
        <v>18857.0</v>
      </c>
      <c r="AD268" s="3" t="n">
        <v>18656.0</v>
      </c>
      <c r="AE268" s="3" t="n">
        <v>17417.0</v>
      </c>
      <c r="AF268" s="3" t="n">
        <v>16767.0</v>
      </c>
      <c r="AG268" s="3" t="n">
        <v>16160.0</v>
      </c>
      <c r="AH268" s="3" t="n">
        <v>15016.0</v>
      </c>
      <c r="AI268" s="3" t="n">
        <v>14358.0</v>
      </c>
      <c r="AJ268" s="3" t="n">
        <v>14214.0</v>
      </c>
      <c r="AK268" s="3" t="n">
        <v>13776.0</v>
      </c>
      <c r="AL268" s="3" t="n">
        <v>13092.0</v>
      </c>
      <c r="AM268" s="3" t="n">
        <v>12780.0</v>
      </c>
      <c r="AN268" s="3" t="n">
        <v>13163.0</v>
      </c>
      <c r="AO268" s="3" t="n">
        <v>13622.0</v>
      </c>
    </row>
    <row r="269" spans="1:41" x14ac:dyDescent="0.2">
      <c r="A269" s="125"/>
      <c r="B269" s="9">
        <v>56</v>
      </c>
      <c r="C269" s="3" t="n">
        <v>15784.0</v>
      </c>
      <c r="D269" s="3" t="n">
        <v>15350.0</v>
      </c>
      <c r="E269" s="3" t="n">
        <v>15577.0</v>
      </c>
      <c r="F269" s="3" t="n">
        <v>16221.0</v>
      </c>
      <c r="G269" s="3" t="n">
        <v>16885.0</v>
      </c>
      <c r="H269" s="3" t="n">
        <v>17925.0</v>
      </c>
      <c r="I269" s="3" t="n">
        <v>18720.0</v>
      </c>
      <c r="J269" s="3" t="n">
        <v>19888.0</v>
      </c>
      <c r="K269" s="3" t="n">
        <v>20947.0</v>
      </c>
      <c r="L269" s="3" t="n">
        <v>22120.0</v>
      </c>
      <c r="M269" s="3" t="n">
        <v>22671.0</v>
      </c>
      <c r="N269" s="3" t="n">
        <v>22793.0</v>
      </c>
      <c r="O269" s="3" t="n">
        <v>23294.0</v>
      </c>
      <c r="P269" s="3" t="n">
        <v>23776.0</v>
      </c>
      <c r="Q269" s="3" t="n">
        <v>24408.0</v>
      </c>
      <c r="R269" s="3" t="n">
        <v>24382.0</v>
      </c>
      <c r="S269" s="3" t="n">
        <v>24665.0</v>
      </c>
      <c r="T269" s="3" t="n">
        <v>25907.0</v>
      </c>
      <c r="U269" s="3" t="n">
        <v>25219.0</v>
      </c>
      <c r="V269" s="3" t="n">
        <v>24468.0</v>
      </c>
      <c r="W269" s="3" t="n">
        <v>22988.0</v>
      </c>
      <c r="X269" s="3" t="n">
        <v>21945.0</v>
      </c>
      <c r="Y269" s="3" t="n">
        <v>21372.0</v>
      </c>
      <c r="Z269" s="3" t="n">
        <v>21202.0</v>
      </c>
      <c r="AA269" s="3" t="n">
        <v>20946.0</v>
      </c>
      <c r="AB269" s="3" t="n">
        <v>20610.0</v>
      </c>
      <c r="AC269" s="3" t="n">
        <v>19280.0</v>
      </c>
      <c r="AD269" s="3" t="n">
        <v>18796.0</v>
      </c>
      <c r="AE269" s="3" t="n">
        <v>18593.0</v>
      </c>
      <c r="AF269" s="3" t="n">
        <v>17363.0</v>
      </c>
      <c r="AG269" s="3" t="n">
        <v>16712.0</v>
      </c>
      <c r="AH269" s="3" t="n">
        <v>16113.0</v>
      </c>
      <c r="AI269" s="3" t="n">
        <v>14973.0</v>
      </c>
      <c r="AJ269" s="3" t="n">
        <v>14319.0</v>
      </c>
      <c r="AK269" s="3" t="n">
        <v>14177.0</v>
      </c>
      <c r="AL269" s="3" t="n">
        <v>13739.0</v>
      </c>
      <c r="AM269" s="3" t="n">
        <v>13063.0</v>
      </c>
      <c r="AN269" s="3" t="n">
        <v>12752.0</v>
      </c>
      <c r="AO269" s="3" t="n">
        <v>13135.0</v>
      </c>
    </row>
    <row r="270" spans="1:41" x14ac:dyDescent="0.2">
      <c r="A270" s="125"/>
      <c r="B270" s="9">
        <v>57</v>
      </c>
      <c r="C270" s="3" t="n">
        <v>16296.0</v>
      </c>
      <c r="D270" s="3" t="n">
        <v>15703.0</v>
      </c>
      <c r="E270" s="3" t="n">
        <v>15270.0</v>
      </c>
      <c r="F270" s="3" t="n">
        <v>15500.0</v>
      </c>
      <c r="G270" s="3" t="n">
        <v>16145.0</v>
      </c>
      <c r="H270" s="3" t="n">
        <v>16856.0</v>
      </c>
      <c r="I270" s="3" t="n">
        <v>17908.0</v>
      </c>
      <c r="J270" s="3" t="n">
        <v>18661.0</v>
      </c>
      <c r="K270" s="3" t="n">
        <v>19805.0</v>
      </c>
      <c r="L270" s="3" t="n">
        <v>20851.0</v>
      </c>
      <c r="M270" s="3" t="n">
        <v>22018.0</v>
      </c>
      <c r="N270" s="3" t="n">
        <v>22567.0</v>
      </c>
      <c r="O270" s="3" t="n">
        <v>22686.0</v>
      </c>
      <c r="P270" s="3" t="n">
        <v>23189.0</v>
      </c>
      <c r="Q270" s="3" t="n">
        <v>23671.0</v>
      </c>
      <c r="R270" s="3" t="n">
        <v>24302.0</v>
      </c>
      <c r="S270" s="3" t="n">
        <v>24275.0</v>
      </c>
      <c r="T270" s="3" t="n">
        <v>24556.0</v>
      </c>
      <c r="U270" s="3" t="n">
        <v>25794.0</v>
      </c>
      <c r="V270" s="3" t="n">
        <v>25106.0</v>
      </c>
      <c r="W270" s="3" t="n">
        <v>24359.0</v>
      </c>
      <c r="X270" s="3" t="n">
        <v>22881.0</v>
      </c>
      <c r="Y270" s="3" t="n">
        <v>21845.0</v>
      </c>
      <c r="Z270" s="3" t="n">
        <v>21274.0</v>
      </c>
      <c r="AA270" s="3" t="n">
        <v>21105.0</v>
      </c>
      <c r="AB270" s="3" t="n">
        <v>20855.0</v>
      </c>
      <c r="AC270" s="3" t="n">
        <v>20521.0</v>
      </c>
      <c r="AD270" s="3" t="n">
        <v>19203.0</v>
      </c>
      <c r="AE270" s="3" t="n">
        <v>18725.0</v>
      </c>
      <c r="AF270" s="3" t="n">
        <v>18516.0</v>
      </c>
      <c r="AG270" s="3" t="n">
        <v>17299.0</v>
      </c>
      <c r="AH270" s="3" t="n">
        <v>16652.0</v>
      </c>
      <c r="AI270" s="3" t="n">
        <v>16059.0</v>
      </c>
      <c r="AJ270" s="3" t="n">
        <v>14925.0</v>
      </c>
      <c r="AK270" s="3" t="n">
        <v>14276.0</v>
      </c>
      <c r="AL270" s="3" t="n">
        <v>14136.0</v>
      </c>
      <c r="AM270" s="3" t="n">
        <v>13696.0</v>
      </c>
      <c r="AN270" s="3" t="n">
        <v>13027.0</v>
      </c>
      <c r="AO270" s="3" t="n">
        <v>12716.0</v>
      </c>
    </row>
    <row r="271" spans="1:41" x14ac:dyDescent="0.2">
      <c r="A271" s="125"/>
      <c r="B271" s="9">
        <v>58</v>
      </c>
      <c r="C271" s="3" t="n">
        <v>16623.0</v>
      </c>
      <c r="D271" s="3" t="n">
        <v>16210.0</v>
      </c>
      <c r="E271" s="3" t="n">
        <v>15620.0</v>
      </c>
      <c r="F271" s="3" t="n">
        <v>15193.0</v>
      </c>
      <c r="G271" s="3" t="n">
        <v>15424.0</v>
      </c>
      <c r="H271" s="3" t="n">
        <v>16124.0</v>
      </c>
      <c r="I271" s="3" t="n">
        <v>16845.0</v>
      </c>
      <c r="J271" s="3" t="n">
        <v>17845.0</v>
      </c>
      <c r="K271" s="3" t="n">
        <v>18581.0</v>
      </c>
      <c r="L271" s="3" t="n">
        <v>19715.0</v>
      </c>
      <c r="M271" s="3" t="n">
        <v>20755.0</v>
      </c>
      <c r="N271" s="3" t="n">
        <v>21918.0</v>
      </c>
      <c r="O271" s="3" t="n">
        <v>22461.0</v>
      </c>
      <c r="P271" s="3" t="n">
        <v>22582.0</v>
      </c>
      <c r="Q271" s="3" t="n">
        <v>23084.0</v>
      </c>
      <c r="R271" s="3" t="n">
        <v>23565.0</v>
      </c>
      <c r="S271" s="3" t="n">
        <v>24194.0</v>
      </c>
      <c r="T271" s="3" t="n">
        <v>24168.0</v>
      </c>
      <c r="U271" s="3" t="n">
        <v>24452.0</v>
      </c>
      <c r="V271" s="3" t="n">
        <v>25685.0</v>
      </c>
      <c r="W271" s="3" t="n">
        <v>24997.0</v>
      </c>
      <c r="X271" s="3" t="n">
        <v>24256.0</v>
      </c>
      <c r="Y271" s="3" t="n">
        <v>22781.0</v>
      </c>
      <c r="Z271" s="3" t="n">
        <v>21751.0</v>
      </c>
      <c r="AA271" s="3" t="n">
        <v>21185.0</v>
      </c>
      <c r="AB271" s="3" t="n">
        <v>21016.0</v>
      </c>
      <c r="AC271" s="3" t="n">
        <v>20769.0</v>
      </c>
      <c r="AD271" s="3" t="n">
        <v>20438.0</v>
      </c>
      <c r="AE271" s="3" t="n">
        <v>19126.0</v>
      </c>
      <c r="AF271" s="3" t="n">
        <v>18647.0</v>
      </c>
      <c r="AG271" s="3" t="n">
        <v>18441.0</v>
      </c>
      <c r="AH271" s="3" t="n">
        <v>17230.0</v>
      </c>
      <c r="AI271" s="3" t="n">
        <v>16586.0</v>
      </c>
      <c r="AJ271" s="3" t="n">
        <v>15996.0</v>
      </c>
      <c r="AK271" s="3" t="n">
        <v>14869.0</v>
      </c>
      <c r="AL271" s="3" t="n">
        <v>14223.0</v>
      </c>
      <c r="AM271" s="3" t="n">
        <v>14087.0</v>
      </c>
      <c r="AN271" s="3" t="n">
        <v>13651.0</v>
      </c>
      <c r="AO271" s="3" t="n">
        <v>12982.0</v>
      </c>
    </row>
    <row r="272" spans="1:41" x14ac:dyDescent="0.2">
      <c r="A272" s="125"/>
      <c r="B272" s="9">
        <v>59</v>
      </c>
      <c r="C272" s="3" t="n">
        <v>17161.0</v>
      </c>
      <c r="D272" s="3" t="n">
        <v>16545.0</v>
      </c>
      <c r="E272" s="3" t="n">
        <v>16137.0</v>
      </c>
      <c r="F272" s="3" t="n">
        <v>15545.0</v>
      </c>
      <c r="G272" s="3" t="n">
        <v>15129.0</v>
      </c>
      <c r="H272" s="3" t="n">
        <v>15407.0</v>
      </c>
      <c r="I272" s="3" t="n">
        <v>16120.0</v>
      </c>
      <c r="J272" s="3" t="n">
        <v>16806.0</v>
      </c>
      <c r="K272" s="3" t="n">
        <v>17779.0</v>
      </c>
      <c r="L272" s="3" t="n">
        <v>18507.0</v>
      </c>
      <c r="M272" s="3" t="n">
        <v>19627.0</v>
      </c>
      <c r="N272" s="3" t="n">
        <v>20662.0</v>
      </c>
      <c r="O272" s="3" t="n">
        <v>21826.0</v>
      </c>
      <c r="P272" s="3" t="n">
        <v>22365.0</v>
      </c>
      <c r="Q272" s="3" t="n">
        <v>22490.0</v>
      </c>
      <c r="R272" s="3" t="n">
        <v>22987.0</v>
      </c>
      <c r="S272" s="3" t="n">
        <v>23459.0</v>
      </c>
      <c r="T272" s="3" t="n">
        <v>24090.0</v>
      </c>
      <c r="U272" s="3" t="n">
        <v>24062.0</v>
      </c>
      <c r="V272" s="3" t="n">
        <v>24351.0</v>
      </c>
      <c r="W272" s="3" t="n">
        <v>25579.0</v>
      </c>
      <c r="X272" s="3" t="n">
        <v>24892.0</v>
      </c>
      <c r="Y272" s="3" t="n">
        <v>24157.0</v>
      </c>
      <c r="Z272" s="3" t="n">
        <v>22684.0</v>
      </c>
      <c r="AA272" s="3" t="n">
        <v>21665.0</v>
      </c>
      <c r="AB272" s="3" t="n">
        <v>21102.0</v>
      </c>
      <c r="AC272" s="3" t="n">
        <v>20936.0</v>
      </c>
      <c r="AD272" s="3" t="n">
        <v>20686.0</v>
      </c>
      <c r="AE272" s="3" t="n">
        <v>20360.0</v>
      </c>
      <c r="AF272" s="3" t="n">
        <v>19052.0</v>
      </c>
      <c r="AG272" s="3" t="n">
        <v>18573.0</v>
      </c>
      <c r="AH272" s="3" t="n">
        <v>18371.0</v>
      </c>
      <c r="AI272" s="3" t="n">
        <v>17163.0</v>
      </c>
      <c r="AJ272" s="3" t="n">
        <v>16523.0</v>
      </c>
      <c r="AK272" s="3" t="n">
        <v>15939.0</v>
      </c>
      <c r="AL272" s="3" t="n">
        <v>14817.0</v>
      </c>
      <c r="AM272" s="3" t="n">
        <v>14176.0</v>
      </c>
      <c r="AN272" s="3" t="n">
        <v>14046.0</v>
      </c>
      <c r="AO272" s="3" t="n">
        <v>13613.0</v>
      </c>
    </row>
    <row r="273" spans="1:41" x14ac:dyDescent="0.2">
      <c r="A273" s="125"/>
      <c r="B273" s="9">
        <v>60</v>
      </c>
      <c r="C273" s="3" t="n">
        <v>17600.0</v>
      </c>
      <c r="D273" s="3" t="n">
        <v>17063.0</v>
      </c>
      <c r="E273" s="3" t="n">
        <v>16454.0</v>
      </c>
      <c r="F273" s="3" t="n">
        <v>16057.0</v>
      </c>
      <c r="G273" s="3" t="n">
        <v>15474.0</v>
      </c>
      <c r="H273" s="3" t="n">
        <v>15109.0</v>
      </c>
      <c r="I273" s="3" t="n">
        <v>15408.0</v>
      </c>
      <c r="J273" s="3" t="n">
        <v>16073.0</v>
      </c>
      <c r="K273" s="3" t="n">
        <v>16732.0</v>
      </c>
      <c r="L273" s="3" t="n">
        <v>17692.0</v>
      </c>
      <c r="M273" s="3" t="n">
        <v>18415.0</v>
      </c>
      <c r="N273" s="3" t="n">
        <v>19521.0</v>
      </c>
      <c r="O273" s="3" t="n">
        <v>20554.0</v>
      </c>
      <c r="P273" s="3" t="n">
        <v>21711.0</v>
      </c>
      <c r="Q273" s="3" t="n">
        <v>22250.0</v>
      </c>
      <c r="R273" s="3" t="n">
        <v>22375.0</v>
      </c>
      <c r="S273" s="3" t="n">
        <v>22871.0</v>
      </c>
      <c r="T273" s="3" t="n">
        <v>23341.0</v>
      </c>
      <c r="U273" s="3" t="n">
        <v>23971.0</v>
      </c>
      <c r="V273" s="3" t="n">
        <v>23943.0</v>
      </c>
      <c r="W273" s="3" t="n">
        <v>24233.0</v>
      </c>
      <c r="X273" s="3" t="n">
        <v>25453.0</v>
      </c>
      <c r="Y273" s="3" t="n">
        <v>24771.0</v>
      </c>
      <c r="Z273" s="3" t="n">
        <v>24042.0</v>
      </c>
      <c r="AA273" s="3" t="n">
        <v>22583.0</v>
      </c>
      <c r="AB273" s="3" t="n">
        <v>21571.0</v>
      </c>
      <c r="AC273" s="3" t="n">
        <v>21011.0</v>
      </c>
      <c r="AD273" s="3" t="n">
        <v>20848.0</v>
      </c>
      <c r="AE273" s="3" t="n">
        <v>20602.0</v>
      </c>
      <c r="AF273" s="3" t="n">
        <v>20279.0</v>
      </c>
      <c r="AG273" s="3" t="n">
        <v>18975.0</v>
      </c>
      <c r="AH273" s="3" t="n">
        <v>18499.0</v>
      </c>
      <c r="AI273" s="3" t="n">
        <v>18299.0</v>
      </c>
      <c r="AJ273" s="3" t="n">
        <v>17099.0</v>
      </c>
      <c r="AK273" s="3" t="n">
        <v>16463.0</v>
      </c>
      <c r="AL273" s="3" t="n">
        <v>15883.0</v>
      </c>
      <c r="AM273" s="3" t="n">
        <v>14769.0</v>
      </c>
      <c r="AN273" s="3" t="n">
        <v>14126.0</v>
      </c>
      <c r="AO273" s="3" t="n">
        <v>13997.0</v>
      </c>
    </row>
    <row r="274" spans="1:41" x14ac:dyDescent="0.2">
      <c r="A274" s="125"/>
      <c r="B274" s="9">
        <v>61</v>
      </c>
      <c r="C274" s="3" t="n">
        <v>18852.0</v>
      </c>
      <c r="D274" s="3" t="n">
        <v>17480.0</v>
      </c>
      <c r="E274" s="3" t="n">
        <v>16950.0</v>
      </c>
      <c r="F274" s="3" t="n">
        <v>16353.0</v>
      </c>
      <c r="G274" s="3" t="n">
        <v>15962.0</v>
      </c>
      <c r="H274" s="3" t="n">
        <v>15431.0</v>
      </c>
      <c r="I274" s="3" t="n">
        <v>15083.0</v>
      </c>
      <c r="J274" s="3" t="n">
        <v>15348.0</v>
      </c>
      <c r="K274" s="3" t="n">
        <v>15994.0</v>
      </c>
      <c r="L274" s="3" t="n">
        <v>16638.0</v>
      </c>
      <c r="M274" s="3" t="n">
        <v>17595.0</v>
      </c>
      <c r="N274" s="3" t="n">
        <v>18314.0</v>
      </c>
      <c r="O274" s="3" t="n">
        <v>19412.0</v>
      </c>
      <c r="P274" s="3" t="n">
        <v>20432.0</v>
      </c>
      <c r="Q274" s="3" t="n">
        <v>21584.0</v>
      </c>
      <c r="R274" s="3" t="n">
        <v>22116.0</v>
      </c>
      <c r="S274" s="3" t="n">
        <v>22247.0</v>
      </c>
      <c r="T274" s="3" t="n">
        <v>22740.0</v>
      </c>
      <c r="U274" s="3" t="n">
        <v>23204.0</v>
      </c>
      <c r="V274" s="3" t="n">
        <v>23835.0</v>
      </c>
      <c r="W274" s="3" t="n">
        <v>23806.0</v>
      </c>
      <c r="X274" s="3" t="n">
        <v>24100.0</v>
      </c>
      <c r="Y274" s="3" t="n">
        <v>25314.0</v>
      </c>
      <c r="Z274" s="3" t="n">
        <v>24634.0</v>
      </c>
      <c r="AA274" s="3" t="n">
        <v>23907.0</v>
      </c>
      <c r="AB274" s="3" t="n">
        <v>22469.0</v>
      </c>
      <c r="AC274" s="3" t="n">
        <v>21461.0</v>
      </c>
      <c r="AD274" s="3" t="n">
        <v>20904.0</v>
      </c>
      <c r="AE274" s="3" t="n">
        <v>20744.0</v>
      </c>
      <c r="AF274" s="3" t="n">
        <v>20503.0</v>
      </c>
      <c r="AG274" s="3" t="n">
        <v>20178.0</v>
      </c>
      <c r="AH274" s="3" t="n">
        <v>18881.0</v>
      </c>
      <c r="AI274" s="3" t="n">
        <v>18403.0</v>
      </c>
      <c r="AJ274" s="3" t="n">
        <v>18205.0</v>
      </c>
      <c r="AK274" s="3" t="n">
        <v>17015.0</v>
      </c>
      <c r="AL274" s="3" t="n">
        <v>16382.0</v>
      </c>
      <c r="AM274" s="3" t="n">
        <v>15807.0</v>
      </c>
      <c r="AN274" s="3" t="n">
        <v>14707.0</v>
      </c>
      <c r="AO274" s="3" t="n">
        <v>14067.0</v>
      </c>
    </row>
    <row r="275" spans="1:41" x14ac:dyDescent="0.2">
      <c r="A275" s="125"/>
      <c r="B275" s="9">
        <v>62</v>
      </c>
      <c r="C275" s="3" t="n">
        <v>20193.0</v>
      </c>
      <c r="D275" s="3" t="n">
        <v>18718.0</v>
      </c>
      <c r="E275" s="3" t="n">
        <v>17363.0</v>
      </c>
      <c r="F275" s="3" t="n">
        <v>16841.0</v>
      </c>
      <c r="G275" s="3" t="n">
        <v>16248.0</v>
      </c>
      <c r="H275" s="3" t="n">
        <v>15898.0</v>
      </c>
      <c r="I275" s="3" t="n">
        <v>15394.0</v>
      </c>
      <c r="J275" s="3" t="n">
        <v>15014.0</v>
      </c>
      <c r="K275" s="3" t="n">
        <v>15261.0</v>
      </c>
      <c r="L275" s="3" t="n">
        <v>15902.0</v>
      </c>
      <c r="M275" s="3" t="n">
        <v>16543.0</v>
      </c>
      <c r="N275" s="3" t="n">
        <v>17489.0</v>
      </c>
      <c r="O275" s="3" t="n">
        <v>18202.0</v>
      </c>
      <c r="P275" s="3" t="n">
        <v>19292.0</v>
      </c>
      <c r="Q275" s="3" t="n">
        <v>20306.0</v>
      </c>
      <c r="R275" s="3" t="n">
        <v>21454.0</v>
      </c>
      <c r="S275" s="3" t="n">
        <v>21983.0</v>
      </c>
      <c r="T275" s="3" t="n">
        <v>22114.0</v>
      </c>
      <c r="U275" s="3" t="n">
        <v>22604.0</v>
      </c>
      <c r="V275" s="3" t="n">
        <v>23061.0</v>
      </c>
      <c r="W275" s="3" t="n">
        <v>23692.0</v>
      </c>
      <c r="X275" s="3" t="n">
        <v>23662.0</v>
      </c>
      <c r="Y275" s="3" t="n">
        <v>23955.0</v>
      </c>
      <c r="Z275" s="3" t="n">
        <v>25165.0</v>
      </c>
      <c r="AA275" s="3" t="n">
        <v>24490.0</v>
      </c>
      <c r="AB275" s="3" t="n">
        <v>23767.0</v>
      </c>
      <c r="AC275" s="3" t="n">
        <v>22340.0</v>
      </c>
      <c r="AD275" s="3" t="n">
        <v>21341.0</v>
      </c>
      <c r="AE275" s="3" t="n">
        <v>20792.0</v>
      </c>
      <c r="AF275" s="3" t="n">
        <v>20632.0</v>
      </c>
      <c r="AG275" s="3" t="n">
        <v>20392.0</v>
      </c>
      <c r="AH275" s="3" t="n">
        <v>20076.0</v>
      </c>
      <c r="AI275" s="3" t="n">
        <v>18789.0</v>
      </c>
      <c r="AJ275" s="3" t="n">
        <v>18312.0</v>
      </c>
      <c r="AK275" s="3" t="n">
        <v>18109.0</v>
      </c>
      <c r="AL275" s="3" t="n">
        <v>16925.0</v>
      </c>
      <c r="AM275" s="3" t="n">
        <v>16295.0</v>
      </c>
      <c r="AN275" s="3" t="n">
        <v>15725.0</v>
      </c>
      <c r="AO275" s="3" t="n">
        <v>14633.0</v>
      </c>
    </row>
    <row r="276" spans="1:41" x14ac:dyDescent="0.2">
      <c r="A276" s="125"/>
      <c r="B276" s="9">
        <v>63</v>
      </c>
      <c r="C276" s="3" t="n">
        <v>21627.0</v>
      </c>
      <c r="D276" s="3" t="n">
        <v>20037.0</v>
      </c>
      <c r="E276" s="3" t="n">
        <v>18576.0</v>
      </c>
      <c r="F276" s="3" t="n">
        <v>17238.0</v>
      </c>
      <c r="G276" s="3" t="n">
        <v>16730.0</v>
      </c>
      <c r="H276" s="3" t="n">
        <v>16184.0</v>
      </c>
      <c r="I276" s="3" t="n">
        <v>15861.0</v>
      </c>
      <c r="J276" s="3" t="n">
        <v>15330.0</v>
      </c>
      <c r="K276" s="3" t="n">
        <v>14936.0</v>
      </c>
      <c r="L276" s="3" t="n">
        <v>15171.0</v>
      </c>
      <c r="M276" s="3" t="n">
        <v>15811.0</v>
      </c>
      <c r="N276" s="3" t="n">
        <v>16442.0</v>
      </c>
      <c r="O276" s="3" t="n">
        <v>17378.0</v>
      </c>
      <c r="P276" s="3" t="n">
        <v>18086.0</v>
      </c>
      <c r="Q276" s="3" t="n">
        <v>19171.0</v>
      </c>
      <c r="R276" s="3" t="n">
        <v>20175.0</v>
      </c>
      <c r="S276" s="3" t="n">
        <v>21315.0</v>
      </c>
      <c r="T276" s="3" t="n">
        <v>21845.0</v>
      </c>
      <c r="U276" s="3" t="n">
        <v>21978.0</v>
      </c>
      <c r="V276" s="3" t="n">
        <v>22465.0</v>
      </c>
      <c r="W276" s="3" t="n">
        <v>22918.0</v>
      </c>
      <c r="X276" s="3" t="n">
        <v>23543.0</v>
      </c>
      <c r="Y276" s="3" t="n">
        <v>23515.0</v>
      </c>
      <c r="Z276" s="3" t="n">
        <v>23811.0</v>
      </c>
      <c r="AA276" s="3" t="n">
        <v>25014.0</v>
      </c>
      <c r="AB276" s="3" t="n">
        <v>24346.0</v>
      </c>
      <c r="AC276" s="3" t="n">
        <v>23631.0</v>
      </c>
      <c r="AD276" s="3" t="n">
        <v>22212.0</v>
      </c>
      <c r="AE276" s="3" t="n">
        <v>21221.0</v>
      </c>
      <c r="AF276" s="3" t="n">
        <v>20675.0</v>
      </c>
      <c r="AG276" s="3" t="n">
        <v>20515.0</v>
      </c>
      <c r="AH276" s="3" t="n">
        <v>20277.0</v>
      </c>
      <c r="AI276" s="3" t="n">
        <v>19963.0</v>
      </c>
      <c r="AJ276" s="3" t="n">
        <v>18687.0</v>
      </c>
      <c r="AK276" s="3" t="n">
        <v>18219.0</v>
      </c>
      <c r="AL276" s="3" t="n">
        <v>18020.0</v>
      </c>
      <c r="AM276" s="3" t="n">
        <v>16844.0</v>
      </c>
      <c r="AN276" s="3" t="n">
        <v>16219.0</v>
      </c>
      <c r="AO276" s="3" t="n">
        <v>15653.0</v>
      </c>
    </row>
    <row r="277" spans="1:41" x14ac:dyDescent="0.2">
      <c r="A277" s="125"/>
      <c r="B277" s="9">
        <v>64</v>
      </c>
      <c r="C277" s="3" t="n">
        <v>22640.0</v>
      </c>
      <c r="D277" s="3" t="n">
        <v>21437.0</v>
      </c>
      <c r="E277" s="3" t="n">
        <v>19862.0</v>
      </c>
      <c r="F277" s="3" t="n">
        <v>18422.0</v>
      </c>
      <c r="G277" s="3" t="n">
        <v>17097.0</v>
      </c>
      <c r="H277" s="3" t="n">
        <v>16645.0</v>
      </c>
      <c r="I277" s="3" t="n">
        <v>16125.0</v>
      </c>
      <c r="J277" s="3" t="n">
        <v>15771.0</v>
      </c>
      <c r="K277" s="3" t="n">
        <v>15228.0</v>
      </c>
      <c r="L277" s="3" t="n">
        <v>14836.0</v>
      </c>
      <c r="M277" s="3" t="n">
        <v>15066.0</v>
      </c>
      <c r="N277" s="3" t="n">
        <v>15696.0</v>
      </c>
      <c r="O277" s="3" t="n">
        <v>16324.0</v>
      </c>
      <c r="P277" s="3" t="n">
        <v>17250.0</v>
      </c>
      <c r="Q277" s="3" t="n">
        <v>17955.0</v>
      </c>
      <c r="R277" s="3" t="n">
        <v>19026.0</v>
      </c>
      <c r="S277" s="3" t="n">
        <v>20031.0</v>
      </c>
      <c r="T277" s="3" t="n">
        <v>21162.0</v>
      </c>
      <c r="U277" s="3" t="n">
        <v>21684.0</v>
      </c>
      <c r="V277" s="3" t="n">
        <v>21822.0</v>
      </c>
      <c r="W277" s="3" t="n">
        <v>22305.0</v>
      </c>
      <c r="X277" s="3" t="n">
        <v>22757.0</v>
      </c>
      <c r="Y277" s="3" t="n">
        <v>23380.0</v>
      </c>
      <c r="Z277" s="3" t="n">
        <v>23350.0</v>
      </c>
      <c r="AA277" s="3" t="n">
        <v>23642.0</v>
      </c>
      <c r="AB277" s="3" t="n">
        <v>24845.0</v>
      </c>
      <c r="AC277" s="3" t="n">
        <v>24185.0</v>
      </c>
      <c r="AD277" s="3" t="n">
        <v>23475.0</v>
      </c>
      <c r="AE277" s="3" t="n">
        <v>22066.0</v>
      </c>
      <c r="AF277" s="3" t="n">
        <v>21086.0</v>
      </c>
      <c r="AG277" s="3" t="n">
        <v>20541.0</v>
      </c>
      <c r="AH277" s="3" t="n">
        <v>20380.0</v>
      </c>
      <c r="AI277" s="3" t="n">
        <v>20147.0</v>
      </c>
      <c r="AJ277" s="3" t="n">
        <v>19836.0</v>
      </c>
      <c r="AK277" s="3" t="n">
        <v>18574.0</v>
      </c>
      <c r="AL277" s="3" t="n">
        <v>18110.0</v>
      </c>
      <c r="AM277" s="3" t="n">
        <v>17909.0</v>
      </c>
      <c r="AN277" s="3" t="n">
        <v>16741.0</v>
      </c>
      <c r="AO277" s="3" t="n">
        <v>16122.0</v>
      </c>
    </row>
    <row r="278" spans="1:41" x14ac:dyDescent="0.2">
      <c r="A278" s="125"/>
      <c r="B278" s="9">
        <v>65</v>
      </c>
      <c r="C278" s="3" t="n">
        <v>22954.0</v>
      </c>
      <c r="D278" s="3" t="n">
        <v>22415.0</v>
      </c>
      <c r="E278" s="3" t="n">
        <v>21235.0</v>
      </c>
      <c r="F278" s="3" t="n">
        <v>19685.0</v>
      </c>
      <c r="G278" s="3" t="n">
        <v>18254.0</v>
      </c>
      <c r="H278" s="3" t="n">
        <v>16982.0</v>
      </c>
      <c r="I278" s="3" t="n">
        <v>16557.0</v>
      </c>
      <c r="J278" s="3" t="n">
        <v>16011.0</v>
      </c>
      <c r="K278" s="3" t="n">
        <v>15646.0</v>
      </c>
      <c r="L278" s="3" t="n">
        <v>15103.0</v>
      </c>
      <c r="M278" s="3" t="n">
        <v>14716.0</v>
      </c>
      <c r="N278" s="3" t="n">
        <v>14942.0</v>
      </c>
      <c r="O278" s="3" t="n">
        <v>15570.0</v>
      </c>
      <c r="P278" s="3" t="n">
        <v>16192.0</v>
      </c>
      <c r="Q278" s="3" t="n">
        <v>17111.0</v>
      </c>
      <c r="R278" s="3" t="n">
        <v>17817.0</v>
      </c>
      <c r="S278" s="3" t="n">
        <v>18878.0</v>
      </c>
      <c r="T278" s="3" t="n">
        <v>19879.0</v>
      </c>
      <c r="U278" s="3" t="n">
        <v>21000.0</v>
      </c>
      <c r="V278" s="3" t="n">
        <v>21517.0</v>
      </c>
      <c r="W278" s="3" t="n">
        <v>21658.0</v>
      </c>
      <c r="X278" s="3" t="n">
        <v>22141.0</v>
      </c>
      <c r="Y278" s="3" t="n">
        <v>22584.0</v>
      </c>
      <c r="Z278" s="3" t="n">
        <v>23201.0</v>
      </c>
      <c r="AA278" s="3" t="n">
        <v>23177.0</v>
      </c>
      <c r="AB278" s="3" t="n">
        <v>23468.0</v>
      </c>
      <c r="AC278" s="3" t="n">
        <v>24664.0</v>
      </c>
      <c r="AD278" s="3" t="n">
        <v>24006.0</v>
      </c>
      <c r="AE278" s="3" t="n">
        <v>23308.0</v>
      </c>
      <c r="AF278" s="3" t="n">
        <v>21908.0</v>
      </c>
      <c r="AG278" s="3" t="n">
        <v>20936.0</v>
      </c>
      <c r="AH278" s="3" t="n">
        <v>20398.0</v>
      </c>
      <c r="AI278" s="3" t="n">
        <v>20250.0</v>
      </c>
      <c r="AJ278" s="3" t="n">
        <v>20016.0</v>
      </c>
      <c r="AK278" s="3" t="n">
        <v>19699.0</v>
      </c>
      <c r="AL278" s="3" t="n">
        <v>18454.0</v>
      </c>
      <c r="AM278" s="3" t="n">
        <v>17996.0</v>
      </c>
      <c r="AN278" s="3" t="n">
        <v>17797.0</v>
      </c>
      <c r="AO278" s="3" t="n">
        <v>16636.0</v>
      </c>
    </row>
    <row r="279" spans="1:41" x14ac:dyDescent="0.2">
      <c r="A279" s="125"/>
      <c r="B279" s="9">
        <v>66</v>
      </c>
      <c r="C279" s="3" t="n">
        <v>23109.0</v>
      </c>
      <c r="D279" s="3" t="n">
        <v>22708.0</v>
      </c>
      <c r="E279" s="3" t="n">
        <v>22177.0</v>
      </c>
      <c r="F279" s="3" t="n">
        <v>21021.0</v>
      </c>
      <c r="G279" s="3" t="n">
        <v>19488.0</v>
      </c>
      <c r="H279" s="3" t="n">
        <v>18101.0</v>
      </c>
      <c r="I279" s="3" t="n">
        <v>16857.0</v>
      </c>
      <c r="J279" s="3" t="n">
        <v>16416.0</v>
      </c>
      <c r="K279" s="3" t="n">
        <v>15867.0</v>
      </c>
      <c r="L279" s="3" t="n">
        <v>15507.0</v>
      </c>
      <c r="M279" s="3" t="n">
        <v>14970.0</v>
      </c>
      <c r="N279" s="3" t="n">
        <v>14588.0</v>
      </c>
      <c r="O279" s="3" t="n">
        <v>14812.0</v>
      </c>
      <c r="P279" s="3" t="n">
        <v>15433.0</v>
      </c>
      <c r="Q279" s="3" t="n">
        <v>16050.0</v>
      </c>
      <c r="R279" s="3" t="n">
        <v>16962.0</v>
      </c>
      <c r="S279" s="3" t="n">
        <v>17669.0</v>
      </c>
      <c r="T279" s="3" t="n">
        <v>18715.0</v>
      </c>
      <c r="U279" s="3" t="n">
        <v>19713.0</v>
      </c>
      <c r="V279" s="3" t="n">
        <v>20825.0</v>
      </c>
      <c r="W279" s="3" t="n">
        <v>21337.0</v>
      </c>
      <c r="X279" s="3" t="n">
        <v>21482.0</v>
      </c>
      <c r="Y279" s="3" t="n">
        <v>21962.0</v>
      </c>
      <c r="Z279" s="3" t="n">
        <v>22399.0</v>
      </c>
      <c r="AA279" s="3" t="n">
        <v>23012.0</v>
      </c>
      <c r="AB279" s="3" t="n">
        <v>22988.0</v>
      </c>
      <c r="AC279" s="3" t="n">
        <v>23283.0</v>
      </c>
      <c r="AD279" s="3" t="n">
        <v>24465.0</v>
      </c>
      <c r="AE279" s="3" t="n">
        <v>23818.0</v>
      </c>
      <c r="AF279" s="3" t="n">
        <v>23130.0</v>
      </c>
      <c r="AG279" s="3" t="n">
        <v>21742.0</v>
      </c>
      <c r="AH279" s="3" t="n">
        <v>20780.0</v>
      </c>
      <c r="AI279" s="3" t="n">
        <v>20249.0</v>
      </c>
      <c r="AJ279" s="3" t="n">
        <v>20095.0</v>
      </c>
      <c r="AK279" s="3" t="n">
        <v>19866.0</v>
      </c>
      <c r="AL279" s="3" t="n">
        <v>19552.0</v>
      </c>
      <c r="AM279" s="3" t="n">
        <v>18314.0</v>
      </c>
      <c r="AN279" s="3" t="n">
        <v>17859.0</v>
      </c>
      <c r="AO279" s="3" t="n">
        <v>17662.0</v>
      </c>
    </row>
    <row r="280" spans="1:41" x14ac:dyDescent="0.2">
      <c r="A280" s="125"/>
      <c r="B280" s="9">
        <v>67</v>
      </c>
      <c r="C280" s="3" t="n">
        <v>23483.0</v>
      </c>
      <c r="D280" s="3" t="n">
        <v>22829.0</v>
      </c>
      <c r="E280" s="3" t="n">
        <v>22442.0</v>
      </c>
      <c r="F280" s="3" t="n">
        <v>21924.0</v>
      </c>
      <c r="G280" s="3" t="n">
        <v>20785.0</v>
      </c>
      <c r="H280" s="3" t="n">
        <v>19310.0</v>
      </c>
      <c r="I280" s="3" t="n">
        <v>17950.0</v>
      </c>
      <c r="J280" s="3" t="n">
        <v>16702.0</v>
      </c>
      <c r="K280" s="3" t="n">
        <v>16258.0</v>
      </c>
      <c r="L280" s="3" t="n">
        <v>15711.0</v>
      </c>
      <c r="M280" s="3" t="n">
        <v>15353.0</v>
      </c>
      <c r="N280" s="3" t="n">
        <v>14830.0</v>
      </c>
      <c r="O280" s="3" t="n">
        <v>14453.0</v>
      </c>
      <c r="P280" s="3" t="n">
        <v>14674.0</v>
      </c>
      <c r="Q280" s="3" t="n">
        <v>15288.0</v>
      </c>
      <c r="R280" s="3" t="n">
        <v>15900.0</v>
      </c>
      <c r="S280" s="3" t="n">
        <v>16800.0</v>
      </c>
      <c r="T280" s="3" t="n">
        <v>17506.0</v>
      </c>
      <c r="U280" s="3" t="n">
        <v>18538.0</v>
      </c>
      <c r="V280" s="3" t="n">
        <v>19529.0</v>
      </c>
      <c r="W280" s="3" t="n">
        <v>20629.0</v>
      </c>
      <c r="X280" s="3" t="n">
        <v>21138.0</v>
      </c>
      <c r="Y280" s="3" t="n">
        <v>21287.0</v>
      </c>
      <c r="Z280" s="3" t="n">
        <v>21759.0</v>
      </c>
      <c r="AA280" s="3" t="n">
        <v>22195.0</v>
      </c>
      <c r="AB280" s="3" t="n">
        <v>22803.0</v>
      </c>
      <c r="AC280" s="3" t="n">
        <v>22780.0</v>
      </c>
      <c r="AD280" s="3" t="n">
        <v>23082.0</v>
      </c>
      <c r="AE280" s="3" t="n">
        <v>24251.0</v>
      </c>
      <c r="AF280" s="3" t="n">
        <v>23614.0</v>
      </c>
      <c r="AG280" s="3" t="n">
        <v>22929.0</v>
      </c>
      <c r="AH280" s="3" t="n">
        <v>21557.0</v>
      </c>
      <c r="AI280" s="3" t="n">
        <v>20613.0</v>
      </c>
      <c r="AJ280" s="3" t="n">
        <v>20084.0</v>
      </c>
      <c r="AK280" s="3" t="n">
        <v>19934.0</v>
      </c>
      <c r="AL280" s="3" t="n">
        <v>19708.0</v>
      </c>
      <c r="AM280" s="3" t="n">
        <v>19394.0</v>
      </c>
      <c r="AN280" s="3" t="n">
        <v>18168.0</v>
      </c>
      <c r="AO280" s="3" t="n">
        <v>17717.0</v>
      </c>
    </row>
    <row r="281" spans="1:41" x14ac:dyDescent="0.2">
      <c r="A281" s="125"/>
      <c r="B281" s="9">
        <v>68</v>
      </c>
      <c r="C281" s="3" t="n">
        <v>22459.0</v>
      </c>
      <c r="D281" s="3" t="n">
        <v>23166.0</v>
      </c>
      <c r="E281" s="3" t="n">
        <v>22530.0</v>
      </c>
      <c r="F281" s="3" t="n">
        <v>22158.0</v>
      </c>
      <c r="G281" s="3" t="n">
        <v>21649.0</v>
      </c>
      <c r="H281" s="3" t="n">
        <v>20550.0</v>
      </c>
      <c r="I281" s="3" t="n">
        <v>19109.0</v>
      </c>
      <c r="J281" s="3" t="n">
        <v>17752.0</v>
      </c>
      <c r="K281" s="3" t="n">
        <v>16509.0</v>
      </c>
      <c r="L281" s="3" t="n">
        <v>16071.0</v>
      </c>
      <c r="M281" s="3" t="n">
        <v>15533.0</v>
      </c>
      <c r="N281" s="3" t="n">
        <v>15184.0</v>
      </c>
      <c r="O281" s="3" t="n">
        <v>14664.0</v>
      </c>
      <c r="P281" s="3" t="n">
        <v>14295.0</v>
      </c>
      <c r="Q281" s="3" t="n">
        <v>14518.0</v>
      </c>
      <c r="R281" s="3" t="n">
        <v>15123.0</v>
      </c>
      <c r="S281" s="3" t="n">
        <v>15728.0</v>
      </c>
      <c r="T281" s="3" t="n">
        <v>16623.0</v>
      </c>
      <c r="U281" s="3" t="n">
        <v>17319.0</v>
      </c>
      <c r="V281" s="3" t="n">
        <v>18343.0</v>
      </c>
      <c r="W281" s="3" t="n">
        <v>19329.0</v>
      </c>
      <c r="X281" s="3" t="n">
        <v>20411.0</v>
      </c>
      <c r="Y281" s="3" t="n">
        <v>20920.0</v>
      </c>
      <c r="Z281" s="3" t="n">
        <v>21067.0</v>
      </c>
      <c r="AA281" s="3" t="n">
        <v>21539.0</v>
      </c>
      <c r="AB281" s="3" t="n">
        <v>21971.0</v>
      </c>
      <c r="AC281" s="3" t="n">
        <v>22578.0</v>
      </c>
      <c r="AD281" s="3" t="n">
        <v>22556.0</v>
      </c>
      <c r="AE281" s="3" t="n">
        <v>22854.0</v>
      </c>
      <c r="AF281" s="3" t="n">
        <v>24023.0</v>
      </c>
      <c r="AG281" s="3" t="n">
        <v>23391.0</v>
      </c>
      <c r="AH281" s="3" t="n">
        <v>22711.0</v>
      </c>
      <c r="AI281" s="3" t="n">
        <v>21347.0</v>
      </c>
      <c r="AJ281" s="3" t="n">
        <v>20414.0</v>
      </c>
      <c r="AK281" s="3" t="n">
        <v>19896.0</v>
      </c>
      <c r="AL281" s="3" t="n">
        <v>19751.0</v>
      </c>
      <c r="AM281" s="3" t="n">
        <v>19527.0</v>
      </c>
      <c r="AN281" s="3" t="n">
        <v>19221.0</v>
      </c>
      <c r="AO281" s="3" t="n">
        <v>18009.0</v>
      </c>
    </row>
    <row r="282" spans="1:41" x14ac:dyDescent="0.2">
      <c r="A282" s="125"/>
      <c r="B282" s="9">
        <v>69</v>
      </c>
      <c r="C282" s="3" t="n">
        <v>22061.0</v>
      </c>
      <c r="D282" s="3" t="n">
        <v>22141.0</v>
      </c>
      <c r="E282" s="3" t="n">
        <v>22847.0</v>
      </c>
      <c r="F282" s="3" t="n">
        <v>22220.0</v>
      </c>
      <c r="G282" s="3" t="n">
        <v>21868.0</v>
      </c>
      <c r="H282" s="3" t="n">
        <v>21388.0</v>
      </c>
      <c r="I282" s="3" t="n">
        <v>20326.0</v>
      </c>
      <c r="J282" s="3" t="n">
        <v>18884.0</v>
      </c>
      <c r="K282" s="3" t="n">
        <v>17548.0</v>
      </c>
      <c r="L282" s="3" t="n">
        <v>16321.0</v>
      </c>
      <c r="M282" s="3" t="n">
        <v>15883.0</v>
      </c>
      <c r="N282" s="3" t="n">
        <v>15353.0</v>
      </c>
      <c r="O282" s="3" t="n">
        <v>15009.0</v>
      </c>
      <c r="P282" s="3" t="n">
        <v>14506.0</v>
      </c>
      <c r="Q282" s="3" t="n">
        <v>14142.0</v>
      </c>
      <c r="R282" s="3" t="n">
        <v>14363.0</v>
      </c>
      <c r="S282" s="3" t="n">
        <v>14960.0</v>
      </c>
      <c r="T282" s="3" t="n">
        <v>15565.0</v>
      </c>
      <c r="U282" s="3" t="n">
        <v>16450.0</v>
      </c>
      <c r="V282" s="3" t="n">
        <v>17139.0</v>
      </c>
      <c r="W282" s="3" t="n">
        <v>18152.0</v>
      </c>
      <c r="X282" s="3" t="n">
        <v>19129.0</v>
      </c>
      <c r="Y282" s="3" t="n">
        <v>20199.0</v>
      </c>
      <c r="Z282" s="3" t="n">
        <v>20701.0</v>
      </c>
      <c r="AA282" s="3" t="n">
        <v>20847.0</v>
      </c>
      <c r="AB282" s="3" t="n">
        <v>21316.0</v>
      </c>
      <c r="AC282" s="3" t="n">
        <v>21745.0</v>
      </c>
      <c r="AD282" s="3" t="n">
        <v>22356.0</v>
      </c>
      <c r="AE282" s="3" t="n">
        <v>22333.0</v>
      </c>
      <c r="AF282" s="3" t="n">
        <v>22627.0</v>
      </c>
      <c r="AG282" s="3" t="n">
        <v>23786.0</v>
      </c>
      <c r="AH282" s="3" t="n">
        <v>23168.0</v>
      </c>
      <c r="AI282" s="3" t="n">
        <v>22495.0</v>
      </c>
      <c r="AJ282" s="3" t="n">
        <v>21148.0</v>
      </c>
      <c r="AK282" s="3" t="n">
        <v>20223.0</v>
      </c>
      <c r="AL282" s="3" t="n">
        <v>19712.0</v>
      </c>
      <c r="AM282" s="3" t="n">
        <v>19568.0</v>
      </c>
      <c r="AN282" s="3" t="n">
        <v>19349.0</v>
      </c>
      <c r="AO282" s="3" t="n">
        <v>19047.0</v>
      </c>
    </row>
    <row r="283" spans="1:41" x14ac:dyDescent="0.2">
      <c r="A283" s="125"/>
      <c r="B283" s="9">
        <v>70</v>
      </c>
      <c r="C283" s="3" t="n">
        <v>22198.0</v>
      </c>
      <c r="D283" s="3" t="n">
        <v>21719.0</v>
      </c>
      <c r="E283" s="3" t="n">
        <v>21805.0</v>
      </c>
      <c r="F283" s="3" t="n">
        <v>22506.0</v>
      </c>
      <c r="G283" s="3" t="n">
        <v>21899.0</v>
      </c>
      <c r="H283" s="3" t="n">
        <v>21579.0</v>
      </c>
      <c r="I283" s="3" t="n">
        <v>21117.0</v>
      </c>
      <c r="J283" s="3" t="n">
        <v>20055.0</v>
      </c>
      <c r="K283" s="3" t="n">
        <v>18632.0</v>
      </c>
      <c r="L283" s="3" t="n">
        <v>17317.0</v>
      </c>
      <c r="M283" s="3" t="n">
        <v>16108.0</v>
      </c>
      <c r="N283" s="3" t="n">
        <v>15680.0</v>
      </c>
      <c r="O283" s="3" t="n">
        <v>15156.0</v>
      </c>
      <c r="P283" s="3" t="n">
        <v>14819.0</v>
      </c>
      <c r="Q283" s="3" t="n">
        <v>14322.0</v>
      </c>
      <c r="R283" s="3" t="n">
        <v>13973.0</v>
      </c>
      <c r="S283" s="3" t="n">
        <v>14190.0</v>
      </c>
      <c r="T283" s="3" t="n">
        <v>14783.0</v>
      </c>
      <c r="U283" s="3" t="n">
        <v>15378.0</v>
      </c>
      <c r="V283" s="3" t="n">
        <v>16258.0</v>
      </c>
      <c r="W283" s="3" t="n">
        <v>16940.0</v>
      </c>
      <c r="X283" s="3" t="n">
        <v>17940.0</v>
      </c>
      <c r="Y283" s="3" t="n">
        <v>18902.0</v>
      </c>
      <c r="Z283" s="3" t="n">
        <v>19962.0</v>
      </c>
      <c r="AA283" s="3" t="n">
        <v>20459.0</v>
      </c>
      <c r="AB283" s="3" t="n">
        <v>20610.0</v>
      </c>
      <c r="AC283" s="3" t="n">
        <v>21075.0</v>
      </c>
      <c r="AD283" s="3" t="n">
        <v>21503.0</v>
      </c>
      <c r="AE283" s="3" t="n">
        <v>22106.0</v>
      </c>
      <c r="AF283" s="3" t="n">
        <v>22083.0</v>
      </c>
      <c r="AG283" s="3" t="n">
        <v>22379.0</v>
      </c>
      <c r="AH283" s="3" t="n">
        <v>23523.0</v>
      </c>
      <c r="AI283" s="3" t="n">
        <v>22913.0</v>
      </c>
      <c r="AJ283" s="3" t="n">
        <v>22256.0</v>
      </c>
      <c r="AK283" s="3" t="n">
        <v>20923.0</v>
      </c>
      <c r="AL283" s="3" t="n">
        <v>20013.0</v>
      </c>
      <c r="AM283" s="3" t="n">
        <v>19505.0</v>
      </c>
      <c r="AN283" s="3" t="n">
        <v>19366.0</v>
      </c>
      <c r="AO283" s="3" t="n">
        <v>19152.0</v>
      </c>
    </row>
    <row r="284" spans="1:41" x14ac:dyDescent="0.2">
      <c r="A284" s="125"/>
      <c r="B284" s="9">
        <v>71</v>
      </c>
      <c r="C284" s="3" t="n">
        <v>21736.0</v>
      </c>
      <c r="D284" s="3" t="n">
        <v>21815.0</v>
      </c>
      <c r="E284" s="3" t="n">
        <v>21355.0</v>
      </c>
      <c r="F284" s="3" t="n">
        <v>21456.0</v>
      </c>
      <c r="G284" s="3" t="n">
        <v>22146.0</v>
      </c>
      <c r="H284" s="3" t="n">
        <v>21572.0</v>
      </c>
      <c r="I284" s="3" t="n">
        <v>21271.0</v>
      </c>
      <c r="J284" s="3" t="n">
        <v>20804.0</v>
      </c>
      <c r="K284" s="3" t="n">
        <v>19753.0</v>
      </c>
      <c r="L284" s="3" t="n">
        <v>18354.0</v>
      </c>
      <c r="M284" s="3" t="n">
        <v>17060.0</v>
      </c>
      <c r="N284" s="3" t="n">
        <v>15876.0</v>
      </c>
      <c r="O284" s="3" t="n">
        <v>15454.0</v>
      </c>
      <c r="P284" s="3" t="n">
        <v>14942.0</v>
      </c>
      <c r="Q284" s="3" t="n">
        <v>14613.0</v>
      </c>
      <c r="R284" s="3" t="n">
        <v>14127.0</v>
      </c>
      <c r="S284" s="3" t="n">
        <v>13788.0</v>
      </c>
      <c r="T284" s="3" t="n">
        <v>14005.0</v>
      </c>
      <c r="U284" s="3" t="n">
        <v>14590.0</v>
      </c>
      <c r="V284" s="3" t="n">
        <v>15177.0</v>
      </c>
      <c r="W284" s="3" t="n">
        <v>16051.0</v>
      </c>
      <c r="X284" s="3" t="n">
        <v>16722.0</v>
      </c>
      <c r="Y284" s="3" t="n">
        <v>17709.0</v>
      </c>
      <c r="Z284" s="3" t="n">
        <v>18652.0</v>
      </c>
      <c r="AA284" s="3" t="n">
        <v>19710.0</v>
      </c>
      <c r="AB284" s="3" t="n">
        <v>20201.0</v>
      </c>
      <c r="AC284" s="3" t="n">
        <v>20353.0</v>
      </c>
      <c r="AD284" s="3" t="n">
        <v>20816.0</v>
      </c>
      <c r="AE284" s="3" t="n">
        <v>21239.0</v>
      </c>
      <c r="AF284" s="3" t="n">
        <v>21838.0</v>
      </c>
      <c r="AG284" s="3" t="n">
        <v>21816.0</v>
      </c>
      <c r="AH284" s="3" t="n">
        <v>22113.0</v>
      </c>
      <c r="AI284" s="3" t="n">
        <v>23246.0</v>
      </c>
      <c r="AJ284" s="3" t="n">
        <v>22649.0</v>
      </c>
      <c r="AK284" s="3" t="n">
        <v>22000.0</v>
      </c>
      <c r="AL284" s="3" t="n">
        <v>20684.0</v>
      </c>
      <c r="AM284" s="3" t="n">
        <v>19783.0</v>
      </c>
      <c r="AN284" s="3" t="n">
        <v>19286.0</v>
      </c>
      <c r="AO284" s="3" t="n">
        <v>19148.0</v>
      </c>
    </row>
    <row r="285" spans="1:41" x14ac:dyDescent="0.2">
      <c r="A285" s="125"/>
      <c r="B285" s="9">
        <v>72</v>
      </c>
      <c r="C285" s="3" t="n">
        <v>20063.0</v>
      </c>
      <c r="D285" s="3" t="n">
        <v>21332.0</v>
      </c>
      <c r="E285" s="3" t="n">
        <v>21417.0</v>
      </c>
      <c r="F285" s="3" t="n">
        <v>20975.0</v>
      </c>
      <c r="G285" s="3" t="n">
        <v>21083.0</v>
      </c>
      <c r="H285" s="3" t="n">
        <v>21781.0</v>
      </c>
      <c r="I285" s="3" t="n">
        <v>21230.0</v>
      </c>
      <c r="J285" s="3" t="n">
        <v>20927.0</v>
      </c>
      <c r="K285" s="3" t="n">
        <v>20459.0</v>
      </c>
      <c r="L285" s="3" t="n">
        <v>19432.0</v>
      </c>
      <c r="M285" s="3" t="n">
        <v>18057.0</v>
      </c>
      <c r="N285" s="3" t="n">
        <v>16791.0</v>
      </c>
      <c r="O285" s="3" t="n">
        <v>15622.0</v>
      </c>
      <c r="P285" s="3" t="n">
        <v>15212.0</v>
      </c>
      <c r="Q285" s="3" t="n">
        <v>14715.0</v>
      </c>
      <c r="R285" s="3" t="n">
        <v>14400.0</v>
      </c>
      <c r="S285" s="3" t="n">
        <v>13918.0</v>
      </c>
      <c r="T285" s="3" t="n">
        <v>13592.0</v>
      </c>
      <c r="U285" s="3" t="n">
        <v>13808.0</v>
      </c>
      <c r="V285" s="3" t="n">
        <v>14387.0</v>
      </c>
      <c r="W285" s="3" t="n">
        <v>14966.0</v>
      </c>
      <c r="X285" s="3" t="n">
        <v>15826.0</v>
      </c>
      <c r="Y285" s="3" t="n">
        <v>16489.0</v>
      </c>
      <c r="Z285" s="3" t="n">
        <v>17457.0</v>
      </c>
      <c r="AA285" s="3" t="n">
        <v>18393.0</v>
      </c>
      <c r="AB285" s="3" t="n">
        <v>19441.0</v>
      </c>
      <c r="AC285" s="3" t="n">
        <v>19925.0</v>
      </c>
      <c r="AD285" s="3" t="n">
        <v>20078.0</v>
      </c>
      <c r="AE285" s="3" t="n">
        <v>20535.0</v>
      </c>
      <c r="AF285" s="3" t="n">
        <v>20956.0</v>
      </c>
      <c r="AG285" s="3" t="n">
        <v>21547.0</v>
      </c>
      <c r="AH285" s="3" t="n">
        <v>21525.0</v>
      </c>
      <c r="AI285" s="3" t="n">
        <v>21824.0</v>
      </c>
      <c r="AJ285" s="3" t="n">
        <v>22946.0</v>
      </c>
      <c r="AK285" s="3" t="n">
        <v>22358.0</v>
      </c>
      <c r="AL285" s="3" t="n">
        <v>21723.0</v>
      </c>
      <c r="AM285" s="3" t="n">
        <v>20426.0</v>
      </c>
      <c r="AN285" s="3" t="n">
        <v>19537.0</v>
      </c>
      <c r="AO285" s="3" t="n">
        <v>19054.0</v>
      </c>
    </row>
    <row r="286" spans="1:41" x14ac:dyDescent="0.2">
      <c r="A286" s="125"/>
      <c r="B286" s="9">
        <v>73</v>
      </c>
      <c r="C286" s="3" t="n">
        <v>18932.0</v>
      </c>
      <c r="D286" s="3" t="n">
        <v>19644.0</v>
      </c>
      <c r="E286" s="3" t="n">
        <v>20902.0</v>
      </c>
      <c r="F286" s="3" t="n">
        <v>20991.0</v>
      </c>
      <c r="G286" s="3" t="n">
        <v>20566.0</v>
      </c>
      <c r="H286" s="3" t="n">
        <v>20694.0</v>
      </c>
      <c r="I286" s="3" t="n">
        <v>21389.0</v>
      </c>
      <c r="J286" s="3" t="n">
        <v>20842.0</v>
      </c>
      <c r="K286" s="3" t="n">
        <v>20543.0</v>
      </c>
      <c r="L286" s="3" t="n">
        <v>20087.0</v>
      </c>
      <c r="M286" s="3" t="n">
        <v>19084.0</v>
      </c>
      <c r="N286" s="3" t="n">
        <v>17733.0</v>
      </c>
      <c r="O286" s="3" t="n">
        <v>16488.0</v>
      </c>
      <c r="P286" s="3" t="n">
        <v>15346.0</v>
      </c>
      <c r="Q286" s="3" t="n">
        <v>14950.0</v>
      </c>
      <c r="R286" s="3" t="n">
        <v>14468.0</v>
      </c>
      <c r="S286" s="3" t="n">
        <v>14157.0</v>
      </c>
      <c r="T286" s="3" t="n">
        <v>13688.0</v>
      </c>
      <c r="U286" s="3" t="n">
        <v>13370.0</v>
      </c>
      <c r="V286" s="3" t="n">
        <v>13583.0</v>
      </c>
      <c r="W286" s="3" t="n">
        <v>14157.0</v>
      </c>
      <c r="X286" s="3" t="n">
        <v>14733.0</v>
      </c>
      <c r="Y286" s="3" t="n">
        <v>15581.0</v>
      </c>
      <c r="Z286" s="3" t="n">
        <v>16234.0</v>
      </c>
      <c r="AA286" s="3" t="n">
        <v>17185.0</v>
      </c>
      <c r="AB286" s="3" t="n">
        <v>18106.0</v>
      </c>
      <c r="AC286" s="3" t="n">
        <v>19140.0</v>
      </c>
      <c r="AD286" s="3" t="n">
        <v>19617.0</v>
      </c>
      <c r="AE286" s="3" t="n">
        <v>19771.0</v>
      </c>
      <c r="AF286" s="3" t="n">
        <v>20221.0</v>
      </c>
      <c r="AG286" s="3" t="n">
        <v>20642.0</v>
      </c>
      <c r="AH286" s="3" t="n">
        <v>21225.0</v>
      </c>
      <c r="AI286" s="3" t="n">
        <v>21208.0</v>
      </c>
      <c r="AJ286" s="3" t="n">
        <v>21507.0</v>
      </c>
      <c r="AK286" s="3" t="n">
        <v>22622.0</v>
      </c>
      <c r="AL286" s="3" t="n">
        <v>22040.0</v>
      </c>
      <c r="AM286" s="3" t="n">
        <v>21415.0</v>
      </c>
      <c r="AN286" s="3" t="n">
        <v>20139.0</v>
      </c>
      <c r="AO286" s="3" t="n">
        <v>19267.0</v>
      </c>
    </row>
    <row r="287" spans="1:41" x14ac:dyDescent="0.2">
      <c r="A287" s="125"/>
      <c r="B287" s="9">
        <v>74</v>
      </c>
      <c r="C287" s="3" t="n">
        <v>17839.0</v>
      </c>
      <c r="D287" s="3" t="n">
        <v>18499.0</v>
      </c>
      <c r="E287" s="3" t="n">
        <v>19211.0</v>
      </c>
      <c r="F287" s="3" t="n">
        <v>20447.0</v>
      </c>
      <c r="G287" s="3" t="n">
        <v>20541.0</v>
      </c>
      <c r="H287" s="3" t="n">
        <v>20143.0</v>
      </c>
      <c r="I287" s="3" t="n">
        <v>20275.0</v>
      </c>
      <c r="J287" s="3" t="n">
        <v>20952.0</v>
      </c>
      <c r="K287" s="3" t="n">
        <v>20418.0</v>
      </c>
      <c r="L287" s="3" t="n">
        <v>20132.0</v>
      </c>
      <c r="M287" s="3" t="n">
        <v>19689.0</v>
      </c>
      <c r="N287" s="3" t="n">
        <v>18706.0</v>
      </c>
      <c r="O287" s="3" t="n">
        <v>17388.0</v>
      </c>
      <c r="P287" s="3" t="n">
        <v>16165.0</v>
      </c>
      <c r="Q287" s="3" t="n">
        <v>15050.0</v>
      </c>
      <c r="R287" s="3" t="n">
        <v>14661.0</v>
      </c>
      <c r="S287" s="3" t="n">
        <v>14199.0</v>
      </c>
      <c r="T287" s="3" t="n">
        <v>13900.0</v>
      </c>
      <c r="U287" s="3" t="n">
        <v>13444.0</v>
      </c>
      <c r="V287" s="3" t="n">
        <v>13138.0</v>
      </c>
      <c r="W287" s="3" t="n">
        <v>13350.0</v>
      </c>
      <c r="X287" s="3" t="n">
        <v>13913.0</v>
      </c>
      <c r="Y287" s="3" t="n">
        <v>14475.0</v>
      </c>
      <c r="Z287" s="3" t="n">
        <v>15311.0</v>
      </c>
      <c r="AA287" s="3" t="n">
        <v>15949.0</v>
      </c>
      <c r="AB287" s="3" t="n">
        <v>16885.0</v>
      </c>
      <c r="AC287" s="3" t="n">
        <v>17800.0</v>
      </c>
      <c r="AD287" s="3" t="n">
        <v>18816.0</v>
      </c>
      <c r="AE287" s="3" t="n">
        <v>19292.0</v>
      </c>
      <c r="AF287" s="3" t="n">
        <v>19443.0</v>
      </c>
      <c r="AG287" s="3" t="n">
        <v>19888.0</v>
      </c>
      <c r="AH287" s="3" t="n">
        <v>20308.0</v>
      </c>
      <c r="AI287" s="3" t="n">
        <v>20887.0</v>
      </c>
      <c r="AJ287" s="3" t="n">
        <v>20870.0</v>
      </c>
      <c r="AK287" s="3" t="n">
        <v>21165.0</v>
      </c>
      <c r="AL287" s="3" t="n">
        <v>22268.0</v>
      </c>
      <c r="AM287" s="3" t="n">
        <v>21697.0</v>
      </c>
      <c r="AN287" s="3" t="n">
        <v>21078.0</v>
      </c>
      <c r="AO287" s="3" t="n">
        <v>19827.0</v>
      </c>
    </row>
    <row r="288" spans="1:41" x14ac:dyDescent="0.2">
      <c r="A288" s="125"/>
      <c r="B288" s="9">
        <v>75</v>
      </c>
      <c r="C288" s="3" t="n">
        <v>15749.0</v>
      </c>
      <c r="D288" s="3" t="n">
        <v>17387.0</v>
      </c>
      <c r="E288" s="3" t="n">
        <v>18042.0</v>
      </c>
      <c r="F288" s="3" t="n">
        <v>18749.0</v>
      </c>
      <c r="G288" s="3" t="n">
        <v>19957.0</v>
      </c>
      <c r="H288" s="3" t="n">
        <v>20064.0</v>
      </c>
      <c r="I288" s="3" t="n">
        <v>19690.0</v>
      </c>
      <c r="J288" s="3" t="n">
        <v>19813.0</v>
      </c>
      <c r="K288" s="3" t="n">
        <v>20476.0</v>
      </c>
      <c r="L288" s="3" t="n">
        <v>19959.0</v>
      </c>
      <c r="M288" s="3" t="n">
        <v>19683.0</v>
      </c>
      <c r="N288" s="3" t="n">
        <v>19255.0</v>
      </c>
      <c r="O288" s="3" t="n">
        <v>18302.0</v>
      </c>
      <c r="P288" s="3" t="n">
        <v>17015.0</v>
      </c>
      <c r="Q288" s="3" t="n">
        <v>15828.0</v>
      </c>
      <c r="R288" s="3" t="n">
        <v>14743.0</v>
      </c>
      <c r="S288" s="3" t="n">
        <v>14367.0</v>
      </c>
      <c r="T288" s="3" t="n">
        <v>13918.0</v>
      </c>
      <c r="U288" s="3" t="n">
        <v>13624.0</v>
      </c>
      <c r="V288" s="3" t="n">
        <v>13182.0</v>
      </c>
      <c r="W288" s="3" t="n">
        <v>12880.0</v>
      </c>
      <c r="X288" s="3" t="n">
        <v>13090.0</v>
      </c>
      <c r="Y288" s="3" t="n">
        <v>13655.0</v>
      </c>
      <c r="Z288" s="3" t="n">
        <v>14202.0</v>
      </c>
      <c r="AA288" s="3" t="n">
        <v>15026.0</v>
      </c>
      <c r="AB288" s="3" t="n">
        <v>15652.0</v>
      </c>
      <c r="AC288" s="3" t="n">
        <v>16575.0</v>
      </c>
      <c r="AD288" s="3" t="n">
        <v>17469.0</v>
      </c>
      <c r="AE288" s="3" t="n">
        <v>18463.0</v>
      </c>
      <c r="AF288" s="3" t="n">
        <v>18938.0</v>
      </c>
      <c r="AG288" s="3" t="n">
        <v>19084.0</v>
      </c>
      <c r="AH288" s="3" t="n">
        <v>19528.0</v>
      </c>
      <c r="AI288" s="3" t="n">
        <v>19941.0</v>
      </c>
      <c r="AJ288" s="3" t="n">
        <v>20509.0</v>
      </c>
      <c r="AK288" s="3" t="n">
        <v>20502.0</v>
      </c>
      <c r="AL288" s="3" t="n">
        <v>20791.0</v>
      </c>
      <c r="AM288" s="3" t="n">
        <v>21877.0</v>
      </c>
      <c r="AN288" s="3" t="n">
        <v>21327.0</v>
      </c>
      <c r="AO288" s="3" t="n">
        <v>20719.0</v>
      </c>
    </row>
    <row r="289" spans="1:41" x14ac:dyDescent="0.2">
      <c r="A289" s="125"/>
      <c r="B289" s="9">
        <v>76</v>
      </c>
      <c r="C289" s="3" t="n">
        <v>13060.0</v>
      </c>
      <c r="D289" s="3" t="n">
        <v>15323.0</v>
      </c>
      <c r="E289" s="3" t="n">
        <v>16923.0</v>
      </c>
      <c r="F289" s="3" t="n">
        <v>17558.0</v>
      </c>
      <c r="G289" s="3" t="n">
        <v>18257.0</v>
      </c>
      <c r="H289" s="3" t="n">
        <v>19448.0</v>
      </c>
      <c r="I289" s="3" t="n">
        <v>19561.0</v>
      </c>
      <c r="J289" s="3" t="n">
        <v>19193.0</v>
      </c>
      <c r="K289" s="3" t="n">
        <v>19316.0</v>
      </c>
      <c r="L289" s="3" t="n">
        <v>19973.0</v>
      </c>
      <c r="M289" s="3" t="n">
        <v>19473.0</v>
      </c>
      <c r="N289" s="3" t="n">
        <v>19208.0</v>
      </c>
      <c r="O289" s="3" t="n">
        <v>18798.0</v>
      </c>
      <c r="P289" s="3" t="n">
        <v>17867.0</v>
      </c>
      <c r="Q289" s="3" t="n">
        <v>16618.0</v>
      </c>
      <c r="R289" s="3" t="n">
        <v>15466.0</v>
      </c>
      <c r="S289" s="3" t="n">
        <v>14407.0</v>
      </c>
      <c r="T289" s="3" t="n">
        <v>14042.0</v>
      </c>
      <c r="U289" s="3" t="n">
        <v>13607.0</v>
      </c>
      <c r="V289" s="3" t="n">
        <v>13325.0</v>
      </c>
      <c r="W289" s="3" t="n">
        <v>12897.0</v>
      </c>
      <c r="X289" s="3" t="n">
        <v>12606.0</v>
      </c>
      <c r="Y289" s="3" t="n">
        <v>12816.0</v>
      </c>
      <c r="Z289" s="3" t="n">
        <v>13364.0</v>
      </c>
      <c r="AA289" s="3" t="n">
        <v>13905.0</v>
      </c>
      <c r="AB289" s="3" t="n">
        <v>14710.0</v>
      </c>
      <c r="AC289" s="3" t="n">
        <v>15328.0</v>
      </c>
      <c r="AD289" s="3" t="n">
        <v>16235.0</v>
      </c>
      <c r="AE289" s="3" t="n">
        <v>17116.0</v>
      </c>
      <c r="AF289" s="3" t="n">
        <v>18095.0</v>
      </c>
      <c r="AG289" s="3" t="n">
        <v>18559.0</v>
      </c>
      <c r="AH289" s="3" t="n">
        <v>18709.0</v>
      </c>
      <c r="AI289" s="3" t="n">
        <v>19142.0</v>
      </c>
      <c r="AJ289" s="3" t="n">
        <v>19554.0</v>
      </c>
      <c r="AK289" s="3" t="n">
        <v>20116.0</v>
      </c>
      <c r="AL289" s="3" t="n">
        <v>20110.0</v>
      </c>
      <c r="AM289" s="3" t="n">
        <v>20396.0</v>
      </c>
      <c r="AN289" s="3" t="n">
        <v>21465.0</v>
      </c>
      <c r="AO289" s="3" t="n">
        <v>20928.0</v>
      </c>
    </row>
    <row r="290" spans="1:41" x14ac:dyDescent="0.2">
      <c r="A290" s="125"/>
      <c r="B290" s="9">
        <v>77</v>
      </c>
      <c r="C290" s="3" t="n">
        <v>8617.0</v>
      </c>
      <c r="D290" s="3" t="n">
        <v>12676.0</v>
      </c>
      <c r="E290" s="3" t="n">
        <v>14873.0</v>
      </c>
      <c r="F290" s="3" t="n">
        <v>16429.0</v>
      </c>
      <c r="G290" s="3" t="n">
        <v>17050.0</v>
      </c>
      <c r="H290" s="3" t="n">
        <v>17747.0</v>
      </c>
      <c r="I290" s="3" t="n">
        <v>18918.0</v>
      </c>
      <c r="J290" s="3" t="n">
        <v>19020.0</v>
      </c>
      <c r="K290" s="3" t="n">
        <v>18665.0</v>
      </c>
      <c r="L290" s="3" t="n">
        <v>18785.0</v>
      </c>
      <c r="M290" s="3" t="n">
        <v>19430.0</v>
      </c>
      <c r="N290" s="3" t="n">
        <v>18953.0</v>
      </c>
      <c r="O290" s="3" t="n">
        <v>18696.0</v>
      </c>
      <c r="P290" s="3" t="n">
        <v>18303.0</v>
      </c>
      <c r="Q290" s="3" t="n">
        <v>17403.0</v>
      </c>
      <c r="R290" s="3" t="n">
        <v>16192.0</v>
      </c>
      <c r="S290" s="3" t="n">
        <v>15074.0</v>
      </c>
      <c r="T290" s="3" t="n">
        <v>14052.0</v>
      </c>
      <c r="U290" s="3" t="n">
        <v>13697.0</v>
      </c>
      <c r="V290" s="3" t="n">
        <v>13276.0</v>
      </c>
      <c r="W290" s="3" t="n">
        <v>13004.0</v>
      </c>
      <c r="X290" s="3" t="n">
        <v>12592.0</v>
      </c>
      <c r="Y290" s="3" t="n">
        <v>12313.0</v>
      </c>
      <c r="Z290" s="3" t="n">
        <v>12520.0</v>
      </c>
      <c r="AA290" s="3" t="n">
        <v>13055.0</v>
      </c>
      <c r="AB290" s="3" t="n">
        <v>13585.0</v>
      </c>
      <c r="AC290" s="3" t="n">
        <v>14370.0</v>
      </c>
      <c r="AD290" s="3" t="n">
        <v>14978.0</v>
      </c>
      <c r="AE290" s="3" t="n">
        <v>15863.0</v>
      </c>
      <c r="AF290" s="3" t="n">
        <v>16727.0</v>
      </c>
      <c r="AG290" s="3" t="n">
        <v>17690.0</v>
      </c>
      <c r="AH290" s="3" t="n">
        <v>18145.0</v>
      </c>
      <c r="AI290" s="3" t="n">
        <v>18296.0</v>
      </c>
      <c r="AJ290" s="3" t="n">
        <v>18726.0</v>
      </c>
      <c r="AK290" s="3" t="n">
        <v>19132.0</v>
      </c>
      <c r="AL290" s="3" t="n">
        <v>19686.0</v>
      </c>
      <c r="AM290" s="3" t="n">
        <v>19683.0</v>
      </c>
      <c r="AN290" s="3" t="n">
        <v>19967.0</v>
      </c>
      <c r="AO290" s="3" t="n">
        <v>21019.0</v>
      </c>
    </row>
    <row r="291" spans="1:41" x14ac:dyDescent="0.2">
      <c r="A291" s="125"/>
      <c r="B291" s="9">
        <v>78</v>
      </c>
      <c r="C291" s="3" t="n">
        <v>8424.0</v>
      </c>
      <c r="D291" s="3" t="n">
        <v>8328.0</v>
      </c>
      <c r="E291" s="3" t="n">
        <v>12273.0</v>
      </c>
      <c r="F291" s="3" t="n">
        <v>14398.0</v>
      </c>
      <c r="G291" s="3" t="n">
        <v>15908.0</v>
      </c>
      <c r="H291" s="3" t="n">
        <v>16528.0</v>
      </c>
      <c r="I291" s="3" t="n">
        <v>17206.0</v>
      </c>
      <c r="J291" s="3" t="n">
        <v>18341.0</v>
      </c>
      <c r="K291" s="3" t="n">
        <v>18445.0</v>
      </c>
      <c r="L291" s="3" t="n">
        <v>18101.0</v>
      </c>
      <c r="M291" s="3" t="n">
        <v>18228.0</v>
      </c>
      <c r="N291" s="3" t="n">
        <v>18857.0</v>
      </c>
      <c r="O291" s="3" t="n">
        <v>18403.0</v>
      </c>
      <c r="P291" s="3" t="n">
        <v>18157.0</v>
      </c>
      <c r="Q291" s="3" t="n">
        <v>17781.0</v>
      </c>
      <c r="R291" s="3" t="n">
        <v>16912.0</v>
      </c>
      <c r="S291" s="3" t="n">
        <v>15741.0</v>
      </c>
      <c r="T291" s="3" t="n">
        <v>14659.0</v>
      </c>
      <c r="U291" s="3" t="n">
        <v>13669.0</v>
      </c>
      <c r="V291" s="3" t="n">
        <v>13329.0</v>
      </c>
      <c r="W291" s="3" t="n">
        <v>12918.0</v>
      </c>
      <c r="X291" s="3" t="n">
        <v>12664.0</v>
      </c>
      <c r="Y291" s="3" t="n">
        <v>12261.0</v>
      </c>
      <c r="Z291" s="3" t="n">
        <v>11992.0</v>
      </c>
      <c r="AA291" s="3" t="n">
        <v>12198.0</v>
      </c>
      <c r="AB291" s="3" t="n">
        <v>12726.0</v>
      </c>
      <c r="AC291" s="3" t="n">
        <v>13245.0</v>
      </c>
      <c r="AD291" s="3" t="n">
        <v>14007.0</v>
      </c>
      <c r="AE291" s="3" t="n">
        <v>14604.0</v>
      </c>
      <c r="AF291" s="3" t="n">
        <v>15473.0</v>
      </c>
      <c r="AG291" s="3" t="n">
        <v>16313.0</v>
      </c>
      <c r="AH291" s="3" t="n">
        <v>17260.0</v>
      </c>
      <c r="AI291" s="3" t="n">
        <v>17711.0</v>
      </c>
      <c r="AJ291" s="3" t="n">
        <v>17860.0</v>
      </c>
      <c r="AK291" s="3" t="n">
        <v>18283.0</v>
      </c>
      <c r="AL291" s="3" t="n">
        <v>18685.0</v>
      </c>
      <c r="AM291" s="3" t="n">
        <v>19227.0</v>
      </c>
      <c r="AN291" s="3" t="n">
        <v>19229.0</v>
      </c>
      <c r="AO291" s="3" t="n">
        <v>19508.0</v>
      </c>
    </row>
    <row r="292" spans="1:41" x14ac:dyDescent="0.2">
      <c r="A292" s="125"/>
      <c r="B292" s="9">
        <v>79</v>
      </c>
      <c r="C292" s="3" t="n">
        <v>7755.0</v>
      </c>
      <c r="D292" s="3" t="n">
        <v>8118.0</v>
      </c>
      <c r="E292" s="3" t="n">
        <v>8038.0</v>
      </c>
      <c r="F292" s="3" t="n">
        <v>11850.0</v>
      </c>
      <c r="G292" s="3" t="n">
        <v>13910.0</v>
      </c>
      <c r="H292" s="3" t="n">
        <v>15380.0</v>
      </c>
      <c r="I292" s="3" t="n">
        <v>15992.0</v>
      </c>
      <c r="J292" s="3" t="n">
        <v>16643.0</v>
      </c>
      <c r="K292" s="3" t="n">
        <v>17744.0</v>
      </c>
      <c r="L292" s="3" t="n">
        <v>17850.0</v>
      </c>
      <c r="M292" s="3" t="n">
        <v>17517.0</v>
      </c>
      <c r="N292" s="3" t="n">
        <v>17644.0</v>
      </c>
      <c r="O292" s="3" t="n">
        <v>18259.0</v>
      </c>
      <c r="P292" s="3" t="n">
        <v>17826.0</v>
      </c>
      <c r="Q292" s="3" t="n">
        <v>17597.0</v>
      </c>
      <c r="R292" s="3" t="n">
        <v>17237.0</v>
      </c>
      <c r="S292" s="3" t="n">
        <v>16403.0</v>
      </c>
      <c r="T292" s="3" t="n">
        <v>15273.0</v>
      </c>
      <c r="U292" s="3" t="n">
        <v>14230.0</v>
      </c>
      <c r="V292" s="3" t="n">
        <v>13271.0</v>
      </c>
      <c r="W292" s="3" t="n">
        <v>12944.0</v>
      </c>
      <c r="X292" s="3" t="n">
        <v>12547.0</v>
      </c>
      <c r="Y292" s="3" t="n">
        <v>12304.0</v>
      </c>
      <c r="Z292" s="3" t="n">
        <v>11914.0</v>
      </c>
      <c r="AA292" s="3" t="n">
        <v>11657.0</v>
      </c>
      <c r="AB292" s="3" t="n">
        <v>11862.0</v>
      </c>
      <c r="AC292" s="3" t="n">
        <v>12378.0</v>
      </c>
      <c r="AD292" s="3" t="n">
        <v>12885.0</v>
      </c>
      <c r="AE292" s="3" t="n">
        <v>13634.0</v>
      </c>
      <c r="AF292" s="3" t="n">
        <v>14218.0</v>
      </c>
      <c r="AG292" s="3" t="n">
        <v>15066.0</v>
      </c>
      <c r="AH292" s="3" t="n">
        <v>15883.0</v>
      </c>
      <c r="AI292" s="3" t="n">
        <v>16815.0</v>
      </c>
      <c r="AJ292" s="3" t="n">
        <v>17253.0</v>
      </c>
      <c r="AK292" s="3" t="n">
        <v>17406.0</v>
      </c>
      <c r="AL292" s="3" t="n">
        <v>17821.0</v>
      </c>
      <c r="AM292" s="3" t="n">
        <v>18214.0</v>
      </c>
      <c r="AN292" s="3" t="n">
        <v>18742.0</v>
      </c>
      <c r="AO292" s="3" t="n">
        <v>18747.0</v>
      </c>
    </row>
    <row r="293" spans="1:41" x14ac:dyDescent="0.2">
      <c r="A293" s="125"/>
      <c r="B293" s="9">
        <v>80</v>
      </c>
      <c r="C293" s="3" t="n">
        <v>7591.0</v>
      </c>
      <c r="D293" s="3" t="n">
        <v>7447.0</v>
      </c>
      <c r="E293" s="3" t="n">
        <v>7804.0</v>
      </c>
      <c r="F293" s="3" t="n">
        <v>7728.0</v>
      </c>
      <c r="G293" s="3" t="n">
        <v>11398.0</v>
      </c>
      <c r="H293" s="3" t="n">
        <v>13389.0</v>
      </c>
      <c r="I293" s="3" t="n">
        <v>14811.0</v>
      </c>
      <c r="J293" s="3" t="n">
        <v>15393.0</v>
      </c>
      <c r="K293" s="3" t="n">
        <v>16019.0</v>
      </c>
      <c r="L293" s="3" t="n">
        <v>17081.0</v>
      </c>
      <c r="M293" s="3" t="n">
        <v>17195.0</v>
      </c>
      <c r="N293" s="3" t="n">
        <v>16880.0</v>
      </c>
      <c r="O293" s="3" t="n">
        <v>17010.0</v>
      </c>
      <c r="P293" s="3" t="n">
        <v>17611.0</v>
      </c>
      <c r="Q293" s="3" t="n">
        <v>17198.0</v>
      </c>
      <c r="R293" s="3" t="n">
        <v>16980.0</v>
      </c>
      <c r="S293" s="3" t="n">
        <v>16640.0</v>
      </c>
      <c r="T293" s="3" t="n">
        <v>15845.0</v>
      </c>
      <c r="U293" s="3" t="n">
        <v>14761.0</v>
      </c>
      <c r="V293" s="3" t="n">
        <v>13759.0</v>
      </c>
      <c r="W293" s="3" t="n">
        <v>12837.0</v>
      </c>
      <c r="X293" s="3" t="n">
        <v>12524.0</v>
      </c>
      <c r="Y293" s="3" t="n">
        <v>12146.0</v>
      </c>
      <c r="Z293" s="3" t="n">
        <v>11913.0</v>
      </c>
      <c r="AA293" s="3" t="n">
        <v>11541.0</v>
      </c>
      <c r="AB293" s="3" t="n">
        <v>11297.0</v>
      </c>
      <c r="AC293" s="3" t="n">
        <v>11497.0</v>
      </c>
      <c r="AD293" s="3" t="n">
        <v>11998.0</v>
      </c>
      <c r="AE293" s="3" t="n">
        <v>12490.0</v>
      </c>
      <c r="AF293" s="3" t="n">
        <v>13226.0</v>
      </c>
      <c r="AG293" s="3" t="n">
        <v>13786.0</v>
      </c>
      <c r="AH293" s="3" t="n">
        <v>14613.0</v>
      </c>
      <c r="AI293" s="3" t="n">
        <v>15411.0</v>
      </c>
      <c r="AJ293" s="3" t="n">
        <v>16318.0</v>
      </c>
      <c r="AK293" s="3" t="n">
        <v>16747.0</v>
      </c>
      <c r="AL293" s="3" t="n">
        <v>16899.0</v>
      </c>
      <c r="AM293" s="3" t="n">
        <v>17304.0</v>
      </c>
      <c r="AN293" s="3" t="n">
        <v>17690.0</v>
      </c>
      <c r="AO293" s="3" t="n">
        <v>18207.0</v>
      </c>
    </row>
    <row r="294" spans="1:41" x14ac:dyDescent="0.2">
      <c r="A294" s="125"/>
      <c r="B294" s="9">
        <v>81</v>
      </c>
      <c r="C294" s="3" t="n">
        <v>7986.0</v>
      </c>
      <c r="D294" s="3" t="n">
        <v>7256.0</v>
      </c>
      <c r="E294" s="3" t="n">
        <v>7126.0</v>
      </c>
      <c r="F294" s="3" t="n">
        <v>7474.0</v>
      </c>
      <c r="G294" s="3" t="n">
        <v>7398.0</v>
      </c>
      <c r="H294" s="3" t="n">
        <v>10924.0</v>
      </c>
      <c r="I294" s="3" t="n">
        <v>12834.0</v>
      </c>
      <c r="J294" s="3" t="n">
        <v>14198.0</v>
      </c>
      <c r="K294" s="3" t="n">
        <v>14753.0</v>
      </c>
      <c r="L294" s="3" t="n">
        <v>15359.0</v>
      </c>
      <c r="M294" s="3" t="n">
        <v>16380.0</v>
      </c>
      <c r="N294" s="3" t="n">
        <v>16494.0</v>
      </c>
      <c r="O294" s="3" t="n">
        <v>16195.0</v>
      </c>
      <c r="P294" s="3" t="n">
        <v>16334.0</v>
      </c>
      <c r="Q294" s="3" t="n">
        <v>16919.0</v>
      </c>
      <c r="R294" s="3" t="n">
        <v>16525.0</v>
      </c>
      <c r="S294" s="3" t="n">
        <v>16326.0</v>
      </c>
      <c r="T294" s="3" t="n">
        <v>16004.0</v>
      </c>
      <c r="U294" s="3" t="n">
        <v>15245.0</v>
      </c>
      <c r="V294" s="3" t="n">
        <v>14206.0</v>
      </c>
      <c r="W294" s="3" t="n">
        <v>13250.0</v>
      </c>
      <c r="X294" s="3" t="n">
        <v>12367.0</v>
      </c>
      <c r="Y294" s="3" t="n">
        <v>12075.0</v>
      </c>
      <c r="Z294" s="3" t="n">
        <v>11710.0</v>
      </c>
      <c r="AA294" s="3" t="n">
        <v>11492.0</v>
      </c>
      <c r="AB294" s="3" t="n">
        <v>11138.0</v>
      </c>
      <c r="AC294" s="3" t="n">
        <v>10910.0</v>
      </c>
      <c r="AD294" s="3" t="n">
        <v>11105.0</v>
      </c>
      <c r="AE294" s="3" t="n">
        <v>11593.0</v>
      </c>
      <c r="AF294" s="3" t="n">
        <v>12068.0</v>
      </c>
      <c r="AG294" s="3" t="n">
        <v>12785.0</v>
      </c>
      <c r="AH294" s="3" t="n">
        <v>13330.0</v>
      </c>
      <c r="AI294" s="3" t="n">
        <v>14134.0</v>
      </c>
      <c r="AJ294" s="3" t="n">
        <v>14901.0</v>
      </c>
      <c r="AK294" s="3" t="n">
        <v>15783.0</v>
      </c>
      <c r="AL294" s="3" t="n">
        <v>16214.0</v>
      </c>
      <c r="AM294" s="3" t="n">
        <v>16355.0</v>
      </c>
      <c r="AN294" s="3" t="n">
        <v>16751.0</v>
      </c>
      <c r="AO294" s="3" t="n">
        <v>17131.0</v>
      </c>
    </row>
    <row r="295" spans="1:41" x14ac:dyDescent="0.2">
      <c r="A295" s="125"/>
      <c r="B295" s="9">
        <v>82</v>
      </c>
      <c r="C295" s="3" t="n">
        <v>8302.0</v>
      </c>
      <c r="D295" s="3" t="n">
        <v>7568.0</v>
      </c>
      <c r="E295" s="3" t="n">
        <v>6892.0</v>
      </c>
      <c r="F295" s="3" t="n">
        <v>6775.0</v>
      </c>
      <c r="G295" s="3" t="n">
        <v>7109.0</v>
      </c>
      <c r="H295" s="3" t="n">
        <v>7053.0</v>
      </c>
      <c r="I295" s="3" t="n">
        <v>10414.0</v>
      </c>
      <c r="J295" s="3" t="n">
        <v>12224.0</v>
      </c>
      <c r="K295" s="3" t="n">
        <v>13518.0</v>
      </c>
      <c r="L295" s="3" t="n">
        <v>14056.0</v>
      </c>
      <c r="M295" s="3" t="n">
        <v>14637.0</v>
      </c>
      <c r="N295" s="3" t="n">
        <v>15616.0</v>
      </c>
      <c r="O295" s="3" t="n">
        <v>15729.0</v>
      </c>
      <c r="P295" s="3" t="n">
        <v>15457.0</v>
      </c>
      <c r="Q295" s="3" t="n">
        <v>15593.0</v>
      </c>
      <c r="R295" s="3" t="n">
        <v>16165.0</v>
      </c>
      <c r="S295" s="3" t="n">
        <v>15790.0</v>
      </c>
      <c r="T295" s="3" t="n">
        <v>15611.0</v>
      </c>
      <c r="U295" s="3" t="n">
        <v>15310.0</v>
      </c>
      <c r="V295" s="3" t="n">
        <v>14586.0</v>
      </c>
      <c r="W295" s="3" t="n">
        <v>13604.0</v>
      </c>
      <c r="X295" s="3" t="n">
        <v>12694.0</v>
      </c>
      <c r="Y295" s="3" t="n">
        <v>11854.0</v>
      </c>
      <c r="Z295" s="3" t="n">
        <v>11582.0</v>
      </c>
      <c r="AA295" s="3" t="n">
        <v>11227.0</v>
      </c>
      <c r="AB295" s="3" t="n">
        <v>11034.0</v>
      </c>
      <c r="AC295" s="3" t="n">
        <v>10695.0</v>
      </c>
      <c r="AD295" s="3" t="n">
        <v>10487.0</v>
      </c>
      <c r="AE295" s="3" t="n">
        <v>10676.0</v>
      </c>
      <c r="AF295" s="3" t="n">
        <v>11146.0</v>
      </c>
      <c r="AG295" s="3" t="n">
        <v>11598.0</v>
      </c>
      <c r="AH295" s="3" t="n">
        <v>12295.0</v>
      </c>
      <c r="AI295" s="3" t="n">
        <v>12823.0</v>
      </c>
      <c r="AJ295" s="3" t="n">
        <v>13599.0</v>
      </c>
      <c r="AK295" s="3" t="n">
        <v>14345.0</v>
      </c>
      <c r="AL295" s="3" t="n">
        <v>15197.0</v>
      </c>
      <c r="AM295" s="3" t="n">
        <v>15615.0</v>
      </c>
      <c r="AN295" s="3" t="n">
        <v>15752.0</v>
      </c>
      <c r="AO295" s="3" t="n">
        <v>16142.0</v>
      </c>
    </row>
    <row r="296" spans="1:41" x14ac:dyDescent="0.2">
      <c r="A296" s="125"/>
      <c r="B296" s="9">
        <v>83</v>
      </c>
      <c r="C296" s="3" t="n">
        <v>8010.0</v>
      </c>
      <c r="D296" s="3" t="n">
        <v>7800.0</v>
      </c>
      <c r="E296" s="3" t="n">
        <v>7120.0</v>
      </c>
      <c r="F296" s="3" t="n">
        <v>6492.0</v>
      </c>
      <c r="G296" s="3" t="n">
        <v>6387.0</v>
      </c>
      <c r="H296" s="3" t="n">
        <v>6715.0</v>
      </c>
      <c r="I296" s="3" t="n">
        <v>6665.0</v>
      </c>
      <c r="J296" s="3" t="n">
        <v>9836.0</v>
      </c>
      <c r="K296" s="3" t="n">
        <v>11539.0</v>
      </c>
      <c r="L296" s="3" t="n">
        <v>12764.0</v>
      </c>
      <c r="M296" s="3" t="n">
        <v>13276.0</v>
      </c>
      <c r="N296" s="3" t="n">
        <v>13836.0</v>
      </c>
      <c r="O296" s="3" t="n">
        <v>14775.0</v>
      </c>
      <c r="P296" s="3" t="n">
        <v>14886.0</v>
      </c>
      <c r="Q296" s="3" t="n">
        <v>14640.0</v>
      </c>
      <c r="R296" s="3" t="n">
        <v>14773.0</v>
      </c>
      <c r="S296" s="3" t="n">
        <v>15331.0</v>
      </c>
      <c r="T296" s="3" t="n">
        <v>14979.0</v>
      </c>
      <c r="U296" s="3" t="n">
        <v>14814.0</v>
      </c>
      <c r="V296" s="3" t="n">
        <v>14539.0</v>
      </c>
      <c r="W296" s="3" t="n">
        <v>13859.0</v>
      </c>
      <c r="X296" s="3" t="n">
        <v>12927.0</v>
      </c>
      <c r="Y296" s="3" t="n">
        <v>12072.0</v>
      </c>
      <c r="Z296" s="3" t="n">
        <v>11275.0</v>
      </c>
      <c r="AA296" s="3" t="n">
        <v>11023.0</v>
      </c>
      <c r="AB296" s="3" t="n">
        <v>10697.0</v>
      </c>
      <c r="AC296" s="3" t="n">
        <v>10515.0</v>
      </c>
      <c r="AD296" s="3" t="n">
        <v>10199.0</v>
      </c>
      <c r="AE296" s="3" t="n">
        <v>10008.0</v>
      </c>
      <c r="AF296" s="3" t="n">
        <v>10186.0</v>
      </c>
      <c r="AG296" s="3" t="n">
        <v>10638.0</v>
      </c>
      <c r="AH296" s="3" t="n">
        <v>11072.0</v>
      </c>
      <c r="AI296" s="3" t="n">
        <v>11744.0</v>
      </c>
      <c r="AJ296" s="3" t="n">
        <v>12252.0</v>
      </c>
      <c r="AK296" s="3" t="n">
        <v>12999.0</v>
      </c>
      <c r="AL296" s="3" t="n">
        <v>13723.0</v>
      </c>
      <c r="AM296" s="3" t="n">
        <v>14541.0</v>
      </c>
      <c r="AN296" s="3" t="n">
        <v>14941.0</v>
      </c>
      <c r="AO296" s="3" t="n">
        <v>15083.0</v>
      </c>
    </row>
    <row r="297" spans="1:41" x14ac:dyDescent="0.2">
      <c r="A297" s="125"/>
      <c r="B297" s="9">
        <v>84</v>
      </c>
      <c r="C297" s="3" t="n">
        <v>7382.0</v>
      </c>
      <c r="D297" s="3" t="n">
        <v>7454.0</v>
      </c>
      <c r="E297" s="3" t="n">
        <v>7269.0</v>
      </c>
      <c r="F297" s="3" t="n">
        <v>6647.0</v>
      </c>
      <c r="G297" s="3" t="n">
        <v>6067.0</v>
      </c>
      <c r="H297" s="3" t="n">
        <v>5986.0</v>
      </c>
      <c r="I297" s="3" t="n">
        <v>6302.0</v>
      </c>
      <c r="J297" s="3" t="n">
        <v>6247.0</v>
      </c>
      <c r="K297" s="3" t="n">
        <v>9212.0</v>
      </c>
      <c r="L297" s="3" t="n">
        <v>10814.0</v>
      </c>
      <c r="M297" s="3" t="n">
        <v>11965.0</v>
      </c>
      <c r="N297" s="3" t="n">
        <v>12453.0</v>
      </c>
      <c r="O297" s="3" t="n">
        <v>12987.0</v>
      </c>
      <c r="P297" s="3" t="n">
        <v>13872.0</v>
      </c>
      <c r="Q297" s="3" t="n">
        <v>13987.0</v>
      </c>
      <c r="R297" s="3" t="n">
        <v>13766.0</v>
      </c>
      <c r="S297" s="3" t="n">
        <v>13898.0</v>
      </c>
      <c r="T297" s="3" t="n">
        <v>14431.0</v>
      </c>
      <c r="U297" s="3" t="n">
        <v>14111.0</v>
      </c>
      <c r="V297" s="3" t="n">
        <v>13969.0</v>
      </c>
      <c r="W297" s="3" t="n">
        <v>13713.0</v>
      </c>
      <c r="X297" s="3" t="n">
        <v>13082.0</v>
      </c>
      <c r="Y297" s="3" t="n">
        <v>12210.0</v>
      </c>
      <c r="Z297" s="3" t="n">
        <v>11404.0</v>
      </c>
      <c r="AA297" s="3" t="n">
        <v>10661.0</v>
      </c>
      <c r="AB297" s="3" t="n">
        <v>10429.0</v>
      </c>
      <c r="AC297" s="3" t="n">
        <v>10129.0</v>
      </c>
      <c r="AD297" s="3" t="n">
        <v>9964.0</v>
      </c>
      <c r="AE297" s="3" t="n">
        <v>9666.0</v>
      </c>
      <c r="AF297" s="3" t="n">
        <v>9494.0</v>
      </c>
      <c r="AG297" s="3" t="n">
        <v>9662.0</v>
      </c>
      <c r="AH297" s="3" t="n">
        <v>10092.0</v>
      </c>
      <c r="AI297" s="3" t="n">
        <v>10513.0</v>
      </c>
      <c r="AJ297" s="3" t="n">
        <v>11156.0</v>
      </c>
      <c r="AK297" s="3" t="n">
        <v>11646.0</v>
      </c>
      <c r="AL297" s="3" t="n">
        <v>12358.0</v>
      </c>
      <c r="AM297" s="3" t="n">
        <v>13050.0</v>
      </c>
      <c r="AN297" s="3" t="n">
        <v>13830.0</v>
      </c>
      <c r="AO297" s="3" t="n">
        <v>14220.0</v>
      </c>
    </row>
    <row r="298" spans="1:41" x14ac:dyDescent="0.2">
      <c r="A298" s="125"/>
      <c r="B298" s="9">
        <v>85</v>
      </c>
      <c r="C298" s="3" t="n">
        <v>7197.0</v>
      </c>
      <c r="D298" s="3" t="n">
        <v>6799.0</v>
      </c>
      <c r="E298" s="3" t="n">
        <v>6877.0</v>
      </c>
      <c r="F298" s="3" t="n">
        <v>6717.0</v>
      </c>
      <c r="G298" s="3" t="n">
        <v>6150.0</v>
      </c>
      <c r="H298" s="3" t="n">
        <v>5626.0</v>
      </c>
      <c r="I298" s="3" t="n">
        <v>5563.0</v>
      </c>
      <c r="J298" s="3" t="n">
        <v>5846.0</v>
      </c>
      <c r="K298" s="3" t="n">
        <v>5802.0</v>
      </c>
      <c r="L298" s="3" t="n">
        <v>8549.0</v>
      </c>
      <c r="M298" s="3" t="n">
        <v>10037.0</v>
      </c>
      <c r="N298" s="3" t="n">
        <v>11113.0</v>
      </c>
      <c r="O298" s="3" t="n">
        <v>11571.0</v>
      </c>
      <c r="P298" s="3" t="n">
        <v>12080.0</v>
      </c>
      <c r="Q298" s="3" t="n">
        <v>12915.0</v>
      </c>
      <c r="R298" s="3" t="n">
        <v>13025.0</v>
      </c>
      <c r="S298" s="3" t="n">
        <v>12836.0</v>
      </c>
      <c r="T298" s="3" t="n">
        <v>12969.0</v>
      </c>
      <c r="U298" s="3" t="n">
        <v>13472.0</v>
      </c>
      <c r="V298" s="3" t="n">
        <v>13187.0</v>
      </c>
      <c r="W298" s="3" t="n">
        <v>13065.0</v>
      </c>
      <c r="X298" s="3" t="n">
        <v>12833.0</v>
      </c>
      <c r="Y298" s="3" t="n">
        <v>12249.0</v>
      </c>
      <c r="Z298" s="3" t="n">
        <v>11431.0</v>
      </c>
      <c r="AA298" s="3" t="n">
        <v>10687.0</v>
      </c>
      <c r="AB298" s="3" t="n">
        <v>10004.0</v>
      </c>
      <c r="AC298" s="3" t="n">
        <v>9792.0</v>
      </c>
      <c r="AD298" s="3" t="n">
        <v>9515.0</v>
      </c>
      <c r="AE298" s="3" t="n">
        <v>9371.0</v>
      </c>
      <c r="AF298" s="3" t="n">
        <v>9090.0</v>
      </c>
      <c r="AG298" s="3" t="n">
        <v>8926.0</v>
      </c>
      <c r="AH298" s="3" t="n">
        <v>9098.0</v>
      </c>
      <c r="AI298" s="3" t="n">
        <v>9504.0</v>
      </c>
      <c r="AJ298" s="3" t="n">
        <v>9910.0</v>
      </c>
      <c r="AK298" s="3" t="n">
        <v>10521.0</v>
      </c>
      <c r="AL298" s="3" t="n">
        <v>10990.0</v>
      </c>
      <c r="AM298" s="3" t="n">
        <v>11654.0</v>
      </c>
      <c r="AN298" s="3" t="n">
        <v>12319.0</v>
      </c>
      <c r="AO298" s="3" t="n">
        <v>13064.0</v>
      </c>
    </row>
    <row r="299" spans="1:41" x14ac:dyDescent="0.2">
      <c r="A299" s="125"/>
      <c r="B299" s="9">
        <v>86</v>
      </c>
      <c r="C299" s="3" t="n">
        <v>6727.0</v>
      </c>
      <c r="D299" s="3" t="n">
        <v>6545.0</v>
      </c>
      <c r="E299" s="3" t="n">
        <v>6200.0</v>
      </c>
      <c r="F299" s="3" t="n">
        <v>6277.0</v>
      </c>
      <c r="G299" s="3" t="n">
        <v>6140.0</v>
      </c>
      <c r="H299" s="3" t="n">
        <v>5636.0</v>
      </c>
      <c r="I299" s="3" t="n">
        <v>5159.0</v>
      </c>
      <c r="J299" s="3" t="n">
        <v>5106.0</v>
      </c>
      <c r="K299" s="3" t="n">
        <v>5370.0</v>
      </c>
      <c r="L299" s="3" t="n">
        <v>5334.0</v>
      </c>
      <c r="M299" s="3" t="n">
        <v>7856.0</v>
      </c>
      <c r="N299" s="3" t="n">
        <v>9230.0</v>
      </c>
      <c r="O299" s="3" t="n">
        <v>10228.0</v>
      </c>
      <c r="P299" s="3" t="n">
        <v>10657.0</v>
      </c>
      <c r="Q299" s="3" t="n">
        <v>11133.0</v>
      </c>
      <c r="R299" s="3" t="n">
        <v>11909.0</v>
      </c>
      <c r="S299" s="3" t="n">
        <v>12025.0</v>
      </c>
      <c r="T299" s="3" t="n">
        <v>11862.0</v>
      </c>
      <c r="U299" s="3" t="n">
        <v>11989.0</v>
      </c>
      <c r="V299" s="3" t="n">
        <v>12464.0</v>
      </c>
      <c r="W299" s="3" t="n">
        <v>12213.0</v>
      </c>
      <c r="X299" s="3" t="n">
        <v>12112.0</v>
      </c>
      <c r="Y299" s="3" t="n">
        <v>11905.0</v>
      </c>
      <c r="Z299" s="3" t="n">
        <v>11367.0</v>
      </c>
      <c r="AA299" s="3" t="n">
        <v>10610.0</v>
      </c>
      <c r="AB299" s="3" t="n">
        <v>9936.0</v>
      </c>
      <c r="AC299" s="3" t="n">
        <v>9307.0</v>
      </c>
      <c r="AD299" s="3" t="n">
        <v>9121.0</v>
      </c>
      <c r="AE299" s="3" t="n">
        <v>8869.0</v>
      </c>
      <c r="AF299" s="3" t="n">
        <v>8742.0</v>
      </c>
      <c r="AG299" s="3" t="n">
        <v>8475.0</v>
      </c>
      <c r="AH299" s="3" t="n">
        <v>8337.0</v>
      </c>
      <c r="AI299" s="3" t="n">
        <v>8504.0</v>
      </c>
      <c r="AJ299" s="3" t="n">
        <v>8886.0</v>
      </c>
      <c r="AK299" s="3" t="n">
        <v>9271.0</v>
      </c>
      <c r="AL299" s="3" t="n">
        <v>9853.0</v>
      </c>
      <c r="AM299" s="3" t="n">
        <v>10291.0</v>
      </c>
      <c r="AN299" s="3" t="n">
        <v>10915.0</v>
      </c>
      <c r="AO299" s="3" t="n">
        <v>11542.0</v>
      </c>
    </row>
    <row r="300" spans="1:41" x14ac:dyDescent="0.2">
      <c r="A300" s="125"/>
      <c r="B300" s="9">
        <v>87</v>
      </c>
      <c r="C300" s="3" t="n">
        <v>5933.0</v>
      </c>
      <c r="D300" s="3" t="n">
        <v>6053.0</v>
      </c>
      <c r="E300" s="3" t="n">
        <v>5908.0</v>
      </c>
      <c r="F300" s="3" t="n">
        <v>5608.0</v>
      </c>
      <c r="G300" s="3" t="n">
        <v>5680.0</v>
      </c>
      <c r="H300" s="3" t="n">
        <v>5575.0</v>
      </c>
      <c r="I300" s="3" t="n">
        <v>5124.0</v>
      </c>
      <c r="J300" s="3" t="n">
        <v>4694.0</v>
      </c>
      <c r="K300" s="3" t="n">
        <v>4642.0</v>
      </c>
      <c r="L300" s="3" t="n">
        <v>4888.0</v>
      </c>
      <c r="M300" s="3" t="n">
        <v>4863.0</v>
      </c>
      <c r="N300" s="3" t="n">
        <v>7157.0</v>
      </c>
      <c r="O300" s="3" t="n">
        <v>8416.0</v>
      </c>
      <c r="P300" s="3" t="n">
        <v>9331.0</v>
      </c>
      <c r="Q300" s="3" t="n">
        <v>9735.0</v>
      </c>
      <c r="R300" s="3" t="n">
        <v>10180.0</v>
      </c>
      <c r="S300" s="3" t="n">
        <v>10898.0</v>
      </c>
      <c r="T300" s="3" t="n">
        <v>11017.0</v>
      </c>
      <c r="U300" s="3" t="n">
        <v>10872.0</v>
      </c>
      <c r="V300" s="3" t="n">
        <v>11004.0</v>
      </c>
      <c r="W300" s="3" t="n">
        <v>11448.0</v>
      </c>
      <c r="X300" s="3" t="n">
        <v>11228.0</v>
      </c>
      <c r="Y300" s="3" t="n">
        <v>11148.0</v>
      </c>
      <c r="Z300" s="3" t="n">
        <v>10954.0</v>
      </c>
      <c r="AA300" s="3" t="n">
        <v>10467.0</v>
      </c>
      <c r="AB300" s="3" t="n">
        <v>9786.0</v>
      </c>
      <c r="AC300" s="3" t="n">
        <v>9166.0</v>
      </c>
      <c r="AD300" s="3" t="n">
        <v>8593.0</v>
      </c>
      <c r="AE300" s="3" t="n">
        <v>8427.0</v>
      </c>
      <c r="AF300" s="3" t="n">
        <v>8204.0</v>
      </c>
      <c r="AG300" s="3" t="n">
        <v>8092.0</v>
      </c>
      <c r="AH300" s="3" t="n">
        <v>7853.0</v>
      </c>
      <c r="AI300" s="3" t="n">
        <v>7734.0</v>
      </c>
      <c r="AJ300" s="3" t="n">
        <v>7891.0</v>
      </c>
      <c r="AK300" s="3" t="n">
        <v>8251.0</v>
      </c>
      <c r="AL300" s="3" t="n">
        <v>8613.0</v>
      </c>
      <c r="AM300" s="3" t="n">
        <v>9156.0</v>
      </c>
      <c r="AN300" s="3" t="n">
        <v>9567.0</v>
      </c>
      <c r="AO300" s="3" t="n">
        <v>10151.0</v>
      </c>
    </row>
    <row r="301" spans="1:41" x14ac:dyDescent="0.2">
      <c r="A301" s="125"/>
      <c r="B301" s="9">
        <v>88</v>
      </c>
      <c r="C301" s="3" t="n">
        <v>5138.0</v>
      </c>
      <c r="D301" s="3" t="n">
        <v>5272.0</v>
      </c>
      <c r="E301" s="3" t="n">
        <v>5395.0</v>
      </c>
      <c r="F301" s="3" t="n">
        <v>5274.0</v>
      </c>
      <c r="G301" s="3" t="n">
        <v>5016.0</v>
      </c>
      <c r="H301" s="3" t="n">
        <v>5095.0</v>
      </c>
      <c r="I301" s="3" t="n">
        <v>5004.0</v>
      </c>
      <c r="J301" s="3" t="n">
        <v>4603.0</v>
      </c>
      <c r="K301" s="3" t="n">
        <v>4221.0</v>
      </c>
      <c r="L301" s="3" t="n">
        <v>4174.0</v>
      </c>
      <c r="M301" s="3" t="n">
        <v>4398.0</v>
      </c>
      <c r="N301" s="3" t="n">
        <v>4389.0</v>
      </c>
      <c r="O301" s="3" t="n">
        <v>6457.0</v>
      </c>
      <c r="P301" s="3" t="n">
        <v>7593.0</v>
      </c>
      <c r="Q301" s="3" t="n">
        <v>8427.0</v>
      </c>
      <c r="R301" s="3" t="n">
        <v>8803.0</v>
      </c>
      <c r="S301" s="3" t="n">
        <v>9216.0</v>
      </c>
      <c r="T301" s="3" t="n">
        <v>9873.0</v>
      </c>
      <c r="U301" s="3" t="n">
        <v>9990.0</v>
      </c>
      <c r="V301" s="3" t="n">
        <v>9869.0</v>
      </c>
      <c r="W301" s="3" t="n">
        <v>9998.0</v>
      </c>
      <c r="X301" s="3" t="n">
        <v>10413.0</v>
      </c>
      <c r="Y301" s="3" t="n">
        <v>10222.0</v>
      </c>
      <c r="Z301" s="3" t="n">
        <v>10150.0</v>
      </c>
      <c r="AA301" s="3" t="n">
        <v>9978.0</v>
      </c>
      <c r="AB301" s="3" t="n">
        <v>9550.0</v>
      </c>
      <c r="AC301" s="3" t="n">
        <v>8933.0</v>
      </c>
      <c r="AD301" s="3" t="n">
        <v>8372.0</v>
      </c>
      <c r="AE301" s="3" t="n">
        <v>7864.0</v>
      </c>
      <c r="AF301" s="3" t="n">
        <v>7719.0</v>
      </c>
      <c r="AG301" s="3" t="n">
        <v>7512.0</v>
      </c>
      <c r="AH301" s="3" t="n">
        <v>7416.0</v>
      </c>
      <c r="AI301" s="3" t="n">
        <v>7208.0</v>
      </c>
      <c r="AJ301" s="3" t="n">
        <v>7103.0</v>
      </c>
      <c r="AK301" s="3" t="n">
        <v>7257.0</v>
      </c>
      <c r="AL301" s="3" t="n">
        <v>7591.0</v>
      </c>
      <c r="AM301" s="3" t="n">
        <v>7927.0</v>
      </c>
      <c r="AN301" s="3" t="n">
        <v>8430.0</v>
      </c>
      <c r="AO301" s="3" t="n">
        <v>8811.0</v>
      </c>
    </row>
    <row r="302" spans="1:41" x14ac:dyDescent="0.2">
      <c r="A302" s="125"/>
      <c r="B302" s="9">
        <v>89</v>
      </c>
      <c r="C302" s="3" t="n">
        <v>4372.0</v>
      </c>
      <c r="D302" s="3" t="n">
        <v>4505.0</v>
      </c>
      <c r="E302" s="3" t="n">
        <v>4633.0</v>
      </c>
      <c r="F302" s="3" t="n">
        <v>4758.0</v>
      </c>
      <c r="G302" s="3" t="n">
        <v>4653.0</v>
      </c>
      <c r="H302" s="3" t="n">
        <v>4446.0</v>
      </c>
      <c r="I302" s="3" t="n">
        <v>4521.0</v>
      </c>
      <c r="J302" s="3" t="n">
        <v>4444.0</v>
      </c>
      <c r="K302" s="3" t="n">
        <v>4091.0</v>
      </c>
      <c r="L302" s="3" t="n">
        <v>3758.0</v>
      </c>
      <c r="M302" s="3" t="n">
        <v>3720.0</v>
      </c>
      <c r="N302" s="3" t="n">
        <v>3921.0</v>
      </c>
      <c r="O302" s="3" t="n">
        <v>3915.0</v>
      </c>
      <c r="P302" s="3" t="n">
        <v>5765.0</v>
      </c>
      <c r="Q302" s="3" t="n">
        <v>6784.0</v>
      </c>
      <c r="R302" s="3" t="n">
        <v>7538.0</v>
      </c>
      <c r="S302" s="3" t="n">
        <v>7881.0</v>
      </c>
      <c r="T302" s="3" t="n">
        <v>8261.0</v>
      </c>
      <c r="U302" s="3" t="n">
        <v>8863.0</v>
      </c>
      <c r="V302" s="3" t="n">
        <v>8981.0</v>
      </c>
      <c r="W302" s="3" t="n">
        <v>8879.0</v>
      </c>
      <c r="X302" s="3" t="n">
        <v>9006.0</v>
      </c>
      <c r="Y302" s="3" t="n">
        <v>9389.0</v>
      </c>
      <c r="Z302" s="3" t="n">
        <v>9226.0</v>
      </c>
      <c r="AA302" s="3" t="n">
        <v>9168.0</v>
      </c>
      <c r="AB302" s="3" t="n">
        <v>9019.0</v>
      </c>
      <c r="AC302" s="3" t="n">
        <v>8649.0</v>
      </c>
      <c r="AD302" s="3" t="n">
        <v>8091.0</v>
      </c>
      <c r="AE302" s="3" t="n">
        <v>7587.0</v>
      </c>
      <c r="AF302" s="3" t="n">
        <v>7136.0</v>
      </c>
      <c r="AG302" s="3" t="n">
        <v>7004.0</v>
      </c>
      <c r="AH302" s="3" t="n">
        <v>6826.0</v>
      </c>
      <c r="AI302" s="3" t="n">
        <v>6744.0</v>
      </c>
      <c r="AJ302" s="3" t="n">
        <v>6567.0</v>
      </c>
      <c r="AK302" s="3" t="n">
        <v>6474.0</v>
      </c>
      <c r="AL302" s="3" t="n">
        <v>6623.0</v>
      </c>
      <c r="AM302" s="3" t="n">
        <v>6926.0</v>
      </c>
      <c r="AN302" s="3" t="n">
        <v>7239.0</v>
      </c>
      <c r="AO302" s="3" t="n">
        <v>7702.0</v>
      </c>
    </row>
    <row r="303" spans="1:41" x14ac:dyDescent="0.2">
      <c r="A303" s="125"/>
      <c r="B303" s="9">
        <v>90</v>
      </c>
      <c r="C303" s="3" t="n">
        <v>3956.0</v>
      </c>
      <c r="D303" s="3" t="n">
        <v>3781.0</v>
      </c>
      <c r="E303" s="3" t="n">
        <v>3909.0</v>
      </c>
      <c r="F303" s="3" t="n">
        <v>4030.0</v>
      </c>
      <c r="G303" s="3" t="n">
        <v>4146.0</v>
      </c>
      <c r="H303" s="3" t="n">
        <v>4064.0</v>
      </c>
      <c r="I303" s="3" t="n">
        <v>3887.0</v>
      </c>
      <c r="J303" s="3" t="n">
        <v>3960.0</v>
      </c>
      <c r="K303" s="3" t="n">
        <v>3893.0</v>
      </c>
      <c r="L303" s="3" t="n">
        <v>3596.0</v>
      </c>
      <c r="M303" s="3" t="n">
        <v>3305.0</v>
      </c>
      <c r="N303" s="3" t="n">
        <v>3277.0</v>
      </c>
      <c r="O303" s="3" t="n">
        <v>3452.0</v>
      </c>
      <c r="P303" s="3" t="n">
        <v>3461.0</v>
      </c>
      <c r="Q303" s="3" t="n">
        <v>5098.0</v>
      </c>
      <c r="R303" s="3" t="n">
        <v>6004.0</v>
      </c>
      <c r="S303" s="3" t="n">
        <v>6681.0</v>
      </c>
      <c r="T303" s="3" t="n">
        <v>6992.0</v>
      </c>
      <c r="U303" s="3" t="n">
        <v>7331.0</v>
      </c>
      <c r="V303" s="3" t="n">
        <v>7881.0</v>
      </c>
      <c r="W303" s="3" t="n">
        <v>7995.0</v>
      </c>
      <c r="X303" s="3" t="n">
        <v>7911.0</v>
      </c>
      <c r="Y303" s="3" t="n">
        <v>8035.0</v>
      </c>
      <c r="Z303" s="3" t="n">
        <v>8378.0</v>
      </c>
      <c r="AA303" s="3" t="n">
        <v>8238.0</v>
      </c>
      <c r="AB303" s="3" t="n">
        <v>8193.0</v>
      </c>
      <c r="AC303" s="3" t="n">
        <v>8075.0</v>
      </c>
      <c r="AD303" s="3" t="n">
        <v>7747.0</v>
      </c>
      <c r="AE303" s="3" t="n">
        <v>7261.0</v>
      </c>
      <c r="AF303" s="3" t="n">
        <v>6821.0</v>
      </c>
      <c r="AG303" s="3" t="n">
        <v>6415.0</v>
      </c>
      <c r="AH303" s="3" t="n">
        <v>6303.0</v>
      </c>
      <c r="AI303" s="3" t="n">
        <v>6148.0</v>
      </c>
      <c r="AJ303" s="3" t="n">
        <v>6083.0</v>
      </c>
      <c r="AK303" s="3" t="n">
        <v>5934.0</v>
      </c>
      <c r="AL303" s="3" t="n">
        <v>5851.0</v>
      </c>
      <c r="AM303" s="3" t="n">
        <v>5989.0</v>
      </c>
      <c r="AN303" s="3" t="n">
        <v>6266.0</v>
      </c>
      <c r="AO303" s="3" t="n">
        <v>6559.0</v>
      </c>
    </row>
    <row r="304" spans="1:41" x14ac:dyDescent="0.2">
      <c r="A304" s="125"/>
      <c r="B304" s="9">
        <v>91</v>
      </c>
      <c r="C304" s="3" t="n">
        <v>3128.0</v>
      </c>
      <c r="D304" s="3" t="n">
        <v>3365.0</v>
      </c>
      <c r="E304" s="3" t="n">
        <v>3227.0</v>
      </c>
      <c r="F304" s="3" t="n">
        <v>3347.0</v>
      </c>
      <c r="G304" s="3" t="n">
        <v>3456.0</v>
      </c>
      <c r="H304" s="3" t="n">
        <v>3565.0</v>
      </c>
      <c r="I304" s="3" t="n">
        <v>3507.0</v>
      </c>
      <c r="J304" s="3" t="n">
        <v>3351.0</v>
      </c>
      <c r="K304" s="3" t="n">
        <v>3421.0</v>
      </c>
      <c r="L304" s="3" t="n">
        <v>3365.0</v>
      </c>
      <c r="M304" s="3" t="n">
        <v>3117.0</v>
      </c>
      <c r="N304" s="3" t="n">
        <v>2868.0</v>
      </c>
      <c r="O304" s="3" t="n">
        <v>2846.0</v>
      </c>
      <c r="P304" s="3" t="n">
        <v>3003.0</v>
      </c>
      <c r="Q304" s="3" t="n">
        <v>3016.0</v>
      </c>
      <c r="R304" s="3" t="n">
        <v>4449.0</v>
      </c>
      <c r="S304" s="3" t="n">
        <v>5242.0</v>
      </c>
      <c r="T304" s="3" t="n">
        <v>5848.0</v>
      </c>
      <c r="U304" s="3" t="n">
        <v>6120.0</v>
      </c>
      <c r="V304" s="3" t="n">
        <v>6425.0</v>
      </c>
      <c r="W304" s="3" t="n">
        <v>6916.0</v>
      </c>
      <c r="X304" s="3" t="n">
        <v>7028.0</v>
      </c>
      <c r="Y304" s="3" t="n">
        <v>6963.0</v>
      </c>
      <c r="Z304" s="3" t="n">
        <v>7077.0</v>
      </c>
      <c r="AA304" s="3" t="n">
        <v>7383.0</v>
      </c>
      <c r="AB304" s="3" t="n">
        <v>7268.0</v>
      </c>
      <c r="AC304" s="3" t="n">
        <v>7241.0</v>
      </c>
      <c r="AD304" s="3" t="n">
        <v>7141.0</v>
      </c>
      <c r="AE304" s="3" t="n">
        <v>6865.0</v>
      </c>
      <c r="AF304" s="3" t="n">
        <v>6444.0</v>
      </c>
      <c r="AG304" s="3" t="n">
        <v>6054.0</v>
      </c>
      <c r="AH304" s="3" t="n">
        <v>5702.0</v>
      </c>
      <c r="AI304" s="3" t="n">
        <v>5603.0</v>
      </c>
      <c r="AJ304" s="3" t="n">
        <v>5475.0</v>
      </c>
      <c r="AK304" s="3" t="n">
        <v>5423.0</v>
      </c>
      <c r="AL304" s="3" t="n">
        <v>5303.0</v>
      </c>
      <c r="AM304" s="3" t="n">
        <v>5223.0</v>
      </c>
      <c r="AN304" s="3" t="n">
        <v>5352.0</v>
      </c>
      <c r="AO304" s="3" t="n">
        <v>5604.0</v>
      </c>
    </row>
    <row r="305" spans="1:41" x14ac:dyDescent="0.2">
      <c r="A305" s="125"/>
      <c r="B305" s="9">
        <v>92</v>
      </c>
      <c r="C305" s="3" t="n">
        <v>2667.0</v>
      </c>
      <c r="D305" s="3" t="n">
        <v>2619.0</v>
      </c>
      <c r="E305" s="3" t="n">
        <v>2824.0</v>
      </c>
      <c r="F305" s="3" t="n">
        <v>2719.0</v>
      </c>
      <c r="G305" s="3" t="n">
        <v>2825.0</v>
      </c>
      <c r="H305" s="3" t="n">
        <v>2928.0</v>
      </c>
      <c r="I305" s="3" t="n">
        <v>3025.0</v>
      </c>
      <c r="J305" s="3" t="n">
        <v>2981.0</v>
      </c>
      <c r="K305" s="3" t="n">
        <v>2855.0</v>
      </c>
      <c r="L305" s="3" t="n">
        <v>2917.0</v>
      </c>
      <c r="M305" s="3" t="n">
        <v>2874.0</v>
      </c>
      <c r="N305" s="3" t="n">
        <v>2666.0</v>
      </c>
      <c r="O305" s="3" t="n">
        <v>2459.0</v>
      </c>
      <c r="P305" s="3" t="n">
        <v>2441.0</v>
      </c>
      <c r="Q305" s="3" t="n">
        <v>2588.0</v>
      </c>
      <c r="R305" s="3" t="n">
        <v>2592.0</v>
      </c>
      <c r="S305" s="3" t="n">
        <v>3832.0</v>
      </c>
      <c r="T305" s="3" t="n">
        <v>4523.0</v>
      </c>
      <c r="U305" s="3" t="n">
        <v>5053.0</v>
      </c>
      <c r="V305" s="3" t="n">
        <v>5294.0</v>
      </c>
      <c r="W305" s="3" t="n">
        <v>5566.0</v>
      </c>
      <c r="X305" s="3" t="n">
        <v>6000.0</v>
      </c>
      <c r="Y305" s="3" t="n">
        <v>6100.0</v>
      </c>
      <c r="Z305" s="3" t="n">
        <v>6051.0</v>
      </c>
      <c r="AA305" s="3" t="n">
        <v>6154.0</v>
      </c>
      <c r="AB305" s="3" t="n">
        <v>6429.0</v>
      </c>
      <c r="AC305" s="3" t="n">
        <v>6335.0</v>
      </c>
      <c r="AD305" s="3" t="n">
        <v>6328.0</v>
      </c>
      <c r="AE305" s="3" t="n">
        <v>6249.0</v>
      </c>
      <c r="AF305" s="3" t="n">
        <v>6020.0</v>
      </c>
      <c r="AG305" s="3" t="n">
        <v>5647.0</v>
      </c>
      <c r="AH305" s="3" t="n">
        <v>5310.0</v>
      </c>
      <c r="AI305" s="3" t="n">
        <v>5011.0</v>
      </c>
      <c r="AJ305" s="3" t="n">
        <v>4929.0</v>
      </c>
      <c r="AK305" s="3" t="n">
        <v>4826.0</v>
      </c>
      <c r="AL305" s="3" t="n">
        <v>4783.0</v>
      </c>
      <c r="AM305" s="3" t="n">
        <v>4679.0</v>
      </c>
      <c r="AN305" s="3" t="n">
        <v>4614.0</v>
      </c>
      <c r="AO305" s="3" t="n">
        <v>4736.0</v>
      </c>
    </row>
    <row r="306" spans="1:41" x14ac:dyDescent="0.2">
      <c r="A306" s="125"/>
      <c r="B306" s="9">
        <v>93</v>
      </c>
      <c r="C306" s="3" t="n">
        <v>2042.0</v>
      </c>
      <c r="D306" s="3" t="n">
        <v>2197.0</v>
      </c>
      <c r="E306" s="3" t="n">
        <v>2164.0</v>
      </c>
      <c r="F306" s="3" t="n">
        <v>2342.0</v>
      </c>
      <c r="G306" s="3" t="n">
        <v>2259.0</v>
      </c>
      <c r="H306" s="3" t="n">
        <v>2355.0</v>
      </c>
      <c r="I306" s="3" t="n">
        <v>2449.0</v>
      </c>
      <c r="J306" s="3" t="n">
        <v>2530.0</v>
      </c>
      <c r="K306" s="3" t="n">
        <v>2495.0</v>
      </c>
      <c r="L306" s="3" t="n">
        <v>2397.0</v>
      </c>
      <c r="M306" s="3" t="n">
        <v>2450.0</v>
      </c>
      <c r="N306" s="3" t="n">
        <v>2421.0</v>
      </c>
      <c r="O306" s="3" t="n">
        <v>2249.0</v>
      </c>
      <c r="P306" s="3" t="n">
        <v>2075.0</v>
      </c>
      <c r="Q306" s="3" t="n">
        <v>2070.0</v>
      </c>
      <c r="R306" s="3" t="n">
        <v>2195.0</v>
      </c>
      <c r="S306" s="3" t="n">
        <v>2203.0</v>
      </c>
      <c r="T306" s="3" t="n">
        <v>3264.0</v>
      </c>
      <c r="U306" s="3" t="n">
        <v>3848.0</v>
      </c>
      <c r="V306" s="3" t="n">
        <v>4309.0</v>
      </c>
      <c r="W306" s="3" t="n">
        <v>4520.0</v>
      </c>
      <c r="X306" s="3" t="n">
        <v>4761.0</v>
      </c>
      <c r="Y306" s="3" t="n">
        <v>5138.0</v>
      </c>
      <c r="Z306" s="3" t="n">
        <v>5225.0</v>
      </c>
      <c r="AA306" s="3" t="n">
        <v>5189.0</v>
      </c>
      <c r="AB306" s="3" t="n">
        <v>5289.0</v>
      </c>
      <c r="AC306" s="3" t="n">
        <v>5533.0</v>
      </c>
      <c r="AD306" s="3" t="n">
        <v>5462.0</v>
      </c>
      <c r="AE306" s="3" t="n">
        <v>5464.0</v>
      </c>
      <c r="AF306" s="3" t="n">
        <v>5410.0</v>
      </c>
      <c r="AG306" s="3" t="n">
        <v>5208.0</v>
      </c>
      <c r="AH306" s="3" t="n">
        <v>4891.0</v>
      </c>
      <c r="AI306" s="3" t="n">
        <v>4611.0</v>
      </c>
      <c r="AJ306" s="3" t="n">
        <v>4355.0</v>
      </c>
      <c r="AK306" s="3" t="n">
        <v>4293.0</v>
      </c>
      <c r="AL306" s="3" t="n">
        <v>4211.0</v>
      </c>
      <c r="AM306" s="3" t="n">
        <v>4175.0</v>
      </c>
      <c r="AN306" s="3" t="n">
        <v>4088.0</v>
      </c>
      <c r="AO306" s="3" t="n">
        <v>4038.0</v>
      </c>
    </row>
    <row r="307" spans="1:41" x14ac:dyDescent="0.2">
      <c r="A307" s="125"/>
      <c r="B307" s="9">
        <v>94</v>
      </c>
      <c r="C307" s="3" t="n">
        <v>1616.0</v>
      </c>
      <c r="D307" s="3" t="n">
        <v>1646.0</v>
      </c>
      <c r="E307" s="3" t="n">
        <v>1777.0</v>
      </c>
      <c r="F307" s="3" t="n">
        <v>1760.0</v>
      </c>
      <c r="G307" s="3" t="n">
        <v>1911.0</v>
      </c>
      <c r="H307" s="3" t="n">
        <v>1847.0</v>
      </c>
      <c r="I307" s="3" t="n">
        <v>1923.0</v>
      </c>
      <c r="J307" s="3" t="n">
        <v>2006.0</v>
      </c>
      <c r="K307" s="3" t="n">
        <v>2076.0</v>
      </c>
      <c r="L307" s="3" t="n">
        <v>2052.0</v>
      </c>
      <c r="M307" s="3" t="n">
        <v>1977.0</v>
      </c>
      <c r="N307" s="3" t="n">
        <v>2025.0</v>
      </c>
      <c r="O307" s="3" t="n">
        <v>2008.0</v>
      </c>
      <c r="P307" s="3" t="n">
        <v>1866.0</v>
      </c>
      <c r="Q307" s="3" t="n">
        <v>1726.0</v>
      </c>
      <c r="R307" s="3" t="n">
        <v>1727.0</v>
      </c>
      <c r="S307" s="3" t="n">
        <v>1833.0</v>
      </c>
      <c r="T307" s="3" t="n">
        <v>1847.0</v>
      </c>
      <c r="U307" s="3" t="n">
        <v>2736.0</v>
      </c>
      <c r="V307" s="3" t="n">
        <v>3241.0</v>
      </c>
      <c r="W307" s="3" t="n">
        <v>3629.0</v>
      </c>
      <c r="X307" s="3" t="n">
        <v>3811.0</v>
      </c>
      <c r="Y307" s="3" t="n">
        <v>4021.0</v>
      </c>
      <c r="Z307" s="3" t="n">
        <v>4336.0</v>
      </c>
      <c r="AA307" s="3" t="n">
        <v>4422.0</v>
      </c>
      <c r="AB307" s="3" t="n">
        <v>4395.0</v>
      </c>
      <c r="AC307" s="3" t="n">
        <v>4490.0</v>
      </c>
      <c r="AD307" s="3" t="n">
        <v>4701.0</v>
      </c>
      <c r="AE307" s="3" t="n">
        <v>4653.0</v>
      </c>
      <c r="AF307" s="3" t="n">
        <v>4658.0</v>
      </c>
      <c r="AG307" s="3" t="n">
        <v>4612.0</v>
      </c>
      <c r="AH307" s="3" t="n">
        <v>4451.0</v>
      </c>
      <c r="AI307" s="3" t="n">
        <v>4190.0</v>
      </c>
      <c r="AJ307" s="3" t="n">
        <v>3957.0</v>
      </c>
      <c r="AK307" s="3" t="n">
        <v>3744.0</v>
      </c>
      <c r="AL307" s="3" t="n">
        <v>3699.0</v>
      </c>
      <c r="AM307" s="3" t="n">
        <v>3628.0</v>
      </c>
      <c r="AN307" s="3" t="n">
        <v>3603.0</v>
      </c>
      <c r="AO307" s="3" t="n">
        <v>3528.0</v>
      </c>
    </row>
    <row r="308" spans="1:41" x14ac:dyDescent="0.2">
      <c r="A308" s="125"/>
      <c r="B308" s="9">
        <v>95</v>
      </c>
      <c r="C308" s="3" t="n">
        <v>1127.0</v>
      </c>
      <c r="D308" s="3" t="n">
        <v>1278.0</v>
      </c>
      <c r="E308" s="3" t="n">
        <v>1305.0</v>
      </c>
      <c r="F308" s="3" t="n">
        <v>1418.0</v>
      </c>
      <c r="G308" s="3" t="n">
        <v>1411.0</v>
      </c>
      <c r="H308" s="3" t="n">
        <v>1532.0</v>
      </c>
      <c r="I308" s="3" t="n">
        <v>1486.0</v>
      </c>
      <c r="J308" s="3" t="n">
        <v>1550.0</v>
      </c>
      <c r="K308" s="3" t="n">
        <v>1622.0</v>
      </c>
      <c r="L308" s="3" t="n">
        <v>1680.0</v>
      </c>
      <c r="M308" s="3" t="n">
        <v>1665.0</v>
      </c>
      <c r="N308" s="3" t="n">
        <v>1609.0</v>
      </c>
      <c r="O308" s="3" t="n">
        <v>1652.0</v>
      </c>
      <c r="P308" s="3" t="n">
        <v>1641.0</v>
      </c>
      <c r="Q308" s="3" t="n">
        <v>1529.0</v>
      </c>
      <c r="R308" s="3" t="n">
        <v>1419.0</v>
      </c>
      <c r="S308" s="3" t="n">
        <v>1426.0</v>
      </c>
      <c r="T308" s="3" t="n">
        <v>1511.0</v>
      </c>
      <c r="U308" s="3" t="n">
        <v>1527.0</v>
      </c>
      <c r="V308" s="3" t="n">
        <v>2258.0</v>
      </c>
      <c r="W308" s="3" t="n">
        <v>2674.0</v>
      </c>
      <c r="X308" s="3" t="n">
        <v>3000.0</v>
      </c>
      <c r="Y308" s="3" t="n">
        <v>3159.0</v>
      </c>
      <c r="Z308" s="3" t="n">
        <v>3337.0</v>
      </c>
      <c r="AA308" s="3" t="n">
        <v>3602.0</v>
      </c>
      <c r="AB308" s="3" t="n">
        <v>3679.0</v>
      </c>
      <c r="AC308" s="3" t="n">
        <v>3668.0</v>
      </c>
      <c r="AD308" s="3" t="n">
        <v>3751.0</v>
      </c>
      <c r="AE308" s="3" t="n">
        <v>3933.0</v>
      </c>
      <c r="AF308" s="3" t="n">
        <v>3901.0</v>
      </c>
      <c r="AG308" s="3" t="n">
        <v>3903.0</v>
      </c>
      <c r="AH308" s="3" t="n">
        <v>3875.0</v>
      </c>
      <c r="AI308" s="3" t="n">
        <v>3750.0</v>
      </c>
      <c r="AJ308" s="3" t="n">
        <v>3531.0</v>
      </c>
      <c r="AK308" s="3" t="n">
        <v>3345.0</v>
      </c>
      <c r="AL308" s="3" t="n">
        <v>3168.0</v>
      </c>
      <c r="AM308" s="3" t="n">
        <v>3131.0</v>
      </c>
      <c r="AN308" s="3" t="n">
        <v>3077.0</v>
      </c>
      <c r="AO308" s="3" t="n">
        <v>3066.0</v>
      </c>
    </row>
    <row r="309" spans="1:41" x14ac:dyDescent="0.2">
      <c r="A309" s="125"/>
      <c r="B309" s="9">
        <v>96</v>
      </c>
      <c r="C309" s="3" t="n">
        <v>817.0</v>
      </c>
      <c r="D309" s="3" t="n">
        <v>864.0</v>
      </c>
      <c r="E309" s="3" t="n">
        <v>989.0</v>
      </c>
      <c r="F309" s="3" t="n">
        <v>1011.0</v>
      </c>
      <c r="G309" s="3" t="n">
        <v>1105.0</v>
      </c>
      <c r="H309" s="3" t="n">
        <v>1099.0</v>
      </c>
      <c r="I309" s="3" t="n">
        <v>1199.0</v>
      </c>
      <c r="J309" s="3" t="n">
        <v>1166.0</v>
      </c>
      <c r="K309" s="3" t="n">
        <v>1221.0</v>
      </c>
      <c r="L309" s="3" t="n">
        <v>1277.0</v>
      </c>
      <c r="M309" s="3" t="n">
        <v>1324.0</v>
      </c>
      <c r="N309" s="3" t="n">
        <v>1316.0</v>
      </c>
      <c r="O309" s="3" t="n">
        <v>1278.0</v>
      </c>
      <c r="P309" s="3" t="n">
        <v>1315.0</v>
      </c>
      <c r="Q309" s="3" t="n">
        <v>1308.0</v>
      </c>
      <c r="R309" s="3" t="n">
        <v>1222.0</v>
      </c>
      <c r="S309" s="3" t="n">
        <v>1136.0</v>
      </c>
      <c r="T309" s="3" t="n">
        <v>1147.0</v>
      </c>
      <c r="U309" s="3" t="n">
        <v>1217.0</v>
      </c>
      <c r="V309" s="3" t="n">
        <v>1234.0</v>
      </c>
      <c r="W309" s="3" t="n">
        <v>1824.0</v>
      </c>
      <c r="X309" s="3" t="n">
        <v>2164.0</v>
      </c>
      <c r="Y309" s="3" t="n">
        <v>2436.0</v>
      </c>
      <c r="Z309" s="3" t="n">
        <v>2562.0</v>
      </c>
      <c r="AA309" s="3" t="n">
        <v>2715.0</v>
      </c>
      <c r="AB309" s="3" t="n">
        <v>2937.0</v>
      </c>
      <c r="AC309" s="3" t="n">
        <v>3009.0</v>
      </c>
      <c r="AD309" s="3" t="n">
        <v>3001.0</v>
      </c>
      <c r="AE309" s="3" t="n">
        <v>3078.0</v>
      </c>
      <c r="AF309" s="3" t="n">
        <v>3231.0</v>
      </c>
      <c r="AG309" s="3" t="n">
        <v>3211.0</v>
      </c>
      <c r="AH309" s="3" t="n">
        <v>3216.0</v>
      </c>
      <c r="AI309" s="3" t="n">
        <v>3200.0</v>
      </c>
      <c r="AJ309" s="3" t="n">
        <v>3102.0</v>
      </c>
      <c r="AK309" s="3" t="n">
        <v>2926.0</v>
      </c>
      <c r="AL309" s="3" t="n">
        <v>2780.0</v>
      </c>
      <c r="AM309" s="3" t="n">
        <v>2635.0</v>
      </c>
      <c r="AN309" s="3" t="n">
        <v>2606.0</v>
      </c>
      <c r="AO309" s="3" t="n">
        <v>2568.0</v>
      </c>
    </row>
    <row r="310" spans="1:41" x14ac:dyDescent="0.2">
      <c r="A310" s="125"/>
      <c r="B310" s="9">
        <v>97</v>
      </c>
      <c r="C310" s="3" t="n">
        <v>576.0</v>
      </c>
      <c r="D310" s="3" t="n">
        <v>610.0</v>
      </c>
      <c r="E310" s="3" t="n">
        <v>651.0</v>
      </c>
      <c r="F310" s="3" t="n">
        <v>748.0</v>
      </c>
      <c r="G310" s="3" t="n">
        <v>768.0</v>
      </c>
      <c r="H310" s="3" t="n">
        <v>838.0</v>
      </c>
      <c r="I310" s="3" t="n">
        <v>838.0</v>
      </c>
      <c r="J310" s="3" t="n">
        <v>915.0</v>
      </c>
      <c r="K310" s="3" t="n">
        <v>893.0</v>
      </c>
      <c r="L310" s="3" t="n">
        <v>936.0</v>
      </c>
      <c r="M310" s="3" t="n">
        <v>980.0</v>
      </c>
      <c r="N310" s="3" t="n">
        <v>1022.0</v>
      </c>
      <c r="O310" s="3" t="n">
        <v>1015.0</v>
      </c>
      <c r="P310" s="3" t="n">
        <v>992.0</v>
      </c>
      <c r="Q310" s="3" t="n">
        <v>1020.0</v>
      </c>
      <c r="R310" s="3" t="n">
        <v>1021.0</v>
      </c>
      <c r="S310" s="3" t="n">
        <v>957.0</v>
      </c>
      <c r="T310" s="3" t="n">
        <v>891.0</v>
      </c>
      <c r="U310" s="3" t="n">
        <v>905.0</v>
      </c>
      <c r="V310" s="3" t="n">
        <v>960.0</v>
      </c>
      <c r="W310" s="3" t="n">
        <v>973.0</v>
      </c>
      <c r="X310" s="3" t="n">
        <v>1447.0</v>
      </c>
      <c r="Y310" s="3" t="n">
        <v>1718.0</v>
      </c>
      <c r="Z310" s="3" t="n">
        <v>1932.0</v>
      </c>
      <c r="AA310" s="3" t="n">
        <v>2040.0</v>
      </c>
      <c r="AB310" s="3" t="n">
        <v>2163.0</v>
      </c>
      <c r="AC310" s="3" t="n">
        <v>2346.0</v>
      </c>
      <c r="AD310" s="3" t="n">
        <v>2412.0</v>
      </c>
      <c r="AE310" s="3" t="n">
        <v>2410.0</v>
      </c>
      <c r="AF310" s="3" t="n">
        <v>2481.0</v>
      </c>
      <c r="AG310" s="3" t="n">
        <v>2606.0</v>
      </c>
      <c r="AH310" s="3" t="n">
        <v>2595.0</v>
      </c>
      <c r="AI310" s="3" t="n">
        <v>2606.0</v>
      </c>
      <c r="AJ310" s="3" t="n">
        <v>2593.0</v>
      </c>
      <c r="AK310" s="3" t="n">
        <v>2523.0</v>
      </c>
      <c r="AL310" s="3" t="n">
        <v>2381.0</v>
      </c>
      <c r="AM310" s="3" t="n">
        <v>2263.0</v>
      </c>
      <c r="AN310" s="3" t="n">
        <v>2153.0</v>
      </c>
      <c r="AO310" s="3" t="n">
        <v>2131.0</v>
      </c>
    </row>
    <row r="311" spans="1:41" x14ac:dyDescent="0.2">
      <c r="A311" s="125"/>
      <c r="B311" s="9">
        <v>98</v>
      </c>
      <c r="C311" s="3" t="n">
        <v>391.0</v>
      </c>
      <c r="D311" s="3" t="n">
        <v>422.0</v>
      </c>
      <c r="E311" s="3" t="n">
        <v>441.0</v>
      </c>
      <c r="F311" s="3" t="n">
        <v>477.0</v>
      </c>
      <c r="G311" s="3" t="n">
        <v>552.0</v>
      </c>
      <c r="H311" s="3" t="n">
        <v>571.0</v>
      </c>
      <c r="I311" s="3" t="n">
        <v>623.0</v>
      </c>
      <c r="J311" s="3" t="n">
        <v>627.0</v>
      </c>
      <c r="K311" s="3" t="n">
        <v>686.0</v>
      </c>
      <c r="L311" s="3" t="n">
        <v>672.0</v>
      </c>
      <c r="M311" s="3" t="n">
        <v>705.0</v>
      </c>
      <c r="N311" s="3" t="n">
        <v>736.0</v>
      </c>
      <c r="O311" s="3" t="n">
        <v>773.0</v>
      </c>
      <c r="P311" s="3" t="n">
        <v>767.0</v>
      </c>
      <c r="Q311" s="3" t="n">
        <v>753.0</v>
      </c>
      <c r="R311" s="3" t="n">
        <v>780.0</v>
      </c>
      <c r="S311" s="3" t="n">
        <v>781.0</v>
      </c>
      <c r="T311" s="3" t="n">
        <v>735.0</v>
      </c>
      <c r="U311" s="3" t="n">
        <v>689.0</v>
      </c>
      <c r="V311" s="3" t="n">
        <v>696.0</v>
      </c>
      <c r="W311" s="3" t="n">
        <v>744.0</v>
      </c>
      <c r="X311" s="3" t="n">
        <v>754.0</v>
      </c>
      <c r="Y311" s="3" t="n">
        <v>1129.0</v>
      </c>
      <c r="Z311" s="3" t="n">
        <v>1333.0</v>
      </c>
      <c r="AA311" s="3" t="n">
        <v>1502.0</v>
      </c>
      <c r="AB311" s="3" t="n">
        <v>1592.0</v>
      </c>
      <c r="AC311" s="3" t="n">
        <v>1688.0</v>
      </c>
      <c r="AD311" s="3" t="n">
        <v>1841.0</v>
      </c>
      <c r="AE311" s="3" t="n">
        <v>1897.0</v>
      </c>
      <c r="AF311" s="3" t="n">
        <v>1896.0</v>
      </c>
      <c r="AG311" s="3" t="n">
        <v>1955.0</v>
      </c>
      <c r="AH311" s="3" t="n">
        <v>2052.0</v>
      </c>
      <c r="AI311" s="3" t="n">
        <v>2050.0</v>
      </c>
      <c r="AJ311" s="3" t="n">
        <v>2067.0</v>
      </c>
      <c r="AK311" s="3" t="n">
        <v>2060.0</v>
      </c>
      <c r="AL311" s="3" t="n">
        <v>2006.0</v>
      </c>
      <c r="AM311" s="3" t="n">
        <v>1899.0</v>
      </c>
      <c r="AN311" s="3" t="n">
        <v>1807.0</v>
      </c>
      <c r="AO311" s="3" t="n">
        <v>1724.0</v>
      </c>
    </row>
    <row r="312" spans="1:41" x14ac:dyDescent="0.2">
      <c r="A312" s="125"/>
      <c r="B312" s="9">
        <v>99</v>
      </c>
      <c r="C312" s="3" t="n">
        <v>278.0</v>
      </c>
      <c r="D312" s="3" t="n">
        <v>278.0</v>
      </c>
      <c r="E312" s="3" t="n">
        <v>306.0</v>
      </c>
      <c r="F312" s="3" t="n">
        <v>312.0</v>
      </c>
      <c r="G312" s="3" t="n">
        <v>341.0</v>
      </c>
      <c r="H312" s="3" t="n">
        <v>401.0</v>
      </c>
      <c r="I312" s="3" t="n">
        <v>413.0</v>
      </c>
      <c r="J312" s="3" t="n">
        <v>453.0</v>
      </c>
      <c r="K312" s="3" t="n">
        <v>456.0</v>
      </c>
      <c r="L312" s="3" t="n">
        <v>508.0</v>
      </c>
      <c r="M312" s="3" t="n">
        <v>495.0</v>
      </c>
      <c r="N312" s="3" t="n">
        <v>519.0</v>
      </c>
      <c r="O312" s="3" t="n">
        <v>547.0</v>
      </c>
      <c r="P312" s="3" t="n">
        <v>575.0</v>
      </c>
      <c r="Q312" s="3" t="n">
        <v>577.0</v>
      </c>
      <c r="R312" s="3" t="n">
        <v>565.0</v>
      </c>
      <c r="S312" s="3" t="n">
        <v>586.0</v>
      </c>
      <c r="T312" s="3" t="n">
        <v>591.0</v>
      </c>
      <c r="U312" s="3" t="n">
        <v>552.0</v>
      </c>
      <c r="V312" s="3" t="n">
        <v>523.0</v>
      </c>
      <c r="W312" s="3" t="n">
        <v>525.0</v>
      </c>
      <c r="X312" s="3" t="n">
        <v>566.0</v>
      </c>
      <c r="Y312" s="3" t="n">
        <v>575.0</v>
      </c>
      <c r="Z312" s="3" t="n">
        <v>865.0</v>
      </c>
      <c r="AA312" s="3" t="n">
        <v>1023.0</v>
      </c>
      <c r="AB312" s="3" t="n">
        <v>1147.0</v>
      </c>
      <c r="AC312" s="3" t="n">
        <v>1220.0</v>
      </c>
      <c r="AD312" s="3" t="n">
        <v>1297.0</v>
      </c>
      <c r="AE312" s="3" t="n">
        <v>1416.0</v>
      </c>
      <c r="AF312" s="3" t="n">
        <v>1463.0</v>
      </c>
      <c r="AG312" s="3" t="n">
        <v>1465.0</v>
      </c>
      <c r="AH312" s="3" t="n">
        <v>1514.0</v>
      </c>
      <c r="AI312" s="3" t="n">
        <v>1593.0</v>
      </c>
      <c r="AJ312" s="3" t="n">
        <v>1594.0</v>
      </c>
      <c r="AK312" s="3" t="n">
        <v>1611.0</v>
      </c>
      <c r="AL312" s="3" t="n">
        <v>1611.0</v>
      </c>
      <c r="AM312" s="3" t="n">
        <v>1571.0</v>
      </c>
      <c r="AN312" s="3" t="n">
        <v>1489.0</v>
      </c>
      <c r="AO312" s="3" t="n">
        <v>1422.0</v>
      </c>
    </row>
    <row r="313" spans="1:41" x14ac:dyDescent="0.2">
      <c r="A313" s="125"/>
      <c r="B313" s="10" t="s">
        <v>80</v>
      </c>
      <c r="C313" s="4" t="n">
        <v>348.0</v>
      </c>
      <c r="D313" s="4" t="n">
        <v>421.0</v>
      </c>
      <c r="E313" s="4" t="n">
        <v>471.0</v>
      </c>
      <c r="F313" s="4" t="n">
        <v>523.0</v>
      </c>
      <c r="G313" s="4" t="n">
        <v>560.0</v>
      </c>
      <c r="H313" s="4" t="n">
        <v>608.0</v>
      </c>
      <c r="I313" s="4" t="n">
        <v>687.0</v>
      </c>
      <c r="J313" s="4" t="n">
        <v>745.0</v>
      </c>
      <c r="K313" s="4" t="n">
        <v>814.0</v>
      </c>
      <c r="L313" s="4" t="n">
        <v>865.0</v>
      </c>
      <c r="M313" s="4" t="n">
        <v>940.0</v>
      </c>
      <c r="N313" s="4" t="n">
        <v>986.0</v>
      </c>
      <c r="O313" s="4" t="n">
        <v>1037.0</v>
      </c>
      <c r="P313" s="4" t="n">
        <v>1089.0</v>
      </c>
      <c r="Q313" s="4" t="n">
        <v>1145.0</v>
      </c>
      <c r="R313" s="4" t="n">
        <v>1192.0</v>
      </c>
      <c r="S313" s="4" t="n">
        <v>1218.0</v>
      </c>
      <c r="T313" s="4" t="n">
        <v>1253.0</v>
      </c>
      <c r="U313" s="4" t="n">
        <v>1283.0</v>
      </c>
      <c r="V313" s="4" t="n">
        <v>1288.0</v>
      </c>
      <c r="W313" s="4" t="n">
        <v>1274.0</v>
      </c>
      <c r="X313" s="4" t="n">
        <v>1274.0</v>
      </c>
      <c r="Y313" s="4" t="n">
        <v>1305.0</v>
      </c>
      <c r="Z313" s="4" t="n">
        <v>1333.0</v>
      </c>
      <c r="AA313" s="4" t="n">
        <v>1565.0</v>
      </c>
      <c r="AB313" s="4" t="n">
        <v>1852.0</v>
      </c>
      <c r="AC313" s="4" t="n">
        <v>2138.0</v>
      </c>
      <c r="AD313" s="4" t="n">
        <v>2400.0</v>
      </c>
      <c r="AE313" s="4" t="n">
        <v>2651.0</v>
      </c>
      <c r="AF313" s="4" t="n">
        <v>2924.0</v>
      </c>
      <c r="AG313" s="4" t="n">
        <v>3147.0</v>
      </c>
      <c r="AH313" s="4" t="n">
        <v>3314.0</v>
      </c>
      <c r="AI313" s="4" t="n">
        <v>3485.0</v>
      </c>
      <c r="AJ313" s="4" t="n">
        <v>3678.0</v>
      </c>
      <c r="AK313" s="4" t="n">
        <v>3822.0</v>
      </c>
      <c r="AL313" s="4" t="n">
        <v>3950.0</v>
      </c>
      <c r="AM313" s="4" t="n">
        <v>4038.0</v>
      </c>
      <c r="AN313" s="4" t="n">
        <v>4083.0</v>
      </c>
      <c r="AO313" s="4" t="n">
        <v>4066.0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66C2C9"/>
  </sheetPr>
  <dimension ref="A1:AO7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2"/>
      <c r="B1" s="132"/>
      <c r="C1" s="63" t="s">
        <v>54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8" t="s">
        <v>84</v>
      </c>
      <c r="B3" s="128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49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9" t="s">
        <v>47</v>
      </c>
      <c r="B8" s="69" t="s">
        <v>48</v>
      </c>
      <c r="C8" s="70" t="n">
        <v>2888033.0</v>
      </c>
      <c r="D8" s="70" t="n">
        <v>2880848.0</v>
      </c>
      <c r="E8" s="70" t="n">
        <v>2873484.0</v>
      </c>
      <c r="F8" s="70" t="n">
        <v>2865935.0</v>
      </c>
      <c r="G8" s="70" t="n">
        <v>2858163.0</v>
      </c>
      <c r="H8" s="70" t="n">
        <v>2860561.0</v>
      </c>
      <c r="I8" s="70" t="n">
        <v>2866583.0</v>
      </c>
      <c r="J8" s="70" t="n">
        <v>2863774.0</v>
      </c>
      <c r="K8" s="70" t="n">
        <v>2856425.0</v>
      </c>
      <c r="L8" s="70" t="n">
        <v>2846975.0</v>
      </c>
      <c r="M8" s="70" t="n">
        <v>2836007.0</v>
      </c>
      <c r="N8" s="70" t="n">
        <v>2823850.0</v>
      </c>
      <c r="O8" s="70" t="n">
        <v>2810976.0</v>
      </c>
      <c r="P8" s="70" t="n">
        <v>2797518.0</v>
      </c>
      <c r="Q8" s="70" t="n">
        <v>2783549.0</v>
      </c>
      <c r="R8" s="70" t="n">
        <v>2769364.0</v>
      </c>
      <c r="S8" s="70" t="n">
        <v>2754911.0</v>
      </c>
      <c r="T8" s="70" t="n">
        <v>2740233.0</v>
      </c>
      <c r="U8" s="70" t="n">
        <v>2725301.0</v>
      </c>
      <c r="V8" s="70" t="n">
        <v>2710309.0</v>
      </c>
      <c r="W8" s="70" t="n">
        <v>2695225.0</v>
      </c>
      <c r="X8" s="70" t="n">
        <v>2680295.0</v>
      </c>
      <c r="Y8" s="70" t="n">
        <v>2665332.0</v>
      </c>
      <c r="Z8" s="70" t="n">
        <v>2650158.0</v>
      </c>
      <c r="AA8" s="70" t="n">
        <v>2634984.0</v>
      </c>
      <c r="AB8" s="70" t="n">
        <v>2619895.0</v>
      </c>
      <c r="AC8" s="70" t="n">
        <v>2604756.0</v>
      </c>
      <c r="AD8" s="70" t="n">
        <v>2589715.0</v>
      </c>
      <c r="AE8" s="70" t="n">
        <v>2574595.0</v>
      </c>
      <c r="AF8" s="70" t="n">
        <v>2559418.0</v>
      </c>
      <c r="AG8" s="70" t="n">
        <v>2543936.0</v>
      </c>
      <c r="AH8" s="70" t="n">
        <v>2528317.0</v>
      </c>
      <c r="AI8" s="70" t="n">
        <v>2512559.0</v>
      </c>
      <c r="AJ8" s="70" t="n">
        <v>2496550.0</v>
      </c>
      <c r="AK8" s="70" t="n">
        <v>2480285.0</v>
      </c>
      <c r="AL8" s="70" t="n">
        <v>2463812.0</v>
      </c>
      <c r="AM8" s="70" t="n">
        <v>2446982.0</v>
      </c>
      <c r="AN8" s="70" t="n">
        <v>2429807.0</v>
      </c>
      <c r="AO8" s="70" t="n">
        <v>2412517.0</v>
      </c>
    </row>
    <row r="9" spans="1:41" x14ac:dyDescent="0.2">
      <c r="A9" s="130"/>
      <c r="B9" s="52" t="s">
        <v>20</v>
      </c>
      <c r="C9" s="3" t="n">
        <v>127407.0</v>
      </c>
      <c r="D9" s="3" t="n">
        <v>122317.0</v>
      </c>
      <c r="E9" s="3" t="n">
        <v>118039.0</v>
      </c>
      <c r="F9" s="3" t="n">
        <v>115278.0</v>
      </c>
      <c r="G9" s="3" t="n">
        <v>112484.0</v>
      </c>
      <c r="H9" s="3" t="n">
        <v>112708.0</v>
      </c>
      <c r="I9" s="3" t="n">
        <v>112640.0</v>
      </c>
      <c r="J9" s="3" t="n">
        <v>111835.0</v>
      </c>
      <c r="K9" s="3" t="n">
        <v>110595.0</v>
      </c>
      <c r="L9" s="3" t="n">
        <v>109327.0</v>
      </c>
      <c r="M9" s="3" t="n">
        <v>108072.0</v>
      </c>
      <c r="N9" s="3" t="n">
        <v>106903.0</v>
      </c>
      <c r="O9" s="3" t="n">
        <v>105791.0</v>
      </c>
      <c r="P9" s="3" t="n">
        <v>104803.0</v>
      </c>
      <c r="Q9" s="3" t="n">
        <v>103959.0</v>
      </c>
      <c r="R9" s="3" t="n">
        <v>103401.0</v>
      </c>
      <c r="S9" s="3" t="n">
        <v>103106.0</v>
      </c>
      <c r="T9" s="3" t="n">
        <v>103097.0</v>
      </c>
      <c r="U9" s="3" t="n">
        <v>103327.0</v>
      </c>
      <c r="V9" s="3" t="n">
        <v>103761.0</v>
      </c>
      <c r="W9" s="3" t="n">
        <v>104315.0</v>
      </c>
      <c r="X9" s="3" t="n">
        <v>104878.0</v>
      </c>
      <c r="Y9" s="3" t="n">
        <v>105382.0</v>
      </c>
      <c r="Z9" s="3" t="n">
        <v>105766.0</v>
      </c>
      <c r="AA9" s="3" t="n">
        <v>105988.0</v>
      </c>
      <c r="AB9" s="3" t="n">
        <v>105979.0</v>
      </c>
      <c r="AC9" s="3" t="n">
        <v>105745.0</v>
      </c>
      <c r="AD9" s="3" t="n">
        <v>105294.0</v>
      </c>
      <c r="AE9" s="3" t="n">
        <v>104587.0</v>
      </c>
      <c r="AF9" s="3" t="n">
        <v>103657.0</v>
      </c>
      <c r="AG9" s="3" t="n">
        <v>102537.0</v>
      </c>
      <c r="AH9" s="3" t="n">
        <v>101251.0</v>
      </c>
      <c r="AI9" s="3" t="n">
        <v>99801.0</v>
      </c>
      <c r="AJ9" s="3" t="n">
        <v>98268.0</v>
      </c>
      <c r="AK9" s="3" t="n">
        <v>96676.0</v>
      </c>
      <c r="AL9" s="3" t="n">
        <v>95068.0</v>
      </c>
      <c r="AM9" s="3" t="n">
        <v>93503.0</v>
      </c>
      <c r="AN9" s="3" t="n">
        <v>91992.0</v>
      </c>
      <c r="AO9" s="3" t="n">
        <v>90586.0</v>
      </c>
    </row>
    <row r="10" spans="1:41" x14ac:dyDescent="0.2">
      <c r="A10" s="130"/>
      <c r="B10" s="52" t="s">
        <v>21</v>
      </c>
      <c r="C10" s="3" t="n">
        <v>143080.0</v>
      </c>
      <c r="D10" s="3" t="n">
        <v>144183.0</v>
      </c>
      <c r="E10" s="3" t="n">
        <v>142799.0</v>
      </c>
      <c r="F10" s="3" t="n">
        <v>140157.0</v>
      </c>
      <c r="G10" s="3" t="n">
        <v>136459.0</v>
      </c>
      <c r="H10" s="3" t="n">
        <v>131135.0</v>
      </c>
      <c r="I10" s="3" t="n">
        <v>127806.0</v>
      </c>
      <c r="J10" s="3" t="n">
        <v>124162.0</v>
      </c>
      <c r="K10" s="3" t="n">
        <v>121543.0</v>
      </c>
      <c r="L10" s="3" t="n">
        <v>118614.0</v>
      </c>
      <c r="M10" s="3" t="n">
        <v>117647.0</v>
      </c>
      <c r="N10" s="3" t="n">
        <v>116084.0</v>
      </c>
      <c r="O10" s="3" t="n">
        <v>114613.0</v>
      </c>
      <c r="P10" s="3" t="n">
        <v>113150.0</v>
      </c>
      <c r="Q10" s="3" t="n">
        <v>111805.0</v>
      </c>
      <c r="R10" s="3" t="n">
        <v>110549.0</v>
      </c>
      <c r="S10" s="3" t="n">
        <v>109420.0</v>
      </c>
      <c r="T10" s="3" t="n">
        <v>108364.0</v>
      </c>
      <c r="U10" s="3" t="n">
        <v>107421.0</v>
      </c>
      <c r="V10" s="3" t="n">
        <v>106619.0</v>
      </c>
      <c r="W10" s="3" t="n">
        <v>106103.0</v>
      </c>
      <c r="X10" s="3" t="n">
        <v>105863.0</v>
      </c>
      <c r="Y10" s="3" t="n">
        <v>105899.0</v>
      </c>
      <c r="Z10" s="3" t="n">
        <v>106168.0</v>
      </c>
      <c r="AA10" s="3" t="n">
        <v>106636.0</v>
      </c>
      <c r="AB10" s="3" t="n">
        <v>107201.0</v>
      </c>
      <c r="AC10" s="3" t="n">
        <v>107772.0</v>
      </c>
      <c r="AD10" s="3" t="n">
        <v>108272.0</v>
      </c>
      <c r="AE10" s="3" t="n">
        <v>108656.0</v>
      </c>
      <c r="AF10" s="3" t="n">
        <v>108880.0</v>
      </c>
      <c r="AG10" s="3" t="n">
        <v>108882.0</v>
      </c>
      <c r="AH10" s="3" t="n">
        <v>108652.0</v>
      </c>
      <c r="AI10" s="3" t="n">
        <v>108191.0</v>
      </c>
      <c r="AJ10" s="3" t="n">
        <v>107472.0</v>
      </c>
      <c r="AK10" s="3" t="n">
        <v>106536.0</v>
      </c>
      <c r="AL10" s="3" t="n">
        <v>105425.0</v>
      </c>
      <c r="AM10" s="3" t="n">
        <v>104140.0</v>
      </c>
      <c r="AN10" s="3" t="n">
        <v>102706.0</v>
      </c>
      <c r="AO10" s="3" t="n">
        <v>101172.0</v>
      </c>
    </row>
    <row r="11" spans="1:41" x14ac:dyDescent="0.2">
      <c r="A11" s="130"/>
      <c r="B11" s="53" t="s">
        <v>22</v>
      </c>
      <c r="C11" s="3" t="n">
        <v>150447.0</v>
      </c>
      <c r="D11" s="3" t="n">
        <v>147058.0</v>
      </c>
      <c r="E11" s="3" t="n">
        <v>144961.0</v>
      </c>
      <c r="F11" s="3" t="n">
        <v>142571.0</v>
      </c>
      <c r="G11" s="3" t="n">
        <v>142865.0</v>
      </c>
      <c r="H11" s="3" t="n">
        <v>145347.0</v>
      </c>
      <c r="I11" s="3" t="n">
        <v>148496.0</v>
      </c>
      <c r="J11" s="3" t="n">
        <v>148067.0</v>
      </c>
      <c r="K11" s="3" t="n">
        <v>145785.0</v>
      </c>
      <c r="L11" s="3" t="n">
        <v>142161.0</v>
      </c>
      <c r="M11" s="3" t="n">
        <v>135392.0</v>
      </c>
      <c r="N11" s="3" t="n">
        <v>130002.0</v>
      </c>
      <c r="O11" s="3" t="n">
        <v>125397.0</v>
      </c>
      <c r="P11" s="3" t="n">
        <v>122347.0</v>
      </c>
      <c r="Q11" s="3" t="n">
        <v>119195.0</v>
      </c>
      <c r="R11" s="3" t="n">
        <v>118164.0</v>
      </c>
      <c r="S11" s="3" t="n">
        <v>116628.0</v>
      </c>
      <c r="T11" s="3" t="n">
        <v>115189.0</v>
      </c>
      <c r="U11" s="3" t="n">
        <v>113760.0</v>
      </c>
      <c r="V11" s="3" t="n">
        <v>112444.0</v>
      </c>
      <c r="W11" s="3" t="n">
        <v>111221.0</v>
      </c>
      <c r="X11" s="3" t="n">
        <v>110112.0</v>
      </c>
      <c r="Y11" s="3" t="n">
        <v>109080.0</v>
      </c>
      <c r="Z11" s="3" t="n">
        <v>108176.0</v>
      </c>
      <c r="AA11" s="3" t="n">
        <v>107407.0</v>
      </c>
      <c r="AB11" s="3" t="n">
        <v>106921.0</v>
      </c>
      <c r="AC11" s="3" t="n">
        <v>106698.0</v>
      </c>
      <c r="AD11" s="3" t="n">
        <v>106750.0</v>
      </c>
      <c r="AE11" s="3" t="n">
        <v>107026.0</v>
      </c>
      <c r="AF11" s="3" t="n">
        <v>107497.0</v>
      </c>
      <c r="AG11" s="3" t="n">
        <v>108063.0</v>
      </c>
      <c r="AH11" s="3" t="n">
        <v>108624.0</v>
      </c>
      <c r="AI11" s="3" t="n">
        <v>109124.0</v>
      </c>
      <c r="AJ11" s="3" t="n">
        <v>109506.0</v>
      </c>
      <c r="AK11" s="3" t="n">
        <v>109720.0</v>
      </c>
      <c r="AL11" s="3" t="n">
        <v>109699.0</v>
      </c>
      <c r="AM11" s="3" t="n">
        <v>109465.0</v>
      </c>
      <c r="AN11" s="3" t="n">
        <v>109007.0</v>
      </c>
      <c r="AO11" s="3" t="n">
        <v>108298.0</v>
      </c>
    </row>
    <row r="12" spans="1:41" x14ac:dyDescent="0.2">
      <c r="A12" s="130"/>
      <c r="B12" s="52" t="s">
        <v>23</v>
      </c>
      <c r="C12" s="3" t="n">
        <v>127857.0</v>
      </c>
      <c r="D12" s="3" t="n">
        <v>135208.0</v>
      </c>
      <c r="E12" s="3" t="n">
        <v>141848.0</v>
      </c>
      <c r="F12" s="3" t="n">
        <v>147370.0</v>
      </c>
      <c r="G12" s="3" t="n">
        <v>149784.0</v>
      </c>
      <c r="H12" s="3" t="n">
        <v>151482.0</v>
      </c>
      <c r="I12" s="3" t="n">
        <v>149860.0</v>
      </c>
      <c r="J12" s="3" t="n">
        <v>148640.0</v>
      </c>
      <c r="K12" s="3" t="n">
        <v>146622.0</v>
      </c>
      <c r="L12" s="3" t="n">
        <v>147163.0</v>
      </c>
      <c r="M12" s="3" t="n">
        <v>148416.0</v>
      </c>
      <c r="N12" s="3" t="n">
        <v>149693.0</v>
      </c>
      <c r="O12" s="3" t="n">
        <v>148417.0</v>
      </c>
      <c r="P12" s="3" t="n">
        <v>145796.0</v>
      </c>
      <c r="Q12" s="3" t="n">
        <v>141967.0</v>
      </c>
      <c r="R12" s="3" t="n">
        <v>135040.0</v>
      </c>
      <c r="S12" s="3" t="n">
        <v>129600.0</v>
      </c>
      <c r="T12" s="3" t="n">
        <v>124980.0</v>
      </c>
      <c r="U12" s="3" t="n">
        <v>121941.0</v>
      </c>
      <c r="V12" s="3" t="n">
        <v>118808.0</v>
      </c>
      <c r="W12" s="3" t="n">
        <v>117776.0</v>
      </c>
      <c r="X12" s="3" t="n">
        <v>116252.0</v>
      </c>
      <c r="Y12" s="3" t="n">
        <v>114826.0</v>
      </c>
      <c r="Z12" s="3" t="n">
        <v>113406.0</v>
      </c>
      <c r="AA12" s="3" t="n">
        <v>112124.0</v>
      </c>
      <c r="AB12" s="3" t="n">
        <v>110925.0</v>
      </c>
      <c r="AC12" s="3" t="n">
        <v>109840.0</v>
      </c>
      <c r="AD12" s="3" t="n">
        <v>108837.0</v>
      </c>
      <c r="AE12" s="3" t="n">
        <v>107956.0</v>
      </c>
      <c r="AF12" s="3" t="n">
        <v>107212.0</v>
      </c>
      <c r="AG12" s="3" t="n">
        <v>106745.0</v>
      </c>
      <c r="AH12" s="3" t="n">
        <v>106537.0</v>
      </c>
      <c r="AI12" s="3" t="n">
        <v>106593.0</v>
      </c>
      <c r="AJ12" s="3" t="n">
        <v>106872.0</v>
      </c>
      <c r="AK12" s="3" t="n">
        <v>107348.0</v>
      </c>
      <c r="AL12" s="3" t="n">
        <v>107913.0</v>
      </c>
      <c r="AM12" s="3" t="n">
        <v>108472.0</v>
      </c>
      <c r="AN12" s="3" t="n">
        <v>108964.0</v>
      </c>
      <c r="AO12" s="3" t="n">
        <v>109340.0</v>
      </c>
    </row>
    <row r="13" spans="1:41" x14ac:dyDescent="0.2">
      <c r="A13" s="130"/>
      <c r="B13" s="52" t="s">
        <v>24</v>
      </c>
      <c r="C13" s="3" t="n">
        <v>130007.0</v>
      </c>
      <c r="D13" s="3" t="n">
        <v>125148.0</v>
      </c>
      <c r="E13" s="3" t="n">
        <v>122726.0</v>
      </c>
      <c r="F13" s="3" t="n">
        <v>121835.0</v>
      </c>
      <c r="G13" s="3" t="n">
        <v>123141.0</v>
      </c>
      <c r="H13" s="3" t="n">
        <v>128073.0</v>
      </c>
      <c r="I13" s="3" t="n">
        <v>136395.0</v>
      </c>
      <c r="J13" s="3" t="n">
        <v>143668.0</v>
      </c>
      <c r="K13" s="3" t="n">
        <v>149676.0</v>
      </c>
      <c r="L13" s="3" t="n">
        <v>152451.0</v>
      </c>
      <c r="M13" s="3" t="n">
        <v>153314.0</v>
      </c>
      <c r="N13" s="3" t="n">
        <v>150317.0</v>
      </c>
      <c r="O13" s="3" t="n">
        <v>148429.0</v>
      </c>
      <c r="P13" s="3" t="n">
        <v>146156.0</v>
      </c>
      <c r="Q13" s="3" t="n">
        <v>146546.0</v>
      </c>
      <c r="R13" s="3" t="n">
        <v>147714.0</v>
      </c>
      <c r="S13" s="3" t="n">
        <v>148968.0</v>
      </c>
      <c r="T13" s="3" t="n">
        <v>147727.0</v>
      </c>
      <c r="U13" s="3" t="n">
        <v>145136.0</v>
      </c>
      <c r="V13" s="3" t="n">
        <v>141346.0</v>
      </c>
      <c r="W13" s="3" t="n">
        <v>134445.0</v>
      </c>
      <c r="X13" s="3" t="n">
        <v>128994.0</v>
      </c>
      <c r="Y13" s="3" t="n">
        <v>124359.0</v>
      </c>
      <c r="Z13" s="3" t="n">
        <v>121286.0</v>
      </c>
      <c r="AA13" s="3" t="n">
        <v>118144.0</v>
      </c>
      <c r="AB13" s="3" t="n">
        <v>117137.0</v>
      </c>
      <c r="AC13" s="3" t="n">
        <v>115620.0</v>
      </c>
      <c r="AD13" s="3" t="n">
        <v>114214.0</v>
      </c>
      <c r="AE13" s="3" t="n">
        <v>112809.0</v>
      </c>
      <c r="AF13" s="3" t="n">
        <v>111531.0</v>
      </c>
      <c r="AG13" s="3" t="n">
        <v>110340.0</v>
      </c>
      <c r="AH13" s="3" t="n">
        <v>109283.0</v>
      </c>
      <c r="AI13" s="3" t="n">
        <v>108309.0</v>
      </c>
      <c r="AJ13" s="3" t="n">
        <v>107454.0</v>
      </c>
      <c r="AK13" s="3" t="n">
        <v>106719.0</v>
      </c>
      <c r="AL13" s="3" t="n">
        <v>106262.0</v>
      </c>
      <c r="AM13" s="3" t="n">
        <v>106061.0</v>
      </c>
      <c r="AN13" s="3" t="n">
        <v>106117.0</v>
      </c>
      <c r="AO13" s="3" t="n">
        <v>106396.0</v>
      </c>
    </row>
    <row r="14" spans="1:41" x14ac:dyDescent="0.2">
      <c r="A14" s="130"/>
      <c r="B14" s="52" t="s">
        <v>25</v>
      </c>
      <c r="C14" s="3" t="n">
        <v>170509.0</v>
      </c>
      <c r="D14" s="3" t="n">
        <v>162307.0</v>
      </c>
      <c r="E14" s="3" t="n">
        <v>153408.0</v>
      </c>
      <c r="F14" s="3" t="n">
        <v>145972.0</v>
      </c>
      <c r="G14" s="3" t="n">
        <v>139267.0</v>
      </c>
      <c r="H14" s="3" t="n">
        <v>133640.0</v>
      </c>
      <c r="I14" s="3" t="n">
        <v>129804.0</v>
      </c>
      <c r="J14" s="3" t="n">
        <v>127781.0</v>
      </c>
      <c r="K14" s="3" t="n">
        <v>127033.0</v>
      </c>
      <c r="L14" s="3" t="n">
        <v>128380.0</v>
      </c>
      <c r="M14" s="3" t="n">
        <v>132626.0</v>
      </c>
      <c r="N14" s="3" t="n">
        <v>139992.0</v>
      </c>
      <c r="O14" s="3" t="n">
        <v>146845.0</v>
      </c>
      <c r="P14" s="3" t="n">
        <v>152680.0</v>
      </c>
      <c r="Q14" s="3" t="n">
        <v>155402.0</v>
      </c>
      <c r="R14" s="3" t="n">
        <v>156284.0</v>
      </c>
      <c r="S14" s="3" t="n">
        <v>153297.0</v>
      </c>
      <c r="T14" s="3" t="n">
        <v>151361.0</v>
      </c>
      <c r="U14" s="3" t="n">
        <v>149023.0</v>
      </c>
      <c r="V14" s="3" t="n">
        <v>149354.0</v>
      </c>
      <c r="W14" s="3" t="n">
        <v>150461.0</v>
      </c>
      <c r="X14" s="3" t="n">
        <v>151713.0</v>
      </c>
      <c r="Y14" s="3" t="n">
        <v>150512.0</v>
      </c>
      <c r="Z14" s="3" t="n">
        <v>147972.0</v>
      </c>
      <c r="AA14" s="3" t="n">
        <v>144175.0</v>
      </c>
      <c r="AB14" s="3" t="n">
        <v>137151.0</v>
      </c>
      <c r="AC14" s="3" t="n">
        <v>131550.0</v>
      </c>
      <c r="AD14" s="3" t="n">
        <v>126746.0</v>
      </c>
      <c r="AE14" s="3" t="n">
        <v>123573.0</v>
      </c>
      <c r="AF14" s="3" t="n">
        <v>120383.0</v>
      </c>
      <c r="AG14" s="3" t="n">
        <v>119353.0</v>
      </c>
      <c r="AH14" s="3" t="n">
        <v>117816.0</v>
      </c>
      <c r="AI14" s="3" t="n">
        <v>116382.0</v>
      </c>
      <c r="AJ14" s="3" t="n">
        <v>114947.0</v>
      </c>
      <c r="AK14" s="3" t="n">
        <v>113643.0</v>
      </c>
      <c r="AL14" s="3" t="n">
        <v>112447.0</v>
      </c>
      <c r="AM14" s="3" t="n">
        <v>111395.0</v>
      </c>
      <c r="AN14" s="3" t="n">
        <v>110412.0</v>
      </c>
      <c r="AO14" s="3" t="n">
        <v>109549.0</v>
      </c>
    </row>
    <row r="15" spans="1:41" x14ac:dyDescent="0.2">
      <c r="A15" s="130"/>
      <c r="B15" s="52" t="s">
        <v>26</v>
      </c>
      <c r="C15" s="3" t="n">
        <v>208716.0</v>
      </c>
      <c r="D15" s="3" t="n">
        <v>203020.0</v>
      </c>
      <c r="E15" s="3" t="n">
        <v>197223.0</v>
      </c>
      <c r="F15" s="3" t="n">
        <v>189685.0</v>
      </c>
      <c r="G15" s="3" t="n">
        <v>181752.0</v>
      </c>
      <c r="H15" s="3" t="n">
        <v>175756.0</v>
      </c>
      <c r="I15" s="3" t="n">
        <v>168742.0</v>
      </c>
      <c r="J15" s="3" t="n">
        <v>160428.0</v>
      </c>
      <c r="K15" s="3" t="n">
        <v>153268.0</v>
      </c>
      <c r="L15" s="3" t="n">
        <v>146616.0</v>
      </c>
      <c r="M15" s="3" t="n">
        <v>140317.0</v>
      </c>
      <c r="N15" s="3" t="n">
        <v>135532.0</v>
      </c>
      <c r="O15" s="3" t="n">
        <v>133080.0</v>
      </c>
      <c r="P15" s="3" t="n">
        <v>132122.0</v>
      </c>
      <c r="Q15" s="3" t="n">
        <v>133361.0</v>
      </c>
      <c r="R15" s="3" t="n">
        <v>137559.0</v>
      </c>
      <c r="S15" s="3" t="n">
        <v>144930.0</v>
      </c>
      <c r="T15" s="3" t="n">
        <v>151853.0</v>
      </c>
      <c r="U15" s="3" t="n">
        <v>157748.0</v>
      </c>
      <c r="V15" s="3" t="n">
        <v>160504.0</v>
      </c>
      <c r="W15" s="3" t="n">
        <v>161420.0</v>
      </c>
      <c r="X15" s="3" t="n">
        <v>158409.0</v>
      </c>
      <c r="Y15" s="3" t="n">
        <v>156346.0</v>
      </c>
      <c r="Z15" s="3" t="n">
        <v>153909.0</v>
      </c>
      <c r="AA15" s="3" t="n">
        <v>154197.0</v>
      </c>
      <c r="AB15" s="3" t="n">
        <v>155329.0</v>
      </c>
      <c r="AC15" s="3" t="n">
        <v>156617.0</v>
      </c>
      <c r="AD15" s="3" t="n">
        <v>155473.0</v>
      </c>
      <c r="AE15" s="3" t="n">
        <v>152871.0</v>
      </c>
      <c r="AF15" s="3" t="n">
        <v>148923.0</v>
      </c>
      <c r="AG15" s="3" t="n">
        <v>141651.0</v>
      </c>
      <c r="AH15" s="3" t="n">
        <v>135793.0</v>
      </c>
      <c r="AI15" s="3" t="n">
        <v>130777.0</v>
      </c>
      <c r="AJ15" s="3" t="n">
        <v>127466.0</v>
      </c>
      <c r="AK15" s="3" t="n">
        <v>124194.0</v>
      </c>
      <c r="AL15" s="3" t="n">
        <v>123144.0</v>
      </c>
      <c r="AM15" s="3" t="n">
        <v>121573.0</v>
      </c>
      <c r="AN15" s="3" t="n">
        <v>120130.0</v>
      </c>
      <c r="AO15" s="3" t="n">
        <v>118683.0</v>
      </c>
    </row>
    <row r="16" spans="1:41" x14ac:dyDescent="0.2">
      <c r="A16" s="130"/>
      <c r="B16" s="52" t="s">
        <v>27</v>
      </c>
      <c r="C16" s="3" t="n">
        <v>249141.0</v>
      </c>
      <c r="D16" s="3" t="n">
        <v>238811.0</v>
      </c>
      <c r="E16" s="3" t="n">
        <v>229615.0</v>
      </c>
      <c r="F16" s="3" t="n">
        <v>221960.0</v>
      </c>
      <c r="G16" s="3" t="n">
        <v>216992.0</v>
      </c>
      <c r="H16" s="3" t="n">
        <v>211941.0</v>
      </c>
      <c r="I16" s="3" t="n">
        <v>207570.0</v>
      </c>
      <c r="J16" s="3" t="n">
        <v>202209.0</v>
      </c>
      <c r="K16" s="3" t="n">
        <v>194764.0</v>
      </c>
      <c r="L16" s="3" t="n">
        <v>186797.0</v>
      </c>
      <c r="M16" s="3" t="n">
        <v>179888.0</v>
      </c>
      <c r="N16" s="3" t="n">
        <v>171672.0</v>
      </c>
      <c r="O16" s="3" t="n">
        <v>162937.0</v>
      </c>
      <c r="P16" s="3" t="n">
        <v>155712.0</v>
      </c>
      <c r="Q16" s="3" t="n">
        <v>149116.0</v>
      </c>
      <c r="R16" s="3" t="n">
        <v>142903.0</v>
      </c>
      <c r="S16" s="3" t="n">
        <v>138237.0</v>
      </c>
      <c r="T16" s="3" t="n">
        <v>135834.0</v>
      </c>
      <c r="U16" s="3" t="n">
        <v>134913.0</v>
      </c>
      <c r="V16" s="3" t="n">
        <v>136193.0</v>
      </c>
      <c r="W16" s="3" t="n">
        <v>140379.0</v>
      </c>
      <c r="X16" s="3" t="n">
        <v>147727.0</v>
      </c>
      <c r="Y16" s="3" t="n">
        <v>154662.0</v>
      </c>
      <c r="Z16" s="3" t="n">
        <v>160543.0</v>
      </c>
      <c r="AA16" s="3" t="n">
        <v>163265.0</v>
      </c>
      <c r="AB16" s="3" t="n">
        <v>164170.0</v>
      </c>
      <c r="AC16" s="3" t="n">
        <v>161113.0</v>
      </c>
      <c r="AD16" s="3" t="n">
        <v>158996.0</v>
      </c>
      <c r="AE16" s="3" t="n">
        <v>156511.0</v>
      </c>
      <c r="AF16" s="3" t="n">
        <v>156796.0</v>
      </c>
      <c r="AG16" s="3" t="n">
        <v>157958.0</v>
      </c>
      <c r="AH16" s="3" t="n">
        <v>159237.0</v>
      </c>
      <c r="AI16" s="3" t="n">
        <v>158102.0</v>
      </c>
      <c r="AJ16" s="3" t="n">
        <v>155458.0</v>
      </c>
      <c r="AK16" s="3" t="n">
        <v>151404.0</v>
      </c>
      <c r="AL16" s="3" t="n">
        <v>143984.0</v>
      </c>
      <c r="AM16" s="3" t="n">
        <v>138039.0</v>
      </c>
      <c r="AN16" s="3" t="n">
        <v>132916.0</v>
      </c>
      <c r="AO16" s="3" t="n">
        <v>129546.0</v>
      </c>
    </row>
    <row r="17" spans="1:41" x14ac:dyDescent="0.2">
      <c r="A17" s="130"/>
      <c r="B17" s="52" t="s">
        <v>28</v>
      </c>
      <c r="C17" s="3" t="n">
        <v>249748.0</v>
      </c>
      <c r="D17" s="3" t="n">
        <v>255490.0</v>
      </c>
      <c r="E17" s="3" t="n">
        <v>258055.0</v>
      </c>
      <c r="F17" s="3" t="n">
        <v>257640.0</v>
      </c>
      <c r="G17" s="3" t="n">
        <v>254149.0</v>
      </c>
      <c r="H17" s="3" t="n">
        <v>248579.0</v>
      </c>
      <c r="I17" s="3" t="n">
        <v>239562.0</v>
      </c>
      <c r="J17" s="3" t="n">
        <v>231189.0</v>
      </c>
      <c r="K17" s="3" t="n">
        <v>223967.0</v>
      </c>
      <c r="L17" s="3" t="n">
        <v>219285.0</v>
      </c>
      <c r="M17" s="3" t="n">
        <v>213451.0</v>
      </c>
      <c r="N17" s="3" t="n">
        <v>207807.0</v>
      </c>
      <c r="O17" s="3" t="n">
        <v>201866.0</v>
      </c>
      <c r="P17" s="3" t="n">
        <v>194192.0</v>
      </c>
      <c r="Q17" s="3" t="n">
        <v>186151.0</v>
      </c>
      <c r="R17" s="3" t="n">
        <v>179252.0</v>
      </c>
      <c r="S17" s="3" t="n">
        <v>171144.0</v>
      </c>
      <c r="T17" s="3" t="n">
        <v>162578.0</v>
      </c>
      <c r="U17" s="3" t="n">
        <v>155566.0</v>
      </c>
      <c r="V17" s="3" t="n">
        <v>149181.0</v>
      </c>
      <c r="W17" s="3" t="n">
        <v>143158.0</v>
      </c>
      <c r="X17" s="3" t="n">
        <v>138620.0</v>
      </c>
      <c r="Y17" s="3" t="n">
        <v>136299.0</v>
      </c>
      <c r="Z17" s="3" t="n">
        <v>135417.0</v>
      </c>
      <c r="AA17" s="3" t="n">
        <v>136696.0</v>
      </c>
      <c r="AB17" s="3" t="n">
        <v>140848.0</v>
      </c>
      <c r="AC17" s="3" t="n">
        <v>148147.0</v>
      </c>
      <c r="AD17" s="3" t="n">
        <v>154970.0</v>
      </c>
      <c r="AE17" s="3" t="n">
        <v>160795.0</v>
      </c>
      <c r="AF17" s="3" t="n">
        <v>163477.0</v>
      </c>
      <c r="AG17" s="3" t="n">
        <v>164363.0</v>
      </c>
      <c r="AH17" s="3" t="n">
        <v>161344.0</v>
      </c>
      <c r="AI17" s="3" t="n">
        <v>159211.0</v>
      </c>
      <c r="AJ17" s="3" t="n">
        <v>156730.0</v>
      </c>
      <c r="AK17" s="3" t="n">
        <v>157007.0</v>
      </c>
      <c r="AL17" s="3" t="n">
        <v>158172.0</v>
      </c>
      <c r="AM17" s="3" t="n">
        <v>159443.0</v>
      </c>
      <c r="AN17" s="3" t="n">
        <v>158313.0</v>
      </c>
      <c r="AO17" s="3" t="n">
        <v>155681.0</v>
      </c>
    </row>
    <row r="18" spans="1:41" x14ac:dyDescent="0.2">
      <c r="A18" s="130"/>
      <c r="B18" s="52" t="s">
        <v>29</v>
      </c>
      <c r="C18" s="3" t="n">
        <v>222649.0</v>
      </c>
      <c r="D18" s="3" t="n">
        <v>229228.0</v>
      </c>
      <c r="E18" s="3" t="n">
        <v>235058.0</v>
      </c>
      <c r="F18" s="3" t="n">
        <v>239774.0</v>
      </c>
      <c r="G18" s="3" t="n">
        <v>242608.0</v>
      </c>
      <c r="H18" s="3" t="n">
        <v>246803.0</v>
      </c>
      <c r="I18" s="3" t="n">
        <v>253330.0</v>
      </c>
      <c r="J18" s="3" t="n">
        <v>256327.0</v>
      </c>
      <c r="K18" s="3" t="n">
        <v>256245.0</v>
      </c>
      <c r="L18" s="3" t="n">
        <v>253044.0</v>
      </c>
      <c r="M18" s="3" t="n">
        <v>247013.0</v>
      </c>
      <c r="N18" s="3" t="n">
        <v>237301.0</v>
      </c>
      <c r="O18" s="3" t="n">
        <v>228674.0</v>
      </c>
      <c r="P18" s="3" t="n">
        <v>221402.0</v>
      </c>
      <c r="Q18" s="3" t="n">
        <v>216687.0</v>
      </c>
      <c r="R18" s="3" t="n">
        <v>210902.0</v>
      </c>
      <c r="S18" s="3" t="n">
        <v>205328.0</v>
      </c>
      <c r="T18" s="3" t="n">
        <v>199464.0</v>
      </c>
      <c r="U18" s="3" t="n">
        <v>191880.0</v>
      </c>
      <c r="V18" s="3" t="n">
        <v>183921.0</v>
      </c>
      <c r="W18" s="3" t="n">
        <v>177124.0</v>
      </c>
      <c r="X18" s="3" t="n">
        <v>169212.0</v>
      </c>
      <c r="Y18" s="3" t="n">
        <v>160891.0</v>
      </c>
      <c r="Z18" s="3" t="n">
        <v>154109.0</v>
      </c>
      <c r="AA18" s="3" t="n">
        <v>147918.0</v>
      </c>
      <c r="AB18" s="3" t="n">
        <v>142057.0</v>
      </c>
      <c r="AC18" s="3" t="n">
        <v>137650.0</v>
      </c>
      <c r="AD18" s="3" t="n">
        <v>135429.0</v>
      </c>
      <c r="AE18" s="3" t="n">
        <v>134594.0</v>
      </c>
      <c r="AF18" s="3" t="n">
        <v>135869.0</v>
      </c>
      <c r="AG18" s="3" t="n">
        <v>139945.0</v>
      </c>
      <c r="AH18" s="3" t="n">
        <v>147149.0</v>
      </c>
      <c r="AI18" s="3" t="n">
        <v>153893.0</v>
      </c>
      <c r="AJ18" s="3" t="n">
        <v>159635.0</v>
      </c>
      <c r="AK18" s="3" t="n">
        <v>162268.0</v>
      </c>
      <c r="AL18" s="3" t="n">
        <v>163155.0</v>
      </c>
      <c r="AM18" s="3" t="n">
        <v>160185.0</v>
      </c>
      <c r="AN18" s="3" t="n">
        <v>158097.0</v>
      </c>
      <c r="AO18" s="3" t="n">
        <v>155661.0</v>
      </c>
    </row>
    <row r="19" spans="1:41" x14ac:dyDescent="0.2">
      <c r="A19" s="130"/>
      <c r="B19" s="52" t="s">
        <v>30</v>
      </c>
      <c r="C19" s="3" t="n">
        <v>172654.0</v>
      </c>
      <c r="D19" s="3" t="n">
        <v>181109.0</v>
      </c>
      <c r="E19" s="3" t="n">
        <v>190272.0</v>
      </c>
      <c r="F19" s="3" t="n">
        <v>200413.0</v>
      </c>
      <c r="G19" s="3" t="n">
        <v>209855.0</v>
      </c>
      <c r="H19" s="3" t="n">
        <v>218263.0</v>
      </c>
      <c r="I19" s="3" t="n">
        <v>225293.0</v>
      </c>
      <c r="J19" s="3" t="n">
        <v>231342.0</v>
      </c>
      <c r="K19" s="3" t="n">
        <v>236149.0</v>
      </c>
      <c r="L19" s="3" t="n">
        <v>239052.0</v>
      </c>
      <c r="M19" s="3" t="n">
        <v>242757.0</v>
      </c>
      <c r="N19" s="3" t="n">
        <v>248463.0</v>
      </c>
      <c r="O19" s="3" t="n">
        <v>251092.0</v>
      </c>
      <c r="P19" s="3" t="n">
        <v>250913.0</v>
      </c>
      <c r="Q19" s="3" t="n">
        <v>247782.0</v>
      </c>
      <c r="R19" s="3" t="n">
        <v>241907.0</v>
      </c>
      <c r="S19" s="3" t="n">
        <v>232466.0</v>
      </c>
      <c r="T19" s="3" t="n">
        <v>224093.0</v>
      </c>
      <c r="U19" s="3" t="n">
        <v>217012.0</v>
      </c>
      <c r="V19" s="3" t="n">
        <v>212439.0</v>
      </c>
      <c r="W19" s="3" t="n">
        <v>206815.0</v>
      </c>
      <c r="X19" s="3" t="n">
        <v>201362.0</v>
      </c>
      <c r="Y19" s="3" t="n">
        <v>195609.0</v>
      </c>
      <c r="Z19" s="3" t="n">
        <v>188187.0</v>
      </c>
      <c r="AA19" s="3" t="n">
        <v>180408.0</v>
      </c>
      <c r="AB19" s="3" t="n">
        <v>173778.0</v>
      </c>
      <c r="AC19" s="3" t="n">
        <v>166070.0</v>
      </c>
      <c r="AD19" s="3" t="n">
        <v>157992.0</v>
      </c>
      <c r="AE19" s="3" t="n">
        <v>151440.0</v>
      </c>
      <c r="AF19" s="3" t="n">
        <v>145467.0</v>
      </c>
      <c r="AG19" s="3" t="n">
        <v>139819.0</v>
      </c>
      <c r="AH19" s="3" t="n">
        <v>135551.0</v>
      </c>
      <c r="AI19" s="3" t="n">
        <v>133431.0</v>
      </c>
      <c r="AJ19" s="3" t="n">
        <v>132656.0</v>
      </c>
      <c r="AK19" s="3" t="n">
        <v>133959.0</v>
      </c>
      <c r="AL19" s="3" t="n">
        <v>137969.0</v>
      </c>
      <c r="AM19" s="3" t="n">
        <v>145059.0</v>
      </c>
      <c r="AN19" s="3" t="n">
        <v>151688.0</v>
      </c>
      <c r="AO19" s="3" t="n">
        <v>157322.0</v>
      </c>
    </row>
    <row r="20" spans="1:41" x14ac:dyDescent="0.2">
      <c r="A20" s="130"/>
      <c r="B20" s="52" t="s">
        <v>31</v>
      </c>
      <c r="C20" s="3" t="n">
        <v>158285.0</v>
      </c>
      <c r="D20" s="3" t="n">
        <v>155277.0</v>
      </c>
      <c r="E20" s="3" t="n">
        <v>154667.0</v>
      </c>
      <c r="F20" s="3" t="n">
        <v>156156.0</v>
      </c>
      <c r="G20" s="3" t="n">
        <v>160429.0</v>
      </c>
      <c r="H20" s="3" t="n">
        <v>167412.0</v>
      </c>
      <c r="I20" s="3" t="n">
        <v>176033.0</v>
      </c>
      <c r="J20" s="3" t="n">
        <v>185131.0</v>
      </c>
      <c r="K20" s="3" t="n">
        <v>195081.0</v>
      </c>
      <c r="L20" s="3" t="n">
        <v>204343.0</v>
      </c>
      <c r="M20" s="3" t="n">
        <v>212195.0</v>
      </c>
      <c r="N20" s="3" t="n">
        <v>218567.0</v>
      </c>
      <c r="O20" s="3" t="n">
        <v>224219.0</v>
      </c>
      <c r="P20" s="3" t="n">
        <v>228798.0</v>
      </c>
      <c r="Q20" s="3" t="n">
        <v>231582.0</v>
      </c>
      <c r="R20" s="3" t="n">
        <v>235212.0</v>
      </c>
      <c r="S20" s="3" t="n">
        <v>240798.0</v>
      </c>
      <c r="T20" s="3" t="n">
        <v>243401.0</v>
      </c>
      <c r="U20" s="3" t="n">
        <v>243306.0</v>
      </c>
      <c r="V20" s="3" t="n">
        <v>240332.0</v>
      </c>
      <c r="W20" s="3" t="n">
        <v>234684.0</v>
      </c>
      <c r="X20" s="3" t="n">
        <v>225606.0</v>
      </c>
      <c r="Y20" s="3" t="n">
        <v>217584.0</v>
      </c>
      <c r="Z20" s="3" t="n">
        <v>210775.0</v>
      </c>
      <c r="AA20" s="3" t="n">
        <v>206398.0</v>
      </c>
      <c r="AB20" s="3" t="n">
        <v>200970.0</v>
      </c>
      <c r="AC20" s="3" t="n">
        <v>195721.0</v>
      </c>
      <c r="AD20" s="3" t="n">
        <v>190181.0</v>
      </c>
      <c r="AE20" s="3" t="n">
        <v>183026.0</v>
      </c>
      <c r="AF20" s="3" t="n">
        <v>175512.0</v>
      </c>
      <c r="AG20" s="3" t="n">
        <v>169121.0</v>
      </c>
      <c r="AH20" s="3" t="n">
        <v>161712.0</v>
      </c>
      <c r="AI20" s="3" t="n">
        <v>153944.0</v>
      </c>
      <c r="AJ20" s="3" t="n">
        <v>147671.0</v>
      </c>
      <c r="AK20" s="3" t="n">
        <v>141950.0</v>
      </c>
      <c r="AL20" s="3" t="n">
        <v>136535.0</v>
      </c>
      <c r="AM20" s="3" t="n">
        <v>132458.0</v>
      </c>
      <c r="AN20" s="3" t="n">
        <v>130463.0</v>
      </c>
      <c r="AO20" s="3" t="n">
        <v>129747.0</v>
      </c>
    </row>
    <row r="21" spans="1:41" x14ac:dyDescent="0.2">
      <c r="A21" s="130"/>
      <c r="B21" s="52" t="s">
        <v>32</v>
      </c>
      <c r="C21" s="3" t="n">
        <v>189218.0</v>
      </c>
      <c r="D21" s="3" t="n">
        <v>177720.0</v>
      </c>
      <c r="E21" s="3" t="n">
        <v>167844.0</v>
      </c>
      <c r="F21" s="3" t="n">
        <v>160399.0</v>
      </c>
      <c r="G21" s="3" t="n">
        <v>154459.0</v>
      </c>
      <c r="H21" s="3" t="n">
        <v>150801.0</v>
      </c>
      <c r="I21" s="3" t="n">
        <v>148495.0</v>
      </c>
      <c r="J21" s="3" t="n">
        <v>148222.0</v>
      </c>
      <c r="K21" s="3" t="n">
        <v>149811.0</v>
      </c>
      <c r="L21" s="3" t="n">
        <v>153942.0</v>
      </c>
      <c r="M21" s="3" t="n">
        <v>160365.0</v>
      </c>
      <c r="N21" s="3" t="n">
        <v>168204.0</v>
      </c>
      <c r="O21" s="3" t="n">
        <v>176743.0</v>
      </c>
      <c r="P21" s="3" t="n">
        <v>186209.0</v>
      </c>
      <c r="Q21" s="3" t="n">
        <v>195056.0</v>
      </c>
      <c r="R21" s="3" t="n">
        <v>202565.0</v>
      </c>
      <c r="S21" s="3" t="n">
        <v>208710.0</v>
      </c>
      <c r="T21" s="3" t="n">
        <v>214160.0</v>
      </c>
      <c r="U21" s="3" t="n">
        <v>218609.0</v>
      </c>
      <c r="V21" s="3" t="n">
        <v>221349.0</v>
      </c>
      <c r="W21" s="3" t="n">
        <v>224886.0</v>
      </c>
      <c r="X21" s="3" t="n">
        <v>230313.0</v>
      </c>
      <c r="Y21" s="3" t="n">
        <v>232884.0</v>
      </c>
      <c r="Z21" s="3" t="n">
        <v>232868.0</v>
      </c>
      <c r="AA21" s="3" t="n">
        <v>230052.0</v>
      </c>
      <c r="AB21" s="3" t="n">
        <v>224758.0</v>
      </c>
      <c r="AC21" s="3" t="n">
        <v>216187.0</v>
      </c>
      <c r="AD21" s="3" t="n">
        <v>208640.0</v>
      </c>
      <c r="AE21" s="3" t="n">
        <v>202278.0</v>
      </c>
      <c r="AF21" s="3" t="n">
        <v>198184.0</v>
      </c>
      <c r="AG21" s="3" t="n">
        <v>193060.0</v>
      </c>
      <c r="AH21" s="3" t="n">
        <v>188085.0</v>
      </c>
      <c r="AI21" s="3" t="n">
        <v>182808.0</v>
      </c>
      <c r="AJ21" s="3" t="n">
        <v>175971.0</v>
      </c>
      <c r="AK21" s="3" t="n">
        <v>168828.0</v>
      </c>
      <c r="AL21" s="3" t="n">
        <v>162748.0</v>
      </c>
      <c r="AM21" s="3" t="n">
        <v>155691.0</v>
      </c>
      <c r="AN21" s="3" t="n">
        <v>148305.0</v>
      </c>
      <c r="AO21" s="3" t="n">
        <v>142391.0</v>
      </c>
    </row>
    <row r="22" spans="1:41" x14ac:dyDescent="0.2">
      <c r="A22" s="130"/>
      <c r="B22" s="53" t="s">
        <v>33</v>
      </c>
      <c r="C22" s="3" t="n">
        <v>205650.0</v>
      </c>
      <c r="D22" s="3" t="n">
        <v>204690.0</v>
      </c>
      <c r="E22" s="3" t="n">
        <v>201517.0</v>
      </c>
      <c r="F22" s="3" t="n">
        <v>193990.0</v>
      </c>
      <c r="G22" s="3" t="n">
        <v>185504.0</v>
      </c>
      <c r="H22" s="3" t="n">
        <v>175159.0</v>
      </c>
      <c r="I22" s="3" t="n">
        <v>165162.0</v>
      </c>
      <c r="J22" s="3" t="n">
        <v>156424.0</v>
      </c>
      <c r="K22" s="3" t="n">
        <v>149827.0</v>
      </c>
      <c r="L22" s="3" t="n">
        <v>144583.0</v>
      </c>
      <c r="M22" s="3" t="n">
        <v>141086.0</v>
      </c>
      <c r="N22" s="3" t="n">
        <v>138689.0</v>
      </c>
      <c r="O22" s="3" t="n">
        <v>138411.0</v>
      </c>
      <c r="P22" s="3" t="n">
        <v>139942.0</v>
      </c>
      <c r="Q22" s="3" t="n">
        <v>143866.0</v>
      </c>
      <c r="R22" s="3" t="n">
        <v>149924.0</v>
      </c>
      <c r="S22" s="3" t="n">
        <v>157297.0</v>
      </c>
      <c r="T22" s="3" t="n">
        <v>165324.0</v>
      </c>
      <c r="U22" s="3" t="n">
        <v>174226.0</v>
      </c>
      <c r="V22" s="3" t="n">
        <v>182569.0</v>
      </c>
      <c r="W22" s="3" t="n">
        <v>189668.0</v>
      </c>
      <c r="X22" s="3" t="n">
        <v>195511.0</v>
      </c>
      <c r="Y22" s="3" t="n">
        <v>200697.0</v>
      </c>
      <c r="Z22" s="3" t="n">
        <v>204971.0</v>
      </c>
      <c r="AA22" s="3" t="n">
        <v>207653.0</v>
      </c>
      <c r="AB22" s="3" t="n">
        <v>211092.0</v>
      </c>
      <c r="AC22" s="3" t="n">
        <v>216273.0</v>
      </c>
      <c r="AD22" s="3" t="n">
        <v>218827.0</v>
      </c>
      <c r="AE22" s="3" t="n">
        <v>218930.0</v>
      </c>
      <c r="AF22" s="3" t="n">
        <v>216421.0</v>
      </c>
      <c r="AG22" s="3" t="n">
        <v>211538.0</v>
      </c>
      <c r="AH22" s="3" t="n">
        <v>203613.0</v>
      </c>
      <c r="AI22" s="3" t="n">
        <v>196653.0</v>
      </c>
      <c r="AJ22" s="3" t="n">
        <v>190787.0</v>
      </c>
      <c r="AK22" s="3" t="n">
        <v>187018.0</v>
      </c>
      <c r="AL22" s="3" t="n">
        <v>182296.0</v>
      </c>
      <c r="AM22" s="3" t="n">
        <v>177688.0</v>
      </c>
      <c r="AN22" s="3" t="n">
        <v>172782.0</v>
      </c>
      <c r="AO22" s="3" t="n">
        <v>166408.0</v>
      </c>
    </row>
    <row r="23" spans="1:41" x14ac:dyDescent="0.2">
      <c r="A23" s="130"/>
      <c r="B23" s="52" t="s">
        <v>34</v>
      </c>
      <c r="C23" s="3" t="n">
        <v>173679.0</v>
      </c>
      <c r="D23" s="3" t="n">
        <v>177588.0</v>
      </c>
      <c r="E23" s="3" t="n">
        <v>180459.0</v>
      </c>
      <c r="F23" s="3" t="n">
        <v>183665.0</v>
      </c>
      <c r="G23" s="3" t="n">
        <v>184080.0</v>
      </c>
      <c r="H23" s="3" t="n">
        <v>183795.0</v>
      </c>
      <c r="I23" s="3" t="n">
        <v>183386.0</v>
      </c>
      <c r="J23" s="3" t="n">
        <v>180859.0</v>
      </c>
      <c r="K23" s="3" t="n">
        <v>174418.0</v>
      </c>
      <c r="L23" s="3" t="n">
        <v>167054.0</v>
      </c>
      <c r="M23" s="3" t="n">
        <v>157839.0</v>
      </c>
      <c r="N23" s="3" t="n">
        <v>148886.0</v>
      </c>
      <c r="O23" s="3" t="n">
        <v>141160.0</v>
      </c>
      <c r="P23" s="3" t="n">
        <v>135363.0</v>
      </c>
      <c r="Q23" s="3" t="n">
        <v>130800.0</v>
      </c>
      <c r="R23" s="3" t="n">
        <v>127814.0</v>
      </c>
      <c r="S23" s="3" t="n">
        <v>125825.0</v>
      </c>
      <c r="T23" s="3" t="n">
        <v>125741.0</v>
      </c>
      <c r="U23" s="3" t="n">
        <v>127266.0</v>
      </c>
      <c r="V23" s="3" t="n">
        <v>130962.0</v>
      </c>
      <c r="W23" s="3" t="n">
        <v>136547.0</v>
      </c>
      <c r="X23" s="3" t="n">
        <v>143349.0</v>
      </c>
      <c r="Y23" s="3" t="n">
        <v>150755.0</v>
      </c>
      <c r="Z23" s="3" t="n">
        <v>158947.0</v>
      </c>
      <c r="AA23" s="3" t="n">
        <v>166629.0</v>
      </c>
      <c r="AB23" s="3" t="n">
        <v>173171.0</v>
      </c>
      <c r="AC23" s="3" t="n">
        <v>178619.0</v>
      </c>
      <c r="AD23" s="3" t="n">
        <v>183466.0</v>
      </c>
      <c r="AE23" s="3" t="n">
        <v>187529.0</v>
      </c>
      <c r="AF23" s="3" t="n">
        <v>190146.0</v>
      </c>
      <c r="AG23" s="3" t="n">
        <v>193450.0</v>
      </c>
      <c r="AH23" s="3" t="n">
        <v>198348.0</v>
      </c>
      <c r="AI23" s="3" t="n">
        <v>200821.0</v>
      </c>
      <c r="AJ23" s="3" t="n">
        <v>201062.0</v>
      </c>
      <c r="AK23" s="3" t="n">
        <v>198842.0</v>
      </c>
      <c r="AL23" s="3" t="n">
        <v>194474.0</v>
      </c>
      <c r="AM23" s="3" t="n">
        <v>187340.0</v>
      </c>
      <c r="AN23" s="3" t="n">
        <v>181077.0</v>
      </c>
      <c r="AO23" s="3" t="n">
        <v>175859.0</v>
      </c>
    </row>
    <row r="24" spans="1:41" x14ac:dyDescent="0.2">
      <c r="A24" s="130"/>
      <c r="B24" s="52" t="s">
        <v>35</v>
      </c>
      <c r="C24" s="3" t="n">
        <v>88210.0</v>
      </c>
      <c r="D24" s="3" t="n">
        <v>102384.0</v>
      </c>
      <c r="E24" s="3" t="n">
        <v>116364.0</v>
      </c>
      <c r="F24" s="3" t="n">
        <v>131029.0</v>
      </c>
      <c r="G24" s="3" t="n">
        <v>140787.0</v>
      </c>
      <c r="H24" s="3" t="n">
        <v>147437.0</v>
      </c>
      <c r="I24" s="3" t="n">
        <v>151154.0</v>
      </c>
      <c r="J24" s="3" t="n">
        <v>153886.0</v>
      </c>
      <c r="K24" s="3" t="n">
        <v>156902.0</v>
      </c>
      <c r="L24" s="3" t="n">
        <v>157554.0</v>
      </c>
      <c r="M24" s="3" t="n">
        <v>157507.0</v>
      </c>
      <c r="N24" s="3" t="n">
        <v>157247.0</v>
      </c>
      <c r="O24" s="3" t="n">
        <v>155214.0</v>
      </c>
      <c r="P24" s="3" t="n">
        <v>149855.0</v>
      </c>
      <c r="Q24" s="3" t="n">
        <v>143679.0</v>
      </c>
      <c r="R24" s="3" t="n">
        <v>135982.0</v>
      </c>
      <c r="S24" s="3" t="n">
        <v>128546.0</v>
      </c>
      <c r="T24" s="3" t="n">
        <v>122144.0</v>
      </c>
      <c r="U24" s="3" t="n">
        <v>117383.0</v>
      </c>
      <c r="V24" s="3" t="n">
        <v>113638.0</v>
      </c>
      <c r="W24" s="3" t="n">
        <v>111172.0</v>
      </c>
      <c r="X24" s="3" t="n">
        <v>109628.0</v>
      </c>
      <c r="Y24" s="3" t="n">
        <v>109747.0</v>
      </c>
      <c r="Z24" s="3" t="n">
        <v>111251.0</v>
      </c>
      <c r="AA24" s="3" t="n">
        <v>114639.0</v>
      </c>
      <c r="AB24" s="3" t="n">
        <v>119660.0</v>
      </c>
      <c r="AC24" s="3" t="n">
        <v>125691.0</v>
      </c>
      <c r="AD24" s="3" t="n">
        <v>132270.0</v>
      </c>
      <c r="AE24" s="3" t="n">
        <v>139602.0</v>
      </c>
      <c r="AF24" s="3" t="n">
        <v>146472.0</v>
      </c>
      <c r="AG24" s="3" t="n">
        <v>152340.0</v>
      </c>
      <c r="AH24" s="3" t="n">
        <v>157262.0</v>
      </c>
      <c r="AI24" s="3" t="n">
        <v>161673.0</v>
      </c>
      <c r="AJ24" s="3" t="n">
        <v>165409.0</v>
      </c>
      <c r="AK24" s="3" t="n">
        <v>167901.0</v>
      </c>
      <c r="AL24" s="3" t="n">
        <v>170972.0</v>
      </c>
      <c r="AM24" s="3" t="n">
        <v>175481.0</v>
      </c>
      <c r="AN24" s="3" t="n">
        <v>177839.0</v>
      </c>
      <c r="AO24" s="3" t="n">
        <v>178217.0</v>
      </c>
    </row>
    <row r="25" spans="1:41" x14ac:dyDescent="0.2">
      <c r="A25" s="130"/>
      <c r="B25" s="52" t="s">
        <v>36</v>
      </c>
      <c r="C25" s="3" t="n">
        <v>58165.0</v>
      </c>
      <c r="D25" s="3" t="n">
        <v>56102.0</v>
      </c>
      <c r="E25" s="3" t="n">
        <v>54838.0</v>
      </c>
      <c r="F25" s="3" t="n">
        <v>53706.0</v>
      </c>
      <c r="G25" s="3" t="n">
        <v>59477.0</v>
      </c>
      <c r="H25" s="3" t="n">
        <v>69035.0</v>
      </c>
      <c r="I25" s="3" t="n">
        <v>80407.0</v>
      </c>
      <c r="J25" s="3" t="n">
        <v>91408.0</v>
      </c>
      <c r="K25" s="3" t="n">
        <v>102708.0</v>
      </c>
      <c r="L25" s="3" t="n">
        <v>110428.0</v>
      </c>
      <c r="M25" s="3" t="n">
        <v>115782.0</v>
      </c>
      <c r="N25" s="3" t="n">
        <v>118822.0</v>
      </c>
      <c r="O25" s="3" t="n">
        <v>121131.0</v>
      </c>
      <c r="P25" s="3" t="n">
        <v>123741.0</v>
      </c>
      <c r="Q25" s="3" t="n">
        <v>124507.0</v>
      </c>
      <c r="R25" s="3" t="n">
        <v>124757.0</v>
      </c>
      <c r="S25" s="3" t="n">
        <v>124792.0</v>
      </c>
      <c r="T25" s="3" t="n">
        <v>123346.0</v>
      </c>
      <c r="U25" s="3" t="n">
        <v>119276.0</v>
      </c>
      <c r="V25" s="3" t="n">
        <v>114530.0</v>
      </c>
      <c r="W25" s="3" t="n">
        <v>108570.0</v>
      </c>
      <c r="X25" s="3" t="n">
        <v>102921.0</v>
      </c>
      <c r="Y25" s="3" t="n">
        <v>98085.0</v>
      </c>
      <c r="Z25" s="3" t="n">
        <v>94514.0</v>
      </c>
      <c r="AA25" s="3" t="n">
        <v>91732.0</v>
      </c>
      <c r="AB25" s="3" t="n">
        <v>89931.0</v>
      </c>
      <c r="AC25" s="3" t="n">
        <v>88877.0</v>
      </c>
      <c r="AD25" s="3" t="n">
        <v>89210.0</v>
      </c>
      <c r="AE25" s="3" t="n">
        <v>90662.0</v>
      </c>
      <c r="AF25" s="3" t="n">
        <v>93645.0</v>
      </c>
      <c r="AG25" s="3" t="n">
        <v>97869.0</v>
      </c>
      <c r="AH25" s="3" t="n">
        <v>102947.0</v>
      </c>
      <c r="AI25" s="3" t="n">
        <v>108507.0</v>
      </c>
      <c r="AJ25" s="3" t="n">
        <v>114693.0</v>
      </c>
      <c r="AK25" s="3" t="n">
        <v>120448.0</v>
      </c>
      <c r="AL25" s="3" t="n">
        <v>125430.0</v>
      </c>
      <c r="AM25" s="3" t="n">
        <v>129617.0</v>
      </c>
      <c r="AN25" s="3" t="n">
        <v>133384.0</v>
      </c>
      <c r="AO25" s="3" t="n">
        <v>136705.0</v>
      </c>
    </row>
    <row r="26" spans="1:41" x14ac:dyDescent="0.2">
      <c r="A26" s="130"/>
      <c r="B26" s="52" t="s">
        <v>37</v>
      </c>
      <c r="C26" s="3" t="n">
        <v>40648.0</v>
      </c>
      <c r="D26" s="3" t="n">
        <v>40463.0</v>
      </c>
      <c r="E26" s="3" t="n">
        <v>40237.0</v>
      </c>
      <c r="F26" s="3" t="n">
        <v>39870.0</v>
      </c>
      <c r="G26" s="3" t="n">
        <v>38724.0</v>
      </c>
      <c r="H26" s="3" t="n">
        <v>37207.0</v>
      </c>
      <c r="I26" s="3" t="n">
        <v>36102.0</v>
      </c>
      <c r="J26" s="3" t="n">
        <v>35529.0</v>
      </c>
      <c r="K26" s="3" t="n">
        <v>35068.0</v>
      </c>
      <c r="L26" s="3" t="n">
        <v>39329.0</v>
      </c>
      <c r="M26" s="3" t="n">
        <v>45937.0</v>
      </c>
      <c r="N26" s="3" t="n">
        <v>53615.0</v>
      </c>
      <c r="O26" s="3" t="n">
        <v>60894.0</v>
      </c>
      <c r="P26" s="3" t="n">
        <v>68190.0</v>
      </c>
      <c r="Q26" s="3" t="n">
        <v>73404.0</v>
      </c>
      <c r="R26" s="3" t="n">
        <v>77171.0</v>
      </c>
      <c r="S26" s="3" t="n">
        <v>79440.0</v>
      </c>
      <c r="T26" s="3" t="n">
        <v>81209.0</v>
      </c>
      <c r="U26" s="3" t="n">
        <v>83248.0</v>
      </c>
      <c r="V26" s="3" t="n">
        <v>84054.0</v>
      </c>
      <c r="W26" s="3" t="n">
        <v>84506.0</v>
      </c>
      <c r="X26" s="3" t="n">
        <v>84771.0</v>
      </c>
      <c r="Y26" s="3" t="n">
        <v>83974.0</v>
      </c>
      <c r="Z26" s="3" t="n">
        <v>81366.0</v>
      </c>
      <c r="AA26" s="3" t="n">
        <v>78266.0</v>
      </c>
      <c r="AB26" s="3" t="n">
        <v>74395.0</v>
      </c>
      <c r="AC26" s="3" t="n">
        <v>70814.0</v>
      </c>
      <c r="AD26" s="3" t="n">
        <v>67788.0</v>
      </c>
      <c r="AE26" s="3" t="n">
        <v>65633.0</v>
      </c>
      <c r="AF26" s="3" t="n">
        <v>63996.0</v>
      </c>
      <c r="AG26" s="3" t="n">
        <v>62923.0</v>
      </c>
      <c r="AH26" s="3" t="n">
        <v>62420.0</v>
      </c>
      <c r="AI26" s="3" t="n">
        <v>62893.0</v>
      </c>
      <c r="AJ26" s="3" t="n">
        <v>64182.0</v>
      </c>
      <c r="AK26" s="3" t="n">
        <v>66565.0</v>
      </c>
      <c r="AL26" s="3" t="n">
        <v>69787.0</v>
      </c>
      <c r="AM26" s="3" t="n">
        <v>73584.0</v>
      </c>
      <c r="AN26" s="3" t="n">
        <v>77736.0</v>
      </c>
      <c r="AO26" s="3" t="n">
        <v>82376.0</v>
      </c>
    </row>
    <row r="27" spans="1:41" x14ac:dyDescent="0.2">
      <c r="A27" s="130"/>
      <c r="B27" s="62" t="s">
        <v>81</v>
      </c>
      <c r="C27" s="3" t="n">
        <v>17558.0</v>
      </c>
      <c r="D27" s="3" t="n">
        <v>17933.0</v>
      </c>
      <c r="E27" s="3" t="n">
        <v>18403.0</v>
      </c>
      <c r="F27" s="3" t="n">
        <v>18877.0</v>
      </c>
      <c r="G27" s="3" t="n">
        <v>19416.0</v>
      </c>
      <c r="H27" s="3" t="n">
        <v>19637.0</v>
      </c>
      <c r="I27" s="3" t="n">
        <v>19708.0</v>
      </c>
      <c r="J27" s="3" t="n">
        <v>19752.0</v>
      </c>
      <c r="K27" s="3" t="n">
        <v>19725.0</v>
      </c>
      <c r="L27" s="3" t="n">
        <v>19289.0</v>
      </c>
      <c r="M27" s="3" t="n">
        <v>18614.0</v>
      </c>
      <c r="N27" s="3" t="n">
        <v>18147.0</v>
      </c>
      <c r="O27" s="3" t="n">
        <v>18014.0</v>
      </c>
      <c r="P27" s="3" t="n">
        <v>17953.0</v>
      </c>
      <c r="Q27" s="3" t="n">
        <v>20499.0</v>
      </c>
      <c r="R27" s="3" t="n">
        <v>24200.0</v>
      </c>
      <c r="S27" s="3" t="n">
        <v>28388.0</v>
      </c>
      <c r="T27" s="3" t="n">
        <v>32292.0</v>
      </c>
      <c r="U27" s="3" t="n">
        <v>36073.0</v>
      </c>
      <c r="V27" s="3" t="n">
        <v>38972.0</v>
      </c>
      <c r="W27" s="3" t="n">
        <v>41128.0</v>
      </c>
      <c r="X27" s="3" t="n">
        <v>42508.0</v>
      </c>
      <c r="Y27" s="3" t="n">
        <v>43636.0</v>
      </c>
      <c r="Z27" s="3" t="n">
        <v>44959.0</v>
      </c>
      <c r="AA27" s="3" t="n">
        <v>45602.0</v>
      </c>
      <c r="AB27" s="3" t="n">
        <v>46055.0</v>
      </c>
      <c r="AC27" s="3" t="n">
        <v>46366.0</v>
      </c>
      <c r="AD27" s="3" t="n">
        <v>46066.0</v>
      </c>
      <c r="AE27" s="3" t="n">
        <v>44820.0</v>
      </c>
      <c r="AF27" s="3" t="n">
        <v>43301.0</v>
      </c>
      <c r="AG27" s="3" t="n">
        <v>41318.0</v>
      </c>
      <c r="AH27" s="3" t="n">
        <v>39557.0</v>
      </c>
      <c r="AI27" s="3" t="n">
        <v>38111.0</v>
      </c>
      <c r="AJ27" s="3" t="n">
        <v>37108.0</v>
      </c>
      <c r="AK27" s="3" t="n">
        <v>36387.0</v>
      </c>
      <c r="AL27" s="3" t="n">
        <v>35976.0</v>
      </c>
      <c r="AM27" s="3" t="n">
        <v>35884.0</v>
      </c>
      <c r="AN27" s="3" t="n">
        <v>36372.0</v>
      </c>
      <c r="AO27" s="3" t="n">
        <v>37351.0</v>
      </c>
    </row>
    <row r="28" spans="1:41" x14ac:dyDescent="0.2">
      <c r="A28" s="130"/>
      <c r="B28" s="62" t="s">
        <v>82</v>
      </c>
      <c r="C28" s="3" t="n">
        <v>3979.0</v>
      </c>
      <c r="D28" s="3" t="n">
        <v>4285.0</v>
      </c>
      <c r="E28" s="3" t="n">
        <v>4571.0</v>
      </c>
      <c r="F28" s="3" t="n">
        <v>4945.0</v>
      </c>
      <c r="G28" s="3" t="n">
        <v>5252.0</v>
      </c>
      <c r="H28" s="3" t="n">
        <v>5610.0</v>
      </c>
      <c r="I28" s="3" t="n">
        <v>5801.0</v>
      </c>
      <c r="J28" s="3" t="n">
        <v>6018.0</v>
      </c>
      <c r="K28" s="3" t="n">
        <v>6249.0</v>
      </c>
      <c r="L28" s="3" t="n">
        <v>6505.0</v>
      </c>
      <c r="M28" s="3" t="n">
        <v>6630.0</v>
      </c>
      <c r="N28" s="3" t="n">
        <v>6683.0</v>
      </c>
      <c r="O28" s="3" t="n">
        <v>6767.0</v>
      </c>
      <c r="P28" s="3" t="n">
        <v>6847.0</v>
      </c>
      <c r="Q28" s="3" t="n">
        <v>6764.0</v>
      </c>
      <c r="R28" s="3" t="n">
        <v>6583.0</v>
      </c>
      <c r="S28" s="3" t="n">
        <v>6478.0</v>
      </c>
      <c r="T28" s="3" t="n">
        <v>6518.0</v>
      </c>
      <c r="U28" s="3" t="n">
        <v>6576.0</v>
      </c>
      <c r="V28" s="3" t="n">
        <v>7706.0</v>
      </c>
      <c r="W28" s="3" t="n">
        <v>9235.0</v>
      </c>
      <c r="X28" s="3" t="n">
        <v>10925.0</v>
      </c>
      <c r="Y28" s="3" t="n">
        <v>12431.0</v>
      </c>
      <c r="Z28" s="3" t="n">
        <v>13846.0</v>
      </c>
      <c r="AA28" s="3" t="n">
        <v>15012.0</v>
      </c>
      <c r="AB28" s="3" t="n">
        <v>15926.0</v>
      </c>
      <c r="AC28" s="3" t="n">
        <v>16536.0</v>
      </c>
      <c r="AD28" s="3" t="n">
        <v>17078.0</v>
      </c>
      <c r="AE28" s="3" t="n">
        <v>17732.0</v>
      </c>
      <c r="AF28" s="3" t="n">
        <v>18124.0</v>
      </c>
      <c r="AG28" s="3" t="n">
        <v>18426.0</v>
      </c>
      <c r="AH28" s="3" t="n">
        <v>18664.0</v>
      </c>
      <c r="AI28" s="3" t="n">
        <v>18626.0</v>
      </c>
      <c r="AJ28" s="3" t="n">
        <v>18220.0</v>
      </c>
      <c r="AK28" s="3" t="n">
        <v>17683.0</v>
      </c>
      <c r="AL28" s="3" t="n">
        <v>16986.0</v>
      </c>
      <c r="AM28" s="3" t="n">
        <v>16394.0</v>
      </c>
      <c r="AN28" s="3" t="n">
        <v>15927.0</v>
      </c>
      <c r="AO28" s="3" t="n">
        <v>15666.0</v>
      </c>
    </row>
    <row r="29" spans="1:41" x14ac:dyDescent="0.2">
      <c r="A29" s="131"/>
      <c r="B29" s="54" t="s">
        <v>80</v>
      </c>
      <c r="C29" s="4" t="n">
        <v>426.0</v>
      </c>
      <c r="D29" s="4" t="n">
        <v>527.0</v>
      </c>
      <c r="E29" s="4" t="n">
        <v>580.0</v>
      </c>
      <c r="F29" s="4" t="n">
        <v>643.0</v>
      </c>
      <c r="G29" s="4" t="n">
        <v>679.0</v>
      </c>
      <c r="H29" s="4" t="n">
        <v>741.0</v>
      </c>
      <c r="I29" s="4" t="n">
        <v>837.0</v>
      </c>
      <c r="J29" s="4" t="n">
        <v>897.0</v>
      </c>
      <c r="K29" s="4" t="n">
        <v>989.0</v>
      </c>
      <c r="L29" s="4" t="n">
        <v>1058.0</v>
      </c>
      <c r="M29" s="4" t="n">
        <v>1159.0</v>
      </c>
      <c r="N29" s="4" t="n">
        <v>1224.0</v>
      </c>
      <c r="O29" s="4" t="n">
        <v>1282.0</v>
      </c>
      <c r="P29" s="4" t="n">
        <v>1347.0</v>
      </c>
      <c r="Q29" s="4" t="n">
        <v>1421.0</v>
      </c>
      <c r="R29" s="4" t="n">
        <v>1481.0</v>
      </c>
      <c r="S29" s="4" t="n">
        <v>1513.0</v>
      </c>
      <c r="T29" s="4" t="n">
        <v>1558.0</v>
      </c>
      <c r="U29" s="4" t="n">
        <v>1611.0</v>
      </c>
      <c r="V29" s="4" t="n">
        <v>1627.0</v>
      </c>
      <c r="W29" s="4" t="n">
        <v>1612.0</v>
      </c>
      <c r="X29" s="4" t="n">
        <v>1621.0</v>
      </c>
      <c r="Y29" s="4" t="n">
        <v>1674.0</v>
      </c>
      <c r="Z29" s="4" t="n">
        <v>1722.0</v>
      </c>
      <c r="AA29" s="4" t="n">
        <v>2043.0</v>
      </c>
      <c r="AB29" s="4" t="n">
        <v>2441.0</v>
      </c>
      <c r="AC29" s="4" t="n">
        <v>2850.0</v>
      </c>
      <c r="AD29" s="4" t="n">
        <v>3216.0</v>
      </c>
      <c r="AE29" s="4" t="n">
        <v>3565.0</v>
      </c>
      <c r="AF29" s="4" t="n">
        <v>3925.0</v>
      </c>
      <c r="AG29" s="4" t="n">
        <v>4235.0</v>
      </c>
      <c r="AH29" s="4" t="n">
        <v>4472.0</v>
      </c>
      <c r="AI29" s="4" t="n">
        <v>4709.0</v>
      </c>
      <c r="AJ29" s="4" t="n">
        <v>4983.0</v>
      </c>
      <c r="AK29" s="4" t="n">
        <v>5189.0</v>
      </c>
      <c r="AL29" s="4" t="n">
        <v>5370.0</v>
      </c>
      <c r="AM29" s="4" t="n">
        <v>5510.0</v>
      </c>
      <c r="AN29" s="4" t="n">
        <v>5580.0</v>
      </c>
      <c r="AO29" s="4" t="n">
        <v>5563.0</v>
      </c>
    </row>
    <row r="30" spans="1:41" x14ac:dyDescent="0.2">
      <c r="A30" s="130" t="s">
        <v>50</v>
      </c>
      <c r="B30" s="69" t="s">
        <v>65</v>
      </c>
      <c r="C30" s="70" t="n">
        <v>1388123.0</v>
      </c>
      <c r="D30" s="70" t="n">
        <v>1384643.0</v>
      </c>
      <c r="E30" s="70" t="n">
        <v>1380984.0</v>
      </c>
      <c r="F30" s="70" t="n">
        <v>1377166.0</v>
      </c>
      <c r="G30" s="70" t="n">
        <v>1373153.0</v>
      </c>
      <c r="H30" s="70" t="n">
        <v>1372534.0</v>
      </c>
      <c r="I30" s="70" t="n">
        <v>1373157.0</v>
      </c>
      <c r="J30" s="70" t="n">
        <v>1370605.0</v>
      </c>
      <c r="K30" s="70" t="n">
        <v>1366481.0</v>
      </c>
      <c r="L30" s="70" t="n">
        <v>1361512.0</v>
      </c>
      <c r="M30" s="70" t="n">
        <v>1355874.0</v>
      </c>
      <c r="N30" s="70" t="n">
        <v>1349753.0</v>
      </c>
      <c r="O30" s="70" t="n">
        <v>1343353.0</v>
      </c>
      <c r="P30" s="70" t="n">
        <v>1336713.0</v>
      </c>
      <c r="Q30" s="70" t="n">
        <v>1329835.0</v>
      </c>
      <c r="R30" s="70" t="n">
        <v>1322968.0</v>
      </c>
      <c r="S30" s="70" t="n">
        <v>1316004.0</v>
      </c>
      <c r="T30" s="70" t="n">
        <v>1308947.0</v>
      </c>
      <c r="U30" s="70" t="n">
        <v>1301840.0</v>
      </c>
      <c r="V30" s="70" t="n">
        <v>1294739.0</v>
      </c>
      <c r="W30" s="70" t="n">
        <v>1287622.0</v>
      </c>
      <c r="X30" s="70" t="n">
        <v>1280718.0</v>
      </c>
      <c r="Y30" s="70" t="n">
        <v>1273818.0</v>
      </c>
      <c r="Z30" s="70" t="n">
        <v>1266913.0</v>
      </c>
      <c r="AA30" s="70" t="n">
        <v>1259996.0</v>
      </c>
      <c r="AB30" s="70" t="n">
        <v>1253095.0</v>
      </c>
      <c r="AC30" s="70" t="n">
        <v>1246135.0</v>
      </c>
      <c r="AD30" s="70" t="n">
        <v>1239261.0</v>
      </c>
      <c r="AE30" s="70" t="n">
        <v>1232271.0</v>
      </c>
      <c r="AF30" s="70" t="n">
        <v>1225187.0</v>
      </c>
      <c r="AG30" s="70" t="n">
        <v>1217999.0</v>
      </c>
      <c r="AH30" s="70" t="n">
        <v>1210645.0</v>
      </c>
      <c r="AI30" s="70" t="n">
        <v>1203143.0</v>
      </c>
      <c r="AJ30" s="70" t="n">
        <v>1195481.0</v>
      </c>
      <c r="AK30" s="70" t="n">
        <v>1187606.0</v>
      </c>
      <c r="AL30" s="70" t="n">
        <v>1179582.0</v>
      </c>
      <c r="AM30" s="70" t="n">
        <v>1171441.0</v>
      </c>
      <c r="AN30" s="70" t="n">
        <v>1163095.0</v>
      </c>
      <c r="AO30" s="70" t="n">
        <v>1154760.0</v>
      </c>
    </row>
    <row r="31" spans="1:41" x14ac:dyDescent="0.2">
      <c r="A31" s="130"/>
      <c r="B31" s="52" t="s">
        <v>20</v>
      </c>
      <c r="C31" s="11" t="n">
        <v>65576.0</v>
      </c>
      <c r="D31" s="3" t="n">
        <v>63017.0</v>
      </c>
      <c r="E31" s="3" t="n">
        <v>60715.0</v>
      </c>
      <c r="F31" s="3" t="n">
        <v>59445.0</v>
      </c>
      <c r="G31" s="3" t="n">
        <v>57927.0</v>
      </c>
      <c r="H31" s="3" t="n">
        <v>57984.0</v>
      </c>
      <c r="I31" s="3" t="n">
        <v>57947.0</v>
      </c>
      <c r="J31" s="3" t="n">
        <v>57537.0</v>
      </c>
      <c r="K31" s="3" t="n">
        <v>56906.0</v>
      </c>
      <c r="L31" s="3" t="n">
        <v>56264.0</v>
      </c>
      <c r="M31" s="3" t="n">
        <v>55630.0</v>
      </c>
      <c r="N31" s="3" t="n">
        <v>55028.0</v>
      </c>
      <c r="O31" s="3" t="n">
        <v>54459.0</v>
      </c>
      <c r="P31" s="3" t="n">
        <v>53944.0</v>
      </c>
      <c r="Q31" s="3" t="n">
        <v>53505.0</v>
      </c>
      <c r="R31" s="3" t="n">
        <v>53225.0</v>
      </c>
      <c r="S31" s="3" t="n">
        <v>53069.0</v>
      </c>
      <c r="T31" s="3" t="n">
        <v>53061.0</v>
      </c>
      <c r="U31" s="3" t="n">
        <v>53177.0</v>
      </c>
      <c r="V31" s="3" t="n">
        <v>53402.0</v>
      </c>
      <c r="W31" s="3" t="n">
        <v>53681.0</v>
      </c>
      <c r="X31" s="3" t="n">
        <v>53967.0</v>
      </c>
      <c r="Y31" s="3" t="n">
        <v>54220.0</v>
      </c>
      <c r="Z31" s="3" t="n">
        <v>54417.0</v>
      </c>
      <c r="AA31" s="3" t="n">
        <v>54533.0</v>
      </c>
      <c r="AB31" s="3" t="n">
        <v>54532.0</v>
      </c>
      <c r="AC31" s="3" t="n">
        <v>54415.0</v>
      </c>
      <c r="AD31" s="3" t="n">
        <v>54182.0</v>
      </c>
      <c r="AE31" s="3" t="n">
        <v>53821.0</v>
      </c>
      <c r="AF31" s="3" t="n">
        <v>53343.0</v>
      </c>
      <c r="AG31" s="3" t="n">
        <v>52764.0</v>
      </c>
      <c r="AH31" s="3" t="n">
        <v>52097.0</v>
      </c>
      <c r="AI31" s="3" t="n">
        <v>51350.0</v>
      </c>
      <c r="AJ31" s="3" t="n">
        <v>50555.0</v>
      </c>
      <c r="AK31" s="3" t="n">
        <v>49729.0</v>
      </c>
      <c r="AL31" s="3" t="n">
        <v>48896.0</v>
      </c>
      <c r="AM31" s="3" t="n">
        <v>48092.0</v>
      </c>
      <c r="AN31" s="3" t="n">
        <v>47320.0</v>
      </c>
      <c r="AO31" s="3" t="n">
        <v>46599.0</v>
      </c>
    </row>
    <row r="32" spans="1:41" x14ac:dyDescent="0.2">
      <c r="A32" s="130"/>
      <c r="B32" s="52" t="s">
        <v>21</v>
      </c>
      <c r="C32" s="11" t="n">
        <v>73239.0</v>
      </c>
      <c r="D32" s="3" t="n">
        <v>73790.0</v>
      </c>
      <c r="E32" s="3" t="n">
        <v>73324.0</v>
      </c>
      <c r="F32" s="3" t="n">
        <v>71888.0</v>
      </c>
      <c r="G32" s="3" t="n">
        <v>70031.0</v>
      </c>
      <c r="H32" s="3" t="n">
        <v>67476.0</v>
      </c>
      <c r="I32" s="3" t="n">
        <v>65794.0</v>
      </c>
      <c r="J32" s="3" t="n">
        <v>63828.0</v>
      </c>
      <c r="K32" s="3" t="n">
        <v>62617.0</v>
      </c>
      <c r="L32" s="3" t="n">
        <v>61030.0</v>
      </c>
      <c r="M32" s="3" t="n">
        <v>60490.0</v>
      </c>
      <c r="N32" s="3" t="n">
        <v>59721.0</v>
      </c>
      <c r="O32" s="3" t="n">
        <v>58983.0</v>
      </c>
      <c r="P32" s="3" t="n">
        <v>58251.0</v>
      </c>
      <c r="Q32" s="3" t="n">
        <v>57566.0</v>
      </c>
      <c r="R32" s="3" t="n">
        <v>56921.0</v>
      </c>
      <c r="S32" s="3" t="n">
        <v>56336.0</v>
      </c>
      <c r="T32" s="3" t="n">
        <v>55792.0</v>
      </c>
      <c r="U32" s="3" t="n">
        <v>55309.0</v>
      </c>
      <c r="V32" s="3" t="n">
        <v>54901.0</v>
      </c>
      <c r="W32" s="3" t="n">
        <v>54644.0</v>
      </c>
      <c r="X32" s="3" t="n">
        <v>54518.0</v>
      </c>
      <c r="Y32" s="3" t="n">
        <v>54540.0</v>
      </c>
      <c r="Z32" s="3" t="n">
        <v>54676.0</v>
      </c>
      <c r="AA32" s="3" t="n">
        <v>54920.0</v>
      </c>
      <c r="AB32" s="3" t="n">
        <v>55205.0</v>
      </c>
      <c r="AC32" s="3" t="n">
        <v>55495.0</v>
      </c>
      <c r="AD32" s="3" t="n">
        <v>55749.0</v>
      </c>
      <c r="AE32" s="3" t="n">
        <v>55941.0</v>
      </c>
      <c r="AF32" s="3" t="n">
        <v>56049.0</v>
      </c>
      <c r="AG32" s="3" t="n">
        <v>56047.0</v>
      </c>
      <c r="AH32" s="3" t="n">
        <v>55927.0</v>
      </c>
      <c r="AI32" s="3" t="n">
        <v>55686.0</v>
      </c>
      <c r="AJ32" s="3" t="n">
        <v>55320.0</v>
      </c>
      <c r="AK32" s="3" t="n">
        <v>54838.0</v>
      </c>
      <c r="AL32" s="3" t="n">
        <v>54257.0</v>
      </c>
      <c r="AM32" s="3" t="n">
        <v>53581.0</v>
      </c>
      <c r="AN32" s="3" t="n">
        <v>52832.0</v>
      </c>
      <c r="AO32" s="3" t="n">
        <v>52028.0</v>
      </c>
    </row>
    <row r="33" spans="1:41" x14ac:dyDescent="0.2">
      <c r="A33" s="130"/>
      <c r="B33" s="52" t="s">
        <v>22</v>
      </c>
      <c r="C33" s="11" t="n">
        <v>77182.0</v>
      </c>
      <c r="D33" s="3" t="n">
        <v>75462.0</v>
      </c>
      <c r="E33" s="3" t="n">
        <v>74428.0</v>
      </c>
      <c r="F33" s="3" t="n">
        <v>73114.0</v>
      </c>
      <c r="G33" s="3" t="n">
        <v>73243.0</v>
      </c>
      <c r="H33" s="3" t="n">
        <v>74346.0</v>
      </c>
      <c r="I33" s="3" t="n">
        <v>75939.0</v>
      </c>
      <c r="J33" s="3" t="n">
        <v>75930.0</v>
      </c>
      <c r="K33" s="3" t="n">
        <v>74697.0</v>
      </c>
      <c r="L33" s="3" t="n">
        <v>72883.0</v>
      </c>
      <c r="M33" s="3" t="n">
        <v>69591.0</v>
      </c>
      <c r="N33" s="3" t="n">
        <v>66862.0</v>
      </c>
      <c r="O33" s="3" t="n">
        <v>64421.0</v>
      </c>
      <c r="P33" s="3" t="n">
        <v>62985.0</v>
      </c>
      <c r="Q33" s="3" t="n">
        <v>61301.0</v>
      </c>
      <c r="R33" s="3" t="n">
        <v>60741.0</v>
      </c>
      <c r="S33" s="3" t="n">
        <v>59986.0</v>
      </c>
      <c r="T33" s="3" t="n">
        <v>59260.0</v>
      </c>
      <c r="U33" s="3" t="n">
        <v>58538.0</v>
      </c>
      <c r="V33" s="3" t="n">
        <v>57860.0</v>
      </c>
      <c r="W33" s="3" t="n">
        <v>57233.0</v>
      </c>
      <c r="X33" s="3" t="n">
        <v>56663.0</v>
      </c>
      <c r="Y33" s="3" t="n">
        <v>56141.0</v>
      </c>
      <c r="Z33" s="3" t="n">
        <v>55683.0</v>
      </c>
      <c r="AA33" s="3" t="n">
        <v>55291.0</v>
      </c>
      <c r="AB33" s="3" t="n">
        <v>55051.0</v>
      </c>
      <c r="AC33" s="3" t="n">
        <v>54934.0</v>
      </c>
      <c r="AD33" s="3" t="n">
        <v>54967.0</v>
      </c>
      <c r="AE33" s="3" t="n">
        <v>55111.0</v>
      </c>
      <c r="AF33" s="3" t="n">
        <v>55358.0</v>
      </c>
      <c r="AG33" s="3" t="n">
        <v>55644.0</v>
      </c>
      <c r="AH33" s="3" t="n">
        <v>55932.0</v>
      </c>
      <c r="AI33" s="3" t="n">
        <v>56184.0</v>
      </c>
      <c r="AJ33" s="3" t="n">
        <v>56370.0</v>
      </c>
      <c r="AK33" s="3" t="n">
        <v>56471.0</v>
      </c>
      <c r="AL33" s="3" t="n">
        <v>56460.0</v>
      </c>
      <c r="AM33" s="3" t="n">
        <v>56342.0</v>
      </c>
      <c r="AN33" s="3" t="n">
        <v>56100.0</v>
      </c>
      <c r="AO33" s="3" t="n">
        <v>55738.0</v>
      </c>
    </row>
    <row r="34" spans="1:41" x14ac:dyDescent="0.2">
      <c r="A34" s="130"/>
      <c r="B34" s="52" t="s">
        <v>23</v>
      </c>
      <c r="C34" s="11" t="n">
        <v>65451.0</v>
      </c>
      <c r="D34" s="3" t="n">
        <v>69149.0</v>
      </c>
      <c r="E34" s="3" t="n">
        <v>72392.0</v>
      </c>
      <c r="F34" s="3" t="n">
        <v>75262.0</v>
      </c>
      <c r="G34" s="3" t="n">
        <v>76599.0</v>
      </c>
      <c r="H34" s="3" t="n">
        <v>77584.0</v>
      </c>
      <c r="I34" s="3" t="n">
        <v>76779.0</v>
      </c>
      <c r="J34" s="3" t="n">
        <v>76195.0</v>
      </c>
      <c r="K34" s="3" t="n">
        <v>75056.0</v>
      </c>
      <c r="L34" s="3" t="n">
        <v>75301.0</v>
      </c>
      <c r="M34" s="3" t="n">
        <v>75784.0</v>
      </c>
      <c r="N34" s="3" t="n">
        <v>76436.0</v>
      </c>
      <c r="O34" s="3" t="n">
        <v>75978.0</v>
      </c>
      <c r="P34" s="3" t="n">
        <v>74572.0</v>
      </c>
      <c r="Q34" s="3" t="n">
        <v>72668.0</v>
      </c>
      <c r="R34" s="3" t="n">
        <v>69313.0</v>
      </c>
      <c r="S34" s="3" t="n">
        <v>66567.0</v>
      </c>
      <c r="T34" s="3" t="n">
        <v>64124.0</v>
      </c>
      <c r="U34" s="3" t="n">
        <v>62698.0</v>
      </c>
      <c r="V34" s="3" t="n">
        <v>61029.0</v>
      </c>
      <c r="W34" s="3" t="n">
        <v>60475.0</v>
      </c>
      <c r="X34" s="3" t="n">
        <v>59725.0</v>
      </c>
      <c r="Y34" s="3" t="n">
        <v>59006.0</v>
      </c>
      <c r="Z34" s="3" t="n">
        <v>58288.0</v>
      </c>
      <c r="AA34" s="3" t="n">
        <v>57631.0</v>
      </c>
      <c r="AB34" s="3" t="n">
        <v>57018.0</v>
      </c>
      <c r="AC34" s="3" t="n">
        <v>56464.0</v>
      </c>
      <c r="AD34" s="3" t="n">
        <v>55950.0</v>
      </c>
      <c r="AE34" s="3" t="n">
        <v>55502.0</v>
      </c>
      <c r="AF34" s="3" t="n">
        <v>55119.0</v>
      </c>
      <c r="AG34" s="3" t="n">
        <v>54889.0</v>
      </c>
      <c r="AH34" s="3" t="n">
        <v>54779.0</v>
      </c>
      <c r="AI34" s="3" t="n">
        <v>54814.0</v>
      </c>
      <c r="AJ34" s="3" t="n">
        <v>54963.0</v>
      </c>
      <c r="AK34" s="3" t="n">
        <v>55214.0</v>
      </c>
      <c r="AL34" s="3" t="n">
        <v>55501.0</v>
      </c>
      <c r="AM34" s="3" t="n">
        <v>55788.0</v>
      </c>
      <c r="AN34" s="3" t="n">
        <v>56039.0</v>
      </c>
      <c r="AO34" s="3" t="n">
        <v>56225.0</v>
      </c>
    </row>
    <row r="35" spans="1:41" x14ac:dyDescent="0.2">
      <c r="A35" s="130"/>
      <c r="B35" s="52" t="s">
        <v>24</v>
      </c>
      <c r="C35" s="11" t="n">
        <v>65670.0</v>
      </c>
      <c r="D35" s="3" t="n">
        <v>63350.0</v>
      </c>
      <c r="E35" s="3" t="n">
        <v>62270.0</v>
      </c>
      <c r="F35" s="3" t="n">
        <v>62080.0</v>
      </c>
      <c r="G35" s="3" t="n">
        <v>62896.0</v>
      </c>
      <c r="H35" s="3" t="n">
        <v>65117.0</v>
      </c>
      <c r="I35" s="3" t="n">
        <v>69063.0</v>
      </c>
      <c r="J35" s="3" t="n">
        <v>72603.0</v>
      </c>
      <c r="K35" s="3" t="n">
        <v>75791.0</v>
      </c>
      <c r="L35" s="3" t="n">
        <v>77410.0</v>
      </c>
      <c r="M35" s="3" t="n">
        <v>78078.0</v>
      </c>
      <c r="N35" s="3" t="n">
        <v>76659.0</v>
      </c>
      <c r="O35" s="3" t="n">
        <v>75787.0</v>
      </c>
      <c r="P35" s="3" t="n">
        <v>74533.0</v>
      </c>
      <c r="Q35" s="3" t="n">
        <v>74712.0</v>
      </c>
      <c r="R35" s="3" t="n">
        <v>75164.0</v>
      </c>
      <c r="S35" s="3" t="n">
        <v>75801.0</v>
      </c>
      <c r="T35" s="3" t="n">
        <v>75366.0</v>
      </c>
      <c r="U35" s="3" t="n">
        <v>73985.0</v>
      </c>
      <c r="V35" s="3" t="n">
        <v>72107.0</v>
      </c>
      <c r="W35" s="3" t="n">
        <v>68766.0</v>
      </c>
      <c r="X35" s="3" t="n">
        <v>66032.0</v>
      </c>
      <c r="Y35" s="3" t="n">
        <v>63590.0</v>
      </c>
      <c r="Z35" s="3" t="n">
        <v>62161.0</v>
      </c>
      <c r="AA35" s="3" t="n">
        <v>60490.0</v>
      </c>
      <c r="AB35" s="3" t="n">
        <v>59946.0</v>
      </c>
      <c r="AC35" s="3" t="n">
        <v>59202.0</v>
      </c>
      <c r="AD35" s="3" t="n">
        <v>58488.0</v>
      </c>
      <c r="AE35" s="3" t="n">
        <v>57777.0</v>
      </c>
      <c r="AF35" s="3" t="n">
        <v>57128.0</v>
      </c>
      <c r="AG35" s="3" t="n">
        <v>56529.0</v>
      </c>
      <c r="AH35" s="3" t="n">
        <v>55993.0</v>
      </c>
      <c r="AI35" s="3" t="n">
        <v>55495.0</v>
      </c>
      <c r="AJ35" s="3" t="n">
        <v>55065.0</v>
      </c>
      <c r="AK35" s="3" t="n">
        <v>54685.0</v>
      </c>
      <c r="AL35" s="3" t="n">
        <v>54461.0</v>
      </c>
      <c r="AM35" s="3" t="n">
        <v>54355.0</v>
      </c>
      <c r="AN35" s="3" t="n">
        <v>54385.0</v>
      </c>
      <c r="AO35" s="3" t="n">
        <v>54529.0</v>
      </c>
    </row>
    <row r="36" spans="1:41" x14ac:dyDescent="0.2">
      <c r="A36" s="130"/>
      <c r="B36" s="52" t="s">
        <v>25</v>
      </c>
      <c r="C36" s="11" t="n">
        <v>85430.0</v>
      </c>
      <c r="D36" s="3" t="n">
        <v>81241.0</v>
      </c>
      <c r="E36" s="3" t="n">
        <v>77012.0</v>
      </c>
      <c r="F36" s="3" t="n">
        <v>73093.0</v>
      </c>
      <c r="G36" s="3" t="n">
        <v>69639.0</v>
      </c>
      <c r="H36" s="3" t="n">
        <v>66885.0</v>
      </c>
      <c r="I36" s="3" t="n">
        <v>64832.0</v>
      </c>
      <c r="J36" s="3" t="n">
        <v>63845.0</v>
      </c>
      <c r="K36" s="3" t="n">
        <v>63686.0</v>
      </c>
      <c r="L36" s="3" t="n">
        <v>64516.0</v>
      </c>
      <c r="M36" s="3" t="n">
        <v>66556.0</v>
      </c>
      <c r="N36" s="3" t="n">
        <v>70270.0</v>
      </c>
      <c r="O36" s="3" t="n">
        <v>73702.0</v>
      </c>
      <c r="P36" s="3" t="n">
        <v>76851.0</v>
      </c>
      <c r="Q36" s="3" t="n">
        <v>78462.0</v>
      </c>
      <c r="R36" s="3" t="n">
        <v>79142.0</v>
      </c>
      <c r="S36" s="3" t="n">
        <v>77744.0</v>
      </c>
      <c r="T36" s="3" t="n">
        <v>76873.0</v>
      </c>
      <c r="U36" s="3" t="n">
        <v>75614.0</v>
      </c>
      <c r="V36" s="3" t="n">
        <v>75772.0</v>
      </c>
      <c r="W36" s="3" t="n">
        <v>76207.0</v>
      </c>
      <c r="X36" s="3" t="n">
        <v>76830.0</v>
      </c>
      <c r="Y36" s="3" t="n">
        <v>76398.0</v>
      </c>
      <c r="Z36" s="3" t="n">
        <v>75037.0</v>
      </c>
      <c r="AA36" s="3" t="n">
        <v>73160.0</v>
      </c>
      <c r="AB36" s="3" t="n">
        <v>69765.0</v>
      </c>
      <c r="AC36" s="3" t="n">
        <v>66964.0</v>
      </c>
      <c r="AD36" s="3" t="n">
        <v>64478.0</v>
      </c>
      <c r="AE36" s="3" t="n">
        <v>63022.0</v>
      </c>
      <c r="AF36" s="3" t="n">
        <v>61342.0</v>
      </c>
      <c r="AG36" s="3" t="n">
        <v>60790.0</v>
      </c>
      <c r="AH36" s="3" t="n">
        <v>60042.0</v>
      </c>
      <c r="AI36" s="3" t="n">
        <v>59324.0</v>
      </c>
      <c r="AJ36" s="3" t="n">
        <v>58600.0</v>
      </c>
      <c r="AK36" s="3" t="n">
        <v>57945.0</v>
      </c>
      <c r="AL36" s="3" t="n">
        <v>57339.0</v>
      </c>
      <c r="AM36" s="3" t="n">
        <v>56797.0</v>
      </c>
      <c r="AN36" s="3" t="n">
        <v>56289.0</v>
      </c>
      <c r="AO36" s="3" t="n">
        <v>55853.0</v>
      </c>
    </row>
    <row r="37" spans="1:41" x14ac:dyDescent="0.2">
      <c r="A37" s="130"/>
      <c r="B37" s="52" t="s">
        <v>26</v>
      </c>
      <c r="C37" s="11" t="n">
        <v>105344.0</v>
      </c>
      <c r="D37" s="3" t="n">
        <v>102277.0</v>
      </c>
      <c r="E37" s="3" t="n">
        <v>99019.0</v>
      </c>
      <c r="F37" s="3" t="n">
        <v>95070.0</v>
      </c>
      <c r="G37" s="3" t="n">
        <v>91040.0</v>
      </c>
      <c r="H37" s="3" t="n">
        <v>87607.0</v>
      </c>
      <c r="I37" s="3" t="n">
        <v>83734.0</v>
      </c>
      <c r="J37" s="3" t="n">
        <v>79670.0</v>
      </c>
      <c r="K37" s="3" t="n">
        <v>75888.0</v>
      </c>
      <c r="L37" s="3" t="n">
        <v>72475.0</v>
      </c>
      <c r="M37" s="3" t="n">
        <v>69563.0</v>
      </c>
      <c r="N37" s="3" t="n">
        <v>67281.0</v>
      </c>
      <c r="O37" s="3" t="n">
        <v>66189.0</v>
      </c>
      <c r="P37" s="3" t="n">
        <v>65948.0</v>
      </c>
      <c r="Q37" s="3" t="n">
        <v>66740.0</v>
      </c>
      <c r="R37" s="3" t="n">
        <v>68787.0</v>
      </c>
      <c r="S37" s="3" t="n">
        <v>72506.0</v>
      </c>
      <c r="T37" s="3" t="n">
        <v>75971.0</v>
      </c>
      <c r="U37" s="3" t="n">
        <v>79132.0</v>
      </c>
      <c r="V37" s="3" t="n">
        <v>80756.0</v>
      </c>
      <c r="W37" s="3" t="n">
        <v>81450.0</v>
      </c>
      <c r="X37" s="3" t="n">
        <v>80065.0</v>
      </c>
      <c r="Y37" s="3" t="n">
        <v>79141.0</v>
      </c>
      <c r="Z37" s="3" t="n">
        <v>77849.0</v>
      </c>
      <c r="AA37" s="3" t="n">
        <v>77987.0</v>
      </c>
      <c r="AB37" s="3" t="n">
        <v>78441.0</v>
      </c>
      <c r="AC37" s="3" t="n">
        <v>79088.0</v>
      </c>
      <c r="AD37" s="3" t="n">
        <v>78683.0</v>
      </c>
      <c r="AE37" s="3" t="n">
        <v>77279.0</v>
      </c>
      <c r="AF37" s="3" t="n">
        <v>75348.0</v>
      </c>
      <c r="AG37" s="3" t="n">
        <v>71855.0</v>
      </c>
      <c r="AH37" s="3" t="n">
        <v>68941.0</v>
      </c>
      <c r="AI37" s="3" t="n">
        <v>66351.0</v>
      </c>
      <c r="AJ37" s="3" t="n">
        <v>64832.0</v>
      </c>
      <c r="AK37" s="3" t="n">
        <v>63126.0</v>
      </c>
      <c r="AL37" s="3" t="n">
        <v>62576.0</v>
      </c>
      <c r="AM37" s="3" t="n">
        <v>61821.0</v>
      </c>
      <c r="AN37" s="3" t="n">
        <v>61098.0</v>
      </c>
      <c r="AO37" s="3" t="n">
        <v>60365.0</v>
      </c>
    </row>
    <row r="38" spans="1:41" x14ac:dyDescent="0.2">
      <c r="A38" s="130"/>
      <c r="B38" s="52" t="s">
        <v>27</v>
      </c>
      <c r="C38" s="11" t="n">
        <v>125920.0</v>
      </c>
      <c r="D38" s="3" t="n">
        <v>120564.0</v>
      </c>
      <c r="E38" s="3" t="n">
        <v>115759.0</v>
      </c>
      <c r="F38" s="3" t="n">
        <v>111869.0</v>
      </c>
      <c r="G38" s="3" t="n">
        <v>109487.0</v>
      </c>
      <c r="H38" s="3" t="n">
        <v>106545.0</v>
      </c>
      <c r="I38" s="3" t="n">
        <v>103828.0</v>
      </c>
      <c r="J38" s="3" t="n">
        <v>100690.0</v>
      </c>
      <c r="K38" s="3" t="n">
        <v>96767.0</v>
      </c>
      <c r="L38" s="3" t="n">
        <v>92756.0</v>
      </c>
      <c r="M38" s="3" t="n">
        <v>89134.0</v>
      </c>
      <c r="N38" s="3" t="n">
        <v>84983.0</v>
      </c>
      <c r="O38" s="3" t="n">
        <v>80856.0</v>
      </c>
      <c r="P38" s="3" t="n">
        <v>77118.0</v>
      </c>
      <c r="Q38" s="3" t="n">
        <v>73765.0</v>
      </c>
      <c r="R38" s="3" t="n">
        <v>70901.0</v>
      </c>
      <c r="S38" s="3" t="n">
        <v>68670.0</v>
      </c>
      <c r="T38" s="3" t="n">
        <v>67595.0</v>
      </c>
      <c r="U38" s="3" t="n">
        <v>67376.0</v>
      </c>
      <c r="V38" s="3" t="n">
        <v>68176.0</v>
      </c>
      <c r="W38" s="3" t="n">
        <v>70215.0</v>
      </c>
      <c r="X38" s="3" t="n">
        <v>73920.0</v>
      </c>
      <c r="Y38" s="3" t="n">
        <v>77388.0</v>
      </c>
      <c r="Z38" s="3" t="n">
        <v>80539.0</v>
      </c>
      <c r="AA38" s="3" t="n">
        <v>82150.0</v>
      </c>
      <c r="AB38" s="3" t="n">
        <v>82842.0</v>
      </c>
      <c r="AC38" s="3" t="n">
        <v>81429.0</v>
      </c>
      <c r="AD38" s="3" t="n">
        <v>80480.0</v>
      </c>
      <c r="AE38" s="3" t="n">
        <v>79177.0</v>
      </c>
      <c r="AF38" s="3" t="n">
        <v>79312.0</v>
      </c>
      <c r="AG38" s="3" t="n">
        <v>79784.0</v>
      </c>
      <c r="AH38" s="3" t="n">
        <v>80424.0</v>
      </c>
      <c r="AI38" s="3" t="n">
        <v>80016.0</v>
      </c>
      <c r="AJ38" s="3" t="n">
        <v>78608.0</v>
      </c>
      <c r="AK38" s="3" t="n">
        <v>76634.0</v>
      </c>
      <c r="AL38" s="3" t="n">
        <v>73058.0</v>
      </c>
      <c r="AM38" s="3" t="n">
        <v>70092.0</v>
      </c>
      <c r="AN38" s="3" t="n">
        <v>67449.0</v>
      </c>
      <c r="AO38" s="3" t="n">
        <v>65907.0</v>
      </c>
    </row>
    <row r="39" spans="1:41" x14ac:dyDescent="0.2">
      <c r="A39" s="130"/>
      <c r="B39" s="52" t="s">
        <v>28</v>
      </c>
      <c r="C39" s="11" t="n">
        <v>126082.0</v>
      </c>
      <c r="D39" s="3" t="n">
        <v>129221.0</v>
      </c>
      <c r="E39" s="3" t="n">
        <v>130408.0</v>
      </c>
      <c r="F39" s="3" t="n">
        <v>130103.0</v>
      </c>
      <c r="G39" s="3" t="n">
        <v>128242.0</v>
      </c>
      <c r="H39" s="3" t="n">
        <v>125065.0</v>
      </c>
      <c r="I39" s="3" t="n">
        <v>120094.0</v>
      </c>
      <c r="J39" s="3" t="n">
        <v>115579.0</v>
      </c>
      <c r="K39" s="3" t="n">
        <v>111862.0</v>
      </c>
      <c r="L39" s="3" t="n">
        <v>109582.0</v>
      </c>
      <c r="M39" s="3" t="n">
        <v>106504.0</v>
      </c>
      <c r="N39" s="3" t="n">
        <v>103527.0</v>
      </c>
      <c r="O39" s="3" t="n">
        <v>100284.0</v>
      </c>
      <c r="P39" s="3" t="n">
        <v>96330.0</v>
      </c>
      <c r="Q39" s="3" t="n">
        <v>92315.0</v>
      </c>
      <c r="R39" s="3" t="n">
        <v>88720.0</v>
      </c>
      <c r="S39" s="3" t="n">
        <v>84644.0</v>
      </c>
      <c r="T39" s="3" t="n">
        <v>80625.0</v>
      </c>
      <c r="U39" s="3" t="n">
        <v>77020.0</v>
      </c>
      <c r="V39" s="3" t="n">
        <v>73805.0</v>
      </c>
      <c r="W39" s="3" t="n">
        <v>71038.0</v>
      </c>
      <c r="X39" s="3" t="n">
        <v>68865.0</v>
      </c>
      <c r="Y39" s="3" t="n">
        <v>67832.0</v>
      </c>
      <c r="Z39" s="3" t="n">
        <v>67621.0</v>
      </c>
      <c r="AA39" s="3" t="n">
        <v>68415.0</v>
      </c>
      <c r="AB39" s="3" t="n">
        <v>70444.0</v>
      </c>
      <c r="AC39" s="3" t="n">
        <v>74126.0</v>
      </c>
      <c r="AD39" s="3" t="n">
        <v>77533.0</v>
      </c>
      <c r="AE39" s="3" t="n">
        <v>80663.0</v>
      </c>
      <c r="AF39" s="3" t="n">
        <v>82237.0</v>
      </c>
      <c r="AG39" s="3" t="n">
        <v>82911.0</v>
      </c>
      <c r="AH39" s="3" t="n">
        <v>81522.0</v>
      </c>
      <c r="AI39" s="3" t="n">
        <v>80575.0</v>
      </c>
      <c r="AJ39" s="3" t="n">
        <v>79277.0</v>
      </c>
      <c r="AK39" s="3" t="n">
        <v>79406.0</v>
      </c>
      <c r="AL39" s="3" t="n">
        <v>79892.0</v>
      </c>
      <c r="AM39" s="3" t="n">
        <v>80540.0</v>
      </c>
      <c r="AN39" s="3" t="n">
        <v>80134.0</v>
      </c>
      <c r="AO39" s="3" t="n">
        <v>78730.0</v>
      </c>
    </row>
    <row r="40" spans="1:41" x14ac:dyDescent="0.2">
      <c r="A40" s="130"/>
      <c r="B40" s="52" t="s">
        <v>29</v>
      </c>
      <c r="C40" s="11" t="n">
        <v>112305.0</v>
      </c>
      <c r="D40" s="3" t="n">
        <v>115470.0</v>
      </c>
      <c r="E40" s="3" t="n">
        <v>118478.0</v>
      </c>
      <c r="F40" s="3" t="n">
        <v>120904.0</v>
      </c>
      <c r="G40" s="3" t="n">
        <v>122003.0</v>
      </c>
      <c r="H40" s="3" t="n">
        <v>123902.0</v>
      </c>
      <c r="I40" s="3" t="n">
        <v>127155.0</v>
      </c>
      <c r="J40" s="3" t="n">
        <v>128417.0</v>
      </c>
      <c r="K40" s="3" t="n">
        <v>128207.0</v>
      </c>
      <c r="L40" s="3" t="n">
        <v>126467.0</v>
      </c>
      <c r="M40" s="3" t="n">
        <v>123287.0</v>
      </c>
      <c r="N40" s="3" t="n">
        <v>118295.0</v>
      </c>
      <c r="O40" s="3" t="n">
        <v>113825.0</v>
      </c>
      <c r="P40" s="3" t="n">
        <v>110171.0</v>
      </c>
      <c r="Q40" s="3" t="n">
        <v>107919.0</v>
      </c>
      <c r="R40" s="3" t="n">
        <v>104897.0</v>
      </c>
      <c r="S40" s="3" t="n">
        <v>101981.0</v>
      </c>
      <c r="T40" s="3" t="n">
        <v>98788.0</v>
      </c>
      <c r="U40" s="3" t="n">
        <v>94884.0</v>
      </c>
      <c r="V40" s="3" t="n">
        <v>90924.0</v>
      </c>
      <c r="W40" s="3" t="n">
        <v>87402.0</v>
      </c>
      <c r="X40" s="3" t="n">
        <v>83466.0</v>
      </c>
      <c r="Y40" s="3" t="n">
        <v>79593.0</v>
      </c>
      <c r="Z40" s="3" t="n">
        <v>76128.0</v>
      </c>
      <c r="AA40" s="3" t="n">
        <v>73030.0</v>
      </c>
      <c r="AB40" s="3" t="n">
        <v>70358.0</v>
      </c>
      <c r="AC40" s="3" t="n">
        <v>68278.0</v>
      </c>
      <c r="AD40" s="3" t="n">
        <v>67312.0</v>
      </c>
      <c r="AE40" s="3" t="n">
        <v>67110.0</v>
      </c>
      <c r="AF40" s="3" t="n">
        <v>67890.0</v>
      </c>
      <c r="AG40" s="3" t="n">
        <v>69883.0</v>
      </c>
      <c r="AH40" s="3" t="n">
        <v>73506.0</v>
      </c>
      <c r="AI40" s="3" t="n">
        <v>76867.0</v>
      </c>
      <c r="AJ40" s="3" t="n">
        <v>79951.0</v>
      </c>
      <c r="AK40" s="3" t="n">
        <v>81490.0</v>
      </c>
      <c r="AL40" s="3" t="n">
        <v>82150.0</v>
      </c>
      <c r="AM40" s="3" t="n">
        <v>80802.0</v>
      </c>
      <c r="AN40" s="3" t="n">
        <v>79879.0</v>
      </c>
      <c r="AO40" s="3" t="n">
        <v>78607.0</v>
      </c>
    </row>
    <row r="41" spans="1:41" x14ac:dyDescent="0.2">
      <c r="A41" s="130"/>
      <c r="B41" s="52" t="s">
        <v>30</v>
      </c>
      <c r="C41" s="11" t="n">
        <v>86318.0</v>
      </c>
      <c r="D41" s="3" t="n">
        <v>90591.0</v>
      </c>
      <c r="E41" s="3" t="n">
        <v>95149.0</v>
      </c>
      <c r="F41" s="3" t="n">
        <v>100183.0</v>
      </c>
      <c r="G41" s="3" t="n">
        <v>104977.0</v>
      </c>
      <c r="H41" s="3" t="n">
        <v>109009.0</v>
      </c>
      <c r="I41" s="3" t="n">
        <v>112187.0</v>
      </c>
      <c r="J41" s="3" t="n">
        <v>115169.0</v>
      </c>
      <c r="K41" s="3" t="n">
        <v>117571.0</v>
      </c>
      <c r="L41" s="3" t="n">
        <v>118680.0</v>
      </c>
      <c r="M41" s="3" t="n">
        <v>120473.0</v>
      </c>
      <c r="N41" s="3" t="n">
        <v>123534.0</v>
      </c>
      <c r="O41" s="3" t="n">
        <v>124721.0</v>
      </c>
      <c r="P41" s="3" t="n">
        <v>124520.0</v>
      </c>
      <c r="Q41" s="3" t="n">
        <v>122857.0</v>
      </c>
      <c r="R41" s="3" t="n">
        <v>119789.0</v>
      </c>
      <c r="S41" s="3" t="n">
        <v>114979.0</v>
      </c>
      <c r="T41" s="3" t="n">
        <v>110696.0</v>
      </c>
      <c r="U41" s="3" t="n">
        <v>107188.0</v>
      </c>
      <c r="V41" s="3" t="n">
        <v>105029.0</v>
      </c>
      <c r="W41" s="3" t="n">
        <v>102118.0</v>
      </c>
      <c r="X41" s="3" t="n">
        <v>99285.0</v>
      </c>
      <c r="Y41" s="3" t="n">
        <v>96177.0</v>
      </c>
      <c r="Z41" s="3" t="n">
        <v>92402.0</v>
      </c>
      <c r="AA41" s="3" t="n">
        <v>88578.0</v>
      </c>
      <c r="AB41" s="3" t="n">
        <v>85177.0</v>
      </c>
      <c r="AC41" s="3" t="n">
        <v>81372.0</v>
      </c>
      <c r="AD41" s="3" t="n">
        <v>77651.0</v>
      </c>
      <c r="AE41" s="3" t="n">
        <v>74352.0</v>
      </c>
      <c r="AF41" s="3" t="n">
        <v>71409.0</v>
      </c>
      <c r="AG41" s="3" t="n">
        <v>68878.0</v>
      </c>
      <c r="AH41" s="3" t="n">
        <v>66885.0</v>
      </c>
      <c r="AI41" s="3" t="n">
        <v>65979.0</v>
      </c>
      <c r="AJ41" s="3" t="n">
        <v>65804.0</v>
      </c>
      <c r="AK41" s="3" t="n">
        <v>66600.0</v>
      </c>
      <c r="AL41" s="3" t="n">
        <v>68547.0</v>
      </c>
      <c r="AM41" s="3" t="n">
        <v>72082.0</v>
      </c>
      <c r="AN41" s="3" t="n">
        <v>75364.0</v>
      </c>
      <c r="AO41" s="3" t="n">
        <v>78371.0</v>
      </c>
    </row>
    <row r="42" spans="1:41" x14ac:dyDescent="0.2">
      <c r="A42" s="130"/>
      <c r="B42" s="52" t="s">
        <v>31</v>
      </c>
      <c r="C42" s="11" t="n">
        <v>77008.0</v>
      </c>
      <c r="D42" s="3" t="n">
        <v>75834.0</v>
      </c>
      <c r="E42" s="3" t="n">
        <v>75780.0</v>
      </c>
      <c r="F42" s="3" t="n">
        <v>76746.0</v>
      </c>
      <c r="G42" s="3" t="n">
        <v>78895.0</v>
      </c>
      <c r="H42" s="3" t="n">
        <v>82379.0</v>
      </c>
      <c r="I42" s="3" t="n">
        <v>86506.0</v>
      </c>
      <c r="J42" s="3" t="n">
        <v>90913.0</v>
      </c>
      <c r="K42" s="3" t="n">
        <v>95765.0</v>
      </c>
      <c r="L42" s="3" t="n">
        <v>100390.0</v>
      </c>
      <c r="M42" s="3" t="n">
        <v>104238.0</v>
      </c>
      <c r="N42" s="3" t="n">
        <v>107236.0</v>
      </c>
      <c r="O42" s="3" t="n">
        <v>110075.0</v>
      </c>
      <c r="P42" s="3" t="n">
        <v>112377.0</v>
      </c>
      <c r="Q42" s="3" t="n">
        <v>113442.0</v>
      </c>
      <c r="R42" s="3" t="n">
        <v>115211.0</v>
      </c>
      <c r="S42" s="3" t="n">
        <v>118194.0</v>
      </c>
      <c r="T42" s="3" t="n">
        <v>119360.0</v>
      </c>
      <c r="U42" s="3" t="n">
        <v>119217.0</v>
      </c>
      <c r="V42" s="3" t="n">
        <v>117649.0</v>
      </c>
      <c r="W42" s="3" t="n">
        <v>114741.0</v>
      </c>
      <c r="X42" s="3" t="n">
        <v>110186.0</v>
      </c>
      <c r="Y42" s="3" t="n">
        <v>106150.0</v>
      </c>
      <c r="Z42" s="3" t="n">
        <v>102846.0</v>
      </c>
      <c r="AA42" s="3" t="n">
        <v>100813.0</v>
      </c>
      <c r="AB42" s="3" t="n">
        <v>98043.0</v>
      </c>
      <c r="AC42" s="3" t="n">
        <v>95358.0</v>
      </c>
      <c r="AD42" s="3" t="n">
        <v>92402.0</v>
      </c>
      <c r="AE42" s="3" t="n">
        <v>88805.0</v>
      </c>
      <c r="AF42" s="3" t="n">
        <v>85167.0</v>
      </c>
      <c r="AG42" s="3" t="n">
        <v>81936.0</v>
      </c>
      <c r="AH42" s="3" t="n">
        <v>78330.0</v>
      </c>
      <c r="AI42" s="3" t="n">
        <v>74805.0</v>
      </c>
      <c r="AJ42" s="3" t="n">
        <v>71694.0</v>
      </c>
      <c r="AK42" s="3" t="n">
        <v>68913.0</v>
      </c>
      <c r="AL42" s="3" t="n">
        <v>66528.0</v>
      </c>
      <c r="AM42" s="3" t="n">
        <v>64656.0</v>
      </c>
      <c r="AN42" s="3" t="n">
        <v>63824.0</v>
      </c>
      <c r="AO42" s="3" t="n">
        <v>63679.0</v>
      </c>
    </row>
    <row r="43" spans="1:41" x14ac:dyDescent="0.2">
      <c r="A43" s="130"/>
      <c r="B43" s="52" t="s">
        <v>32</v>
      </c>
      <c r="C43" s="3" t="n">
        <v>88306.0</v>
      </c>
      <c r="D43" s="3" t="n">
        <v>82985.0</v>
      </c>
      <c r="E43" s="3" t="n">
        <v>78639.0</v>
      </c>
      <c r="F43" s="3" t="n">
        <v>75488.0</v>
      </c>
      <c r="G43" s="3" t="n">
        <v>72948.0</v>
      </c>
      <c r="H43" s="3" t="n">
        <v>71534.0</v>
      </c>
      <c r="I43" s="3" t="n">
        <v>70624.0</v>
      </c>
      <c r="J43" s="3" t="n">
        <v>70686.0</v>
      </c>
      <c r="K43" s="3" t="n">
        <v>71660.0</v>
      </c>
      <c r="L43" s="3" t="n">
        <v>73703.0</v>
      </c>
      <c r="M43" s="3" t="n">
        <v>76935.0</v>
      </c>
      <c r="N43" s="3" t="n">
        <v>80742.0</v>
      </c>
      <c r="O43" s="3" t="n">
        <v>84873.0</v>
      </c>
      <c r="P43" s="3" t="n">
        <v>89438.0</v>
      </c>
      <c r="Q43" s="3" t="n">
        <v>93790.0</v>
      </c>
      <c r="R43" s="3" t="n">
        <v>97419.0</v>
      </c>
      <c r="S43" s="3" t="n">
        <v>100263.0</v>
      </c>
      <c r="T43" s="3" t="n">
        <v>102958.0</v>
      </c>
      <c r="U43" s="3" t="n">
        <v>105168.0</v>
      </c>
      <c r="V43" s="3" t="n">
        <v>106223.0</v>
      </c>
      <c r="W43" s="3" t="n">
        <v>107932.0</v>
      </c>
      <c r="X43" s="3" t="n">
        <v>110798.0</v>
      </c>
      <c r="Y43" s="3" t="n">
        <v>111949.0</v>
      </c>
      <c r="Z43" s="3" t="n">
        <v>111866.0</v>
      </c>
      <c r="AA43" s="3" t="n">
        <v>110416.0</v>
      </c>
      <c r="AB43" s="3" t="n">
        <v>107760.0</v>
      </c>
      <c r="AC43" s="3" t="n">
        <v>103559.0</v>
      </c>
      <c r="AD43" s="3" t="n">
        <v>99860.0</v>
      </c>
      <c r="AE43" s="3" t="n">
        <v>96853.0</v>
      </c>
      <c r="AF43" s="3" t="n">
        <v>95009.0</v>
      </c>
      <c r="AG43" s="3" t="n">
        <v>92459.0</v>
      </c>
      <c r="AH43" s="3" t="n">
        <v>89972.0</v>
      </c>
      <c r="AI43" s="3" t="n">
        <v>87207.0</v>
      </c>
      <c r="AJ43" s="3" t="n">
        <v>83832.0</v>
      </c>
      <c r="AK43" s="3" t="n">
        <v>80448.0</v>
      </c>
      <c r="AL43" s="3" t="n">
        <v>77428.0</v>
      </c>
      <c r="AM43" s="3" t="n">
        <v>74067.0</v>
      </c>
      <c r="AN43" s="3" t="n">
        <v>70787.0</v>
      </c>
      <c r="AO43" s="3" t="n">
        <v>67919.0</v>
      </c>
    </row>
    <row r="44" spans="1:41" x14ac:dyDescent="0.2">
      <c r="A44" s="130"/>
      <c r="B44" s="53" t="s">
        <v>33</v>
      </c>
      <c r="C44" s="3" t="n">
        <v>91584.0</v>
      </c>
      <c r="D44" s="3" t="n">
        <v>91431.0</v>
      </c>
      <c r="E44" s="3" t="n">
        <v>90286.0</v>
      </c>
      <c r="F44" s="3" t="n">
        <v>86982.0</v>
      </c>
      <c r="G44" s="3" t="n">
        <v>83460.0</v>
      </c>
      <c r="H44" s="3" t="n">
        <v>78828.0</v>
      </c>
      <c r="I44" s="3" t="n">
        <v>74363.0</v>
      </c>
      <c r="J44" s="3" t="n">
        <v>70659.0</v>
      </c>
      <c r="K44" s="3" t="n">
        <v>67999.0</v>
      </c>
      <c r="L44" s="3" t="n">
        <v>65870.0</v>
      </c>
      <c r="M44" s="3" t="n">
        <v>64631.0</v>
      </c>
      <c r="N44" s="3" t="n">
        <v>63792.0</v>
      </c>
      <c r="O44" s="3" t="n">
        <v>63903.0</v>
      </c>
      <c r="P44" s="3" t="n">
        <v>64842.0</v>
      </c>
      <c r="Q44" s="3" t="n">
        <v>66757.0</v>
      </c>
      <c r="R44" s="3" t="n">
        <v>69759.0</v>
      </c>
      <c r="S44" s="3" t="n">
        <v>73262.0</v>
      </c>
      <c r="T44" s="3" t="n">
        <v>77036.0</v>
      </c>
      <c r="U44" s="3" t="n">
        <v>81206.0</v>
      </c>
      <c r="V44" s="3" t="n">
        <v>85216.0</v>
      </c>
      <c r="W44" s="3" t="n">
        <v>88563.0</v>
      </c>
      <c r="X44" s="3" t="n">
        <v>91210.0</v>
      </c>
      <c r="Y44" s="3" t="n">
        <v>93745.0</v>
      </c>
      <c r="Z44" s="3" t="n">
        <v>95844.0</v>
      </c>
      <c r="AA44" s="3" t="n">
        <v>96883.0</v>
      </c>
      <c r="AB44" s="3" t="n">
        <v>98546.0</v>
      </c>
      <c r="AC44" s="3" t="n">
        <v>101223.0</v>
      </c>
      <c r="AD44" s="3" t="n">
        <v>102362.0</v>
      </c>
      <c r="AE44" s="3" t="n">
        <v>102366.0</v>
      </c>
      <c r="AF44" s="3" t="n">
        <v>101119.0</v>
      </c>
      <c r="AG44" s="3" t="n">
        <v>98754.0</v>
      </c>
      <c r="AH44" s="3" t="n">
        <v>94999.0</v>
      </c>
      <c r="AI44" s="3" t="n">
        <v>91699.0</v>
      </c>
      <c r="AJ44" s="3" t="n">
        <v>89030.0</v>
      </c>
      <c r="AK44" s="3" t="n">
        <v>87400.0</v>
      </c>
      <c r="AL44" s="3" t="n">
        <v>85119.0</v>
      </c>
      <c r="AM44" s="3" t="n">
        <v>82889.0</v>
      </c>
      <c r="AN44" s="3" t="n">
        <v>80388.0</v>
      </c>
      <c r="AO44" s="3" t="n">
        <v>77337.0</v>
      </c>
    </row>
    <row r="45" spans="1:41" x14ac:dyDescent="0.2">
      <c r="A45" s="130"/>
      <c r="B45" s="52" t="s">
        <v>34</v>
      </c>
      <c r="C45" s="3" t="n">
        <v>72911.0</v>
      </c>
      <c r="D45" s="3" t="n">
        <v>74579.0</v>
      </c>
      <c r="E45" s="3" t="n">
        <v>75769.0</v>
      </c>
      <c r="F45" s="3" t="n">
        <v>77290.0</v>
      </c>
      <c r="G45" s="3" t="n">
        <v>77845.0</v>
      </c>
      <c r="H45" s="3" t="n">
        <v>78026.0</v>
      </c>
      <c r="I45" s="3" t="n">
        <v>78104.0</v>
      </c>
      <c r="J45" s="3" t="n">
        <v>77279.0</v>
      </c>
      <c r="K45" s="3" t="n">
        <v>74613.0</v>
      </c>
      <c r="L45" s="3" t="n">
        <v>71732.0</v>
      </c>
      <c r="M45" s="3" t="n">
        <v>67841.0</v>
      </c>
      <c r="N45" s="3" t="n">
        <v>64100.0</v>
      </c>
      <c r="O45" s="3" t="n">
        <v>61052.0</v>
      </c>
      <c r="P45" s="3" t="n">
        <v>58879.0</v>
      </c>
      <c r="Q45" s="3" t="n">
        <v>57150.0</v>
      </c>
      <c r="R45" s="3" t="n">
        <v>56185.0</v>
      </c>
      <c r="S45" s="3" t="n">
        <v>55573.0</v>
      </c>
      <c r="T45" s="3" t="n">
        <v>55773.0</v>
      </c>
      <c r="U45" s="3" t="n">
        <v>56676.0</v>
      </c>
      <c r="V45" s="3" t="n">
        <v>58419.0</v>
      </c>
      <c r="W45" s="3" t="n">
        <v>61083.0</v>
      </c>
      <c r="X45" s="3" t="n">
        <v>64215.0</v>
      </c>
      <c r="Y45" s="3" t="n">
        <v>67599.0</v>
      </c>
      <c r="Z45" s="3" t="n">
        <v>71331.0</v>
      </c>
      <c r="AA45" s="3" t="n">
        <v>74933.0</v>
      </c>
      <c r="AB45" s="3" t="n">
        <v>77928.0</v>
      </c>
      <c r="AC45" s="3" t="n">
        <v>80326.0</v>
      </c>
      <c r="AD45" s="3" t="n">
        <v>82636.0</v>
      </c>
      <c r="AE45" s="3" t="n">
        <v>84586.0</v>
      </c>
      <c r="AF45" s="3" t="n">
        <v>85605.0</v>
      </c>
      <c r="AG45" s="3" t="n">
        <v>87178.0</v>
      </c>
      <c r="AH45" s="3" t="n">
        <v>89654.0</v>
      </c>
      <c r="AI45" s="3" t="n">
        <v>90743.0</v>
      </c>
      <c r="AJ45" s="3" t="n">
        <v>90834.0</v>
      </c>
      <c r="AK45" s="3" t="n">
        <v>89774.0</v>
      </c>
      <c r="AL45" s="3" t="n">
        <v>87746.0</v>
      </c>
      <c r="AM45" s="3" t="n">
        <v>84514.0</v>
      </c>
      <c r="AN45" s="3" t="n">
        <v>81671.0</v>
      </c>
      <c r="AO45" s="3" t="n">
        <v>79411.0</v>
      </c>
    </row>
    <row r="46" spans="1:41" x14ac:dyDescent="0.2">
      <c r="A46" s="130"/>
      <c r="B46" s="52" t="s">
        <v>35</v>
      </c>
      <c r="C46" s="3" t="n">
        <v>34605.0</v>
      </c>
      <c r="D46" s="3" t="n">
        <v>40552.0</v>
      </c>
      <c r="E46" s="3" t="n">
        <v>46215.0</v>
      </c>
      <c r="F46" s="3" t="n">
        <v>52045.0</v>
      </c>
      <c r="G46" s="3" t="n">
        <v>55705.0</v>
      </c>
      <c r="H46" s="3" t="n">
        <v>58270.0</v>
      </c>
      <c r="I46" s="3" t="n">
        <v>59787.0</v>
      </c>
      <c r="J46" s="3" t="n">
        <v>60876.0</v>
      </c>
      <c r="K46" s="3" t="n">
        <v>62256.0</v>
      </c>
      <c r="L46" s="3" t="n">
        <v>62886.0</v>
      </c>
      <c r="M46" s="3" t="n">
        <v>63176.0</v>
      </c>
      <c r="N46" s="3" t="n">
        <v>63330.0</v>
      </c>
      <c r="O46" s="3" t="n">
        <v>62756.0</v>
      </c>
      <c r="P46" s="3" t="n">
        <v>60687.0</v>
      </c>
      <c r="Q46" s="3" t="n">
        <v>58452.0</v>
      </c>
      <c r="R46" s="3" t="n">
        <v>55432.0</v>
      </c>
      <c r="S46" s="3" t="n">
        <v>52554.0</v>
      </c>
      <c r="T46" s="3" t="n">
        <v>50200.0</v>
      </c>
      <c r="U46" s="3" t="n">
        <v>48556.0</v>
      </c>
      <c r="V46" s="3" t="n">
        <v>47255.0</v>
      </c>
      <c r="W46" s="3" t="n">
        <v>46529.0</v>
      </c>
      <c r="X46" s="3" t="n">
        <v>46129.0</v>
      </c>
      <c r="Y46" s="3" t="n">
        <v>46398.0</v>
      </c>
      <c r="Z46" s="3" t="n">
        <v>47259.0</v>
      </c>
      <c r="AA46" s="3" t="n">
        <v>48798.0</v>
      </c>
      <c r="AB46" s="3" t="n">
        <v>51125.0</v>
      </c>
      <c r="AC46" s="3" t="n">
        <v>53795.0</v>
      </c>
      <c r="AD46" s="3" t="n">
        <v>56696.0</v>
      </c>
      <c r="AE46" s="3" t="n">
        <v>59922.0</v>
      </c>
      <c r="AF46" s="3" t="n">
        <v>63021.0</v>
      </c>
      <c r="AG46" s="3" t="n">
        <v>65628.0</v>
      </c>
      <c r="AH46" s="3" t="n">
        <v>67737.0</v>
      </c>
      <c r="AI46" s="3" t="n">
        <v>69768.0</v>
      </c>
      <c r="AJ46" s="3" t="n">
        <v>71507.0</v>
      </c>
      <c r="AK46" s="3" t="n">
        <v>72462.0</v>
      </c>
      <c r="AL46" s="3" t="n">
        <v>73879.0</v>
      </c>
      <c r="AM46" s="3" t="n">
        <v>76084.0</v>
      </c>
      <c r="AN46" s="3" t="n">
        <v>77109.0</v>
      </c>
      <c r="AO46" s="3" t="n">
        <v>77296.0</v>
      </c>
    </row>
    <row r="47" spans="1:41" x14ac:dyDescent="0.2">
      <c r="A47" s="130"/>
      <c r="B47" s="52" t="s">
        <v>36</v>
      </c>
      <c r="C47" s="3" t="n">
        <v>18894.0</v>
      </c>
      <c r="D47" s="3" t="n">
        <v>18577.0</v>
      </c>
      <c r="E47" s="3" t="n">
        <v>18627.0</v>
      </c>
      <c r="F47" s="3" t="n">
        <v>18590.0</v>
      </c>
      <c r="G47" s="3" t="n">
        <v>21118.0</v>
      </c>
      <c r="H47" s="3" t="n">
        <v>24968.0</v>
      </c>
      <c r="I47" s="3" t="n">
        <v>29381.0</v>
      </c>
      <c r="J47" s="3" t="n">
        <v>33510.0</v>
      </c>
      <c r="K47" s="3" t="n">
        <v>37667.0</v>
      </c>
      <c r="L47" s="3" t="n">
        <v>40354.0</v>
      </c>
      <c r="M47" s="3" t="n">
        <v>42329.0</v>
      </c>
      <c r="N47" s="3" t="n">
        <v>43543.0</v>
      </c>
      <c r="O47" s="3" t="n">
        <v>44435.0</v>
      </c>
      <c r="P47" s="3" t="n">
        <v>45581.0</v>
      </c>
      <c r="Q47" s="3" t="n">
        <v>46170.0</v>
      </c>
      <c r="R47" s="3" t="n">
        <v>46548.0</v>
      </c>
      <c r="S47" s="3" t="n">
        <v>46807.0</v>
      </c>
      <c r="T47" s="3" t="n">
        <v>46476.0</v>
      </c>
      <c r="U47" s="3" t="n">
        <v>45035.0</v>
      </c>
      <c r="V47" s="3" t="n">
        <v>43471.0</v>
      </c>
      <c r="W47" s="3" t="n">
        <v>41307.0</v>
      </c>
      <c r="X47" s="3" t="n">
        <v>39327.0</v>
      </c>
      <c r="Y47" s="3" t="n">
        <v>37728.0</v>
      </c>
      <c r="Z47" s="3" t="n">
        <v>36630.0</v>
      </c>
      <c r="AA47" s="3" t="n">
        <v>35788.0</v>
      </c>
      <c r="AB47" s="3" t="n">
        <v>35336.0</v>
      </c>
      <c r="AC47" s="3" t="n">
        <v>35131.0</v>
      </c>
      <c r="AD47" s="3" t="n">
        <v>35457.0</v>
      </c>
      <c r="AE47" s="3" t="n">
        <v>36229.0</v>
      </c>
      <c r="AF47" s="3" t="n">
        <v>37525.0</v>
      </c>
      <c r="AG47" s="3" t="n">
        <v>39400.0</v>
      </c>
      <c r="AH47" s="3" t="n">
        <v>41545.0</v>
      </c>
      <c r="AI47" s="3" t="n">
        <v>43882.0</v>
      </c>
      <c r="AJ47" s="3" t="n">
        <v>46467.0</v>
      </c>
      <c r="AK47" s="3" t="n">
        <v>48928.0</v>
      </c>
      <c r="AL47" s="3" t="n">
        <v>51039.0</v>
      </c>
      <c r="AM47" s="3" t="n">
        <v>52752.0</v>
      </c>
      <c r="AN47" s="3" t="n">
        <v>54420.0</v>
      </c>
      <c r="AO47" s="3" t="n">
        <v>55922.0</v>
      </c>
    </row>
    <row r="48" spans="1:41" x14ac:dyDescent="0.2">
      <c r="A48" s="130"/>
      <c r="B48" s="52" t="s">
        <v>37</v>
      </c>
      <c r="C48" s="3" t="n">
        <v>11281.0</v>
      </c>
      <c r="D48" s="3" t="n">
        <v>11289.0</v>
      </c>
      <c r="E48" s="3" t="n">
        <v>11224.0</v>
      </c>
      <c r="F48" s="3" t="n">
        <v>11236.0</v>
      </c>
      <c r="G48" s="3" t="n">
        <v>11085.0</v>
      </c>
      <c r="H48" s="3" t="n">
        <v>10829.0</v>
      </c>
      <c r="I48" s="3" t="n">
        <v>10731.0</v>
      </c>
      <c r="J48" s="3" t="n">
        <v>10836.0</v>
      </c>
      <c r="K48" s="3" t="n">
        <v>10942.0</v>
      </c>
      <c r="L48" s="3" t="n">
        <v>12626.0</v>
      </c>
      <c r="M48" s="3" t="n">
        <v>15063.0</v>
      </c>
      <c r="N48" s="3" t="n">
        <v>17805.0</v>
      </c>
      <c r="O48" s="3" t="n">
        <v>20307.0</v>
      </c>
      <c r="P48" s="3" t="n">
        <v>22764.0</v>
      </c>
      <c r="Q48" s="3" t="n">
        <v>24410.0</v>
      </c>
      <c r="R48" s="3" t="n">
        <v>25716.0</v>
      </c>
      <c r="S48" s="3" t="n">
        <v>26584.0</v>
      </c>
      <c r="T48" s="3" t="n">
        <v>27227.0</v>
      </c>
      <c r="U48" s="3" t="n">
        <v>28062.0</v>
      </c>
      <c r="V48" s="3" t="n">
        <v>28549.0</v>
      </c>
      <c r="W48" s="3" t="n">
        <v>28903.0</v>
      </c>
      <c r="X48" s="3" t="n">
        <v>29179.0</v>
      </c>
      <c r="Y48" s="3" t="n">
        <v>29061.0</v>
      </c>
      <c r="Z48" s="3" t="n">
        <v>28238.0</v>
      </c>
      <c r="AA48" s="3" t="n">
        <v>27356.0</v>
      </c>
      <c r="AB48" s="3" t="n">
        <v>26100.0</v>
      </c>
      <c r="AC48" s="3" t="n">
        <v>24967.0</v>
      </c>
      <c r="AD48" s="3" t="n">
        <v>24096.0</v>
      </c>
      <c r="AE48" s="3" t="n">
        <v>23515.0</v>
      </c>
      <c r="AF48" s="3" t="n">
        <v>23105.0</v>
      </c>
      <c r="AG48" s="3" t="n">
        <v>22914.0</v>
      </c>
      <c r="AH48" s="3" t="n">
        <v>22890.0</v>
      </c>
      <c r="AI48" s="3" t="n">
        <v>23199.0</v>
      </c>
      <c r="AJ48" s="3" t="n">
        <v>23825.0</v>
      </c>
      <c r="AK48" s="3" t="n">
        <v>24791.0</v>
      </c>
      <c r="AL48" s="3" t="n">
        <v>26117.0</v>
      </c>
      <c r="AM48" s="3" t="n">
        <v>27630.0</v>
      </c>
      <c r="AN48" s="3" t="n">
        <v>29266.0</v>
      </c>
      <c r="AO48" s="3" t="n">
        <v>31106.0</v>
      </c>
    </row>
    <row r="49" spans="1:41" x14ac:dyDescent="0.2">
      <c r="A49" s="130"/>
      <c r="B49" s="62" t="s">
        <v>81</v>
      </c>
      <c r="C49" s="3" t="n">
        <v>4149.0</v>
      </c>
      <c r="D49" s="3" t="n">
        <v>4325.0</v>
      </c>
      <c r="E49" s="3" t="n">
        <v>4502.0</v>
      </c>
      <c r="F49" s="3" t="n">
        <v>4679.0</v>
      </c>
      <c r="G49" s="3" t="n">
        <v>4819.0</v>
      </c>
      <c r="H49" s="3" t="n">
        <v>4878.0</v>
      </c>
      <c r="I49" s="3" t="n">
        <v>4917.0</v>
      </c>
      <c r="J49" s="3" t="n">
        <v>4924.0</v>
      </c>
      <c r="K49" s="3" t="n">
        <v>4985.0</v>
      </c>
      <c r="L49" s="3" t="n">
        <v>4962.0</v>
      </c>
      <c r="M49" s="3" t="n">
        <v>4891.0</v>
      </c>
      <c r="N49" s="3" t="n">
        <v>4890.0</v>
      </c>
      <c r="O49" s="3" t="n">
        <v>5000.0</v>
      </c>
      <c r="P49" s="3" t="n">
        <v>5107.0</v>
      </c>
      <c r="Q49" s="3" t="n">
        <v>6001.0</v>
      </c>
      <c r="R49" s="3" t="n">
        <v>7233.0</v>
      </c>
      <c r="S49" s="3" t="n">
        <v>8597.0</v>
      </c>
      <c r="T49" s="3" t="n">
        <v>9818.0</v>
      </c>
      <c r="U49" s="3" t="n">
        <v>10985.0</v>
      </c>
      <c r="V49" s="3" t="n">
        <v>11822.0</v>
      </c>
      <c r="W49" s="3" t="n">
        <v>12502.0</v>
      </c>
      <c r="X49" s="3" t="n">
        <v>12997.0</v>
      </c>
      <c r="Y49" s="3" t="n">
        <v>13379.0</v>
      </c>
      <c r="Z49" s="3" t="n">
        <v>13892.0</v>
      </c>
      <c r="AA49" s="3" t="n">
        <v>14216.0</v>
      </c>
      <c r="AB49" s="3" t="n">
        <v>14481.0</v>
      </c>
      <c r="AC49" s="3" t="n">
        <v>14692.0</v>
      </c>
      <c r="AD49" s="3" t="n">
        <v>14687.0</v>
      </c>
      <c r="AE49" s="3" t="n">
        <v>14328.0</v>
      </c>
      <c r="AF49" s="3" t="n">
        <v>13948.0</v>
      </c>
      <c r="AG49" s="3" t="n">
        <v>13382.0</v>
      </c>
      <c r="AH49" s="3" t="n">
        <v>12900.0</v>
      </c>
      <c r="AI49" s="3" t="n">
        <v>12548.0</v>
      </c>
      <c r="AJ49" s="3" t="n">
        <v>12309.0</v>
      </c>
      <c r="AK49" s="3" t="n">
        <v>12167.0</v>
      </c>
      <c r="AL49" s="3" t="n">
        <v>12129.0</v>
      </c>
      <c r="AM49" s="3" t="n">
        <v>12190.0</v>
      </c>
      <c r="AN49" s="3" t="n">
        <v>12449.0</v>
      </c>
      <c r="AO49" s="3" t="n">
        <v>12886.0</v>
      </c>
    </row>
    <row r="50" spans="1:41" x14ac:dyDescent="0.2">
      <c r="A50" s="130"/>
      <c r="B50" s="62" t="s">
        <v>82</v>
      </c>
      <c r="C50" s="3" t="n">
        <v>790.0</v>
      </c>
      <c r="D50" s="3" t="n">
        <v>833.0</v>
      </c>
      <c r="E50" s="3" t="n">
        <v>879.0</v>
      </c>
      <c r="F50" s="3" t="n">
        <v>979.0</v>
      </c>
      <c r="G50" s="3" t="n">
        <v>1075.0</v>
      </c>
      <c r="H50" s="3" t="n">
        <v>1169.0</v>
      </c>
      <c r="I50" s="3" t="n">
        <v>1242.0</v>
      </c>
      <c r="J50" s="3" t="n">
        <v>1307.0</v>
      </c>
      <c r="K50" s="3" t="n">
        <v>1371.0</v>
      </c>
      <c r="L50" s="3" t="n">
        <v>1432.0</v>
      </c>
      <c r="M50" s="3" t="n">
        <v>1461.0</v>
      </c>
      <c r="N50" s="3" t="n">
        <v>1481.0</v>
      </c>
      <c r="O50" s="3" t="n">
        <v>1502.0</v>
      </c>
      <c r="P50" s="3" t="n">
        <v>1557.0</v>
      </c>
      <c r="Q50" s="3" t="n">
        <v>1577.0</v>
      </c>
      <c r="R50" s="3" t="n">
        <v>1576.0</v>
      </c>
      <c r="S50" s="3" t="n">
        <v>1592.0</v>
      </c>
      <c r="T50" s="3" t="n">
        <v>1643.0</v>
      </c>
      <c r="U50" s="3" t="n">
        <v>1686.0</v>
      </c>
      <c r="V50" s="3" t="n">
        <v>2035.0</v>
      </c>
      <c r="W50" s="3" t="n">
        <v>2495.0</v>
      </c>
      <c r="X50" s="3" t="n">
        <v>2994.0</v>
      </c>
      <c r="Y50" s="3" t="n">
        <v>3414.0</v>
      </c>
      <c r="Z50" s="3" t="n">
        <v>3817.0</v>
      </c>
      <c r="AA50" s="3" t="n">
        <v>4130.0</v>
      </c>
      <c r="AB50" s="3" t="n">
        <v>4408.0</v>
      </c>
      <c r="AC50" s="3" t="n">
        <v>4605.0</v>
      </c>
      <c r="AD50" s="3" t="n">
        <v>4776.0</v>
      </c>
      <c r="AE50" s="3" t="n">
        <v>4998.0</v>
      </c>
      <c r="AF50" s="3" t="n">
        <v>5152.0</v>
      </c>
      <c r="AG50" s="3" t="n">
        <v>5286.0</v>
      </c>
      <c r="AH50" s="3" t="n">
        <v>5412.0</v>
      </c>
      <c r="AI50" s="3" t="n">
        <v>5427.0</v>
      </c>
      <c r="AJ50" s="3" t="n">
        <v>5333.0</v>
      </c>
      <c r="AK50" s="3" t="n">
        <v>5218.0</v>
      </c>
      <c r="AL50" s="3" t="n">
        <v>5040.0</v>
      </c>
      <c r="AM50" s="3" t="n">
        <v>4895.0</v>
      </c>
      <c r="AN50" s="3" t="n">
        <v>4795.0</v>
      </c>
      <c r="AO50" s="3" t="n">
        <v>4755.0</v>
      </c>
    </row>
    <row r="51" spans="1:41" x14ac:dyDescent="0.2">
      <c r="A51" s="130"/>
      <c r="B51" s="54" t="s">
        <v>80</v>
      </c>
      <c r="C51" s="3" t="n">
        <v>78.0</v>
      </c>
      <c r="D51" s="3" t="n">
        <v>106.0</v>
      </c>
      <c r="E51" s="3" t="n">
        <v>109.0</v>
      </c>
      <c r="F51" s="3" t="n">
        <v>120.0</v>
      </c>
      <c r="G51" s="3" t="n">
        <v>119.0</v>
      </c>
      <c r="H51" s="3" t="n">
        <v>133.0</v>
      </c>
      <c r="I51" s="3" t="n">
        <v>150.0</v>
      </c>
      <c r="J51" s="3" t="n">
        <v>152.0</v>
      </c>
      <c r="K51" s="3" t="n">
        <v>175.0</v>
      </c>
      <c r="L51" s="3" t="n">
        <v>193.0</v>
      </c>
      <c r="M51" s="3" t="n">
        <v>219.0</v>
      </c>
      <c r="N51" s="3" t="n">
        <v>238.0</v>
      </c>
      <c r="O51" s="3" t="n">
        <v>245.0</v>
      </c>
      <c r="P51" s="3" t="n">
        <v>258.0</v>
      </c>
      <c r="Q51" s="3" t="n">
        <v>276.0</v>
      </c>
      <c r="R51" s="3" t="n">
        <v>289.0</v>
      </c>
      <c r="S51" s="3" t="n">
        <v>295.0</v>
      </c>
      <c r="T51" s="3" t="n">
        <v>305.0</v>
      </c>
      <c r="U51" s="3" t="n">
        <v>328.0</v>
      </c>
      <c r="V51" s="3" t="n">
        <v>339.0</v>
      </c>
      <c r="W51" s="3" t="n">
        <v>338.0</v>
      </c>
      <c r="X51" s="3" t="n">
        <v>347.0</v>
      </c>
      <c r="Y51" s="3" t="n">
        <v>369.0</v>
      </c>
      <c r="Z51" s="3" t="n">
        <v>389.0</v>
      </c>
      <c r="AA51" s="3" t="n">
        <v>478.0</v>
      </c>
      <c r="AB51" s="3" t="n">
        <v>589.0</v>
      </c>
      <c r="AC51" s="3" t="n">
        <v>712.0</v>
      </c>
      <c r="AD51" s="3" t="n">
        <v>816.0</v>
      </c>
      <c r="AE51" s="3" t="n">
        <v>914.0</v>
      </c>
      <c r="AF51" s="3" t="n">
        <v>1001.0</v>
      </c>
      <c r="AG51" s="3" t="n">
        <v>1088.0</v>
      </c>
      <c r="AH51" s="3" t="n">
        <v>1158.0</v>
      </c>
      <c r="AI51" s="3" t="n">
        <v>1224.0</v>
      </c>
      <c r="AJ51" s="3" t="n">
        <v>1305.0</v>
      </c>
      <c r="AK51" s="3" t="n">
        <v>1367.0</v>
      </c>
      <c r="AL51" s="3" t="n">
        <v>1420.0</v>
      </c>
      <c r="AM51" s="3" t="n">
        <v>1472.0</v>
      </c>
      <c r="AN51" s="3" t="n">
        <v>1497.0</v>
      </c>
      <c r="AO51" s="3" t="n">
        <v>1497.0</v>
      </c>
    </row>
    <row r="52" spans="1:41" x14ac:dyDescent="0.2">
      <c r="A52" s="129" t="s">
        <v>51</v>
      </c>
      <c r="B52" s="69" t="s">
        <v>65</v>
      </c>
      <c r="C52" s="70" t="n">
        <v>1499910.0</v>
      </c>
      <c r="D52" s="70" t="n">
        <v>1496205.0</v>
      </c>
      <c r="E52" s="70" t="n">
        <v>1492500.0</v>
      </c>
      <c r="F52" s="70" t="n">
        <v>1488769.0</v>
      </c>
      <c r="G52" s="70" t="n">
        <v>1485010.0</v>
      </c>
      <c r="H52" s="70" t="n">
        <v>1488027.0</v>
      </c>
      <c r="I52" s="70" t="n">
        <v>1493426.0</v>
      </c>
      <c r="J52" s="70" t="n">
        <v>1493169.0</v>
      </c>
      <c r="K52" s="70" t="n">
        <v>1489944.0</v>
      </c>
      <c r="L52" s="70" t="n">
        <v>1485463.0</v>
      </c>
      <c r="M52" s="70" t="n">
        <v>1480133.0</v>
      </c>
      <c r="N52" s="70" t="n">
        <v>1474097.0</v>
      </c>
      <c r="O52" s="70" t="n">
        <v>1467623.0</v>
      </c>
      <c r="P52" s="70" t="n">
        <v>1460805.0</v>
      </c>
      <c r="Q52" s="70" t="n">
        <v>1453714.0</v>
      </c>
      <c r="R52" s="70" t="n">
        <v>1446396.0</v>
      </c>
      <c r="S52" s="70" t="n">
        <v>1438907.0</v>
      </c>
      <c r="T52" s="70" t="n">
        <v>1431286.0</v>
      </c>
      <c r="U52" s="70" t="n">
        <v>1423461.0</v>
      </c>
      <c r="V52" s="70" t="n">
        <v>1415570.0</v>
      </c>
      <c r="W52" s="70" t="n">
        <v>1407603.0</v>
      </c>
      <c r="X52" s="70" t="n">
        <v>1399577.0</v>
      </c>
      <c r="Y52" s="70" t="n">
        <v>1391514.0</v>
      </c>
      <c r="Z52" s="70" t="n">
        <v>1383245.0</v>
      </c>
      <c r="AA52" s="70" t="n">
        <v>1374988.0</v>
      </c>
      <c r="AB52" s="70" t="n">
        <v>1366800.0</v>
      </c>
      <c r="AC52" s="70" t="n">
        <v>1358621.0</v>
      </c>
      <c r="AD52" s="70" t="n">
        <v>1350454.0</v>
      </c>
      <c r="AE52" s="70" t="n">
        <v>1342324.0</v>
      </c>
      <c r="AF52" s="70" t="n">
        <v>1334231.0</v>
      </c>
      <c r="AG52" s="70" t="n">
        <v>1325937.0</v>
      </c>
      <c r="AH52" s="70" t="n">
        <v>1317672.0</v>
      </c>
      <c r="AI52" s="70" t="n">
        <v>1309416.0</v>
      </c>
      <c r="AJ52" s="70" t="n">
        <v>1301069.0</v>
      </c>
      <c r="AK52" s="70" t="n">
        <v>1292679.0</v>
      </c>
      <c r="AL52" s="70" t="n">
        <v>1284230.0</v>
      </c>
      <c r="AM52" s="70" t="n">
        <v>1275541.0</v>
      </c>
      <c r="AN52" s="70" t="n">
        <v>1266712.0</v>
      </c>
      <c r="AO52" s="70" t="n">
        <v>1257757.0</v>
      </c>
    </row>
    <row r="53" spans="1:41" x14ac:dyDescent="0.2">
      <c r="A53" s="130"/>
      <c r="B53" s="52" t="s">
        <v>20</v>
      </c>
      <c r="C53" s="3" t="n">
        <v>61831.0</v>
      </c>
      <c r="D53" s="3" t="n">
        <v>59300.0</v>
      </c>
      <c r="E53" s="3" t="n">
        <v>57324.0</v>
      </c>
      <c r="F53" s="3" t="n">
        <v>55833.0</v>
      </c>
      <c r="G53" s="3" t="n">
        <v>54557.0</v>
      </c>
      <c r="H53" s="3" t="n">
        <v>54724.0</v>
      </c>
      <c r="I53" s="3" t="n">
        <v>54693.0</v>
      </c>
      <c r="J53" s="3" t="n">
        <v>54298.0</v>
      </c>
      <c r="K53" s="3" t="n">
        <v>53689.0</v>
      </c>
      <c r="L53" s="3" t="n">
        <v>53063.0</v>
      </c>
      <c r="M53" s="3" t="n">
        <v>52442.0</v>
      </c>
      <c r="N53" s="3" t="n">
        <v>51875.0</v>
      </c>
      <c r="O53" s="3" t="n">
        <v>51332.0</v>
      </c>
      <c r="P53" s="3" t="n">
        <v>50859.0</v>
      </c>
      <c r="Q53" s="3" t="n">
        <v>50454.0</v>
      </c>
      <c r="R53" s="3" t="n">
        <v>50176.0</v>
      </c>
      <c r="S53" s="3" t="n">
        <v>50037.0</v>
      </c>
      <c r="T53" s="3" t="n">
        <v>50036.0</v>
      </c>
      <c r="U53" s="3" t="n">
        <v>50150.0</v>
      </c>
      <c r="V53" s="3" t="n">
        <v>50359.0</v>
      </c>
      <c r="W53" s="3" t="n">
        <v>50634.0</v>
      </c>
      <c r="X53" s="3" t="n">
        <v>50911.0</v>
      </c>
      <c r="Y53" s="3" t="n">
        <v>51162.0</v>
      </c>
      <c r="Z53" s="3" t="n">
        <v>51349.0</v>
      </c>
      <c r="AA53" s="3" t="n">
        <v>51455.0</v>
      </c>
      <c r="AB53" s="3" t="n">
        <v>51447.0</v>
      </c>
      <c r="AC53" s="3" t="n">
        <v>51330.0</v>
      </c>
      <c r="AD53" s="3" t="n">
        <v>51112.0</v>
      </c>
      <c r="AE53" s="3" t="n">
        <v>50766.0</v>
      </c>
      <c r="AF53" s="3" t="n">
        <v>50314.0</v>
      </c>
      <c r="AG53" s="3" t="n">
        <v>49773.0</v>
      </c>
      <c r="AH53" s="3" t="n">
        <v>49154.0</v>
      </c>
      <c r="AI53" s="3" t="n">
        <v>48451.0</v>
      </c>
      <c r="AJ53" s="3" t="n">
        <v>47713.0</v>
      </c>
      <c r="AK53" s="3" t="n">
        <v>46947.0</v>
      </c>
      <c r="AL53" s="3" t="n">
        <v>46172.0</v>
      </c>
      <c r="AM53" s="3" t="n">
        <v>45411.0</v>
      </c>
      <c r="AN53" s="3" t="n">
        <v>44672.0</v>
      </c>
      <c r="AO53" s="3" t="n">
        <v>43987.0</v>
      </c>
    </row>
    <row r="54" spans="1:41" x14ac:dyDescent="0.2">
      <c r="A54" s="130"/>
      <c r="B54" s="52" t="s">
        <v>21</v>
      </c>
      <c r="C54" s="3" t="n">
        <v>69841.0</v>
      </c>
      <c r="D54" s="3" t="n">
        <v>70393.0</v>
      </c>
      <c r="E54" s="3" t="n">
        <v>69475.0</v>
      </c>
      <c r="F54" s="3" t="n">
        <v>68269.0</v>
      </c>
      <c r="G54" s="3" t="n">
        <v>66428.0</v>
      </c>
      <c r="H54" s="3" t="n">
        <v>63659.0</v>
      </c>
      <c r="I54" s="3" t="n">
        <v>62012.0</v>
      </c>
      <c r="J54" s="3" t="n">
        <v>60334.0</v>
      </c>
      <c r="K54" s="3" t="n">
        <v>58926.0</v>
      </c>
      <c r="L54" s="3" t="n">
        <v>57584.0</v>
      </c>
      <c r="M54" s="3" t="n">
        <v>57157.0</v>
      </c>
      <c r="N54" s="3" t="n">
        <v>56363.0</v>
      </c>
      <c r="O54" s="3" t="n">
        <v>55630.0</v>
      </c>
      <c r="P54" s="3" t="n">
        <v>54899.0</v>
      </c>
      <c r="Q54" s="3" t="n">
        <v>54239.0</v>
      </c>
      <c r="R54" s="3" t="n">
        <v>53628.0</v>
      </c>
      <c r="S54" s="3" t="n">
        <v>53084.0</v>
      </c>
      <c r="T54" s="3" t="n">
        <v>52572.0</v>
      </c>
      <c r="U54" s="3" t="n">
        <v>52112.0</v>
      </c>
      <c r="V54" s="3" t="n">
        <v>51718.0</v>
      </c>
      <c r="W54" s="3" t="n">
        <v>51459.0</v>
      </c>
      <c r="X54" s="3" t="n">
        <v>51345.0</v>
      </c>
      <c r="Y54" s="3" t="n">
        <v>51359.0</v>
      </c>
      <c r="Z54" s="3" t="n">
        <v>51492.0</v>
      </c>
      <c r="AA54" s="3" t="n">
        <v>51716.0</v>
      </c>
      <c r="AB54" s="3" t="n">
        <v>51996.0</v>
      </c>
      <c r="AC54" s="3" t="n">
        <v>52277.0</v>
      </c>
      <c r="AD54" s="3" t="n">
        <v>52523.0</v>
      </c>
      <c r="AE54" s="3" t="n">
        <v>52715.0</v>
      </c>
      <c r="AF54" s="3" t="n">
        <v>52831.0</v>
      </c>
      <c r="AG54" s="3" t="n">
        <v>52835.0</v>
      </c>
      <c r="AH54" s="3" t="n">
        <v>52725.0</v>
      </c>
      <c r="AI54" s="3" t="n">
        <v>52505.0</v>
      </c>
      <c r="AJ54" s="3" t="n">
        <v>52152.0</v>
      </c>
      <c r="AK54" s="3" t="n">
        <v>51698.0</v>
      </c>
      <c r="AL54" s="3" t="n">
        <v>51168.0</v>
      </c>
      <c r="AM54" s="3" t="n">
        <v>50559.0</v>
      </c>
      <c r="AN54" s="3" t="n">
        <v>49874.0</v>
      </c>
      <c r="AO54" s="3" t="n">
        <v>49144.0</v>
      </c>
    </row>
    <row r="55" spans="1:41" x14ac:dyDescent="0.2">
      <c r="A55" s="130"/>
      <c r="B55" s="52" t="s">
        <v>22</v>
      </c>
      <c r="C55" s="3" t="n">
        <v>73265.0</v>
      </c>
      <c r="D55" s="3" t="n">
        <v>71596.0</v>
      </c>
      <c r="E55" s="3" t="n">
        <v>70533.0</v>
      </c>
      <c r="F55" s="3" t="n">
        <v>69457.0</v>
      </c>
      <c r="G55" s="3" t="n">
        <v>69622.0</v>
      </c>
      <c r="H55" s="3" t="n">
        <v>71001.0</v>
      </c>
      <c r="I55" s="3" t="n">
        <v>72557.0</v>
      </c>
      <c r="J55" s="3" t="n">
        <v>72137.0</v>
      </c>
      <c r="K55" s="3" t="n">
        <v>71088.0</v>
      </c>
      <c r="L55" s="3" t="n">
        <v>69278.0</v>
      </c>
      <c r="M55" s="3" t="n">
        <v>65801.0</v>
      </c>
      <c r="N55" s="3" t="n">
        <v>63140.0</v>
      </c>
      <c r="O55" s="3" t="n">
        <v>60976.0</v>
      </c>
      <c r="P55" s="3" t="n">
        <v>59362.0</v>
      </c>
      <c r="Q55" s="3" t="n">
        <v>57894.0</v>
      </c>
      <c r="R55" s="3" t="n">
        <v>57423.0</v>
      </c>
      <c r="S55" s="3" t="n">
        <v>56642.0</v>
      </c>
      <c r="T55" s="3" t="n">
        <v>55929.0</v>
      </c>
      <c r="U55" s="3" t="n">
        <v>55222.0</v>
      </c>
      <c r="V55" s="3" t="n">
        <v>54584.0</v>
      </c>
      <c r="W55" s="3" t="n">
        <v>53988.0</v>
      </c>
      <c r="X55" s="3" t="n">
        <v>53449.0</v>
      </c>
      <c r="Y55" s="3" t="n">
        <v>52939.0</v>
      </c>
      <c r="Z55" s="3" t="n">
        <v>52493.0</v>
      </c>
      <c r="AA55" s="3" t="n">
        <v>52116.0</v>
      </c>
      <c r="AB55" s="3" t="n">
        <v>51870.0</v>
      </c>
      <c r="AC55" s="3" t="n">
        <v>51764.0</v>
      </c>
      <c r="AD55" s="3" t="n">
        <v>51783.0</v>
      </c>
      <c r="AE55" s="3" t="n">
        <v>51915.0</v>
      </c>
      <c r="AF55" s="3" t="n">
        <v>52139.0</v>
      </c>
      <c r="AG55" s="3" t="n">
        <v>52419.0</v>
      </c>
      <c r="AH55" s="3" t="n">
        <v>52692.0</v>
      </c>
      <c r="AI55" s="3" t="n">
        <v>52940.0</v>
      </c>
      <c r="AJ55" s="3" t="n">
        <v>53136.0</v>
      </c>
      <c r="AK55" s="3" t="n">
        <v>53249.0</v>
      </c>
      <c r="AL55" s="3" t="n">
        <v>53239.0</v>
      </c>
      <c r="AM55" s="3" t="n">
        <v>53123.0</v>
      </c>
      <c r="AN55" s="3" t="n">
        <v>52907.0</v>
      </c>
      <c r="AO55" s="3" t="n">
        <v>52560.0</v>
      </c>
    </row>
    <row r="56" spans="1:41" x14ac:dyDescent="0.2">
      <c r="A56" s="130"/>
      <c r="B56" s="52" t="s">
        <v>23</v>
      </c>
      <c r="C56" s="3" t="n">
        <v>62406.0</v>
      </c>
      <c r="D56" s="3" t="n">
        <v>66059.0</v>
      </c>
      <c r="E56" s="3" t="n">
        <v>69456.0</v>
      </c>
      <c r="F56" s="3" t="n">
        <v>72108.0</v>
      </c>
      <c r="G56" s="3" t="n">
        <v>73185.0</v>
      </c>
      <c r="H56" s="3" t="n">
        <v>73898.0</v>
      </c>
      <c r="I56" s="3" t="n">
        <v>73081.0</v>
      </c>
      <c r="J56" s="3" t="n">
        <v>72445.0</v>
      </c>
      <c r="K56" s="3" t="n">
        <v>71566.0</v>
      </c>
      <c r="L56" s="3" t="n">
        <v>71862.0</v>
      </c>
      <c r="M56" s="3" t="n">
        <v>72632.0</v>
      </c>
      <c r="N56" s="3" t="n">
        <v>73257.0</v>
      </c>
      <c r="O56" s="3" t="n">
        <v>72439.0</v>
      </c>
      <c r="P56" s="3" t="n">
        <v>71224.0</v>
      </c>
      <c r="Q56" s="3" t="n">
        <v>69299.0</v>
      </c>
      <c r="R56" s="3" t="n">
        <v>65727.0</v>
      </c>
      <c r="S56" s="3" t="n">
        <v>63033.0</v>
      </c>
      <c r="T56" s="3" t="n">
        <v>60856.0</v>
      </c>
      <c r="U56" s="3" t="n">
        <v>59243.0</v>
      </c>
      <c r="V56" s="3" t="n">
        <v>57779.0</v>
      </c>
      <c r="W56" s="3" t="n">
        <v>57301.0</v>
      </c>
      <c r="X56" s="3" t="n">
        <v>56527.0</v>
      </c>
      <c r="Y56" s="3" t="n">
        <v>55820.0</v>
      </c>
      <c r="Z56" s="3" t="n">
        <v>55118.0</v>
      </c>
      <c r="AA56" s="3" t="n">
        <v>54493.0</v>
      </c>
      <c r="AB56" s="3" t="n">
        <v>53907.0</v>
      </c>
      <c r="AC56" s="3" t="n">
        <v>53376.0</v>
      </c>
      <c r="AD56" s="3" t="n">
        <v>52887.0</v>
      </c>
      <c r="AE56" s="3" t="n">
        <v>52454.0</v>
      </c>
      <c r="AF56" s="3" t="n">
        <v>52093.0</v>
      </c>
      <c r="AG56" s="3" t="n">
        <v>51856.0</v>
      </c>
      <c r="AH56" s="3" t="n">
        <v>51758.0</v>
      </c>
      <c r="AI56" s="3" t="n">
        <v>51779.0</v>
      </c>
      <c r="AJ56" s="3" t="n">
        <v>51909.0</v>
      </c>
      <c r="AK56" s="3" t="n">
        <v>52134.0</v>
      </c>
      <c r="AL56" s="3" t="n">
        <v>52412.0</v>
      </c>
      <c r="AM56" s="3" t="n">
        <v>52684.0</v>
      </c>
      <c r="AN56" s="3" t="n">
        <v>52925.0</v>
      </c>
      <c r="AO56" s="3" t="n">
        <v>53115.0</v>
      </c>
    </row>
    <row r="57" spans="1:41" x14ac:dyDescent="0.2">
      <c r="A57" s="130"/>
      <c r="B57" s="52" t="s">
        <v>24</v>
      </c>
      <c r="C57" s="3" t="n">
        <v>64337.0</v>
      </c>
      <c r="D57" s="3" t="n">
        <v>61798.0</v>
      </c>
      <c r="E57" s="3" t="n">
        <v>60456.0</v>
      </c>
      <c r="F57" s="3" t="n">
        <v>59755.0</v>
      </c>
      <c r="G57" s="3" t="n">
        <v>60245.0</v>
      </c>
      <c r="H57" s="3" t="n">
        <v>62956.0</v>
      </c>
      <c r="I57" s="3" t="n">
        <v>67332.0</v>
      </c>
      <c r="J57" s="3" t="n">
        <v>71065.0</v>
      </c>
      <c r="K57" s="3" t="n">
        <v>73885.0</v>
      </c>
      <c r="L57" s="3" t="n">
        <v>75041.0</v>
      </c>
      <c r="M57" s="3" t="n">
        <v>75236.0</v>
      </c>
      <c r="N57" s="3" t="n">
        <v>73658.0</v>
      </c>
      <c r="O57" s="3" t="n">
        <v>72642.0</v>
      </c>
      <c r="P57" s="3" t="n">
        <v>71623.0</v>
      </c>
      <c r="Q57" s="3" t="n">
        <v>71834.0</v>
      </c>
      <c r="R57" s="3" t="n">
        <v>72550.0</v>
      </c>
      <c r="S57" s="3" t="n">
        <v>73167.0</v>
      </c>
      <c r="T57" s="3" t="n">
        <v>72361.0</v>
      </c>
      <c r="U57" s="3" t="n">
        <v>71151.0</v>
      </c>
      <c r="V57" s="3" t="n">
        <v>69239.0</v>
      </c>
      <c r="W57" s="3" t="n">
        <v>65679.0</v>
      </c>
      <c r="X57" s="3" t="n">
        <v>62962.0</v>
      </c>
      <c r="Y57" s="3" t="n">
        <v>60769.0</v>
      </c>
      <c r="Z57" s="3" t="n">
        <v>59125.0</v>
      </c>
      <c r="AA57" s="3" t="n">
        <v>57654.0</v>
      </c>
      <c r="AB57" s="3" t="n">
        <v>57191.0</v>
      </c>
      <c r="AC57" s="3" t="n">
        <v>56418.0</v>
      </c>
      <c r="AD57" s="3" t="n">
        <v>55726.0</v>
      </c>
      <c r="AE57" s="3" t="n">
        <v>55032.0</v>
      </c>
      <c r="AF57" s="3" t="n">
        <v>54403.0</v>
      </c>
      <c r="AG57" s="3" t="n">
        <v>53811.0</v>
      </c>
      <c r="AH57" s="3" t="n">
        <v>53290.0</v>
      </c>
      <c r="AI57" s="3" t="n">
        <v>52814.0</v>
      </c>
      <c r="AJ57" s="3" t="n">
        <v>52389.0</v>
      </c>
      <c r="AK57" s="3" t="n">
        <v>52034.0</v>
      </c>
      <c r="AL57" s="3" t="n">
        <v>51801.0</v>
      </c>
      <c r="AM57" s="3" t="n">
        <v>51706.0</v>
      </c>
      <c r="AN57" s="3" t="n">
        <v>51732.0</v>
      </c>
      <c r="AO57" s="3" t="n">
        <v>51867.0</v>
      </c>
    </row>
    <row r="58" spans="1:41" x14ac:dyDescent="0.2">
      <c r="A58" s="130"/>
      <c r="B58" s="52" t="s">
        <v>25</v>
      </c>
      <c r="C58" s="3" t="n">
        <v>85079.0</v>
      </c>
      <c r="D58" s="3" t="n">
        <v>81066.0</v>
      </c>
      <c r="E58" s="3" t="n">
        <v>76396.0</v>
      </c>
      <c r="F58" s="3" t="n">
        <v>72879.0</v>
      </c>
      <c r="G58" s="3" t="n">
        <v>69628.0</v>
      </c>
      <c r="H58" s="3" t="n">
        <v>66755.0</v>
      </c>
      <c r="I58" s="3" t="n">
        <v>64972.0</v>
      </c>
      <c r="J58" s="3" t="n">
        <v>63936.0</v>
      </c>
      <c r="K58" s="3" t="n">
        <v>63347.0</v>
      </c>
      <c r="L58" s="3" t="n">
        <v>63864.0</v>
      </c>
      <c r="M58" s="3" t="n">
        <v>66070.0</v>
      </c>
      <c r="N58" s="3" t="n">
        <v>69722.0</v>
      </c>
      <c r="O58" s="3" t="n">
        <v>73143.0</v>
      </c>
      <c r="P58" s="3" t="n">
        <v>75829.0</v>
      </c>
      <c r="Q58" s="3" t="n">
        <v>76940.0</v>
      </c>
      <c r="R58" s="3" t="n">
        <v>77142.0</v>
      </c>
      <c r="S58" s="3" t="n">
        <v>75553.0</v>
      </c>
      <c r="T58" s="3" t="n">
        <v>74488.0</v>
      </c>
      <c r="U58" s="3" t="n">
        <v>73409.0</v>
      </c>
      <c r="V58" s="3" t="n">
        <v>73582.0</v>
      </c>
      <c r="W58" s="3" t="n">
        <v>74254.0</v>
      </c>
      <c r="X58" s="3" t="n">
        <v>74883.0</v>
      </c>
      <c r="Y58" s="3" t="n">
        <v>74114.0</v>
      </c>
      <c r="Z58" s="3" t="n">
        <v>72935.0</v>
      </c>
      <c r="AA58" s="3" t="n">
        <v>71015.0</v>
      </c>
      <c r="AB58" s="3" t="n">
        <v>67386.0</v>
      </c>
      <c r="AC58" s="3" t="n">
        <v>64586.0</v>
      </c>
      <c r="AD58" s="3" t="n">
        <v>62268.0</v>
      </c>
      <c r="AE58" s="3" t="n">
        <v>60551.0</v>
      </c>
      <c r="AF58" s="3" t="n">
        <v>59041.0</v>
      </c>
      <c r="AG58" s="3" t="n">
        <v>58563.0</v>
      </c>
      <c r="AH58" s="3" t="n">
        <v>57774.0</v>
      </c>
      <c r="AI58" s="3" t="n">
        <v>57058.0</v>
      </c>
      <c r="AJ58" s="3" t="n">
        <v>56347.0</v>
      </c>
      <c r="AK58" s="3" t="n">
        <v>55698.0</v>
      </c>
      <c r="AL58" s="3" t="n">
        <v>55108.0</v>
      </c>
      <c r="AM58" s="3" t="n">
        <v>54598.0</v>
      </c>
      <c r="AN58" s="3" t="n">
        <v>54123.0</v>
      </c>
      <c r="AO58" s="3" t="n">
        <v>53696.0</v>
      </c>
    </row>
    <row r="59" spans="1:41" x14ac:dyDescent="0.2">
      <c r="A59" s="130"/>
      <c r="B59" s="52" t="s">
        <v>26</v>
      </c>
      <c r="C59" s="3" t="n">
        <v>103372.0</v>
      </c>
      <c r="D59" s="3" t="n">
        <v>100743.0</v>
      </c>
      <c r="E59" s="3" t="n">
        <v>98204.0</v>
      </c>
      <c r="F59" s="3" t="n">
        <v>94615.0</v>
      </c>
      <c r="G59" s="3" t="n">
        <v>90712.0</v>
      </c>
      <c r="H59" s="3" t="n">
        <v>88149.0</v>
      </c>
      <c r="I59" s="3" t="n">
        <v>85008.0</v>
      </c>
      <c r="J59" s="3" t="n">
        <v>80758.0</v>
      </c>
      <c r="K59" s="3" t="n">
        <v>77380.0</v>
      </c>
      <c r="L59" s="3" t="n">
        <v>74141.0</v>
      </c>
      <c r="M59" s="3" t="n">
        <v>70754.0</v>
      </c>
      <c r="N59" s="3" t="n">
        <v>68251.0</v>
      </c>
      <c r="O59" s="3" t="n">
        <v>66891.0</v>
      </c>
      <c r="P59" s="3" t="n">
        <v>66174.0</v>
      </c>
      <c r="Q59" s="3" t="n">
        <v>66621.0</v>
      </c>
      <c r="R59" s="3" t="n">
        <v>68772.0</v>
      </c>
      <c r="S59" s="3" t="n">
        <v>72424.0</v>
      </c>
      <c r="T59" s="3" t="n">
        <v>75882.0</v>
      </c>
      <c r="U59" s="3" t="n">
        <v>78616.0</v>
      </c>
      <c r="V59" s="3" t="n">
        <v>79748.0</v>
      </c>
      <c r="W59" s="3" t="n">
        <v>79970.0</v>
      </c>
      <c r="X59" s="3" t="n">
        <v>78344.0</v>
      </c>
      <c r="Y59" s="3" t="n">
        <v>77205.0</v>
      </c>
      <c r="Z59" s="3" t="n">
        <v>76060.0</v>
      </c>
      <c r="AA59" s="3" t="n">
        <v>76210.0</v>
      </c>
      <c r="AB59" s="3" t="n">
        <v>76888.0</v>
      </c>
      <c r="AC59" s="3" t="n">
        <v>77529.0</v>
      </c>
      <c r="AD59" s="3" t="n">
        <v>76790.0</v>
      </c>
      <c r="AE59" s="3" t="n">
        <v>75592.0</v>
      </c>
      <c r="AF59" s="3" t="n">
        <v>73575.0</v>
      </c>
      <c r="AG59" s="3" t="n">
        <v>69796.0</v>
      </c>
      <c r="AH59" s="3" t="n">
        <v>66852.0</v>
      </c>
      <c r="AI59" s="3" t="n">
        <v>64426.0</v>
      </c>
      <c r="AJ59" s="3" t="n">
        <v>62634.0</v>
      </c>
      <c r="AK59" s="3" t="n">
        <v>61068.0</v>
      </c>
      <c r="AL59" s="3" t="n">
        <v>60568.0</v>
      </c>
      <c r="AM59" s="3" t="n">
        <v>59752.0</v>
      </c>
      <c r="AN59" s="3" t="n">
        <v>59032.0</v>
      </c>
      <c r="AO59" s="3" t="n">
        <v>58318.0</v>
      </c>
    </row>
    <row r="60" spans="1:41" x14ac:dyDescent="0.2">
      <c r="A60" s="130"/>
      <c r="B60" s="52" t="s">
        <v>27</v>
      </c>
      <c r="C60" s="3" t="n">
        <v>123221.0</v>
      </c>
      <c r="D60" s="3" t="n">
        <v>118247.0</v>
      </c>
      <c r="E60" s="3" t="n">
        <v>113856.0</v>
      </c>
      <c r="F60" s="3" t="n">
        <v>110091.0</v>
      </c>
      <c r="G60" s="3" t="n">
        <v>107505.0</v>
      </c>
      <c r="H60" s="3" t="n">
        <v>105396.0</v>
      </c>
      <c r="I60" s="3" t="n">
        <v>103742.0</v>
      </c>
      <c r="J60" s="3" t="n">
        <v>101519.0</v>
      </c>
      <c r="K60" s="3" t="n">
        <v>97997.0</v>
      </c>
      <c r="L60" s="3" t="n">
        <v>94041.0</v>
      </c>
      <c r="M60" s="3" t="n">
        <v>90754.0</v>
      </c>
      <c r="N60" s="3" t="n">
        <v>86689.0</v>
      </c>
      <c r="O60" s="3" t="n">
        <v>82081.0</v>
      </c>
      <c r="P60" s="3" t="n">
        <v>78594.0</v>
      </c>
      <c r="Q60" s="3" t="n">
        <v>75351.0</v>
      </c>
      <c r="R60" s="3" t="n">
        <v>72002.0</v>
      </c>
      <c r="S60" s="3" t="n">
        <v>69567.0</v>
      </c>
      <c r="T60" s="3" t="n">
        <v>68239.0</v>
      </c>
      <c r="U60" s="3" t="n">
        <v>67537.0</v>
      </c>
      <c r="V60" s="3" t="n">
        <v>68017.0</v>
      </c>
      <c r="W60" s="3" t="n">
        <v>70164.0</v>
      </c>
      <c r="X60" s="3" t="n">
        <v>73807.0</v>
      </c>
      <c r="Y60" s="3" t="n">
        <v>77274.0</v>
      </c>
      <c r="Z60" s="3" t="n">
        <v>80004.0</v>
      </c>
      <c r="AA60" s="3" t="n">
        <v>81115.0</v>
      </c>
      <c r="AB60" s="3" t="n">
        <v>81328.0</v>
      </c>
      <c r="AC60" s="3" t="n">
        <v>79684.0</v>
      </c>
      <c r="AD60" s="3" t="n">
        <v>78516.0</v>
      </c>
      <c r="AE60" s="3" t="n">
        <v>77334.0</v>
      </c>
      <c r="AF60" s="3" t="n">
        <v>77484.0</v>
      </c>
      <c r="AG60" s="3" t="n">
        <v>78174.0</v>
      </c>
      <c r="AH60" s="3" t="n">
        <v>78813.0</v>
      </c>
      <c r="AI60" s="3" t="n">
        <v>78086.0</v>
      </c>
      <c r="AJ60" s="3" t="n">
        <v>76850.0</v>
      </c>
      <c r="AK60" s="3" t="n">
        <v>74770.0</v>
      </c>
      <c r="AL60" s="3" t="n">
        <v>70926.0</v>
      </c>
      <c r="AM60" s="3" t="n">
        <v>67947.0</v>
      </c>
      <c r="AN60" s="3" t="n">
        <v>65467.0</v>
      </c>
      <c r="AO60" s="3" t="n">
        <v>63639.0</v>
      </c>
    </row>
    <row r="61" spans="1:41" x14ac:dyDescent="0.2">
      <c r="A61" s="130"/>
      <c r="B61" s="52" t="s">
        <v>28</v>
      </c>
      <c r="C61" s="3" t="n">
        <v>123666.0</v>
      </c>
      <c r="D61" s="3" t="n">
        <v>126269.0</v>
      </c>
      <c r="E61" s="3" t="n">
        <v>127647.0</v>
      </c>
      <c r="F61" s="3" t="n">
        <v>127537.0</v>
      </c>
      <c r="G61" s="3" t="n">
        <v>125907.0</v>
      </c>
      <c r="H61" s="3" t="n">
        <v>123514.0</v>
      </c>
      <c r="I61" s="3" t="n">
        <v>119468.0</v>
      </c>
      <c r="J61" s="3" t="n">
        <v>115610.0</v>
      </c>
      <c r="K61" s="3" t="n">
        <v>112105.0</v>
      </c>
      <c r="L61" s="3" t="n">
        <v>109703.0</v>
      </c>
      <c r="M61" s="3" t="n">
        <v>106947.0</v>
      </c>
      <c r="N61" s="3" t="n">
        <v>104280.0</v>
      </c>
      <c r="O61" s="3" t="n">
        <v>101582.0</v>
      </c>
      <c r="P61" s="3" t="n">
        <v>97862.0</v>
      </c>
      <c r="Q61" s="3" t="n">
        <v>93836.0</v>
      </c>
      <c r="R61" s="3" t="n">
        <v>90532.0</v>
      </c>
      <c r="S61" s="3" t="n">
        <v>86500.0</v>
      </c>
      <c r="T61" s="3" t="n">
        <v>81953.0</v>
      </c>
      <c r="U61" s="3" t="n">
        <v>78546.0</v>
      </c>
      <c r="V61" s="3" t="n">
        <v>75376.0</v>
      </c>
      <c r="W61" s="3" t="n">
        <v>72120.0</v>
      </c>
      <c r="X61" s="3" t="n">
        <v>69755.0</v>
      </c>
      <c r="Y61" s="3" t="n">
        <v>68467.0</v>
      </c>
      <c r="Z61" s="3" t="n">
        <v>67796.0</v>
      </c>
      <c r="AA61" s="3" t="n">
        <v>68281.0</v>
      </c>
      <c r="AB61" s="3" t="n">
        <v>70404.0</v>
      </c>
      <c r="AC61" s="3" t="n">
        <v>74021.0</v>
      </c>
      <c r="AD61" s="3" t="n">
        <v>77437.0</v>
      </c>
      <c r="AE61" s="3" t="n">
        <v>80132.0</v>
      </c>
      <c r="AF61" s="3" t="n">
        <v>81240.0</v>
      </c>
      <c r="AG61" s="3" t="n">
        <v>81452.0</v>
      </c>
      <c r="AH61" s="3" t="n">
        <v>79822.0</v>
      </c>
      <c r="AI61" s="3" t="n">
        <v>78636.0</v>
      </c>
      <c r="AJ61" s="3" t="n">
        <v>77453.0</v>
      </c>
      <c r="AK61" s="3" t="n">
        <v>77601.0</v>
      </c>
      <c r="AL61" s="3" t="n">
        <v>78280.0</v>
      </c>
      <c r="AM61" s="3" t="n">
        <v>78903.0</v>
      </c>
      <c r="AN61" s="3" t="n">
        <v>78179.0</v>
      </c>
      <c r="AO61" s="3" t="n">
        <v>76951.0</v>
      </c>
    </row>
    <row r="62" spans="1:41" x14ac:dyDescent="0.2">
      <c r="A62" s="130"/>
      <c r="B62" s="52" t="s">
        <v>29</v>
      </c>
      <c r="C62" s="3" t="n">
        <v>110344.0</v>
      </c>
      <c r="D62" s="3" t="n">
        <v>113758.0</v>
      </c>
      <c r="E62" s="3" t="n">
        <v>116580.0</v>
      </c>
      <c r="F62" s="3" t="n">
        <v>118870.0</v>
      </c>
      <c r="G62" s="3" t="n">
        <v>120605.0</v>
      </c>
      <c r="H62" s="3" t="n">
        <v>122901.0</v>
      </c>
      <c r="I62" s="3" t="n">
        <v>126175.0</v>
      </c>
      <c r="J62" s="3" t="n">
        <v>127910.0</v>
      </c>
      <c r="K62" s="3" t="n">
        <v>128038.0</v>
      </c>
      <c r="L62" s="3" t="n">
        <v>126577.0</v>
      </c>
      <c r="M62" s="3" t="n">
        <v>123726.0</v>
      </c>
      <c r="N62" s="3" t="n">
        <v>119006.0</v>
      </c>
      <c r="O62" s="3" t="n">
        <v>114849.0</v>
      </c>
      <c r="P62" s="3" t="n">
        <v>111231.0</v>
      </c>
      <c r="Q62" s="3" t="n">
        <v>108768.0</v>
      </c>
      <c r="R62" s="3" t="n">
        <v>106005.0</v>
      </c>
      <c r="S62" s="3" t="n">
        <v>103347.0</v>
      </c>
      <c r="T62" s="3" t="n">
        <v>100676.0</v>
      </c>
      <c r="U62" s="3" t="n">
        <v>96996.0</v>
      </c>
      <c r="V62" s="3" t="n">
        <v>92997.0</v>
      </c>
      <c r="W62" s="3" t="n">
        <v>89722.0</v>
      </c>
      <c r="X62" s="3" t="n">
        <v>85746.0</v>
      </c>
      <c r="Y62" s="3" t="n">
        <v>81298.0</v>
      </c>
      <c r="Z62" s="3" t="n">
        <v>77981.0</v>
      </c>
      <c r="AA62" s="3" t="n">
        <v>74888.0</v>
      </c>
      <c r="AB62" s="3" t="n">
        <v>71699.0</v>
      </c>
      <c r="AC62" s="3" t="n">
        <v>69372.0</v>
      </c>
      <c r="AD62" s="3" t="n">
        <v>68117.0</v>
      </c>
      <c r="AE62" s="3" t="n">
        <v>67484.0</v>
      </c>
      <c r="AF62" s="3" t="n">
        <v>67979.0</v>
      </c>
      <c r="AG62" s="3" t="n">
        <v>70062.0</v>
      </c>
      <c r="AH62" s="3" t="n">
        <v>73643.0</v>
      </c>
      <c r="AI62" s="3" t="n">
        <v>77026.0</v>
      </c>
      <c r="AJ62" s="3" t="n">
        <v>79684.0</v>
      </c>
      <c r="AK62" s="3" t="n">
        <v>80778.0</v>
      </c>
      <c r="AL62" s="3" t="n">
        <v>81005.0</v>
      </c>
      <c r="AM62" s="3" t="n">
        <v>79383.0</v>
      </c>
      <c r="AN62" s="3" t="n">
        <v>78218.0</v>
      </c>
      <c r="AO62" s="3" t="n">
        <v>77054.0</v>
      </c>
    </row>
    <row r="63" spans="1:41" x14ac:dyDescent="0.2">
      <c r="A63" s="130"/>
      <c r="B63" s="52" t="s">
        <v>30</v>
      </c>
      <c r="C63" s="3" t="n">
        <v>86336.0</v>
      </c>
      <c r="D63" s="3" t="n">
        <v>90518.0</v>
      </c>
      <c r="E63" s="3" t="n">
        <v>95123.0</v>
      </c>
      <c r="F63" s="3" t="n">
        <v>100230.0</v>
      </c>
      <c r="G63" s="3" t="n">
        <v>104878.0</v>
      </c>
      <c r="H63" s="3" t="n">
        <v>109254.0</v>
      </c>
      <c r="I63" s="3" t="n">
        <v>113106.0</v>
      </c>
      <c r="J63" s="3" t="n">
        <v>116173.0</v>
      </c>
      <c r="K63" s="3" t="n">
        <v>118578.0</v>
      </c>
      <c r="L63" s="3" t="n">
        <v>120372.0</v>
      </c>
      <c r="M63" s="3" t="n">
        <v>122284.0</v>
      </c>
      <c r="N63" s="3" t="n">
        <v>124929.0</v>
      </c>
      <c r="O63" s="3" t="n">
        <v>126371.0</v>
      </c>
      <c r="P63" s="3" t="n">
        <v>126393.0</v>
      </c>
      <c r="Q63" s="3" t="n">
        <v>124925.0</v>
      </c>
      <c r="R63" s="3" t="n">
        <v>122118.0</v>
      </c>
      <c r="S63" s="3" t="n">
        <v>117487.0</v>
      </c>
      <c r="T63" s="3" t="n">
        <v>113397.0</v>
      </c>
      <c r="U63" s="3" t="n">
        <v>109824.0</v>
      </c>
      <c r="V63" s="3" t="n">
        <v>107410.0</v>
      </c>
      <c r="W63" s="3" t="n">
        <v>104697.0</v>
      </c>
      <c r="X63" s="3" t="n">
        <v>102077.0</v>
      </c>
      <c r="Y63" s="3" t="n">
        <v>99432.0</v>
      </c>
      <c r="Z63" s="3" t="n">
        <v>95785.0</v>
      </c>
      <c r="AA63" s="3" t="n">
        <v>91830.0</v>
      </c>
      <c r="AB63" s="3" t="n">
        <v>88601.0</v>
      </c>
      <c r="AC63" s="3" t="n">
        <v>84698.0</v>
      </c>
      <c r="AD63" s="3" t="n">
        <v>80341.0</v>
      </c>
      <c r="AE63" s="3" t="n">
        <v>77088.0</v>
      </c>
      <c r="AF63" s="3" t="n">
        <v>74058.0</v>
      </c>
      <c r="AG63" s="3" t="n">
        <v>70941.0</v>
      </c>
      <c r="AH63" s="3" t="n">
        <v>68666.0</v>
      </c>
      <c r="AI63" s="3" t="n">
        <v>67452.0</v>
      </c>
      <c r="AJ63" s="3" t="n">
        <v>66852.0</v>
      </c>
      <c r="AK63" s="3" t="n">
        <v>67359.0</v>
      </c>
      <c r="AL63" s="3" t="n">
        <v>69422.0</v>
      </c>
      <c r="AM63" s="3" t="n">
        <v>72977.0</v>
      </c>
      <c r="AN63" s="3" t="n">
        <v>76324.0</v>
      </c>
      <c r="AO63" s="3" t="n">
        <v>78951.0</v>
      </c>
    </row>
    <row r="64" spans="1:41" x14ac:dyDescent="0.2">
      <c r="A64" s="130"/>
      <c r="B64" s="52" t="s">
        <v>31</v>
      </c>
      <c r="C64" s="3" t="n">
        <v>81277.0</v>
      </c>
      <c r="D64" s="3" t="n">
        <v>79443.0</v>
      </c>
      <c r="E64" s="3" t="n">
        <v>78887.0</v>
      </c>
      <c r="F64" s="3" t="n">
        <v>79410.0</v>
      </c>
      <c r="G64" s="3" t="n">
        <v>81534.0</v>
      </c>
      <c r="H64" s="3" t="n">
        <v>85033.0</v>
      </c>
      <c r="I64" s="3" t="n">
        <v>89527.0</v>
      </c>
      <c r="J64" s="3" t="n">
        <v>94218.0</v>
      </c>
      <c r="K64" s="3" t="n">
        <v>99316.0</v>
      </c>
      <c r="L64" s="3" t="n">
        <v>103953.0</v>
      </c>
      <c r="M64" s="3" t="n">
        <v>107957.0</v>
      </c>
      <c r="N64" s="3" t="n">
        <v>111331.0</v>
      </c>
      <c r="O64" s="3" t="n">
        <v>114144.0</v>
      </c>
      <c r="P64" s="3" t="n">
        <v>116421.0</v>
      </c>
      <c r="Q64" s="3" t="n">
        <v>118140.0</v>
      </c>
      <c r="R64" s="3" t="n">
        <v>120001.0</v>
      </c>
      <c r="S64" s="3" t="n">
        <v>122604.0</v>
      </c>
      <c r="T64" s="3" t="n">
        <v>124041.0</v>
      </c>
      <c r="U64" s="3" t="n">
        <v>124089.0</v>
      </c>
      <c r="V64" s="3" t="n">
        <v>122683.0</v>
      </c>
      <c r="W64" s="3" t="n">
        <v>119943.0</v>
      </c>
      <c r="X64" s="3" t="n">
        <v>115420.0</v>
      </c>
      <c r="Y64" s="3" t="n">
        <v>111434.0</v>
      </c>
      <c r="Z64" s="3" t="n">
        <v>107929.0</v>
      </c>
      <c r="AA64" s="3" t="n">
        <v>105585.0</v>
      </c>
      <c r="AB64" s="3" t="n">
        <v>102927.0</v>
      </c>
      <c r="AC64" s="3" t="n">
        <v>100363.0</v>
      </c>
      <c r="AD64" s="3" t="n">
        <v>97779.0</v>
      </c>
      <c r="AE64" s="3" t="n">
        <v>94221.0</v>
      </c>
      <c r="AF64" s="3" t="n">
        <v>90345.0</v>
      </c>
      <c r="AG64" s="3" t="n">
        <v>87185.0</v>
      </c>
      <c r="AH64" s="3" t="n">
        <v>83382.0</v>
      </c>
      <c r="AI64" s="3" t="n">
        <v>79139.0</v>
      </c>
      <c r="AJ64" s="3" t="n">
        <v>75977.0</v>
      </c>
      <c r="AK64" s="3" t="n">
        <v>73037.0</v>
      </c>
      <c r="AL64" s="3" t="n">
        <v>70007.0</v>
      </c>
      <c r="AM64" s="3" t="n">
        <v>67802.0</v>
      </c>
      <c r="AN64" s="3" t="n">
        <v>66639.0</v>
      </c>
      <c r="AO64" s="3" t="n">
        <v>66068.0</v>
      </c>
    </row>
    <row r="65" spans="1:41" x14ac:dyDescent="0.2">
      <c r="A65" s="130"/>
      <c r="B65" s="52" t="s">
        <v>32</v>
      </c>
      <c r="C65" s="3" t="n">
        <v>100912.0</v>
      </c>
      <c r="D65" s="3" t="n">
        <v>94735.0</v>
      </c>
      <c r="E65" s="3" t="n">
        <v>89205.0</v>
      </c>
      <c r="F65" s="3" t="n">
        <v>84911.0</v>
      </c>
      <c r="G65" s="3" t="n">
        <v>81511.0</v>
      </c>
      <c r="H65" s="3" t="n">
        <v>79267.0</v>
      </c>
      <c r="I65" s="3" t="n">
        <v>77871.0</v>
      </c>
      <c r="J65" s="3" t="n">
        <v>77536.0</v>
      </c>
      <c r="K65" s="3" t="n">
        <v>78151.0</v>
      </c>
      <c r="L65" s="3" t="n">
        <v>80239.0</v>
      </c>
      <c r="M65" s="3" t="n">
        <v>83430.0</v>
      </c>
      <c r="N65" s="3" t="n">
        <v>87462.0</v>
      </c>
      <c r="O65" s="3" t="n">
        <v>91870.0</v>
      </c>
      <c r="P65" s="3" t="n">
        <v>96771.0</v>
      </c>
      <c r="Q65" s="3" t="n">
        <v>101266.0</v>
      </c>
      <c r="R65" s="3" t="n">
        <v>105146.0</v>
      </c>
      <c r="S65" s="3" t="n">
        <v>108447.0</v>
      </c>
      <c r="T65" s="3" t="n">
        <v>111202.0</v>
      </c>
      <c r="U65" s="3" t="n">
        <v>113441.0</v>
      </c>
      <c r="V65" s="3" t="n">
        <v>115126.0</v>
      </c>
      <c r="W65" s="3" t="n">
        <v>116954.0</v>
      </c>
      <c r="X65" s="3" t="n">
        <v>119515.0</v>
      </c>
      <c r="Y65" s="3" t="n">
        <v>120935.0</v>
      </c>
      <c r="Z65" s="3" t="n">
        <v>121002.0</v>
      </c>
      <c r="AA65" s="3" t="n">
        <v>119636.0</v>
      </c>
      <c r="AB65" s="3" t="n">
        <v>116998.0</v>
      </c>
      <c r="AC65" s="3" t="n">
        <v>112628.0</v>
      </c>
      <c r="AD65" s="3" t="n">
        <v>108780.0</v>
      </c>
      <c r="AE65" s="3" t="n">
        <v>105425.0</v>
      </c>
      <c r="AF65" s="3" t="n">
        <v>103175.0</v>
      </c>
      <c r="AG65" s="3" t="n">
        <v>100601.0</v>
      </c>
      <c r="AH65" s="3" t="n">
        <v>98113.0</v>
      </c>
      <c r="AI65" s="3" t="n">
        <v>95601.0</v>
      </c>
      <c r="AJ65" s="3" t="n">
        <v>92139.0</v>
      </c>
      <c r="AK65" s="3" t="n">
        <v>88380.0</v>
      </c>
      <c r="AL65" s="3" t="n">
        <v>85320.0</v>
      </c>
      <c r="AM65" s="3" t="n">
        <v>81624.0</v>
      </c>
      <c r="AN65" s="3" t="n">
        <v>77518.0</v>
      </c>
      <c r="AO65" s="3" t="n">
        <v>74472.0</v>
      </c>
    </row>
    <row r="66" spans="1:41" x14ac:dyDescent="0.2">
      <c r="A66" s="130"/>
      <c r="B66" s="53" t="s">
        <v>33</v>
      </c>
      <c r="C66" s="3" t="n">
        <v>114066.0</v>
      </c>
      <c r="D66" s="3" t="n">
        <v>113259.0</v>
      </c>
      <c r="E66" s="3" t="n">
        <v>111231.0</v>
      </c>
      <c r="F66" s="3" t="n">
        <v>107008.0</v>
      </c>
      <c r="G66" s="3" t="n">
        <v>102044.0</v>
      </c>
      <c r="H66" s="3" t="n">
        <v>96331.0</v>
      </c>
      <c r="I66" s="3" t="n">
        <v>90799.0</v>
      </c>
      <c r="J66" s="3" t="n">
        <v>85765.0</v>
      </c>
      <c r="K66" s="3" t="n">
        <v>81828.0</v>
      </c>
      <c r="L66" s="3" t="n">
        <v>78713.0</v>
      </c>
      <c r="M66" s="3" t="n">
        <v>76455.0</v>
      </c>
      <c r="N66" s="3" t="n">
        <v>74897.0</v>
      </c>
      <c r="O66" s="3" t="n">
        <v>74508.0</v>
      </c>
      <c r="P66" s="3" t="n">
        <v>75100.0</v>
      </c>
      <c r="Q66" s="3" t="n">
        <v>77109.0</v>
      </c>
      <c r="R66" s="3" t="n">
        <v>80165.0</v>
      </c>
      <c r="S66" s="3" t="n">
        <v>84035.0</v>
      </c>
      <c r="T66" s="3" t="n">
        <v>88288.0</v>
      </c>
      <c r="U66" s="3" t="n">
        <v>93020.0</v>
      </c>
      <c r="V66" s="3" t="n">
        <v>97353.0</v>
      </c>
      <c r="W66" s="3" t="n">
        <v>101105.0</v>
      </c>
      <c r="X66" s="3" t="n">
        <v>104301.0</v>
      </c>
      <c r="Y66" s="3" t="n">
        <v>106952.0</v>
      </c>
      <c r="Z66" s="3" t="n">
        <v>109127.0</v>
      </c>
      <c r="AA66" s="3" t="n">
        <v>110770.0</v>
      </c>
      <c r="AB66" s="3" t="n">
        <v>112546.0</v>
      </c>
      <c r="AC66" s="3" t="n">
        <v>115050.0</v>
      </c>
      <c r="AD66" s="3" t="n">
        <v>116465.0</v>
      </c>
      <c r="AE66" s="3" t="n">
        <v>116564.0</v>
      </c>
      <c r="AF66" s="3" t="n">
        <v>115302.0</v>
      </c>
      <c r="AG66" s="3" t="n">
        <v>112784.0</v>
      </c>
      <c r="AH66" s="3" t="n">
        <v>108614.0</v>
      </c>
      <c r="AI66" s="3" t="n">
        <v>104954.0</v>
      </c>
      <c r="AJ66" s="3" t="n">
        <v>101757.0</v>
      </c>
      <c r="AK66" s="3" t="n">
        <v>99618.0</v>
      </c>
      <c r="AL66" s="3" t="n">
        <v>97177.0</v>
      </c>
      <c r="AM66" s="3" t="n">
        <v>94799.0</v>
      </c>
      <c r="AN66" s="3" t="n">
        <v>92394.0</v>
      </c>
      <c r="AO66" s="3" t="n">
        <v>89071.0</v>
      </c>
    </row>
    <row r="67" spans="1:41" x14ac:dyDescent="0.2">
      <c r="A67" s="130"/>
      <c r="B67" s="52" t="s">
        <v>34</v>
      </c>
      <c r="C67" s="3" t="n">
        <v>100768.0</v>
      </c>
      <c r="D67" s="3" t="n">
        <v>103009.0</v>
      </c>
      <c r="E67" s="3" t="n">
        <v>104690.0</v>
      </c>
      <c r="F67" s="3" t="n">
        <v>106375.0</v>
      </c>
      <c r="G67" s="3" t="n">
        <v>106235.0</v>
      </c>
      <c r="H67" s="3" t="n">
        <v>105769.0</v>
      </c>
      <c r="I67" s="3" t="n">
        <v>105282.0</v>
      </c>
      <c r="J67" s="3" t="n">
        <v>103580.0</v>
      </c>
      <c r="K67" s="3" t="n">
        <v>99805.0</v>
      </c>
      <c r="L67" s="3" t="n">
        <v>95322.0</v>
      </c>
      <c r="M67" s="3" t="n">
        <v>89998.0</v>
      </c>
      <c r="N67" s="3" t="n">
        <v>84786.0</v>
      </c>
      <c r="O67" s="3" t="n">
        <v>80108.0</v>
      </c>
      <c r="P67" s="3" t="n">
        <v>76484.0</v>
      </c>
      <c r="Q67" s="3" t="n">
        <v>73650.0</v>
      </c>
      <c r="R67" s="3" t="n">
        <v>71629.0</v>
      </c>
      <c r="S67" s="3" t="n">
        <v>70252.0</v>
      </c>
      <c r="T67" s="3" t="n">
        <v>69968.0</v>
      </c>
      <c r="U67" s="3" t="n">
        <v>70590.0</v>
      </c>
      <c r="V67" s="3" t="n">
        <v>72543.0</v>
      </c>
      <c r="W67" s="3" t="n">
        <v>75464.0</v>
      </c>
      <c r="X67" s="3" t="n">
        <v>79134.0</v>
      </c>
      <c r="Y67" s="3" t="n">
        <v>83156.0</v>
      </c>
      <c r="Z67" s="3" t="n">
        <v>87616.0</v>
      </c>
      <c r="AA67" s="3" t="n">
        <v>91696.0</v>
      </c>
      <c r="AB67" s="3" t="n">
        <v>95243.0</v>
      </c>
      <c r="AC67" s="3" t="n">
        <v>98293.0</v>
      </c>
      <c r="AD67" s="3" t="n">
        <v>100830.0</v>
      </c>
      <c r="AE67" s="3" t="n">
        <v>102943.0</v>
      </c>
      <c r="AF67" s="3" t="n">
        <v>104541.0</v>
      </c>
      <c r="AG67" s="3" t="n">
        <v>106272.0</v>
      </c>
      <c r="AH67" s="3" t="n">
        <v>108694.0</v>
      </c>
      <c r="AI67" s="3" t="n">
        <v>110078.0</v>
      </c>
      <c r="AJ67" s="3" t="n">
        <v>110228.0</v>
      </c>
      <c r="AK67" s="3" t="n">
        <v>109068.0</v>
      </c>
      <c r="AL67" s="3" t="n">
        <v>106728.0</v>
      </c>
      <c r="AM67" s="3" t="n">
        <v>102826.0</v>
      </c>
      <c r="AN67" s="3" t="n">
        <v>99406.0</v>
      </c>
      <c r="AO67" s="3" t="n">
        <v>96448.0</v>
      </c>
    </row>
    <row r="68" spans="1:41" x14ac:dyDescent="0.2">
      <c r="A68" s="130"/>
      <c r="B68" s="52" t="s">
        <v>35</v>
      </c>
      <c r="C68" s="3" t="n">
        <v>53605.0</v>
      </c>
      <c r="D68" s="3" t="n">
        <v>61832.0</v>
      </c>
      <c r="E68" s="3" t="n">
        <v>70149.0</v>
      </c>
      <c r="F68" s="3" t="n">
        <v>78984.0</v>
      </c>
      <c r="G68" s="3" t="n">
        <v>85082.0</v>
      </c>
      <c r="H68" s="3" t="n">
        <v>89167.0</v>
      </c>
      <c r="I68" s="3" t="n">
        <v>91367.0</v>
      </c>
      <c r="J68" s="3" t="n">
        <v>93010.0</v>
      </c>
      <c r="K68" s="3" t="n">
        <v>94646.0</v>
      </c>
      <c r="L68" s="3" t="n">
        <v>94668.0</v>
      </c>
      <c r="M68" s="3" t="n">
        <v>94331.0</v>
      </c>
      <c r="N68" s="3" t="n">
        <v>93917.0</v>
      </c>
      <c r="O68" s="3" t="n">
        <v>92458.0</v>
      </c>
      <c r="P68" s="3" t="n">
        <v>89168.0</v>
      </c>
      <c r="Q68" s="3" t="n">
        <v>85227.0</v>
      </c>
      <c r="R68" s="3" t="n">
        <v>80550.0</v>
      </c>
      <c r="S68" s="3" t="n">
        <v>75992.0</v>
      </c>
      <c r="T68" s="3" t="n">
        <v>71944.0</v>
      </c>
      <c r="U68" s="3" t="n">
        <v>68827.0</v>
      </c>
      <c r="V68" s="3" t="n">
        <v>66383.0</v>
      </c>
      <c r="W68" s="3" t="n">
        <v>64643.0</v>
      </c>
      <c r="X68" s="3" t="n">
        <v>63499.0</v>
      </c>
      <c r="Y68" s="3" t="n">
        <v>63349.0</v>
      </c>
      <c r="Z68" s="3" t="n">
        <v>63992.0</v>
      </c>
      <c r="AA68" s="3" t="n">
        <v>65841.0</v>
      </c>
      <c r="AB68" s="3" t="n">
        <v>68535.0</v>
      </c>
      <c r="AC68" s="3" t="n">
        <v>71896.0</v>
      </c>
      <c r="AD68" s="3" t="n">
        <v>75574.0</v>
      </c>
      <c r="AE68" s="3" t="n">
        <v>79680.0</v>
      </c>
      <c r="AF68" s="3" t="n">
        <v>83451.0</v>
      </c>
      <c r="AG68" s="3" t="n">
        <v>86712.0</v>
      </c>
      <c r="AH68" s="3" t="n">
        <v>89525.0</v>
      </c>
      <c r="AI68" s="3" t="n">
        <v>91905.0</v>
      </c>
      <c r="AJ68" s="3" t="n">
        <v>93902.0</v>
      </c>
      <c r="AK68" s="3" t="n">
        <v>95439.0</v>
      </c>
      <c r="AL68" s="3" t="n">
        <v>97093.0</v>
      </c>
      <c r="AM68" s="3" t="n">
        <v>99397.0</v>
      </c>
      <c r="AN68" s="3" t="n">
        <v>100730.0</v>
      </c>
      <c r="AO68" s="3" t="n">
        <v>100921.0</v>
      </c>
    </row>
    <row r="69" spans="1:41" x14ac:dyDescent="0.2">
      <c r="A69" s="130"/>
      <c r="B69" s="52" t="s">
        <v>36</v>
      </c>
      <c r="C69" s="3" t="n">
        <v>39271.0</v>
      </c>
      <c r="D69" s="3" t="n">
        <v>37525.0</v>
      </c>
      <c r="E69" s="3" t="n">
        <v>36211.0</v>
      </c>
      <c r="F69" s="3" t="n">
        <v>35116.0</v>
      </c>
      <c r="G69" s="3" t="n">
        <v>38359.0</v>
      </c>
      <c r="H69" s="3" t="n">
        <v>44067.0</v>
      </c>
      <c r="I69" s="3" t="n">
        <v>51026.0</v>
      </c>
      <c r="J69" s="3" t="n">
        <v>57898.0</v>
      </c>
      <c r="K69" s="3" t="n">
        <v>65041.0</v>
      </c>
      <c r="L69" s="3" t="n">
        <v>70074.0</v>
      </c>
      <c r="M69" s="3" t="n">
        <v>73453.0</v>
      </c>
      <c r="N69" s="3" t="n">
        <v>75279.0</v>
      </c>
      <c r="O69" s="3" t="n">
        <v>76696.0</v>
      </c>
      <c r="P69" s="3" t="n">
        <v>78160.0</v>
      </c>
      <c r="Q69" s="3" t="n">
        <v>78337.0</v>
      </c>
      <c r="R69" s="3" t="n">
        <v>78209.0</v>
      </c>
      <c r="S69" s="3" t="n">
        <v>77985.0</v>
      </c>
      <c r="T69" s="3" t="n">
        <v>76870.0</v>
      </c>
      <c r="U69" s="3" t="n">
        <v>74241.0</v>
      </c>
      <c r="V69" s="3" t="n">
        <v>71059.0</v>
      </c>
      <c r="W69" s="3" t="n">
        <v>67263.0</v>
      </c>
      <c r="X69" s="3" t="n">
        <v>63594.0</v>
      </c>
      <c r="Y69" s="3" t="n">
        <v>60357.0</v>
      </c>
      <c r="Z69" s="3" t="n">
        <v>57884.0</v>
      </c>
      <c r="AA69" s="3" t="n">
        <v>55944.0</v>
      </c>
      <c r="AB69" s="3" t="n">
        <v>54595.0</v>
      </c>
      <c r="AC69" s="3" t="n">
        <v>53746.0</v>
      </c>
      <c r="AD69" s="3" t="n">
        <v>53753.0</v>
      </c>
      <c r="AE69" s="3" t="n">
        <v>54433.0</v>
      </c>
      <c r="AF69" s="3" t="n">
        <v>56120.0</v>
      </c>
      <c r="AG69" s="3" t="n">
        <v>58469.0</v>
      </c>
      <c r="AH69" s="3" t="n">
        <v>61402.0</v>
      </c>
      <c r="AI69" s="3" t="n">
        <v>64625.0</v>
      </c>
      <c r="AJ69" s="3" t="n">
        <v>68226.0</v>
      </c>
      <c r="AK69" s="3" t="n">
        <v>71520.0</v>
      </c>
      <c r="AL69" s="3" t="n">
        <v>74391.0</v>
      </c>
      <c r="AM69" s="3" t="n">
        <v>76865.0</v>
      </c>
      <c r="AN69" s="3" t="n">
        <v>78964.0</v>
      </c>
      <c r="AO69" s="3" t="n">
        <v>80783.0</v>
      </c>
    </row>
    <row r="70" spans="1:41" x14ac:dyDescent="0.2">
      <c r="A70" s="130"/>
      <c r="B70" s="52" t="s">
        <v>37</v>
      </c>
      <c r="C70" s="3" t="n">
        <v>29367.0</v>
      </c>
      <c r="D70" s="3" t="n">
        <v>29174.0</v>
      </c>
      <c r="E70" s="3" t="n">
        <v>29013.0</v>
      </c>
      <c r="F70" s="3" t="n">
        <v>28634.0</v>
      </c>
      <c r="G70" s="3" t="n">
        <v>27639.0</v>
      </c>
      <c r="H70" s="3" t="n">
        <v>26378.0</v>
      </c>
      <c r="I70" s="3" t="n">
        <v>25371.0</v>
      </c>
      <c r="J70" s="3" t="n">
        <v>24693.0</v>
      </c>
      <c r="K70" s="3" t="n">
        <v>24126.0</v>
      </c>
      <c r="L70" s="3" t="n">
        <v>26703.0</v>
      </c>
      <c r="M70" s="3" t="n">
        <v>30874.0</v>
      </c>
      <c r="N70" s="3" t="n">
        <v>35810.0</v>
      </c>
      <c r="O70" s="3" t="n">
        <v>40587.0</v>
      </c>
      <c r="P70" s="3" t="n">
        <v>45426.0</v>
      </c>
      <c r="Q70" s="3" t="n">
        <v>48994.0</v>
      </c>
      <c r="R70" s="3" t="n">
        <v>51455.0</v>
      </c>
      <c r="S70" s="3" t="n">
        <v>52856.0</v>
      </c>
      <c r="T70" s="3" t="n">
        <v>53982.0</v>
      </c>
      <c r="U70" s="3" t="n">
        <v>55186.0</v>
      </c>
      <c r="V70" s="3" t="n">
        <v>55505.0</v>
      </c>
      <c r="W70" s="3" t="n">
        <v>55603.0</v>
      </c>
      <c r="X70" s="3" t="n">
        <v>55592.0</v>
      </c>
      <c r="Y70" s="3" t="n">
        <v>54913.0</v>
      </c>
      <c r="Z70" s="3" t="n">
        <v>53128.0</v>
      </c>
      <c r="AA70" s="3" t="n">
        <v>50910.0</v>
      </c>
      <c r="AB70" s="3" t="n">
        <v>48295.0</v>
      </c>
      <c r="AC70" s="3" t="n">
        <v>45847.0</v>
      </c>
      <c r="AD70" s="3" t="n">
        <v>43692.0</v>
      </c>
      <c r="AE70" s="3" t="n">
        <v>42118.0</v>
      </c>
      <c r="AF70" s="3" t="n">
        <v>40891.0</v>
      </c>
      <c r="AG70" s="3" t="n">
        <v>40009.0</v>
      </c>
      <c r="AH70" s="3" t="n">
        <v>39530.0</v>
      </c>
      <c r="AI70" s="3" t="n">
        <v>39694.0</v>
      </c>
      <c r="AJ70" s="3" t="n">
        <v>40357.0</v>
      </c>
      <c r="AK70" s="3" t="n">
        <v>41774.0</v>
      </c>
      <c r="AL70" s="3" t="n">
        <v>43670.0</v>
      </c>
      <c r="AM70" s="3" t="n">
        <v>45954.0</v>
      </c>
      <c r="AN70" s="3" t="n">
        <v>48470.0</v>
      </c>
      <c r="AO70" s="3" t="n">
        <v>51270.0</v>
      </c>
    </row>
    <row r="71" spans="1:41" x14ac:dyDescent="0.2">
      <c r="A71" s="130"/>
      <c r="B71" s="52" t="s">
        <v>81</v>
      </c>
      <c r="C71" s="3" t="n">
        <v>13409.0</v>
      </c>
      <c r="D71" s="3" t="n">
        <v>13608.0</v>
      </c>
      <c r="E71" s="3" t="n">
        <v>13901.0</v>
      </c>
      <c r="F71" s="3" t="n">
        <v>14198.0</v>
      </c>
      <c r="G71" s="3" t="n">
        <v>14597.0</v>
      </c>
      <c r="H71" s="3" t="n">
        <v>14759.0</v>
      </c>
      <c r="I71" s="3" t="n">
        <v>14791.0</v>
      </c>
      <c r="J71" s="3" t="n">
        <v>14828.0</v>
      </c>
      <c r="K71" s="3" t="n">
        <v>14740.0</v>
      </c>
      <c r="L71" s="3" t="n">
        <v>14327.0</v>
      </c>
      <c r="M71" s="3" t="n">
        <v>13723.0</v>
      </c>
      <c r="N71" s="3" t="n">
        <v>13257.0</v>
      </c>
      <c r="O71" s="3" t="n">
        <v>13014.0</v>
      </c>
      <c r="P71" s="3" t="n">
        <v>12846.0</v>
      </c>
      <c r="Q71" s="3" t="n">
        <v>14498.0</v>
      </c>
      <c r="R71" s="3" t="n">
        <v>16967.0</v>
      </c>
      <c r="S71" s="3" t="n">
        <v>19791.0</v>
      </c>
      <c r="T71" s="3" t="n">
        <v>22474.0</v>
      </c>
      <c r="U71" s="3" t="n">
        <v>25088.0</v>
      </c>
      <c r="V71" s="3" t="n">
        <v>27150.0</v>
      </c>
      <c r="W71" s="3" t="n">
        <v>28626.0</v>
      </c>
      <c r="X71" s="3" t="n">
        <v>29511.0</v>
      </c>
      <c r="Y71" s="3" t="n">
        <v>30257.0</v>
      </c>
      <c r="Z71" s="3" t="n">
        <v>31067.0</v>
      </c>
      <c r="AA71" s="3" t="n">
        <v>31386.0</v>
      </c>
      <c r="AB71" s="3" t="n">
        <v>31574.0</v>
      </c>
      <c r="AC71" s="3" t="n">
        <v>31674.0</v>
      </c>
      <c r="AD71" s="3" t="n">
        <v>31379.0</v>
      </c>
      <c r="AE71" s="3" t="n">
        <v>30492.0</v>
      </c>
      <c r="AF71" s="3" t="n">
        <v>29353.0</v>
      </c>
      <c r="AG71" s="3" t="n">
        <v>27936.0</v>
      </c>
      <c r="AH71" s="3" t="n">
        <v>26657.0</v>
      </c>
      <c r="AI71" s="3" t="n">
        <v>25563.0</v>
      </c>
      <c r="AJ71" s="3" t="n">
        <v>24799.0</v>
      </c>
      <c r="AK71" s="3" t="n">
        <v>24220.0</v>
      </c>
      <c r="AL71" s="3" t="n">
        <v>23847.0</v>
      </c>
      <c r="AM71" s="3" t="n">
        <v>23694.0</v>
      </c>
      <c r="AN71" s="3" t="n">
        <v>23923.0</v>
      </c>
      <c r="AO71" s="3" t="n">
        <v>24465.0</v>
      </c>
    </row>
    <row r="72" spans="1:41" x14ac:dyDescent="0.2">
      <c r="A72" s="130"/>
      <c r="B72" s="62" t="s">
        <v>82</v>
      </c>
      <c r="C72" s="3" t="n">
        <v>3189.0</v>
      </c>
      <c r="D72" s="3" t="n">
        <v>3452.0</v>
      </c>
      <c r="E72" s="3" t="n">
        <v>3692.0</v>
      </c>
      <c r="F72" s="3" t="n">
        <v>3966.0</v>
      </c>
      <c r="G72" s="3" t="n">
        <v>4177.0</v>
      </c>
      <c r="H72" s="3" t="n">
        <v>4441.0</v>
      </c>
      <c r="I72" s="3" t="n">
        <v>4559.0</v>
      </c>
      <c r="J72" s="3" t="n">
        <v>4711.0</v>
      </c>
      <c r="K72" s="3" t="n">
        <v>4878.0</v>
      </c>
      <c r="L72" s="3" t="n">
        <v>5073.0</v>
      </c>
      <c r="M72" s="3" t="n">
        <v>5169.0</v>
      </c>
      <c r="N72" s="3" t="n">
        <v>5202.0</v>
      </c>
      <c r="O72" s="3" t="n">
        <v>5265.0</v>
      </c>
      <c r="P72" s="3" t="n">
        <v>5290.0</v>
      </c>
      <c r="Q72" s="3" t="n">
        <v>5187.0</v>
      </c>
      <c r="R72" s="3" t="n">
        <v>5007.0</v>
      </c>
      <c r="S72" s="3" t="n">
        <v>4886.0</v>
      </c>
      <c r="T72" s="3" t="n">
        <v>4875.0</v>
      </c>
      <c r="U72" s="3" t="n">
        <v>4890.0</v>
      </c>
      <c r="V72" s="3" t="n">
        <v>5671.0</v>
      </c>
      <c r="W72" s="3" t="n">
        <v>6740.0</v>
      </c>
      <c r="X72" s="3" t="n">
        <v>7931.0</v>
      </c>
      <c r="Y72" s="3" t="n">
        <v>9017.0</v>
      </c>
      <c r="Z72" s="3" t="n">
        <v>10029.0</v>
      </c>
      <c r="AA72" s="3" t="n">
        <v>10882.0</v>
      </c>
      <c r="AB72" s="3" t="n">
        <v>11518.0</v>
      </c>
      <c r="AC72" s="3" t="n">
        <v>11931.0</v>
      </c>
      <c r="AD72" s="3" t="n">
        <v>12302.0</v>
      </c>
      <c r="AE72" s="3" t="n">
        <v>12734.0</v>
      </c>
      <c r="AF72" s="3" t="n">
        <v>12972.0</v>
      </c>
      <c r="AG72" s="3" t="n">
        <v>13140.0</v>
      </c>
      <c r="AH72" s="3" t="n">
        <v>13252.0</v>
      </c>
      <c r="AI72" s="3" t="n">
        <v>13199.0</v>
      </c>
      <c r="AJ72" s="3" t="n">
        <v>12887.0</v>
      </c>
      <c r="AK72" s="3" t="n">
        <v>12465.0</v>
      </c>
      <c r="AL72" s="3" t="n">
        <v>11946.0</v>
      </c>
      <c r="AM72" s="3" t="n">
        <v>11499.0</v>
      </c>
      <c r="AN72" s="3" t="n">
        <v>11132.0</v>
      </c>
      <c r="AO72" s="3" t="n">
        <v>10911.0</v>
      </c>
    </row>
    <row r="73" spans="1:41" x14ac:dyDescent="0.2">
      <c r="A73" s="131"/>
      <c r="B73" s="54" t="s">
        <v>80</v>
      </c>
      <c r="C73" s="4" t="n">
        <v>348.0</v>
      </c>
      <c r="D73" s="4" t="n">
        <v>421.0</v>
      </c>
      <c r="E73" s="4" t="n">
        <v>471.0</v>
      </c>
      <c r="F73" s="4" t="n">
        <v>523.0</v>
      </c>
      <c r="G73" s="4" t="n">
        <v>560.0</v>
      </c>
      <c r="H73" s="4" t="n">
        <v>608.0</v>
      </c>
      <c r="I73" s="4" t="n">
        <v>687.0</v>
      </c>
      <c r="J73" s="4" t="n">
        <v>745.0</v>
      </c>
      <c r="K73" s="4" t="n">
        <v>814.0</v>
      </c>
      <c r="L73" s="4" t="n">
        <v>865.0</v>
      </c>
      <c r="M73" s="4" t="n">
        <v>940.0</v>
      </c>
      <c r="N73" s="4" t="n">
        <v>986.0</v>
      </c>
      <c r="O73" s="4" t="n">
        <v>1037.0</v>
      </c>
      <c r="P73" s="4" t="n">
        <v>1089.0</v>
      </c>
      <c r="Q73" s="4" t="n">
        <v>1145.0</v>
      </c>
      <c r="R73" s="4" t="n">
        <v>1192.0</v>
      </c>
      <c r="S73" s="4" t="n">
        <v>1218.0</v>
      </c>
      <c r="T73" s="4" t="n">
        <v>1253.0</v>
      </c>
      <c r="U73" s="4" t="n">
        <v>1283.0</v>
      </c>
      <c r="V73" s="4" t="n">
        <v>1288.0</v>
      </c>
      <c r="W73" s="4" t="n">
        <v>1274.0</v>
      </c>
      <c r="X73" s="4" t="n">
        <v>1274.0</v>
      </c>
      <c r="Y73" s="4" t="n">
        <v>1305.0</v>
      </c>
      <c r="Z73" s="4" t="n">
        <v>1333.0</v>
      </c>
      <c r="AA73" s="4" t="n">
        <v>1565.0</v>
      </c>
      <c r="AB73" s="4" t="n">
        <v>1852.0</v>
      </c>
      <c r="AC73" s="4" t="n">
        <v>2138.0</v>
      </c>
      <c r="AD73" s="4" t="n">
        <v>2400.0</v>
      </c>
      <c r="AE73" s="4" t="n">
        <v>2651.0</v>
      </c>
      <c r="AF73" s="4" t="n">
        <v>2924.0</v>
      </c>
      <c r="AG73" s="4" t="n">
        <v>3147.0</v>
      </c>
      <c r="AH73" s="4" t="n">
        <v>3314.0</v>
      </c>
      <c r="AI73" s="4" t="n">
        <v>3485.0</v>
      </c>
      <c r="AJ73" s="4" t="n">
        <v>3678.0</v>
      </c>
      <c r="AK73" s="4" t="n">
        <v>3822.0</v>
      </c>
      <c r="AL73" s="4" t="n">
        <v>3950.0</v>
      </c>
      <c r="AM73" s="4" t="n">
        <v>4038.0</v>
      </c>
      <c r="AN73" s="4" t="n">
        <v>4083.0</v>
      </c>
      <c r="AO73" s="4" t="n">
        <v>4066.0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6"/>
      <c r="B1" s="136"/>
      <c r="C1" s="65" t="s">
        <v>67</v>
      </c>
      <c r="D1" s="65"/>
      <c r="E1" s="65"/>
      <c r="F1" s="65"/>
      <c r="G1" s="65"/>
      <c r="H1" s="65"/>
      <c r="I1" s="65"/>
      <c r="J1" s="65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8" t="s">
        <v>84</v>
      </c>
      <c r="B3" s="128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49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3" t="s">
        <v>47</v>
      </c>
      <c r="B8" s="69" t="s">
        <v>65</v>
      </c>
      <c r="C8" s="70" t="n">
        <v>2888033.0</v>
      </c>
      <c r="D8" s="70" t="n">
        <v>2880848.0</v>
      </c>
      <c r="E8" s="70" t="n">
        <v>2873484.0</v>
      </c>
      <c r="F8" s="70" t="n">
        <v>2865935.0</v>
      </c>
      <c r="G8" s="70" t="n">
        <v>2858163.0</v>
      </c>
      <c r="H8" s="70" t="n">
        <v>2860561.0</v>
      </c>
      <c r="I8" s="70" t="n">
        <v>2866583.0</v>
      </c>
      <c r="J8" s="70" t="n">
        <v>2863774.0</v>
      </c>
      <c r="K8" s="70" t="n">
        <v>2856425.0</v>
      </c>
      <c r="L8" s="70" t="n">
        <v>2846975.0</v>
      </c>
      <c r="M8" s="70" t="n">
        <v>2836007.0</v>
      </c>
      <c r="N8" s="70" t="n">
        <v>2823850.0</v>
      </c>
      <c r="O8" s="70" t="n">
        <v>2810976.0</v>
      </c>
      <c r="P8" s="70" t="n">
        <v>2797518.0</v>
      </c>
      <c r="Q8" s="70" t="n">
        <v>2783549.0</v>
      </c>
      <c r="R8" s="70" t="n">
        <v>2769364.0</v>
      </c>
      <c r="S8" s="70" t="n">
        <v>2754911.0</v>
      </c>
      <c r="T8" s="70" t="n">
        <v>2740233.0</v>
      </c>
      <c r="U8" s="70" t="n">
        <v>2725301.0</v>
      </c>
      <c r="V8" s="70" t="n">
        <v>2710309.0</v>
      </c>
      <c r="W8" s="70" t="n">
        <v>2695225.0</v>
      </c>
      <c r="X8" s="70" t="n">
        <v>2680295.0</v>
      </c>
      <c r="Y8" s="70" t="n">
        <v>2665332.0</v>
      </c>
      <c r="Z8" s="70" t="n">
        <v>2650158.0</v>
      </c>
      <c r="AA8" s="70" t="n">
        <v>2634984.0</v>
      </c>
      <c r="AB8" s="70" t="n">
        <v>2619895.0</v>
      </c>
      <c r="AC8" s="70" t="n">
        <v>2604756.0</v>
      </c>
      <c r="AD8" s="70" t="n">
        <v>2589715.0</v>
      </c>
      <c r="AE8" s="70" t="n">
        <v>2574595.0</v>
      </c>
      <c r="AF8" s="70" t="n">
        <v>2559418.0</v>
      </c>
      <c r="AG8" s="70" t="n">
        <v>2543936.0</v>
      </c>
      <c r="AH8" s="70" t="n">
        <v>2528317.0</v>
      </c>
      <c r="AI8" s="70" t="n">
        <v>2512559.0</v>
      </c>
      <c r="AJ8" s="70" t="n">
        <v>2496550.0</v>
      </c>
      <c r="AK8" s="70" t="n">
        <v>2480285.0</v>
      </c>
      <c r="AL8" s="70" t="n">
        <v>2463812.0</v>
      </c>
      <c r="AM8" s="70" t="n">
        <v>2446982.0</v>
      </c>
      <c r="AN8" s="70" t="n">
        <v>2429807.0</v>
      </c>
      <c r="AO8" s="70" t="n">
        <v>2412517.0</v>
      </c>
    </row>
    <row r="9" spans="1:41" x14ac:dyDescent="0.2">
      <c r="A9" s="134"/>
      <c r="B9" s="52" t="s">
        <v>8</v>
      </c>
      <c r="C9" s="3" t="n">
        <v>501270.0</v>
      </c>
      <c r="D9" s="3" t="n">
        <v>499434.0</v>
      </c>
      <c r="E9" s="3" t="n">
        <v>495912.0</v>
      </c>
      <c r="F9" s="3" t="n">
        <v>490497.0</v>
      </c>
      <c r="G9" s="3" t="n">
        <v>482589.0</v>
      </c>
      <c r="H9" s="3" t="n">
        <v>478656.0</v>
      </c>
      <c r="I9" s="3" t="n">
        <v>476117.0</v>
      </c>
      <c r="J9" s="3" t="n">
        <v>471585.0</v>
      </c>
      <c r="K9" s="3" t="n">
        <v>465229.0</v>
      </c>
      <c r="L9" s="3" t="n">
        <v>459413.0</v>
      </c>
      <c r="M9" s="3" t="n">
        <v>451625.0</v>
      </c>
      <c r="N9" s="3" t="n">
        <v>443822.0</v>
      </c>
      <c r="O9" s="3" t="n">
        <v>434841.0</v>
      </c>
      <c r="P9" s="3" t="n">
        <v>425131.0</v>
      </c>
      <c r="Q9" s="3" t="n">
        <v>416593.0</v>
      </c>
      <c r="R9" s="3" t="n">
        <v>409243.0</v>
      </c>
      <c r="S9" s="3" t="n">
        <v>403779.0</v>
      </c>
      <c r="T9" s="3" t="n">
        <v>398705.0</v>
      </c>
      <c r="U9" s="3" t="n">
        <v>396210.0</v>
      </c>
      <c r="V9" s="3" t="n">
        <v>393640.0</v>
      </c>
      <c r="W9" s="3" t="n">
        <v>391557.0</v>
      </c>
      <c r="X9" s="3" t="n">
        <v>389796.0</v>
      </c>
      <c r="Y9" s="3" t="n">
        <v>388439.0</v>
      </c>
      <c r="Z9" s="3" t="n">
        <v>387430.0</v>
      </c>
      <c r="AA9" s="3" t="n">
        <v>386692.0</v>
      </c>
      <c r="AB9" s="3" t="n">
        <v>386096.0</v>
      </c>
      <c r="AC9" s="3" t="n">
        <v>385571.0</v>
      </c>
      <c r="AD9" s="3" t="n">
        <v>385089.0</v>
      </c>
      <c r="AE9" s="3" t="n">
        <v>384610.0</v>
      </c>
      <c r="AF9" s="3" t="n">
        <v>384050.0</v>
      </c>
      <c r="AG9" s="3" t="n">
        <v>383368.0</v>
      </c>
      <c r="AH9" s="3" t="n">
        <v>382454.0</v>
      </c>
      <c r="AI9" s="3" t="n">
        <v>381266.0</v>
      </c>
      <c r="AJ9" s="3" t="n">
        <v>379713.0</v>
      </c>
      <c r="AK9" s="3" t="n">
        <v>377755.0</v>
      </c>
      <c r="AL9" s="3" t="n">
        <v>375393.0</v>
      </c>
      <c r="AM9" s="3" t="n">
        <v>372631.0</v>
      </c>
      <c r="AN9" s="3" t="n">
        <v>369476.0</v>
      </c>
      <c r="AO9" s="3" t="n">
        <v>365953.0</v>
      </c>
    </row>
    <row r="10" spans="1:41" x14ac:dyDescent="0.2">
      <c r="A10" s="134"/>
      <c r="B10" s="52" t="s">
        <v>9</v>
      </c>
      <c r="C10" s="3" t="n">
        <v>1697536.0</v>
      </c>
      <c r="D10" s="3" t="n">
        <v>1682707.0</v>
      </c>
      <c r="E10" s="3" t="n">
        <v>1671398.0</v>
      </c>
      <c r="F10" s="3" t="n">
        <v>1663802.0</v>
      </c>
      <c r="G10" s="3" t="n">
        <v>1660144.0</v>
      </c>
      <c r="H10" s="3" t="n">
        <v>1664017.0</v>
      </c>
      <c r="I10" s="3" t="n">
        <v>1670038.0</v>
      </c>
      <c r="J10" s="3" t="n">
        <v>1669880.0</v>
      </c>
      <c r="K10" s="3" t="n">
        <v>1667159.0</v>
      </c>
      <c r="L10" s="3" t="n">
        <v>1661523.0</v>
      </c>
      <c r="M10" s="3" t="n">
        <v>1656398.0</v>
      </c>
      <c r="N10" s="3" t="n">
        <v>1649253.0</v>
      </c>
      <c r="O10" s="3" t="n">
        <v>1641392.0</v>
      </c>
      <c r="P10" s="3" t="n">
        <v>1632378.0</v>
      </c>
      <c r="Q10" s="3" t="n">
        <v>1620750.0</v>
      </c>
      <c r="R10" s="3" t="n">
        <v>1607063.0</v>
      </c>
      <c r="S10" s="3" t="n">
        <v>1590406.0</v>
      </c>
      <c r="T10" s="3" t="n">
        <v>1572194.0</v>
      </c>
      <c r="U10" s="3" t="n">
        <v>1549991.0</v>
      </c>
      <c r="V10" s="3" t="n">
        <v>1527485.0</v>
      </c>
      <c r="W10" s="3" t="n">
        <v>1504276.0</v>
      </c>
      <c r="X10" s="3" t="n">
        <v>1479750.0</v>
      </c>
      <c r="Y10" s="3" t="n">
        <v>1454959.0</v>
      </c>
      <c r="Z10" s="3" t="n">
        <v>1430150.0</v>
      </c>
      <c r="AA10" s="3" t="n">
        <v>1407080.0</v>
      </c>
      <c r="AB10" s="3" t="n">
        <v>1384130.0</v>
      </c>
      <c r="AC10" s="3" t="n">
        <v>1360531.0</v>
      </c>
      <c r="AD10" s="3" t="n">
        <v>1337925.0</v>
      </c>
      <c r="AE10" s="3" t="n">
        <v>1316087.0</v>
      </c>
      <c r="AF10" s="3" t="n">
        <v>1296163.0</v>
      </c>
      <c r="AG10" s="3" t="n">
        <v>1277868.0</v>
      </c>
      <c r="AH10" s="3" t="n">
        <v>1260467.0</v>
      </c>
      <c r="AI10" s="3" t="n">
        <v>1243699.0</v>
      </c>
      <c r="AJ10" s="3" t="n">
        <v>1228254.0</v>
      </c>
      <c r="AK10" s="3" t="n">
        <v>1214117.0</v>
      </c>
      <c r="AL10" s="3" t="n">
        <v>1201808.0</v>
      </c>
      <c r="AM10" s="3" t="n">
        <v>1191229.0</v>
      </c>
      <c r="AN10" s="3" t="n">
        <v>1182116.0</v>
      </c>
      <c r="AO10" s="3" t="n">
        <v>1173947.0</v>
      </c>
    </row>
    <row r="11" spans="1:41" x14ac:dyDescent="0.2">
      <c r="A11" s="134"/>
      <c r="B11" s="52" t="s">
        <v>11</v>
      </c>
      <c r="C11" s="3" t="n">
        <v>1055642.0</v>
      </c>
      <c r="D11" s="3" t="n">
        <v>1034108.0</v>
      </c>
      <c r="E11" s="3" t="n">
        <v>1012762.0</v>
      </c>
      <c r="F11" s="3" t="n">
        <v>991971.0</v>
      </c>
      <c r="G11" s="3" t="n">
        <v>974304.0</v>
      </c>
      <c r="H11" s="3" t="n">
        <v>960005.0</v>
      </c>
      <c r="I11" s="3" t="n">
        <v>944758.0</v>
      </c>
      <c r="J11" s="3" t="n">
        <v>926394.0</v>
      </c>
      <c r="K11" s="3" t="n">
        <v>908024.0</v>
      </c>
      <c r="L11" s="3" t="n">
        <v>891381.0</v>
      </c>
      <c r="M11" s="3" t="n">
        <v>877498.0</v>
      </c>
      <c r="N11" s="3" t="n">
        <v>864180.0</v>
      </c>
      <c r="O11" s="3" t="n">
        <v>852534.0</v>
      </c>
      <c r="P11" s="3" t="n">
        <v>841827.0</v>
      </c>
      <c r="Q11" s="3" t="n">
        <v>830909.0</v>
      </c>
      <c r="R11" s="3" t="n">
        <v>821623.0</v>
      </c>
      <c r="S11" s="3" t="n">
        <v>811551.0</v>
      </c>
      <c r="T11" s="3" t="n">
        <v>802278.0</v>
      </c>
      <c r="U11" s="3" t="n">
        <v>792625.0</v>
      </c>
      <c r="V11" s="3" t="n">
        <v>784570.0</v>
      </c>
      <c r="W11" s="3" t="n">
        <v>777721.0</v>
      </c>
      <c r="X11" s="3" t="n">
        <v>772772.0</v>
      </c>
      <c r="Y11" s="3" t="n">
        <v>768926.0</v>
      </c>
      <c r="Z11" s="3" t="n">
        <v>765213.0</v>
      </c>
      <c r="AA11" s="3" t="n">
        <v>761940.0</v>
      </c>
      <c r="AB11" s="3" t="n">
        <v>759565.0</v>
      </c>
      <c r="AC11" s="3" t="n">
        <v>757531.0</v>
      </c>
      <c r="AD11" s="3" t="n">
        <v>754463.0</v>
      </c>
      <c r="AE11" s="3" t="n">
        <v>750174.0</v>
      </c>
      <c r="AF11" s="3" t="n">
        <v>744306.0</v>
      </c>
      <c r="AG11" s="3" t="n">
        <v>736524.0</v>
      </c>
      <c r="AH11" s="3" t="n">
        <v>726083.0</v>
      </c>
      <c r="AI11" s="3" t="n">
        <v>715224.0</v>
      </c>
      <c r="AJ11" s="3" t="n">
        <v>704460.0</v>
      </c>
      <c r="AK11" s="3" t="n">
        <v>695492.0</v>
      </c>
      <c r="AL11" s="3" t="n">
        <v>686721.0</v>
      </c>
      <c r="AM11" s="3" t="n">
        <v>679460.0</v>
      </c>
      <c r="AN11" s="3" t="n">
        <v>671081.0</v>
      </c>
      <c r="AO11" s="3" t="n">
        <v>663298.0</v>
      </c>
    </row>
    <row r="12" spans="1:41" x14ac:dyDescent="0.2">
      <c r="A12" s="134"/>
      <c r="B12" s="52" t="s">
        <v>12</v>
      </c>
      <c r="C12" s="3" t="n">
        <v>641894.0</v>
      </c>
      <c r="D12" s="3" t="n">
        <v>648599.0</v>
      </c>
      <c r="E12" s="3" t="n">
        <v>658636.0</v>
      </c>
      <c r="F12" s="3" t="n">
        <v>671831.0</v>
      </c>
      <c r="G12" s="3" t="n">
        <v>685840.0</v>
      </c>
      <c r="H12" s="3" t="n">
        <v>704012.0</v>
      </c>
      <c r="I12" s="3" t="n">
        <v>725280.0</v>
      </c>
      <c r="J12" s="3" t="n">
        <v>743486.0</v>
      </c>
      <c r="K12" s="3" t="n">
        <v>759135.0</v>
      </c>
      <c r="L12" s="3" t="n">
        <v>770142.0</v>
      </c>
      <c r="M12" s="3" t="n">
        <v>778900.0</v>
      </c>
      <c r="N12" s="3" t="n">
        <v>785073.0</v>
      </c>
      <c r="O12" s="3" t="n">
        <v>788858.0</v>
      </c>
      <c r="P12" s="3" t="n">
        <v>790551.0</v>
      </c>
      <c r="Q12" s="3" t="n">
        <v>789841.0</v>
      </c>
      <c r="R12" s="3" t="n">
        <v>785440.0</v>
      </c>
      <c r="S12" s="3" t="n">
        <v>778855.0</v>
      </c>
      <c r="T12" s="3" t="n">
        <v>769916.0</v>
      </c>
      <c r="U12" s="3" t="n">
        <v>757366.0</v>
      </c>
      <c r="V12" s="3" t="n">
        <v>742915.0</v>
      </c>
      <c r="W12" s="3" t="n">
        <v>726555.0</v>
      </c>
      <c r="X12" s="3" t="n">
        <v>706978.0</v>
      </c>
      <c r="Y12" s="3" t="n">
        <v>686033.0</v>
      </c>
      <c r="Z12" s="3" t="n">
        <v>664937.0</v>
      </c>
      <c r="AA12" s="3" t="n">
        <v>645140.0</v>
      </c>
      <c r="AB12" s="3" t="n">
        <v>624565.0</v>
      </c>
      <c r="AC12" s="3" t="n">
        <v>603000.0</v>
      </c>
      <c r="AD12" s="3" t="n">
        <v>583462.0</v>
      </c>
      <c r="AE12" s="3" t="n">
        <v>565913.0</v>
      </c>
      <c r="AF12" s="3" t="n">
        <v>551857.0</v>
      </c>
      <c r="AG12" s="3" t="n">
        <v>541344.0</v>
      </c>
      <c r="AH12" s="3" t="n">
        <v>534384.0</v>
      </c>
      <c r="AI12" s="3" t="n">
        <v>528475.0</v>
      </c>
      <c r="AJ12" s="3" t="n">
        <v>523794.0</v>
      </c>
      <c r="AK12" s="3" t="n">
        <v>518625.0</v>
      </c>
      <c r="AL12" s="3" t="n">
        <v>515087.0</v>
      </c>
      <c r="AM12" s="3" t="n">
        <v>511769.0</v>
      </c>
      <c r="AN12" s="3" t="n">
        <v>511035.0</v>
      </c>
      <c r="AO12" s="3" t="n">
        <v>510649.0</v>
      </c>
    </row>
    <row r="13" spans="1:41" x14ac:dyDescent="0.2">
      <c r="A13" s="134"/>
      <c r="B13" s="52" t="s">
        <v>10</v>
      </c>
      <c r="C13" s="3" t="n">
        <v>689227.0</v>
      </c>
      <c r="D13" s="3" t="n">
        <v>698707.0</v>
      </c>
      <c r="E13" s="3" t="n">
        <v>706174.0</v>
      </c>
      <c r="F13" s="3" t="n">
        <v>711636.0</v>
      </c>
      <c r="G13" s="3" t="n">
        <v>715430.0</v>
      </c>
      <c r="H13" s="3" t="n">
        <v>717888.0</v>
      </c>
      <c r="I13" s="3" t="n">
        <v>720428.0</v>
      </c>
      <c r="J13" s="3" t="n">
        <v>722309.0</v>
      </c>
      <c r="K13" s="3" t="n">
        <v>724037.0</v>
      </c>
      <c r="L13" s="3" t="n">
        <v>726039.0</v>
      </c>
      <c r="M13" s="3" t="n">
        <v>727984.0</v>
      </c>
      <c r="N13" s="3" t="n">
        <v>730775.0</v>
      </c>
      <c r="O13" s="3" t="n">
        <v>734743.0</v>
      </c>
      <c r="P13" s="3" t="n">
        <v>740009.0</v>
      </c>
      <c r="Q13" s="3" t="n">
        <v>746206.0</v>
      </c>
      <c r="R13" s="3" t="n">
        <v>753058.0</v>
      </c>
      <c r="S13" s="3" t="n">
        <v>760726.0</v>
      </c>
      <c r="T13" s="3" t="n">
        <v>769334.0</v>
      </c>
      <c r="U13" s="3" t="n">
        <v>779100.0</v>
      </c>
      <c r="V13" s="3" t="n">
        <v>789184.0</v>
      </c>
      <c r="W13" s="3" t="n">
        <v>799392.0</v>
      </c>
      <c r="X13" s="3" t="n">
        <v>810749.0</v>
      </c>
      <c r="Y13" s="3" t="n">
        <v>821934.0</v>
      </c>
      <c r="Z13" s="3" t="n">
        <v>832578.0</v>
      </c>
      <c r="AA13" s="3" t="n">
        <v>841212.0</v>
      </c>
      <c r="AB13" s="3" t="n">
        <v>849669.0</v>
      </c>
      <c r="AC13" s="3" t="n">
        <v>858654.0</v>
      </c>
      <c r="AD13" s="3" t="n">
        <v>866701.0</v>
      </c>
      <c r="AE13" s="3" t="n">
        <v>873898.0</v>
      </c>
      <c r="AF13" s="3" t="n">
        <v>879205.0</v>
      </c>
      <c r="AG13" s="3" t="n">
        <v>882700.0</v>
      </c>
      <c r="AH13" s="3" t="n">
        <v>885396.0</v>
      </c>
      <c r="AI13" s="3" t="n">
        <v>887594.0</v>
      </c>
      <c r="AJ13" s="3" t="n">
        <v>888583.0</v>
      </c>
      <c r="AK13" s="3" t="n">
        <v>888413.0</v>
      </c>
      <c r="AL13" s="3" t="n">
        <v>886611.0</v>
      </c>
      <c r="AM13" s="3" t="n">
        <v>883122.0</v>
      </c>
      <c r="AN13" s="3" t="n">
        <v>878215.0</v>
      </c>
      <c r="AO13" s="3" t="n">
        <v>872617.0</v>
      </c>
    </row>
    <row r="14" spans="1:41" x14ac:dyDescent="0.2">
      <c r="A14" s="134"/>
      <c r="B14" s="52" t="s">
        <v>0</v>
      </c>
      <c r="C14" s="3" t="n">
        <v>72260.0</v>
      </c>
      <c r="D14" s="3" t="n">
        <v>70053.0</v>
      </c>
      <c r="E14" s="3" t="n">
        <v>67676.0</v>
      </c>
      <c r="F14" s="3" t="n">
        <v>67425.0</v>
      </c>
      <c r="G14" s="3" t="n">
        <v>66669.0</v>
      </c>
      <c r="H14" s="3" t="n">
        <v>66461.0</v>
      </c>
      <c r="I14" s="3" t="n">
        <v>66295.0</v>
      </c>
      <c r="J14" s="3" t="n">
        <v>65738.0</v>
      </c>
      <c r="K14" s="3" t="n">
        <v>65075.0</v>
      </c>
      <c r="L14" s="3" t="n">
        <v>64432.0</v>
      </c>
      <c r="M14" s="3" t="n">
        <v>63721.0</v>
      </c>
      <c r="N14" s="3" t="n">
        <v>63024.0</v>
      </c>
      <c r="O14" s="3" t="n">
        <v>62371.0</v>
      </c>
      <c r="P14" s="3" t="n">
        <v>61868.0</v>
      </c>
      <c r="Q14" s="3" t="n">
        <v>61477.0</v>
      </c>
      <c r="R14" s="3" t="n">
        <v>61290.0</v>
      </c>
      <c r="S14" s="3" t="n">
        <v>61283.0</v>
      </c>
      <c r="T14" s="3" t="n">
        <v>61467.0</v>
      </c>
      <c r="U14" s="3" t="n">
        <v>61762.0</v>
      </c>
      <c r="V14" s="3" t="n">
        <v>62102.0</v>
      </c>
      <c r="W14" s="3" t="n">
        <v>62480.0</v>
      </c>
      <c r="X14" s="3" t="n">
        <v>62810.0</v>
      </c>
      <c r="Y14" s="3" t="n">
        <v>63074.0</v>
      </c>
      <c r="Z14" s="3" t="n">
        <v>63214.0</v>
      </c>
      <c r="AA14" s="3" t="n">
        <v>63224.0</v>
      </c>
      <c r="AB14" s="3" t="n">
        <v>63092.0</v>
      </c>
      <c r="AC14" s="3" t="n">
        <v>62808.0</v>
      </c>
      <c r="AD14" s="3" t="n">
        <v>62390.0</v>
      </c>
      <c r="AE14" s="3" t="n">
        <v>61815.0</v>
      </c>
      <c r="AF14" s="3" t="n">
        <v>61125.0</v>
      </c>
      <c r="AG14" s="3" t="n">
        <v>60338.0</v>
      </c>
      <c r="AH14" s="3" t="n">
        <v>59464.0</v>
      </c>
      <c r="AI14" s="3" t="n">
        <v>58514.0</v>
      </c>
      <c r="AJ14" s="3" t="n">
        <v>57534.0</v>
      </c>
      <c r="AK14" s="3" t="n">
        <v>56557.0</v>
      </c>
      <c r="AL14" s="3" t="n">
        <v>55602.0</v>
      </c>
      <c r="AM14" s="3" t="n">
        <v>54692.0</v>
      </c>
      <c r="AN14" s="3" t="n">
        <v>53841.0</v>
      </c>
      <c r="AO14" s="3" t="n">
        <v>53063.0</v>
      </c>
    </row>
    <row r="15" spans="1:41" x14ac:dyDescent="0.2">
      <c r="A15" s="134"/>
      <c r="B15" s="52" t="s">
        <v>1</v>
      </c>
      <c r="C15" s="3" t="n">
        <v>113831.0</v>
      </c>
      <c r="D15" s="3" t="n">
        <v>110211.0</v>
      </c>
      <c r="E15" s="3" t="n">
        <v>105881.0</v>
      </c>
      <c r="F15" s="3" t="n">
        <v>100513.0</v>
      </c>
      <c r="G15" s="3" t="n">
        <v>96571.0</v>
      </c>
      <c r="H15" s="3" t="n">
        <v>94986.0</v>
      </c>
      <c r="I15" s="3" t="n">
        <v>93678.0</v>
      </c>
      <c r="J15" s="3" t="n">
        <v>93647.0</v>
      </c>
      <c r="K15" s="3" t="n">
        <v>92641.0</v>
      </c>
      <c r="L15" s="3" t="n">
        <v>91513.0</v>
      </c>
      <c r="M15" s="3" t="n">
        <v>90308.0</v>
      </c>
      <c r="N15" s="3" t="n">
        <v>89166.0</v>
      </c>
      <c r="O15" s="3" t="n">
        <v>88145.0</v>
      </c>
      <c r="P15" s="3" t="n">
        <v>87196.0</v>
      </c>
      <c r="Q15" s="3" t="n">
        <v>86295.0</v>
      </c>
      <c r="R15" s="3" t="n">
        <v>85447.0</v>
      </c>
      <c r="S15" s="3" t="n">
        <v>84706.0</v>
      </c>
      <c r="T15" s="3" t="n">
        <v>84148.0</v>
      </c>
      <c r="U15" s="3" t="n">
        <v>83809.0</v>
      </c>
      <c r="V15" s="3" t="n">
        <v>83716.0</v>
      </c>
      <c r="W15" s="3" t="n">
        <v>83835.0</v>
      </c>
      <c r="X15" s="3" t="n">
        <v>84173.0</v>
      </c>
      <c r="Y15" s="3" t="n">
        <v>84592.0</v>
      </c>
      <c r="Z15" s="3" t="n">
        <v>85075.0</v>
      </c>
      <c r="AA15" s="3" t="n">
        <v>85533.0</v>
      </c>
      <c r="AB15" s="3" t="n">
        <v>85904.0</v>
      </c>
      <c r="AC15" s="3" t="n">
        <v>86164.0</v>
      </c>
      <c r="AD15" s="3" t="n">
        <v>86254.0</v>
      </c>
      <c r="AE15" s="3" t="n">
        <v>86179.0</v>
      </c>
      <c r="AF15" s="3" t="n">
        <v>85912.0</v>
      </c>
      <c r="AG15" s="3" t="n">
        <v>85446.0</v>
      </c>
      <c r="AH15" s="3" t="n">
        <v>84781.0</v>
      </c>
      <c r="AI15" s="3" t="n">
        <v>83954.0</v>
      </c>
      <c r="AJ15" s="3" t="n">
        <v>82988.0</v>
      </c>
      <c r="AK15" s="3" t="n">
        <v>81865.0</v>
      </c>
      <c r="AL15" s="3" t="n">
        <v>80664.0</v>
      </c>
      <c r="AM15" s="3" t="n">
        <v>79403.0</v>
      </c>
      <c r="AN15" s="3" t="n">
        <v>78096.0</v>
      </c>
      <c r="AO15" s="3" t="n">
        <v>76806.0</v>
      </c>
    </row>
    <row r="16" spans="1:41" x14ac:dyDescent="0.2">
      <c r="A16" s="134"/>
      <c r="B16" s="53" t="s">
        <v>18</v>
      </c>
      <c r="C16" s="3" t="n">
        <v>234843.0</v>
      </c>
      <c r="D16" s="3" t="n">
        <v>233294.0</v>
      </c>
      <c r="E16" s="3" t="n">
        <v>232242.0</v>
      </c>
      <c r="F16" s="3" t="n">
        <v>230068.0</v>
      </c>
      <c r="G16" s="3" t="n">
        <v>228568.0</v>
      </c>
      <c r="H16" s="3" t="n">
        <v>227743.0</v>
      </c>
      <c r="I16" s="3" t="n">
        <v>228969.0</v>
      </c>
      <c r="J16" s="3" t="n">
        <v>224679.0</v>
      </c>
      <c r="K16" s="3" t="n">
        <v>220207.0</v>
      </c>
      <c r="L16" s="3" t="n">
        <v>214157.0</v>
      </c>
      <c r="M16" s="3" t="n">
        <v>207082.0</v>
      </c>
      <c r="N16" s="3" t="n">
        <v>200799.0</v>
      </c>
      <c r="O16" s="3" t="n">
        <v>195285.0</v>
      </c>
      <c r="P16" s="3" t="n">
        <v>191236.0</v>
      </c>
      <c r="Q16" s="3" t="n">
        <v>187187.0</v>
      </c>
      <c r="R16" s="3" t="n">
        <v>185377.0</v>
      </c>
      <c r="S16" s="3" t="n">
        <v>183165.0</v>
      </c>
      <c r="T16" s="3" t="n">
        <v>181035.0</v>
      </c>
      <c r="U16" s="3" t="n">
        <v>178937.0</v>
      </c>
      <c r="V16" s="3" t="n">
        <v>177006.0</v>
      </c>
      <c r="W16" s="3" t="n">
        <v>175324.0</v>
      </c>
      <c r="X16" s="3" t="n">
        <v>173870.0</v>
      </c>
      <c r="Y16" s="3" t="n">
        <v>172695.0</v>
      </c>
      <c r="Z16" s="3" t="n">
        <v>171821.0</v>
      </c>
      <c r="AA16" s="3" t="n">
        <v>171274.0</v>
      </c>
      <c r="AB16" s="3" t="n">
        <v>171105.0</v>
      </c>
      <c r="AC16" s="3" t="n">
        <v>171243.0</v>
      </c>
      <c r="AD16" s="3" t="n">
        <v>171672.0</v>
      </c>
      <c r="AE16" s="3" t="n">
        <v>172275.0</v>
      </c>
      <c r="AF16" s="3" t="n">
        <v>172997.0</v>
      </c>
      <c r="AG16" s="3" t="n">
        <v>173698.0</v>
      </c>
      <c r="AH16" s="3" t="n">
        <v>174282.0</v>
      </c>
      <c r="AI16" s="3" t="n">
        <v>174648.0</v>
      </c>
      <c r="AJ16" s="3" t="n">
        <v>174724.0</v>
      </c>
      <c r="AK16" s="3" t="n">
        <v>174510.0</v>
      </c>
      <c r="AL16" s="3" t="n">
        <v>173926.0</v>
      </c>
      <c r="AM16" s="3" t="n">
        <v>173013.0</v>
      </c>
      <c r="AN16" s="3" t="n">
        <v>171768.0</v>
      </c>
      <c r="AO16" s="3" t="n">
        <v>170187.0</v>
      </c>
    </row>
    <row r="17" spans="1:41" x14ac:dyDescent="0.2">
      <c r="A17" s="134"/>
      <c r="B17" s="52" t="s">
        <v>19</v>
      </c>
      <c r="C17" s="3" t="n">
        <v>104522.0</v>
      </c>
      <c r="D17" s="3" t="n">
        <v>111063.0</v>
      </c>
      <c r="E17" s="3" t="n">
        <v>116701.0</v>
      </c>
      <c r="F17" s="3" t="n">
        <v>120817.0</v>
      </c>
      <c r="G17" s="3" t="n">
        <v>121501.0</v>
      </c>
      <c r="H17" s="3" t="n">
        <v>120583.0</v>
      </c>
      <c r="I17" s="3" t="n">
        <v>118494.0</v>
      </c>
      <c r="J17" s="3" t="n">
        <v>117233.0</v>
      </c>
      <c r="K17" s="3" t="n">
        <v>116910.0</v>
      </c>
      <c r="L17" s="3" t="n">
        <v>117584.0</v>
      </c>
      <c r="M17" s="3" t="n">
        <v>120185.0</v>
      </c>
      <c r="N17" s="3" t="n">
        <v>120072.0</v>
      </c>
      <c r="O17" s="3" t="n">
        <v>119233.0</v>
      </c>
      <c r="P17" s="3" t="n">
        <v>115663.0</v>
      </c>
      <c r="Q17" s="3" t="n">
        <v>111189.0</v>
      </c>
      <c r="R17" s="3" t="n">
        <v>105540.0</v>
      </c>
      <c r="S17" s="3" t="n">
        <v>101243.0</v>
      </c>
      <c r="T17" s="3" t="n">
        <v>98414.0</v>
      </c>
      <c r="U17" s="3" t="n">
        <v>95621.0</v>
      </c>
      <c r="V17" s="3" t="n">
        <v>94935.0</v>
      </c>
      <c r="W17" s="3" t="n">
        <v>93708.0</v>
      </c>
      <c r="X17" s="3" t="n">
        <v>92509.0</v>
      </c>
      <c r="Y17" s="3" t="n">
        <v>91306.0</v>
      </c>
      <c r="Z17" s="3" t="n">
        <v>90224.0</v>
      </c>
      <c r="AA17" s="3" t="n">
        <v>89264.0</v>
      </c>
      <c r="AB17" s="3" t="n">
        <v>88364.0</v>
      </c>
      <c r="AC17" s="3" t="n">
        <v>87511.0</v>
      </c>
      <c r="AD17" s="3" t="n">
        <v>86721.0</v>
      </c>
      <c r="AE17" s="3" t="n">
        <v>86047.0</v>
      </c>
      <c r="AF17" s="3" t="n">
        <v>85542.0</v>
      </c>
      <c r="AG17" s="3" t="n">
        <v>85255.0</v>
      </c>
      <c r="AH17" s="3" t="n">
        <v>85204.0</v>
      </c>
      <c r="AI17" s="3" t="n">
        <v>85352.0</v>
      </c>
      <c r="AJ17" s="3" t="n">
        <v>85707.0</v>
      </c>
      <c r="AK17" s="3" t="n">
        <v>86143.0</v>
      </c>
      <c r="AL17" s="3" t="n">
        <v>86627.0</v>
      </c>
      <c r="AM17" s="3" t="n">
        <v>87079.0</v>
      </c>
      <c r="AN17" s="3" t="n">
        <v>87443.0</v>
      </c>
      <c r="AO17" s="3" t="n">
        <v>87705.0</v>
      </c>
    </row>
    <row r="18" spans="1:41" x14ac:dyDescent="0.2">
      <c r="A18" s="134"/>
      <c r="B18" s="52" t="s">
        <v>2</v>
      </c>
      <c r="C18" s="3" t="n">
        <v>153342.0</v>
      </c>
      <c r="D18" s="3" t="n">
        <v>149293.0</v>
      </c>
      <c r="E18" s="3" t="n">
        <v>147873.0</v>
      </c>
      <c r="F18" s="3" t="n">
        <v>148388.0</v>
      </c>
      <c r="G18" s="3" t="n">
        <v>151424.0</v>
      </c>
      <c r="H18" s="3" t="n">
        <v>158972.0</v>
      </c>
      <c r="I18" s="3" t="n">
        <v>167761.0</v>
      </c>
      <c r="J18" s="3" t="n">
        <v>175075.0</v>
      </c>
      <c r="K18" s="3" t="n">
        <v>179388.0</v>
      </c>
      <c r="L18" s="3" t="n">
        <v>182030.0</v>
      </c>
      <c r="M18" s="3" t="n">
        <v>181545.0</v>
      </c>
      <c r="N18" s="3" t="n">
        <v>179938.0</v>
      </c>
      <c r="O18" s="3" t="n">
        <v>177613.0</v>
      </c>
      <c r="P18" s="3" t="n">
        <v>176289.0</v>
      </c>
      <c r="Q18" s="3" t="n">
        <v>177324.0</v>
      </c>
      <c r="R18" s="3" t="n">
        <v>177214.0</v>
      </c>
      <c r="S18" s="3" t="n">
        <v>177325.0</v>
      </c>
      <c r="T18" s="3" t="n">
        <v>174293.0</v>
      </c>
      <c r="U18" s="3" t="n">
        <v>171456.0</v>
      </c>
      <c r="V18" s="3" t="n">
        <v>165219.0</v>
      </c>
      <c r="W18" s="3" t="n">
        <v>158513.0</v>
      </c>
      <c r="X18" s="3" t="n">
        <v>152737.0</v>
      </c>
      <c r="Y18" s="3" t="n">
        <v>147879.0</v>
      </c>
      <c r="Z18" s="3" t="n">
        <v>144468.0</v>
      </c>
      <c r="AA18" s="3" t="n">
        <v>141004.0</v>
      </c>
      <c r="AB18" s="3" t="n">
        <v>139698.0</v>
      </c>
      <c r="AC18" s="3" t="n">
        <v>137949.0</v>
      </c>
      <c r="AD18" s="3" t="n">
        <v>136330.0</v>
      </c>
      <c r="AE18" s="3" t="n">
        <v>134718.0</v>
      </c>
      <c r="AF18" s="3" t="n">
        <v>133201.0</v>
      </c>
      <c r="AG18" s="3" t="n">
        <v>131830.0</v>
      </c>
      <c r="AH18" s="3" t="n">
        <v>130616.0</v>
      </c>
      <c r="AI18" s="3" t="n">
        <v>129550.0</v>
      </c>
      <c r="AJ18" s="3" t="n">
        <v>128619.0</v>
      </c>
      <c r="AK18" s="3" t="n">
        <v>127924.0</v>
      </c>
      <c r="AL18" s="3" t="n">
        <v>127548.0</v>
      </c>
      <c r="AM18" s="3" t="n">
        <v>127454.0</v>
      </c>
      <c r="AN18" s="3" t="n">
        <v>127638.0</v>
      </c>
      <c r="AO18" s="3" t="n">
        <v>128031.0</v>
      </c>
    </row>
    <row r="19" spans="1:41" x14ac:dyDescent="0.2">
      <c r="A19" s="134"/>
      <c r="B19" s="52" t="s">
        <v>3</v>
      </c>
      <c r="C19" s="3" t="n">
        <v>420934.0</v>
      </c>
      <c r="D19" s="3" t="n">
        <v>413558.0</v>
      </c>
      <c r="E19" s="3" t="n">
        <v>405799.0</v>
      </c>
      <c r="F19" s="3" t="n">
        <v>398006.0</v>
      </c>
      <c r="G19" s="3" t="n">
        <v>391808.0</v>
      </c>
      <c r="H19" s="3" t="n">
        <v>389190.0</v>
      </c>
      <c r="I19" s="3" t="n">
        <v>388942.0</v>
      </c>
      <c r="J19" s="3" t="n">
        <v>384064.0</v>
      </c>
      <c r="K19" s="3" t="n">
        <v>377923.0</v>
      </c>
      <c r="L19" s="3" t="n">
        <v>370102.0</v>
      </c>
      <c r="M19" s="3" t="n">
        <v>361111.0</v>
      </c>
      <c r="N19" s="3" t="n">
        <v>352989.0</v>
      </c>
      <c r="O19" s="3" t="n">
        <v>345801.0</v>
      </c>
      <c r="P19" s="3" t="n">
        <v>340300.0</v>
      </c>
      <c r="Q19" s="3" t="n">
        <v>334959.0</v>
      </c>
      <c r="R19" s="3" t="n">
        <v>332114.0</v>
      </c>
      <c r="S19" s="3" t="n">
        <v>329154.0</v>
      </c>
      <c r="T19" s="3" t="n">
        <v>326650.0</v>
      </c>
      <c r="U19" s="3" t="n">
        <v>324508.0</v>
      </c>
      <c r="V19" s="3" t="n">
        <v>322824.0</v>
      </c>
      <c r="W19" s="3" t="n">
        <v>321639.0</v>
      </c>
      <c r="X19" s="3" t="n">
        <v>320853.0</v>
      </c>
      <c r="Y19" s="3" t="n">
        <v>320361.0</v>
      </c>
      <c r="Z19" s="3" t="n">
        <v>320110.0</v>
      </c>
      <c r="AA19" s="3" t="n">
        <v>320031.0</v>
      </c>
      <c r="AB19" s="3" t="n">
        <v>320101.0</v>
      </c>
      <c r="AC19" s="3" t="n">
        <v>320215.0</v>
      </c>
      <c r="AD19" s="3" t="n">
        <v>320316.0</v>
      </c>
      <c r="AE19" s="3" t="n">
        <v>320269.0</v>
      </c>
      <c r="AF19" s="3" t="n">
        <v>320034.0</v>
      </c>
      <c r="AG19" s="3" t="n">
        <v>319482.0</v>
      </c>
      <c r="AH19" s="3" t="n">
        <v>318527.0</v>
      </c>
      <c r="AI19" s="3" t="n">
        <v>317116.0</v>
      </c>
      <c r="AJ19" s="3" t="n">
        <v>315246.0</v>
      </c>
      <c r="AK19" s="3" t="n">
        <v>312932.0</v>
      </c>
      <c r="AL19" s="3" t="n">
        <v>310192.0</v>
      </c>
      <c r="AM19" s="3" t="n">
        <v>307108.0</v>
      </c>
      <c r="AN19" s="3" t="n">
        <v>303705.0</v>
      </c>
      <c r="AO19" s="3" t="n">
        <v>300056.0</v>
      </c>
    </row>
    <row r="20" spans="1:41" x14ac:dyDescent="0.2">
      <c r="A20" s="134"/>
      <c r="B20" s="52" t="s">
        <v>4</v>
      </c>
      <c r="C20" s="3" t="n">
        <v>1878784.0</v>
      </c>
      <c r="D20" s="3" t="n">
        <v>1863318.0</v>
      </c>
      <c r="E20" s="3" t="n">
        <v>1850716.0</v>
      </c>
      <c r="F20" s="3" t="n">
        <v>1841204.0</v>
      </c>
      <c r="G20" s="3" t="n">
        <v>1832436.0</v>
      </c>
      <c r="H20" s="3" t="n">
        <v>1832750.0</v>
      </c>
      <c r="I20" s="3" t="n">
        <v>1835084.0</v>
      </c>
      <c r="J20" s="3" t="n">
        <v>1834937.0</v>
      </c>
      <c r="K20" s="3" t="n">
        <v>1832616.0</v>
      </c>
      <c r="L20" s="3" t="n">
        <v>1831073.0</v>
      </c>
      <c r="M20" s="3" t="n">
        <v>1830342.0</v>
      </c>
      <c r="N20" s="3" t="n">
        <v>1827548.0</v>
      </c>
      <c r="O20" s="3" t="n">
        <v>1822302.0</v>
      </c>
      <c r="P20" s="3" t="n">
        <v>1813980.0</v>
      </c>
      <c r="Q20" s="3" t="n">
        <v>1803650.0</v>
      </c>
      <c r="R20" s="3" t="n">
        <v>1789338.0</v>
      </c>
      <c r="S20" s="3" t="n">
        <v>1773478.0</v>
      </c>
      <c r="T20" s="3" t="n">
        <v>1755451.0</v>
      </c>
      <c r="U20" s="3" t="n">
        <v>1735134.0</v>
      </c>
      <c r="V20" s="3" t="n">
        <v>1713427.0</v>
      </c>
      <c r="W20" s="3" t="n">
        <v>1691148.0</v>
      </c>
      <c r="X20" s="3" t="n">
        <v>1668208.0</v>
      </c>
      <c r="Y20" s="3" t="n">
        <v>1643972.0</v>
      </c>
      <c r="Z20" s="3" t="n">
        <v>1618472.0</v>
      </c>
      <c r="AA20" s="3" t="n">
        <v>1593377.0</v>
      </c>
      <c r="AB20" s="3" t="n">
        <v>1567123.0</v>
      </c>
      <c r="AC20" s="3" t="n">
        <v>1538515.0</v>
      </c>
      <c r="AD20" s="3" t="n">
        <v>1511478.0</v>
      </c>
      <c r="AE20" s="3" t="n">
        <v>1485853.0</v>
      </c>
      <c r="AF20" s="3" t="n">
        <v>1463354.0</v>
      </c>
      <c r="AG20" s="3" t="n">
        <v>1442355.0</v>
      </c>
      <c r="AH20" s="3" t="n">
        <v>1422507.0</v>
      </c>
      <c r="AI20" s="3" t="n">
        <v>1403450.0</v>
      </c>
      <c r="AJ20" s="3" t="n">
        <v>1384860.0</v>
      </c>
      <c r="AK20" s="3" t="n">
        <v>1367320.0</v>
      </c>
      <c r="AL20" s="3" t="n">
        <v>1352329.0</v>
      </c>
      <c r="AM20" s="3" t="n">
        <v>1338376.0</v>
      </c>
      <c r="AN20" s="3" t="n">
        <v>1325405.0</v>
      </c>
      <c r="AO20" s="3" t="n">
        <v>1314316.0</v>
      </c>
    </row>
    <row r="21" spans="1:41" x14ac:dyDescent="0.2">
      <c r="A21" s="134"/>
      <c r="B21" s="52" t="s">
        <v>5</v>
      </c>
      <c r="C21" s="3" t="n">
        <v>588315.0</v>
      </c>
      <c r="D21" s="3" t="n">
        <v>603972.0</v>
      </c>
      <c r="E21" s="3" t="n">
        <v>616969.0</v>
      </c>
      <c r="F21" s="3" t="n">
        <v>626725.0</v>
      </c>
      <c r="G21" s="3" t="n">
        <v>633919.0</v>
      </c>
      <c r="H21" s="3" t="n">
        <v>638621.0</v>
      </c>
      <c r="I21" s="3" t="n">
        <v>642557.0</v>
      </c>
      <c r="J21" s="3" t="n">
        <v>644773.0</v>
      </c>
      <c r="K21" s="3" t="n">
        <v>645886.0</v>
      </c>
      <c r="L21" s="3" t="n">
        <v>645800.0</v>
      </c>
      <c r="M21" s="3" t="n">
        <v>644554.0</v>
      </c>
      <c r="N21" s="3" t="n">
        <v>643313.0</v>
      </c>
      <c r="O21" s="3" t="n">
        <v>642873.0</v>
      </c>
      <c r="P21" s="3" t="n">
        <v>643238.0</v>
      </c>
      <c r="Q21" s="3" t="n">
        <v>644940.0</v>
      </c>
      <c r="R21" s="3" t="n">
        <v>647912.0</v>
      </c>
      <c r="S21" s="3" t="n">
        <v>652279.0</v>
      </c>
      <c r="T21" s="3" t="n">
        <v>658132.0</v>
      </c>
      <c r="U21" s="3" t="n">
        <v>665659.0</v>
      </c>
      <c r="V21" s="3" t="n">
        <v>674058.0</v>
      </c>
      <c r="W21" s="3" t="n">
        <v>682438.0</v>
      </c>
      <c r="X21" s="3" t="n">
        <v>691234.0</v>
      </c>
      <c r="Y21" s="3" t="n">
        <v>700999.0</v>
      </c>
      <c r="Z21" s="3" t="n">
        <v>711576.0</v>
      </c>
      <c r="AA21" s="3" t="n">
        <v>721576.0</v>
      </c>
      <c r="AB21" s="3" t="n">
        <v>732671.0</v>
      </c>
      <c r="AC21" s="3" t="n">
        <v>746026.0</v>
      </c>
      <c r="AD21" s="3" t="n">
        <v>757921.0</v>
      </c>
      <c r="AE21" s="3" t="n">
        <v>768473.0</v>
      </c>
      <c r="AF21" s="3" t="n">
        <v>776030.0</v>
      </c>
      <c r="AG21" s="3" t="n">
        <v>782099.0</v>
      </c>
      <c r="AH21" s="3" t="n">
        <v>787283.0</v>
      </c>
      <c r="AI21" s="3" t="n">
        <v>791993.0</v>
      </c>
      <c r="AJ21" s="3" t="n">
        <v>796444.0</v>
      </c>
      <c r="AK21" s="3" t="n">
        <v>800033.0</v>
      </c>
      <c r="AL21" s="3" t="n">
        <v>801291.0</v>
      </c>
      <c r="AM21" s="3" t="n">
        <v>801498.0</v>
      </c>
      <c r="AN21" s="3" t="n">
        <v>800697.0</v>
      </c>
      <c r="AO21" s="3" t="n">
        <v>798145.0</v>
      </c>
    </row>
    <row r="22" spans="1:41" x14ac:dyDescent="0.2">
      <c r="A22" s="135"/>
      <c r="B22" s="54" t="s">
        <v>6</v>
      </c>
      <c r="C22" s="4" t="n">
        <v>120776.0</v>
      </c>
      <c r="D22" s="4" t="n">
        <v>119310.0</v>
      </c>
      <c r="E22" s="4" t="n">
        <v>118629.0</v>
      </c>
      <c r="F22" s="4" t="n">
        <v>118041.0</v>
      </c>
      <c r="G22" s="4" t="n">
        <v>123548.0</v>
      </c>
      <c r="H22" s="4" t="n">
        <v>132230.0</v>
      </c>
      <c r="I22" s="4" t="n">
        <v>142855.0</v>
      </c>
      <c r="J22" s="4" t="n">
        <v>153604.0</v>
      </c>
      <c r="K22" s="4" t="n">
        <v>164739.0</v>
      </c>
      <c r="L22" s="4" t="n">
        <v>176609.0</v>
      </c>
      <c r="M22" s="4" t="n">
        <v>188122.0</v>
      </c>
      <c r="N22" s="4" t="n">
        <v>198491.0</v>
      </c>
      <c r="O22" s="4" t="n">
        <v>208088.0</v>
      </c>
      <c r="P22" s="4" t="n">
        <v>218078.0</v>
      </c>
      <c r="Q22" s="4" t="n">
        <v>226595.0</v>
      </c>
      <c r="R22" s="4" t="n">
        <v>234192.0</v>
      </c>
      <c r="S22" s="4" t="n">
        <v>240611.0</v>
      </c>
      <c r="T22" s="4" t="n">
        <v>244923.0</v>
      </c>
      <c r="U22" s="4" t="n">
        <v>246784.0</v>
      </c>
      <c r="V22" s="4" t="n">
        <v>246889.0</v>
      </c>
      <c r="W22" s="4" t="n">
        <v>245051.0</v>
      </c>
      <c r="X22" s="4" t="n">
        <v>242746.0</v>
      </c>
      <c r="Y22" s="4" t="n">
        <v>239800.0</v>
      </c>
      <c r="Z22" s="4" t="n">
        <v>236407.0</v>
      </c>
      <c r="AA22" s="4" t="n">
        <v>232655.0</v>
      </c>
      <c r="AB22" s="4" t="n">
        <v>228748.0</v>
      </c>
      <c r="AC22" s="4" t="n">
        <v>225443.0</v>
      </c>
      <c r="AD22" s="4" t="n">
        <v>223358.0</v>
      </c>
      <c r="AE22" s="4" t="n">
        <v>222412.0</v>
      </c>
      <c r="AF22" s="4" t="n">
        <v>222991.0</v>
      </c>
      <c r="AG22" s="4" t="n">
        <v>224771.0</v>
      </c>
      <c r="AH22" s="4" t="n">
        <v>228060.0</v>
      </c>
      <c r="AI22" s="4" t="n">
        <v>232846.0</v>
      </c>
      <c r="AJ22" s="4" t="n">
        <v>239186.0</v>
      </c>
      <c r="AK22" s="4" t="n">
        <v>246272.0</v>
      </c>
      <c r="AL22" s="4" t="n">
        <v>253549.0</v>
      </c>
      <c r="AM22" s="4" t="n">
        <v>260989.0</v>
      </c>
      <c r="AN22" s="4" t="n">
        <v>268999.0</v>
      </c>
      <c r="AO22" s="4" t="n">
        <v>277661.0</v>
      </c>
    </row>
    <row r="23" spans="1:41" x14ac:dyDescent="0.2">
      <c r="A23" s="134" t="s">
        <v>50</v>
      </c>
      <c r="B23" s="69" t="s">
        <v>65</v>
      </c>
      <c r="C23" s="70" t="n">
        <v>1388123.0</v>
      </c>
      <c r="D23" s="70" t="n">
        <v>1384643.0</v>
      </c>
      <c r="E23" s="70" t="n">
        <v>1380984.0</v>
      </c>
      <c r="F23" s="70" t="n">
        <v>1377166.0</v>
      </c>
      <c r="G23" s="70" t="n">
        <v>1373153.0</v>
      </c>
      <c r="H23" s="70" t="n">
        <v>1372534.0</v>
      </c>
      <c r="I23" s="70" t="n">
        <v>1373157.0</v>
      </c>
      <c r="J23" s="70" t="n">
        <v>1370605.0</v>
      </c>
      <c r="K23" s="70" t="n">
        <v>1366481.0</v>
      </c>
      <c r="L23" s="70" t="n">
        <v>1361512.0</v>
      </c>
      <c r="M23" s="70" t="n">
        <v>1355874.0</v>
      </c>
      <c r="N23" s="70" t="n">
        <v>1349753.0</v>
      </c>
      <c r="O23" s="70" t="n">
        <v>1343353.0</v>
      </c>
      <c r="P23" s="70" t="n">
        <v>1336713.0</v>
      </c>
      <c r="Q23" s="70" t="n">
        <v>1329835.0</v>
      </c>
      <c r="R23" s="70" t="n">
        <v>1322968.0</v>
      </c>
      <c r="S23" s="70" t="n">
        <v>1316004.0</v>
      </c>
      <c r="T23" s="70" t="n">
        <v>1308947.0</v>
      </c>
      <c r="U23" s="70" t="n">
        <v>1301840.0</v>
      </c>
      <c r="V23" s="70" t="n">
        <v>1294739.0</v>
      </c>
      <c r="W23" s="70" t="n">
        <v>1287622.0</v>
      </c>
      <c r="X23" s="70" t="n">
        <v>1280718.0</v>
      </c>
      <c r="Y23" s="70" t="n">
        <v>1273818.0</v>
      </c>
      <c r="Z23" s="70" t="n">
        <v>1266913.0</v>
      </c>
      <c r="AA23" s="70" t="n">
        <v>1259996.0</v>
      </c>
      <c r="AB23" s="70" t="n">
        <v>1253095.0</v>
      </c>
      <c r="AC23" s="70" t="n">
        <v>1246135.0</v>
      </c>
      <c r="AD23" s="70" t="n">
        <v>1239261.0</v>
      </c>
      <c r="AE23" s="70" t="n">
        <v>1232271.0</v>
      </c>
      <c r="AF23" s="70" t="n">
        <v>1225187.0</v>
      </c>
      <c r="AG23" s="70" t="n">
        <v>1217999.0</v>
      </c>
      <c r="AH23" s="70" t="n">
        <v>1210645.0</v>
      </c>
      <c r="AI23" s="70" t="n">
        <v>1203143.0</v>
      </c>
      <c r="AJ23" s="70" t="n">
        <v>1195481.0</v>
      </c>
      <c r="AK23" s="70" t="n">
        <v>1187606.0</v>
      </c>
      <c r="AL23" s="70" t="n">
        <v>1179582.0</v>
      </c>
      <c r="AM23" s="70" t="n">
        <v>1171441.0</v>
      </c>
      <c r="AN23" s="70" t="n">
        <v>1163095.0</v>
      </c>
      <c r="AO23" s="70" t="n">
        <v>1154760.0</v>
      </c>
    </row>
    <row r="24" spans="1:41" x14ac:dyDescent="0.2">
      <c r="A24" s="134"/>
      <c r="B24" s="52" t="s">
        <v>8</v>
      </c>
      <c r="C24" s="11" t="n">
        <v>257092.0</v>
      </c>
      <c r="D24" s="3" t="n">
        <v>256171.0</v>
      </c>
      <c r="E24" s="3" t="n">
        <v>254400.0</v>
      </c>
      <c r="F24" s="3" t="n">
        <v>251727.0</v>
      </c>
      <c r="G24" s="3" t="n">
        <v>247723.0</v>
      </c>
      <c r="H24" s="3" t="n">
        <v>245839.0</v>
      </c>
      <c r="I24" s="3" t="n">
        <v>244467.0</v>
      </c>
      <c r="J24" s="3" t="n">
        <v>242068.0</v>
      </c>
      <c r="K24" s="3" t="n">
        <v>238804.0</v>
      </c>
      <c r="L24" s="3" t="n">
        <v>235865.0</v>
      </c>
      <c r="M24" s="3" t="n">
        <v>231989.0</v>
      </c>
      <c r="N24" s="3" t="n">
        <v>228077.0</v>
      </c>
      <c r="O24" s="3" t="n">
        <v>223459.0</v>
      </c>
      <c r="P24" s="3" t="n">
        <v>218639.0</v>
      </c>
      <c r="Q24" s="3" t="n">
        <v>214324.0</v>
      </c>
      <c r="R24" s="3" t="n">
        <v>210491.0</v>
      </c>
      <c r="S24" s="3" t="n">
        <v>207824.0</v>
      </c>
      <c r="T24" s="3" t="n">
        <v>205151.0</v>
      </c>
      <c r="U24" s="3" t="n">
        <v>203848.0</v>
      </c>
      <c r="V24" s="3" t="n">
        <v>202559.0</v>
      </c>
      <c r="W24" s="3" t="n">
        <v>201500.0</v>
      </c>
      <c r="X24" s="3" t="n">
        <v>200606.0</v>
      </c>
      <c r="Y24" s="3" t="n">
        <v>199918.0</v>
      </c>
      <c r="Z24" s="3" t="n">
        <v>199415.0</v>
      </c>
      <c r="AA24" s="3" t="n">
        <v>199035.0</v>
      </c>
      <c r="AB24" s="3" t="n">
        <v>198730.0</v>
      </c>
      <c r="AC24" s="3" t="n">
        <v>198467.0</v>
      </c>
      <c r="AD24" s="3" t="n">
        <v>198226.0</v>
      </c>
      <c r="AE24" s="3" t="n">
        <v>197990.0</v>
      </c>
      <c r="AF24" s="3" t="n">
        <v>197691.0</v>
      </c>
      <c r="AG24" s="3" t="n">
        <v>197332.0</v>
      </c>
      <c r="AH24" s="3" t="n">
        <v>196855.0</v>
      </c>
      <c r="AI24" s="3" t="n">
        <v>196242.0</v>
      </c>
      <c r="AJ24" s="3" t="n">
        <v>195433.0</v>
      </c>
      <c r="AK24" s="3" t="n">
        <v>194408.0</v>
      </c>
      <c r="AL24" s="3" t="n">
        <v>193173.0</v>
      </c>
      <c r="AM24" s="3" t="n">
        <v>191740.0</v>
      </c>
      <c r="AN24" s="3" t="n">
        <v>190103.0</v>
      </c>
      <c r="AO24" s="3" t="n">
        <v>188274.0</v>
      </c>
    </row>
    <row r="25" spans="1:41" x14ac:dyDescent="0.2">
      <c r="A25" s="134"/>
      <c r="B25" s="52" t="s">
        <v>14</v>
      </c>
      <c r="C25" s="11" t="n">
        <v>896739.0</v>
      </c>
      <c r="D25" s="3" t="n">
        <v>886780.0</v>
      </c>
      <c r="E25" s="3" t="n">
        <v>878973.0</v>
      </c>
      <c r="F25" s="3" t="n">
        <v>873518.0</v>
      </c>
      <c r="G25" s="3" t="n">
        <v>870204.0</v>
      </c>
      <c r="H25" s="3" t="n">
        <v>869594.0</v>
      </c>
      <c r="I25" s="3" t="n">
        <v>870015.0</v>
      </c>
      <c r="J25" s="3" t="n">
        <v>868994.0</v>
      </c>
      <c r="K25" s="3" t="n">
        <v>867669.0</v>
      </c>
      <c r="L25" s="3" t="n">
        <v>865592.0</v>
      </c>
      <c r="M25" s="3" t="n">
        <v>864274.0</v>
      </c>
      <c r="N25" s="3" t="n">
        <v>862497.0</v>
      </c>
      <c r="O25" s="3" t="n">
        <v>860694.0</v>
      </c>
      <c r="P25" s="3" t="n">
        <v>858399.0</v>
      </c>
      <c r="Q25" s="3" t="n">
        <v>854718.0</v>
      </c>
      <c r="R25" s="3" t="n">
        <v>849739.0</v>
      </c>
      <c r="S25" s="3" t="n">
        <v>842916.0</v>
      </c>
      <c r="T25" s="3" t="n">
        <v>835318.0</v>
      </c>
      <c r="U25" s="3" t="n">
        <v>825458.0</v>
      </c>
      <c r="V25" s="3" t="n">
        <v>815074.0</v>
      </c>
      <c r="W25" s="3" t="n">
        <v>804402.0</v>
      </c>
      <c r="X25" s="3" t="n">
        <v>793714.0</v>
      </c>
      <c r="Y25" s="3" t="n">
        <v>782207.0</v>
      </c>
      <c r="Z25" s="3" t="n">
        <v>770098.0</v>
      </c>
      <c r="AA25" s="3" t="n">
        <v>758379.0</v>
      </c>
      <c r="AB25" s="3" t="n">
        <v>745852.0</v>
      </c>
      <c r="AC25" s="3" t="n">
        <v>732217.0</v>
      </c>
      <c r="AD25" s="3" t="n">
        <v>719509.0</v>
      </c>
      <c r="AE25" s="3" t="n">
        <v>707423.0</v>
      </c>
      <c r="AF25" s="3" t="n">
        <v>697020.0</v>
      </c>
      <c r="AG25" s="3" t="n">
        <v>687037.0</v>
      </c>
      <c r="AH25" s="3" t="n">
        <v>677495.0</v>
      </c>
      <c r="AI25" s="3" t="n">
        <v>668411.0</v>
      </c>
      <c r="AJ25" s="3" t="n">
        <v>659438.0</v>
      </c>
      <c r="AK25" s="3" t="n">
        <v>651091.0</v>
      </c>
      <c r="AL25" s="3" t="n">
        <v>643920.0</v>
      </c>
      <c r="AM25" s="3" t="n">
        <v>637275.0</v>
      </c>
      <c r="AN25" s="3" t="n">
        <v>631397.0</v>
      </c>
      <c r="AO25" s="3" t="n">
        <v>626276.0</v>
      </c>
    </row>
    <row r="26" spans="1:41" x14ac:dyDescent="0.2">
      <c r="A26" s="134"/>
      <c r="B26" s="52" t="s">
        <v>11</v>
      </c>
      <c r="C26" s="11" t="n">
        <v>532802.0</v>
      </c>
      <c r="D26" s="3" t="n">
        <v>521900.0</v>
      </c>
      <c r="E26" s="3" t="n">
        <v>510927.0</v>
      </c>
      <c r="F26" s="3" t="n">
        <v>500197.0</v>
      </c>
      <c r="G26" s="3" t="n">
        <v>491381.0</v>
      </c>
      <c r="H26" s="3" t="n">
        <v>482770.0</v>
      </c>
      <c r="I26" s="3" t="n">
        <v>473543.0</v>
      </c>
      <c r="J26" s="3" t="n">
        <v>463809.0</v>
      </c>
      <c r="K26" s="3" t="n">
        <v>454466.0</v>
      </c>
      <c r="L26" s="3" t="n">
        <v>446352.0</v>
      </c>
      <c r="M26" s="3" t="n">
        <v>439341.0</v>
      </c>
      <c r="N26" s="3" t="n">
        <v>432690.0</v>
      </c>
      <c r="O26" s="3" t="n">
        <v>427200.0</v>
      </c>
      <c r="P26" s="3" t="n">
        <v>421893.0</v>
      </c>
      <c r="Q26" s="3" t="n">
        <v>416710.0</v>
      </c>
      <c r="R26" s="3" t="n">
        <v>412423.0</v>
      </c>
      <c r="S26" s="3" t="n">
        <v>407499.0</v>
      </c>
      <c r="T26" s="3" t="n">
        <v>403516.0</v>
      </c>
      <c r="U26" s="3" t="n">
        <v>399001.0</v>
      </c>
      <c r="V26" s="3" t="n">
        <v>395249.0</v>
      </c>
      <c r="W26" s="3" t="n">
        <v>392209.0</v>
      </c>
      <c r="X26" s="3" t="n">
        <v>389979.0</v>
      </c>
      <c r="Y26" s="3" t="n">
        <v>388338.0</v>
      </c>
      <c r="Z26" s="3" t="n">
        <v>386856.0</v>
      </c>
      <c r="AA26" s="3" t="n">
        <v>385542.0</v>
      </c>
      <c r="AB26" s="3" t="n">
        <v>384514.0</v>
      </c>
      <c r="AC26" s="3" t="n">
        <v>383650.0</v>
      </c>
      <c r="AD26" s="3" t="n">
        <v>382284.0</v>
      </c>
      <c r="AE26" s="3" t="n">
        <v>380303.0</v>
      </c>
      <c r="AF26" s="3" t="n">
        <v>377545.0</v>
      </c>
      <c r="AG26" s="3" t="n">
        <v>373881.0</v>
      </c>
      <c r="AH26" s="3" t="n">
        <v>368802.0</v>
      </c>
      <c r="AI26" s="3" t="n">
        <v>363553.0</v>
      </c>
      <c r="AJ26" s="3" t="n">
        <v>358157.0</v>
      </c>
      <c r="AK26" s="3" t="n">
        <v>353640.0</v>
      </c>
      <c r="AL26" s="3" t="n">
        <v>349267.0</v>
      </c>
      <c r="AM26" s="3" t="n">
        <v>345668.0</v>
      </c>
      <c r="AN26" s="3" t="n">
        <v>341543.0</v>
      </c>
      <c r="AO26" s="3" t="n">
        <v>337700.0</v>
      </c>
    </row>
    <row r="27" spans="1:41" x14ac:dyDescent="0.2">
      <c r="A27" s="134"/>
      <c r="B27" s="52" t="s">
        <v>13</v>
      </c>
      <c r="C27" s="11" t="n">
        <v>363937.0</v>
      </c>
      <c r="D27" s="3" t="n">
        <v>364880.0</v>
      </c>
      <c r="E27" s="3" t="n">
        <v>368046.0</v>
      </c>
      <c r="F27" s="3" t="n">
        <v>373321.0</v>
      </c>
      <c r="G27" s="3" t="n">
        <v>378823.0</v>
      </c>
      <c r="H27" s="3" t="n">
        <v>386824.0</v>
      </c>
      <c r="I27" s="3" t="n">
        <v>396472.0</v>
      </c>
      <c r="J27" s="3" t="n">
        <v>405185.0</v>
      </c>
      <c r="K27" s="3" t="n">
        <v>413203.0</v>
      </c>
      <c r="L27" s="3" t="n">
        <v>419240.0</v>
      </c>
      <c r="M27" s="3" t="n">
        <v>424933.0</v>
      </c>
      <c r="N27" s="3" t="n">
        <v>429807.0</v>
      </c>
      <c r="O27" s="3" t="n">
        <v>433494.0</v>
      </c>
      <c r="P27" s="3" t="n">
        <v>436506.0</v>
      </c>
      <c r="Q27" s="3" t="n">
        <v>438008.0</v>
      </c>
      <c r="R27" s="3" t="n">
        <v>437316.0</v>
      </c>
      <c r="S27" s="3" t="n">
        <v>435417.0</v>
      </c>
      <c r="T27" s="3" t="n">
        <v>431802.0</v>
      </c>
      <c r="U27" s="3" t="n">
        <v>426457.0</v>
      </c>
      <c r="V27" s="3" t="n">
        <v>419825.0</v>
      </c>
      <c r="W27" s="3" t="n">
        <v>412193.0</v>
      </c>
      <c r="X27" s="3" t="n">
        <v>403735.0</v>
      </c>
      <c r="Y27" s="3" t="n">
        <v>393869.0</v>
      </c>
      <c r="Z27" s="3" t="n">
        <v>383242.0</v>
      </c>
      <c r="AA27" s="3" t="n">
        <v>372837.0</v>
      </c>
      <c r="AB27" s="3" t="n">
        <v>361338.0</v>
      </c>
      <c r="AC27" s="3" t="n">
        <v>348567.0</v>
      </c>
      <c r="AD27" s="3" t="n">
        <v>337225.0</v>
      </c>
      <c r="AE27" s="3" t="n">
        <v>327120.0</v>
      </c>
      <c r="AF27" s="3" t="n">
        <v>319475.0</v>
      </c>
      <c r="AG27" s="3" t="n">
        <v>313156.0</v>
      </c>
      <c r="AH27" s="3" t="n">
        <v>308693.0</v>
      </c>
      <c r="AI27" s="3" t="n">
        <v>304858.0</v>
      </c>
      <c r="AJ27" s="3" t="n">
        <v>301281.0</v>
      </c>
      <c r="AK27" s="3" t="n">
        <v>297451.0</v>
      </c>
      <c r="AL27" s="3" t="n">
        <v>294653.0</v>
      </c>
      <c r="AM27" s="3" t="n">
        <v>291607.0</v>
      </c>
      <c r="AN27" s="3" t="n">
        <v>289854.0</v>
      </c>
      <c r="AO27" s="3" t="n">
        <v>288576.0</v>
      </c>
    </row>
    <row r="28" spans="1:41" x14ac:dyDescent="0.2">
      <c r="A28" s="134"/>
      <c r="B28" s="52" t="s">
        <v>5</v>
      </c>
      <c r="C28" s="11" t="n">
        <v>234292.0</v>
      </c>
      <c r="D28" s="3" t="n">
        <v>241692.0</v>
      </c>
      <c r="E28" s="3" t="n">
        <v>247611.0</v>
      </c>
      <c r="F28" s="3" t="n">
        <v>251921.0</v>
      </c>
      <c r="G28" s="3" t="n">
        <v>255226.0</v>
      </c>
      <c r="H28" s="3" t="n">
        <v>257101.0</v>
      </c>
      <c r="I28" s="3" t="n">
        <v>258675.0</v>
      </c>
      <c r="J28" s="3" t="n">
        <v>259543.0</v>
      </c>
      <c r="K28" s="3" t="n">
        <v>260008.0</v>
      </c>
      <c r="L28" s="3" t="n">
        <v>260055.0</v>
      </c>
      <c r="M28" s="3" t="n">
        <v>259611.0</v>
      </c>
      <c r="N28" s="3" t="n">
        <v>259179.0</v>
      </c>
      <c r="O28" s="3" t="n">
        <v>259200.0</v>
      </c>
      <c r="P28" s="3" t="n">
        <v>259675.0</v>
      </c>
      <c r="Q28" s="3" t="n">
        <v>260793.0</v>
      </c>
      <c r="R28" s="3" t="n">
        <v>262738.0</v>
      </c>
      <c r="S28" s="3" t="n">
        <v>265264.0</v>
      </c>
      <c r="T28" s="3" t="n">
        <v>268478.0</v>
      </c>
      <c r="U28" s="3" t="n">
        <v>272534.0</v>
      </c>
      <c r="V28" s="3" t="n">
        <v>277106.0</v>
      </c>
      <c r="W28" s="3" t="n">
        <v>281720.0</v>
      </c>
      <c r="X28" s="3" t="n">
        <v>286398.0</v>
      </c>
      <c r="Y28" s="3" t="n">
        <v>291693.0</v>
      </c>
      <c r="Z28" s="3" t="n">
        <v>297400.0</v>
      </c>
      <c r="AA28" s="3" t="n">
        <v>302582.0</v>
      </c>
      <c r="AB28" s="3" t="n">
        <v>308513.0</v>
      </c>
      <c r="AC28" s="3" t="n">
        <v>315451.0</v>
      </c>
      <c r="AD28" s="3" t="n">
        <v>321526.0</v>
      </c>
      <c r="AE28" s="3" t="n">
        <v>326858.0</v>
      </c>
      <c r="AF28" s="3" t="n">
        <v>330476.0</v>
      </c>
      <c r="AG28" s="3" t="n">
        <v>333630.0</v>
      </c>
      <c r="AH28" s="3" t="n">
        <v>336295.0</v>
      </c>
      <c r="AI28" s="3" t="n">
        <v>338490.0</v>
      </c>
      <c r="AJ28" s="3" t="n">
        <v>340610.0</v>
      </c>
      <c r="AK28" s="3" t="n">
        <v>342107.0</v>
      </c>
      <c r="AL28" s="3" t="n">
        <v>342489.0</v>
      </c>
      <c r="AM28" s="3" t="n">
        <v>342426.0</v>
      </c>
      <c r="AN28" s="3" t="n">
        <v>341595.0</v>
      </c>
      <c r="AO28" s="3" t="n">
        <v>340210.0</v>
      </c>
    </row>
    <row r="29" spans="1:41" x14ac:dyDescent="0.2">
      <c r="A29" s="134"/>
      <c r="B29" s="52" t="s">
        <v>0</v>
      </c>
      <c r="C29" s="3" t="n">
        <v>37160.0</v>
      </c>
      <c r="D29" s="3" t="n">
        <v>36177.0</v>
      </c>
      <c r="E29" s="3" t="n">
        <v>34872.0</v>
      </c>
      <c r="F29" s="3" t="n">
        <v>34685.0</v>
      </c>
      <c r="G29" s="3" t="n">
        <v>34299.0</v>
      </c>
      <c r="H29" s="3" t="n">
        <v>34186.0</v>
      </c>
      <c r="I29" s="3" t="n">
        <v>34102.0</v>
      </c>
      <c r="J29" s="3" t="n">
        <v>33819.0</v>
      </c>
      <c r="K29" s="3" t="n">
        <v>33483.0</v>
      </c>
      <c r="L29" s="3" t="n">
        <v>33153.0</v>
      </c>
      <c r="M29" s="3" t="n">
        <v>32789.0</v>
      </c>
      <c r="N29" s="3" t="n">
        <v>32428.0</v>
      </c>
      <c r="O29" s="3" t="n">
        <v>32093.0</v>
      </c>
      <c r="P29" s="3" t="n">
        <v>31836.0</v>
      </c>
      <c r="Q29" s="3" t="n">
        <v>31628.0</v>
      </c>
      <c r="R29" s="3" t="n">
        <v>31532.0</v>
      </c>
      <c r="S29" s="3" t="n">
        <v>31530.0</v>
      </c>
      <c r="T29" s="3" t="n">
        <v>31629.0</v>
      </c>
      <c r="U29" s="3" t="n">
        <v>31780.0</v>
      </c>
      <c r="V29" s="3" t="n">
        <v>31953.0</v>
      </c>
      <c r="W29" s="3" t="n">
        <v>32139.0</v>
      </c>
      <c r="X29" s="3" t="n">
        <v>32308.0</v>
      </c>
      <c r="Y29" s="3" t="n">
        <v>32445.0</v>
      </c>
      <c r="Z29" s="3" t="n">
        <v>32519.0</v>
      </c>
      <c r="AA29" s="3" t="n">
        <v>32526.0</v>
      </c>
      <c r="AB29" s="3" t="n">
        <v>32460.0</v>
      </c>
      <c r="AC29" s="3" t="n">
        <v>32317.0</v>
      </c>
      <c r="AD29" s="3" t="n">
        <v>32100.0</v>
      </c>
      <c r="AE29" s="3" t="n">
        <v>31803.0</v>
      </c>
      <c r="AF29" s="3" t="n">
        <v>31444.0</v>
      </c>
      <c r="AG29" s="3" t="n">
        <v>31041.0</v>
      </c>
      <c r="AH29" s="3" t="n">
        <v>30588.0</v>
      </c>
      <c r="AI29" s="3" t="n">
        <v>30095.0</v>
      </c>
      <c r="AJ29" s="3" t="n">
        <v>29591.0</v>
      </c>
      <c r="AK29" s="3" t="n">
        <v>29089.0</v>
      </c>
      <c r="AL29" s="3" t="n">
        <v>28598.0</v>
      </c>
      <c r="AM29" s="3" t="n">
        <v>28132.0</v>
      </c>
      <c r="AN29" s="3" t="n">
        <v>27692.0</v>
      </c>
      <c r="AO29" s="3" t="n">
        <v>27291.0</v>
      </c>
    </row>
    <row r="30" spans="1:41" x14ac:dyDescent="0.2">
      <c r="A30" s="134"/>
      <c r="B30" s="52" t="s">
        <v>1</v>
      </c>
      <c r="C30" s="3" t="n">
        <v>58496.0</v>
      </c>
      <c r="D30" s="3" t="n">
        <v>56445.0</v>
      </c>
      <c r="E30" s="3" t="n">
        <v>54453.0</v>
      </c>
      <c r="F30" s="3" t="n">
        <v>51810.0</v>
      </c>
      <c r="G30" s="3" t="n">
        <v>49677.0</v>
      </c>
      <c r="H30" s="3" t="n">
        <v>48992.0</v>
      </c>
      <c r="I30" s="3" t="n">
        <v>48219.0</v>
      </c>
      <c r="J30" s="3" t="n">
        <v>48158.0</v>
      </c>
      <c r="K30" s="3" t="n">
        <v>47655.0</v>
      </c>
      <c r="L30" s="3" t="n">
        <v>47093.0</v>
      </c>
      <c r="M30" s="3" t="n">
        <v>46486.0</v>
      </c>
      <c r="N30" s="3" t="n">
        <v>45911.0</v>
      </c>
      <c r="O30" s="3" t="n">
        <v>45402.0</v>
      </c>
      <c r="P30" s="3" t="n">
        <v>44905.0</v>
      </c>
      <c r="Q30" s="3" t="n">
        <v>44444.0</v>
      </c>
      <c r="R30" s="3" t="n">
        <v>44004.0</v>
      </c>
      <c r="S30" s="3" t="n">
        <v>43620.0</v>
      </c>
      <c r="T30" s="3" t="n">
        <v>43332.0</v>
      </c>
      <c r="U30" s="3" t="n">
        <v>43152.0</v>
      </c>
      <c r="V30" s="3" t="n">
        <v>43103.0</v>
      </c>
      <c r="W30" s="3" t="n">
        <v>43168.0</v>
      </c>
      <c r="X30" s="3" t="n">
        <v>43343.0</v>
      </c>
      <c r="Y30" s="3" t="n">
        <v>43554.0</v>
      </c>
      <c r="Z30" s="3" t="n">
        <v>43796.0</v>
      </c>
      <c r="AA30" s="3" t="n">
        <v>44030.0</v>
      </c>
      <c r="AB30" s="3" t="n">
        <v>44219.0</v>
      </c>
      <c r="AC30" s="3" t="n">
        <v>44350.0</v>
      </c>
      <c r="AD30" s="3" t="n">
        <v>44400.0</v>
      </c>
      <c r="AE30" s="3" t="n">
        <v>44363.0</v>
      </c>
      <c r="AF30" s="3" t="n">
        <v>44225.0</v>
      </c>
      <c r="AG30" s="3" t="n">
        <v>43980.0</v>
      </c>
      <c r="AH30" s="3" t="n">
        <v>43641.0</v>
      </c>
      <c r="AI30" s="3" t="n">
        <v>43218.0</v>
      </c>
      <c r="AJ30" s="3" t="n">
        <v>42709.0</v>
      </c>
      <c r="AK30" s="3" t="n">
        <v>42124.0</v>
      </c>
      <c r="AL30" s="3" t="n">
        <v>41493.0</v>
      </c>
      <c r="AM30" s="3" t="n">
        <v>40837.0</v>
      </c>
      <c r="AN30" s="3" t="n">
        <v>40167.0</v>
      </c>
      <c r="AO30" s="3" t="n">
        <v>39504.0</v>
      </c>
    </row>
    <row r="31" spans="1:41" x14ac:dyDescent="0.2">
      <c r="A31" s="134"/>
      <c r="B31" s="53" t="s">
        <v>18</v>
      </c>
      <c r="C31" s="3" t="n">
        <v>120341.0</v>
      </c>
      <c r="D31" s="3" t="n">
        <v>119647.0</v>
      </c>
      <c r="E31" s="3" t="n">
        <v>119142.0</v>
      </c>
      <c r="F31" s="3" t="n">
        <v>117952.0</v>
      </c>
      <c r="G31" s="3" t="n">
        <v>117225.0</v>
      </c>
      <c r="H31" s="3" t="n">
        <v>116628.0</v>
      </c>
      <c r="I31" s="3" t="n">
        <v>117359.0</v>
      </c>
      <c r="J31" s="3" t="n">
        <v>115318.0</v>
      </c>
      <c r="K31" s="3" t="n">
        <v>113082.0</v>
      </c>
      <c r="L31" s="3" t="n">
        <v>109931.0</v>
      </c>
      <c r="M31" s="3" t="n">
        <v>106436.0</v>
      </c>
      <c r="N31" s="3" t="n">
        <v>103272.0</v>
      </c>
      <c r="O31" s="3" t="n">
        <v>100368.0</v>
      </c>
      <c r="P31" s="3" t="n">
        <v>98439.0</v>
      </c>
      <c r="Q31" s="3" t="n">
        <v>96300.0</v>
      </c>
      <c r="R31" s="3" t="n">
        <v>95351.0</v>
      </c>
      <c r="S31" s="3" t="n">
        <v>94241.0</v>
      </c>
      <c r="T31" s="3" t="n">
        <v>93152.0</v>
      </c>
      <c r="U31" s="3" t="n">
        <v>92092.0</v>
      </c>
      <c r="V31" s="3" t="n">
        <v>91107.0</v>
      </c>
      <c r="W31" s="3" t="n">
        <v>90251.0</v>
      </c>
      <c r="X31" s="3" t="n">
        <v>89497.0</v>
      </c>
      <c r="Y31" s="3" t="n">
        <v>88902.0</v>
      </c>
      <c r="Z31" s="3" t="n">
        <v>88461.0</v>
      </c>
      <c r="AA31" s="3" t="n">
        <v>88188.0</v>
      </c>
      <c r="AB31" s="3" t="n">
        <v>88109.0</v>
      </c>
      <c r="AC31" s="3" t="n">
        <v>88177.0</v>
      </c>
      <c r="AD31" s="3" t="n">
        <v>88398.0</v>
      </c>
      <c r="AE31" s="3" t="n">
        <v>88707.0</v>
      </c>
      <c r="AF31" s="3" t="n">
        <v>89081.0</v>
      </c>
      <c r="AG31" s="3" t="n">
        <v>89434.0</v>
      </c>
      <c r="AH31" s="3" t="n">
        <v>89727.0</v>
      </c>
      <c r="AI31" s="3" t="n">
        <v>89907.0</v>
      </c>
      <c r="AJ31" s="3" t="n">
        <v>89945.0</v>
      </c>
      <c r="AK31" s="3" t="n">
        <v>89825.0</v>
      </c>
      <c r="AL31" s="3" t="n">
        <v>89522.0</v>
      </c>
      <c r="AM31" s="3" t="n">
        <v>89046.0</v>
      </c>
      <c r="AN31" s="3" t="n">
        <v>88393.0</v>
      </c>
      <c r="AO31" s="3" t="n">
        <v>87570.0</v>
      </c>
    </row>
    <row r="32" spans="1:41" x14ac:dyDescent="0.2">
      <c r="A32" s="134"/>
      <c r="B32" s="52" t="s">
        <v>19</v>
      </c>
      <c r="C32" s="3" t="n">
        <v>53480.0</v>
      </c>
      <c r="D32" s="3" t="n">
        <v>56799.0</v>
      </c>
      <c r="E32" s="3" t="n">
        <v>59528.0</v>
      </c>
      <c r="F32" s="3" t="n">
        <v>61698.0</v>
      </c>
      <c r="G32" s="3" t="n">
        <v>62218.0</v>
      </c>
      <c r="H32" s="3" t="n">
        <v>61829.0</v>
      </c>
      <c r="I32" s="3" t="n">
        <v>60888.0</v>
      </c>
      <c r="J32" s="3" t="n">
        <v>60074.0</v>
      </c>
      <c r="K32" s="3" t="n">
        <v>59775.0</v>
      </c>
      <c r="L32" s="3" t="n">
        <v>60141.0</v>
      </c>
      <c r="M32" s="3" t="n">
        <v>61367.0</v>
      </c>
      <c r="N32" s="3" t="n">
        <v>61386.0</v>
      </c>
      <c r="O32" s="3" t="n">
        <v>61100.0</v>
      </c>
      <c r="P32" s="3" t="n">
        <v>59112.0</v>
      </c>
      <c r="Q32" s="3" t="n">
        <v>57056.0</v>
      </c>
      <c r="R32" s="3" t="n">
        <v>54252.0</v>
      </c>
      <c r="S32" s="3" t="n">
        <v>51960.0</v>
      </c>
      <c r="T32" s="3" t="n">
        <v>50639.0</v>
      </c>
      <c r="U32" s="3" t="n">
        <v>49131.0</v>
      </c>
      <c r="V32" s="3" t="n">
        <v>48758.0</v>
      </c>
      <c r="W32" s="3" t="n">
        <v>48149.0</v>
      </c>
      <c r="X32" s="3" t="n">
        <v>47553.0</v>
      </c>
      <c r="Y32" s="3" t="n">
        <v>46945.0</v>
      </c>
      <c r="Z32" s="3" t="n">
        <v>46395.0</v>
      </c>
      <c r="AA32" s="3" t="n">
        <v>45909.0</v>
      </c>
      <c r="AB32" s="3" t="n">
        <v>45433.0</v>
      </c>
      <c r="AC32" s="3" t="n">
        <v>45003.0</v>
      </c>
      <c r="AD32" s="3" t="n">
        <v>44600.0</v>
      </c>
      <c r="AE32" s="3" t="n">
        <v>44259.0</v>
      </c>
      <c r="AF32" s="3" t="n">
        <v>44005.0</v>
      </c>
      <c r="AG32" s="3" t="n">
        <v>43854.0</v>
      </c>
      <c r="AH32" s="3" t="n">
        <v>43831.0</v>
      </c>
      <c r="AI32" s="3" t="n">
        <v>43910.0</v>
      </c>
      <c r="AJ32" s="3" t="n">
        <v>44102.0</v>
      </c>
      <c r="AK32" s="3" t="n">
        <v>44327.0</v>
      </c>
      <c r="AL32" s="3" t="n">
        <v>44571.0</v>
      </c>
      <c r="AM32" s="3" t="n">
        <v>44804.0</v>
      </c>
      <c r="AN32" s="3" t="n">
        <v>44989.0</v>
      </c>
      <c r="AO32" s="3" t="n">
        <v>45117.0</v>
      </c>
    </row>
    <row r="33" spans="1:41" x14ac:dyDescent="0.2">
      <c r="A33" s="134"/>
      <c r="B33" s="52" t="s">
        <v>2</v>
      </c>
      <c r="C33" s="3" t="n">
        <v>77641.0</v>
      </c>
      <c r="D33" s="3" t="n">
        <v>75700.0</v>
      </c>
      <c r="E33" s="3" t="n">
        <v>75134.0</v>
      </c>
      <c r="F33" s="3" t="n">
        <v>75644.0</v>
      </c>
      <c r="G33" s="3" t="n">
        <v>77277.0</v>
      </c>
      <c r="H33" s="3" t="n">
        <v>80872.0</v>
      </c>
      <c r="I33" s="3" t="n">
        <v>84954.0</v>
      </c>
      <c r="J33" s="3" t="n">
        <v>88724.0</v>
      </c>
      <c r="K33" s="3" t="n">
        <v>91072.0</v>
      </c>
      <c r="L33" s="3" t="n">
        <v>92570.0</v>
      </c>
      <c r="M33" s="3" t="n">
        <v>92495.0</v>
      </c>
      <c r="N33" s="3" t="n">
        <v>91709.0</v>
      </c>
      <c r="O33" s="3" t="n">
        <v>90665.0</v>
      </c>
      <c r="P33" s="3" t="n">
        <v>89993.0</v>
      </c>
      <c r="Q33" s="3" t="n">
        <v>90324.0</v>
      </c>
      <c r="R33" s="3" t="n">
        <v>90225.0</v>
      </c>
      <c r="S33" s="3" t="n">
        <v>90408.0</v>
      </c>
      <c r="T33" s="3" t="n">
        <v>88851.0</v>
      </c>
      <c r="U33" s="3" t="n">
        <v>87552.0</v>
      </c>
      <c r="V33" s="3" t="n">
        <v>84378.0</v>
      </c>
      <c r="W33" s="3" t="n">
        <v>81092.0</v>
      </c>
      <c r="X33" s="3" t="n">
        <v>78204.0</v>
      </c>
      <c r="Y33" s="3" t="n">
        <v>75651.0</v>
      </c>
      <c r="Z33" s="3" t="n">
        <v>74054.0</v>
      </c>
      <c r="AA33" s="3" t="n">
        <v>72212.0</v>
      </c>
      <c r="AB33" s="3" t="n">
        <v>71531.0</v>
      </c>
      <c r="AC33" s="3" t="n">
        <v>70663.0</v>
      </c>
      <c r="AD33" s="3" t="n">
        <v>69838.0</v>
      </c>
      <c r="AE33" s="3" t="n">
        <v>69020.0</v>
      </c>
      <c r="AF33" s="3" t="n">
        <v>68242.0</v>
      </c>
      <c r="AG33" s="3" t="n">
        <v>67564.0</v>
      </c>
      <c r="AH33" s="3" t="n">
        <v>66941.0</v>
      </c>
      <c r="AI33" s="3" t="n">
        <v>66399.0</v>
      </c>
      <c r="AJ33" s="3" t="n">
        <v>65926.0</v>
      </c>
      <c r="AK33" s="3" t="n">
        <v>65572.0</v>
      </c>
      <c r="AL33" s="3" t="n">
        <v>65391.0</v>
      </c>
      <c r="AM33" s="3" t="n">
        <v>65339.0</v>
      </c>
      <c r="AN33" s="3" t="n">
        <v>65435.0</v>
      </c>
      <c r="AO33" s="3" t="n">
        <v>65637.0</v>
      </c>
    </row>
    <row r="34" spans="1:41" x14ac:dyDescent="0.2">
      <c r="A34" s="134"/>
      <c r="B34" s="52" t="s">
        <v>3</v>
      </c>
      <c r="C34" s="3" t="n">
        <v>215997.0</v>
      </c>
      <c r="D34" s="3" t="n">
        <v>212269.0</v>
      </c>
      <c r="E34" s="3" t="n">
        <v>208467.0</v>
      </c>
      <c r="F34" s="3" t="n">
        <v>204447.0</v>
      </c>
      <c r="G34" s="3" t="n">
        <v>201201.0</v>
      </c>
      <c r="H34" s="3" t="n">
        <v>199806.0</v>
      </c>
      <c r="I34" s="3" t="n">
        <v>199680.0</v>
      </c>
      <c r="J34" s="3" t="n">
        <v>197295.0</v>
      </c>
      <c r="K34" s="3" t="n">
        <v>194220.0</v>
      </c>
      <c r="L34" s="3" t="n">
        <v>190177.0</v>
      </c>
      <c r="M34" s="3" t="n">
        <v>185711.0</v>
      </c>
      <c r="N34" s="3" t="n">
        <v>181611.0</v>
      </c>
      <c r="O34" s="3" t="n">
        <v>177863.0</v>
      </c>
      <c r="P34" s="3" t="n">
        <v>175180.0</v>
      </c>
      <c r="Q34" s="3" t="n">
        <v>172372.0</v>
      </c>
      <c r="R34" s="3" t="n">
        <v>170887.0</v>
      </c>
      <c r="S34" s="3" t="n">
        <v>169391.0</v>
      </c>
      <c r="T34" s="3" t="n">
        <v>168113.0</v>
      </c>
      <c r="U34" s="3" t="n">
        <v>167024.0</v>
      </c>
      <c r="V34" s="3" t="n">
        <v>166163.0</v>
      </c>
      <c r="W34" s="3" t="n">
        <v>165558.0</v>
      </c>
      <c r="X34" s="3" t="n">
        <v>165148.0</v>
      </c>
      <c r="Y34" s="3" t="n">
        <v>164901.0</v>
      </c>
      <c r="Z34" s="3" t="n">
        <v>164776.0</v>
      </c>
      <c r="AA34" s="3" t="n">
        <v>164744.0</v>
      </c>
      <c r="AB34" s="3" t="n">
        <v>164788.0</v>
      </c>
      <c r="AC34" s="3" t="n">
        <v>164844.0</v>
      </c>
      <c r="AD34" s="3" t="n">
        <v>164898.0</v>
      </c>
      <c r="AE34" s="3" t="n">
        <v>164873.0</v>
      </c>
      <c r="AF34" s="3" t="n">
        <v>164750.0</v>
      </c>
      <c r="AG34" s="3" t="n">
        <v>164455.0</v>
      </c>
      <c r="AH34" s="3" t="n">
        <v>163956.0</v>
      </c>
      <c r="AI34" s="3" t="n">
        <v>163220.0</v>
      </c>
      <c r="AJ34" s="3" t="n">
        <v>162245.0</v>
      </c>
      <c r="AK34" s="3" t="n">
        <v>161038.0</v>
      </c>
      <c r="AL34" s="3" t="n">
        <v>159613.0</v>
      </c>
      <c r="AM34" s="3" t="n">
        <v>158015.0</v>
      </c>
      <c r="AN34" s="3" t="n">
        <v>156252.0</v>
      </c>
      <c r="AO34" s="3" t="n">
        <v>154365.0</v>
      </c>
    </row>
    <row r="35" spans="1:41" x14ac:dyDescent="0.2">
      <c r="A35" s="134"/>
      <c r="B35" s="52" t="s">
        <v>4</v>
      </c>
      <c r="C35" s="3" t="n">
        <v>937834.0</v>
      </c>
      <c r="D35" s="3" t="n">
        <v>930682.0</v>
      </c>
      <c r="E35" s="3" t="n">
        <v>924906.0</v>
      </c>
      <c r="F35" s="3" t="n">
        <v>920798.0</v>
      </c>
      <c r="G35" s="3" t="n">
        <v>916726.0</v>
      </c>
      <c r="H35" s="3" t="n">
        <v>915627.0</v>
      </c>
      <c r="I35" s="3" t="n">
        <v>914802.0</v>
      </c>
      <c r="J35" s="3" t="n">
        <v>913767.0</v>
      </c>
      <c r="K35" s="3" t="n">
        <v>912253.0</v>
      </c>
      <c r="L35" s="3" t="n">
        <v>911280.0</v>
      </c>
      <c r="M35" s="3" t="n">
        <v>910552.0</v>
      </c>
      <c r="N35" s="3" t="n">
        <v>908963.0</v>
      </c>
      <c r="O35" s="3" t="n">
        <v>906290.0</v>
      </c>
      <c r="P35" s="3" t="n">
        <v>901858.0</v>
      </c>
      <c r="Q35" s="3" t="n">
        <v>896670.0</v>
      </c>
      <c r="R35" s="3" t="n">
        <v>889343.0</v>
      </c>
      <c r="S35" s="3" t="n">
        <v>881349.0</v>
      </c>
      <c r="T35" s="3" t="n">
        <v>872356.0</v>
      </c>
      <c r="U35" s="3" t="n">
        <v>862282.0</v>
      </c>
      <c r="V35" s="3" t="n">
        <v>851470.0</v>
      </c>
      <c r="W35" s="3" t="n">
        <v>840344.0</v>
      </c>
      <c r="X35" s="3" t="n">
        <v>829172.0</v>
      </c>
      <c r="Y35" s="3" t="n">
        <v>817224.0</v>
      </c>
      <c r="Z35" s="3" t="n">
        <v>804737.0</v>
      </c>
      <c r="AA35" s="3" t="n">
        <v>792670.0</v>
      </c>
      <c r="AB35" s="3" t="n">
        <v>779794.0</v>
      </c>
      <c r="AC35" s="3" t="n">
        <v>765840.0</v>
      </c>
      <c r="AD35" s="3" t="n">
        <v>752837.0</v>
      </c>
      <c r="AE35" s="3" t="n">
        <v>740540.0</v>
      </c>
      <c r="AF35" s="3" t="n">
        <v>729961.0</v>
      </c>
      <c r="AG35" s="3" t="n">
        <v>719914.0</v>
      </c>
      <c r="AH35" s="3" t="n">
        <v>710394.0</v>
      </c>
      <c r="AI35" s="3" t="n">
        <v>701433.0</v>
      </c>
      <c r="AJ35" s="3" t="n">
        <v>692626.0</v>
      </c>
      <c r="AK35" s="3" t="n">
        <v>684461.0</v>
      </c>
      <c r="AL35" s="3" t="n">
        <v>677480.0</v>
      </c>
      <c r="AM35" s="3" t="n">
        <v>671000.0</v>
      </c>
      <c r="AN35" s="3" t="n">
        <v>665248.0</v>
      </c>
      <c r="AO35" s="3" t="n">
        <v>660185.0</v>
      </c>
    </row>
    <row r="36" spans="1:41" x14ac:dyDescent="0.2">
      <c r="A36" s="134"/>
      <c r="B36" s="52" t="s">
        <v>5</v>
      </c>
      <c r="C36" s="3" t="n">
        <v>234292.0</v>
      </c>
      <c r="D36" s="3" t="n">
        <v>241692.0</v>
      </c>
      <c r="E36" s="3" t="n">
        <v>247611.0</v>
      </c>
      <c r="F36" s="3" t="n">
        <v>251921.0</v>
      </c>
      <c r="G36" s="3" t="n">
        <v>255226.0</v>
      </c>
      <c r="H36" s="3" t="n">
        <v>257101.0</v>
      </c>
      <c r="I36" s="3" t="n">
        <v>258675.0</v>
      </c>
      <c r="J36" s="3" t="n">
        <v>259543.0</v>
      </c>
      <c r="K36" s="3" t="n">
        <v>260008.0</v>
      </c>
      <c r="L36" s="3" t="n">
        <v>260055.0</v>
      </c>
      <c r="M36" s="3" t="n">
        <v>259611.0</v>
      </c>
      <c r="N36" s="3" t="n">
        <v>259179.0</v>
      </c>
      <c r="O36" s="3" t="n">
        <v>259200.0</v>
      </c>
      <c r="P36" s="3" t="n">
        <v>259675.0</v>
      </c>
      <c r="Q36" s="3" t="n">
        <v>260793.0</v>
      </c>
      <c r="R36" s="3" t="n">
        <v>262738.0</v>
      </c>
      <c r="S36" s="3" t="n">
        <v>265264.0</v>
      </c>
      <c r="T36" s="3" t="n">
        <v>268478.0</v>
      </c>
      <c r="U36" s="3" t="n">
        <v>272534.0</v>
      </c>
      <c r="V36" s="3" t="n">
        <v>277106.0</v>
      </c>
      <c r="W36" s="3" t="n">
        <v>281720.0</v>
      </c>
      <c r="X36" s="3" t="n">
        <v>286398.0</v>
      </c>
      <c r="Y36" s="3" t="n">
        <v>291693.0</v>
      </c>
      <c r="Z36" s="3" t="n">
        <v>297400.0</v>
      </c>
      <c r="AA36" s="3" t="n">
        <v>302582.0</v>
      </c>
      <c r="AB36" s="3" t="n">
        <v>308513.0</v>
      </c>
      <c r="AC36" s="3" t="n">
        <v>315451.0</v>
      </c>
      <c r="AD36" s="3" t="n">
        <v>321526.0</v>
      </c>
      <c r="AE36" s="3" t="n">
        <v>326858.0</v>
      </c>
      <c r="AF36" s="3" t="n">
        <v>330476.0</v>
      </c>
      <c r="AG36" s="3" t="n">
        <v>333630.0</v>
      </c>
      <c r="AH36" s="3" t="n">
        <v>336295.0</v>
      </c>
      <c r="AI36" s="3" t="n">
        <v>338490.0</v>
      </c>
      <c r="AJ36" s="3" t="n">
        <v>340610.0</v>
      </c>
      <c r="AK36" s="3" t="n">
        <v>342107.0</v>
      </c>
      <c r="AL36" s="3" t="n">
        <v>342489.0</v>
      </c>
      <c r="AM36" s="3" t="n">
        <v>342426.0</v>
      </c>
      <c r="AN36" s="3" t="n">
        <v>341595.0</v>
      </c>
      <c r="AO36" s="3" t="n">
        <v>340210.0</v>
      </c>
    </row>
    <row r="37" spans="1:41" x14ac:dyDescent="0.2">
      <c r="A37" s="134"/>
      <c r="B37" s="54" t="s">
        <v>6</v>
      </c>
      <c r="C37" s="3" t="n">
        <v>35192.0</v>
      </c>
      <c r="D37" s="3" t="n">
        <v>35130.0</v>
      </c>
      <c r="E37" s="3" t="n">
        <v>35341.0</v>
      </c>
      <c r="F37" s="3" t="n">
        <v>35604.0</v>
      </c>
      <c r="G37" s="3" t="n">
        <v>38216.0</v>
      </c>
      <c r="H37" s="3" t="n">
        <v>41977.0</v>
      </c>
      <c r="I37" s="3" t="n">
        <v>46421.0</v>
      </c>
      <c r="J37" s="3" t="n">
        <v>50729.0</v>
      </c>
      <c r="K37" s="3" t="n">
        <v>55140.0</v>
      </c>
      <c r="L37" s="3" t="n">
        <v>59567.0</v>
      </c>
      <c r="M37" s="3" t="n">
        <v>63963.0</v>
      </c>
      <c r="N37" s="3" t="n">
        <v>67957.0</v>
      </c>
      <c r="O37" s="3" t="n">
        <v>71489.0</v>
      </c>
      <c r="P37" s="3" t="n">
        <v>75267.0</v>
      </c>
      <c r="Q37" s="3" t="n">
        <v>78434.0</v>
      </c>
      <c r="R37" s="3" t="n">
        <v>81362.0</v>
      </c>
      <c r="S37" s="3" t="n">
        <v>83875.0</v>
      </c>
      <c r="T37" s="3" t="n">
        <v>85469.0</v>
      </c>
      <c r="U37" s="3" t="n">
        <v>86096.0</v>
      </c>
      <c r="V37" s="3" t="n">
        <v>86216.0</v>
      </c>
      <c r="W37" s="3" t="n">
        <v>85545.0</v>
      </c>
      <c r="X37" s="3" t="n">
        <v>84844.0</v>
      </c>
      <c r="Y37" s="3" t="n">
        <v>83951.0</v>
      </c>
      <c r="Z37" s="3" t="n">
        <v>82966.0</v>
      </c>
      <c r="AA37" s="3" t="n">
        <v>81968.0</v>
      </c>
      <c r="AB37" s="3" t="n">
        <v>80914.0</v>
      </c>
      <c r="AC37" s="3" t="n">
        <v>80107.0</v>
      </c>
      <c r="AD37" s="3" t="n">
        <v>79832.0</v>
      </c>
      <c r="AE37" s="3" t="n">
        <v>79984.0</v>
      </c>
      <c r="AF37" s="3" t="n">
        <v>80731.0</v>
      </c>
      <c r="AG37" s="3" t="n">
        <v>82070.0</v>
      </c>
      <c r="AH37" s="3" t="n">
        <v>83905.0</v>
      </c>
      <c r="AI37" s="3" t="n">
        <v>86280.0</v>
      </c>
      <c r="AJ37" s="3" t="n">
        <v>89239.0</v>
      </c>
      <c r="AK37" s="3" t="n">
        <v>92471.0</v>
      </c>
      <c r="AL37" s="3" t="n">
        <v>95745.0</v>
      </c>
      <c r="AM37" s="3" t="n">
        <v>98939.0</v>
      </c>
      <c r="AN37" s="3" t="n">
        <v>102427.0</v>
      </c>
      <c r="AO37" s="3" t="n">
        <v>106166.0</v>
      </c>
    </row>
    <row r="38" spans="1:41" x14ac:dyDescent="0.2">
      <c r="A38" s="133" t="s">
        <v>51</v>
      </c>
      <c r="B38" s="69" t="s">
        <v>65</v>
      </c>
      <c r="C38" s="70" t="n">
        <v>1499910.0</v>
      </c>
      <c r="D38" s="70" t="n">
        <v>1496205.0</v>
      </c>
      <c r="E38" s="70" t="n">
        <v>1492500.0</v>
      </c>
      <c r="F38" s="70" t="n">
        <v>1488769.0</v>
      </c>
      <c r="G38" s="70" t="n">
        <v>1485010.0</v>
      </c>
      <c r="H38" s="70" t="n">
        <v>1488027.0</v>
      </c>
      <c r="I38" s="70" t="n">
        <v>1493426.0</v>
      </c>
      <c r="J38" s="70" t="n">
        <v>1493169.0</v>
      </c>
      <c r="K38" s="70" t="n">
        <v>1489944.0</v>
      </c>
      <c r="L38" s="70" t="n">
        <v>1485463.0</v>
      </c>
      <c r="M38" s="70" t="n">
        <v>1480133.0</v>
      </c>
      <c r="N38" s="70" t="n">
        <v>1474097.0</v>
      </c>
      <c r="O38" s="70" t="n">
        <v>1467623.0</v>
      </c>
      <c r="P38" s="70" t="n">
        <v>1460805.0</v>
      </c>
      <c r="Q38" s="70" t="n">
        <v>1453714.0</v>
      </c>
      <c r="R38" s="70" t="n">
        <v>1446396.0</v>
      </c>
      <c r="S38" s="70" t="n">
        <v>1438907.0</v>
      </c>
      <c r="T38" s="70" t="n">
        <v>1431286.0</v>
      </c>
      <c r="U38" s="70" t="n">
        <v>1423461.0</v>
      </c>
      <c r="V38" s="70" t="n">
        <v>1415570.0</v>
      </c>
      <c r="W38" s="70" t="n">
        <v>1407603.0</v>
      </c>
      <c r="X38" s="70" t="n">
        <v>1399577.0</v>
      </c>
      <c r="Y38" s="70" t="n">
        <v>1391514.0</v>
      </c>
      <c r="Z38" s="70" t="n">
        <v>1383245.0</v>
      </c>
      <c r="AA38" s="70" t="n">
        <v>1374988.0</v>
      </c>
      <c r="AB38" s="70" t="n">
        <v>1366800.0</v>
      </c>
      <c r="AC38" s="70" t="n">
        <v>1358621.0</v>
      </c>
      <c r="AD38" s="70" t="n">
        <v>1350454.0</v>
      </c>
      <c r="AE38" s="70" t="n">
        <v>1342324.0</v>
      </c>
      <c r="AF38" s="70" t="n">
        <v>1334231.0</v>
      </c>
      <c r="AG38" s="70" t="n">
        <v>1325937.0</v>
      </c>
      <c r="AH38" s="70" t="n">
        <v>1317672.0</v>
      </c>
      <c r="AI38" s="70" t="n">
        <v>1309416.0</v>
      </c>
      <c r="AJ38" s="70" t="n">
        <v>1301069.0</v>
      </c>
      <c r="AK38" s="70" t="n">
        <v>1292679.0</v>
      </c>
      <c r="AL38" s="70" t="n">
        <v>1284230.0</v>
      </c>
      <c r="AM38" s="70" t="n">
        <v>1275541.0</v>
      </c>
      <c r="AN38" s="70" t="n">
        <v>1266712.0</v>
      </c>
      <c r="AO38" s="70" t="n">
        <v>1257757.0</v>
      </c>
    </row>
    <row r="39" spans="1:41" x14ac:dyDescent="0.2">
      <c r="A39" s="134"/>
      <c r="B39" s="52" t="s">
        <v>8</v>
      </c>
      <c r="C39" s="3" t="n">
        <v>244178.0</v>
      </c>
      <c r="D39" s="3" t="n">
        <v>243263.0</v>
      </c>
      <c r="E39" s="3" t="n">
        <v>241512.0</v>
      </c>
      <c r="F39" s="3" t="n">
        <v>238770.0</v>
      </c>
      <c r="G39" s="3" t="n">
        <v>234866.0</v>
      </c>
      <c r="H39" s="3" t="n">
        <v>232817.0</v>
      </c>
      <c r="I39" s="3" t="n">
        <v>231650.0</v>
      </c>
      <c r="J39" s="3" t="n">
        <v>229517.0</v>
      </c>
      <c r="K39" s="3" t="n">
        <v>226425.0</v>
      </c>
      <c r="L39" s="3" t="n">
        <v>223548.0</v>
      </c>
      <c r="M39" s="3" t="n">
        <v>219636.0</v>
      </c>
      <c r="N39" s="3" t="n">
        <v>215745.0</v>
      </c>
      <c r="O39" s="3" t="n">
        <v>211382.0</v>
      </c>
      <c r="P39" s="3" t="n">
        <v>206492.0</v>
      </c>
      <c r="Q39" s="3" t="n">
        <v>202269.0</v>
      </c>
      <c r="R39" s="3" t="n">
        <v>198752.0</v>
      </c>
      <c r="S39" s="3" t="n">
        <v>195955.0</v>
      </c>
      <c r="T39" s="3" t="n">
        <v>193554.0</v>
      </c>
      <c r="U39" s="3" t="n">
        <v>192362.0</v>
      </c>
      <c r="V39" s="3" t="n">
        <v>191081.0</v>
      </c>
      <c r="W39" s="3" t="n">
        <v>190057.0</v>
      </c>
      <c r="X39" s="3" t="n">
        <v>189190.0</v>
      </c>
      <c r="Y39" s="3" t="n">
        <v>188521.0</v>
      </c>
      <c r="Z39" s="3" t="n">
        <v>188015.0</v>
      </c>
      <c r="AA39" s="3" t="n">
        <v>187657.0</v>
      </c>
      <c r="AB39" s="3" t="n">
        <v>187366.0</v>
      </c>
      <c r="AC39" s="3" t="n">
        <v>187104.0</v>
      </c>
      <c r="AD39" s="3" t="n">
        <v>186863.0</v>
      </c>
      <c r="AE39" s="3" t="n">
        <v>186620.0</v>
      </c>
      <c r="AF39" s="3" t="n">
        <v>186359.0</v>
      </c>
      <c r="AG39" s="3" t="n">
        <v>186036.0</v>
      </c>
      <c r="AH39" s="3" t="n">
        <v>185599.0</v>
      </c>
      <c r="AI39" s="3" t="n">
        <v>185024.0</v>
      </c>
      <c r="AJ39" s="3" t="n">
        <v>184280.0</v>
      </c>
      <c r="AK39" s="3" t="n">
        <v>183347.0</v>
      </c>
      <c r="AL39" s="3" t="n">
        <v>182220.0</v>
      </c>
      <c r="AM39" s="3" t="n">
        <v>180891.0</v>
      </c>
      <c r="AN39" s="3" t="n">
        <v>179373.0</v>
      </c>
      <c r="AO39" s="3" t="n">
        <v>177679.0</v>
      </c>
    </row>
    <row r="40" spans="1:41" x14ac:dyDescent="0.2">
      <c r="A40" s="134"/>
      <c r="B40" s="52" t="s">
        <v>15</v>
      </c>
      <c r="C40" s="3" t="n">
        <v>800797.0</v>
      </c>
      <c r="D40" s="3" t="n">
        <v>795927.0</v>
      </c>
      <c r="E40" s="3" t="n">
        <v>792425.0</v>
      </c>
      <c r="F40" s="3" t="n">
        <v>790284.0</v>
      </c>
      <c r="G40" s="3" t="n">
        <v>789940.0</v>
      </c>
      <c r="H40" s="3" t="n">
        <v>794423.0</v>
      </c>
      <c r="I40" s="3" t="n">
        <v>800023.0</v>
      </c>
      <c r="J40" s="3" t="n">
        <v>800886.0</v>
      </c>
      <c r="K40" s="3" t="n">
        <v>799490.0</v>
      </c>
      <c r="L40" s="3" t="n">
        <v>795931.0</v>
      </c>
      <c r="M40" s="3" t="n">
        <v>792124.0</v>
      </c>
      <c r="N40" s="3" t="n">
        <v>786756.0</v>
      </c>
      <c r="O40" s="3" t="n">
        <v>780698.0</v>
      </c>
      <c r="P40" s="3" t="n">
        <v>773979.0</v>
      </c>
      <c r="Q40" s="3" t="n">
        <v>766032.0</v>
      </c>
      <c r="R40" s="3" t="n">
        <v>757324.0</v>
      </c>
      <c r="S40" s="3" t="n">
        <v>747490.0</v>
      </c>
      <c r="T40" s="3" t="n">
        <v>736876.0</v>
      </c>
      <c r="U40" s="3" t="n">
        <v>724533.0</v>
      </c>
      <c r="V40" s="3" t="n">
        <v>712411.0</v>
      </c>
      <c r="W40" s="3" t="n">
        <v>699874.0</v>
      </c>
      <c r="X40" s="3" t="n">
        <v>686036.0</v>
      </c>
      <c r="Y40" s="3" t="n">
        <v>672752.0</v>
      </c>
      <c r="Z40" s="3" t="n">
        <v>660052.0</v>
      </c>
      <c r="AA40" s="3" t="n">
        <v>648701.0</v>
      </c>
      <c r="AB40" s="3" t="n">
        <v>638278.0</v>
      </c>
      <c r="AC40" s="3" t="n">
        <v>628314.0</v>
      </c>
      <c r="AD40" s="3" t="n">
        <v>618416.0</v>
      </c>
      <c r="AE40" s="3" t="n">
        <v>608664.0</v>
      </c>
      <c r="AF40" s="3" t="n">
        <v>599143.0</v>
      </c>
      <c r="AG40" s="3" t="n">
        <v>590831.0</v>
      </c>
      <c r="AH40" s="3" t="n">
        <v>582972.0</v>
      </c>
      <c r="AI40" s="3" t="n">
        <v>575288.0</v>
      </c>
      <c r="AJ40" s="3" t="n">
        <v>568816.0</v>
      </c>
      <c r="AK40" s="3" t="n">
        <v>563026.0</v>
      </c>
      <c r="AL40" s="3" t="n">
        <v>557888.0</v>
      </c>
      <c r="AM40" s="3" t="n">
        <v>553954.0</v>
      </c>
      <c r="AN40" s="3" t="n">
        <v>550719.0</v>
      </c>
      <c r="AO40" s="3" t="n">
        <v>547671.0</v>
      </c>
    </row>
    <row r="41" spans="1:41" x14ac:dyDescent="0.2">
      <c r="A41" s="134"/>
      <c r="B41" s="52" t="s">
        <v>11</v>
      </c>
      <c r="C41" s="3" t="n">
        <v>522840.0</v>
      </c>
      <c r="D41" s="3" t="n">
        <v>512208.0</v>
      </c>
      <c r="E41" s="3" t="n">
        <v>501835.0</v>
      </c>
      <c r="F41" s="3" t="n">
        <v>491774.0</v>
      </c>
      <c r="G41" s="3" t="n">
        <v>482923.0</v>
      </c>
      <c r="H41" s="3" t="n">
        <v>477235.0</v>
      </c>
      <c r="I41" s="3" t="n">
        <v>471215.0</v>
      </c>
      <c r="J41" s="3" t="n">
        <v>462585.0</v>
      </c>
      <c r="K41" s="3" t="n">
        <v>453558.0</v>
      </c>
      <c r="L41" s="3" t="n">
        <v>445029.0</v>
      </c>
      <c r="M41" s="3" t="n">
        <v>438157.0</v>
      </c>
      <c r="N41" s="3" t="n">
        <v>431490.0</v>
      </c>
      <c r="O41" s="3" t="n">
        <v>425334.0</v>
      </c>
      <c r="P41" s="3" t="n">
        <v>419934.0</v>
      </c>
      <c r="Q41" s="3" t="n">
        <v>414199.0</v>
      </c>
      <c r="R41" s="3" t="n">
        <v>409200.0</v>
      </c>
      <c r="S41" s="3" t="n">
        <v>404052.0</v>
      </c>
      <c r="T41" s="3" t="n">
        <v>398762.0</v>
      </c>
      <c r="U41" s="3" t="n">
        <v>393624.0</v>
      </c>
      <c r="V41" s="3" t="n">
        <v>389321.0</v>
      </c>
      <c r="W41" s="3" t="n">
        <v>385512.0</v>
      </c>
      <c r="X41" s="3" t="n">
        <v>382793.0</v>
      </c>
      <c r="Y41" s="3" t="n">
        <v>380588.0</v>
      </c>
      <c r="Z41" s="3" t="n">
        <v>378357.0</v>
      </c>
      <c r="AA41" s="3" t="n">
        <v>376398.0</v>
      </c>
      <c r="AB41" s="3" t="n">
        <v>375051.0</v>
      </c>
      <c r="AC41" s="3" t="n">
        <v>373881.0</v>
      </c>
      <c r="AD41" s="3" t="n">
        <v>372179.0</v>
      </c>
      <c r="AE41" s="3" t="n">
        <v>369871.0</v>
      </c>
      <c r="AF41" s="3" t="n">
        <v>366761.0</v>
      </c>
      <c r="AG41" s="3" t="n">
        <v>362643.0</v>
      </c>
      <c r="AH41" s="3" t="n">
        <v>357281.0</v>
      </c>
      <c r="AI41" s="3" t="n">
        <v>351671.0</v>
      </c>
      <c r="AJ41" s="3" t="n">
        <v>346303.0</v>
      </c>
      <c r="AK41" s="3" t="n">
        <v>341852.0</v>
      </c>
      <c r="AL41" s="3" t="n">
        <v>337454.0</v>
      </c>
      <c r="AM41" s="3" t="n">
        <v>333792.0</v>
      </c>
      <c r="AN41" s="3" t="n">
        <v>329538.0</v>
      </c>
      <c r="AO41" s="3" t="n">
        <v>325598.0</v>
      </c>
    </row>
    <row r="42" spans="1:41" x14ac:dyDescent="0.2">
      <c r="A42" s="134"/>
      <c r="B42" s="52" t="s">
        <v>16</v>
      </c>
      <c r="C42" s="3" t="n">
        <v>277957.0</v>
      </c>
      <c r="D42" s="3" t="n">
        <v>283719.0</v>
      </c>
      <c r="E42" s="3" t="n">
        <v>290590.0</v>
      </c>
      <c r="F42" s="3" t="n">
        <v>298510.0</v>
      </c>
      <c r="G42" s="3" t="n">
        <v>307017.0</v>
      </c>
      <c r="H42" s="3" t="n">
        <v>317188.0</v>
      </c>
      <c r="I42" s="3" t="n">
        <v>328808.0</v>
      </c>
      <c r="J42" s="3" t="n">
        <v>338301.0</v>
      </c>
      <c r="K42" s="3" t="n">
        <v>345932.0</v>
      </c>
      <c r="L42" s="3" t="n">
        <v>350902.0</v>
      </c>
      <c r="M42" s="3" t="n">
        <v>353967.0</v>
      </c>
      <c r="N42" s="3" t="n">
        <v>355266.0</v>
      </c>
      <c r="O42" s="3" t="n">
        <v>355364.0</v>
      </c>
      <c r="P42" s="3" t="n">
        <v>354045.0</v>
      </c>
      <c r="Q42" s="3" t="n">
        <v>351833.0</v>
      </c>
      <c r="R42" s="3" t="n">
        <v>348124.0</v>
      </c>
      <c r="S42" s="3" t="n">
        <v>343438.0</v>
      </c>
      <c r="T42" s="3" t="n">
        <v>338114.0</v>
      </c>
      <c r="U42" s="3" t="n">
        <v>330909.0</v>
      </c>
      <c r="V42" s="3" t="n">
        <v>323090.0</v>
      </c>
      <c r="W42" s="3" t="n">
        <v>314362.0</v>
      </c>
      <c r="X42" s="3" t="n">
        <v>303243.0</v>
      </c>
      <c r="Y42" s="3" t="n">
        <v>292164.0</v>
      </c>
      <c r="Z42" s="3" t="n">
        <v>281695.0</v>
      </c>
      <c r="AA42" s="3" t="n">
        <v>272303.0</v>
      </c>
      <c r="AB42" s="3" t="n">
        <v>263227.0</v>
      </c>
      <c r="AC42" s="3" t="n">
        <v>254433.0</v>
      </c>
      <c r="AD42" s="3" t="n">
        <v>246237.0</v>
      </c>
      <c r="AE42" s="3" t="n">
        <v>238793.0</v>
      </c>
      <c r="AF42" s="3" t="n">
        <v>232382.0</v>
      </c>
      <c r="AG42" s="3" t="n">
        <v>228188.0</v>
      </c>
      <c r="AH42" s="3" t="n">
        <v>225691.0</v>
      </c>
      <c r="AI42" s="3" t="n">
        <v>223617.0</v>
      </c>
      <c r="AJ42" s="3" t="n">
        <v>222513.0</v>
      </c>
      <c r="AK42" s="3" t="n">
        <v>221174.0</v>
      </c>
      <c r="AL42" s="3" t="n">
        <v>220434.0</v>
      </c>
      <c r="AM42" s="3" t="n">
        <v>220162.0</v>
      </c>
      <c r="AN42" s="3" t="n">
        <v>221181.0</v>
      </c>
      <c r="AO42" s="3" t="n">
        <v>222073.0</v>
      </c>
    </row>
    <row r="43" spans="1:41" x14ac:dyDescent="0.2">
      <c r="A43" s="134"/>
      <c r="B43" s="52" t="s">
        <v>17</v>
      </c>
      <c r="C43" s="3" t="n">
        <v>454935.0</v>
      </c>
      <c r="D43" s="3" t="n">
        <v>457015.0</v>
      </c>
      <c r="E43" s="3" t="n">
        <v>458563.0</v>
      </c>
      <c r="F43" s="3" t="n">
        <v>459715.0</v>
      </c>
      <c r="G43" s="3" t="n">
        <v>460204.0</v>
      </c>
      <c r="H43" s="3" t="n">
        <v>460787.0</v>
      </c>
      <c r="I43" s="3" t="n">
        <v>461753.0</v>
      </c>
      <c r="J43" s="3" t="n">
        <v>462766.0</v>
      </c>
      <c r="K43" s="3" t="n">
        <v>464029.0</v>
      </c>
      <c r="L43" s="3" t="n">
        <v>465984.0</v>
      </c>
      <c r="M43" s="3" t="n">
        <v>468373.0</v>
      </c>
      <c r="N43" s="3" t="n">
        <v>471596.0</v>
      </c>
      <c r="O43" s="3" t="n">
        <v>475543.0</v>
      </c>
      <c r="P43" s="3" t="n">
        <v>480334.0</v>
      </c>
      <c r="Q43" s="3" t="n">
        <v>485413.0</v>
      </c>
      <c r="R43" s="3" t="n">
        <v>490320.0</v>
      </c>
      <c r="S43" s="3" t="n">
        <v>495462.0</v>
      </c>
      <c r="T43" s="3" t="n">
        <v>500856.0</v>
      </c>
      <c r="U43" s="3" t="n">
        <v>506566.0</v>
      </c>
      <c r="V43" s="3" t="n">
        <v>512078.0</v>
      </c>
      <c r="W43" s="3" t="n">
        <v>517672.0</v>
      </c>
      <c r="X43" s="3" t="n">
        <v>524351.0</v>
      </c>
      <c r="Y43" s="3" t="n">
        <v>530241.0</v>
      </c>
      <c r="Z43" s="3" t="n">
        <v>535178.0</v>
      </c>
      <c r="AA43" s="3" t="n">
        <v>538630.0</v>
      </c>
      <c r="AB43" s="3" t="n">
        <v>541156.0</v>
      </c>
      <c r="AC43" s="3" t="n">
        <v>543203.0</v>
      </c>
      <c r="AD43" s="3" t="n">
        <v>545175.0</v>
      </c>
      <c r="AE43" s="3" t="n">
        <v>547040.0</v>
      </c>
      <c r="AF43" s="3" t="n">
        <v>548729.0</v>
      </c>
      <c r="AG43" s="3" t="n">
        <v>549070.0</v>
      </c>
      <c r="AH43" s="3" t="n">
        <v>549101.0</v>
      </c>
      <c r="AI43" s="3" t="n">
        <v>549104.0</v>
      </c>
      <c r="AJ43" s="3" t="n">
        <v>547973.0</v>
      </c>
      <c r="AK43" s="3" t="n">
        <v>546306.0</v>
      </c>
      <c r="AL43" s="3" t="n">
        <v>544122.0</v>
      </c>
      <c r="AM43" s="3" t="n">
        <v>540696.0</v>
      </c>
      <c r="AN43" s="3" t="n">
        <v>536620.0</v>
      </c>
      <c r="AO43" s="3" t="n">
        <v>532407.0</v>
      </c>
    </row>
    <row r="44" spans="1:41" x14ac:dyDescent="0.2">
      <c r="A44" s="134"/>
      <c r="B44" s="52" t="s">
        <v>0</v>
      </c>
      <c r="C44" s="3" t="n">
        <v>35100.0</v>
      </c>
      <c r="D44" s="3" t="n">
        <v>33876.0</v>
      </c>
      <c r="E44" s="3" t="n">
        <v>32804.0</v>
      </c>
      <c r="F44" s="3" t="n">
        <v>32740.0</v>
      </c>
      <c r="G44" s="3" t="n">
        <v>32370.0</v>
      </c>
      <c r="H44" s="3" t="n">
        <v>32275.0</v>
      </c>
      <c r="I44" s="3" t="n">
        <v>32193.0</v>
      </c>
      <c r="J44" s="3" t="n">
        <v>31919.0</v>
      </c>
      <c r="K44" s="3" t="n">
        <v>31592.0</v>
      </c>
      <c r="L44" s="3" t="n">
        <v>31279.0</v>
      </c>
      <c r="M44" s="3" t="n">
        <v>30932.0</v>
      </c>
      <c r="N44" s="3" t="n">
        <v>30596.0</v>
      </c>
      <c r="O44" s="3" t="n">
        <v>30278.0</v>
      </c>
      <c r="P44" s="3" t="n">
        <v>30032.0</v>
      </c>
      <c r="Q44" s="3" t="n">
        <v>29849.0</v>
      </c>
      <c r="R44" s="3" t="n">
        <v>29758.0</v>
      </c>
      <c r="S44" s="3" t="n">
        <v>29753.0</v>
      </c>
      <c r="T44" s="3" t="n">
        <v>29838.0</v>
      </c>
      <c r="U44" s="3" t="n">
        <v>29982.0</v>
      </c>
      <c r="V44" s="3" t="n">
        <v>30149.0</v>
      </c>
      <c r="W44" s="3" t="n">
        <v>30341.0</v>
      </c>
      <c r="X44" s="3" t="n">
        <v>30502.0</v>
      </c>
      <c r="Y44" s="3" t="n">
        <v>30629.0</v>
      </c>
      <c r="Z44" s="3" t="n">
        <v>30695.0</v>
      </c>
      <c r="AA44" s="3" t="n">
        <v>30698.0</v>
      </c>
      <c r="AB44" s="3" t="n">
        <v>30632.0</v>
      </c>
      <c r="AC44" s="3" t="n">
        <v>30491.0</v>
      </c>
      <c r="AD44" s="3" t="n">
        <v>30290.0</v>
      </c>
      <c r="AE44" s="3" t="n">
        <v>30012.0</v>
      </c>
      <c r="AF44" s="3" t="n">
        <v>29681.0</v>
      </c>
      <c r="AG44" s="3" t="n">
        <v>29297.0</v>
      </c>
      <c r="AH44" s="3" t="n">
        <v>28876.0</v>
      </c>
      <c r="AI44" s="3" t="n">
        <v>28419.0</v>
      </c>
      <c r="AJ44" s="3" t="n">
        <v>27943.0</v>
      </c>
      <c r="AK44" s="3" t="n">
        <v>27468.0</v>
      </c>
      <c r="AL44" s="3" t="n">
        <v>27004.0</v>
      </c>
      <c r="AM44" s="3" t="n">
        <v>26560.0</v>
      </c>
      <c r="AN44" s="3" t="n">
        <v>26149.0</v>
      </c>
      <c r="AO44" s="3" t="n">
        <v>25772.0</v>
      </c>
    </row>
    <row r="45" spans="1:41" x14ac:dyDescent="0.2">
      <c r="A45" s="134"/>
      <c r="B45" s="52" t="s">
        <v>1</v>
      </c>
      <c r="C45" s="3" t="n">
        <v>55335.0</v>
      </c>
      <c r="D45" s="3" t="n">
        <v>53766.0</v>
      </c>
      <c r="E45" s="3" t="n">
        <v>51428.0</v>
      </c>
      <c r="F45" s="3" t="n">
        <v>48703.0</v>
      </c>
      <c r="G45" s="3" t="n">
        <v>46894.0</v>
      </c>
      <c r="H45" s="3" t="n">
        <v>45994.0</v>
      </c>
      <c r="I45" s="3" t="n">
        <v>45459.0</v>
      </c>
      <c r="J45" s="3" t="n">
        <v>45489.0</v>
      </c>
      <c r="K45" s="3" t="n">
        <v>44986.0</v>
      </c>
      <c r="L45" s="3" t="n">
        <v>44420.0</v>
      </c>
      <c r="M45" s="3" t="n">
        <v>43822.0</v>
      </c>
      <c r="N45" s="3" t="n">
        <v>43255.0</v>
      </c>
      <c r="O45" s="3" t="n">
        <v>42743.0</v>
      </c>
      <c r="P45" s="3" t="n">
        <v>42291.0</v>
      </c>
      <c r="Q45" s="3" t="n">
        <v>41851.0</v>
      </c>
      <c r="R45" s="3" t="n">
        <v>41443.0</v>
      </c>
      <c r="S45" s="3" t="n">
        <v>41086.0</v>
      </c>
      <c r="T45" s="3" t="n">
        <v>40816.0</v>
      </c>
      <c r="U45" s="3" t="n">
        <v>40657.0</v>
      </c>
      <c r="V45" s="3" t="n">
        <v>40613.0</v>
      </c>
      <c r="W45" s="3" t="n">
        <v>40667.0</v>
      </c>
      <c r="X45" s="3" t="n">
        <v>40830.0</v>
      </c>
      <c r="Y45" s="3" t="n">
        <v>41038.0</v>
      </c>
      <c r="Z45" s="3" t="n">
        <v>41279.0</v>
      </c>
      <c r="AA45" s="3" t="n">
        <v>41503.0</v>
      </c>
      <c r="AB45" s="3" t="n">
        <v>41685.0</v>
      </c>
      <c r="AC45" s="3" t="n">
        <v>41814.0</v>
      </c>
      <c r="AD45" s="3" t="n">
        <v>41854.0</v>
      </c>
      <c r="AE45" s="3" t="n">
        <v>41816.0</v>
      </c>
      <c r="AF45" s="3" t="n">
        <v>41687.0</v>
      </c>
      <c r="AG45" s="3" t="n">
        <v>41466.0</v>
      </c>
      <c r="AH45" s="3" t="n">
        <v>41140.0</v>
      </c>
      <c r="AI45" s="3" t="n">
        <v>40736.0</v>
      </c>
      <c r="AJ45" s="3" t="n">
        <v>40279.0</v>
      </c>
      <c r="AK45" s="3" t="n">
        <v>39741.0</v>
      </c>
      <c r="AL45" s="3" t="n">
        <v>39171.0</v>
      </c>
      <c r="AM45" s="3" t="n">
        <v>38566.0</v>
      </c>
      <c r="AN45" s="3" t="n">
        <v>37929.0</v>
      </c>
      <c r="AO45" s="3" t="n">
        <v>37302.0</v>
      </c>
    </row>
    <row r="46" spans="1:41" x14ac:dyDescent="0.2">
      <c r="A46" s="134"/>
      <c r="B46" s="53" t="s">
        <v>18</v>
      </c>
      <c r="C46" s="3" t="n">
        <v>114502.0</v>
      </c>
      <c r="D46" s="3" t="n">
        <v>113647.0</v>
      </c>
      <c r="E46" s="3" t="n">
        <v>113100.0</v>
      </c>
      <c r="F46" s="3" t="n">
        <v>112116.0</v>
      </c>
      <c r="G46" s="3" t="n">
        <v>111343.0</v>
      </c>
      <c r="H46" s="3" t="n">
        <v>111115.0</v>
      </c>
      <c r="I46" s="3" t="n">
        <v>111610.0</v>
      </c>
      <c r="J46" s="3" t="n">
        <v>109361.0</v>
      </c>
      <c r="K46" s="3" t="n">
        <v>107125.0</v>
      </c>
      <c r="L46" s="3" t="n">
        <v>104226.0</v>
      </c>
      <c r="M46" s="3" t="n">
        <v>100646.0</v>
      </c>
      <c r="N46" s="3" t="n">
        <v>97527.0</v>
      </c>
      <c r="O46" s="3" t="n">
        <v>94917.0</v>
      </c>
      <c r="P46" s="3" t="n">
        <v>92797.0</v>
      </c>
      <c r="Q46" s="3" t="n">
        <v>90887.0</v>
      </c>
      <c r="R46" s="3" t="n">
        <v>90026.0</v>
      </c>
      <c r="S46" s="3" t="n">
        <v>88924.0</v>
      </c>
      <c r="T46" s="3" t="n">
        <v>87883.0</v>
      </c>
      <c r="U46" s="3" t="n">
        <v>86845.0</v>
      </c>
      <c r="V46" s="3" t="n">
        <v>85899.0</v>
      </c>
      <c r="W46" s="3" t="n">
        <v>85073.0</v>
      </c>
      <c r="X46" s="3" t="n">
        <v>84373.0</v>
      </c>
      <c r="Y46" s="3" t="n">
        <v>83793.0</v>
      </c>
      <c r="Z46" s="3" t="n">
        <v>83360.0</v>
      </c>
      <c r="AA46" s="3" t="n">
        <v>83086.0</v>
      </c>
      <c r="AB46" s="3" t="n">
        <v>82996.0</v>
      </c>
      <c r="AC46" s="3" t="n">
        <v>83066.0</v>
      </c>
      <c r="AD46" s="3" t="n">
        <v>83274.0</v>
      </c>
      <c r="AE46" s="3" t="n">
        <v>83568.0</v>
      </c>
      <c r="AF46" s="3" t="n">
        <v>83916.0</v>
      </c>
      <c r="AG46" s="3" t="n">
        <v>84264.0</v>
      </c>
      <c r="AH46" s="3" t="n">
        <v>84555.0</v>
      </c>
      <c r="AI46" s="3" t="n">
        <v>84741.0</v>
      </c>
      <c r="AJ46" s="3" t="n">
        <v>84779.0</v>
      </c>
      <c r="AK46" s="3" t="n">
        <v>84685.0</v>
      </c>
      <c r="AL46" s="3" t="n">
        <v>84404.0</v>
      </c>
      <c r="AM46" s="3" t="n">
        <v>83967.0</v>
      </c>
      <c r="AN46" s="3" t="n">
        <v>83375.0</v>
      </c>
      <c r="AO46" s="3" t="n">
        <v>82617.0</v>
      </c>
    </row>
    <row r="47" spans="1:41" x14ac:dyDescent="0.2">
      <c r="A47" s="134"/>
      <c r="B47" s="52" t="s">
        <v>19</v>
      </c>
      <c r="C47" s="3" t="n">
        <v>51042.0</v>
      </c>
      <c r="D47" s="3" t="n">
        <v>54264.0</v>
      </c>
      <c r="E47" s="3" t="n">
        <v>57173.0</v>
      </c>
      <c r="F47" s="3" t="n">
        <v>59119.0</v>
      </c>
      <c r="G47" s="3" t="n">
        <v>59283.0</v>
      </c>
      <c r="H47" s="3" t="n">
        <v>58754.0</v>
      </c>
      <c r="I47" s="3" t="n">
        <v>57606.0</v>
      </c>
      <c r="J47" s="3" t="n">
        <v>57159.0</v>
      </c>
      <c r="K47" s="3" t="n">
        <v>57135.0</v>
      </c>
      <c r="L47" s="3" t="n">
        <v>57443.0</v>
      </c>
      <c r="M47" s="3" t="n">
        <v>58818.0</v>
      </c>
      <c r="N47" s="3" t="n">
        <v>58686.0</v>
      </c>
      <c r="O47" s="3" t="n">
        <v>58133.0</v>
      </c>
      <c r="P47" s="3" t="n">
        <v>56551.0</v>
      </c>
      <c r="Q47" s="3" t="n">
        <v>54133.0</v>
      </c>
      <c r="R47" s="3" t="n">
        <v>51288.0</v>
      </c>
      <c r="S47" s="3" t="n">
        <v>49283.0</v>
      </c>
      <c r="T47" s="3" t="n">
        <v>47775.0</v>
      </c>
      <c r="U47" s="3" t="n">
        <v>46490.0</v>
      </c>
      <c r="V47" s="3" t="n">
        <v>46177.0</v>
      </c>
      <c r="W47" s="3" t="n">
        <v>45559.0</v>
      </c>
      <c r="X47" s="3" t="n">
        <v>44956.0</v>
      </c>
      <c r="Y47" s="3" t="n">
        <v>44361.0</v>
      </c>
      <c r="Z47" s="3" t="n">
        <v>43829.0</v>
      </c>
      <c r="AA47" s="3" t="n">
        <v>43355.0</v>
      </c>
      <c r="AB47" s="3" t="n">
        <v>42931.0</v>
      </c>
      <c r="AC47" s="3" t="n">
        <v>42508.0</v>
      </c>
      <c r="AD47" s="3" t="n">
        <v>42121.0</v>
      </c>
      <c r="AE47" s="3" t="n">
        <v>41788.0</v>
      </c>
      <c r="AF47" s="3" t="n">
        <v>41537.0</v>
      </c>
      <c r="AG47" s="3" t="n">
        <v>41401.0</v>
      </c>
      <c r="AH47" s="3" t="n">
        <v>41373.0</v>
      </c>
      <c r="AI47" s="3" t="n">
        <v>41442.0</v>
      </c>
      <c r="AJ47" s="3" t="n">
        <v>41605.0</v>
      </c>
      <c r="AK47" s="3" t="n">
        <v>41816.0</v>
      </c>
      <c r="AL47" s="3" t="n">
        <v>42056.0</v>
      </c>
      <c r="AM47" s="3" t="n">
        <v>42275.0</v>
      </c>
      <c r="AN47" s="3" t="n">
        <v>42454.0</v>
      </c>
      <c r="AO47" s="3" t="n">
        <v>42588.0</v>
      </c>
    </row>
    <row r="48" spans="1:41" x14ac:dyDescent="0.2">
      <c r="A48" s="134"/>
      <c r="B48" s="52" t="s">
        <v>2</v>
      </c>
      <c r="C48" s="3" t="n">
        <v>75701.0</v>
      </c>
      <c r="D48" s="3" t="n">
        <v>73593.0</v>
      </c>
      <c r="E48" s="3" t="n">
        <v>72739.0</v>
      </c>
      <c r="F48" s="3" t="n">
        <v>72744.0</v>
      </c>
      <c r="G48" s="3" t="n">
        <v>74147.0</v>
      </c>
      <c r="H48" s="3" t="n">
        <v>78100.0</v>
      </c>
      <c r="I48" s="3" t="n">
        <v>82807.0</v>
      </c>
      <c r="J48" s="3" t="n">
        <v>86351.0</v>
      </c>
      <c r="K48" s="3" t="n">
        <v>88316.0</v>
      </c>
      <c r="L48" s="3" t="n">
        <v>89460.0</v>
      </c>
      <c r="M48" s="3" t="n">
        <v>89050.0</v>
      </c>
      <c r="N48" s="3" t="n">
        <v>88229.0</v>
      </c>
      <c r="O48" s="3" t="n">
        <v>86948.0</v>
      </c>
      <c r="P48" s="3" t="n">
        <v>86296.0</v>
      </c>
      <c r="Q48" s="3" t="n">
        <v>87000.0</v>
      </c>
      <c r="R48" s="3" t="n">
        <v>86989.0</v>
      </c>
      <c r="S48" s="3" t="n">
        <v>86917.0</v>
      </c>
      <c r="T48" s="3" t="n">
        <v>85442.0</v>
      </c>
      <c r="U48" s="3" t="n">
        <v>83904.0</v>
      </c>
      <c r="V48" s="3" t="n">
        <v>80841.0</v>
      </c>
      <c r="W48" s="3" t="n">
        <v>77421.0</v>
      </c>
      <c r="X48" s="3" t="n">
        <v>74533.0</v>
      </c>
      <c r="Y48" s="3" t="n">
        <v>72228.0</v>
      </c>
      <c r="Z48" s="3" t="n">
        <v>70414.0</v>
      </c>
      <c r="AA48" s="3" t="n">
        <v>68792.0</v>
      </c>
      <c r="AB48" s="3" t="n">
        <v>68167.0</v>
      </c>
      <c r="AC48" s="3" t="n">
        <v>67286.0</v>
      </c>
      <c r="AD48" s="3" t="n">
        <v>66492.0</v>
      </c>
      <c r="AE48" s="3" t="n">
        <v>65698.0</v>
      </c>
      <c r="AF48" s="3" t="n">
        <v>64959.0</v>
      </c>
      <c r="AG48" s="3" t="n">
        <v>64266.0</v>
      </c>
      <c r="AH48" s="3" t="n">
        <v>63675.0</v>
      </c>
      <c r="AI48" s="3" t="n">
        <v>63151.0</v>
      </c>
      <c r="AJ48" s="3" t="n">
        <v>62693.0</v>
      </c>
      <c r="AK48" s="3" t="n">
        <v>62352.0</v>
      </c>
      <c r="AL48" s="3" t="n">
        <v>62157.0</v>
      </c>
      <c r="AM48" s="3" t="n">
        <v>62115.0</v>
      </c>
      <c r="AN48" s="3" t="n">
        <v>62203.0</v>
      </c>
      <c r="AO48" s="3" t="n">
        <v>62394.0</v>
      </c>
    </row>
    <row r="49" spans="1:41" x14ac:dyDescent="0.2">
      <c r="A49" s="134"/>
      <c r="B49" s="52" t="s">
        <v>3</v>
      </c>
      <c r="C49" s="3" t="n">
        <v>204937.0</v>
      </c>
      <c r="D49" s="3" t="n">
        <v>201289.0</v>
      </c>
      <c r="E49" s="3" t="n">
        <v>197332.0</v>
      </c>
      <c r="F49" s="3" t="n">
        <v>193559.0</v>
      </c>
      <c r="G49" s="3" t="n">
        <v>190607.0</v>
      </c>
      <c r="H49" s="3" t="n">
        <v>189384.0</v>
      </c>
      <c r="I49" s="3" t="n">
        <v>189262.0</v>
      </c>
      <c r="J49" s="3" t="n">
        <v>186769.0</v>
      </c>
      <c r="K49" s="3" t="n">
        <v>183703.0</v>
      </c>
      <c r="L49" s="3" t="n">
        <v>179925.0</v>
      </c>
      <c r="M49" s="3" t="n">
        <v>175400.0</v>
      </c>
      <c r="N49" s="3" t="n">
        <v>171378.0</v>
      </c>
      <c r="O49" s="3" t="n">
        <v>167938.0</v>
      </c>
      <c r="P49" s="3" t="n">
        <v>165120.0</v>
      </c>
      <c r="Q49" s="3" t="n">
        <v>162587.0</v>
      </c>
      <c r="R49" s="3" t="n">
        <v>161227.0</v>
      </c>
      <c r="S49" s="3" t="n">
        <v>159763.0</v>
      </c>
      <c r="T49" s="3" t="n">
        <v>158537.0</v>
      </c>
      <c r="U49" s="3" t="n">
        <v>157484.0</v>
      </c>
      <c r="V49" s="3" t="n">
        <v>156661.0</v>
      </c>
      <c r="W49" s="3" t="n">
        <v>156081.0</v>
      </c>
      <c r="X49" s="3" t="n">
        <v>155705.0</v>
      </c>
      <c r="Y49" s="3" t="n">
        <v>155460.0</v>
      </c>
      <c r="Z49" s="3" t="n">
        <v>155334.0</v>
      </c>
      <c r="AA49" s="3" t="n">
        <v>155287.0</v>
      </c>
      <c r="AB49" s="3" t="n">
        <v>155313.0</v>
      </c>
      <c r="AC49" s="3" t="n">
        <v>155371.0</v>
      </c>
      <c r="AD49" s="3" t="n">
        <v>155418.0</v>
      </c>
      <c r="AE49" s="3" t="n">
        <v>155396.0</v>
      </c>
      <c r="AF49" s="3" t="n">
        <v>155284.0</v>
      </c>
      <c r="AG49" s="3" t="n">
        <v>155027.0</v>
      </c>
      <c r="AH49" s="3" t="n">
        <v>154571.0</v>
      </c>
      <c r="AI49" s="3" t="n">
        <v>153896.0</v>
      </c>
      <c r="AJ49" s="3" t="n">
        <v>153001.0</v>
      </c>
      <c r="AK49" s="3" t="n">
        <v>151894.0</v>
      </c>
      <c r="AL49" s="3" t="n">
        <v>150579.0</v>
      </c>
      <c r="AM49" s="3" t="n">
        <v>149093.0</v>
      </c>
      <c r="AN49" s="3" t="n">
        <v>147453.0</v>
      </c>
      <c r="AO49" s="3" t="n">
        <v>145691.0</v>
      </c>
    </row>
    <row r="50" spans="1:41" x14ac:dyDescent="0.2">
      <c r="A50" s="134"/>
      <c r="B50" s="52" t="s">
        <v>4</v>
      </c>
      <c r="C50" s="3" t="n">
        <v>940950.0</v>
      </c>
      <c r="D50" s="3" t="n">
        <v>932636.0</v>
      </c>
      <c r="E50" s="3" t="n">
        <v>925810.0</v>
      </c>
      <c r="F50" s="3" t="n">
        <v>920406.0</v>
      </c>
      <c r="G50" s="3" t="n">
        <v>915710.0</v>
      </c>
      <c r="H50" s="3" t="n">
        <v>917123.0</v>
      </c>
      <c r="I50" s="3" t="n">
        <v>920282.0</v>
      </c>
      <c r="J50" s="3" t="n">
        <v>921170.0</v>
      </c>
      <c r="K50" s="3" t="n">
        <v>920363.0</v>
      </c>
      <c r="L50" s="3" t="n">
        <v>919793.0</v>
      </c>
      <c r="M50" s="3" t="n">
        <v>919790.0</v>
      </c>
      <c r="N50" s="3" t="n">
        <v>918585.0</v>
      </c>
      <c r="O50" s="3" t="n">
        <v>916012.0</v>
      </c>
      <c r="P50" s="3" t="n">
        <v>912122.0</v>
      </c>
      <c r="Q50" s="3" t="n">
        <v>906980.0</v>
      </c>
      <c r="R50" s="3" t="n">
        <v>899995.0</v>
      </c>
      <c r="S50" s="3" t="n">
        <v>892129.0</v>
      </c>
      <c r="T50" s="3" t="n">
        <v>883095.0</v>
      </c>
      <c r="U50" s="3" t="n">
        <v>872852.0</v>
      </c>
      <c r="V50" s="3" t="n">
        <v>861957.0</v>
      </c>
      <c r="W50" s="3" t="n">
        <v>850804.0</v>
      </c>
      <c r="X50" s="3" t="n">
        <v>839036.0</v>
      </c>
      <c r="Y50" s="3" t="n">
        <v>826748.0</v>
      </c>
      <c r="Z50" s="3" t="n">
        <v>813735.0</v>
      </c>
      <c r="AA50" s="3" t="n">
        <v>800707.0</v>
      </c>
      <c r="AB50" s="3" t="n">
        <v>787329.0</v>
      </c>
      <c r="AC50" s="3" t="n">
        <v>772675.0</v>
      </c>
      <c r="AD50" s="3" t="n">
        <v>758641.0</v>
      </c>
      <c r="AE50" s="3" t="n">
        <v>745313.0</v>
      </c>
      <c r="AF50" s="3" t="n">
        <v>733393.0</v>
      </c>
      <c r="AG50" s="3" t="n">
        <v>722441.0</v>
      </c>
      <c r="AH50" s="3" t="n">
        <v>712113.0</v>
      </c>
      <c r="AI50" s="3" t="n">
        <v>702017.0</v>
      </c>
      <c r="AJ50" s="3" t="n">
        <v>692234.0</v>
      </c>
      <c r="AK50" s="3" t="n">
        <v>682859.0</v>
      </c>
      <c r="AL50" s="3" t="n">
        <v>674849.0</v>
      </c>
      <c r="AM50" s="3" t="n">
        <v>667376.0</v>
      </c>
      <c r="AN50" s="3" t="n">
        <v>660157.0</v>
      </c>
      <c r="AO50" s="3" t="n">
        <v>654131.0</v>
      </c>
    </row>
    <row r="51" spans="1:41" x14ac:dyDescent="0.2">
      <c r="A51" s="134"/>
      <c r="B51" s="52" t="s">
        <v>5</v>
      </c>
      <c r="C51" s="3" t="n">
        <v>354023.0</v>
      </c>
      <c r="D51" s="3" t="n">
        <v>362280.0</v>
      </c>
      <c r="E51" s="3" t="n">
        <v>369358.0</v>
      </c>
      <c r="F51" s="3" t="n">
        <v>374804.0</v>
      </c>
      <c r="G51" s="3" t="n">
        <v>378693.0</v>
      </c>
      <c r="H51" s="3" t="n">
        <v>381520.0</v>
      </c>
      <c r="I51" s="3" t="n">
        <v>383882.0</v>
      </c>
      <c r="J51" s="3" t="n">
        <v>385230.0</v>
      </c>
      <c r="K51" s="3" t="n">
        <v>385878.0</v>
      </c>
      <c r="L51" s="3" t="n">
        <v>385745.0</v>
      </c>
      <c r="M51" s="3" t="n">
        <v>384943.0</v>
      </c>
      <c r="N51" s="3" t="n">
        <v>384134.0</v>
      </c>
      <c r="O51" s="3" t="n">
        <v>383673.0</v>
      </c>
      <c r="P51" s="3" t="n">
        <v>383563.0</v>
      </c>
      <c r="Q51" s="3" t="n">
        <v>384147.0</v>
      </c>
      <c r="R51" s="3" t="n">
        <v>385174.0</v>
      </c>
      <c r="S51" s="3" t="n">
        <v>387015.0</v>
      </c>
      <c r="T51" s="3" t="n">
        <v>389654.0</v>
      </c>
      <c r="U51" s="3" t="n">
        <v>393125.0</v>
      </c>
      <c r="V51" s="3" t="n">
        <v>396952.0</v>
      </c>
      <c r="W51" s="3" t="n">
        <v>400718.0</v>
      </c>
      <c r="X51" s="3" t="n">
        <v>404836.0</v>
      </c>
      <c r="Y51" s="3" t="n">
        <v>409306.0</v>
      </c>
      <c r="Z51" s="3" t="n">
        <v>414176.0</v>
      </c>
      <c r="AA51" s="3" t="n">
        <v>418994.0</v>
      </c>
      <c r="AB51" s="3" t="n">
        <v>424158.0</v>
      </c>
      <c r="AC51" s="3" t="n">
        <v>430575.0</v>
      </c>
      <c r="AD51" s="3" t="n">
        <v>436395.0</v>
      </c>
      <c r="AE51" s="3" t="n">
        <v>441615.0</v>
      </c>
      <c r="AF51" s="3" t="n">
        <v>445554.0</v>
      </c>
      <c r="AG51" s="3" t="n">
        <v>448469.0</v>
      </c>
      <c r="AH51" s="3" t="n">
        <v>450988.0</v>
      </c>
      <c r="AI51" s="3" t="n">
        <v>453503.0</v>
      </c>
      <c r="AJ51" s="3" t="n">
        <v>455834.0</v>
      </c>
      <c r="AK51" s="3" t="n">
        <v>457926.0</v>
      </c>
      <c r="AL51" s="3" t="n">
        <v>458802.0</v>
      </c>
      <c r="AM51" s="3" t="n">
        <v>459072.0</v>
      </c>
      <c r="AN51" s="3" t="n">
        <v>459102.0</v>
      </c>
      <c r="AO51" s="3" t="n">
        <v>457935.0</v>
      </c>
    </row>
    <row r="52" spans="1:41" x14ac:dyDescent="0.2">
      <c r="A52" s="134"/>
      <c r="B52" s="52" t="s">
        <v>6</v>
      </c>
      <c r="C52" s="3" t="n">
        <v>85584.0</v>
      </c>
      <c r="D52" s="3" t="n">
        <v>84180.0</v>
      </c>
      <c r="E52" s="3" t="n">
        <v>83288.0</v>
      </c>
      <c r="F52" s="3" t="n">
        <v>82437.0</v>
      </c>
      <c r="G52" s="3" t="n">
        <v>85332.0</v>
      </c>
      <c r="H52" s="3" t="n">
        <v>90253.0</v>
      </c>
      <c r="I52" s="3" t="n">
        <v>96434.0</v>
      </c>
      <c r="J52" s="3" t="n">
        <v>102875.0</v>
      </c>
      <c r="K52" s="3" t="n">
        <v>109599.0</v>
      </c>
      <c r="L52" s="3" t="n">
        <v>117042.0</v>
      </c>
      <c r="M52" s="3" t="n">
        <v>124159.0</v>
      </c>
      <c r="N52" s="3" t="n">
        <v>130534.0</v>
      </c>
      <c r="O52" s="3" t="n">
        <v>136599.0</v>
      </c>
      <c r="P52" s="3" t="n">
        <v>142811.0</v>
      </c>
      <c r="Q52" s="3" t="n">
        <v>148161.0</v>
      </c>
      <c r="R52" s="3" t="n">
        <v>152830.0</v>
      </c>
      <c r="S52" s="3" t="n">
        <v>156736.0</v>
      </c>
      <c r="T52" s="3" t="n">
        <v>159454.0</v>
      </c>
      <c r="U52" s="3" t="n">
        <v>160688.0</v>
      </c>
      <c r="V52" s="3" t="n">
        <v>160673.0</v>
      </c>
      <c r="W52" s="3" t="n">
        <v>159506.0</v>
      </c>
      <c r="X52" s="3" t="n">
        <v>157902.0</v>
      </c>
      <c r="Y52" s="3" t="n">
        <v>155849.0</v>
      </c>
      <c r="Z52" s="3" t="n">
        <v>153441.0</v>
      </c>
      <c r="AA52" s="3" t="n">
        <v>150687.0</v>
      </c>
      <c r="AB52" s="3" t="n">
        <v>147834.0</v>
      </c>
      <c r="AC52" s="3" t="n">
        <v>145336.0</v>
      </c>
      <c r="AD52" s="3" t="n">
        <v>143526.0</v>
      </c>
      <c r="AE52" s="3" t="n">
        <v>142428.0</v>
      </c>
      <c r="AF52" s="3" t="n">
        <v>142260.0</v>
      </c>
      <c r="AG52" s="3" t="n">
        <v>142701.0</v>
      </c>
      <c r="AH52" s="3" t="n">
        <v>144155.0</v>
      </c>
      <c r="AI52" s="3" t="n">
        <v>146566.0</v>
      </c>
      <c r="AJ52" s="3" t="n">
        <v>149947.0</v>
      </c>
      <c r="AK52" s="3" t="n">
        <v>153801.0</v>
      </c>
      <c r="AL52" s="3" t="n">
        <v>157804.0</v>
      </c>
      <c r="AM52" s="3" t="n">
        <v>162050.0</v>
      </c>
      <c r="AN52" s="3" t="n">
        <v>166572.0</v>
      </c>
      <c r="AO52" s="3" t="n">
        <v>171495.0</v>
      </c>
    </row>
    <row r="53" spans="1:41" x14ac:dyDescent="0.2">
      <c r="A53" s="135"/>
      <c r="B53" s="54" t="s">
        <v>7</v>
      </c>
      <c r="C53" s="4" t="n">
        <v>672425.0</v>
      </c>
      <c r="D53" s="4" t="n">
        <v>667940.0</v>
      </c>
      <c r="E53" s="4" t="n">
        <v>662595.0</v>
      </c>
      <c r="F53" s="4" t="n">
        <v>655855.0</v>
      </c>
      <c r="G53" s="4" t="n">
        <v>647787.0</v>
      </c>
      <c r="H53" s="4" t="n">
        <v>643569.0</v>
      </c>
      <c r="I53" s="4" t="n">
        <v>639778.0</v>
      </c>
      <c r="J53" s="4" t="n">
        <v>633243.0</v>
      </c>
      <c r="K53" s="4" t="n">
        <v>624318.0</v>
      </c>
      <c r="L53" s="4" t="n">
        <v>615229.0</v>
      </c>
      <c r="M53" s="4" t="n">
        <v>606119.0</v>
      </c>
      <c r="N53" s="4" t="n">
        <v>594863.0</v>
      </c>
      <c r="O53" s="4" t="n">
        <v>583627.0</v>
      </c>
      <c r="P53" s="4" t="n">
        <v>572537.0</v>
      </c>
      <c r="Q53" s="4" t="n">
        <v>562649.0</v>
      </c>
      <c r="R53" s="4" t="n">
        <v>552730.0</v>
      </c>
      <c r="S53" s="4" t="n">
        <v>543591.0</v>
      </c>
      <c r="T53" s="4" t="n">
        <v>534455.0</v>
      </c>
      <c r="U53" s="4" t="n">
        <v>525498.0</v>
      </c>
      <c r="V53" s="4" t="n">
        <v>516738.0</v>
      </c>
      <c r="W53" s="4" t="n">
        <v>509210.0</v>
      </c>
      <c r="X53" s="4" t="n">
        <v>502024.0</v>
      </c>
      <c r="Y53" s="4" t="n">
        <v>494947.0</v>
      </c>
      <c r="Z53" s="4" t="n">
        <v>489019.0</v>
      </c>
      <c r="AA53" s="4" t="n">
        <v>483656.0</v>
      </c>
      <c r="AB53" s="4" t="n">
        <v>478803.0</v>
      </c>
      <c r="AC53" s="4" t="n">
        <v>474986.0</v>
      </c>
      <c r="AD53" s="4" t="n">
        <v>471741.0</v>
      </c>
      <c r="AE53" s="4" t="n">
        <v>468579.0</v>
      </c>
      <c r="AF53" s="4" t="n">
        <v>465815.0</v>
      </c>
      <c r="AG53" s="4" t="n">
        <v>463714.0</v>
      </c>
      <c r="AH53" s="4" t="n">
        <v>461952.0</v>
      </c>
      <c r="AI53" s="4" t="n">
        <v>459825.0</v>
      </c>
      <c r="AJ53" s="4" t="n">
        <v>457266.0</v>
      </c>
      <c r="AK53" s="4" t="n">
        <v>454083.0</v>
      </c>
      <c r="AL53" s="4" t="n">
        <v>450100.0</v>
      </c>
      <c r="AM53" s="4" t="n">
        <v>444973.0</v>
      </c>
      <c r="AN53" s="4" t="n">
        <v>439676.0</v>
      </c>
      <c r="AO53" s="4" t="n">
        <v>434640.0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6" t="s">
        <v>38</v>
      </c>
      <c r="B1" s="145" t="s">
        <v>56</v>
      </c>
      <c r="C1" s="145"/>
      <c r="D1" s="145"/>
      <c r="E1" s="67"/>
      <c r="F1" s="67"/>
      <c r="G1" s="68"/>
      <c r="H1" s="8"/>
      <c r="I1" s="8"/>
    </row>
    <row r="2" spans="1:9" ht="12" customHeight="1" x14ac:dyDescent="0.2">
      <c r="A2" s="127" t="s">
        <v>83</v>
      </c>
      <c r="B2" s="127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8" t="s">
        <v>84</v>
      </c>
      <c r="B3" s="128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7" t="s">
        <v>66</v>
      </c>
      <c r="B5" s="139" t="s">
        <v>60</v>
      </c>
      <c r="C5" s="140"/>
      <c r="D5" s="141" t="s">
        <v>58</v>
      </c>
      <c r="E5" s="142"/>
      <c r="F5" s="143" t="s">
        <v>59</v>
      </c>
      <c r="G5" s="144"/>
    </row>
    <row r="6" spans="1:9" ht="25.15" customHeight="1" x14ac:dyDescent="0.2">
      <c r="A6" s="138"/>
      <c r="B6" s="35" t="s">
        <v>104</v>
      </c>
      <c r="C6" s="41" t="s">
        <v>61</v>
      </c>
      <c r="D6" s="46" t="s">
        <v>62</v>
      </c>
      <c r="E6" s="47" t="s">
        <v>63</v>
      </c>
      <c r="F6" s="37" t="s">
        <v>103</v>
      </c>
      <c r="G6" s="36" t="s">
        <v>64</v>
      </c>
    </row>
    <row r="7" spans="1:9" x14ac:dyDescent="0.2">
      <c r="A7" s="38">
        <v>2023</v>
      </c>
      <c r="B7" s="1" t="n">
        <v>22635.0</v>
      </c>
      <c r="C7" s="42" t="n">
        <v>33180.0</v>
      </c>
      <c r="D7" s="48" t="n">
        <v>35505.0</v>
      </c>
      <c r="E7" s="42" t="n">
        <v>32956.0</v>
      </c>
      <c r="F7" s="2" t="n">
        <v>2018.0</v>
      </c>
      <c r="G7" s="2" t="n">
        <v>1216.0</v>
      </c>
    </row>
    <row r="8" spans="1:9" x14ac:dyDescent="0.2">
      <c r="A8" s="39">
        <v>2024</v>
      </c>
      <c r="B8" s="1" t="n">
        <v>22308.0</v>
      </c>
      <c r="C8" s="43" t="n">
        <v>33139.0</v>
      </c>
      <c r="D8" s="48" t="n">
        <v>34977.0</v>
      </c>
      <c r="E8" s="43" t="n">
        <v>32491.0</v>
      </c>
      <c r="F8" s="2" t="n">
        <v>2151.0</v>
      </c>
      <c r="G8" s="2" t="n">
        <v>1170.0</v>
      </c>
    </row>
    <row r="9" spans="1:9" x14ac:dyDescent="0.2">
      <c r="A9" s="39">
        <v>2025</v>
      </c>
      <c r="B9" s="1" t="n">
        <v>22094.0</v>
      </c>
      <c r="C9" s="43" t="n">
        <v>33198.0</v>
      </c>
      <c r="D9" s="48" t="n">
        <v>34420.0</v>
      </c>
      <c r="E9" s="43" t="n">
        <v>32117.0</v>
      </c>
      <c r="F9" s="2" t="n">
        <v>2402.0</v>
      </c>
      <c r="G9" s="2" t="n">
        <v>1150.0</v>
      </c>
    </row>
    <row r="10" spans="1:9" x14ac:dyDescent="0.2">
      <c r="A10" s="39">
        <v>2026</v>
      </c>
      <c r="B10" s="1" t="n">
        <v>21847.0</v>
      </c>
      <c r="C10" s="43" t="n">
        <v>33495.0</v>
      </c>
      <c r="D10" s="48" t="n">
        <v>33898.0</v>
      </c>
      <c r="E10" s="43" t="n">
        <v>31701.0</v>
      </c>
      <c r="F10" s="2" t="n">
        <v>2800.0</v>
      </c>
      <c r="G10" s="2" t="n">
        <v>1121.0</v>
      </c>
    </row>
    <row r="11" spans="1:9" x14ac:dyDescent="0.2">
      <c r="A11" s="39">
        <v>2027</v>
      </c>
      <c r="B11" s="1" t="n">
        <v>21668.0</v>
      </c>
      <c r="C11" s="43" t="n">
        <v>33865.0</v>
      </c>
      <c r="D11" s="48" t="n">
        <v>33429.0</v>
      </c>
      <c r="E11" s="43" t="n">
        <v>31292.0</v>
      </c>
      <c r="F11" s="2" t="n">
        <v>13560.0</v>
      </c>
      <c r="G11" s="2" t="n">
        <v>1102.0</v>
      </c>
    </row>
    <row r="12" spans="1:9" x14ac:dyDescent="0.2">
      <c r="A12" s="39">
        <v>2028</v>
      </c>
      <c r="B12" s="1" t="n">
        <v>21574.0</v>
      </c>
      <c r="C12" s="43" t="n">
        <v>34133.0</v>
      </c>
      <c r="D12" s="48" t="n">
        <v>33090.0</v>
      </c>
      <c r="E12" s="43" t="n">
        <v>31067.0</v>
      </c>
      <c r="F12" s="2" t="n">
        <v>17648.0</v>
      </c>
      <c r="G12" s="2" t="n">
        <v>1090.0</v>
      </c>
    </row>
    <row r="13" spans="1:9" x14ac:dyDescent="0.2">
      <c r="A13" s="39">
        <v>2029</v>
      </c>
      <c r="B13" s="1" t="n">
        <v>21472.0</v>
      </c>
      <c r="C13" s="43" t="n">
        <v>34542.0</v>
      </c>
      <c r="D13" s="48" t="n">
        <v>32816.0</v>
      </c>
      <c r="E13" s="43" t="n">
        <v>30998.0</v>
      </c>
      <c r="F13" s="2" t="n">
        <v>9523.0</v>
      </c>
      <c r="G13" s="2" t="n">
        <v>1080.0</v>
      </c>
    </row>
    <row r="14" spans="1:9" x14ac:dyDescent="0.2">
      <c r="A14" s="39">
        <v>2030</v>
      </c>
      <c r="B14" s="1" t="n">
        <v>21287.0</v>
      </c>
      <c r="C14" s="43" t="n">
        <v>34842.0</v>
      </c>
      <c r="D14" s="48" t="n">
        <v>32558.0</v>
      </c>
      <c r="E14" s="43" t="n">
        <v>30781.0</v>
      </c>
      <c r="F14" s="2" t="n">
        <v>5492.0</v>
      </c>
      <c r="G14" s="2" t="n">
        <v>1063.0</v>
      </c>
    </row>
    <row r="15" spans="1:9" x14ac:dyDescent="0.2">
      <c r="A15" s="39">
        <v>2031</v>
      </c>
      <c r="B15" s="1" t="n">
        <v>21074.0</v>
      </c>
      <c r="C15" s="43" t="n">
        <v>35289.0</v>
      </c>
      <c r="D15" s="48" t="n">
        <v>32270.0</v>
      </c>
      <c r="E15" s="43" t="n">
        <v>30521.0</v>
      </c>
      <c r="F15" s="2" t="n">
        <v>4064.0</v>
      </c>
      <c r="G15" s="2" t="n">
        <v>1048.0</v>
      </c>
    </row>
    <row r="16" spans="1:9" x14ac:dyDescent="0.2">
      <c r="A16" s="39">
        <v>2032</v>
      </c>
      <c r="B16" s="1" t="n">
        <v>20807.0</v>
      </c>
      <c r="C16" s="43" t="n">
        <v>35804.0</v>
      </c>
      <c r="D16" s="48" t="n">
        <v>31985.0</v>
      </c>
      <c r="E16" s="43" t="n">
        <v>30276.0</v>
      </c>
      <c r="F16" s="2" t="n">
        <v>3360.0</v>
      </c>
      <c r="G16" s="2" t="n">
        <v>1040.0</v>
      </c>
    </row>
    <row r="17" spans="1:7" x14ac:dyDescent="0.2">
      <c r="A17" s="39">
        <v>2033</v>
      </c>
      <c r="B17" s="1" t="n">
        <v>20601.0</v>
      </c>
      <c r="C17" s="43" t="n">
        <v>36273.0</v>
      </c>
      <c r="D17" s="48" t="n">
        <v>31748.0</v>
      </c>
      <c r="E17" s="43" t="n">
        <v>30081.0</v>
      </c>
      <c r="F17" s="2" t="n">
        <v>2876.0</v>
      </c>
      <c r="G17" s="2" t="n">
        <v>1028.0</v>
      </c>
    </row>
    <row r="18" spans="1:7" x14ac:dyDescent="0.2">
      <c r="A18" s="39">
        <v>2034</v>
      </c>
      <c r="B18" s="1" t="n">
        <v>20422.0</v>
      </c>
      <c r="C18" s="44" t="n">
        <v>36654.0</v>
      </c>
      <c r="D18" s="48" t="n">
        <v>31530.0</v>
      </c>
      <c r="E18" s="44" t="n">
        <v>29858.0</v>
      </c>
      <c r="F18" s="2" t="n">
        <v>2715.0</v>
      </c>
      <c r="G18" s="2" t="n">
        <v>1029.0</v>
      </c>
    </row>
    <row r="19" spans="1:7" x14ac:dyDescent="0.2">
      <c r="A19" s="39">
        <v>2035</v>
      </c>
      <c r="B19" s="1" t="n">
        <v>20297.0</v>
      </c>
      <c r="C19" s="44" t="n">
        <v>37131.0</v>
      </c>
      <c r="D19" s="48" t="n">
        <v>31331.0</v>
      </c>
      <c r="E19" s="44" t="n">
        <v>29671.0</v>
      </c>
      <c r="F19" s="2" t="n">
        <v>2746.0</v>
      </c>
      <c r="G19" s="2" t="n">
        <v>1030.0</v>
      </c>
    </row>
    <row r="20" spans="1:7" x14ac:dyDescent="0.2">
      <c r="A20" s="39">
        <v>2036</v>
      </c>
      <c r="B20" s="1" t="n">
        <v>20201.0</v>
      </c>
      <c r="C20" s="43" t="n">
        <v>37618.0</v>
      </c>
      <c r="D20" s="48" t="n">
        <v>31131.0</v>
      </c>
      <c r="E20" s="43" t="n">
        <v>29446.0</v>
      </c>
      <c r="F20" s="2" t="n">
        <v>2781.0</v>
      </c>
      <c r="G20" s="2" t="n">
        <v>1018.0</v>
      </c>
    </row>
    <row r="21" spans="1:7" x14ac:dyDescent="0.2">
      <c r="A21" s="39">
        <v>2037</v>
      </c>
      <c r="B21" s="1" t="n">
        <v>20215.0</v>
      </c>
      <c r="C21" s="43" t="n">
        <v>37956.0</v>
      </c>
      <c r="D21" s="48" t="n">
        <v>31008.0</v>
      </c>
      <c r="E21" s="43" t="n">
        <v>29251.0</v>
      </c>
      <c r="F21" s="2" t="n">
        <v>2807.0</v>
      </c>
      <c r="G21" s="2" t="n">
        <v>1008.0</v>
      </c>
    </row>
    <row r="22" spans="1:7" x14ac:dyDescent="0.2">
      <c r="A22" s="39">
        <v>2038</v>
      </c>
      <c r="B22" s="1" t="n">
        <v>20275.0</v>
      </c>
      <c r="C22" s="43" t="n">
        <v>38390.0</v>
      </c>
      <c r="D22" s="48" t="n">
        <v>30862.0</v>
      </c>
      <c r="E22" s="43" t="n">
        <v>29030.0</v>
      </c>
      <c r="F22" s="2" t="n">
        <v>2827.0</v>
      </c>
      <c r="G22" s="2" t="n">
        <v>997.0</v>
      </c>
    </row>
    <row r="23" spans="1:7" x14ac:dyDescent="0.2">
      <c r="A23" s="39">
        <v>2039</v>
      </c>
      <c r="B23" s="1" t="n">
        <v>20368.0</v>
      </c>
      <c r="C23" s="43" t="n">
        <v>38749.0</v>
      </c>
      <c r="D23" s="48" t="n">
        <v>30721.0</v>
      </c>
      <c r="E23" s="43" t="n">
        <v>28880.0</v>
      </c>
      <c r="F23" s="2" t="n">
        <v>2858.0</v>
      </c>
      <c r="G23" s="2" t="n">
        <v>996.0</v>
      </c>
    </row>
    <row r="24" spans="1:7" x14ac:dyDescent="0.2">
      <c r="A24" s="39">
        <v>2040</v>
      </c>
      <c r="B24" s="1" t="n">
        <v>20500.0</v>
      </c>
      <c r="C24" s="43" t="n">
        <v>39170.0</v>
      </c>
      <c r="D24" s="48" t="n">
        <v>30581.0</v>
      </c>
      <c r="E24" s="43" t="n">
        <v>28720.0</v>
      </c>
      <c r="F24" s="2" t="n">
        <v>2876.0</v>
      </c>
      <c r="G24" s="2" t="n">
        <v>999.0</v>
      </c>
    </row>
    <row r="25" spans="1:7" x14ac:dyDescent="0.2">
      <c r="A25" s="39">
        <v>2041</v>
      </c>
      <c r="B25" s="1" t="n">
        <v>20608.0</v>
      </c>
      <c r="C25" s="43" t="n">
        <v>39399.0</v>
      </c>
      <c r="D25" s="48" t="n">
        <v>30433.0</v>
      </c>
      <c r="E25" s="43" t="n">
        <v>28544.0</v>
      </c>
      <c r="F25" s="2" t="n">
        <v>2898.0</v>
      </c>
      <c r="G25" s="2" t="n">
        <v>988.0</v>
      </c>
    </row>
    <row r="26" spans="1:7" x14ac:dyDescent="0.2">
      <c r="A26" s="39">
        <v>2042</v>
      </c>
      <c r="B26" s="1" t="n">
        <v>20740.0</v>
      </c>
      <c r="C26" s="43" t="n">
        <v>39636.0</v>
      </c>
      <c r="D26" s="48" t="n">
        <v>30300.0</v>
      </c>
      <c r="E26" s="43" t="n">
        <v>28430.0</v>
      </c>
      <c r="F26" s="2" t="n">
        <v>2923.0</v>
      </c>
      <c r="G26" s="2" t="n">
        <v>981.0</v>
      </c>
    </row>
    <row r="27" spans="1:7" x14ac:dyDescent="0.2">
      <c r="A27" s="39">
        <v>2043</v>
      </c>
      <c r="B27" s="1" t="n">
        <v>20827.0</v>
      </c>
      <c r="C27" s="43" t="n">
        <v>39610.0</v>
      </c>
      <c r="D27" s="48" t="n">
        <v>30138.0</v>
      </c>
      <c r="E27" s="43" t="n">
        <v>28244.0</v>
      </c>
      <c r="F27" s="2" t="n">
        <v>2938.0</v>
      </c>
      <c r="G27" s="2" t="n">
        <v>979.0</v>
      </c>
    </row>
    <row r="28" spans="1:7" x14ac:dyDescent="0.2">
      <c r="A28" s="39">
        <v>2044</v>
      </c>
      <c r="B28" s="1" t="n">
        <v>20875.0</v>
      </c>
      <c r="C28" s="43" t="n">
        <v>39699.0</v>
      </c>
      <c r="D28" s="48" t="n">
        <v>29941.0</v>
      </c>
      <c r="E28" s="43" t="n">
        <v>28057.0</v>
      </c>
      <c r="F28" s="2" t="n">
        <v>2952.0</v>
      </c>
      <c r="G28" s="2" t="n">
        <v>975.0</v>
      </c>
    </row>
    <row r="29" spans="1:7" x14ac:dyDescent="0.2">
      <c r="A29" s="39">
        <v>2045</v>
      </c>
      <c r="B29" s="1" t="n">
        <v>20887.0</v>
      </c>
      <c r="C29" s="43" t="n">
        <v>39907.0</v>
      </c>
      <c r="D29" s="48" t="n">
        <v>29727.0</v>
      </c>
      <c r="E29" s="43" t="n">
        <v>27891.0</v>
      </c>
      <c r="F29" s="2" t="n">
        <v>2978.0</v>
      </c>
      <c r="G29" s="2" t="n">
        <v>968.0</v>
      </c>
    </row>
    <row r="30" spans="1:7" x14ac:dyDescent="0.2">
      <c r="A30" s="39">
        <v>2046</v>
      </c>
      <c r="B30" s="1" t="n">
        <v>20844.0</v>
      </c>
      <c r="C30" s="43" t="n">
        <v>39880.0</v>
      </c>
      <c r="D30" s="48" t="n">
        <v>29505.0</v>
      </c>
      <c r="E30" s="43" t="n">
        <v>27665.0</v>
      </c>
      <c r="F30" s="2" t="n">
        <v>2989.0</v>
      </c>
      <c r="G30" s="2" t="n">
        <v>967.0</v>
      </c>
    </row>
    <row r="31" spans="1:7" x14ac:dyDescent="0.2">
      <c r="A31" s="39">
        <v>2047</v>
      </c>
      <c r="B31" s="1" t="n">
        <v>20752.0</v>
      </c>
      <c r="C31" s="43" t="n">
        <v>39693.0</v>
      </c>
      <c r="D31" s="48" t="n">
        <v>29226.0</v>
      </c>
      <c r="E31" s="43" t="n">
        <v>27416.0</v>
      </c>
      <c r="F31" s="2" t="n">
        <v>3004.0</v>
      </c>
      <c r="G31" s="2" t="n">
        <v>962.0</v>
      </c>
    </row>
    <row r="32" spans="1:7" x14ac:dyDescent="0.2">
      <c r="A32" s="39">
        <v>2048</v>
      </c>
      <c r="B32" s="1" t="n">
        <v>20610.0</v>
      </c>
      <c r="C32" s="43" t="n">
        <v>39574.0</v>
      </c>
      <c r="D32" s="48" t="n">
        <v>28965.0</v>
      </c>
      <c r="E32" s="43" t="n">
        <v>27218.0</v>
      </c>
      <c r="F32" s="2" t="n">
        <v>3032.0</v>
      </c>
      <c r="G32" s="2" t="n">
        <v>954.0</v>
      </c>
    </row>
    <row r="33" spans="1:7" x14ac:dyDescent="0.2">
      <c r="A33" s="39">
        <v>2049</v>
      </c>
      <c r="B33" s="1" t="n">
        <v>20423.0</v>
      </c>
      <c r="C33" s="43" t="n">
        <v>39253.0</v>
      </c>
      <c r="D33" s="48" t="n">
        <v>28676.0</v>
      </c>
      <c r="E33" s="43" t="n">
        <v>26973.0</v>
      </c>
      <c r="F33" s="2" t="n">
        <v>3042.0</v>
      </c>
      <c r="G33" s="2" t="n">
        <v>956.0</v>
      </c>
    </row>
    <row r="34" spans="1:7" x14ac:dyDescent="0.2">
      <c r="A34" s="39">
        <v>2050</v>
      </c>
      <c r="B34" s="1" t="n">
        <v>20175.0</v>
      </c>
      <c r="C34" s="43" t="n">
        <v>39001.0</v>
      </c>
      <c r="D34" s="48" t="n">
        <v>28333.0</v>
      </c>
      <c r="E34" s="43" t="n">
        <v>26728.0</v>
      </c>
      <c r="F34" s="2" t="n">
        <v>3059.0</v>
      </c>
      <c r="G34" s="2" t="n">
        <v>958.0</v>
      </c>
    </row>
    <row r="35" spans="1:7" x14ac:dyDescent="0.2">
      <c r="A35" s="39">
        <v>2051</v>
      </c>
      <c r="B35" s="1" t="n">
        <v>19915.0</v>
      </c>
      <c r="C35" s="43" t="n">
        <v>38828.0</v>
      </c>
      <c r="D35" s="48" t="n">
        <v>28019.0</v>
      </c>
      <c r="E35" s="43" t="n">
        <v>26413.0</v>
      </c>
      <c r="F35" s="2" t="n">
        <v>3076.0</v>
      </c>
      <c r="G35" s="2" t="n">
        <v>946.0</v>
      </c>
    </row>
    <row r="36" spans="1:7" x14ac:dyDescent="0.2">
      <c r="A36" s="39">
        <v>2052</v>
      </c>
      <c r="B36" s="1" t="n">
        <v>19622.0</v>
      </c>
      <c r="C36" s="43" t="n">
        <v>38772.0</v>
      </c>
      <c r="D36" s="48" t="n">
        <v>27705.0</v>
      </c>
      <c r="E36" s="43" t="n">
        <v>26189.0</v>
      </c>
      <c r="F36" s="2" t="n">
        <v>3100.0</v>
      </c>
      <c r="G36" s="2" t="n">
        <v>948.0</v>
      </c>
    </row>
    <row r="37" spans="1:7" x14ac:dyDescent="0.2">
      <c r="A37" s="39">
        <v>2053</v>
      </c>
      <c r="B37" s="1" t="n">
        <v>19302.0</v>
      </c>
      <c r="C37" s="43" t="n">
        <v>38570.0</v>
      </c>
      <c r="D37" s="48" t="n">
        <v>27409.0</v>
      </c>
      <c r="E37" s="43" t="n">
        <v>25928.0</v>
      </c>
      <c r="F37" s="2" t="n">
        <v>3112.0</v>
      </c>
      <c r="G37" s="2" t="n">
        <v>944.0</v>
      </c>
    </row>
    <row r="38" spans="1:7" x14ac:dyDescent="0.2">
      <c r="A38" s="39">
        <v>2054</v>
      </c>
      <c r="B38" s="1" t="n">
        <v>18970.0</v>
      </c>
      <c r="C38" s="43" t="n">
        <v>38336.0</v>
      </c>
      <c r="D38" s="48" t="n">
        <v>27088.0</v>
      </c>
      <c r="E38" s="43" t="n">
        <v>25663.0</v>
      </c>
      <c r="F38" s="2" t="n">
        <v>3123.0</v>
      </c>
      <c r="G38" s="2" t="n">
        <v>940.0</v>
      </c>
    </row>
    <row r="39" spans="1:7" x14ac:dyDescent="0.2">
      <c r="A39" s="39">
        <v>2055</v>
      </c>
      <c r="B39" s="1" t="n">
        <v>18643.0</v>
      </c>
      <c r="C39" s="43" t="n">
        <v>38176.0</v>
      </c>
      <c r="D39" s="48" t="n">
        <v>26731.0</v>
      </c>
      <c r="E39" s="43" t="n">
        <v>25405.0</v>
      </c>
      <c r="F39" s="2" t="n">
        <v>3134.0</v>
      </c>
      <c r="G39" s="2" t="n">
        <v>936.0</v>
      </c>
    </row>
    <row r="40" spans="1:7" x14ac:dyDescent="0.2">
      <c r="A40" s="39">
        <v>2056</v>
      </c>
      <c r="B40" s="1" t="n">
        <v>18328.0</v>
      </c>
      <c r="C40" s="43" t="n">
        <v>38072.0</v>
      </c>
      <c r="D40" s="48" t="n">
        <v>26407.0</v>
      </c>
      <c r="E40" s="43" t="n">
        <v>25145.0</v>
      </c>
      <c r="F40" s="2" t="n">
        <v>3149.0</v>
      </c>
      <c r="G40" s="2" t="n">
        <v>932.0</v>
      </c>
    </row>
    <row r="41" spans="1:7" x14ac:dyDescent="0.2">
      <c r="A41" s="39">
        <v>2057</v>
      </c>
      <c r="B41" s="1" t="n">
        <v>18026.0</v>
      </c>
      <c r="C41" s="43" t="n">
        <v>37968.0</v>
      </c>
      <c r="D41" s="48" t="n">
        <v>26138.0</v>
      </c>
      <c r="E41" s="43" t="n">
        <v>24901.0</v>
      </c>
      <c r="F41" s="2" t="n">
        <v>3166.0</v>
      </c>
      <c r="G41" s="2" t="n">
        <v>934.0</v>
      </c>
    </row>
    <row r="42" spans="1:7" x14ac:dyDescent="0.2">
      <c r="A42" s="39">
        <v>2058</v>
      </c>
      <c r="B42" s="1" t="n">
        <v>17739.0</v>
      </c>
      <c r="C42" s="43" t="n">
        <v>38043.0</v>
      </c>
      <c r="D42" s="48" t="n">
        <v>25878.0</v>
      </c>
      <c r="E42" s="43" t="n">
        <v>24651.0</v>
      </c>
      <c r="F42" s="2" t="n">
        <v>3176.0</v>
      </c>
      <c r="G42" s="2" t="n">
        <v>929.0</v>
      </c>
    </row>
    <row r="43" spans="1:7" x14ac:dyDescent="0.2">
      <c r="A43" s="39">
        <v>2059</v>
      </c>
      <c r="B43" s="1" t="n">
        <v>17470.0</v>
      </c>
      <c r="C43" s="43" t="n">
        <v>38052.0</v>
      </c>
      <c r="D43" s="48" t="n">
        <v>25547.0</v>
      </c>
      <c r="E43" s="43" t="n">
        <v>24403.0</v>
      </c>
      <c r="F43" s="2" t="n">
        <v>3192.0</v>
      </c>
      <c r="G43" s="2" t="n">
        <v>929.0</v>
      </c>
    </row>
    <row r="44" spans="1:7" x14ac:dyDescent="0.2">
      <c r="A44" s="40">
        <v>2060</v>
      </c>
      <c r="B44" s="5" t="n">
        <v>17245.0</v>
      </c>
      <c r="C44" s="45" t="n">
        <v>37924.0</v>
      </c>
      <c r="D44" s="49" t="n">
        <v>25301.0</v>
      </c>
      <c r="E44" s="45" t="n">
        <v>24194.0</v>
      </c>
      <c r="F44" s="6" t="n">
        <v>3203.0</v>
      </c>
      <c r="G44" s="6" t="n">
        <v>921.0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66C2C9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9" width="23.7109375"/>
    <col min="4" max="4" customWidth="true" style="79" width="11.7109375"/>
    <col min="5" max="5" style="79" width="9.140625"/>
    <col min="6" max="6" customWidth="true" style="79" width="7.28515625"/>
    <col min="7" max="8" customWidth="true" style="79" width="11.85546875"/>
    <col min="9" max="21" style="79" width="9.140625"/>
    <col min="22" max="26" style="92" width="9.140625"/>
    <col min="27" max="29" style="95" width="9.140625"/>
    <col min="30" max="32" customWidth="true" style="95" width="15.42578125"/>
    <col min="33" max="33" customWidth="true" style="92" width="15.42578125"/>
    <col min="34" max="35" style="79" width="9.140625"/>
    <col min="36" max="16384" style="96" width="9.140625"/>
  </cols>
  <sheetData>
    <row r="1" spans="1:39" ht="22.9" customHeight="1" x14ac:dyDescent="0.25">
      <c r="A1" s="117"/>
      <c r="B1" s="146" t="s">
        <v>90</v>
      </c>
      <c r="C1" s="147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87"/>
      <c r="S1" s="87"/>
      <c r="T1" s="87"/>
      <c r="U1" s="87"/>
      <c r="V1" s="93"/>
      <c r="W1" s="93"/>
      <c r="X1" s="93"/>
      <c r="Y1" s="93"/>
      <c r="Z1" s="93"/>
      <c r="AA1" s="80"/>
      <c r="AB1" s="80"/>
      <c r="AC1" s="80"/>
      <c r="AD1" s="80"/>
      <c r="AE1" s="80"/>
      <c r="AF1" s="80"/>
      <c r="AG1" s="94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83</v>
      </c>
      <c r="B2" s="148" t="s">
        <v>95</v>
      </c>
      <c r="C2" s="149"/>
      <c r="D2" s="101"/>
      <c r="E2" s="101"/>
      <c r="F2" s="101"/>
      <c r="G2" s="101"/>
      <c r="H2" s="97"/>
      <c r="I2" s="97"/>
      <c r="J2" s="97"/>
      <c r="K2" s="97"/>
      <c r="L2" s="97"/>
      <c r="M2" s="97"/>
      <c r="N2" s="97"/>
      <c r="O2" s="97"/>
      <c r="P2" s="97"/>
      <c r="Q2" s="97"/>
      <c r="R2" s="87"/>
      <c r="S2" s="87"/>
      <c r="T2" s="87"/>
      <c r="U2" s="87"/>
      <c r="V2" s="93"/>
      <c r="W2" s="93"/>
      <c r="X2" s="93"/>
      <c r="Y2" s="93"/>
      <c r="Z2" s="93"/>
      <c r="AA2" s="80"/>
      <c r="AB2" s="80"/>
      <c r="AC2" s="80"/>
      <c r="AD2" s="80"/>
      <c r="AE2" s="80"/>
      <c r="AF2" s="80"/>
      <c r="AG2" s="94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84</v>
      </c>
      <c r="B3" s="150"/>
      <c r="C3" s="151"/>
      <c r="D3" s="101"/>
      <c r="E3" s="101"/>
      <c r="F3" s="101"/>
      <c r="G3" s="101"/>
      <c r="H3" s="32"/>
      <c r="I3" s="32"/>
      <c r="J3" s="91"/>
      <c r="O3" s="79" t="s">
        <v>38</v>
      </c>
      <c r="P3" s="87"/>
      <c r="Q3" s="87"/>
      <c r="R3" s="87"/>
      <c r="S3" s="87"/>
      <c r="T3" s="87"/>
      <c r="U3" s="87"/>
      <c r="V3" s="93"/>
      <c r="W3" s="93"/>
      <c r="X3" s="93"/>
      <c r="Y3" s="93"/>
      <c r="Z3" s="93"/>
      <c r="AA3" s="80"/>
      <c r="AB3" s="80"/>
      <c r="AC3" s="80"/>
      <c r="AD3" s="80"/>
      <c r="AE3" s="80"/>
      <c r="AF3" s="80"/>
      <c r="AG3" s="94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52" t="s">
        <v>105</v>
      </c>
      <c r="B4" s="153"/>
      <c r="C4" s="154"/>
      <c r="I4" s="91"/>
      <c r="J4" s="91"/>
      <c r="P4" s="87"/>
      <c r="Q4" s="87"/>
      <c r="R4" s="87"/>
      <c r="S4" s="87"/>
      <c r="T4" s="87"/>
      <c r="U4" s="87"/>
      <c r="V4" s="119"/>
      <c r="W4" s="119"/>
      <c r="X4" s="119"/>
      <c r="Y4" s="119"/>
      <c r="Z4" s="119"/>
      <c r="AA4" s="120"/>
      <c r="AB4" s="120"/>
      <c r="AC4" s="120"/>
      <c r="AD4" s="120"/>
      <c r="AE4" s="80"/>
      <c r="AF4" s="80"/>
      <c r="AG4" s="94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82"/>
      <c r="B5" s="83"/>
      <c r="C5" s="108"/>
      <c r="P5" s="87"/>
      <c r="Q5" s="87"/>
      <c r="R5" s="87"/>
      <c r="S5" s="87"/>
      <c r="T5" s="87"/>
      <c r="U5" s="87"/>
      <c r="V5" s="119"/>
      <c r="W5" s="119"/>
      <c r="X5" s="119"/>
      <c r="Y5" s="119"/>
      <c r="Z5" s="119"/>
      <c r="AA5" s="120"/>
      <c r="AB5" s="120"/>
      <c r="AC5" s="120"/>
      <c r="AD5" s="120"/>
      <c r="AE5" s="80"/>
      <c r="AF5" s="80"/>
      <c r="AG5" s="94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4" t="s">
        <v>38</v>
      </c>
      <c r="B6" s="109" t="s">
        <v>98</v>
      </c>
      <c r="C6" s="110"/>
      <c r="I6" s="78"/>
      <c r="P6" s="87"/>
      <c r="Q6" s="87"/>
      <c r="R6" s="87"/>
      <c r="S6" s="87"/>
      <c r="T6" s="87"/>
      <c r="U6" s="87"/>
      <c r="V6" s="119"/>
      <c r="W6" s="119"/>
      <c r="X6" s="119"/>
      <c r="Y6" s="119"/>
      <c r="Z6" s="119"/>
      <c r="AA6" s="120"/>
      <c r="AB6" s="120"/>
      <c r="AC6" s="120"/>
      <c r="AD6" s="120"/>
      <c r="AE6" s="80"/>
      <c r="AF6" s="80"/>
      <c r="AG6" s="94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5"/>
      <c r="B7" s="111"/>
      <c r="C7" s="116">
        <v>2022</v>
      </c>
      <c r="I7" s="78"/>
      <c r="P7" s="87"/>
      <c r="Q7" s="87"/>
      <c r="R7" s="87"/>
      <c r="S7" s="87"/>
      <c r="T7" s="87"/>
      <c r="U7" s="121"/>
      <c r="V7" s="119"/>
      <c r="W7" s="119"/>
      <c r="X7" s="119"/>
      <c r="Y7" s="119"/>
      <c r="Z7" s="119"/>
      <c r="AA7" s="80">
        <v>2022</v>
      </c>
      <c r="AB7" s="80">
        <v>0</v>
      </c>
      <c r="AC7" s="80"/>
      <c r="AD7" s="80" t="s">
        <v>89</v>
      </c>
      <c r="AE7" s="80" t="s">
        <v>88</v>
      </c>
      <c r="AF7" s="80" t="s">
        <v>93</v>
      </c>
      <c r="AG7" s="94" t="s">
        <v>94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5"/>
      <c r="B8" s="109" t="s">
        <v>99</v>
      </c>
      <c r="C8" s="110"/>
      <c r="I8" s="81"/>
      <c r="P8" s="87"/>
      <c r="Q8" s="87"/>
      <c r="R8" s="87"/>
      <c r="S8" s="87"/>
      <c r="T8" s="87"/>
      <c r="U8" s="121"/>
      <c r="V8" s="119"/>
      <c r="W8" s="119"/>
      <c r="X8" s="119"/>
      <c r="Y8" s="119"/>
      <c r="Z8" s="119"/>
      <c r="AA8" s="80">
        <v>2023</v>
      </c>
      <c r="AB8" s="80">
        <v>1</v>
      </c>
      <c r="AC8" s="80"/>
      <c r="AD8" s="89">
        <f>(-1*B12)-AF8</f>
        <v>-145928</v>
      </c>
      <c r="AE8" s="90">
        <f>C12-AG8</f>
        <v>145928</v>
      </c>
      <c r="AF8" s="80">
        <f>IF(B12&gt;C12,-1*(B12-C12),0)</f>
        <v>-7459</v>
      </c>
      <c r="AG8" s="90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5"/>
      <c r="B9" s="86"/>
      <c r="C9" s="110"/>
      <c r="I9" s="81"/>
      <c r="P9" s="87"/>
      <c r="Q9" s="87"/>
      <c r="R9" s="87"/>
      <c r="S9" s="87"/>
      <c r="T9" s="87"/>
      <c r="U9" s="121"/>
      <c r="V9" s="119"/>
      <c r="W9" s="119"/>
      <c r="X9" s="119"/>
      <c r="Y9" s="119"/>
      <c r="Z9" s="119"/>
      <c r="AA9" s="80">
        <v>2024</v>
      </c>
      <c r="AB9" s="80">
        <v>2</v>
      </c>
      <c r="AC9" s="80"/>
      <c r="AD9" s="89">
        <f>(-1*B13)-AF9</f>
        <v>-162672</v>
      </c>
      <c r="AE9" s="90">
        <f>C13-AG9</f>
        <v>162672</v>
      </c>
      <c r="AF9" s="80">
        <f>IF(B13&gt;C13,-1*(B13-C13),0)</f>
        <v>-8770</v>
      </c>
      <c r="AG9" s="90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6"/>
      <c r="B10" s="91"/>
      <c r="C10" s="110"/>
      <c r="I10" s="81"/>
      <c r="P10" s="87"/>
      <c r="Q10" s="87"/>
      <c r="R10" s="87"/>
      <c r="S10" s="87"/>
      <c r="T10" s="87"/>
      <c r="U10" s="121"/>
      <c r="V10" s="119"/>
      <c r="W10" s="119"/>
      <c r="X10" s="119"/>
      <c r="Y10" s="119"/>
      <c r="Z10" s="119"/>
      <c r="AA10" s="80">
        <v>2025</v>
      </c>
      <c r="AB10" s="80">
        <v>3</v>
      </c>
      <c r="AC10" s="80"/>
      <c r="AD10" s="89">
        <f t="shared" ref="AD10:AD73" si="0">(-1*B14)-AF10</f>
        <v>-170423</v>
      </c>
      <c r="AE10" s="90">
        <f t="shared" ref="AE10:AE73" si="1">C14-AG10</f>
        <v>170423</v>
      </c>
      <c r="AF10" s="80">
        <f t="shared" ref="AF10:AF73" si="2">IF(B14&gt;C14,-1*(B14-C14),0)</f>
        <v>-9111</v>
      </c>
      <c r="AG10" s="90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1"/>
      <c r="P11" s="87"/>
      <c r="Q11" s="104"/>
      <c r="R11" s="87"/>
      <c r="S11" s="87"/>
      <c r="T11" s="87"/>
      <c r="U11" s="121"/>
      <c r="V11" s="119"/>
      <c r="W11" s="119"/>
      <c r="X11" s="119"/>
      <c r="Y11" s="119"/>
      <c r="Z11" s="119"/>
      <c r="AA11" s="80">
        <v>2026</v>
      </c>
      <c r="AB11" s="80">
        <v>4</v>
      </c>
      <c r="AC11" s="80"/>
      <c r="AD11" s="89">
        <f t="shared" si="0"/>
        <v>-182557</v>
      </c>
      <c r="AE11" s="90">
        <f t="shared" si="1"/>
        <v>182557</v>
      </c>
      <c r="AF11" s="80">
        <f t="shared" si="2"/>
        <v>-10212</v>
      </c>
      <c r="AG11" s="90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153387</v>
      </c>
      <c r="C12" s="114">
        <f>INDEX('Tabl. 1'!$C$8:$AO$313,206+$AB7,MATCH($C$7,$AA$7:$AA$45))</f>
        <v>145928</v>
      </c>
      <c r="I12" s="81"/>
      <c r="P12" s="87"/>
      <c r="Q12" s="87"/>
      <c r="R12" s="87"/>
      <c r="S12" s="87"/>
      <c r="T12" s="87"/>
      <c r="U12" s="121"/>
      <c r="V12" s="119"/>
      <c r="W12" s="119"/>
      <c r="X12" s="119"/>
      <c r="Y12" s="119"/>
      <c r="Z12" s="119"/>
      <c r="AA12" s="80">
        <v>2027</v>
      </c>
      <c r="AB12" s="80">
        <v>5</v>
      </c>
      <c r="AC12" s="80"/>
      <c r="AD12" s="89">
        <f t="shared" si="0"/>
        <v>-190994</v>
      </c>
      <c r="AE12" s="90">
        <f t="shared" si="1"/>
        <v>190994</v>
      </c>
      <c r="AF12" s="80">
        <f t="shared" si="2"/>
        <v>-11512</v>
      </c>
      <c r="AG12" s="90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171442</v>
      </c>
      <c r="C13" s="114">
        <f>INDEX('Tabl. 1'!$C$8:$AO$313,206+$AB8,MATCH($C$7,$AA$7:$AA$45))</f>
        <v>162672</v>
      </c>
      <c r="I13" s="81"/>
      <c r="P13" s="87"/>
      <c r="Q13" s="87"/>
      <c r="R13" s="87"/>
      <c r="S13" s="87"/>
      <c r="T13" s="87"/>
      <c r="U13" s="121"/>
      <c r="V13" s="119"/>
      <c r="W13" s="119"/>
      <c r="X13" s="119"/>
      <c r="Y13" s="119"/>
      <c r="Z13" s="119"/>
      <c r="AA13" s="80">
        <v>2028</v>
      </c>
      <c r="AB13" s="80">
        <v>6</v>
      </c>
      <c r="AC13" s="80"/>
      <c r="AD13" s="89">
        <f t="shared" si="0"/>
        <v>-200562</v>
      </c>
      <c r="AE13" s="90">
        <f t="shared" si="1"/>
        <v>200562</v>
      </c>
      <c r="AF13" s="80">
        <f t="shared" si="2"/>
        <v>-10990</v>
      </c>
      <c r="AG13" s="90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179534</v>
      </c>
      <c r="C14" s="114">
        <f>INDEX('Tabl. 1'!$C$8:$AO$313,206+$AB9,MATCH($C$7,$AA$7:$AA$45))</f>
        <v>170423</v>
      </c>
      <c r="I14" s="81"/>
      <c r="P14" s="87"/>
      <c r="Q14" s="87"/>
      <c r="R14" s="87"/>
      <c r="S14" s="87"/>
      <c r="T14" s="87"/>
      <c r="U14" s="121"/>
      <c r="V14" s="119"/>
      <c r="W14" s="119"/>
      <c r="X14" s="119"/>
      <c r="Y14" s="119"/>
      <c r="Z14" s="119"/>
      <c r="AA14" s="80">
        <v>2029</v>
      </c>
      <c r="AB14" s="80">
        <v>7</v>
      </c>
      <c r="AC14" s="80"/>
      <c r="AD14" s="89">
        <f t="shared" si="0"/>
        <v>-192798</v>
      </c>
      <c r="AE14" s="90">
        <f t="shared" si="1"/>
        <v>192798</v>
      </c>
      <c r="AF14" s="80">
        <f t="shared" si="2"/>
        <v>-10622</v>
      </c>
      <c r="AG14" s="90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192769</v>
      </c>
      <c r="C15" s="114">
        <f>INDEX('Tabl. 1'!$C$8:$AO$313,206+$AB10,MATCH($C$7,$AA$7:$AA$45))</f>
        <v>182557</v>
      </c>
      <c r="I15" s="81"/>
      <c r="P15" s="87"/>
      <c r="Q15" s="87"/>
      <c r="R15" s="87"/>
      <c r="S15" s="87"/>
      <c r="T15" s="87"/>
      <c r="U15" s="121"/>
      <c r="V15" s="119"/>
      <c r="W15" s="119"/>
      <c r="X15" s="119"/>
      <c r="Y15" s="119"/>
      <c r="Z15" s="119"/>
      <c r="AA15" s="80">
        <v>2030</v>
      </c>
      <c r="AB15" s="80">
        <v>8</v>
      </c>
      <c r="AC15" s="80"/>
      <c r="AD15" s="89">
        <f t="shared" si="0"/>
        <v>-188771</v>
      </c>
      <c r="AE15" s="90">
        <f t="shared" si="1"/>
        <v>188771</v>
      </c>
      <c r="AF15" s="80">
        <f t="shared" si="2"/>
        <v>-10568</v>
      </c>
      <c r="AG15" s="90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202506</v>
      </c>
      <c r="C16" s="114">
        <f>INDEX('Tabl. 1'!$C$8:$AO$313,206+$AB11,MATCH($C$7,$AA$7:$AA$45))</f>
        <v>190994</v>
      </c>
      <c r="I16" s="81"/>
      <c r="P16" s="87"/>
      <c r="Q16" s="87"/>
      <c r="R16" s="87"/>
      <c r="S16" s="87"/>
      <c r="T16" s="87"/>
      <c r="U16" s="121"/>
      <c r="V16" s="119"/>
      <c r="W16" s="119"/>
      <c r="X16" s="119"/>
      <c r="Y16" s="119"/>
      <c r="Z16" s="119"/>
      <c r="AA16" s="80">
        <v>2031</v>
      </c>
      <c r="AB16" s="80">
        <v>9</v>
      </c>
      <c r="AC16" s="80"/>
      <c r="AD16" s="89">
        <f t="shared" si="0"/>
        <v>-190398</v>
      </c>
      <c r="AE16" s="90">
        <f t="shared" si="1"/>
        <v>190398</v>
      </c>
      <c r="AF16" s="80">
        <f t="shared" si="2"/>
        <v>-10429</v>
      </c>
      <c r="AG16" s="90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211552</v>
      </c>
      <c r="C17" s="114">
        <f>INDEX('Tabl. 1'!$C$8:$AO$313,206+$AB12,MATCH($C$7,$AA$7:$AA$45))</f>
        <v>200562</v>
      </c>
      <c r="I17" s="81"/>
      <c r="P17" s="87"/>
      <c r="Q17" s="87"/>
      <c r="R17" s="87"/>
      <c r="S17" s="87"/>
      <c r="T17" s="87"/>
      <c r="U17" s="87"/>
      <c r="V17" s="119"/>
      <c r="W17" s="119"/>
      <c r="X17" s="119"/>
      <c r="Y17" s="119"/>
      <c r="Z17" s="119"/>
      <c r="AA17" s="80">
        <v>2032</v>
      </c>
      <c r="AB17" s="80">
        <v>10</v>
      </c>
      <c r="AC17" s="80"/>
      <c r="AD17" s="89">
        <f t="shared" si="0"/>
        <v>-187114</v>
      </c>
      <c r="AE17" s="90">
        <f t="shared" si="1"/>
        <v>187114</v>
      </c>
      <c r="AF17" s="80">
        <f t="shared" si="2"/>
        <v>-10153</v>
      </c>
      <c r="AG17" s="90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98">
        <v>6</v>
      </c>
      <c r="B18" s="114">
        <f>INDEX('Tabl. 1'!$C$8:$AO$313,104+$AB13,MATCH($C$7,$AA$7:$AA$45))</f>
        <v>203420</v>
      </c>
      <c r="C18" s="114">
        <f>INDEX('Tabl. 1'!$C$8:$AO$313,206+$AB13,MATCH($C$7,$AA$7:$AA$45))</f>
        <v>192798</v>
      </c>
      <c r="I18" s="81"/>
      <c r="P18" s="87"/>
      <c r="Q18" s="87"/>
      <c r="R18" s="87"/>
      <c r="S18" s="87"/>
      <c r="T18" s="87"/>
      <c r="U18" s="87"/>
      <c r="V18" s="119"/>
      <c r="W18" s="119"/>
      <c r="X18" s="119"/>
      <c r="Y18" s="119"/>
      <c r="Z18" s="119"/>
      <c r="AA18" s="80">
        <v>2033</v>
      </c>
      <c r="AB18" s="80">
        <v>11</v>
      </c>
      <c r="AC18" s="80"/>
      <c r="AD18" s="89">
        <f t="shared" si="0"/>
        <v>-196201</v>
      </c>
      <c r="AE18" s="90">
        <f t="shared" si="1"/>
        <v>196201</v>
      </c>
      <c r="AF18" s="80">
        <f t="shared" si="2"/>
        <v>-11473</v>
      </c>
      <c r="AG18" s="90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98">
        <v>7</v>
      </c>
      <c r="B19" s="114">
        <f>INDEX('Tabl. 1'!$C$8:$AO$313,104+$AB14,MATCH($C$7,$AA$7:$AA$45))</f>
        <v>199339</v>
      </c>
      <c r="C19" s="114">
        <f>INDEX('Tabl. 1'!$C$8:$AO$313,206+$AB14,MATCH($C$7,$AA$7:$AA$45))</f>
        <v>188771</v>
      </c>
      <c r="I19" s="81"/>
      <c r="P19" s="87"/>
      <c r="Q19" s="87"/>
      <c r="R19" s="87"/>
      <c r="S19" s="87"/>
      <c r="T19" s="87"/>
      <c r="U19" s="87"/>
      <c r="V19" s="119"/>
      <c r="W19" s="119"/>
      <c r="X19" s="119"/>
      <c r="Y19" s="119"/>
      <c r="Z19" s="119"/>
      <c r="AA19" s="80">
        <v>2034</v>
      </c>
      <c r="AB19" s="80">
        <v>12</v>
      </c>
      <c r="AC19" s="80"/>
      <c r="AD19" s="89">
        <f t="shared" si="0"/>
        <v>-196016</v>
      </c>
      <c r="AE19" s="90">
        <f t="shared" si="1"/>
        <v>196016</v>
      </c>
      <c r="AF19" s="80">
        <f t="shared" si="2"/>
        <v>-11487</v>
      </c>
      <c r="AG19" s="90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98">
        <v>8</v>
      </c>
      <c r="B20" s="114">
        <f>INDEX('Tabl. 1'!$C$8:$AO$313,104+$AB15,MATCH($C$7,$AA$7:$AA$45))</f>
        <v>200827</v>
      </c>
      <c r="C20" s="114">
        <f>INDEX('Tabl. 1'!$C$8:$AO$313,206+$AB15,MATCH($C$7,$AA$7:$AA$45))</f>
        <v>190398</v>
      </c>
      <c r="I20" s="81"/>
      <c r="P20" s="87"/>
      <c r="Q20" s="87"/>
      <c r="R20" s="87"/>
      <c r="S20" s="87"/>
      <c r="T20" s="87"/>
      <c r="U20" s="87"/>
      <c r="V20" s="119"/>
      <c r="W20" s="119"/>
      <c r="X20" s="119"/>
      <c r="Y20" s="119"/>
      <c r="Z20" s="119"/>
      <c r="AA20" s="80">
        <v>2035</v>
      </c>
      <c r="AB20" s="80">
        <v>13</v>
      </c>
      <c r="AC20" s="80"/>
      <c r="AD20" s="89">
        <f t="shared" si="0"/>
        <v>-207696</v>
      </c>
      <c r="AE20" s="90">
        <f t="shared" si="1"/>
        <v>207696</v>
      </c>
      <c r="AF20" s="80">
        <f t="shared" si="2"/>
        <v>-11967</v>
      </c>
      <c r="AG20" s="90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98">
        <v>9</v>
      </c>
      <c r="B21" s="114">
        <f>INDEX('Tabl. 1'!$C$8:$AO$313,104+$AB16,MATCH($C$7,$AA$7:$AA$45))</f>
        <v>197267</v>
      </c>
      <c r="C21" s="114">
        <f>INDEX('Tabl. 1'!$C$8:$AO$313,206+$AB16,MATCH($C$7,$AA$7:$AA$45))</f>
        <v>187114</v>
      </c>
      <c r="I21" s="81"/>
      <c r="P21" s="87"/>
      <c r="Q21" s="87"/>
      <c r="R21" s="87"/>
      <c r="S21" s="87"/>
      <c r="T21" s="87"/>
      <c r="U21" s="87"/>
      <c r="V21" s="119"/>
      <c r="W21" s="119"/>
      <c r="X21" s="119"/>
      <c r="Y21" s="119"/>
      <c r="Z21" s="119"/>
      <c r="AA21" s="80">
        <v>2036</v>
      </c>
      <c r="AB21" s="80">
        <v>14</v>
      </c>
      <c r="AC21" s="80"/>
      <c r="AD21" s="89">
        <f t="shared" si="0"/>
        <v>-210537</v>
      </c>
      <c r="AE21" s="90">
        <f t="shared" si="1"/>
        <v>210537</v>
      </c>
      <c r="AF21" s="80">
        <f t="shared" si="2"/>
        <v>-10402</v>
      </c>
      <c r="AG21" s="90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98">
        <v>10</v>
      </c>
      <c r="B22" s="114">
        <f>INDEX('Tabl. 1'!$C$8:$AO$313,104+$AB17,MATCH($C$7,$AA$7:$AA$45))</f>
        <v>207674</v>
      </c>
      <c r="C22" s="114">
        <f>INDEX('Tabl. 1'!$C$8:$AO$313,206+$AB17,MATCH($C$7,$AA$7:$AA$45))</f>
        <v>196201</v>
      </c>
      <c r="I22" s="81"/>
      <c r="P22" s="87"/>
      <c r="Q22" s="87"/>
      <c r="R22" s="87"/>
      <c r="S22" s="87"/>
      <c r="T22" s="87"/>
      <c r="U22" s="87"/>
      <c r="V22" s="119"/>
      <c r="W22" s="119"/>
      <c r="X22" s="119"/>
      <c r="Y22" s="119"/>
      <c r="Z22" s="119"/>
      <c r="AA22" s="80">
        <v>2037</v>
      </c>
      <c r="AB22" s="80">
        <v>15</v>
      </c>
      <c r="AC22" s="80"/>
      <c r="AD22" s="89">
        <f t="shared" si="0"/>
        <v>-207705</v>
      </c>
      <c r="AE22" s="90">
        <f t="shared" si="1"/>
        <v>207705</v>
      </c>
      <c r="AF22" s="80">
        <f t="shared" si="2"/>
        <v>-10145</v>
      </c>
      <c r="AG22" s="90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98">
        <v>11</v>
      </c>
      <c r="B23" s="114">
        <f>INDEX('Tabl. 1'!$C$8:$AO$313,104+$AB18,MATCH($C$7,$AA$7:$AA$45))</f>
        <v>207503</v>
      </c>
      <c r="C23" s="114">
        <f>INDEX('Tabl. 1'!$C$8:$AO$313,206+$AB18,MATCH($C$7,$AA$7:$AA$45))</f>
        <v>196016</v>
      </c>
      <c r="I23" s="81"/>
      <c r="P23" s="87"/>
      <c r="Q23" s="87"/>
      <c r="R23" s="87"/>
      <c r="S23" s="87"/>
      <c r="T23" s="87"/>
      <c r="U23" s="87"/>
      <c r="V23" s="119"/>
      <c r="W23" s="119"/>
      <c r="X23" s="119"/>
      <c r="Y23" s="119"/>
      <c r="Z23" s="119"/>
      <c r="AA23" s="80">
        <v>2038</v>
      </c>
      <c r="AB23" s="80">
        <v>16</v>
      </c>
      <c r="AC23" s="80"/>
      <c r="AD23" s="89">
        <f t="shared" si="0"/>
        <v>-193449</v>
      </c>
      <c r="AE23" s="90">
        <f t="shared" si="1"/>
        <v>193449</v>
      </c>
      <c r="AF23" s="80">
        <f t="shared" si="2"/>
        <v>-9868</v>
      </c>
      <c r="AG23" s="90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98">
        <v>12</v>
      </c>
      <c r="B24" s="114">
        <f>INDEX('Tabl. 1'!$C$8:$AO$313,104+$AB19,MATCH($C$7,$AA$7:$AA$45))</f>
        <v>219663</v>
      </c>
      <c r="C24" s="114">
        <f>INDEX('Tabl. 1'!$C$8:$AO$313,206+$AB19,MATCH($C$7,$AA$7:$AA$45))</f>
        <v>207696</v>
      </c>
      <c r="I24" s="81"/>
      <c r="P24" s="87"/>
      <c r="Q24" s="87"/>
      <c r="R24" s="87"/>
      <c r="S24" s="87"/>
      <c r="T24" s="87"/>
      <c r="U24" s="87"/>
      <c r="V24" s="119"/>
      <c r="W24" s="119"/>
      <c r="X24" s="119"/>
      <c r="Y24" s="119"/>
      <c r="Z24" s="119"/>
      <c r="AA24" s="80">
        <v>2039</v>
      </c>
      <c r="AB24" s="80">
        <v>17</v>
      </c>
      <c r="AC24" s="80"/>
      <c r="AD24" s="89">
        <f t="shared" si="0"/>
        <v>-183348</v>
      </c>
      <c r="AE24" s="90">
        <f t="shared" si="1"/>
        <v>183348</v>
      </c>
      <c r="AF24" s="80">
        <f t="shared" si="2"/>
        <v>-9512</v>
      </c>
      <c r="AG24" s="90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98">
        <v>13</v>
      </c>
      <c r="B25" s="114">
        <f>INDEX('Tabl. 1'!$C$8:$AO$313,104+$AB20,MATCH($C$7,$AA$7:$AA$45))</f>
        <v>220939</v>
      </c>
      <c r="C25" s="114">
        <f>INDEX('Tabl. 1'!$C$8:$AO$313,206+$AB20,MATCH($C$7,$AA$7:$AA$45))</f>
        <v>210537</v>
      </c>
      <c r="I25" s="81"/>
      <c r="P25" s="87"/>
      <c r="Q25" s="87"/>
      <c r="R25" s="87"/>
      <c r="S25" s="87"/>
      <c r="T25" s="87"/>
      <c r="U25" s="87"/>
      <c r="V25" s="119"/>
      <c r="W25" s="119"/>
      <c r="X25" s="119"/>
      <c r="Y25" s="119"/>
      <c r="Z25" s="119"/>
      <c r="AA25" s="80">
        <v>2040</v>
      </c>
      <c r="AB25" s="80">
        <v>18</v>
      </c>
      <c r="AC25" s="80"/>
      <c r="AD25" s="89">
        <f t="shared" si="0"/>
        <v>-176451</v>
      </c>
      <c r="AE25" s="90">
        <f t="shared" si="1"/>
        <v>176451</v>
      </c>
      <c r="AF25" s="80">
        <f t="shared" si="2"/>
        <v>-8906</v>
      </c>
      <c r="AG25" s="90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98">
        <v>14</v>
      </c>
      <c r="B26" s="114">
        <f>INDEX('Tabl. 1'!$C$8:$AO$313,104+$AB21,MATCH($C$7,$AA$7:$AA$45))</f>
        <v>217850</v>
      </c>
      <c r="C26" s="114">
        <f>INDEX('Tabl. 1'!$C$8:$AO$313,206+$AB21,MATCH($C$7,$AA$7:$AA$45))</f>
        <v>207705</v>
      </c>
      <c r="I26" s="81"/>
      <c r="P26" s="87"/>
      <c r="Q26" s="87"/>
      <c r="R26" s="87"/>
      <c r="S26" s="87"/>
      <c r="T26" s="87"/>
      <c r="U26" s="87"/>
      <c r="V26" s="119"/>
      <c r="W26" s="119"/>
      <c r="X26" s="119"/>
      <c r="Y26" s="119"/>
      <c r="Z26" s="119"/>
      <c r="AA26" s="80">
        <v>2041</v>
      </c>
      <c r="AB26" s="80">
        <v>19</v>
      </c>
      <c r="AC26" s="80"/>
      <c r="AD26" s="89">
        <f t="shared" si="0"/>
        <v>-170211</v>
      </c>
      <c r="AE26" s="90">
        <f t="shared" si="1"/>
        <v>170211</v>
      </c>
      <c r="AF26" s="80">
        <f t="shared" si="2"/>
        <v>-9435</v>
      </c>
      <c r="AG26" s="90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98">
        <v>15</v>
      </c>
      <c r="B27" s="114">
        <f>INDEX('Tabl. 1'!$C$8:$AO$313,104+$AB22,MATCH($C$7,$AA$7:$AA$45))</f>
        <v>203317</v>
      </c>
      <c r="C27" s="114">
        <f>INDEX('Tabl. 1'!$C$8:$AO$313,206+$AB22,MATCH($C$7,$AA$7:$AA$45))</f>
        <v>193449</v>
      </c>
      <c r="I27" s="81"/>
      <c r="P27" s="87"/>
      <c r="Q27" s="87"/>
      <c r="R27" s="87"/>
      <c r="S27" s="87"/>
      <c r="T27" s="87"/>
      <c r="U27" s="87"/>
      <c r="V27" s="119"/>
      <c r="W27" s="119"/>
      <c r="X27" s="119"/>
      <c r="Y27" s="119"/>
      <c r="Z27" s="119"/>
      <c r="AA27" s="80">
        <v>2042</v>
      </c>
      <c r="AB27" s="80">
        <v>20</v>
      </c>
      <c r="AC27" s="80"/>
      <c r="AD27" s="89">
        <f t="shared" si="0"/>
        <v>-167529</v>
      </c>
      <c r="AE27" s="90">
        <f t="shared" si="1"/>
        <v>167529</v>
      </c>
      <c r="AF27" s="80">
        <f t="shared" si="2"/>
        <v>-7713</v>
      </c>
      <c r="AG27" s="90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98">
        <v>16</v>
      </c>
      <c r="B28" s="114">
        <f>INDEX('Tabl. 1'!$C$8:$AO$313,104+$AB23,MATCH($C$7,$AA$7:$AA$45))</f>
        <v>192860</v>
      </c>
      <c r="C28" s="114">
        <f>INDEX('Tabl. 1'!$C$8:$AO$313,206+$AB23,MATCH($C$7,$AA$7:$AA$45))</f>
        <v>183348</v>
      </c>
      <c r="I28" s="81"/>
      <c r="P28" s="87"/>
      <c r="Q28" s="87"/>
      <c r="R28" s="87"/>
      <c r="S28" s="87"/>
      <c r="T28" s="87"/>
      <c r="U28" s="87"/>
      <c r="V28" s="119"/>
      <c r="W28" s="119"/>
      <c r="X28" s="119"/>
      <c r="Y28" s="119"/>
      <c r="Z28" s="119"/>
      <c r="AA28" s="80">
        <v>2043</v>
      </c>
      <c r="AB28" s="80">
        <v>21</v>
      </c>
      <c r="AC28" s="80"/>
      <c r="AD28" s="89">
        <f t="shared" si="0"/>
        <v>-169347</v>
      </c>
      <c r="AE28" s="90">
        <f t="shared" si="1"/>
        <v>169347</v>
      </c>
      <c r="AF28" s="80">
        <f t="shared" si="2"/>
        <v>-8009</v>
      </c>
      <c r="AG28" s="90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98">
        <v>17</v>
      </c>
      <c r="B29" s="114">
        <f>INDEX('Tabl. 1'!$C$8:$AO$313,104+$AB24,MATCH($C$7,$AA$7:$AA$45))</f>
        <v>185357</v>
      </c>
      <c r="C29" s="114">
        <f>INDEX('Tabl. 1'!$C$8:$AO$313,206+$AB24,MATCH($C$7,$AA$7:$AA$45))</f>
        <v>176451</v>
      </c>
      <c r="I29" s="81"/>
      <c r="P29" s="87"/>
      <c r="Q29" s="87"/>
      <c r="R29" s="87"/>
      <c r="S29" s="87"/>
      <c r="T29" s="87"/>
      <c r="U29" s="87"/>
      <c r="V29" s="119"/>
      <c r="W29" s="119"/>
      <c r="X29" s="119"/>
      <c r="Y29" s="119"/>
      <c r="Z29" s="119"/>
      <c r="AA29" s="80">
        <v>2044</v>
      </c>
      <c r="AB29" s="80">
        <v>22</v>
      </c>
      <c r="AC29" s="80"/>
      <c r="AD29" s="89">
        <f t="shared" si="0"/>
        <v>-175543</v>
      </c>
      <c r="AE29" s="90">
        <f t="shared" si="1"/>
        <v>175543</v>
      </c>
      <c r="AF29" s="80">
        <f t="shared" si="2"/>
        <v>-7619</v>
      </c>
      <c r="AG29" s="90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98">
        <v>18</v>
      </c>
      <c r="B30" s="114">
        <f>INDEX('Tabl. 1'!$C$8:$AO$313,104+$AB25,MATCH($C$7,$AA$7:$AA$45))</f>
        <v>179646</v>
      </c>
      <c r="C30" s="114">
        <f>INDEX('Tabl. 1'!$C$8:$AO$313,206+$AB25,MATCH($C$7,$AA$7:$AA$45))</f>
        <v>170211</v>
      </c>
      <c r="I30" s="81"/>
      <c r="P30" s="87"/>
      <c r="Q30" s="87"/>
      <c r="R30" s="87"/>
      <c r="S30" s="87"/>
      <c r="T30" s="87"/>
      <c r="U30" s="87"/>
      <c r="V30" s="119"/>
      <c r="W30" s="119"/>
      <c r="X30" s="119"/>
      <c r="Y30" s="119"/>
      <c r="Z30" s="119"/>
      <c r="AA30" s="80">
        <v>2045</v>
      </c>
      <c r="AB30" s="80">
        <v>23</v>
      </c>
      <c r="AC30" s="80"/>
      <c r="AD30" s="89">
        <f t="shared" si="0"/>
        <v>-180686</v>
      </c>
      <c r="AE30" s="90">
        <f t="shared" si="1"/>
        <v>180686</v>
      </c>
      <c r="AF30" s="80">
        <f t="shared" si="2"/>
        <v>-6923</v>
      </c>
      <c r="AG30" s="90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98">
        <v>19</v>
      </c>
      <c r="B31" s="114">
        <f>INDEX('Tabl. 1'!$C$8:$AO$313,104+$AB26,MATCH($C$7,$AA$7:$AA$45))</f>
        <v>175242</v>
      </c>
      <c r="C31" s="114">
        <f>INDEX('Tabl. 1'!$C$8:$AO$313,206+$AB26,MATCH($C$7,$AA$7:$AA$45))</f>
        <v>167529</v>
      </c>
      <c r="I31" s="81"/>
      <c r="P31" s="87"/>
      <c r="Q31" s="87"/>
      <c r="R31" s="87"/>
      <c r="S31" s="87"/>
      <c r="T31" s="87"/>
      <c r="U31" s="87"/>
      <c r="V31" s="119"/>
      <c r="W31" s="119"/>
      <c r="X31" s="119"/>
      <c r="Y31" s="119"/>
      <c r="Z31" s="119"/>
      <c r="AA31" s="80">
        <v>2046</v>
      </c>
      <c r="AB31" s="80">
        <v>24</v>
      </c>
      <c r="AC31" s="80"/>
      <c r="AD31" s="89">
        <f t="shared" si="0"/>
        <v>-182410</v>
      </c>
      <c r="AE31" s="90">
        <f t="shared" si="1"/>
        <v>182410</v>
      </c>
      <c r="AF31" s="80">
        <f t="shared" si="2"/>
        <v>-6812</v>
      </c>
      <c r="AG31" s="90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98">
        <v>20</v>
      </c>
      <c r="B32" s="114">
        <f>INDEX('Tabl. 1'!$C$8:$AO$313,104+$AB27,MATCH($C$7,$AA$7:$AA$45))</f>
        <v>177356</v>
      </c>
      <c r="C32" s="114">
        <f>INDEX('Tabl. 1'!$C$8:$AO$313,206+$AB27,MATCH($C$7,$AA$7:$AA$45))</f>
        <v>169347</v>
      </c>
      <c r="I32" s="81"/>
      <c r="P32" s="87"/>
      <c r="Q32" s="87"/>
      <c r="R32" s="87"/>
      <c r="S32" s="87"/>
      <c r="T32" s="87"/>
      <c r="U32" s="87"/>
      <c r="V32" s="119"/>
      <c r="W32" s="119"/>
      <c r="X32" s="119"/>
      <c r="Y32" s="119"/>
      <c r="Z32" s="119"/>
      <c r="AA32" s="80">
        <v>2047</v>
      </c>
      <c r="AB32" s="80">
        <v>25</v>
      </c>
      <c r="AC32" s="80"/>
      <c r="AD32" s="89">
        <f t="shared" si="0"/>
        <v>-187669</v>
      </c>
      <c r="AE32" s="90">
        <f t="shared" si="1"/>
        <v>187669</v>
      </c>
      <c r="AF32" s="80">
        <f t="shared" si="2"/>
        <v>-7758</v>
      </c>
      <c r="AG32" s="90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98">
        <v>21</v>
      </c>
      <c r="B33" s="114">
        <f>INDEX('Tabl. 1'!$C$8:$AO$313,104+$AB28,MATCH($C$7,$AA$7:$AA$45))</f>
        <v>183162</v>
      </c>
      <c r="C33" s="114">
        <f>INDEX('Tabl. 1'!$C$8:$AO$313,206+$AB28,MATCH($C$7,$AA$7:$AA$45))</f>
        <v>175543</v>
      </c>
      <c r="I33" s="81"/>
      <c r="P33" s="87"/>
      <c r="Q33" s="87"/>
      <c r="R33" s="87"/>
      <c r="S33" s="87"/>
      <c r="T33" s="87"/>
      <c r="U33" s="87"/>
      <c r="V33" s="93"/>
      <c r="W33" s="93"/>
      <c r="X33" s="93"/>
      <c r="Y33" s="93"/>
      <c r="Z33" s="93"/>
      <c r="AA33" s="80">
        <v>2048</v>
      </c>
      <c r="AB33" s="80">
        <v>26</v>
      </c>
      <c r="AC33" s="80"/>
      <c r="AD33" s="89">
        <f t="shared" si="0"/>
        <v>-196323</v>
      </c>
      <c r="AE33" s="90">
        <f t="shared" si="1"/>
        <v>196323</v>
      </c>
      <c r="AF33" s="80">
        <f t="shared" si="2"/>
        <v>-7203</v>
      </c>
      <c r="AG33" s="90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98">
        <v>22</v>
      </c>
      <c r="B34" s="114">
        <f>INDEX('Tabl. 1'!$C$8:$AO$313,104+$AB29,MATCH($C$7,$AA$7:$AA$45))</f>
        <v>187609</v>
      </c>
      <c r="C34" s="114">
        <f>INDEX('Tabl. 1'!$C$8:$AO$313,206+$AB29,MATCH($C$7,$AA$7:$AA$45))</f>
        <v>180686</v>
      </c>
      <c r="I34" s="81"/>
      <c r="P34" s="87"/>
      <c r="Q34" s="87"/>
      <c r="R34" s="87"/>
      <c r="S34" s="87"/>
      <c r="T34" s="87"/>
      <c r="U34" s="87"/>
      <c r="V34" s="93"/>
      <c r="W34" s="93"/>
      <c r="X34" s="93"/>
      <c r="Y34" s="93"/>
      <c r="Z34" s="93"/>
      <c r="AA34" s="80">
        <v>2049</v>
      </c>
      <c r="AB34" s="80">
        <v>27</v>
      </c>
      <c r="AC34" s="80"/>
      <c r="AD34" s="89">
        <f t="shared" si="0"/>
        <v>-204221</v>
      </c>
      <c r="AE34" s="90">
        <f t="shared" si="1"/>
        <v>204221</v>
      </c>
      <c r="AF34" s="80">
        <f t="shared" si="2"/>
        <v>-7893</v>
      </c>
      <c r="AG34" s="90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98">
        <v>23</v>
      </c>
      <c r="B35" s="114">
        <f>INDEX('Tabl. 1'!$C$8:$AO$313,104+$AB30,MATCH($C$7,$AA$7:$AA$45))</f>
        <v>189222</v>
      </c>
      <c r="C35" s="114">
        <f>INDEX('Tabl. 1'!$C$8:$AO$313,206+$AB30,MATCH($C$7,$AA$7:$AA$45))</f>
        <v>182410</v>
      </c>
      <c r="I35" s="81"/>
      <c r="P35" s="87"/>
      <c r="Q35" s="87"/>
      <c r="R35" s="87"/>
      <c r="S35" s="87"/>
      <c r="T35" s="87"/>
      <c r="U35" s="87"/>
      <c r="V35" s="93"/>
      <c r="W35" s="93"/>
      <c r="X35" s="93"/>
      <c r="Y35" s="93"/>
      <c r="Z35" s="93"/>
      <c r="AA35" s="80">
        <v>2050</v>
      </c>
      <c r="AB35" s="80">
        <v>28</v>
      </c>
      <c r="AC35" s="80"/>
      <c r="AD35" s="89">
        <f t="shared" si="0"/>
        <v>-211173</v>
      </c>
      <c r="AE35" s="90">
        <f t="shared" si="1"/>
        <v>211173</v>
      </c>
      <c r="AF35" s="80">
        <f t="shared" si="2"/>
        <v>-6339</v>
      </c>
      <c r="AG35" s="90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98">
        <v>24</v>
      </c>
      <c r="B36" s="114">
        <f>INDEX('Tabl. 1'!$C$8:$AO$313,104+$AB31,MATCH($C$7,$AA$7:$AA$45))</f>
        <v>195427</v>
      </c>
      <c r="C36" s="114">
        <f>INDEX('Tabl. 1'!$C$8:$AO$313,206+$AB31,MATCH($C$7,$AA$7:$AA$45))</f>
        <v>187669</v>
      </c>
      <c r="I36" s="81"/>
      <c r="P36" s="87"/>
      <c r="Q36" s="87"/>
      <c r="R36" s="87"/>
      <c r="S36" s="87"/>
      <c r="T36" s="87"/>
      <c r="U36" s="87"/>
      <c r="V36" s="93"/>
      <c r="W36" s="93"/>
      <c r="X36" s="93"/>
      <c r="Y36" s="93"/>
      <c r="Z36" s="93"/>
      <c r="AA36" s="80">
        <v>2051</v>
      </c>
      <c r="AB36" s="80">
        <v>29</v>
      </c>
      <c r="AC36" s="80"/>
      <c r="AD36" s="89">
        <f t="shared" si="0"/>
        <v>-225110</v>
      </c>
      <c r="AE36" s="90">
        <f t="shared" si="1"/>
        <v>225110</v>
      </c>
      <c r="AF36" s="80">
        <f t="shared" si="2"/>
        <v>-5979</v>
      </c>
      <c r="AG36" s="90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98">
        <v>25</v>
      </c>
      <c r="B37" s="114">
        <f>INDEX('Tabl. 1'!$C$8:$AO$313,104+$AB32,MATCH($C$7,$AA$7:$AA$45))</f>
        <v>203526</v>
      </c>
      <c r="C37" s="114">
        <f>INDEX('Tabl. 1'!$C$8:$AO$313,206+$AB32,MATCH($C$7,$AA$7:$AA$45))</f>
        <v>196323</v>
      </c>
      <c r="I37" s="81"/>
      <c r="P37" s="87"/>
      <c r="Q37" s="87"/>
      <c r="R37" s="87"/>
      <c r="S37" s="87"/>
      <c r="T37" s="87"/>
      <c r="U37" s="87"/>
      <c r="V37" s="93"/>
      <c r="W37" s="93"/>
      <c r="X37" s="93"/>
      <c r="Y37" s="93"/>
      <c r="Z37" s="93"/>
      <c r="AA37" s="80">
        <v>2052</v>
      </c>
      <c r="AB37" s="80">
        <v>30</v>
      </c>
      <c r="AC37" s="80"/>
      <c r="AD37" s="89">
        <f t="shared" si="0"/>
        <v>-233988</v>
      </c>
      <c r="AE37" s="90">
        <f t="shared" si="1"/>
        <v>233988</v>
      </c>
      <c r="AF37" s="80">
        <f t="shared" si="2"/>
        <v>-7823</v>
      </c>
      <c r="AG37" s="90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98">
        <v>26</v>
      </c>
      <c r="B38" s="114">
        <f>INDEX('Tabl. 1'!$C$8:$AO$313,104+$AB33,MATCH($C$7,$AA$7:$AA$45))</f>
        <v>212114</v>
      </c>
      <c r="C38" s="114">
        <f>INDEX('Tabl. 1'!$C$8:$AO$313,206+$AB33,MATCH($C$7,$AA$7:$AA$45))</f>
        <v>204221</v>
      </c>
      <c r="I38" s="81"/>
      <c r="P38" s="87"/>
      <c r="Q38" s="87"/>
      <c r="R38" s="87"/>
      <c r="S38" s="87"/>
      <c r="T38" s="87"/>
      <c r="U38" s="87"/>
      <c r="V38" s="93"/>
      <c r="W38" s="93"/>
      <c r="X38" s="93"/>
      <c r="Y38" s="93"/>
      <c r="Z38" s="93"/>
      <c r="AA38" s="80">
        <v>2053</v>
      </c>
      <c r="AB38" s="80">
        <v>31</v>
      </c>
      <c r="AC38" s="80"/>
      <c r="AD38" s="89">
        <f t="shared" si="0"/>
        <v>-243552</v>
      </c>
      <c r="AE38" s="90">
        <f t="shared" si="1"/>
        <v>243552</v>
      </c>
      <c r="AF38" s="80">
        <f t="shared" si="2"/>
        <v>-7776</v>
      </c>
      <c r="AG38" s="90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98">
        <v>27</v>
      </c>
      <c r="B39" s="114">
        <f>INDEX('Tabl. 1'!$C$8:$AO$313,104+$AB34,MATCH($C$7,$AA$7:$AA$45))</f>
        <v>217512</v>
      </c>
      <c r="C39" s="114">
        <f>INDEX('Tabl. 1'!$C$8:$AO$313,206+$AB34,MATCH($C$7,$AA$7:$AA$45))</f>
        <v>211173</v>
      </c>
      <c r="I39" s="81"/>
      <c r="P39" s="87"/>
      <c r="Q39" s="87"/>
      <c r="R39" s="87"/>
      <c r="S39" s="87"/>
      <c r="T39" s="87"/>
      <c r="U39" s="87"/>
      <c r="V39" s="93"/>
      <c r="W39" s="93"/>
      <c r="X39" s="93"/>
      <c r="Y39" s="93"/>
      <c r="Z39" s="93"/>
      <c r="AA39" s="80">
        <v>2054</v>
      </c>
      <c r="AB39" s="80">
        <v>32</v>
      </c>
      <c r="AC39" s="80"/>
      <c r="AD39" s="89">
        <f t="shared" si="0"/>
        <v>-257932</v>
      </c>
      <c r="AE39" s="90">
        <f t="shared" si="1"/>
        <v>257932</v>
      </c>
      <c r="AF39" s="80">
        <f t="shared" si="2"/>
        <v>-9488</v>
      </c>
      <c r="AG39" s="90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98">
        <v>28</v>
      </c>
      <c r="B40" s="114">
        <f>INDEX('Tabl. 1'!$C$8:$AO$313,104+$AB35,MATCH($C$7,$AA$7:$AA$45))</f>
        <v>231089</v>
      </c>
      <c r="C40" s="114">
        <f>INDEX('Tabl. 1'!$C$8:$AO$313,206+$AB35,MATCH($C$7,$AA$7:$AA$45))</f>
        <v>225110</v>
      </c>
      <c r="I40" s="81"/>
      <c r="P40" s="87"/>
      <c r="Q40" s="87"/>
      <c r="R40" s="87"/>
      <c r="S40" s="87"/>
      <c r="T40" s="87"/>
      <c r="U40" s="87"/>
      <c r="V40" s="93"/>
      <c r="W40" s="93"/>
      <c r="X40" s="93"/>
      <c r="Y40" s="93"/>
      <c r="Z40" s="93"/>
      <c r="AA40" s="80">
        <v>2055</v>
      </c>
      <c r="AB40" s="80">
        <v>33</v>
      </c>
      <c r="AC40" s="80"/>
      <c r="AD40" s="89">
        <f t="shared" si="0"/>
        <v>-264546</v>
      </c>
      <c r="AE40" s="90">
        <f t="shared" si="1"/>
        <v>264546</v>
      </c>
      <c r="AF40" s="80">
        <f t="shared" si="2"/>
        <v>-8790</v>
      </c>
      <c r="AG40" s="90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98">
        <v>29</v>
      </c>
      <c r="B41" s="114">
        <f>INDEX('Tabl. 1'!$C$8:$AO$313,104+$AB36,MATCH($C$7,$AA$7:$AA$45))</f>
        <v>241811</v>
      </c>
      <c r="C41" s="114">
        <f>INDEX('Tabl. 1'!$C$8:$AO$313,206+$AB36,MATCH($C$7,$AA$7:$AA$45))</f>
        <v>233988</v>
      </c>
      <c r="I41" s="81"/>
      <c r="P41" s="87"/>
      <c r="Q41" s="87"/>
      <c r="R41" s="87"/>
      <c r="S41" s="87"/>
      <c r="T41" s="87"/>
      <c r="U41" s="87"/>
      <c r="V41" s="93"/>
      <c r="W41" s="93"/>
      <c r="X41" s="93"/>
      <c r="Y41" s="93"/>
      <c r="Z41" s="93"/>
      <c r="AA41" s="80">
        <v>2056</v>
      </c>
      <c r="AB41" s="80">
        <v>34</v>
      </c>
      <c r="AC41" s="80"/>
      <c r="AD41" s="89">
        <f t="shared" si="0"/>
        <v>-266504</v>
      </c>
      <c r="AE41" s="90">
        <f t="shared" si="1"/>
        <v>266504</v>
      </c>
      <c r="AF41" s="80">
        <f t="shared" si="2"/>
        <v>-8686</v>
      </c>
      <c r="AG41" s="90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98">
        <v>30</v>
      </c>
      <c r="B42" s="114">
        <f>INDEX('Tabl. 1'!$C$8:$AO$313,104+$AB37,MATCH($C$7,$AA$7:$AA$45))</f>
        <v>251328</v>
      </c>
      <c r="C42" s="114">
        <f>INDEX('Tabl. 1'!$C$8:$AO$313,206+$AB37,MATCH($C$7,$AA$7:$AA$45))</f>
        <v>243552</v>
      </c>
      <c r="I42" s="81"/>
      <c r="P42" s="87"/>
      <c r="Q42" s="87"/>
      <c r="R42" s="87"/>
      <c r="S42" s="87"/>
      <c r="T42" s="87"/>
      <c r="U42" s="87"/>
      <c r="V42" s="93"/>
      <c r="W42" s="93"/>
      <c r="X42" s="93"/>
      <c r="Y42" s="93"/>
      <c r="Z42" s="93"/>
      <c r="AA42" s="80">
        <v>2057</v>
      </c>
      <c r="AB42" s="80">
        <v>35</v>
      </c>
      <c r="AC42" s="80"/>
      <c r="AD42" s="89">
        <f t="shared" si="0"/>
        <v>-275192</v>
      </c>
      <c r="AE42" s="90">
        <f t="shared" si="1"/>
        <v>275192</v>
      </c>
      <c r="AF42" s="80">
        <f t="shared" si="2"/>
        <v>-6945</v>
      </c>
      <c r="AG42" s="90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98">
        <v>31</v>
      </c>
      <c r="B43" s="114">
        <f>INDEX('Tabl. 1'!$C$8:$AO$313,104+$AB38,MATCH($C$7,$AA$7:$AA$45))</f>
        <v>267420</v>
      </c>
      <c r="C43" s="114">
        <f>INDEX('Tabl. 1'!$C$8:$AO$313,206+$AB38,MATCH($C$7,$AA$7:$AA$45))</f>
        <v>257932</v>
      </c>
      <c r="I43" s="81"/>
      <c r="P43" s="87"/>
      <c r="Q43" s="87"/>
      <c r="R43" s="87"/>
      <c r="S43" s="87"/>
      <c r="T43" s="87"/>
      <c r="U43" s="87"/>
      <c r="V43" s="93"/>
      <c r="W43" s="93"/>
      <c r="X43" s="93"/>
      <c r="Y43" s="93"/>
      <c r="Z43" s="93"/>
      <c r="AA43" s="80">
        <v>2058</v>
      </c>
      <c r="AB43" s="80">
        <v>36</v>
      </c>
      <c r="AC43" s="80"/>
      <c r="AD43" s="89">
        <f t="shared" si="0"/>
        <v>-279279</v>
      </c>
      <c r="AE43" s="90">
        <f t="shared" si="1"/>
        <v>279279</v>
      </c>
      <c r="AF43" s="80">
        <f t="shared" si="2"/>
        <v>-8527</v>
      </c>
      <c r="AG43" s="90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98">
        <v>32</v>
      </c>
      <c r="B44" s="114">
        <f>INDEX('Tabl. 1'!$C$8:$AO$313,104+$AB39,MATCH($C$7,$AA$7:$AA$45))</f>
        <v>273336</v>
      </c>
      <c r="C44" s="114">
        <f>INDEX('Tabl. 1'!$C$8:$AO$313,206+$AB39,MATCH($C$7,$AA$7:$AA$45))</f>
        <v>264546</v>
      </c>
      <c r="I44" s="81"/>
      <c r="P44" s="87"/>
      <c r="Q44" s="87"/>
      <c r="R44" s="87"/>
      <c r="S44" s="87"/>
      <c r="T44" s="87"/>
      <c r="U44" s="87"/>
      <c r="V44" s="93"/>
      <c r="W44" s="93"/>
      <c r="X44" s="93"/>
      <c r="Y44" s="93"/>
      <c r="Z44" s="93"/>
      <c r="AA44" s="80">
        <v>2059</v>
      </c>
      <c r="AB44" s="80">
        <v>37</v>
      </c>
      <c r="AC44" s="80"/>
      <c r="AD44" s="89">
        <f t="shared" si="0"/>
        <v>-293097</v>
      </c>
      <c r="AE44" s="90">
        <f t="shared" si="1"/>
        <v>293097</v>
      </c>
      <c r="AF44" s="80">
        <f t="shared" si="2"/>
        <v>-6955</v>
      </c>
      <c r="AG44" s="90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98">
        <v>33</v>
      </c>
      <c r="B45" s="114">
        <f>INDEX('Tabl. 1'!$C$8:$AO$313,104+$AB40,MATCH($C$7,$AA$7:$AA$45))</f>
        <v>275190</v>
      </c>
      <c r="C45" s="114">
        <f>INDEX('Tabl. 1'!$C$8:$AO$313,206+$AB40,MATCH($C$7,$AA$7:$AA$45))</f>
        <v>266504</v>
      </c>
      <c r="I45" s="81"/>
      <c r="P45" s="87"/>
      <c r="Q45" s="87"/>
      <c r="R45" s="87"/>
      <c r="S45" s="87"/>
      <c r="T45" s="87"/>
      <c r="U45" s="87"/>
      <c r="V45" s="93"/>
      <c r="W45" s="93"/>
      <c r="X45" s="93"/>
      <c r="Y45" s="93"/>
      <c r="Z45" s="93"/>
      <c r="AA45" s="80">
        <v>2060</v>
      </c>
      <c r="AB45" s="80">
        <v>38</v>
      </c>
      <c r="AC45" s="80"/>
      <c r="AD45" s="89">
        <f t="shared" si="0"/>
        <v>-310240</v>
      </c>
      <c r="AE45" s="90">
        <f t="shared" si="1"/>
        <v>310240</v>
      </c>
      <c r="AF45" s="80">
        <f t="shared" si="2"/>
        <v>-8099</v>
      </c>
      <c r="AG45" s="90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98">
        <v>34</v>
      </c>
      <c r="B46" s="114">
        <f>INDEX('Tabl. 1'!$C$8:$AO$313,104+$AB41,MATCH($C$7,$AA$7:$AA$45))</f>
        <v>282137</v>
      </c>
      <c r="C46" s="114">
        <f>INDEX('Tabl. 1'!$C$8:$AO$313,206+$AB41,MATCH($C$7,$AA$7:$AA$45))</f>
        <v>275192</v>
      </c>
      <c r="I46" s="81"/>
      <c r="P46" s="87"/>
      <c r="Q46" s="87"/>
      <c r="R46" s="87"/>
      <c r="S46" s="87"/>
      <c r="T46" s="87"/>
      <c r="U46" s="87"/>
      <c r="V46" s="93"/>
      <c r="W46" s="93"/>
      <c r="X46" s="93"/>
      <c r="Y46" s="93"/>
      <c r="Z46" s="93"/>
      <c r="AA46" s="80"/>
      <c r="AB46" s="80">
        <v>39</v>
      </c>
      <c r="AC46" s="80"/>
      <c r="AD46" s="89">
        <f t="shared" si="0"/>
        <v>-319683</v>
      </c>
      <c r="AE46" s="90">
        <f t="shared" si="1"/>
        <v>319683</v>
      </c>
      <c r="AF46" s="80">
        <f t="shared" si="2"/>
        <v>-8792</v>
      </c>
      <c r="AG46" s="90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98">
        <v>35</v>
      </c>
      <c r="B47" s="114">
        <f>INDEX('Tabl. 1'!$C$8:$AO$313,104+$AB42,MATCH($C$7,$AA$7:$AA$45))</f>
        <v>287806</v>
      </c>
      <c r="C47" s="114">
        <f>INDEX('Tabl. 1'!$C$8:$AO$313,206+$AB42,MATCH($C$7,$AA$7:$AA$45))</f>
        <v>279279</v>
      </c>
      <c r="I47" s="81"/>
      <c r="P47" s="87"/>
      <c r="Q47" s="87"/>
      <c r="R47" s="87"/>
      <c r="S47" s="87"/>
      <c r="T47" s="87"/>
      <c r="U47" s="87"/>
      <c r="V47" s="93"/>
      <c r="W47" s="93"/>
      <c r="X47" s="93"/>
      <c r="Y47" s="93"/>
      <c r="Z47" s="93"/>
      <c r="AA47" s="80"/>
      <c r="AB47" s="80">
        <v>40</v>
      </c>
      <c r="AC47" s="80"/>
      <c r="AD47" s="89">
        <f t="shared" si="0"/>
        <v>-329973</v>
      </c>
      <c r="AE47" s="90">
        <f t="shared" si="1"/>
        <v>329973</v>
      </c>
      <c r="AF47" s="80">
        <f t="shared" si="2"/>
        <v>-7014</v>
      </c>
      <c r="AG47" s="90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98">
        <v>36</v>
      </c>
      <c r="B48" s="114">
        <f>INDEX('Tabl. 1'!$C$8:$AO$313,104+$AB43,MATCH($C$7,$AA$7:$AA$45))</f>
        <v>300052</v>
      </c>
      <c r="C48" s="114">
        <f>INDEX('Tabl. 1'!$C$8:$AO$313,206+$AB43,MATCH($C$7,$AA$7:$AA$45))</f>
        <v>293097</v>
      </c>
      <c r="I48" s="81"/>
      <c r="P48" s="87"/>
      <c r="Q48" s="87"/>
      <c r="R48" s="87"/>
      <c r="S48" s="87"/>
      <c r="T48" s="87"/>
      <c r="U48" s="87"/>
      <c r="V48" s="93"/>
      <c r="W48" s="93"/>
      <c r="X48" s="93"/>
      <c r="Y48" s="93"/>
      <c r="Z48" s="93"/>
      <c r="AA48" s="80"/>
      <c r="AB48" s="80">
        <v>41</v>
      </c>
      <c r="AC48" s="80"/>
      <c r="AD48" s="89">
        <f t="shared" si="0"/>
        <v>-318633</v>
      </c>
      <c r="AE48" s="90">
        <f t="shared" si="1"/>
        <v>318633</v>
      </c>
      <c r="AF48" s="80">
        <f t="shared" si="2"/>
        <v>-8454</v>
      </c>
      <c r="AG48" s="90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98">
        <v>37</v>
      </c>
      <c r="B49" s="114">
        <f>INDEX('Tabl. 1'!$C$8:$AO$313,104+$AB44,MATCH($C$7,$AA$7:$AA$45))</f>
        <v>318339</v>
      </c>
      <c r="C49" s="114">
        <f>INDEX('Tabl. 1'!$C$8:$AO$313,206+$AB44,MATCH($C$7,$AA$7:$AA$45))</f>
        <v>310240</v>
      </c>
      <c r="I49" s="81"/>
      <c r="P49" s="87"/>
      <c r="Q49" s="87"/>
      <c r="R49" s="87"/>
      <c r="S49" s="87"/>
      <c r="T49" s="87"/>
      <c r="U49" s="87"/>
      <c r="V49" s="93"/>
      <c r="W49" s="93"/>
      <c r="X49" s="93"/>
      <c r="Y49" s="93"/>
      <c r="Z49" s="93"/>
      <c r="AA49" s="80"/>
      <c r="AB49" s="80">
        <v>42</v>
      </c>
      <c r="AC49" s="80"/>
      <c r="AD49" s="89">
        <f t="shared" si="0"/>
        <v>-306214</v>
      </c>
      <c r="AE49" s="90">
        <f t="shared" si="1"/>
        <v>306214</v>
      </c>
      <c r="AF49" s="80">
        <f t="shared" si="2"/>
        <v>-5510</v>
      </c>
      <c r="AG49" s="90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98">
        <v>38</v>
      </c>
      <c r="B50" s="114">
        <f>INDEX('Tabl. 1'!$C$8:$AO$313,104+$AB45,MATCH($C$7,$AA$7:$AA$45))</f>
        <v>328475</v>
      </c>
      <c r="C50" s="114">
        <f>INDEX('Tabl. 1'!$C$8:$AO$313,206+$AB45,MATCH($C$7,$AA$7:$AA$45))</f>
        <v>319683</v>
      </c>
      <c r="I50" s="81"/>
      <c r="P50" s="87"/>
      <c r="Q50" s="87"/>
      <c r="R50" s="87"/>
      <c r="S50" s="87"/>
      <c r="T50" s="87"/>
      <c r="U50" s="87"/>
      <c r="V50" s="93"/>
      <c r="W50" s="93"/>
      <c r="X50" s="93"/>
      <c r="Y50" s="93"/>
      <c r="Z50" s="93"/>
      <c r="AA50" s="80"/>
      <c r="AB50" s="80">
        <v>43</v>
      </c>
      <c r="AC50" s="80"/>
      <c r="AD50" s="89">
        <f t="shared" si="0"/>
        <v>-312078</v>
      </c>
      <c r="AE50" s="90">
        <f t="shared" si="1"/>
        <v>312078</v>
      </c>
      <c r="AF50" s="80">
        <f t="shared" si="2"/>
        <v>-4652</v>
      </c>
      <c r="AG50" s="90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98">
        <v>39</v>
      </c>
      <c r="B51" s="114">
        <f>INDEX('Tabl. 1'!$C$8:$AO$313,104+$AB46,MATCH($C$7,$AA$7:$AA$45))</f>
        <v>336987</v>
      </c>
      <c r="C51" s="114">
        <f>INDEX('Tabl. 1'!$C$8:$AO$313,206+$AB46,MATCH($C$7,$AA$7:$AA$45))</f>
        <v>329973</v>
      </c>
      <c r="I51" s="81"/>
      <c r="P51" s="87"/>
      <c r="Q51" s="87"/>
      <c r="R51" s="87"/>
      <c r="S51" s="87"/>
      <c r="T51" s="87"/>
      <c r="U51" s="87"/>
      <c r="V51" s="93"/>
      <c r="W51" s="93"/>
      <c r="X51" s="93"/>
      <c r="Y51" s="93"/>
      <c r="Z51" s="93"/>
      <c r="AA51" s="80"/>
      <c r="AB51" s="80">
        <v>44</v>
      </c>
      <c r="AC51" s="80"/>
      <c r="AD51" s="89">
        <f t="shared" si="0"/>
        <v>-308845</v>
      </c>
      <c r="AE51" s="90">
        <f t="shared" si="1"/>
        <v>308845</v>
      </c>
      <c r="AF51" s="80">
        <f t="shared" si="2"/>
        <v>-6290</v>
      </c>
      <c r="AG51" s="90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98">
        <v>40</v>
      </c>
      <c r="B52" s="114">
        <f>INDEX('Tabl. 1'!$C$8:$AO$313,104+$AB47,MATCH($C$7,$AA$7:$AA$45))</f>
        <v>327087</v>
      </c>
      <c r="C52" s="114">
        <f>INDEX('Tabl. 1'!$C$8:$AO$313,206+$AB47,MATCH($C$7,$AA$7:$AA$45))</f>
        <v>318633</v>
      </c>
      <c r="I52" s="81"/>
      <c r="P52" s="87"/>
      <c r="Q52" s="87"/>
      <c r="R52" s="87"/>
      <c r="S52" s="87"/>
      <c r="T52" s="87"/>
      <c r="U52" s="87"/>
      <c r="V52" s="93"/>
      <c r="W52" s="93"/>
      <c r="X52" s="93"/>
      <c r="Y52" s="93"/>
      <c r="Z52" s="93"/>
      <c r="AA52" s="80"/>
      <c r="AB52" s="80">
        <v>45</v>
      </c>
      <c r="AC52" s="80"/>
      <c r="AD52" s="89">
        <f t="shared" si="0"/>
        <v>-300603</v>
      </c>
      <c r="AE52" s="90">
        <f t="shared" si="1"/>
        <v>300603</v>
      </c>
      <c r="AF52" s="80">
        <f t="shared" si="2"/>
        <v>-4154</v>
      </c>
      <c r="AG52" s="90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98">
        <v>41</v>
      </c>
      <c r="B53" s="114">
        <f>INDEX('Tabl. 1'!$C$8:$AO$313,104+$AB48,MATCH($C$7,$AA$7:$AA$45))</f>
        <v>311724</v>
      </c>
      <c r="C53" s="114">
        <f>INDEX('Tabl. 1'!$C$8:$AO$313,206+$AB48,MATCH($C$7,$AA$7:$AA$45))</f>
        <v>306214</v>
      </c>
      <c r="I53" s="81"/>
      <c r="P53" s="87"/>
      <c r="Q53" s="87"/>
      <c r="R53" s="87"/>
      <c r="S53" s="87"/>
      <c r="T53" s="87"/>
      <c r="U53" s="87"/>
      <c r="V53" s="93"/>
      <c r="W53" s="93"/>
      <c r="X53" s="93"/>
      <c r="Y53" s="93"/>
      <c r="Z53" s="93"/>
      <c r="AA53" s="80"/>
      <c r="AB53" s="80">
        <v>46</v>
      </c>
      <c r="AC53" s="80"/>
      <c r="AD53" s="89">
        <f t="shared" si="0"/>
        <v>-297553</v>
      </c>
      <c r="AE53" s="90">
        <f t="shared" si="1"/>
        <v>297553</v>
      </c>
      <c r="AF53" s="80">
        <f t="shared" si="2"/>
        <v>-4298</v>
      </c>
      <c r="AG53" s="90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98">
        <v>42</v>
      </c>
      <c r="B54" s="114">
        <f>INDEX('Tabl. 1'!$C$8:$AO$313,104+$AB49,MATCH($C$7,$AA$7:$AA$45))</f>
        <v>316730</v>
      </c>
      <c r="C54" s="114">
        <f>INDEX('Tabl. 1'!$C$8:$AO$313,206+$AB49,MATCH($C$7,$AA$7:$AA$45))</f>
        <v>312078</v>
      </c>
      <c r="I54" s="81"/>
      <c r="P54" s="87"/>
      <c r="Q54" s="87"/>
      <c r="R54" s="87"/>
      <c r="S54" s="87"/>
      <c r="T54" s="87"/>
      <c r="U54" s="87"/>
      <c r="V54" s="93"/>
      <c r="W54" s="93"/>
      <c r="X54" s="93"/>
      <c r="Y54" s="93"/>
      <c r="Z54" s="93"/>
      <c r="AA54" s="80"/>
      <c r="AB54" s="80">
        <v>47</v>
      </c>
      <c r="AC54" s="80"/>
      <c r="AD54" s="89">
        <f t="shared" si="0"/>
        <v>-298876</v>
      </c>
      <c r="AE54" s="90">
        <f t="shared" si="1"/>
        <v>298876</v>
      </c>
      <c r="AF54" s="80">
        <f t="shared" si="2"/>
        <v>-2175</v>
      </c>
      <c r="AG54" s="90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98">
        <v>43</v>
      </c>
      <c r="B55" s="114">
        <f>INDEX('Tabl. 1'!$C$8:$AO$313,104+$AB50,MATCH($C$7,$AA$7:$AA$45))</f>
        <v>315135</v>
      </c>
      <c r="C55" s="114">
        <f>INDEX('Tabl. 1'!$C$8:$AO$313,206+$AB50,MATCH($C$7,$AA$7:$AA$45))</f>
        <v>308845</v>
      </c>
      <c r="I55" s="81"/>
      <c r="P55" s="87"/>
      <c r="Q55" s="87"/>
      <c r="R55" s="87"/>
      <c r="S55" s="87"/>
      <c r="T55" s="87"/>
      <c r="U55" s="87"/>
      <c r="V55" s="93"/>
      <c r="W55" s="93"/>
      <c r="X55" s="93"/>
      <c r="Y55" s="93"/>
      <c r="Z55" s="93"/>
      <c r="AA55" s="80"/>
      <c r="AB55" s="80">
        <v>48</v>
      </c>
      <c r="AC55" s="80"/>
      <c r="AD55" s="89">
        <f t="shared" si="0"/>
        <v>-288171</v>
      </c>
      <c r="AE55" s="90">
        <f t="shared" si="1"/>
        <v>288171</v>
      </c>
      <c r="AF55" s="80">
        <f t="shared" si="2"/>
        <v>-1672</v>
      </c>
      <c r="AG55" s="90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98">
        <v>44</v>
      </c>
      <c r="B56" s="114">
        <f>INDEX('Tabl. 1'!$C$8:$AO$313,104+$AB51,MATCH($C$7,$AA$7:$AA$45))</f>
        <v>304757</v>
      </c>
      <c r="C56" s="114">
        <f>INDEX('Tabl. 1'!$C$8:$AO$313,206+$AB51,MATCH($C$7,$AA$7:$AA$45))</f>
        <v>300603</v>
      </c>
      <c r="I56" s="81"/>
      <c r="P56" s="87"/>
      <c r="Q56" s="87"/>
      <c r="R56" s="87"/>
      <c r="S56" s="87"/>
      <c r="T56" s="87"/>
      <c r="U56" s="87"/>
      <c r="V56" s="93"/>
      <c r="W56" s="93"/>
      <c r="X56" s="93"/>
      <c r="Y56" s="93"/>
      <c r="Z56" s="93"/>
      <c r="AA56" s="80"/>
      <c r="AB56" s="80">
        <v>49</v>
      </c>
      <c r="AC56" s="80"/>
      <c r="AD56" s="89">
        <f t="shared" si="0"/>
        <v>-276620</v>
      </c>
      <c r="AE56" s="90">
        <f t="shared" si="1"/>
        <v>276620</v>
      </c>
      <c r="AF56" s="80">
        <f t="shared" si="2"/>
        <v>-1925</v>
      </c>
      <c r="AG56" s="90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98">
        <v>45</v>
      </c>
      <c r="B57" s="114">
        <f>INDEX('Tabl. 1'!$C$8:$AO$313,104+$AB52,MATCH($C$7,$AA$7:$AA$45))</f>
        <v>301851</v>
      </c>
      <c r="C57" s="114">
        <f>INDEX('Tabl. 1'!$C$8:$AO$313,206+$AB52,MATCH($C$7,$AA$7:$AA$45))</f>
        <v>297553</v>
      </c>
      <c r="I57" s="81"/>
      <c r="P57" s="87"/>
      <c r="Q57" s="87"/>
      <c r="R57" s="87"/>
      <c r="S57" s="87"/>
      <c r="T57" s="87"/>
      <c r="U57" s="87"/>
      <c r="V57" s="93"/>
      <c r="W57" s="93"/>
      <c r="X57" s="93"/>
      <c r="Y57" s="93"/>
      <c r="Z57" s="93"/>
      <c r="AA57" s="80"/>
      <c r="AB57" s="80">
        <v>50</v>
      </c>
      <c r="AC57" s="80"/>
      <c r="AD57" s="89">
        <f t="shared" si="0"/>
        <v>-265902</v>
      </c>
      <c r="AE57" s="90">
        <f t="shared" si="1"/>
        <v>265902</v>
      </c>
      <c r="AF57" s="80">
        <f t="shared" si="2"/>
        <v>-101</v>
      </c>
      <c r="AG57" s="90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98">
        <v>46</v>
      </c>
      <c r="B58" s="114">
        <f>INDEX('Tabl. 1'!$C$8:$AO$313,104+$AB53,MATCH($C$7,$AA$7:$AA$45))</f>
        <v>301051</v>
      </c>
      <c r="C58" s="114">
        <f>INDEX('Tabl. 1'!$C$8:$AO$313,206+$AB53,MATCH($C$7,$AA$7:$AA$45))</f>
        <v>298876</v>
      </c>
      <c r="I58" s="81"/>
      <c r="P58" s="87"/>
      <c r="Q58" s="87"/>
      <c r="R58" s="87"/>
      <c r="S58" s="87"/>
      <c r="T58" s="87"/>
      <c r="U58" s="87"/>
      <c r="V58" s="93"/>
      <c r="W58" s="93"/>
      <c r="X58" s="93"/>
      <c r="Y58" s="93"/>
      <c r="Z58" s="93"/>
      <c r="AA58" s="80"/>
      <c r="AB58" s="80">
        <v>51</v>
      </c>
      <c r="AC58" s="80"/>
      <c r="AD58" s="89">
        <f t="shared" si="0"/>
        <v>-255093</v>
      </c>
      <c r="AE58" s="90">
        <f t="shared" si="1"/>
        <v>255093</v>
      </c>
      <c r="AF58" s="80">
        <f t="shared" si="2"/>
        <v>0</v>
      </c>
      <c r="AG58" s="90">
        <f t="shared" si="3"/>
        <v>414</v>
      </c>
      <c r="AH58" s="104"/>
      <c r="AI58" s="104"/>
      <c r="AJ58" s="105"/>
      <c r="AK58" s="105"/>
      <c r="AL58" s="105"/>
      <c r="AM58" s="105"/>
    </row>
    <row r="59" spans="1:39" x14ac:dyDescent="0.25">
      <c r="A59" s="98">
        <v>47</v>
      </c>
      <c r="B59" s="114">
        <f>INDEX('Tabl. 1'!$C$8:$AO$313,104+$AB54,MATCH($C$7,$AA$7:$AA$45))</f>
        <v>289843</v>
      </c>
      <c r="C59" s="114">
        <f>INDEX('Tabl. 1'!$C$8:$AO$313,206+$AB54,MATCH($C$7,$AA$7:$AA$45))</f>
        <v>288171</v>
      </c>
      <c r="I59" s="81"/>
      <c r="P59" s="87"/>
      <c r="Q59" s="87"/>
      <c r="R59" s="87"/>
      <c r="S59" s="87"/>
      <c r="T59" s="87"/>
      <c r="U59" s="87"/>
      <c r="V59" s="93"/>
      <c r="W59" s="93"/>
      <c r="X59" s="93"/>
      <c r="Y59" s="93"/>
      <c r="Z59" s="93"/>
      <c r="AA59" s="80"/>
      <c r="AB59" s="80">
        <v>52</v>
      </c>
      <c r="AC59" s="80"/>
      <c r="AD59" s="89">
        <f t="shared" si="0"/>
        <v>-242612</v>
      </c>
      <c r="AE59" s="90">
        <f t="shared" si="1"/>
        <v>242612</v>
      </c>
      <c r="AF59" s="80">
        <f t="shared" si="2"/>
        <v>0</v>
      </c>
      <c r="AG59" s="90">
        <f t="shared" si="3"/>
        <v>2992</v>
      </c>
      <c r="AH59" s="104"/>
      <c r="AI59" s="104"/>
      <c r="AJ59" s="105"/>
      <c r="AK59" s="105"/>
      <c r="AL59" s="105"/>
      <c r="AM59" s="105"/>
    </row>
    <row r="60" spans="1:39" x14ac:dyDescent="0.25">
      <c r="A60" s="98">
        <v>48</v>
      </c>
      <c r="B60" s="114">
        <f>INDEX('Tabl. 1'!$C$8:$AO$313,104+$AB55,MATCH($C$7,$AA$7:$AA$45))</f>
        <v>278545</v>
      </c>
      <c r="C60" s="114">
        <f>INDEX('Tabl. 1'!$C$8:$AO$313,206+$AB55,MATCH($C$7,$AA$7:$AA$45))</f>
        <v>276620</v>
      </c>
      <c r="I60" s="81"/>
      <c r="P60" s="87"/>
      <c r="Q60" s="87"/>
      <c r="R60" s="87"/>
      <c r="S60" s="87"/>
      <c r="T60" s="87"/>
      <c r="U60" s="87"/>
      <c r="V60" s="93"/>
      <c r="W60" s="93"/>
      <c r="X60" s="93"/>
      <c r="Y60" s="93"/>
      <c r="Z60" s="93"/>
      <c r="AA60" s="80"/>
      <c r="AB60" s="80">
        <v>53</v>
      </c>
      <c r="AC60" s="80"/>
      <c r="AD60" s="89">
        <f t="shared" si="0"/>
        <v>-234516</v>
      </c>
      <c r="AE60" s="90">
        <f t="shared" si="1"/>
        <v>234516</v>
      </c>
      <c r="AF60" s="80">
        <f t="shared" si="2"/>
        <v>0</v>
      </c>
      <c r="AG60" s="90">
        <f t="shared" si="3"/>
        <v>2359</v>
      </c>
      <c r="AH60" s="104"/>
      <c r="AI60" s="104"/>
      <c r="AJ60" s="105"/>
      <c r="AK60" s="105"/>
      <c r="AL60" s="105"/>
      <c r="AM60" s="105"/>
    </row>
    <row r="61" spans="1:39" x14ac:dyDescent="0.25">
      <c r="A61" s="98">
        <v>49</v>
      </c>
      <c r="B61" s="114">
        <f>INDEX('Tabl. 1'!$C$8:$AO$313,104+$AB56,MATCH($C$7,$AA$7:$AA$45))</f>
        <v>266003</v>
      </c>
      <c r="C61" s="114">
        <f>INDEX('Tabl. 1'!$C$8:$AO$313,206+$AB56,MATCH($C$7,$AA$7:$AA$45))</f>
        <v>265902</v>
      </c>
      <c r="I61" s="81"/>
      <c r="P61" s="87"/>
      <c r="Q61" s="87"/>
      <c r="R61" s="87"/>
      <c r="S61" s="87"/>
      <c r="T61" s="87"/>
      <c r="U61" s="87"/>
      <c r="V61" s="93"/>
      <c r="W61" s="93"/>
      <c r="X61" s="93"/>
      <c r="Y61" s="93"/>
      <c r="Z61" s="93"/>
      <c r="AA61" s="80"/>
      <c r="AB61" s="80">
        <v>54</v>
      </c>
      <c r="AC61" s="80"/>
      <c r="AD61" s="89">
        <f t="shared" si="0"/>
        <v>-223652</v>
      </c>
      <c r="AE61" s="90">
        <f t="shared" si="1"/>
        <v>223652</v>
      </c>
      <c r="AF61" s="80">
        <f t="shared" si="2"/>
        <v>0</v>
      </c>
      <c r="AG61" s="90">
        <f t="shared" si="3"/>
        <v>5003</v>
      </c>
      <c r="AH61" s="104"/>
      <c r="AI61" s="104"/>
      <c r="AJ61" s="105"/>
      <c r="AK61" s="105"/>
      <c r="AL61" s="105"/>
      <c r="AM61" s="105"/>
    </row>
    <row r="62" spans="1:39" x14ac:dyDescent="0.25">
      <c r="A62" s="98">
        <v>50</v>
      </c>
      <c r="B62" s="114">
        <f>INDEX('Tabl. 1'!$C$8:$AO$313,104+$AB57,MATCH($C$7,$AA$7:$AA$45))</f>
        <v>255093</v>
      </c>
      <c r="C62" s="114">
        <f>INDEX('Tabl. 1'!$C$8:$AO$313,206+$AB57,MATCH($C$7,$AA$7:$AA$45))</f>
        <v>255507</v>
      </c>
      <c r="I62" s="81"/>
      <c r="P62" s="87"/>
      <c r="Q62" s="87"/>
      <c r="R62" s="87"/>
      <c r="S62" s="87"/>
      <c r="T62" s="87"/>
      <c r="U62" s="87"/>
      <c r="V62" s="93"/>
      <c r="W62" s="93"/>
      <c r="X62" s="93"/>
      <c r="Y62" s="93"/>
      <c r="Z62" s="93"/>
      <c r="AA62" s="80"/>
      <c r="AB62" s="80">
        <v>55</v>
      </c>
      <c r="AC62" s="80"/>
      <c r="AD62" s="89">
        <f t="shared" si="0"/>
        <v>-218365</v>
      </c>
      <c r="AE62" s="90">
        <f t="shared" si="1"/>
        <v>218365</v>
      </c>
      <c r="AF62" s="80">
        <f t="shared" si="2"/>
        <v>0</v>
      </c>
      <c r="AG62" s="90">
        <f t="shared" si="3"/>
        <v>5320</v>
      </c>
      <c r="AH62" s="104"/>
      <c r="AI62" s="104"/>
      <c r="AJ62" s="105"/>
      <c r="AK62" s="105"/>
      <c r="AL62" s="105"/>
      <c r="AM62" s="105"/>
    </row>
    <row r="63" spans="1:39" x14ac:dyDescent="0.25">
      <c r="A63" s="98">
        <v>51</v>
      </c>
      <c r="B63" s="114">
        <f>INDEX('Tabl. 1'!$C$8:$AO$313,104+$AB58,MATCH($C$7,$AA$7:$AA$45))</f>
        <v>242612</v>
      </c>
      <c r="C63" s="114">
        <f>INDEX('Tabl. 1'!$C$8:$AO$313,206+$AB58,MATCH($C$7,$AA$7:$AA$45))</f>
        <v>245604</v>
      </c>
      <c r="I63" s="81"/>
      <c r="P63" s="87"/>
      <c r="Q63" s="87"/>
      <c r="R63" s="87"/>
      <c r="S63" s="87"/>
      <c r="T63" s="87"/>
      <c r="U63" s="87"/>
      <c r="V63" s="93"/>
      <c r="W63" s="93"/>
      <c r="X63" s="93"/>
      <c r="Y63" s="93"/>
      <c r="Z63" s="93"/>
      <c r="AA63" s="80"/>
      <c r="AB63" s="80">
        <v>56</v>
      </c>
      <c r="AC63" s="80"/>
      <c r="AD63" s="89">
        <f t="shared" si="0"/>
        <v>-214748</v>
      </c>
      <c r="AE63" s="90">
        <f t="shared" si="1"/>
        <v>214748</v>
      </c>
      <c r="AF63" s="80">
        <f t="shared" si="2"/>
        <v>0</v>
      </c>
      <c r="AG63" s="90">
        <f t="shared" si="3"/>
        <v>6451</v>
      </c>
      <c r="AH63" s="104"/>
      <c r="AI63" s="104"/>
      <c r="AJ63" s="105"/>
      <c r="AK63" s="105"/>
      <c r="AL63" s="105"/>
      <c r="AM63" s="105"/>
    </row>
    <row r="64" spans="1:39" x14ac:dyDescent="0.25">
      <c r="A64" s="98">
        <v>52</v>
      </c>
      <c r="B64" s="114">
        <f>INDEX('Tabl. 1'!$C$8:$AO$313,104+$AB59,MATCH($C$7,$AA$7:$AA$45))</f>
        <v>234516</v>
      </c>
      <c r="C64" s="114">
        <f>INDEX('Tabl. 1'!$C$8:$AO$313,206+$AB59,MATCH($C$7,$AA$7:$AA$45))</f>
        <v>236875</v>
      </c>
      <c r="I64" s="81"/>
      <c r="P64" s="87"/>
      <c r="Q64" s="87"/>
      <c r="R64" s="87"/>
      <c r="S64" s="87"/>
      <c r="T64" s="87"/>
      <c r="U64" s="87"/>
      <c r="V64" s="93"/>
      <c r="W64" s="93"/>
      <c r="X64" s="93"/>
      <c r="Y64" s="93"/>
      <c r="Z64" s="93"/>
      <c r="AA64" s="80"/>
      <c r="AB64" s="80">
        <v>57</v>
      </c>
      <c r="AC64" s="80"/>
      <c r="AD64" s="89">
        <f t="shared" si="0"/>
        <v>-213465</v>
      </c>
      <c r="AE64" s="90">
        <f t="shared" si="1"/>
        <v>213465</v>
      </c>
      <c r="AF64" s="80">
        <f t="shared" si="2"/>
        <v>0</v>
      </c>
      <c r="AG64" s="90">
        <f t="shared" si="3"/>
        <v>8693</v>
      </c>
      <c r="AH64" s="104"/>
      <c r="AI64" s="104"/>
      <c r="AJ64" s="105"/>
      <c r="AK64" s="105"/>
      <c r="AL64" s="105"/>
      <c r="AM64" s="105"/>
    </row>
    <row r="65" spans="1:39" x14ac:dyDescent="0.25">
      <c r="A65" s="98">
        <v>53</v>
      </c>
      <c r="B65" s="114">
        <f>INDEX('Tabl. 1'!$C$8:$AO$313,104+$AB60,MATCH($C$7,$AA$7:$AA$45))</f>
        <v>223652</v>
      </c>
      <c r="C65" s="114">
        <f>INDEX('Tabl. 1'!$C$8:$AO$313,206+$AB60,MATCH($C$7,$AA$7:$AA$45))</f>
        <v>228655</v>
      </c>
      <c r="I65" s="81"/>
      <c r="P65" s="87"/>
      <c r="Q65" s="87"/>
      <c r="R65" s="87"/>
      <c r="S65" s="87"/>
      <c r="T65" s="87"/>
      <c r="U65" s="87"/>
      <c r="V65" s="93"/>
      <c r="W65" s="93"/>
      <c r="X65" s="93"/>
      <c r="Y65" s="93"/>
      <c r="Z65" s="93"/>
      <c r="AA65" s="80"/>
      <c r="AB65" s="80">
        <v>58</v>
      </c>
      <c r="AC65" s="80"/>
      <c r="AD65" s="89">
        <f t="shared" si="0"/>
        <v>-214065</v>
      </c>
      <c r="AE65" s="90">
        <f t="shared" si="1"/>
        <v>214065</v>
      </c>
      <c r="AF65" s="80">
        <f t="shared" si="2"/>
        <v>0</v>
      </c>
      <c r="AG65" s="90">
        <f t="shared" si="3"/>
        <v>10285</v>
      </c>
      <c r="AH65" s="104"/>
      <c r="AI65" s="104"/>
      <c r="AJ65" s="105"/>
      <c r="AK65" s="105"/>
      <c r="AL65" s="105"/>
      <c r="AM65" s="105"/>
    </row>
    <row r="66" spans="1:39" x14ac:dyDescent="0.25">
      <c r="A66" s="98">
        <v>54</v>
      </c>
      <c r="B66" s="114">
        <f>INDEX('Tabl. 1'!$C$8:$AO$313,104+$AB61,MATCH($C$7,$AA$7:$AA$45))</f>
        <v>218365</v>
      </c>
      <c r="C66" s="114">
        <f>INDEX('Tabl. 1'!$C$8:$AO$313,206+$AB61,MATCH($C$7,$AA$7:$AA$45))</f>
        <v>223685</v>
      </c>
      <c r="I66" s="81"/>
      <c r="P66" s="87"/>
      <c r="Q66" s="87"/>
      <c r="R66" s="87"/>
      <c r="S66" s="87"/>
      <c r="T66" s="87"/>
      <c r="U66" s="87"/>
      <c r="V66" s="93"/>
      <c r="W66" s="93"/>
      <c r="X66" s="93"/>
      <c r="Y66" s="93"/>
      <c r="Z66" s="93"/>
      <c r="AA66" s="80"/>
      <c r="AB66" s="80">
        <v>59</v>
      </c>
      <c r="AC66" s="80"/>
      <c r="AD66" s="89">
        <f t="shared" si="0"/>
        <v>-216700</v>
      </c>
      <c r="AE66" s="90">
        <f t="shared" si="1"/>
        <v>216700</v>
      </c>
      <c r="AF66" s="80">
        <f t="shared" si="2"/>
        <v>0</v>
      </c>
      <c r="AG66" s="90">
        <f t="shared" si="3"/>
        <v>12336</v>
      </c>
      <c r="AH66" s="104"/>
      <c r="AI66" s="104"/>
      <c r="AJ66" s="105"/>
      <c r="AK66" s="105"/>
      <c r="AL66" s="105"/>
      <c r="AM66" s="105"/>
    </row>
    <row r="67" spans="1:39" x14ac:dyDescent="0.25">
      <c r="A67" s="98">
        <v>55</v>
      </c>
      <c r="B67" s="114">
        <f>INDEX('Tabl. 1'!$C$8:$AO$313,104+$AB62,MATCH($C$7,$AA$7:$AA$45))</f>
        <v>214748</v>
      </c>
      <c r="C67" s="114">
        <f>INDEX('Tabl. 1'!$C$8:$AO$313,206+$AB62,MATCH($C$7,$AA$7:$AA$45))</f>
        <v>221199</v>
      </c>
      <c r="I67" s="81"/>
      <c r="P67" s="87"/>
      <c r="Q67" s="87"/>
      <c r="R67" s="87"/>
      <c r="S67" s="87"/>
      <c r="T67" s="87"/>
      <c r="U67" s="87"/>
      <c r="V67" s="93"/>
      <c r="W67" s="93"/>
      <c r="X67" s="93"/>
      <c r="Y67" s="93"/>
      <c r="Z67" s="93"/>
      <c r="AA67" s="80"/>
      <c r="AB67" s="80">
        <v>60</v>
      </c>
      <c r="AC67" s="80"/>
      <c r="AD67" s="89">
        <f t="shared" si="0"/>
        <v>-218200</v>
      </c>
      <c r="AE67" s="90">
        <f t="shared" si="1"/>
        <v>218200</v>
      </c>
      <c r="AF67" s="80">
        <f t="shared" si="2"/>
        <v>0</v>
      </c>
      <c r="AG67" s="90">
        <f t="shared" si="3"/>
        <v>15891</v>
      </c>
      <c r="AH67" s="104"/>
      <c r="AI67" s="104"/>
      <c r="AJ67" s="105"/>
      <c r="AK67" s="105"/>
      <c r="AL67" s="105"/>
      <c r="AM67" s="105"/>
    </row>
    <row r="68" spans="1:39" x14ac:dyDescent="0.25">
      <c r="A68" s="98">
        <v>56</v>
      </c>
      <c r="B68" s="114">
        <f>INDEX('Tabl. 1'!$C$8:$AO$313,104+$AB63,MATCH($C$7,$AA$7:$AA$45))</f>
        <v>213465</v>
      </c>
      <c r="C68" s="114">
        <f>INDEX('Tabl. 1'!$C$8:$AO$313,206+$AB63,MATCH($C$7,$AA$7:$AA$45))</f>
        <v>222158</v>
      </c>
      <c r="I68" s="81"/>
      <c r="P68" s="87"/>
      <c r="Q68" s="87"/>
      <c r="R68" s="87"/>
      <c r="S68" s="87"/>
      <c r="T68" s="87"/>
      <c r="U68" s="87"/>
      <c r="V68" s="93"/>
      <c r="W68" s="93"/>
      <c r="X68" s="93"/>
      <c r="Y68" s="93"/>
      <c r="Z68" s="93"/>
      <c r="AA68" s="80"/>
      <c r="AB68" s="80">
        <v>61</v>
      </c>
      <c r="AC68" s="80"/>
      <c r="AD68" s="89">
        <f t="shared" si="0"/>
        <v>-217276</v>
      </c>
      <c r="AE68" s="90">
        <f t="shared" si="1"/>
        <v>217276</v>
      </c>
      <c r="AF68" s="80">
        <f t="shared" si="2"/>
        <v>0</v>
      </c>
      <c r="AG68" s="90">
        <f t="shared" si="3"/>
        <v>18239</v>
      </c>
      <c r="AH68" s="104"/>
      <c r="AI68" s="104"/>
      <c r="AJ68" s="105"/>
      <c r="AK68" s="105"/>
      <c r="AL68" s="105"/>
      <c r="AM68" s="105"/>
    </row>
    <row r="69" spans="1:39" x14ac:dyDescent="0.25">
      <c r="A69" s="98">
        <v>57</v>
      </c>
      <c r="B69" s="114">
        <f>INDEX('Tabl. 1'!$C$8:$AO$313,104+$AB64,MATCH($C$7,$AA$7:$AA$45))</f>
        <v>214065</v>
      </c>
      <c r="C69" s="114">
        <f>INDEX('Tabl. 1'!$C$8:$AO$313,206+$AB64,MATCH($C$7,$AA$7:$AA$45))</f>
        <v>224350</v>
      </c>
      <c r="I69" s="81"/>
      <c r="P69" s="87"/>
      <c r="Q69" s="87"/>
      <c r="R69" s="87"/>
      <c r="S69" s="87"/>
      <c r="T69" s="87"/>
      <c r="U69" s="87"/>
      <c r="V69" s="93"/>
      <c r="W69" s="93"/>
      <c r="X69" s="93"/>
      <c r="Y69" s="93"/>
      <c r="Z69" s="93"/>
      <c r="AA69" s="80"/>
      <c r="AB69" s="80">
        <v>62</v>
      </c>
      <c r="AC69" s="80"/>
      <c r="AD69" s="89">
        <f t="shared" si="0"/>
        <v>-221209</v>
      </c>
      <c r="AE69" s="90">
        <f t="shared" si="1"/>
        <v>221209</v>
      </c>
      <c r="AF69" s="80">
        <f t="shared" si="2"/>
        <v>0</v>
      </c>
      <c r="AG69" s="90">
        <f t="shared" si="3"/>
        <v>22841</v>
      </c>
      <c r="AH69" s="104"/>
      <c r="AI69" s="104"/>
      <c r="AJ69" s="105"/>
      <c r="AK69" s="105"/>
      <c r="AL69" s="105"/>
      <c r="AM69" s="105"/>
    </row>
    <row r="70" spans="1:39" x14ac:dyDescent="0.25">
      <c r="A70" s="98">
        <v>58</v>
      </c>
      <c r="B70" s="114">
        <f>INDEX('Tabl. 1'!$C$8:$AO$313,104+$AB65,MATCH($C$7,$AA$7:$AA$45))</f>
        <v>216700</v>
      </c>
      <c r="C70" s="114">
        <f>INDEX('Tabl. 1'!$C$8:$AO$313,206+$AB65,MATCH($C$7,$AA$7:$AA$45))</f>
        <v>229036</v>
      </c>
      <c r="I70" s="81"/>
      <c r="P70" s="87"/>
      <c r="Q70" s="87"/>
      <c r="R70" s="87"/>
      <c r="S70" s="87"/>
      <c r="T70" s="87"/>
      <c r="U70" s="87"/>
      <c r="V70" s="93"/>
      <c r="W70" s="93"/>
      <c r="X70" s="93"/>
      <c r="Y70" s="93"/>
      <c r="Z70" s="93"/>
      <c r="AA70" s="80"/>
      <c r="AB70" s="80">
        <v>63</v>
      </c>
      <c r="AC70" s="80"/>
      <c r="AD70" s="89">
        <f t="shared" si="0"/>
        <v>-229447</v>
      </c>
      <c r="AE70" s="90">
        <f t="shared" si="1"/>
        <v>229447</v>
      </c>
      <c r="AF70" s="80">
        <f t="shared" si="2"/>
        <v>0</v>
      </c>
      <c r="AG70" s="90">
        <f t="shared" si="3"/>
        <v>28514</v>
      </c>
      <c r="AH70" s="104"/>
      <c r="AI70" s="104"/>
      <c r="AJ70" s="105"/>
      <c r="AK70" s="105"/>
      <c r="AL70" s="105"/>
      <c r="AM70" s="105"/>
    </row>
    <row r="71" spans="1:39" x14ac:dyDescent="0.25">
      <c r="A71" s="98">
        <v>59</v>
      </c>
      <c r="B71" s="114">
        <f>INDEX('Tabl. 1'!$C$8:$AO$313,104+$AB66,MATCH($C$7,$AA$7:$AA$45))</f>
        <v>218200</v>
      </c>
      <c r="C71" s="114">
        <f>INDEX('Tabl. 1'!$C$8:$AO$313,206+$AB66,MATCH($C$7,$AA$7:$AA$45))</f>
        <v>234091</v>
      </c>
      <c r="I71" s="81"/>
      <c r="P71" s="87"/>
      <c r="Q71" s="87"/>
      <c r="R71" s="87"/>
      <c r="S71" s="87"/>
      <c r="T71" s="87"/>
      <c r="U71" s="87"/>
      <c r="V71" s="93"/>
      <c r="W71" s="93"/>
      <c r="X71" s="93"/>
      <c r="Y71" s="93"/>
      <c r="Z71" s="93"/>
      <c r="AA71" s="80"/>
      <c r="AB71" s="80">
        <v>64</v>
      </c>
      <c r="AC71" s="80"/>
      <c r="AD71" s="89">
        <f t="shared" si="0"/>
        <v>-240038</v>
      </c>
      <c r="AE71" s="90">
        <f t="shared" si="1"/>
        <v>240038</v>
      </c>
      <c r="AF71" s="80">
        <f t="shared" si="2"/>
        <v>0</v>
      </c>
      <c r="AG71" s="90">
        <f t="shared" si="3"/>
        <v>33584</v>
      </c>
      <c r="AH71" s="104"/>
      <c r="AI71" s="104"/>
      <c r="AJ71" s="105"/>
      <c r="AK71" s="105"/>
      <c r="AL71" s="105"/>
      <c r="AM71" s="105"/>
    </row>
    <row r="72" spans="1:39" x14ac:dyDescent="0.25">
      <c r="A72" s="98">
        <v>60</v>
      </c>
      <c r="B72" s="114">
        <f>INDEX('Tabl. 1'!$C$8:$AO$313,104+$AB67,MATCH($C$7,$AA$7:$AA$45))</f>
        <v>217276</v>
      </c>
      <c r="C72" s="114">
        <f>INDEX('Tabl. 1'!$C$8:$AO$313,206+$AB67,MATCH($C$7,$AA$7:$AA$45))</f>
        <v>235515</v>
      </c>
      <c r="I72" s="81"/>
      <c r="P72" s="87"/>
      <c r="Q72" s="87"/>
      <c r="R72" s="87"/>
      <c r="S72" s="87"/>
      <c r="T72" s="87"/>
      <c r="U72" s="87"/>
      <c r="V72" s="93"/>
      <c r="W72" s="93"/>
      <c r="X72" s="93"/>
      <c r="Y72" s="93"/>
      <c r="Z72" s="93"/>
      <c r="AA72" s="80"/>
      <c r="AB72" s="80">
        <v>65</v>
      </c>
      <c r="AC72" s="80"/>
      <c r="AD72" s="89">
        <f t="shared" si="0"/>
        <v>-243543</v>
      </c>
      <c r="AE72" s="90">
        <f t="shared" si="1"/>
        <v>243543</v>
      </c>
      <c r="AF72" s="80">
        <f t="shared" si="2"/>
        <v>0</v>
      </c>
      <c r="AG72" s="90">
        <f t="shared" si="3"/>
        <v>38051</v>
      </c>
      <c r="AH72" s="104"/>
      <c r="AI72" s="104"/>
      <c r="AJ72" s="105"/>
      <c r="AK72" s="105"/>
      <c r="AL72" s="105"/>
      <c r="AM72" s="105"/>
    </row>
    <row r="73" spans="1:39" x14ac:dyDescent="0.25">
      <c r="A73" s="98">
        <v>61</v>
      </c>
      <c r="B73" s="114">
        <f>INDEX('Tabl. 1'!$C$8:$AO$313,104+$AB68,MATCH($C$7,$AA$7:$AA$45))</f>
        <v>221209</v>
      </c>
      <c r="C73" s="114">
        <f>INDEX('Tabl. 1'!$C$8:$AO$313,206+$AB68,MATCH($C$7,$AA$7:$AA$45))</f>
        <v>244050</v>
      </c>
      <c r="I73" s="81"/>
      <c r="P73" s="87"/>
      <c r="Q73" s="87"/>
      <c r="R73" s="87"/>
      <c r="S73" s="87"/>
      <c r="T73" s="87"/>
      <c r="U73" s="87"/>
      <c r="V73" s="93"/>
      <c r="W73" s="93"/>
      <c r="X73" s="93"/>
      <c r="Y73" s="93"/>
      <c r="Z73" s="93"/>
      <c r="AA73" s="80"/>
      <c r="AB73" s="80">
        <v>66</v>
      </c>
      <c r="AC73" s="80"/>
      <c r="AD73" s="89">
        <f t="shared" si="0"/>
        <v>-242001</v>
      </c>
      <c r="AE73" s="90">
        <f t="shared" si="1"/>
        <v>242001</v>
      </c>
      <c r="AF73" s="80">
        <f t="shared" si="2"/>
        <v>0</v>
      </c>
      <c r="AG73" s="90">
        <f t="shared" si="3"/>
        <v>43459</v>
      </c>
      <c r="AH73" s="104"/>
      <c r="AI73" s="104"/>
      <c r="AJ73" s="105"/>
      <c r="AK73" s="105"/>
      <c r="AL73" s="105"/>
      <c r="AM73" s="105"/>
    </row>
    <row r="74" spans="1:39" x14ac:dyDescent="0.25">
      <c r="A74" s="98">
        <v>62</v>
      </c>
      <c r="B74" s="114">
        <f>INDEX('Tabl. 1'!$C$8:$AO$313,104+$AB69,MATCH($C$7,$AA$7:$AA$45))</f>
        <v>229447</v>
      </c>
      <c r="C74" s="114">
        <f>INDEX('Tabl. 1'!$C$8:$AO$313,206+$AB69,MATCH($C$7,$AA$7:$AA$45))</f>
        <v>257961</v>
      </c>
      <c r="I74" s="81"/>
      <c r="P74" s="87"/>
      <c r="Q74" s="87"/>
      <c r="R74" s="87"/>
      <c r="S74" s="87"/>
      <c r="T74" s="87"/>
      <c r="U74" s="87"/>
      <c r="V74" s="93"/>
      <c r="W74" s="93"/>
      <c r="X74" s="93"/>
      <c r="Y74" s="93"/>
      <c r="Z74" s="93"/>
      <c r="AA74" s="80"/>
      <c r="AB74" s="80">
        <v>67</v>
      </c>
      <c r="AC74" s="80"/>
      <c r="AD74" s="89">
        <f t="shared" ref="AD74:AD108" si="4">(-1*B78)-AF74</f>
        <v>-234571</v>
      </c>
      <c r="AE74" s="90">
        <f t="shared" ref="AE74:AE108" si="5">C78-AG74</f>
        <v>234571</v>
      </c>
      <c r="AF74" s="80">
        <f t="shared" ref="AF74:AF109" si="6">IF(B78&gt;C78,-1*(B78-C78),0)</f>
        <v>0</v>
      </c>
      <c r="AG74" s="90">
        <f t="shared" ref="AG74:AG109" si="7">IF(C78&gt;B78,C78-B78,0)</f>
        <v>46605</v>
      </c>
      <c r="AH74" s="104"/>
      <c r="AI74" s="104"/>
      <c r="AJ74" s="105"/>
      <c r="AK74" s="105"/>
      <c r="AL74" s="105"/>
      <c r="AM74" s="105"/>
    </row>
    <row r="75" spans="1:39" x14ac:dyDescent="0.25">
      <c r="A75" s="98">
        <v>63</v>
      </c>
      <c r="B75" s="114">
        <f>INDEX('Tabl. 1'!$C$8:$AO$313,104+$AB70,MATCH($C$7,$AA$7:$AA$45))</f>
        <v>240038</v>
      </c>
      <c r="C75" s="114">
        <f>INDEX('Tabl. 1'!$C$8:$AO$313,206+$AB70,MATCH($C$7,$AA$7:$AA$45))</f>
        <v>273622</v>
      </c>
      <c r="I75" s="81"/>
      <c r="P75" s="87"/>
      <c r="Q75" s="87"/>
      <c r="R75" s="87"/>
      <c r="S75" s="87"/>
      <c r="T75" s="87"/>
      <c r="U75" s="87"/>
      <c r="V75" s="93"/>
      <c r="W75" s="93"/>
      <c r="X75" s="93"/>
      <c r="Y75" s="93"/>
      <c r="Z75" s="93"/>
      <c r="AA75" s="80"/>
      <c r="AB75" s="80">
        <v>68</v>
      </c>
      <c r="AC75" s="80"/>
      <c r="AD75" s="89">
        <f t="shared" si="4"/>
        <v>-230546</v>
      </c>
      <c r="AE75" s="90">
        <f t="shared" si="5"/>
        <v>230546</v>
      </c>
      <c r="AF75" s="80">
        <f t="shared" si="6"/>
        <v>0</v>
      </c>
      <c r="AG75" s="90">
        <f t="shared" si="7"/>
        <v>51568</v>
      </c>
      <c r="AH75" s="104"/>
      <c r="AI75" s="104"/>
      <c r="AJ75" s="105"/>
      <c r="AK75" s="105"/>
      <c r="AL75" s="105"/>
      <c r="AM75" s="105"/>
    </row>
    <row r="76" spans="1:39" x14ac:dyDescent="0.25">
      <c r="A76" s="98">
        <v>64</v>
      </c>
      <c r="B76" s="114">
        <f>INDEX('Tabl. 1'!$C$8:$AO$313,104+$AB71,MATCH($C$7,$AA$7:$AA$45))</f>
        <v>243543</v>
      </c>
      <c r="C76" s="114">
        <f>INDEX('Tabl. 1'!$C$8:$AO$313,206+$AB71,MATCH($C$7,$AA$7:$AA$45))</f>
        <v>281594</v>
      </c>
      <c r="I76" s="81"/>
      <c r="P76" s="87"/>
      <c r="Q76" s="87"/>
      <c r="R76" s="87"/>
      <c r="S76" s="87"/>
      <c r="T76" s="87"/>
      <c r="U76" s="87"/>
      <c r="V76" s="93"/>
      <c r="W76" s="93"/>
      <c r="X76" s="93"/>
      <c r="Y76" s="93"/>
      <c r="Z76" s="93"/>
      <c r="AA76" s="80"/>
      <c r="AB76" s="80">
        <v>69</v>
      </c>
      <c r="AC76" s="80"/>
      <c r="AD76" s="89">
        <f t="shared" si="4"/>
        <v>-214845</v>
      </c>
      <c r="AE76" s="90">
        <f t="shared" si="5"/>
        <v>214845</v>
      </c>
      <c r="AF76" s="80">
        <f t="shared" si="6"/>
        <v>0</v>
      </c>
      <c r="AG76" s="90">
        <f t="shared" si="7"/>
        <v>54836</v>
      </c>
      <c r="AH76" s="104"/>
      <c r="AI76" s="104"/>
      <c r="AJ76" s="105"/>
      <c r="AK76" s="105"/>
      <c r="AL76" s="105"/>
      <c r="AM76" s="105"/>
    </row>
    <row r="77" spans="1:39" x14ac:dyDescent="0.25">
      <c r="A77" s="98">
        <v>65</v>
      </c>
      <c r="B77" s="114">
        <f>INDEX('Tabl. 1'!$C$8:$AO$313,104+$AB72,MATCH($C$7,$AA$7:$AA$45))</f>
        <v>242001</v>
      </c>
      <c r="C77" s="114">
        <f>INDEX('Tabl. 1'!$C$8:$AO$313,206+$AB72,MATCH($C$7,$AA$7:$AA$45))</f>
        <v>285460</v>
      </c>
      <c r="I77" s="81"/>
      <c r="P77" s="87"/>
      <c r="Q77" s="87"/>
      <c r="R77" s="87"/>
      <c r="S77" s="87"/>
      <c r="T77" s="87"/>
      <c r="U77" s="87"/>
      <c r="V77" s="93"/>
      <c r="W77" s="93"/>
      <c r="X77" s="93"/>
      <c r="Y77" s="93"/>
      <c r="Z77" s="93"/>
      <c r="AA77" s="80"/>
      <c r="AB77" s="80">
        <v>70</v>
      </c>
      <c r="AC77" s="80"/>
      <c r="AD77" s="89">
        <f t="shared" si="4"/>
        <v>-207276</v>
      </c>
      <c r="AE77" s="90">
        <f t="shared" si="5"/>
        <v>207276</v>
      </c>
      <c r="AF77" s="80">
        <f t="shared" si="6"/>
        <v>0</v>
      </c>
      <c r="AG77" s="90">
        <f t="shared" si="7"/>
        <v>58608</v>
      </c>
      <c r="AH77" s="104"/>
      <c r="AI77" s="104"/>
      <c r="AJ77" s="105"/>
      <c r="AK77" s="105"/>
      <c r="AL77" s="105"/>
      <c r="AM77" s="105"/>
    </row>
    <row r="78" spans="1:39" x14ac:dyDescent="0.25">
      <c r="A78" s="98">
        <v>66</v>
      </c>
      <c r="B78" s="114">
        <f>INDEX('Tabl. 1'!$C$8:$AO$313,104+$AB73,MATCH($C$7,$AA$7:$AA$45))</f>
        <v>234571</v>
      </c>
      <c r="C78" s="114">
        <f>INDEX('Tabl. 1'!$C$8:$AO$313,206+$AB73,MATCH($C$7,$AA$7:$AA$45))</f>
        <v>281176</v>
      </c>
      <c r="I78" s="81"/>
      <c r="P78" s="87"/>
      <c r="Q78" s="87"/>
      <c r="R78" s="87"/>
      <c r="S78" s="87"/>
      <c r="T78" s="87"/>
      <c r="U78" s="87"/>
      <c r="V78" s="93"/>
      <c r="W78" s="93"/>
      <c r="X78" s="93"/>
      <c r="Y78" s="93"/>
      <c r="Z78" s="93"/>
      <c r="AA78" s="80"/>
      <c r="AB78" s="80">
        <v>71</v>
      </c>
      <c r="AC78" s="80"/>
      <c r="AD78" s="89">
        <f t="shared" si="4"/>
        <v>-197254</v>
      </c>
      <c r="AE78" s="90">
        <f t="shared" si="5"/>
        <v>197254</v>
      </c>
      <c r="AF78" s="80">
        <f t="shared" si="6"/>
        <v>0</v>
      </c>
      <c r="AG78" s="90">
        <f t="shared" si="7"/>
        <v>61685</v>
      </c>
      <c r="AH78" s="104"/>
      <c r="AI78" s="104"/>
      <c r="AJ78" s="105"/>
      <c r="AK78" s="105"/>
      <c r="AL78" s="105"/>
      <c r="AM78" s="105"/>
    </row>
    <row r="79" spans="1:39" x14ac:dyDescent="0.25">
      <c r="A79" s="98">
        <v>67</v>
      </c>
      <c r="B79" s="114">
        <f>INDEX('Tabl. 1'!$C$8:$AO$313,104+$AB74,MATCH($C$7,$AA$7:$AA$45))</f>
        <v>230546</v>
      </c>
      <c r="C79" s="114">
        <f>INDEX('Tabl. 1'!$C$8:$AO$313,206+$AB74,MATCH($C$7,$AA$7:$AA$45))</f>
        <v>282114</v>
      </c>
      <c r="I79" s="81"/>
      <c r="P79" s="87"/>
      <c r="Q79" s="87"/>
      <c r="R79" s="87"/>
      <c r="S79" s="87"/>
      <c r="T79" s="87"/>
      <c r="U79" s="87"/>
      <c r="V79" s="93"/>
      <c r="W79" s="93"/>
      <c r="X79" s="93"/>
      <c r="Y79" s="93"/>
      <c r="Z79" s="93"/>
      <c r="AA79" s="80"/>
      <c r="AB79" s="80">
        <v>72</v>
      </c>
      <c r="AC79" s="80"/>
      <c r="AD79" s="89">
        <f t="shared" si="4"/>
        <v>-186799</v>
      </c>
      <c r="AE79" s="90">
        <f t="shared" si="5"/>
        <v>186799</v>
      </c>
      <c r="AF79" s="80">
        <f t="shared" si="6"/>
        <v>0</v>
      </c>
      <c r="AG79" s="90">
        <f t="shared" si="7"/>
        <v>66119</v>
      </c>
      <c r="AH79" s="104"/>
      <c r="AI79" s="104"/>
      <c r="AJ79" s="105"/>
      <c r="AK79" s="105"/>
      <c r="AL79" s="105"/>
      <c r="AM79" s="105"/>
    </row>
    <row r="80" spans="1:39" x14ac:dyDescent="0.25">
      <c r="A80" s="98">
        <v>68</v>
      </c>
      <c r="B80" s="114">
        <f>INDEX('Tabl. 1'!$C$8:$AO$313,104+$AB75,MATCH($C$7,$AA$7:$AA$45))</f>
        <v>214845</v>
      </c>
      <c r="C80" s="114">
        <f>INDEX('Tabl. 1'!$C$8:$AO$313,206+$AB75,MATCH($C$7,$AA$7:$AA$45))</f>
        <v>269681</v>
      </c>
      <c r="I80" s="81"/>
      <c r="P80" s="87"/>
      <c r="Q80" s="87"/>
      <c r="R80" s="87"/>
      <c r="S80" s="87"/>
      <c r="T80" s="87"/>
      <c r="U80" s="87"/>
      <c r="V80" s="93"/>
      <c r="W80" s="93"/>
      <c r="X80" s="93"/>
      <c r="Y80" s="93"/>
      <c r="Z80" s="93"/>
      <c r="AA80" s="80"/>
      <c r="AB80" s="80">
        <v>73</v>
      </c>
      <c r="AC80" s="80"/>
      <c r="AD80" s="89">
        <f t="shared" si="4"/>
        <v>-173668</v>
      </c>
      <c r="AE80" s="90">
        <f t="shared" si="5"/>
        <v>173668</v>
      </c>
      <c r="AF80" s="80">
        <f t="shared" si="6"/>
        <v>0</v>
      </c>
      <c r="AG80" s="90">
        <f t="shared" si="7"/>
        <v>63915</v>
      </c>
      <c r="AH80" s="104"/>
      <c r="AI80" s="104"/>
      <c r="AJ80" s="105"/>
      <c r="AK80" s="105"/>
      <c r="AL80" s="105"/>
      <c r="AM80" s="105"/>
    </row>
    <row r="81" spans="1:39" x14ac:dyDescent="0.25">
      <c r="A81" s="98">
        <v>69</v>
      </c>
      <c r="B81" s="114">
        <f>INDEX('Tabl. 1'!$C$8:$AO$313,104+$AB76,MATCH($C$7,$AA$7:$AA$45))</f>
        <v>207276</v>
      </c>
      <c r="C81" s="114">
        <f>INDEX('Tabl. 1'!$C$8:$AO$313,206+$AB76,MATCH($C$7,$AA$7:$AA$45))</f>
        <v>265884</v>
      </c>
      <c r="I81" s="81"/>
      <c r="P81" s="87"/>
      <c r="Q81" s="87"/>
      <c r="R81" s="87"/>
      <c r="S81" s="87"/>
      <c r="T81" s="87"/>
      <c r="U81" s="87"/>
      <c r="V81" s="93"/>
      <c r="W81" s="93"/>
      <c r="X81" s="93"/>
      <c r="Y81" s="93"/>
      <c r="Z81" s="93"/>
      <c r="AA81" s="80"/>
      <c r="AB81" s="80">
        <v>74</v>
      </c>
      <c r="AC81" s="80"/>
      <c r="AD81" s="89">
        <f t="shared" si="4"/>
        <v>-159189</v>
      </c>
      <c r="AE81" s="90">
        <f t="shared" si="5"/>
        <v>159189</v>
      </c>
      <c r="AF81" s="80">
        <f t="shared" si="6"/>
        <v>0</v>
      </c>
      <c r="AG81" s="90">
        <f t="shared" si="7"/>
        <v>65102</v>
      </c>
      <c r="AH81" s="104"/>
      <c r="AI81" s="104"/>
      <c r="AJ81" s="105"/>
      <c r="AK81" s="105"/>
      <c r="AL81" s="105"/>
      <c r="AM81" s="105"/>
    </row>
    <row r="82" spans="1:39" x14ac:dyDescent="0.25">
      <c r="A82" s="98">
        <v>70</v>
      </c>
      <c r="B82" s="114">
        <f>INDEX('Tabl. 1'!$C$8:$AO$313,104+$AB77,MATCH($C$7,$AA$7:$AA$45))</f>
        <v>197254</v>
      </c>
      <c r="C82" s="114">
        <f>INDEX('Tabl. 1'!$C$8:$AO$313,206+$AB77,MATCH($C$7,$AA$7:$AA$45))</f>
        <v>258939</v>
      </c>
      <c r="I82" s="81"/>
      <c r="P82" s="87"/>
      <c r="Q82" s="87"/>
      <c r="R82" s="87"/>
      <c r="S82" s="87"/>
      <c r="T82" s="87"/>
      <c r="U82" s="87"/>
      <c r="V82" s="93"/>
      <c r="W82" s="93"/>
      <c r="X82" s="93"/>
      <c r="Y82" s="93"/>
      <c r="Z82" s="93"/>
      <c r="AA82" s="80"/>
      <c r="AB82" s="80">
        <v>75</v>
      </c>
      <c r="AC82" s="80"/>
      <c r="AD82" s="89">
        <f t="shared" si="4"/>
        <v>-149185</v>
      </c>
      <c r="AE82" s="90">
        <f t="shared" si="5"/>
        <v>149185</v>
      </c>
      <c r="AF82" s="80">
        <f t="shared" si="6"/>
        <v>0</v>
      </c>
      <c r="AG82" s="90">
        <f t="shared" si="7"/>
        <v>64273</v>
      </c>
      <c r="AH82" s="104"/>
      <c r="AI82" s="104"/>
      <c r="AJ82" s="105"/>
      <c r="AK82" s="105"/>
      <c r="AL82" s="105"/>
      <c r="AM82" s="105"/>
    </row>
    <row r="83" spans="1:39" x14ac:dyDescent="0.25">
      <c r="A83" s="98">
        <v>71</v>
      </c>
      <c r="B83" s="114">
        <f>INDEX('Tabl. 1'!$C$8:$AO$313,104+$AB78,MATCH($C$7,$AA$7:$AA$45))</f>
        <v>186799</v>
      </c>
      <c r="C83" s="114">
        <f>INDEX('Tabl. 1'!$C$8:$AO$313,206+$AB78,MATCH($C$7,$AA$7:$AA$45))</f>
        <v>252918</v>
      </c>
      <c r="I83" s="81"/>
      <c r="P83" s="87"/>
      <c r="Q83" s="87"/>
      <c r="R83" s="87"/>
      <c r="S83" s="87"/>
      <c r="T83" s="87"/>
      <c r="U83" s="87"/>
      <c r="V83" s="93"/>
      <c r="W83" s="93"/>
      <c r="X83" s="93"/>
      <c r="Y83" s="93"/>
      <c r="Z83" s="93"/>
      <c r="AA83" s="80"/>
      <c r="AB83" s="80">
        <v>76</v>
      </c>
      <c r="AC83" s="80"/>
      <c r="AD83" s="89">
        <f t="shared" si="4"/>
        <v>-132682</v>
      </c>
      <c r="AE83" s="90">
        <f t="shared" si="5"/>
        <v>132682</v>
      </c>
      <c r="AF83" s="80">
        <f t="shared" si="6"/>
        <v>0</v>
      </c>
      <c r="AG83" s="90">
        <f t="shared" si="7"/>
        <v>63342</v>
      </c>
      <c r="AH83" s="104"/>
      <c r="AI83" s="104"/>
      <c r="AJ83" s="105"/>
      <c r="AK83" s="105"/>
      <c r="AL83" s="105"/>
      <c r="AM83" s="105"/>
    </row>
    <row r="84" spans="1:39" x14ac:dyDescent="0.25">
      <c r="A84" s="98">
        <v>72</v>
      </c>
      <c r="B84" s="114">
        <f>INDEX('Tabl. 1'!$C$8:$AO$313,104+$AB79,MATCH($C$7,$AA$7:$AA$45))</f>
        <v>173668</v>
      </c>
      <c r="C84" s="114">
        <f>INDEX('Tabl. 1'!$C$8:$AO$313,206+$AB79,MATCH($C$7,$AA$7:$AA$45))</f>
        <v>237583</v>
      </c>
      <c r="I84" s="81"/>
      <c r="P84" s="87"/>
      <c r="Q84" s="87"/>
      <c r="R84" s="87"/>
      <c r="S84" s="87"/>
      <c r="T84" s="87"/>
      <c r="U84" s="87"/>
      <c r="V84" s="93"/>
      <c r="W84" s="93"/>
      <c r="X84" s="93"/>
      <c r="Y84" s="93"/>
      <c r="Z84" s="93"/>
      <c r="AA84" s="80"/>
      <c r="AB84" s="80">
        <v>77</v>
      </c>
      <c r="AC84" s="80"/>
      <c r="AD84" s="89">
        <f t="shared" si="4"/>
        <v>-114223</v>
      </c>
      <c r="AE84" s="90">
        <f t="shared" si="5"/>
        <v>114223</v>
      </c>
      <c r="AF84" s="80">
        <f t="shared" si="6"/>
        <v>0</v>
      </c>
      <c r="AG84" s="90">
        <f t="shared" si="7"/>
        <v>60338</v>
      </c>
      <c r="AH84" s="104"/>
      <c r="AI84" s="104"/>
      <c r="AJ84" s="105"/>
      <c r="AK84" s="105"/>
      <c r="AL84" s="105"/>
      <c r="AM84" s="105"/>
    </row>
    <row r="85" spans="1:39" x14ac:dyDescent="0.25">
      <c r="A85" s="98">
        <v>73</v>
      </c>
      <c r="B85" s="114">
        <f>INDEX('Tabl. 1'!$C$8:$AO$313,104+$AB80,MATCH($C$7,$AA$7:$AA$45))</f>
        <v>159189</v>
      </c>
      <c r="C85" s="114">
        <f>INDEX('Tabl. 1'!$C$8:$AO$313,206+$AB80,MATCH($C$7,$AA$7:$AA$45))</f>
        <v>224291</v>
      </c>
      <c r="I85" s="81"/>
      <c r="P85" s="87"/>
      <c r="Q85" s="87"/>
      <c r="R85" s="87"/>
      <c r="S85" s="87"/>
      <c r="T85" s="87"/>
      <c r="U85" s="87"/>
      <c r="V85" s="93"/>
      <c r="W85" s="93"/>
      <c r="X85" s="93"/>
      <c r="Y85" s="93"/>
      <c r="Z85" s="93"/>
      <c r="AA85" s="80"/>
      <c r="AB85" s="80">
        <v>78</v>
      </c>
      <c r="AC85" s="80"/>
      <c r="AD85" s="89">
        <f t="shared" si="4"/>
        <v>-77636</v>
      </c>
      <c r="AE85" s="90">
        <f t="shared" si="5"/>
        <v>77636</v>
      </c>
      <c r="AF85" s="80">
        <f t="shared" si="6"/>
        <v>0</v>
      </c>
      <c r="AG85" s="90">
        <f t="shared" si="7"/>
        <v>45129</v>
      </c>
      <c r="AH85" s="104"/>
      <c r="AI85" s="104"/>
      <c r="AJ85" s="105"/>
      <c r="AK85" s="105"/>
      <c r="AL85" s="105"/>
      <c r="AM85" s="105"/>
    </row>
    <row r="86" spans="1:39" x14ac:dyDescent="0.25">
      <c r="A86" s="98">
        <v>74</v>
      </c>
      <c r="B86" s="114">
        <f>INDEX('Tabl. 1'!$C$8:$AO$313,104+$AB81,MATCH($C$7,$AA$7:$AA$45))</f>
        <v>149185</v>
      </c>
      <c r="C86" s="114">
        <f>INDEX('Tabl. 1'!$C$8:$AO$313,206+$AB81,MATCH($C$7,$AA$7:$AA$45))</f>
        <v>213458</v>
      </c>
      <c r="I86" s="81"/>
      <c r="P86" s="87"/>
      <c r="Q86" s="87"/>
      <c r="R86" s="87"/>
      <c r="S86" s="87"/>
      <c r="T86" s="87"/>
      <c r="U86" s="87"/>
      <c r="V86" s="93"/>
      <c r="W86" s="93"/>
      <c r="X86" s="93"/>
      <c r="Y86" s="93"/>
      <c r="Z86" s="93"/>
      <c r="AA86" s="80"/>
      <c r="AB86" s="80">
        <v>79</v>
      </c>
      <c r="AC86" s="80"/>
      <c r="AD86" s="89">
        <f t="shared" si="4"/>
        <v>-71835</v>
      </c>
      <c r="AE86" s="90">
        <f t="shared" si="5"/>
        <v>71835</v>
      </c>
      <c r="AF86" s="80">
        <f t="shared" si="6"/>
        <v>0</v>
      </c>
      <c r="AG86" s="90">
        <f t="shared" si="7"/>
        <v>47113</v>
      </c>
      <c r="AH86" s="104"/>
      <c r="AI86" s="104"/>
      <c r="AJ86" s="105"/>
      <c r="AK86" s="105"/>
      <c r="AL86" s="105"/>
      <c r="AM86" s="105"/>
    </row>
    <row r="87" spans="1:39" x14ac:dyDescent="0.25">
      <c r="A87" s="98">
        <v>75</v>
      </c>
      <c r="B87" s="114">
        <f>INDEX('Tabl. 1'!$C$8:$AO$313,104+$AB82,MATCH($C$7,$AA$7:$AA$45))</f>
        <v>132682</v>
      </c>
      <c r="C87" s="114">
        <f>INDEX('Tabl. 1'!$C$8:$AO$313,206+$AB82,MATCH($C$7,$AA$7:$AA$45))</f>
        <v>196024</v>
      </c>
      <c r="I87" s="81"/>
      <c r="P87" s="87"/>
      <c r="Q87" s="87"/>
      <c r="R87" s="87"/>
      <c r="S87" s="87"/>
      <c r="T87" s="87"/>
      <c r="U87" s="87"/>
      <c r="V87" s="93"/>
      <c r="W87" s="93"/>
      <c r="X87" s="93"/>
      <c r="Y87" s="93"/>
      <c r="Z87" s="93"/>
      <c r="AA87" s="80"/>
      <c r="AB87" s="80">
        <v>80</v>
      </c>
      <c r="AC87" s="80"/>
      <c r="AD87" s="89">
        <f t="shared" si="4"/>
        <v>-65855</v>
      </c>
      <c r="AE87" s="90">
        <f t="shared" si="5"/>
        <v>65855</v>
      </c>
      <c r="AF87" s="80">
        <f t="shared" si="6"/>
        <v>0</v>
      </c>
      <c r="AG87" s="90">
        <f t="shared" si="7"/>
        <v>45921</v>
      </c>
      <c r="AH87" s="104"/>
      <c r="AI87" s="104"/>
      <c r="AJ87" s="105"/>
      <c r="AK87" s="105"/>
      <c r="AL87" s="105"/>
      <c r="AM87" s="105"/>
    </row>
    <row r="88" spans="1:39" x14ac:dyDescent="0.25">
      <c r="A88" s="98">
        <v>76</v>
      </c>
      <c r="B88" s="114">
        <f>INDEX('Tabl. 1'!$C$8:$AO$313,104+$AB83,MATCH($C$7,$AA$7:$AA$45))</f>
        <v>114223</v>
      </c>
      <c r="C88" s="114">
        <f>INDEX('Tabl. 1'!$C$8:$AO$313,206+$AB83,MATCH($C$7,$AA$7:$AA$45))</f>
        <v>174561</v>
      </c>
      <c r="I88" s="81"/>
      <c r="P88" s="87"/>
      <c r="Q88" s="87"/>
      <c r="R88" s="87"/>
      <c r="S88" s="87"/>
      <c r="T88" s="87"/>
      <c r="U88" s="87"/>
      <c r="V88" s="93"/>
      <c r="W88" s="93"/>
      <c r="X88" s="93"/>
      <c r="Y88" s="93"/>
      <c r="Z88" s="93"/>
      <c r="AA88" s="80"/>
      <c r="AB88" s="80">
        <v>81</v>
      </c>
      <c r="AC88" s="80"/>
      <c r="AD88" s="89">
        <f t="shared" si="4"/>
        <v>-59997</v>
      </c>
      <c r="AE88" s="90">
        <f t="shared" si="5"/>
        <v>59997</v>
      </c>
      <c r="AF88" s="80">
        <f t="shared" si="6"/>
        <v>0</v>
      </c>
      <c r="AG88" s="90">
        <f t="shared" si="7"/>
        <v>46377</v>
      </c>
      <c r="AH88" s="104"/>
      <c r="AI88" s="104"/>
      <c r="AJ88" s="105"/>
      <c r="AK88" s="105"/>
      <c r="AL88" s="105"/>
      <c r="AM88" s="105"/>
    </row>
    <row r="89" spans="1:39" x14ac:dyDescent="0.25">
      <c r="A89" s="98">
        <v>77</v>
      </c>
      <c r="B89" s="114">
        <f>INDEX('Tabl. 1'!$C$8:$AO$313,104+$AB84,MATCH($C$7,$AA$7:$AA$45))</f>
        <v>77636</v>
      </c>
      <c r="C89" s="114">
        <f>INDEX('Tabl. 1'!$C$8:$AO$313,206+$AB84,MATCH($C$7,$AA$7:$AA$45))</f>
        <v>122765</v>
      </c>
      <c r="I89" s="81"/>
      <c r="P89" s="87"/>
      <c r="Q89" s="87"/>
      <c r="R89" s="87"/>
      <c r="S89" s="87"/>
      <c r="T89" s="87"/>
      <c r="U89" s="87"/>
      <c r="V89" s="93"/>
      <c r="W89" s="93"/>
      <c r="X89" s="93"/>
      <c r="Y89" s="93"/>
      <c r="Z89" s="93"/>
      <c r="AA89" s="80"/>
      <c r="AB89" s="80">
        <v>82</v>
      </c>
      <c r="AC89" s="80"/>
      <c r="AD89" s="89">
        <f t="shared" si="4"/>
        <v>-59022</v>
      </c>
      <c r="AE89" s="90">
        <f t="shared" si="5"/>
        <v>59022</v>
      </c>
      <c r="AF89" s="80">
        <f t="shared" si="6"/>
        <v>0</v>
      </c>
      <c r="AG89" s="90">
        <f t="shared" si="7"/>
        <v>50409</v>
      </c>
      <c r="AH89" s="104"/>
      <c r="AI89" s="104"/>
      <c r="AJ89" s="105"/>
      <c r="AK89" s="105"/>
      <c r="AL89" s="105"/>
      <c r="AM89" s="105"/>
    </row>
    <row r="90" spans="1:39" x14ac:dyDescent="0.25">
      <c r="A90" s="98">
        <v>78</v>
      </c>
      <c r="B90" s="114">
        <f>INDEX('Tabl. 1'!$C$8:$AO$313,104+$AB85,MATCH($C$7,$AA$7:$AA$45))</f>
        <v>71835</v>
      </c>
      <c r="C90" s="114">
        <f>INDEX('Tabl. 1'!$C$8:$AO$313,206+$AB85,MATCH($C$7,$AA$7:$AA$45))</f>
        <v>118948</v>
      </c>
      <c r="I90" s="81"/>
      <c r="P90" s="87"/>
      <c r="Q90" s="87"/>
      <c r="R90" s="87"/>
      <c r="S90" s="87"/>
      <c r="T90" s="87"/>
      <c r="U90" s="87"/>
      <c r="V90" s="93"/>
      <c r="W90" s="93"/>
      <c r="X90" s="93"/>
      <c r="Y90" s="93"/>
      <c r="Z90" s="93"/>
      <c r="AA90" s="80"/>
      <c r="AB90" s="80">
        <v>83</v>
      </c>
      <c r="AC90" s="80"/>
      <c r="AD90" s="89">
        <f t="shared" si="4"/>
        <v>-56426</v>
      </c>
      <c r="AE90" s="90">
        <f t="shared" si="5"/>
        <v>56426</v>
      </c>
      <c r="AF90" s="80">
        <f t="shared" si="6"/>
        <v>0</v>
      </c>
      <c r="AG90" s="90">
        <f t="shared" si="7"/>
        <v>53654</v>
      </c>
      <c r="AH90" s="104"/>
      <c r="AI90" s="104"/>
      <c r="AJ90" s="105"/>
      <c r="AK90" s="105"/>
      <c r="AL90" s="105"/>
      <c r="AM90" s="105"/>
    </row>
    <row r="91" spans="1:39" x14ac:dyDescent="0.25">
      <c r="A91" s="98">
        <v>79</v>
      </c>
      <c r="B91" s="114">
        <f>INDEX('Tabl. 1'!$C$8:$AO$313,104+$AB86,MATCH($C$7,$AA$7:$AA$45))</f>
        <v>65855</v>
      </c>
      <c r="C91" s="114">
        <f>INDEX('Tabl. 1'!$C$8:$AO$313,206+$AB86,MATCH($C$7,$AA$7:$AA$45))</f>
        <v>111776</v>
      </c>
      <c r="I91" s="81"/>
      <c r="P91" s="87"/>
      <c r="Q91" s="87"/>
      <c r="R91" s="87"/>
      <c r="S91" s="87"/>
      <c r="T91" s="87"/>
      <c r="U91" s="87"/>
      <c r="V91" s="93"/>
      <c r="W91" s="93"/>
      <c r="X91" s="93"/>
      <c r="Y91" s="93"/>
      <c r="Z91" s="93"/>
      <c r="AA91" s="80"/>
      <c r="AB91" s="80">
        <v>84</v>
      </c>
      <c r="AC91" s="80"/>
      <c r="AD91" s="89">
        <f t="shared" si="4"/>
        <v>-51092</v>
      </c>
      <c r="AE91" s="90">
        <f t="shared" si="5"/>
        <v>51092</v>
      </c>
      <c r="AF91" s="80">
        <f t="shared" si="6"/>
        <v>0</v>
      </c>
      <c r="AG91" s="90">
        <f t="shared" si="7"/>
        <v>53834</v>
      </c>
      <c r="AH91" s="104"/>
      <c r="AI91" s="104"/>
      <c r="AJ91" s="105"/>
      <c r="AK91" s="105"/>
      <c r="AL91" s="105"/>
      <c r="AM91" s="105"/>
    </row>
    <row r="92" spans="1:39" x14ac:dyDescent="0.25">
      <c r="A92" s="98">
        <v>80</v>
      </c>
      <c r="B92" s="114">
        <f>INDEX('Tabl. 1'!$C$8:$AO$313,104+$AB87,MATCH($C$7,$AA$7:$AA$45))</f>
        <v>59997</v>
      </c>
      <c r="C92" s="114">
        <f>INDEX('Tabl. 1'!$C$8:$AO$313,206+$AB87,MATCH($C$7,$AA$7:$AA$45))</f>
        <v>106374</v>
      </c>
      <c r="I92" s="81"/>
      <c r="P92" s="87"/>
      <c r="Q92" s="87"/>
      <c r="R92" s="87"/>
      <c r="S92" s="87"/>
      <c r="T92" s="87"/>
      <c r="U92" s="87"/>
      <c r="V92" s="93"/>
      <c r="W92" s="93"/>
      <c r="X92" s="93"/>
      <c r="Y92" s="93"/>
      <c r="Z92" s="93"/>
      <c r="AA92" s="80"/>
      <c r="AB92" s="80">
        <v>85</v>
      </c>
      <c r="AC92" s="80"/>
      <c r="AD92" s="89">
        <f t="shared" si="4"/>
        <v>-45976</v>
      </c>
      <c r="AE92" s="90">
        <f t="shared" si="5"/>
        <v>45976</v>
      </c>
      <c r="AF92" s="80">
        <f t="shared" si="6"/>
        <v>0</v>
      </c>
      <c r="AG92" s="90">
        <f t="shared" si="7"/>
        <v>52134</v>
      </c>
      <c r="AH92" s="104"/>
      <c r="AI92" s="104"/>
      <c r="AJ92" s="105"/>
      <c r="AK92" s="105"/>
      <c r="AL92" s="105"/>
      <c r="AM92" s="105"/>
    </row>
    <row r="93" spans="1:39" x14ac:dyDescent="0.25">
      <c r="A93" s="98">
        <v>81</v>
      </c>
      <c r="B93" s="114">
        <f>INDEX('Tabl. 1'!$C$8:$AO$313,104+$AB88,MATCH($C$7,$AA$7:$AA$45))</f>
        <v>59022</v>
      </c>
      <c r="C93" s="114">
        <f>INDEX('Tabl. 1'!$C$8:$AO$313,206+$AB88,MATCH($C$7,$AA$7:$AA$45))</f>
        <v>109431</v>
      </c>
      <c r="I93" s="81"/>
      <c r="P93" s="87"/>
      <c r="Q93" s="87"/>
      <c r="R93" s="87"/>
      <c r="S93" s="87"/>
      <c r="T93" s="87"/>
      <c r="U93" s="87"/>
      <c r="V93" s="93"/>
      <c r="W93" s="93"/>
      <c r="X93" s="93"/>
      <c r="Y93" s="93"/>
      <c r="Z93" s="93"/>
      <c r="AA93" s="80"/>
      <c r="AB93" s="80">
        <v>86</v>
      </c>
      <c r="AC93" s="80"/>
      <c r="AD93" s="89">
        <f t="shared" si="4"/>
        <v>-41231</v>
      </c>
      <c r="AE93" s="90">
        <f t="shared" si="5"/>
        <v>41231</v>
      </c>
      <c r="AF93" s="80">
        <f t="shared" si="6"/>
        <v>0</v>
      </c>
      <c r="AG93" s="90">
        <f t="shared" si="7"/>
        <v>50336</v>
      </c>
      <c r="AH93" s="104"/>
      <c r="AI93" s="104"/>
      <c r="AJ93" s="105"/>
      <c r="AK93" s="105"/>
      <c r="AL93" s="105"/>
      <c r="AM93" s="105"/>
    </row>
    <row r="94" spans="1:39" x14ac:dyDescent="0.25">
      <c r="A94" s="98">
        <v>82</v>
      </c>
      <c r="B94" s="114">
        <f>INDEX('Tabl. 1'!$C$8:$AO$313,104+$AB89,MATCH($C$7,$AA$7:$AA$45))</f>
        <v>56426</v>
      </c>
      <c r="C94" s="114">
        <f>INDEX('Tabl. 1'!$C$8:$AO$313,206+$AB89,MATCH($C$7,$AA$7:$AA$45))</f>
        <v>110080</v>
      </c>
      <c r="I94" s="81"/>
      <c r="P94" s="87"/>
      <c r="Q94" s="87"/>
      <c r="R94" s="87"/>
      <c r="S94" s="87"/>
      <c r="T94" s="87"/>
      <c r="U94" s="87"/>
      <c r="V94" s="93"/>
      <c r="W94" s="93"/>
      <c r="X94" s="93"/>
      <c r="Y94" s="93"/>
      <c r="Z94" s="93"/>
      <c r="AA94" s="80"/>
      <c r="AB94" s="80">
        <v>87</v>
      </c>
      <c r="AC94" s="80"/>
      <c r="AD94" s="89">
        <f t="shared" si="4"/>
        <v>-36240</v>
      </c>
      <c r="AE94" s="90">
        <f t="shared" si="5"/>
        <v>36240</v>
      </c>
      <c r="AF94" s="80">
        <f t="shared" si="6"/>
        <v>0</v>
      </c>
      <c r="AG94" s="90">
        <f t="shared" si="7"/>
        <v>48809</v>
      </c>
      <c r="AH94" s="104"/>
      <c r="AI94" s="104"/>
      <c r="AJ94" s="105"/>
      <c r="AK94" s="105"/>
      <c r="AL94" s="105"/>
      <c r="AM94" s="105"/>
    </row>
    <row r="95" spans="1:39" x14ac:dyDescent="0.25">
      <c r="A95" s="98">
        <v>83</v>
      </c>
      <c r="B95" s="114">
        <f>INDEX('Tabl. 1'!$C$8:$AO$313,104+$AB90,MATCH($C$7,$AA$7:$AA$45))</f>
        <v>51092</v>
      </c>
      <c r="C95" s="114">
        <f>INDEX('Tabl. 1'!$C$8:$AO$313,206+$AB90,MATCH($C$7,$AA$7:$AA$45))</f>
        <v>104926</v>
      </c>
      <c r="I95" s="81"/>
      <c r="P95" s="87"/>
      <c r="Q95" s="87"/>
      <c r="R95" s="87"/>
      <c r="S95" s="87"/>
      <c r="T95" s="87"/>
      <c r="U95" s="87"/>
      <c r="V95" s="93"/>
      <c r="W95" s="93"/>
      <c r="X95" s="93"/>
      <c r="Y95" s="93"/>
      <c r="Z95" s="93"/>
      <c r="AA95" s="80"/>
      <c r="AB95" s="80">
        <v>88</v>
      </c>
      <c r="AC95" s="80"/>
      <c r="AD95" s="89">
        <f t="shared" si="4"/>
        <v>-30731</v>
      </c>
      <c r="AE95" s="90">
        <f t="shared" si="5"/>
        <v>30731</v>
      </c>
      <c r="AF95" s="80">
        <f t="shared" si="6"/>
        <v>0</v>
      </c>
      <c r="AG95" s="90">
        <f t="shared" si="7"/>
        <v>44063</v>
      </c>
      <c r="AH95" s="104"/>
      <c r="AI95" s="104"/>
      <c r="AJ95" s="105"/>
      <c r="AK95" s="105"/>
      <c r="AL95" s="105"/>
      <c r="AM95" s="105"/>
    </row>
    <row r="96" spans="1:39" x14ac:dyDescent="0.25">
      <c r="A96" s="98">
        <v>84</v>
      </c>
      <c r="B96" s="114">
        <f>INDEX('Tabl. 1'!$C$8:$AO$313,104+$AB91,MATCH($C$7,$AA$7:$AA$45))</f>
        <v>45976</v>
      </c>
      <c r="C96" s="114">
        <f>INDEX('Tabl. 1'!$C$8:$AO$313,206+$AB91,MATCH($C$7,$AA$7:$AA$45))</f>
        <v>98110</v>
      </c>
      <c r="I96" s="81"/>
      <c r="P96" s="87"/>
      <c r="Q96" s="87"/>
      <c r="R96" s="87"/>
      <c r="S96" s="87"/>
      <c r="T96" s="87"/>
      <c r="U96" s="87"/>
      <c r="V96" s="93"/>
      <c r="W96" s="93"/>
      <c r="X96" s="93"/>
      <c r="Y96" s="93"/>
      <c r="Z96" s="93"/>
      <c r="AA96" s="80"/>
      <c r="AB96" s="80">
        <v>89</v>
      </c>
      <c r="AC96" s="80"/>
      <c r="AD96" s="89">
        <f t="shared" si="4"/>
        <v>-25279</v>
      </c>
      <c r="AE96" s="90">
        <f t="shared" si="5"/>
        <v>25279</v>
      </c>
      <c r="AF96" s="80">
        <f t="shared" si="6"/>
        <v>0</v>
      </c>
      <c r="AG96" s="90">
        <f t="shared" si="7"/>
        <v>38970</v>
      </c>
      <c r="AH96" s="104"/>
      <c r="AI96" s="104"/>
      <c r="AJ96" s="105"/>
      <c r="AK96" s="105"/>
      <c r="AL96" s="105"/>
      <c r="AM96" s="105"/>
    </row>
    <row r="97" spans="1:39" x14ac:dyDescent="0.25">
      <c r="A97" s="98">
        <v>85</v>
      </c>
      <c r="B97" s="114">
        <f>INDEX('Tabl. 1'!$C$8:$AO$313,104+$AB92,MATCH($C$7,$AA$7:$AA$45))</f>
        <v>41231</v>
      </c>
      <c r="C97" s="114">
        <f>INDEX('Tabl. 1'!$C$8:$AO$313,206+$AB92,MATCH($C$7,$AA$7:$AA$45))</f>
        <v>91567</v>
      </c>
      <c r="I97" s="81"/>
      <c r="P97" s="87"/>
      <c r="Q97" s="87"/>
      <c r="R97" s="87"/>
      <c r="S97" s="87"/>
      <c r="T97" s="87"/>
      <c r="U97" s="87"/>
      <c r="V97" s="93"/>
      <c r="W97" s="93"/>
      <c r="X97" s="93"/>
      <c r="Y97" s="93"/>
      <c r="Z97" s="93"/>
      <c r="AA97" s="80"/>
      <c r="AB97" s="80">
        <v>90</v>
      </c>
      <c r="AC97" s="80"/>
      <c r="AD97" s="89">
        <f t="shared" si="4"/>
        <v>-20883</v>
      </c>
      <c r="AE97" s="90">
        <f t="shared" si="5"/>
        <v>20883</v>
      </c>
      <c r="AF97" s="80">
        <f t="shared" si="6"/>
        <v>0</v>
      </c>
      <c r="AG97" s="90">
        <f t="shared" si="7"/>
        <v>33732</v>
      </c>
      <c r="AH97" s="104"/>
      <c r="AI97" s="104"/>
      <c r="AJ97" s="105"/>
      <c r="AK97" s="105"/>
      <c r="AL97" s="105"/>
      <c r="AM97" s="105"/>
    </row>
    <row r="98" spans="1:39" x14ac:dyDescent="0.25">
      <c r="A98" s="98">
        <v>86</v>
      </c>
      <c r="B98" s="114">
        <f>INDEX('Tabl. 1'!$C$8:$AO$313,104+$AB93,MATCH($C$7,$AA$7:$AA$45))</f>
        <v>36240</v>
      </c>
      <c r="C98" s="114">
        <f>INDEX('Tabl. 1'!$C$8:$AO$313,206+$AB93,MATCH($C$7,$AA$7:$AA$45))</f>
        <v>85049</v>
      </c>
      <c r="I98" s="81"/>
      <c r="P98" s="87"/>
      <c r="Q98" s="87"/>
      <c r="R98" s="87"/>
      <c r="S98" s="87"/>
      <c r="T98" s="87"/>
      <c r="U98" s="87"/>
      <c r="V98" s="93"/>
      <c r="W98" s="93"/>
      <c r="X98" s="93"/>
      <c r="Y98" s="93"/>
      <c r="Z98" s="93"/>
      <c r="AA98" s="80"/>
      <c r="AB98" s="80">
        <v>91</v>
      </c>
      <c r="AC98" s="80"/>
      <c r="AD98" s="89">
        <f t="shared" si="4"/>
        <v>-17460</v>
      </c>
      <c r="AE98" s="90">
        <f t="shared" si="5"/>
        <v>17460</v>
      </c>
      <c r="AF98" s="80">
        <f t="shared" si="6"/>
        <v>0</v>
      </c>
      <c r="AG98" s="90">
        <f t="shared" si="7"/>
        <v>31068</v>
      </c>
      <c r="AH98" s="104"/>
      <c r="AI98" s="104"/>
      <c r="AJ98" s="105"/>
      <c r="AK98" s="105"/>
      <c r="AL98" s="105"/>
      <c r="AM98" s="105"/>
    </row>
    <row r="99" spans="1:39" x14ac:dyDescent="0.25">
      <c r="A99" s="98">
        <v>87</v>
      </c>
      <c r="B99" s="114">
        <f>INDEX('Tabl. 1'!$C$8:$AO$313,104+$AB94,MATCH($C$7,$AA$7:$AA$45))</f>
        <v>30731</v>
      </c>
      <c r="C99" s="114">
        <f>INDEX('Tabl. 1'!$C$8:$AO$313,206+$AB94,MATCH($C$7,$AA$7:$AA$45))</f>
        <v>74794</v>
      </c>
      <c r="I99" s="81"/>
      <c r="P99" s="87"/>
      <c r="Q99" s="87"/>
      <c r="R99" s="87"/>
      <c r="S99" s="87"/>
      <c r="T99" s="87"/>
      <c r="U99" s="87"/>
      <c r="V99" s="93"/>
      <c r="W99" s="93"/>
      <c r="X99" s="93"/>
      <c r="Y99" s="93"/>
      <c r="Z99" s="93"/>
      <c r="AA99" s="80"/>
      <c r="AB99" s="80">
        <v>92</v>
      </c>
      <c r="AC99" s="80"/>
      <c r="AD99" s="89">
        <f t="shared" si="4"/>
        <v>-14058</v>
      </c>
      <c r="AE99" s="90">
        <f t="shared" si="5"/>
        <v>14058</v>
      </c>
      <c r="AF99" s="80">
        <f t="shared" si="6"/>
        <v>0</v>
      </c>
      <c r="AG99" s="90">
        <f t="shared" si="7"/>
        <v>26337</v>
      </c>
      <c r="AH99" s="104"/>
      <c r="AI99" s="104"/>
      <c r="AJ99" s="105"/>
      <c r="AK99" s="105"/>
      <c r="AL99" s="105"/>
      <c r="AM99" s="105"/>
    </row>
    <row r="100" spans="1:39" x14ac:dyDescent="0.25">
      <c r="A100" s="98">
        <v>88</v>
      </c>
      <c r="B100" s="114">
        <f>INDEX('Tabl. 1'!$C$8:$AO$313,104+$AB95,MATCH($C$7,$AA$7:$AA$45))</f>
        <v>25279</v>
      </c>
      <c r="C100" s="114">
        <f>INDEX('Tabl. 1'!$C$8:$AO$313,206+$AB95,MATCH($C$7,$AA$7:$AA$45))</f>
        <v>64249</v>
      </c>
      <c r="I100" s="81"/>
      <c r="P100" s="87"/>
      <c r="Q100" s="87"/>
      <c r="R100" s="87"/>
      <c r="S100" s="87"/>
      <c r="T100" s="87"/>
      <c r="U100" s="87"/>
      <c r="V100" s="93"/>
      <c r="W100" s="93"/>
      <c r="X100" s="93"/>
      <c r="Y100" s="93"/>
      <c r="Z100" s="93"/>
      <c r="AA100" s="80"/>
      <c r="AB100" s="80">
        <v>93</v>
      </c>
      <c r="AC100" s="80"/>
      <c r="AD100" s="89">
        <f t="shared" si="4"/>
        <v>-10977</v>
      </c>
      <c r="AE100" s="90">
        <f t="shared" si="5"/>
        <v>10977</v>
      </c>
      <c r="AF100" s="80">
        <f t="shared" si="6"/>
        <v>0</v>
      </c>
      <c r="AG100" s="90">
        <f t="shared" si="7"/>
        <v>22096</v>
      </c>
      <c r="AH100" s="104"/>
      <c r="AI100" s="104"/>
      <c r="AJ100" s="105"/>
      <c r="AK100" s="105"/>
      <c r="AL100" s="105"/>
      <c r="AM100" s="105"/>
    </row>
    <row r="101" spans="1:39" x14ac:dyDescent="0.25">
      <c r="A101" s="98">
        <v>89</v>
      </c>
      <c r="B101" s="114">
        <f>INDEX('Tabl. 1'!$C$8:$AO$313,104+$AB96,MATCH($C$7,$AA$7:$AA$45))</f>
        <v>20883</v>
      </c>
      <c r="C101" s="114">
        <f>INDEX('Tabl. 1'!$C$8:$AO$313,206+$AB96,MATCH($C$7,$AA$7:$AA$45))</f>
        <v>54615</v>
      </c>
      <c r="I101" s="81"/>
      <c r="P101" s="87"/>
      <c r="Q101" s="87"/>
      <c r="R101" s="87"/>
      <c r="S101" s="87"/>
      <c r="T101" s="87"/>
      <c r="U101" s="87"/>
      <c r="V101" s="93"/>
      <c r="W101" s="93"/>
      <c r="X101" s="93"/>
      <c r="Y101" s="93"/>
      <c r="Z101" s="93"/>
      <c r="AA101" s="80"/>
      <c r="AB101" s="80">
        <v>94</v>
      </c>
      <c r="AC101" s="80"/>
      <c r="AD101" s="89">
        <f t="shared" si="4"/>
        <v>-7767</v>
      </c>
      <c r="AE101" s="90">
        <f t="shared" si="5"/>
        <v>7767</v>
      </c>
      <c r="AF101" s="80">
        <f t="shared" si="6"/>
        <v>0</v>
      </c>
      <c r="AG101" s="90">
        <f t="shared" si="7"/>
        <v>16637</v>
      </c>
      <c r="AH101" s="104"/>
      <c r="AI101" s="104"/>
      <c r="AJ101" s="105"/>
      <c r="AK101" s="105"/>
      <c r="AL101" s="105"/>
      <c r="AM101" s="105"/>
    </row>
    <row r="102" spans="1:39" x14ac:dyDescent="0.25">
      <c r="A102" s="98">
        <v>90</v>
      </c>
      <c r="B102" s="114">
        <f>INDEX('Tabl. 1'!$C$8:$AO$313,104+$AB97,MATCH($C$7,$AA$7:$AA$45))</f>
        <v>17460</v>
      </c>
      <c r="C102" s="114">
        <f>INDEX('Tabl. 1'!$C$8:$AO$313,206+$AB97,MATCH($C$7,$AA$7:$AA$45))</f>
        <v>48528</v>
      </c>
      <c r="I102" s="81"/>
      <c r="P102" s="87"/>
      <c r="Q102" s="87"/>
      <c r="R102" s="87"/>
      <c r="S102" s="87"/>
      <c r="T102" s="87"/>
      <c r="U102" s="87"/>
      <c r="V102" s="93"/>
      <c r="W102" s="93"/>
      <c r="X102" s="93"/>
      <c r="Y102" s="93"/>
      <c r="Z102" s="93"/>
      <c r="AA102" s="80"/>
      <c r="AB102" s="80">
        <v>95</v>
      </c>
      <c r="AC102" s="80"/>
      <c r="AD102" s="89">
        <f t="shared" si="4"/>
        <v>-5661</v>
      </c>
      <c r="AE102" s="90">
        <f t="shared" si="5"/>
        <v>5661</v>
      </c>
      <c r="AF102" s="80">
        <f t="shared" si="6"/>
        <v>0</v>
      </c>
      <c r="AG102" s="90">
        <f t="shared" si="7"/>
        <v>13028</v>
      </c>
      <c r="AH102" s="104"/>
      <c r="AI102" s="104"/>
      <c r="AJ102" s="105"/>
      <c r="AK102" s="105"/>
      <c r="AL102" s="105"/>
      <c r="AM102" s="105"/>
    </row>
    <row r="103" spans="1:39" x14ac:dyDescent="0.25">
      <c r="A103" s="98">
        <v>91</v>
      </c>
      <c r="B103" s="114">
        <f>INDEX('Tabl. 1'!$C$8:$AO$313,104+$AB98,MATCH($C$7,$AA$7:$AA$45))</f>
        <v>14058</v>
      </c>
      <c r="C103" s="114">
        <f>INDEX('Tabl. 1'!$C$8:$AO$313,206+$AB98,MATCH($C$7,$AA$7:$AA$45))</f>
        <v>40395</v>
      </c>
      <c r="I103" s="81"/>
      <c r="P103" s="87"/>
      <c r="Q103" s="87"/>
      <c r="R103" s="87"/>
      <c r="S103" s="87"/>
      <c r="T103" s="87"/>
      <c r="U103" s="87"/>
      <c r="V103" s="93"/>
      <c r="W103" s="93"/>
      <c r="X103" s="93"/>
      <c r="Y103" s="93"/>
      <c r="Z103" s="93"/>
      <c r="AA103" s="80"/>
      <c r="AB103" s="80">
        <v>96</v>
      </c>
      <c r="AC103" s="80"/>
      <c r="AD103" s="89">
        <f t="shared" si="4"/>
        <v>-3716</v>
      </c>
      <c r="AE103" s="90">
        <f t="shared" si="5"/>
        <v>3716</v>
      </c>
      <c r="AF103" s="80">
        <f t="shared" si="6"/>
        <v>0</v>
      </c>
      <c r="AG103" s="90">
        <f t="shared" si="7"/>
        <v>9382</v>
      </c>
      <c r="AH103" s="104"/>
      <c r="AI103" s="104"/>
      <c r="AJ103" s="105"/>
      <c r="AK103" s="105"/>
      <c r="AL103" s="105"/>
      <c r="AM103" s="105"/>
    </row>
    <row r="104" spans="1:39" x14ac:dyDescent="0.25">
      <c r="A104" s="98">
        <v>92</v>
      </c>
      <c r="B104" s="114">
        <f>INDEX('Tabl. 1'!$C$8:$AO$313,104+$AB99,MATCH($C$7,$AA$7:$AA$45))</f>
        <v>10977</v>
      </c>
      <c r="C104" s="114">
        <f>INDEX('Tabl. 1'!$C$8:$AO$313,206+$AB99,MATCH($C$7,$AA$7:$AA$45))</f>
        <v>33073</v>
      </c>
      <c r="I104" s="81"/>
      <c r="P104" s="87"/>
      <c r="Q104" s="87"/>
      <c r="R104" s="87"/>
      <c r="S104" s="87"/>
      <c r="T104" s="87"/>
      <c r="U104" s="87"/>
      <c r="V104" s="93"/>
      <c r="W104" s="93"/>
      <c r="X104" s="93"/>
      <c r="Y104" s="93"/>
      <c r="Z104" s="93"/>
      <c r="AA104" s="80"/>
      <c r="AB104" s="80">
        <v>97</v>
      </c>
      <c r="AC104" s="80"/>
      <c r="AD104" s="89">
        <f t="shared" si="4"/>
        <v>-2466</v>
      </c>
      <c r="AE104" s="90">
        <f t="shared" si="5"/>
        <v>2466</v>
      </c>
      <c r="AF104" s="80">
        <f t="shared" si="6"/>
        <v>0</v>
      </c>
      <c r="AG104" s="90">
        <f t="shared" si="7"/>
        <v>6950</v>
      </c>
      <c r="AH104" s="104"/>
      <c r="AI104" s="104"/>
      <c r="AJ104" s="105"/>
      <c r="AK104" s="105"/>
      <c r="AL104" s="105"/>
      <c r="AM104" s="105"/>
    </row>
    <row r="105" spans="1:39" x14ac:dyDescent="0.25">
      <c r="A105" s="98">
        <v>93</v>
      </c>
      <c r="B105" s="114">
        <f>INDEX('Tabl. 1'!$C$8:$AO$313,104+$AB100,MATCH($C$7,$AA$7:$AA$45))</f>
        <v>7767</v>
      </c>
      <c r="C105" s="114">
        <f>INDEX('Tabl. 1'!$C$8:$AO$313,206+$AB100,MATCH($C$7,$AA$7:$AA$45))</f>
        <v>24404</v>
      </c>
      <c r="I105" s="81"/>
      <c r="P105" s="87"/>
      <c r="Q105" s="87"/>
      <c r="R105" s="87"/>
      <c r="S105" s="87"/>
      <c r="T105" s="87"/>
      <c r="U105" s="87"/>
      <c r="V105" s="93"/>
      <c r="W105" s="93"/>
      <c r="X105" s="93"/>
      <c r="Y105" s="93"/>
      <c r="Z105" s="93"/>
      <c r="AA105" s="80"/>
      <c r="AB105" s="80">
        <v>98</v>
      </c>
      <c r="AC105" s="80"/>
      <c r="AD105" s="89">
        <f t="shared" si="4"/>
        <v>-1771</v>
      </c>
      <c r="AE105" s="90">
        <f t="shared" si="5"/>
        <v>1771</v>
      </c>
      <c r="AF105" s="80">
        <f t="shared" si="6"/>
        <v>0</v>
      </c>
      <c r="AG105" s="90">
        <f t="shared" si="7"/>
        <v>5333</v>
      </c>
      <c r="AH105" s="104"/>
      <c r="AI105" s="104"/>
      <c r="AJ105" s="105"/>
      <c r="AK105" s="105"/>
      <c r="AL105" s="105"/>
      <c r="AM105" s="105"/>
    </row>
    <row r="106" spans="1:39" x14ac:dyDescent="0.25">
      <c r="A106" s="98">
        <v>94</v>
      </c>
      <c r="B106" s="114">
        <f>INDEX('Tabl. 1'!$C$8:$AO$313,104+$AB101,MATCH($C$7,$AA$7:$AA$45))</f>
        <v>5661</v>
      </c>
      <c r="C106" s="114">
        <f>INDEX('Tabl. 1'!$C$8:$AO$313,206+$AB101,MATCH($C$7,$AA$7:$AA$45))</f>
        <v>18689</v>
      </c>
      <c r="I106" s="81"/>
      <c r="P106" s="87"/>
      <c r="Q106" s="87"/>
      <c r="R106" s="87"/>
      <c r="S106" s="87"/>
      <c r="T106" s="87"/>
      <c r="U106" s="87"/>
      <c r="V106" s="93"/>
      <c r="W106" s="93"/>
      <c r="X106" s="93"/>
      <c r="Y106" s="93"/>
      <c r="Z106" s="93"/>
      <c r="AA106" s="80"/>
      <c r="AB106" s="80">
        <v>99</v>
      </c>
      <c r="AC106" s="80"/>
      <c r="AD106" s="89">
        <f t="shared" si="4"/>
        <v>-1123</v>
      </c>
      <c r="AE106" s="90">
        <f t="shared" si="5"/>
        <v>1123</v>
      </c>
      <c r="AF106" s="80">
        <f t="shared" si="6"/>
        <v>0</v>
      </c>
      <c r="AG106" s="90">
        <f t="shared" si="7"/>
        <v>3452</v>
      </c>
      <c r="AH106" s="104"/>
      <c r="AI106" s="104"/>
      <c r="AJ106" s="105"/>
      <c r="AK106" s="105"/>
      <c r="AL106" s="105"/>
      <c r="AM106" s="105"/>
    </row>
    <row r="107" spans="1:39" x14ac:dyDescent="0.25">
      <c r="A107" s="98">
        <v>95</v>
      </c>
      <c r="B107" s="114">
        <f>INDEX('Tabl. 1'!$C$8:$AO$313,104+$AB102,MATCH($C$7,$AA$7:$AA$45))</f>
        <v>3716</v>
      </c>
      <c r="C107" s="114">
        <f>INDEX('Tabl. 1'!$C$8:$AO$313,206+$AB102,MATCH($C$7,$AA$7:$AA$45))</f>
        <v>13098</v>
      </c>
      <c r="I107" s="81"/>
      <c r="P107" s="87"/>
      <c r="Q107" s="87"/>
      <c r="R107" s="87"/>
      <c r="S107" s="87"/>
      <c r="T107" s="87"/>
      <c r="U107" s="87"/>
      <c r="V107" s="93"/>
      <c r="W107" s="93"/>
      <c r="X107" s="93"/>
      <c r="Y107" s="93"/>
      <c r="Z107" s="93"/>
      <c r="AA107" s="80"/>
      <c r="AB107" s="80">
        <v>100</v>
      </c>
      <c r="AC107" s="80"/>
      <c r="AD107" s="89">
        <f t="shared" si="4"/>
        <v>-879</v>
      </c>
      <c r="AE107" s="90">
        <f t="shared" si="5"/>
        <v>879</v>
      </c>
      <c r="AF107" s="80">
        <f t="shared" si="6"/>
        <v>0</v>
      </c>
      <c r="AG107" s="90">
        <f t="shared" si="7"/>
        <v>2293</v>
      </c>
      <c r="AH107" s="104"/>
      <c r="AI107" s="104"/>
      <c r="AJ107" s="105"/>
      <c r="AK107" s="105"/>
      <c r="AL107" s="105"/>
      <c r="AM107" s="105"/>
    </row>
    <row r="108" spans="1:39" x14ac:dyDescent="0.25">
      <c r="A108" s="98">
        <v>96</v>
      </c>
      <c r="B108" s="114">
        <f>INDEX('Tabl. 1'!$C$8:$AO$313,104+$AB103,MATCH($C$7,$AA$7:$AA$45))</f>
        <v>2466</v>
      </c>
      <c r="C108" s="114">
        <f>INDEX('Tabl. 1'!$C$8:$AO$313,206+$AB103,MATCH($C$7,$AA$7:$AA$45))</f>
        <v>9416</v>
      </c>
      <c r="I108" s="81"/>
      <c r="P108" s="87"/>
      <c r="Q108" s="87"/>
      <c r="R108" s="87"/>
      <c r="S108" s="87"/>
      <c r="T108" s="87"/>
      <c r="U108" s="87"/>
      <c r="V108" s="93"/>
      <c r="W108" s="93"/>
      <c r="X108" s="93"/>
      <c r="Y108" s="93"/>
      <c r="Z108" s="93"/>
      <c r="AA108" s="80"/>
      <c r="AB108" s="80">
        <v>101</v>
      </c>
      <c r="AC108" s="80"/>
      <c r="AD108" s="89">
        <f t="shared" si="4"/>
        <v>-1354</v>
      </c>
      <c r="AE108" s="90">
        <f t="shared" si="5"/>
        <v>1354</v>
      </c>
      <c r="AF108" s="80">
        <f t="shared" si="6"/>
        <v>0</v>
      </c>
      <c r="AG108" s="90">
        <f t="shared" si="7"/>
        <v>3200</v>
      </c>
      <c r="AH108" s="104"/>
      <c r="AI108" s="104"/>
      <c r="AJ108" s="105"/>
      <c r="AK108" s="105"/>
      <c r="AL108" s="105"/>
      <c r="AM108" s="105"/>
    </row>
    <row r="109" spans="1:39" x14ac:dyDescent="0.25">
      <c r="A109" s="98">
        <v>97</v>
      </c>
      <c r="B109" s="114">
        <f>INDEX('Tabl. 1'!$C$8:$AO$313,104+$AB104,MATCH($C$7,$AA$7:$AA$45))</f>
        <v>1771</v>
      </c>
      <c r="C109" s="114">
        <f>INDEX('Tabl. 1'!$C$8:$AO$313,206+$AB104,MATCH($C$7,$AA$7:$AA$45))</f>
        <v>7104</v>
      </c>
      <c r="AA109" s="80"/>
      <c r="AB109" s="80"/>
      <c r="AC109" s="80"/>
      <c r="AD109" s="89">
        <f>MAX('Tabl. 1'!C111:C211)*-1</f>
        <v>-336987</v>
      </c>
      <c r="AE109" s="90">
        <f>MAX('Tabl. 1'!C213:C313)</f>
        <v>329973</v>
      </c>
      <c r="AF109" s="80">
        <f t="shared" si="6"/>
        <v>0</v>
      </c>
      <c r="AG109" s="90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98">
        <v>98</v>
      </c>
      <c r="B110" s="114">
        <f>INDEX('Tabl. 1'!$C$8:$AO$313,104+$AB105,MATCH($C$7,$AA$7:$AA$45))</f>
        <v>1123</v>
      </c>
      <c r="C110" s="114">
        <f>INDEX('Tabl. 1'!$C$8:$AO$313,206+$AB105,MATCH($C$7,$AA$7:$AA$45))</f>
        <v>4575</v>
      </c>
      <c r="AA110" s="80"/>
      <c r="AB110" s="120"/>
      <c r="AC110" s="120"/>
      <c r="AD110" s="120"/>
      <c r="AE110" s="80"/>
      <c r="AF110" s="80"/>
      <c r="AG110" s="94"/>
      <c r="AH110" s="104"/>
      <c r="AI110" s="104"/>
      <c r="AJ110" s="105"/>
      <c r="AK110" s="105"/>
      <c r="AL110" s="105"/>
      <c r="AM110" s="105"/>
    </row>
    <row r="111" spans="1:39" x14ac:dyDescent="0.25">
      <c r="A111" s="98">
        <v>99</v>
      </c>
      <c r="B111" s="114">
        <f>INDEX('Tabl. 1'!$C$8:$AO$313,104+$AB106,MATCH($C$7,$AA$7:$AA$45))</f>
        <v>879</v>
      </c>
      <c r="C111" s="114">
        <f>INDEX('Tabl. 1'!$C$8:$AO$313,206+$AB106,MATCH($C$7,$AA$7:$AA$45))</f>
        <v>3172</v>
      </c>
      <c r="AA111" s="80"/>
      <c r="AB111" s="120"/>
      <c r="AC111" s="120"/>
      <c r="AD111" s="120"/>
      <c r="AE111" s="80"/>
      <c r="AF111" s="80"/>
      <c r="AG111" s="94"/>
      <c r="AH111" s="104"/>
      <c r="AI111" s="104"/>
      <c r="AJ111" s="105"/>
      <c r="AK111" s="105"/>
      <c r="AL111" s="105"/>
      <c r="AM111" s="105"/>
    </row>
    <row r="112" spans="1:39" x14ac:dyDescent="0.25">
      <c r="A112" s="99" t="s">
        <v>80</v>
      </c>
      <c r="B112" s="118">
        <f>INDEX('Tabl. 1'!$C$8:$AO$313,104+$AB107,MATCH($C$7,$AA$7:$AA$45))</f>
        <v>1354</v>
      </c>
      <c r="C112" s="118">
        <f>INDEX('Tabl. 1'!$C$8:$AO$313,206+$AB107,MATCH($C$7,$AA$7:$AA$45))</f>
        <v>4554</v>
      </c>
      <c r="AA112" s="80"/>
      <c r="AB112" s="80"/>
      <c r="AC112" s="80"/>
      <c r="AD112" s="80"/>
      <c r="AE112" s="80"/>
      <c r="AF112" s="80"/>
      <c r="AG112" s="94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JLWOlJOOFCG+awpR9ZoHLZvsjYYJrQdMmw5t0Jf0+d1WyahMtIHf8uV4os7mX3HfeEN0YJ25Do/8j13rh5lX6Q==" saltValue="ELYAt74U97/PpLPnDt94+g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8193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2023-08-29T13:53:19Z</dcterms:modified>
</cp:coreProperties>
</file>