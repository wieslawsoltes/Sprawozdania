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7" r:id="rId1"/>
    <sheet name="Tabl. 1" sheetId="12" r:id="rId2"/>
    <sheet name="Tabl. 2" sheetId="13" r:id="rId3"/>
    <sheet name="Tabl. 3" sheetId="11" r:id="rId4"/>
    <sheet name="Tabl. 4" sheetId="5" r:id="rId5"/>
    <sheet name="Wykres 1 Chart 1" sheetId="20" r:id="rId6"/>
  </sheets>
  <calcPr calcId="152511"/>
</workbook>
</file>

<file path=xl/calcChain.xml><?xml version="1.0" encoding="utf-8"?>
<calcChain xmlns="http://schemas.openxmlformats.org/spreadsheetml/2006/main">
  <c r="AE109" i="20" l="1"/>
  <c r="AD109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2" i="20"/>
  <c r="B12" i="20"/>
  <c r="AG109" i="20" l="1"/>
  <c r="AF109" i="20"/>
  <c r="AF20" i="20" l="1"/>
  <c r="AD20" i="20" s="1"/>
  <c r="AG24" i="20"/>
  <c r="AE24" i="20" s="1"/>
  <c r="AG28" i="20"/>
  <c r="AE28" i="20" s="1"/>
  <c r="AG44" i="20"/>
  <c r="AE44" i="20" s="1"/>
  <c r="AG54" i="20"/>
  <c r="AE54" i="20" s="1"/>
  <c r="AF60" i="20"/>
  <c r="AD60" i="20" s="1"/>
  <c r="AF62" i="20"/>
  <c r="AD62" i="20" s="1"/>
  <c r="AF96" i="20"/>
  <c r="AD96" i="20" s="1"/>
  <c r="AF68" i="20"/>
  <c r="AD68" i="20" s="1"/>
  <c r="AF73" i="20"/>
  <c r="AD73" i="20" s="1"/>
  <c r="AF8" i="20"/>
  <c r="AD8" i="20" s="1"/>
  <c r="AG10" i="20"/>
  <c r="AE10" i="20" s="1"/>
  <c r="AF35" i="20"/>
  <c r="AD35" i="20" s="1"/>
  <c r="AF70" i="20"/>
  <c r="AD70" i="20" s="1"/>
  <c r="AG86" i="20"/>
  <c r="AE86" i="20" s="1"/>
  <c r="AF105" i="20"/>
  <c r="AD105" i="20" s="1"/>
  <c r="AF107" i="20"/>
  <c r="AD107" i="20" s="1"/>
  <c r="AF79" i="20"/>
  <c r="AD79" i="20" s="1"/>
  <c r="AF81" i="20"/>
  <c r="AD81" i="20" s="1"/>
  <c r="AF83" i="20"/>
  <c r="AD83" i="20" s="1"/>
  <c r="AF9" i="20"/>
  <c r="AD9" i="20" s="1"/>
  <c r="AF15" i="20"/>
  <c r="AD15" i="20" s="1"/>
  <c r="AF26" i="20"/>
  <c r="AD26" i="20" s="1"/>
  <c r="AG30" i="20"/>
  <c r="AE30" i="20" s="1"/>
  <c r="AG34" i="20"/>
  <c r="AE34" i="20" s="1"/>
  <c r="AF93" i="20"/>
  <c r="AD93" i="20" s="1"/>
  <c r="AG102" i="20"/>
  <c r="AE102" i="20" s="1"/>
  <c r="AF104" i="20"/>
  <c r="AD104" i="20" s="1"/>
  <c r="AG106" i="20"/>
  <c r="AE106" i="20" s="1"/>
  <c r="AG108" i="20"/>
  <c r="AE108" i="20" s="1"/>
  <c r="AG38" i="20"/>
  <c r="AE38" i="20" s="1"/>
  <c r="AF41" i="20"/>
  <c r="AD41" i="20" s="1"/>
  <c r="AF90" i="20"/>
  <c r="AD90" i="20" s="1"/>
  <c r="AG94" i="20"/>
  <c r="AE94" i="20" s="1"/>
  <c r="AF99" i="20"/>
  <c r="AD99" i="20" s="1"/>
  <c r="AG42" i="20"/>
  <c r="AE42" i="20" s="1"/>
  <c r="AG46" i="20"/>
  <c r="AE46" i="20" s="1"/>
  <c r="AG50" i="20"/>
  <c r="AE50" i="20" s="1"/>
  <c r="AF88" i="20"/>
  <c r="AD88" i="20" s="1"/>
  <c r="AF97" i="20"/>
  <c r="AD97" i="20" s="1"/>
  <c r="AF19" i="20"/>
  <c r="AD19" i="20" s="1"/>
  <c r="AF29" i="20"/>
  <c r="AD29" i="20" s="1"/>
  <c r="AF57" i="20"/>
  <c r="AD57" i="20" s="1"/>
  <c r="AF63" i="20"/>
  <c r="AD63" i="20" s="1"/>
  <c r="AF65" i="20"/>
  <c r="AD65" i="20" s="1"/>
  <c r="AG90" i="20"/>
  <c r="AE90" i="20" s="1"/>
  <c r="AF98" i="20"/>
  <c r="AF100" i="20"/>
  <c r="AD100" i="20" s="1"/>
  <c r="AF101" i="20"/>
  <c r="AD101" i="20" s="1"/>
  <c r="AG12" i="20"/>
  <c r="AE12" i="20" s="1"/>
  <c r="AF14" i="20"/>
  <c r="AD14" i="20" s="1"/>
  <c r="AF36" i="20"/>
  <c r="AD36" i="20" s="1"/>
  <c r="AF39" i="20"/>
  <c r="AD39" i="20" s="1"/>
  <c r="AF43" i="20"/>
  <c r="AD43" i="20" s="1"/>
  <c r="AF76" i="20"/>
  <c r="AD76" i="20" s="1"/>
  <c r="AF78" i="20"/>
  <c r="AD78" i="20" s="1"/>
  <c r="AF84" i="20"/>
  <c r="AD84" i="20" s="1"/>
  <c r="AF87" i="20"/>
  <c r="AD87" i="20" s="1"/>
  <c r="AF89" i="20"/>
  <c r="AD89" i="20" s="1"/>
  <c r="AF92" i="20"/>
  <c r="AD92" i="20" s="1"/>
  <c r="AF49" i="20"/>
  <c r="AD49" i="20" s="1"/>
  <c r="AG74" i="20"/>
  <c r="AE74" i="20" s="1"/>
  <c r="AG82" i="20"/>
  <c r="AE82" i="20" s="1"/>
  <c r="AF95" i="20"/>
  <c r="AD95" i="20" s="1"/>
  <c r="AF18" i="20"/>
  <c r="AD18" i="20" s="1"/>
  <c r="AF67" i="20"/>
  <c r="AD67" i="20" s="1"/>
  <c r="AG78" i="20"/>
  <c r="AE78" i="20" s="1"/>
  <c r="AF11" i="20"/>
  <c r="AD11" i="20" s="1"/>
  <c r="AF25" i="20"/>
  <c r="AD25" i="20" s="1"/>
  <c r="AF33" i="20"/>
  <c r="AD33" i="20" s="1"/>
  <c r="AF38" i="20"/>
  <c r="AD38" i="20" s="1"/>
  <c r="AF44" i="20"/>
  <c r="AD44" i="20" s="1"/>
  <c r="AF46" i="20"/>
  <c r="AD46" i="20" s="1"/>
  <c r="AF51" i="20"/>
  <c r="AD51" i="20" s="1"/>
  <c r="AG60" i="20"/>
  <c r="AE60" i="20" s="1"/>
  <c r="AG58" i="20"/>
  <c r="AE58" i="20" s="1"/>
  <c r="AG62" i="20"/>
  <c r="AE62" i="20" s="1"/>
  <c r="AG66" i="20"/>
  <c r="AE66" i="20" s="1"/>
  <c r="AF71" i="20"/>
  <c r="AD71" i="20" s="1"/>
  <c r="AF75" i="20"/>
  <c r="AD75" i="20" s="1"/>
  <c r="AF91" i="20"/>
  <c r="AD91" i="20" s="1"/>
  <c r="AF94" i="20"/>
  <c r="AD94" i="20" s="1"/>
  <c r="AF102" i="20"/>
  <c r="AD102" i="20" s="1"/>
  <c r="AG20" i="20"/>
  <c r="AE20" i="20" s="1"/>
  <c r="AF22" i="20"/>
  <c r="AD22" i="20" s="1"/>
  <c r="AF47" i="20"/>
  <c r="AD47" i="20" s="1"/>
  <c r="AF54" i="20"/>
  <c r="AD54" i="20" s="1"/>
  <c r="AG76" i="20"/>
  <c r="AE76" i="20" s="1"/>
  <c r="AF12" i="20"/>
  <c r="AD12" i="20" s="1"/>
  <c r="AF23" i="20"/>
  <c r="AD23" i="20" s="1"/>
  <c r="AG26" i="20"/>
  <c r="AE26" i="20" s="1"/>
  <c r="AF28" i="20"/>
  <c r="AD28" i="20" s="1"/>
  <c r="AF52" i="20"/>
  <c r="AD52" i="20" s="1"/>
  <c r="AF55" i="20"/>
  <c r="AD55" i="20" s="1"/>
  <c r="AF59" i="20"/>
  <c r="AD59" i="20" s="1"/>
  <c r="AG70" i="20"/>
  <c r="AE70" i="20" s="1"/>
  <c r="AG92" i="20"/>
  <c r="AE92" i="20" s="1"/>
  <c r="AG98" i="20"/>
  <c r="AE98" i="20" s="1"/>
  <c r="AF103" i="20"/>
  <c r="AD103" i="20" s="1"/>
  <c r="AG104" i="20"/>
  <c r="AE104" i="20" s="1"/>
  <c r="AF13" i="20"/>
  <c r="AD13" i="20" s="1"/>
  <c r="AF27" i="20"/>
  <c r="AD27" i="20" s="1"/>
  <c r="AF32" i="20"/>
  <c r="AD32" i="20" s="1"/>
  <c r="AF34" i="20"/>
  <c r="AD34" i="20" s="1"/>
  <c r="AF45" i="20"/>
  <c r="AD45" i="20" s="1"/>
  <c r="AF48" i="20"/>
  <c r="AD48" i="20" s="1"/>
  <c r="AF50" i="20"/>
  <c r="AD50" i="20" s="1"/>
  <c r="AF61" i="20"/>
  <c r="AD61" i="20" s="1"/>
  <c r="AF64" i="20"/>
  <c r="AD64" i="20" s="1"/>
  <c r="AF66" i="20"/>
  <c r="AD66" i="20" s="1"/>
  <c r="AF77" i="20"/>
  <c r="AD77" i="20" s="1"/>
  <c r="AF80" i="20"/>
  <c r="AD80" i="20" s="1"/>
  <c r="AF82" i="20"/>
  <c r="AD82" i="20" s="1"/>
  <c r="AG100" i="20"/>
  <c r="AE100" i="20" s="1"/>
  <c r="AD98" i="20"/>
  <c r="AF106" i="20"/>
  <c r="AD106" i="20" s="1"/>
  <c r="AF30" i="20"/>
  <c r="AD30" i="20" s="1"/>
  <c r="AG36" i="20"/>
  <c r="AE36" i="20" s="1"/>
  <c r="AG52" i="20"/>
  <c r="AE52" i="20" s="1"/>
  <c r="AG68" i="20"/>
  <c r="AE68" i="20" s="1"/>
  <c r="AG84" i="20"/>
  <c r="AE84" i="20" s="1"/>
  <c r="AG8" i="20"/>
  <c r="AE8" i="20" s="1"/>
  <c r="AG14" i="20"/>
  <c r="AE14" i="20" s="1"/>
  <c r="AF16" i="20"/>
  <c r="AD16" i="20" s="1"/>
  <c r="AF37" i="20"/>
  <c r="AD37" i="20" s="1"/>
  <c r="AF40" i="20"/>
  <c r="AD40" i="20" s="1"/>
  <c r="AF42" i="20"/>
  <c r="AD42" i="20" s="1"/>
  <c r="AF53" i="20"/>
  <c r="AD53" i="20" s="1"/>
  <c r="AF56" i="20"/>
  <c r="AD56" i="20" s="1"/>
  <c r="AF58" i="20"/>
  <c r="AD58" i="20" s="1"/>
  <c r="AF69" i="20"/>
  <c r="AD69" i="20" s="1"/>
  <c r="AF72" i="20"/>
  <c r="AD72" i="20" s="1"/>
  <c r="AF74" i="20"/>
  <c r="AD74" i="20" s="1"/>
  <c r="AF86" i="20"/>
  <c r="AD86" i="20" s="1"/>
  <c r="AG88" i="20"/>
  <c r="AE88" i="20" s="1"/>
  <c r="AG96" i="20"/>
  <c r="AE96" i="20" s="1"/>
  <c r="AF108" i="20"/>
  <c r="AD108" i="20" s="1"/>
  <c r="AG16" i="20"/>
  <c r="AE16" i="20" s="1"/>
  <c r="AG18" i="20"/>
  <c r="AE18" i="20" s="1"/>
  <c r="AG22" i="20"/>
  <c r="AE22" i="20" s="1"/>
  <c r="AF24" i="20"/>
  <c r="AD24" i="20" s="1"/>
  <c r="AG32" i="20"/>
  <c r="AE32" i="20" s="1"/>
  <c r="AG40" i="20"/>
  <c r="AE40" i="20" s="1"/>
  <c r="AG48" i="20"/>
  <c r="AE48" i="20" s="1"/>
  <c r="AG56" i="20"/>
  <c r="AE56" i="20" s="1"/>
  <c r="AG64" i="20"/>
  <c r="AE64" i="20" s="1"/>
  <c r="AG72" i="20"/>
  <c r="AE72" i="20" s="1"/>
  <c r="AG80" i="20"/>
  <c r="AE80" i="20" s="1"/>
  <c r="AF85" i="20"/>
  <c r="AD85" i="20" s="1"/>
  <c r="AF10" i="20"/>
  <c r="AD10" i="20" s="1"/>
  <c r="AF17" i="20"/>
  <c r="AD17" i="20" s="1"/>
  <c r="AF21" i="20"/>
  <c r="AD21" i="20" s="1"/>
  <c r="AF31" i="20"/>
  <c r="AD31" i="20" s="1"/>
  <c r="AG9" i="20"/>
  <c r="AE9" i="20" s="1"/>
  <c r="AG11" i="20"/>
  <c r="AE11" i="20" s="1"/>
  <c r="AG13" i="20"/>
  <c r="AE13" i="20" s="1"/>
  <c r="AG15" i="20"/>
  <c r="AE15" i="20" s="1"/>
  <c r="AG17" i="20"/>
  <c r="AE17" i="20" s="1"/>
  <c r="AG19" i="20"/>
  <c r="AE19" i="20" s="1"/>
  <c r="AG21" i="20"/>
  <c r="AE21" i="20" s="1"/>
  <c r="AG23" i="20"/>
  <c r="AE23" i="20" s="1"/>
  <c r="AG25" i="20"/>
  <c r="AE25" i="20" s="1"/>
  <c r="AG27" i="20"/>
  <c r="AE27" i="20" s="1"/>
  <c r="AG29" i="20"/>
  <c r="AE29" i="20" s="1"/>
  <c r="AG31" i="20"/>
  <c r="AE31" i="20" s="1"/>
  <c r="AG33" i="20"/>
  <c r="AE33" i="20" s="1"/>
  <c r="AG35" i="20"/>
  <c r="AE35" i="20" s="1"/>
  <c r="AG37" i="20"/>
  <c r="AE37" i="20" s="1"/>
  <c r="AG39" i="20"/>
  <c r="AE39" i="20" s="1"/>
  <c r="AG41" i="20"/>
  <c r="AE41" i="20" s="1"/>
  <c r="AG43" i="20"/>
  <c r="AE43" i="20" s="1"/>
  <c r="AG45" i="20"/>
  <c r="AE45" i="20" s="1"/>
  <c r="AG47" i="20"/>
  <c r="AE47" i="20" s="1"/>
  <c r="AG49" i="20"/>
  <c r="AE49" i="20" s="1"/>
  <c r="AG51" i="20"/>
  <c r="AE51" i="20" s="1"/>
  <c r="AG53" i="20"/>
  <c r="AE53" i="20" s="1"/>
  <c r="AG55" i="20"/>
  <c r="AE55" i="20" s="1"/>
  <c r="AG57" i="20"/>
  <c r="AE57" i="20" s="1"/>
  <c r="AG59" i="20"/>
  <c r="AE59" i="20" s="1"/>
  <c r="AG61" i="20"/>
  <c r="AE61" i="20" s="1"/>
  <c r="AG63" i="20"/>
  <c r="AE63" i="20" s="1"/>
  <c r="AG65" i="20"/>
  <c r="AE65" i="20" s="1"/>
  <c r="AG67" i="20"/>
  <c r="AE67" i="20" s="1"/>
  <c r="AG69" i="20"/>
  <c r="AE69" i="20" s="1"/>
  <c r="AG71" i="20"/>
  <c r="AE71" i="20" s="1"/>
  <c r="AG73" i="20"/>
  <c r="AE73" i="20" s="1"/>
  <c r="AG75" i="20"/>
  <c r="AE75" i="20" s="1"/>
  <c r="AG77" i="20"/>
  <c r="AE77" i="20" s="1"/>
  <c r="AG79" i="20"/>
  <c r="AE79" i="20" s="1"/>
  <c r="AG81" i="20"/>
  <c r="AE81" i="20" s="1"/>
  <c r="AG83" i="20"/>
  <c r="AE83" i="20" s="1"/>
  <c r="AG85" i="20"/>
  <c r="AE85" i="20" s="1"/>
  <c r="AG87" i="20"/>
  <c r="AE87" i="20" s="1"/>
  <c r="AG89" i="20"/>
  <c r="AE89" i="20" s="1"/>
  <c r="AG91" i="20"/>
  <c r="AE91" i="20" s="1"/>
  <c r="AG93" i="20"/>
  <c r="AE93" i="20" s="1"/>
  <c r="AG95" i="20"/>
  <c r="AE95" i="20" s="1"/>
  <c r="AG97" i="20"/>
  <c r="AE97" i="20" s="1"/>
  <c r="AG99" i="20"/>
  <c r="AE99" i="20" s="1"/>
  <c r="AG101" i="20"/>
  <c r="AE101" i="20" s="1"/>
  <c r="AG103" i="20"/>
  <c r="AE103" i="20" s="1"/>
  <c r="AG105" i="20"/>
  <c r="AE105" i="20" s="1"/>
  <c r="AG107" i="20"/>
  <c r="AE107" i="20" s="1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<sst xmlns="http://schemas.openxmlformats.org/spreadsheetml/2006/main" count="223" uniqueCount="106">
  <si>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</si>
  <si>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</si>
  <si>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</si>
  <si>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</si>
  <si>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</si>
  <si>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</si>
  <si>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</si>
  <si>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</si>
  <si>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</si>
  <si>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</si>
  <si>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</si>
  <si>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</si>
  <si>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</si>
  <si>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</si>
  <si>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</si>
  <si>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</si>
  <si>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</si>
  <si>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</si>
  <si>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</si>
  <si>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</si>
  <si>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</si>
  <si>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</si>
  <si>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</si>
  <si>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</si>
  <si>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</si>
  <si>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</si>
  <si>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</si>
  <si>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</si>
  <si>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</si>
  <si>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</si>
  <si>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</si>
  <si>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</si>
  <si>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</si>
  <si>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</si>
  <si>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</si>
  <si>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</si>
  <si>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</si>
  <si>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</si>
  <si>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</si>
  <si>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</si>
  <si>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</si>
  <si>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</si>
  <si>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</si>
  <si>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</si>
  <si>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</si>
  <si>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</si>
  <si>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</si>
  <si>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</si>
  <si>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</si>
  <si>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</si>
  <si>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</si>
  <si>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</si>
  <si>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</si>
  <si>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</si>
  <si>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2. LUDNOŚĆ WEDŁUG PŁCI I PIECIOLETNICH GRUP WIEKU</t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</si>
  <si>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</si>
  <si>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</si>
  <si>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</si>
  <si>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</si>
  <si>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</si>
  <si>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</si>
  <si>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</si>
  <si>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</si>
  <si>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</si>
  <si>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</si>
  <si>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</si>
  <si>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</si>
  <si>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</si>
  <si>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</si>
  <si>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</si>
  <si>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</si>
  <si>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</si>
  <si>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</si>
  <si>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</si>
  <si>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</si>
  <si>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</si>
  <si>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</si>
  <si>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</si>
  <si>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</si>
  <si>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</si>
  <si>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</si>
  <si>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</si>
  <si>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</si>
  <si>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</si>
  <si>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</si>
  <si>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główny (średni)</t>
  </si>
  <si>
    <t>Main scenario (medium)</t>
  </si>
  <si>
    <t>LUDNOŚĆ WEDŁUG PŁCI I PIĘCIOLETNICH GRUP WIEKU</t>
  </si>
  <si>
    <t>K</t>
  </si>
  <si>
    <t>M</t>
  </si>
  <si>
    <t>WYKRES 1. PIRAMIDA LUDNOŚCI</t>
  </si>
  <si>
    <t>WYKRES 1.</t>
  </si>
  <si>
    <t>PIRAMIDA LUDNOŚCI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</si>
  <si>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</si>
  <si>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</si>
  <si>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 POPULATION PYRAMID</t>
  </si>
  <si>
    <t>POPULATION PYRAMID</t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</si>
  <si>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</si>
  <si>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</si>
  <si>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</si>
  <si>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</si>
  <si>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</si>
  <si>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</si>
  <si>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</si>
  <si>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</si>
  <si>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mazowieckie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</si>
</sst>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5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23" fillId="3" borderId="35" xfId="26" applyFont="1" applyFill="1" applyBorder="1" applyAlignment="1">
      <alignment horizontal="left" vertical="top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0" fontId="5" fillId="5" borderId="12" xfId="0" applyFont="1" applyFill="1" applyBorder="1" applyAlignment="1">
      <alignment horizontal="right"/>
    </xf>
    <xf numFmtId="3" fontId="10" fillId="5" borderId="5" xfId="0" applyNumberFormat="1" applyFont="1" applyFill="1" applyBorder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2" fillId="3" borderId="0" xfId="25" applyFill="1" applyProtection="1">
      <protection locked="0" hidden="1"/>
    </xf>
    <xf numFmtId="0" fontId="2" fillId="3" borderId="0" xfId="25" applyFill="1"/>
    <xf numFmtId="0" fontId="32" fillId="3" borderId="0" xfId="25" applyFont="1" applyFill="1" applyProtection="1">
      <protection hidden="1"/>
    </xf>
    <xf numFmtId="3" fontId="2" fillId="3" borderId="0" xfId="25" applyNumberFormat="1" applyFont="1" applyFill="1" applyProtection="1">
      <protection locked="0" hidden="1"/>
    </xf>
    <xf numFmtId="0" fontId="2" fillId="3" borderId="36" xfId="25" applyFill="1" applyBorder="1"/>
    <xf numFmtId="0" fontId="2" fillId="3" borderId="37" xfId="25" applyFill="1" applyBorder="1"/>
    <xf numFmtId="0" fontId="2" fillId="3" borderId="18" xfId="25" applyFont="1" applyFill="1" applyBorder="1" applyProtection="1">
      <protection locked="0"/>
    </xf>
    <xf numFmtId="0" fontId="2" fillId="3" borderId="18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0" fontId="2" fillId="3" borderId="0" xfId="25" applyFont="1" applyFill="1"/>
    <xf numFmtId="0" fontId="8" fillId="3" borderId="38" xfId="0" applyFont="1" applyFill="1" applyBorder="1"/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0" fontId="2" fillId="3" borderId="0" xfId="25" applyFill="1" applyBorder="1"/>
    <xf numFmtId="0" fontId="2" fillId="3" borderId="0" xfId="25" applyFill="1" applyProtection="1"/>
    <xf numFmtId="0" fontId="2" fillId="3" borderId="0" xfId="25" applyFont="1" applyFill="1" applyProtection="1"/>
    <xf numFmtId="0" fontId="32" fillId="3" borderId="0" xfId="25" applyFont="1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16" fillId="3" borderId="0" xfId="24" applyFont="1" applyFill="1" applyBorder="1" applyAlignment="1" applyProtection="1">
      <alignment vertical="top" wrapText="1"/>
      <protection locked="0"/>
    </xf>
    <xf numFmtId="49" fontId="24" fillId="3" borderId="13" xfId="53" applyNumberFormat="1" applyFont="1" applyFill="1" applyBorder="1" applyAlignment="1" applyProtection="1">
      <alignment horizontal="right" vertical="center"/>
      <protection locked="0"/>
    </xf>
    <xf numFmtId="49" fontId="24" fillId="3" borderId="14" xfId="53" applyNumberFormat="1" applyFont="1" applyFill="1" applyBorder="1" applyAlignment="1" applyProtection="1">
      <alignment horizontal="right" vertical="center"/>
      <protection locked="0"/>
    </xf>
    <xf numFmtId="0" fontId="11" fillId="3" borderId="0" xfId="0" applyFont="1" applyFill="1"/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5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4" borderId="0" xfId="24" applyFont="1" applyFill="1" applyBorder="1" applyAlignment="1" applyProtection="1">
      <alignment vertical="center" wrapText="1"/>
      <protection locked="0"/>
    </xf>
    <xf numFmtId="165" fontId="2" fillId="0" borderId="10" xfId="25" applyNumberFormat="1" applyFill="1" applyBorder="1" applyAlignment="1" applyProtection="1">
      <alignment vertical="center"/>
      <protection locked="0" hidden="1"/>
    </xf>
    <xf numFmtId="0" fontId="6" fillId="3" borderId="0" xfId="25" applyFont="1" applyFill="1" applyProtection="1"/>
    <xf numFmtId="0" fontId="6" fillId="3" borderId="0" xfId="25" applyFont="1" applyFill="1" applyProtection="1">
      <protection hidden="1"/>
    </xf>
    <xf numFmtId="0" fontId="6" fillId="3" borderId="0" xfId="25" applyFont="1" applyFill="1"/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0" xfId="24" applyFont="1" applyFill="1" applyBorder="1" applyAlignment="1" applyProtection="1">
      <alignment horizontal="left" vertical="center" wrapText="1"/>
      <protection locked="0"/>
    </xf>
    <xf numFmtId="0" fontId="13" fillId="4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CEAED"/>
      <color rgb="FF66C2C9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-145928</c:v>
                </c:pt>
                <c:pt idx="1">
                  <c:v>-162672</c:v>
                </c:pt>
                <c:pt idx="2">
                  <c:v>-170423</c:v>
                </c:pt>
                <c:pt idx="3">
                  <c:v>-182557</c:v>
                </c:pt>
                <c:pt idx="4">
                  <c:v>-190994</c:v>
                </c:pt>
                <c:pt idx="5">
                  <c:v>-200562</c:v>
                </c:pt>
                <c:pt idx="6">
                  <c:v>-192798</c:v>
                </c:pt>
                <c:pt idx="7">
                  <c:v>-188771</c:v>
                </c:pt>
                <c:pt idx="8">
                  <c:v>-190398</c:v>
                </c:pt>
                <c:pt idx="9">
                  <c:v>-187114</c:v>
                </c:pt>
                <c:pt idx="10">
                  <c:v>-196201</c:v>
                </c:pt>
                <c:pt idx="11">
                  <c:v>-196016</c:v>
                </c:pt>
                <c:pt idx="12">
                  <c:v>-207696</c:v>
                </c:pt>
                <c:pt idx="13">
                  <c:v>-210537</c:v>
                </c:pt>
                <c:pt idx="14">
                  <c:v>-207705</c:v>
                </c:pt>
                <c:pt idx="15">
                  <c:v>-193449</c:v>
                </c:pt>
                <c:pt idx="16">
                  <c:v>-183348</c:v>
                </c:pt>
                <c:pt idx="17">
                  <c:v>-176451</c:v>
                </c:pt>
                <c:pt idx="18">
                  <c:v>-170211</c:v>
                </c:pt>
                <c:pt idx="19">
                  <c:v>-167529</c:v>
                </c:pt>
                <c:pt idx="20">
                  <c:v>-169347</c:v>
                </c:pt>
                <c:pt idx="21">
                  <c:v>-175543</c:v>
                </c:pt>
                <c:pt idx="22">
                  <c:v>-180686</c:v>
                </c:pt>
                <c:pt idx="23">
                  <c:v>-182410</c:v>
                </c:pt>
                <c:pt idx="24">
                  <c:v>-187669</c:v>
                </c:pt>
                <c:pt idx="25">
                  <c:v>-196323</c:v>
                </c:pt>
                <c:pt idx="26">
                  <c:v>-204221</c:v>
                </c:pt>
                <c:pt idx="27">
                  <c:v>-211173</c:v>
                </c:pt>
                <c:pt idx="28">
                  <c:v>-225110</c:v>
                </c:pt>
                <c:pt idx="29">
                  <c:v>-233988</c:v>
                </c:pt>
                <c:pt idx="30">
                  <c:v>-243552</c:v>
                </c:pt>
                <c:pt idx="31">
                  <c:v>-257932</c:v>
                </c:pt>
                <c:pt idx="32">
                  <c:v>-264546</c:v>
                </c:pt>
                <c:pt idx="33">
                  <c:v>-266504</c:v>
                </c:pt>
                <c:pt idx="34">
                  <c:v>-275192</c:v>
                </c:pt>
                <c:pt idx="35">
                  <c:v>-279279</c:v>
                </c:pt>
                <c:pt idx="36">
                  <c:v>-293097</c:v>
                </c:pt>
                <c:pt idx="37">
                  <c:v>-310240</c:v>
                </c:pt>
                <c:pt idx="38">
                  <c:v>-319683</c:v>
                </c:pt>
                <c:pt idx="39">
                  <c:v>-329973</c:v>
                </c:pt>
                <c:pt idx="40">
                  <c:v>-318633</c:v>
                </c:pt>
                <c:pt idx="41">
                  <c:v>-306214</c:v>
                </c:pt>
                <c:pt idx="42">
                  <c:v>-312078</c:v>
                </c:pt>
                <c:pt idx="43">
                  <c:v>-308845</c:v>
                </c:pt>
                <c:pt idx="44">
                  <c:v>-300603</c:v>
                </c:pt>
                <c:pt idx="45">
                  <c:v>-297553</c:v>
                </c:pt>
                <c:pt idx="46">
                  <c:v>-298876</c:v>
                </c:pt>
                <c:pt idx="47">
                  <c:v>-288171</c:v>
                </c:pt>
                <c:pt idx="48">
                  <c:v>-276620</c:v>
                </c:pt>
                <c:pt idx="49">
                  <c:v>-265902</c:v>
                </c:pt>
                <c:pt idx="50">
                  <c:v>-255093</c:v>
                </c:pt>
                <c:pt idx="51">
                  <c:v>-242612</c:v>
                </c:pt>
                <c:pt idx="52">
                  <c:v>-234516</c:v>
                </c:pt>
                <c:pt idx="53">
                  <c:v>-223652</c:v>
                </c:pt>
                <c:pt idx="54">
                  <c:v>-218365</c:v>
                </c:pt>
                <c:pt idx="55">
                  <c:v>-214748</c:v>
                </c:pt>
                <c:pt idx="56">
                  <c:v>-213465</c:v>
                </c:pt>
                <c:pt idx="57">
                  <c:v>-214065</c:v>
                </c:pt>
                <c:pt idx="58">
                  <c:v>-216700</c:v>
                </c:pt>
                <c:pt idx="59">
                  <c:v>-218200</c:v>
                </c:pt>
                <c:pt idx="60">
                  <c:v>-217276</c:v>
                </c:pt>
                <c:pt idx="61">
                  <c:v>-221209</c:v>
                </c:pt>
                <c:pt idx="62">
                  <c:v>-229447</c:v>
                </c:pt>
                <c:pt idx="63">
                  <c:v>-240038</c:v>
                </c:pt>
                <c:pt idx="64">
                  <c:v>-243543</c:v>
                </c:pt>
                <c:pt idx="65">
                  <c:v>-242001</c:v>
                </c:pt>
                <c:pt idx="66">
                  <c:v>-234571</c:v>
                </c:pt>
                <c:pt idx="67">
                  <c:v>-230546</c:v>
                </c:pt>
                <c:pt idx="68">
                  <c:v>-214845</c:v>
                </c:pt>
                <c:pt idx="69">
                  <c:v>-207276</c:v>
                </c:pt>
                <c:pt idx="70">
                  <c:v>-197254</c:v>
                </c:pt>
                <c:pt idx="71">
                  <c:v>-186799</c:v>
                </c:pt>
                <c:pt idx="72">
                  <c:v>-173668</c:v>
                </c:pt>
                <c:pt idx="73">
                  <c:v>-159189</c:v>
                </c:pt>
                <c:pt idx="74">
                  <c:v>-149185</c:v>
                </c:pt>
                <c:pt idx="75">
                  <c:v>-132682</c:v>
                </c:pt>
                <c:pt idx="76">
                  <c:v>-114223</c:v>
                </c:pt>
                <c:pt idx="77">
                  <c:v>-77636</c:v>
                </c:pt>
                <c:pt idx="78">
                  <c:v>-71835</c:v>
                </c:pt>
                <c:pt idx="79">
                  <c:v>-65855</c:v>
                </c:pt>
                <c:pt idx="80">
                  <c:v>-59997</c:v>
                </c:pt>
                <c:pt idx="81">
                  <c:v>-59022</c:v>
                </c:pt>
                <c:pt idx="82">
                  <c:v>-56426</c:v>
                </c:pt>
                <c:pt idx="83">
                  <c:v>-51092</c:v>
                </c:pt>
                <c:pt idx="84">
                  <c:v>-45976</c:v>
                </c:pt>
                <c:pt idx="85">
                  <c:v>-41231</c:v>
                </c:pt>
                <c:pt idx="86">
                  <c:v>-36240</c:v>
                </c:pt>
                <c:pt idx="87">
                  <c:v>-30731</c:v>
                </c:pt>
                <c:pt idx="88">
                  <c:v>-25279</c:v>
                </c:pt>
                <c:pt idx="89">
                  <c:v>-20883</c:v>
                </c:pt>
                <c:pt idx="90">
                  <c:v>-17460</c:v>
                </c:pt>
                <c:pt idx="91">
                  <c:v>-14058</c:v>
                </c:pt>
                <c:pt idx="92">
                  <c:v>-10977</c:v>
                </c:pt>
                <c:pt idx="93">
                  <c:v>-7767</c:v>
                </c:pt>
                <c:pt idx="94">
                  <c:v>-5661</c:v>
                </c:pt>
                <c:pt idx="95">
                  <c:v>-3716</c:v>
                </c:pt>
                <c:pt idx="96">
                  <c:v>-2466</c:v>
                </c:pt>
                <c:pt idx="97">
                  <c:v>-1771</c:v>
                </c:pt>
                <c:pt idx="98">
                  <c:v>-1123</c:v>
                </c:pt>
                <c:pt idx="99">
                  <c:v>-879</c:v>
                </c:pt>
                <c:pt idx="100">
                  <c:v>-1354</c:v>
                </c:pt>
                <c:pt idx="101">
                  <c:v>-336987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145928</c:v>
                </c:pt>
                <c:pt idx="1">
                  <c:v>162672</c:v>
                </c:pt>
                <c:pt idx="2">
                  <c:v>170423</c:v>
                </c:pt>
                <c:pt idx="3">
                  <c:v>182557</c:v>
                </c:pt>
                <c:pt idx="4">
                  <c:v>190994</c:v>
                </c:pt>
                <c:pt idx="5">
                  <c:v>200562</c:v>
                </c:pt>
                <c:pt idx="6">
                  <c:v>192798</c:v>
                </c:pt>
                <c:pt idx="7">
                  <c:v>188771</c:v>
                </c:pt>
                <c:pt idx="8">
                  <c:v>190398</c:v>
                </c:pt>
                <c:pt idx="9">
                  <c:v>187114</c:v>
                </c:pt>
                <c:pt idx="10">
                  <c:v>196201</c:v>
                </c:pt>
                <c:pt idx="11">
                  <c:v>196016</c:v>
                </c:pt>
                <c:pt idx="12">
                  <c:v>207696</c:v>
                </c:pt>
                <c:pt idx="13">
                  <c:v>210537</c:v>
                </c:pt>
                <c:pt idx="14">
                  <c:v>207705</c:v>
                </c:pt>
                <c:pt idx="15">
                  <c:v>193449</c:v>
                </c:pt>
                <c:pt idx="16">
                  <c:v>183348</c:v>
                </c:pt>
                <c:pt idx="17">
                  <c:v>176451</c:v>
                </c:pt>
                <c:pt idx="18">
                  <c:v>170211</c:v>
                </c:pt>
                <c:pt idx="19">
                  <c:v>167529</c:v>
                </c:pt>
                <c:pt idx="20">
                  <c:v>169347</c:v>
                </c:pt>
                <c:pt idx="21">
                  <c:v>175543</c:v>
                </c:pt>
                <c:pt idx="22">
                  <c:v>180686</c:v>
                </c:pt>
                <c:pt idx="23">
                  <c:v>182410</c:v>
                </c:pt>
                <c:pt idx="24">
                  <c:v>187669</c:v>
                </c:pt>
                <c:pt idx="25">
                  <c:v>196323</c:v>
                </c:pt>
                <c:pt idx="26">
                  <c:v>204221</c:v>
                </c:pt>
                <c:pt idx="27">
                  <c:v>211173</c:v>
                </c:pt>
                <c:pt idx="28">
                  <c:v>225110</c:v>
                </c:pt>
                <c:pt idx="29">
                  <c:v>233988</c:v>
                </c:pt>
                <c:pt idx="30">
                  <c:v>243552</c:v>
                </c:pt>
                <c:pt idx="31">
                  <c:v>257932</c:v>
                </c:pt>
                <c:pt idx="32">
                  <c:v>264546</c:v>
                </c:pt>
                <c:pt idx="33">
                  <c:v>266504</c:v>
                </c:pt>
                <c:pt idx="34">
                  <c:v>275192</c:v>
                </c:pt>
                <c:pt idx="35">
                  <c:v>279279</c:v>
                </c:pt>
                <c:pt idx="36">
                  <c:v>293097</c:v>
                </c:pt>
                <c:pt idx="37">
                  <c:v>310240</c:v>
                </c:pt>
                <c:pt idx="38">
                  <c:v>319683</c:v>
                </c:pt>
                <c:pt idx="39">
                  <c:v>329973</c:v>
                </c:pt>
                <c:pt idx="40">
                  <c:v>318633</c:v>
                </c:pt>
                <c:pt idx="41">
                  <c:v>306214</c:v>
                </c:pt>
                <c:pt idx="42">
                  <c:v>312078</c:v>
                </c:pt>
                <c:pt idx="43">
                  <c:v>308845</c:v>
                </c:pt>
                <c:pt idx="44">
                  <c:v>300603</c:v>
                </c:pt>
                <c:pt idx="45">
                  <c:v>297553</c:v>
                </c:pt>
                <c:pt idx="46">
                  <c:v>298876</c:v>
                </c:pt>
                <c:pt idx="47">
                  <c:v>288171</c:v>
                </c:pt>
                <c:pt idx="48">
                  <c:v>276620</c:v>
                </c:pt>
                <c:pt idx="49">
                  <c:v>265902</c:v>
                </c:pt>
                <c:pt idx="50">
                  <c:v>255093</c:v>
                </c:pt>
                <c:pt idx="51">
                  <c:v>242612</c:v>
                </c:pt>
                <c:pt idx="52">
                  <c:v>234516</c:v>
                </c:pt>
                <c:pt idx="53">
                  <c:v>223652</c:v>
                </c:pt>
                <c:pt idx="54">
                  <c:v>218365</c:v>
                </c:pt>
                <c:pt idx="55">
                  <c:v>214748</c:v>
                </c:pt>
                <c:pt idx="56">
                  <c:v>213465</c:v>
                </c:pt>
                <c:pt idx="57">
                  <c:v>214065</c:v>
                </c:pt>
                <c:pt idx="58">
                  <c:v>216700</c:v>
                </c:pt>
                <c:pt idx="59">
                  <c:v>218200</c:v>
                </c:pt>
                <c:pt idx="60">
                  <c:v>217276</c:v>
                </c:pt>
                <c:pt idx="61">
                  <c:v>221209</c:v>
                </c:pt>
                <c:pt idx="62">
                  <c:v>229447</c:v>
                </c:pt>
                <c:pt idx="63">
                  <c:v>240038</c:v>
                </c:pt>
                <c:pt idx="64">
                  <c:v>243543</c:v>
                </c:pt>
                <c:pt idx="65">
                  <c:v>242001</c:v>
                </c:pt>
                <c:pt idx="66">
                  <c:v>234571</c:v>
                </c:pt>
                <c:pt idx="67">
                  <c:v>230546</c:v>
                </c:pt>
                <c:pt idx="68">
                  <c:v>214845</c:v>
                </c:pt>
                <c:pt idx="69">
                  <c:v>207276</c:v>
                </c:pt>
                <c:pt idx="70">
                  <c:v>197254</c:v>
                </c:pt>
                <c:pt idx="71">
                  <c:v>186799</c:v>
                </c:pt>
                <c:pt idx="72">
                  <c:v>173668</c:v>
                </c:pt>
                <c:pt idx="73">
                  <c:v>159189</c:v>
                </c:pt>
                <c:pt idx="74">
                  <c:v>149185</c:v>
                </c:pt>
                <c:pt idx="75">
                  <c:v>132682</c:v>
                </c:pt>
                <c:pt idx="76">
                  <c:v>114223</c:v>
                </c:pt>
                <c:pt idx="77">
                  <c:v>77636</c:v>
                </c:pt>
                <c:pt idx="78">
                  <c:v>71835</c:v>
                </c:pt>
                <c:pt idx="79">
                  <c:v>65855</c:v>
                </c:pt>
                <c:pt idx="80">
                  <c:v>59997</c:v>
                </c:pt>
                <c:pt idx="81">
                  <c:v>59022</c:v>
                </c:pt>
                <c:pt idx="82">
                  <c:v>56426</c:v>
                </c:pt>
                <c:pt idx="83">
                  <c:v>51092</c:v>
                </c:pt>
                <c:pt idx="84">
                  <c:v>45976</c:v>
                </c:pt>
                <c:pt idx="85">
                  <c:v>41231</c:v>
                </c:pt>
                <c:pt idx="86">
                  <c:v>36240</c:v>
                </c:pt>
                <c:pt idx="87">
                  <c:v>30731</c:v>
                </c:pt>
                <c:pt idx="88">
                  <c:v>25279</c:v>
                </c:pt>
                <c:pt idx="89">
                  <c:v>20883</c:v>
                </c:pt>
                <c:pt idx="90">
                  <c:v>17460</c:v>
                </c:pt>
                <c:pt idx="91">
                  <c:v>14058</c:v>
                </c:pt>
                <c:pt idx="92">
                  <c:v>10977</c:v>
                </c:pt>
                <c:pt idx="93">
                  <c:v>7767</c:v>
                </c:pt>
                <c:pt idx="94">
                  <c:v>5661</c:v>
                </c:pt>
                <c:pt idx="95">
                  <c:v>3716</c:v>
                </c:pt>
                <c:pt idx="96">
                  <c:v>2466</c:v>
                </c:pt>
                <c:pt idx="97">
                  <c:v>1771</c:v>
                </c:pt>
                <c:pt idx="98">
                  <c:v>1123</c:v>
                </c:pt>
                <c:pt idx="99">
                  <c:v>879</c:v>
                </c:pt>
                <c:pt idx="100">
                  <c:v>1354</c:v>
                </c:pt>
                <c:pt idx="101">
                  <c:v>329973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-7459</c:v>
                </c:pt>
                <c:pt idx="1">
                  <c:v>-8770</c:v>
                </c:pt>
                <c:pt idx="2">
                  <c:v>-9111</c:v>
                </c:pt>
                <c:pt idx="3">
                  <c:v>-10212</c:v>
                </c:pt>
                <c:pt idx="4">
                  <c:v>-11512</c:v>
                </c:pt>
                <c:pt idx="5">
                  <c:v>-10990</c:v>
                </c:pt>
                <c:pt idx="6">
                  <c:v>-10622</c:v>
                </c:pt>
                <c:pt idx="7">
                  <c:v>-10568</c:v>
                </c:pt>
                <c:pt idx="8">
                  <c:v>-10429</c:v>
                </c:pt>
                <c:pt idx="9">
                  <c:v>-10153</c:v>
                </c:pt>
                <c:pt idx="10">
                  <c:v>-11473</c:v>
                </c:pt>
                <c:pt idx="11">
                  <c:v>-11487</c:v>
                </c:pt>
                <c:pt idx="12">
                  <c:v>-11967</c:v>
                </c:pt>
                <c:pt idx="13">
                  <c:v>-10402</c:v>
                </c:pt>
                <c:pt idx="14">
                  <c:v>-10145</c:v>
                </c:pt>
                <c:pt idx="15">
                  <c:v>-9868</c:v>
                </c:pt>
                <c:pt idx="16">
                  <c:v>-9512</c:v>
                </c:pt>
                <c:pt idx="17">
                  <c:v>-8906</c:v>
                </c:pt>
                <c:pt idx="18">
                  <c:v>-9435</c:v>
                </c:pt>
                <c:pt idx="19">
                  <c:v>-7713</c:v>
                </c:pt>
                <c:pt idx="20">
                  <c:v>-8009</c:v>
                </c:pt>
                <c:pt idx="21">
                  <c:v>-7619</c:v>
                </c:pt>
                <c:pt idx="22">
                  <c:v>-6923</c:v>
                </c:pt>
                <c:pt idx="23">
                  <c:v>-6812</c:v>
                </c:pt>
                <c:pt idx="24">
                  <c:v>-7758</c:v>
                </c:pt>
                <c:pt idx="25">
                  <c:v>-7203</c:v>
                </c:pt>
                <c:pt idx="26">
                  <c:v>-7893</c:v>
                </c:pt>
                <c:pt idx="27">
                  <c:v>-6339</c:v>
                </c:pt>
                <c:pt idx="28">
                  <c:v>-5979</c:v>
                </c:pt>
                <c:pt idx="29">
                  <c:v>-7823</c:v>
                </c:pt>
                <c:pt idx="30">
                  <c:v>-7776</c:v>
                </c:pt>
                <c:pt idx="31">
                  <c:v>-9488</c:v>
                </c:pt>
                <c:pt idx="32">
                  <c:v>-8790</c:v>
                </c:pt>
                <c:pt idx="33">
                  <c:v>-8686</c:v>
                </c:pt>
                <c:pt idx="34">
                  <c:v>-6945</c:v>
                </c:pt>
                <c:pt idx="35">
                  <c:v>-8527</c:v>
                </c:pt>
                <c:pt idx="36">
                  <c:v>-6955</c:v>
                </c:pt>
                <c:pt idx="37">
                  <c:v>-8099</c:v>
                </c:pt>
                <c:pt idx="38">
                  <c:v>-8792</c:v>
                </c:pt>
                <c:pt idx="39">
                  <c:v>-7014</c:v>
                </c:pt>
                <c:pt idx="40">
                  <c:v>-8454</c:v>
                </c:pt>
                <c:pt idx="41">
                  <c:v>-5510</c:v>
                </c:pt>
                <c:pt idx="42">
                  <c:v>-4652</c:v>
                </c:pt>
                <c:pt idx="43">
                  <c:v>-6290</c:v>
                </c:pt>
                <c:pt idx="44">
                  <c:v>-4154</c:v>
                </c:pt>
                <c:pt idx="45">
                  <c:v>-4298</c:v>
                </c:pt>
                <c:pt idx="46">
                  <c:v>-2175</c:v>
                </c:pt>
                <c:pt idx="47">
                  <c:v>-1672</c:v>
                </c:pt>
                <c:pt idx="48">
                  <c:v>-1925</c:v>
                </c:pt>
                <c:pt idx="49">
                  <c:v>-101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414</c:v>
                </c:pt>
                <c:pt idx="51">
                  <c:v>2992</c:v>
                </c:pt>
                <c:pt idx="52">
                  <c:v>2359</c:v>
                </c:pt>
                <c:pt idx="53">
                  <c:v>5003</c:v>
                </c:pt>
                <c:pt idx="54">
                  <c:v>5320</c:v>
                </c:pt>
                <c:pt idx="55">
                  <c:v>6451</c:v>
                </c:pt>
                <c:pt idx="56">
                  <c:v>8693</c:v>
                </c:pt>
                <c:pt idx="57">
                  <c:v>10285</c:v>
                </c:pt>
                <c:pt idx="58">
                  <c:v>12336</c:v>
                </c:pt>
                <c:pt idx="59">
                  <c:v>15891</c:v>
                </c:pt>
                <c:pt idx="60">
                  <c:v>18239</c:v>
                </c:pt>
                <c:pt idx="61">
                  <c:v>22841</c:v>
                </c:pt>
                <c:pt idx="62">
                  <c:v>28514</c:v>
                </c:pt>
                <c:pt idx="63">
                  <c:v>33584</c:v>
                </c:pt>
                <c:pt idx="64">
                  <c:v>38051</c:v>
                </c:pt>
                <c:pt idx="65">
                  <c:v>43459</c:v>
                </c:pt>
                <c:pt idx="66">
                  <c:v>46605</c:v>
                </c:pt>
                <c:pt idx="67">
                  <c:v>51568</c:v>
                </c:pt>
                <c:pt idx="68">
                  <c:v>54836</c:v>
                </c:pt>
                <c:pt idx="69">
                  <c:v>58608</c:v>
                </c:pt>
                <c:pt idx="70">
                  <c:v>61685</c:v>
                </c:pt>
                <c:pt idx="71">
                  <c:v>66119</c:v>
                </c:pt>
                <c:pt idx="72">
                  <c:v>63915</c:v>
                </c:pt>
                <c:pt idx="73">
                  <c:v>65102</c:v>
                </c:pt>
                <c:pt idx="74">
                  <c:v>64273</c:v>
                </c:pt>
                <c:pt idx="75">
                  <c:v>63342</c:v>
                </c:pt>
                <c:pt idx="76">
                  <c:v>60338</c:v>
                </c:pt>
                <c:pt idx="77">
                  <c:v>45129</c:v>
                </c:pt>
                <c:pt idx="78">
                  <c:v>47113</c:v>
                </c:pt>
                <c:pt idx="79">
                  <c:v>45921</c:v>
                </c:pt>
                <c:pt idx="80">
                  <c:v>46377</c:v>
                </c:pt>
                <c:pt idx="81">
                  <c:v>50409</c:v>
                </c:pt>
                <c:pt idx="82">
                  <c:v>53654</c:v>
                </c:pt>
                <c:pt idx="83">
                  <c:v>53834</c:v>
                </c:pt>
                <c:pt idx="84">
                  <c:v>52134</c:v>
                </c:pt>
                <c:pt idx="85">
                  <c:v>50336</c:v>
                </c:pt>
                <c:pt idx="86">
                  <c:v>48809</c:v>
                </c:pt>
                <c:pt idx="87">
                  <c:v>44063</c:v>
                </c:pt>
                <c:pt idx="88">
                  <c:v>38970</c:v>
                </c:pt>
                <c:pt idx="89">
                  <c:v>33732</c:v>
                </c:pt>
                <c:pt idx="90">
                  <c:v>31068</c:v>
                </c:pt>
                <c:pt idx="91">
                  <c:v>26337</c:v>
                </c:pt>
                <c:pt idx="92">
                  <c:v>22096</c:v>
                </c:pt>
                <c:pt idx="93">
                  <c:v>16637</c:v>
                </c:pt>
                <c:pt idx="94">
                  <c:v>13028</c:v>
                </c:pt>
                <c:pt idx="95">
                  <c:v>9382</c:v>
                </c:pt>
                <c:pt idx="96">
                  <c:v>6950</c:v>
                </c:pt>
                <c:pt idx="97">
                  <c:v>5333</c:v>
                </c:pt>
                <c:pt idx="98">
                  <c:v>3452</c:v>
                </c:pt>
                <c:pt idx="99">
                  <c:v>2293</c:v>
                </c:pt>
                <c:pt idx="100">
                  <c:v>3200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5888"/>
        <c:axId val="1500391536"/>
      </c:barChart>
      <c:catAx>
        <c:axId val="1500395888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5888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0.77741</cdr:x>
      <cdr:y>0.13914</cdr:y>
    </cdr:from>
    <cdr:to>
      <cdr:x>0.97121</cdr:x>
      <cdr:y>0.22834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596566" y="688621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0.23816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8830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0.34533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101260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CCEAED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4.42578125"/>
    <col min="3" max="3" customWidth="true" style="7" width="3.140625"/>
    <col min="4" max="16384" style="7" width="8.85546875"/>
  </cols>
  <sheetData>
    <row r="1" spans="1:18" ht="15" customHeight="1" x14ac:dyDescent="0.2"/>
    <row r="2" spans="1:18" ht="18" x14ac:dyDescent="0.25">
      <c r="B2" s="55" t="s">
        <v>70</v>
      </c>
    </row>
    <row r="3" spans="1:18" ht="15" x14ac:dyDescent="0.2">
      <c r="B3" s="60" t="s">
        <v>71</v>
      </c>
    </row>
    <row r="4" spans="1:18" ht="6" customHeight="1" x14ac:dyDescent="0.2">
      <c r="B4" s="60"/>
    </row>
    <row r="5" spans="1:18" ht="15" x14ac:dyDescent="0.25">
      <c r="B5" s="100" t="s">
        <v>85</v>
      </c>
    </row>
    <row r="6" spans="1:18" x14ac:dyDescent="0.2">
      <c r="B6" s="61" t="s">
        <v>86</v>
      </c>
    </row>
    <row r="7" spans="1:18" ht="18.75" x14ac:dyDescent="0.3">
      <c r="B7" s="56"/>
    </row>
    <row r="8" spans="1:18" ht="15.75" x14ac:dyDescent="0.25">
      <c r="B8" s="59" t="s">
        <v>72</v>
      </c>
    </row>
    <row r="9" spans="1:18" x14ac:dyDescent="0.2">
      <c r="B9" s="61" t="s">
        <v>73</v>
      </c>
    </row>
    <row r="10" spans="1:18" ht="16.5" thickBot="1" x14ac:dyDescent="0.25">
      <c r="B10" s="57"/>
    </row>
    <row r="11" spans="1:18" ht="15" thickTop="1" x14ac:dyDescent="0.2"/>
    <row r="12" spans="1:18" ht="15" x14ac:dyDescent="0.25">
      <c r="B12" s="7" t="s">
        <v>74</v>
      </c>
      <c r="C12" s="58"/>
      <c r="D12" s="122" t="s">
        <v>42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</row>
    <row r="13" spans="1:18" x14ac:dyDescent="0.2">
      <c r="C13" s="58"/>
      <c r="D13" s="123" t="s">
        <v>43</v>
      </c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</row>
    <row r="14" spans="1:18" x14ac:dyDescent="0.2">
      <c r="C14" s="58"/>
    </row>
    <row r="15" spans="1:18" ht="15" x14ac:dyDescent="0.25">
      <c r="B15" s="7" t="s">
        <v>75</v>
      </c>
      <c r="C15" s="58"/>
      <c r="D15" s="122" t="s">
        <v>87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</row>
    <row r="16" spans="1:18" x14ac:dyDescent="0.2">
      <c r="A16" s="7" t="s">
        <v>38</v>
      </c>
      <c r="C16" s="58"/>
      <c r="D16" s="123" t="s">
        <v>69</v>
      </c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</row>
    <row r="17" spans="2:18" x14ac:dyDescent="0.2">
      <c r="C17" s="58"/>
    </row>
    <row r="18" spans="2:18" ht="15" x14ac:dyDescent="0.25">
      <c r="B18" s="7" t="s">
        <v>76</v>
      </c>
      <c r="C18" s="58"/>
      <c r="D18" s="122" t="s">
        <v>78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</row>
    <row r="19" spans="2:18" x14ac:dyDescent="0.2">
      <c r="C19" s="58"/>
      <c r="D19" s="123" t="s">
        <v>68</v>
      </c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</row>
    <row r="20" spans="2:18" x14ac:dyDescent="0.2">
      <c r="C20" s="58"/>
    </row>
    <row r="21" spans="2:18" ht="15" x14ac:dyDescent="0.25">
      <c r="B21" s="7" t="s">
        <v>77</v>
      </c>
      <c r="C21" s="58"/>
      <c r="D21" s="122" t="s">
        <v>55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</row>
    <row r="22" spans="2:18" ht="15" customHeight="1" x14ac:dyDescent="0.2">
      <c r="C22" s="58"/>
      <c r="D22" s="123" t="s">
        <v>57</v>
      </c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</row>
    <row r="23" spans="2:18" x14ac:dyDescent="0.2">
      <c r="B23" s="88"/>
      <c r="K23" s="7" t="s">
        <v>38</v>
      </c>
    </row>
    <row r="24" spans="2:18" ht="15" x14ac:dyDescent="0.25">
      <c r="B24" s="7" t="s">
        <v>91</v>
      </c>
      <c r="C24" s="58"/>
      <c r="D24" s="122" t="s">
        <v>92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</row>
    <row r="25" spans="2:18" x14ac:dyDescent="0.2">
      <c r="B25" s="61" t="s">
        <v>97</v>
      </c>
      <c r="C25" s="58"/>
      <c r="D25" s="123" t="s">
        <v>96</v>
      </c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B24" location="'Wykres 1 Chart 1'!A1" display="WYKRES 1."/>
    <hyperlink ref="D24:R25" location="'Wykres 1'!A1" display="PIRAMIDA LUDNOŚCI"/>
    <hyperlink ref="B25" location="'Wykres 1 Chart 1'!A1" display="CHART 1."/>
    <hyperlink ref="D24:R24" location="'Wykres 1 Chart 1'!A1" display="PIRAMIDA LUDNOŚCI"/>
    <hyperlink ref="D25:R25" location="'Wykres 1 Chart 1'!A1" display="POPULATION PYRAMID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66C2C9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6" customFormat="1" ht="22.9" customHeight="1" x14ac:dyDescent="0.2">
      <c r="A1" s="124"/>
      <c r="B1" s="124"/>
      <c r="C1" s="73" t="s">
        <v>44</v>
      </c>
      <c r="D1" s="74"/>
      <c r="E1" s="74"/>
      <c r="F1" s="74"/>
      <c r="G1" s="74"/>
      <c r="H1" s="74"/>
      <c r="I1" s="74"/>
      <c r="J1" s="74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7"/>
    </row>
    <row r="2" spans="1:41" ht="12" customHeight="1" x14ac:dyDescent="0.2">
      <c r="A2" s="127" t="s">
        <v>83</v>
      </c>
      <c r="B2" s="127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8" t="s">
        <v>84</v>
      </c>
      <c r="B3" s="128"/>
      <c r="D3" s="22" t="s">
        <v>43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49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15" t="s">
        <v>46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5" t="s">
        <v>47</v>
      </c>
      <c r="B8" s="71" t="s">
        <v>48</v>
      </c>
      <c r="C8" s="70" t="n">
        <v>5510612.0</v>
      </c>
      <c r="D8" s="70" t="n">
        <v>5513409.0</v>
      </c>
      <c r="E8" s="70" t="n">
        <v>5515469.0</v>
      </c>
      <c r="F8" s="70" t="n">
        <v>5517177.0</v>
      </c>
      <c r="G8" s="70" t="n">
        <v>5518138.0</v>
      </c>
      <c r="H8" s="70" t="n">
        <v>5537842.0</v>
      </c>
      <c r="I8" s="70" t="n">
        <v>5564070.0</v>
      </c>
      <c r="J8" s="70" t="n">
        <v>5574014.0</v>
      </c>
      <c r="K8" s="70" t="n">
        <v>5575169.0</v>
      </c>
      <c r="L8" s="70" t="n">
        <v>5572162.0</v>
      </c>
      <c r="M8" s="70" t="n">
        <v>5566275.0</v>
      </c>
      <c r="N8" s="70" t="n">
        <v>5558024.0</v>
      </c>
      <c r="O8" s="70" t="n">
        <v>5548347.0</v>
      </c>
      <c r="P8" s="70" t="n">
        <v>5537504.0</v>
      </c>
      <c r="Q8" s="70" t="n">
        <v>5525790.0</v>
      </c>
      <c r="R8" s="70" t="n">
        <v>5513660.0</v>
      </c>
      <c r="S8" s="70" t="n">
        <v>5500953.0</v>
      </c>
      <c r="T8" s="70" t="n">
        <v>5487882.0</v>
      </c>
      <c r="U8" s="70" t="n">
        <v>5474490.0</v>
      </c>
      <c r="V8" s="70" t="n">
        <v>5460886.0</v>
      </c>
      <c r="W8" s="70" t="n">
        <v>5447192.0</v>
      </c>
      <c r="X8" s="70" t="n">
        <v>5433696.0</v>
      </c>
      <c r="Y8" s="70" t="n">
        <v>5420010.0</v>
      </c>
      <c r="Z8" s="70" t="n">
        <v>5405785.0</v>
      </c>
      <c r="AA8" s="70" t="n">
        <v>5391381.0</v>
      </c>
      <c r="AB8" s="70" t="n">
        <v>5376676.0</v>
      </c>
      <c r="AC8" s="70" t="n">
        <v>5361603.0</v>
      </c>
      <c r="AD8" s="70" t="n">
        <v>5346363.0</v>
      </c>
      <c r="AE8" s="70" t="n">
        <v>5330538.0</v>
      </c>
      <c r="AF8" s="70" t="n">
        <v>5314035.0</v>
      </c>
      <c r="AG8" s="70" t="n">
        <v>5296435.0</v>
      </c>
      <c r="AH8" s="70" t="n">
        <v>5277953.0</v>
      </c>
      <c r="AI8" s="70" t="n">
        <v>5258562.0</v>
      </c>
      <c r="AJ8" s="70" t="n">
        <v>5238197.0</v>
      </c>
      <c r="AK8" s="70" t="n">
        <v>5216838.0</v>
      </c>
      <c r="AL8" s="70" t="n">
        <v>5194527.0</v>
      </c>
      <c r="AM8" s="70" t="n">
        <v>5170808.0</v>
      </c>
      <c r="AN8" s="70" t="n">
        <v>5146117.0</v>
      </c>
      <c r="AO8" s="70" t="n">
        <v>5120823.0</v>
      </c>
    </row>
    <row r="9" spans="1:41" x14ac:dyDescent="0.2">
      <c r="A9" s="125"/>
      <c r="B9" s="9">
        <v>0</v>
      </c>
      <c r="C9" s="3" t="n">
        <v>49435.0</v>
      </c>
      <c r="D9" s="3" t="n">
        <v>51883.0</v>
      </c>
      <c r="E9" s="3" t="n">
        <v>51270.0</v>
      </c>
      <c r="F9" s="3" t="n">
        <v>50816.0</v>
      </c>
      <c r="G9" s="3" t="n">
        <v>50315.0</v>
      </c>
      <c r="H9" s="3" t="n">
        <v>50021.0</v>
      </c>
      <c r="I9" s="3" t="n">
        <v>49835.0</v>
      </c>
      <c r="J9" s="3" t="n">
        <v>49510.0</v>
      </c>
      <c r="K9" s="3" t="n">
        <v>49034.0</v>
      </c>
      <c r="L9" s="3" t="n">
        <v>48522.0</v>
      </c>
      <c r="M9" s="3" t="n">
        <v>47976.0</v>
      </c>
      <c r="N9" s="3" t="n">
        <v>47497.0</v>
      </c>
      <c r="O9" s="3" t="n">
        <v>47102.0</v>
      </c>
      <c r="P9" s="3" t="n">
        <v>46900.0</v>
      </c>
      <c r="Q9" s="3" t="n">
        <v>46879.0</v>
      </c>
      <c r="R9" s="3" t="n">
        <v>47044.0</v>
      </c>
      <c r="S9" s="3" t="n">
        <v>47356.0</v>
      </c>
      <c r="T9" s="3" t="n">
        <v>47802.0</v>
      </c>
      <c r="U9" s="3" t="n">
        <v>48300.0</v>
      </c>
      <c r="V9" s="3" t="n">
        <v>48795.0</v>
      </c>
      <c r="W9" s="3" t="n">
        <v>49275.0</v>
      </c>
      <c r="X9" s="3" t="n">
        <v>49703.0</v>
      </c>
      <c r="Y9" s="3" t="n">
        <v>50012.0</v>
      </c>
      <c r="Z9" s="3" t="n">
        <v>50195.0</v>
      </c>
      <c r="AA9" s="3" t="n">
        <v>50258.0</v>
      </c>
      <c r="AB9" s="3" t="n">
        <v>50211.0</v>
      </c>
      <c r="AC9" s="3" t="n">
        <v>50036.0</v>
      </c>
      <c r="AD9" s="3" t="n">
        <v>49728.0</v>
      </c>
      <c r="AE9" s="3" t="n">
        <v>49302.0</v>
      </c>
      <c r="AF9" s="3" t="n">
        <v>48765.0</v>
      </c>
      <c r="AG9" s="3" t="n">
        <v>48160.0</v>
      </c>
      <c r="AH9" s="3" t="n">
        <v>47475.0</v>
      </c>
      <c r="AI9" s="3" t="n">
        <v>46716.0</v>
      </c>
      <c r="AJ9" s="3" t="n">
        <v>45998.0</v>
      </c>
      <c r="AK9" s="3" t="n">
        <v>45288.0</v>
      </c>
      <c r="AL9" s="3" t="n">
        <v>44583.0</v>
      </c>
      <c r="AM9" s="3" t="n">
        <v>43899.0</v>
      </c>
      <c r="AN9" s="3" t="n">
        <v>43292.0</v>
      </c>
      <c r="AO9" s="3" t="n">
        <v>42749.0</v>
      </c>
    </row>
    <row r="10" spans="1:41" x14ac:dyDescent="0.2">
      <c r="A10" s="125"/>
      <c r="B10" s="9">
        <v>1</v>
      </c>
      <c r="C10" s="3" t="n">
        <v>54596.0</v>
      </c>
      <c r="D10" s="3" t="n">
        <v>49632.0</v>
      </c>
      <c r="E10" s="3" t="n">
        <v>52060.0</v>
      </c>
      <c r="F10" s="3" t="n">
        <v>51444.0</v>
      </c>
      <c r="G10" s="3" t="n">
        <v>50998.0</v>
      </c>
      <c r="H10" s="3" t="n">
        <v>50800.0</v>
      </c>
      <c r="I10" s="3" t="n">
        <v>50620.0</v>
      </c>
      <c r="J10" s="3" t="n">
        <v>50205.0</v>
      </c>
      <c r="K10" s="3" t="n">
        <v>49767.0</v>
      </c>
      <c r="L10" s="3" t="n">
        <v>49246.0</v>
      </c>
      <c r="M10" s="3" t="n">
        <v>48720.0</v>
      </c>
      <c r="N10" s="3" t="n">
        <v>48164.0</v>
      </c>
      <c r="O10" s="3" t="n">
        <v>47684.0</v>
      </c>
      <c r="P10" s="3" t="n">
        <v>47295.0</v>
      </c>
      <c r="Q10" s="3" t="n">
        <v>47094.0</v>
      </c>
      <c r="R10" s="3" t="n">
        <v>47074.0</v>
      </c>
      <c r="S10" s="3" t="n">
        <v>47239.0</v>
      </c>
      <c r="T10" s="3" t="n">
        <v>47548.0</v>
      </c>
      <c r="U10" s="3" t="n">
        <v>47987.0</v>
      </c>
      <c r="V10" s="3" t="n">
        <v>48474.0</v>
      </c>
      <c r="W10" s="3" t="n">
        <v>48961.0</v>
      </c>
      <c r="X10" s="3" t="n">
        <v>49436.0</v>
      </c>
      <c r="Y10" s="3" t="n">
        <v>49861.0</v>
      </c>
      <c r="Z10" s="3" t="n">
        <v>50169.0</v>
      </c>
      <c r="AA10" s="3" t="n">
        <v>50344.0</v>
      </c>
      <c r="AB10" s="3" t="n">
        <v>50402.0</v>
      </c>
      <c r="AC10" s="3" t="n">
        <v>50354.0</v>
      </c>
      <c r="AD10" s="3" t="n">
        <v>50181.0</v>
      </c>
      <c r="AE10" s="3" t="n">
        <v>49867.0</v>
      </c>
      <c r="AF10" s="3" t="n">
        <v>49437.0</v>
      </c>
      <c r="AG10" s="3" t="n">
        <v>48893.0</v>
      </c>
      <c r="AH10" s="3" t="n">
        <v>48282.0</v>
      </c>
      <c r="AI10" s="3" t="n">
        <v>47597.0</v>
      </c>
      <c r="AJ10" s="3" t="n">
        <v>46831.0</v>
      </c>
      <c r="AK10" s="3" t="n">
        <v>46112.0</v>
      </c>
      <c r="AL10" s="3" t="n">
        <v>45403.0</v>
      </c>
      <c r="AM10" s="3" t="n">
        <v>44697.0</v>
      </c>
      <c r="AN10" s="3" t="n">
        <v>44006.0</v>
      </c>
      <c r="AO10" s="3" t="n">
        <v>43401.0</v>
      </c>
    </row>
    <row r="11" spans="1:41" x14ac:dyDescent="0.2">
      <c r="A11" s="125"/>
      <c r="B11" s="9">
        <v>2</v>
      </c>
      <c r="C11" s="3" t="n">
        <v>55361.0</v>
      </c>
      <c r="D11" s="3" t="n">
        <v>54823.0</v>
      </c>
      <c r="E11" s="3" t="n">
        <v>49829.0</v>
      </c>
      <c r="F11" s="3" t="n">
        <v>52240.0</v>
      </c>
      <c r="G11" s="3" t="n">
        <v>51640.0</v>
      </c>
      <c r="H11" s="3" t="n">
        <v>51609.0</v>
      </c>
      <c r="I11" s="3" t="n">
        <v>51559.0</v>
      </c>
      <c r="J11" s="3" t="n">
        <v>51063.0</v>
      </c>
      <c r="K11" s="3" t="n">
        <v>50486.0</v>
      </c>
      <c r="L11" s="3" t="n">
        <v>49995.0</v>
      </c>
      <c r="M11" s="3" t="n">
        <v>49452.0</v>
      </c>
      <c r="N11" s="3" t="n">
        <v>48909.0</v>
      </c>
      <c r="O11" s="3" t="n">
        <v>48351.0</v>
      </c>
      <c r="P11" s="3" t="n">
        <v>47874.0</v>
      </c>
      <c r="Q11" s="3" t="n">
        <v>47490.0</v>
      </c>
      <c r="R11" s="3" t="n">
        <v>47289.0</v>
      </c>
      <c r="S11" s="3" t="n">
        <v>47269.0</v>
      </c>
      <c r="T11" s="3" t="n">
        <v>47439.0</v>
      </c>
      <c r="U11" s="3" t="n">
        <v>47747.0</v>
      </c>
      <c r="V11" s="3" t="n">
        <v>48181.0</v>
      </c>
      <c r="W11" s="3" t="n">
        <v>48669.0</v>
      </c>
      <c r="X11" s="3" t="n">
        <v>49146.0</v>
      </c>
      <c r="Y11" s="3" t="n">
        <v>49612.0</v>
      </c>
      <c r="Z11" s="3" t="n">
        <v>50036.0</v>
      </c>
      <c r="AA11" s="3" t="n">
        <v>50338.0</v>
      </c>
      <c r="AB11" s="3" t="n">
        <v>50505.0</v>
      </c>
      <c r="AC11" s="3" t="n">
        <v>50558.0</v>
      </c>
      <c r="AD11" s="3" t="n">
        <v>50503.0</v>
      </c>
      <c r="AE11" s="3" t="n">
        <v>50330.0</v>
      </c>
      <c r="AF11" s="3" t="n">
        <v>50007.0</v>
      </c>
      <c r="AG11" s="3" t="n">
        <v>49577.0</v>
      </c>
      <c r="AH11" s="3" t="n">
        <v>49027.0</v>
      </c>
      <c r="AI11" s="3" t="n">
        <v>48413.0</v>
      </c>
      <c r="AJ11" s="3" t="n">
        <v>47725.0</v>
      </c>
      <c r="AK11" s="3" t="n">
        <v>46957.0</v>
      </c>
      <c r="AL11" s="3" t="n">
        <v>46238.0</v>
      </c>
      <c r="AM11" s="3" t="n">
        <v>45532.0</v>
      </c>
      <c r="AN11" s="3" t="n">
        <v>44826.0</v>
      </c>
      <c r="AO11" s="3" t="n">
        <v>44127.0</v>
      </c>
    </row>
    <row r="12" spans="1:41" x14ac:dyDescent="0.2">
      <c r="A12" s="125"/>
      <c r="B12" s="9">
        <v>3</v>
      </c>
      <c r="C12" s="3" t="n">
        <v>59630.0</v>
      </c>
      <c r="D12" s="3" t="n">
        <v>55575.0</v>
      </c>
      <c r="E12" s="3" t="n">
        <v>55006.0</v>
      </c>
      <c r="F12" s="3" t="n">
        <v>49998.0</v>
      </c>
      <c r="G12" s="3" t="n">
        <v>52409.0</v>
      </c>
      <c r="H12" s="3" t="n">
        <v>52230.0</v>
      </c>
      <c r="I12" s="3" t="n">
        <v>52359.0</v>
      </c>
      <c r="J12" s="3" t="n">
        <v>51975.0</v>
      </c>
      <c r="K12" s="3" t="n">
        <v>51309.0</v>
      </c>
      <c r="L12" s="3" t="n">
        <v>50682.0</v>
      </c>
      <c r="M12" s="3" t="n">
        <v>50167.0</v>
      </c>
      <c r="N12" s="3" t="n">
        <v>49605.0</v>
      </c>
      <c r="O12" s="3" t="n">
        <v>49056.0</v>
      </c>
      <c r="P12" s="3" t="n">
        <v>48502.0</v>
      </c>
      <c r="Q12" s="3" t="n">
        <v>48026.0</v>
      </c>
      <c r="R12" s="3" t="n">
        <v>47652.0</v>
      </c>
      <c r="S12" s="3" t="n">
        <v>47455.0</v>
      </c>
      <c r="T12" s="3" t="n">
        <v>47432.0</v>
      </c>
      <c r="U12" s="3" t="n">
        <v>47601.0</v>
      </c>
      <c r="V12" s="3" t="n">
        <v>47903.0</v>
      </c>
      <c r="W12" s="3" t="n">
        <v>48332.0</v>
      </c>
      <c r="X12" s="3" t="n">
        <v>48823.0</v>
      </c>
      <c r="Y12" s="3" t="n">
        <v>49296.0</v>
      </c>
      <c r="Z12" s="3" t="n">
        <v>49756.0</v>
      </c>
      <c r="AA12" s="3" t="n">
        <v>50178.0</v>
      </c>
      <c r="AB12" s="3" t="n">
        <v>50478.0</v>
      </c>
      <c r="AC12" s="3" t="n">
        <v>50645.0</v>
      </c>
      <c r="AD12" s="3" t="n">
        <v>50690.0</v>
      </c>
      <c r="AE12" s="3" t="n">
        <v>50628.0</v>
      </c>
      <c r="AF12" s="3" t="n">
        <v>50453.0</v>
      </c>
      <c r="AG12" s="3" t="n">
        <v>50124.0</v>
      </c>
      <c r="AH12" s="3" t="n">
        <v>49692.0</v>
      </c>
      <c r="AI12" s="3" t="n">
        <v>49142.0</v>
      </c>
      <c r="AJ12" s="3" t="n">
        <v>48514.0</v>
      </c>
      <c r="AK12" s="3" t="n">
        <v>47822.0</v>
      </c>
      <c r="AL12" s="3" t="n">
        <v>47050.0</v>
      </c>
      <c r="AM12" s="3" t="n">
        <v>46326.0</v>
      </c>
      <c r="AN12" s="3" t="n">
        <v>45623.0</v>
      </c>
      <c r="AO12" s="3" t="n">
        <v>44920.0</v>
      </c>
    </row>
    <row r="13" spans="1:41" x14ac:dyDescent="0.2">
      <c r="A13" s="125"/>
      <c r="B13" s="9">
        <v>4</v>
      </c>
      <c r="C13" s="3" t="n">
        <v>61681.0</v>
      </c>
      <c r="D13" s="3" t="n">
        <v>59788.0</v>
      </c>
      <c r="E13" s="3" t="n">
        <v>55725.0</v>
      </c>
      <c r="F13" s="3" t="n">
        <v>55150.0</v>
      </c>
      <c r="G13" s="3" t="n">
        <v>50142.0</v>
      </c>
      <c r="H13" s="3" t="n">
        <v>52957.0</v>
      </c>
      <c r="I13" s="3" t="n">
        <v>52936.0</v>
      </c>
      <c r="J13" s="3" t="n">
        <v>52744.0</v>
      </c>
      <c r="K13" s="3" t="n">
        <v>52183.0</v>
      </c>
      <c r="L13" s="3" t="n">
        <v>51470.0</v>
      </c>
      <c r="M13" s="3" t="n">
        <v>50810.0</v>
      </c>
      <c r="N13" s="3" t="n">
        <v>50281.0</v>
      </c>
      <c r="O13" s="3" t="n">
        <v>49709.0</v>
      </c>
      <c r="P13" s="3" t="n">
        <v>49164.0</v>
      </c>
      <c r="Q13" s="3" t="n">
        <v>48615.0</v>
      </c>
      <c r="R13" s="3" t="n">
        <v>48141.0</v>
      </c>
      <c r="S13" s="3" t="n">
        <v>47767.0</v>
      </c>
      <c r="T13" s="3" t="n">
        <v>47568.0</v>
      </c>
      <c r="U13" s="3" t="n">
        <v>47545.0</v>
      </c>
      <c r="V13" s="3" t="n">
        <v>47712.0</v>
      </c>
      <c r="W13" s="3" t="n">
        <v>48017.0</v>
      </c>
      <c r="X13" s="3" t="n">
        <v>48442.0</v>
      </c>
      <c r="Y13" s="3" t="n">
        <v>48929.0</v>
      </c>
      <c r="Z13" s="3" t="n">
        <v>49395.0</v>
      </c>
      <c r="AA13" s="3" t="n">
        <v>49851.0</v>
      </c>
      <c r="AB13" s="3" t="n">
        <v>50271.0</v>
      </c>
      <c r="AC13" s="3" t="n">
        <v>50566.0</v>
      </c>
      <c r="AD13" s="3" t="n">
        <v>50728.0</v>
      </c>
      <c r="AE13" s="3" t="n">
        <v>50769.0</v>
      </c>
      <c r="AF13" s="3" t="n">
        <v>50703.0</v>
      </c>
      <c r="AG13" s="3" t="n">
        <v>50522.0</v>
      </c>
      <c r="AH13" s="3" t="n">
        <v>50191.0</v>
      </c>
      <c r="AI13" s="3" t="n">
        <v>49758.0</v>
      </c>
      <c r="AJ13" s="3" t="n">
        <v>49208.0</v>
      </c>
      <c r="AK13" s="3" t="n">
        <v>48579.0</v>
      </c>
      <c r="AL13" s="3" t="n">
        <v>47884.0</v>
      </c>
      <c r="AM13" s="3" t="n">
        <v>47107.0</v>
      </c>
      <c r="AN13" s="3" t="n">
        <v>46375.0</v>
      </c>
      <c r="AO13" s="3" t="n">
        <v>45677.0</v>
      </c>
    </row>
    <row r="14" spans="1:41" x14ac:dyDescent="0.2">
      <c r="A14" s="125"/>
      <c r="B14" s="9">
        <v>5</v>
      </c>
      <c r="C14" s="3" t="n">
        <v>64089.0</v>
      </c>
      <c r="D14" s="3" t="n">
        <v>61817.0</v>
      </c>
      <c r="E14" s="3" t="n">
        <v>59924.0</v>
      </c>
      <c r="F14" s="3" t="n">
        <v>55867.0</v>
      </c>
      <c r="G14" s="3" t="n">
        <v>55300.0</v>
      </c>
      <c r="H14" s="3" t="n">
        <v>50715.0</v>
      </c>
      <c r="I14" s="3" t="n">
        <v>53678.0</v>
      </c>
      <c r="J14" s="3" t="n">
        <v>53312.0</v>
      </c>
      <c r="K14" s="3" t="n">
        <v>52954.0</v>
      </c>
      <c r="L14" s="3" t="n">
        <v>52331.0</v>
      </c>
      <c r="M14" s="3" t="n">
        <v>51589.0</v>
      </c>
      <c r="N14" s="3" t="n">
        <v>50906.0</v>
      </c>
      <c r="O14" s="3" t="n">
        <v>50365.0</v>
      </c>
      <c r="P14" s="3" t="n">
        <v>49795.0</v>
      </c>
      <c r="Q14" s="3" t="n">
        <v>49258.0</v>
      </c>
      <c r="R14" s="3" t="n">
        <v>48715.0</v>
      </c>
      <c r="S14" s="3" t="n">
        <v>48244.0</v>
      </c>
      <c r="T14" s="3" t="n">
        <v>47871.0</v>
      </c>
      <c r="U14" s="3" t="n">
        <v>47673.0</v>
      </c>
      <c r="V14" s="3" t="n">
        <v>47653.0</v>
      </c>
      <c r="W14" s="3" t="n">
        <v>47820.0</v>
      </c>
      <c r="X14" s="3" t="n">
        <v>48124.0</v>
      </c>
      <c r="Y14" s="3" t="n">
        <v>48541.0</v>
      </c>
      <c r="Z14" s="3" t="n">
        <v>49022.0</v>
      </c>
      <c r="AA14" s="3" t="n">
        <v>49488.0</v>
      </c>
      <c r="AB14" s="3" t="n">
        <v>49939.0</v>
      </c>
      <c r="AC14" s="3" t="n">
        <v>50359.0</v>
      </c>
      <c r="AD14" s="3" t="n">
        <v>50651.0</v>
      </c>
      <c r="AE14" s="3" t="n">
        <v>50806.0</v>
      </c>
      <c r="AF14" s="3" t="n">
        <v>50845.0</v>
      </c>
      <c r="AG14" s="3" t="n">
        <v>50774.0</v>
      </c>
      <c r="AH14" s="3" t="n">
        <v>50586.0</v>
      </c>
      <c r="AI14" s="3" t="n">
        <v>50251.0</v>
      </c>
      <c r="AJ14" s="3" t="n">
        <v>49817.0</v>
      </c>
      <c r="AK14" s="3" t="n">
        <v>49271.0</v>
      </c>
      <c r="AL14" s="3" t="n">
        <v>48642.0</v>
      </c>
      <c r="AM14" s="3" t="n">
        <v>47944.0</v>
      </c>
      <c r="AN14" s="3" t="n">
        <v>47167.0</v>
      </c>
      <c r="AO14" s="3" t="n">
        <v>46425.0</v>
      </c>
    </row>
    <row r="15" spans="1:41" x14ac:dyDescent="0.2">
      <c r="A15" s="125"/>
      <c r="B15" s="9">
        <v>6</v>
      </c>
      <c r="C15" s="3" t="n">
        <v>62042.0</v>
      </c>
      <c r="D15" s="3" t="n">
        <v>64239.0</v>
      </c>
      <c r="E15" s="3" t="n">
        <v>61967.0</v>
      </c>
      <c r="F15" s="3" t="n">
        <v>60077.0</v>
      </c>
      <c r="G15" s="3" t="n">
        <v>56016.0</v>
      </c>
      <c r="H15" s="3" t="n">
        <v>55904.0</v>
      </c>
      <c r="I15" s="3" t="n">
        <v>51478.0</v>
      </c>
      <c r="J15" s="3" t="n">
        <v>54064.0</v>
      </c>
      <c r="K15" s="3" t="n">
        <v>53521.0</v>
      </c>
      <c r="L15" s="3" t="n">
        <v>53101.0</v>
      </c>
      <c r="M15" s="3" t="n">
        <v>52444.0</v>
      </c>
      <c r="N15" s="3" t="n">
        <v>51681.0</v>
      </c>
      <c r="O15" s="3" t="n">
        <v>50987.0</v>
      </c>
      <c r="P15" s="3" t="n">
        <v>50444.0</v>
      </c>
      <c r="Q15" s="3" t="n">
        <v>49881.0</v>
      </c>
      <c r="R15" s="3" t="n">
        <v>49344.0</v>
      </c>
      <c r="S15" s="3" t="n">
        <v>48808.0</v>
      </c>
      <c r="T15" s="3" t="n">
        <v>48338.0</v>
      </c>
      <c r="U15" s="3" t="n">
        <v>47967.0</v>
      </c>
      <c r="V15" s="3" t="n">
        <v>47766.0</v>
      </c>
      <c r="W15" s="3" t="n">
        <v>47747.0</v>
      </c>
      <c r="X15" s="3" t="n">
        <v>47915.0</v>
      </c>
      <c r="Y15" s="3" t="n">
        <v>48219.0</v>
      </c>
      <c r="Z15" s="3" t="n">
        <v>48633.0</v>
      </c>
      <c r="AA15" s="3" t="n">
        <v>49111.0</v>
      </c>
      <c r="AB15" s="3" t="n">
        <v>49575.0</v>
      </c>
      <c r="AC15" s="3" t="n">
        <v>50020.0</v>
      </c>
      <c r="AD15" s="3" t="n">
        <v>50433.0</v>
      </c>
      <c r="AE15" s="3" t="n">
        <v>50723.0</v>
      </c>
      <c r="AF15" s="3" t="n">
        <v>50876.0</v>
      </c>
      <c r="AG15" s="3" t="n">
        <v>50914.0</v>
      </c>
      <c r="AH15" s="3" t="n">
        <v>50841.0</v>
      </c>
      <c r="AI15" s="3" t="n">
        <v>50653.0</v>
      </c>
      <c r="AJ15" s="3" t="n">
        <v>50311.0</v>
      </c>
      <c r="AK15" s="3" t="n">
        <v>49874.0</v>
      </c>
      <c r="AL15" s="3" t="n">
        <v>49325.0</v>
      </c>
      <c r="AM15" s="3" t="n">
        <v>48700.0</v>
      </c>
      <c r="AN15" s="3" t="n">
        <v>48002.0</v>
      </c>
      <c r="AO15" s="3" t="n">
        <v>47225.0</v>
      </c>
    </row>
    <row r="16" spans="1:41" x14ac:dyDescent="0.2">
      <c r="A16" s="125"/>
      <c r="B16" s="9">
        <v>7</v>
      </c>
      <c r="C16" s="3" t="n">
        <v>61031.0</v>
      </c>
      <c r="D16" s="3" t="n">
        <v>62117.0</v>
      </c>
      <c r="E16" s="3" t="n">
        <v>64326.0</v>
      </c>
      <c r="F16" s="3" t="n">
        <v>62060.0</v>
      </c>
      <c r="G16" s="3" t="n">
        <v>60180.0</v>
      </c>
      <c r="H16" s="3" t="n">
        <v>56613.0</v>
      </c>
      <c r="I16" s="3" t="n">
        <v>56676.0</v>
      </c>
      <c r="J16" s="3" t="n">
        <v>51868.0</v>
      </c>
      <c r="K16" s="3" t="n">
        <v>54247.0</v>
      </c>
      <c r="L16" s="3" t="n">
        <v>53621.0</v>
      </c>
      <c r="M16" s="3" t="n">
        <v>53163.0</v>
      </c>
      <c r="N16" s="3" t="n">
        <v>52493.0</v>
      </c>
      <c r="O16" s="3" t="n">
        <v>51729.0</v>
      </c>
      <c r="P16" s="3" t="n">
        <v>51038.0</v>
      </c>
      <c r="Q16" s="3" t="n">
        <v>50495.0</v>
      </c>
      <c r="R16" s="3" t="n">
        <v>49937.0</v>
      </c>
      <c r="S16" s="3" t="n">
        <v>49400.0</v>
      </c>
      <c r="T16" s="3" t="n">
        <v>48866.0</v>
      </c>
      <c r="U16" s="3" t="n">
        <v>48398.0</v>
      </c>
      <c r="V16" s="3" t="n">
        <v>48029.0</v>
      </c>
      <c r="W16" s="3" t="n">
        <v>47832.0</v>
      </c>
      <c r="X16" s="3" t="n">
        <v>47808.0</v>
      </c>
      <c r="Y16" s="3" t="n">
        <v>47976.0</v>
      </c>
      <c r="Z16" s="3" t="n">
        <v>48278.0</v>
      </c>
      <c r="AA16" s="3" t="n">
        <v>48692.0</v>
      </c>
      <c r="AB16" s="3" t="n">
        <v>49163.0</v>
      </c>
      <c r="AC16" s="3" t="n">
        <v>49620.0</v>
      </c>
      <c r="AD16" s="3" t="n">
        <v>50064.0</v>
      </c>
      <c r="AE16" s="3" t="n">
        <v>50474.0</v>
      </c>
      <c r="AF16" s="3" t="n">
        <v>50761.0</v>
      </c>
      <c r="AG16" s="3" t="n">
        <v>50910.0</v>
      </c>
      <c r="AH16" s="3" t="n">
        <v>50946.0</v>
      </c>
      <c r="AI16" s="3" t="n">
        <v>50868.0</v>
      </c>
      <c r="AJ16" s="3" t="n">
        <v>50683.0</v>
      </c>
      <c r="AK16" s="3" t="n">
        <v>50340.0</v>
      </c>
      <c r="AL16" s="3" t="n">
        <v>49898.0</v>
      </c>
      <c r="AM16" s="3" t="n">
        <v>49347.0</v>
      </c>
      <c r="AN16" s="3" t="n">
        <v>48721.0</v>
      </c>
      <c r="AO16" s="3" t="n">
        <v>48027.0</v>
      </c>
    </row>
    <row r="17" spans="1:41" x14ac:dyDescent="0.2">
      <c r="A17" s="125"/>
      <c r="B17" s="9">
        <v>8</v>
      </c>
      <c r="C17" s="3" t="n">
        <v>60548.0</v>
      </c>
      <c r="D17" s="3" t="n">
        <v>61085.0</v>
      </c>
      <c r="E17" s="3" t="n">
        <v>62173.0</v>
      </c>
      <c r="F17" s="3" t="n">
        <v>64385.0</v>
      </c>
      <c r="G17" s="3" t="n">
        <v>62134.0</v>
      </c>
      <c r="H17" s="3" t="n">
        <v>60774.0</v>
      </c>
      <c r="I17" s="3" t="n">
        <v>57383.0</v>
      </c>
      <c r="J17" s="3" t="n">
        <v>57044.0</v>
      </c>
      <c r="K17" s="3" t="n">
        <v>52026.0</v>
      </c>
      <c r="L17" s="3" t="n">
        <v>54326.0</v>
      </c>
      <c r="M17" s="3" t="n">
        <v>53654.0</v>
      </c>
      <c r="N17" s="3" t="n">
        <v>53181.0</v>
      </c>
      <c r="O17" s="3" t="n">
        <v>52501.0</v>
      </c>
      <c r="P17" s="3" t="n">
        <v>51738.0</v>
      </c>
      <c r="Q17" s="3" t="n">
        <v>51052.0</v>
      </c>
      <c r="R17" s="3" t="n">
        <v>50509.0</v>
      </c>
      <c r="S17" s="3" t="n">
        <v>49951.0</v>
      </c>
      <c r="T17" s="3" t="n">
        <v>49414.0</v>
      </c>
      <c r="U17" s="3" t="n">
        <v>48881.0</v>
      </c>
      <c r="V17" s="3" t="n">
        <v>48414.0</v>
      </c>
      <c r="W17" s="3" t="n">
        <v>48047.0</v>
      </c>
      <c r="X17" s="3" t="n">
        <v>47854.0</v>
      </c>
      <c r="Y17" s="3" t="n">
        <v>47832.0</v>
      </c>
      <c r="Z17" s="3" t="n">
        <v>47995.0</v>
      </c>
      <c r="AA17" s="3" t="n">
        <v>48297.0</v>
      </c>
      <c r="AB17" s="3" t="n">
        <v>48710.0</v>
      </c>
      <c r="AC17" s="3" t="n">
        <v>49176.0</v>
      </c>
      <c r="AD17" s="3" t="n">
        <v>49632.0</v>
      </c>
      <c r="AE17" s="3" t="n">
        <v>50075.0</v>
      </c>
      <c r="AF17" s="3" t="n">
        <v>50477.0</v>
      </c>
      <c r="AG17" s="3" t="n">
        <v>50761.0</v>
      </c>
      <c r="AH17" s="3" t="n">
        <v>50907.0</v>
      </c>
      <c r="AI17" s="3" t="n">
        <v>50941.0</v>
      </c>
      <c r="AJ17" s="3" t="n">
        <v>50861.0</v>
      </c>
      <c r="AK17" s="3" t="n">
        <v>50675.0</v>
      </c>
      <c r="AL17" s="3" t="n">
        <v>50332.0</v>
      </c>
      <c r="AM17" s="3" t="n">
        <v>49889.0</v>
      </c>
      <c r="AN17" s="3" t="n">
        <v>49328.0</v>
      </c>
      <c r="AO17" s="3" t="n">
        <v>48707.0</v>
      </c>
    </row>
    <row r="18" spans="1:41" x14ac:dyDescent="0.2">
      <c r="A18" s="125"/>
      <c r="B18" s="9">
        <v>9</v>
      </c>
      <c r="C18" s="3" t="n">
        <v>59121.0</v>
      </c>
      <c r="D18" s="3" t="n">
        <v>60587.0</v>
      </c>
      <c r="E18" s="3" t="n">
        <v>61126.0</v>
      </c>
      <c r="F18" s="3" t="n">
        <v>62228.0</v>
      </c>
      <c r="G18" s="3" t="n">
        <v>64457.0</v>
      </c>
      <c r="H18" s="3" t="n">
        <v>62724.0</v>
      </c>
      <c r="I18" s="3" t="n">
        <v>61573.0</v>
      </c>
      <c r="J18" s="3" t="n">
        <v>57760.0</v>
      </c>
      <c r="K18" s="3" t="n">
        <v>57216.0</v>
      </c>
      <c r="L18" s="3" t="n">
        <v>52105.0</v>
      </c>
      <c r="M18" s="3" t="n">
        <v>54367.0</v>
      </c>
      <c r="N18" s="3" t="n">
        <v>53660.0</v>
      </c>
      <c r="O18" s="3" t="n">
        <v>53176.0</v>
      </c>
      <c r="P18" s="3" t="n">
        <v>52494.0</v>
      </c>
      <c r="Q18" s="3" t="n">
        <v>51733.0</v>
      </c>
      <c r="R18" s="3" t="n">
        <v>51058.0</v>
      </c>
      <c r="S18" s="3" t="n">
        <v>50518.0</v>
      </c>
      <c r="T18" s="3" t="n">
        <v>49962.0</v>
      </c>
      <c r="U18" s="3" t="n">
        <v>49424.0</v>
      </c>
      <c r="V18" s="3" t="n">
        <v>48891.0</v>
      </c>
      <c r="W18" s="3" t="n">
        <v>48426.0</v>
      </c>
      <c r="X18" s="3" t="n">
        <v>48061.0</v>
      </c>
      <c r="Y18" s="3" t="n">
        <v>47869.0</v>
      </c>
      <c r="Z18" s="3" t="n">
        <v>47848.0</v>
      </c>
      <c r="AA18" s="3" t="n">
        <v>48012.0</v>
      </c>
      <c r="AB18" s="3" t="n">
        <v>48310.0</v>
      </c>
      <c r="AC18" s="3" t="n">
        <v>48721.0</v>
      </c>
      <c r="AD18" s="3" t="n">
        <v>49184.0</v>
      </c>
      <c r="AE18" s="3" t="n">
        <v>49639.0</v>
      </c>
      <c r="AF18" s="3" t="n">
        <v>50081.0</v>
      </c>
      <c r="AG18" s="3" t="n">
        <v>50481.0</v>
      </c>
      <c r="AH18" s="3" t="n">
        <v>50760.0</v>
      </c>
      <c r="AI18" s="3" t="n">
        <v>50906.0</v>
      </c>
      <c r="AJ18" s="3" t="n">
        <v>50937.0</v>
      </c>
      <c r="AK18" s="3" t="n">
        <v>50852.0</v>
      </c>
      <c r="AL18" s="3" t="n">
        <v>50665.0</v>
      </c>
      <c r="AM18" s="3" t="n">
        <v>50322.0</v>
      </c>
      <c r="AN18" s="3" t="n">
        <v>49876.0</v>
      </c>
      <c r="AO18" s="3" t="n">
        <v>49314.0</v>
      </c>
    </row>
    <row r="19" spans="1:41" x14ac:dyDescent="0.2">
      <c r="A19" s="125"/>
      <c r="B19" s="9">
        <v>10</v>
      </c>
      <c r="C19" s="3" t="n">
        <v>61540.0</v>
      </c>
      <c r="D19" s="3" t="n">
        <v>59174.0</v>
      </c>
      <c r="E19" s="3" t="n">
        <v>60637.0</v>
      </c>
      <c r="F19" s="3" t="n">
        <v>61176.0</v>
      </c>
      <c r="G19" s="3" t="n">
        <v>62294.0</v>
      </c>
      <c r="H19" s="3" t="n">
        <v>65060.0</v>
      </c>
      <c r="I19" s="3" t="n">
        <v>63513.0</v>
      </c>
      <c r="J19" s="3" t="n">
        <v>61957.0</v>
      </c>
      <c r="K19" s="3" t="n">
        <v>57928.0</v>
      </c>
      <c r="L19" s="3" t="n">
        <v>57309.0</v>
      </c>
      <c r="M19" s="3" t="n">
        <v>52140.0</v>
      </c>
      <c r="N19" s="3" t="n">
        <v>54371.0</v>
      </c>
      <c r="O19" s="3" t="n">
        <v>53654.0</v>
      </c>
      <c r="P19" s="3" t="n">
        <v>53172.0</v>
      </c>
      <c r="Q19" s="3" t="n">
        <v>52494.0</v>
      </c>
      <c r="R19" s="3" t="n">
        <v>51728.0</v>
      </c>
      <c r="S19" s="3" t="n">
        <v>51051.0</v>
      </c>
      <c r="T19" s="3" t="n">
        <v>50514.0</v>
      </c>
      <c r="U19" s="3" t="n">
        <v>49958.0</v>
      </c>
      <c r="V19" s="3" t="n">
        <v>49422.0</v>
      </c>
      <c r="W19" s="3" t="n">
        <v>48895.0</v>
      </c>
      <c r="X19" s="3" t="n">
        <v>48430.0</v>
      </c>
      <c r="Y19" s="3" t="n">
        <v>48067.0</v>
      </c>
      <c r="Z19" s="3" t="n">
        <v>47876.0</v>
      </c>
      <c r="AA19" s="3" t="n">
        <v>47854.0</v>
      </c>
      <c r="AB19" s="3" t="n">
        <v>48018.0</v>
      </c>
      <c r="AC19" s="3" t="n">
        <v>48315.0</v>
      </c>
      <c r="AD19" s="3" t="n">
        <v>48728.0</v>
      </c>
      <c r="AE19" s="3" t="n">
        <v>49183.0</v>
      </c>
      <c r="AF19" s="3" t="n">
        <v>49635.0</v>
      </c>
      <c r="AG19" s="3" t="n">
        <v>50069.0</v>
      </c>
      <c r="AH19" s="3" t="n">
        <v>50469.0</v>
      </c>
      <c r="AI19" s="3" t="n">
        <v>50743.0</v>
      </c>
      <c r="AJ19" s="3" t="n">
        <v>50887.0</v>
      </c>
      <c r="AK19" s="3" t="n">
        <v>50916.0</v>
      </c>
      <c r="AL19" s="3" t="n">
        <v>50832.0</v>
      </c>
      <c r="AM19" s="3" t="n">
        <v>50639.0</v>
      </c>
      <c r="AN19" s="3" t="n">
        <v>50301.0</v>
      </c>
      <c r="AO19" s="3" t="n">
        <v>49855.0</v>
      </c>
    </row>
    <row r="20" spans="1:41" x14ac:dyDescent="0.2">
      <c r="A20" s="125"/>
      <c r="B20" s="9">
        <v>11</v>
      </c>
      <c r="C20" s="3" t="n">
        <v>61047.0</v>
      </c>
      <c r="D20" s="3" t="n">
        <v>61572.0</v>
      </c>
      <c r="E20" s="3" t="n">
        <v>59205.0</v>
      </c>
      <c r="F20" s="3" t="n">
        <v>60669.0</v>
      </c>
      <c r="G20" s="3" t="n">
        <v>61232.0</v>
      </c>
      <c r="H20" s="3" t="n">
        <v>62878.0</v>
      </c>
      <c r="I20" s="3" t="n">
        <v>65842.0</v>
      </c>
      <c r="J20" s="3" t="n">
        <v>63878.0</v>
      </c>
      <c r="K20" s="3" t="n">
        <v>62132.0</v>
      </c>
      <c r="L20" s="3" t="n">
        <v>58023.0</v>
      </c>
      <c r="M20" s="3" t="n">
        <v>57360.0</v>
      </c>
      <c r="N20" s="3" t="n">
        <v>52157.0</v>
      </c>
      <c r="O20" s="3" t="n">
        <v>54368.0</v>
      </c>
      <c r="P20" s="3" t="n">
        <v>53646.0</v>
      </c>
      <c r="Q20" s="3" t="n">
        <v>53166.0</v>
      </c>
      <c r="R20" s="3" t="n">
        <v>52493.0</v>
      </c>
      <c r="S20" s="3" t="n">
        <v>51725.0</v>
      </c>
      <c r="T20" s="3" t="n">
        <v>51045.0</v>
      </c>
      <c r="U20" s="3" t="n">
        <v>50507.0</v>
      </c>
      <c r="V20" s="3" t="n">
        <v>49949.0</v>
      </c>
      <c r="W20" s="3" t="n">
        <v>49412.0</v>
      </c>
      <c r="X20" s="3" t="n">
        <v>48885.0</v>
      </c>
      <c r="Y20" s="3" t="n">
        <v>48427.0</v>
      </c>
      <c r="Z20" s="3" t="n">
        <v>48067.0</v>
      </c>
      <c r="AA20" s="3" t="n">
        <v>47876.0</v>
      </c>
      <c r="AB20" s="3" t="n">
        <v>47853.0</v>
      </c>
      <c r="AC20" s="3" t="n">
        <v>48018.0</v>
      </c>
      <c r="AD20" s="3" t="n">
        <v>48315.0</v>
      </c>
      <c r="AE20" s="3" t="n">
        <v>48723.0</v>
      </c>
      <c r="AF20" s="3" t="n">
        <v>49177.0</v>
      </c>
      <c r="AG20" s="3" t="n">
        <v>49624.0</v>
      </c>
      <c r="AH20" s="3" t="n">
        <v>50054.0</v>
      </c>
      <c r="AI20" s="3" t="n">
        <v>50455.0</v>
      </c>
      <c r="AJ20" s="3" t="n">
        <v>50726.0</v>
      </c>
      <c r="AK20" s="3" t="n">
        <v>50865.0</v>
      </c>
      <c r="AL20" s="3" t="n">
        <v>50891.0</v>
      </c>
      <c r="AM20" s="3" t="n">
        <v>50807.0</v>
      </c>
      <c r="AN20" s="3" t="n">
        <v>50610.0</v>
      </c>
      <c r="AO20" s="3" t="n">
        <v>50271.0</v>
      </c>
    </row>
    <row r="21" spans="1:41" x14ac:dyDescent="0.2">
      <c r="A21" s="125"/>
      <c r="B21" s="9">
        <v>12</v>
      </c>
      <c r="C21" s="3" t="n">
        <v>64863.0</v>
      </c>
      <c r="D21" s="3" t="n">
        <v>61082.0</v>
      </c>
      <c r="E21" s="3" t="n">
        <v>61603.0</v>
      </c>
      <c r="F21" s="3" t="n">
        <v>59245.0</v>
      </c>
      <c r="G21" s="3" t="n">
        <v>60718.0</v>
      </c>
      <c r="H21" s="3" t="n">
        <v>61766.0</v>
      </c>
      <c r="I21" s="3" t="n">
        <v>63602.0</v>
      </c>
      <c r="J21" s="3" t="n">
        <v>66185.0</v>
      </c>
      <c r="K21" s="3" t="n">
        <v>64030.0</v>
      </c>
      <c r="L21" s="3" t="n">
        <v>62210.0</v>
      </c>
      <c r="M21" s="3" t="n">
        <v>58072.0</v>
      </c>
      <c r="N21" s="3" t="n">
        <v>57380.0</v>
      </c>
      <c r="O21" s="3" t="n">
        <v>52156.0</v>
      </c>
      <c r="P21" s="3" t="n">
        <v>54357.0</v>
      </c>
      <c r="Q21" s="3" t="n">
        <v>53627.0</v>
      </c>
      <c r="R21" s="3" t="n">
        <v>53147.0</v>
      </c>
      <c r="S21" s="3" t="n">
        <v>52472.0</v>
      </c>
      <c r="T21" s="3" t="n">
        <v>51706.0</v>
      </c>
      <c r="U21" s="3" t="n">
        <v>51029.0</v>
      </c>
      <c r="V21" s="3" t="n">
        <v>50494.0</v>
      </c>
      <c r="W21" s="3" t="n">
        <v>49939.0</v>
      </c>
      <c r="X21" s="3" t="n">
        <v>49402.0</v>
      </c>
      <c r="Y21" s="3" t="n">
        <v>48876.0</v>
      </c>
      <c r="Z21" s="3" t="n">
        <v>48419.0</v>
      </c>
      <c r="AA21" s="3" t="n">
        <v>48060.0</v>
      </c>
      <c r="AB21" s="3" t="n">
        <v>47872.0</v>
      </c>
      <c r="AC21" s="3" t="n">
        <v>47844.0</v>
      </c>
      <c r="AD21" s="3" t="n">
        <v>48010.0</v>
      </c>
      <c r="AE21" s="3" t="n">
        <v>48308.0</v>
      </c>
      <c r="AF21" s="3" t="n">
        <v>48715.0</v>
      </c>
      <c r="AG21" s="3" t="n">
        <v>49167.0</v>
      </c>
      <c r="AH21" s="3" t="n">
        <v>49611.0</v>
      </c>
      <c r="AI21" s="3" t="n">
        <v>50038.0</v>
      </c>
      <c r="AJ21" s="3" t="n">
        <v>50437.0</v>
      </c>
      <c r="AK21" s="3" t="n">
        <v>50705.0</v>
      </c>
      <c r="AL21" s="3" t="n">
        <v>50842.0</v>
      </c>
      <c r="AM21" s="3" t="n">
        <v>50865.0</v>
      </c>
      <c r="AN21" s="3" t="n">
        <v>50779.0</v>
      </c>
      <c r="AO21" s="3" t="n">
        <v>50580.0</v>
      </c>
    </row>
    <row r="22" spans="1:41" x14ac:dyDescent="0.2">
      <c r="A22" s="125"/>
      <c r="B22" s="9">
        <v>13</v>
      </c>
      <c r="C22" s="3" t="n">
        <v>64009.0</v>
      </c>
      <c r="D22" s="3" t="n">
        <v>64881.0</v>
      </c>
      <c r="E22" s="3" t="n">
        <v>61112.0</v>
      </c>
      <c r="F22" s="3" t="n">
        <v>61633.0</v>
      </c>
      <c r="G22" s="3" t="n">
        <v>59278.0</v>
      </c>
      <c r="H22" s="3" t="n">
        <v>61242.0</v>
      </c>
      <c r="I22" s="3" t="n">
        <v>62458.0</v>
      </c>
      <c r="J22" s="3" t="n">
        <v>63931.0</v>
      </c>
      <c r="K22" s="3" t="n">
        <v>66331.0</v>
      </c>
      <c r="L22" s="3" t="n">
        <v>64110.0</v>
      </c>
      <c r="M22" s="3" t="n">
        <v>62244.0</v>
      </c>
      <c r="N22" s="3" t="n">
        <v>58084.0</v>
      </c>
      <c r="O22" s="3" t="n">
        <v>57371.0</v>
      </c>
      <c r="P22" s="3" t="n">
        <v>52140.0</v>
      </c>
      <c r="Q22" s="3" t="n">
        <v>54332.0</v>
      </c>
      <c r="R22" s="3" t="n">
        <v>53594.0</v>
      </c>
      <c r="S22" s="3" t="n">
        <v>53116.0</v>
      </c>
      <c r="T22" s="3" t="n">
        <v>52444.0</v>
      </c>
      <c r="U22" s="3" t="n">
        <v>51682.0</v>
      </c>
      <c r="V22" s="3" t="n">
        <v>51004.0</v>
      </c>
      <c r="W22" s="3" t="n">
        <v>50470.0</v>
      </c>
      <c r="X22" s="3" t="n">
        <v>49916.0</v>
      </c>
      <c r="Y22" s="3" t="n">
        <v>49383.0</v>
      </c>
      <c r="Z22" s="3" t="n">
        <v>48857.0</v>
      </c>
      <c r="AA22" s="3" t="n">
        <v>48403.0</v>
      </c>
      <c r="AB22" s="3" t="n">
        <v>48046.0</v>
      </c>
      <c r="AC22" s="3" t="n">
        <v>47860.0</v>
      </c>
      <c r="AD22" s="3" t="n">
        <v>47831.0</v>
      </c>
      <c r="AE22" s="3" t="n">
        <v>47995.0</v>
      </c>
      <c r="AF22" s="3" t="n">
        <v>48292.0</v>
      </c>
      <c r="AG22" s="3" t="n">
        <v>48697.0</v>
      </c>
      <c r="AH22" s="3" t="n">
        <v>49146.0</v>
      </c>
      <c r="AI22" s="3" t="n">
        <v>49589.0</v>
      </c>
      <c r="AJ22" s="3" t="n">
        <v>50013.0</v>
      </c>
      <c r="AK22" s="3" t="n">
        <v>50412.0</v>
      </c>
      <c r="AL22" s="3" t="n">
        <v>50675.0</v>
      </c>
      <c r="AM22" s="3" t="n">
        <v>50805.0</v>
      </c>
      <c r="AN22" s="3" t="n">
        <v>50827.0</v>
      </c>
      <c r="AO22" s="3" t="n">
        <v>50743.0</v>
      </c>
    </row>
    <row r="23" spans="1:41" x14ac:dyDescent="0.2">
      <c r="A23" s="125"/>
      <c r="B23" s="9">
        <v>14</v>
      </c>
      <c r="C23" s="3" t="n">
        <v>62809.0</v>
      </c>
      <c r="D23" s="3" t="n">
        <v>64040.0</v>
      </c>
      <c r="E23" s="3" t="n">
        <v>64910.0</v>
      </c>
      <c r="F23" s="3" t="n">
        <v>61141.0</v>
      </c>
      <c r="G23" s="3" t="n">
        <v>61675.0</v>
      </c>
      <c r="H23" s="3" t="n">
        <v>59810.0</v>
      </c>
      <c r="I23" s="3" t="n">
        <v>61949.0</v>
      </c>
      <c r="J23" s="3" t="n">
        <v>62786.0</v>
      </c>
      <c r="K23" s="3" t="n">
        <v>64064.0</v>
      </c>
      <c r="L23" s="3" t="n">
        <v>66398.0</v>
      </c>
      <c r="M23" s="3" t="n">
        <v>64143.0</v>
      </c>
      <c r="N23" s="3" t="n">
        <v>62255.0</v>
      </c>
      <c r="O23" s="3" t="n">
        <v>58085.0</v>
      </c>
      <c r="P23" s="3" t="n">
        <v>57366.0</v>
      </c>
      <c r="Q23" s="3" t="n">
        <v>52138.0</v>
      </c>
      <c r="R23" s="3" t="n">
        <v>54321.0</v>
      </c>
      <c r="S23" s="3" t="n">
        <v>53584.0</v>
      </c>
      <c r="T23" s="3" t="n">
        <v>53110.0</v>
      </c>
      <c r="U23" s="3" t="n">
        <v>52432.0</v>
      </c>
      <c r="V23" s="3" t="n">
        <v>51670.0</v>
      </c>
      <c r="W23" s="3" t="n">
        <v>50989.0</v>
      </c>
      <c r="X23" s="3" t="n">
        <v>50456.0</v>
      </c>
      <c r="Y23" s="3" t="n">
        <v>49906.0</v>
      </c>
      <c r="Z23" s="3" t="n">
        <v>49371.0</v>
      </c>
      <c r="AA23" s="3" t="n">
        <v>48844.0</v>
      </c>
      <c r="AB23" s="3" t="n">
        <v>48391.0</v>
      </c>
      <c r="AC23" s="3" t="n">
        <v>48035.0</v>
      </c>
      <c r="AD23" s="3" t="n">
        <v>47850.0</v>
      </c>
      <c r="AE23" s="3" t="n">
        <v>47824.0</v>
      </c>
      <c r="AF23" s="3" t="n">
        <v>47986.0</v>
      </c>
      <c r="AG23" s="3" t="n">
        <v>48284.0</v>
      </c>
      <c r="AH23" s="3" t="n">
        <v>48686.0</v>
      </c>
      <c r="AI23" s="3" t="n">
        <v>49133.0</v>
      </c>
      <c r="AJ23" s="3" t="n">
        <v>49575.0</v>
      </c>
      <c r="AK23" s="3" t="n">
        <v>49999.0</v>
      </c>
      <c r="AL23" s="3" t="n">
        <v>50397.0</v>
      </c>
      <c r="AM23" s="3" t="n">
        <v>50658.0</v>
      </c>
      <c r="AN23" s="3" t="n">
        <v>50789.0</v>
      </c>
      <c r="AO23" s="3" t="n">
        <v>50805.0</v>
      </c>
    </row>
    <row r="24" spans="1:41" x14ac:dyDescent="0.2">
      <c r="A24" s="125"/>
      <c r="B24" s="9">
        <v>15</v>
      </c>
      <c r="C24" s="3" t="n">
        <v>58858.0</v>
      </c>
      <c r="D24" s="3" t="n">
        <v>62851.0</v>
      </c>
      <c r="E24" s="3" t="n">
        <v>64071.0</v>
      </c>
      <c r="F24" s="3" t="n">
        <v>64939.0</v>
      </c>
      <c r="G24" s="3" t="n">
        <v>61173.0</v>
      </c>
      <c r="H24" s="3" t="n">
        <v>62148.0</v>
      </c>
      <c r="I24" s="3" t="n">
        <v>60454.0</v>
      </c>
      <c r="J24" s="3" t="n">
        <v>62250.0</v>
      </c>
      <c r="K24" s="3" t="n">
        <v>62905.0</v>
      </c>
      <c r="L24" s="3" t="n">
        <v>64120.0</v>
      </c>
      <c r="M24" s="3" t="n">
        <v>66429.0</v>
      </c>
      <c r="N24" s="3" t="n">
        <v>64148.0</v>
      </c>
      <c r="O24" s="3" t="n">
        <v>62254.0</v>
      </c>
      <c r="P24" s="3" t="n">
        <v>58077.0</v>
      </c>
      <c r="Q24" s="3" t="n">
        <v>57354.0</v>
      </c>
      <c r="R24" s="3" t="n">
        <v>52118.0</v>
      </c>
      <c r="S24" s="3" t="n">
        <v>54297.0</v>
      </c>
      <c r="T24" s="3" t="n">
        <v>53561.0</v>
      </c>
      <c r="U24" s="3" t="n">
        <v>53090.0</v>
      </c>
      <c r="V24" s="3" t="n">
        <v>52416.0</v>
      </c>
      <c r="W24" s="3" t="n">
        <v>51655.0</v>
      </c>
      <c r="X24" s="3" t="n">
        <v>50973.0</v>
      </c>
      <c r="Y24" s="3" t="n">
        <v>50438.0</v>
      </c>
      <c r="Z24" s="3" t="n">
        <v>49887.0</v>
      </c>
      <c r="AA24" s="3" t="n">
        <v>49355.0</v>
      </c>
      <c r="AB24" s="3" t="n">
        <v>48830.0</v>
      </c>
      <c r="AC24" s="3" t="n">
        <v>48377.0</v>
      </c>
      <c r="AD24" s="3" t="n">
        <v>48023.0</v>
      </c>
      <c r="AE24" s="3" t="n">
        <v>47838.0</v>
      </c>
      <c r="AF24" s="3" t="n">
        <v>47814.0</v>
      </c>
      <c r="AG24" s="3" t="n">
        <v>47976.0</v>
      </c>
      <c r="AH24" s="3" t="n">
        <v>48275.0</v>
      </c>
      <c r="AI24" s="3" t="n">
        <v>48676.0</v>
      </c>
      <c r="AJ24" s="3" t="n">
        <v>49119.0</v>
      </c>
      <c r="AK24" s="3" t="n">
        <v>49556.0</v>
      </c>
      <c r="AL24" s="3" t="n">
        <v>49977.0</v>
      </c>
      <c r="AM24" s="3" t="n">
        <v>50369.0</v>
      </c>
      <c r="AN24" s="3" t="n">
        <v>50626.0</v>
      </c>
      <c r="AO24" s="3" t="n">
        <v>50755.0</v>
      </c>
    </row>
    <row r="25" spans="1:41" x14ac:dyDescent="0.2">
      <c r="A25" s="125"/>
      <c r="B25" s="9">
        <v>16</v>
      </c>
      <c r="C25" s="3" t="n">
        <v>56158.0</v>
      </c>
      <c r="D25" s="3" t="n">
        <v>58875.0</v>
      </c>
      <c r="E25" s="3" t="n">
        <v>62872.0</v>
      </c>
      <c r="F25" s="3" t="n">
        <v>64094.0</v>
      </c>
      <c r="G25" s="3" t="n">
        <v>64962.0</v>
      </c>
      <c r="H25" s="3" t="n">
        <v>61579.0</v>
      </c>
      <c r="I25" s="3" t="n">
        <v>62701.0</v>
      </c>
      <c r="J25" s="3" t="n">
        <v>60714.0</v>
      </c>
      <c r="K25" s="3" t="n">
        <v>62357.0</v>
      </c>
      <c r="L25" s="3" t="n">
        <v>62955.0</v>
      </c>
      <c r="M25" s="3" t="n">
        <v>64136.0</v>
      </c>
      <c r="N25" s="3" t="n">
        <v>66423.0</v>
      </c>
      <c r="O25" s="3" t="n">
        <v>64143.0</v>
      </c>
      <c r="P25" s="3" t="n">
        <v>62249.0</v>
      </c>
      <c r="Q25" s="3" t="n">
        <v>58068.0</v>
      </c>
      <c r="R25" s="3" t="n">
        <v>57347.0</v>
      </c>
      <c r="S25" s="3" t="n">
        <v>52091.0</v>
      </c>
      <c r="T25" s="3" t="n">
        <v>54263.0</v>
      </c>
      <c r="U25" s="3" t="n">
        <v>53517.0</v>
      </c>
      <c r="V25" s="3" t="n">
        <v>53045.0</v>
      </c>
      <c r="W25" s="3" t="n">
        <v>52375.0</v>
      </c>
      <c r="X25" s="3" t="n">
        <v>51614.0</v>
      </c>
      <c r="Y25" s="3" t="n">
        <v>50934.0</v>
      </c>
      <c r="Z25" s="3" t="n">
        <v>50402.0</v>
      </c>
      <c r="AA25" s="3" t="n">
        <v>49852.0</v>
      </c>
      <c r="AB25" s="3" t="n">
        <v>49326.0</v>
      </c>
      <c r="AC25" s="3" t="n">
        <v>48800.0</v>
      </c>
      <c r="AD25" s="3" t="n">
        <v>48346.0</v>
      </c>
      <c r="AE25" s="3" t="n">
        <v>47997.0</v>
      </c>
      <c r="AF25" s="3" t="n">
        <v>47811.0</v>
      </c>
      <c r="AG25" s="3" t="n">
        <v>47787.0</v>
      </c>
      <c r="AH25" s="3" t="n">
        <v>47945.0</v>
      </c>
      <c r="AI25" s="3" t="n">
        <v>48242.0</v>
      </c>
      <c r="AJ25" s="3" t="n">
        <v>48640.0</v>
      </c>
      <c r="AK25" s="3" t="n">
        <v>49082.0</v>
      </c>
      <c r="AL25" s="3" t="n">
        <v>49517.0</v>
      </c>
      <c r="AM25" s="3" t="n">
        <v>49935.0</v>
      </c>
      <c r="AN25" s="3" t="n">
        <v>50323.0</v>
      </c>
      <c r="AO25" s="3" t="n">
        <v>50579.0</v>
      </c>
    </row>
    <row r="26" spans="1:41" x14ac:dyDescent="0.2">
      <c r="A26" s="125"/>
      <c r="B26" s="9">
        <v>17</v>
      </c>
      <c r="C26" s="3" t="n">
        <v>52941.0</v>
      </c>
      <c r="D26" s="3" t="n">
        <v>56149.0</v>
      </c>
      <c r="E26" s="3" t="n">
        <v>58875.0</v>
      </c>
      <c r="F26" s="3" t="n">
        <v>62873.0</v>
      </c>
      <c r="G26" s="3" t="n">
        <v>64103.0</v>
      </c>
      <c r="H26" s="3" t="n">
        <v>65381.0</v>
      </c>
      <c r="I26" s="3" t="n">
        <v>62148.0</v>
      </c>
      <c r="J26" s="3" t="n">
        <v>62953.0</v>
      </c>
      <c r="K26" s="3" t="n">
        <v>60800.0</v>
      </c>
      <c r="L26" s="3" t="n">
        <v>62382.0</v>
      </c>
      <c r="M26" s="3" t="n">
        <v>62955.0</v>
      </c>
      <c r="N26" s="3" t="n">
        <v>64114.0</v>
      </c>
      <c r="O26" s="3" t="n">
        <v>66396.0</v>
      </c>
      <c r="P26" s="3" t="n">
        <v>64107.0</v>
      </c>
      <c r="Q26" s="3" t="n">
        <v>62221.0</v>
      </c>
      <c r="R26" s="3" t="n">
        <v>58035.0</v>
      </c>
      <c r="S26" s="3" t="n">
        <v>57313.0</v>
      </c>
      <c r="T26" s="3" t="n">
        <v>52063.0</v>
      </c>
      <c r="U26" s="3" t="n">
        <v>54233.0</v>
      </c>
      <c r="V26" s="3" t="n">
        <v>53486.0</v>
      </c>
      <c r="W26" s="3" t="n">
        <v>53015.0</v>
      </c>
      <c r="X26" s="3" t="n">
        <v>52345.0</v>
      </c>
      <c r="Y26" s="3" t="n">
        <v>51588.0</v>
      </c>
      <c r="Z26" s="3" t="n">
        <v>50910.0</v>
      </c>
      <c r="AA26" s="3" t="n">
        <v>50379.0</v>
      </c>
      <c r="AB26" s="3" t="n">
        <v>49831.0</v>
      </c>
      <c r="AC26" s="3" t="n">
        <v>49310.0</v>
      </c>
      <c r="AD26" s="3" t="n">
        <v>48784.0</v>
      </c>
      <c r="AE26" s="3" t="n">
        <v>48329.0</v>
      </c>
      <c r="AF26" s="3" t="n">
        <v>47982.0</v>
      </c>
      <c r="AG26" s="3" t="n">
        <v>47797.0</v>
      </c>
      <c r="AH26" s="3" t="n">
        <v>47775.0</v>
      </c>
      <c r="AI26" s="3" t="n">
        <v>47932.0</v>
      </c>
      <c r="AJ26" s="3" t="n">
        <v>48228.0</v>
      </c>
      <c r="AK26" s="3" t="n">
        <v>48624.0</v>
      </c>
      <c r="AL26" s="3" t="n">
        <v>49065.0</v>
      </c>
      <c r="AM26" s="3" t="n">
        <v>49497.0</v>
      </c>
      <c r="AN26" s="3" t="n">
        <v>49912.0</v>
      </c>
      <c r="AO26" s="3" t="n">
        <v>50299.0</v>
      </c>
    </row>
    <row r="27" spans="1:41" x14ac:dyDescent="0.2">
      <c r="A27" s="125"/>
      <c r="B27" s="9">
        <v>18</v>
      </c>
      <c r="C27" s="3" t="n">
        <v>51004.0</v>
      </c>
      <c r="D27" s="3" t="n">
        <v>52955.0</v>
      </c>
      <c r="E27" s="3" t="n">
        <v>56160.0</v>
      </c>
      <c r="F27" s="3" t="n">
        <v>58885.0</v>
      </c>
      <c r="G27" s="3" t="n">
        <v>62896.0</v>
      </c>
      <c r="H27" s="3" t="n">
        <v>64614.0</v>
      </c>
      <c r="I27" s="3" t="n">
        <v>66074.0</v>
      </c>
      <c r="J27" s="3" t="n">
        <v>62467.0</v>
      </c>
      <c r="K27" s="3" t="n">
        <v>63085.0</v>
      </c>
      <c r="L27" s="3" t="n">
        <v>60867.0</v>
      </c>
      <c r="M27" s="3" t="n">
        <v>62398.0</v>
      </c>
      <c r="N27" s="3" t="n">
        <v>62948.0</v>
      </c>
      <c r="O27" s="3" t="n">
        <v>64103.0</v>
      </c>
      <c r="P27" s="3" t="n">
        <v>66378.0</v>
      </c>
      <c r="Q27" s="3" t="n">
        <v>64090.0</v>
      </c>
      <c r="R27" s="3" t="n">
        <v>62206.0</v>
      </c>
      <c r="S27" s="3" t="n">
        <v>58015.0</v>
      </c>
      <c r="T27" s="3" t="n">
        <v>57289.0</v>
      </c>
      <c r="U27" s="3" t="n">
        <v>52032.0</v>
      </c>
      <c r="V27" s="3" t="n">
        <v>54196.0</v>
      </c>
      <c r="W27" s="3" t="n">
        <v>53451.0</v>
      </c>
      <c r="X27" s="3" t="n">
        <v>52980.0</v>
      </c>
      <c r="Y27" s="3" t="n">
        <v>52309.0</v>
      </c>
      <c r="Z27" s="3" t="n">
        <v>51553.0</v>
      </c>
      <c r="AA27" s="3" t="n">
        <v>50872.0</v>
      </c>
      <c r="AB27" s="3" t="n">
        <v>50346.0</v>
      </c>
      <c r="AC27" s="3" t="n">
        <v>49799.0</v>
      </c>
      <c r="AD27" s="3" t="n">
        <v>49279.0</v>
      </c>
      <c r="AE27" s="3" t="n">
        <v>48753.0</v>
      </c>
      <c r="AF27" s="3" t="n">
        <v>48298.0</v>
      </c>
      <c r="AG27" s="3" t="n">
        <v>47955.0</v>
      </c>
      <c r="AH27" s="3" t="n">
        <v>47771.0</v>
      </c>
      <c r="AI27" s="3" t="n">
        <v>47748.0</v>
      </c>
      <c r="AJ27" s="3" t="n">
        <v>47906.0</v>
      </c>
      <c r="AK27" s="3" t="n">
        <v>48201.0</v>
      </c>
      <c r="AL27" s="3" t="n">
        <v>48595.0</v>
      </c>
      <c r="AM27" s="3" t="n">
        <v>49036.0</v>
      </c>
      <c r="AN27" s="3" t="n">
        <v>49465.0</v>
      </c>
      <c r="AO27" s="3" t="n">
        <v>49878.0</v>
      </c>
    </row>
    <row r="28" spans="1:41" x14ac:dyDescent="0.2">
      <c r="A28" s="125"/>
      <c r="B28" s="9">
        <v>19</v>
      </c>
      <c r="C28" s="3" t="n">
        <v>49136.0</v>
      </c>
      <c r="D28" s="3" t="n">
        <v>51037.0</v>
      </c>
      <c r="E28" s="3" t="n">
        <v>52986.0</v>
      </c>
      <c r="F28" s="3" t="n">
        <v>56194.0</v>
      </c>
      <c r="G28" s="3" t="n">
        <v>58924.0</v>
      </c>
      <c r="H28" s="3" t="n">
        <v>63313.0</v>
      </c>
      <c r="I28" s="3" t="n">
        <v>65181.0</v>
      </c>
      <c r="J28" s="3" t="n">
        <v>66328.0</v>
      </c>
      <c r="K28" s="3" t="n">
        <v>62579.0</v>
      </c>
      <c r="L28" s="3" t="n">
        <v>63142.0</v>
      </c>
      <c r="M28" s="3" t="n">
        <v>60901.0</v>
      </c>
      <c r="N28" s="3" t="n">
        <v>62414.0</v>
      </c>
      <c r="O28" s="3" t="n">
        <v>62955.0</v>
      </c>
      <c r="P28" s="3" t="n">
        <v>64107.0</v>
      </c>
      <c r="Q28" s="3" t="n">
        <v>66384.0</v>
      </c>
      <c r="R28" s="3" t="n">
        <v>64101.0</v>
      </c>
      <c r="S28" s="3" t="n">
        <v>62212.0</v>
      </c>
      <c r="T28" s="3" t="n">
        <v>58011.0</v>
      </c>
      <c r="U28" s="3" t="n">
        <v>57288.0</v>
      </c>
      <c r="V28" s="3" t="n">
        <v>52028.0</v>
      </c>
      <c r="W28" s="3" t="n">
        <v>54185.0</v>
      </c>
      <c r="X28" s="3" t="n">
        <v>53438.0</v>
      </c>
      <c r="Y28" s="3" t="n">
        <v>52968.0</v>
      </c>
      <c r="Z28" s="3" t="n">
        <v>52301.0</v>
      </c>
      <c r="AA28" s="3" t="n">
        <v>51549.0</v>
      </c>
      <c r="AB28" s="3" t="n">
        <v>50866.0</v>
      </c>
      <c r="AC28" s="3" t="n">
        <v>50343.0</v>
      </c>
      <c r="AD28" s="3" t="n">
        <v>49799.0</v>
      </c>
      <c r="AE28" s="3" t="n">
        <v>49281.0</v>
      </c>
      <c r="AF28" s="3" t="n">
        <v>48756.0</v>
      </c>
      <c r="AG28" s="3" t="n">
        <v>48302.0</v>
      </c>
      <c r="AH28" s="3" t="n">
        <v>47957.0</v>
      </c>
      <c r="AI28" s="3" t="n">
        <v>47775.0</v>
      </c>
      <c r="AJ28" s="3" t="n">
        <v>47750.0</v>
      </c>
      <c r="AK28" s="3" t="n">
        <v>47907.0</v>
      </c>
      <c r="AL28" s="3" t="n">
        <v>48199.0</v>
      </c>
      <c r="AM28" s="3" t="n">
        <v>48595.0</v>
      </c>
      <c r="AN28" s="3" t="n">
        <v>49037.0</v>
      </c>
      <c r="AO28" s="3" t="n">
        <v>49465.0</v>
      </c>
    </row>
    <row r="29" spans="1:41" x14ac:dyDescent="0.2">
      <c r="A29" s="125"/>
      <c r="B29" s="9">
        <v>20</v>
      </c>
      <c r="C29" s="3" t="n">
        <v>49214.0</v>
      </c>
      <c r="D29" s="3" t="n">
        <v>49160.0</v>
      </c>
      <c r="E29" s="3" t="n">
        <v>51055.0</v>
      </c>
      <c r="F29" s="3" t="n">
        <v>53011.0</v>
      </c>
      <c r="G29" s="3" t="n">
        <v>56216.0</v>
      </c>
      <c r="H29" s="3" t="n">
        <v>59207.0</v>
      </c>
      <c r="I29" s="3" t="n">
        <v>63684.0</v>
      </c>
      <c r="J29" s="3" t="n">
        <v>65361.0</v>
      </c>
      <c r="K29" s="3" t="n">
        <v>66407.0</v>
      </c>
      <c r="L29" s="3" t="n">
        <v>62624.0</v>
      </c>
      <c r="M29" s="3" t="n">
        <v>63170.0</v>
      </c>
      <c r="N29" s="3" t="n">
        <v>60913.0</v>
      </c>
      <c r="O29" s="3" t="n">
        <v>62411.0</v>
      </c>
      <c r="P29" s="3" t="n">
        <v>62954.0</v>
      </c>
      <c r="Q29" s="3" t="n">
        <v>64108.0</v>
      </c>
      <c r="R29" s="3" t="n">
        <v>66383.0</v>
      </c>
      <c r="S29" s="3" t="n">
        <v>64099.0</v>
      </c>
      <c r="T29" s="3" t="n">
        <v>62203.0</v>
      </c>
      <c r="U29" s="3" t="n">
        <v>58008.0</v>
      </c>
      <c r="V29" s="3" t="n">
        <v>57273.0</v>
      </c>
      <c r="W29" s="3" t="n">
        <v>52016.0</v>
      </c>
      <c r="X29" s="3" t="n">
        <v>54167.0</v>
      </c>
      <c r="Y29" s="3" t="n">
        <v>53420.0</v>
      </c>
      <c r="Z29" s="3" t="n">
        <v>52949.0</v>
      </c>
      <c r="AA29" s="3" t="n">
        <v>52280.0</v>
      </c>
      <c r="AB29" s="3" t="n">
        <v>51526.0</v>
      </c>
      <c r="AC29" s="3" t="n">
        <v>50847.0</v>
      </c>
      <c r="AD29" s="3" t="n">
        <v>50323.0</v>
      </c>
      <c r="AE29" s="3" t="n">
        <v>49782.0</v>
      </c>
      <c r="AF29" s="3" t="n">
        <v>49265.0</v>
      </c>
      <c r="AG29" s="3" t="n">
        <v>48739.0</v>
      </c>
      <c r="AH29" s="3" t="n">
        <v>48291.0</v>
      </c>
      <c r="AI29" s="3" t="n">
        <v>47946.0</v>
      </c>
      <c r="AJ29" s="3" t="n">
        <v>47766.0</v>
      </c>
      <c r="AK29" s="3" t="n">
        <v>47743.0</v>
      </c>
      <c r="AL29" s="3" t="n">
        <v>47899.0</v>
      </c>
      <c r="AM29" s="3" t="n">
        <v>48187.0</v>
      </c>
      <c r="AN29" s="3" t="n">
        <v>48578.0</v>
      </c>
      <c r="AO29" s="3" t="n">
        <v>49022.0</v>
      </c>
    </row>
    <row r="30" spans="1:41" x14ac:dyDescent="0.2">
      <c r="A30" s="125"/>
      <c r="B30" s="9">
        <v>21</v>
      </c>
      <c r="C30" s="3" t="n">
        <v>50763.0</v>
      </c>
      <c r="D30" s="3" t="n">
        <v>49243.0</v>
      </c>
      <c r="E30" s="3" t="n">
        <v>49188.0</v>
      </c>
      <c r="F30" s="3" t="n">
        <v>51086.0</v>
      </c>
      <c r="G30" s="3" t="n">
        <v>53042.0</v>
      </c>
      <c r="H30" s="3" t="n">
        <v>56469.0</v>
      </c>
      <c r="I30" s="3" t="n">
        <v>59532.0</v>
      </c>
      <c r="J30" s="3" t="n">
        <v>63845.0</v>
      </c>
      <c r="K30" s="3" t="n">
        <v>65426.0</v>
      </c>
      <c r="L30" s="3" t="n">
        <v>66433.0</v>
      </c>
      <c r="M30" s="3" t="n">
        <v>62636.0</v>
      </c>
      <c r="N30" s="3" t="n">
        <v>63163.0</v>
      </c>
      <c r="O30" s="3" t="n">
        <v>60903.0</v>
      </c>
      <c r="P30" s="3" t="n">
        <v>62402.0</v>
      </c>
      <c r="Q30" s="3" t="n">
        <v>62931.0</v>
      </c>
      <c r="R30" s="3" t="n">
        <v>64086.0</v>
      </c>
      <c r="S30" s="3" t="n">
        <v>66362.0</v>
      </c>
      <c r="T30" s="3" t="n">
        <v>64077.0</v>
      </c>
      <c r="U30" s="3" t="n">
        <v>62177.0</v>
      </c>
      <c r="V30" s="3" t="n">
        <v>57997.0</v>
      </c>
      <c r="W30" s="3" t="n">
        <v>57258.0</v>
      </c>
      <c r="X30" s="3" t="n">
        <v>51996.0</v>
      </c>
      <c r="Y30" s="3" t="n">
        <v>54138.0</v>
      </c>
      <c r="Z30" s="3" t="n">
        <v>53388.0</v>
      </c>
      <c r="AA30" s="3" t="n">
        <v>52924.0</v>
      </c>
      <c r="AB30" s="3" t="n">
        <v>52255.0</v>
      </c>
      <c r="AC30" s="3" t="n">
        <v>51505.0</v>
      </c>
      <c r="AD30" s="3" t="n">
        <v>50829.0</v>
      </c>
      <c r="AE30" s="3" t="n">
        <v>50307.0</v>
      </c>
      <c r="AF30" s="3" t="n">
        <v>49768.0</v>
      </c>
      <c r="AG30" s="3" t="n">
        <v>49250.0</v>
      </c>
      <c r="AH30" s="3" t="n">
        <v>48725.0</v>
      </c>
      <c r="AI30" s="3" t="n">
        <v>48281.0</v>
      </c>
      <c r="AJ30" s="3" t="n">
        <v>47937.0</v>
      </c>
      <c r="AK30" s="3" t="n">
        <v>47755.0</v>
      </c>
      <c r="AL30" s="3" t="n">
        <v>47730.0</v>
      </c>
      <c r="AM30" s="3" t="n">
        <v>47886.0</v>
      </c>
      <c r="AN30" s="3" t="n">
        <v>48173.0</v>
      </c>
      <c r="AO30" s="3" t="n">
        <v>48563.0</v>
      </c>
    </row>
    <row r="31" spans="1:41" x14ac:dyDescent="0.2">
      <c r="A31" s="125"/>
      <c r="B31" s="9">
        <v>22</v>
      </c>
      <c r="C31" s="3" t="n">
        <v>52587.0</v>
      </c>
      <c r="D31" s="3" t="n">
        <v>50785.0</v>
      </c>
      <c r="E31" s="3" t="n">
        <v>49267.0</v>
      </c>
      <c r="F31" s="3" t="n">
        <v>49214.0</v>
      </c>
      <c r="G31" s="3" t="n">
        <v>51106.0</v>
      </c>
      <c r="H31" s="3" t="n">
        <v>53284.0</v>
      </c>
      <c r="I31" s="3" t="n">
        <v>56800.0</v>
      </c>
      <c r="J31" s="3" t="n">
        <v>59701.0</v>
      </c>
      <c r="K31" s="3" t="n">
        <v>63923.0</v>
      </c>
      <c r="L31" s="3" t="n">
        <v>65477.0</v>
      </c>
      <c r="M31" s="3" t="n">
        <v>66455.0</v>
      </c>
      <c r="N31" s="3" t="n">
        <v>62645.0</v>
      </c>
      <c r="O31" s="3" t="n">
        <v>63157.0</v>
      </c>
      <c r="P31" s="3" t="n">
        <v>60890.0</v>
      </c>
      <c r="Q31" s="3" t="n">
        <v>62387.0</v>
      </c>
      <c r="R31" s="3" t="n">
        <v>62912.0</v>
      </c>
      <c r="S31" s="3" t="n">
        <v>64067.0</v>
      </c>
      <c r="T31" s="3" t="n">
        <v>66354.0</v>
      </c>
      <c r="U31" s="3" t="n">
        <v>64065.0</v>
      </c>
      <c r="V31" s="3" t="n">
        <v>62153.0</v>
      </c>
      <c r="W31" s="3" t="n">
        <v>57970.0</v>
      </c>
      <c r="X31" s="3" t="n">
        <v>57240.0</v>
      </c>
      <c r="Y31" s="3" t="n">
        <v>51980.0</v>
      </c>
      <c r="Z31" s="3" t="n">
        <v>54121.0</v>
      </c>
      <c r="AA31" s="3" t="n">
        <v>53368.0</v>
      </c>
      <c r="AB31" s="3" t="n">
        <v>52904.0</v>
      </c>
      <c r="AC31" s="3" t="n">
        <v>52230.0</v>
      </c>
      <c r="AD31" s="3" t="n">
        <v>51479.0</v>
      </c>
      <c r="AE31" s="3" t="n">
        <v>50803.0</v>
      </c>
      <c r="AF31" s="3" t="n">
        <v>50275.0</v>
      </c>
      <c r="AG31" s="3" t="n">
        <v>49739.0</v>
      </c>
      <c r="AH31" s="3" t="n">
        <v>49224.0</v>
      </c>
      <c r="AI31" s="3" t="n">
        <v>48699.0</v>
      </c>
      <c r="AJ31" s="3" t="n">
        <v>48259.0</v>
      </c>
      <c r="AK31" s="3" t="n">
        <v>47916.0</v>
      </c>
      <c r="AL31" s="3" t="n">
        <v>47737.0</v>
      </c>
      <c r="AM31" s="3" t="n">
        <v>47713.0</v>
      </c>
      <c r="AN31" s="3" t="n">
        <v>47865.0</v>
      </c>
      <c r="AO31" s="3" t="n">
        <v>48154.0</v>
      </c>
    </row>
    <row r="32" spans="1:41" x14ac:dyDescent="0.2">
      <c r="A32" s="125"/>
      <c r="B32" s="9">
        <v>23</v>
      </c>
      <c r="C32" s="3" t="n">
        <v>52896.0</v>
      </c>
      <c r="D32" s="3" t="n">
        <v>52659.0</v>
      </c>
      <c r="E32" s="3" t="n">
        <v>50857.0</v>
      </c>
      <c r="F32" s="3" t="n">
        <v>49332.0</v>
      </c>
      <c r="G32" s="3" t="n">
        <v>49285.0</v>
      </c>
      <c r="H32" s="3" t="n">
        <v>51408.0</v>
      </c>
      <c r="I32" s="3" t="n">
        <v>53677.0</v>
      </c>
      <c r="J32" s="3" t="n">
        <v>57014.0</v>
      </c>
      <c r="K32" s="3" t="n">
        <v>59821.0</v>
      </c>
      <c r="L32" s="3" t="n">
        <v>64002.0</v>
      </c>
      <c r="M32" s="3" t="n">
        <v>65532.0</v>
      </c>
      <c r="N32" s="3" t="n">
        <v>66492.0</v>
      </c>
      <c r="O32" s="3" t="n">
        <v>62685.0</v>
      </c>
      <c r="P32" s="3" t="n">
        <v>63194.0</v>
      </c>
      <c r="Q32" s="3" t="n">
        <v>60932.0</v>
      </c>
      <c r="R32" s="3" t="n">
        <v>62421.0</v>
      </c>
      <c r="S32" s="3" t="n">
        <v>62945.0</v>
      </c>
      <c r="T32" s="3" t="n">
        <v>64089.0</v>
      </c>
      <c r="U32" s="3" t="n">
        <v>66381.0</v>
      </c>
      <c r="V32" s="3" t="n">
        <v>64093.0</v>
      </c>
      <c r="W32" s="3" t="n">
        <v>62180.0</v>
      </c>
      <c r="X32" s="3" t="n">
        <v>57995.0</v>
      </c>
      <c r="Y32" s="3" t="n">
        <v>57253.0</v>
      </c>
      <c r="Z32" s="3" t="n">
        <v>51986.0</v>
      </c>
      <c r="AA32" s="3" t="n">
        <v>54129.0</v>
      </c>
      <c r="AB32" s="3" t="n">
        <v>53366.0</v>
      </c>
      <c r="AC32" s="3" t="n">
        <v>52904.0</v>
      </c>
      <c r="AD32" s="3" t="n">
        <v>52231.0</v>
      </c>
      <c r="AE32" s="3" t="n">
        <v>51482.0</v>
      </c>
      <c r="AF32" s="3" t="n">
        <v>50812.0</v>
      </c>
      <c r="AG32" s="3" t="n">
        <v>50288.0</v>
      </c>
      <c r="AH32" s="3" t="n">
        <v>49752.0</v>
      </c>
      <c r="AI32" s="3" t="n">
        <v>49239.0</v>
      </c>
      <c r="AJ32" s="3" t="n">
        <v>48714.0</v>
      </c>
      <c r="AK32" s="3" t="n">
        <v>48277.0</v>
      </c>
      <c r="AL32" s="3" t="n">
        <v>47933.0</v>
      </c>
      <c r="AM32" s="3" t="n">
        <v>47755.0</v>
      </c>
      <c r="AN32" s="3" t="n">
        <v>47731.0</v>
      </c>
      <c r="AO32" s="3" t="n">
        <v>47879.0</v>
      </c>
    </row>
    <row r="33" spans="1:41" x14ac:dyDescent="0.2">
      <c r="A33" s="125"/>
      <c r="B33" s="9">
        <v>24</v>
      </c>
      <c r="C33" s="3" t="n">
        <v>54830.0</v>
      </c>
      <c r="D33" s="3" t="n">
        <v>53005.0</v>
      </c>
      <c r="E33" s="3" t="n">
        <v>52764.0</v>
      </c>
      <c r="F33" s="3" t="n">
        <v>50968.0</v>
      </c>
      <c r="G33" s="3" t="n">
        <v>49443.0</v>
      </c>
      <c r="H33" s="3" t="n">
        <v>49625.0</v>
      </c>
      <c r="I33" s="3" t="n">
        <v>51822.0</v>
      </c>
      <c r="J33" s="3" t="n">
        <v>53928.0</v>
      </c>
      <c r="K33" s="3" t="n">
        <v>57169.0</v>
      </c>
      <c r="L33" s="3" t="n">
        <v>59943.0</v>
      </c>
      <c r="M33" s="3" t="n">
        <v>64110.0</v>
      </c>
      <c r="N33" s="3" t="n">
        <v>65624.0</v>
      </c>
      <c r="O33" s="3" t="n">
        <v>66567.0</v>
      </c>
      <c r="P33" s="3" t="n">
        <v>62758.0</v>
      </c>
      <c r="Q33" s="3" t="n">
        <v>63263.0</v>
      </c>
      <c r="R33" s="3" t="n">
        <v>61000.0</v>
      </c>
      <c r="S33" s="3" t="n">
        <v>62483.0</v>
      </c>
      <c r="T33" s="3" t="n">
        <v>63001.0</v>
      </c>
      <c r="U33" s="3" t="n">
        <v>64150.0</v>
      </c>
      <c r="V33" s="3" t="n">
        <v>66444.0</v>
      </c>
      <c r="W33" s="3" t="n">
        <v>64142.0</v>
      </c>
      <c r="X33" s="3" t="n">
        <v>62230.0</v>
      </c>
      <c r="Y33" s="3" t="n">
        <v>58038.0</v>
      </c>
      <c r="Z33" s="3" t="n">
        <v>57291.0</v>
      </c>
      <c r="AA33" s="3" t="n">
        <v>52015.0</v>
      </c>
      <c r="AB33" s="3" t="n">
        <v>54157.0</v>
      </c>
      <c r="AC33" s="3" t="n">
        <v>53394.0</v>
      </c>
      <c r="AD33" s="3" t="n">
        <v>52933.0</v>
      </c>
      <c r="AE33" s="3" t="n">
        <v>52260.0</v>
      </c>
      <c r="AF33" s="3" t="n">
        <v>51508.0</v>
      </c>
      <c r="AG33" s="3" t="n">
        <v>50837.0</v>
      </c>
      <c r="AH33" s="3" t="n">
        <v>50317.0</v>
      </c>
      <c r="AI33" s="3" t="n">
        <v>49778.0</v>
      </c>
      <c r="AJ33" s="3" t="n">
        <v>49266.0</v>
      </c>
      <c r="AK33" s="3" t="n">
        <v>48743.0</v>
      </c>
      <c r="AL33" s="3" t="n">
        <v>48307.0</v>
      </c>
      <c r="AM33" s="3" t="n">
        <v>47963.0</v>
      </c>
      <c r="AN33" s="3" t="n">
        <v>47785.0</v>
      </c>
      <c r="AO33" s="3" t="n">
        <v>47761.0</v>
      </c>
    </row>
    <row r="34" spans="1:41" x14ac:dyDescent="0.2">
      <c r="A34" s="125"/>
      <c r="B34" s="9">
        <v>25</v>
      </c>
      <c r="C34" s="3" t="n">
        <v>57654.0</v>
      </c>
      <c r="D34" s="3" t="n">
        <v>55017.0</v>
      </c>
      <c r="E34" s="3" t="n">
        <v>53192.0</v>
      </c>
      <c r="F34" s="3" t="n">
        <v>52944.0</v>
      </c>
      <c r="G34" s="3" t="n">
        <v>51154.0</v>
      </c>
      <c r="H34" s="3" t="n">
        <v>49866.0</v>
      </c>
      <c r="I34" s="3" t="n">
        <v>50138.0</v>
      </c>
      <c r="J34" s="3" t="n">
        <v>52130.0</v>
      </c>
      <c r="K34" s="3" t="n">
        <v>54140.0</v>
      </c>
      <c r="L34" s="3" t="n">
        <v>57348.0</v>
      </c>
      <c r="M34" s="3" t="n">
        <v>60135.0</v>
      </c>
      <c r="N34" s="3" t="n">
        <v>64292.0</v>
      </c>
      <c r="O34" s="3" t="n">
        <v>65799.0</v>
      </c>
      <c r="P34" s="3" t="n">
        <v>66737.0</v>
      </c>
      <c r="Q34" s="3" t="n">
        <v>62919.0</v>
      </c>
      <c r="R34" s="3" t="n">
        <v>63407.0</v>
      </c>
      <c r="S34" s="3" t="n">
        <v>61137.0</v>
      </c>
      <c r="T34" s="3" t="n">
        <v>62613.0</v>
      </c>
      <c r="U34" s="3" t="n">
        <v>63119.0</v>
      </c>
      <c r="V34" s="3" t="n">
        <v>64273.0</v>
      </c>
      <c r="W34" s="3" t="n">
        <v>66578.0</v>
      </c>
      <c r="X34" s="3" t="n">
        <v>64263.0</v>
      </c>
      <c r="Y34" s="3" t="n">
        <v>62344.0</v>
      </c>
      <c r="Z34" s="3" t="n">
        <v>58137.0</v>
      </c>
      <c r="AA34" s="3" t="n">
        <v>57383.0</v>
      </c>
      <c r="AB34" s="3" t="n">
        <v>52089.0</v>
      </c>
      <c r="AC34" s="3" t="n">
        <v>54220.0</v>
      </c>
      <c r="AD34" s="3" t="n">
        <v>53451.0</v>
      </c>
      <c r="AE34" s="3" t="n">
        <v>52999.0</v>
      </c>
      <c r="AF34" s="3" t="n">
        <v>52330.0</v>
      </c>
      <c r="AG34" s="3" t="n">
        <v>51584.0</v>
      </c>
      <c r="AH34" s="3" t="n">
        <v>50910.0</v>
      </c>
      <c r="AI34" s="3" t="n">
        <v>50392.0</v>
      </c>
      <c r="AJ34" s="3" t="n">
        <v>49855.0</v>
      </c>
      <c r="AK34" s="3" t="n">
        <v>49347.0</v>
      </c>
      <c r="AL34" s="3" t="n">
        <v>48823.0</v>
      </c>
      <c r="AM34" s="3" t="n">
        <v>48389.0</v>
      </c>
      <c r="AN34" s="3" t="n">
        <v>48047.0</v>
      </c>
      <c r="AO34" s="3" t="n">
        <v>47868.0</v>
      </c>
    </row>
    <row r="35" spans="1:41" x14ac:dyDescent="0.2">
      <c r="A35" s="125"/>
      <c r="B35" s="9">
        <v>26</v>
      </c>
      <c r="C35" s="3" t="n">
        <v>61433.0</v>
      </c>
      <c r="D35" s="3" t="n">
        <v>57934.0</v>
      </c>
      <c r="E35" s="3" t="n">
        <v>55283.0</v>
      </c>
      <c r="F35" s="3" t="n">
        <v>53452.0</v>
      </c>
      <c r="G35" s="3" t="n">
        <v>53212.0</v>
      </c>
      <c r="H35" s="3" t="n">
        <v>51682.0</v>
      </c>
      <c r="I35" s="3" t="n">
        <v>50482.0</v>
      </c>
      <c r="J35" s="3" t="n">
        <v>50554.0</v>
      </c>
      <c r="K35" s="3" t="n">
        <v>52450.0</v>
      </c>
      <c r="L35" s="3" t="n">
        <v>54411.0</v>
      </c>
      <c r="M35" s="3" t="n">
        <v>57595.0</v>
      </c>
      <c r="N35" s="3" t="n">
        <v>60388.0</v>
      </c>
      <c r="O35" s="3" t="n">
        <v>64554.0</v>
      </c>
      <c r="P35" s="3" t="n">
        <v>66055.0</v>
      </c>
      <c r="Q35" s="3" t="n">
        <v>66985.0</v>
      </c>
      <c r="R35" s="3" t="n">
        <v>63162.0</v>
      </c>
      <c r="S35" s="3" t="n">
        <v>63641.0</v>
      </c>
      <c r="T35" s="3" t="n">
        <v>61366.0</v>
      </c>
      <c r="U35" s="3" t="n">
        <v>62824.0</v>
      </c>
      <c r="V35" s="3" t="n">
        <v>63325.0</v>
      </c>
      <c r="W35" s="3" t="n">
        <v>64483.0</v>
      </c>
      <c r="X35" s="3" t="n">
        <v>66795.0</v>
      </c>
      <c r="Y35" s="3" t="n">
        <v>64472.0</v>
      </c>
      <c r="Z35" s="3" t="n">
        <v>62528.0</v>
      </c>
      <c r="AA35" s="3" t="n">
        <v>58298.0</v>
      </c>
      <c r="AB35" s="3" t="n">
        <v>57535.0</v>
      </c>
      <c r="AC35" s="3" t="n">
        <v>52235.0</v>
      </c>
      <c r="AD35" s="3" t="n">
        <v>54357.0</v>
      </c>
      <c r="AE35" s="3" t="n">
        <v>53579.0</v>
      </c>
      <c r="AF35" s="3" t="n">
        <v>53121.0</v>
      </c>
      <c r="AG35" s="3" t="n">
        <v>52450.0</v>
      </c>
      <c r="AH35" s="3" t="n">
        <v>51697.0</v>
      </c>
      <c r="AI35" s="3" t="n">
        <v>51027.0</v>
      </c>
      <c r="AJ35" s="3" t="n">
        <v>50505.0</v>
      </c>
      <c r="AK35" s="3" t="n">
        <v>49968.0</v>
      </c>
      <c r="AL35" s="3" t="n">
        <v>49464.0</v>
      </c>
      <c r="AM35" s="3" t="n">
        <v>48941.0</v>
      </c>
      <c r="AN35" s="3" t="n">
        <v>48510.0</v>
      </c>
      <c r="AO35" s="3" t="n">
        <v>48172.0</v>
      </c>
    </row>
    <row r="36" spans="1:41" x14ac:dyDescent="0.2">
      <c r="A36" s="125"/>
      <c r="B36" s="9">
        <v>27</v>
      </c>
      <c r="C36" s="3" t="n">
        <v>64341.0</v>
      </c>
      <c r="D36" s="3" t="n">
        <v>61815.0</v>
      </c>
      <c r="E36" s="3" t="n">
        <v>58327.0</v>
      </c>
      <c r="F36" s="3" t="n">
        <v>55679.0</v>
      </c>
      <c r="G36" s="3" t="n">
        <v>53847.0</v>
      </c>
      <c r="H36" s="3" t="n">
        <v>53847.0</v>
      </c>
      <c r="I36" s="3" t="n">
        <v>52410.0</v>
      </c>
      <c r="J36" s="3" t="n">
        <v>50999.0</v>
      </c>
      <c r="K36" s="3" t="n">
        <v>50961.0</v>
      </c>
      <c r="L36" s="3" t="n">
        <v>52825.0</v>
      </c>
      <c r="M36" s="3" t="n">
        <v>54775.0</v>
      </c>
      <c r="N36" s="3" t="n">
        <v>57949.0</v>
      </c>
      <c r="O36" s="3" t="n">
        <v>60748.0</v>
      </c>
      <c r="P36" s="3" t="n">
        <v>64939.0</v>
      </c>
      <c r="Q36" s="3" t="n">
        <v>66445.0</v>
      </c>
      <c r="R36" s="3" t="n">
        <v>67353.0</v>
      </c>
      <c r="S36" s="3" t="n">
        <v>63523.0</v>
      </c>
      <c r="T36" s="3" t="n">
        <v>63984.0</v>
      </c>
      <c r="U36" s="3" t="n">
        <v>61702.0</v>
      </c>
      <c r="V36" s="3" t="n">
        <v>63150.0</v>
      </c>
      <c r="W36" s="3" t="n">
        <v>63647.0</v>
      </c>
      <c r="X36" s="3" t="n">
        <v>64801.0</v>
      </c>
      <c r="Y36" s="3" t="n">
        <v>67117.0</v>
      </c>
      <c r="Z36" s="3" t="n">
        <v>64790.0</v>
      </c>
      <c r="AA36" s="3" t="n">
        <v>62829.0</v>
      </c>
      <c r="AB36" s="3" t="n">
        <v>58583.0</v>
      </c>
      <c r="AC36" s="3" t="n">
        <v>57785.0</v>
      </c>
      <c r="AD36" s="3" t="n">
        <v>52471.0</v>
      </c>
      <c r="AE36" s="3" t="n">
        <v>54575.0</v>
      </c>
      <c r="AF36" s="3" t="n">
        <v>53788.0</v>
      </c>
      <c r="AG36" s="3" t="n">
        <v>53335.0</v>
      </c>
      <c r="AH36" s="3" t="n">
        <v>52663.0</v>
      </c>
      <c r="AI36" s="3" t="n">
        <v>51907.0</v>
      </c>
      <c r="AJ36" s="3" t="n">
        <v>51231.0</v>
      </c>
      <c r="AK36" s="3" t="n">
        <v>50711.0</v>
      </c>
      <c r="AL36" s="3" t="n">
        <v>50170.0</v>
      </c>
      <c r="AM36" s="3" t="n">
        <v>49673.0</v>
      </c>
      <c r="AN36" s="3" t="n">
        <v>49148.0</v>
      </c>
      <c r="AO36" s="3" t="n">
        <v>48719.0</v>
      </c>
    </row>
    <row r="37" spans="1:41" x14ac:dyDescent="0.2">
      <c r="A37" s="125"/>
      <c r="B37" s="9">
        <v>28</v>
      </c>
      <c r="C37" s="3" t="n">
        <v>69121.0</v>
      </c>
      <c r="D37" s="3" t="n">
        <v>64847.0</v>
      </c>
      <c r="E37" s="3" t="n">
        <v>62317.0</v>
      </c>
      <c r="F37" s="3" t="n">
        <v>58836.0</v>
      </c>
      <c r="G37" s="3" t="n">
        <v>56176.0</v>
      </c>
      <c r="H37" s="3" t="n">
        <v>54592.0</v>
      </c>
      <c r="I37" s="3" t="n">
        <v>54681.0</v>
      </c>
      <c r="J37" s="3" t="n">
        <v>53041.0</v>
      </c>
      <c r="K37" s="3" t="n">
        <v>51521.0</v>
      </c>
      <c r="L37" s="3" t="n">
        <v>51424.0</v>
      </c>
      <c r="M37" s="3" t="n">
        <v>53272.0</v>
      </c>
      <c r="N37" s="3" t="n">
        <v>55207.0</v>
      </c>
      <c r="O37" s="3" t="n">
        <v>58382.0</v>
      </c>
      <c r="P37" s="3" t="n">
        <v>61211.0</v>
      </c>
      <c r="Q37" s="3" t="n">
        <v>65421.0</v>
      </c>
      <c r="R37" s="3" t="n">
        <v>66928.0</v>
      </c>
      <c r="S37" s="3" t="n">
        <v>67818.0</v>
      </c>
      <c r="T37" s="3" t="n">
        <v>63969.0</v>
      </c>
      <c r="U37" s="3" t="n">
        <v>64426.0</v>
      </c>
      <c r="V37" s="3" t="n">
        <v>62134.0</v>
      </c>
      <c r="W37" s="3" t="n">
        <v>63564.0</v>
      </c>
      <c r="X37" s="3" t="n">
        <v>64059.0</v>
      </c>
      <c r="Y37" s="3" t="n">
        <v>65209.0</v>
      </c>
      <c r="Z37" s="3" t="n">
        <v>67536.0</v>
      </c>
      <c r="AA37" s="3" t="n">
        <v>65198.0</v>
      </c>
      <c r="AB37" s="3" t="n">
        <v>63215.0</v>
      </c>
      <c r="AC37" s="3" t="n">
        <v>58950.0</v>
      </c>
      <c r="AD37" s="3" t="n">
        <v>58126.0</v>
      </c>
      <c r="AE37" s="3" t="n">
        <v>52776.0</v>
      </c>
      <c r="AF37" s="3" t="n">
        <v>54857.0</v>
      </c>
      <c r="AG37" s="3" t="n">
        <v>54067.0</v>
      </c>
      <c r="AH37" s="3" t="n">
        <v>53614.0</v>
      </c>
      <c r="AI37" s="3" t="n">
        <v>52937.0</v>
      </c>
      <c r="AJ37" s="3" t="n">
        <v>52170.0</v>
      </c>
      <c r="AK37" s="3" t="n">
        <v>51496.0</v>
      </c>
      <c r="AL37" s="3" t="n">
        <v>50973.0</v>
      </c>
      <c r="AM37" s="3" t="n">
        <v>50430.0</v>
      </c>
      <c r="AN37" s="3" t="n">
        <v>49936.0</v>
      </c>
      <c r="AO37" s="3" t="n">
        <v>49420.0</v>
      </c>
    </row>
    <row r="38" spans="1:41" x14ac:dyDescent="0.2">
      <c r="A38" s="125"/>
      <c r="B38" s="9">
        <v>29</v>
      </c>
      <c r="C38" s="3" t="n">
        <v>72649.0</v>
      </c>
      <c r="D38" s="3" t="n">
        <v>69723.0</v>
      </c>
      <c r="E38" s="3" t="n">
        <v>65430.0</v>
      </c>
      <c r="F38" s="3" t="n">
        <v>62895.0</v>
      </c>
      <c r="G38" s="3" t="n">
        <v>59411.0</v>
      </c>
      <c r="H38" s="3" t="n">
        <v>56988.0</v>
      </c>
      <c r="I38" s="3" t="n">
        <v>55489.0</v>
      </c>
      <c r="J38" s="3" t="n">
        <v>55380.0</v>
      </c>
      <c r="K38" s="3" t="n">
        <v>53625.0</v>
      </c>
      <c r="L38" s="3" t="n">
        <v>52066.0</v>
      </c>
      <c r="M38" s="3" t="n">
        <v>51943.0</v>
      </c>
      <c r="N38" s="3" t="n">
        <v>53766.0</v>
      </c>
      <c r="O38" s="3" t="n">
        <v>55708.0</v>
      </c>
      <c r="P38" s="3" t="n">
        <v>58887.0</v>
      </c>
      <c r="Q38" s="3" t="n">
        <v>61741.0</v>
      </c>
      <c r="R38" s="3" t="n">
        <v>65990.0</v>
      </c>
      <c r="S38" s="3" t="n">
        <v>67497.0</v>
      </c>
      <c r="T38" s="3" t="n">
        <v>68372.0</v>
      </c>
      <c r="U38" s="3" t="n">
        <v>64507.0</v>
      </c>
      <c r="V38" s="3" t="n">
        <v>64929.0</v>
      </c>
      <c r="W38" s="3" t="n">
        <v>62631.0</v>
      </c>
      <c r="X38" s="3" t="n">
        <v>64044.0</v>
      </c>
      <c r="Y38" s="3" t="n">
        <v>64538.0</v>
      </c>
      <c r="Z38" s="3" t="n">
        <v>65694.0</v>
      </c>
      <c r="AA38" s="3" t="n">
        <v>68027.0</v>
      </c>
      <c r="AB38" s="3" t="n">
        <v>65664.0</v>
      </c>
      <c r="AC38" s="3" t="n">
        <v>63661.0</v>
      </c>
      <c r="AD38" s="3" t="n">
        <v>59376.0</v>
      </c>
      <c r="AE38" s="3" t="n">
        <v>58529.0</v>
      </c>
      <c r="AF38" s="3" t="n">
        <v>53142.0</v>
      </c>
      <c r="AG38" s="3" t="n">
        <v>55210.0</v>
      </c>
      <c r="AH38" s="3" t="n">
        <v>54413.0</v>
      </c>
      <c r="AI38" s="3" t="n">
        <v>53958.0</v>
      </c>
      <c r="AJ38" s="3" t="n">
        <v>53280.0</v>
      </c>
      <c r="AK38" s="3" t="n">
        <v>52509.0</v>
      </c>
      <c r="AL38" s="3" t="n">
        <v>51827.0</v>
      </c>
      <c r="AM38" s="3" t="n">
        <v>51297.0</v>
      </c>
      <c r="AN38" s="3" t="n">
        <v>50758.0</v>
      </c>
      <c r="AO38" s="3" t="n">
        <v>50262.0</v>
      </c>
    </row>
    <row r="39" spans="1:41" x14ac:dyDescent="0.2">
      <c r="A39" s="125"/>
      <c r="B39" s="9">
        <v>30</v>
      </c>
      <c r="C39" s="3" t="n">
        <v>75839.0</v>
      </c>
      <c r="D39" s="3" t="n">
        <v>73276.0</v>
      </c>
      <c r="E39" s="3" t="n">
        <v>70335.0</v>
      </c>
      <c r="F39" s="3" t="n">
        <v>66024.0</v>
      </c>
      <c r="G39" s="3" t="n">
        <v>63491.0</v>
      </c>
      <c r="H39" s="3" t="n">
        <v>60291.0</v>
      </c>
      <c r="I39" s="3" t="n">
        <v>57970.0</v>
      </c>
      <c r="J39" s="3" t="n">
        <v>56237.0</v>
      </c>
      <c r="K39" s="3" t="n">
        <v>56001.0</v>
      </c>
      <c r="L39" s="3" t="n">
        <v>54196.0</v>
      </c>
      <c r="M39" s="3" t="n">
        <v>52614.0</v>
      </c>
      <c r="N39" s="3" t="n">
        <v>52472.0</v>
      </c>
      <c r="O39" s="3" t="n">
        <v>54277.0</v>
      </c>
      <c r="P39" s="3" t="n">
        <v>56214.0</v>
      </c>
      <c r="Q39" s="3" t="n">
        <v>59399.0</v>
      </c>
      <c r="R39" s="3" t="n">
        <v>62278.0</v>
      </c>
      <c r="S39" s="3" t="n">
        <v>66562.0</v>
      </c>
      <c r="T39" s="3" t="n">
        <v>68070.0</v>
      </c>
      <c r="U39" s="3" t="n">
        <v>68914.0</v>
      </c>
      <c r="V39" s="3" t="n">
        <v>65038.0</v>
      </c>
      <c r="W39" s="3" t="n">
        <v>65448.0</v>
      </c>
      <c r="X39" s="3" t="n">
        <v>63136.0</v>
      </c>
      <c r="Y39" s="3" t="n">
        <v>64540.0</v>
      </c>
      <c r="Z39" s="3" t="n">
        <v>65024.0</v>
      </c>
      <c r="AA39" s="3" t="n">
        <v>66192.0</v>
      </c>
      <c r="AB39" s="3" t="n">
        <v>68537.0</v>
      </c>
      <c r="AC39" s="3" t="n">
        <v>66157.0</v>
      </c>
      <c r="AD39" s="3" t="n">
        <v>64127.0</v>
      </c>
      <c r="AE39" s="3" t="n">
        <v>59818.0</v>
      </c>
      <c r="AF39" s="3" t="n">
        <v>58954.0</v>
      </c>
      <c r="AG39" s="3" t="n">
        <v>53521.0</v>
      </c>
      <c r="AH39" s="3" t="n">
        <v>55565.0</v>
      </c>
      <c r="AI39" s="3" t="n">
        <v>54761.0</v>
      </c>
      <c r="AJ39" s="3" t="n">
        <v>54303.0</v>
      </c>
      <c r="AK39" s="3" t="n">
        <v>53623.0</v>
      </c>
      <c r="AL39" s="3" t="n">
        <v>52856.0</v>
      </c>
      <c r="AM39" s="3" t="n">
        <v>52179.0</v>
      </c>
      <c r="AN39" s="3" t="n">
        <v>51659.0</v>
      </c>
      <c r="AO39" s="3" t="n">
        <v>51117.0</v>
      </c>
    </row>
    <row r="40" spans="1:41" x14ac:dyDescent="0.2">
      <c r="A40" s="125"/>
      <c r="B40" s="9">
        <v>31</v>
      </c>
      <c r="C40" s="3" t="n">
        <v>79970.0</v>
      </c>
      <c r="D40" s="3" t="n">
        <v>76476.0</v>
      </c>
      <c r="E40" s="3" t="n">
        <v>73883.0</v>
      </c>
      <c r="F40" s="3" t="n">
        <v>70927.0</v>
      </c>
      <c r="G40" s="3" t="n">
        <v>66594.0</v>
      </c>
      <c r="H40" s="3" t="n">
        <v>64392.0</v>
      </c>
      <c r="I40" s="3" t="n">
        <v>61312.0</v>
      </c>
      <c r="J40" s="3" t="n">
        <v>58730.0</v>
      </c>
      <c r="K40" s="3" t="n">
        <v>56868.0</v>
      </c>
      <c r="L40" s="3" t="n">
        <v>56575.0</v>
      </c>
      <c r="M40" s="3" t="n">
        <v>54735.0</v>
      </c>
      <c r="N40" s="3" t="n">
        <v>53120.0</v>
      </c>
      <c r="O40" s="3" t="n">
        <v>52968.0</v>
      </c>
      <c r="P40" s="3" t="n">
        <v>54772.0</v>
      </c>
      <c r="Q40" s="3" t="n">
        <v>56705.0</v>
      </c>
      <c r="R40" s="3" t="n">
        <v>59909.0</v>
      </c>
      <c r="S40" s="3" t="n">
        <v>62807.0</v>
      </c>
      <c r="T40" s="3" t="n">
        <v>67119.0</v>
      </c>
      <c r="U40" s="3" t="n">
        <v>68617.0</v>
      </c>
      <c r="V40" s="3" t="n">
        <v>69443.0</v>
      </c>
      <c r="W40" s="3" t="n">
        <v>65554.0</v>
      </c>
      <c r="X40" s="3" t="n">
        <v>65951.0</v>
      </c>
      <c r="Y40" s="3" t="n">
        <v>63620.0</v>
      </c>
      <c r="Z40" s="3" t="n">
        <v>65020.0</v>
      </c>
      <c r="AA40" s="3" t="n">
        <v>65498.0</v>
      </c>
      <c r="AB40" s="3" t="n">
        <v>66664.0</v>
      </c>
      <c r="AC40" s="3" t="n">
        <v>69026.0</v>
      </c>
      <c r="AD40" s="3" t="n">
        <v>66630.0</v>
      </c>
      <c r="AE40" s="3" t="n">
        <v>64569.0</v>
      </c>
      <c r="AF40" s="3" t="n">
        <v>60243.0</v>
      </c>
      <c r="AG40" s="3" t="n">
        <v>59356.0</v>
      </c>
      <c r="AH40" s="3" t="n">
        <v>53880.0</v>
      </c>
      <c r="AI40" s="3" t="n">
        <v>55924.0</v>
      </c>
      <c r="AJ40" s="3" t="n">
        <v>55111.0</v>
      </c>
      <c r="AK40" s="3" t="n">
        <v>54649.0</v>
      </c>
      <c r="AL40" s="3" t="n">
        <v>53967.0</v>
      </c>
      <c r="AM40" s="3" t="n">
        <v>53197.0</v>
      </c>
      <c r="AN40" s="3" t="n">
        <v>52519.0</v>
      </c>
      <c r="AO40" s="3" t="n">
        <v>52000.0</v>
      </c>
    </row>
    <row r="41" spans="1:41" x14ac:dyDescent="0.2">
      <c r="A41" s="125"/>
      <c r="B41" s="9">
        <v>32</v>
      </c>
      <c r="C41" s="3" t="n">
        <v>81919.0</v>
      </c>
      <c r="D41" s="3" t="n">
        <v>80605.0</v>
      </c>
      <c r="E41" s="3" t="n">
        <v>77060.0</v>
      </c>
      <c r="F41" s="3" t="n">
        <v>74452.0</v>
      </c>
      <c r="G41" s="3" t="n">
        <v>71493.0</v>
      </c>
      <c r="H41" s="3" t="n">
        <v>67453.0</v>
      </c>
      <c r="I41" s="3" t="n">
        <v>65366.0</v>
      </c>
      <c r="J41" s="3" t="n">
        <v>62026.0</v>
      </c>
      <c r="K41" s="3" t="n">
        <v>59330.0</v>
      </c>
      <c r="L41" s="3" t="n">
        <v>57407.0</v>
      </c>
      <c r="M41" s="3" t="n">
        <v>57088.0</v>
      </c>
      <c r="N41" s="3" t="n">
        <v>55225.0</v>
      </c>
      <c r="O41" s="3" t="n">
        <v>53600.0</v>
      </c>
      <c r="P41" s="3" t="n">
        <v>53437.0</v>
      </c>
      <c r="Q41" s="3" t="n">
        <v>55235.0</v>
      </c>
      <c r="R41" s="3" t="n">
        <v>57162.0</v>
      </c>
      <c r="S41" s="3" t="n">
        <v>60376.0</v>
      </c>
      <c r="T41" s="3" t="n">
        <v>63304.0</v>
      </c>
      <c r="U41" s="3" t="n">
        <v>67647.0</v>
      </c>
      <c r="V41" s="3" t="n">
        <v>69141.0</v>
      </c>
      <c r="W41" s="3" t="n">
        <v>69943.0</v>
      </c>
      <c r="X41" s="3" t="n">
        <v>66034.0</v>
      </c>
      <c r="Y41" s="3" t="n">
        <v>66418.0</v>
      </c>
      <c r="Z41" s="3" t="n">
        <v>64071.0</v>
      </c>
      <c r="AA41" s="3" t="n">
        <v>65466.0</v>
      </c>
      <c r="AB41" s="3" t="n">
        <v>65944.0</v>
      </c>
      <c r="AC41" s="3" t="n">
        <v>67110.0</v>
      </c>
      <c r="AD41" s="3" t="n">
        <v>69478.0</v>
      </c>
      <c r="AE41" s="3" t="n">
        <v>67072.0</v>
      </c>
      <c r="AF41" s="3" t="n">
        <v>64998.0</v>
      </c>
      <c r="AG41" s="3" t="n">
        <v>60643.0</v>
      </c>
      <c r="AH41" s="3" t="n">
        <v>59730.0</v>
      </c>
      <c r="AI41" s="3" t="n">
        <v>54219.0</v>
      </c>
      <c r="AJ41" s="3" t="n">
        <v>56247.0</v>
      </c>
      <c r="AK41" s="3" t="n">
        <v>55430.0</v>
      </c>
      <c r="AL41" s="3" t="n">
        <v>54965.0</v>
      </c>
      <c r="AM41" s="3" t="n">
        <v>54287.0</v>
      </c>
      <c r="AN41" s="3" t="n">
        <v>53513.0</v>
      </c>
      <c r="AO41" s="3" t="n">
        <v>52835.0</v>
      </c>
    </row>
    <row r="42" spans="1:41" x14ac:dyDescent="0.2">
      <c r="A42" s="125"/>
      <c r="B42" s="9">
        <v>33</v>
      </c>
      <c r="C42" s="3" t="n">
        <v>82264.0</v>
      </c>
      <c r="D42" s="3" t="n">
        <v>82463.0</v>
      </c>
      <c r="E42" s="3" t="n">
        <v>81130.0</v>
      </c>
      <c r="F42" s="3" t="n">
        <v>77558.0</v>
      </c>
      <c r="G42" s="3" t="n">
        <v>74935.0</v>
      </c>
      <c r="H42" s="3" t="n">
        <v>72282.0</v>
      </c>
      <c r="I42" s="3" t="n">
        <v>68348.0</v>
      </c>
      <c r="J42" s="3" t="n">
        <v>66016.0</v>
      </c>
      <c r="K42" s="3" t="n">
        <v>62553.0</v>
      </c>
      <c r="L42" s="3" t="n">
        <v>59808.0</v>
      </c>
      <c r="M42" s="3" t="n">
        <v>57862.0</v>
      </c>
      <c r="N42" s="3" t="n">
        <v>57527.0</v>
      </c>
      <c r="O42" s="3" t="n">
        <v>55634.0</v>
      </c>
      <c r="P42" s="3" t="n">
        <v>54012.0</v>
      </c>
      <c r="Q42" s="3" t="n">
        <v>53841.0</v>
      </c>
      <c r="R42" s="3" t="n">
        <v>55634.0</v>
      </c>
      <c r="S42" s="3" t="n">
        <v>57567.0</v>
      </c>
      <c r="T42" s="3" t="n">
        <v>60780.0</v>
      </c>
      <c r="U42" s="3" t="n">
        <v>63721.0</v>
      </c>
      <c r="V42" s="3" t="n">
        <v>68070.0</v>
      </c>
      <c r="W42" s="3" t="n">
        <v>69585.0</v>
      </c>
      <c r="X42" s="3" t="n">
        <v>70360.0</v>
      </c>
      <c r="Y42" s="3" t="n">
        <v>66437.0</v>
      </c>
      <c r="Z42" s="3" t="n">
        <v>66816.0</v>
      </c>
      <c r="AA42" s="3" t="n">
        <v>64452.0</v>
      </c>
      <c r="AB42" s="3" t="n">
        <v>65838.0</v>
      </c>
      <c r="AC42" s="3" t="n">
        <v>66313.0</v>
      </c>
      <c r="AD42" s="3" t="n">
        <v>67483.0</v>
      </c>
      <c r="AE42" s="3" t="n">
        <v>69866.0</v>
      </c>
      <c r="AF42" s="3" t="n">
        <v>67441.0</v>
      </c>
      <c r="AG42" s="3" t="n">
        <v>65363.0</v>
      </c>
      <c r="AH42" s="3" t="n">
        <v>60985.0</v>
      </c>
      <c r="AI42" s="3" t="n">
        <v>60053.0</v>
      </c>
      <c r="AJ42" s="3" t="n">
        <v>54514.0</v>
      </c>
      <c r="AK42" s="3" t="n">
        <v>56536.0</v>
      </c>
      <c r="AL42" s="3" t="n">
        <v>55717.0</v>
      </c>
      <c r="AM42" s="3" t="n">
        <v>55248.0</v>
      </c>
      <c r="AN42" s="3" t="n">
        <v>54570.0</v>
      </c>
      <c r="AO42" s="3" t="n">
        <v>53788.0</v>
      </c>
    </row>
    <row r="43" spans="1:41" x14ac:dyDescent="0.2">
      <c r="A43" s="125"/>
      <c r="B43" s="9">
        <v>34</v>
      </c>
      <c r="C43" s="3" t="n">
        <v>85279.0</v>
      </c>
      <c r="D43" s="3" t="n">
        <v>82731.0</v>
      </c>
      <c r="E43" s="3" t="n">
        <v>82923.0</v>
      </c>
      <c r="F43" s="3" t="n">
        <v>81569.0</v>
      </c>
      <c r="G43" s="3" t="n">
        <v>77985.0</v>
      </c>
      <c r="H43" s="3" t="n">
        <v>75664.0</v>
      </c>
      <c r="I43" s="3" t="n">
        <v>73118.0</v>
      </c>
      <c r="J43" s="3" t="n">
        <v>68926.0</v>
      </c>
      <c r="K43" s="3" t="n">
        <v>66474.0</v>
      </c>
      <c r="L43" s="3" t="n">
        <v>62959.0</v>
      </c>
      <c r="M43" s="3" t="n">
        <v>60185.0</v>
      </c>
      <c r="N43" s="3" t="n">
        <v>58222.0</v>
      </c>
      <c r="O43" s="3" t="n">
        <v>57876.0</v>
      </c>
      <c r="P43" s="3" t="n">
        <v>55981.0</v>
      </c>
      <c r="Q43" s="3" t="n">
        <v>54348.0</v>
      </c>
      <c r="R43" s="3" t="n">
        <v>54182.0</v>
      </c>
      <c r="S43" s="3" t="n">
        <v>55971.0</v>
      </c>
      <c r="T43" s="3" t="n">
        <v>57904.0</v>
      </c>
      <c r="U43" s="3" t="n">
        <v>61118.0</v>
      </c>
      <c r="V43" s="3" t="n">
        <v>64076.0</v>
      </c>
      <c r="W43" s="3" t="n">
        <v>68428.0</v>
      </c>
      <c r="X43" s="3" t="n">
        <v>69952.0</v>
      </c>
      <c r="Y43" s="3" t="n">
        <v>70713.0</v>
      </c>
      <c r="Z43" s="3" t="n">
        <v>66775.0</v>
      </c>
      <c r="AA43" s="3" t="n">
        <v>67143.0</v>
      </c>
      <c r="AB43" s="3" t="n">
        <v>64769.0</v>
      </c>
      <c r="AC43" s="3" t="n">
        <v>66147.0</v>
      </c>
      <c r="AD43" s="3" t="n">
        <v>66622.0</v>
      </c>
      <c r="AE43" s="3" t="n">
        <v>67799.0</v>
      </c>
      <c r="AF43" s="3" t="n">
        <v>70184.0</v>
      </c>
      <c r="AG43" s="3" t="n">
        <v>67753.0</v>
      </c>
      <c r="AH43" s="3" t="n">
        <v>65647.0</v>
      </c>
      <c r="AI43" s="3" t="n">
        <v>61278.0</v>
      </c>
      <c r="AJ43" s="3" t="n">
        <v>60334.0</v>
      </c>
      <c r="AK43" s="3" t="n">
        <v>54779.0</v>
      </c>
      <c r="AL43" s="3" t="n">
        <v>56784.0</v>
      </c>
      <c r="AM43" s="3" t="n">
        <v>55959.0</v>
      </c>
      <c r="AN43" s="3" t="n">
        <v>55491.0</v>
      </c>
      <c r="AO43" s="3" t="n">
        <v>54810.0</v>
      </c>
    </row>
    <row r="44" spans="1:41" x14ac:dyDescent="0.2">
      <c r="A44" s="125"/>
      <c r="B44" s="9">
        <v>35</v>
      </c>
      <c r="C44" s="3" t="n">
        <v>86089.0</v>
      </c>
      <c r="D44" s="3" t="n">
        <v>85689.0</v>
      </c>
      <c r="E44" s="3" t="n">
        <v>83134.0</v>
      </c>
      <c r="F44" s="3" t="n">
        <v>83325.0</v>
      </c>
      <c r="G44" s="3" t="n">
        <v>81955.0</v>
      </c>
      <c r="H44" s="3" t="n">
        <v>78705.0</v>
      </c>
      <c r="I44" s="3" t="n">
        <v>76486.0</v>
      </c>
      <c r="J44" s="3" t="n">
        <v>73661.0</v>
      </c>
      <c r="K44" s="3" t="n">
        <v>69358.0</v>
      </c>
      <c r="L44" s="3" t="n">
        <v>66844.0</v>
      </c>
      <c r="M44" s="3" t="n">
        <v>63306.0</v>
      </c>
      <c r="N44" s="3" t="n">
        <v>60519.0</v>
      </c>
      <c r="O44" s="3" t="n">
        <v>58548.0</v>
      </c>
      <c r="P44" s="3" t="n">
        <v>58193.0</v>
      </c>
      <c r="Q44" s="3" t="n">
        <v>56297.0</v>
      </c>
      <c r="R44" s="3" t="n">
        <v>54657.0</v>
      </c>
      <c r="S44" s="3" t="n">
        <v>54477.0</v>
      </c>
      <c r="T44" s="3" t="n">
        <v>56273.0</v>
      </c>
      <c r="U44" s="3" t="n">
        <v>58203.0</v>
      </c>
      <c r="V44" s="3" t="n">
        <v>61419.0</v>
      </c>
      <c r="W44" s="3" t="n">
        <v>64395.0</v>
      </c>
      <c r="X44" s="3" t="n">
        <v>68746.0</v>
      </c>
      <c r="Y44" s="3" t="n">
        <v>70275.0</v>
      </c>
      <c r="Z44" s="3" t="n">
        <v>71023.0</v>
      </c>
      <c r="AA44" s="3" t="n">
        <v>67081.0</v>
      </c>
      <c r="AB44" s="3" t="n">
        <v>67440.0</v>
      </c>
      <c r="AC44" s="3" t="n">
        <v>65066.0</v>
      </c>
      <c r="AD44" s="3" t="n">
        <v>66443.0</v>
      </c>
      <c r="AE44" s="3" t="n">
        <v>66901.0</v>
      </c>
      <c r="AF44" s="3" t="n">
        <v>68082.0</v>
      </c>
      <c r="AG44" s="3" t="n">
        <v>70466.0</v>
      </c>
      <c r="AH44" s="3" t="n">
        <v>68037.0</v>
      </c>
      <c r="AI44" s="3" t="n">
        <v>65918.0</v>
      </c>
      <c r="AJ44" s="3" t="n">
        <v>61525.0</v>
      </c>
      <c r="AK44" s="3" t="n">
        <v>60558.0</v>
      </c>
      <c r="AL44" s="3" t="n">
        <v>54993.0</v>
      </c>
      <c r="AM44" s="3" t="n">
        <v>56984.0</v>
      </c>
      <c r="AN44" s="3" t="n">
        <v>56158.0</v>
      </c>
      <c r="AO44" s="3" t="n">
        <v>55688.0</v>
      </c>
    </row>
    <row r="45" spans="1:41" x14ac:dyDescent="0.2">
      <c r="A45" s="125"/>
      <c r="B45" s="9">
        <v>36</v>
      </c>
      <c r="C45" s="3" t="n">
        <v>90822.0</v>
      </c>
      <c r="D45" s="3" t="n">
        <v>86452.0</v>
      </c>
      <c r="E45" s="3" t="n">
        <v>86052.0</v>
      </c>
      <c r="F45" s="3" t="n">
        <v>83494.0</v>
      </c>
      <c r="G45" s="3" t="n">
        <v>83683.0</v>
      </c>
      <c r="H45" s="3" t="n">
        <v>82655.0</v>
      </c>
      <c r="I45" s="3" t="n">
        <v>79533.0</v>
      </c>
      <c r="J45" s="3" t="n">
        <v>77027.0</v>
      </c>
      <c r="K45" s="3" t="n">
        <v>74043.0</v>
      </c>
      <c r="L45" s="3" t="n">
        <v>69701.0</v>
      </c>
      <c r="M45" s="3" t="n">
        <v>67164.0</v>
      </c>
      <c r="N45" s="3" t="n">
        <v>63618.0</v>
      </c>
      <c r="O45" s="3" t="n">
        <v>60801.0</v>
      </c>
      <c r="P45" s="3" t="n">
        <v>58830.0</v>
      </c>
      <c r="Q45" s="3" t="n">
        <v>58478.0</v>
      </c>
      <c r="R45" s="3" t="n">
        <v>56576.0</v>
      </c>
      <c r="S45" s="3" t="n">
        <v>54930.0</v>
      </c>
      <c r="T45" s="3" t="n">
        <v>54740.0</v>
      </c>
      <c r="U45" s="3" t="n">
        <v>56518.0</v>
      </c>
      <c r="V45" s="3" t="n">
        <v>58450.0</v>
      </c>
      <c r="W45" s="3" t="n">
        <v>61676.0</v>
      </c>
      <c r="X45" s="3" t="n">
        <v>64668.0</v>
      </c>
      <c r="Y45" s="3" t="n">
        <v>69031.0</v>
      </c>
      <c r="Z45" s="3" t="n">
        <v>70559.0</v>
      </c>
      <c r="AA45" s="3" t="n">
        <v>71289.0</v>
      </c>
      <c r="AB45" s="3" t="n">
        <v>67343.0</v>
      </c>
      <c r="AC45" s="3" t="n">
        <v>67686.0</v>
      </c>
      <c r="AD45" s="3" t="n">
        <v>65306.0</v>
      </c>
      <c r="AE45" s="3" t="n">
        <v>66682.0</v>
      </c>
      <c r="AF45" s="3" t="n">
        <v>67131.0</v>
      </c>
      <c r="AG45" s="3" t="n">
        <v>68322.0</v>
      </c>
      <c r="AH45" s="3" t="n">
        <v>70706.0</v>
      </c>
      <c r="AI45" s="3" t="n">
        <v>68275.0</v>
      </c>
      <c r="AJ45" s="3" t="n">
        <v>66142.0</v>
      </c>
      <c r="AK45" s="3" t="n">
        <v>61748.0</v>
      </c>
      <c r="AL45" s="3" t="n">
        <v>60761.0</v>
      </c>
      <c r="AM45" s="3" t="n">
        <v>55200.0</v>
      </c>
      <c r="AN45" s="3" t="n">
        <v>57173.0</v>
      </c>
      <c r="AO45" s="3" t="n">
        <v>56350.0</v>
      </c>
    </row>
    <row r="46" spans="1:41" x14ac:dyDescent="0.2">
      <c r="A46" s="125"/>
      <c r="B46" s="9">
        <v>37</v>
      </c>
      <c r="C46" s="3" t="n">
        <v>95219.0</v>
      </c>
      <c r="D46" s="3" t="n">
        <v>91084.0</v>
      </c>
      <c r="E46" s="3" t="n">
        <v>86709.0</v>
      </c>
      <c r="F46" s="3" t="n">
        <v>86312.0</v>
      </c>
      <c r="G46" s="3" t="n">
        <v>83756.0</v>
      </c>
      <c r="H46" s="3" t="n">
        <v>84292.0</v>
      </c>
      <c r="I46" s="3" t="n">
        <v>83392.0</v>
      </c>
      <c r="J46" s="3" t="n">
        <v>79992.0</v>
      </c>
      <c r="K46" s="3" t="n">
        <v>77351.0</v>
      </c>
      <c r="L46" s="3" t="n">
        <v>74311.0</v>
      </c>
      <c r="M46" s="3" t="n">
        <v>69941.0</v>
      </c>
      <c r="N46" s="3" t="n">
        <v>67391.0</v>
      </c>
      <c r="O46" s="3" t="n">
        <v>63842.0</v>
      </c>
      <c r="P46" s="3" t="n">
        <v>61024.0</v>
      </c>
      <c r="Q46" s="3" t="n">
        <v>59043.0</v>
      </c>
      <c r="R46" s="3" t="n">
        <v>58691.0</v>
      </c>
      <c r="S46" s="3" t="n">
        <v>56789.0</v>
      </c>
      <c r="T46" s="3" t="n">
        <v>55134.0</v>
      </c>
      <c r="U46" s="3" t="n">
        <v>54941.0</v>
      </c>
      <c r="V46" s="3" t="n">
        <v>56728.0</v>
      </c>
      <c r="W46" s="3" t="n">
        <v>58644.0</v>
      </c>
      <c r="X46" s="3" t="n">
        <v>61870.0</v>
      </c>
      <c r="Y46" s="3" t="n">
        <v>64869.0</v>
      </c>
      <c r="Z46" s="3" t="n">
        <v>69232.0</v>
      </c>
      <c r="AA46" s="3" t="n">
        <v>70759.0</v>
      </c>
      <c r="AB46" s="3" t="n">
        <v>71476.0</v>
      </c>
      <c r="AC46" s="3" t="n">
        <v>67529.0</v>
      </c>
      <c r="AD46" s="3" t="n">
        <v>67864.0</v>
      </c>
      <c r="AE46" s="3" t="n">
        <v>65474.0</v>
      </c>
      <c r="AF46" s="3" t="n">
        <v>66851.0</v>
      </c>
      <c r="AG46" s="3" t="n">
        <v>67294.0</v>
      </c>
      <c r="AH46" s="3" t="n">
        <v>68495.0</v>
      </c>
      <c r="AI46" s="3" t="n">
        <v>70878.0</v>
      </c>
      <c r="AJ46" s="3" t="n">
        <v>68444.0</v>
      </c>
      <c r="AK46" s="3" t="n">
        <v>66306.0</v>
      </c>
      <c r="AL46" s="3" t="n">
        <v>61904.0</v>
      </c>
      <c r="AM46" s="3" t="n">
        <v>60917.0</v>
      </c>
      <c r="AN46" s="3" t="n">
        <v>55343.0</v>
      </c>
      <c r="AO46" s="3" t="n">
        <v>57303.0</v>
      </c>
    </row>
    <row r="47" spans="1:41" x14ac:dyDescent="0.2">
      <c r="A47" s="125"/>
      <c r="B47" s="9">
        <v>38</v>
      </c>
      <c r="C47" s="3" t="n">
        <v>97301.0</v>
      </c>
      <c r="D47" s="3" t="n">
        <v>95440.0</v>
      </c>
      <c r="E47" s="3" t="n">
        <v>91297.0</v>
      </c>
      <c r="F47" s="3" t="n">
        <v>86923.0</v>
      </c>
      <c r="G47" s="3" t="n">
        <v>86538.0</v>
      </c>
      <c r="H47" s="3" t="n">
        <v>84344.0</v>
      </c>
      <c r="I47" s="3" t="n">
        <v>85015.0</v>
      </c>
      <c r="J47" s="3" t="n">
        <v>83819.0</v>
      </c>
      <c r="K47" s="3" t="n">
        <v>80270.0</v>
      </c>
      <c r="L47" s="3" t="n">
        <v>77568.0</v>
      </c>
      <c r="M47" s="3" t="n">
        <v>74498.0</v>
      </c>
      <c r="N47" s="3" t="n">
        <v>70114.0</v>
      </c>
      <c r="O47" s="3" t="n">
        <v>67558.0</v>
      </c>
      <c r="P47" s="3" t="n">
        <v>64017.0</v>
      </c>
      <c r="Q47" s="3" t="n">
        <v>61192.0</v>
      </c>
      <c r="R47" s="3" t="n">
        <v>59211.0</v>
      </c>
      <c r="S47" s="3" t="n">
        <v>58849.0</v>
      </c>
      <c r="T47" s="3" t="n">
        <v>56953.0</v>
      </c>
      <c r="U47" s="3" t="n">
        <v>55307.0</v>
      </c>
      <c r="V47" s="3" t="n">
        <v>55107.0</v>
      </c>
      <c r="W47" s="3" t="n">
        <v>56882.0</v>
      </c>
      <c r="X47" s="3" t="n">
        <v>58795.0</v>
      </c>
      <c r="Y47" s="3" t="n">
        <v>62010.0</v>
      </c>
      <c r="Z47" s="3" t="n">
        <v>65019.0</v>
      </c>
      <c r="AA47" s="3" t="n">
        <v>69396.0</v>
      </c>
      <c r="AB47" s="3" t="n">
        <v>70915.0</v>
      </c>
      <c r="AC47" s="3" t="n">
        <v>71620.0</v>
      </c>
      <c r="AD47" s="3" t="n">
        <v>67672.0</v>
      </c>
      <c r="AE47" s="3" t="n">
        <v>68002.0</v>
      </c>
      <c r="AF47" s="3" t="n">
        <v>65616.0</v>
      </c>
      <c r="AG47" s="3" t="n">
        <v>66980.0</v>
      </c>
      <c r="AH47" s="3" t="n">
        <v>67426.0</v>
      </c>
      <c r="AI47" s="3" t="n">
        <v>68625.0</v>
      </c>
      <c r="AJ47" s="3" t="n">
        <v>71005.0</v>
      </c>
      <c r="AK47" s="3" t="n">
        <v>68566.0</v>
      </c>
      <c r="AL47" s="3" t="n">
        <v>66430.0</v>
      </c>
      <c r="AM47" s="3" t="n">
        <v>62018.0</v>
      </c>
      <c r="AN47" s="3" t="n">
        <v>61030.0</v>
      </c>
      <c r="AO47" s="3" t="n">
        <v>55452.0</v>
      </c>
    </row>
    <row r="48" spans="1:41" x14ac:dyDescent="0.2">
      <c r="A48" s="125"/>
      <c r="B48" s="9">
        <v>39</v>
      </c>
      <c r="C48" s="3" t="n">
        <v>100179.0</v>
      </c>
      <c r="D48" s="3" t="n">
        <v>97500.0</v>
      </c>
      <c r="E48" s="3" t="n">
        <v>95626.0</v>
      </c>
      <c r="F48" s="3" t="n">
        <v>91475.0</v>
      </c>
      <c r="G48" s="3" t="n">
        <v>87111.0</v>
      </c>
      <c r="H48" s="3" t="n">
        <v>87084.0</v>
      </c>
      <c r="I48" s="3" t="n">
        <v>85024.0</v>
      </c>
      <c r="J48" s="3" t="n">
        <v>85406.0</v>
      </c>
      <c r="K48" s="3" t="n">
        <v>84064.0</v>
      </c>
      <c r="L48" s="3" t="n">
        <v>80462.0</v>
      </c>
      <c r="M48" s="3" t="n">
        <v>77718.0</v>
      </c>
      <c r="N48" s="3" t="n">
        <v>74627.0</v>
      </c>
      <c r="O48" s="3" t="n">
        <v>70240.0</v>
      </c>
      <c r="P48" s="3" t="n">
        <v>67688.0</v>
      </c>
      <c r="Q48" s="3" t="n">
        <v>64157.0</v>
      </c>
      <c r="R48" s="3" t="n">
        <v>61336.0</v>
      </c>
      <c r="S48" s="3" t="n">
        <v>59356.0</v>
      </c>
      <c r="T48" s="3" t="n">
        <v>58993.0</v>
      </c>
      <c r="U48" s="3" t="n">
        <v>57092.0</v>
      </c>
      <c r="V48" s="3" t="n">
        <v>55436.0</v>
      </c>
      <c r="W48" s="3" t="n">
        <v>55244.0</v>
      </c>
      <c r="X48" s="3" t="n">
        <v>57011.0</v>
      </c>
      <c r="Y48" s="3" t="n">
        <v>58917.0</v>
      </c>
      <c r="Z48" s="3" t="n">
        <v>62133.0</v>
      </c>
      <c r="AA48" s="3" t="n">
        <v>65142.0</v>
      </c>
      <c r="AB48" s="3" t="n">
        <v>69523.0</v>
      </c>
      <c r="AC48" s="3" t="n">
        <v>71042.0</v>
      </c>
      <c r="AD48" s="3" t="n">
        <v>71740.0</v>
      </c>
      <c r="AE48" s="3" t="n">
        <v>67788.0</v>
      </c>
      <c r="AF48" s="3" t="n">
        <v>68119.0</v>
      </c>
      <c r="AG48" s="3" t="n">
        <v>65731.0</v>
      </c>
      <c r="AH48" s="3" t="n">
        <v>67090.0</v>
      </c>
      <c r="AI48" s="3" t="n">
        <v>67537.0</v>
      </c>
      <c r="AJ48" s="3" t="n">
        <v>68735.0</v>
      </c>
      <c r="AK48" s="3" t="n">
        <v>71113.0</v>
      </c>
      <c r="AL48" s="3" t="n">
        <v>68670.0</v>
      </c>
      <c r="AM48" s="3" t="n">
        <v>66527.0</v>
      </c>
      <c r="AN48" s="3" t="n">
        <v>62123.0</v>
      </c>
      <c r="AO48" s="3" t="n">
        <v>61130.0</v>
      </c>
    </row>
    <row r="49" spans="1:41" x14ac:dyDescent="0.2">
      <c r="A49" s="125"/>
      <c r="B49" s="9">
        <v>40</v>
      </c>
      <c r="C49" s="3" t="n">
        <v>96942.0</v>
      </c>
      <c r="D49" s="3" t="n">
        <v>100310.0</v>
      </c>
      <c r="E49" s="3" t="n">
        <v>97644.0</v>
      </c>
      <c r="F49" s="3" t="n">
        <v>95758.0</v>
      </c>
      <c r="G49" s="3" t="n">
        <v>91608.0</v>
      </c>
      <c r="H49" s="3" t="n">
        <v>87560.0</v>
      </c>
      <c r="I49" s="3" t="n">
        <v>87633.0</v>
      </c>
      <c r="J49" s="3" t="n">
        <v>85338.0</v>
      </c>
      <c r="K49" s="3" t="n">
        <v>85593.0</v>
      </c>
      <c r="L49" s="3" t="n">
        <v>84200.0</v>
      </c>
      <c r="M49" s="3" t="n">
        <v>80577.0</v>
      </c>
      <c r="N49" s="3" t="n">
        <v>77813.0</v>
      </c>
      <c r="O49" s="3" t="n">
        <v>74711.0</v>
      </c>
      <c r="P49" s="3" t="n">
        <v>70338.0</v>
      </c>
      <c r="Q49" s="3" t="n">
        <v>67793.0</v>
      </c>
      <c r="R49" s="3" t="n">
        <v>64262.0</v>
      </c>
      <c r="S49" s="3" t="n">
        <v>61450.0</v>
      </c>
      <c r="T49" s="3" t="n">
        <v>59477.0</v>
      </c>
      <c r="U49" s="3" t="n">
        <v>59106.0</v>
      </c>
      <c r="V49" s="3" t="n">
        <v>57200.0</v>
      </c>
      <c r="W49" s="3" t="n">
        <v>55546.0</v>
      </c>
      <c r="X49" s="3" t="n">
        <v>55346.0</v>
      </c>
      <c r="Y49" s="3" t="n">
        <v>57106.0</v>
      </c>
      <c r="Z49" s="3" t="n">
        <v>59014.0</v>
      </c>
      <c r="AA49" s="3" t="n">
        <v>62220.0</v>
      </c>
      <c r="AB49" s="3" t="n">
        <v>65231.0</v>
      </c>
      <c r="AC49" s="3" t="n">
        <v>69609.0</v>
      </c>
      <c r="AD49" s="3" t="n">
        <v>71125.0</v>
      </c>
      <c r="AE49" s="3" t="n">
        <v>71812.0</v>
      </c>
      <c r="AF49" s="3" t="n">
        <v>67862.0</v>
      </c>
      <c r="AG49" s="3" t="n">
        <v>68189.0</v>
      </c>
      <c r="AH49" s="3" t="n">
        <v>65803.0</v>
      </c>
      <c r="AI49" s="3" t="n">
        <v>67161.0</v>
      </c>
      <c r="AJ49" s="3" t="n">
        <v>67596.0</v>
      </c>
      <c r="AK49" s="3" t="n">
        <v>68798.0</v>
      </c>
      <c r="AL49" s="3" t="n">
        <v>71181.0</v>
      </c>
      <c r="AM49" s="3" t="n">
        <v>68740.0</v>
      </c>
      <c r="AN49" s="3" t="n">
        <v>66595.0</v>
      </c>
      <c r="AO49" s="3" t="n">
        <v>62190.0</v>
      </c>
    </row>
    <row r="50" spans="1:41" x14ac:dyDescent="0.2">
      <c r="A50" s="125"/>
      <c r="B50" s="9">
        <v>41</v>
      </c>
      <c r="C50" s="3" t="n">
        <v>92224.0</v>
      </c>
      <c r="D50" s="3" t="n">
        <v>97011.0</v>
      </c>
      <c r="E50" s="3" t="n">
        <v>100375.0</v>
      </c>
      <c r="F50" s="3" t="n">
        <v>97718.0</v>
      </c>
      <c r="G50" s="3" t="n">
        <v>95830.0</v>
      </c>
      <c r="H50" s="3" t="n">
        <v>91949.0</v>
      </c>
      <c r="I50" s="3" t="n">
        <v>88011.0</v>
      </c>
      <c r="J50" s="3" t="n">
        <v>87860.0</v>
      </c>
      <c r="K50" s="3" t="n">
        <v>85461.0</v>
      </c>
      <c r="L50" s="3" t="n">
        <v>85679.0</v>
      </c>
      <c r="M50" s="3" t="n">
        <v>84253.0</v>
      </c>
      <c r="N50" s="3" t="n">
        <v>80614.0</v>
      </c>
      <c r="O50" s="3" t="n">
        <v>77852.0</v>
      </c>
      <c r="P50" s="3" t="n">
        <v>74760.0</v>
      </c>
      <c r="Q50" s="3" t="n">
        <v>70379.0</v>
      </c>
      <c r="R50" s="3" t="n">
        <v>67845.0</v>
      </c>
      <c r="S50" s="3" t="n">
        <v>64318.0</v>
      </c>
      <c r="T50" s="3" t="n">
        <v>61513.0</v>
      </c>
      <c r="U50" s="3" t="n">
        <v>59547.0</v>
      </c>
      <c r="V50" s="3" t="n">
        <v>59176.0</v>
      </c>
      <c r="W50" s="3" t="n">
        <v>57267.0</v>
      </c>
      <c r="X50" s="3" t="n">
        <v>55609.0</v>
      </c>
      <c r="Y50" s="3" t="n">
        <v>55408.0</v>
      </c>
      <c r="Z50" s="3" t="n">
        <v>57164.0</v>
      </c>
      <c r="AA50" s="3" t="n">
        <v>59070.0</v>
      </c>
      <c r="AB50" s="3" t="n">
        <v>62265.0</v>
      </c>
      <c r="AC50" s="3" t="n">
        <v>65278.0</v>
      </c>
      <c r="AD50" s="3" t="n">
        <v>69660.0</v>
      </c>
      <c r="AE50" s="3" t="n">
        <v>71167.0</v>
      </c>
      <c r="AF50" s="3" t="n">
        <v>71838.0</v>
      </c>
      <c r="AG50" s="3" t="n">
        <v>67902.0</v>
      </c>
      <c r="AH50" s="3" t="n">
        <v>68222.0</v>
      </c>
      <c r="AI50" s="3" t="n">
        <v>65839.0</v>
      </c>
      <c r="AJ50" s="3" t="n">
        <v>67189.0</v>
      </c>
      <c r="AK50" s="3" t="n">
        <v>67619.0</v>
      </c>
      <c r="AL50" s="3" t="n">
        <v>68821.0</v>
      </c>
      <c r="AM50" s="3" t="n">
        <v>71202.0</v>
      </c>
      <c r="AN50" s="3" t="n">
        <v>68762.0</v>
      </c>
      <c r="AO50" s="3" t="n">
        <v>66624.0</v>
      </c>
    </row>
    <row r="51" spans="1:41" x14ac:dyDescent="0.2">
      <c r="A51" s="125"/>
      <c r="B51" s="9">
        <v>42</v>
      </c>
      <c r="C51" s="3" t="n">
        <v>94874.0</v>
      </c>
      <c r="D51" s="3" t="n">
        <v>92237.0</v>
      </c>
      <c r="E51" s="3" t="n">
        <v>97036.0</v>
      </c>
      <c r="F51" s="3" t="n">
        <v>100399.0</v>
      </c>
      <c r="G51" s="3" t="n">
        <v>97742.0</v>
      </c>
      <c r="H51" s="3" t="n">
        <v>96149.0</v>
      </c>
      <c r="I51" s="3" t="n">
        <v>92357.0</v>
      </c>
      <c r="J51" s="3" t="n">
        <v>88223.0</v>
      </c>
      <c r="K51" s="3" t="n">
        <v>87964.0</v>
      </c>
      <c r="L51" s="3" t="n">
        <v>85522.0</v>
      </c>
      <c r="M51" s="3" t="n">
        <v>85719.0</v>
      </c>
      <c r="N51" s="3" t="n">
        <v>84273.0</v>
      </c>
      <c r="O51" s="3" t="n">
        <v>80629.0</v>
      </c>
      <c r="P51" s="3" t="n">
        <v>77863.0</v>
      </c>
      <c r="Q51" s="3" t="n">
        <v>74773.0</v>
      </c>
      <c r="R51" s="3" t="n">
        <v>70396.0</v>
      </c>
      <c r="S51" s="3" t="n">
        <v>67867.0</v>
      </c>
      <c r="T51" s="3" t="n">
        <v>64358.0</v>
      </c>
      <c r="U51" s="3" t="n">
        <v>61564.0</v>
      </c>
      <c r="V51" s="3" t="n">
        <v>59605.0</v>
      </c>
      <c r="W51" s="3" t="n">
        <v>59239.0</v>
      </c>
      <c r="X51" s="3" t="n">
        <v>57323.0</v>
      </c>
      <c r="Y51" s="3" t="n">
        <v>55671.0</v>
      </c>
      <c r="Z51" s="3" t="n">
        <v>55463.0</v>
      </c>
      <c r="AA51" s="3" t="n">
        <v>57210.0</v>
      </c>
      <c r="AB51" s="3" t="n">
        <v>59111.0</v>
      </c>
      <c r="AC51" s="3" t="n">
        <v>62300.0</v>
      </c>
      <c r="AD51" s="3" t="n">
        <v>65304.0</v>
      </c>
      <c r="AE51" s="3" t="n">
        <v>69683.0</v>
      </c>
      <c r="AF51" s="3" t="n">
        <v>71190.0</v>
      </c>
      <c r="AG51" s="3" t="n">
        <v>71850.0</v>
      </c>
      <c r="AH51" s="3" t="n">
        <v>67921.0</v>
      </c>
      <c r="AI51" s="3" t="n">
        <v>68243.0</v>
      </c>
      <c r="AJ51" s="3" t="n">
        <v>65861.0</v>
      </c>
      <c r="AK51" s="3" t="n">
        <v>67198.0</v>
      </c>
      <c r="AL51" s="3" t="n">
        <v>67627.0</v>
      </c>
      <c r="AM51" s="3" t="n">
        <v>68834.0</v>
      </c>
      <c r="AN51" s="3" t="n">
        <v>71212.0</v>
      </c>
      <c r="AO51" s="3" t="n">
        <v>68773.0</v>
      </c>
    </row>
    <row r="52" spans="1:41" x14ac:dyDescent="0.2">
      <c r="A52" s="125"/>
      <c r="B52" s="9">
        <v>43</v>
      </c>
      <c r="C52" s="3" t="n">
        <v>94682.0</v>
      </c>
      <c r="D52" s="3" t="n">
        <v>94841.0</v>
      </c>
      <c r="E52" s="3" t="n">
        <v>92224.0</v>
      </c>
      <c r="F52" s="3" t="n">
        <v>97031.0</v>
      </c>
      <c r="G52" s="3" t="n">
        <v>100399.0</v>
      </c>
      <c r="H52" s="3" t="n">
        <v>98022.0</v>
      </c>
      <c r="I52" s="3" t="n">
        <v>96519.0</v>
      </c>
      <c r="J52" s="3" t="n">
        <v>92515.0</v>
      </c>
      <c r="K52" s="3" t="n">
        <v>88268.0</v>
      </c>
      <c r="L52" s="3" t="n">
        <v>87982.0</v>
      </c>
      <c r="M52" s="3" t="n">
        <v>85523.0</v>
      </c>
      <c r="N52" s="3" t="n">
        <v>85695.0</v>
      </c>
      <c r="O52" s="3" t="n">
        <v>84245.0</v>
      </c>
      <c r="P52" s="3" t="n">
        <v>80606.0</v>
      </c>
      <c r="Q52" s="3" t="n">
        <v>77840.0</v>
      </c>
      <c r="R52" s="3" t="n">
        <v>74759.0</v>
      </c>
      <c r="S52" s="3" t="n">
        <v>70404.0</v>
      </c>
      <c r="T52" s="3" t="n">
        <v>67872.0</v>
      </c>
      <c r="U52" s="3" t="n">
        <v>64370.0</v>
      </c>
      <c r="V52" s="3" t="n">
        <v>61578.0</v>
      </c>
      <c r="W52" s="3" t="n">
        <v>59623.0</v>
      </c>
      <c r="X52" s="3" t="n">
        <v>59264.0</v>
      </c>
      <c r="Y52" s="3" t="n">
        <v>57350.0</v>
      </c>
      <c r="Z52" s="3" t="n">
        <v>55695.0</v>
      </c>
      <c r="AA52" s="3" t="n">
        <v>55480.0</v>
      </c>
      <c r="AB52" s="3" t="n">
        <v>57228.0</v>
      </c>
      <c r="AC52" s="3" t="n">
        <v>59121.0</v>
      </c>
      <c r="AD52" s="3" t="n">
        <v>62307.0</v>
      </c>
      <c r="AE52" s="3" t="n">
        <v>65312.0</v>
      </c>
      <c r="AF52" s="3" t="n">
        <v>69685.0</v>
      </c>
      <c r="AG52" s="3" t="n">
        <v>71187.0</v>
      </c>
      <c r="AH52" s="3" t="n">
        <v>71831.0</v>
      </c>
      <c r="AI52" s="3" t="n">
        <v>67912.0</v>
      </c>
      <c r="AJ52" s="3" t="n">
        <v>68232.0</v>
      </c>
      <c r="AK52" s="3" t="n">
        <v>65853.0</v>
      </c>
      <c r="AL52" s="3" t="n">
        <v>67188.0</v>
      </c>
      <c r="AM52" s="3" t="n">
        <v>67611.0</v>
      </c>
      <c r="AN52" s="3" t="n">
        <v>68821.0</v>
      </c>
      <c r="AO52" s="3" t="n">
        <v>71198.0</v>
      </c>
    </row>
    <row r="53" spans="1:41" x14ac:dyDescent="0.2">
      <c r="A53" s="125"/>
      <c r="B53" s="9">
        <v>44</v>
      </c>
      <c r="C53" s="3" t="n">
        <v>91968.0</v>
      </c>
      <c r="D53" s="3" t="n">
        <v>94584.0</v>
      </c>
      <c r="E53" s="3" t="n">
        <v>94762.0</v>
      </c>
      <c r="F53" s="3" t="n">
        <v>92161.0</v>
      </c>
      <c r="G53" s="3" t="n">
        <v>96974.0</v>
      </c>
      <c r="H53" s="3" t="n">
        <v>100606.0</v>
      </c>
      <c r="I53" s="3" t="n">
        <v>98346.0</v>
      </c>
      <c r="J53" s="3" t="n">
        <v>96626.0</v>
      </c>
      <c r="K53" s="3" t="n">
        <v>92526.0</v>
      </c>
      <c r="L53" s="3" t="n">
        <v>88246.0</v>
      </c>
      <c r="M53" s="3" t="n">
        <v>87939.0</v>
      </c>
      <c r="N53" s="3" t="n">
        <v>85466.0</v>
      </c>
      <c r="O53" s="3" t="n">
        <v>85630.0</v>
      </c>
      <c r="P53" s="3" t="n">
        <v>84171.0</v>
      </c>
      <c r="Q53" s="3" t="n">
        <v>80538.0</v>
      </c>
      <c r="R53" s="3" t="n">
        <v>77777.0</v>
      </c>
      <c r="S53" s="3" t="n">
        <v>74703.0</v>
      </c>
      <c r="T53" s="3" t="n">
        <v>70357.0</v>
      </c>
      <c r="U53" s="3" t="n">
        <v>67831.0</v>
      </c>
      <c r="V53" s="3" t="n">
        <v>64339.0</v>
      </c>
      <c r="W53" s="3" t="n">
        <v>61545.0</v>
      </c>
      <c r="X53" s="3" t="n">
        <v>59595.0</v>
      </c>
      <c r="Y53" s="3" t="n">
        <v>59239.0</v>
      </c>
      <c r="Z53" s="3" t="n">
        <v>57327.0</v>
      </c>
      <c r="AA53" s="3" t="n">
        <v>55676.0</v>
      </c>
      <c r="AB53" s="3" t="n">
        <v>55454.0</v>
      </c>
      <c r="AC53" s="3" t="n">
        <v>57198.0</v>
      </c>
      <c r="AD53" s="3" t="n">
        <v>59095.0</v>
      </c>
      <c r="AE53" s="3" t="n">
        <v>62263.0</v>
      </c>
      <c r="AF53" s="3" t="n">
        <v>65269.0</v>
      </c>
      <c r="AG53" s="3" t="n">
        <v>69641.0</v>
      </c>
      <c r="AH53" s="3" t="n">
        <v>71133.0</v>
      </c>
      <c r="AI53" s="3" t="n">
        <v>71771.0</v>
      </c>
      <c r="AJ53" s="3" t="n">
        <v>67858.0</v>
      </c>
      <c r="AK53" s="3" t="n">
        <v>68179.0</v>
      </c>
      <c r="AL53" s="3" t="n">
        <v>65806.0</v>
      </c>
      <c r="AM53" s="3" t="n">
        <v>67134.0</v>
      </c>
      <c r="AN53" s="3" t="n">
        <v>67552.0</v>
      </c>
      <c r="AO53" s="3" t="n">
        <v>68766.0</v>
      </c>
    </row>
    <row r="54" spans="1:41" x14ac:dyDescent="0.2">
      <c r="A54" s="125"/>
      <c r="B54" s="9">
        <v>45</v>
      </c>
      <c r="C54" s="3" t="n">
        <v>90960.0</v>
      </c>
      <c r="D54" s="3" t="n">
        <v>91837.0</v>
      </c>
      <c r="E54" s="3" t="n">
        <v>94457.0</v>
      </c>
      <c r="F54" s="3" t="n">
        <v>94647.0</v>
      </c>
      <c r="G54" s="3" t="n">
        <v>92078.0</v>
      </c>
      <c r="H54" s="3" t="n">
        <v>97129.0</v>
      </c>
      <c r="I54" s="3" t="n">
        <v>100852.0</v>
      </c>
      <c r="J54" s="3" t="n">
        <v>98410.0</v>
      </c>
      <c r="K54" s="3" t="n">
        <v>96588.0</v>
      </c>
      <c r="L54" s="3" t="n">
        <v>92452.0</v>
      </c>
      <c r="M54" s="3" t="n">
        <v>88165.0</v>
      </c>
      <c r="N54" s="3" t="n">
        <v>87842.0</v>
      </c>
      <c r="O54" s="3" t="n">
        <v>85377.0</v>
      </c>
      <c r="P54" s="3" t="n">
        <v>85535.0</v>
      </c>
      <c r="Q54" s="3" t="n">
        <v>84074.0</v>
      </c>
      <c r="R54" s="3" t="n">
        <v>80440.0</v>
      </c>
      <c r="S54" s="3" t="n">
        <v>77688.0</v>
      </c>
      <c r="T54" s="3" t="n">
        <v>74620.0</v>
      </c>
      <c r="U54" s="3" t="n">
        <v>70294.0</v>
      </c>
      <c r="V54" s="3" t="n">
        <v>67784.0</v>
      </c>
      <c r="W54" s="3" t="n">
        <v>64303.0</v>
      </c>
      <c r="X54" s="3" t="n">
        <v>61515.0</v>
      </c>
      <c r="Y54" s="3" t="n">
        <v>59562.0</v>
      </c>
      <c r="Z54" s="3" t="n">
        <v>59210.0</v>
      </c>
      <c r="AA54" s="3" t="n">
        <v>57294.0</v>
      </c>
      <c r="AB54" s="3" t="n">
        <v>55650.0</v>
      </c>
      <c r="AC54" s="3" t="n">
        <v>55421.0</v>
      </c>
      <c r="AD54" s="3" t="n">
        <v>57162.0</v>
      </c>
      <c r="AE54" s="3" t="n">
        <v>59057.0</v>
      </c>
      <c r="AF54" s="3" t="n">
        <v>62217.0</v>
      </c>
      <c r="AG54" s="3" t="n">
        <v>65221.0</v>
      </c>
      <c r="AH54" s="3" t="n">
        <v>69587.0</v>
      </c>
      <c r="AI54" s="3" t="n">
        <v>71074.0</v>
      </c>
      <c r="AJ54" s="3" t="n">
        <v>71713.0</v>
      </c>
      <c r="AK54" s="3" t="n">
        <v>67814.0</v>
      </c>
      <c r="AL54" s="3" t="n">
        <v>68123.0</v>
      </c>
      <c r="AM54" s="3" t="n">
        <v>65755.0</v>
      </c>
      <c r="AN54" s="3" t="n">
        <v>67076.0</v>
      </c>
      <c r="AO54" s="3" t="n">
        <v>67494.0</v>
      </c>
    </row>
    <row r="55" spans="1:41" x14ac:dyDescent="0.2">
      <c r="A55" s="125"/>
      <c r="B55" s="9">
        <v>46</v>
      </c>
      <c r="C55" s="3" t="n">
        <v>91034.0</v>
      </c>
      <c r="D55" s="3" t="n">
        <v>90812.0</v>
      </c>
      <c r="E55" s="3" t="n">
        <v>91692.0</v>
      </c>
      <c r="F55" s="3" t="n">
        <v>94310.0</v>
      </c>
      <c r="G55" s="3" t="n">
        <v>94520.0</v>
      </c>
      <c r="H55" s="3" t="n">
        <v>92158.0</v>
      </c>
      <c r="I55" s="3" t="n">
        <v>97272.0</v>
      </c>
      <c r="J55" s="3" t="n">
        <v>100851.0</v>
      </c>
      <c r="K55" s="3" t="n">
        <v>98323.0</v>
      </c>
      <c r="L55" s="3" t="n">
        <v>96491.0</v>
      </c>
      <c r="M55" s="3" t="n">
        <v>92327.0</v>
      </c>
      <c r="N55" s="3" t="n">
        <v>88035.0</v>
      </c>
      <c r="O55" s="3" t="n">
        <v>87724.0</v>
      </c>
      <c r="P55" s="3" t="n">
        <v>85261.0</v>
      </c>
      <c r="Q55" s="3" t="n">
        <v>85419.0</v>
      </c>
      <c r="R55" s="3" t="n">
        <v>83965.0</v>
      </c>
      <c r="S55" s="3" t="n">
        <v>80334.0</v>
      </c>
      <c r="T55" s="3" t="n">
        <v>77589.0</v>
      </c>
      <c r="U55" s="3" t="n">
        <v>74520.0</v>
      </c>
      <c r="V55" s="3" t="n">
        <v>70209.0</v>
      </c>
      <c r="W55" s="3" t="n">
        <v>67712.0</v>
      </c>
      <c r="X55" s="3" t="n">
        <v>64241.0</v>
      </c>
      <c r="Y55" s="3" t="n">
        <v>61464.0</v>
      </c>
      <c r="Z55" s="3" t="n">
        <v>59520.0</v>
      </c>
      <c r="AA55" s="3" t="n">
        <v>59164.0</v>
      </c>
      <c r="AB55" s="3" t="n">
        <v>57248.0</v>
      </c>
      <c r="AC55" s="3" t="n">
        <v>55612.0</v>
      </c>
      <c r="AD55" s="3" t="n">
        <v>55379.0</v>
      </c>
      <c r="AE55" s="3" t="n">
        <v>57115.0</v>
      </c>
      <c r="AF55" s="3" t="n">
        <v>59008.0</v>
      </c>
      <c r="AG55" s="3" t="n">
        <v>62159.0</v>
      </c>
      <c r="AH55" s="3" t="n">
        <v>65154.0</v>
      </c>
      <c r="AI55" s="3" t="n">
        <v>69513.0</v>
      </c>
      <c r="AJ55" s="3" t="n">
        <v>70992.0</v>
      </c>
      <c r="AK55" s="3" t="n">
        <v>71629.0</v>
      </c>
      <c r="AL55" s="3" t="n">
        <v>67741.0</v>
      </c>
      <c r="AM55" s="3" t="n">
        <v>68048.0</v>
      </c>
      <c r="AN55" s="3" t="n">
        <v>65684.0</v>
      </c>
      <c r="AO55" s="3" t="n">
        <v>66998.0</v>
      </c>
    </row>
    <row r="56" spans="1:41" x14ac:dyDescent="0.2">
      <c r="A56" s="125"/>
      <c r="B56" s="9">
        <v>47</v>
      </c>
      <c r="C56" s="3" t="n">
        <v>87187.0</v>
      </c>
      <c r="D56" s="3" t="n">
        <v>90842.0</v>
      </c>
      <c r="E56" s="3" t="n">
        <v>90631.0</v>
      </c>
      <c r="F56" s="3" t="n">
        <v>91512.0</v>
      </c>
      <c r="G56" s="3" t="n">
        <v>94138.0</v>
      </c>
      <c r="H56" s="3" t="n">
        <v>94558.0</v>
      </c>
      <c r="I56" s="3" t="n">
        <v>92292.0</v>
      </c>
      <c r="J56" s="3" t="n">
        <v>97232.0</v>
      </c>
      <c r="K56" s="3" t="n">
        <v>100724.0</v>
      </c>
      <c r="L56" s="3" t="n">
        <v>98177.0</v>
      </c>
      <c r="M56" s="3" t="n">
        <v>96330.0</v>
      </c>
      <c r="N56" s="3" t="n">
        <v>92175.0</v>
      </c>
      <c r="O56" s="3" t="n">
        <v>87882.0</v>
      </c>
      <c r="P56" s="3" t="n">
        <v>87567.0</v>
      </c>
      <c r="Q56" s="3" t="n">
        <v>85116.0</v>
      </c>
      <c r="R56" s="3" t="n">
        <v>85272.0</v>
      </c>
      <c r="S56" s="3" t="n">
        <v>83813.0</v>
      </c>
      <c r="T56" s="3" t="n">
        <v>80185.0</v>
      </c>
      <c r="U56" s="3" t="n">
        <v>77452.0</v>
      </c>
      <c r="V56" s="3" t="n">
        <v>74389.0</v>
      </c>
      <c r="W56" s="3" t="n">
        <v>70086.0</v>
      </c>
      <c r="X56" s="3" t="n">
        <v>67602.0</v>
      </c>
      <c r="Y56" s="3" t="n">
        <v>64145.0</v>
      </c>
      <c r="Z56" s="3" t="n">
        <v>61371.0</v>
      </c>
      <c r="AA56" s="3" t="n">
        <v>59440.0</v>
      </c>
      <c r="AB56" s="3" t="n">
        <v>59083.0</v>
      </c>
      <c r="AC56" s="3" t="n">
        <v>57172.0</v>
      </c>
      <c r="AD56" s="3" t="n">
        <v>55539.0</v>
      </c>
      <c r="AE56" s="3" t="n">
        <v>55309.0</v>
      </c>
      <c r="AF56" s="3" t="n">
        <v>57036.0</v>
      </c>
      <c r="AG56" s="3" t="n">
        <v>58916.0</v>
      </c>
      <c r="AH56" s="3" t="n">
        <v>62065.0</v>
      </c>
      <c r="AI56" s="3" t="n">
        <v>65046.0</v>
      </c>
      <c r="AJ56" s="3" t="n">
        <v>69409.0</v>
      </c>
      <c r="AK56" s="3" t="n">
        <v>70879.0</v>
      </c>
      <c r="AL56" s="3" t="n">
        <v>71508.0</v>
      </c>
      <c r="AM56" s="3" t="n">
        <v>67632.0</v>
      </c>
      <c r="AN56" s="3" t="n">
        <v>67932.0</v>
      </c>
      <c r="AO56" s="3" t="n">
        <v>65575.0</v>
      </c>
    </row>
    <row r="57" spans="1:41" x14ac:dyDescent="0.2">
      <c r="A57" s="125"/>
      <c r="B57" s="9">
        <v>48</v>
      </c>
      <c r="C57" s="3" t="n">
        <v>82702.0</v>
      </c>
      <c r="D57" s="3" t="n">
        <v>86951.0</v>
      </c>
      <c r="E57" s="3" t="n">
        <v>90594.0</v>
      </c>
      <c r="F57" s="3" t="n">
        <v>90394.0</v>
      </c>
      <c r="G57" s="3" t="n">
        <v>91272.0</v>
      </c>
      <c r="H57" s="3" t="n">
        <v>94105.0</v>
      </c>
      <c r="I57" s="3" t="n">
        <v>94610.0</v>
      </c>
      <c r="J57" s="3" t="n">
        <v>92205.0</v>
      </c>
      <c r="K57" s="3" t="n">
        <v>97052.0</v>
      </c>
      <c r="L57" s="3" t="n">
        <v>100506.0</v>
      </c>
      <c r="M57" s="3" t="n">
        <v>97943.0</v>
      </c>
      <c r="N57" s="3" t="n">
        <v>96096.0</v>
      </c>
      <c r="O57" s="3" t="n">
        <v>91948.0</v>
      </c>
      <c r="P57" s="3" t="n">
        <v>87673.0</v>
      </c>
      <c r="Q57" s="3" t="n">
        <v>87357.0</v>
      </c>
      <c r="R57" s="3" t="n">
        <v>84919.0</v>
      </c>
      <c r="S57" s="3" t="n">
        <v>85068.0</v>
      </c>
      <c r="T57" s="3" t="n">
        <v>83613.0</v>
      </c>
      <c r="U57" s="3" t="n">
        <v>79988.0</v>
      </c>
      <c r="V57" s="3" t="n">
        <v>77268.0</v>
      </c>
      <c r="W57" s="3" t="n">
        <v>74222.0</v>
      </c>
      <c r="X57" s="3" t="n">
        <v>69932.0</v>
      </c>
      <c r="Y57" s="3" t="n">
        <v>67456.0</v>
      </c>
      <c r="Z57" s="3" t="n">
        <v>64014.0</v>
      </c>
      <c r="AA57" s="3" t="n">
        <v>61257.0</v>
      </c>
      <c r="AB57" s="3" t="n">
        <v>59339.0</v>
      </c>
      <c r="AC57" s="3" t="n">
        <v>58976.0</v>
      </c>
      <c r="AD57" s="3" t="n">
        <v>57078.0</v>
      </c>
      <c r="AE57" s="3" t="n">
        <v>55450.0</v>
      </c>
      <c r="AF57" s="3" t="n">
        <v>55220.0</v>
      </c>
      <c r="AG57" s="3" t="n">
        <v>56951.0</v>
      </c>
      <c r="AH57" s="3" t="n">
        <v>58817.0</v>
      </c>
      <c r="AI57" s="3" t="n">
        <v>61944.0</v>
      </c>
      <c r="AJ57" s="3" t="n">
        <v>64908.0</v>
      </c>
      <c r="AK57" s="3" t="n">
        <v>69265.0</v>
      </c>
      <c r="AL57" s="3" t="n">
        <v>70728.0</v>
      </c>
      <c r="AM57" s="3" t="n">
        <v>71351.0</v>
      </c>
      <c r="AN57" s="3" t="n">
        <v>67490.0</v>
      </c>
      <c r="AO57" s="3" t="n">
        <v>67791.0</v>
      </c>
    </row>
    <row r="58" spans="1:41" x14ac:dyDescent="0.2">
      <c r="A58" s="125"/>
      <c r="B58" s="9">
        <v>49</v>
      </c>
      <c r="C58" s="3" t="n">
        <v>78492.0</v>
      </c>
      <c r="D58" s="3" t="n">
        <v>82426.0</v>
      </c>
      <c r="E58" s="3" t="n">
        <v>86661.0</v>
      </c>
      <c r="F58" s="3" t="n">
        <v>90296.0</v>
      </c>
      <c r="G58" s="3" t="n">
        <v>90109.0</v>
      </c>
      <c r="H58" s="3" t="n">
        <v>91197.0</v>
      </c>
      <c r="I58" s="3" t="n">
        <v>94103.0</v>
      </c>
      <c r="J58" s="3" t="n">
        <v>94457.0</v>
      </c>
      <c r="K58" s="3" t="n">
        <v>91990.0</v>
      </c>
      <c r="L58" s="3" t="n">
        <v>96788.0</v>
      </c>
      <c r="M58" s="3" t="n">
        <v>100222.0</v>
      </c>
      <c r="N58" s="3" t="n">
        <v>97656.0</v>
      </c>
      <c r="O58" s="3" t="n">
        <v>95808.0</v>
      </c>
      <c r="P58" s="3" t="n">
        <v>91668.0</v>
      </c>
      <c r="Q58" s="3" t="n">
        <v>87408.0</v>
      </c>
      <c r="R58" s="3" t="n">
        <v>87097.0</v>
      </c>
      <c r="S58" s="3" t="n">
        <v>84675.0</v>
      </c>
      <c r="T58" s="3" t="n">
        <v>84821.0</v>
      </c>
      <c r="U58" s="3" t="n">
        <v>83375.0</v>
      </c>
      <c r="V58" s="3" t="n">
        <v>79749.0</v>
      </c>
      <c r="W58" s="3" t="n">
        <v>77048.0</v>
      </c>
      <c r="X58" s="3" t="n">
        <v>74015.0</v>
      </c>
      <c r="Y58" s="3" t="n">
        <v>69739.0</v>
      </c>
      <c r="Z58" s="3" t="n">
        <v>67280.0</v>
      </c>
      <c r="AA58" s="3" t="n">
        <v>63852.0</v>
      </c>
      <c r="AB58" s="3" t="n">
        <v>61111.0</v>
      </c>
      <c r="AC58" s="3" t="n">
        <v>59204.0</v>
      </c>
      <c r="AD58" s="3" t="n">
        <v>58843.0</v>
      </c>
      <c r="AE58" s="3" t="n">
        <v>56952.0</v>
      </c>
      <c r="AF58" s="3" t="n">
        <v>55332.0</v>
      </c>
      <c r="AG58" s="3" t="n">
        <v>55097.0</v>
      </c>
      <c r="AH58" s="3" t="n">
        <v>56818.0</v>
      </c>
      <c r="AI58" s="3" t="n">
        <v>58681.0</v>
      </c>
      <c r="AJ58" s="3" t="n">
        <v>61794.0</v>
      </c>
      <c r="AK58" s="3" t="n">
        <v>64751.0</v>
      </c>
      <c r="AL58" s="3" t="n">
        <v>69100.0</v>
      </c>
      <c r="AM58" s="3" t="n">
        <v>70548.0</v>
      </c>
      <c r="AN58" s="3" t="n">
        <v>71167.0</v>
      </c>
      <c r="AO58" s="3" t="n">
        <v>67328.0</v>
      </c>
    </row>
    <row r="59" spans="1:41" x14ac:dyDescent="0.2">
      <c r="A59" s="125"/>
      <c r="B59" s="9">
        <v>50</v>
      </c>
      <c r="C59" s="3" t="n">
        <v>73920.0</v>
      </c>
      <c r="D59" s="3" t="n">
        <v>78190.0</v>
      </c>
      <c r="E59" s="3" t="n">
        <v>82108.0</v>
      </c>
      <c r="F59" s="3" t="n">
        <v>86326.0</v>
      </c>
      <c r="G59" s="3" t="n">
        <v>89956.0</v>
      </c>
      <c r="H59" s="3" t="n">
        <v>89956.0</v>
      </c>
      <c r="I59" s="3" t="n">
        <v>91119.0</v>
      </c>
      <c r="J59" s="3" t="n">
        <v>93882.0</v>
      </c>
      <c r="K59" s="3" t="n">
        <v>94172.0</v>
      </c>
      <c r="L59" s="3" t="n">
        <v>91693.0</v>
      </c>
      <c r="M59" s="3" t="n">
        <v>96469.0</v>
      </c>
      <c r="N59" s="3" t="n">
        <v>99883.0</v>
      </c>
      <c r="O59" s="3" t="n">
        <v>97314.0</v>
      </c>
      <c r="P59" s="3" t="n">
        <v>95475.0</v>
      </c>
      <c r="Q59" s="3" t="n">
        <v>91343.0</v>
      </c>
      <c r="R59" s="3" t="n">
        <v>87105.0</v>
      </c>
      <c r="S59" s="3" t="n">
        <v>86794.0</v>
      </c>
      <c r="T59" s="3" t="n">
        <v>84385.0</v>
      </c>
      <c r="U59" s="3" t="n">
        <v>84535.0</v>
      </c>
      <c r="V59" s="3" t="n">
        <v>83102.0</v>
      </c>
      <c r="W59" s="3" t="n">
        <v>79481.0</v>
      </c>
      <c r="X59" s="3" t="n">
        <v>76801.0</v>
      </c>
      <c r="Y59" s="3" t="n">
        <v>73786.0</v>
      </c>
      <c r="Z59" s="3" t="n">
        <v>69522.0</v>
      </c>
      <c r="AA59" s="3" t="n">
        <v>67083.0</v>
      </c>
      <c r="AB59" s="3" t="n">
        <v>63674.0</v>
      </c>
      <c r="AC59" s="3" t="n">
        <v>60937.0</v>
      </c>
      <c r="AD59" s="3" t="n">
        <v>59045.0</v>
      </c>
      <c r="AE59" s="3" t="n">
        <v>58692.0</v>
      </c>
      <c r="AF59" s="3" t="n">
        <v>56808.0</v>
      </c>
      <c r="AG59" s="3" t="n">
        <v>55187.0</v>
      </c>
      <c r="AH59" s="3" t="n">
        <v>54949.0</v>
      </c>
      <c r="AI59" s="3" t="n">
        <v>56661.0</v>
      </c>
      <c r="AJ59" s="3" t="n">
        <v>58520.0</v>
      </c>
      <c r="AK59" s="3" t="n">
        <v>61622.0</v>
      </c>
      <c r="AL59" s="3" t="n">
        <v>64568.0</v>
      </c>
      <c r="AM59" s="3" t="n">
        <v>68917.0</v>
      </c>
      <c r="AN59" s="3" t="n">
        <v>70361.0</v>
      </c>
      <c r="AO59" s="3" t="n">
        <v>70970.0</v>
      </c>
    </row>
    <row r="60" spans="1:41" x14ac:dyDescent="0.2">
      <c r="A60" s="125"/>
      <c r="B60" s="9">
        <v>51</v>
      </c>
      <c r="C60" s="3" t="n">
        <v>69493.0</v>
      </c>
      <c r="D60" s="3" t="n">
        <v>73607.0</v>
      </c>
      <c r="E60" s="3" t="n">
        <v>77864.0</v>
      </c>
      <c r="F60" s="3" t="n">
        <v>81768.0</v>
      </c>
      <c r="G60" s="3" t="n">
        <v>85969.0</v>
      </c>
      <c r="H60" s="3" t="n">
        <v>89746.0</v>
      </c>
      <c r="I60" s="3" t="n">
        <v>89809.0</v>
      </c>
      <c r="J60" s="3" t="n">
        <v>90843.0</v>
      </c>
      <c r="K60" s="3" t="n">
        <v>93552.0</v>
      </c>
      <c r="L60" s="3" t="n">
        <v>93820.0</v>
      </c>
      <c r="M60" s="3" t="n">
        <v>91344.0</v>
      </c>
      <c r="N60" s="3" t="n">
        <v>96098.0</v>
      </c>
      <c r="O60" s="3" t="n">
        <v>99493.0</v>
      </c>
      <c r="P60" s="3" t="n">
        <v>96937.0</v>
      </c>
      <c r="Q60" s="3" t="n">
        <v>95105.0</v>
      </c>
      <c r="R60" s="3" t="n">
        <v>90994.0</v>
      </c>
      <c r="S60" s="3" t="n">
        <v>86777.0</v>
      </c>
      <c r="T60" s="3" t="n">
        <v>86462.0</v>
      </c>
      <c r="U60" s="3" t="n">
        <v>84061.0</v>
      </c>
      <c r="V60" s="3" t="n">
        <v>84219.0</v>
      </c>
      <c r="W60" s="3" t="n">
        <v>82791.0</v>
      </c>
      <c r="X60" s="3" t="n">
        <v>79181.0</v>
      </c>
      <c r="Y60" s="3" t="n">
        <v>76524.0</v>
      </c>
      <c r="Z60" s="3" t="n">
        <v>73522.0</v>
      </c>
      <c r="AA60" s="3" t="n">
        <v>69274.0</v>
      </c>
      <c r="AB60" s="3" t="n">
        <v>66848.0</v>
      </c>
      <c r="AC60" s="3" t="n">
        <v>63461.0</v>
      </c>
      <c r="AD60" s="3" t="n">
        <v>60734.0</v>
      </c>
      <c r="AE60" s="3" t="n">
        <v>58851.0</v>
      </c>
      <c r="AF60" s="3" t="n">
        <v>58505.0</v>
      </c>
      <c r="AG60" s="3" t="n">
        <v>56626.0</v>
      </c>
      <c r="AH60" s="3" t="n">
        <v>55016.0</v>
      </c>
      <c r="AI60" s="3" t="n">
        <v>54775.0</v>
      </c>
      <c r="AJ60" s="3" t="n">
        <v>56479.0</v>
      </c>
      <c r="AK60" s="3" t="n">
        <v>58328.0</v>
      </c>
      <c r="AL60" s="3" t="n">
        <v>61420.0</v>
      </c>
      <c r="AM60" s="3" t="n">
        <v>64354.0</v>
      </c>
      <c r="AN60" s="3" t="n">
        <v>68681.0</v>
      </c>
      <c r="AO60" s="3" t="n">
        <v>70122.0</v>
      </c>
    </row>
    <row r="61" spans="1:41" x14ac:dyDescent="0.2">
      <c r="A61" s="125"/>
      <c r="B61" s="9">
        <v>52</v>
      </c>
      <c r="C61" s="3" t="n">
        <v>66526.0</v>
      </c>
      <c r="D61" s="3" t="n">
        <v>69172.0</v>
      </c>
      <c r="E61" s="3" t="n">
        <v>73259.0</v>
      </c>
      <c r="F61" s="3" t="n">
        <v>77499.0</v>
      </c>
      <c r="G61" s="3" t="n">
        <v>81378.0</v>
      </c>
      <c r="H61" s="3" t="n">
        <v>85714.0</v>
      </c>
      <c r="I61" s="3" t="n">
        <v>89521.0</v>
      </c>
      <c r="J61" s="3" t="n">
        <v>89480.0</v>
      </c>
      <c r="K61" s="3" t="n">
        <v>90459.0</v>
      </c>
      <c r="L61" s="3" t="n">
        <v>93132.0</v>
      </c>
      <c r="M61" s="3" t="n">
        <v>93400.0</v>
      </c>
      <c r="N61" s="3" t="n">
        <v>90940.0</v>
      </c>
      <c r="O61" s="3" t="n">
        <v>95673.0</v>
      </c>
      <c r="P61" s="3" t="n">
        <v>99051.0</v>
      </c>
      <c r="Q61" s="3" t="n">
        <v>96512.0</v>
      </c>
      <c r="R61" s="3" t="n">
        <v>94690.0</v>
      </c>
      <c r="S61" s="3" t="n">
        <v>90605.0</v>
      </c>
      <c r="T61" s="3" t="n">
        <v>86401.0</v>
      </c>
      <c r="U61" s="3" t="n">
        <v>86087.0</v>
      </c>
      <c r="V61" s="3" t="n">
        <v>83696.0</v>
      </c>
      <c r="W61" s="3" t="n">
        <v>83853.0</v>
      </c>
      <c r="X61" s="3" t="n">
        <v>82439.0</v>
      </c>
      <c r="Y61" s="3" t="n">
        <v>78844.0</v>
      </c>
      <c r="Z61" s="3" t="n">
        <v>76203.0</v>
      </c>
      <c r="AA61" s="3" t="n">
        <v>73213.0</v>
      </c>
      <c r="AB61" s="3" t="n">
        <v>68993.0</v>
      </c>
      <c r="AC61" s="3" t="n">
        <v>66588.0</v>
      </c>
      <c r="AD61" s="3" t="n">
        <v>63223.0</v>
      </c>
      <c r="AE61" s="3" t="n">
        <v>60505.0</v>
      </c>
      <c r="AF61" s="3" t="n">
        <v>58633.0</v>
      </c>
      <c r="AG61" s="3" t="n">
        <v>58290.0</v>
      </c>
      <c r="AH61" s="3" t="n">
        <v>56422.0</v>
      </c>
      <c r="AI61" s="3" t="n">
        <v>54817.0</v>
      </c>
      <c r="AJ61" s="3" t="n">
        <v>54573.0</v>
      </c>
      <c r="AK61" s="3" t="n">
        <v>56268.0</v>
      </c>
      <c r="AL61" s="3" t="n">
        <v>58112.0</v>
      </c>
      <c r="AM61" s="3" t="n">
        <v>61190.0</v>
      </c>
      <c r="AN61" s="3" t="n">
        <v>64121.0</v>
      </c>
      <c r="AO61" s="3" t="n">
        <v>68431.0</v>
      </c>
    </row>
    <row r="62" spans="1:41" x14ac:dyDescent="0.2">
      <c r="A62" s="125"/>
      <c r="B62" s="9">
        <v>53</v>
      </c>
      <c r="C62" s="3" t="n">
        <v>62613.0</v>
      </c>
      <c r="D62" s="3" t="n">
        <v>66169.0</v>
      </c>
      <c r="E62" s="3" t="n">
        <v>68805.0</v>
      </c>
      <c r="F62" s="3" t="n">
        <v>72877.0</v>
      </c>
      <c r="G62" s="3" t="n">
        <v>77100.0</v>
      </c>
      <c r="H62" s="3" t="n">
        <v>81115.0</v>
      </c>
      <c r="I62" s="3" t="n">
        <v>85485.0</v>
      </c>
      <c r="J62" s="3" t="n">
        <v>89155.0</v>
      </c>
      <c r="K62" s="3" t="n">
        <v>89058.0</v>
      </c>
      <c r="L62" s="3" t="n">
        <v>90012.0</v>
      </c>
      <c r="M62" s="3" t="n">
        <v>92667.0</v>
      </c>
      <c r="N62" s="3" t="n">
        <v>92923.0</v>
      </c>
      <c r="O62" s="3" t="n">
        <v>90481.0</v>
      </c>
      <c r="P62" s="3" t="n">
        <v>95188.0</v>
      </c>
      <c r="Q62" s="3" t="n">
        <v>98563.0</v>
      </c>
      <c r="R62" s="3" t="n">
        <v>96033.0</v>
      </c>
      <c r="S62" s="3" t="n">
        <v>94228.0</v>
      </c>
      <c r="T62" s="3" t="n">
        <v>90171.0</v>
      </c>
      <c r="U62" s="3" t="n">
        <v>85986.0</v>
      </c>
      <c r="V62" s="3" t="n">
        <v>85676.0</v>
      </c>
      <c r="W62" s="3" t="n">
        <v>83300.0</v>
      </c>
      <c r="X62" s="3" t="n">
        <v>83460.0</v>
      </c>
      <c r="Y62" s="3" t="n">
        <v>82042.0</v>
      </c>
      <c r="Z62" s="3" t="n">
        <v>78465.0</v>
      </c>
      <c r="AA62" s="3" t="n">
        <v>75840.0</v>
      </c>
      <c r="AB62" s="3" t="n">
        <v>72867.0</v>
      </c>
      <c r="AC62" s="3" t="n">
        <v>68676.0</v>
      </c>
      <c r="AD62" s="3" t="n">
        <v>66290.0</v>
      </c>
      <c r="AE62" s="3" t="n">
        <v>62937.0</v>
      </c>
      <c r="AF62" s="3" t="n">
        <v>60247.0</v>
      </c>
      <c r="AG62" s="3" t="n">
        <v>58382.0</v>
      </c>
      <c r="AH62" s="3" t="n">
        <v>58037.0</v>
      </c>
      <c r="AI62" s="3" t="n">
        <v>56188.0</v>
      </c>
      <c r="AJ62" s="3" t="n">
        <v>54599.0</v>
      </c>
      <c r="AK62" s="3" t="n">
        <v>54349.0</v>
      </c>
      <c r="AL62" s="3" t="n">
        <v>56035.0</v>
      </c>
      <c r="AM62" s="3" t="n">
        <v>57872.0</v>
      </c>
      <c r="AN62" s="3" t="n">
        <v>60942.0</v>
      </c>
      <c r="AO62" s="3" t="n">
        <v>63850.0</v>
      </c>
    </row>
    <row r="63" spans="1:41" x14ac:dyDescent="0.2">
      <c r="A63" s="125"/>
      <c r="B63" s="9">
        <v>54</v>
      </c>
      <c r="C63" s="3" t="n">
        <v>60776.0</v>
      </c>
      <c r="D63" s="3" t="n">
        <v>62236.0</v>
      </c>
      <c r="E63" s="3" t="n">
        <v>65767.0</v>
      </c>
      <c r="F63" s="3" t="n">
        <v>68398.0</v>
      </c>
      <c r="G63" s="3" t="n">
        <v>72438.0</v>
      </c>
      <c r="H63" s="3" t="n">
        <v>76795.0</v>
      </c>
      <c r="I63" s="3" t="n">
        <v>80843.0</v>
      </c>
      <c r="J63" s="3" t="n">
        <v>85081.0</v>
      </c>
      <c r="K63" s="3" t="n">
        <v>88666.0</v>
      </c>
      <c r="L63" s="3" t="n">
        <v>88548.0</v>
      </c>
      <c r="M63" s="3" t="n">
        <v>89490.0</v>
      </c>
      <c r="N63" s="3" t="n">
        <v>92139.0</v>
      </c>
      <c r="O63" s="3" t="n">
        <v>92399.0</v>
      </c>
      <c r="P63" s="3" t="n">
        <v>89973.0</v>
      </c>
      <c r="Q63" s="3" t="n">
        <v>94660.0</v>
      </c>
      <c r="R63" s="3" t="n">
        <v>98020.0</v>
      </c>
      <c r="S63" s="3" t="n">
        <v>95505.0</v>
      </c>
      <c r="T63" s="3" t="n">
        <v>93711.0</v>
      </c>
      <c r="U63" s="3" t="n">
        <v>89675.0</v>
      </c>
      <c r="V63" s="3" t="n">
        <v>85515.0</v>
      </c>
      <c r="W63" s="3" t="n">
        <v>85207.0</v>
      </c>
      <c r="X63" s="3" t="n">
        <v>82848.0</v>
      </c>
      <c r="Y63" s="3" t="n">
        <v>83016.0</v>
      </c>
      <c r="Z63" s="3" t="n">
        <v>81606.0</v>
      </c>
      <c r="AA63" s="3" t="n">
        <v>78057.0</v>
      </c>
      <c r="AB63" s="3" t="n">
        <v>75440.0</v>
      </c>
      <c r="AC63" s="3" t="n">
        <v>72494.0</v>
      </c>
      <c r="AD63" s="3" t="n">
        <v>68330.0</v>
      </c>
      <c r="AE63" s="3" t="n">
        <v>65963.0</v>
      </c>
      <c r="AF63" s="3" t="n">
        <v>62636.0</v>
      </c>
      <c r="AG63" s="3" t="n">
        <v>59959.0</v>
      </c>
      <c r="AH63" s="3" t="n">
        <v>58104.0</v>
      </c>
      <c r="AI63" s="3" t="n">
        <v>57769.0</v>
      </c>
      <c r="AJ63" s="3" t="n">
        <v>55930.0</v>
      </c>
      <c r="AK63" s="3" t="n">
        <v>54345.0</v>
      </c>
      <c r="AL63" s="3" t="n">
        <v>54098.0</v>
      </c>
      <c r="AM63" s="3" t="n">
        <v>55765.0</v>
      </c>
      <c r="AN63" s="3" t="n">
        <v>57594.0</v>
      </c>
      <c r="AO63" s="3" t="n">
        <v>60659.0</v>
      </c>
    </row>
    <row r="64" spans="1:41" x14ac:dyDescent="0.2">
      <c r="A64" s="125"/>
      <c r="B64" s="9">
        <v>55</v>
      </c>
      <c r="C64" s="3" t="n">
        <v>59143.0</v>
      </c>
      <c r="D64" s="3" t="n">
        <v>60374.0</v>
      </c>
      <c r="E64" s="3" t="n">
        <v>61825.0</v>
      </c>
      <c r="F64" s="3" t="n">
        <v>65337.0</v>
      </c>
      <c r="G64" s="3" t="n">
        <v>67954.0</v>
      </c>
      <c r="H64" s="3" t="n">
        <v>72092.0</v>
      </c>
      <c r="I64" s="3" t="n">
        <v>76474.0</v>
      </c>
      <c r="J64" s="3" t="n">
        <v>80403.0</v>
      </c>
      <c r="K64" s="3" t="n">
        <v>84568.0</v>
      </c>
      <c r="L64" s="3" t="n">
        <v>88113.0</v>
      </c>
      <c r="M64" s="3" t="n">
        <v>87988.0</v>
      </c>
      <c r="N64" s="3" t="n">
        <v>88923.0</v>
      </c>
      <c r="O64" s="3" t="n">
        <v>91566.0</v>
      </c>
      <c r="P64" s="3" t="n">
        <v>91830.0</v>
      </c>
      <c r="Q64" s="3" t="n">
        <v>89420.0</v>
      </c>
      <c r="R64" s="3" t="n">
        <v>94089.0</v>
      </c>
      <c r="S64" s="3" t="n">
        <v>97438.0</v>
      </c>
      <c r="T64" s="3" t="n">
        <v>94938.0</v>
      </c>
      <c r="U64" s="3" t="n">
        <v>93147.0</v>
      </c>
      <c r="V64" s="3" t="n">
        <v>89136.0</v>
      </c>
      <c r="W64" s="3" t="n">
        <v>84997.0</v>
      </c>
      <c r="X64" s="3" t="n">
        <v>84697.0</v>
      </c>
      <c r="Y64" s="3" t="n">
        <v>82357.0</v>
      </c>
      <c r="Z64" s="3" t="n">
        <v>82528.0</v>
      </c>
      <c r="AA64" s="3" t="n">
        <v>81119.0</v>
      </c>
      <c r="AB64" s="3" t="n">
        <v>77599.0</v>
      </c>
      <c r="AC64" s="3" t="n">
        <v>75002.0</v>
      </c>
      <c r="AD64" s="3" t="n">
        <v>72075.0</v>
      </c>
      <c r="AE64" s="3" t="n">
        <v>67946.0</v>
      </c>
      <c r="AF64" s="3" t="n">
        <v>65601.0</v>
      </c>
      <c r="AG64" s="3" t="n">
        <v>62299.0</v>
      </c>
      <c r="AH64" s="3" t="n">
        <v>59649.0</v>
      </c>
      <c r="AI64" s="3" t="n">
        <v>57808.0</v>
      </c>
      <c r="AJ64" s="3" t="n">
        <v>57486.0</v>
      </c>
      <c r="AK64" s="3" t="n">
        <v>55660.0</v>
      </c>
      <c r="AL64" s="3" t="n">
        <v>54080.0</v>
      </c>
      <c r="AM64" s="3" t="n">
        <v>53837.0</v>
      </c>
      <c r="AN64" s="3" t="n">
        <v>55497.0</v>
      </c>
      <c r="AO64" s="3" t="n">
        <v>57309.0</v>
      </c>
    </row>
    <row r="65" spans="1:41" x14ac:dyDescent="0.2">
      <c r="A65" s="125"/>
      <c r="B65" s="9">
        <v>56</v>
      </c>
      <c r="C65" s="3" t="n">
        <v>58294.0</v>
      </c>
      <c r="D65" s="3" t="n">
        <v>58735.0</v>
      </c>
      <c r="E65" s="3" t="n">
        <v>59962.0</v>
      </c>
      <c r="F65" s="3" t="n">
        <v>61408.0</v>
      </c>
      <c r="G65" s="3" t="n">
        <v>64886.0</v>
      </c>
      <c r="H65" s="3" t="n">
        <v>67596.0</v>
      </c>
      <c r="I65" s="3" t="n">
        <v>71748.0</v>
      </c>
      <c r="J65" s="3" t="n">
        <v>76012.0</v>
      </c>
      <c r="K65" s="3" t="n">
        <v>79860.0</v>
      </c>
      <c r="L65" s="3" t="n">
        <v>83986.0</v>
      </c>
      <c r="M65" s="3" t="n">
        <v>87499.0</v>
      </c>
      <c r="N65" s="3" t="n">
        <v>87376.0</v>
      </c>
      <c r="O65" s="3" t="n">
        <v>88313.0</v>
      </c>
      <c r="P65" s="3" t="n">
        <v>90946.0</v>
      </c>
      <c r="Q65" s="3" t="n">
        <v>91218.0</v>
      </c>
      <c r="R65" s="3" t="n">
        <v>88830.0</v>
      </c>
      <c r="S65" s="3" t="n">
        <v>93471.0</v>
      </c>
      <c r="T65" s="3" t="n">
        <v>96804.0</v>
      </c>
      <c r="U65" s="3" t="n">
        <v>94324.0</v>
      </c>
      <c r="V65" s="3" t="n">
        <v>92541.0</v>
      </c>
      <c r="W65" s="3" t="n">
        <v>88557.0</v>
      </c>
      <c r="X65" s="3" t="n">
        <v>84467.0</v>
      </c>
      <c r="Y65" s="3" t="n">
        <v>84173.0</v>
      </c>
      <c r="Z65" s="3" t="n">
        <v>81856.0</v>
      </c>
      <c r="AA65" s="3" t="n">
        <v>82023.0</v>
      </c>
      <c r="AB65" s="3" t="n">
        <v>80625.0</v>
      </c>
      <c r="AC65" s="3" t="n">
        <v>77135.0</v>
      </c>
      <c r="AD65" s="3" t="n">
        <v>74560.0</v>
      </c>
      <c r="AE65" s="3" t="n">
        <v>71652.0</v>
      </c>
      <c r="AF65" s="3" t="n">
        <v>67548.0</v>
      </c>
      <c r="AG65" s="3" t="n">
        <v>65225.0</v>
      </c>
      <c r="AH65" s="3" t="n">
        <v>61936.0</v>
      </c>
      <c r="AI65" s="3" t="n">
        <v>59311.0</v>
      </c>
      <c r="AJ65" s="3" t="n">
        <v>57485.0</v>
      </c>
      <c r="AK65" s="3" t="n">
        <v>57174.0</v>
      </c>
      <c r="AL65" s="3" t="n">
        <v>55355.0</v>
      </c>
      <c r="AM65" s="3" t="n">
        <v>53788.0</v>
      </c>
      <c r="AN65" s="3" t="n">
        <v>53543.0</v>
      </c>
      <c r="AO65" s="3" t="n">
        <v>55202.0</v>
      </c>
    </row>
    <row r="66" spans="1:41" x14ac:dyDescent="0.2">
      <c r="A66" s="125"/>
      <c r="B66" s="9">
        <v>57</v>
      </c>
      <c r="C66" s="3" t="n">
        <v>57497.0</v>
      </c>
      <c r="D66" s="3" t="n">
        <v>57863.0</v>
      </c>
      <c r="E66" s="3" t="n">
        <v>58308.0</v>
      </c>
      <c r="F66" s="3" t="n">
        <v>59530.0</v>
      </c>
      <c r="G66" s="3" t="n">
        <v>60969.0</v>
      </c>
      <c r="H66" s="3" t="n">
        <v>64515.0</v>
      </c>
      <c r="I66" s="3" t="n">
        <v>67242.0</v>
      </c>
      <c r="J66" s="3" t="n">
        <v>71287.0</v>
      </c>
      <c r="K66" s="3" t="n">
        <v>75474.0</v>
      </c>
      <c r="L66" s="3" t="n">
        <v>79287.0</v>
      </c>
      <c r="M66" s="3" t="n">
        <v>83373.0</v>
      </c>
      <c r="N66" s="3" t="n">
        <v>86857.0</v>
      </c>
      <c r="O66" s="3" t="n">
        <v>86738.0</v>
      </c>
      <c r="P66" s="3" t="n">
        <v>87683.0</v>
      </c>
      <c r="Q66" s="3" t="n">
        <v>90295.0</v>
      </c>
      <c r="R66" s="3" t="n">
        <v>90579.0</v>
      </c>
      <c r="S66" s="3" t="n">
        <v>88211.0</v>
      </c>
      <c r="T66" s="3" t="n">
        <v>92824.0</v>
      </c>
      <c r="U66" s="3" t="n">
        <v>96140.0</v>
      </c>
      <c r="V66" s="3" t="n">
        <v>93680.0</v>
      </c>
      <c r="W66" s="3" t="n">
        <v>91915.0</v>
      </c>
      <c r="X66" s="3" t="n">
        <v>87966.0</v>
      </c>
      <c r="Y66" s="3" t="n">
        <v>83901.0</v>
      </c>
      <c r="Z66" s="3" t="n">
        <v>83607.0</v>
      </c>
      <c r="AA66" s="3" t="n">
        <v>81306.0</v>
      </c>
      <c r="AB66" s="3" t="n">
        <v>81481.0</v>
      </c>
      <c r="AC66" s="3" t="n">
        <v>80086.0</v>
      </c>
      <c r="AD66" s="3" t="n">
        <v>76633.0</v>
      </c>
      <c r="AE66" s="3" t="n">
        <v>74081.0</v>
      </c>
      <c r="AF66" s="3" t="n">
        <v>71198.0</v>
      </c>
      <c r="AG66" s="3" t="n">
        <v>67124.0</v>
      </c>
      <c r="AH66" s="3" t="n">
        <v>64820.0</v>
      </c>
      <c r="AI66" s="3" t="n">
        <v>61551.0</v>
      </c>
      <c r="AJ66" s="3" t="n">
        <v>58948.0</v>
      </c>
      <c r="AK66" s="3" t="n">
        <v>57140.0</v>
      </c>
      <c r="AL66" s="3" t="n">
        <v>56840.0</v>
      </c>
      <c r="AM66" s="3" t="n">
        <v>55034.0</v>
      </c>
      <c r="AN66" s="3" t="n">
        <v>53481.0</v>
      </c>
      <c r="AO66" s="3" t="n">
        <v>53237.0</v>
      </c>
    </row>
    <row r="67" spans="1:41" x14ac:dyDescent="0.2">
      <c r="A67" s="125"/>
      <c r="B67" s="9">
        <v>58</v>
      </c>
      <c r="C67" s="3" t="n">
        <v>58424.0</v>
      </c>
      <c r="D67" s="3" t="n">
        <v>57031.0</v>
      </c>
      <c r="E67" s="3" t="n">
        <v>57398.0</v>
      </c>
      <c r="F67" s="3" t="n">
        <v>57842.0</v>
      </c>
      <c r="G67" s="3" t="n">
        <v>59055.0</v>
      </c>
      <c r="H67" s="3" t="n">
        <v>60596.0</v>
      </c>
      <c r="I67" s="3" t="n">
        <v>64160.0</v>
      </c>
      <c r="J67" s="3" t="n">
        <v>66789.0</v>
      </c>
      <c r="K67" s="3" t="n">
        <v>70762.0</v>
      </c>
      <c r="L67" s="3" t="n">
        <v>74886.0</v>
      </c>
      <c r="M67" s="3" t="n">
        <v>78662.0</v>
      </c>
      <c r="N67" s="3" t="n">
        <v>82716.0</v>
      </c>
      <c r="O67" s="3" t="n">
        <v>86166.0</v>
      </c>
      <c r="P67" s="3" t="n">
        <v>86054.0</v>
      </c>
      <c r="Q67" s="3" t="n">
        <v>87000.0</v>
      </c>
      <c r="R67" s="3" t="n">
        <v>89596.0</v>
      </c>
      <c r="S67" s="3" t="n">
        <v>89889.0</v>
      </c>
      <c r="T67" s="3" t="n">
        <v>87555.0</v>
      </c>
      <c r="U67" s="3" t="n">
        <v>92138.0</v>
      </c>
      <c r="V67" s="3" t="n">
        <v>95432.0</v>
      </c>
      <c r="W67" s="3" t="n">
        <v>92992.0</v>
      </c>
      <c r="X67" s="3" t="n">
        <v>91255.0</v>
      </c>
      <c r="Y67" s="3" t="n">
        <v>87345.0</v>
      </c>
      <c r="Z67" s="3" t="n">
        <v>83307.0</v>
      </c>
      <c r="AA67" s="3" t="n">
        <v>83020.0</v>
      </c>
      <c r="AB67" s="3" t="n">
        <v>80741.0</v>
      </c>
      <c r="AC67" s="3" t="n">
        <v>80915.0</v>
      </c>
      <c r="AD67" s="3" t="n">
        <v>79538.0</v>
      </c>
      <c r="AE67" s="3" t="n">
        <v>76114.0</v>
      </c>
      <c r="AF67" s="3" t="n">
        <v>73582.0</v>
      </c>
      <c r="AG67" s="3" t="n">
        <v>70711.0</v>
      </c>
      <c r="AH67" s="3" t="n">
        <v>66667.0</v>
      </c>
      <c r="AI67" s="3" t="n">
        <v>64397.0</v>
      </c>
      <c r="AJ67" s="3" t="n">
        <v>61148.0</v>
      </c>
      <c r="AK67" s="3" t="n">
        <v>58563.0</v>
      </c>
      <c r="AL67" s="3" t="n">
        <v>56772.0</v>
      </c>
      <c r="AM67" s="3" t="n">
        <v>56476.0</v>
      </c>
      <c r="AN67" s="3" t="n">
        <v>54682.0</v>
      </c>
      <c r="AO67" s="3" t="n">
        <v>53139.0</v>
      </c>
    </row>
    <row r="68" spans="1:41" x14ac:dyDescent="0.2">
      <c r="A68" s="125"/>
      <c r="B68" s="9">
        <v>59</v>
      </c>
      <c r="C68" s="3" t="n">
        <v>59272.0</v>
      </c>
      <c r="D68" s="3" t="n">
        <v>57889.0</v>
      </c>
      <c r="E68" s="3" t="n">
        <v>56517.0</v>
      </c>
      <c r="F68" s="3" t="n">
        <v>56899.0</v>
      </c>
      <c r="G68" s="3" t="n">
        <v>57339.0</v>
      </c>
      <c r="H68" s="3" t="n">
        <v>58651.0</v>
      </c>
      <c r="I68" s="3" t="n">
        <v>60214.0</v>
      </c>
      <c r="J68" s="3" t="n">
        <v>63661.0</v>
      </c>
      <c r="K68" s="3" t="n">
        <v>66227.0</v>
      </c>
      <c r="L68" s="3" t="n">
        <v>70152.0</v>
      </c>
      <c r="M68" s="3" t="n">
        <v>74230.0</v>
      </c>
      <c r="N68" s="3" t="n">
        <v>77964.0</v>
      </c>
      <c r="O68" s="3" t="n">
        <v>81987.0</v>
      </c>
      <c r="P68" s="3" t="n">
        <v>85411.0</v>
      </c>
      <c r="Q68" s="3" t="n">
        <v>85313.0</v>
      </c>
      <c r="R68" s="3" t="n">
        <v>86251.0</v>
      </c>
      <c r="S68" s="3" t="n">
        <v>88834.0</v>
      </c>
      <c r="T68" s="3" t="n">
        <v>89127.0</v>
      </c>
      <c r="U68" s="3" t="n">
        <v>86823.0</v>
      </c>
      <c r="V68" s="3" t="n">
        <v>91374.0</v>
      </c>
      <c r="W68" s="3" t="n">
        <v>94649.0</v>
      </c>
      <c r="X68" s="3" t="n">
        <v>92234.0</v>
      </c>
      <c r="Y68" s="3" t="n">
        <v>90520.0</v>
      </c>
      <c r="Z68" s="3" t="n">
        <v>86634.0</v>
      </c>
      <c r="AA68" s="3" t="n">
        <v>82647.0</v>
      </c>
      <c r="AB68" s="3" t="n">
        <v>82373.0</v>
      </c>
      <c r="AC68" s="3" t="n">
        <v>80114.0</v>
      </c>
      <c r="AD68" s="3" t="n">
        <v>80298.0</v>
      </c>
      <c r="AE68" s="3" t="n">
        <v>78932.0</v>
      </c>
      <c r="AF68" s="3" t="n">
        <v>75539.0</v>
      </c>
      <c r="AG68" s="3" t="n">
        <v>73034.0</v>
      </c>
      <c r="AH68" s="3" t="n">
        <v>70192.0</v>
      </c>
      <c r="AI68" s="3" t="n">
        <v>66182.0</v>
      </c>
      <c r="AJ68" s="3" t="n">
        <v>63943.0</v>
      </c>
      <c r="AK68" s="3" t="n">
        <v>60713.0</v>
      </c>
      <c r="AL68" s="3" t="n">
        <v>58143.0</v>
      </c>
      <c r="AM68" s="3" t="n">
        <v>56373.0</v>
      </c>
      <c r="AN68" s="3" t="n">
        <v>56079.0</v>
      </c>
      <c r="AO68" s="3" t="n">
        <v>54313.0</v>
      </c>
    </row>
    <row r="69" spans="1:41" x14ac:dyDescent="0.2">
      <c r="A69" s="125"/>
      <c r="B69" s="9">
        <v>60</v>
      </c>
      <c r="C69" s="3" t="n">
        <v>58591.0</v>
      </c>
      <c r="D69" s="3" t="n">
        <v>58673.0</v>
      </c>
      <c r="E69" s="3" t="n">
        <v>57305.0</v>
      </c>
      <c r="F69" s="3" t="n">
        <v>55956.0</v>
      </c>
      <c r="G69" s="3" t="n">
        <v>56342.0</v>
      </c>
      <c r="H69" s="3" t="n">
        <v>56895.0</v>
      </c>
      <c r="I69" s="3" t="n">
        <v>58247.0</v>
      </c>
      <c r="J69" s="3" t="n">
        <v>59699.0</v>
      </c>
      <c r="K69" s="3" t="n">
        <v>63074.0</v>
      </c>
      <c r="L69" s="3" t="n">
        <v>65613.0</v>
      </c>
      <c r="M69" s="3" t="n">
        <v>69492.0</v>
      </c>
      <c r="N69" s="3" t="n">
        <v>73521.0</v>
      </c>
      <c r="O69" s="3" t="n">
        <v>77222.0</v>
      </c>
      <c r="P69" s="3" t="n">
        <v>81213.0</v>
      </c>
      <c r="Q69" s="3" t="n">
        <v>84619.0</v>
      </c>
      <c r="R69" s="3" t="n">
        <v>84520.0</v>
      </c>
      <c r="S69" s="3" t="n">
        <v>85460.0</v>
      </c>
      <c r="T69" s="3" t="n">
        <v>88023.0</v>
      </c>
      <c r="U69" s="3" t="n">
        <v>88323.0</v>
      </c>
      <c r="V69" s="3" t="n">
        <v>86048.0</v>
      </c>
      <c r="W69" s="3" t="n">
        <v>90557.0</v>
      </c>
      <c r="X69" s="3" t="n">
        <v>93815.0</v>
      </c>
      <c r="Y69" s="3" t="n">
        <v>91434.0</v>
      </c>
      <c r="Z69" s="3" t="n">
        <v>89736.0</v>
      </c>
      <c r="AA69" s="3" t="n">
        <v>85894.0</v>
      </c>
      <c r="AB69" s="3" t="n">
        <v>81945.0</v>
      </c>
      <c r="AC69" s="3" t="n">
        <v>81672.0</v>
      </c>
      <c r="AD69" s="3" t="n">
        <v>79442.0</v>
      </c>
      <c r="AE69" s="3" t="n">
        <v>79634.0</v>
      </c>
      <c r="AF69" s="3" t="n">
        <v>78287.0</v>
      </c>
      <c r="AG69" s="3" t="n">
        <v>74921.0</v>
      </c>
      <c r="AH69" s="3" t="n">
        <v>72443.0</v>
      </c>
      <c r="AI69" s="3" t="n">
        <v>69625.0</v>
      </c>
      <c r="AJ69" s="3" t="n">
        <v>65654.0</v>
      </c>
      <c r="AK69" s="3" t="n">
        <v>63443.0</v>
      </c>
      <c r="AL69" s="3" t="n">
        <v>60248.0</v>
      </c>
      <c r="AM69" s="3" t="n">
        <v>57698.0</v>
      </c>
      <c r="AN69" s="3" t="n">
        <v>55947.0</v>
      </c>
      <c r="AO69" s="3" t="n">
        <v>55663.0</v>
      </c>
    </row>
    <row r="70" spans="1:41" x14ac:dyDescent="0.2">
      <c r="A70" s="125"/>
      <c r="B70" s="9">
        <v>61</v>
      </c>
      <c r="C70" s="3" t="n">
        <v>59816.0</v>
      </c>
      <c r="D70" s="3" t="n">
        <v>57939.0</v>
      </c>
      <c r="E70" s="3" t="n">
        <v>58030.0</v>
      </c>
      <c r="F70" s="3" t="n">
        <v>56689.0</v>
      </c>
      <c r="G70" s="3" t="n">
        <v>55360.0</v>
      </c>
      <c r="H70" s="3" t="n">
        <v>55860.0</v>
      </c>
      <c r="I70" s="3" t="n">
        <v>56465.0</v>
      </c>
      <c r="J70" s="3" t="n">
        <v>57700.0</v>
      </c>
      <c r="K70" s="3" t="n">
        <v>59096.0</v>
      </c>
      <c r="L70" s="3" t="n">
        <v>62427.0</v>
      </c>
      <c r="M70" s="3" t="n">
        <v>64925.0</v>
      </c>
      <c r="N70" s="3" t="n">
        <v>68746.0</v>
      </c>
      <c r="O70" s="3" t="n">
        <v>72753.0</v>
      </c>
      <c r="P70" s="3" t="n">
        <v>76418.0</v>
      </c>
      <c r="Q70" s="3" t="n">
        <v>80368.0</v>
      </c>
      <c r="R70" s="3" t="n">
        <v>83757.0</v>
      </c>
      <c r="S70" s="3" t="n">
        <v>83663.0</v>
      </c>
      <c r="T70" s="3" t="n">
        <v>84594.0</v>
      </c>
      <c r="U70" s="3" t="n">
        <v>87146.0</v>
      </c>
      <c r="V70" s="3" t="n">
        <v>87453.0</v>
      </c>
      <c r="W70" s="3" t="n">
        <v>85211.0</v>
      </c>
      <c r="X70" s="3" t="n">
        <v>89694.0</v>
      </c>
      <c r="Y70" s="3" t="n">
        <v>92919.0</v>
      </c>
      <c r="Z70" s="3" t="n">
        <v>90563.0</v>
      </c>
      <c r="AA70" s="3" t="n">
        <v>88887.0</v>
      </c>
      <c r="AB70" s="3" t="n">
        <v>85085.0</v>
      </c>
      <c r="AC70" s="3" t="n">
        <v>81169.0</v>
      </c>
      <c r="AD70" s="3" t="n">
        <v>80917.0</v>
      </c>
      <c r="AE70" s="3" t="n">
        <v>78702.0</v>
      </c>
      <c r="AF70" s="3" t="n">
        <v>78908.0</v>
      </c>
      <c r="AG70" s="3" t="n">
        <v>77569.0</v>
      </c>
      <c r="AH70" s="3" t="n">
        <v>74246.0</v>
      </c>
      <c r="AI70" s="3" t="n">
        <v>71804.0</v>
      </c>
      <c r="AJ70" s="3" t="n">
        <v>69014.0</v>
      </c>
      <c r="AK70" s="3" t="n">
        <v>65085.0</v>
      </c>
      <c r="AL70" s="3" t="n">
        <v>62903.0</v>
      </c>
      <c r="AM70" s="3" t="n">
        <v>59735.0</v>
      </c>
      <c r="AN70" s="3" t="n">
        <v>57210.0</v>
      </c>
      <c r="AO70" s="3" t="n">
        <v>55481.0</v>
      </c>
    </row>
    <row r="71" spans="1:41" x14ac:dyDescent="0.2">
      <c r="A71" s="125"/>
      <c r="B71" s="9">
        <v>62</v>
      </c>
      <c r="C71" s="3" t="n">
        <v>63521.0</v>
      </c>
      <c r="D71" s="3" t="n">
        <v>59114.0</v>
      </c>
      <c r="E71" s="3" t="n">
        <v>57268.0</v>
      </c>
      <c r="F71" s="3" t="n">
        <v>57371.0</v>
      </c>
      <c r="G71" s="3" t="n">
        <v>56054.0</v>
      </c>
      <c r="H71" s="3" t="n">
        <v>54849.0</v>
      </c>
      <c r="I71" s="3" t="n">
        <v>55389.0</v>
      </c>
      <c r="J71" s="3" t="n">
        <v>55911.0</v>
      </c>
      <c r="K71" s="3" t="n">
        <v>57086.0</v>
      </c>
      <c r="L71" s="3" t="n">
        <v>58453.0</v>
      </c>
      <c r="M71" s="3" t="n">
        <v>61737.0</v>
      </c>
      <c r="N71" s="3" t="n">
        <v>64208.0</v>
      </c>
      <c r="O71" s="3" t="n">
        <v>67993.0</v>
      </c>
      <c r="P71" s="3" t="n">
        <v>71960.0</v>
      </c>
      <c r="Q71" s="3" t="n">
        <v>75591.0</v>
      </c>
      <c r="R71" s="3" t="n">
        <v>79502.0</v>
      </c>
      <c r="S71" s="3" t="n">
        <v>82863.0</v>
      </c>
      <c r="T71" s="3" t="n">
        <v>82781.0</v>
      </c>
      <c r="U71" s="3" t="n">
        <v>83707.0</v>
      </c>
      <c r="V71" s="3" t="n">
        <v>86236.0</v>
      </c>
      <c r="W71" s="3" t="n">
        <v>86554.0</v>
      </c>
      <c r="X71" s="3" t="n">
        <v>84345.0</v>
      </c>
      <c r="Y71" s="3" t="n">
        <v>88793.0</v>
      </c>
      <c r="Z71" s="3" t="n">
        <v>91989.0</v>
      </c>
      <c r="AA71" s="3" t="n">
        <v>89658.0</v>
      </c>
      <c r="AB71" s="3" t="n">
        <v>88010.0</v>
      </c>
      <c r="AC71" s="3" t="n">
        <v>84242.0</v>
      </c>
      <c r="AD71" s="3" t="n">
        <v>80366.0</v>
      </c>
      <c r="AE71" s="3" t="n">
        <v>80136.0</v>
      </c>
      <c r="AF71" s="3" t="n">
        <v>77946.0</v>
      </c>
      <c r="AG71" s="3" t="n">
        <v>78152.0</v>
      </c>
      <c r="AH71" s="3" t="n">
        <v>76827.0</v>
      </c>
      <c r="AI71" s="3" t="n">
        <v>73544.0</v>
      </c>
      <c r="AJ71" s="3" t="n">
        <v>71133.0</v>
      </c>
      <c r="AK71" s="3" t="n">
        <v>68376.0</v>
      </c>
      <c r="AL71" s="3" t="n">
        <v>64493.0</v>
      </c>
      <c r="AM71" s="3" t="n">
        <v>62330.0</v>
      </c>
      <c r="AN71" s="3" t="n">
        <v>59198.0</v>
      </c>
      <c r="AO71" s="3" t="n">
        <v>56707.0</v>
      </c>
    </row>
    <row r="72" spans="1:41" x14ac:dyDescent="0.2">
      <c r="A72" s="125"/>
      <c r="B72" s="9">
        <v>63</v>
      </c>
      <c r="C72" s="3" t="n">
        <v>67298.0</v>
      </c>
      <c r="D72" s="3" t="n">
        <v>62711.0</v>
      </c>
      <c r="E72" s="3" t="n">
        <v>58387.0</v>
      </c>
      <c r="F72" s="3" t="n">
        <v>56586.0</v>
      </c>
      <c r="G72" s="3" t="n">
        <v>56680.0</v>
      </c>
      <c r="H72" s="3" t="n">
        <v>55494.0</v>
      </c>
      <c r="I72" s="3" t="n">
        <v>54347.0</v>
      </c>
      <c r="J72" s="3" t="n">
        <v>54794.0</v>
      </c>
      <c r="K72" s="3" t="n">
        <v>55276.0</v>
      </c>
      <c r="L72" s="3" t="n">
        <v>56427.0</v>
      </c>
      <c r="M72" s="3" t="n">
        <v>57767.0</v>
      </c>
      <c r="N72" s="3" t="n">
        <v>61010.0</v>
      </c>
      <c r="O72" s="3" t="n">
        <v>63474.0</v>
      </c>
      <c r="P72" s="3" t="n">
        <v>67207.0</v>
      </c>
      <c r="Q72" s="3" t="n">
        <v>71126.0</v>
      </c>
      <c r="R72" s="3" t="n">
        <v>74726.0</v>
      </c>
      <c r="S72" s="3" t="n">
        <v>78598.0</v>
      </c>
      <c r="T72" s="3" t="n">
        <v>81923.0</v>
      </c>
      <c r="U72" s="3" t="n">
        <v>81848.0</v>
      </c>
      <c r="V72" s="3" t="n">
        <v>82774.0</v>
      </c>
      <c r="W72" s="3" t="n">
        <v>85281.0</v>
      </c>
      <c r="X72" s="3" t="n">
        <v>85618.0</v>
      </c>
      <c r="Y72" s="3" t="n">
        <v>83441.0</v>
      </c>
      <c r="Z72" s="3" t="n">
        <v>87840.0</v>
      </c>
      <c r="AA72" s="3" t="n">
        <v>91013.0</v>
      </c>
      <c r="AB72" s="3" t="n">
        <v>88710.0</v>
      </c>
      <c r="AC72" s="3" t="n">
        <v>87088.0</v>
      </c>
      <c r="AD72" s="3" t="n">
        <v>83369.0</v>
      </c>
      <c r="AE72" s="3" t="n">
        <v>79546.0</v>
      </c>
      <c r="AF72" s="3" t="n">
        <v>79331.0</v>
      </c>
      <c r="AG72" s="3" t="n">
        <v>77160.0</v>
      </c>
      <c r="AH72" s="3" t="n">
        <v>77371.0</v>
      </c>
      <c r="AI72" s="3" t="n">
        <v>76065.0</v>
      </c>
      <c r="AJ72" s="3" t="n">
        <v>72825.0</v>
      </c>
      <c r="AK72" s="3" t="n">
        <v>70443.0</v>
      </c>
      <c r="AL72" s="3" t="n">
        <v>67709.0</v>
      </c>
      <c r="AM72" s="3" t="n">
        <v>63870.0</v>
      </c>
      <c r="AN72" s="3" t="n">
        <v>61736.0</v>
      </c>
      <c r="AO72" s="3" t="n">
        <v>58652.0</v>
      </c>
    </row>
    <row r="73" spans="1:41" x14ac:dyDescent="0.2">
      <c r="A73" s="125"/>
      <c r="B73" s="9">
        <v>64</v>
      </c>
      <c r="C73" s="3" t="n">
        <v>69730.0</v>
      </c>
      <c r="D73" s="3" t="n">
        <v>66355.0</v>
      </c>
      <c r="E73" s="3" t="n">
        <v>61849.0</v>
      </c>
      <c r="F73" s="3" t="n">
        <v>57598.0</v>
      </c>
      <c r="G73" s="3" t="n">
        <v>55829.0</v>
      </c>
      <c r="H73" s="3" t="n">
        <v>56050.0</v>
      </c>
      <c r="I73" s="3" t="n">
        <v>54932.0</v>
      </c>
      <c r="J73" s="3" t="n">
        <v>53719.0</v>
      </c>
      <c r="K73" s="3" t="n">
        <v>54120.0</v>
      </c>
      <c r="L73" s="3" t="n">
        <v>54592.0</v>
      </c>
      <c r="M73" s="3" t="n">
        <v>55722.0</v>
      </c>
      <c r="N73" s="3" t="n">
        <v>57028.0</v>
      </c>
      <c r="O73" s="3" t="n">
        <v>60231.0</v>
      </c>
      <c r="P73" s="3" t="n">
        <v>62667.0</v>
      </c>
      <c r="Q73" s="3" t="n">
        <v>66361.0</v>
      </c>
      <c r="R73" s="3" t="n">
        <v>70237.0</v>
      </c>
      <c r="S73" s="3" t="n">
        <v>73796.0</v>
      </c>
      <c r="T73" s="3" t="n">
        <v>77624.0</v>
      </c>
      <c r="U73" s="3" t="n">
        <v>80912.0</v>
      </c>
      <c r="V73" s="3" t="n">
        <v>80851.0</v>
      </c>
      <c r="W73" s="3" t="n">
        <v>81765.0</v>
      </c>
      <c r="X73" s="3" t="n">
        <v>84265.0</v>
      </c>
      <c r="Y73" s="3" t="n">
        <v>84608.0</v>
      </c>
      <c r="Z73" s="3" t="n">
        <v>82470.0</v>
      </c>
      <c r="AA73" s="3" t="n">
        <v>86816.0</v>
      </c>
      <c r="AB73" s="3" t="n">
        <v>89960.0</v>
      </c>
      <c r="AC73" s="3" t="n">
        <v>87693.0</v>
      </c>
      <c r="AD73" s="3" t="n">
        <v>86102.0</v>
      </c>
      <c r="AE73" s="3" t="n">
        <v>82439.0</v>
      </c>
      <c r="AF73" s="3" t="n">
        <v>78665.0</v>
      </c>
      <c r="AG73" s="3" t="n">
        <v>78471.0</v>
      </c>
      <c r="AH73" s="3" t="n">
        <v>76320.0</v>
      </c>
      <c r="AI73" s="3" t="n">
        <v>76537.0</v>
      </c>
      <c r="AJ73" s="3" t="n">
        <v>75245.0</v>
      </c>
      <c r="AK73" s="3" t="n">
        <v>72041.0</v>
      </c>
      <c r="AL73" s="3" t="n">
        <v>69690.0</v>
      </c>
      <c r="AM73" s="3" t="n">
        <v>66999.0</v>
      </c>
      <c r="AN73" s="3" t="n">
        <v>63202.0</v>
      </c>
      <c r="AO73" s="3" t="n">
        <v>61100.0</v>
      </c>
    </row>
    <row r="74" spans="1:41" x14ac:dyDescent="0.2">
      <c r="A74" s="125"/>
      <c r="B74" s="9">
        <v>65</v>
      </c>
      <c r="C74" s="3" t="n">
        <v>71368.0</v>
      </c>
      <c r="D74" s="3" t="n">
        <v>68674.0</v>
      </c>
      <c r="E74" s="3" t="n">
        <v>65362.0</v>
      </c>
      <c r="F74" s="3" t="n">
        <v>60949.0</v>
      </c>
      <c r="G74" s="3" t="n">
        <v>56769.0</v>
      </c>
      <c r="H74" s="3" t="n">
        <v>55116.0</v>
      </c>
      <c r="I74" s="3" t="n">
        <v>55378.0</v>
      </c>
      <c r="J74" s="3" t="n">
        <v>54213.0</v>
      </c>
      <c r="K74" s="3" t="n">
        <v>52989.0</v>
      </c>
      <c r="L74" s="3" t="n">
        <v>53374.0</v>
      </c>
      <c r="M74" s="3" t="n">
        <v>53844.0</v>
      </c>
      <c r="N74" s="3" t="n">
        <v>54958.0</v>
      </c>
      <c r="O74" s="3" t="n">
        <v>56244.0</v>
      </c>
      <c r="P74" s="3" t="n">
        <v>59411.0</v>
      </c>
      <c r="Q74" s="3" t="n">
        <v>61814.0</v>
      </c>
      <c r="R74" s="3" t="n">
        <v>65470.0</v>
      </c>
      <c r="S74" s="3" t="n">
        <v>69301.0</v>
      </c>
      <c r="T74" s="3" t="n">
        <v>72807.0</v>
      </c>
      <c r="U74" s="3" t="n">
        <v>76593.0</v>
      </c>
      <c r="V74" s="3" t="n">
        <v>79852.0</v>
      </c>
      <c r="W74" s="3" t="n">
        <v>79797.0</v>
      </c>
      <c r="X74" s="3" t="n">
        <v>80715.0</v>
      </c>
      <c r="Y74" s="3" t="n">
        <v>83201.0</v>
      </c>
      <c r="Z74" s="3" t="n">
        <v>83532.0</v>
      </c>
      <c r="AA74" s="3" t="n">
        <v>81437.0</v>
      </c>
      <c r="AB74" s="3" t="n">
        <v>85741.0</v>
      </c>
      <c r="AC74" s="3" t="n">
        <v>88850.0</v>
      </c>
      <c r="AD74" s="3" t="n">
        <v>86619.0</v>
      </c>
      <c r="AE74" s="3" t="n">
        <v>85062.0</v>
      </c>
      <c r="AF74" s="3" t="n">
        <v>81448.0</v>
      </c>
      <c r="AG74" s="3" t="n">
        <v>77730.0</v>
      </c>
      <c r="AH74" s="3" t="n">
        <v>77545.0</v>
      </c>
      <c r="AI74" s="3" t="n">
        <v>75430.0</v>
      </c>
      <c r="AJ74" s="3" t="n">
        <v>75652.0</v>
      </c>
      <c r="AK74" s="3" t="n">
        <v>74380.0</v>
      </c>
      <c r="AL74" s="3" t="n">
        <v>71219.0</v>
      </c>
      <c r="AM74" s="3" t="n">
        <v>68903.0</v>
      </c>
      <c r="AN74" s="3" t="n">
        <v>66242.0</v>
      </c>
      <c r="AO74" s="3" t="n">
        <v>62493.0</v>
      </c>
    </row>
    <row r="75" spans="1:41" x14ac:dyDescent="0.2">
      <c r="A75" s="125"/>
      <c r="B75" s="9">
        <v>66</v>
      </c>
      <c r="C75" s="3" t="n">
        <v>70628.0</v>
      </c>
      <c r="D75" s="3" t="n">
        <v>70165.0</v>
      </c>
      <c r="E75" s="3" t="n">
        <v>67538.0</v>
      </c>
      <c r="F75" s="3" t="n">
        <v>64307.0</v>
      </c>
      <c r="G75" s="3" t="n">
        <v>59981.0</v>
      </c>
      <c r="H75" s="3" t="n">
        <v>55958.0</v>
      </c>
      <c r="I75" s="3" t="n">
        <v>54366.0</v>
      </c>
      <c r="J75" s="3" t="n">
        <v>54573.0</v>
      </c>
      <c r="K75" s="3" t="n">
        <v>53415.0</v>
      </c>
      <c r="L75" s="3" t="n">
        <v>52203.0</v>
      </c>
      <c r="M75" s="3" t="n">
        <v>52577.0</v>
      </c>
      <c r="N75" s="3" t="n">
        <v>53044.0</v>
      </c>
      <c r="O75" s="3" t="n">
        <v>54148.0</v>
      </c>
      <c r="P75" s="3" t="n">
        <v>55413.0</v>
      </c>
      <c r="Q75" s="3" t="n">
        <v>58539.0</v>
      </c>
      <c r="R75" s="3" t="n">
        <v>60913.0</v>
      </c>
      <c r="S75" s="3" t="n">
        <v>64523.0</v>
      </c>
      <c r="T75" s="3" t="n">
        <v>68293.0</v>
      </c>
      <c r="U75" s="3" t="n">
        <v>71758.0</v>
      </c>
      <c r="V75" s="3" t="n">
        <v>75498.0</v>
      </c>
      <c r="W75" s="3" t="n">
        <v>78720.0</v>
      </c>
      <c r="X75" s="3" t="n">
        <v>78673.0</v>
      </c>
      <c r="Y75" s="3" t="n">
        <v>79589.0</v>
      </c>
      <c r="Z75" s="3" t="n">
        <v>82046.0</v>
      </c>
      <c r="AA75" s="3" t="n">
        <v>82390.0</v>
      </c>
      <c r="AB75" s="3" t="n">
        <v>80325.0</v>
      </c>
      <c r="AC75" s="3" t="n">
        <v>84580.0</v>
      </c>
      <c r="AD75" s="3" t="n">
        <v>87667.0</v>
      </c>
      <c r="AE75" s="3" t="n">
        <v>85473.0</v>
      </c>
      <c r="AF75" s="3" t="n">
        <v>83940.0</v>
      </c>
      <c r="AG75" s="3" t="n">
        <v>80382.0</v>
      </c>
      <c r="AH75" s="3" t="n">
        <v>76738.0</v>
      </c>
      <c r="AI75" s="3" t="n">
        <v>76564.0</v>
      </c>
      <c r="AJ75" s="3" t="n">
        <v>74471.0</v>
      </c>
      <c r="AK75" s="3" t="n">
        <v>74696.0</v>
      </c>
      <c r="AL75" s="3" t="n">
        <v>73445.0</v>
      </c>
      <c r="AM75" s="3" t="n">
        <v>70334.0</v>
      </c>
      <c r="AN75" s="3" t="n">
        <v>68055.0</v>
      </c>
      <c r="AO75" s="3" t="n">
        <v>65446.0</v>
      </c>
    </row>
    <row r="76" spans="1:41" x14ac:dyDescent="0.2">
      <c r="A76" s="125"/>
      <c r="B76" s="9">
        <v>67</v>
      </c>
      <c r="C76" s="3" t="n">
        <v>71314.0</v>
      </c>
      <c r="D76" s="3" t="n">
        <v>69361.0</v>
      </c>
      <c r="E76" s="3" t="n">
        <v>68924.0</v>
      </c>
      <c r="F76" s="3" t="n">
        <v>66379.0</v>
      </c>
      <c r="G76" s="3" t="n">
        <v>63214.0</v>
      </c>
      <c r="H76" s="3" t="n">
        <v>59030.0</v>
      </c>
      <c r="I76" s="3" t="n">
        <v>55130.0</v>
      </c>
      <c r="J76" s="3" t="n">
        <v>53516.0</v>
      </c>
      <c r="K76" s="3" t="n">
        <v>53699.0</v>
      </c>
      <c r="L76" s="3" t="n">
        <v>52560.0</v>
      </c>
      <c r="M76" s="3" t="n">
        <v>51380.0</v>
      </c>
      <c r="N76" s="3" t="n">
        <v>51742.0</v>
      </c>
      <c r="O76" s="3" t="n">
        <v>52212.0</v>
      </c>
      <c r="P76" s="3" t="n">
        <v>53308.0</v>
      </c>
      <c r="Q76" s="3" t="n">
        <v>54549.0</v>
      </c>
      <c r="R76" s="3" t="n">
        <v>57635.0</v>
      </c>
      <c r="S76" s="3" t="n">
        <v>59975.0</v>
      </c>
      <c r="T76" s="3" t="n">
        <v>63529.0</v>
      </c>
      <c r="U76" s="3" t="n">
        <v>67253.0</v>
      </c>
      <c r="V76" s="3" t="n">
        <v>70669.0</v>
      </c>
      <c r="W76" s="3" t="n">
        <v>74368.0</v>
      </c>
      <c r="X76" s="3" t="n">
        <v>77555.0</v>
      </c>
      <c r="Y76" s="3" t="n">
        <v>77519.0</v>
      </c>
      <c r="Z76" s="3" t="n">
        <v>78423.0</v>
      </c>
      <c r="AA76" s="3" t="n">
        <v>80853.0</v>
      </c>
      <c r="AB76" s="3" t="n">
        <v>81206.0</v>
      </c>
      <c r="AC76" s="3" t="n">
        <v>79181.0</v>
      </c>
      <c r="AD76" s="3" t="n">
        <v>83392.0</v>
      </c>
      <c r="AE76" s="3" t="n">
        <v>86442.0</v>
      </c>
      <c r="AF76" s="3" t="n">
        <v>84289.0</v>
      </c>
      <c r="AG76" s="3" t="n">
        <v>82777.0</v>
      </c>
      <c r="AH76" s="3" t="n">
        <v>79276.0</v>
      </c>
      <c r="AI76" s="3" t="n">
        <v>75693.0</v>
      </c>
      <c r="AJ76" s="3" t="n">
        <v>75535.0</v>
      </c>
      <c r="AK76" s="3" t="n">
        <v>73481.0</v>
      </c>
      <c r="AL76" s="3" t="n">
        <v>73712.0</v>
      </c>
      <c r="AM76" s="3" t="n">
        <v>72471.0</v>
      </c>
      <c r="AN76" s="3" t="n">
        <v>69406.0</v>
      </c>
      <c r="AO76" s="3" t="n">
        <v>67184.0</v>
      </c>
    </row>
    <row r="77" spans="1:41" x14ac:dyDescent="0.2">
      <c r="A77" s="125"/>
      <c r="B77" s="9">
        <v>68</v>
      </c>
      <c r="C77" s="3" t="n">
        <v>67937.0</v>
      </c>
      <c r="D77" s="3" t="n">
        <v>69938.0</v>
      </c>
      <c r="E77" s="3" t="n">
        <v>68060.0</v>
      </c>
      <c r="F77" s="3" t="n">
        <v>67653.0</v>
      </c>
      <c r="G77" s="3" t="n">
        <v>65173.0</v>
      </c>
      <c r="H77" s="3" t="n">
        <v>62138.0</v>
      </c>
      <c r="I77" s="3" t="n">
        <v>58071.0</v>
      </c>
      <c r="J77" s="3" t="n">
        <v>54220.0</v>
      </c>
      <c r="K77" s="3" t="n">
        <v>52620.0</v>
      </c>
      <c r="L77" s="3" t="n">
        <v>52785.0</v>
      </c>
      <c r="M77" s="3" t="n">
        <v>51663.0</v>
      </c>
      <c r="N77" s="3" t="n">
        <v>50504.0</v>
      </c>
      <c r="O77" s="3" t="n">
        <v>50871.0</v>
      </c>
      <c r="P77" s="3" t="n">
        <v>51333.0</v>
      </c>
      <c r="Q77" s="3" t="n">
        <v>52417.0</v>
      </c>
      <c r="R77" s="3" t="n">
        <v>53653.0</v>
      </c>
      <c r="S77" s="3" t="n">
        <v>56685.0</v>
      </c>
      <c r="T77" s="3" t="n">
        <v>58990.0</v>
      </c>
      <c r="U77" s="3" t="n">
        <v>62494.0</v>
      </c>
      <c r="V77" s="3" t="n">
        <v>66171.0</v>
      </c>
      <c r="W77" s="3" t="n">
        <v>69533.0</v>
      </c>
      <c r="X77" s="3" t="n">
        <v>73187.0</v>
      </c>
      <c r="Y77" s="3" t="n">
        <v>76328.0</v>
      </c>
      <c r="Z77" s="3" t="n">
        <v>76301.0</v>
      </c>
      <c r="AA77" s="3" t="n">
        <v>77198.0</v>
      </c>
      <c r="AB77" s="3" t="n">
        <v>79604.0</v>
      </c>
      <c r="AC77" s="3" t="n">
        <v>79959.0</v>
      </c>
      <c r="AD77" s="3" t="n">
        <v>77989.0</v>
      </c>
      <c r="AE77" s="3" t="n">
        <v>82146.0</v>
      </c>
      <c r="AF77" s="3" t="n">
        <v>85167.0</v>
      </c>
      <c r="AG77" s="3" t="n">
        <v>83050.0</v>
      </c>
      <c r="AH77" s="3" t="n">
        <v>81565.0</v>
      </c>
      <c r="AI77" s="3" t="n">
        <v>78125.0</v>
      </c>
      <c r="AJ77" s="3" t="n">
        <v>74609.0</v>
      </c>
      <c r="AK77" s="3" t="n">
        <v>74459.0</v>
      </c>
      <c r="AL77" s="3" t="n">
        <v>72450.0</v>
      </c>
      <c r="AM77" s="3" t="n">
        <v>72682.0</v>
      </c>
      <c r="AN77" s="3" t="n">
        <v>71458.0</v>
      </c>
      <c r="AO77" s="3" t="n">
        <v>68453.0</v>
      </c>
    </row>
    <row r="78" spans="1:41" x14ac:dyDescent="0.2">
      <c r="A78" s="125"/>
      <c r="B78" s="9">
        <v>69</v>
      </c>
      <c r="C78" s="3" t="n">
        <v>66498.0</v>
      </c>
      <c r="D78" s="3" t="n">
        <v>66512.0</v>
      </c>
      <c r="E78" s="3" t="n">
        <v>68503.0</v>
      </c>
      <c r="F78" s="3" t="n">
        <v>66696.0</v>
      </c>
      <c r="G78" s="3" t="n">
        <v>66321.0</v>
      </c>
      <c r="H78" s="3" t="n">
        <v>63955.0</v>
      </c>
      <c r="I78" s="3" t="n">
        <v>61026.0</v>
      </c>
      <c r="J78" s="3" t="n">
        <v>56997.0</v>
      </c>
      <c r="K78" s="3" t="n">
        <v>53222.0</v>
      </c>
      <c r="L78" s="3" t="n">
        <v>51649.0</v>
      </c>
      <c r="M78" s="3" t="n">
        <v>51818.0</v>
      </c>
      <c r="N78" s="3" t="n">
        <v>50717.0</v>
      </c>
      <c r="O78" s="3" t="n">
        <v>49590.0</v>
      </c>
      <c r="P78" s="3" t="n">
        <v>49952.0</v>
      </c>
      <c r="Q78" s="3" t="n">
        <v>50414.0</v>
      </c>
      <c r="R78" s="3" t="n">
        <v>51495.0</v>
      </c>
      <c r="S78" s="3" t="n">
        <v>52716.0</v>
      </c>
      <c r="T78" s="3" t="n">
        <v>55695.0</v>
      </c>
      <c r="U78" s="3" t="n">
        <v>57969.0</v>
      </c>
      <c r="V78" s="3" t="n">
        <v>61407.0</v>
      </c>
      <c r="W78" s="3" t="n">
        <v>65019.0</v>
      </c>
      <c r="X78" s="3" t="n">
        <v>68335.0</v>
      </c>
      <c r="Y78" s="3" t="n">
        <v>71939.0</v>
      </c>
      <c r="Z78" s="3" t="n">
        <v>75031.0</v>
      </c>
      <c r="AA78" s="3" t="n">
        <v>75014.0</v>
      </c>
      <c r="AB78" s="3" t="n">
        <v>75901.0</v>
      </c>
      <c r="AC78" s="3" t="n">
        <v>78279.0</v>
      </c>
      <c r="AD78" s="3" t="n">
        <v>78652.0</v>
      </c>
      <c r="AE78" s="3" t="n">
        <v>76731.0</v>
      </c>
      <c r="AF78" s="3" t="n">
        <v>80832.0</v>
      </c>
      <c r="AG78" s="3" t="n">
        <v>83808.0</v>
      </c>
      <c r="AH78" s="3" t="n">
        <v>81730.0</v>
      </c>
      <c r="AI78" s="3" t="n">
        <v>80282.0</v>
      </c>
      <c r="AJ78" s="3" t="n">
        <v>76907.0</v>
      </c>
      <c r="AK78" s="3" t="n">
        <v>73458.0</v>
      </c>
      <c r="AL78" s="3" t="n">
        <v>73323.0</v>
      </c>
      <c r="AM78" s="3" t="n">
        <v>71348.0</v>
      </c>
      <c r="AN78" s="3" t="n">
        <v>71583.0</v>
      </c>
      <c r="AO78" s="3" t="n">
        <v>70393.0</v>
      </c>
    </row>
    <row r="79" spans="1:41" x14ac:dyDescent="0.2">
      <c r="A79" s="125"/>
      <c r="B79" s="9">
        <v>70</v>
      </c>
      <c r="C79" s="3" t="n">
        <v>63059.0</v>
      </c>
      <c r="D79" s="3" t="n">
        <v>65052.0</v>
      </c>
      <c r="E79" s="3" t="n">
        <v>65084.0</v>
      </c>
      <c r="F79" s="3" t="n">
        <v>67055.0</v>
      </c>
      <c r="G79" s="3" t="n">
        <v>65313.0</v>
      </c>
      <c r="H79" s="3" t="n">
        <v>65011.0</v>
      </c>
      <c r="I79" s="3" t="n">
        <v>62731.0</v>
      </c>
      <c r="J79" s="3" t="n">
        <v>59838.0</v>
      </c>
      <c r="K79" s="3" t="n">
        <v>55890.0</v>
      </c>
      <c r="L79" s="3" t="n">
        <v>52191.0</v>
      </c>
      <c r="M79" s="3" t="n">
        <v>50660.0</v>
      </c>
      <c r="N79" s="3" t="n">
        <v>50826.0</v>
      </c>
      <c r="O79" s="3" t="n">
        <v>49765.0</v>
      </c>
      <c r="P79" s="3" t="n">
        <v>48666.0</v>
      </c>
      <c r="Q79" s="3" t="n">
        <v>49021.0</v>
      </c>
      <c r="R79" s="3" t="n">
        <v>49488.0</v>
      </c>
      <c r="S79" s="3" t="n">
        <v>50550.0</v>
      </c>
      <c r="T79" s="3" t="n">
        <v>51751.0</v>
      </c>
      <c r="U79" s="3" t="n">
        <v>54679.0</v>
      </c>
      <c r="V79" s="3" t="n">
        <v>56925.0</v>
      </c>
      <c r="W79" s="3" t="n">
        <v>60299.0</v>
      </c>
      <c r="X79" s="3" t="n">
        <v>63860.0</v>
      </c>
      <c r="Y79" s="3" t="n">
        <v>67125.0</v>
      </c>
      <c r="Z79" s="3" t="n">
        <v>70666.0</v>
      </c>
      <c r="AA79" s="3" t="n">
        <v>73714.0</v>
      </c>
      <c r="AB79" s="3" t="n">
        <v>73711.0</v>
      </c>
      <c r="AC79" s="3" t="n">
        <v>74597.0</v>
      </c>
      <c r="AD79" s="3" t="n">
        <v>76955.0</v>
      </c>
      <c r="AE79" s="3" t="n">
        <v>77329.0</v>
      </c>
      <c r="AF79" s="3" t="n">
        <v>75455.0</v>
      </c>
      <c r="AG79" s="3" t="n">
        <v>79491.0</v>
      </c>
      <c r="AH79" s="3" t="n">
        <v>82428.0</v>
      </c>
      <c r="AI79" s="3" t="n">
        <v>80397.0</v>
      </c>
      <c r="AJ79" s="3" t="n">
        <v>78970.0</v>
      </c>
      <c r="AK79" s="3" t="n">
        <v>75661.0</v>
      </c>
      <c r="AL79" s="3" t="n">
        <v>72273.0</v>
      </c>
      <c r="AM79" s="3" t="n">
        <v>72154.0</v>
      </c>
      <c r="AN79" s="3" t="n">
        <v>70220.0</v>
      </c>
      <c r="AO79" s="3" t="n">
        <v>70471.0</v>
      </c>
    </row>
    <row r="80" spans="1:41" x14ac:dyDescent="0.2">
      <c r="A80" s="125"/>
      <c r="B80" s="9">
        <v>71</v>
      </c>
      <c r="C80" s="3" t="n">
        <v>60127.0</v>
      </c>
      <c r="D80" s="3" t="n">
        <v>61578.0</v>
      </c>
      <c r="E80" s="3" t="n">
        <v>63548.0</v>
      </c>
      <c r="F80" s="3" t="n">
        <v>63615.0</v>
      </c>
      <c r="G80" s="3" t="n">
        <v>65549.0</v>
      </c>
      <c r="H80" s="3" t="n">
        <v>63911.0</v>
      </c>
      <c r="I80" s="3" t="n">
        <v>63652.0</v>
      </c>
      <c r="J80" s="3" t="n">
        <v>61412.0</v>
      </c>
      <c r="K80" s="3" t="n">
        <v>58579.0</v>
      </c>
      <c r="L80" s="3" t="n">
        <v>54722.0</v>
      </c>
      <c r="M80" s="3" t="n">
        <v>51117.0</v>
      </c>
      <c r="N80" s="3" t="n">
        <v>49618.0</v>
      </c>
      <c r="O80" s="3" t="n">
        <v>49785.0</v>
      </c>
      <c r="P80" s="3" t="n">
        <v>48750.0</v>
      </c>
      <c r="Q80" s="3" t="n">
        <v>47684.0</v>
      </c>
      <c r="R80" s="3" t="n">
        <v>48048.0</v>
      </c>
      <c r="S80" s="3" t="n">
        <v>48515.0</v>
      </c>
      <c r="T80" s="3" t="n">
        <v>49561.0</v>
      </c>
      <c r="U80" s="3" t="n">
        <v>50740.0</v>
      </c>
      <c r="V80" s="3" t="n">
        <v>53610.0</v>
      </c>
      <c r="W80" s="3" t="n">
        <v>55828.0</v>
      </c>
      <c r="X80" s="3" t="n">
        <v>59136.0</v>
      </c>
      <c r="Y80" s="3" t="n">
        <v>62649.0</v>
      </c>
      <c r="Z80" s="3" t="n">
        <v>65854.0</v>
      </c>
      <c r="AA80" s="3" t="n">
        <v>69345.0</v>
      </c>
      <c r="AB80" s="3" t="n">
        <v>72344.0</v>
      </c>
      <c r="AC80" s="3" t="n">
        <v>72350.0</v>
      </c>
      <c r="AD80" s="3" t="n">
        <v>73236.0</v>
      </c>
      <c r="AE80" s="3" t="n">
        <v>75567.0</v>
      </c>
      <c r="AF80" s="3" t="n">
        <v>75947.0</v>
      </c>
      <c r="AG80" s="3" t="n">
        <v>74117.0</v>
      </c>
      <c r="AH80" s="3" t="n">
        <v>78086.0</v>
      </c>
      <c r="AI80" s="3" t="n">
        <v>80986.0</v>
      </c>
      <c r="AJ80" s="3" t="n">
        <v>79001.0</v>
      </c>
      <c r="AK80" s="3" t="n">
        <v>77611.0</v>
      </c>
      <c r="AL80" s="3" t="n">
        <v>74369.0</v>
      </c>
      <c r="AM80" s="3" t="n">
        <v>71037.0</v>
      </c>
      <c r="AN80" s="3" t="n">
        <v>70928.0</v>
      </c>
      <c r="AO80" s="3" t="n">
        <v>69036.0</v>
      </c>
    </row>
    <row r="81" spans="1:41" x14ac:dyDescent="0.2">
      <c r="A81" s="125"/>
      <c r="B81" s="9">
        <v>72</v>
      </c>
      <c r="C81" s="3" t="n">
        <v>55613.0</v>
      </c>
      <c r="D81" s="3" t="n">
        <v>58604.0</v>
      </c>
      <c r="E81" s="3" t="n">
        <v>60049.0</v>
      </c>
      <c r="F81" s="3" t="n">
        <v>61999.0</v>
      </c>
      <c r="G81" s="3" t="n">
        <v>62073.0</v>
      </c>
      <c r="H81" s="3" t="n">
        <v>64016.0</v>
      </c>
      <c r="I81" s="3" t="n">
        <v>62454.0</v>
      </c>
      <c r="J81" s="3" t="n">
        <v>62187.0</v>
      </c>
      <c r="K81" s="3" t="n">
        <v>60014.0</v>
      </c>
      <c r="L81" s="3" t="n">
        <v>57254.0</v>
      </c>
      <c r="M81" s="3" t="n">
        <v>53494.0</v>
      </c>
      <c r="N81" s="3" t="n">
        <v>49986.0</v>
      </c>
      <c r="O81" s="3" t="n">
        <v>48536.0</v>
      </c>
      <c r="P81" s="3" t="n">
        <v>48696.0</v>
      </c>
      <c r="Q81" s="3" t="n">
        <v>47692.0</v>
      </c>
      <c r="R81" s="3" t="n">
        <v>46665.0</v>
      </c>
      <c r="S81" s="3" t="n">
        <v>47020.0</v>
      </c>
      <c r="T81" s="3" t="n">
        <v>47482.0</v>
      </c>
      <c r="U81" s="3" t="n">
        <v>48511.0</v>
      </c>
      <c r="V81" s="3" t="n">
        <v>49665.0</v>
      </c>
      <c r="W81" s="3" t="n">
        <v>52484.0</v>
      </c>
      <c r="X81" s="3" t="n">
        <v>54675.0</v>
      </c>
      <c r="Y81" s="3" t="n">
        <v>57910.0</v>
      </c>
      <c r="Z81" s="3" t="n">
        <v>61369.0</v>
      </c>
      <c r="AA81" s="3" t="n">
        <v>64507.0</v>
      </c>
      <c r="AB81" s="3" t="n">
        <v>67948.0</v>
      </c>
      <c r="AC81" s="3" t="n">
        <v>70895.0</v>
      </c>
      <c r="AD81" s="3" t="n">
        <v>70919.0</v>
      </c>
      <c r="AE81" s="3" t="n">
        <v>71797.0</v>
      </c>
      <c r="AF81" s="3" t="n">
        <v>74095.0</v>
      </c>
      <c r="AG81" s="3" t="n">
        <v>74481.0</v>
      </c>
      <c r="AH81" s="3" t="n">
        <v>72707.0</v>
      </c>
      <c r="AI81" s="3" t="n">
        <v>76605.0</v>
      </c>
      <c r="AJ81" s="3" t="n">
        <v>79472.0</v>
      </c>
      <c r="AK81" s="3" t="n">
        <v>77531.0</v>
      </c>
      <c r="AL81" s="3" t="n">
        <v>76183.0</v>
      </c>
      <c r="AM81" s="3" t="n">
        <v>72999.0</v>
      </c>
      <c r="AN81" s="3" t="n">
        <v>69735.0</v>
      </c>
      <c r="AO81" s="3" t="n">
        <v>69645.0</v>
      </c>
    </row>
    <row r="82" spans="1:41" x14ac:dyDescent="0.2">
      <c r="A82" s="125"/>
      <c r="B82" s="9">
        <v>73</v>
      </c>
      <c r="C82" s="3" t="n">
        <v>51162.0</v>
      </c>
      <c r="D82" s="3" t="n">
        <v>54100.0</v>
      </c>
      <c r="E82" s="3" t="n">
        <v>57026.0</v>
      </c>
      <c r="F82" s="3" t="n">
        <v>58457.0</v>
      </c>
      <c r="G82" s="3" t="n">
        <v>60369.0</v>
      </c>
      <c r="H82" s="3" t="n">
        <v>60486.0</v>
      </c>
      <c r="I82" s="3" t="n">
        <v>62414.0</v>
      </c>
      <c r="J82" s="3" t="n">
        <v>60882.0</v>
      </c>
      <c r="K82" s="3" t="n">
        <v>60646.0</v>
      </c>
      <c r="L82" s="3" t="n">
        <v>58537.0</v>
      </c>
      <c r="M82" s="3" t="n">
        <v>55855.0</v>
      </c>
      <c r="N82" s="3" t="n">
        <v>52197.0</v>
      </c>
      <c r="O82" s="3" t="n">
        <v>48801.0</v>
      </c>
      <c r="P82" s="3" t="n">
        <v>47387.0</v>
      </c>
      <c r="Q82" s="3" t="n">
        <v>47556.0</v>
      </c>
      <c r="R82" s="3" t="n">
        <v>46590.0</v>
      </c>
      <c r="S82" s="3" t="n">
        <v>45582.0</v>
      </c>
      <c r="T82" s="3" t="n">
        <v>45938.0</v>
      </c>
      <c r="U82" s="3" t="n">
        <v>46397.0</v>
      </c>
      <c r="V82" s="3" t="n">
        <v>47417.0</v>
      </c>
      <c r="W82" s="3" t="n">
        <v>48542.0</v>
      </c>
      <c r="X82" s="3" t="n">
        <v>51301.0</v>
      </c>
      <c r="Y82" s="3" t="n">
        <v>53452.0</v>
      </c>
      <c r="Z82" s="3" t="n">
        <v>56626.0</v>
      </c>
      <c r="AA82" s="3" t="n">
        <v>60023.0</v>
      </c>
      <c r="AB82" s="3" t="n">
        <v>63097.0</v>
      </c>
      <c r="AC82" s="3" t="n">
        <v>66475.0</v>
      </c>
      <c r="AD82" s="3" t="n">
        <v>69372.0</v>
      </c>
      <c r="AE82" s="3" t="n">
        <v>69407.0</v>
      </c>
      <c r="AF82" s="3" t="n">
        <v>70276.0</v>
      </c>
      <c r="AG82" s="3" t="n">
        <v>72541.0</v>
      </c>
      <c r="AH82" s="3" t="n">
        <v>72932.0</v>
      </c>
      <c r="AI82" s="3" t="n">
        <v>71200.0</v>
      </c>
      <c r="AJ82" s="3" t="n">
        <v>75032.0</v>
      </c>
      <c r="AK82" s="3" t="n">
        <v>77857.0</v>
      </c>
      <c r="AL82" s="3" t="n">
        <v>75968.0</v>
      </c>
      <c r="AM82" s="3" t="n">
        <v>74648.0</v>
      </c>
      <c r="AN82" s="3" t="n">
        <v>71545.0</v>
      </c>
      <c r="AO82" s="3" t="n">
        <v>68370.0</v>
      </c>
    </row>
    <row r="83" spans="1:41" x14ac:dyDescent="0.2">
      <c r="A83" s="125"/>
      <c r="B83" s="9">
        <v>74</v>
      </c>
      <c r="C83" s="3" t="n">
        <v>49195.0</v>
      </c>
      <c r="D83" s="3" t="n">
        <v>49671.0</v>
      </c>
      <c r="E83" s="3" t="n">
        <v>52558.0</v>
      </c>
      <c r="F83" s="3" t="n">
        <v>55413.0</v>
      </c>
      <c r="G83" s="3" t="n">
        <v>56821.0</v>
      </c>
      <c r="H83" s="3" t="n">
        <v>58722.0</v>
      </c>
      <c r="I83" s="3" t="n">
        <v>58872.0</v>
      </c>
      <c r="J83" s="3" t="n">
        <v>60739.0</v>
      </c>
      <c r="K83" s="3" t="n">
        <v>59257.0</v>
      </c>
      <c r="L83" s="3" t="n">
        <v>59037.0</v>
      </c>
      <c r="M83" s="3" t="n">
        <v>57002.0</v>
      </c>
      <c r="N83" s="3" t="n">
        <v>54400.0</v>
      </c>
      <c r="O83" s="3" t="n">
        <v>50863.0</v>
      </c>
      <c r="P83" s="3" t="n">
        <v>47574.0</v>
      </c>
      <c r="Q83" s="3" t="n">
        <v>46199.0</v>
      </c>
      <c r="R83" s="3" t="n">
        <v>46374.0</v>
      </c>
      <c r="S83" s="3" t="n">
        <v>45440.0</v>
      </c>
      <c r="T83" s="3" t="n">
        <v>44466.0</v>
      </c>
      <c r="U83" s="3" t="n">
        <v>44822.0</v>
      </c>
      <c r="V83" s="3" t="n">
        <v>45271.0</v>
      </c>
      <c r="W83" s="3" t="n">
        <v>46286.0</v>
      </c>
      <c r="X83" s="3" t="n">
        <v>47391.0</v>
      </c>
      <c r="Y83" s="3" t="n">
        <v>50084.0</v>
      </c>
      <c r="Z83" s="3" t="n">
        <v>52187.0</v>
      </c>
      <c r="AA83" s="3" t="n">
        <v>55296.0</v>
      </c>
      <c r="AB83" s="3" t="n">
        <v>58621.0</v>
      </c>
      <c r="AC83" s="3" t="n">
        <v>61637.0</v>
      </c>
      <c r="AD83" s="3" t="n">
        <v>64946.0</v>
      </c>
      <c r="AE83" s="3" t="n">
        <v>67801.0</v>
      </c>
      <c r="AF83" s="3" t="n">
        <v>67836.0</v>
      </c>
      <c r="AG83" s="3" t="n">
        <v>68700.0</v>
      </c>
      <c r="AH83" s="3" t="n">
        <v>70932.0</v>
      </c>
      <c r="AI83" s="3" t="n">
        <v>71335.0</v>
      </c>
      <c r="AJ83" s="3" t="n">
        <v>69659.0</v>
      </c>
      <c r="AK83" s="3" t="n">
        <v>73411.0</v>
      </c>
      <c r="AL83" s="3" t="n">
        <v>76194.0</v>
      </c>
      <c r="AM83" s="3" t="n">
        <v>74352.0</v>
      </c>
      <c r="AN83" s="3" t="n">
        <v>73070.0</v>
      </c>
      <c r="AO83" s="3" t="n">
        <v>70049.0</v>
      </c>
    </row>
    <row r="84" spans="1:41" x14ac:dyDescent="0.2">
      <c r="A84" s="125"/>
      <c r="B84" s="9">
        <v>75</v>
      </c>
      <c r="C84" s="3" t="n">
        <v>45402.0</v>
      </c>
      <c r="D84" s="3" t="n">
        <v>47624.0</v>
      </c>
      <c r="E84" s="3" t="n">
        <v>48113.0</v>
      </c>
      <c r="F84" s="3" t="n">
        <v>50937.0</v>
      </c>
      <c r="G84" s="3" t="n">
        <v>53714.0</v>
      </c>
      <c r="H84" s="3" t="n">
        <v>55119.0</v>
      </c>
      <c r="I84" s="3" t="n">
        <v>56993.0</v>
      </c>
      <c r="J84" s="3" t="n">
        <v>57136.0</v>
      </c>
      <c r="K84" s="3" t="n">
        <v>58958.0</v>
      </c>
      <c r="L84" s="3" t="n">
        <v>57540.0</v>
      </c>
      <c r="M84" s="3" t="n">
        <v>57333.0</v>
      </c>
      <c r="N84" s="3" t="n">
        <v>55378.0</v>
      </c>
      <c r="O84" s="3" t="n">
        <v>52870.0</v>
      </c>
      <c r="P84" s="3" t="n">
        <v>49452.0</v>
      </c>
      <c r="Q84" s="3" t="n">
        <v>46260.0</v>
      </c>
      <c r="R84" s="3" t="n">
        <v>44942.0</v>
      </c>
      <c r="S84" s="3" t="n">
        <v>45111.0</v>
      </c>
      <c r="T84" s="3" t="n">
        <v>44212.0</v>
      </c>
      <c r="U84" s="3" t="n">
        <v>43270.0</v>
      </c>
      <c r="V84" s="3" t="n">
        <v>43634.0</v>
      </c>
      <c r="W84" s="3" t="n">
        <v>44073.0</v>
      </c>
      <c r="X84" s="3" t="n">
        <v>45089.0</v>
      </c>
      <c r="Y84" s="3" t="n">
        <v>46160.0</v>
      </c>
      <c r="Z84" s="3" t="n">
        <v>48786.0</v>
      </c>
      <c r="AA84" s="3" t="n">
        <v>50842.0</v>
      </c>
      <c r="AB84" s="3" t="n">
        <v>53890.0</v>
      </c>
      <c r="AC84" s="3" t="n">
        <v>57138.0</v>
      </c>
      <c r="AD84" s="3" t="n">
        <v>60099.0</v>
      </c>
      <c r="AE84" s="3" t="n">
        <v>63332.0</v>
      </c>
      <c r="AF84" s="3" t="n">
        <v>66125.0</v>
      </c>
      <c r="AG84" s="3" t="n">
        <v>66176.0</v>
      </c>
      <c r="AH84" s="3" t="n">
        <v>67026.0</v>
      </c>
      <c r="AI84" s="3" t="n">
        <v>69220.0</v>
      </c>
      <c r="AJ84" s="3" t="n">
        <v>69628.0</v>
      </c>
      <c r="AK84" s="3" t="n">
        <v>68016.0</v>
      </c>
      <c r="AL84" s="3" t="n">
        <v>71691.0</v>
      </c>
      <c r="AM84" s="3" t="n">
        <v>74416.0</v>
      </c>
      <c r="AN84" s="3" t="n">
        <v>72634.0</v>
      </c>
      <c r="AO84" s="3" t="n">
        <v>71401.0</v>
      </c>
    </row>
    <row r="85" spans="1:41" x14ac:dyDescent="0.2">
      <c r="A85" s="125"/>
      <c r="B85" s="9">
        <v>76</v>
      </c>
      <c r="C85" s="3" t="n">
        <v>40542.0</v>
      </c>
      <c r="D85" s="3" t="n">
        <v>43829.0</v>
      </c>
      <c r="E85" s="3" t="n">
        <v>46003.0</v>
      </c>
      <c r="F85" s="3" t="n">
        <v>46511.0</v>
      </c>
      <c r="G85" s="3" t="n">
        <v>49251.0</v>
      </c>
      <c r="H85" s="3" t="n">
        <v>51973.0</v>
      </c>
      <c r="I85" s="3" t="n">
        <v>53366.0</v>
      </c>
      <c r="J85" s="3" t="n">
        <v>55180.0</v>
      </c>
      <c r="K85" s="3" t="n">
        <v>55331.0</v>
      </c>
      <c r="L85" s="3" t="n">
        <v>57107.0</v>
      </c>
      <c r="M85" s="3" t="n">
        <v>55753.0</v>
      </c>
      <c r="N85" s="3" t="n">
        <v>55567.0</v>
      </c>
      <c r="O85" s="3" t="n">
        <v>53701.0</v>
      </c>
      <c r="P85" s="3" t="n">
        <v>51286.0</v>
      </c>
      <c r="Q85" s="3" t="n">
        <v>47973.0</v>
      </c>
      <c r="R85" s="3" t="n">
        <v>44896.0</v>
      </c>
      <c r="S85" s="3" t="n">
        <v>43623.0</v>
      </c>
      <c r="T85" s="3" t="n">
        <v>43789.0</v>
      </c>
      <c r="U85" s="3" t="n">
        <v>42931.0</v>
      </c>
      <c r="V85" s="3" t="n">
        <v>42026.0</v>
      </c>
      <c r="W85" s="3" t="n">
        <v>42397.0</v>
      </c>
      <c r="X85" s="3" t="n">
        <v>42836.0</v>
      </c>
      <c r="Y85" s="3" t="n">
        <v>43831.0</v>
      </c>
      <c r="Z85" s="3" t="n">
        <v>44867.0</v>
      </c>
      <c r="AA85" s="3" t="n">
        <v>47431.0</v>
      </c>
      <c r="AB85" s="3" t="n">
        <v>49436.0</v>
      </c>
      <c r="AC85" s="3" t="n">
        <v>52413.0</v>
      </c>
      <c r="AD85" s="3" t="n">
        <v>55598.0</v>
      </c>
      <c r="AE85" s="3" t="n">
        <v>58487.0</v>
      </c>
      <c r="AF85" s="3" t="n">
        <v>61660.0</v>
      </c>
      <c r="AG85" s="3" t="n">
        <v>64372.0</v>
      </c>
      <c r="AH85" s="3" t="n">
        <v>64440.0</v>
      </c>
      <c r="AI85" s="3" t="n">
        <v>65278.0</v>
      </c>
      <c r="AJ85" s="3" t="n">
        <v>67431.0</v>
      </c>
      <c r="AK85" s="3" t="n">
        <v>67846.0</v>
      </c>
      <c r="AL85" s="3" t="n">
        <v>66294.0</v>
      </c>
      <c r="AM85" s="3" t="n">
        <v>69879.0</v>
      </c>
      <c r="AN85" s="3" t="n">
        <v>72557.0</v>
      </c>
      <c r="AO85" s="3" t="n">
        <v>70839.0</v>
      </c>
    </row>
    <row r="86" spans="1:41" x14ac:dyDescent="0.2">
      <c r="A86" s="125"/>
      <c r="B86" s="9">
        <v>77</v>
      </c>
      <c r="C86" s="3" t="n">
        <v>29878.0</v>
      </c>
      <c r="D86" s="3" t="n">
        <v>39004.0</v>
      </c>
      <c r="E86" s="3" t="n">
        <v>42212.0</v>
      </c>
      <c r="F86" s="3" t="n">
        <v>44335.0</v>
      </c>
      <c r="G86" s="3" t="n">
        <v>44846.0</v>
      </c>
      <c r="H86" s="3" t="n">
        <v>47522.0</v>
      </c>
      <c r="I86" s="3" t="n">
        <v>50176.0</v>
      </c>
      <c r="J86" s="3" t="n">
        <v>51515.0</v>
      </c>
      <c r="K86" s="3" t="n">
        <v>53276.0</v>
      </c>
      <c r="L86" s="3" t="n">
        <v>53429.0</v>
      </c>
      <c r="M86" s="3" t="n">
        <v>55164.0</v>
      </c>
      <c r="N86" s="3" t="n">
        <v>53881.0</v>
      </c>
      <c r="O86" s="3" t="n">
        <v>53726.0</v>
      </c>
      <c r="P86" s="3" t="n">
        <v>51936.0</v>
      </c>
      <c r="Q86" s="3" t="n">
        <v>49625.0</v>
      </c>
      <c r="R86" s="3" t="n">
        <v>46433.0</v>
      </c>
      <c r="S86" s="3" t="n">
        <v>43470.0</v>
      </c>
      <c r="T86" s="3" t="n">
        <v>42246.0</v>
      </c>
      <c r="U86" s="3" t="n">
        <v>42413.0</v>
      </c>
      <c r="V86" s="3" t="n">
        <v>41595.0</v>
      </c>
      <c r="W86" s="3" t="n">
        <v>40725.0</v>
      </c>
      <c r="X86" s="3" t="n">
        <v>41101.0</v>
      </c>
      <c r="Y86" s="3" t="n">
        <v>41533.0</v>
      </c>
      <c r="Z86" s="3" t="n">
        <v>42506.0</v>
      </c>
      <c r="AA86" s="3" t="n">
        <v>43514.0</v>
      </c>
      <c r="AB86" s="3" t="n">
        <v>46016.0</v>
      </c>
      <c r="AC86" s="3" t="n">
        <v>47971.0</v>
      </c>
      <c r="AD86" s="3" t="n">
        <v>50875.0</v>
      </c>
      <c r="AE86" s="3" t="n">
        <v>53979.0</v>
      </c>
      <c r="AF86" s="3" t="n">
        <v>56790.0</v>
      </c>
      <c r="AG86" s="3" t="n">
        <v>59883.0</v>
      </c>
      <c r="AH86" s="3" t="n">
        <v>62529.0</v>
      </c>
      <c r="AI86" s="3" t="n">
        <v>62599.0</v>
      </c>
      <c r="AJ86" s="3" t="n">
        <v>63438.0</v>
      </c>
      <c r="AK86" s="3" t="n">
        <v>65549.0</v>
      </c>
      <c r="AL86" s="3" t="n">
        <v>65977.0</v>
      </c>
      <c r="AM86" s="3" t="n">
        <v>64468.0</v>
      </c>
      <c r="AN86" s="3" t="n">
        <v>67969.0</v>
      </c>
      <c r="AO86" s="3" t="n">
        <v>70604.0</v>
      </c>
    </row>
    <row r="87" spans="1:41" x14ac:dyDescent="0.2">
      <c r="A87" s="125"/>
      <c r="B87" s="9">
        <v>78</v>
      </c>
      <c r="C87" s="3" t="n">
        <v>28228.0</v>
      </c>
      <c r="D87" s="3" t="n">
        <v>28635.0</v>
      </c>
      <c r="E87" s="3" t="n">
        <v>37419.0</v>
      </c>
      <c r="F87" s="3" t="n">
        <v>40536.0</v>
      </c>
      <c r="G87" s="3" t="n">
        <v>42596.0</v>
      </c>
      <c r="H87" s="3" t="n">
        <v>43124.0</v>
      </c>
      <c r="I87" s="3" t="n">
        <v>45722.0</v>
      </c>
      <c r="J87" s="3" t="n">
        <v>48277.0</v>
      </c>
      <c r="K87" s="3" t="n">
        <v>49578.0</v>
      </c>
      <c r="L87" s="3" t="n">
        <v>51282.0</v>
      </c>
      <c r="M87" s="3" t="n">
        <v>51442.0</v>
      </c>
      <c r="N87" s="3" t="n">
        <v>53135.0</v>
      </c>
      <c r="O87" s="3" t="n">
        <v>51924.0</v>
      </c>
      <c r="P87" s="3" t="n">
        <v>51794.0</v>
      </c>
      <c r="Q87" s="3" t="n">
        <v>50077.0</v>
      </c>
      <c r="R87" s="3" t="n">
        <v>47873.0</v>
      </c>
      <c r="S87" s="3" t="n">
        <v>44805.0</v>
      </c>
      <c r="T87" s="3" t="n">
        <v>41967.0</v>
      </c>
      <c r="U87" s="3" t="n">
        <v>40795.0</v>
      </c>
      <c r="V87" s="3" t="n">
        <v>40962.0</v>
      </c>
      <c r="W87" s="3" t="n">
        <v>40184.0</v>
      </c>
      <c r="X87" s="3" t="n">
        <v>39358.0</v>
      </c>
      <c r="Y87" s="3" t="n">
        <v>39733.0</v>
      </c>
      <c r="Z87" s="3" t="n">
        <v>40149.0</v>
      </c>
      <c r="AA87" s="3" t="n">
        <v>41109.0</v>
      </c>
      <c r="AB87" s="3" t="n">
        <v>42090.0</v>
      </c>
      <c r="AC87" s="3" t="n">
        <v>44520.0</v>
      </c>
      <c r="AD87" s="3" t="n">
        <v>46431.0</v>
      </c>
      <c r="AE87" s="3" t="n">
        <v>49248.0</v>
      </c>
      <c r="AF87" s="3" t="n">
        <v>52262.0</v>
      </c>
      <c r="AG87" s="3" t="n">
        <v>54991.0</v>
      </c>
      <c r="AH87" s="3" t="n">
        <v>58010.0</v>
      </c>
      <c r="AI87" s="3" t="n">
        <v>60589.0</v>
      </c>
      <c r="AJ87" s="3" t="n">
        <v>60669.0</v>
      </c>
      <c r="AK87" s="3" t="n">
        <v>61499.0</v>
      </c>
      <c r="AL87" s="3" t="n">
        <v>63566.0</v>
      </c>
      <c r="AM87" s="3" t="n">
        <v>63982.0</v>
      </c>
      <c r="AN87" s="3" t="n">
        <v>62544.0</v>
      </c>
      <c r="AO87" s="3" t="n">
        <v>65966.0</v>
      </c>
    </row>
    <row r="88" spans="1:41" x14ac:dyDescent="0.2">
      <c r="A88" s="125"/>
      <c r="B88" s="9">
        <v>79</v>
      </c>
      <c r="C88" s="3" t="n">
        <v>25628.0</v>
      </c>
      <c r="D88" s="3" t="n">
        <v>26962.0</v>
      </c>
      <c r="E88" s="3" t="n">
        <v>27372.0</v>
      </c>
      <c r="F88" s="3" t="n">
        <v>35807.0</v>
      </c>
      <c r="G88" s="3" t="n">
        <v>38793.0</v>
      </c>
      <c r="H88" s="3" t="n">
        <v>40810.0</v>
      </c>
      <c r="I88" s="3" t="n">
        <v>41339.0</v>
      </c>
      <c r="J88" s="3" t="n">
        <v>43824.0</v>
      </c>
      <c r="K88" s="3" t="n">
        <v>46288.0</v>
      </c>
      <c r="L88" s="3" t="n">
        <v>47550.0</v>
      </c>
      <c r="M88" s="3" t="n">
        <v>49200.0</v>
      </c>
      <c r="N88" s="3" t="n">
        <v>49353.0</v>
      </c>
      <c r="O88" s="3" t="n">
        <v>51018.0</v>
      </c>
      <c r="P88" s="3" t="n">
        <v>49874.0</v>
      </c>
      <c r="Q88" s="3" t="n">
        <v>49767.0</v>
      </c>
      <c r="R88" s="3" t="n">
        <v>48143.0</v>
      </c>
      <c r="S88" s="3" t="n">
        <v>46040.0</v>
      </c>
      <c r="T88" s="3" t="n">
        <v>43109.0</v>
      </c>
      <c r="U88" s="3" t="n">
        <v>40389.0</v>
      </c>
      <c r="V88" s="3" t="n">
        <v>39270.0</v>
      </c>
      <c r="W88" s="3" t="n">
        <v>39443.0</v>
      </c>
      <c r="X88" s="3" t="n">
        <v>38712.0</v>
      </c>
      <c r="Y88" s="3" t="n">
        <v>37934.0</v>
      </c>
      <c r="Z88" s="3" t="n">
        <v>38291.0</v>
      </c>
      <c r="AA88" s="3" t="n">
        <v>38711.0</v>
      </c>
      <c r="AB88" s="3" t="n">
        <v>39647.0</v>
      </c>
      <c r="AC88" s="3" t="n">
        <v>40596.0</v>
      </c>
      <c r="AD88" s="3" t="n">
        <v>42960.0</v>
      </c>
      <c r="AE88" s="3" t="n">
        <v>44819.0</v>
      </c>
      <c r="AF88" s="3" t="n">
        <v>47546.0</v>
      </c>
      <c r="AG88" s="3" t="n">
        <v>50456.0</v>
      </c>
      <c r="AH88" s="3" t="n">
        <v>53104.0</v>
      </c>
      <c r="AI88" s="3" t="n">
        <v>56038.0</v>
      </c>
      <c r="AJ88" s="3" t="n">
        <v>58548.0</v>
      </c>
      <c r="AK88" s="3" t="n">
        <v>58644.0</v>
      </c>
      <c r="AL88" s="3" t="n">
        <v>59462.0</v>
      </c>
      <c r="AM88" s="3" t="n">
        <v>61481.0</v>
      </c>
      <c r="AN88" s="3" t="n">
        <v>61897.0</v>
      </c>
      <c r="AO88" s="3" t="n">
        <v>60530.0</v>
      </c>
    </row>
    <row r="89" spans="1:41" x14ac:dyDescent="0.2">
      <c r="A89" s="125"/>
      <c r="B89" s="9">
        <v>80</v>
      </c>
      <c r="C89" s="3" t="n">
        <v>23440.0</v>
      </c>
      <c r="D89" s="3" t="n">
        <v>24352.0</v>
      </c>
      <c r="E89" s="3" t="n">
        <v>25647.0</v>
      </c>
      <c r="F89" s="3" t="n">
        <v>26054.0</v>
      </c>
      <c r="G89" s="3" t="n">
        <v>34109.0</v>
      </c>
      <c r="H89" s="3" t="n">
        <v>36988.0</v>
      </c>
      <c r="I89" s="3" t="n">
        <v>38951.0</v>
      </c>
      <c r="J89" s="3" t="n">
        <v>39448.0</v>
      </c>
      <c r="K89" s="3" t="n">
        <v>41840.0</v>
      </c>
      <c r="L89" s="3" t="n">
        <v>44207.0</v>
      </c>
      <c r="M89" s="3" t="n">
        <v>45427.0</v>
      </c>
      <c r="N89" s="3" t="n">
        <v>47019.0</v>
      </c>
      <c r="O89" s="3" t="n">
        <v>47186.0</v>
      </c>
      <c r="P89" s="3" t="n">
        <v>48798.0</v>
      </c>
      <c r="Q89" s="3" t="n">
        <v>47724.0</v>
      </c>
      <c r="R89" s="3" t="n">
        <v>47646.0</v>
      </c>
      <c r="S89" s="3" t="n">
        <v>46110.0</v>
      </c>
      <c r="T89" s="3" t="n">
        <v>44125.0</v>
      </c>
      <c r="U89" s="3" t="n">
        <v>41321.0</v>
      </c>
      <c r="V89" s="3" t="n">
        <v>38735.0</v>
      </c>
      <c r="W89" s="3" t="n">
        <v>37677.0</v>
      </c>
      <c r="X89" s="3" t="n">
        <v>37864.0</v>
      </c>
      <c r="Y89" s="3" t="n">
        <v>37177.0</v>
      </c>
      <c r="Z89" s="3" t="n">
        <v>36427.0</v>
      </c>
      <c r="AA89" s="3" t="n">
        <v>36776.0</v>
      </c>
      <c r="AB89" s="3" t="n">
        <v>37190.0</v>
      </c>
      <c r="AC89" s="3" t="n">
        <v>38106.0</v>
      </c>
      <c r="AD89" s="3" t="n">
        <v>39027.0</v>
      </c>
      <c r="AE89" s="3" t="n">
        <v>41322.0</v>
      </c>
      <c r="AF89" s="3" t="n">
        <v>43117.0</v>
      </c>
      <c r="AG89" s="3" t="n">
        <v>45748.0</v>
      </c>
      <c r="AH89" s="3" t="n">
        <v>48562.0</v>
      </c>
      <c r="AI89" s="3" t="n">
        <v>51111.0</v>
      </c>
      <c r="AJ89" s="3" t="n">
        <v>53955.0</v>
      </c>
      <c r="AK89" s="3" t="n">
        <v>56389.0</v>
      </c>
      <c r="AL89" s="3" t="n">
        <v>56504.0</v>
      </c>
      <c r="AM89" s="3" t="n">
        <v>57302.0</v>
      </c>
      <c r="AN89" s="3" t="n">
        <v>59264.0</v>
      </c>
      <c r="AO89" s="3" t="n">
        <v>59704.0</v>
      </c>
    </row>
    <row r="90" spans="1:41" x14ac:dyDescent="0.2">
      <c r="A90" s="125"/>
      <c r="B90" s="9">
        <v>81</v>
      </c>
      <c r="C90" s="3" t="n">
        <v>23441.0</v>
      </c>
      <c r="D90" s="3" t="n">
        <v>22144.0</v>
      </c>
      <c r="E90" s="3" t="n">
        <v>23028.0</v>
      </c>
      <c r="F90" s="3" t="n">
        <v>24280.0</v>
      </c>
      <c r="G90" s="3" t="n">
        <v>24669.0</v>
      </c>
      <c r="H90" s="3" t="n">
        <v>32340.0</v>
      </c>
      <c r="I90" s="3" t="n">
        <v>35098.0</v>
      </c>
      <c r="J90" s="3" t="n">
        <v>36955.0</v>
      </c>
      <c r="K90" s="3" t="n">
        <v>37444.0</v>
      </c>
      <c r="L90" s="3" t="n">
        <v>39729.0</v>
      </c>
      <c r="M90" s="3" t="n">
        <v>41997.0</v>
      </c>
      <c r="N90" s="3" t="n">
        <v>43168.0</v>
      </c>
      <c r="O90" s="3" t="n">
        <v>44716.0</v>
      </c>
      <c r="P90" s="3" t="n">
        <v>44886.0</v>
      </c>
      <c r="Q90" s="3" t="n">
        <v>46435.0</v>
      </c>
      <c r="R90" s="3" t="n">
        <v>45449.0</v>
      </c>
      <c r="S90" s="3" t="n">
        <v>45396.0</v>
      </c>
      <c r="T90" s="3" t="n">
        <v>43955.0</v>
      </c>
      <c r="U90" s="3" t="n">
        <v>42069.0</v>
      </c>
      <c r="V90" s="3" t="n">
        <v>39419.0</v>
      </c>
      <c r="W90" s="3" t="n">
        <v>36963.0</v>
      </c>
      <c r="X90" s="3" t="n">
        <v>35968.0</v>
      </c>
      <c r="Y90" s="3" t="n">
        <v>36160.0</v>
      </c>
      <c r="Z90" s="3" t="n">
        <v>35506.0</v>
      </c>
      <c r="AA90" s="3" t="n">
        <v>34810.0</v>
      </c>
      <c r="AB90" s="3" t="n">
        <v>35149.0</v>
      </c>
      <c r="AC90" s="3" t="n">
        <v>35556.0</v>
      </c>
      <c r="AD90" s="3" t="n">
        <v>36446.0</v>
      </c>
      <c r="AE90" s="3" t="n">
        <v>37341.0</v>
      </c>
      <c r="AF90" s="3" t="n">
        <v>39554.0</v>
      </c>
      <c r="AG90" s="3" t="n">
        <v>41277.0</v>
      </c>
      <c r="AH90" s="3" t="n">
        <v>43818.0</v>
      </c>
      <c r="AI90" s="3" t="n">
        <v>46527.0</v>
      </c>
      <c r="AJ90" s="3" t="n">
        <v>48975.0</v>
      </c>
      <c r="AK90" s="3" t="n">
        <v>51720.0</v>
      </c>
      <c r="AL90" s="3" t="n">
        <v>54080.0</v>
      </c>
      <c r="AM90" s="3" t="n">
        <v>54192.0</v>
      </c>
      <c r="AN90" s="3" t="n">
        <v>54982.0</v>
      </c>
      <c r="AO90" s="3" t="n">
        <v>56903.0</v>
      </c>
    </row>
    <row r="91" spans="1:41" x14ac:dyDescent="0.2">
      <c r="A91" s="125"/>
      <c r="B91" s="9">
        <v>82</v>
      </c>
      <c r="C91" s="3" t="n">
        <v>23116.0</v>
      </c>
      <c r="D91" s="3" t="n">
        <v>21980.0</v>
      </c>
      <c r="E91" s="3" t="n">
        <v>20781.0</v>
      </c>
      <c r="F91" s="3" t="n">
        <v>21635.0</v>
      </c>
      <c r="G91" s="3" t="n">
        <v>22826.0</v>
      </c>
      <c r="H91" s="3" t="n">
        <v>23221.0</v>
      </c>
      <c r="I91" s="3" t="n">
        <v>30463.0</v>
      </c>
      <c r="J91" s="3" t="n">
        <v>33074.0</v>
      </c>
      <c r="K91" s="3" t="n">
        <v>34837.0</v>
      </c>
      <c r="L91" s="3" t="n">
        <v>35307.0</v>
      </c>
      <c r="M91" s="3" t="n">
        <v>37479.0</v>
      </c>
      <c r="N91" s="3" t="n">
        <v>39637.0</v>
      </c>
      <c r="O91" s="3" t="n">
        <v>40772.0</v>
      </c>
      <c r="P91" s="3" t="n">
        <v>42253.0</v>
      </c>
      <c r="Q91" s="3" t="n">
        <v>42433.0</v>
      </c>
      <c r="R91" s="3" t="n">
        <v>43923.0</v>
      </c>
      <c r="S91" s="3" t="n">
        <v>43021.0</v>
      </c>
      <c r="T91" s="3" t="n">
        <v>42979.0</v>
      </c>
      <c r="U91" s="3" t="n">
        <v>41643.0</v>
      </c>
      <c r="V91" s="3" t="n">
        <v>39868.0</v>
      </c>
      <c r="W91" s="3" t="n">
        <v>37376.0</v>
      </c>
      <c r="X91" s="3" t="n">
        <v>35078.0</v>
      </c>
      <c r="Y91" s="3" t="n">
        <v>34142.0</v>
      </c>
      <c r="Z91" s="3" t="n">
        <v>34327.0</v>
      </c>
      <c r="AA91" s="3" t="n">
        <v>33722.0</v>
      </c>
      <c r="AB91" s="3" t="n">
        <v>33075.0</v>
      </c>
      <c r="AC91" s="3" t="n">
        <v>33414.0</v>
      </c>
      <c r="AD91" s="3" t="n">
        <v>33816.0</v>
      </c>
      <c r="AE91" s="3" t="n">
        <v>34677.0</v>
      </c>
      <c r="AF91" s="3" t="n">
        <v>35545.0</v>
      </c>
      <c r="AG91" s="3" t="n">
        <v>37649.0</v>
      </c>
      <c r="AH91" s="3" t="n">
        <v>39303.0</v>
      </c>
      <c r="AI91" s="3" t="n">
        <v>41741.0</v>
      </c>
      <c r="AJ91" s="3" t="n">
        <v>44341.0</v>
      </c>
      <c r="AK91" s="3" t="n">
        <v>46694.0</v>
      </c>
      <c r="AL91" s="3" t="n">
        <v>49331.0</v>
      </c>
      <c r="AM91" s="3" t="n">
        <v>51583.0</v>
      </c>
      <c r="AN91" s="3" t="n">
        <v>51721.0</v>
      </c>
      <c r="AO91" s="3" t="n">
        <v>52500.0</v>
      </c>
    </row>
    <row r="92" spans="1:41" x14ac:dyDescent="0.2">
      <c r="A92" s="125"/>
      <c r="B92" s="9">
        <v>83</v>
      </c>
      <c r="C92" s="3" t="n">
        <v>22279.0</v>
      </c>
      <c r="D92" s="3" t="n">
        <v>21470.0</v>
      </c>
      <c r="E92" s="3" t="n">
        <v>20439.0</v>
      </c>
      <c r="F92" s="3" t="n">
        <v>19353.0</v>
      </c>
      <c r="G92" s="3" t="n">
        <v>20160.0</v>
      </c>
      <c r="H92" s="3" t="n">
        <v>21299.0</v>
      </c>
      <c r="I92" s="3" t="n">
        <v>21696.0</v>
      </c>
      <c r="J92" s="3" t="n">
        <v>28457.0</v>
      </c>
      <c r="K92" s="3" t="n">
        <v>30916.0</v>
      </c>
      <c r="L92" s="3" t="n">
        <v>32589.0</v>
      </c>
      <c r="M92" s="3" t="n">
        <v>33031.0</v>
      </c>
      <c r="N92" s="3" t="n">
        <v>35083.0</v>
      </c>
      <c r="O92" s="3" t="n">
        <v>37127.0</v>
      </c>
      <c r="P92" s="3" t="n">
        <v>38205.0</v>
      </c>
      <c r="Q92" s="3" t="n">
        <v>39634.0</v>
      </c>
      <c r="R92" s="3" t="n">
        <v>39832.0</v>
      </c>
      <c r="S92" s="3" t="n">
        <v>41245.0</v>
      </c>
      <c r="T92" s="3" t="n">
        <v>40428.0</v>
      </c>
      <c r="U92" s="3" t="n">
        <v>40411.0</v>
      </c>
      <c r="V92" s="3" t="n">
        <v>39170.0</v>
      </c>
      <c r="W92" s="3" t="n">
        <v>37520.0</v>
      </c>
      <c r="X92" s="3" t="n">
        <v>35199.0</v>
      </c>
      <c r="Y92" s="3" t="n">
        <v>33054.0</v>
      </c>
      <c r="Z92" s="3" t="n">
        <v>32176.0</v>
      </c>
      <c r="AA92" s="3" t="n">
        <v>32368.0</v>
      </c>
      <c r="AB92" s="3" t="n">
        <v>31812.0</v>
      </c>
      <c r="AC92" s="3" t="n">
        <v>31216.0</v>
      </c>
      <c r="AD92" s="3" t="n">
        <v>31555.0</v>
      </c>
      <c r="AE92" s="3" t="n">
        <v>31943.0</v>
      </c>
      <c r="AF92" s="3" t="n">
        <v>32780.0</v>
      </c>
      <c r="AG92" s="3" t="n">
        <v>33603.0</v>
      </c>
      <c r="AH92" s="3" t="n">
        <v>35610.0</v>
      </c>
      <c r="AI92" s="3" t="n">
        <v>37188.0</v>
      </c>
      <c r="AJ92" s="3" t="n">
        <v>39509.0</v>
      </c>
      <c r="AK92" s="3" t="n">
        <v>41989.0</v>
      </c>
      <c r="AL92" s="3" t="n">
        <v>44256.0</v>
      </c>
      <c r="AM92" s="3" t="n">
        <v>46756.0</v>
      </c>
      <c r="AN92" s="3" t="n">
        <v>48915.0</v>
      </c>
      <c r="AO92" s="3" t="n">
        <v>49083.0</v>
      </c>
    </row>
    <row r="93" spans="1:41" x14ac:dyDescent="0.2">
      <c r="A93" s="125"/>
      <c r="B93" s="9">
        <v>84</v>
      </c>
      <c r="C93" s="3" t="n">
        <v>21178.0</v>
      </c>
      <c r="D93" s="3" t="n">
        <v>20477.0</v>
      </c>
      <c r="E93" s="3" t="n">
        <v>19760.0</v>
      </c>
      <c r="F93" s="3" t="n">
        <v>18845.0</v>
      </c>
      <c r="G93" s="3" t="n">
        <v>17856.0</v>
      </c>
      <c r="H93" s="3" t="n">
        <v>18619.0</v>
      </c>
      <c r="I93" s="3" t="n">
        <v>19702.0</v>
      </c>
      <c r="J93" s="3" t="n">
        <v>20073.0</v>
      </c>
      <c r="K93" s="3" t="n">
        <v>26348.0</v>
      </c>
      <c r="L93" s="3" t="n">
        <v>28642.0</v>
      </c>
      <c r="M93" s="3" t="n">
        <v>30214.0</v>
      </c>
      <c r="N93" s="3" t="n">
        <v>30640.0</v>
      </c>
      <c r="O93" s="3" t="n">
        <v>32579.0</v>
      </c>
      <c r="P93" s="3" t="n">
        <v>34491.0</v>
      </c>
      <c r="Q93" s="3" t="n">
        <v>35512.0</v>
      </c>
      <c r="R93" s="3" t="n">
        <v>36866.0</v>
      </c>
      <c r="S93" s="3" t="n">
        <v>37071.0</v>
      </c>
      <c r="T93" s="3" t="n">
        <v>38416.0</v>
      </c>
      <c r="U93" s="3" t="n">
        <v>37681.0</v>
      </c>
      <c r="V93" s="3" t="n">
        <v>37690.0</v>
      </c>
      <c r="W93" s="3" t="n">
        <v>36557.0</v>
      </c>
      <c r="X93" s="3" t="n">
        <v>35043.0</v>
      </c>
      <c r="Y93" s="3" t="n">
        <v>32902.0</v>
      </c>
      <c r="Z93" s="3" t="n">
        <v>30892.0</v>
      </c>
      <c r="AA93" s="3" t="n">
        <v>30095.0</v>
      </c>
      <c r="AB93" s="3" t="n">
        <v>30290.0</v>
      </c>
      <c r="AC93" s="3" t="n">
        <v>29784.0</v>
      </c>
      <c r="AD93" s="3" t="n">
        <v>29255.0</v>
      </c>
      <c r="AE93" s="3" t="n">
        <v>29585.0</v>
      </c>
      <c r="AF93" s="3" t="n">
        <v>29960.0</v>
      </c>
      <c r="AG93" s="3" t="n">
        <v>30749.0</v>
      </c>
      <c r="AH93" s="3" t="n">
        <v>31546.0</v>
      </c>
      <c r="AI93" s="3" t="n">
        <v>33442.0</v>
      </c>
      <c r="AJ93" s="3" t="n">
        <v>34943.0</v>
      </c>
      <c r="AK93" s="3" t="n">
        <v>37143.0</v>
      </c>
      <c r="AL93" s="3" t="n">
        <v>39496.0</v>
      </c>
      <c r="AM93" s="3" t="n">
        <v>41625.0</v>
      </c>
      <c r="AN93" s="3" t="n">
        <v>44013.0</v>
      </c>
      <c r="AO93" s="3" t="n">
        <v>46079.0</v>
      </c>
    </row>
    <row r="94" spans="1:41" x14ac:dyDescent="0.2">
      <c r="A94" s="125"/>
      <c r="B94" s="9">
        <v>85</v>
      </c>
      <c r="C94" s="3" t="n">
        <v>19621.0</v>
      </c>
      <c r="D94" s="3" t="n">
        <v>19276.0</v>
      </c>
      <c r="E94" s="3" t="n">
        <v>18670.0</v>
      </c>
      <c r="F94" s="3" t="n">
        <v>18045.0</v>
      </c>
      <c r="G94" s="3" t="n">
        <v>17223.0</v>
      </c>
      <c r="H94" s="3" t="n">
        <v>16358.0</v>
      </c>
      <c r="I94" s="3" t="n">
        <v>17068.0</v>
      </c>
      <c r="J94" s="3" t="n">
        <v>18068.0</v>
      </c>
      <c r="K94" s="3" t="n">
        <v>18406.0</v>
      </c>
      <c r="L94" s="3" t="n">
        <v>24181.0</v>
      </c>
      <c r="M94" s="3" t="n">
        <v>26304.0</v>
      </c>
      <c r="N94" s="3" t="n">
        <v>27777.0</v>
      </c>
      <c r="O94" s="3" t="n">
        <v>28192.0</v>
      </c>
      <c r="P94" s="3" t="n">
        <v>29993.0</v>
      </c>
      <c r="Q94" s="3" t="n">
        <v>31782.0</v>
      </c>
      <c r="R94" s="3" t="n">
        <v>32755.0</v>
      </c>
      <c r="S94" s="3" t="n">
        <v>34028.0</v>
      </c>
      <c r="T94" s="3" t="n">
        <v>34240.0</v>
      </c>
      <c r="U94" s="3" t="n">
        <v>35507.0</v>
      </c>
      <c r="V94" s="3" t="n">
        <v>34858.0</v>
      </c>
      <c r="W94" s="3" t="n">
        <v>34879.0</v>
      </c>
      <c r="X94" s="3" t="n">
        <v>33875.0</v>
      </c>
      <c r="Y94" s="3" t="n">
        <v>32488.0</v>
      </c>
      <c r="Z94" s="3" t="n">
        <v>30511.0</v>
      </c>
      <c r="AA94" s="3" t="n">
        <v>28678.0</v>
      </c>
      <c r="AB94" s="3" t="n">
        <v>27952.0</v>
      </c>
      <c r="AC94" s="3" t="n">
        <v>28145.0</v>
      </c>
      <c r="AD94" s="3" t="n">
        <v>27700.0</v>
      </c>
      <c r="AE94" s="3" t="n">
        <v>27225.0</v>
      </c>
      <c r="AF94" s="3" t="n">
        <v>27550.0</v>
      </c>
      <c r="AG94" s="3" t="n">
        <v>27900.0</v>
      </c>
      <c r="AH94" s="3" t="n">
        <v>28656.0</v>
      </c>
      <c r="AI94" s="3" t="n">
        <v>29403.0</v>
      </c>
      <c r="AJ94" s="3" t="n">
        <v>31195.0</v>
      </c>
      <c r="AK94" s="3" t="n">
        <v>32609.0</v>
      </c>
      <c r="AL94" s="3" t="n">
        <v>34684.0</v>
      </c>
      <c r="AM94" s="3" t="n">
        <v>36890.0</v>
      </c>
      <c r="AN94" s="3" t="n">
        <v>38897.0</v>
      </c>
      <c r="AO94" s="3" t="n">
        <v>41175.0</v>
      </c>
    </row>
    <row r="95" spans="1:41" x14ac:dyDescent="0.2">
      <c r="A95" s="125"/>
      <c r="B95" s="9">
        <v>86</v>
      </c>
      <c r="C95" s="3" t="n">
        <v>18245.0</v>
      </c>
      <c r="D95" s="3" t="n">
        <v>17644.0</v>
      </c>
      <c r="E95" s="3" t="n">
        <v>17374.0</v>
      </c>
      <c r="F95" s="3" t="n">
        <v>16860.0</v>
      </c>
      <c r="G95" s="3" t="n">
        <v>16306.0</v>
      </c>
      <c r="H95" s="3" t="n">
        <v>15593.0</v>
      </c>
      <c r="I95" s="3" t="n">
        <v>14834.0</v>
      </c>
      <c r="J95" s="3" t="n">
        <v>15479.0</v>
      </c>
      <c r="K95" s="3" t="n">
        <v>16403.0</v>
      </c>
      <c r="L95" s="3" t="n">
        <v>16721.0</v>
      </c>
      <c r="M95" s="3" t="n">
        <v>21990.0</v>
      </c>
      <c r="N95" s="3" t="n">
        <v>23937.0</v>
      </c>
      <c r="O95" s="3" t="n">
        <v>25303.0</v>
      </c>
      <c r="P95" s="3" t="n">
        <v>25704.0</v>
      </c>
      <c r="Q95" s="3" t="n">
        <v>27363.0</v>
      </c>
      <c r="R95" s="3" t="n">
        <v>29030.0</v>
      </c>
      <c r="S95" s="3" t="n">
        <v>29944.0</v>
      </c>
      <c r="T95" s="3" t="n">
        <v>31125.0</v>
      </c>
      <c r="U95" s="3" t="n">
        <v>31347.0</v>
      </c>
      <c r="V95" s="3" t="n">
        <v>32534.0</v>
      </c>
      <c r="W95" s="3" t="n">
        <v>31969.0</v>
      </c>
      <c r="X95" s="3" t="n">
        <v>32021.0</v>
      </c>
      <c r="Y95" s="3" t="n">
        <v>31118.0</v>
      </c>
      <c r="Z95" s="3" t="n">
        <v>29850.0</v>
      </c>
      <c r="AA95" s="3" t="n">
        <v>28056.0</v>
      </c>
      <c r="AB95" s="3" t="n">
        <v>26393.0</v>
      </c>
      <c r="AC95" s="3" t="n">
        <v>25745.0</v>
      </c>
      <c r="AD95" s="3" t="n">
        <v>25949.0</v>
      </c>
      <c r="AE95" s="3" t="n">
        <v>25552.0</v>
      </c>
      <c r="AF95" s="3" t="n">
        <v>25129.0</v>
      </c>
      <c r="AG95" s="3" t="n">
        <v>25432.0</v>
      </c>
      <c r="AH95" s="3" t="n">
        <v>25778.0</v>
      </c>
      <c r="AI95" s="3" t="n">
        <v>26489.0</v>
      </c>
      <c r="AJ95" s="3" t="n">
        <v>27202.0</v>
      </c>
      <c r="AK95" s="3" t="n">
        <v>28880.0</v>
      </c>
      <c r="AL95" s="3" t="n">
        <v>30210.0</v>
      </c>
      <c r="AM95" s="3" t="n">
        <v>32134.0</v>
      </c>
      <c r="AN95" s="3" t="n">
        <v>34207.0</v>
      </c>
      <c r="AO95" s="3" t="n">
        <v>36098.0</v>
      </c>
    </row>
    <row r="96" spans="1:41" x14ac:dyDescent="0.2">
      <c r="A96" s="125"/>
      <c r="B96" s="9">
        <v>87</v>
      </c>
      <c r="C96" s="3" t="n">
        <v>15939.0</v>
      </c>
      <c r="D96" s="3" t="n">
        <v>16248.0</v>
      </c>
      <c r="E96" s="3" t="n">
        <v>15742.0</v>
      </c>
      <c r="F96" s="3" t="n">
        <v>15537.0</v>
      </c>
      <c r="G96" s="3" t="n">
        <v>15090.0</v>
      </c>
      <c r="H96" s="3" t="n">
        <v>14627.0</v>
      </c>
      <c r="I96" s="3" t="n">
        <v>14017.0</v>
      </c>
      <c r="J96" s="3" t="n">
        <v>13333.0</v>
      </c>
      <c r="K96" s="3" t="n">
        <v>13927.0</v>
      </c>
      <c r="L96" s="3" t="n">
        <v>14769.0</v>
      </c>
      <c r="M96" s="3" t="n">
        <v>15067.0</v>
      </c>
      <c r="N96" s="3" t="n">
        <v>19824.0</v>
      </c>
      <c r="O96" s="3" t="n">
        <v>21608.0</v>
      </c>
      <c r="P96" s="3" t="n">
        <v>22869.0</v>
      </c>
      <c r="Q96" s="3" t="n">
        <v>23249.0</v>
      </c>
      <c r="R96" s="3" t="n">
        <v>24779.0</v>
      </c>
      <c r="S96" s="3" t="n">
        <v>26310.0</v>
      </c>
      <c r="T96" s="3" t="n">
        <v>27162.0</v>
      </c>
      <c r="U96" s="3" t="n">
        <v>28262.0</v>
      </c>
      <c r="V96" s="3" t="n">
        <v>28480.0</v>
      </c>
      <c r="W96" s="3" t="n">
        <v>29586.0</v>
      </c>
      <c r="X96" s="3" t="n">
        <v>29111.0</v>
      </c>
      <c r="Y96" s="3" t="n">
        <v>29182.0</v>
      </c>
      <c r="Z96" s="3" t="n">
        <v>28374.0</v>
      </c>
      <c r="AA96" s="3" t="n">
        <v>27242.0</v>
      </c>
      <c r="AB96" s="3" t="n">
        <v>25620.0</v>
      </c>
      <c r="AC96" s="3" t="n">
        <v>24121.0</v>
      </c>
      <c r="AD96" s="3" t="n">
        <v>23557.0</v>
      </c>
      <c r="AE96" s="3" t="n">
        <v>23763.0</v>
      </c>
      <c r="AF96" s="3" t="n">
        <v>23409.0</v>
      </c>
      <c r="AG96" s="3" t="n">
        <v>23033.0</v>
      </c>
      <c r="AH96" s="3" t="n">
        <v>23318.0</v>
      </c>
      <c r="AI96" s="3" t="n">
        <v>23672.0</v>
      </c>
      <c r="AJ96" s="3" t="n">
        <v>24333.0</v>
      </c>
      <c r="AK96" s="3" t="n">
        <v>25006.0</v>
      </c>
      <c r="AL96" s="3" t="n">
        <v>26564.0</v>
      </c>
      <c r="AM96" s="3" t="n">
        <v>27805.0</v>
      </c>
      <c r="AN96" s="3" t="n">
        <v>29581.0</v>
      </c>
      <c r="AO96" s="3" t="n">
        <v>31524.0</v>
      </c>
    </row>
    <row r="97" spans="1:41" x14ac:dyDescent="0.2">
      <c r="A97" s="125"/>
      <c r="B97" s="9">
        <v>88</v>
      </c>
      <c r="C97" s="3" t="n">
        <v>13772.0</v>
      </c>
      <c r="D97" s="3" t="n">
        <v>14036.0</v>
      </c>
      <c r="E97" s="3" t="n">
        <v>14342.0</v>
      </c>
      <c r="F97" s="3" t="n">
        <v>13919.0</v>
      </c>
      <c r="G97" s="3" t="n">
        <v>13764.0</v>
      </c>
      <c r="H97" s="3" t="n">
        <v>13396.0</v>
      </c>
      <c r="I97" s="3" t="n">
        <v>13006.0</v>
      </c>
      <c r="J97" s="3" t="n">
        <v>12469.0</v>
      </c>
      <c r="K97" s="3" t="n">
        <v>11866.0</v>
      </c>
      <c r="L97" s="3" t="n">
        <v>12400.0</v>
      </c>
      <c r="M97" s="3" t="n">
        <v>13169.0</v>
      </c>
      <c r="N97" s="3" t="n">
        <v>13450.0</v>
      </c>
      <c r="O97" s="3" t="n">
        <v>17710.0</v>
      </c>
      <c r="P97" s="3" t="n">
        <v>19331.0</v>
      </c>
      <c r="Q97" s="3" t="n">
        <v>20476.0</v>
      </c>
      <c r="R97" s="3" t="n">
        <v>20844.0</v>
      </c>
      <c r="S97" s="3" t="n">
        <v>22240.0</v>
      </c>
      <c r="T97" s="3" t="n">
        <v>23638.0</v>
      </c>
      <c r="U97" s="3" t="n">
        <v>24429.0</v>
      </c>
      <c r="V97" s="3" t="n">
        <v>25437.0</v>
      </c>
      <c r="W97" s="3" t="n">
        <v>25658.0</v>
      </c>
      <c r="X97" s="3" t="n">
        <v>26687.0</v>
      </c>
      <c r="Y97" s="3" t="n">
        <v>26268.0</v>
      </c>
      <c r="Z97" s="3" t="n">
        <v>26352.0</v>
      </c>
      <c r="AA97" s="3" t="n">
        <v>25650.0</v>
      </c>
      <c r="AB97" s="3" t="n">
        <v>24650.0</v>
      </c>
      <c r="AC97" s="3" t="n">
        <v>23193.0</v>
      </c>
      <c r="AD97" s="3" t="n">
        <v>21872.0</v>
      </c>
      <c r="AE97" s="3" t="n">
        <v>21375.0</v>
      </c>
      <c r="AF97" s="3" t="n">
        <v>21580.0</v>
      </c>
      <c r="AG97" s="3" t="n">
        <v>21269.0</v>
      </c>
      <c r="AH97" s="3" t="n">
        <v>20942.0</v>
      </c>
      <c r="AI97" s="3" t="n">
        <v>21222.0</v>
      </c>
      <c r="AJ97" s="3" t="n">
        <v>21560.0</v>
      </c>
      <c r="AK97" s="3" t="n">
        <v>22179.0</v>
      </c>
      <c r="AL97" s="3" t="n">
        <v>22808.0</v>
      </c>
      <c r="AM97" s="3" t="n">
        <v>24236.0</v>
      </c>
      <c r="AN97" s="3" t="n">
        <v>25392.0</v>
      </c>
      <c r="AO97" s="3" t="n">
        <v>27037.0</v>
      </c>
    </row>
    <row r="98" spans="1:41" x14ac:dyDescent="0.2">
      <c r="A98" s="125"/>
      <c r="B98" s="9">
        <v>89</v>
      </c>
      <c r="C98" s="3" t="n">
        <v>11568.0</v>
      </c>
      <c r="D98" s="3" t="n">
        <v>11964.0</v>
      </c>
      <c r="E98" s="3" t="n">
        <v>12219.0</v>
      </c>
      <c r="F98" s="3" t="n">
        <v>12522.0</v>
      </c>
      <c r="G98" s="3" t="n">
        <v>12163.0</v>
      </c>
      <c r="H98" s="3" t="n">
        <v>12063.0</v>
      </c>
      <c r="I98" s="3" t="n">
        <v>11761.0</v>
      </c>
      <c r="J98" s="3" t="n">
        <v>11419.0</v>
      </c>
      <c r="K98" s="3" t="n">
        <v>10971.0</v>
      </c>
      <c r="L98" s="3" t="n">
        <v>10456.0</v>
      </c>
      <c r="M98" s="3" t="n">
        <v>10929.0</v>
      </c>
      <c r="N98" s="3" t="n">
        <v>11618.0</v>
      </c>
      <c r="O98" s="3" t="n">
        <v>11885.0</v>
      </c>
      <c r="P98" s="3" t="n">
        <v>15673.0</v>
      </c>
      <c r="Q98" s="3" t="n">
        <v>17120.0</v>
      </c>
      <c r="R98" s="3" t="n">
        <v>18165.0</v>
      </c>
      <c r="S98" s="3" t="n">
        <v>18505.0</v>
      </c>
      <c r="T98" s="3" t="n">
        <v>19767.0</v>
      </c>
      <c r="U98" s="3" t="n">
        <v>21034.0</v>
      </c>
      <c r="V98" s="3" t="n">
        <v>21750.0</v>
      </c>
      <c r="W98" s="3" t="n">
        <v>22676.0</v>
      </c>
      <c r="X98" s="3" t="n">
        <v>22897.0</v>
      </c>
      <c r="Y98" s="3" t="n">
        <v>23844.0</v>
      </c>
      <c r="Z98" s="3" t="n">
        <v>23479.0</v>
      </c>
      <c r="AA98" s="3" t="n">
        <v>23566.0</v>
      </c>
      <c r="AB98" s="3" t="n">
        <v>22969.0</v>
      </c>
      <c r="AC98" s="3" t="n">
        <v>22098.0</v>
      </c>
      <c r="AD98" s="3" t="n">
        <v>20827.0</v>
      </c>
      <c r="AE98" s="3" t="n">
        <v>19662.0</v>
      </c>
      <c r="AF98" s="3" t="n">
        <v>19228.0</v>
      </c>
      <c r="AG98" s="3" t="n">
        <v>19424.0</v>
      </c>
      <c r="AH98" s="3" t="n">
        <v>19155.0</v>
      </c>
      <c r="AI98" s="3" t="n">
        <v>18879.0</v>
      </c>
      <c r="AJ98" s="3" t="n">
        <v>19142.0</v>
      </c>
      <c r="AK98" s="3" t="n">
        <v>19465.0</v>
      </c>
      <c r="AL98" s="3" t="n">
        <v>20055.0</v>
      </c>
      <c r="AM98" s="3" t="n">
        <v>20621.0</v>
      </c>
      <c r="AN98" s="3" t="n">
        <v>21930.0</v>
      </c>
      <c r="AO98" s="3" t="n">
        <v>23003.0</v>
      </c>
    </row>
    <row r="99" spans="1:41" x14ac:dyDescent="0.2">
      <c r="A99" s="125"/>
      <c r="B99" s="9">
        <v>90</v>
      </c>
      <c r="C99" s="3" t="n">
        <v>10319.0</v>
      </c>
      <c r="D99" s="3" t="n">
        <v>9911.0</v>
      </c>
      <c r="E99" s="3" t="n">
        <v>10272.0</v>
      </c>
      <c r="F99" s="3" t="n">
        <v>10517.0</v>
      </c>
      <c r="G99" s="3" t="n">
        <v>10803.0</v>
      </c>
      <c r="H99" s="3" t="n">
        <v>10522.0</v>
      </c>
      <c r="I99" s="3" t="n">
        <v>10452.0</v>
      </c>
      <c r="J99" s="3" t="n">
        <v>10209.0</v>
      </c>
      <c r="K99" s="3" t="n">
        <v>9907.0</v>
      </c>
      <c r="L99" s="3" t="n">
        <v>9544.0</v>
      </c>
      <c r="M99" s="3" t="n">
        <v>9103.0</v>
      </c>
      <c r="N99" s="3" t="n">
        <v>9529.0</v>
      </c>
      <c r="O99" s="3" t="n">
        <v>10142.0</v>
      </c>
      <c r="P99" s="3" t="n">
        <v>10390.0</v>
      </c>
      <c r="Q99" s="3" t="n">
        <v>13720.0</v>
      </c>
      <c r="R99" s="3" t="n">
        <v>15015.0</v>
      </c>
      <c r="S99" s="3" t="n">
        <v>15946.0</v>
      </c>
      <c r="T99" s="3" t="n">
        <v>16268.0</v>
      </c>
      <c r="U99" s="3" t="n">
        <v>17397.0</v>
      </c>
      <c r="V99" s="3" t="n">
        <v>18527.0</v>
      </c>
      <c r="W99" s="3" t="n">
        <v>19183.0</v>
      </c>
      <c r="X99" s="3" t="n">
        <v>20031.0</v>
      </c>
      <c r="Y99" s="3" t="n">
        <v>20241.0</v>
      </c>
      <c r="Z99" s="3" t="n">
        <v>21097.0</v>
      </c>
      <c r="AA99" s="3" t="n">
        <v>20793.0</v>
      </c>
      <c r="AB99" s="3" t="n">
        <v>20889.0</v>
      </c>
      <c r="AC99" s="3" t="n">
        <v>20376.0</v>
      </c>
      <c r="AD99" s="3" t="n">
        <v>19635.0</v>
      </c>
      <c r="AE99" s="3" t="n">
        <v>18529.0</v>
      </c>
      <c r="AF99" s="3" t="n">
        <v>17515.0</v>
      </c>
      <c r="AG99" s="3" t="n">
        <v>17132.0</v>
      </c>
      <c r="AH99" s="3" t="n">
        <v>17318.0</v>
      </c>
      <c r="AI99" s="3" t="n">
        <v>17101.0</v>
      </c>
      <c r="AJ99" s="3" t="n">
        <v>16874.0</v>
      </c>
      <c r="AK99" s="3" t="n">
        <v>17124.0</v>
      </c>
      <c r="AL99" s="3" t="n">
        <v>17421.0</v>
      </c>
      <c r="AM99" s="3" t="n">
        <v>17961.0</v>
      </c>
      <c r="AN99" s="3" t="n">
        <v>18486.0</v>
      </c>
      <c r="AO99" s="3" t="n">
        <v>19683.0</v>
      </c>
    </row>
    <row r="100" spans="1:41" x14ac:dyDescent="0.2">
      <c r="A100" s="125"/>
      <c r="B100" s="9">
        <v>91</v>
      </c>
      <c r="C100" s="3" t="n">
        <v>8901.0</v>
      </c>
      <c r="D100" s="3" t="n">
        <v>8717.0</v>
      </c>
      <c r="E100" s="3" t="n">
        <v>8397.0</v>
      </c>
      <c r="F100" s="3" t="n">
        <v>8729.0</v>
      </c>
      <c r="G100" s="3" t="n">
        <v>8949.0</v>
      </c>
      <c r="H100" s="3" t="n">
        <v>9217.0</v>
      </c>
      <c r="I100" s="3" t="n">
        <v>8993.0</v>
      </c>
      <c r="J100" s="3" t="n">
        <v>8948.0</v>
      </c>
      <c r="K100" s="3" t="n">
        <v>8749.0</v>
      </c>
      <c r="L100" s="3" t="n">
        <v>8506.0</v>
      </c>
      <c r="M100" s="3" t="n">
        <v>8202.0</v>
      </c>
      <c r="N100" s="3" t="n">
        <v>7832.0</v>
      </c>
      <c r="O100" s="3" t="n">
        <v>8219.0</v>
      </c>
      <c r="P100" s="3" t="n">
        <v>8757.0</v>
      </c>
      <c r="Q100" s="3" t="n">
        <v>8983.0</v>
      </c>
      <c r="R100" s="3" t="n">
        <v>11871.0</v>
      </c>
      <c r="S100" s="3" t="n">
        <v>13016.0</v>
      </c>
      <c r="T100" s="3" t="n">
        <v>13840.0</v>
      </c>
      <c r="U100" s="3" t="n">
        <v>14142.0</v>
      </c>
      <c r="V100" s="3" t="n">
        <v>15134.0</v>
      </c>
      <c r="W100" s="3" t="n">
        <v>16148.0</v>
      </c>
      <c r="X100" s="3" t="n">
        <v>16737.0</v>
      </c>
      <c r="Y100" s="3" t="n">
        <v>17493.0</v>
      </c>
      <c r="Z100" s="3" t="n">
        <v>17697.0</v>
      </c>
      <c r="AA100" s="3" t="n">
        <v>18470.0</v>
      </c>
      <c r="AB100" s="3" t="n">
        <v>18218.0</v>
      </c>
      <c r="AC100" s="3" t="n">
        <v>18325.0</v>
      </c>
      <c r="AD100" s="3" t="n">
        <v>17905.0</v>
      </c>
      <c r="AE100" s="3" t="n">
        <v>17266.0</v>
      </c>
      <c r="AF100" s="3" t="n">
        <v>16315.0</v>
      </c>
      <c r="AG100" s="3" t="n">
        <v>15435.0</v>
      </c>
      <c r="AH100" s="3" t="n">
        <v>15111.0</v>
      </c>
      <c r="AI100" s="3" t="n">
        <v>15291.0</v>
      </c>
      <c r="AJ100" s="3" t="n">
        <v>15112.0</v>
      </c>
      <c r="AK100" s="3" t="n">
        <v>14925.0</v>
      </c>
      <c r="AL100" s="3" t="n">
        <v>15168.0</v>
      </c>
      <c r="AM100" s="3" t="n">
        <v>15434.0</v>
      </c>
      <c r="AN100" s="3" t="n">
        <v>15931.0</v>
      </c>
      <c r="AO100" s="3" t="n">
        <v>16422.0</v>
      </c>
    </row>
    <row r="101" spans="1:41" x14ac:dyDescent="0.2">
      <c r="A101" s="125"/>
      <c r="B101" s="9">
        <v>92</v>
      </c>
      <c r="C101" s="3" t="n">
        <v>7253.0</v>
      </c>
      <c r="D101" s="3" t="n">
        <v>7384.0</v>
      </c>
      <c r="E101" s="3" t="n">
        <v>7254.0</v>
      </c>
      <c r="F101" s="3" t="n">
        <v>7012.0</v>
      </c>
      <c r="G101" s="3" t="n">
        <v>7301.0</v>
      </c>
      <c r="H101" s="3" t="n">
        <v>7507.0</v>
      </c>
      <c r="I101" s="3" t="n">
        <v>7752.0</v>
      </c>
      <c r="J101" s="3" t="n">
        <v>7570.0</v>
      </c>
      <c r="K101" s="3" t="n">
        <v>7543.0</v>
      </c>
      <c r="L101" s="3" t="n">
        <v>7389.0</v>
      </c>
      <c r="M101" s="3" t="n">
        <v>7202.0</v>
      </c>
      <c r="N101" s="3" t="n">
        <v>6952.0</v>
      </c>
      <c r="O101" s="3" t="n">
        <v>6657.0</v>
      </c>
      <c r="P101" s="3" t="n">
        <v>6983.0</v>
      </c>
      <c r="Q101" s="3" t="n">
        <v>7452.0</v>
      </c>
      <c r="R101" s="3" t="n">
        <v>7665.0</v>
      </c>
      <c r="S101" s="3" t="n">
        <v>10139.0</v>
      </c>
      <c r="T101" s="3" t="n">
        <v>11127.0</v>
      </c>
      <c r="U101" s="3" t="n">
        <v>11848.0</v>
      </c>
      <c r="V101" s="3" t="n">
        <v>12128.0</v>
      </c>
      <c r="W101" s="3" t="n">
        <v>12998.0</v>
      </c>
      <c r="X101" s="3" t="n">
        <v>13893.0</v>
      </c>
      <c r="Y101" s="3" t="n">
        <v>14421.0</v>
      </c>
      <c r="Z101" s="3" t="n">
        <v>15072.0</v>
      </c>
      <c r="AA101" s="3" t="n">
        <v>15270.0</v>
      </c>
      <c r="AB101" s="3" t="n">
        <v>15959.0</v>
      </c>
      <c r="AC101" s="3" t="n">
        <v>15771.0</v>
      </c>
      <c r="AD101" s="3" t="n">
        <v>15887.0</v>
      </c>
      <c r="AE101" s="3" t="n">
        <v>15544.0</v>
      </c>
      <c r="AF101" s="3" t="n">
        <v>15013.0</v>
      </c>
      <c r="AG101" s="3" t="n">
        <v>14190.0</v>
      </c>
      <c r="AH101" s="3" t="n">
        <v>13438.0</v>
      </c>
      <c r="AI101" s="3" t="n">
        <v>13164.0</v>
      </c>
      <c r="AJ101" s="3" t="n">
        <v>13340.0</v>
      </c>
      <c r="AK101" s="3" t="n">
        <v>13200.0</v>
      </c>
      <c r="AL101" s="3" t="n">
        <v>13051.0</v>
      </c>
      <c r="AM101" s="3" t="n">
        <v>13275.0</v>
      </c>
      <c r="AN101" s="3" t="n">
        <v>13519.0</v>
      </c>
      <c r="AO101" s="3" t="n">
        <v>13974.0</v>
      </c>
    </row>
    <row r="102" spans="1:41" x14ac:dyDescent="0.2">
      <c r="A102" s="125"/>
      <c r="B102" s="9">
        <v>93</v>
      </c>
      <c r="C102" s="3" t="n">
        <v>5491.0</v>
      </c>
      <c r="D102" s="3" t="n">
        <v>5901.0</v>
      </c>
      <c r="E102" s="3" t="n">
        <v>6041.0</v>
      </c>
      <c r="F102" s="3" t="n">
        <v>5944.0</v>
      </c>
      <c r="G102" s="3" t="n">
        <v>5765.0</v>
      </c>
      <c r="H102" s="3" t="n">
        <v>6022.0</v>
      </c>
      <c r="I102" s="3" t="n">
        <v>6204.0</v>
      </c>
      <c r="J102" s="3" t="n">
        <v>6415.0</v>
      </c>
      <c r="K102" s="3" t="n">
        <v>6278.0</v>
      </c>
      <c r="L102" s="3" t="n">
        <v>6270.0</v>
      </c>
      <c r="M102" s="3" t="n">
        <v>6148.0</v>
      </c>
      <c r="N102" s="3" t="n">
        <v>6002.0</v>
      </c>
      <c r="O102" s="3" t="n">
        <v>5805.0</v>
      </c>
      <c r="P102" s="3" t="n">
        <v>5566.0</v>
      </c>
      <c r="Q102" s="3" t="n">
        <v>5855.0</v>
      </c>
      <c r="R102" s="3" t="n">
        <v>6257.0</v>
      </c>
      <c r="S102" s="3" t="n">
        <v>6446.0</v>
      </c>
      <c r="T102" s="3" t="n">
        <v>8544.0</v>
      </c>
      <c r="U102" s="3" t="n">
        <v>9381.0</v>
      </c>
      <c r="V102" s="3" t="n">
        <v>10011.0</v>
      </c>
      <c r="W102" s="3" t="n">
        <v>10267.0</v>
      </c>
      <c r="X102" s="3" t="n">
        <v>11031.0</v>
      </c>
      <c r="Y102" s="3" t="n">
        <v>11800.0</v>
      </c>
      <c r="Z102" s="3" t="n">
        <v>12254.0</v>
      </c>
      <c r="AA102" s="3" t="n">
        <v>12826.0</v>
      </c>
      <c r="AB102" s="3" t="n">
        <v>13007.0</v>
      </c>
      <c r="AC102" s="3" t="n">
        <v>13616.0</v>
      </c>
      <c r="AD102" s="3" t="n">
        <v>13488.0</v>
      </c>
      <c r="AE102" s="3" t="n">
        <v>13604.0</v>
      </c>
      <c r="AF102" s="3" t="n">
        <v>13331.0</v>
      </c>
      <c r="AG102" s="3" t="n">
        <v>12870.0</v>
      </c>
      <c r="AH102" s="3" t="n">
        <v>12191.0</v>
      </c>
      <c r="AI102" s="3" t="n">
        <v>11561.0</v>
      </c>
      <c r="AJ102" s="3" t="n">
        <v>11340.0</v>
      </c>
      <c r="AK102" s="3" t="n">
        <v>11512.0</v>
      </c>
      <c r="AL102" s="3" t="n">
        <v>11397.0</v>
      </c>
      <c r="AM102" s="3" t="n">
        <v>11277.0</v>
      </c>
      <c r="AN102" s="3" t="n">
        <v>11485.0</v>
      </c>
      <c r="AO102" s="3" t="n">
        <v>11716.0</v>
      </c>
    </row>
    <row r="103" spans="1:41" x14ac:dyDescent="0.2">
      <c r="A103" s="125"/>
      <c r="B103" s="9">
        <v>94</v>
      </c>
      <c r="C103" s="3" t="n">
        <v>4163.0</v>
      </c>
      <c r="D103" s="3" t="n">
        <v>4387.0</v>
      </c>
      <c r="E103" s="3" t="n">
        <v>4718.0</v>
      </c>
      <c r="F103" s="3" t="n">
        <v>4858.0</v>
      </c>
      <c r="G103" s="3" t="n">
        <v>4798.0</v>
      </c>
      <c r="H103" s="3" t="n">
        <v>4665.0</v>
      </c>
      <c r="I103" s="3" t="n">
        <v>4877.0</v>
      </c>
      <c r="J103" s="3" t="n">
        <v>5030.0</v>
      </c>
      <c r="K103" s="3" t="n">
        <v>5227.0</v>
      </c>
      <c r="L103" s="3" t="n">
        <v>5117.0</v>
      </c>
      <c r="M103" s="3" t="n">
        <v>5118.0</v>
      </c>
      <c r="N103" s="3" t="n">
        <v>5027.0</v>
      </c>
      <c r="O103" s="3" t="n">
        <v>4927.0</v>
      </c>
      <c r="P103" s="3" t="n">
        <v>4768.0</v>
      </c>
      <c r="Q103" s="3" t="n">
        <v>4585.0</v>
      </c>
      <c r="R103" s="3" t="n">
        <v>4829.0</v>
      </c>
      <c r="S103" s="3" t="n">
        <v>5169.0</v>
      </c>
      <c r="T103" s="3" t="n">
        <v>5338.0</v>
      </c>
      <c r="U103" s="3" t="n">
        <v>7081.0</v>
      </c>
      <c r="V103" s="3" t="n">
        <v>7806.0</v>
      </c>
      <c r="W103" s="3" t="n">
        <v>8335.0</v>
      </c>
      <c r="X103" s="3" t="n">
        <v>8567.0</v>
      </c>
      <c r="Y103" s="3" t="n">
        <v>9221.0</v>
      </c>
      <c r="Z103" s="3" t="n">
        <v>9867.0</v>
      </c>
      <c r="AA103" s="3" t="n">
        <v>10259.0</v>
      </c>
      <c r="AB103" s="3" t="n">
        <v>10750.0</v>
      </c>
      <c r="AC103" s="3" t="n">
        <v>10924.0</v>
      </c>
      <c r="AD103" s="3" t="n">
        <v>11465.0</v>
      </c>
      <c r="AE103" s="3" t="n">
        <v>11372.0</v>
      </c>
      <c r="AF103" s="3" t="n">
        <v>11489.0</v>
      </c>
      <c r="AG103" s="3" t="n">
        <v>11260.0</v>
      </c>
      <c r="AH103" s="3" t="n">
        <v>10891.0</v>
      </c>
      <c r="AI103" s="3" t="n">
        <v>10332.0</v>
      </c>
      <c r="AJ103" s="3" t="n">
        <v>9814.0</v>
      </c>
      <c r="AK103" s="3" t="n">
        <v>9641.0</v>
      </c>
      <c r="AL103" s="3" t="n">
        <v>9802.0</v>
      </c>
      <c r="AM103" s="3" t="n">
        <v>9707.0</v>
      </c>
      <c r="AN103" s="3" t="n">
        <v>9621.0</v>
      </c>
      <c r="AO103" s="3" t="n">
        <v>9821.0</v>
      </c>
    </row>
    <row r="104" spans="1:41" x14ac:dyDescent="0.2">
      <c r="A104" s="125"/>
      <c r="B104" s="9">
        <v>95</v>
      </c>
      <c r="C104" s="3" t="n">
        <v>2794.0</v>
      </c>
      <c r="D104" s="3" t="n">
        <v>3248.0</v>
      </c>
      <c r="E104" s="3" t="n">
        <v>3431.0</v>
      </c>
      <c r="F104" s="3" t="n">
        <v>3710.0</v>
      </c>
      <c r="G104" s="3" t="n">
        <v>3837.0</v>
      </c>
      <c r="H104" s="3" t="n">
        <v>3796.0</v>
      </c>
      <c r="I104" s="3" t="n">
        <v>3693.0</v>
      </c>
      <c r="J104" s="3" t="n">
        <v>3870.0</v>
      </c>
      <c r="K104" s="3" t="n">
        <v>4002.0</v>
      </c>
      <c r="L104" s="3" t="n">
        <v>4173.0</v>
      </c>
      <c r="M104" s="3" t="n">
        <v>4098.0</v>
      </c>
      <c r="N104" s="3" t="n">
        <v>4102.0</v>
      </c>
      <c r="O104" s="3" t="n">
        <v>4038.0</v>
      </c>
      <c r="P104" s="3" t="n">
        <v>3970.0</v>
      </c>
      <c r="Q104" s="3" t="n">
        <v>3848.0</v>
      </c>
      <c r="R104" s="3" t="n">
        <v>3721.0</v>
      </c>
      <c r="S104" s="3" t="n">
        <v>3907.0</v>
      </c>
      <c r="T104" s="3" t="n">
        <v>4201.0</v>
      </c>
      <c r="U104" s="3" t="n">
        <v>4344.0</v>
      </c>
      <c r="V104" s="3" t="n">
        <v>5767.0</v>
      </c>
      <c r="W104" s="3" t="n">
        <v>6371.0</v>
      </c>
      <c r="X104" s="3" t="n">
        <v>6835.0</v>
      </c>
      <c r="Y104" s="3" t="n">
        <v>7040.0</v>
      </c>
      <c r="Z104" s="3" t="n">
        <v>7580.0</v>
      </c>
      <c r="AA104" s="3" t="n">
        <v>8117.0</v>
      </c>
      <c r="AB104" s="3" t="n">
        <v>8460.0</v>
      </c>
      <c r="AC104" s="3" t="n">
        <v>8879.0</v>
      </c>
      <c r="AD104" s="3" t="n">
        <v>9040.0</v>
      </c>
      <c r="AE104" s="3" t="n">
        <v>9513.0</v>
      </c>
      <c r="AF104" s="3" t="n">
        <v>9442.0</v>
      </c>
      <c r="AG104" s="3" t="n">
        <v>9544.0</v>
      </c>
      <c r="AH104" s="3" t="n">
        <v>9380.0</v>
      </c>
      <c r="AI104" s="3" t="n">
        <v>9079.0</v>
      </c>
      <c r="AJ104" s="3" t="n">
        <v>8631.0</v>
      </c>
      <c r="AK104" s="3" t="n">
        <v>8208.0</v>
      </c>
      <c r="AL104" s="3" t="n">
        <v>8073.0</v>
      </c>
      <c r="AM104" s="3" t="n">
        <v>8219.0</v>
      </c>
      <c r="AN104" s="3" t="n">
        <v>8149.0</v>
      </c>
      <c r="AO104" s="3" t="n">
        <v>8084.0</v>
      </c>
    </row>
    <row r="105" spans="1:41" x14ac:dyDescent="0.2">
      <c r="A105" s="125"/>
      <c r="B105" s="9">
        <v>96</v>
      </c>
      <c r="C105" s="3" t="n">
        <v>2055.0</v>
      </c>
      <c r="D105" s="3" t="n">
        <v>2129.0</v>
      </c>
      <c r="E105" s="3" t="n">
        <v>2487.0</v>
      </c>
      <c r="F105" s="3" t="n">
        <v>2640.0</v>
      </c>
      <c r="G105" s="3" t="n">
        <v>2862.0</v>
      </c>
      <c r="H105" s="3" t="n">
        <v>2968.0</v>
      </c>
      <c r="I105" s="3" t="n">
        <v>2948.0</v>
      </c>
      <c r="J105" s="3" t="n">
        <v>2876.0</v>
      </c>
      <c r="K105" s="3" t="n">
        <v>3025.0</v>
      </c>
      <c r="L105" s="3" t="n">
        <v>3137.0</v>
      </c>
      <c r="M105" s="3" t="n">
        <v>3275.0</v>
      </c>
      <c r="N105" s="3" t="n">
        <v>3227.0</v>
      </c>
      <c r="O105" s="3" t="n">
        <v>3240.0</v>
      </c>
      <c r="P105" s="3" t="n">
        <v>3193.0</v>
      </c>
      <c r="Q105" s="3" t="n">
        <v>3147.0</v>
      </c>
      <c r="R105" s="3" t="n">
        <v>3055.0</v>
      </c>
      <c r="S105" s="3" t="n">
        <v>2961.0</v>
      </c>
      <c r="T105" s="3" t="n">
        <v>3121.0</v>
      </c>
      <c r="U105" s="3" t="n">
        <v>3365.0</v>
      </c>
      <c r="V105" s="3" t="n">
        <v>3491.0</v>
      </c>
      <c r="W105" s="3" t="n">
        <v>4632.0</v>
      </c>
      <c r="X105" s="3" t="n">
        <v>5135.0</v>
      </c>
      <c r="Y105" s="3" t="n">
        <v>5514.0</v>
      </c>
      <c r="Z105" s="3" t="n">
        <v>5681.0</v>
      </c>
      <c r="AA105" s="3" t="n">
        <v>6128.0</v>
      </c>
      <c r="AB105" s="3" t="n">
        <v>6575.0</v>
      </c>
      <c r="AC105" s="3" t="n">
        <v>6868.0</v>
      </c>
      <c r="AD105" s="3" t="n">
        <v>7219.0</v>
      </c>
      <c r="AE105" s="3" t="n">
        <v>7364.0</v>
      </c>
      <c r="AF105" s="3" t="n">
        <v>7772.0</v>
      </c>
      <c r="AG105" s="3" t="n">
        <v>7711.0</v>
      </c>
      <c r="AH105" s="3" t="n">
        <v>7813.0</v>
      </c>
      <c r="AI105" s="3" t="n">
        <v>7692.0</v>
      </c>
      <c r="AJ105" s="3" t="n">
        <v>7464.0</v>
      </c>
      <c r="AK105" s="3" t="n">
        <v>7097.0</v>
      </c>
      <c r="AL105" s="3" t="n">
        <v>6775.0</v>
      </c>
      <c r="AM105" s="3" t="n">
        <v>6658.0</v>
      </c>
      <c r="AN105" s="3" t="n">
        <v>6795.0</v>
      </c>
      <c r="AO105" s="3" t="n">
        <v>6754.0</v>
      </c>
    </row>
    <row r="106" spans="1:41" x14ac:dyDescent="0.2">
      <c r="A106" s="125"/>
      <c r="B106" s="9">
        <v>97</v>
      </c>
      <c r="C106" s="3" t="n">
        <v>1536.0</v>
      </c>
      <c r="D106" s="3" t="n">
        <v>1532.0</v>
      </c>
      <c r="E106" s="3" t="n">
        <v>1595.0</v>
      </c>
      <c r="F106" s="3" t="n">
        <v>1874.0</v>
      </c>
      <c r="G106" s="3" t="n">
        <v>1991.0</v>
      </c>
      <c r="H106" s="3" t="n">
        <v>2167.0</v>
      </c>
      <c r="I106" s="3" t="n">
        <v>2257.0</v>
      </c>
      <c r="J106" s="3" t="n">
        <v>2244.0</v>
      </c>
      <c r="K106" s="3" t="n">
        <v>2191.0</v>
      </c>
      <c r="L106" s="3" t="n">
        <v>2313.0</v>
      </c>
      <c r="M106" s="3" t="n">
        <v>2405.0</v>
      </c>
      <c r="N106" s="3" t="n">
        <v>2523.0</v>
      </c>
      <c r="O106" s="3" t="n">
        <v>2486.0</v>
      </c>
      <c r="P106" s="3" t="n">
        <v>2503.0</v>
      </c>
      <c r="Q106" s="3" t="n">
        <v>2472.0</v>
      </c>
      <c r="R106" s="3" t="n">
        <v>2451.0</v>
      </c>
      <c r="S106" s="3" t="n">
        <v>2381.0</v>
      </c>
      <c r="T106" s="3" t="n">
        <v>2310.0</v>
      </c>
      <c r="U106" s="3" t="n">
        <v>2437.0</v>
      </c>
      <c r="V106" s="3" t="n">
        <v>2637.0</v>
      </c>
      <c r="W106" s="3" t="n">
        <v>2739.0</v>
      </c>
      <c r="X106" s="3" t="n">
        <v>3649.0</v>
      </c>
      <c r="Y106" s="3" t="n">
        <v>4058.0</v>
      </c>
      <c r="Z106" s="3" t="n">
        <v>4363.0</v>
      </c>
      <c r="AA106" s="3" t="n">
        <v>4506.0</v>
      </c>
      <c r="AB106" s="3" t="n">
        <v>4863.0</v>
      </c>
      <c r="AC106" s="3" t="n">
        <v>5239.0</v>
      </c>
      <c r="AD106" s="3" t="n">
        <v>5474.0</v>
      </c>
      <c r="AE106" s="3" t="n">
        <v>5773.0</v>
      </c>
      <c r="AF106" s="3" t="n">
        <v>5898.0</v>
      </c>
      <c r="AG106" s="3" t="n">
        <v>6231.0</v>
      </c>
      <c r="AH106" s="3" t="n">
        <v>6194.0</v>
      </c>
      <c r="AI106" s="3" t="n">
        <v>6293.0</v>
      </c>
      <c r="AJ106" s="3" t="n">
        <v>6212.0</v>
      </c>
      <c r="AK106" s="3" t="n">
        <v>6037.0</v>
      </c>
      <c r="AL106" s="3" t="n">
        <v>5750.0</v>
      </c>
      <c r="AM106" s="3" t="n">
        <v>5493.0</v>
      </c>
      <c r="AN106" s="3" t="n">
        <v>5414.0</v>
      </c>
      <c r="AO106" s="3" t="n">
        <v>5533.0</v>
      </c>
    </row>
    <row r="107" spans="1:41" x14ac:dyDescent="0.2">
      <c r="A107" s="125"/>
      <c r="B107" s="9">
        <v>98</v>
      </c>
      <c r="C107" s="3" t="n">
        <v>914.0</v>
      </c>
      <c r="D107" s="3" t="n">
        <v>1118.0</v>
      </c>
      <c r="E107" s="3" t="n">
        <v>1121.0</v>
      </c>
      <c r="F107" s="3" t="n">
        <v>1175.0</v>
      </c>
      <c r="G107" s="3" t="n">
        <v>1376.0</v>
      </c>
      <c r="H107" s="3" t="n">
        <v>1464.0</v>
      </c>
      <c r="I107" s="3" t="n">
        <v>1601.0</v>
      </c>
      <c r="J107" s="3" t="n">
        <v>1665.0</v>
      </c>
      <c r="K107" s="3" t="n">
        <v>1659.0</v>
      </c>
      <c r="L107" s="3" t="n">
        <v>1631.0</v>
      </c>
      <c r="M107" s="3" t="n">
        <v>1721.0</v>
      </c>
      <c r="N107" s="3" t="n">
        <v>1795.0</v>
      </c>
      <c r="O107" s="3" t="n">
        <v>1894.0</v>
      </c>
      <c r="P107" s="3" t="n">
        <v>1866.0</v>
      </c>
      <c r="Q107" s="3" t="n">
        <v>1891.0</v>
      </c>
      <c r="R107" s="3" t="n">
        <v>1872.0</v>
      </c>
      <c r="S107" s="3" t="n">
        <v>1860.0</v>
      </c>
      <c r="T107" s="3" t="n">
        <v>1818.0</v>
      </c>
      <c r="U107" s="3" t="n">
        <v>1762.0</v>
      </c>
      <c r="V107" s="3" t="n">
        <v>1868.0</v>
      </c>
      <c r="W107" s="3" t="n">
        <v>2030.0</v>
      </c>
      <c r="X107" s="3" t="n">
        <v>2111.0</v>
      </c>
      <c r="Y107" s="3" t="n">
        <v>2811.0</v>
      </c>
      <c r="Z107" s="3" t="n">
        <v>3137.0</v>
      </c>
      <c r="AA107" s="3" t="n">
        <v>3379.0</v>
      </c>
      <c r="AB107" s="3" t="n">
        <v>3503.0</v>
      </c>
      <c r="AC107" s="3" t="n">
        <v>3788.0</v>
      </c>
      <c r="AD107" s="3" t="n">
        <v>4086.0</v>
      </c>
      <c r="AE107" s="3" t="n">
        <v>4278.0</v>
      </c>
      <c r="AF107" s="3" t="n">
        <v>4529.0</v>
      </c>
      <c r="AG107" s="3" t="n">
        <v>4625.0</v>
      </c>
      <c r="AH107" s="3" t="n">
        <v>4900.0</v>
      </c>
      <c r="AI107" s="3" t="n">
        <v>4881.0</v>
      </c>
      <c r="AJ107" s="3" t="n">
        <v>4978.0</v>
      </c>
      <c r="AK107" s="3" t="n">
        <v>4926.0</v>
      </c>
      <c r="AL107" s="3" t="n">
        <v>4798.0</v>
      </c>
      <c r="AM107" s="3" t="n">
        <v>4571.0</v>
      </c>
      <c r="AN107" s="3" t="n">
        <v>4369.0</v>
      </c>
      <c r="AO107" s="3" t="n">
        <v>4316.0</v>
      </c>
    </row>
    <row r="108" spans="1:41" x14ac:dyDescent="0.2">
      <c r="A108" s="125"/>
      <c r="B108" s="9">
        <v>99</v>
      </c>
      <c r="C108" s="3" t="n">
        <v>702.0</v>
      </c>
      <c r="D108" s="3" t="n">
        <v>642.0</v>
      </c>
      <c r="E108" s="3" t="n">
        <v>792.0</v>
      </c>
      <c r="F108" s="3" t="n">
        <v>798.0</v>
      </c>
      <c r="G108" s="3" t="n">
        <v>836.0</v>
      </c>
      <c r="H108" s="3" t="n">
        <v>989.0</v>
      </c>
      <c r="I108" s="3" t="n">
        <v>1053.0</v>
      </c>
      <c r="J108" s="3" t="n">
        <v>1156.0</v>
      </c>
      <c r="K108" s="3" t="n">
        <v>1203.0</v>
      </c>
      <c r="L108" s="3" t="n">
        <v>1201.0</v>
      </c>
      <c r="M108" s="3" t="n">
        <v>1192.0</v>
      </c>
      <c r="N108" s="3" t="n">
        <v>1261.0</v>
      </c>
      <c r="O108" s="3" t="n">
        <v>1319.0</v>
      </c>
      <c r="P108" s="3" t="n">
        <v>1391.0</v>
      </c>
      <c r="Q108" s="3" t="n">
        <v>1381.0</v>
      </c>
      <c r="R108" s="3" t="n">
        <v>1402.0</v>
      </c>
      <c r="S108" s="3" t="n">
        <v>1398.0</v>
      </c>
      <c r="T108" s="3" t="n">
        <v>1390.0</v>
      </c>
      <c r="U108" s="3" t="n">
        <v>1360.0</v>
      </c>
      <c r="V108" s="3" t="n">
        <v>1323.0</v>
      </c>
      <c r="W108" s="3" t="n">
        <v>1404.0</v>
      </c>
      <c r="X108" s="3" t="n">
        <v>1532.0</v>
      </c>
      <c r="Y108" s="3" t="n">
        <v>1596.0</v>
      </c>
      <c r="Z108" s="3" t="n">
        <v>2128.0</v>
      </c>
      <c r="AA108" s="3" t="n">
        <v>2379.0</v>
      </c>
      <c r="AB108" s="3" t="n">
        <v>2569.0</v>
      </c>
      <c r="AC108" s="3" t="n">
        <v>2667.0</v>
      </c>
      <c r="AD108" s="3" t="n">
        <v>2890.0</v>
      </c>
      <c r="AE108" s="3" t="n">
        <v>3130.0</v>
      </c>
      <c r="AF108" s="3" t="n">
        <v>3282.0</v>
      </c>
      <c r="AG108" s="3" t="n">
        <v>3486.0</v>
      </c>
      <c r="AH108" s="3" t="n">
        <v>3565.0</v>
      </c>
      <c r="AI108" s="3" t="n">
        <v>3784.0</v>
      </c>
      <c r="AJ108" s="3" t="n">
        <v>3780.0</v>
      </c>
      <c r="AK108" s="3" t="n">
        <v>3856.0</v>
      </c>
      <c r="AL108" s="3" t="n">
        <v>3825.0</v>
      </c>
      <c r="AM108" s="3" t="n">
        <v>3737.0</v>
      </c>
      <c r="AN108" s="3" t="n">
        <v>3568.0</v>
      </c>
      <c r="AO108" s="3" t="n">
        <v>3411.0</v>
      </c>
    </row>
    <row r="109" spans="1:41" x14ac:dyDescent="0.2">
      <c r="A109" s="125"/>
      <c r="B109" s="9" t="s">
        <v>80</v>
      </c>
      <c r="C109" s="4" t="n">
        <v>1059.0</v>
      </c>
      <c r="D109" s="4" t="n">
        <v>1165.0</v>
      </c>
      <c r="E109" s="4" t="n">
        <v>1194.0</v>
      </c>
      <c r="F109" s="4" t="n">
        <v>1321.0</v>
      </c>
      <c r="G109" s="4" t="n">
        <v>1413.0</v>
      </c>
      <c r="H109" s="4" t="n">
        <v>1505.0</v>
      </c>
      <c r="I109" s="4" t="n">
        <v>1666.0</v>
      </c>
      <c r="J109" s="4" t="n">
        <v>1827.0</v>
      </c>
      <c r="K109" s="4" t="n">
        <v>2017.0</v>
      </c>
      <c r="L109" s="4" t="n">
        <v>2177.0</v>
      </c>
      <c r="M109" s="4" t="n">
        <v>2285.0</v>
      </c>
      <c r="N109" s="4" t="n">
        <v>2373.0</v>
      </c>
      <c r="O109" s="4" t="n">
        <v>2476.0</v>
      </c>
      <c r="P109" s="4" t="n">
        <v>2589.0</v>
      </c>
      <c r="Q109" s="4" t="n">
        <v>2726.0</v>
      </c>
      <c r="R109" s="4" t="n">
        <v>2823.0</v>
      </c>
      <c r="S109" s="4" t="n">
        <v>2913.0</v>
      </c>
      <c r="T109" s="4" t="n">
        <v>2983.0</v>
      </c>
      <c r="U109" s="4" t="n">
        <v>3028.0</v>
      </c>
      <c r="V109" s="4" t="n">
        <v>3044.0</v>
      </c>
      <c r="W109" s="4" t="n">
        <v>3045.0</v>
      </c>
      <c r="X109" s="4" t="n">
        <v>3117.0</v>
      </c>
      <c r="Y109" s="4" t="n">
        <v>3268.0</v>
      </c>
      <c r="Z109" s="4" t="n">
        <v>3413.0</v>
      </c>
      <c r="AA109" s="4" t="n">
        <v>3912.0</v>
      </c>
      <c r="AB109" s="4" t="n">
        <v>4449.0</v>
      </c>
      <c r="AC109" s="4" t="n">
        <v>4985.0</v>
      </c>
      <c r="AD109" s="4" t="n">
        <v>5446.0</v>
      </c>
      <c r="AE109" s="4" t="n">
        <v>5943.0</v>
      </c>
      <c r="AF109" s="4" t="n">
        <v>6482.0</v>
      </c>
      <c r="AG109" s="4" t="n">
        <v>6987.0</v>
      </c>
      <c r="AH109" s="4" t="n">
        <v>7503.0</v>
      </c>
      <c r="AI109" s="4" t="n">
        <v>7943.0</v>
      </c>
      <c r="AJ109" s="4" t="n">
        <v>8432.0</v>
      </c>
      <c r="AK109" s="4" t="n">
        <v>8794.0</v>
      </c>
      <c r="AL109" s="4" t="n">
        <v>9144.0</v>
      </c>
      <c r="AM109" s="4" t="n">
        <v>9366.0</v>
      </c>
      <c r="AN109" s="4" t="n">
        <v>9475.0</v>
      </c>
      <c r="AO109" s="3" t="n">
        <v>9456.0</v>
      </c>
    </row>
    <row r="110" spans="1:41" x14ac:dyDescent="0.2">
      <c r="A110" s="126" t="s">
        <v>50</v>
      </c>
      <c r="B110" s="71" t="s">
        <v>47</v>
      </c>
      <c r="C110" s="72" t="n">
        <v>2638241.0</v>
      </c>
      <c r="D110" s="72" t="n">
        <v>2639714.0</v>
      </c>
      <c r="E110" s="72" t="n">
        <v>2640770.0</v>
      </c>
      <c r="F110" s="72" t="n">
        <v>2641536.0</v>
      </c>
      <c r="G110" s="72" t="n">
        <v>2641843.0</v>
      </c>
      <c r="H110" s="72" t="n">
        <v>2648393.0</v>
      </c>
      <c r="I110" s="72" t="n">
        <v>2657121.0</v>
      </c>
      <c r="J110" s="72" t="n">
        <v>2660047.0</v>
      </c>
      <c r="K110" s="72" t="n">
        <v>2659818.0</v>
      </c>
      <c r="L110" s="72" t="n">
        <v>2657896.0</v>
      </c>
      <c r="M110" s="72" t="n">
        <v>2654740.0</v>
      </c>
      <c r="N110" s="72" t="n">
        <v>2650554.0</v>
      </c>
      <c r="O110" s="72" t="n">
        <v>2645810.0</v>
      </c>
      <c r="P110" s="72" t="n">
        <v>2640530.0</v>
      </c>
      <c r="Q110" s="72" t="n">
        <v>2634793.0</v>
      </c>
      <c r="R110" s="72" t="n">
        <v>2629018.0</v>
      </c>
      <c r="S110" s="72" t="n">
        <v>2623006.0</v>
      </c>
      <c r="T110" s="72" t="n">
        <v>2616826.0</v>
      </c>
      <c r="U110" s="72" t="n">
        <v>2610528.0</v>
      </c>
      <c r="V110" s="72" t="n">
        <v>2604210.0</v>
      </c>
      <c r="W110" s="72" t="n">
        <v>2597867.0</v>
      </c>
      <c r="X110" s="72" t="n">
        <v>2591831.0</v>
      </c>
      <c r="Y110" s="72" t="n">
        <v>2585669.0</v>
      </c>
      <c r="Z110" s="72" t="n">
        <v>2579360.0</v>
      </c>
      <c r="AA110" s="72" t="n">
        <v>2572978.0</v>
      </c>
      <c r="AB110" s="72" t="n">
        <v>2566385.0</v>
      </c>
      <c r="AC110" s="72" t="n">
        <v>2559560.0</v>
      </c>
      <c r="AD110" s="72" t="n">
        <v>2552731.0</v>
      </c>
      <c r="AE110" s="72" t="n">
        <v>2545549.0</v>
      </c>
      <c r="AF110" s="72" t="n">
        <v>2537927.0</v>
      </c>
      <c r="AG110" s="72" t="n">
        <v>2529843.0</v>
      </c>
      <c r="AH110" s="72" t="n">
        <v>2521193.0</v>
      </c>
      <c r="AI110" s="72" t="n">
        <v>2511988.0</v>
      </c>
      <c r="AJ110" s="72" t="n">
        <v>2502250.0</v>
      </c>
      <c r="AK110" s="72" t="n">
        <v>2491948.0</v>
      </c>
      <c r="AL110" s="72" t="n">
        <v>2481131.0</v>
      </c>
      <c r="AM110" s="72" t="n">
        <v>2469782.0</v>
      </c>
      <c r="AN110" s="72" t="n">
        <v>2457949.0</v>
      </c>
      <c r="AO110" s="70" t="n">
        <v>2445955.0</v>
      </c>
    </row>
    <row r="111" spans="1:41" x14ac:dyDescent="0.2">
      <c r="A111" s="125"/>
      <c r="B111" s="9">
        <v>0</v>
      </c>
      <c r="C111" s="3" t="n">
        <v>25321.0</v>
      </c>
      <c r="D111" s="3" t="n">
        <v>26695.0</v>
      </c>
      <c r="E111" s="3" t="n">
        <v>26379.0</v>
      </c>
      <c r="F111" s="3" t="n">
        <v>26142.0</v>
      </c>
      <c r="G111" s="3" t="n">
        <v>25889.0</v>
      </c>
      <c r="H111" s="3" t="n">
        <v>25738.0</v>
      </c>
      <c r="I111" s="3" t="n">
        <v>25646.0</v>
      </c>
      <c r="J111" s="3" t="n">
        <v>25478.0</v>
      </c>
      <c r="K111" s="3" t="n">
        <v>25229.0</v>
      </c>
      <c r="L111" s="3" t="n">
        <v>24969.0</v>
      </c>
      <c r="M111" s="3" t="n">
        <v>24690.0</v>
      </c>
      <c r="N111" s="3" t="n">
        <v>24440.0</v>
      </c>
      <c r="O111" s="3" t="n">
        <v>24239.0</v>
      </c>
      <c r="P111" s="3" t="n">
        <v>24134.0</v>
      </c>
      <c r="Q111" s="3" t="n">
        <v>24124.0</v>
      </c>
      <c r="R111" s="3" t="n">
        <v>24209.0</v>
      </c>
      <c r="S111" s="3" t="n">
        <v>24370.0</v>
      </c>
      <c r="T111" s="3" t="n">
        <v>24599.0</v>
      </c>
      <c r="U111" s="3" t="n">
        <v>24857.0</v>
      </c>
      <c r="V111" s="3" t="n">
        <v>25112.0</v>
      </c>
      <c r="W111" s="3" t="n">
        <v>25358.0</v>
      </c>
      <c r="X111" s="3" t="n">
        <v>25579.0</v>
      </c>
      <c r="Y111" s="3" t="n">
        <v>25739.0</v>
      </c>
      <c r="Z111" s="3" t="n">
        <v>25835.0</v>
      </c>
      <c r="AA111" s="3" t="n">
        <v>25864.0</v>
      </c>
      <c r="AB111" s="3" t="n">
        <v>25840.0</v>
      </c>
      <c r="AC111" s="3" t="n">
        <v>25751.0</v>
      </c>
      <c r="AD111" s="3" t="n">
        <v>25588.0</v>
      </c>
      <c r="AE111" s="3" t="n">
        <v>25371.0</v>
      </c>
      <c r="AF111" s="3" t="n">
        <v>25096.0</v>
      </c>
      <c r="AG111" s="3" t="n">
        <v>24786.0</v>
      </c>
      <c r="AH111" s="3" t="n">
        <v>24437.0</v>
      </c>
      <c r="AI111" s="3" t="n">
        <v>24042.0</v>
      </c>
      <c r="AJ111" s="3" t="n">
        <v>23674.0</v>
      </c>
      <c r="AK111" s="3" t="n">
        <v>23302.0</v>
      </c>
      <c r="AL111" s="3" t="n">
        <v>22945.0</v>
      </c>
      <c r="AM111" s="3" t="n">
        <v>22593.0</v>
      </c>
      <c r="AN111" s="3" t="n">
        <v>22277.0</v>
      </c>
      <c r="AO111" s="3" t="n">
        <v>21995.0</v>
      </c>
    </row>
    <row r="112" spans="1:41" x14ac:dyDescent="0.2">
      <c r="A112" s="125"/>
      <c r="B112" s="9">
        <v>1</v>
      </c>
      <c r="C112" s="3" t="n">
        <v>27850.0</v>
      </c>
      <c r="D112" s="3" t="n">
        <v>25424.0</v>
      </c>
      <c r="E112" s="3" t="n">
        <v>26790.0</v>
      </c>
      <c r="F112" s="3" t="n">
        <v>26471.0</v>
      </c>
      <c r="G112" s="3" t="n">
        <v>26239.0</v>
      </c>
      <c r="H112" s="3" t="n">
        <v>26136.0</v>
      </c>
      <c r="I112" s="3" t="n">
        <v>26042.0</v>
      </c>
      <c r="J112" s="3" t="n">
        <v>25834.0</v>
      </c>
      <c r="K112" s="3" t="n">
        <v>25614.0</v>
      </c>
      <c r="L112" s="3" t="n">
        <v>25339.0</v>
      </c>
      <c r="M112" s="3" t="n">
        <v>25073.0</v>
      </c>
      <c r="N112" s="3" t="n">
        <v>24788.0</v>
      </c>
      <c r="O112" s="3" t="n">
        <v>24537.0</v>
      </c>
      <c r="P112" s="3" t="n">
        <v>24337.0</v>
      </c>
      <c r="Q112" s="3" t="n">
        <v>24234.0</v>
      </c>
      <c r="R112" s="3" t="n">
        <v>24225.0</v>
      </c>
      <c r="S112" s="3" t="n">
        <v>24312.0</v>
      </c>
      <c r="T112" s="3" t="n">
        <v>24469.0</v>
      </c>
      <c r="U112" s="3" t="n">
        <v>24696.0</v>
      </c>
      <c r="V112" s="3" t="n">
        <v>24950.0</v>
      </c>
      <c r="W112" s="3" t="n">
        <v>25200.0</v>
      </c>
      <c r="X112" s="3" t="n">
        <v>25445.0</v>
      </c>
      <c r="Y112" s="3" t="n">
        <v>25665.0</v>
      </c>
      <c r="Z112" s="3" t="n">
        <v>25820.0</v>
      </c>
      <c r="AA112" s="3" t="n">
        <v>25912.0</v>
      </c>
      <c r="AB112" s="3" t="n">
        <v>25937.0</v>
      </c>
      <c r="AC112" s="3" t="n">
        <v>25912.0</v>
      </c>
      <c r="AD112" s="3" t="n">
        <v>25823.0</v>
      </c>
      <c r="AE112" s="3" t="n">
        <v>25659.0</v>
      </c>
      <c r="AF112" s="3" t="n">
        <v>25441.0</v>
      </c>
      <c r="AG112" s="3" t="n">
        <v>25161.0</v>
      </c>
      <c r="AH112" s="3" t="n">
        <v>24849.0</v>
      </c>
      <c r="AI112" s="3" t="n">
        <v>24501.0</v>
      </c>
      <c r="AJ112" s="3" t="n">
        <v>24100.0</v>
      </c>
      <c r="AK112" s="3" t="n">
        <v>23732.0</v>
      </c>
      <c r="AL112" s="3" t="n">
        <v>23363.0</v>
      </c>
      <c r="AM112" s="3" t="n">
        <v>23005.0</v>
      </c>
      <c r="AN112" s="3" t="n">
        <v>22648.0</v>
      </c>
      <c r="AO112" s="3" t="n">
        <v>22330.0</v>
      </c>
    </row>
    <row r="113" spans="1:41" x14ac:dyDescent="0.2">
      <c r="A113" s="125"/>
      <c r="B113" s="9">
        <v>2</v>
      </c>
      <c r="C113" s="3" t="n">
        <v>28381.0</v>
      </c>
      <c r="D113" s="3" t="n">
        <v>27963.0</v>
      </c>
      <c r="E113" s="3" t="n">
        <v>25521.0</v>
      </c>
      <c r="F113" s="3" t="n">
        <v>26875.0</v>
      </c>
      <c r="G113" s="3" t="n">
        <v>26566.0</v>
      </c>
      <c r="H113" s="3" t="n">
        <v>26543.0</v>
      </c>
      <c r="I113" s="3" t="n">
        <v>26517.0</v>
      </c>
      <c r="J113" s="3" t="n">
        <v>26262.0</v>
      </c>
      <c r="K113" s="3" t="n">
        <v>25967.0</v>
      </c>
      <c r="L113" s="3" t="n">
        <v>25724.0</v>
      </c>
      <c r="M113" s="3" t="n">
        <v>25438.0</v>
      </c>
      <c r="N113" s="3" t="n">
        <v>25167.0</v>
      </c>
      <c r="O113" s="3" t="n">
        <v>24880.0</v>
      </c>
      <c r="P113" s="3" t="n">
        <v>24633.0</v>
      </c>
      <c r="Q113" s="3" t="n">
        <v>24438.0</v>
      </c>
      <c r="R113" s="3" t="n">
        <v>24333.0</v>
      </c>
      <c r="S113" s="3" t="n">
        <v>24321.0</v>
      </c>
      <c r="T113" s="3" t="n">
        <v>24410.0</v>
      </c>
      <c r="U113" s="3" t="n">
        <v>24568.0</v>
      </c>
      <c r="V113" s="3" t="n">
        <v>24793.0</v>
      </c>
      <c r="W113" s="3" t="n">
        <v>25046.0</v>
      </c>
      <c r="X113" s="3" t="n">
        <v>25292.0</v>
      </c>
      <c r="Y113" s="3" t="n">
        <v>25533.0</v>
      </c>
      <c r="Z113" s="3" t="n">
        <v>25752.0</v>
      </c>
      <c r="AA113" s="3" t="n">
        <v>25904.0</v>
      </c>
      <c r="AB113" s="3" t="n">
        <v>25993.0</v>
      </c>
      <c r="AC113" s="3" t="n">
        <v>26016.0</v>
      </c>
      <c r="AD113" s="3" t="n">
        <v>25990.0</v>
      </c>
      <c r="AE113" s="3" t="n">
        <v>25899.0</v>
      </c>
      <c r="AF113" s="3" t="n">
        <v>25732.0</v>
      </c>
      <c r="AG113" s="3" t="n">
        <v>25510.0</v>
      </c>
      <c r="AH113" s="3" t="n">
        <v>25228.0</v>
      </c>
      <c r="AI113" s="3" t="n">
        <v>24914.0</v>
      </c>
      <c r="AJ113" s="3" t="n">
        <v>24564.0</v>
      </c>
      <c r="AK113" s="3" t="n">
        <v>24161.0</v>
      </c>
      <c r="AL113" s="3" t="n">
        <v>23796.0</v>
      </c>
      <c r="AM113" s="3" t="n">
        <v>23426.0</v>
      </c>
      <c r="AN113" s="3" t="n">
        <v>23069.0</v>
      </c>
      <c r="AO113" s="3" t="n">
        <v>22711.0</v>
      </c>
    </row>
    <row r="114" spans="1:41" x14ac:dyDescent="0.2">
      <c r="A114" s="125"/>
      <c r="B114" s="9">
        <v>3</v>
      </c>
      <c r="C114" s="3" t="n">
        <v>30660.0</v>
      </c>
      <c r="D114" s="3" t="n">
        <v>28489.0</v>
      </c>
      <c r="E114" s="3" t="n">
        <v>28057.0</v>
      </c>
      <c r="F114" s="3" t="n">
        <v>25608.0</v>
      </c>
      <c r="G114" s="3" t="n">
        <v>26957.0</v>
      </c>
      <c r="H114" s="3" t="n">
        <v>26867.0</v>
      </c>
      <c r="I114" s="3" t="n">
        <v>26923.0</v>
      </c>
      <c r="J114" s="3" t="n">
        <v>26730.0</v>
      </c>
      <c r="K114" s="3" t="n">
        <v>26382.0</v>
      </c>
      <c r="L114" s="3" t="n">
        <v>26064.0</v>
      </c>
      <c r="M114" s="3" t="n">
        <v>25809.0</v>
      </c>
      <c r="N114" s="3" t="n">
        <v>25513.0</v>
      </c>
      <c r="O114" s="3" t="n">
        <v>25240.0</v>
      </c>
      <c r="P114" s="3" t="n">
        <v>24957.0</v>
      </c>
      <c r="Q114" s="3" t="n">
        <v>24711.0</v>
      </c>
      <c r="R114" s="3" t="n">
        <v>24520.0</v>
      </c>
      <c r="S114" s="3" t="n">
        <v>24418.0</v>
      </c>
      <c r="T114" s="3" t="n">
        <v>24406.0</v>
      </c>
      <c r="U114" s="3" t="n">
        <v>24493.0</v>
      </c>
      <c r="V114" s="3" t="n">
        <v>24645.0</v>
      </c>
      <c r="W114" s="3" t="n">
        <v>24867.0</v>
      </c>
      <c r="X114" s="3" t="n">
        <v>25121.0</v>
      </c>
      <c r="Y114" s="3" t="n">
        <v>25364.0</v>
      </c>
      <c r="Z114" s="3" t="n">
        <v>25603.0</v>
      </c>
      <c r="AA114" s="3" t="n">
        <v>25820.0</v>
      </c>
      <c r="AB114" s="3" t="n">
        <v>25972.0</v>
      </c>
      <c r="AC114" s="3" t="n">
        <v>26059.0</v>
      </c>
      <c r="AD114" s="3" t="n">
        <v>26078.0</v>
      </c>
      <c r="AE114" s="3" t="n">
        <v>26049.0</v>
      </c>
      <c r="AF114" s="3" t="n">
        <v>25959.0</v>
      </c>
      <c r="AG114" s="3" t="n">
        <v>25788.0</v>
      </c>
      <c r="AH114" s="3" t="n">
        <v>25566.0</v>
      </c>
      <c r="AI114" s="3" t="n">
        <v>25283.0</v>
      </c>
      <c r="AJ114" s="3" t="n">
        <v>24966.0</v>
      </c>
      <c r="AK114" s="3" t="n">
        <v>24613.0</v>
      </c>
      <c r="AL114" s="3" t="n">
        <v>24206.0</v>
      </c>
      <c r="AM114" s="3" t="n">
        <v>23840.0</v>
      </c>
      <c r="AN114" s="3" t="n">
        <v>23470.0</v>
      </c>
      <c r="AO114" s="3" t="n">
        <v>23114.0</v>
      </c>
    </row>
    <row r="115" spans="1:41" x14ac:dyDescent="0.2">
      <c r="A115" s="125"/>
      <c r="B115" s="9">
        <v>4</v>
      </c>
      <c r="C115" s="3" t="n">
        <v>31772.0</v>
      </c>
      <c r="D115" s="3" t="n">
        <v>30741.0</v>
      </c>
      <c r="E115" s="3" t="n">
        <v>28566.0</v>
      </c>
      <c r="F115" s="3" t="n">
        <v>28133.0</v>
      </c>
      <c r="G115" s="3" t="n">
        <v>25684.0</v>
      </c>
      <c r="H115" s="3" t="n">
        <v>27226.0</v>
      </c>
      <c r="I115" s="3" t="n">
        <v>27222.0</v>
      </c>
      <c r="J115" s="3" t="n">
        <v>27110.0</v>
      </c>
      <c r="K115" s="3" t="n">
        <v>26831.0</v>
      </c>
      <c r="L115" s="3" t="n">
        <v>26462.0</v>
      </c>
      <c r="M115" s="3" t="n">
        <v>26129.0</v>
      </c>
      <c r="N115" s="3" t="n">
        <v>25868.0</v>
      </c>
      <c r="O115" s="3" t="n">
        <v>25568.0</v>
      </c>
      <c r="P115" s="3" t="n">
        <v>25296.0</v>
      </c>
      <c r="Q115" s="3" t="n">
        <v>25016.0</v>
      </c>
      <c r="R115" s="3" t="n">
        <v>24772.0</v>
      </c>
      <c r="S115" s="3" t="n">
        <v>24579.0</v>
      </c>
      <c r="T115" s="3" t="n">
        <v>24476.0</v>
      </c>
      <c r="U115" s="3" t="n">
        <v>24462.0</v>
      </c>
      <c r="V115" s="3" t="n">
        <v>24549.0</v>
      </c>
      <c r="W115" s="3" t="n">
        <v>24703.0</v>
      </c>
      <c r="X115" s="3" t="n">
        <v>24923.0</v>
      </c>
      <c r="Y115" s="3" t="n">
        <v>25176.0</v>
      </c>
      <c r="Z115" s="3" t="n">
        <v>25414.0</v>
      </c>
      <c r="AA115" s="3" t="n">
        <v>25651.0</v>
      </c>
      <c r="AB115" s="3" t="n">
        <v>25865.0</v>
      </c>
      <c r="AC115" s="3" t="n">
        <v>26015.0</v>
      </c>
      <c r="AD115" s="3" t="n">
        <v>26100.0</v>
      </c>
      <c r="AE115" s="3" t="n">
        <v>26118.0</v>
      </c>
      <c r="AF115" s="3" t="n">
        <v>26088.0</v>
      </c>
      <c r="AG115" s="3" t="n">
        <v>25995.0</v>
      </c>
      <c r="AH115" s="3" t="n">
        <v>25824.0</v>
      </c>
      <c r="AI115" s="3" t="n">
        <v>25602.0</v>
      </c>
      <c r="AJ115" s="3" t="n">
        <v>25318.0</v>
      </c>
      <c r="AK115" s="3" t="n">
        <v>24999.0</v>
      </c>
      <c r="AL115" s="3" t="n">
        <v>24646.0</v>
      </c>
      <c r="AM115" s="3" t="n">
        <v>24236.0</v>
      </c>
      <c r="AN115" s="3" t="n">
        <v>23866.0</v>
      </c>
      <c r="AO115" s="3" t="n">
        <v>23497.0</v>
      </c>
    </row>
    <row r="116" spans="1:41" x14ac:dyDescent="0.2">
      <c r="A116" s="125"/>
      <c r="B116" s="9">
        <v>5</v>
      </c>
      <c r="C116" s="3" t="n">
        <v>32994.0</v>
      </c>
      <c r="D116" s="3" t="n">
        <v>31838.0</v>
      </c>
      <c r="E116" s="3" t="n">
        <v>30814.0</v>
      </c>
      <c r="F116" s="3" t="n">
        <v>28641.0</v>
      </c>
      <c r="G116" s="3" t="n">
        <v>28217.0</v>
      </c>
      <c r="H116" s="3" t="n">
        <v>25978.0</v>
      </c>
      <c r="I116" s="3" t="n">
        <v>27594.0</v>
      </c>
      <c r="J116" s="3" t="n">
        <v>27419.0</v>
      </c>
      <c r="K116" s="3" t="n">
        <v>27214.0</v>
      </c>
      <c r="L116" s="3" t="n">
        <v>26909.0</v>
      </c>
      <c r="M116" s="3" t="n">
        <v>26526.0</v>
      </c>
      <c r="N116" s="3" t="n">
        <v>26182.0</v>
      </c>
      <c r="O116" s="3" t="n">
        <v>25914.0</v>
      </c>
      <c r="P116" s="3" t="n">
        <v>25617.0</v>
      </c>
      <c r="Q116" s="3" t="n">
        <v>25349.0</v>
      </c>
      <c r="R116" s="3" t="n">
        <v>25071.0</v>
      </c>
      <c r="S116" s="3" t="n">
        <v>24828.0</v>
      </c>
      <c r="T116" s="3" t="n">
        <v>24636.0</v>
      </c>
      <c r="U116" s="3" t="n">
        <v>24533.0</v>
      </c>
      <c r="V116" s="3" t="n">
        <v>24522.0</v>
      </c>
      <c r="W116" s="3" t="n">
        <v>24609.0</v>
      </c>
      <c r="X116" s="3" t="n">
        <v>24762.0</v>
      </c>
      <c r="Y116" s="3" t="n">
        <v>24981.0</v>
      </c>
      <c r="Z116" s="3" t="n">
        <v>25231.0</v>
      </c>
      <c r="AA116" s="3" t="n">
        <v>25469.0</v>
      </c>
      <c r="AB116" s="3" t="n">
        <v>25702.0</v>
      </c>
      <c r="AC116" s="3" t="n">
        <v>25917.0</v>
      </c>
      <c r="AD116" s="3" t="n">
        <v>26064.0</v>
      </c>
      <c r="AE116" s="3" t="n">
        <v>26145.0</v>
      </c>
      <c r="AF116" s="3" t="n">
        <v>26161.0</v>
      </c>
      <c r="AG116" s="3" t="n">
        <v>26128.0</v>
      </c>
      <c r="AH116" s="3" t="n">
        <v>26030.0</v>
      </c>
      <c r="AI116" s="3" t="n">
        <v>25858.0</v>
      </c>
      <c r="AJ116" s="3" t="n">
        <v>25637.0</v>
      </c>
      <c r="AK116" s="3" t="n">
        <v>25358.0</v>
      </c>
      <c r="AL116" s="3" t="n">
        <v>25038.0</v>
      </c>
      <c r="AM116" s="3" t="n">
        <v>24683.0</v>
      </c>
      <c r="AN116" s="3" t="n">
        <v>24278.0</v>
      </c>
      <c r="AO116" s="3" t="n">
        <v>23901.0</v>
      </c>
    </row>
    <row r="117" spans="1:41" x14ac:dyDescent="0.2">
      <c r="A117" s="125"/>
      <c r="B117" s="9">
        <v>6</v>
      </c>
      <c r="C117" s="3" t="n">
        <v>31611.0</v>
      </c>
      <c r="D117" s="3" t="n">
        <v>33067.0</v>
      </c>
      <c r="E117" s="3" t="n">
        <v>31916.0</v>
      </c>
      <c r="F117" s="3" t="n">
        <v>30891.0</v>
      </c>
      <c r="G117" s="3" t="n">
        <v>28719.0</v>
      </c>
      <c r="H117" s="3" t="n">
        <v>28517.0</v>
      </c>
      <c r="I117" s="3" t="n">
        <v>26362.0</v>
      </c>
      <c r="J117" s="3" t="n">
        <v>27785.0</v>
      </c>
      <c r="K117" s="3" t="n">
        <v>27526.0</v>
      </c>
      <c r="L117" s="3" t="n">
        <v>27290.0</v>
      </c>
      <c r="M117" s="3" t="n">
        <v>26965.0</v>
      </c>
      <c r="N117" s="3" t="n">
        <v>26572.0</v>
      </c>
      <c r="O117" s="3" t="n">
        <v>26221.0</v>
      </c>
      <c r="P117" s="3" t="n">
        <v>25952.0</v>
      </c>
      <c r="Q117" s="3" t="n">
        <v>25661.0</v>
      </c>
      <c r="R117" s="3" t="n">
        <v>25391.0</v>
      </c>
      <c r="S117" s="3" t="n">
        <v>25117.0</v>
      </c>
      <c r="T117" s="3" t="n">
        <v>24874.0</v>
      </c>
      <c r="U117" s="3" t="n">
        <v>24683.0</v>
      </c>
      <c r="V117" s="3" t="n">
        <v>24577.0</v>
      </c>
      <c r="W117" s="3" t="n">
        <v>24565.0</v>
      </c>
      <c r="X117" s="3" t="n">
        <v>24652.0</v>
      </c>
      <c r="Y117" s="3" t="n">
        <v>24806.0</v>
      </c>
      <c r="Z117" s="3" t="n">
        <v>25023.0</v>
      </c>
      <c r="AA117" s="3" t="n">
        <v>25272.0</v>
      </c>
      <c r="AB117" s="3" t="n">
        <v>25510.0</v>
      </c>
      <c r="AC117" s="3" t="n">
        <v>25739.0</v>
      </c>
      <c r="AD117" s="3" t="n">
        <v>25951.0</v>
      </c>
      <c r="AE117" s="3" t="n">
        <v>26095.0</v>
      </c>
      <c r="AF117" s="3" t="n">
        <v>26175.0</v>
      </c>
      <c r="AG117" s="3" t="n">
        <v>26191.0</v>
      </c>
      <c r="AH117" s="3" t="n">
        <v>26157.0</v>
      </c>
      <c r="AI117" s="3" t="n">
        <v>26057.0</v>
      </c>
      <c r="AJ117" s="3" t="n">
        <v>25879.0</v>
      </c>
      <c r="AK117" s="3" t="n">
        <v>25657.0</v>
      </c>
      <c r="AL117" s="3" t="n">
        <v>25375.0</v>
      </c>
      <c r="AM117" s="3" t="n">
        <v>25058.0</v>
      </c>
      <c r="AN117" s="3" t="n">
        <v>24701.0</v>
      </c>
      <c r="AO117" s="3" t="n">
        <v>24301.0</v>
      </c>
    </row>
    <row r="118" spans="1:41" x14ac:dyDescent="0.2">
      <c r="A118" s="125"/>
      <c r="B118" s="9">
        <v>7</v>
      </c>
      <c r="C118" s="3" t="n">
        <v>31371.0</v>
      </c>
      <c r="D118" s="3" t="n">
        <v>31647.0</v>
      </c>
      <c r="E118" s="3" t="n">
        <v>33111.0</v>
      </c>
      <c r="F118" s="3" t="n">
        <v>31968.0</v>
      </c>
      <c r="G118" s="3" t="n">
        <v>30940.0</v>
      </c>
      <c r="H118" s="3" t="n">
        <v>29019.0</v>
      </c>
      <c r="I118" s="3" t="n">
        <v>28899.0</v>
      </c>
      <c r="J118" s="3" t="n">
        <v>26558.0</v>
      </c>
      <c r="K118" s="3" t="n">
        <v>27878.0</v>
      </c>
      <c r="L118" s="3" t="n">
        <v>27582.0</v>
      </c>
      <c r="M118" s="3" t="n">
        <v>27325.0</v>
      </c>
      <c r="N118" s="3" t="n">
        <v>26994.0</v>
      </c>
      <c r="O118" s="3" t="n">
        <v>26600.0</v>
      </c>
      <c r="P118" s="3" t="n">
        <v>26248.0</v>
      </c>
      <c r="Q118" s="3" t="n">
        <v>25978.0</v>
      </c>
      <c r="R118" s="3" t="n">
        <v>25686.0</v>
      </c>
      <c r="S118" s="3" t="n">
        <v>25417.0</v>
      </c>
      <c r="T118" s="3" t="n">
        <v>25143.0</v>
      </c>
      <c r="U118" s="3" t="n">
        <v>24901.0</v>
      </c>
      <c r="V118" s="3" t="n">
        <v>24710.0</v>
      </c>
      <c r="W118" s="3" t="n">
        <v>24607.0</v>
      </c>
      <c r="X118" s="3" t="n">
        <v>24593.0</v>
      </c>
      <c r="Y118" s="3" t="n">
        <v>24681.0</v>
      </c>
      <c r="Z118" s="3" t="n">
        <v>24834.0</v>
      </c>
      <c r="AA118" s="3" t="n">
        <v>25051.0</v>
      </c>
      <c r="AB118" s="3" t="n">
        <v>25297.0</v>
      </c>
      <c r="AC118" s="3" t="n">
        <v>25532.0</v>
      </c>
      <c r="AD118" s="3" t="n">
        <v>25760.0</v>
      </c>
      <c r="AE118" s="3" t="n">
        <v>25970.0</v>
      </c>
      <c r="AF118" s="3" t="n">
        <v>26114.0</v>
      </c>
      <c r="AG118" s="3" t="n">
        <v>26191.0</v>
      </c>
      <c r="AH118" s="3" t="n">
        <v>26207.0</v>
      </c>
      <c r="AI118" s="3" t="n">
        <v>26171.0</v>
      </c>
      <c r="AJ118" s="3" t="n">
        <v>26075.0</v>
      </c>
      <c r="AK118" s="3" t="n">
        <v>25898.0</v>
      </c>
      <c r="AL118" s="3" t="n">
        <v>25673.0</v>
      </c>
      <c r="AM118" s="3" t="n">
        <v>25389.0</v>
      </c>
      <c r="AN118" s="3" t="n">
        <v>25072.0</v>
      </c>
      <c r="AO118" s="3" t="n">
        <v>24713.0</v>
      </c>
    </row>
    <row r="119" spans="1:41" x14ac:dyDescent="0.2">
      <c r="A119" s="125"/>
      <c r="B119" s="9">
        <v>8</v>
      </c>
      <c r="C119" s="3" t="n">
        <v>31202.0</v>
      </c>
      <c r="D119" s="3" t="n">
        <v>31401.0</v>
      </c>
      <c r="E119" s="3" t="n">
        <v>31676.0</v>
      </c>
      <c r="F119" s="3" t="n">
        <v>33142.0</v>
      </c>
      <c r="G119" s="3" t="n">
        <v>32001.0</v>
      </c>
      <c r="H119" s="3" t="n">
        <v>31245.0</v>
      </c>
      <c r="I119" s="3" t="n">
        <v>29419.0</v>
      </c>
      <c r="J119" s="3" t="n">
        <v>29092.0</v>
      </c>
      <c r="K119" s="3" t="n">
        <v>26641.0</v>
      </c>
      <c r="L119" s="3" t="n">
        <v>27924.0</v>
      </c>
      <c r="M119" s="3" t="n">
        <v>27602.0</v>
      </c>
      <c r="N119" s="3" t="n">
        <v>27337.0</v>
      </c>
      <c r="O119" s="3" t="n">
        <v>27002.0</v>
      </c>
      <c r="P119" s="3" t="n">
        <v>26606.0</v>
      </c>
      <c r="Q119" s="3" t="n">
        <v>26257.0</v>
      </c>
      <c r="R119" s="3" t="n">
        <v>25987.0</v>
      </c>
      <c r="S119" s="3" t="n">
        <v>25694.0</v>
      </c>
      <c r="T119" s="3" t="n">
        <v>25424.0</v>
      </c>
      <c r="U119" s="3" t="n">
        <v>25152.0</v>
      </c>
      <c r="V119" s="3" t="n">
        <v>24912.0</v>
      </c>
      <c r="W119" s="3" t="n">
        <v>24722.0</v>
      </c>
      <c r="X119" s="3" t="n">
        <v>24621.0</v>
      </c>
      <c r="Y119" s="3" t="n">
        <v>24607.0</v>
      </c>
      <c r="Z119" s="3" t="n">
        <v>24693.0</v>
      </c>
      <c r="AA119" s="3" t="n">
        <v>24847.0</v>
      </c>
      <c r="AB119" s="3" t="n">
        <v>25063.0</v>
      </c>
      <c r="AC119" s="3" t="n">
        <v>25306.0</v>
      </c>
      <c r="AD119" s="3" t="n">
        <v>25541.0</v>
      </c>
      <c r="AE119" s="3" t="n">
        <v>25770.0</v>
      </c>
      <c r="AF119" s="3" t="n">
        <v>25975.0</v>
      </c>
      <c r="AG119" s="3" t="n">
        <v>26116.0</v>
      </c>
      <c r="AH119" s="3" t="n">
        <v>26191.0</v>
      </c>
      <c r="AI119" s="3" t="n">
        <v>26207.0</v>
      </c>
      <c r="AJ119" s="3" t="n">
        <v>26171.0</v>
      </c>
      <c r="AK119" s="3" t="n">
        <v>26076.0</v>
      </c>
      <c r="AL119" s="3" t="n">
        <v>25898.0</v>
      </c>
      <c r="AM119" s="3" t="n">
        <v>25670.0</v>
      </c>
      <c r="AN119" s="3" t="n">
        <v>25381.0</v>
      </c>
      <c r="AO119" s="3" t="n">
        <v>25069.0</v>
      </c>
    </row>
    <row r="120" spans="1:41" x14ac:dyDescent="0.2">
      <c r="A120" s="125"/>
      <c r="B120" s="9">
        <v>9</v>
      </c>
      <c r="C120" s="3" t="n">
        <v>30261.0</v>
      </c>
      <c r="D120" s="3" t="n">
        <v>31224.0</v>
      </c>
      <c r="E120" s="3" t="n">
        <v>31425.0</v>
      </c>
      <c r="F120" s="3" t="n">
        <v>31710.0</v>
      </c>
      <c r="G120" s="3" t="n">
        <v>33178.0</v>
      </c>
      <c r="H120" s="3" t="n">
        <v>32300.0</v>
      </c>
      <c r="I120" s="3" t="n">
        <v>31652.0</v>
      </c>
      <c r="J120" s="3" t="n">
        <v>29612.0</v>
      </c>
      <c r="K120" s="3" t="n">
        <v>29178.0</v>
      </c>
      <c r="L120" s="3" t="n">
        <v>26679.0</v>
      </c>
      <c r="M120" s="3" t="n">
        <v>27942.0</v>
      </c>
      <c r="N120" s="3" t="n">
        <v>27603.0</v>
      </c>
      <c r="O120" s="3" t="n">
        <v>27333.0</v>
      </c>
      <c r="P120" s="3" t="n">
        <v>26999.0</v>
      </c>
      <c r="Q120" s="3" t="n">
        <v>26604.0</v>
      </c>
      <c r="R120" s="3" t="n">
        <v>26259.0</v>
      </c>
      <c r="S120" s="3" t="n">
        <v>25990.0</v>
      </c>
      <c r="T120" s="3" t="n">
        <v>25699.0</v>
      </c>
      <c r="U120" s="3" t="n">
        <v>25428.0</v>
      </c>
      <c r="V120" s="3" t="n">
        <v>25155.0</v>
      </c>
      <c r="W120" s="3" t="n">
        <v>24917.0</v>
      </c>
      <c r="X120" s="3" t="n">
        <v>24729.0</v>
      </c>
      <c r="Y120" s="3" t="n">
        <v>24629.0</v>
      </c>
      <c r="Z120" s="3" t="n">
        <v>24615.0</v>
      </c>
      <c r="AA120" s="3" t="n">
        <v>24701.0</v>
      </c>
      <c r="AB120" s="3" t="n">
        <v>24853.0</v>
      </c>
      <c r="AC120" s="3" t="n">
        <v>25067.0</v>
      </c>
      <c r="AD120" s="3" t="n">
        <v>25308.0</v>
      </c>
      <c r="AE120" s="3" t="n">
        <v>25543.0</v>
      </c>
      <c r="AF120" s="3" t="n">
        <v>25773.0</v>
      </c>
      <c r="AG120" s="3" t="n">
        <v>25976.0</v>
      </c>
      <c r="AH120" s="3" t="n">
        <v>26114.0</v>
      </c>
      <c r="AI120" s="3" t="n">
        <v>26190.0</v>
      </c>
      <c r="AJ120" s="3" t="n">
        <v>26206.0</v>
      </c>
      <c r="AK120" s="3" t="n">
        <v>26165.0</v>
      </c>
      <c r="AL120" s="3" t="n">
        <v>26069.0</v>
      </c>
      <c r="AM120" s="3" t="n">
        <v>25892.0</v>
      </c>
      <c r="AN120" s="3" t="n">
        <v>25661.0</v>
      </c>
      <c r="AO120" s="3" t="n">
        <v>25373.0</v>
      </c>
    </row>
    <row r="121" spans="1:41" x14ac:dyDescent="0.2">
      <c r="A121" s="125"/>
      <c r="B121" s="9">
        <v>10</v>
      </c>
      <c r="C121" s="3" t="n">
        <v>31653.0</v>
      </c>
      <c r="D121" s="3" t="n">
        <v>30282.0</v>
      </c>
      <c r="E121" s="3" t="n">
        <v>31245.0</v>
      </c>
      <c r="F121" s="3" t="n">
        <v>31449.0</v>
      </c>
      <c r="G121" s="3" t="n">
        <v>31741.0</v>
      </c>
      <c r="H121" s="3" t="n">
        <v>33473.0</v>
      </c>
      <c r="I121" s="3" t="n">
        <v>32685.0</v>
      </c>
      <c r="J121" s="3" t="n">
        <v>31838.0</v>
      </c>
      <c r="K121" s="3" t="n">
        <v>29698.0</v>
      </c>
      <c r="L121" s="3" t="n">
        <v>29227.0</v>
      </c>
      <c r="M121" s="3" t="n">
        <v>26699.0</v>
      </c>
      <c r="N121" s="3" t="n">
        <v>27943.0</v>
      </c>
      <c r="O121" s="3" t="n">
        <v>27597.0</v>
      </c>
      <c r="P121" s="3" t="n">
        <v>27328.0</v>
      </c>
      <c r="Q121" s="3" t="n">
        <v>26994.0</v>
      </c>
      <c r="R121" s="3" t="n">
        <v>26600.0</v>
      </c>
      <c r="S121" s="3" t="n">
        <v>26255.0</v>
      </c>
      <c r="T121" s="3" t="n">
        <v>25987.0</v>
      </c>
      <c r="U121" s="3" t="n">
        <v>25696.0</v>
      </c>
      <c r="V121" s="3" t="n">
        <v>25428.0</v>
      </c>
      <c r="W121" s="3" t="n">
        <v>25157.0</v>
      </c>
      <c r="X121" s="3" t="n">
        <v>24921.0</v>
      </c>
      <c r="Y121" s="3" t="n">
        <v>24733.0</v>
      </c>
      <c r="Z121" s="3" t="n">
        <v>24633.0</v>
      </c>
      <c r="AA121" s="3" t="n">
        <v>24618.0</v>
      </c>
      <c r="AB121" s="3" t="n">
        <v>24705.0</v>
      </c>
      <c r="AC121" s="3" t="n">
        <v>24857.0</v>
      </c>
      <c r="AD121" s="3" t="n">
        <v>25073.0</v>
      </c>
      <c r="AE121" s="3" t="n">
        <v>25309.0</v>
      </c>
      <c r="AF121" s="3" t="n">
        <v>25541.0</v>
      </c>
      <c r="AG121" s="3" t="n">
        <v>25767.0</v>
      </c>
      <c r="AH121" s="3" t="n">
        <v>25970.0</v>
      </c>
      <c r="AI121" s="3" t="n">
        <v>26107.0</v>
      </c>
      <c r="AJ121" s="3" t="n">
        <v>26182.0</v>
      </c>
      <c r="AK121" s="3" t="n">
        <v>26198.0</v>
      </c>
      <c r="AL121" s="3" t="n">
        <v>26157.0</v>
      </c>
      <c r="AM121" s="3" t="n">
        <v>26057.0</v>
      </c>
      <c r="AN121" s="3" t="n">
        <v>25879.0</v>
      </c>
      <c r="AO121" s="3" t="n">
        <v>25648.0</v>
      </c>
    </row>
    <row r="122" spans="1:41" x14ac:dyDescent="0.2">
      <c r="A122" s="125"/>
      <c r="B122" s="9">
        <v>11</v>
      </c>
      <c r="C122" s="3" t="n">
        <v>31362.0</v>
      </c>
      <c r="D122" s="3" t="n">
        <v>31668.0</v>
      </c>
      <c r="E122" s="3" t="n">
        <v>30301.0</v>
      </c>
      <c r="F122" s="3" t="n">
        <v>31261.0</v>
      </c>
      <c r="G122" s="3" t="n">
        <v>31479.0</v>
      </c>
      <c r="H122" s="3" t="n">
        <v>32028.0</v>
      </c>
      <c r="I122" s="3" t="n">
        <v>33855.0</v>
      </c>
      <c r="J122" s="3" t="n">
        <v>32863.0</v>
      </c>
      <c r="K122" s="3" t="n">
        <v>31918.0</v>
      </c>
      <c r="L122" s="3" t="n">
        <v>29740.0</v>
      </c>
      <c r="M122" s="3" t="n">
        <v>29253.0</v>
      </c>
      <c r="N122" s="3" t="n">
        <v>26704.0</v>
      </c>
      <c r="O122" s="3" t="n">
        <v>27938.0</v>
      </c>
      <c r="P122" s="3" t="n">
        <v>27590.0</v>
      </c>
      <c r="Q122" s="3" t="n">
        <v>27324.0</v>
      </c>
      <c r="R122" s="3" t="n">
        <v>26994.0</v>
      </c>
      <c r="S122" s="3" t="n">
        <v>26599.0</v>
      </c>
      <c r="T122" s="3" t="n">
        <v>26254.0</v>
      </c>
      <c r="U122" s="3" t="n">
        <v>25984.0</v>
      </c>
      <c r="V122" s="3" t="n">
        <v>25691.0</v>
      </c>
      <c r="W122" s="3" t="n">
        <v>25421.0</v>
      </c>
      <c r="X122" s="3" t="n">
        <v>25151.0</v>
      </c>
      <c r="Y122" s="3" t="n">
        <v>24918.0</v>
      </c>
      <c r="Z122" s="3" t="n">
        <v>24732.0</v>
      </c>
      <c r="AA122" s="3" t="n">
        <v>24632.0</v>
      </c>
      <c r="AB122" s="3" t="n">
        <v>24615.0</v>
      </c>
      <c r="AC122" s="3" t="n">
        <v>24703.0</v>
      </c>
      <c r="AD122" s="3" t="n">
        <v>24854.0</v>
      </c>
      <c r="AE122" s="3" t="n">
        <v>25069.0</v>
      </c>
      <c r="AF122" s="3" t="n">
        <v>25304.0</v>
      </c>
      <c r="AG122" s="3" t="n">
        <v>25534.0</v>
      </c>
      <c r="AH122" s="3" t="n">
        <v>25755.0</v>
      </c>
      <c r="AI122" s="3" t="n">
        <v>25959.0</v>
      </c>
      <c r="AJ122" s="3" t="n">
        <v>26093.0</v>
      </c>
      <c r="AK122" s="3" t="n">
        <v>26166.0</v>
      </c>
      <c r="AL122" s="3" t="n">
        <v>26179.0</v>
      </c>
      <c r="AM122" s="3" t="n">
        <v>26139.0</v>
      </c>
      <c r="AN122" s="3" t="n">
        <v>26038.0</v>
      </c>
      <c r="AO122" s="3" t="n">
        <v>25861.0</v>
      </c>
    </row>
    <row r="123" spans="1:41" x14ac:dyDescent="0.2">
      <c r="A123" s="125"/>
      <c r="B123" s="9">
        <v>12</v>
      </c>
      <c r="C123" s="3" t="n">
        <v>33361.0</v>
      </c>
      <c r="D123" s="3" t="n">
        <v>31380.0</v>
      </c>
      <c r="E123" s="3" t="n">
        <v>31684.0</v>
      </c>
      <c r="F123" s="3" t="n">
        <v>30322.0</v>
      </c>
      <c r="G123" s="3" t="n">
        <v>31287.0</v>
      </c>
      <c r="H123" s="3" t="n">
        <v>31750.0</v>
      </c>
      <c r="I123" s="3" t="n">
        <v>32394.0</v>
      </c>
      <c r="J123" s="3" t="n">
        <v>34025.0</v>
      </c>
      <c r="K123" s="3" t="n">
        <v>32939.0</v>
      </c>
      <c r="L123" s="3" t="n">
        <v>31961.0</v>
      </c>
      <c r="M123" s="3" t="n">
        <v>29770.0</v>
      </c>
      <c r="N123" s="3" t="n">
        <v>29267.0</v>
      </c>
      <c r="O123" s="3" t="n">
        <v>26703.0</v>
      </c>
      <c r="P123" s="3" t="n">
        <v>27935.0</v>
      </c>
      <c r="Q123" s="3" t="n">
        <v>27582.0</v>
      </c>
      <c r="R123" s="3" t="n">
        <v>27316.0</v>
      </c>
      <c r="S123" s="3" t="n">
        <v>26986.0</v>
      </c>
      <c r="T123" s="3" t="n">
        <v>26594.0</v>
      </c>
      <c r="U123" s="3" t="n">
        <v>26250.0</v>
      </c>
      <c r="V123" s="3" t="n">
        <v>25980.0</v>
      </c>
      <c r="W123" s="3" t="n">
        <v>25688.0</v>
      </c>
      <c r="X123" s="3" t="n">
        <v>25417.0</v>
      </c>
      <c r="Y123" s="3" t="n">
        <v>25147.0</v>
      </c>
      <c r="Z123" s="3" t="n">
        <v>24913.0</v>
      </c>
      <c r="AA123" s="3" t="n">
        <v>24727.0</v>
      </c>
      <c r="AB123" s="3" t="n">
        <v>24629.0</v>
      </c>
      <c r="AC123" s="3" t="n">
        <v>24608.0</v>
      </c>
      <c r="AD123" s="3" t="n">
        <v>24697.0</v>
      </c>
      <c r="AE123" s="3" t="n">
        <v>24848.0</v>
      </c>
      <c r="AF123" s="3" t="n">
        <v>25062.0</v>
      </c>
      <c r="AG123" s="3" t="n">
        <v>25297.0</v>
      </c>
      <c r="AH123" s="3" t="n">
        <v>25528.0</v>
      </c>
      <c r="AI123" s="3" t="n">
        <v>25746.0</v>
      </c>
      <c r="AJ123" s="3" t="n">
        <v>25950.0</v>
      </c>
      <c r="AK123" s="3" t="n">
        <v>26081.0</v>
      </c>
      <c r="AL123" s="3" t="n">
        <v>26153.0</v>
      </c>
      <c r="AM123" s="3" t="n">
        <v>26165.0</v>
      </c>
      <c r="AN123" s="3" t="n">
        <v>26123.0</v>
      </c>
      <c r="AO123" s="3" t="n">
        <v>26021.0</v>
      </c>
    </row>
    <row r="124" spans="1:41" x14ac:dyDescent="0.2">
      <c r="A124" s="125"/>
      <c r="B124" s="9">
        <v>13</v>
      </c>
      <c r="C124" s="3" t="n">
        <v>32573.0</v>
      </c>
      <c r="D124" s="3" t="n">
        <v>33362.0</v>
      </c>
      <c r="E124" s="3" t="n">
        <v>31384.0</v>
      </c>
      <c r="F124" s="3" t="n">
        <v>31690.0</v>
      </c>
      <c r="G124" s="3" t="n">
        <v>30329.0</v>
      </c>
      <c r="H124" s="3" t="n">
        <v>31542.0</v>
      </c>
      <c r="I124" s="3" t="n">
        <v>32087.0</v>
      </c>
      <c r="J124" s="3" t="n">
        <v>32553.0</v>
      </c>
      <c r="K124" s="3" t="n">
        <v>34090.0</v>
      </c>
      <c r="L124" s="3" t="n">
        <v>32972.0</v>
      </c>
      <c r="M124" s="3" t="n">
        <v>31969.0</v>
      </c>
      <c r="N124" s="3" t="n">
        <v>29769.0</v>
      </c>
      <c r="O124" s="3" t="n">
        <v>29258.0</v>
      </c>
      <c r="P124" s="3" t="n">
        <v>26692.0</v>
      </c>
      <c r="Q124" s="3" t="n">
        <v>27921.0</v>
      </c>
      <c r="R124" s="3" t="n">
        <v>27563.0</v>
      </c>
      <c r="S124" s="3" t="n">
        <v>27295.0</v>
      </c>
      <c r="T124" s="3" t="n">
        <v>26967.0</v>
      </c>
      <c r="U124" s="3" t="n">
        <v>26575.0</v>
      </c>
      <c r="V124" s="3" t="n">
        <v>26231.0</v>
      </c>
      <c r="W124" s="3" t="n">
        <v>25961.0</v>
      </c>
      <c r="X124" s="3" t="n">
        <v>25670.0</v>
      </c>
      <c r="Y124" s="3" t="n">
        <v>25402.0</v>
      </c>
      <c r="Z124" s="3" t="n">
        <v>25134.0</v>
      </c>
      <c r="AA124" s="3" t="n">
        <v>24901.0</v>
      </c>
      <c r="AB124" s="3" t="n">
        <v>24716.0</v>
      </c>
      <c r="AC124" s="3" t="n">
        <v>24619.0</v>
      </c>
      <c r="AD124" s="3" t="n">
        <v>24597.0</v>
      </c>
      <c r="AE124" s="3" t="n">
        <v>24685.0</v>
      </c>
      <c r="AF124" s="3" t="n">
        <v>24837.0</v>
      </c>
      <c r="AG124" s="3" t="n">
        <v>25049.0</v>
      </c>
      <c r="AH124" s="3" t="n">
        <v>25283.0</v>
      </c>
      <c r="AI124" s="3" t="n">
        <v>25514.0</v>
      </c>
      <c r="AJ124" s="3" t="n">
        <v>25728.0</v>
      </c>
      <c r="AK124" s="3" t="n">
        <v>25932.0</v>
      </c>
      <c r="AL124" s="3" t="n">
        <v>26059.0</v>
      </c>
      <c r="AM124" s="3" t="n">
        <v>26130.0</v>
      </c>
      <c r="AN124" s="3" t="n">
        <v>26143.0</v>
      </c>
      <c r="AO124" s="3" t="n">
        <v>26102.0</v>
      </c>
    </row>
    <row r="125" spans="1:41" x14ac:dyDescent="0.2">
      <c r="A125" s="125"/>
      <c r="B125" s="9">
        <v>14</v>
      </c>
      <c r="C125" s="3" t="n">
        <v>32419.0</v>
      </c>
      <c r="D125" s="3" t="n">
        <v>32591.0</v>
      </c>
      <c r="E125" s="3" t="n">
        <v>33378.0</v>
      </c>
      <c r="F125" s="3" t="n">
        <v>31401.0</v>
      </c>
      <c r="G125" s="3" t="n">
        <v>31714.0</v>
      </c>
      <c r="H125" s="3" t="n">
        <v>30593.0</v>
      </c>
      <c r="I125" s="3" t="n">
        <v>31890.0</v>
      </c>
      <c r="J125" s="3" t="n">
        <v>32250.0</v>
      </c>
      <c r="K125" s="3" t="n">
        <v>32620.0</v>
      </c>
      <c r="L125" s="3" t="n">
        <v>34122.0</v>
      </c>
      <c r="M125" s="3" t="n">
        <v>32988.0</v>
      </c>
      <c r="N125" s="3" t="n">
        <v>31974.0</v>
      </c>
      <c r="O125" s="3" t="n">
        <v>29769.0</v>
      </c>
      <c r="P125" s="3" t="n">
        <v>29262.0</v>
      </c>
      <c r="Q125" s="3" t="n">
        <v>26695.0</v>
      </c>
      <c r="R125" s="3" t="n">
        <v>27916.0</v>
      </c>
      <c r="S125" s="3" t="n">
        <v>27559.0</v>
      </c>
      <c r="T125" s="3" t="n">
        <v>27293.0</v>
      </c>
      <c r="U125" s="3" t="n">
        <v>26962.0</v>
      </c>
      <c r="V125" s="3" t="n">
        <v>26568.0</v>
      </c>
      <c r="W125" s="3" t="n">
        <v>26222.0</v>
      </c>
      <c r="X125" s="3" t="n">
        <v>25954.0</v>
      </c>
      <c r="Y125" s="3" t="n">
        <v>25666.0</v>
      </c>
      <c r="Z125" s="3" t="n">
        <v>25396.0</v>
      </c>
      <c r="AA125" s="3" t="n">
        <v>25124.0</v>
      </c>
      <c r="AB125" s="3" t="n">
        <v>24894.0</v>
      </c>
      <c r="AC125" s="3" t="n">
        <v>24710.0</v>
      </c>
      <c r="AD125" s="3" t="n">
        <v>24613.0</v>
      </c>
      <c r="AE125" s="3" t="n">
        <v>24594.0</v>
      </c>
      <c r="AF125" s="3" t="n">
        <v>24681.0</v>
      </c>
      <c r="AG125" s="3" t="n">
        <v>24836.0</v>
      </c>
      <c r="AH125" s="3" t="n">
        <v>25045.0</v>
      </c>
      <c r="AI125" s="3" t="n">
        <v>25278.0</v>
      </c>
      <c r="AJ125" s="3" t="n">
        <v>25509.0</v>
      </c>
      <c r="AK125" s="3" t="n">
        <v>25724.0</v>
      </c>
      <c r="AL125" s="3" t="n">
        <v>25929.0</v>
      </c>
      <c r="AM125" s="3" t="n">
        <v>26054.0</v>
      </c>
      <c r="AN125" s="3" t="n">
        <v>26126.0</v>
      </c>
      <c r="AO125" s="3" t="n">
        <v>26135.0</v>
      </c>
    </row>
    <row r="126" spans="1:41" x14ac:dyDescent="0.2">
      <c r="A126" s="125"/>
      <c r="B126" s="9">
        <v>15</v>
      </c>
      <c r="C126" s="3" t="n">
        <v>30335.0</v>
      </c>
      <c r="D126" s="3" t="n">
        <v>32443.0</v>
      </c>
      <c r="E126" s="3" t="n">
        <v>32613.0</v>
      </c>
      <c r="F126" s="3" t="n">
        <v>33395.0</v>
      </c>
      <c r="G126" s="3" t="n">
        <v>31420.0</v>
      </c>
      <c r="H126" s="3" t="n">
        <v>31944.0</v>
      </c>
      <c r="I126" s="3" t="n">
        <v>30909.0</v>
      </c>
      <c r="J126" s="3" t="n">
        <v>32040.0</v>
      </c>
      <c r="K126" s="3" t="n">
        <v>32306.0</v>
      </c>
      <c r="L126" s="3" t="n">
        <v>32651.0</v>
      </c>
      <c r="M126" s="3" t="n">
        <v>34138.0</v>
      </c>
      <c r="N126" s="3" t="n">
        <v>32989.0</v>
      </c>
      <c r="O126" s="3" t="n">
        <v>31972.0</v>
      </c>
      <c r="P126" s="3" t="n">
        <v>29767.0</v>
      </c>
      <c r="Q126" s="3" t="n">
        <v>29256.0</v>
      </c>
      <c r="R126" s="3" t="n">
        <v>26690.0</v>
      </c>
      <c r="S126" s="3" t="n">
        <v>27906.0</v>
      </c>
      <c r="T126" s="3" t="n">
        <v>27548.0</v>
      </c>
      <c r="U126" s="3" t="n">
        <v>27281.0</v>
      </c>
      <c r="V126" s="3" t="n">
        <v>26953.0</v>
      </c>
      <c r="W126" s="3" t="n">
        <v>26561.0</v>
      </c>
      <c r="X126" s="3" t="n">
        <v>26215.0</v>
      </c>
      <c r="Y126" s="3" t="n">
        <v>25945.0</v>
      </c>
      <c r="Z126" s="3" t="n">
        <v>25655.0</v>
      </c>
      <c r="AA126" s="3" t="n">
        <v>25386.0</v>
      </c>
      <c r="AB126" s="3" t="n">
        <v>25116.0</v>
      </c>
      <c r="AC126" s="3" t="n">
        <v>24886.0</v>
      </c>
      <c r="AD126" s="3" t="n">
        <v>24702.0</v>
      </c>
      <c r="AE126" s="3" t="n">
        <v>24606.0</v>
      </c>
      <c r="AF126" s="3" t="n">
        <v>24588.0</v>
      </c>
      <c r="AG126" s="3" t="n">
        <v>24674.0</v>
      </c>
      <c r="AH126" s="3" t="n">
        <v>24829.0</v>
      </c>
      <c r="AI126" s="3" t="n">
        <v>25036.0</v>
      </c>
      <c r="AJ126" s="3" t="n">
        <v>25268.0</v>
      </c>
      <c r="AK126" s="3" t="n">
        <v>25498.0</v>
      </c>
      <c r="AL126" s="3" t="n">
        <v>25711.0</v>
      </c>
      <c r="AM126" s="3" t="n">
        <v>25912.0</v>
      </c>
      <c r="AN126" s="3" t="n">
        <v>26034.0</v>
      </c>
      <c r="AO126" s="3" t="n">
        <v>26105.0</v>
      </c>
    </row>
    <row r="127" spans="1:41" x14ac:dyDescent="0.2">
      <c r="A127" s="125"/>
      <c r="B127" s="9">
        <v>16</v>
      </c>
      <c r="C127" s="3" t="n">
        <v>28732.0</v>
      </c>
      <c r="D127" s="3" t="n">
        <v>30338.0</v>
      </c>
      <c r="E127" s="3" t="n">
        <v>32445.0</v>
      </c>
      <c r="F127" s="3" t="n">
        <v>32618.0</v>
      </c>
      <c r="G127" s="3" t="n">
        <v>33407.0</v>
      </c>
      <c r="H127" s="3" t="n">
        <v>31612.0</v>
      </c>
      <c r="I127" s="3" t="n">
        <v>32207.0</v>
      </c>
      <c r="J127" s="3" t="n">
        <v>31033.0</v>
      </c>
      <c r="K127" s="3" t="n">
        <v>32090.0</v>
      </c>
      <c r="L127" s="3" t="n">
        <v>32324.0</v>
      </c>
      <c r="M127" s="3" t="n">
        <v>32653.0</v>
      </c>
      <c r="N127" s="3" t="n">
        <v>34129.0</v>
      </c>
      <c r="O127" s="3" t="n">
        <v>32981.0</v>
      </c>
      <c r="P127" s="3" t="n">
        <v>31964.0</v>
      </c>
      <c r="Q127" s="3" t="n">
        <v>29760.0</v>
      </c>
      <c r="R127" s="3" t="n">
        <v>29246.0</v>
      </c>
      <c r="S127" s="3" t="n">
        <v>26672.0</v>
      </c>
      <c r="T127" s="3" t="n">
        <v>27882.0</v>
      </c>
      <c r="U127" s="3" t="n">
        <v>27518.0</v>
      </c>
      <c r="V127" s="3" t="n">
        <v>27252.0</v>
      </c>
      <c r="W127" s="3" t="n">
        <v>26927.0</v>
      </c>
      <c r="X127" s="3" t="n">
        <v>26534.0</v>
      </c>
      <c r="Y127" s="3" t="n">
        <v>26191.0</v>
      </c>
      <c r="Z127" s="3" t="n">
        <v>25922.0</v>
      </c>
      <c r="AA127" s="3" t="n">
        <v>25635.0</v>
      </c>
      <c r="AB127" s="3" t="n">
        <v>25368.0</v>
      </c>
      <c r="AC127" s="3" t="n">
        <v>25098.0</v>
      </c>
      <c r="AD127" s="3" t="n">
        <v>24866.0</v>
      </c>
      <c r="AE127" s="3" t="n">
        <v>24685.0</v>
      </c>
      <c r="AF127" s="3" t="n">
        <v>24587.0</v>
      </c>
      <c r="AG127" s="3" t="n">
        <v>24570.0</v>
      </c>
      <c r="AH127" s="3" t="n">
        <v>24654.0</v>
      </c>
      <c r="AI127" s="3" t="n">
        <v>24808.0</v>
      </c>
      <c r="AJ127" s="3" t="n">
        <v>25012.0</v>
      </c>
      <c r="AK127" s="3" t="n">
        <v>25244.0</v>
      </c>
      <c r="AL127" s="3" t="n">
        <v>25474.0</v>
      </c>
      <c r="AM127" s="3" t="n">
        <v>25685.0</v>
      </c>
      <c r="AN127" s="3" t="n">
        <v>25885.0</v>
      </c>
      <c r="AO127" s="3" t="n">
        <v>26007.0</v>
      </c>
    </row>
    <row r="128" spans="1:41" x14ac:dyDescent="0.2">
      <c r="A128" s="125"/>
      <c r="B128" s="9">
        <v>17</v>
      </c>
      <c r="C128" s="3" t="n">
        <v>27047.0</v>
      </c>
      <c r="D128" s="3" t="n">
        <v>28722.0</v>
      </c>
      <c r="E128" s="3" t="n">
        <v>30333.0</v>
      </c>
      <c r="F128" s="3" t="n">
        <v>32442.0</v>
      </c>
      <c r="G128" s="3" t="n">
        <v>32618.0</v>
      </c>
      <c r="H128" s="3" t="n">
        <v>33618.0</v>
      </c>
      <c r="I128" s="3" t="n">
        <v>31901.0</v>
      </c>
      <c r="J128" s="3" t="n">
        <v>32333.0</v>
      </c>
      <c r="K128" s="3" t="n">
        <v>31071.0</v>
      </c>
      <c r="L128" s="3" t="n">
        <v>32096.0</v>
      </c>
      <c r="M128" s="3" t="n">
        <v>32320.0</v>
      </c>
      <c r="N128" s="3" t="n">
        <v>32636.0</v>
      </c>
      <c r="O128" s="3" t="n">
        <v>34112.0</v>
      </c>
      <c r="P128" s="3" t="n">
        <v>32956.0</v>
      </c>
      <c r="Q128" s="3" t="n">
        <v>31943.0</v>
      </c>
      <c r="R128" s="3" t="n">
        <v>29738.0</v>
      </c>
      <c r="S128" s="3" t="n">
        <v>29223.0</v>
      </c>
      <c r="T128" s="3" t="n">
        <v>26655.0</v>
      </c>
      <c r="U128" s="3" t="n">
        <v>27864.0</v>
      </c>
      <c r="V128" s="3" t="n">
        <v>27500.0</v>
      </c>
      <c r="W128" s="3" t="n">
        <v>27236.0</v>
      </c>
      <c r="X128" s="3" t="n">
        <v>26911.0</v>
      </c>
      <c r="Y128" s="3" t="n">
        <v>26519.0</v>
      </c>
      <c r="Z128" s="3" t="n">
        <v>26179.0</v>
      </c>
      <c r="AA128" s="3" t="n">
        <v>25911.0</v>
      </c>
      <c r="AB128" s="3" t="n">
        <v>25624.0</v>
      </c>
      <c r="AC128" s="3" t="n">
        <v>25359.0</v>
      </c>
      <c r="AD128" s="3" t="n">
        <v>25091.0</v>
      </c>
      <c r="AE128" s="3" t="n">
        <v>24858.0</v>
      </c>
      <c r="AF128" s="3" t="n">
        <v>24678.0</v>
      </c>
      <c r="AG128" s="3" t="n">
        <v>24581.0</v>
      </c>
      <c r="AH128" s="3" t="n">
        <v>24564.0</v>
      </c>
      <c r="AI128" s="3" t="n">
        <v>24648.0</v>
      </c>
      <c r="AJ128" s="3" t="n">
        <v>24801.0</v>
      </c>
      <c r="AK128" s="3" t="n">
        <v>25002.0</v>
      </c>
      <c r="AL128" s="3" t="n">
        <v>25235.0</v>
      </c>
      <c r="AM128" s="3" t="n">
        <v>25463.0</v>
      </c>
      <c r="AN128" s="3" t="n">
        <v>25671.0</v>
      </c>
      <c r="AO128" s="3" t="n">
        <v>25871.0</v>
      </c>
    </row>
    <row r="129" spans="1:41" x14ac:dyDescent="0.2">
      <c r="A129" s="125"/>
      <c r="B129" s="9">
        <v>18</v>
      </c>
      <c r="C129" s="3" t="n">
        <v>26098.0</v>
      </c>
      <c r="D129" s="3" t="n">
        <v>27050.0</v>
      </c>
      <c r="E129" s="3" t="n">
        <v>28723.0</v>
      </c>
      <c r="F129" s="3" t="n">
        <v>30335.0</v>
      </c>
      <c r="G129" s="3" t="n">
        <v>32454.0</v>
      </c>
      <c r="H129" s="3" t="n">
        <v>32910.0</v>
      </c>
      <c r="I129" s="3" t="n">
        <v>34007.0</v>
      </c>
      <c r="J129" s="3" t="n">
        <v>32073.0</v>
      </c>
      <c r="K129" s="3" t="n">
        <v>32405.0</v>
      </c>
      <c r="L129" s="3" t="n">
        <v>31109.0</v>
      </c>
      <c r="M129" s="3" t="n">
        <v>32104.0</v>
      </c>
      <c r="N129" s="3" t="n">
        <v>32315.0</v>
      </c>
      <c r="O129" s="3" t="n">
        <v>32628.0</v>
      </c>
      <c r="P129" s="3" t="n">
        <v>34100.0</v>
      </c>
      <c r="Q129" s="3" t="n">
        <v>32942.0</v>
      </c>
      <c r="R129" s="3" t="n">
        <v>31932.0</v>
      </c>
      <c r="S129" s="3" t="n">
        <v>29724.0</v>
      </c>
      <c r="T129" s="3" t="n">
        <v>29215.0</v>
      </c>
      <c r="U129" s="3" t="n">
        <v>26639.0</v>
      </c>
      <c r="V129" s="3" t="n">
        <v>27848.0</v>
      </c>
      <c r="W129" s="3" t="n">
        <v>27483.0</v>
      </c>
      <c r="X129" s="3" t="n">
        <v>27219.0</v>
      </c>
      <c r="Y129" s="3" t="n">
        <v>26892.0</v>
      </c>
      <c r="Z129" s="3" t="n">
        <v>26501.0</v>
      </c>
      <c r="AA129" s="3" t="n">
        <v>26161.0</v>
      </c>
      <c r="AB129" s="3" t="n">
        <v>25897.0</v>
      </c>
      <c r="AC129" s="3" t="n">
        <v>25610.0</v>
      </c>
      <c r="AD129" s="3" t="n">
        <v>25345.0</v>
      </c>
      <c r="AE129" s="3" t="n">
        <v>25079.0</v>
      </c>
      <c r="AF129" s="3" t="n">
        <v>24847.0</v>
      </c>
      <c r="AG129" s="3" t="n">
        <v>24669.0</v>
      </c>
      <c r="AH129" s="3" t="n">
        <v>24573.0</v>
      </c>
      <c r="AI129" s="3" t="n">
        <v>24555.0</v>
      </c>
      <c r="AJ129" s="3" t="n">
        <v>24639.0</v>
      </c>
      <c r="AK129" s="3" t="n">
        <v>24792.0</v>
      </c>
      <c r="AL129" s="3" t="n">
        <v>24992.0</v>
      </c>
      <c r="AM129" s="3" t="n">
        <v>25224.0</v>
      </c>
      <c r="AN129" s="3" t="n">
        <v>25452.0</v>
      </c>
      <c r="AO129" s="3" t="n">
        <v>25659.0</v>
      </c>
    </row>
    <row r="130" spans="1:41" x14ac:dyDescent="0.2">
      <c r="A130" s="125"/>
      <c r="B130" s="9">
        <v>19</v>
      </c>
      <c r="C130" s="3" t="n">
        <v>25153.0</v>
      </c>
      <c r="D130" s="3" t="n">
        <v>26112.0</v>
      </c>
      <c r="E130" s="3" t="n">
        <v>27059.0</v>
      </c>
      <c r="F130" s="3" t="n">
        <v>28731.0</v>
      </c>
      <c r="G130" s="3" t="n">
        <v>30342.0</v>
      </c>
      <c r="H130" s="3" t="n">
        <v>32639.0</v>
      </c>
      <c r="I130" s="3" t="n">
        <v>33162.0</v>
      </c>
      <c r="J130" s="3" t="n">
        <v>34119.0</v>
      </c>
      <c r="K130" s="3" t="n">
        <v>32114.0</v>
      </c>
      <c r="L130" s="3" t="n">
        <v>32421.0</v>
      </c>
      <c r="M130" s="3" t="n">
        <v>31120.0</v>
      </c>
      <c r="N130" s="3" t="n">
        <v>32105.0</v>
      </c>
      <c r="O130" s="3" t="n">
        <v>32314.0</v>
      </c>
      <c r="P130" s="3" t="n">
        <v>32626.0</v>
      </c>
      <c r="Q130" s="3" t="n">
        <v>34099.0</v>
      </c>
      <c r="R130" s="3" t="n">
        <v>32945.0</v>
      </c>
      <c r="S130" s="3" t="n">
        <v>31931.0</v>
      </c>
      <c r="T130" s="3" t="n">
        <v>29716.0</v>
      </c>
      <c r="U130" s="3" t="n">
        <v>29212.0</v>
      </c>
      <c r="V130" s="3" t="n">
        <v>26638.0</v>
      </c>
      <c r="W130" s="3" t="n">
        <v>27841.0</v>
      </c>
      <c r="X130" s="3" t="n">
        <v>27474.0</v>
      </c>
      <c r="Y130" s="3" t="n">
        <v>27212.0</v>
      </c>
      <c r="Z130" s="3" t="n">
        <v>26886.0</v>
      </c>
      <c r="AA130" s="3" t="n">
        <v>26496.0</v>
      </c>
      <c r="AB130" s="3" t="n">
        <v>26155.0</v>
      </c>
      <c r="AC130" s="3" t="n">
        <v>25892.0</v>
      </c>
      <c r="AD130" s="3" t="n">
        <v>25606.0</v>
      </c>
      <c r="AE130" s="3" t="n">
        <v>25343.0</v>
      </c>
      <c r="AF130" s="3" t="n">
        <v>25075.0</v>
      </c>
      <c r="AG130" s="3" t="n">
        <v>24844.0</v>
      </c>
      <c r="AH130" s="3" t="n">
        <v>24664.0</v>
      </c>
      <c r="AI130" s="3" t="n">
        <v>24569.0</v>
      </c>
      <c r="AJ130" s="3" t="n">
        <v>24550.0</v>
      </c>
      <c r="AK130" s="3" t="n">
        <v>24633.0</v>
      </c>
      <c r="AL130" s="3" t="n">
        <v>24785.0</v>
      </c>
      <c r="AM130" s="3" t="n">
        <v>24986.0</v>
      </c>
      <c r="AN130" s="3" t="n">
        <v>25220.0</v>
      </c>
      <c r="AO130" s="3" t="n">
        <v>25448.0</v>
      </c>
    </row>
    <row r="131" spans="1:41" x14ac:dyDescent="0.2">
      <c r="A131" s="125"/>
      <c r="B131" s="9">
        <v>20</v>
      </c>
      <c r="C131" s="3" t="n">
        <v>25179.0</v>
      </c>
      <c r="D131" s="3" t="n">
        <v>25149.0</v>
      </c>
      <c r="E131" s="3" t="n">
        <v>26105.0</v>
      </c>
      <c r="F131" s="3" t="n">
        <v>27055.0</v>
      </c>
      <c r="G131" s="3" t="n">
        <v>28727.0</v>
      </c>
      <c r="H131" s="3" t="n">
        <v>30392.0</v>
      </c>
      <c r="I131" s="3" t="n">
        <v>32712.0</v>
      </c>
      <c r="J131" s="3" t="n">
        <v>33192.0</v>
      </c>
      <c r="K131" s="3" t="n">
        <v>34127.0</v>
      </c>
      <c r="L131" s="3" t="n">
        <v>32112.0</v>
      </c>
      <c r="M131" s="3" t="n">
        <v>32417.0</v>
      </c>
      <c r="N131" s="3" t="n">
        <v>31110.0</v>
      </c>
      <c r="O131" s="3" t="n">
        <v>32089.0</v>
      </c>
      <c r="P131" s="3" t="n">
        <v>32299.0</v>
      </c>
      <c r="Q131" s="3" t="n">
        <v>32616.0</v>
      </c>
      <c r="R131" s="3" t="n">
        <v>34085.0</v>
      </c>
      <c r="S131" s="3" t="n">
        <v>32931.0</v>
      </c>
      <c r="T131" s="3" t="n">
        <v>31912.0</v>
      </c>
      <c r="U131" s="3" t="n">
        <v>29701.0</v>
      </c>
      <c r="V131" s="3" t="n">
        <v>29191.0</v>
      </c>
      <c r="W131" s="3" t="n">
        <v>26619.0</v>
      </c>
      <c r="X131" s="3" t="n">
        <v>27821.0</v>
      </c>
      <c r="Y131" s="3" t="n">
        <v>27454.0</v>
      </c>
      <c r="Z131" s="3" t="n">
        <v>27194.0</v>
      </c>
      <c r="AA131" s="3" t="n">
        <v>26866.0</v>
      </c>
      <c r="AB131" s="3" t="n">
        <v>26476.0</v>
      </c>
      <c r="AC131" s="3" t="n">
        <v>26136.0</v>
      </c>
      <c r="AD131" s="3" t="n">
        <v>25875.0</v>
      </c>
      <c r="AE131" s="3" t="n">
        <v>25590.0</v>
      </c>
      <c r="AF131" s="3" t="n">
        <v>25328.0</v>
      </c>
      <c r="AG131" s="3" t="n">
        <v>25059.0</v>
      </c>
      <c r="AH131" s="3" t="n">
        <v>24831.0</v>
      </c>
      <c r="AI131" s="3" t="n">
        <v>24653.0</v>
      </c>
      <c r="AJ131" s="3" t="n">
        <v>24559.0</v>
      </c>
      <c r="AK131" s="3" t="n">
        <v>24541.0</v>
      </c>
      <c r="AL131" s="3" t="n">
        <v>24624.0</v>
      </c>
      <c r="AM131" s="3" t="n">
        <v>24775.0</v>
      </c>
      <c r="AN131" s="3" t="n">
        <v>24973.0</v>
      </c>
      <c r="AO131" s="3" t="n">
        <v>25208.0</v>
      </c>
    </row>
    <row r="132" spans="1:41" x14ac:dyDescent="0.2">
      <c r="A132" s="125"/>
      <c r="B132" s="9">
        <v>21</v>
      </c>
      <c r="C132" s="3" t="n">
        <v>25898.0</v>
      </c>
      <c r="D132" s="3" t="n">
        <v>25185.0</v>
      </c>
      <c r="E132" s="3" t="n">
        <v>25154.0</v>
      </c>
      <c r="F132" s="3" t="n">
        <v>26109.0</v>
      </c>
      <c r="G132" s="3" t="n">
        <v>27062.0</v>
      </c>
      <c r="H132" s="3" t="n">
        <v>28780.0</v>
      </c>
      <c r="I132" s="3" t="n">
        <v>30453.0</v>
      </c>
      <c r="J132" s="3" t="n">
        <v>32730.0</v>
      </c>
      <c r="K132" s="3" t="n">
        <v>33190.0</v>
      </c>
      <c r="L132" s="3" t="n">
        <v>34113.0</v>
      </c>
      <c r="M132" s="3" t="n">
        <v>32099.0</v>
      </c>
      <c r="N132" s="3" t="n">
        <v>32401.0</v>
      </c>
      <c r="O132" s="3" t="n">
        <v>31094.0</v>
      </c>
      <c r="P132" s="3" t="n">
        <v>32073.0</v>
      </c>
      <c r="Q132" s="3" t="n">
        <v>32276.0</v>
      </c>
      <c r="R132" s="3" t="n">
        <v>32591.0</v>
      </c>
      <c r="S132" s="3" t="n">
        <v>34060.0</v>
      </c>
      <c r="T132" s="3" t="n">
        <v>32906.0</v>
      </c>
      <c r="U132" s="3" t="n">
        <v>31891.0</v>
      </c>
      <c r="V132" s="3" t="n">
        <v>29686.0</v>
      </c>
      <c r="W132" s="3" t="n">
        <v>29174.0</v>
      </c>
      <c r="X132" s="3" t="n">
        <v>26600.0</v>
      </c>
      <c r="Y132" s="3" t="n">
        <v>27799.0</v>
      </c>
      <c r="Z132" s="3" t="n">
        <v>27430.0</v>
      </c>
      <c r="AA132" s="3" t="n">
        <v>27171.0</v>
      </c>
      <c r="AB132" s="3" t="n">
        <v>26843.0</v>
      </c>
      <c r="AC132" s="3" t="n">
        <v>26454.0</v>
      </c>
      <c r="AD132" s="3" t="n">
        <v>26112.0</v>
      </c>
      <c r="AE132" s="3" t="n">
        <v>25852.0</v>
      </c>
      <c r="AF132" s="3" t="n">
        <v>25568.0</v>
      </c>
      <c r="AG132" s="3" t="n">
        <v>25306.0</v>
      </c>
      <c r="AH132" s="3" t="n">
        <v>25038.0</v>
      </c>
      <c r="AI132" s="3" t="n">
        <v>24810.0</v>
      </c>
      <c r="AJ132" s="3" t="n">
        <v>24633.0</v>
      </c>
      <c r="AK132" s="3" t="n">
        <v>24538.0</v>
      </c>
      <c r="AL132" s="3" t="n">
        <v>24519.0</v>
      </c>
      <c r="AM132" s="3" t="n">
        <v>24602.0</v>
      </c>
      <c r="AN132" s="3" t="n">
        <v>24753.0</v>
      </c>
      <c r="AO132" s="3" t="n">
        <v>24951.0</v>
      </c>
    </row>
    <row r="133" spans="1:41" x14ac:dyDescent="0.2">
      <c r="A133" s="125"/>
      <c r="B133" s="9">
        <v>22</v>
      </c>
      <c r="C133" s="3" t="n">
        <v>26703.0</v>
      </c>
      <c r="D133" s="3" t="n">
        <v>25894.0</v>
      </c>
      <c r="E133" s="3" t="n">
        <v>25184.0</v>
      </c>
      <c r="F133" s="3" t="n">
        <v>25152.0</v>
      </c>
      <c r="G133" s="3" t="n">
        <v>26104.0</v>
      </c>
      <c r="H133" s="3" t="n">
        <v>27104.0</v>
      </c>
      <c r="I133" s="3" t="n">
        <v>28832.0</v>
      </c>
      <c r="J133" s="3" t="n">
        <v>30472.0</v>
      </c>
      <c r="K133" s="3" t="n">
        <v>32734.0</v>
      </c>
      <c r="L133" s="3" t="n">
        <v>33188.0</v>
      </c>
      <c r="M133" s="3" t="n">
        <v>34102.0</v>
      </c>
      <c r="N133" s="3" t="n">
        <v>32084.0</v>
      </c>
      <c r="O133" s="3" t="n">
        <v>32379.0</v>
      </c>
      <c r="P133" s="3" t="n">
        <v>31070.0</v>
      </c>
      <c r="Q133" s="3" t="n">
        <v>32047.0</v>
      </c>
      <c r="R133" s="3" t="n">
        <v>32247.0</v>
      </c>
      <c r="S133" s="3" t="n">
        <v>32562.0</v>
      </c>
      <c r="T133" s="3" t="n">
        <v>34036.0</v>
      </c>
      <c r="U133" s="3" t="n">
        <v>32882.0</v>
      </c>
      <c r="V133" s="3" t="n">
        <v>31863.0</v>
      </c>
      <c r="W133" s="3" t="n">
        <v>29660.0</v>
      </c>
      <c r="X133" s="3" t="n">
        <v>29150.0</v>
      </c>
      <c r="Y133" s="3" t="n">
        <v>26581.0</v>
      </c>
      <c r="Z133" s="3" t="n">
        <v>27776.0</v>
      </c>
      <c r="AA133" s="3" t="n">
        <v>27406.0</v>
      </c>
      <c r="AB133" s="3" t="n">
        <v>27147.0</v>
      </c>
      <c r="AC133" s="3" t="n">
        <v>26819.0</v>
      </c>
      <c r="AD133" s="3" t="n">
        <v>26431.0</v>
      </c>
      <c r="AE133" s="3" t="n">
        <v>26090.0</v>
      </c>
      <c r="AF133" s="3" t="n">
        <v>25827.0</v>
      </c>
      <c r="AG133" s="3" t="n">
        <v>25544.0</v>
      </c>
      <c r="AH133" s="3" t="n">
        <v>25284.0</v>
      </c>
      <c r="AI133" s="3" t="n">
        <v>25017.0</v>
      </c>
      <c r="AJ133" s="3" t="n">
        <v>24791.0</v>
      </c>
      <c r="AK133" s="3" t="n">
        <v>24613.0</v>
      </c>
      <c r="AL133" s="3" t="n">
        <v>24521.0</v>
      </c>
      <c r="AM133" s="3" t="n">
        <v>24503.0</v>
      </c>
      <c r="AN133" s="3" t="n">
        <v>24582.0</v>
      </c>
      <c r="AO133" s="3" t="n">
        <v>24734.0</v>
      </c>
    </row>
    <row r="134" spans="1:41" x14ac:dyDescent="0.2">
      <c r="A134" s="125"/>
      <c r="B134" s="9">
        <v>23</v>
      </c>
      <c r="C134" s="3" t="n">
        <v>26876.0</v>
      </c>
      <c r="D134" s="3" t="n">
        <v>26708.0</v>
      </c>
      <c r="E134" s="3" t="n">
        <v>25901.0</v>
      </c>
      <c r="F134" s="3" t="n">
        <v>25185.0</v>
      </c>
      <c r="G134" s="3" t="n">
        <v>25155.0</v>
      </c>
      <c r="H134" s="3" t="n">
        <v>26163.0</v>
      </c>
      <c r="I134" s="3" t="n">
        <v>27185.0</v>
      </c>
      <c r="J134" s="3" t="n">
        <v>28875.0</v>
      </c>
      <c r="K134" s="3" t="n">
        <v>30485.0</v>
      </c>
      <c r="L134" s="3" t="n">
        <v>32736.0</v>
      </c>
      <c r="M134" s="3" t="n">
        <v>33178.0</v>
      </c>
      <c r="N134" s="3" t="n">
        <v>34083.0</v>
      </c>
      <c r="O134" s="3" t="n">
        <v>32071.0</v>
      </c>
      <c r="P134" s="3" t="n">
        <v>32366.0</v>
      </c>
      <c r="Q134" s="3" t="n">
        <v>31062.0</v>
      </c>
      <c r="R134" s="3" t="n">
        <v>32036.0</v>
      </c>
      <c r="S134" s="3" t="n">
        <v>32234.0</v>
      </c>
      <c r="T134" s="3" t="n">
        <v>32546.0</v>
      </c>
      <c r="U134" s="3" t="n">
        <v>34020.0</v>
      </c>
      <c r="V134" s="3" t="n">
        <v>32869.0</v>
      </c>
      <c r="W134" s="3" t="n">
        <v>31851.0</v>
      </c>
      <c r="X134" s="3" t="n">
        <v>29650.0</v>
      </c>
      <c r="Y134" s="3" t="n">
        <v>29134.0</v>
      </c>
      <c r="Z134" s="3" t="n">
        <v>26563.0</v>
      </c>
      <c r="AA134" s="3" t="n">
        <v>27756.0</v>
      </c>
      <c r="AB134" s="3" t="n">
        <v>27383.0</v>
      </c>
      <c r="AC134" s="3" t="n">
        <v>27125.0</v>
      </c>
      <c r="AD134" s="3" t="n">
        <v>26797.0</v>
      </c>
      <c r="AE134" s="3" t="n">
        <v>26409.0</v>
      </c>
      <c r="AF134" s="3" t="n">
        <v>26073.0</v>
      </c>
      <c r="AG134" s="3" t="n">
        <v>25812.0</v>
      </c>
      <c r="AH134" s="3" t="n">
        <v>25531.0</v>
      </c>
      <c r="AI134" s="3" t="n">
        <v>25274.0</v>
      </c>
      <c r="AJ134" s="3" t="n">
        <v>25008.0</v>
      </c>
      <c r="AK134" s="3" t="n">
        <v>24784.0</v>
      </c>
      <c r="AL134" s="3" t="n">
        <v>24604.0</v>
      </c>
      <c r="AM134" s="3" t="n">
        <v>24511.0</v>
      </c>
      <c r="AN134" s="3" t="n">
        <v>24494.0</v>
      </c>
      <c r="AO134" s="3" t="n">
        <v>24571.0</v>
      </c>
    </row>
    <row r="135" spans="1:41" x14ac:dyDescent="0.2">
      <c r="A135" s="125"/>
      <c r="B135" s="9">
        <v>24</v>
      </c>
      <c r="C135" s="3" t="n">
        <v>27810.0</v>
      </c>
      <c r="D135" s="3" t="n">
        <v>26883.0</v>
      </c>
      <c r="E135" s="3" t="n">
        <v>26713.0</v>
      </c>
      <c r="F135" s="3" t="n">
        <v>25915.0</v>
      </c>
      <c r="G135" s="3" t="n">
        <v>25196.0</v>
      </c>
      <c r="H135" s="3" t="n">
        <v>25221.0</v>
      </c>
      <c r="I135" s="3" t="n">
        <v>26244.0</v>
      </c>
      <c r="J135" s="3" t="n">
        <v>27225.0</v>
      </c>
      <c r="K135" s="3" t="n">
        <v>28889.0</v>
      </c>
      <c r="L135" s="3" t="n">
        <v>30486.0</v>
      </c>
      <c r="M135" s="3" t="n">
        <v>32736.0</v>
      </c>
      <c r="N135" s="3" t="n">
        <v>33178.0</v>
      </c>
      <c r="O135" s="3" t="n">
        <v>34073.0</v>
      </c>
      <c r="P135" s="3" t="n">
        <v>32064.0</v>
      </c>
      <c r="Q135" s="3" t="n">
        <v>32351.0</v>
      </c>
      <c r="R135" s="3" t="n">
        <v>31051.0</v>
      </c>
      <c r="S135" s="3" t="n">
        <v>32020.0</v>
      </c>
      <c r="T135" s="3" t="n">
        <v>32215.0</v>
      </c>
      <c r="U135" s="3" t="n">
        <v>32533.0</v>
      </c>
      <c r="V135" s="3" t="n">
        <v>34010.0</v>
      </c>
      <c r="W135" s="3" t="n">
        <v>32851.0</v>
      </c>
      <c r="X135" s="3" t="n">
        <v>31837.0</v>
      </c>
      <c r="Y135" s="3" t="n">
        <v>29634.0</v>
      </c>
      <c r="Z135" s="3" t="n">
        <v>29124.0</v>
      </c>
      <c r="AA135" s="3" t="n">
        <v>26548.0</v>
      </c>
      <c r="AB135" s="3" t="n">
        <v>27741.0</v>
      </c>
      <c r="AC135" s="3" t="n">
        <v>27365.0</v>
      </c>
      <c r="AD135" s="3" t="n">
        <v>27109.0</v>
      </c>
      <c r="AE135" s="3" t="n">
        <v>26781.0</v>
      </c>
      <c r="AF135" s="3" t="n">
        <v>26391.0</v>
      </c>
      <c r="AG135" s="3" t="n">
        <v>26058.0</v>
      </c>
      <c r="AH135" s="3" t="n">
        <v>25799.0</v>
      </c>
      <c r="AI135" s="3" t="n">
        <v>25516.0</v>
      </c>
      <c r="AJ135" s="3" t="n">
        <v>25258.0</v>
      </c>
      <c r="AK135" s="3" t="n">
        <v>24990.0</v>
      </c>
      <c r="AL135" s="3" t="n">
        <v>24769.0</v>
      </c>
      <c r="AM135" s="3" t="n">
        <v>24590.0</v>
      </c>
      <c r="AN135" s="3" t="n">
        <v>24497.0</v>
      </c>
      <c r="AO135" s="3" t="n">
        <v>24478.0</v>
      </c>
    </row>
    <row r="136" spans="1:41" x14ac:dyDescent="0.2">
      <c r="A136" s="125"/>
      <c r="B136" s="9">
        <v>25</v>
      </c>
      <c r="C136" s="3" t="n">
        <v>29076.0</v>
      </c>
      <c r="D136" s="3" t="n">
        <v>27851.0</v>
      </c>
      <c r="E136" s="3" t="n">
        <v>26928.0</v>
      </c>
      <c r="F136" s="3" t="n">
        <v>26755.0</v>
      </c>
      <c r="G136" s="3" t="n">
        <v>25958.0</v>
      </c>
      <c r="H136" s="3" t="n">
        <v>25302.0</v>
      </c>
      <c r="I136" s="3" t="n">
        <v>25346.0</v>
      </c>
      <c r="J136" s="3" t="n">
        <v>26317.0</v>
      </c>
      <c r="K136" s="3" t="n">
        <v>27271.0</v>
      </c>
      <c r="L136" s="3" t="n">
        <v>28926.0</v>
      </c>
      <c r="M136" s="3" t="n">
        <v>30527.0</v>
      </c>
      <c r="N136" s="3" t="n">
        <v>32768.0</v>
      </c>
      <c r="O136" s="3" t="n">
        <v>33211.0</v>
      </c>
      <c r="P136" s="3" t="n">
        <v>34107.0</v>
      </c>
      <c r="Q136" s="3" t="n">
        <v>32092.0</v>
      </c>
      <c r="R136" s="3" t="n">
        <v>32374.0</v>
      </c>
      <c r="S136" s="3" t="n">
        <v>31071.0</v>
      </c>
      <c r="T136" s="3" t="n">
        <v>32038.0</v>
      </c>
      <c r="U136" s="3" t="n">
        <v>32229.0</v>
      </c>
      <c r="V136" s="3" t="n">
        <v>32549.0</v>
      </c>
      <c r="W136" s="3" t="n">
        <v>34031.0</v>
      </c>
      <c r="X136" s="3" t="n">
        <v>32862.0</v>
      </c>
      <c r="Y136" s="3" t="n">
        <v>31849.0</v>
      </c>
      <c r="Z136" s="3" t="n">
        <v>29644.0</v>
      </c>
      <c r="AA136" s="3" t="n">
        <v>29130.0</v>
      </c>
      <c r="AB136" s="3" t="n">
        <v>26550.0</v>
      </c>
      <c r="AC136" s="3" t="n">
        <v>27737.0</v>
      </c>
      <c r="AD136" s="3" t="n">
        <v>27363.0</v>
      </c>
      <c r="AE136" s="3" t="n">
        <v>27109.0</v>
      </c>
      <c r="AF136" s="3" t="n">
        <v>26784.0</v>
      </c>
      <c r="AG136" s="3" t="n">
        <v>26396.0</v>
      </c>
      <c r="AH136" s="3" t="n">
        <v>26064.0</v>
      </c>
      <c r="AI136" s="3" t="n">
        <v>25806.0</v>
      </c>
      <c r="AJ136" s="3" t="n">
        <v>25525.0</v>
      </c>
      <c r="AK136" s="3" t="n">
        <v>25269.0</v>
      </c>
      <c r="AL136" s="3" t="n">
        <v>25003.0</v>
      </c>
      <c r="AM136" s="3" t="n">
        <v>24783.0</v>
      </c>
      <c r="AN136" s="3" t="n">
        <v>24605.0</v>
      </c>
      <c r="AO136" s="3" t="n">
        <v>24513.0</v>
      </c>
    </row>
    <row r="137" spans="1:41" x14ac:dyDescent="0.2">
      <c r="A137" s="125"/>
      <c r="B137" s="9">
        <v>26</v>
      </c>
      <c r="C137" s="3" t="n">
        <v>30653.0</v>
      </c>
      <c r="D137" s="3" t="n">
        <v>29161.0</v>
      </c>
      <c r="E137" s="3" t="n">
        <v>27930.0</v>
      </c>
      <c r="F137" s="3" t="n">
        <v>27004.0</v>
      </c>
      <c r="G137" s="3" t="n">
        <v>26838.0</v>
      </c>
      <c r="H137" s="3" t="n">
        <v>26106.0</v>
      </c>
      <c r="I137" s="3" t="n">
        <v>25472.0</v>
      </c>
      <c r="J137" s="3" t="n">
        <v>25463.0</v>
      </c>
      <c r="K137" s="3" t="n">
        <v>26418.0</v>
      </c>
      <c r="L137" s="3" t="n">
        <v>27350.0</v>
      </c>
      <c r="M137" s="3" t="n">
        <v>28996.0</v>
      </c>
      <c r="N137" s="3" t="n">
        <v>30601.0</v>
      </c>
      <c r="O137" s="3" t="n">
        <v>32847.0</v>
      </c>
      <c r="P137" s="3" t="n">
        <v>33287.0</v>
      </c>
      <c r="Q137" s="3" t="n">
        <v>34176.0</v>
      </c>
      <c r="R137" s="3" t="n">
        <v>32167.0</v>
      </c>
      <c r="S137" s="3" t="n">
        <v>32444.0</v>
      </c>
      <c r="T137" s="3" t="n">
        <v>31138.0</v>
      </c>
      <c r="U137" s="3" t="n">
        <v>32092.0</v>
      </c>
      <c r="V137" s="3" t="n">
        <v>32287.0</v>
      </c>
      <c r="W137" s="3" t="n">
        <v>32611.0</v>
      </c>
      <c r="X137" s="3" t="n">
        <v>34097.0</v>
      </c>
      <c r="Y137" s="3" t="n">
        <v>32922.0</v>
      </c>
      <c r="Z137" s="3" t="n">
        <v>31897.0</v>
      </c>
      <c r="AA137" s="3" t="n">
        <v>29683.0</v>
      </c>
      <c r="AB137" s="3" t="n">
        <v>29166.0</v>
      </c>
      <c r="AC137" s="3" t="n">
        <v>26587.0</v>
      </c>
      <c r="AD137" s="3" t="n">
        <v>27766.0</v>
      </c>
      <c r="AE137" s="3" t="n">
        <v>27390.0</v>
      </c>
      <c r="AF137" s="3" t="n">
        <v>27132.0</v>
      </c>
      <c r="AG137" s="3" t="n">
        <v>26810.0</v>
      </c>
      <c r="AH137" s="3" t="n">
        <v>26418.0</v>
      </c>
      <c r="AI137" s="3" t="n">
        <v>26087.0</v>
      </c>
      <c r="AJ137" s="3" t="n">
        <v>25828.0</v>
      </c>
      <c r="AK137" s="3" t="n">
        <v>25549.0</v>
      </c>
      <c r="AL137" s="3" t="n">
        <v>25297.0</v>
      </c>
      <c r="AM137" s="3" t="n">
        <v>25030.0</v>
      </c>
      <c r="AN137" s="3" t="n">
        <v>24810.0</v>
      </c>
      <c r="AO137" s="3" t="n">
        <v>24633.0</v>
      </c>
    </row>
    <row r="138" spans="1:41" x14ac:dyDescent="0.2">
      <c r="A138" s="125"/>
      <c r="B138" s="9">
        <v>27</v>
      </c>
      <c r="C138" s="3" t="n">
        <v>31946.0</v>
      </c>
      <c r="D138" s="3" t="n">
        <v>30764.0</v>
      </c>
      <c r="E138" s="3" t="n">
        <v>29275.0</v>
      </c>
      <c r="F138" s="3" t="n">
        <v>28050.0</v>
      </c>
      <c r="G138" s="3" t="n">
        <v>27125.0</v>
      </c>
      <c r="H138" s="3" t="n">
        <v>27019.0</v>
      </c>
      <c r="I138" s="3" t="n">
        <v>26315.0</v>
      </c>
      <c r="J138" s="3" t="n">
        <v>25626.0</v>
      </c>
      <c r="K138" s="3" t="n">
        <v>25585.0</v>
      </c>
      <c r="L138" s="3" t="n">
        <v>26535.0</v>
      </c>
      <c r="M138" s="3" t="n">
        <v>27464.0</v>
      </c>
      <c r="N138" s="3" t="n">
        <v>29100.0</v>
      </c>
      <c r="O138" s="3" t="n">
        <v>30703.0</v>
      </c>
      <c r="P138" s="3" t="n">
        <v>32960.0</v>
      </c>
      <c r="Q138" s="3" t="n">
        <v>33404.0</v>
      </c>
      <c r="R138" s="3" t="n">
        <v>34281.0</v>
      </c>
      <c r="S138" s="3" t="n">
        <v>32269.0</v>
      </c>
      <c r="T138" s="3" t="n">
        <v>32546.0</v>
      </c>
      <c r="U138" s="3" t="n">
        <v>31237.0</v>
      </c>
      <c r="V138" s="3" t="n">
        <v>32181.0</v>
      </c>
      <c r="W138" s="3" t="n">
        <v>32380.0</v>
      </c>
      <c r="X138" s="3" t="n">
        <v>32701.0</v>
      </c>
      <c r="Y138" s="3" t="n">
        <v>34184.0</v>
      </c>
      <c r="Z138" s="3" t="n">
        <v>33012.0</v>
      </c>
      <c r="AA138" s="3" t="n">
        <v>31980.0</v>
      </c>
      <c r="AB138" s="3" t="n">
        <v>29771.0</v>
      </c>
      <c r="AC138" s="3" t="n">
        <v>29240.0</v>
      </c>
      <c r="AD138" s="3" t="n">
        <v>26656.0</v>
      </c>
      <c r="AE138" s="3" t="n">
        <v>27822.0</v>
      </c>
      <c r="AF138" s="3" t="n">
        <v>27445.0</v>
      </c>
      <c r="AG138" s="3" t="n">
        <v>27188.0</v>
      </c>
      <c r="AH138" s="3" t="n">
        <v>26868.0</v>
      </c>
      <c r="AI138" s="3" t="n">
        <v>26473.0</v>
      </c>
      <c r="AJ138" s="3" t="n">
        <v>26137.0</v>
      </c>
      <c r="AK138" s="3" t="n">
        <v>25879.0</v>
      </c>
      <c r="AL138" s="3" t="n">
        <v>25600.0</v>
      </c>
      <c r="AM138" s="3" t="n">
        <v>25354.0</v>
      </c>
      <c r="AN138" s="3" t="n">
        <v>25086.0</v>
      </c>
      <c r="AO138" s="3" t="n">
        <v>24869.0</v>
      </c>
    </row>
    <row r="139" spans="1:41" x14ac:dyDescent="0.2">
      <c r="A139" s="125"/>
      <c r="B139" s="9">
        <v>28</v>
      </c>
      <c r="C139" s="3" t="n">
        <v>34288.0</v>
      </c>
      <c r="D139" s="3" t="n">
        <v>32122.0</v>
      </c>
      <c r="E139" s="3" t="n">
        <v>30938.0</v>
      </c>
      <c r="F139" s="3" t="n">
        <v>29450.0</v>
      </c>
      <c r="G139" s="3" t="n">
        <v>28215.0</v>
      </c>
      <c r="H139" s="3" t="n">
        <v>27350.0</v>
      </c>
      <c r="I139" s="3" t="n">
        <v>27270.0</v>
      </c>
      <c r="J139" s="3" t="n">
        <v>26517.0</v>
      </c>
      <c r="K139" s="3" t="n">
        <v>25796.0</v>
      </c>
      <c r="L139" s="3" t="n">
        <v>25734.0</v>
      </c>
      <c r="M139" s="3" t="n">
        <v>26676.0</v>
      </c>
      <c r="N139" s="3" t="n">
        <v>27607.0</v>
      </c>
      <c r="O139" s="3" t="n">
        <v>29245.0</v>
      </c>
      <c r="P139" s="3" t="n">
        <v>30850.0</v>
      </c>
      <c r="Q139" s="3" t="n">
        <v>33118.0</v>
      </c>
      <c r="R139" s="3" t="n">
        <v>33566.0</v>
      </c>
      <c r="S139" s="3" t="n">
        <v>34432.0</v>
      </c>
      <c r="T139" s="3" t="n">
        <v>32415.0</v>
      </c>
      <c r="U139" s="3" t="n">
        <v>32688.0</v>
      </c>
      <c r="V139" s="3" t="n">
        <v>31378.0</v>
      </c>
      <c r="W139" s="3" t="n">
        <v>32313.0</v>
      </c>
      <c r="X139" s="3" t="n">
        <v>32513.0</v>
      </c>
      <c r="Y139" s="3" t="n">
        <v>32832.0</v>
      </c>
      <c r="Z139" s="3" t="n">
        <v>34320.0</v>
      </c>
      <c r="AA139" s="3" t="n">
        <v>33140.0</v>
      </c>
      <c r="AB139" s="3" t="n">
        <v>32101.0</v>
      </c>
      <c r="AC139" s="3" t="n">
        <v>29895.0</v>
      </c>
      <c r="AD139" s="3" t="n">
        <v>29348.0</v>
      </c>
      <c r="AE139" s="3" t="n">
        <v>26749.0</v>
      </c>
      <c r="AF139" s="3" t="n">
        <v>27908.0</v>
      </c>
      <c r="AG139" s="3" t="n">
        <v>27527.0</v>
      </c>
      <c r="AH139" s="3" t="n">
        <v>27271.0</v>
      </c>
      <c r="AI139" s="3" t="n">
        <v>26948.0</v>
      </c>
      <c r="AJ139" s="3" t="n">
        <v>26550.0</v>
      </c>
      <c r="AK139" s="3" t="n">
        <v>26217.0</v>
      </c>
      <c r="AL139" s="3" t="n">
        <v>25958.0</v>
      </c>
      <c r="AM139" s="3" t="n">
        <v>25679.0</v>
      </c>
      <c r="AN139" s="3" t="n">
        <v>25434.0</v>
      </c>
      <c r="AO139" s="3" t="n">
        <v>25170.0</v>
      </c>
    </row>
    <row r="140" spans="1:41" x14ac:dyDescent="0.2">
      <c r="A140" s="125"/>
      <c r="B140" s="9">
        <v>29</v>
      </c>
      <c r="C140" s="3" t="n">
        <v>35797.0</v>
      </c>
      <c r="D140" s="3" t="n">
        <v>34499.0</v>
      </c>
      <c r="E140" s="3" t="n">
        <v>32331.0</v>
      </c>
      <c r="F140" s="3" t="n">
        <v>31144.0</v>
      </c>
      <c r="G140" s="3" t="n">
        <v>29652.0</v>
      </c>
      <c r="H140" s="3" t="n">
        <v>28480.0</v>
      </c>
      <c r="I140" s="3" t="n">
        <v>27636.0</v>
      </c>
      <c r="J140" s="3" t="n">
        <v>27508.0</v>
      </c>
      <c r="K140" s="3" t="n">
        <v>26722.0</v>
      </c>
      <c r="L140" s="3" t="n">
        <v>25993.0</v>
      </c>
      <c r="M140" s="3" t="n">
        <v>25921.0</v>
      </c>
      <c r="N140" s="3" t="n">
        <v>26858.0</v>
      </c>
      <c r="O140" s="3" t="n">
        <v>27789.0</v>
      </c>
      <c r="P140" s="3" t="n">
        <v>29430.0</v>
      </c>
      <c r="Q140" s="3" t="n">
        <v>31037.0</v>
      </c>
      <c r="R140" s="3" t="n">
        <v>33317.0</v>
      </c>
      <c r="S140" s="3" t="n">
        <v>33768.0</v>
      </c>
      <c r="T140" s="3" t="n">
        <v>34633.0</v>
      </c>
      <c r="U140" s="3" t="n">
        <v>32607.0</v>
      </c>
      <c r="V140" s="3" t="n">
        <v>32864.0</v>
      </c>
      <c r="W140" s="3" t="n">
        <v>31556.0</v>
      </c>
      <c r="X140" s="3" t="n">
        <v>32481.0</v>
      </c>
      <c r="Y140" s="3" t="n">
        <v>32681.0</v>
      </c>
      <c r="Z140" s="3" t="n">
        <v>33003.0</v>
      </c>
      <c r="AA140" s="3" t="n">
        <v>34491.0</v>
      </c>
      <c r="AB140" s="3" t="n">
        <v>33302.0</v>
      </c>
      <c r="AC140" s="3" t="n">
        <v>32251.0</v>
      </c>
      <c r="AD140" s="3" t="n">
        <v>30045.0</v>
      </c>
      <c r="AE140" s="3" t="n">
        <v>29492.0</v>
      </c>
      <c r="AF140" s="3" t="n">
        <v>26877.0</v>
      </c>
      <c r="AG140" s="3" t="n">
        <v>28034.0</v>
      </c>
      <c r="AH140" s="3" t="n">
        <v>27650.0</v>
      </c>
      <c r="AI140" s="3" t="n">
        <v>27393.0</v>
      </c>
      <c r="AJ140" s="3" t="n">
        <v>27068.0</v>
      </c>
      <c r="AK140" s="3" t="n">
        <v>26671.0</v>
      </c>
      <c r="AL140" s="3" t="n">
        <v>26333.0</v>
      </c>
      <c r="AM140" s="3" t="n">
        <v>26071.0</v>
      </c>
      <c r="AN140" s="3" t="n">
        <v>25797.0</v>
      </c>
      <c r="AO140" s="3" t="n">
        <v>25553.0</v>
      </c>
    </row>
    <row r="141" spans="1:41" x14ac:dyDescent="0.2">
      <c r="A141" s="125"/>
      <c r="B141" s="9">
        <v>30</v>
      </c>
      <c r="C141" s="3" t="n">
        <v>37274.0</v>
      </c>
      <c r="D141" s="3" t="n">
        <v>36042.0</v>
      </c>
      <c r="E141" s="3" t="n">
        <v>34728.0</v>
      </c>
      <c r="F141" s="3" t="n">
        <v>32564.0</v>
      </c>
      <c r="G141" s="3" t="n">
        <v>31379.0</v>
      </c>
      <c r="H141" s="3" t="n">
        <v>29955.0</v>
      </c>
      <c r="I141" s="3" t="n">
        <v>28802.0</v>
      </c>
      <c r="J141" s="3" t="n">
        <v>27896.0</v>
      </c>
      <c r="K141" s="3" t="n">
        <v>27732.0</v>
      </c>
      <c r="L141" s="3" t="n">
        <v>26935.0</v>
      </c>
      <c r="M141" s="3" t="n">
        <v>26206.0</v>
      </c>
      <c r="N141" s="3" t="n">
        <v>26127.0</v>
      </c>
      <c r="O141" s="3" t="n">
        <v>27058.0</v>
      </c>
      <c r="P141" s="3" t="n">
        <v>27986.0</v>
      </c>
      <c r="Q141" s="3" t="n">
        <v>29626.0</v>
      </c>
      <c r="R141" s="3" t="n">
        <v>31244.0</v>
      </c>
      <c r="S141" s="3" t="n">
        <v>33539.0</v>
      </c>
      <c r="T141" s="3" t="n">
        <v>33988.0</v>
      </c>
      <c r="U141" s="3" t="n">
        <v>34844.0</v>
      </c>
      <c r="V141" s="3" t="n">
        <v>32818.0</v>
      </c>
      <c r="W141" s="3" t="n">
        <v>33069.0</v>
      </c>
      <c r="X141" s="3" t="n">
        <v>31751.0</v>
      </c>
      <c r="Y141" s="3" t="n">
        <v>32671.0</v>
      </c>
      <c r="Z141" s="3" t="n">
        <v>32870.0</v>
      </c>
      <c r="AA141" s="3" t="n">
        <v>33198.0</v>
      </c>
      <c r="AB141" s="3" t="n">
        <v>34691.0</v>
      </c>
      <c r="AC141" s="3" t="n">
        <v>33492.0</v>
      </c>
      <c r="AD141" s="3" t="n">
        <v>32431.0</v>
      </c>
      <c r="AE141" s="3" t="n">
        <v>30215.0</v>
      </c>
      <c r="AF141" s="3" t="n">
        <v>29659.0</v>
      </c>
      <c r="AG141" s="3" t="n">
        <v>27024.0</v>
      </c>
      <c r="AH141" s="3" t="n">
        <v>28165.0</v>
      </c>
      <c r="AI141" s="3" t="n">
        <v>27780.0</v>
      </c>
      <c r="AJ141" s="3" t="n">
        <v>27524.0</v>
      </c>
      <c r="AK141" s="3" t="n">
        <v>27197.0</v>
      </c>
      <c r="AL141" s="3" t="n">
        <v>26803.0</v>
      </c>
      <c r="AM141" s="3" t="n">
        <v>26471.0</v>
      </c>
      <c r="AN141" s="3" t="n">
        <v>26212.0</v>
      </c>
      <c r="AO141" s="3" t="n">
        <v>25937.0</v>
      </c>
    </row>
    <row r="142" spans="1:41" x14ac:dyDescent="0.2">
      <c r="A142" s="125"/>
      <c r="B142" s="9">
        <v>31</v>
      </c>
      <c r="C142" s="3" t="n">
        <v>39667.0</v>
      </c>
      <c r="D142" s="3" t="n">
        <v>37554.0</v>
      </c>
      <c r="E142" s="3" t="n">
        <v>36307.0</v>
      </c>
      <c r="F142" s="3" t="n">
        <v>34988.0</v>
      </c>
      <c r="G142" s="3" t="n">
        <v>32811.0</v>
      </c>
      <c r="H142" s="3" t="n">
        <v>31707.0</v>
      </c>
      <c r="I142" s="3" t="n">
        <v>30308.0</v>
      </c>
      <c r="J142" s="3" t="n">
        <v>29094.0</v>
      </c>
      <c r="K142" s="3" t="n">
        <v>28158.0</v>
      </c>
      <c r="L142" s="3" t="n">
        <v>27977.0</v>
      </c>
      <c r="M142" s="3" t="n">
        <v>27166.0</v>
      </c>
      <c r="N142" s="3" t="n">
        <v>26430.0</v>
      </c>
      <c r="O142" s="3" t="n">
        <v>26343.0</v>
      </c>
      <c r="P142" s="3" t="n">
        <v>27276.0</v>
      </c>
      <c r="Q142" s="3" t="n">
        <v>28202.0</v>
      </c>
      <c r="R142" s="3" t="n">
        <v>29845.0</v>
      </c>
      <c r="S142" s="3" t="n">
        <v>31471.0</v>
      </c>
      <c r="T142" s="3" t="n">
        <v>33781.0</v>
      </c>
      <c r="U142" s="3" t="n">
        <v>34224.0</v>
      </c>
      <c r="V142" s="3" t="n">
        <v>35067.0</v>
      </c>
      <c r="W142" s="3" t="n">
        <v>33038.0</v>
      </c>
      <c r="X142" s="3" t="n">
        <v>33286.0</v>
      </c>
      <c r="Y142" s="3" t="n">
        <v>31963.0</v>
      </c>
      <c r="Z142" s="3" t="n">
        <v>32878.0</v>
      </c>
      <c r="AA142" s="3" t="n">
        <v>33072.0</v>
      </c>
      <c r="AB142" s="3" t="n">
        <v>33401.0</v>
      </c>
      <c r="AC142" s="3" t="n">
        <v>34902.0</v>
      </c>
      <c r="AD142" s="3" t="n">
        <v>33701.0</v>
      </c>
      <c r="AE142" s="3" t="n">
        <v>32624.0</v>
      </c>
      <c r="AF142" s="3" t="n">
        <v>30401.0</v>
      </c>
      <c r="AG142" s="3" t="n">
        <v>29834.0</v>
      </c>
      <c r="AH142" s="3" t="n">
        <v>27177.0</v>
      </c>
      <c r="AI142" s="3" t="n">
        <v>28319.0</v>
      </c>
      <c r="AJ142" s="3" t="n">
        <v>27934.0</v>
      </c>
      <c r="AK142" s="3" t="n">
        <v>27674.0</v>
      </c>
      <c r="AL142" s="3" t="n">
        <v>27347.0</v>
      </c>
      <c r="AM142" s="3" t="n">
        <v>26952.0</v>
      </c>
      <c r="AN142" s="3" t="n">
        <v>26619.0</v>
      </c>
      <c r="AO142" s="3" t="n">
        <v>26359.0</v>
      </c>
    </row>
    <row r="143" spans="1:41" x14ac:dyDescent="0.2">
      <c r="A143" s="125"/>
      <c r="B143" s="9">
        <v>32</v>
      </c>
      <c r="C143" s="3" t="n">
        <v>40377.0</v>
      </c>
      <c r="D143" s="3" t="n">
        <v>39946.0</v>
      </c>
      <c r="E143" s="3" t="n">
        <v>37811.0</v>
      </c>
      <c r="F143" s="3" t="n">
        <v>36561.0</v>
      </c>
      <c r="G143" s="3" t="n">
        <v>35238.0</v>
      </c>
      <c r="H143" s="3" t="n">
        <v>33121.0</v>
      </c>
      <c r="I143" s="3" t="n">
        <v>32050.0</v>
      </c>
      <c r="J143" s="3" t="n">
        <v>30585.0</v>
      </c>
      <c r="K143" s="3" t="n">
        <v>29342.0</v>
      </c>
      <c r="L143" s="3" t="n">
        <v>28391.0</v>
      </c>
      <c r="M143" s="3" t="n">
        <v>28200.0</v>
      </c>
      <c r="N143" s="3" t="n">
        <v>27383.0</v>
      </c>
      <c r="O143" s="3" t="n">
        <v>26648.0</v>
      </c>
      <c r="P143" s="3" t="n">
        <v>26553.0</v>
      </c>
      <c r="Q143" s="3" t="n">
        <v>27483.0</v>
      </c>
      <c r="R143" s="3" t="n">
        <v>28407.0</v>
      </c>
      <c r="S143" s="3" t="n">
        <v>30049.0</v>
      </c>
      <c r="T143" s="3" t="n">
        <v>31684.0</v>
      </c>
      <c r="U143" s="3" t="n">
        <v>34012.0</v>
      </c>
      <c r="V143" s="3" t="n">
        <v>34459.0</v>
      </c>
      <c r="W143" s="3" t="n">
        <v>35286.0</v>
      </c>
      <c r="X143" s="3" t="n">
        <v>33252.0</v>
      </c>
      <c r="Y143" s="3" t="n">
        <v>33496.0</v>
      </c>
      <c r="Z143" s="3" t="n">
        <v>32161.0</v>
      </c>
      <c r="AA143" s="3" t="n">
        <v>33074.0</v>
      </c>
      <c r="AB143" s="3" t="n">
        <v>33271.0</v>
      </c>
      <c r="AC143" s="3" t="n">
        <v>33599.0</v>
      </c>
      <c r="AD143" s="3" t="n">
        <v>35100.0</v>
      </c>
      <c r="AE143" s="3" t="n">
        <v>33893.0</v>
      </c>
      <c r="AF143" s="3" t="n">
        <v>32813.0</v>
      </c>
      <c r="AG143" s="3" t="n">
        <v>30577.0</v>
      </c>
      <c r="AH143" s="3" t="n">
        <v>30000.0</v>
      </c>
      <c r="AI143" s="3" t="n">
        <v>27330.0</v>
      </c>
      <c r="AJ143" s="3" t="n">
        <v>28458.0</v>
      </c>
      <c r="AK143" s="3" t="n">
        <v>28077.0</v>
      </c>
      <c r="AL143" s="3" t="n">
        <v>27814.0</v>
      </c>
      <c r="AM143" s="3" t="n">
        <v>27489.0</v>
      </c>
      <c r="AN143" s="3" t="n">
        <v>27090.0</v>
      </c>
      <c r="AO143" s="3" t="n">
        <v>26756.0</v>
      </c>
    </row>
    <row r="144" spans="1:41" x14ac:dyDescent="0.2">
      <c r="A144" s="125"/>
      <c r="B144" s="9">
        <v>33</v>
      </c>
      <c r="C144" s="3" t="n">
        <v>40891.0</v>
      </c>
      <c r="D144" s="3" t="n">
        <v>40625.0</v>
      </c>
      <c r="E144" s="3" t="n">
        <v>40189.0</v>
      </c>
      <c r="F144" s="3" t="n">
        <v>38042.0</v>
      </c>
      <c r="G144" s="3" t="n">
        <v>36780.0</v>
      </c>
      <c r="H144" s="3" t="n">
        <v>35527.0</v>
      </c>
      <c r="I144" s="3" t="n">
        <v>33436.0</v>
      </c>
      <c r="J144" s="3" t="n">
        <v>32308.0</v>
      </c>
      <c r="K144" s="3" t="n">
        <v>30811.0</v>
      </c>
      <c r="L144" s="3" t="n">
        <v>29551.0</v>
      </c>
      <c r="M144" s="3" t="n">
        <v>28595.0</v>
      </c>
      <c r="N144" s="3" t="n">
        <v>28400.0</v>
      </c>
      <c r="O144" s="3" t="n">
        <v>27572.0</v>
      </c>
      <c r="P144" s="3" t="n">
        <v>26840.0</v>
      </c>
      <c r="Q144" s="3" t="n">
        <v>26740.0</v>
      </c>
      <c r="R144" s="3" t="n">
        <v>27673.0</v>
      </c>
      <c r="S144" s="3" t="n">
        <v>28602.0</v>
      </c>
      <c r="T144" s="3" t="n">
        <v>30235.0</v>
      </c>
      <c r="U144" s="3" t="n">
        <v>31874.0</v>
      </c>
      <c r="V144" s="3" t="n">
        <v>34208.0</v>
      </c>
      <c r="W144" s="3" t="n">
        <v>34668.0</v>
      </c>
      <c r="X144" s="3" t="n">
        <v>35485.0</v>
      </c>
      <c r="Y144" s="3" t="n">
        <v>33444.0</v>
      </c>
      <c r="Z144" s="3" t="n">
        <v>33688.0</v>
      </c>
      <c r="AA144" s="3" t="n">
        <v>32338.0</v>
      </c>
      <c r="AB144" s="3" t="n">
        <v>33247.0</v>
      </c>
      <c r="AC144" s="3" t="n">
        <v>33445.0</v>
      </c>
      <c r="AD144" s="3" t="n">
        <v>33775.0</v>
      </c>
      <c r="AE144" s="3" t="n">
        <v>35288.0</v>
      </c>
      <c r="AF144" s="3" t="n">
        <v>34068.0</v>
      </c>
      <c r="AG144" s="3" t="n">
        <v>32981.0</v>
      </c>
      <c r="AH144" s="3" t="n">
        <v>30736.0</v>
      </c>
      <c r="AI144" s="3" t="n">
        <v>30150.0</v>
      </c>
      <c r="AJ144" s="3" t="n">
        <v>27470.0</v>
      </c>
      <c r="AK144" s="3" t="n">
        <v>28594.0</v>
      </c>
      <c r="AL144" s="3" t="n">
        <v>28209.0</v>
      </c>
      <c r="AM144" s="3" t="n">
        <v>27945.0</v>
      </c>
      <c r="AN144" s="3" t="n">
        <v>27620.0</v>
      </c>
      <c r="AO144" s="3" t="n">
        <v>27218.0</v>
      </c>
    </row>
    <row r="145" spans="1:41" x14ac:dyDescent="0.2">
      <c r="A145" s="125"/>
      <c r="B145" s="9">
        <v>34</v>
      </c>
      <c r="C145" s="3" t="n">
        <v>42114.0</v>
      </c>
      <c r="D145" s="3" t="n">
        <v>41106.0</v>
      </c>
      <c r="E145" s="3" t="n">
        <v>40837.0</v>
      </c>
      <c r="F145" s="3" t="n">
        <v>40391.0</v>
      </c>
      <c r="G145" s="3" t="n">
        <v>38241.0</v>
      </c>
      <c r="H145" s="3" t="n">
        <v>37045.0</v>
      </c>
      <c r="I145" s="3" t="n">
        <v>35811.0</v>
      </c>
      <c r="J145" s="3" t="n">
        <v>33653.0</v>
      </c>
      <c r="K145" s="3" t="n">
        <v>32503.0</v>
      </c>
      <c r="L145" s="3" t="n">
        <v>30989.0</v>
      </c>
      <c r="M145" s="3" t="n">
        <v>29722.0</v>
      </c>
      <c r="N145" s="3" t="n">
        <v>28764.0</v>
      </c>
      <c r="O145" s="3" t="n">
        <v>28563.0</v>
      </c>
      <c r="P145" s="3" t="n">
        <v>27736.0</v>
      </c>
      <c r="Q145" s="3" t="n">
        <v>26998.0</v>
      </c>
      <c r="R145" s="3" t="n">
        <v>26904.0</v>
      </c>
      <c r="S145" s="3" t="n">
        <v>27836.0</v>
      </c>
      <c r="T145" s="3" t="n">
        <v>28764.0</v>
      </c>
      <c r="U145" s="3" t="n">
        <v>30396.0</v>
      </c>
      <c r="V145" s="3" t="n">
        <v>32035.0</v>
      </c>
      <c r="W145" s="3" t="n">
        <v>34369.0</v>
      </c>
      <c r="X145" s="3" t="n">
        <v>34835.0</v>
      </c>
      <c r="Y145" s="3" t="n">
        <v>35642.0</v>
      </c>
      <c r="Z145" s="3" t="n">
        <v>33600.0</v>
      </c>
      <c r="AA145" s="3" t="n">
        <v>33841.0</v>
      </c>
      <c r="AB145" s="3" t="n">
        <v>32483.0</v>
      </c>
      <c r="AC145" s="3" t="n">
        <v>33390.0</v>
      </c>
      <c r="AD145" s="3" t="n">
        <v>33586.0</v>
      </c>
      <c r="AE145" s="3" t="n">
        <v>33918.0</v>
      </c>
      <c r="AF145" s="3" t="n">
        <v>35434.0</v>
      </c>
      <c r="AG145" s="3" t="n">
        <v>34215.0</v>
      </c>
      <c r="AH145" s="3" t="n">
        <v>33114.0</v>
      </c>
      <c r="AI145" s="3" t="n">
        <v>30877.0</v>
      </c>
      <c r="AJ145" s="3" t="n">
        <v>30292.0</v>
      </c>
      <c r="AK145" s="3" t="n">
        <v>27599.0</v>
      </c>
      <c r="AL145" s="3" t="n">
        <v>28720.0</v>
      </c>
      <c r="AM145" s="3" t="n">
        <v>28329.0</v>
      </c>
      <c r="AN145" s="3" t="n">
        <v>28066.0</v>
      </c>
      <c r="AO145" s="3" t="n">
        <v>27740.0</v>
      </c>
    </row>
    <row r="146" spans="1:41" x14ac:dyDescent="0.2">
      <c r="A146" s="125"/>
      <c r="B146" s="9">
        <v>35</v>
      </c>
      <c r="C146" s="3" t="n">
        <v>42911.0</v>
      </c>
      <c r="D146" s="3" t="n">
        <v>42285.0</v>
      </c>
      <c r="E146" s="3" t="n">
        <v>41280.0</v>
      </c>
      <c r="F146" s="3" t="n">
        <v>41013.0</v>
      </c>
      <c r="G146" s="3" t="n">
        <v>40556.0</v>
      </c>
      <c r="H146" s="3" t="n">
        <v>38489.0</v>
      </c>
      <c r="I146" s="3" t="n">
        <v>37314.0</v>
      </c>
      <c r="J146" s="3" t="n">
        <v>36007.0</v>
      </c>
      <c r="K146" s="3" t="n">
        <v>33825.0</v>
      </c>
      <c r="L146" s="3" t="n">
        <v>32659.0</v>
      </c>
      <c r="M146" s="3" t="n">
        <v>31145.0</v>
      </c>
      <c r="N146" s="3" t="n">
        <v>29871.0</v>
      </c>
      <c r="O146" s="3" t="n">
        <v>28914.0</v>
      </c>
      <c r="P146" s="3" t="n">
        <v>28706.0</v>
      </c>
      <c r="Q146" s="3" t="n">
        <v>27882.0</v>
      </c>
      <c r="R146" s="3" t="n">
        <v>27142.0</v>
      </c>
      <c r="S146" s="3" t="n">
        <v>27040.0</v>
      </c>
      <c r="T146" s="3" t="n">
        <v>27971.0</v>
      </c>
      <c r="U146" s="3" t="n">
        <v>28900.0</v>
      </c>
      <c r="V146" s="3" t="n">
        <v>30533.0</v>
      </c>
      <c r="W146" s="3" t="n">
        <v>32177.0</v>
      </c>
      <c r="X146" s="3" t="n">
        <v>34511.0</v>
      </c>
      <c r="Y146" s="3" t="n">
        <v>34985.0</v>
      </c>
      <c r="Z146" s="3" t="n">
        <v>35781.0</v>
      </c>
      <c r="AA146" s="3" t="n">
        <v>33739.0</v>
      </c>
      <c r="AB146" s="3" t="n">
        <v>33978.0</v>
      </c>
      <c r="AC146" s="3" t="n">
        <v>32623.0</v>
      </c>
      <c r="AD146" s="3" t="n">
        <v>33526.0</v>
      </c>
      <c r="AE146" s="3" t="n">
        <v>33717.0</v>
      </c>
      <c r="AF146" s="3" t="n">
        <v>34046.0</v>
      </c>
      <c r="AG146" s="3" t="n">
        <v>35561.0</v>
      </c>
      <c r="AH146" s="3" t="n">
        <v>34346.0</v>
      </c>
      <c r="AI146" s="3" t="n">
        <v>33234.0</v>
      </c>
      <c r="AJ146" s="3" t="n">
        <v>30987.0</v>
      </c>
      <c r="AK146" s="3" t="n">
        <v>30387.0</v>
      </c>
      <c r="AL146" s="3" t="n">
        <v>27696.0</v>
      </c>
      <c r="AM146" s="3" t="n">
        <v>28806.0</v>
      </c>
      <c r="AN146" s="3" t="n">
        <v>28413.0</v>
      </c>
      <c r="AO146" s="3" t="n">
        <v>28148.0</v>
      </c>
    </row>
    <row r="147" spans="1:41" x14ac:dyDescent="0.2">
      <c r="A147" s="125"/>
      <c r="B147" s="9">
        <v>36</v>
      </c>
      <c r="C147" s="3" t="n">
        <v>45211.0</v>
      </c>
      <c r="D147" s="3" t="n">
        <v>43067.0</v>
      </c>
      <c r="E147" s="3" t="n">
        <v>42444.0</v>
      </c>
      <c r="F147" s="3" t="n">
        <v>41437.0</v>
      </c>
      <c r="G147" s="3" t="n">
        <v>41174.0</v>
      </c>
      <c r="H147" s="3" t="n">
        <v>40795.0</v>
      </c>
      <c r="I147" s="3" t="n">
        <v>38754.0</v>
      </c>
      <c r="J147" s="3" t="n">
        <v>37509.0</v>
      </c>
      <c r="K147" s="3" t="n">
        <v>36158.0</v>
      </c>
      <c r="L147" s="3" t="n">
        <v>33972.0</v>
      </c>
      <c r="M147" s="3" t="n">
        <v>32795.0</v>
      </c>
      <c r="N147" s="3" t="n">
        <v>31286.0</v>
      </c>
      <c r="O147" s="3" t="n">
        <v>29999.0</v>
      </c>
      <c r="P147" s="3" t="n">
        <v>29044.0</v>
      </c>
      <c r="Q147" s="3" t="n">
        <v>28838.0</v>
      </c>
      <c r="R147" s="3" t="n">
        <v>28013.0</v>
      </c>
      <c r="S147" s="3" t="n">
        <v>27271.0</v>
      </c>
      <c r="T147" s="3" t="n">
        <v>27160.0</v>
      </c>
      <c r="U147" s="3" t="n">
        <v>28085.0</v>
      </c>
      <c r="V147" s="3" t="n">
        <v>29015.0</v>
      </c>
      <c r="W147" s="3" t="n">
        <v>30654.0</v>
      </c>
      <c r="X147" s="3" t="n">
        <v>32299.0</v>
      </c>
      <c r="Y147" s="3" t="n">
        <v>34631.0</v>
      </c>
      <c r="Z147" s="3" t="n">
        <v>35108.0</v>
      </c>
      <c r="AA147" s="3" t="n">
        <v>35900.0</v>
      </c>
      <c r="AB147" s="3" t="n">
        <v>33853.0</v>
      </c>
      <c r="AC147" s="3" t="n">
        <v>34084.0</v>
      </c>
      <c r="AD147" s="3" t="n">
        <v>32728.0</v>
      </c>
      <c r="AE147" s="3" t="n">
        <v>33635.0</v>
      </c>
      <c r="AF147" s="3" t="n">
        <v>33817.0</v>
      </c>
      <c r="AG147" s="3" t="n">
        <v>34154.0</v>
      </c>
      <c r="AH147" s="3" t="n">
        <v>35663.0</v>
      </c>
      <c r="AI147" s="3" t="n">
        <v>34452.0</v>
      </c>
      <c r="AJ147" s="3" t="n">
        <v>33333.0</v>
      </c>
      <c r="AK147" s="3" t="n">
        <v>31088.0</v>
      </c>
      <c r="AL147" s="3" t="n">
        <v>30480.0</v>
      </c>
      <c r="AM147" s="3" t="n">
        <v>27791.0</v>
      </c>
      <c r="AN147" s="3" t="n">
        <v>28891.0</v>
      </c>
      <c r="AO147" s="3" t="n">
        <v>28501.0</v>
      </c>
    </row>
    <row r="148" spans="1:41" x14ac:dyDescent="0.2">
      <c r="A148" s="125"/>
      <c r="B148" s="9">
        <v>37</v>
      </c>
      <c r="C148" s="3" t="n">
        <v>47461.0</v>
      </c>
      <c r="D148" s="3" t="n">
        <v>45328.0</v>
      </c>
      <c r="E148" s="3" t="n">
        <v>43184.0</v>
      </c>
      <c r="F148" s="3" t="n">
        <v>42560.0</v>
      </c>
      <c r="G148" s="3" t="n">
        <v>41556.0</v>
      </c>
      <c r="H148" s="3" t="n">
        <v>41378.0</v>
      </c>
      <c r="I148" s="3" t="n">
        <v>41025.0</v>
      </c>
      <c r="J148" s="3" t="n">
        <v>38923.0</v>
      </c>
      <c r="K148" s="3" t="n">
        <v>37644.0</v>
      </c>
      <c r="L148" s="3" t="n">
        <v>36285.0</v>
      </c>
      <c r="M148" s="3" t="n">
        <v>34093.0</v>
      </c>
      <c r="N148" s="3" t="n">
        <v>32915.0</v>
      </c>
      <c r="O148" s="3" t="n">
        <v>31404.0</v>
      </c>
      <c r="P148" s="3" t="n">
        <v>30113.0</v>
      </c>
      <c r="Q148" s="3" t="n">
        <v>29151.0</v>
      </c>
      <c r="R148" s="3" t="n">
        <v>28945.0</v>
      </c>
      <c r="S148" s="3" t="n">
        <v>28118.0</v>
      </c>
      <c r="T148" s="3" t="n">
        <v>27372.0</v>
      </c>
      <c r="U148" s="3" t="n">
        <v>27257.0</v>
      </c>
      <c r="V148" s="3" t="n">
        <v>28188.0</v>
      </c>
      <c r="W148" s="3" t="n">
        <v>29111.0</v>
      </c>
      <c r="X148" s="3" t="n">
        <v>30755.0</v>
      </c>
      <c r="Y148" s="3" t="n">
        <v>32403.0</v>
      </c>
      <c r="Z148" s="3" t="n">
        <v>34735.0</v>
      </c>
      <c r="AA148" s="3" t="n">
        <v>35213.0</v>
      </c>
      <c r="AB148" s="3" t="n">
        <v>35998.0</v>
      </c>
      <c r="AC148" s="3" t="n">
        <v>33954.0</v>
      </c>
      <c r="AD148" s="3" t="n">
        <v>34184.0</v>
      </c>
      <c r="AE148" s="3" t="n">
        <v>32818.0</v>
      </c>
      <c r="AF148" s="3" t="n">
        <v>33726.0</v>
      </c>
      <c r="AG148" s="3" t="n">
        <v>33906.0</v>
      </c>
      <c r="AH148" s="3" t="n">
        <v>34251.0</v>
      </c>
      <c r="AI148" s="3" t="n">
        <v>35759.0</v>
      </c>
      <c r="AJ148" s="3" t="n">
        <v>34540.0</v>
      </c>
      <c r="AK148" s="3" t="n">
        <v>33417.0</v>
      </c>
      <c r="AL148" s="3" t="n">
        <v>31173.0</v>
      </c>
      <c r="AM148" s="3" t="n">
        <v>30563.0</v>
      </c>
      <c r="AN148" s="3" t="n">
        <v>27871.0</v>
      </c>
      <c r="AO148" s="3" t="n">
        <v>28966.0</v>
      </c>
    </row>
    <row r="149" spans="1:41" x14ac:dyDescent="0.2">
      <c r="A149" s="125"/>
      <c r="B149" s="9">
        <v>38</v>
      </c>
      <c r="C149" s="3" t="n">
        <v>48459.0</v>
      </c>
      <c r="D149" s="3" t="n">
        <v>47562.0</v>
      </c>
      <c r="E149" s="3" t="n">
        <v>45424.0</v>
      </c>
      <c r="F149" s="3" t="n">
        <v>43280.0</v>
      </c>
      <c r="G149" s="3" t="n">
        <v>42671.0</v>
      </c>
      <c r="H149" s="3" t="n">
        <v>41746.0</v>
      </c>
      <c r="I149" s="3" t="n">
        <v>41607.0</v>
      </c>
      <c r="J149" s="3" t="n">
        <v>41177.0</v>
      </c>
      <c r="K149" s="3" t="n">
        <v>39040.0</v>
      </c>
      <c r="L149" s="3" t="n">
        <v>37739.0</v>
      </c>
      <c r="M149" s="3" t="n">
        <v>36365.0</v>
      </c>
      <c r="N149" s="3" t="n">
        <v>34172.0</v>
      </c>
      <c r="O149" s="3" t="n">
        <v>32996.0</v>
      </c>
      <c r="P149" s="3" t="n">
        <v>31487.0</v>
      </c>
      <c r="Q149" s="3" t="n">
        <v>30190.0</v>
      </c>
      <c r="R149" s="3" t="n">
        <v>29229.0</v>
      </c>
      <c r="S149" s="3" t="n">
        <v>29023.0</v>
      </c>
      <c r="T149" s="3" t="n">
        <v>28202.0</v>
      </c>
      <c r="U149" s="3" t="n">
        <v>27463.0</v>
      </c>
      <c r="V149" s="3" t="n">
        <v>27342.0</v>
      </c>
      <c r="W149" s="3" t="n">
        <v>28265.0</v>
      </c>
      <c r="X149" s="3" t="n">
        <v>29186.0</v>
      </c>
      <c r="Y149" s="3" t="n">
        <v>30823.0</v>
      </c>
      <c r="Z149" s="3" t="n">
        <v>32476.0</v>
      </c>
      <c r="AA149" s="3" t="n">
        <v>34812.0</v>
      </c>
      <c r="AB149" s="3" t="n">
        <v>35288.0</v>
      </c>
      <c r="AC149" s="3" t="n">
        <v>36068.0</v>
      </c>
      <c r="AD149" s="3" t="n">
        <v>34022.0</v>
      </c>
      <c r="AE149" s="3" t="n">
        <v>34249.0</v>
      </c>
      <c r="AF149" s="3" t="n">
        <v>32884.0</v>
      </c>
      <c r="AG149" s="3" t="n">
        <v>33787.0</v>
      </c>
      <c r="AH149" s="3" t="n">
        <v>33971.0</v>
      </c>
      <c r="AI149" s="3" t="n">
        <v>34315.0</v>
      </c>
      <c r="AJ149" s="3" t="n">
        <v>35820.0</v>
      </c>
      <c r="AK149" s="3" t="n">
        <v>34598.0</v>
      </c>
      <c r="AL149" s="3" t="n">
        <v>33479.0</v>
      </c>
      <c r="AM149" s="3" t="n">
        <v>31236.0</v>
      </c>
      <c r="AN149" s="3" t="n">
        <v>30628.0</v>
      </c>
      <c r="AO149" s="3" t="n">
        <v>27933.0</v>
      </c>
    </row>
    <row r="150" spans="1:41" x14ac:dyDescent="0.2">
      <c r="A150" s="125"/>
      <c r="B150" s="9">
        <v>39</v>
      </c>
      <c r="C150" s="3" t="n">
        <v>49596.0</v>
      </c>
      <c r="D150" s="3" t="n">
        <v>48548.0</v>
      </c>
      <c r="E150" s="3" t="n">
        <v>47642.0</v>
      </c>
      <c r="F150" s="3" t="n">
        <v>45500.0</v>
      </c>
      <c r="G150" s="3" t="n">
        <v>43358.0</v>
      </c>
      <c r="H150" s="3" t="n">
        <v>42837.0</v>
      </c>
      <c r="I150" s="3" t="n">
        <v>41939.0</v>
      </c>
      <c r="J150" s="3" t="n">
        <v>41738.0</v>
      </c>
      <c r="K150" s="3" t="n">
        <v>41274.0</v>
      </c>
      <c r="L150" s="3" t="n">
        <v>39121.0</v>
      </c>
      <c r="M150" s="3" t="n">
        <v>37812.0</v>
      </c>
      <c r="N150" s="3" t="n">
        <v>36432.0</v>
      </c>
      <c r="O150" s="3" t="n">
        <v>34237.0</v>
      </c>
      <c r="P150" s="3" t="n">
        <v>33065.0</v>
      </c>
      <c r="Q150" s="3" t="n">
        <v>31558.0</v>
      </c>
      <c r="R150" s="3" t="n">
        <v>30263.0</v>
      </c>
      <c r="S150" s="3" t="n">
        <v>29303.0</v>
      </c>
      <c r="T150" s="3" t="n">
        <v>29095.0</v>
      </c>
      <c r="U150" s="3" t="n">
        <v>28275.0</v>
      </c>
      <c r="V150" s="3" t="n">
        <v>27531.0</v>
      </c>
      <c r="W150" s="3" t="n">
        <v>27414.0</v>
      </c>
      <c r="X150" s="3" t="n">
        <v>28333.0</v>
      </c>
      <c r="Y150" s="3" t="n">
        <v>29251.0</v>
      </c>
      <c r="Z150" s="3" t="n">
        <v>30883.0</v>
      </c>
      <c r="AA150" s="3" t="n">
        <v>32539.0</v>
      </c>
      <c r="AB150" s="3" t="n">
        <v>34876.0</v>
      </c>
      <c r="AC150" s="3" t="n">
        <v>35354.0</v>
      </c>
      <c r="AD150" s="3" t="n">
        <v>36129.0</v>
      </c>
      <c r="AE150" s="3" t="n">
        <v>34085.0</v>
      </c>
      <c r="AF150" s="3" t="n">
        <v>34311.0</v>
      </c>
      <c r="AG150" s="3" t="n">
        <v>32943.0</v>
      </c>
      <c r="AH150" s="3" t="n">
        <v>33843.0</v>
      </c>
      <c r="AI150" s="3" t="n">
        <v>34029.0</v>
      </c>
      <c r="AJ150" s="3" t="n">
        <v>34373.0</v>
      </c>
      <c r="AK150" s="3" t="n">
        <v>35880.0</v>
      </c>
      <c r="AL150" s="3" t="n">
        <v>34652.0</v>
      </c>
      <c r="AM150" s="3" t="n">
        <v>33528.0</v>
      </c>
      <c r="AN150" s="3" t="n">
        <v>31292.0</v>
      </c>
      <c r="AO150" s="3" t="n">
        <v>30683.0</v>
      </c>
    </row>
    <row r="151" spans="1:41" x14ac:dyDescent="0.2">
      <c r="A151" s="125"/>
      <c r="B151" s="9">
        <v>40</v>
      </c>
      <c r="C151" s="3" t="n">
        <v>48272.0</v>
      </c>
      <c r="D151" s="3" t="n">
        <v>49645.0</v>
      </c>
      <c r="E151" s="3" t="n">
        <v>48604.0</v>
      </c>
      <c r="F151" s="3" t="n">
        <v>47691.0</v>
      </c>
      <c r="G151" s="3" t="n">
        <v>45547.0</v>
      </c>
      <c r="H151" s="3" t="n">
        <v>43477.0</v>
      </c>
      <c r="I151" s="3" t="n">
        <v>42974.0</v>
      </c>
      <c r="J151" s="3" t="n">
        <v>42024.0</v>
      </c>
      <c r="K151" s="3" t="n">
        <v>41797.0</v>
      </c>
      <c r="L151" s="3" t="n">
        <v>41318.0</v>
      </c>
      <c r="M151" s="3" t="n">
        <v>39163.0</v>
      </c>
      <c r="N151" s="3" t="n">
        <v>37855.0</v>
      </c>
      <c r="O151" s="3" t="n">
        <v>36465.0</v>
      </c>
      <c r="P151" s="3" t="n">
        <v>34279.0</v>
      </c>
      <c r="Q151" s="3" t="n">
        <v>33114.0</v>
      </c>
      <c r="R151" s="3" t="n">
        <v>31606.0</v>
      </c>
      <c r="S151" s="3" t="n">
        <v>30319.0</v>
      </c>
      <c r="T151" s="3" t="n">
        <v>29363.0</v>
      </c>
      <c r="U151" s="3" t="n">
        <v>29146.0</v>
      </c>
      <c r="V151" s="3" t="n">
        <v>28327.0</v>
      </c>
      <c r="W151" s="3" t="n">
        <v>27581.0</v>
      </c>
      <c r="X151" s="3" t="n">
        <v>27462.0</v>
      </c>
      <c r="Y151" s="3" t="n">
        <v>28378.0</v>
      </c>
      <c r="Z151" s="3" t="n">
        <v>29296.0</v>
      </c>
      <c r="AA151" s="3" t="n">
        <v>30922.0</v>
      </c>
      <c r="AB151" s="3" t="n">
        <v>32576.0</v>
      </c>
      <c r="AC151" s="3" t="n">
        <v>34909.0</v>
      </c>
      <c r="AD151" s="3" t="n">
        <v>35390.0</v>
      </c>
      <c r="AE151" s="3" t="n">
        <v>36158.0</v>
      </c>
      <c r="AF151" s="3" t="n">
        <v>34112.0</v>
      </c>
      <c r="AG151" s="3" t="n">
        <v>34342.0</v>
      </c>
      <c r="AH151" s="3" t="n">
        <v>32974.0</v>
      </c>
      <c r="AI151" s="3" t="n">
        <v>33875.0</v>
      </c>
      <c r="AJ151" s="3" t="n">
        <v>34056.0</v>
      </c>
      <c r="AK151" s="3" t="n">
        <v>34398.0</v>
      </c>
      <c r="AL151" s="3" t="n">
        <v>35905.0</v>
      </c>
      <c r="AM151" s="3" t="n">
        <v>34679.0</v>
      </c>
      <c r="AN151" s="3" t="n">
        <v>33559.0</v>
      </c>
      <c r="AO151" s="3" t="n">
        <v>31325.0</v>
      </c>
    </row>
    <row r="152" spans="1:41" x14ac:dyDescent="0.2">
      <c r="A152" s="125"/>
      <c r="B152" s="9">
        <v>41</v>
      </c>
      <c r="C152" s="3" t="n">
        <v>45711.0</v>
      </c>
      <c r="D152" s="3" t="n">
        <v>48286.0</v>
      </c>
      <c r="E152" s="3" t="n">
        <v>49657.0</v>
      </c>
      <c r="F152" s="3" t="n">
        <v>48615.0</v>
      </c>
      <c r="G152" s="3" t="n">
        <v>47701.0</v>
      </c>
      <c r="H152" s="3" t="n">
        <v>45608.0</v>
      </c>
      <c r="I152" s="3" t="n">
        <v>43569.0</v>
      </c>
      <c r="J152" s="3" t="n">
        <v>43013.0</v>
      </c>
      <c r="K152" s="3" t="n">
        <v>42046.0</v>
      </c>
      <c r="L152" s="3" t="n">
        <v>41814.0</v>
      </c>
      <c r="M152" s="3" t="n">
        <v>41324.0</v>
      </c>
      <c r="N152" s="3" t="n">
        <v>39169.0</v>
      </c>
      <c r="O152" s="3" t="n">
        <v>37861.0</v>
      </c>
      <c r="P152" s="3" t="n">
        <v>36480.0</v>
      </c>
      <c r="Q152" s="3" t="n">
        <v>34286.0</v>
      </c>
      <c r="R152" s="3" t="n">
        <v>33127.0</v>
      </c>
      <c r="S152" s="3" t="n">
        <v>31619.0</v>
      </c>
      <c r="T152" s="3" t="n">
        <v>30336.0</v>
      </c>
      <c r="U152" s="3" t="n">
        <v>29385.0</v>
      </c>
      <c r="V152" s="3" t="n">
        <v>29170.0</v>
      </c>
      <c r="W152" s="3" t="n">
        <v>28352.0</v>
      </c>
      <c r="X152" s="3" t="n">
        <v>27601.0</v>
      </c>
      <c r="Y152" s="3" t="n">
        <v>27482.0</v>
      </c>
      <c r="Z152" s="3" t="n">
        <v>28398.0</v>
      </c>
      <c r="AA152" s="3" t="n">
        <v>29316.0</v>
      </c>
      <c r="AB152" s="3" t="n">
        <v>30931.0</v>
      </c>
      <c r="AC152" s="3" t="n">
        <v>32584.0</v>
      </c>
      <c r="AD152" s="3" t="n">
        <v>34916.0</v>
      </c>
      <c r="AE152" s="3" t="n">
        <v>35395.0</v>
      </c>
      <c r="AF152" s="3" t="n">
        <v>36158.0</v>
      </c>
      <c r="AG152" s="3" t="n">
        <v>34119.0</v>
      </c>
      <c r="AH152" s="3" t="n">
        <v>34346.0</v>
      </c>
      <c r="AI152" s="3" t="n">
        <v>32983.0</v>
      </c>
      <c r="AJ152" s="3" t="n">
        <v>33879.0</v>
      </c>
      <c r="AK152" s="3" t="n">
        <v>34058.0</v>
      </c>
      <c r="AL152" s="3" t="n">
        <v>34398.0</v>
      </c>
      <c r="AM152" s="3" t="n">
        <v>35904.0</v>
      </c>
      <c r="AN152" s="3" t="n">
        <v>34678.0</v>
      </c>
      <c r="AO152" s="3" t="n">
        <v>33562.0</v>
      </c>
    </row>
    <row r="153" spans="1:41" x14ac:dyDescent="0.2">
      <c r="A153" s="125"/>
      <c r="B153" s="9">
        <v>42</v>
      </c>
      <c r="C153" s="3" t="n">
        <v>47098.0</v>
      </c>
      <c r="D153" s="3" t="n">
        <v>45677.0</v>
      </c>
      <c r="E153" s="3" t="n">
        <v>48259.0</v>
      </c>
      <c r="F153" s="3" t="n">
        <v>49627.0</v>
      </c>
      <c r="G153" s="3" t="n">
        <v>48580.0</v>
      </c>
      <c r="H153" s="3" t="n">
        <v>47738.0</v>
      </c>
      <c r="I153" s="3" t="n">
        <v>45657.0</v>
      </c>
      <c r="J153" s="3" t="n">
        <v>43588.0</v>
      </c>
      <c r="K153" s="3" t="n">
        <v>43008.0</v>
      </c>
      <c r="L153" s="3" t="n">
        <v>42032.0</v>
      </c>
      <c r="M153" s="3" t="n">
        <v>41802.0</v>
      </c>
      <c r="N153" s="3" t="n">
        <v>41308.0</v>
      </c>
      <c r="O153" s="3" t="n">
        <v>39151.0</v>
      </c>
      <c r="P153" s="3" t="n">
        <v>37847.0</v>
      </c>
      <c r="Q153" s="3" t="n">
        <v>36466.0</v>
      </c>
      <c r="R153" s="3" t="n">
        <v>34278.0</v>
      </c>
      <c r="S153" s="3" t="n">
        <v>33122.0</v>
      </c>
      <c r="T153" s="3" t="n">
        <v>31622.0</v>
      </c>
      <c r="U153" s="3" t="n">
        <v>30337.0</v>
      </c>
      <c r="V153" s="3" t="n">
        <v>29393.0</v>
      </c>
      <c r="W153" s="3" t="n">
        <v>29185.0</v>
      </c>
      <c r="X153" s="3" t="n">
        <v>28368.0</v>
      </c>
      <c r="Y153" s="3" t="n">
        <v>27620.0</v>
      </c>
      <c r="Z153" s="3" t="n">
        <v>27498.0</v>
      </c>
      <c r="AA153" s="3" t="n">
        <v>28407.0</v>
      </c>
      <c r="AB153" s="3" t="n">
        <v>29319.0</v>
      </c>
      <c r="AC153" s="3" t="n">
        <v>30931.0</v>
      </c>
      <c r="AD153" s="3" t="n">
        <v>32576.0</v>
      </c>
      <c r="AE153" s="3" t="n">
        <v>34910.0</v>
      </c>
      <c r="AF153" s="3" t="n">
        <v>35387.0</v>
      </c>
      <c r="AG153" s="3" t="n">
        <v>36143.0</v>
      </c>
      <c r="AH153" s="3" t="n">
        <v>34108.0</v>
      </c>
      <c r="AI153" s="3" t="n">
        <v>34337.0</v>
      </c>
      <c r="AJ153" s="3" t="n">
        <v>32975.0</v>
      </c>
      <c r="AK153" s="3" t="n">
        <v>33864.0</v>
      </c>
      <c r="AL153" s="3" t="n">
        <v>34041.0</v>
      </c>
      <c r="AM153" s="3" t="n">
        <v>34384.0</v>
      </c>
      <c r="AN153" s="3" t="n">
        <v>35890.0</v>
      </c>
      <c r="AO153" s="3" t="n">
        <v>34665.0</v>
      </c>
    </row>
    <row r="154" spans="1:41" x14ac:dyDescent="0.2">
      <c r="A154" s="125"/>
      <c r="B154" s="9">
        <v>43</v>
      </c>
      <c r="C154" s="3" t="n">
        <v>46871.0</v>
      </c>
      <c r="D154" s="3" t="n">
        <v>47054.0</v>
      </c>
      <c r="E154" s="3" t="n">
        <v>45642.0</v>
      </c>
      <c r="F154" s="3" t="n">
        <v>48231.0</v>
      </c>
      <c r="G154" s="3" t="n">
        <v>49597.0</v>
      </c>
      <c r="H154" s="3" t="n">
        <v>48608.0</v>
      </c>
      <c r="I154" s="3" t="n">
        <v>47782.0</v>
      </c>
      <c r="J154" s="3" t="n">
        <v>45657.0</v>
      </c>
      <c r="K154" s="3" t="n">
        <v>43559.0</v>
      </c>
      <c r="L154" s="3" t="n">
        <v>42983.0</v>
      </c>
      <c r="M154" s="3" t="n">
        <v>42004.0</v>
      </c>
      <c r="N154" s="3" t="n">
        <v>41763.0</v>
      </c>
      <c r="O154" s="3" t="n">
        <v>41270.0</v>
      </c>
      <c r="P154" s="3" t="n">
        <v>39118.0</v>
      </c>
      <c r="Q154" s="3" t="n">
        <v>37814.0</v>
      </c>
      <c r="R154" s="3" t="n">
        <v>36439.0</v>
      </c>
      <c r="S154" s="3" t="n">
        <v>34263.0</v>
      </c>
      <c r="T154" s="3" t="n">
        <v>33110.0</v>
      </c>
      <c r="U154" s="3" t="n">
        <v>31610.0</v>
      </c>
      <c r="V154" s="3" t="n">
        <v>30326.0</v>
      </c>
      <c r="W154" s="3" t="n">
        <v>29384.0</v>
      </c>
      <c r="X154" s="3" t="n">
        <v>29182.0</v>
      </c>
      <c r="Y154" s="3" t="n">
        <v>28363.0</v>
      </c>
      <c r="Z154" s="3" t="n">
        <v>27617.0</v>
      </c>
      <c r="AA154" s="3" t="n">
        <v>27494.0</v>
      </c>
      <c r="AB154" s="3" t="n">
        <v>28405.0</v>
      </c>
      <c r="AC154" s="3" t="n">
        <v>29308.0</v>
      </c>
      <c r="AD154" s="3" t="n">
        <v>30919.0</v>
      </c>
      <c r="AE154" s="3" t="n">
        <v>32561.0</v>
      </c>
      <c r="AF154" s="3" t="n">
        <v>34890.0</v>
      </c>
      <c r="AG154" s="3" t="n">
        <v>35363.0</v>
      </c>
      <c r="AH154" s="3" t="n">
        <v>36112.0</v>
      </c>
      <c r="AI154" s="3" t="n">
        <v>34088.0</v>
      </c>
      <c r="AJ154" s="3" t="n">
        <v>34317.0</v>
      </c>
      <c r="AK154" s="3" t="n">
        <v>32956.0</v>
      </c>
      <c r="AL154" s="3" t="n">
        <v>33845.0</v>
      </c>
      <c r="AM154" s="3" t="n">
        <v>34015.0</v>
      </c>
      <c r="AN154" s="3" t="n">
        <v>34361.0</v>
      </c>
      <c r="AO154" s="3" t="n">
        <v>35865.0</v>
      </c>
    </row>
    <row r="155" spans="1:41" x14ac:dyDescent="0.2">
      <c r="A155" s="125"/>
      <c r="B155" s="9">
        <v>44</v>
      </c>
      <c r="C155" s="3" t="n">
        <v>45709.0</v>
      </c>
      <c r="D155" s="3" t="n">
        <v>46789.0</v>
      </c>
      <c r="E155" s="3" t="n">
        <v>46983.0</v>
      </c>
      <c r="F155" s="3" t="n">
        <v>45575.0</v>
      </c>
      <c r="G155" s="3" t="n">
        <v>48173.0</v>
      </c>
      <c r="H155" s="3" t="n">
        <v>49583.0</v>
      </c>
      <c r="I155" s="3" t="n">
        <v>48623.0</v>
      </c>
      <c r="J155" s="3" t="n">
        <v>47752.0</v>
      </c>
      <c r="K155" s="3" t="n">
        <v>45607.0</v>
      </c>
      <c r="L155" s="3" t="n">
        <v>43506.0</v>
      </c>
      <c r="M155" s="3" t="n">
        <v>42930.0</v>
      </c>
      <c r="N155" s="3" t="n">
        <v>41947.0</v>
      </c>
      <c r="O155" s="3" t="n">
        <v>41707.0</v>
      </c>
      <c r="P155" s="3" t="n">
        <v>41208.0</v>
      </c>
      <c r="Q155" s="3" t="n">
        <v>39064.0</v>
      </c>
      <c r="R155" s="3" t="n">
        <v>37761.0</v>
      </c>
      <c r="S155" s="3" t="n">
        <v>36389.0</v>
      </c>
      <c r="T155" s="3" t="n">
        <v>34220.0</v>
      </c>
      <c r="U155" s="3" t="n">
        <v>33066.0</v>
      </c>
      <c r="V155" s="3" t="n">
        <v>31575.0</v>
      </c>
      <c r="W155" s="3" t="n">
        <v>30292.0</v>
      </c>
      <c r="X155" s="3" t="n">
        <v>29350.0</v>
      </c>
      <c r="Y155" s="3" t="n">
        <v>29150.0</v>
      </c>
      <c r="Z155" s="3" t="n">
        <v>28334.0</v>
      </c>
      <c r="AA155" s="3" t="n">
        <v>27589.0</v>
      </c>
      <c r="AB155" s="3" t="n">
        <v>27466.0</v>
      </c>
      <c r="AC155" s="3" t="n">
        <v>28375.0</v>
      </c>
      <c r="AD155" s="3" t="n">
        <v>29280.0</v>
      </c>
      <c r="AE155" s="3" t="n">
        <v>30881.0</v>
      </c>
      <c r="AF155" s="3" t="n">
        <v>32519.0</v>
      </c>
      <c r="AG155" s="3" t="n">
        <v>34846.0</v>
      </c>
      <c r="AH155" s="3" t="n">
        <v>35315.0</v>
      </c>
      <c r="AI155" s="3" t="n">
        <v>36056.0</v>
      </c>
      <c r="AJ155" s="3" t="n">
        <v>34038.0</v>
      </c>
      <c r="AK155" s="3" t="n">
        <v>34271.0</v>
      </c>
      <c r="AL155" s="3" t="n">
        <v>32913.0</v>
      </c>
      <c r="AM155" s="3" t="n">
        <v>33800.0</v>
      </c>
      <c r="AN155" s="3" t="n">
        <v>33969.0</v>
      </c>
      <c r="AO155" s="3" t="n">
        <v>34316.0</v>
      </c>
    </row>
    <row r="156" spans="1:41" x14ac:dyDescent="0.2">
      <c r="A156" s="125"/>
      <c r="B156" s="9">
        <v>45</v>
      </c>
      <c r="C156" s="3" t="n">
        <v>45090.0</v>
      </c>
      <c r="D156" s="3" t="n">
        <v>45613.0</v>
      </c>
      <c r="E156" s="3" t="n">
        <v>46691.0</v>
      </c>
      <c r="F156" s="3" t="n">
        <v>46894.0</v>
      </c>
      <c r="G156" s="3" t="n">
        <v>45502.0</v>
      </c>
      <c r="H156" s="3" t="n">
        <v>48145.0</v>
      </c>
      <c r="I156" s="3" t="n">
        <v>49578.0</v>
      </c>
      <c r="J156" s="3" t="n">
        <v>48587.0</v>
      </c>
      <c r="K156" s="3" t="n">
        <v>47690.0</v>
      </c>
      <c r="L156" s="3" t="n">
        <v>45533.0</v>
      </c>
      <c r="M156" s="3" t="n">
        <v>43442.0</v>
      </c>
      <c r="N156" s="3" t="n">
        <v>42862.0</v>
      </c>
      <c r="O156" s="3" t="n">
        <v>41879.0</v>
      </c>
      <c r="P156" s="3" t="n">
        <v>41638.0</v>
      </c>
      <c r="Q156" s="3" t="n">
        <v>41139.0</v>
      </c>
      <c r="R156" s="3" t="n">
        <v>38996.0</v>
      </c>
      <c r="S156" s="3" t="n">
        <v>37700.0</v>
      </c>
      <c r="T156" s="3" t="n">
        <v>36329.0</v>
      </c>
      <c r="U156" s="3" t="n">
        <v>34174.0</v>
      </c>
      <c r="V156" s="3" t="n">
        <v>33025.0</v>
      </c>
      <c r="W156" s="3" t="n">
        <v>31538.0</v>
      </c>
      <c r="X156" s="3" t="n">
        <v>30259.0</v>
      </c>
      <c r="Y156" s="3" t="n">
        <v>29318.0</v>
      </c>
      <c r="Z156" s="3" t="n">
        <v>29116.0</v>
      </c>
      <c r="AA156" s="3" t="n">
        <v>28299.0</v>
      </c>
      <c r="AB156" s="3" t="n">
        <v>27555.0</v>
      </c>
      <c r="AC156" s="3" t="n">
        <v>27431.0</v>
      </c>
      <c r="AD156" s="3" t="n">
        <v>28337.0</v>
      </c>
      <c r="AE156" s="3" t="n">
        <v>29248.0</v>
      </c>
      <c r="AF156" s="3" t="n">
        <v>30839.0</v>
      </c>
      <c r="AG156" s="3" t="n">
        <v>32478.0</v>
      </c>
      <c r="AH156" s="3" t="n">
        <v>34801.0</v>
      </c>
      <c r="AI156" s="3" t="n">
        <v>35268.0</v>
      </c>
      <c r="AJ156" s="3" t="n">
        <v>36008.0</v>
      </c>
      <c r="AK156" s="3" t="n">
        <v>34001.0</v>
      </c>
      <c r="AL156" s="3" t="n">
        <v>34225.0</v>
      </c>
      <c r="AM156" s="3" t="n">
        <v>32870.0</v>
      </c>
      <c r="AN156" s="3" t="n">
        <v>33754.0</v>
      </c>
      <c r="AO156" s="3" t="n">
        <v>33922.0</v>
      </c>
    </row>
    <row r="157" spans="1:41" x14ac:dyDescent="0.2">
      <c r="A157" s="125"/>
      <c r="B157" s="9">
        <v>46</v>
      </c>
      <c r="C157" s="3" t="n">
        <v>45052.0</v>
      </c>
      <c r="D157" s="3" t="n">
        <v>44971.0</v>
      </c>
      <c r="E157" s="3" t="n">
        <v>45493.0</v>
      </c>
      <c r="F157" s="3" t="n">
        <v>46570.0</v>
      </c>
      <c r="G157" s="3" t="n">
        <v>46782.0</v>
      </c>
      <c r="H157" s="3" t="n">
        <v>45431.0</v>
      </c>
      <c r="I157" s="3" t="n">
        <v>48081.0</v>
      </c>
      <c r="J157" s="3" t="n">
        <v>49494.0</v>
      </c>
      <c r="K157" s="3" t="n">
        <v>48486.0</v>
      </c>
      <c r="L157" s="3" t="n">
        <v>47591.0</v>
      </c>
      <c r="M157" s="3" t="n">
        <v>45424.0</v>
      </c>
      <c r="N157" s="3" t="n">
        <v>43341.0</v>
      </c>
      <c r="O157" s="3" t="n">
        <v>42771.0</v>
      </c>
      <c r="P157" s="3" t="n">
        <v>41792.0</v>
      </c>
      <c r="Q157" s="3" t="n">
        <v>41555.0</v>
      </c>
      <c r="R157" s="3" t="n">
        <v>41061.0</v>
      </c>
      <c r="S157" s="3" t="n">
        <v>38920.0</v>
      </c>
      <c r="T157" s="3" t="n">
        <v>37629.0</v>
      </c>
      <c r="U157" s="3" t="n">
        <v>36257.0</v>
      </c>
      <c r="V157" s="3" t="n">
        <v>34112.0</v>
      </c>
      <c r="W157" s="3" t="n">
        <v>32969.0</v>
      </c>
      <c r="X157" s="3" t="n">
        <v>31488.0</v>
      </c>
      <c r="Y157" s="3" t="n">
        <v>30215.0</v>
      </c>
      <c r="Z157" s="3" t="n">
        <v>29278.0</v>
      </c>
      <c r="AA157" s="3" t="n">
        <v>29076.0</v>
      </c>
      <c r="AB157" s="3" t="n">
        <v>28260.0</v>
      </c>
      <c r="AC157" s="3" t="n">
        <v>27521.0</v>
      </c>
      <c r="AD157" s="3" t="n">
        <v>27396.0</v>
      </c>
      <c r="AE157" s="3" t="n">
        <v>28301.0</v>
      </c>
      <c r="AF157" s="3" t="n">
        <v>29208.0</v>
      </c>
      <c r="AG157" s="3" t="n">
        <v>30793.0</v>
      </c>
      <c r="AH157" s="3" t="n">
        <v>32427.0</v>
      </c>
      <c r="AI157" s="3" t="n">
        <v>34741.0</v>
      </c>
      <c r="AJ157" s="3" t="n">
        <v>35206.0</v>
      </c>
      <c r="AK157" s="3" t="n">
        <v>35946.0</v>
      </c>
      <c r="AL157" s="3" t="n">
        <v>33946.0</v>
      </c>
      <c r="AM157" s="3" t="n">
        <v>34171.0</v>
      </c>
      <c r="AN157" s="3" t="n">
        <v>32817.0</v>
      </c>
      <c r="AO157" s="3" t="n">
        <v>33696.0</v>
      </c>
    </row>
    <row r="158" spans="1:41" x14ac:dyDescent="0.2">
      <c r="A158" s="125"/>
      <c r="B158" s="9">
        <v>47</v>
      </c>
      <c r="C158" s="3" t="n">
        <v>43197.0</v>
      </c>
      <c r="D158" s="3" t="n">
        <v>44910.0</v>
      </c>
      <c r="E158" s="3" t="n">
        <v>44832.0</v>
      </c>
      <c r="F158" s="3" t="n">
        <v>45359.0</v>
      </c>
      <c r="G158" s="3" t="n">
        <v>46439.0</v>
      </c>
      <c r="H158" s="3" t="n">
        <v>46692.0</v>
      </c>
      <c r="I158" s="3" t="n">
        <v>45368.0</v>
      </c>
      <c r="J158" s="3" t="n">
        <v>47976.0</v>
      </c>
      <c r="K158" s="3" t="n">
        <v>49375.0</v>
      </c>
      <c r="L158" s="3" t="n">
        <v>48367.0</v>
      </c>
      <c r="M158" s="3" t="n">
        <v>47470.0</v>
      </c>
      <c r="N158" s="3" t="n">
        <v>45311.0</v>
      </c>
      <c r="O158" s="3" t="n">
        <v>43235.0</v>
      </c>
      <c r="P158" s="3" t="n">
        <v>42663.0</v>
      </c>
      <c r="Q158" s="3" t="n">
        <v>41689.0</v>
      </c>
      <c r="R158" s="3" t="n">
        <v>41453.0</v>
      </c>
      <c r="S158" s="3" t="n">
        <v>40957.0</v>
      </c>
      <c r="T158" s="3" t="n">
        <v>38819.0</v>
      </c>
      <c r="U158" s="3" t="n">
        <v>37532.0</v>
      </c>
      <c r="V158" s="3" t="n">
        <v>36164.0</v>
      </c>
      <c r="W158" s="3" t="n">
        <v>34022.0</v>
      </c>
      <c r="X158" s="3" t="n">
        <v>32886.0</v>
      </c>
      <c r="Y158" s="3" t="n">
        <v>31411.0</v>
      </c>
      <c r="Z158" s="3" t="n">
        <v>30142.0</v>
      </c>
      <c r="AA158" s="3" t="n">
        <v>29215.0</v>
      </c>
      <c r="AB158" s="3" t="n">
        <v>29009.0</v>
      </c>
      <c r="AC158" s="3" t="n">
        <v>28198.0</v>
      </c>
      <c r="AD158" s="3" t="n">
        <v>27464.0</v>
      </c>
      <c r="AE158" s="3" t="n">
        <v>27341.0</v>
      </c>
      <c r="AF158" s="3" t="n">
        <v>28242.0</v>
      </c>
      <c r="AG158" s="3" t="n">
        <v>29140.0</v>
      </c>
      <c r="AH158" s="3" t="n">
        <v>30719.0</v>
      </c>
      <c r="AI158" s="3" t="n">
        <v>32349.0</v>
      </c>
      <c r="AJ158" s="3" t="n">
        <v>34663.0</v>
      </c>
      <c r="AK158" s="3" t="n">
        <v>35121.0</v>
      </c>
      <c r="AL158" s="3" t="n">
        <v>35855.0</v>
      </c>
      <c r="AM158" s="3" t="n">
        <v>33863.0</v>
      </c>
      <c r="AN158" s="3" t="n">
        <v>34084.0</v>
      </c>
      <c r="AO158" s="3" t="n">
        <v>32736.0</v>
      </c>
    </row>
    <row r="159" spans="1:41" x14ac:dyDescent="0.2">
      <c r="A159" s="125"/>
      <c r="B159" s="9">
        <v>48</v>
      </c>
      <c r="C159" s="3" t="n">
        <v>41064.0</v>
      </c>
      <c r="D159" s="3" t="n">
        <v>43025.0</v>
      </c>
      <c r="E159" s="3" t="n">
        <v>44729.0</v>
      </c>
      <c r="F159" s="3" t="n">
        <v>44660.0</v>
      </c>
      <c r="G159" s="3" t="n">
        <v>45184.0</v>
      </c>
      <c r="H159" s="3" t="n">
        <v>46304.0</v>
      </c>
      <c r="I159" s="3" t="n">
        <v>46575.0</v>
      </c>
      <c r="J159" s="3" t="n">
        <v>45232.0</v>
      </c>
      <c r="K159" s="3" t="n">
        <v>47814.0</v>
      </c>
      <c r="L159" s="3" t="n">
        <v>49208.0</v>
      </c>
      <c r="M159" s="3" t="n">
        <v>48194.0</v>
      </c>
      <c r="N159" s="3" t="n">
        <v>47300.0</v>
      </c>
      <c r="O159" s="3" t="n">
        <v>45152.0</v>
      </c>
      <c r="P159" s="3" t="n">
        <v>43086.0</v>
      </c>
      <c r="Q159" s="3" t="n">
        <v>42520.0</v>
      </c>
      <c r="R159" s="3" t="n">
        <v>41551.0</v>
      </c>
      <c r="S159" s="3" t="n">
        <v>41314.0</v>
      </c>
      <c r="T159" s="3" t="n">
        <v>40820.0</v>
      </c>
      <c r="U159" s="3" t="n">
        <v>38692.0</v>
      </c>
      <c r="V159" s="3" t="n">
        <v>37413.0</v>
      </c>
      <c r="W159" s="3" t="n">
        <v>36055.0</v>
      </c>
      <c r="X159" s="3" t="n">
        <v>33924.0</v>
      </c>
      <c r="Y159" s="3" t="n">
        <v>32791.0</v>
      </c>
      <c r="Z159" s="3" t="n">
        <v>31326.0</v>
      </c>
      <c r="AA159" s="3" t="n">
        <v>30067.0</v>
      </c>
      <c r="AB159" s="3" t="n">
        <v>29147.0</v>
      </c>
      <c r="AC159" s="3" t="n">
        <v>28935.0</v>
      </c>
      <c r="AD159" s="3" t="n">
        <v>28139.0</v>
      </c>
      <c r="AE159" s="3" t="n">
        <v>27408.0</v>
      </c>
      <c r="AF159" s="3" t="n">
        <v>27285.0</v>
      </c>
      <c r="AG159" s="3" t="n">
        <v>28186.0</v>
      </c>
      <c r="AH159" s="3" t="n">
        <v>29075.0</v>
      </c>
      <c r="AI159" s="3" t="n">
        <v>30642.0</v>
      </c>
      <c r="AJ159" s="3" t="n">
        <v>32264.0</v>
      </c>
      <c r="AK159" s="3" t="n">
        <v>34569.0</v>
      </c>
      <c r="AL159" s="3" t="n">
        <v>35022.0</v>
      </c>
      <c r="AM159" s="3" t="n">
        <v>35757.0</v>
      </c>
      <c r="AN159" s="3" t="n">
        <v>33775.0</v>
      </c>
      <c r="AO159" s="3" t="n">
        <v>33998.0</v>
      </c>
    </row>
    <row r="160" spans="1:41" x14ac:dyDescent="0.2">
      <c r="A160" s="125"/>
      <c r="B160" s="9">
        <v>49</v>
      </c>
      <c r="C160" s="3" t="n">
        <v>38886.0</v>
      </c>
      <c r="D160" s="3" t="n">
        <v>40871.0</v>
      </c>
      <c r="E160" s="3" t="n">
        <v>42820.0</v>
      </c>
      <c r="F160" s="3" t="n">
        <v>44518.0</v>
      </c>
      <c r="G160" s="3" t="n">
        <v>44454.0</v>
      </c>
      <c r="H160" s="3" t="n">
        <v>45025.0</v>
      </c>
      <c r="I160" s="3" t="n">
        <v>46156.0</v>
      </c>
      <c r="J160" s="3" t="n">
        <v>46396.0</v>
      </c>
      <c r="K160" s="3" t="n">
        <v>45056.0</v>
      </c>
      <c r="L160" s="3" t="n">
        <v>47617.0</v>
      </c>
      <c r="M160" s="3" t="n">
        <v>49005.0</v>
      </c>
      <c r="N160" s="3" t="n">
        <v>47993.0</v>
      </c>
      <c r="O160" s="3" t="n">
        <v>47100.0</v>
      </c>
      <c r="P160" s="3" t="n">
        <v>44966.0</v>
      </c>
      <c r="Q160" s="3" t="n">
        <v>42908.0</v>
      </c>
      <c r="R160" s="3" t="n">
        <v>42351.0</v>
      </c>
      <c r="S160" s="3" t="n">
        <v>41392.0</v>
      </c>
      <c r="T160" s="3" t="n">
        <v>41153.0</v>
      </c>
      <c r="U160" s="3" t="n">
        <v>40665.0</v>
      </c>
      <c r="V160" s="3" t="n">
        <v>38540.0</v>
      </c>
      <c r="W160" s="3" t="n">
        <v>37270.0</v>
      </c>
      <c r="X160" s="3" t="n">
        <v>35919.0</v>
      </c>
      <c r="Y160" s="3" t="n">
        <v>33796.0</v>
      </c>
      <c r="Z160" s="3" t="n">
        <v>32669.0</v>
      </c>
      <c r="AA160" s="3" t="n">
        <v>31210.0</v>
      </c>
      <c r="AB160" s="3" t="n">
        <v>29963.0</v>
      </c>
      <c r="AC160" s="3" t="n">
        <v>29052.0</v>
      </c>
      <c r="AD160" s="3" t="n">
        <v>28841.0</v>
      </c>
      <c r="AE160" s="3" t="n">
        <v>28051.0</v>
      </c>
      <c r="AF160" s="3" t="n">
        <v>27325.0</v>
      </c>
      <c r="AG160" s="3" t="n">
        <v>27197.0</v>
      </c>
      <c r="AH160" s="3" t="n">
        <v>28091.0</v>
      </c>
      <c r="AI160" s="3" t="n">
        <v>28978.0</v>
      </c>
      <c r="AJ160" s="3" t="n">
        <v>30540.0</v>
      </c>
      <c r="AK160" s="3" t="n">
        <v>32152.0</v>
      </c>
      <c r="AL160" s="3" t="n">
        <v>34447.0</v>
      </c>
      <c r="AM160" s="3" t="n">
        <v>34895.0</v>
      </c>
      <c r="AN160" s="3" t="n">
        <v>35631.0</v>
      </c>
      <c r="AO160" s="3" t="n">
        <v>33663.0</v>
      </c>
    </row>
    <row r="161" spans="1:41" x14ac:dyDescent="0.2">
      <c r="A161" s="125"/>
      <c r="B161" s="9">
        <v>50</v>
      </c>
      <c r="C161" s="3" t="n">
        <v>36768.0</v>
      </c>
      <c r="D161" s="3" t="n">
        <v>38683.0</v>
      </c>
      <c r="E161" s="3" t="n">
        <v>40653.0</v>
      </c>
      <c r="F161" s="3" t="n">
        <v>42595.0</v>
      </c>
      <c r="G161" s="3" t="n">
        <v>44287.0</v>
      </c>
      <c r="H161" s="3" t="n">
        <v>44255.0</v>
      </c>
      <c r="I161" s="3" t="n">
        <v>44845.0</v>
      </c>
      <c r="J161" s="3" t="n">
        <v>45951.0</v>
      </c>
      <c r="K161" s="3" t="n">
        <v>46183.0</v>
      </c>
      <c r="L161" s="3" t="n">
        <v>44846.0</v>
      </c>
      <c r="M161" s="3" t="n">
        <v>47399.0</v>
      </c>
      <c r="N161" s="3" t="n">
        <v>48778.0</v>
      </c>
      <c r="O161" s="3" t="n">
        <v>47766.0</v>
      </c>
      <c r="P161" s="3" t="n">
        <v>46882.0</v>
      </c>
      <c r="Q161" s="3" t="n">
        <v>44752.0</v>
      </c>
      <c r="R161" s="3" t="n">
        <v>42713.0</v>
      </c>
      <c r="S161" s="3" t="n">
        <v>42157.0</v>
      </c>
      <c r="T161" s="3" t="n">
        <v>41207.0</v>
      </c>
      <c r="U161" s="3" t="n">
        <v>40971.0</v>
      </c>
      <c r="V161" s="3" t="n">
        <v>40490.0</v>
      </c>
      <c r="W161" s="3" t="n">
        <v>38373.0</v>
      </c>
      <c r="X161" s="3" t="n">
        <v>37118.0</v>
      </c>
      <c r="Y161" s="3" t="n">
        <v>35774.0</v>
      </c>
      <c r="Z161" s="3" t="n">
        <v>33658.0</v>
      </c>
      <c r="AA161" s="3" t="n">
        <v>32546.0</v>
      </c>
      <c r="AB161" s="3" t="n">
        <v>31098.0</v>
      </c>
      <c r="AC161" s="3" t="n">
        <v>29850.0</v>
      </c>
      <c r="AD161" s="3" t="n">
        <v>28946.0</v>
      </c>
      <c r="AE161" s="3" t="n">
        <v>28745.0</v>
      </c>
      <c r="AF161" s="3" t="n">
        <v>27956.0</v>
      </c>
      <c r="AG161" s="3" t="n">
        <v>27233.0</v>
      </c>
      <c r="AH161" s="3" t="n">
        <v>27102.0</v>
      </c>
      <c r="AI161" s="3" t="n">
        <v>27991.0</v>
      </c>
      <c r="AJ161" s="3" t="n">
        <v>28873.0</v>
      </c>
      <c r="AK161" s="3" t="n">
        <v>30430.0</v>
      </c>
      <c r="AL161" s="3" t="n">
        <v>32038.0</v>
      </c>
      <c r="AM161" s="3" t="n">
        <v>34332.0</v>
      </c>
      <c r="AN161" s="3" t="n">
        <v>34777.0</v>
      </c>
      <c r="AO161" s="3" t="n">
        <v>35504.0</v>
      </c>
    </row>
    <row r="162" spans="1:41" x14ac:dyDescent="0.2">
      <c r="A162" s="125"/>
      <c r="B162" s="9">
        <v>51</v>
      </c>
      <c r="C162" s="3" t="n">
        <v>34435.0</v>
      </c>
      <c r="D162" s="3" t="n">
        <v>36554.0</v>
      </c>
      <c r="E162" s="3" t="n">
        <v>38467.0</v>
      </c>
      <c r="F162" s="3" t="n">
        <v>40425.0</v>
      </c>
      <c r="G162" s="3" t="n">
        <v>42351.0</v>
      </c>
      <c r="H162" s="3" t="n">
        <v>44068.0</v>
      </c>
      <c r="I162" s="3" t="n">
        <v>44050.0</v>
      </c>
      <c r="J162" s="3" t="n">
        <v>44613.0</v>
      </c>
      <c r="K162" s="3" t="n">
        <v>45714.0</v>
      </c>
      <c r="L162" s="3" t="n">
        <v>45944.0</v>
      </c>
      <c r="M162" s="3" t="n">
        <v>44613.0</v>
      </c>
      <c r="N162" s="3" t="n">
        <v>47154.0</v>
      </c>
      <c r="O162" s="3" t="n">
        <v>48525.0</v>
      </c>
      <c r="P162" s="3" t="n">
        <v>47520.0</v>
      </c>
      <c r="Q162" s="3" t="n">
        <v>46640.0</v>
      </c>
      <c r="R162" s="3" t="n">
        <v>44527.0</v>
      </c>
      <c r="S162" s="3" t="n">
        <v>42503.0</v>
      </c>
      <c r="T162" s="3" t="n">
        <v>41948.0</v>
      </c>
      <c r="U162" s="3" t="n">
        <v>41002.0</v>
      </c>
      <c r="V162" s="3" t="n">
        <v>40777.0</v>
      </c>
      <c r="W162" s="3" t="n">
        <v>40296.0</v>
      </c>
      <c r="X162" s="3" t="n">
        <v>38190.0</v>
      </c>
      <c r="Y162" s="3" t="n">
        <v>36948.0</v>
      </c>
      <c r="Z162" s="3" t="n">
        <v>35612.0</v>
      </c>
      <c r="AA162" s="3" t="n">
        <v>33509.0</v>
      </c>
      <c r="AB162" s="3" t="n">
        <v>32400.0</v>
      </c>
      <c r="AC162" s="3" t="n">
        <v>30970.0</v>
      </c>
      <c r="AD162" s="3" t="n">
        <v>29725.0</v>
      </c>
      <c r="AE162" s="3" t="n">
        <v>28824.0</v>
      </c>
      <c r="AF162" s="3" t="n">
        <v>28626.0</v>
      </c>
      <c r="AG162" s="3" t="n">
        <v>27842.0</v>
      </c>
      <c r="AH162" s="3" t="n">
        <v>27124.0</v>
      </c>
      <c r="AI162" s="3" t="n">
        <v>26993.0</v>
      </c>
      <c r="AJ162" s="3" t="n">
        <v>27879.0</v>
      </c>
      <c r="AK162" s="3" t="n">
        <v>28751.0</v>
      </c>
      <c r="AL162" s="3" t="n">
        <v>30301.0</v>
      </c>
      <c r="AM162" s="3" t="n">
        <v>31903.0</v>
      </c>
      <c r="AN162" s="3" t="n">
        <v>34188.0</v>
      </c>
      <c r="AO162" s="3" t="n">
        <v>34636.0</v>
      </c>
    </row>
    <row r="163" spans="1:41" x14ac:dyDescent="0.2">
      <c r="A163" s="125"/>
      <c r="B163" s="9">
        <v>52</v>
      </c>
      <c r="C163" s="3" t="n">
        <v>33019.0</v>
      </c>
      <c r="D163" s="3" t="n">
        <v>34203.0</v>
      </c>
      <c r="E163" s="3" t="n">
        <v>36307.0</v>
      </c>
      <c r="F163" s="3" t="n">
        <v>38209.0</v>
      </c>
      <c r="G163" s="3" t="n">
        <v>40151.0</v>
      </c>
      <c r="H163" s="3" t="n">
        <v>42091.0</v>
      </c>
      <c r="I163" s="3" t="n">
        <v>43803.0</v>
      </c>
      <c r="J163" s="3" t="n">
        <v>43771.0</v>
      </c>
      <c r="K163" s="3" t="n">
        <v>44330.0</v>
      </c>
      <c r="L163" s="3" t="n">
        <v>45419.0</v>
      </c>
      <c r="M163" s="3" t="n">
        <v>45652.0</v>
      </c>
      <c r="N163" s="3" t="n">
        <v>44336.0</v>
      </c>
      <c r="O163" s="3" t="n">
        <v>46865.0</v>
      </c>
      <c r="P163" s="3" t="n">
        <v>48229.0</v>
      </c>
      <c r="Q163" s="3" t="n">
        <v>47230.0</v>
      </c>
      <c r="R163" s="3" t="n">
        <v>46357.0</v>
      </c>
      <c r="S163" s="3" t="n">
        <v>44264.0</v>
      </c>
      <c r="T163" s="3" t="n">
        <v>42248.0</v>
      </c>
      <c r="U163" s="3" t="n">
        <v>41693.0</v>
      </c>
      <c r="V163" s="3" t="n">
        <v>40753.0</v>
      </c>
      <c r="W163" s="3" t="n">
        <v>40531.0</v>
      </c>
      <c r="X163" s="3" t="n">
        <v>40063.0</v>
      </c>
      <c r="Y163" s="3" t="n">
        <v>37968.0</v>
      </c>
      <c r="Z163" s="3" t="n">
        <v>36737.0</v>
      </c>
      <c r="AA163" s="3" t="n">
        <v>35411.0</v>
      </c>
      <c r="AB163" s="3" t="n">
        <v>33328.0</v>
      </c>
      <c r="AC163" s="3" t="n">
        <v>32233.0</v>
      </c>
      <c r="AD163" s="3" t="n">
        <v>30815.0</v>
      </c>
      <c r="AE163" s="3" t="n">
        <v>29573.0</v>
      </c>
      <c r="AF163" s="3" t="n">
        <v>28678.0</v>
      </c>
      <c r="AG163" s="3" t="n">
        <v>28487.0</v>
      </c>
      <c r="AH163" s="3" t="n">
        <v>27708.0</v>
      </c>
      <c r="AI163" s="3" t="n">
        <v>26990.0</v>
      </c>
      <c r="AJ163" s="3" t="n">
        <v>26856.0</v>
      </c>
      <c r="AK163" s="3" t="n">
        <v>27741.0</v>
      </c>
      <c r="AL163" s="3" t="n">
        <v>28609.0</v>
      </c>
      <c r="AM163" s="3" t="n">
        <v>30151.0</v>
      </c>
      <c r="AN163" s="3" t="n">
        <v>31750.0</v>
      </c>
      <c r="AO163" s="3" t="n">
        <v>34021.0</v>
      </c>
    </row>
    <row r="164" spans="1:41" x14ac:dyDescent="0.2">
      <c r="A164" s="125"/>
      <c r="B164" s="9">
        <v>53</v>
      </c>
      <c r="C164" s="3" t="n">
        <v>31025.0</v>
      </c>
      <c r="D164" s="3" t="n">
        <v>32771.0</v>
      </c>
      <c r="E164" s="3" t="n">
        <v>33948.0</v>
      </c>
      <c r="F164" s="3" t="n">
        <v>36039.0</v>
      </c>
      <c r="G164" s="3" t="n">
        <v>37926.0</v>
      </c>
      <c r="H164" s="3" t="n">
        <v>39883.0</v>
      </c>
      <c r="I164" s="3" t="n">
        <v>41817.0</v>
      </c>
      <c r="J164" s="3" t="n">
        <v>43490.0</v>
      </c>
      <c r="K164" s="3" t="n">
        <v>43453.0</v>
      </c>
      <c r="L164" s="3" t="n">
        <v>44009.0</v>
      </c>
      <c r="M164" s="3" t="n">
        <v>45095.0</v>
      </c>
      <c r="N164" s="3" t="n">
        <v>45324.0</v>
      </c>
      <c r="O164" s="3" t="n">
        <v>44023.0</v>
      </c>
      <c r="P164" s="3" t="n">
        <v>46535.0</v>
      </c>
      <c r="Q164" s="3" t="n">
        <v>47896.0</v>
      </c>
      <c r="R164" s="3" t="n">
        <v>46903.0</v>
      </c>
      <c r="S164" s="3" t="n">
        <v>46042.0</v>
      </c>
      <c r="T164" s="3" t="n">
        <v>43968.0</v>
      </c>
      <c r="U164" s="3" t="n">
        <v>41967.0</v>
      </c>
      <c r="V164" s="3" t="n">
        <v>41421.0</v>
      </c>
      <c r="W164" s="3" t="n">
        <v>40490.0</v>
      </c>
      <c r="X164" s="3" t="n">
        <v>40269.0</v>
      </c>
      <c r="Y164" s="3" t="n">
        <v>39806.0</v>
      </c>
      <c r="Z164" s="3" t="n">
        <v>37722.0</v>
      </c>
      <c r="AA164" s="3" t="n">
        <v>36505.0</v>
      </c>
      <c r="AB164" s="3" t="n">
        <v>35190.0</v>
      </c>
      <c r="AC164" s="3" t="n">
        <v>33123.0</v>
      </c>
      <c r="AD164" s="3" t="n">
        <v>32036.0</v>
      </c>
      <c r="AE164" s="3" t="n">
        <v>30625.0</v>
      </c>
      <c r="AF164" s="3" t="n">
        <v>29403.0</v>
      </c>
      <c r="AG164" s="3" t="n">
        <v>28516.0</v>
      </c>
      <c r="AH164" s="3" t="n">
        <v>28321.0</v>
      </c>
      <c r="AI164" s="3" t="n">
        <v>27554.0</v>
      </c>
      <c r="AJ164" s="3" t="n">
        <v>26849.0</v>
      </c>
      <c r="AK164" s="3" t="n">
        <v>26714.0</v>
      </c>
      <c r="AL164" s="3" t="n">
        <v>27590.0</v>
      </c>
      <c r="AM164" s="3" t="n">
        <v>28457.0</v>
      </c>
      <c r="AN164" s="3" t="n">
        <v>29991.0</v>
      </c>
      <c r="AO164" s="3" t="n">
        <v>31574.0</v>
      </c>
    </row>
    <row r="165" spans="1:41" x14ac:dyDescent="0.2">
      <c r="A165" s="125"/>
      <c r="B165" s="9">
        <v>54</v>
      </c>
      <c r="C165" s="3" t="n">
        <v>29706.0</v>
      </c>
      <c r="D165" s="3" t="n">
        <v>30753.0</v>
      </c>
      <c r="E165" s="3" t="n">
        <v>32483.0</v>
      </c>
      <c r="F165" s="3" t="n">
        <v>33653.0</v>
      </c>
      <c r="G165" s="3" t="n">
        <v>35729.0</v>
      </c>
      <c r="H165" s="3" t="n">
        <v>37629.0</v>
      </c>
      <c r="I165" s="3" t="n">
        <v>39579.0</v>
      </c>
      <c r="J165" s="3" t="n">
        <v>41483.0</v>
      </c>
      <c r="K165" s="3" t="n">
        <v>43135.0</v>
      </c>
      <c r="L165" s="3" t="n">
        <v>43094.0</v>
      </c>
      <c r="M165" s="3" t="n">
        <v>43647.0</v>
      </c>
      <c r="N165" s="3" t="n">
        <v>44733.0</v>
      </c>
      <c r="O165" s="3" t="n">
        <v>44964.0</v>
      </c>
      <c r="P165" s="3" t="n">
        <v>43674.0</v>
      </c>
      <c r="Q165" s="3" t="n">
        <v>46173.0</v>
      </c>
      <c r="R165" s="3" t="n">
        <v>47523.0</v>
      </c>
      <c r="S165" s="3" t="n">
        <v>46540.0</v>
      </c>
      <c r="T165" s="3" t="n">
        <v>45684.0</v>
      </c>
      <c r="U165" s="3" t="n">
        <v>43637.0</v>
      </c>
      <c r="V165" s="3" t="n">
        <v>41648.0</v>
      </c>
      <c r="W165" s="3" t="n">
        <v>41109.0</v>
      </c>
      <c r="X165" s="3" t="n">
        <v>40189.0</v>
      </c>
      <c r="Y165" s="3" t="n">
        <v>39972.0</v>
      </c>
      <c r="Z165" s="3" t="n">
        <v>39515.0</v>
      </c>
      <c r="AA165" s="3" t="n">
        <v>37454.0</v>
      </c>
      <c r="AB165" s="3" t="n">
        <v>36243.0</v>
      </c>
      <c r="AC165" s="3" t="n">
        <v>34939.0</v>
      </c>
      <c r="AD165" s="3" t="n">
        <v>32895.0</v>
      </c>
      <c r="AE165" s="3" t="n">
        <v>31819.0</v>
      </c>
      <c r="AF165" s="3" t="n">
        <v>30420.0</v>
      </c>
      <c r="AG165" s="3" t="n">
        <v>29212.0</v>
      </c>
      <c r="AH165" s="3" t="n">
        <v>28328.0</v>
      </c>
      <c r="AI165" s="3" t="n">
        <v>28140.0</v>
      </c>
      <c r="AJ165" s="3" t="n">
        <v>27380.0</v>
      </c>
      <c r="AK165" s="3" t="n">
        <v>26678.0</v>
      </c>
      <c r="AL165" s="3" t="n">
        <v>26545.0</v>
      </c>
      <c r="AM165" s="3" t="n">
        <v>27412.0</v>
      </c>
      <c r="AN165" s="3" t="n">
        <v>28274.0</v>
      </c>
      <c r="AO165" s="3" t="n">
        <v>29802.0</v>
      </c>
    </row>
    <row r="166" spans="1:41" x14ac:dyDescent="0.2">
      <c r="A166" s="125"/>
      <c r="B166" s="9">
        <v>55</v>
      </c>
      <c r="C166" s="3" t="n">
        <v>29023.0</v>
      </c>
      <c r="D166" s="3" t="n">
        <v>29427.0</v>
      </c>
      <c r="E166" s="3" t="n">
        <v>30469.0</v>
      </c>
      <c r="F166" s="3" t="n">
        <v>32181.0</v>
      </c>
      <c r="G166" s="3" t="n">
        <v>33340.0</v>
      </c>
      <c r="H166" s="3" t="n">
        <v>35416.0</v>
      </c>
      <c r="I166" s="3" t="n">
        <v>37310.0</v>
      </c>
      <c r="J166" s="3" t="n">
        <v>39231.0</v>
      </c>
      <c r="K166" s="3" t="n">
        <v>41111.0</v>
      </c>
      <c r="L166" s="3" t="n">
        <v>42745.0</v>
      </c>
      <c r="M166" s="3" t="n">
        <v>42705.0</v>
      </c>
      <c r="N166" s="3" t="n">
        <v>43255.0</v>
      </c>
      <c r="O166" s="3" t="n">
        <v>44346.0</v>
      </c>
      <c r="P166" s="3" t="n">
        <v>44577.0</v>
      </c>
      <c r="Q166" s="3" t="n">
        <v>43301.0</v>
      </c>
      <c r="R166" s="3" t="n">
        <v>45787.0</v>
      </c>
      <c r="S166" s="3" t="n">
        <v>47128.0</v>
      </c>
      <c r="T166" s="3" t="n">
        <v>46159.0</v>
      </c>
      <c r="U166" s="3" t="n">
        <v>45301.0</v>
      </c>
      <c r="V166" s="3" t="n">
        <v>43271.0</v>
      </c>
      <c r="W166" s="3" t="n">
        <v>41295.0</v>
      </c>
      <c r="X166" s="3" t="n">
        <v>40763.0</v>
      </c>
      <c r="Y166" s="3" t="n">
        <v>39858.0</v>
      </c>
      <c r="Z166" s="3" t="n">
        <v>39643.0</v>
      </c>
      <c r="AA166" s="3" t="n">
        <v>39192.0</v>
      </c>
      <c r="AB166" s="3" t="n">
        <v>37151.0</v>
      </c>
      <c r="AC166" s="3" t="n">
        <v>35952.0</v>
      </c>
      <c r="AD166" s="3" t="n">
        <v>34659.0</v>
      </c>
      <c r="AE166" s="3" t="n">
        <v>32634.0</v>
      </c>
      <c r="AF166" s="3" t="n">
        <v>31573.0</v>
      </c>
      <c r="AG166" s="3" t="n">
        <v>30190.0</v>
      </c>
      <c r="AH166" s="3" t="n">
        <v>28996.0</v>
      </c>
      <c r="AI166" s="3" t="n">
        <v>28121.0</v>
      </c>
      <c r="AJ166" s="3" t="n">
        <v>27942.0</v>
      </c>
      <c r="AK166" s="3" t="n">
        <v>27187.0</v>
      </c>
      <c r="AL166" s="3" t="n">
        <v>26491.0</v>
      </c>
      <c r="AM166" s="3" t="n">
        <v>26362.0</v>
      </c>
      <c r="AN166" s="3" t="n">
        <v>27221.0</v>
      </c>
      <c r="AO166" s="3" t="n">
        <v>28075.0</v>
      </c>
    </row>
    <row r="167" spans="1:41" x14ac:dyDescent="0.2">
      <c r="A167" s="125"/>
      <c r="B167" s="9">
        <v>56</v>
      </c>
      <c r="C167" s="3" t="n">
        <v>28417.0</v>
      </c>
      <c r="D167" s="3" t="n">
        <v>28715.0</v>
      </c>
      <c r="E167" s="3" t="n">
        <v>29119.0</v>
      </c>
      <c r="F167" s="3" t="n">
        <v>30155.0</v>
      </c>
      <c r="G167" s="3" t="n">
        <v>31842.0</v>
      </c>
      <c r="H167" s="3" t="n">
        <v>33006.0</v>
      </c>
      <c r="I167" s="3" t="n">
        <v>35069.0</v>
      </c>
      <c r="J167" s="3" t="n">
        <v>36936.0</v>
      </c>
      <c r="K167" s="3" t="n">
        <v>38824.0</v>
      </c>
      <c r="L167" s="3" t="n">
        <v>40688.0</v>
      </c>
      <c r="M167" s="3" t="n">
        <v>42302.0</v>
      </c>
      <c r="N167" s="3" t="n">
        <v>42266.0</v>
      </c>
      <c r="O167" s="3" t="n">
        <v>42818.0</v>
      </c>
      <c r="P167" s="3" t="n">
        <v>43906.0</v>
      </c>
      <c r="Q167" s="3" t="n">
        <v>44139.0</v>
      </c>
      <c r="R167" s="3" t="n">
        <v>42880.0</v>
      </c>
      <c r="S167" s="3" t="n">
        <v>45343.0</v>
      </c>
      <c r="T167" s="3" t="n">
        <v>46675.0</v>
      </c>
      <c r="U167" s="3" t="n">
        <v>45719.0</v>
      </c>
      <c r="V167" s="3" t="n">
        <v>44873.0</v>
      </c>
      <c r="W167" s="3" t="n">
        <v>42863.0</v>
      </c>
      <c r="X167" s="3" t="n">
        <v>40912.0</v>
      </c>
      <c r="Y167" s="3" t="n">
        <v>40392.0</v>
      </c>
      <c r="Z167" s="3" t="n">
        <v>39503.0</v>
      </c>
      <c r="AA167" s="3" t="n">
        <v>39289.0</v>
      </c>
      <c r="AB167" s="3" t="n">
        <v>38844.0</v>
      </c>
      <c r="AC167" s="3" t="n">
        <v>36826.0</v>
      </c>
      <c r="AD167" s="3" t="n">
        <v>35645.0</v>
      </c>
      <c r="AE167" s="3" t="n">
        <v>34362.0</v>
      </c>
      <c r="AF167" s="3" t="n">
        <v>32357.0</v>
      </c>
      <c r="AG167" s="3" t="n">
        <v>31309.0</v>
      </c>
      <c r="AH167" s="3" t="n">
        <v>29934.0</v>
      </c>
      <c r="AI167" s="3" t="n">
        <v>28756.0</v>
      </c>
      <c r="AJ167" s="3" t="n">
        <v>27892.0</v>
      </c>
      <c r="AK167" s="3" t="n">
        <v>27717.0</v>
      </c>
      <c r="AL167" s="3" t="n">
        <v>26963.0</v>
      </c>
      <c r="AM167" s="3" t="n">
        <v>26274.0</v>
      </c>
      <c r="AN167" s="3" t="n">
        <v>26147.0</v>
      </c>
      <c r="AO167" s="3" t="n">
        <v>27009.0</v>
      </c>
    </row>
    <row r="168" spans="1:41" x14ac:dyDescent="0.2">
      <c r="A168" s="125"/>
      <c r="B168" s="9">
        <v>57</v>
      </c>
      <c r="C168" s="3" t="n">
        <v>28020.0</v>
      </c>
      <c r="D168" s="3" t="n">
        <v>28122.0</v>
      </c>
      <c r="E168" s="3" t="n">
        <v>28421.0</v>
      </c>
      <c r="F168" s="3" t="n">
        <v>28823.0</v>
      </c>
      <c r="G168" s="3" t="n">
        <v>29846.0</v>
      </c>
      <c r="H168" s="3" t="n">
        <v>31520.0</v>
      </c>
      <c r="I168" s="3" t="n">
        <v>32677.0</v>
      </c>
      <c r="J168" s="3" t="n">
        <v>34712.0</v>
      </c>
      <c r="K168" s="3" t="n">
        <v>36547.0</v>
      </c>
      <c r="L168" s="3" t="n">
        <v>38423.0</v>
      </c>
      <c r="M168" s="3" t="n">
        <v>40263.0</v>
      </c>
      <c r="N168" s="3" t="n">
        <v>41866.0</v>
      </c>
      <c r="O168" s="3" t="n">
        <v>41833.0</v>
      </c>
      <c r="P168" s="3" t="n">
        <v>42388.0</v>
      </c>
      <c r="Q168" s="3" t="n">
        <v>43461.0</v>
      </c>
      <c r="R168" s="3" t="n">
        <v>43700.0</v>
      </c>
      <c r="S168" s="3" t="n">
        <v>42461.0</v>
      </c>
      <c r="T168" s="3" t="n">
        <v>44900.0</v>
      </c>
      <c r="U168" s="3" t="n">
        <v>46228.0</v>
      </c>
      <c r="V168" s="3" t="n">
        <v>45282.0</v>
      </c>
      <c r="W168" s="3" t="n">
        <v>44449.0</v>
      </c>
      <c r="X168" s="3" t="n">
        <v>42462.0</v>
      </c>
      <c r="Y168" s="3" t="n">
        <v>40526.0</v>
      </c>
      <c r="Z168" s="3" t="n">
        <v>40015.0</v>
      </c>
      <c r="AA168" s="3" t="n">
        <v>39137.0</v>
      </c>
      <c r="AB168" s="3" t="n">
        <v>38933.0</v>
      </c>
      <c r="AC168" s="3" t="n">
        <v>38491.0</v>
      </c>
      <c r="AD168" s="3" t="n">
        <v>36501.0</v>
      </c>
      <c r="AE168" s="3" t="n">
        <v>35331.0</v>
      </c>
      <c r="AF168" s="3" t="n">
        <v>34065.0</v>
      </c>
      <c r="AG168" s="3" t="n">
        <v>32080.0</v>
      </c>
      <c r="AH168" s="3" t="n">
        <v>31050.0</v>
      </c>
      <c r="AI168" s="3" t="n">
        <v>29682.0</v>
      </c>
      <c r="AJ168" s="3" t="n">
        <v>28519.0</v>
      </c>
      <c r="AK168" s="3" t="n">
        <v>27667.0</v>
      </c>
      <c r="AL168" s="3" t="n">
        <v>27500.0</v>
      </c>
      <c r="AM168" s="3" t="n">
        <v>26755.0</v>
      </c>
      <c r="AN168" s="3" t="n">
        <v>26073.0</v>
      </c>
      <c r="AO168" s="3" t="n">
        <v>25949.0</v>
      </c>
    </row>
    <row r="169" spans="1:41" x14ac:dyDescent="0.2">
      <c r="A169" s="125"/>
      <c r="B169" s="9">
        <v>58</v>
      </c>
      <c r="C169" s="3" t="n">
        <v>28188.0</v>
      </c>
      <c r="D169" s="3" t="n">
        <v>27681.0</v>
      </c>
      <c r="E169" s="3" t="n">
        <v>27785.0</v>
      </c>
      <c r="F169" s="3" t="n">
        <v>28086.0</v>
      </c>
      <c r="G169" s="3" t="n">
        <v>28482.0</v>
      </c>
      <c r="H169" s="3" t="n">
        <v>29514.0</v>
      </c>
      <c r="I169" s="3" t="n">
        <v>31178.0</v>
      </c>
      <c r="J169" s="3" t="n">
        <v>32309.0</v>
      </c>
      <c r="K169" s="3" t="n">
        <v>34321.0</v>
      </c>
      <c r="L169" s="3" t="n">
        <v>36132.0</v>
      </c>
      <c r="M169" s="3" t="n">
        <v>37985.0</v>
      </c>
      <c r="N169" s="3" t="n">
        <v>39809.0</v>
      </c>
      <c r="O169" s="3" t="n">
        <v>41391.0</v>
      </c>
      <c r="P169" s="3" t="n">
        <v>41364.0</v>
      </c>
      <c r="Q169" s="3" t="n">
        <v>41919.0</v>
      </c>
      <c r="R169" s="3" t="n">
        <v>42981.0</v>
      </c>
      <c r="S169" s="3" t="n">
        <v>43223.0</v>
      </c>
      <c r="T169" s="3" t="n">
        <v>42007.0</v>
      </c>
      <c r="U169" s="3" t="n">
        <v>44423.0</v>
      </c>
      <c r="V169" s="3" t="n">
        <v>45740.0</v>
      </c>
      <c r="W169" s="3" t="n">
        <v>44809.0</v>
      </c>
      <c r="X169" s="3" t="n">
        <v>43996.0</v>
      </c>
      <c r="Y169" s="3" t="n">
        <v>42038.0</v>
      </c>
      <c r="Z169" s="3" t="n">
        <v>40120.0</v>
      </c>
      <c r="AA169" s="3" t="n">
        <v>39613.0</v>
      </c>
      <c r="AB169" s="3" t="n">
        <v>38743.0</v>
      </c>
      <c r="AC169" s="3" t="n">
        <v>38543.0</v>
      </c>
      <c r="AD169" s="3" t="n">
        <v>38112.0</v>
      </c>
      <c r="AE169" s="3" t="n">
        <v>36148.0</v>
      </c>
      <c r="AF169" s="3" t="n">
        <v>34992.0</v>
      </c>
      <c r="AG169" s="3" t="n">
        <v>33732.0</v>
      </c>
      <c r="AH169" s="3" t="n">
        <v>31767.0</v>
      </c>
      <c r="AI169" s="3" t="n">
        <v>30763.0</v>
      </c>
      <c r="AJ169" s="3" t="n">
        <v>29409.0</v>
      </c>
      <c r="AK169" s="3" t="n">
        <v>28257.0</v>
      </c>
      <c r="AL169" s="3" t="n">
        <v>27415.0</v>
      </c>
      <c r="AM169" s="3" t="n">
        <v>27249.0</v>
      </c>
      <c r="AN169" s="3" t="n">
        <v>26511.0</v>
      </c>
      <c r="AO169" s="3" t="n">
        <v>25833.0</v>
      </c>
    </row>
    <row r="170" spans="1:41" x14ac:dyDescent="0.2">
      <c r="A170" s="125"/>
      <c r="B170" s="9">
        <v>59</v>
      </c>
      <c r="C170" s="3" t="n">
        <v>28335.0</v>
      </c>
      <c r="D170" s="3" t="n">
        <v>27805.0</v>
      </c>
      <c r="E170" s="3" t="n">
        <v>27312.0</v>
      </c>
      <c r="F170" s="3" t="n">
        <v>27424.0</v>
      </c>
      <c r="G170" s="3" t="n">
        <v>27721.0</v>
      </c>
      <c r="H170" s="3" t="n">
        <v>28128.0</v>
      </c>
      <c r="I170" s="3" t="n">
        <v>29154.0</v>
      </c>
      <c r="J170" s="3" t="n">
        <v>30786.0</v>
      </c>
      <c r="K170" s="3" t="n">
        <v>31894.0</v>
      </c>
      <c r="L170" s="3" t="n">
        <v>33884.0</v>
      </c>
      <c r="M170" s="3" t="n">
        <v>35671.0</v>
      </c>
      <c r="N170" s="3" t="n">
        <v>37498.0</v>
      </c>
      <c r="O170" s="3" t="n">
        <v>39302.0</v>
      </c>
      <c r="P170" s="3" t="n">
        <v>40864.0</v>
      </c>
      <c r="Q170" s="3" t="n">
        <v>40849.0</v>
      </c>
      <c r="R170" s="3" t="n">
        <v>41400.0</v>
      </c>
      <c r="S170" s="3" t="n">
        <v>42460.0</v>
      </c>
      <c r="T170" s="3" t="n">
        <v>42698.0</v>
      </c>
      <c r="U170" s="3" t="n">
        <v>41504.0</v>
      </c>
      <c r="V170" s="3" t="n">
        <v>43893.0</v>
      </c>
      <c r="W170" s="3" t="n">
        <v>45197.0</v>
      </c>
      <c r="X170" s="3" t="n">
        <v>44285.0</v>
      </c>
      <c r="Y170" s="3" t="n">
        <v>43486.0</v>
      </c>
      <c r="Z170" s="3" t="n">
        <v>41546.0</v>
      </c>
      <c r="AA170" s="3" t="n">
        <v>39659.0</v>
      </c>
      <c r="AB170" s="3" t="n">
        <v>39161.0</v>
      </c>
      <c r="AC170" s="3" t="n">
        <v>38306.0</v>
      </c>
      <c r="AD170" s="3" t="n">
        <v>38123.0</v>
      </c>
      <c r="AE170" s="3" t="n">
        <v>37695.0</v>
      </c>
      <c r="AF170" s="3" t="n">
        <v>35754.0</v>
      </c>
      <c r="AG170" s="3" t="n">
        <v>34614.0</v>
      </c>
      <c r="AH170" s="3" t="n">
        <v>33374.0</v>
      </c>
      <c r="AI170" s="3" t="n">
        <v>31430.0</v>
      </c>
      <c r="AJ170" s="3" t="n">
        <v>30445.0</v>
      </c>
      <c r="AK170" s="3" t="n">
        <v>29102.0</v>
      </c>
      <c r="AL170" s="3" t="n">
        <v>27962.0</v>
      </c>
      <c r="AM170" s="3" t="n">
        <v>27137.0</v>
      </c>
      <c r="AN170" s="3" t="n">
        <v>26974.0</v>
      </c>
      <c r="AO170" s="3" t="n">
        <v>26252.0</v>
      </c>
    </row>
    <row r="171" spans="1:41" x14ac:dyDescent="0.2">
      <c r="A171" s="125"/>
      <c r="B171" s="9">
        <v>60</v>
      </c>
      <c r="C171" s="3" t="n">
        <v>27755.0</v>
      </c>
      <c r="D171" s="3" t="n">
        <v>27910.0</v>
      </c>
      <c r="E171" s="3" t="n">
        <v>27391.0</v>
      </c>
      <c r="F171" s="3" t="n">
        <v>26911.0</v>
      </c>
      <c r="G171" s="3" t="n">
        <v>27026.0</v>
      </c>
      <c r="H171" s="3" t="n">
        <v>27344.0</v>
      </c>
      <c r="I171" s="3" t="n">
        <v>27760.0</v>
      </c>
      <c r="J171" s="3" t="n">
        <v>28750.0</v>
      </c>
      <c r="K171" s="3" t="n">
        <v>30355.0</v>
      </c>
      <c r="L171" s="3" t="n">
        <v>31452.0</v>
      </c>
      <c r="M171" s="3" t="n">
        <v>33412.0</v>
      </c>
      <c r="N171" s="3" t="n">
        <v>35174.0</v>
      </c>
      <c r="O171" s="3" t="n">
        <v>36976.0</v>
      </c>
      <c r="P171" s="3" t="n">
        <v>38763.0</v>
      </c>
      <c r="Q171" s="3" t="n">
        <v>40314.0</v>
      </c>
      <c r="R171" s="3" t="n">
        <v>40298.0</v>
      </c>
      <c r="S171" s="3" t="n">
        <v>40851.0</v>
      </c>
      <c r="T171" s="3" t="n">
        <v>41899.0</v>
      </c>
      <c r="U171" s="3" t="n">
        <v>42138.0</v>
      </c>
      <c r="V171" s="3" t="n">
        <v>40965.0</v>
      </c>
      <c r="W171" s="3" t="n">
        <v>43326.0</v>
      </c>
      <c r="X171" s="3" t="n">
        <v>44622.0</v>
      </c>
      <c r="Y171" s="3" t="n">
        <v>43732.0</v>
      </c>
      <c r="Z171" s="3" t="n">
        <v>42942.0</v>
      </c>
      <c r="AA171" s="3" t="n">
        <v>41035.0</v>
      </c>
      <c r="AB171" s="3" t="n">
        <v>39170.0</v>
      </c>
      <c r="AC171" s="3" t="n">
        <v>38678.0</v>
      </c>
      <c r="AD171" s="3" t="n">
        <v>37840.0</v>
      </c>
      <c r="AE171" s="3" t="n">
        <v>37666.0</v>
      </c>
      <c r="AF171" s="3" t="n">
        <v>37253.0</v>
      </c>
      <c r="AG171" s="3" t="n">
        <v>35334.0</v>
      </c>
      <c r="AH171" s="3" t="n">
        <v>34208.0</v>
      </c>
      <c r="AI171" s="3" t="n">
        <v>32981.0</v>
      </c>
      <c r="AJ171" s="3" t="n">
        <v>31064.0</v>
      </c>
      <c r="AK171" s="3" t="n">
        <v>30097.0</v>
      </c>
      <c r="AL171" s="3" t="n">
        <v>28769.0</v>
      </c>
      <c r="AM171" s="3" t="n">
        <v>27648.0</v>
      </c>
      <c r="AN171" s="3" t="n">
        <v>26835.0</v>
      </c>
      <c r="AO171" s="3" t="n">
        <v>26678.0</v>
      </c>
    </row>
    <row r="172" spans="1:41" x14ac:dyDescent="0.2">
      <c r="A172" s="125"/>
      <c r="B172" s="9">
        <v>61</v>
      </c>
      <c r="C172" s="3" t="n">
        <v>27970.0</v>
      </c>
      <c r="D172" s="3" t="n">
        <v>27307.0</v>
      </c>
      <c r="E172" s="3" t="n">
        <v>27467.0</v>
      </c>
      <c r="F172" s="3" t="n">
        <v>26964.0</v>
      </c>
      <c r="G172" s="3" t="n">
        <v>26494.0</v>
      </c>
      <c r="H172" s="3" t="n">
        <v>26644.0</v>
      </c>
      <c r="I172" s="3" t="n">
        <v>26979.0</v>
      </c>
      <c r="J172" s="3" t="n">
        <v>27354.0</v>
      </c>
      <c r="K172" s="3" t="n">
        <v>28321.0</v>
      </c>
      <c r="L172" s="3" t="n">
        <v>29902.0</v>
      </c>
      <c r="M172" s="3" t="n">
        <v>30975.0</v>
      </c>
      <c r="N172" s="3" t="n">
        <v>32903.0</v>
      </c>
      <c r="O172" s="3" t="n">
        <v>34651.0</v>
      </c>
      <c r="P172" s="3" t="n">
        <v>36427.0</v>
      </c>
      <c r="Q172" s="3" t="n">
        <v>38188.0</v>
      </c>
      <c r="R172" s="3" t="n">
        <v>39732.0</v>
      </c>
      <c r="S172" s="3" t="n">
        <v>39717.0</v>
      </c>
      <c r="T172" s="3" t="n">
        <v>40263.0</v>
      </c>
      <c r="U172" s="3" t="n">
        <v>41307.0</v>
      </c>
      <c r="V172" s="3" t="n">
        <v>41548.0</v>
      </c>
      <c r="W172" s="3" t="n">
        <v>40397.0</v>
      </c>
      <c r="X172" s="3" t="n">
        <v>42740.0</v>
      </c>
      <c r="Y172" s="3" t="n">
        <v>44017.0</v>
      </c>
      <c r="Z172" s="3" t="n">
        <v>43143.0</v>
      </c>
      <c r="AA172" s="3" t="n">
        <v>42368.0</v>
      </c>
      <c r="AB172" s="3" t="n">
        <v>40488.0</v>
      </c>
      <c r="AC172" s="3" t="n">
        <v>38648.0</v>
      </c>
      <c r="AD172" s="3" t="n">
        <v>38174.0</v>
      </c>
      <c r="AE172" s="3" t="n">
        <v>37347.0</v>
      </c>
      <c r="AF172" s="3" t="n">
        <v>37187.0</v>
      </c>
      <c r="AG172" s="3" t="n">
        <v>36779.0</v>
      </c>
      <c r="AH172" s="3" t="n">
        <v>34891.0</v>
      </c>
      <c r="AI172" s="3" t="n">
        <v>33785.0</v>
      </c>
      <c r="AJ172" s="3" t="n">
        <v>32573.0</v>
      </c>
      <c r="AK172" s="3" t="n">
        <v>30685.0</v>
      </c>
      <c r="AL172" s="3" t="n">
        <v>29737.0</v>
      </c>
      <c r="AM172" s="3" t="n">
        <v>28425.0</v>
      </c>
      <c r="AN172" s="3" t="n">
        <v>27322.0</v>
      </c>
      <c r="AO172" s="3" t="n">
        <v>26523.0</v>
      </c>
    </row>
    <row r="173" spans="1:41" x14ac:dyDescent="0.2">
      <c r="A173" s="125"/>
      <c r="B173" s="9">
        <v>62</v>
      </c>
      <c r="C173" s="3" t="n">
        <v>29731.0</v>
      </c>
      <c r="D173" s="3" t="n">
        <v>27479.0</v>
      </c>
      <c r="E173" s="3" t="n">
        <v>26841.0</v>
      </c>
      <c r="F173" s="3" t="n">
        <v>27006.0</v>
      </c>
      <c r="G173" s="3" t="n">
        <v>26514.0</v>
      </c>
      <c r="H173" s="3" t="n">
        <v>26086.0</v>
      </c>
      <c r="I173" s="3" t="n">
        <v>26245.0</v>
      </c>
      <c r="J173" s="3" t="n">
        <v>26556.0</v>
      </c>
      <c r="K173" s="3" t="n">
        <v>26912.0</v>
      </c>
      <c r="L173" s="3" t="n">
        <v>27864.0</v>
      </c>
      <c r="M173" s="3" t="n">
        <v>29419.0</v>
      </c>
      <c r="N173" s="3" t="n">
        <v>30473.0</v>
      </c>
      <c r="O173" s="3" t="n">
        <v>32381.0</v>
      </c>
      <c r="P173" s="3" t="n">
        <v>34106.0</v>
      </c>
      <c r="Q173" s="3" t="n">
        <v>35857.0</v>
      </c>
      <c r="R173" s="3" t="n">
        <v>37594.0</v>
      </c>
      <c r="S173" s="3" t="n">
        <v>39118.0</v>
      </c>
      <c r="T173" s="3" t="n">
        <v>39110.0</v>
      </c>
      <c r="U173" s="3" t="n">
        <v>39652.0</v>
      </c>
      <c r="V173" s="3" t="n">
        <v>40683.0</v>
      </c>
      <c r="W173" s="3" t="n">
        <v>40932.0</v>
      </c>
      <c r="X173" s="3" t="n">
        <v>39802.0</v>
      </c>
      <c r="Y173" s="3" t="n">
        <v>42121.0</v>
      </c>
      <c r="Z173" s="3" t="n">
        <v>43385.0</v>
      </c>
      <c r="AA173" s="3" t="n">
        <v>42526.0</v>
      </c>
      <c r="AB173" s="3" t="n">
        <v>41762.0</v>
      </c>
      <c r="AC173" s="3" t="n">
        <v>39910.0</v>
      </c>
      <c r="AD173" s="3" t="n">
        <v>38105.0</v>
      </c>
      <c r="AE173" s="3" t="n">
        <v>37643.0</v>
      </c>
      <c r="AF173" s="3" t="n">
        <v>36832.0</v>
      </c>
      <c r="AG173" s="3" t="n">
        <v>36679.0</v>
      </c>
      <c r="AH173" s="3" t="n">
        <v>36280.0</v>
      </c>
      <c r="AI173" s="3" t="n">
        <v>34419.0</v>
      </c>
      <c r="AJ173" s="3" t="n">
        <v>33329.0</v>
      </c>
      <c r="AK173" s="3" t="n">
        <v>32142.0</v>
      </c>
      <c r="AL173" s="3" t="n">
        <v>30279.0</v>
      </c>
      <c r="AM173" s="3" t="n">
        <v>29349.0</v>
      </c>
      <c r="AN173" s="3" t="n">
        <v>28058.0</v>
      </c>
      <c r="AO173" s="3" t="n">
        <v>26980.0</v>
      </c>
    </row>
    <row r="174" spans="1:41" x14ac:dyDescent="0.2">
      <c r="A174" s="125"/>
      <c r="B174" s="9">
        <v>63</v>
      </c>
      <c r="C174" s="3" t="n">
        <v>30987.0</v>
      </c>
      <c r="D174" s="3" t="n">
        <v>29159.0</v>
      </c>
      <c r="E174" s="3" t="n">
        <v>26965.0</v>
      </c>
      <c r="F174" s="3" t="n">
        <v>26349.0</v>
      </c>
      <c r="G174" s="3" t="n">
        <v>26508.0</v>
      </c>
      <c r="H174" s="3" t="n">
        <v>26056.0</v>
      </c>
      <c r="I174" s="3" t="n">
        <v>25650.0</v>
      </c>
      <c r="J174" s="3" t="n">
        <v>25784.0</v>
      </c>
      <c r="K174" s="3" t="n">
        <v>26090.0</v>
      </c>
      <c r="L174" s="3" t="n">
        <v>26437.0</v>
      </c>
      <c r="M174" s="3" t="n">
        <v>27372.0</v>
      </c>
      <c r="N174" s="3" t="n">
        <v>28898.0</v>
      </c>
      <c r="O174" s="3" t="n">
        <v>29949.0</v>
      </c>
      <c r="P174" s="3" t="n">
        <v>31823.0</v>
      </c>
      <c r="Q174" s="3" t="n">
        <v>33523.0</v>
      </c>
      <c r="R174" s="3" t="n">
        <v>35253.0</v>
      </c>
      <c r="S174" s="3" t="n">
        <v>36958.0</v>
      </c>
      <c r="T174" s="3" t="n">
        <v>38457.0</v>
      </c>
      <c r="U174" s="3" t="n">
        <v>38456.0</v>
      </c>
      <c r="V174" s="3" t="n">
        <v>38998.0</v>
      </c>
      <c r="W174" s="3" t="n">
        <v>40017.0</v>
      </c>
      <c r="X174" s="3" t="n">
        <v>40280.0</v>
      </c>
      <c r="Y174" s="3" t="n">
        <v>39169.0</v>
      </c>
      <c r="Z174" s="3" t="n">
        <v>41452.0</v>
      </c>
      <c r="AA174" s="3" t="n">
        <v>42703.0</v>
      </c>
      <c r="AB174" s="3" t="n">
        <v>41861.0</v>
      </c>
      <c r="AC174" s="3" t="n">
        <v>41114.0</v>
      </c>
      <c r="AD174" s="3" t="n">
        <v>39301.0</v>
      </c>
      <c r="AE174" s="3" t="n">
        <v>37534.0</v>
      </c>
      <c r="AF174" s="3" t="n">
        <v>37085.0</v>
      </c>
      <c r="AG174" s="3" t="n">
        <v>36285.0</v>
      </c>
      <c r="AH174" s="3" t="n">
        <v>36136.0</v>
      </c>
      <c r="AI174" s="3" t="n">
        <v>35750.0</v>
      </c>
      <c r="AJ174" s="3" t="n">
        <v>33921.0</v>
      </c>
      <c r="AK174" s="3" t="n">
        <v>32851.0</v>
      </c>
      <c r="AL174" s="3" t="n">
        <v>31679.0</v>
      </c>
      <c r="AM174" s="3" t="n">
        <v>29846.0</v>
      </c>
      <c r="AN174" s="3" t="n">
        <v>28935.0</v>
      </c>
      <c r="AO174" s="3" t="n">
        <v>27673.0</v>
      </c>
    </row>
    <row r="175" spans="1:41" x14ac:dyDescent="0.2">
      <c r="A175" s="125"/>
      <c r="B175" s="9">
        <v>64</v>
      </c>
      <c r="C175" s="3" t="n">
        <v>31747.0</v>
      </c>
      <c r="D175" s="3" t="n">
        <v>30335.0</v>
      </c>
      <c r="E175" s="3" t="n">
        <v>28561.0</v>
      </c>
      <c r="F175" s="3" t="n">
        <v>26418.0</v>
      </c>
      <c r="G175" s="3" t="n">
        <v>25815.0</v>
      </c>
      <c r="H175" s="3" t="n">
        <v>26009.0</v>
      </c>
      <c r="I175" s="3" t="n">
        <v>25586.0</v>
      </c>
      <c r="J175" s="3" t="n">
        <v>25169.0</v>
      </c>
      <c r="K175" s="3" t="n">
        <v>25293.0</v>
      </c>
      <c r="L175" s="3" t="n">
        <v>25593.0</v>
      </c>
      <c r="M175" s="3" t="n">
        <v>25935.0</v>
      </c>
      <c r="N175" s="3" t="n">
        <v>26848.0</v>
      </c>
      <c r="O175" s="3" t="n">
        <v>28349.0</v>
      </c>
      <c r="P175" s="3" t="n">
        <v>29382.0</v>
      </c>
      <c r="Q175" s="3" t="n">
        <v>31227.0</v>
      </c>
      <c r="R175" s="3" t="n">
        <v>32907.0</v>
      </c>
      <c r="S175" s="3" t="n">
        <v>34610.0</v>
      </c>
      <c r="T175" s="3" t="n">
        <v>36285.0</v>
      </c>
      <c r="U175" s="3" t="n">
        <v>37762.0</v>
      </c>
      <c r="V175" s="3" t="n">
        <v>37765.0</v>
      </c>
      <c r="W175" s="3" t="n">
        <v>38302.0</v>
      </c>
      <c r="X175" s="3" t="n">
        <v>39316.0</v>
      </c>
      <c r="Y175" s="3" t="n">
        <v>39579.0</v>
      </c>
      <c r="Z175" s="3" t="n">
        <v>38499.0</v>
      </c>
      <c r="AA175" s="3" t="n">
        <v>40739.0</v>
      </c>
      <c r="AB175" s="3" t="n">
        <v>41973.0</v>
      </c>
      <c r="AC175" s="3" t="n">
        <v>41153.0</v>
      </c>
      <c r="AD175" s="3" t="n">
        <v>40426.0</v>
      </c>
      <c r="AE175" s="3" t="n">
        <v>38654.0</v>
      </c>
      <c r="AF175" s="3" t="n">
        <v>36922.0</v>
      </c>
      <c r="AG175" s="3" t="n">
        <v>36488.0</v>
      </c>
      <c r="AH175" s="3" t="n">
        <v>35707.0</v>
      </c>
      <c r="AI175" s="3" t="n">
        <v>35564.0</v>
      </c>
      <c r="AJ175" s="3" t="n">
        <v>35187.0</v>
      </c>
      <c r="AK175" s="3" t="n">
        <v>33387.0</v>
      </c>
      <c r="AL175" s="3" t="n">
        <v>32335.0</v>
      </c>
      <c r="AM175" s="3" t="n">
        <v>31186.0</v>
      </c>
      <c r="AN175" s="3" t="n">
        <v>29386.0</v>
      </c>
      <c r="AO175" s="3" t="n">
        <v>28499.0</v>
      </c>
    </row>
    <row r="176" spans="1:41" x14ac:dyDescent="0.2">
      <c r="A176" s="125"/>
      <c r="B176" s="9">
        <v>65</v>
      </c>
      <c r="C176" s="3" t="n">
        <v>32264.0</v>
      </c>
      <c r="D176" s="3" t="n">
        <v>31021.0</v>
      </c>
      <c r="E176" s="3" t="n">
        <v>29649.0</v>
      </c>
      <c r="F176" s="3" t="n">
        <v>27928.0</v>
      </c>
      <c r="G176" s="3" t="n">
        <v>25839.0</v>
      </c>
      <c r="H176" s="3" t="n">
        <v>25280.0</v>
      </c>
      <c r="I176" s="3" t="n">
        <v>25486.0</v>
      </c>
      <c r="J176" s="3" t="n">
        <v>25060.0</v>
      </c>
      <c r="K176" s="3" t="n">
        <v>24650.0</v>
      </c>
      <c r="L176" s="3" t="n">
        <v>24770.0</v>
      </c>
      <c r="M176" s="3" t="n">
        <v>25069.0</v>
      </c>
      <c r="N176" s="3" t="n">
        <v>25406.0</v>
      </c>
      <c r="O176" s="3" t="n">
        <v>26301.0</v>
      </c>
      <c r="P176" s="3" t="n">
        <v>27775.0</v>
      </c>
      <c r="Q176" s="3" t="n">
        <v>28788.0</v>
      </c>
      <c r="R176" s="3" t="n">
        <v>30610.0</v>
      </c>
      <c r="S176" s="3" t="n">
        <v>32261.0</v>
      </c>
      <c r="T176" s="3" t="n">
        <v>33926.0</v>
      </c>
      <c r="U176" s="3" t="n">
        <v>35574.0</v>
      </c>
      <c r="V176" s="3" t="n">
        <v>37032.0</v>
      </c>
      <c r="W176" s="3" t="n">
        <v>37035.0</v>
      </c>
      <c r="X176" s="3" t="n">
        <v>37579.0</v>
      </c>
      <c r="Y176" s="3" t="n">
        <v>38577.0</v>
      </c>
      <c r="Z176" s="3" t="n">
        <v>38834.0</v>
      </c>
      <c r="AA176" s="3" t="n">
        <v>37786.0</v>
      </c>
      <c r="AB176" s="3" t="n">
        <v>39992.0</v>
      </c>
      <c r="AC176" s="3" t="n">
        <v>41202.0</v>
      </c>
      <c r="AD176" s="3" t="n">
        <v>40409.0</v>
      </c>
      <c r="AE176" s="3" t="n">
        <v>39704.0</v>
      </c>
      <c r="AF176" s="3" t="n">
        <v>37966.0</v>
      </c>
      <c r="AG176" s="3" t="n">
        <v>36276.0</v>
      </c>
      <c r="AH176" s="3" t="n">
        <v>35848.0</v>
      </c>
      <c r="AI176" s="3" t="n">
        <v>35095.0</v>
      </c>
      <c r="AJ176" s="3" t="n">
        <v>34956.0</v>
      </c>
      <c r="AK176" s="3" t="n">
        <v>34592.0</v>
      </c>
      <c r="AL176" s="3" t="n">
        <v>32827.0</v>
      </c>
      <c r="AM176" s="3" t="n">
        <v>31798.0</v>
      </c>
      <c r="AN176" s="3" t="n">
        <v>30668.0</v>
      </c>
      <c r="AO176" s="3" t="n">
        <v>28898.0</v>
      </c>
    </row>
    <row r="177" spans="1:41" x14ac:dyDescent="0.2">
      <c r="A177" s="125"/>
      <c r="B177" s="9">
        <v>66</v>
      </c>
      <c r="C177" s="3" t="n">
        <v>31389.0</v>
      </c>
      <c r="D177" s="3" t="n">
        <v>31469.0</v>
      </c>
      <c r="E177" s="3" t="n">
        <v>30266.0</v>
      </c>
      <c r="F177" s="3" t="n">
        <v>28940.0</v>
      </c>
      <c r="G177" s="3" t="n">
        <v>27272.0</v>
      </c>
      <c r="H177" s="3" t="n">
        <v>25262.0</v>
      </c>
      <c r="I177" s="3" t="n">
        <v>24727.0</v>
      </c>
      <c r="J177" s="3" t="n">
        <v>24921.0</v>
      </c>
      <c r="K177" s="3" t="n">
        <v>24511.0</v>
      </c>
      <c r="L177" s="3" t="n">
        <v>24108.0</v>
      </c>
      <c r="M177" s="3" t="n">
        <v>24224.0</v>
      </c>
      <c r="N177" s="3" t="n">
        <v>24520.0</v>
      </c>
      <c r="O177" s="3" t="n">
        <v>24857.0</v>
      </c>
      <c r="P177" s="3" t="n">
        <v>25734.0</v>
      </c>
      <c r="Q177" s="3" t="n">
        <v>27181.0</v>
      </c>
      <c r="R177" s="3" t="n">
        <v>28174.0</v>
      </c>
      <c r="S177" s="3" t="n">
        <v>29967.0</v>
      </c>
      <c r="T177" s="3" t="n">
        <v>31578.0</v>
      </c>
      <c r="U177" s="3" t="n">
        <v>33218.0</v>
      </c>
      <c r="V177" s="3" t="n">
        <v>34835.0</v>
      </c>
      <c r="W177" s="3" t="n">
        <v>36271.0</v>
      </c>
      <c r="X177" s="3" t="n">
        <v>36283.0</v>
      </c>
      <c r="Y177" s="3" t="n">
        <v>36827.0</v>
      </c>
      <c r="Z177" s="3" t="n">
        <v>37805.0</v>
      </c>
      <c r="AA177" s="3" t="n">
        <v>38071.0</v>
      </c>
      <c r="AB177" s="3" t="n">
        <v>37042.0</v>
      </c>
      <c r="AC177" s="3" t="n">
        <v>39216.0</v>
      </c>
      <c r="AD177" s="3" t="n">
        <v>40414.0</v>
      </c>
      <c r="AE177" s="3" t="n">
        <v>39643.0</v>
      </c>
      <c r="AF177" s="3" t="n">
        <v>38948.0</v>
      </c>
      <c r="AG177" s="3" t="n">
        <v>37253.0</v>
      </c>
      <c r="AH177" s="3" t="n">
        <v>35607.0</v>
      </c>
      <c r="AI177" s="3" t="n">
        <v>35190.0</v>
      </c>
      <c r="AJ177" s="3" t="n">
        <v>34452.0</v>
      </c>
      <c r="AK177" s="3" t="n">
        <v>34315.0</v>
      </c>
      <c r="AL177" s="3" t="n">
        <v>33965.0</v>
      </c>
      <c r="AM177" s="3" t="n">
        <v>32240.0</v>
      </c>
      <c r="AN177" s="3" t="n">
        <v>31238.0</v>
      </c>
      <c r="AO177" s="3" t="n">
        <v>30141.0</v>
      </c>
    </row>
    <row r="178" spans="1:41" x14ac:dyDescent="0.2">
      <c r="A178" s="125"/>
      <c r="B178" s="9">
        <v>67</v>
      </c>
      <c r="C178" s="3" t="n">
        <v>31450.0</v>
      </c>
      <c r="D178" s="3" t="n">
        <v>30566.0</v>
      </c>
      <c r="E178" s="3" t="n">
        <v>30655.0</v>
      </c>
      <c r="F178" s="3" t="n">
        <v>29503.0</v>
      </c>
      <c r="G178" s="3" t="n">
        <v>28219.0</v>
      </c>
      <c r="H178" s="3" t="n">
        <v>26609.0</v>
      </c>
      <c r="I178" s="3" t="n">
        <v>24674.0</v>
      </c>
      <c r="J178" s="3" t="n">
        <v>24141.0</v>
      </c>
      <c r="K178" s="3" t="n">
        <v>24333.0</v>
      </c>
      <c r="L178" s="3" t="n">
        <v>23935.0</v>
      </c>
      <c r="M178" s="3" t="n">
        <v>23550.0</v>
      </c>
      <c r="N178" s="3" t="n">
        <v>23660.0</v>
      </c>
      <c r="O178" s="3" t="n">
        <v>23963.0</v>
      </c>
      <c r="P178" s="3" t="n">
        <v>24296.0</v>
      </c>
      <c r="Q178" s="3" t="n">
        <v>25149.0</v>
      </c>
      <c r="R178" s="3" t="n">
        <v>26570.0</v>
      </c>
      <c r="S178" s="3" t="n">
        <v>27546.0</v>
      </c>
      <c r="T178" s="3" t="n">
        <v>29304.0</v>
      </c>
      <c r="U178" s="3" t="n">
        <v>30881.0</v>
      </c>
      <c r="V178" s="3" t="n">
        <v>32490.0</v>
      </c>
      <c r="W178" s="3" t="n">
        <v>34078.0</v>
      </c>
      <c r="X178" s="3" t="n">
        <v>35495.0</v>
      </c>
      <c r="Y178" s="3" t="n">
        <v>35512.0</v>
      </c>
      <c r="Z178" s="3" t="n">
        <v>36050.0</v>
      </c>
      <c r="AA178" s="3" t="n">
        <v>37015.0</v>
      </c>
      <c r="AB178" s="3" t="n">
        <v>37283.0</v>
      </c>
      <c r="AC178" s="3" t="n">
        <v>36280.0</v>
      </c>
      <c r="AD178" s="3" t="n">
        <v>38428.0</v>
      </c>
      <c r="AE178" s="3" t="n">
        <v>39604.0</v>
      </c>
      <c r="AF178" s="3" t="n">
        <v>38854.0</v>
      </c>
      <c r="AG178" s="3" t="n">
        <v>38174.0</v>
      </c>
      <c r="AH178" s="3" t="n">
        <v>36516.0</v>
      </c>
      <c r="AI178" s="3" t="n">
        <v>34912.0</v>
      </c>
      <c r="AJ178" s="3" t="n">
        <v>34510.0</v>
      </c>
      <c r="AK178" s="3" t="n">
        <v>33799.0</v>
      </c>
      <c r="AL178" s="3" t="n">
        <v>33669.0</v>
      </c>
      <c r="AM178" s="3" t="n">
        <v>33324.0</v>
      </c>
      <c r="AN178" s="3" t="n">
        <v>31632.0</v>
      </c>
      <c r="AO178" s="3" t="n">
        <v>30666.0</v>
      </c>
    </row>
    <row r="179" spans="1:41" x14ac:dyDescent="0.2">
      <c r="A179" s="125"/>
      <c r="B179" s="9">
        <v>68</v>
      </c>
      <c r="C179" s="3" t="n">
        <v>29673.0</v>
      </c>
      <c r="D179" s="3" t="n">
        <v>30562.0</v>
      </c>
      <c r="E179" s="3" t="n">
        <v>29723.0</v>
      </c>
      <c r="F179" s="3" t="n">
        <v>29824.0</v>
      </c>
      <c r="G179" s="3" t="n">
        <v>28713.0</v>
      </c>
      <c r="H179" s="3" t="n">
        <v>27484.0</v>
      </c>
      <c r="I179" s="3" t="n">
        <v>25938.0</v>
      </c>
      <c r="J179" s="3" t="n">
        <v>24053.0</v>
      </c>
      <c r="K179" s="3" t="n">
        <v>23542.0</v>
      </c>
      <c r="L179" s="3" t="n">
        <v>23722.0</v>
      </c>
      <c r="M179" s="3" t="n">
        <v>23336.0</v>
      </c>
      <c r="N179" s="3" t="n">
        <v>22962.0</v>
      </c>
      <c r="O179" s="3" t="n">
        <v>23082.0</v>
      </c>
      <c r="P179" s="3" t="n">
        <v>23378.0</v>
      </c>
      <c r="Q179" s="3" t="n">
        <v>23708.0</v>
      </c>
      <c r="R179" s="3" t="n">
        <v>24551.0</v>
      </c>
      <c r="S179" s="3" t="n">
        <v>25936.0</v>
      </c>
      <c r="T179" s="3" t="n">
        <v>26895.0</v>
      </c>
      <c r="U179" s="3" t="n">
        <v>28617.0</v>
      </c>
      <c r="V179" s="3" t="n">
        <v>30161.0</v>
      </c>
      <c r="W179" s="3" t="n">
        <v>31734.0</v>
      </c>
      <c r="X179" s="3" t="n">
        <v>33295.0</v>
      </c>
      <c r="Y179" s="3" t="n">
        <v>34688.0</v>
      </c>
      <c r="Z179" s="3" t="n">
        <v>34710.0</v>
      </c>
      <c r="AA179" s="3" t="n">
        <v>35242.0</v>
      </c>
      <c r="AB179" s="3" t="n">
        <v>36188.0</v>
      </c>
      <c r="AC179" s="3" t="n">
        <v>36454.0</v>
      </c>
      <c r="AD179" s="3" t="n">
        <v>35493.0</v>
      </c>
      <c r="AE179" s="3" t="n">
        <v>37602.0</v>
      </c>
      <c r="AF179" s="3" t="n">
        <v>38763.0</v>
      </c>
      <c r="AG179" s="3" t="n">
        <v>38038.0</v>
      </c>
      <c r="AH179" s="3" t="n">
        <v>37370.0</v>
      </c>
      <c r="AI179" s="3" t="n">
        <v>35754.0</v>
      </c>
      <c r="AJ179" s="3" t="n">
        <v>34191.0</v>
      </c>
      <c r="AK179" s="3" t="n">
        <v>33801.0</v>
      </c>
      <c r="AL179" s="3" t="n">
        <v>33114.0</v>
      </c>
      <c r="AM179" s="3" t="n">
        <v>32994.0</v>
      </c>
      <c r="AN179" s="3" t="n">
        <v>32654.0</v>
      </c>
      <c r="AO179" s="3" t="n">
        <v>31009.0</v>
      </c>
    </row>
    <row r="180" spans="1:41" x14ac:dyDescent="0.2">
      <c r="A180" s="125"/>
      <c r="B180" s="9">
        <v>69</v>
      </c>
      <c r="C180" s="3" t="n">
        <v>28519.0</v>
      </c>
      <c r="D180" s="3" t="n">
        <v>28762.0</v>
      </c>
      <c r="E180" s="3" t="n">
        <v>29644.0</v>
      </c>
      <c r="F180" s="3" t="n">
        <v>28848.0</v>
      </c>
      <c r="G180" s="3" t="n">
        <v>28960.0</v>
      </c>
      <c r="H180" s="3" t="n">
        <v>27902.0</v>
      </c>
      <c r="I180" s="3" t="n">
        <v>26730.0</v>
      </c>
      <c r="J180" s="3" t="n">
        <v>25225.0</v>
      </c>
      <c r="K180" s="3" t="n">
        <v>23404.0</v>
      </c>
      <c r="L180" s="3" t="n">
        <v>22907.0</v>
      </c>
      <c r="M180" s="3" t="n">
        <v>23090.0</v>
      </c>
      <c r="N180" s="3" t="n">
        <v>22719.0</v>
      </c>
      <c r="O180" s="3" t="n">
        <v>22366.0</v>
      </c>
      <c r="P180" s="3" t="n">
        <v>22480.0</v>
      </c>
      <c r="Q180" s="3" t="n">
        <v>22772.0</v>
      </c>
      <c r="R180" s="3" t="n">
        <v>23109.0</v>
      </c>
      <c r="S180" s="3" t="n">
        <v>23935.0</v>
      </c>
      <c r="T180" s="3" t="n">
        <v>25285.0</v>
      </c>
      <c r="U180" s="3" t="n">
        <v>26227.0</v>
      </c>
      <c r="V180" s="3" t="n">
        <v>27898.0</v>
      </c>
      <c r="W180" s="3" t="n">
        <v>29405.0</v>
      </c>
      <c r="X180" s="3" t="n">
        <v>30949.0</v>
      </c>
      <c r="Y180" s="3" t="n">
        <v>32479.0</v>
      </c>
      <c r="Z180" s="3" t="n">
        <v>33844.0</v>
      </c>
      <c r="AA180" s="3" t="n">
        <v>33870.0</v>
      </c>
      <c r="AB180" s="3" t="n">
        <v>34394.0</v>
      </c>
      <c r="AC180" s="3" t="n">
        <v>35326.0</v>
      </c>
      <c r="AD180" s="3" t="n">
        <v>35603.0</v>
      </c>
      <c r="AE180" s="3" t="n">
        <v>34671.0</v>
      </c>
      <c r="AF180" s="3" t="n">
        <v>36744.0</v>
      </c>
      <c r="AG180" s="3" t="n">
        <v>37882.0</v>
      </c>
      <c r="AH180" s="3" t="n">
        <v>37176.0</v>
      </c>
      <c r="AI180" s="3" t="n">
        <v>36531.0</v>
      </c>
      <c r="AJ180" s="3" t="n">
        <v>34957.0</v>
      </c>
      <c r="AK180" s="3" t="n">
        <v>33437.0</v>
      </c>
      <c r="AL180" s="3" t="n">
        <v>33061.0</v>
      </c>
      <c r="AM180" s="3" t="n">
        <v>32390.0</v>
      </c>
      <c r="AN180" s="3" t="n">
        <v>32280.0</v>
      </c>
      <c r="AO180" s="3" t="n">
        <v>31957.0</v>
      </c>
    </row>
    <row r="181" spans="1:41" x14ac:dyDescent="0.2">
      <c r="A181" s="125"/>
      <c r="B181" s="9">
        <v>70</v>
      </c>
      <c r="C181" s="3" t="n">
        <v>26844.0</v>
      </c>
      <c r="D181" s="3" t="n">
        <v>27615.0</v>
      </c>
      <c r="E181" s="3" t="n">
        <v>27860.0</v>
      </c>
      <c r="F181" s="3" t="n">
        <v>28723.0</v>
      </c>
      <c r="G181" s="3" t="n">
        <v>27966.0</v>
      </c>
      <c r="H181" s="3" t="n">
        <v>28105.0</v>
      </c>
      <c r="I181" s="3" t="n">
        <v>27098.0</v>
      </c>
      <c r="J181" s="3" t="n">
        <v>25958.0</v>
      </c>
      <c r="K181" s="3" t="n">
        <v>24505.0</v>
      </c>
      <c r="L181" s="3" t="n">
        <v>22732.0</v>
      </c>
      <c r="M181" s="3" t="n">
        <v>22261.0</v>
      </c>
      <c r="N181" s="3" t="n">
        <v>22440.0</v>
      </c>
      <c r="O181" s="3" t="n">
        <v>22094.0</v>
      </c>
      <c r="P181" s="3" t="n">
        <v>21755.0</v>
      </c>
      <c r="Q181" s="3" t="n">
        <v>21868.0</v>
      </c>
      <c r="R181" s="3" t="n">
        <v>22166.0</v>
      </c>
      <c r="S181" s="3" t="n">
        <v>22492.0</v>
      </c>
      <c r="T181" s="3" t="n">
        <v>23300.0</v>
      </c>
      <c r="U181" s="3" t="n">
        <v>24615.0</v>
      </c>
      <c r="V181" s="3" t="n">
        <v>25539.0</v>
      </c>
      <c r="W181" s="3" t="n">
        <v>27168.0</v>
      </c>
      <c r="X181" s="3" t="n">
        <v>28650.0</v>
      </c>
      <c r="Y181" s="3" t="n">
        <v>30160.0</v>
      </c>
      <c r="Z181" s="3" t="n">
        <v>31651.0</v>
      </c>
      <c r="AA181" s="3" t="n">
        <v>32989.0</v>
      </c>
      <c r="AB181" s="3" t="n">
        <v>33022.0</v>
      </c>
      <c r="AC181" s="3" t="n">
        <v>33542.0</v>
      </c>
      <c r="AD181" s="3" t="n">
        <v>34468.0</v>
      </c>
      <c r="AE181" s="3" t="n">
        <v>34742.0</v>
      </c>
      <c r="AF181" s="3" t="n">
        <v>33839.0</v>
      </c>
      <c r="AG181" s="3" t="n">
        <v>35869.0</v>
      </c>
      <c r="AH181" s="3" t="n">
        <v>36987.0</v>
      </c>
      <c r="AI181" s="3" t="n">
        <v>36305.0</v>
      </c>
      <c r="AJ181" s="3" t="n">
        <v>35678.0</v>
      </c>
      <c r="AK181" s="3" t="n">
        <v>34142.0</v>
      </c>
      <c r="AL181" s="3" t="n">
        <v>32661.0</v>
      </c>
      <c r="AM181" s="3" t="n">
        <v>32304.0</v>
      </c>
      <c r="AN181" s="3" t="n">
        <v>31658.0</v>
      </c>
      <c r="AO181" s="3" t="n">
        <v>31563.0</v>
      </c>
    </row>
    <row r="182" spans="1:41" x14ac:dyDescent="0.2">
      <c r="A182" s="125"/>
      <c r="B182" s="9">
        <v>71</v>
      </c>
      <c r="C182" s="3" t="n">
        <v>25198.0</v>
      </c>
      <c r="D182" s="3" t="n">
        <v>25933.0</v>
      </c>
      <c r="E182" s="3" t="n">
        <v>26688.0</v>
      </c>
      <c r="F182" s="3" t="n">
        <v>26945.0</v>
      </c>
      <c r="G182" s="3" t="n">
        <v>27785.0</v>
      </c>
      <c r="H182" s="3" t="n">
        <v>27074.0</v>
      </c>
      <c r="I182" s="3" t="n">
        <v>27225.0</v>
      </c>
      <c r="J182" s="3" t="n">
        <v>26256.0</v>
      </c>
      <c r="K182" s="3" t="n">
        <v>25162.0</v>
      </c>
      <c r="L182" s="3" t="n">
        <v>23764.0</v>
      </c>
      <c r="M182" s="3" t="n">
        <v>22052.0</v>
      </c>
      <c r="N182" s="3" t="n">
        <v>21600.0</v>
      </c>
      <c r="O182" s="3" t="n">
        <v>21780.0</v>
      </c>
      <c r="P182" s="3" t="n">
        <v>21448.0</v>
      </c>
      <c r="Q182" s="3" t="n">
        <v>21123.0</v>
      </c>
      <c r="R182" s="3" t="n">
        <v>21249.0</v>
      </c>
      <c r="S182" s="3" t="n">
        <v>21543.0</v>
      </c>
      <c r="T182" s="3" t="n">
        <v>21864.0</v>
      </c>
      <c r="U182" s="3" t="n">
        <v>22651.0</v>
      </c>
      <c r="V182" s="3" t="n">
        <v>23931.0</v>
      </c>
      <c r="W182" s="3" t="n">
        <v>24839.0</v>
      </c>
      <c r="X182" s="3" t="n">
        <v>26424.0</v>
      </c>
      <c r="Y182" s="3" t="n">
        <v>27875.0</v>
      </c>
      <c r="Z182" s="3" t="n">
        <v>29346.0</v>
      </c>
      <c r="AA182" s="3" t="n">
        <v>30810.0</v>
      </c>
      <c r="AB182" s="3" t="n">
        <v>32118.0</v>
      </c>
      <c r="AC182" s="3" t="n">
        <v>32155.0</v>
      </c>
      <c r="AD182" s="3" t="n">
        <v>32672.0</v>
      </c>
      <c r="AE182" s="3" t="n">
        <v>33587.0</v>
      </c>
      <c r="AF182" s="3" t="n">
        <v>33860.0</v>
      </c>
      <c r="AG182" s="3" t="n">
        <v>32987.0</v>
      </c>
      <c r="AH182" s="3" t="n">
        <v>34973.0</v>
      </c>
      <c r="AI182" s="3" t="n">
        <v>36069.0</v>
      </c>
      <c r="AJ182" s="3" t="n">
        <v>35409.0</v>
      </c>
      <c r="AK182" s="3" t="n">
        <v>34807.0</v>
      </c>
      <c r="AL182" s="3" t="n">
        <v>33316.0</v>
      </c>
      <c r="AM182" s="3" t="n">
        <v>31875.0</v>
      </c>
      <c r="AN182" s="3" t="n">
        <v>31527.0</v>
      </c>
      <c r="AO182" s="3" t="n">
        <v>30907.0</v>
      </c>
    </row>
    <row r="183" spans="1:41" x14ac:dyDescent="0.2">
      <c r="A183" s="125"/>
      <c r="B183" s="9">
        <v>72</v>
      </c>
      <c r="C183" s="3" t="n">
        <v>23133.0</v>
      </c>
      <c r="D183" s="3" t="n">
        <v>24289.0</v>
      </c>
      <c r="E183" s="3" t="n">
        <v>25020.0</v>
      </c>
      <c r="F183" s="3" t="n">
        <v>25764.0</v>
      </c>
      <c r="G183" s="3" t="n">
        <v>26011.0</v>
      </c>
      <c r="H183" s="3" t="n">
        <v>26841.0</v>
      </c>
      <c r="I183" s="3" t="n">
        <v>26176.0</v>
      </c>
      <c r="J183" s="3" t="n">
        <v>26324.0</v>
      </c>
      <c r="K183" s="3" t="n">
        <v>25409.0</v>
      </c>
      <c r="L183" s="3" t="n">
        <v>24353.0</v>
      </c>
      <c r="M183" s="3" t="n">
        <v>23003.0</v>
      </c>
      <c r="N183" s="3" t="n">
        <v>21355.0</v>
      </c>
      <c r="O183" s="3" t="n">
        <v>20930.0</v>
      </c>
      <c r="P183" s="3" t="n">
        <v>21104.0</v>
      </c>
      <c r="Q183" s="3" t="n">
        <v>20788.0</v>
      </c>
      <c r="R183" s="3" t="n">
        <v>20482.0</v>
      </c>
      <c r="S183" s="3" t="n">
        <v>20605.0</v>
      </c>
      <c r="T183" s="3" t="n">
        <v>20900.0</v>
      </c>
      <c r="U183" s="3" t="n">
        <v>21207.0</v>
      </c>
      <c r="V183" s="3" t="n">
        <v>21974.0</v>
      </c>
      <c r="W183" s="3" t="n">
        <v>23227.0</v>
      </c>
      <c r="X183" s="3" t="n">
        <v>24118.0</v>
      </c>
      <c r="Y183" s="3" t="n">
        <v>25657.0</v>
      </c>
      <c r="Z183" s="3" t="n">
        <v>27078.0</v>
      </c>
      <c r="AA183" s="3" t="n">
        <v>28510.0</v>
      </c>
      <c r="AB183" s="3" t="n">
        <v>29945.0</v>
      </c>
      <c r="AC183" s="3" t="n">
        <v>31220.0</v>
      </c>
      <c r="AD183" s="3" t="n">
        <v>31269.0</v>
      </c>
      <c r="AE183" s="3" t="n">
        <v>31777.0</v>
      </c>
      <c r="AF183" s="3" t="n">
        <v>32672.0</v>
      </c>
      <c r="AG183" s="3" t="n">
        <v>32952.0</v>
      </c>
      <c r="AH183" s="3" t="n">
        <v>32113.0</v>
      </c>
      <c r="AI183" s="3" t="n">
        <v>34056.0</v>
      </c>
      <c r="AJ183" s="3" t="n">
        <v>35132.0</v>
      </c>
      <c r="AK183" s="3" t="n">
        <v>34493.0</v>
      </c>
      <c r="AL183" s="3" t="n">
        <v>33913.0</v>
      </c>
      <c r="AM183" s="3" t="n">
        <v>32463.0</v>
      </c>
      <c r="AN183" s="3" t="n">
        <v>31064.0</v>
      </c>
      <c r="AO183" s="3" t="n">
        <v>30731.0</v>
      </c>
    </row>
    <row r="184" spans="1:41" x14ac:dyDescent="0.2">
      <c r="A184" s="125"/>
      <c r="B184" s="9">
        <v>73</v>
      </c>
      <c r="C184" s="3" t="n">
        <v>21004.0</v>
      </c>
      <c r="D184" s="3" t="n">
        <v>22243.0</v>
      </c>
      <c r="E184" s="3" t="n">
        <v>23365.0</v>
      </c>
      <c r="F184" s="3" t="n">
        <v>24080.0</v>
      </c>
      <c r="G184" s="3" t="n">
        <v>24804.0</v>
      </c>
      <c r="H184" s="3" t="n">
        <v>25059.0</v>
      </c>
      <c r="I184" s="3" t="n">
        <v>25876.0</v>
      </c>
      <c r="J184" s="3" t="n">
        <v>25237.0</v>
      </c>
      <c r="K184" s="3" t="n">
        <v>25404.0</v>
      </c>
      <c r="L184" s="3" t="n">
        <v>24527.0</v>
      </c>
      <c r="M184" s="3" t="n">
        <v>23515.0</v>
      </c>
      <c r="N184" s="3" t="n">
        <v>22216.0</v>
      </c>
      <c r="O184" s="3" t="n">
        <v>20641.0</v>
      </c>
      <c r="P184" s="3" t="n">
        <v>20236.0</v>
      </c>
      <c r="Q184" s="3" t="n">
        <v>20413.0</v>
      </c>
      <c r="R184" s="3" t="n">
        <v>20117.0</v>
      </c>
      <c r="S184" s="3" t="n">
        <v>19821.0</v>
      </c>
      <c r="T184" s="3" t="n">
        <v>19943.0</v>
      </c>
      <c r="U184" s="3" t="n">
        <v>20232.0</v>
      </c>
      <c r="V184" s="3" t="n">
        <v>20538.0</v>
      </c>
      <c r="W184" s="3" t="n">
        <v>21281.0</v>
      </c>
      <c r="X184" s="3" t="n">
        <v>22506.0</v>
      </c>
      <c r="Y184" s="3" t="n">
        <v>23368.0</v>
      </c>
      <c r="Z184" s="3" t="n">
        <v>24869.0</v>
      </c>
      <c r="AA184" s="3" t="n">
        <v>26253.0</v>
      </c>
      <c r="AB184" s="3" t="n">
        <v>27648.0</v>
      </c>
      <c r="AC184" s="3" t="n">
        <v>29043.0</v>
      </c>
      <c r="AD184" s="3" t="n">
        <v>30293.0</v>
      </c>
      <c r="AE184" s="3" t="n">
        <v>30351.0</v>
      </c>
      <c r="AF184" s="3" t="n">
        <v>30850.0</v>
      </c>
      <c r="AG184" s="3" t="n">
        <v>31733.0</v>
      </c>
      <c r="AH184" s="3" t="n">
        <v>32009.0</v>
      </c>
      <c r="AI184" s="3" t="n">
        <v>31195.0</v>
      </c>
      <c r="AJ184" s="3" t="n">
        <v>33093.0</v>
      </c>
      <c r="AK184" s="3" t="n">
        <v>34146.0</v>
      </c>
      <c r="AL184" s="3" t="n">
        <v>33535.0</v>
      </c>
      <c r="AM184" s="3" t="n">
        <v>32974.0</v>
      </c>
      <c r="AN184" s="3" t="n">
        <v>31573.0</v>
      </c>
      <c r="AO184" s="3" t="n">
        <v>30231.0</v>
      </c>
    </row>
    <row r="185" spans="1:41" x14ac:dyDescent="0.2">
      <c r="A185" s="125"/>
      <c r="B185" s="9">
        <v>74</v>
      </c>
      <c r="C185" s="3" t="n">
        <v>19745.0</v>
      </c>
      <c r="D185" s="3" t="n">
        <v>20151.0</v>
      </c>
      <c r="E185" s="3" t="n">
        <v>21359.0</v>
      </c>
      <c r="F185" s="3" t="n">
        <v>22440.0</v>
      </c>
      <c r="G185" s="3" t="n">
        <v>23134.0</v>
      </c>
      <c r="H185" s="3" t="n">
        <v>23848.0</v>
      </c>
      <c r="I185" s="3" t="n">
        <v>24111.0</v>
      </c>
      <c r="J185" s="3" t="n">
        <v>24894.0</v>
      </c>
      <c r="K185" s="3" t="n">
        <v>24300.0</v>
      </c>
      <c r="L185" s="3" t="n">
        <v>24463.0</v>
      </c>
      <c r="M185" s="3" t="n">
        <v>23629.0</v>
      </c>
      <c r="N185" s="3" t="n">
        <v>22667.0</v>
      </c>
      <c r="O185" s="3" t="n">
        <v>21427.0</v>
      </c>
      <c r="P185" s="3" t="n">
        <v>19919.0</v>
      </c>
      <c r="Q185" s="3" t="n">
        <v>19532.0</v>
      </c>
      <c r="R185" s="3" t="n">
        <v>19711.0</v>
      </c>
      <c r="S185" s="3" t="n">
        <v>19431.0</v>
      </c>
      <c r="T185" s="3" t="n">
        <v>19152.0</v>
      </c>
      <c r="U185" s="3" t="n">
        <v>19276.0</v>
      </c>
      <c r="V185" s="3" t="n">
        <v>19555.0</v>
      </c>
      <c r="W185" s="3" t="n">
        <v>19860.0</v>
      </c>
      <c r="X185" s="3" t="n">
        <v>20589.0</v>
      </c>
      <c r="Y185" s="3" t="n">
        <v>21771.0</v>
      </c>
      <c r="Z185" s="3" t="n">
        <v>22607.0</v>
      </c>
      <c r="AA185" s="3" t="n">
        <v>24073.0</v>
      </c>
      <c r="AB185" s="3" t="n">
        <v>25414.0</v>
      </c>
      <c r="AC185" s="3" t="n">
        <v>26770.0</v>
      </c>
      <c r="AD185" s="3" t="n">
        <v>28129.0</v>
      </c>
      <c r="AE185" s="3" t="n">
        <v>29352.0</v>
      </c>
      <c r="AF185" s="3" t="n">
        <v>29412.0</v>
      </c>
      <c r="AG185" s="3" t="n">
        <v>29905.0</v>
      </c>
      <c r="AH185" s="3" t="n">
        <v>30770.0</v>
      </c>
      <c r="AI185" s="3" t="n">
        <v>31050.0</v>
      </c>
      <c r="AJ185" s="3" t="n">
        <v>30269.0</v>
      </c>
      <c r="AK185" s="3" t="n">
        <v>32111.0</v>
      </c>
      <c r="AL185" s="3" t="n">
        <v>33142.0</v>
      </c>
      <c r="AM185" s="3" t="n">
        <v>32558.0</v>
      </c>
      <c r="AN185" s="3" t="n">
        <v>32022.0</v>
      </c>
      <c r="AO185" s="3" t="n">
        <v>30675.0</v>
      </c>
    </row>
    <row r="186" spans="1:41" x14ac:dyDescent="0.2">
      <c r="A186" s="125"/>
      <c r="B186" s="9">
        <v>75</v>
      </c>
      <c r="C186" s="3" t="n">
        <v>17913.0</v>
      </c>
      <c r="D186" s="3" t="n">
        <v>18873.0</v>
      </c>
      <c r="E186" s="3" t="n">
        <v>19275.0</v>
      </c>
      <c r="F186" s="3" t="n">
        <v>20446.0</v>
      </c>
      <c r="G186" s="3" t="n">
        <v>21490.0</v>
      </c>
      <c r="H186" s="3" t="n">
        <v>22170.0</v>
      </c>
      <c r="I186" s="3" t="n">
        <v>22870.0</v>
      </c>
      <c r="J186" s="3" t="n">
        <v>23127.0</v>
      </c>
      <c r="K186" s="3" t="n">
        <v>23891.0</v>
      </c>
      <c r="L186" s="3" t="n">
        <v>23331.0</v>
      </c>
      <c r="M186" s="3" t="n">
        <v>23496.0</v>
      </c>
      <c r="N186" s="3" t="n">
        <v>22703.0</v>
      </c>
      <c r="O186" s="3" t="n">
        <v>21791.0</v>
      </c>
      <c r="P186" s="3" t="n">
        <v>20612.0</v>
      </c>
      <c r="Q186" s="3" t="n">
        <v>19160.0</v>
      </c>
      <c r="R186" s="3" t="n">
        <v>18804.0</v>
      </c>
      <c r="S186" s="3" t="n">
        <v>18976.0</v>
      </c>
      <c r="T186" s="3" t="n">
        <v>18714.0</v>
      </c>
      <c r="U186" s="3" t="n">
        <v>18453.0</v>
      </c>
      <c r="V186" s="3" t="n">
        <v>18583.0</v>
      </c>
      <c r="W186" s="3" t="n">
        <v>18851.0</v>
      </c>
      <c r="X186" s="3" t="n">
        <v>19161.0</v>
      </c>
      <c r="Y186" s="3" t="n">
        <v>19863.0</v>
      </c>
      <c r="Z186" s="3" t="n">
        <v>21004.0</v>
      </c>
      <c r="AA186" s="3" t="n">
        <v>21817.0</v>
      </c>
      <c r="AB186" s="3" t="n">
        <v>23244.0</v>
      </c>
      <c r="AC186" s="3" t="n">
        <v>24544.0</v>
      </c>
      <c r="AD186" s="3" t="n">
        <v>25866.0</v>
      </c>
      <c r="AE186" s="3" t="n">
        <v>27185.0</v>
      </c>
      <c r="AF186" s="3" t="n">
        <v>28370.0</v>
      </c>
      <c r="AG186" s="3" t="n">
        <v>28440.0</v>
      </c>
      <c r="AH186" s="3" t="n">
        <v>28922.0</v>
      </c>
      <c r="AI186" s="3" t="n">
        <v>29766.0</v>
      </c>
      <c r="AJ186" s="3" t="n">
        <v>30047.0</v>
      </c>
      <c r="AK186" s="3" t="n">
        <v>29304.0</v>
      </c>
      <c r="AL186" s="3" t="n">
        <v>31093.0</v>
      </c>
      <c r="AM186" s="3" t="n">
        <v>32100.0</v>
      </c>
      <c r="AN186" s="3" t="n">
        <v>31543.0</v>
      </c>
      <c r="AO186" s="3" t="n">
        <v>31039.0</v>
      </c>
    </row>
    <row r="187" spans="1:41" x14ac:dyDescent="0.2">
      <c r="A187" s="125"/>
      <c r="B187" s="9">
        <v>76</v>
      </c>
      <c r="C187" s="3" t="n">
        <v>15778.0</v>
      </c>
      <c r="D187" s="3" t="n">
        <v>17067.0</v>
      </c>
      <c r="E187" s="3" t="n">
        <v>17992.0</v>
      </c>
      <c r="F187" s="3" t="n">
        <v>18396.0</v>
      </c>
      <c r="G187" s="3" t="n">
        <v>19515.0</v>
      </c>
      <c r="H187" s="3" t="n">
        <v>20524.0</v>
      </c>
      <c r="I187" s="3" t="n">
        <v>21198.0</v>
      </c>
      <c r="J187" s="3" t="n">
        <v>21866.0</v>
      </c>
      <c r="K187" s="3" t="n">
        <v>22129.0</v>
      </c>
      <c r="L187" s="3" t="n">
        <v>22868.0</v>
      </c>
      <c r="M187" s="3" t="n">
        <v>22343.0</v>
      </c>
      <c r="N187" s="3" t="n">
        <v>22512.0</v>
      </c>
      <c r="O187" s="3" t="n">
        <v>21774.0</v>
      </c>
      <c r="P187" s="3" t="n">
        <v>20902.0</v>
      </c>
      <c r="Q187" s="3" t="n">
        <v>19775.0</v>
      </c>
      <c r="R187" s="3" t="n">
        <v>18392.0</v>
      </c>
      <c r="S187" s="3" t="n">
        <v>18055.0</v>
      </c>
      <c r="T187" s="3" t="n">
        <v>18221.0</v>
      </c>
      <c r="U187" s="3" t="n">
        <v>17981.0</v>
      </c>
      <c r="V187" s="3" t="n">
        <v>17734.0</v>
      </c>
      <c r="W187" s="3" t="n">
        <v>17871.0</v>
      </c>
      <c r="X187" s="3" t="n">
        <v>18136.0</v>
      </c>
      <c r="Y187" s="3" t="n">
        <v>18439.0</v>
      </c>
      <c r="Z187" s="3" t="n">
        <v>19114.0</v>
      </c>
      <c r="AA187" s="3" t="n">
        <v>20222.0</v>
      </c>
      <c r="AB187" s="3" t="n">
        <v>21006.0</v>
      </c>
      <c r="AC187" s="3" t="n">
        <v>22388.0</v>
      </c>
      <c r="AD187" s="3" t="n">
        <v>23657.0</v>
      </c>
      <c r="AE187" s="3" t="n">
        <v>24936.0</v>
      </c>
      <c r="AF187" s="3" t="n">
        <v>26222.0</v>
      </c>
      <c r="AG187" s="3" t="n">
        <v>27359.0</v>
      </c>
      <c r="AH187" s="3" t="n">
        <v>27436.0</v>
      </c>
      <c r="AI187" s="3" t="n">
        <v>27915.0</v>
      </c>
      <c r="AJ187" s="3" t="n">
        <v>28734.0</v>
      </c>
      <c r="AK187" s="3" t="n">
        <v>29018.0</v>
      </c>
      <c r="AL187" s="3" t="n">
        <v>28311.0</v>
      </c>
      <c r="AM187" s="3" t="n">
        <v>30038.0</v>
      </c>
      <c r="AN187" s="3" t="n">
        <v>31024.0</v>
      </c>
      <c r="AO187" s="3" t="n">
        <v>30505.0</v>
      </c>
    </row>
    <row r="188" spans="1:41" x14ac:dyDescent="0.2">
      <c r="A188" s="125"/>
      <c r="B188" s="9">
        <v>77</v>
      </c>
      <c r="C188" s="3" t="n">
        <v>11369.0</v>
      </c>
      <c r="D188" s="3" t="n">
        <v>14952.0</v>
      </c>
      <c r="E188" s="3" t="n">
        <v>16198.0</v>
      </c>
      <c r="F188" s="3" t="n">
        <v>17087.0</v>
      </c>
      <c r="G188" s="3" t="n">
        <v>17488.0</v>
      </c>
      <c r="H188" s="3" t="n">
        <v>18560.0</v>
      </c>
      <c r="I188" s="3" t="n">
        <v>19534.0</v>
      </c>
      <c r="J188" s="3" t="n">
        <v>20182.0</v>
      </c>
      <c r="K188" s="3" t="n">
        <v>20831.0</v>
      </c>
      <c r="L188" s="3" t="n">
        <v>21092.0</v>
      </c>
      <c r="M188" s="3" t="n">
        <v>21804.0</v>
      </c>
      <c r="N188" s="3" t="n">
        <v>21317.0</v>
      </c>
      <c r="O188" s="3" t="n">
        <v>21496.0</v>
      </c>
      <c r="P188" s="3" t="n">
        <v>20801.0</v>
      </c>
      <c r="Q188" s="3" t="n">
        <v>19979.0</v>
      </c>
      <c r="R188" s="3" t="n">
        <v>18914.0</v>
      </c>
      <c r="S188" s="3" t="n">
        <v>17593.0</v>
      </c>
      <c r="T188" s="3" t="n">
        <v>17276.0</v>
      </c>
      <c r="U188" s="3" t="n">
        <v>17438.0</v>
      </c>
      <c r="V188" s="3" t="n">
        <v>17214.0</v>
      </c>
      <c r="W188" s="3" t="n">
        <v>16981.0</v>
      </c>
      <c r="X188" s="3" t="n">
        <v>17125.0</v>
      </c>
      <c r="Y188" s="3" t="n">
        <v>17388.0</v>
      </c>
      <c r="Z188" s="3" t="n">
        <v>17686.0</v>
      </c>
      <c r="AA188" s="3" t="n">
        <v>18333.0</v>
      </c>
      <c r="AB188" s="3" t="n">
        <v>19408.0</v>
      </c>
      <c r="AC188" s="3" t="n">
        <v>20165.0</v>
      </c>
      <c r="AD188" s="3" t="n">
        <v>21506.0</v>
      </c>
      <c r="AE188" s="3" t="n">
        <v>22732.0</v>
      </c>
      <c r="AF188" s="3" t="n">
        <v>23966.0</v>
      </c>
      <c r="AG188" s="3" t="n">
        <v>25208.0</v>
      </c>
      <c r="AH188" s="3" t="n">
        <v>26312.0</v>
      </c>
      <c r="AI188" s="3" t="n">
        <v>26384.0</v>
      </c>
      <c r="AJ188" s="3" t="n">
        <v>26857.0</v>
      </c>
      <c r="AK188" s="3" t="n">
        <v>27655.0</v>
      </c>
      <c r="AL188" s="3" t="n">
        <v>27941.0</v>
      </c>
      <c r="AM188" s="3" t="n">
        <v>27263.0</v>
      </c>
      <c r="AN188" s="3" t="n">
        <v>28940.0</v>
      </c>
      <c r="AO188" s="3" t="n">
        <v>29910.0</v>
      </c>
    </row>
    <row r="189" spans="1:41" x14ac:dyDescent="0.2">
      <c r="A189" s="125"/>
      <c r="B189" s="9">
        <v>78</v>
      </c>
      <c r="C189" s="3" t="n">
        <v>10391.0</v>
      </c>
      <c r="D189" s="3" t="n">
        <v>10724.0</v>
      </c>
      <c r="E189" s="3" t="n">
        <v>14119.0</v>
      </c>
      <c r="F189" s="3" t="n">
        <v>15315.0</v>
      </c>
      <c r="G189" s="3" t="n">
        <v>16168.0</v>
      </c>
      <c r="H189" s="3" t="n">
        <v>16558.0</v>
      </c>
      <c r="I189" s="3" t="n">
        <v>17591.0</v>
      </c>
      <c r="J189" s="3" t="n">
        <v>18517.0</v>
      </c>
      <c r="K189" s="3" t="n">
        <v>19148.0</v>
      </c>
      <c r="L189" s="3" t="n">
        <v>19771.0</v>
      </c>
      <c r="M189" s="3" t="n">
        <v>20028.0</v>
      </c>
      <c r="N189" s="3" t="n">
        <v>20711.0</v>
      </c>
      <c r="O189" s="3" t="n">
        <v>20266.0</v>
      </c>
      <c r="P189" s="3" t="n">
        <v>20447.0</v>
      </c>
      <c r="Q189" s="3" t="n">
        <v>19794.0</v>
      </c>
      <c r="R189" s="3" t="n">
        <v>19029.0</v>
      </c>
      <c r="S189" s="3" t="n">
        <v>18020.0</v>
      </c>
      <c r="T189" s="3" t="n">
        <v>16769.0</v>
      </c>
      <c r="U189" s="3" t="n">
        <v>16472.0</v>
      </c>
      <c r="V189" s="3" t="n">
        <v>16633.0</v>
      </c>
      <c r="W189" s="3" t="n">
        <v>16422.0</v>
      </c>
      <c r="X189" s="3" t="n">
        <v>16213.0</v>
      </c>
      <c r="Y189" s="3" t="n">
        <v>16358.0</v>
      </c>
      <c r="Z189" s="3" t="n">
        <v>16608.0</v>
      </c>
      <c r="AA189" s="3" t="n">
        <v>16905.0</v>
      </c>
      <c r="AB189" s="3" t="n">
        <v>17527.0</v>
      </c>
      <c r="AC189" s="3" t="n">
        <v>18565.0</v>
      </c>
      <c r="AD189" s="3" t="n">
        <v>19299.0</v>
      </c>
      <c r="AE189" s="3" t="n">
        <v>20590.0</v>
      </c>
      <c r="AF189" s="3" t="n">
        <v>21763.0</v>
      </c>
      <c r="AG189" s="3" t="n">
        <v>22957.0</v>
      </c>
      <c r="AH189" s="3" t="n">
        <v>24160.0</v>
      </c>
      <c r="AI189" s="3" t="n">
        <v>25225.0</v>
      </c>
      <c r="AJ189" s="3" t="n">
        <v>25294.0</v>
      </c>
      <c r="AK189" s="3" t="n">
        <v>25764.0</v>
      </c>
      <c r="AL189" s="3" t="n">
        <v>26541.0</v>
      </c>
      <c r="AM189" s="3" t="n">
        <v>26817.0</v>
      </c>
      <c r="AN189" s="3" t="n">
        <v>26178.0</v>
      </c>
      <c r="AO189" s="3" t="n">
        <v>27809.0</v>
      </c>
    </row>
    <row r="190" spans="1:41" x14ac:dyDescent="0.2">
      <c r="A190" s="125"/>
      <c r="B190" s="9">
        <v>79</v>
      </c>
      <c r="C190" s="3" t="n">
        <v>9389.0</v>
      </c>
      <c r="D190" s="3" t="n">
        <v>9760.0</v>
      </c>
      <c r="E190" s="3" t="n">
        <v>10083.0</v>
      </c>
      <c r="F190" s="3" t="n">
        <v>13289.0</v>
      </c>
      <c r="G190" s="3" t="n">
        <v>14423.0</v>
      </c>
      <c r="H190" s="3" t="n">
        <v>15244.0</v>
      </c>
      <c r="I190" s="3" t="n">
        <v>15625.0</v>
      </c>
      <c r="J190" s="3" t="n">
        <v>16599.0</v>
      </c>
      <c r="K190" s="3" t="n">
        <v>17490.0</v>
      </c>
      <c r="L190" s="3" t="n">
        <v>18091.0</v>
      </c>
      <c r="M190" s="3" t="n">
        <v>18688.0</v>
      </c>
      <c r="N190" s="3" t="n">
        <v>18937.0</v>
      </c>
      <c r="O190" s="3" t="n">
        <v>19600.0</v>
      </c>
      <c r="P190" s="3" t="n">
        <v>19189.0</v>
      </c>
      <c r="Q190" s="3" t="n">
        <v>19368.0</v>
      </c>
      <c r="R190" s="3" t="n">
        <v>18767.0</v>
      </c>
      <c r="S190" s="3" t="n">
        <v>18054.0</v>
      </c>
      <c r="T190" s="3" t="n">
        <v>17108.0</v>
      </c>
      <c r="U190" s="3" t="n">
        <v>15925.0</v>
      </c>
      <c r="V190" s="3" t="n">
        <v>15649.0</v>
      </c>
      <c r="W190" s="3" t="n">
        <v>15804.0</v>
      </c>
      <c r="X190" s="3" t="n">
        <v>15618.0</v>
      </c>
      <c r="Y190" s="3" t="n">
        <v>15432.0</v>
      </c>
      <c r="Z190" s="3" t="n">
        <v>15570.0</v>
      </c>
      <c r="AA190" s="3" t="n">
        <v>15815.0</v>
      </c>
      <c r="AB190" s="3" t="n">
        <v>16107.0</v>
      </c>
      <c r="AC190" s="3" t="n">
        <v>16699.0</v>
      </c>
      <c r="AD190" s="3" t="n">
        <v>17706.0</v>
      </c>
      <c r="AE190" s="3" t="n">
        <v>18411.0</v>
      </c>
      <c r="AF190" s="3" t="n">
        <v>19649.0</v>
      </c>
      <c r="AG190" s="3" t="n">
        <v>20766.0</v>
      </c>
      <c r="AH190" s="3" t="n">
        <v>21916.0</v>
      </c>
      <c r="AI190" s="3" t="n">
        <v>23070.0</v>
      </c>
      <c r="AJ190" s="3" t="n">
        <v>24098.0</v>
      </c>
      <c r="AK190" s="3" t="n">
        <v>24175.0</v>
      </c>
      <c r="AL190" s="3" t="n">
        <v>24630.0</v>
      </c>
      <c r="AM190" s="3" t="n">
        <v>25388.0</v>
      </c>
      <c r="AN190" s="3" t="n">
        <v>25657.0</v>
      </c>
      <c r="AO190" s="3" t="n">
        <v>25064.0</v>
      </c>
    </row>
    <row r="191" spans="1:41" x14ac:dyDescent="0.2">
      <c r="A191" s="125"/>
      <c r="B191" s="9">
        <v>80</v>
      </c>
      <c r="C191" s="3" t="n">
        <v>8306.0</v>
      </c>
      <c r="D191" s="3" t="n">
        <v>8761.0</v>
      </c>
      <c r="E191" s="3" t="n">
        <v>9117.0</v>
      </c>
      <c r="F191" s="3" t="n">
        <v>9429.0</v>
      </c>
      <c r="G191" s="3" t="n">
        <v>12440.0</v>
      </c>
      <c r="H191" s="3" t="n">
        <v>13511.0</v>
      </c>
      <c r="I191" s="3" t="n">
        <v>14301.0</v>
      </c>
      <c r="J191" s="3" t="n">
        <v>14659.0</v>
      </c>
      <c r="K191" s="3" t="n">
        <v>15588.0</v>
      </c>
      <c r="L191" s="3" t="n">
        <v>16432.0</v>
      </c>
      <c r="M191" s="3" t="n">
        <v>17007.0</v>
      </c>
      <c r="N191" s="3" t="n">
        <v>17573.0</v>
      </c>
      <c r="O191" s="3" t="n">
        <v>17822.0</v>
      </c>
      <c r="P191" s="3" t="n">
        <v>18454.0</v>
      </c>
      <c r="Q191" s="3" t="n">
        <v>18078.0</v>
      </c>
      <c r="R191" s="3" t="n">
        <v>18264.0</v>
      </c>
      <c r="S191" s="3" t="n">
        <v>17708.0</v>
      </c>
      <c r="T191" s="3" t="n">
        <v>17052.0</v>
      </c>
      <c r="U191" s="3" t="n">
        <v>16157.0</v>
      </c>
      <c r="V191" s="3" t="n">
        <v>15055.0</v>
      </c>
      <c r="W191" s="3" t="n">
        <v>14798.0</v>
      </c>
      <c r="X191" s="3" t="n">
        <v>14964.0</v>
      </c>
      <c r="Y191" s="3" t="n">
        <v>14795.0</v>
      </c>
      <c r="Z191" s="3" t="n">
        <v>14619.0</v>
      </c>
      <c r="AA191" s="3" t="n">
        <v>14756.0</v>
      </c>
      <c r="AB191" s="3" t="n">
        <v>14994.0</v>
      </c>
      <c r="AC191" s="3" t="n">
        <v>15280.0</v>
      </c>
      <c r="AD191" s="3" t="n">
        <v>15852.0</v>
      </c>
      <c r="AE191" s="3" t="n">
        <v>16820.0</v>
      </c>
      <c r="AF191" s="3" t="n">
        <v>17487.0</v>
      </c>
      <c r="AG191" s="3" t="n">
        <v>18675.0</v>
      </c>
      <c r="AH191" s="3" t="n">
        <v>19740.0</v>
      </c>
      <c r="AI191" s="3" t="n">
        <v>20833.0</v>
      </c>
      <c r="AJ191" s="3" t="n">
        <v>21947.0</v>
      </c>
      <c r="AK191" s="3" t="n">
        <v>22928.0</v>
      </c>
      <c r="AL191" s="3" t="n">
        <v>23011.0</v>
      </c>
      <c r="AM191" s="3" t="n">
        <v>23456.0</v>
      </c>
      <c r="AN191" s="3" t="n">
        <v>24188.0</v>
      </c>
      <c r="AO191" s="3" t="n">
        <v>24467.0</v>
      </c>
    </row>
    <row r="192" spans="1:41" x14ac:dyDescent="0.2">
      <c r="A192" s="125"/>
      <c r="B192" s="9">
        <v>81</v>
      </c>
      <c r="C192" s="3" t="n">
        <v>8113.0</v>
      </c>
      <c r="D192" s="3" t="n">
        <v>7691.0</v>
      </c>
      <c r="E192" s="3" t="n">
        <v>8122.0</v>
      </c>
      <c r="F192" s="3" t="n">
        <v>8464.0</v>
      </c>
      <c r="G192" s="3" t="n">
        <v>8758.0</v>
      </c>
      <c r="H192" s="3" t="n">
        <v>11567.0</v>
      </c>
      <c r="I192" s="3" t="n">
        <v>12585.0</v>
      </c>
      <c r="J192" s="3" t="n">
        <v>13322.0</v>
      </c>
      <c r="K192" s="3" t="n">
        <v>13669.0</v>
      </c>
      <c r="L192" s="3" t="n">
        <v>14545.0</v>
      </c>
      <c r="M192" s="3" t="n">
        <v>15342.0</v>
      </c>
      <c r="N192" s="3" t="n">
        <v>15884.0</v>
      </c>
      <c r="O192" s="3" t="n">
        <v>16436.0</v>
      </c>
      <c r="P192" s="3" t="n">
        <v>16677.0</v>
      </c>
      <c r="Q192" s="3" t="n">
        <v>17273.0</v>
      </c>
      <c r="R192" s="3" t="n">
        <v>16942.0</v>
      </c>
      <c r="S192" s="3" t="n">
        <v>17126.0</v>
      </c>
      <c r="T192" s="3" t="n">
        <v>16618.0</v>
      </c>
      <c r="U192" s="3" t="n">
        <v>16006.0</v>
      </c>
      <c r="V192" s="3" t="n">
        <v>15178.0</v>
      </c>
      <c r="W192" s="3" t="n">
        <v>14146.0</v>
      </c>
      <c r="X192" s="3" t="n">
        <v>13920.0</v>
      </c>
      <c r="Y192" s="3" t="n">
        <v>14083.0</v>
      </c>
      <c r="Z192" s="3" t="n">
        <v>13926.0</v>
      </c>
      <c r="AA192" s="3" t="n">
        <v>13773.0</v>
      </c>
      <c r="AB192" s="3" t="n">
        <v>13905.0</v>
      </c>
      <c r="AC192" s="3" t="n">
        <v>14137.0</v>
      </c>
      <c r="AD192" s="3" t="n">
        <v>14416.0</v>
      </c>
      <c r="AE192" s="3" t="n">
        <v>14963.0</v>
      </c>
      <c r="AF192" s="3" t="n">
        <v>15886.0</v>
      </c>
      <c r="AG192" s="3" t="n">
        <v>16519.0</v>
      </c>
      <c r="AH192" s="3" t="n">
        <v>17652.0</v>
      </c>
      <c r="AI192" s="3" t="n">
        <v>18663.0</v>
      </c>
      <c r="AJ192" s="3" t="n">
        <v>19701.0</v>
      </c>
      <c r="AK192" s="3" t="n">
        <v>20760.0</v>
      </c>
      <c r="AL192" s="3" t="n">
        <v>21707.0</v>
      </c>
      <c r="AM192" s="3" t="n">
        <v>21795.0</v>
      </c>
      <c r="AN192" s="3" t="n">
        <v>22227.0</v>
      </c>
      <c r="AO192" s="3" t="n">
        <v>22945.0</v>
      </c>
    </row>
    <row r="193" spans="1:41" x14ac:dyDescent="0.2">
      <c r="A193" s="125"/>
      <c r="B193" s="9">
        <v>82</v>
      </c>
      <c r="C193" s="3" t="n">
        <v>7868.0</v>
      </c>
      <c r="D193" s="3" t="n">
        <v>7454.0</v>
      </c>
      <c r="E193" s="3" t="n">
        <v>7073.0</v>
      </c>
      <c r="F193" s="3" t="n">
        <v>7482.0</v>
      </c>
      <c r="G193" s="3" t="n">
        <v>7800.0</v>
      </c>
      <c r="H193" s="3" t="n">
        <v>8079.0</v>
      </c>
      <c r="I193" s="3" t="n">
        <v>10688.0</v>
      </c>
      <c r="J193" s="3" t="n">
        <v>11638.0</v>
      </c>
      <c r="K193" s="3" t="n">
        <v>12333.0</v>
      </c>
      <c r="L193" s="3" t="n">
        <v>12660.0</v>
      </c>
      <c r="M193" s="3" t="n">
        <v>13477.0</v>
      </c>
      <c r="N193" s="3" t="n">
        <v>14219.0</v>
      </c>
      <c r="O193" s="3" t="n">
        <v>14741.0</v>
      </c>
      <c r="P193" s="3" t="n">
        <v>15266.0</v>
      </c>
      <c r="Q193" s="3" t="n">
        <v>15497.0</v>
      </c>
      <c r="R193" s="3" t="n">
        <v>16073.0</v>
      </c>
      <c r="S193" s="3" t="n">
        <v>15777.0</v>
      </c>
      <c r="T193" s="3" t="n">
        <v>15947.0</v>
      </c>
      <c r="U193" s="3" t="n">
        <v>15489.0</v>
      </c>
      <c r="V193" s="3" t="n">
        <v>14926.0</v>
      </c>
      <c r="W193" s="3" t="n">
        <v>14162.0</v>
      </c>
      <c r="X193" s="3" t="n">
        <v>13216.0</v>
      </c>
      <c r="Y193" s="3" t="n">
        <v>13008.0</v>
      </c>
      <c r="Z193" s="3" t="n">
        <v>13166.0</v>
      </c>
      <c r="AA193" s="3" t="n">
        <v>13030.0</v>
      </c>
      <c r="AB193" s="3" t="n">
        <v>12892.0</v>
      </c>
      <c r="AC193" s="3" t="n">
        <v>13025.0</v>
      </c>
      <c r="AD193" s="3" t="n">
        <v>13250.0</v>
      </c>
      <c r="AE193" s="3" t="n">
        <v>13519.0</v>
      </c>
      <c r="AF193" s="3" t="n">
        <v>14043.0</v>
      </c>
      <c r="AG193" s="3" t="n">
        <v>14916.0</v>
      </c>
      <c r="AH193" s="3" t="n">
        <v>15514.0</v>
      </c>
      <c r="AI193" s="3" t="n">
        <v>16592.0</v>
      </c>
      <c r="AJ193" s="3" t="n">
        <v>17544.0</v>
      </c>
      <c r="AK193" s="3" t="n">
        <v>18529.0</v>
      </c>
      <c r="AL193" s="3" t="n">
        <v>19536.0</v>
      </c>
      <c r="AM193" s="3" t="n">
        <v>20437.0</v>
      </c>
      <c r="AN193" s="3" t="n">
        <v>20535.0</v>
      </c>
      <c r="AO193" s="3" t="n">
        <v>20956.0</v>
      </c>
    </row>
    <row r="194" spans="1:41" x14ac:dyDescent="0.2">
      <c r="A194" s="125"/>
      <c r="B194" s="9">
        <v>83</v>
      </c>
      <c r="C194" s="3" t="n">
        <v>7267.0</v>
      </c>
      <c r="D194" s="3" t="n">
        <v>7153.0</v>
      </c>
      <c r="E194" s="3" t="n">
        <v>6783.0</v>
      </c>
      <c r="F194" s="3" t="n">
        <v>6448.0</v>
      </c>
      <c r="G194" s="3" t="n">
        <v>6826.0</v>
      </c>
      <c r="H194" s="3" t="n">
        <v>7120.0</v>
      </c>
      <c r="I194" s="3" t="n">
        <v>7391.0</v>
      </c>
      <c r="J194" s="3" t="n">
        <v>9789.0</v>
      </c>
      <c r="K194" s="3" t="n">
        <v>10670.0</v>
      </c>
      <c r="L194" s="3" t="n">
        <v>11317.0</v>
      </c>
      <c r="M194" s="3" t="n">
        <v>11622.0</v>
      </c>
      <c r="N194" s="3" t="n">
        <v>12379.0</v>
      </c>
      <c r="O194" s="3" t="n">
        <v>13071.0</v>
      </c>
      <c r="P194" s="3" t="n">
        <v>13565.0</v>
      </c>
      <c r="Q194" s="3" t="n">
        <v>14063.0</v>
      </c>
      <c r="R194" s="3" t="n">
        <v>14295.0</v>
      </c>
      <c r="S194" s="3" t="n">
        <v>14826.0</v>
      </c>
      <c r="T194" s="3" t="n">
        <v>14572.0</v>
      </c>
      <c r="U194" s="3" t="n">
        <v>14739.0</v>
      </c>
      <c r="V194" s="3" t="n">
        <v>14322.0</v>
      </c>
      <c r="W194" s="3" t="n">
        <v>13813.0</v>
      </c>
      <c r="X194" s="3" t="n">
        <v>13122.0</v>
      </c>
      <c r="Y194" s="3" t="n">
        <v>12251.0</v>
      </c>
      <c r="Z194" s="3" t="n">
        <v>12061.0</v>
      </c>
      <c r="AA194" s="3" t="n">
        <v>12220.0</v>
      </c>
      <c r="AB194" s="3" t="n">
        <v>12103.0</v>
      </c>
      <c r="AC194" s="3" t="n">
        <v>11984.0</v>
      </c>
      <c r="AD194" s="3" t="n">
        <v>12115.0</v>
      </c>
      <c r="AE194" s="3" t="n">
        <v>12328.0</v>
      </c>
      <c r="AF194" s="3" t="n">
        <v>12588.0</v>
      </c>
      <c r="AG194" s="3" t="n">
        <v>13082.0</v>
      </c>
      <c r="AH194" s="3" t="n">
        <v>13903.0</v>
      </c>
      <c r="AI194" s="3" t="n">
        <v>14464.0</v>
      </c>
      <c r="AJ194" s="3" t="n">
        <v>15483.0</v>
      </c>
      <c r="AK194" s="3" t="n">
        <v>16379.0</v>
      </c>
      <c r="AL194" s="3" t="n">
        <v>17314.0</v>
      </c>
      <c r="AM194" s="3" t="n">
        <v>18259.0</v>
      </c>
      <c r="AN194" s="3" t="n">
        <v>19112.0</v>
      </c>
      <c r="AO194" s="3" t="n">
        <v>19229.0</v>
      </c>
    </row>
    <row r="195" spans="1:41" x14ac:dyDescent="0.2">
      <c r="A195" s="125"/>
      <c r="B195" s="9">
        <v>84</v>
      </c>
      <c r="C195" s="3" t="n">
        <v>6694.0</v>
      </c>
      <c r="D195" s="3" t="n">
        <v>6534.0</v>
      </c>
      <c r="E195" s="3" t="n">
        <v>6440.0</v>
      </c>
      <c r="F195" s="3" t="n">
        <v>6119.0</v>
      </c>
      <c r="G195" s="3" t="n">
        <v>5820.0</v>
      </c>
      <c r="H195" s="3" t="n">
        <v>6164.0</v>
      </c>
      <c r="I195" s="3" t="n">
        <v>6446.0</v>
      </c>
      <c r="J195" s="3" t="n">
        <v>6696.0</v>
      </c>
      <c r="K195" s="3" t="n">
        <v>8878.0</v>
      </c>
      <c r="L195" s="3" t="n">
        <v>9685.0</v>
      </c>
      <c r="M195" s="3" t="n">
        <v>10281.0</v>
      </c>
      <c r="N195" s="3" t="n">
        <v>10571.0</v>
      </c>
      <c r="O195" s="3" t="n">
        <v>11275.0</v>
      </c>
      <c r="P195" s="3" t="n">
        <v>11913.0</v>
      </c>
      <c r="Q195" s="3" t="n">
        <v>12371.0</v>
      </c>
      <c r="R195" s="3" t="n">
        <v>12842.0</v>
      </c>
      <c r="S195" s="3" t="n">
        <v>13063.0</v>
      </c>
      <c r="T195" s="3" t="n">
        <v>13557.0</v>
      </c>
      <c r="U195" s="3" t="n">
        <v>13337.0</v>
      </c>
      <c r="V195" s="3" t="n">
        <v>13503.0</v>
      </c>
      <c r="W195" s="3" t="n">
        <v>13128.0</v>
      </c>
      <c r="X195" s="3" t="n">
        <v>12681.0</v>
      </c>
      <c r="Y195" s="3" t="n">
        <v>12053.0</v>
      </c>
      <c r="Z195" s="3" t="n">
        <v>11256.0</v>
      </c>
      <c r="AA195" s="3" t="n">
        <v>11096.0</v>
      </c>
      <c r="AB195" s="3" t="n">
        <v>11247.0</v>
      </c>
      <c r="AC195" s="3" t="n">
        <v>11142.0</v>
      </c>
      <c r="AD195" s="3" t="n">
        <v>11054.0</v>
      </c>
      <c r="AE195" s="3" t="n">
        <v>11178.0</v>
      </c>
      <c r="AF195" s="3" t="n">
        <v>11381.0</v>
      </c>
      <c r="AG195" s="3" t="n">
        <v>11627.0</v>
      </c>
      <c r="AH195" s="3" t="n">
        <v>12095.0</v>
      </c>
      <c r="AI195" s="3" t="n">
        <v>12857.0</v>
      </c>
      <c r="AJ195" s="3" t="n">
        <v>13388.0</v>
      </c>
      <c r="AK195" s="3" t="n">
        <v>14340.0</v>
      </c>
      <c r="AL195" s="3" t="n">
        <v>15180.0</v>
      </c>
      <c r="AM195" s="3" t="n">
        <v>16049.0</v>
      </c>
      <c r="AN195" s="3" t="n">
        <v>16939.0</v>
      </c>
      <c r="AO195" s="3" t="n">
        <v>17752.0</v>
      </c>
    </row>
    <row r="196" spans="1:41" x14ac:dyDescent="0.2">
      <c r="A196" s="125"/>
      <c r="B196" s="9">
        <v>85</v>
      </c>
      <c r="C196" s="3" t="n">
        <v>6160.0</v>
      </c>
      <c r="D196" s="3" t="n">
        <v>5949.0</v>
      </c>
      <c r="E196" s="3" t="n">
        <v>5822.0</v>
      </c>
      <c r="F196" s="3" t="n">
        <v>5749.0</v>
      </c>
      <c r="G196" s="3" t="n">
        <v>5469.0</v>
      </c>
      <c r="H196" s="3" t="n">
        <v>5207.0</v>
      </c>
      <c r="I196" s="3" t="n">
        <v>5522.0</v>
      </c>
      <c r="J196" s="3" t="n">
        <v>5781.0</v>
      </c>
      <c r="K196" s="3" t="n">
        <v>6008.0</v>
      </c>
      <c r="L196" s="3" t="n">
        <v>7980.0</v>
      </c>
      <c r="M196" s="3" t="n">
        <v>8712.0</v>
      </c>
      <c r="N196" s="3" t="n">
        <v>9261.0</v>
      </c>
      <c r="O196" s="3" t="n">
        <v>9538.0</v>
      </c>
      <c r="P196" s="3" t="n">
        <v>10183.0</v>
      </c>
      <c r="Q196" s="3" t="n">
        <v>10768.0</v>
      </c>
      <c r="R196" s="3" t="n">
        <v>11204.0</v>
      </c>
      <c r="S196" s="3" t="n">
        <v>11640.0</v>
      </c>
      <c r="T196" s="3" t="n">
        <v>11850.0</v>
      </c>
      <c r="U196" s="3" t="n">
        <v>12307.0</v>
      </c>
      <c r="V196" s="3" t="n">
        <v>12116.0</v>
      </c>
      <c r="W196" s="3" t="n">
        <v>12276.0</v>
      </c>
      <c r="X196" s="3" t="n">
        <v>11958.0</v>
      </c>
      <c r="Y196" s="3" t="n">
        <v>11555.0</v>
      </c>
      <c r="Z196" s="3" t="n">
        <v>10989.0</v>
      </c>
      <c r="AA196" s="3" t="n">
        <v>10277.0</v>
      </c>
      <c r="AB196" s="3" t="n">
        <v>10135.0</v>
      </c>
      <c r="AC196" s="3" t="n">
        <v>10279.0</v>
      </c>
      <c r="AD196" s="3" t="n">
        <v>10197.0</v>
      </c>
      <c r="AE196" s="3" t="n">
        <v>10128.0</v>
      </c>
      <c r="AF196" s="3" t="n">
        <v>10246.0</v>
      </c>
      <c r="AG196" s="3" t="n">
        <v>10437.0</v>
      </c>
      <c r="AH196" s="3" t="n">
        <v>10669.0</v>
      </c>
      <c r="AI196" s="3" t="n">
        <v>11101.0</v>
      </c>
      <c r="AJ196" s="3" t="n">
        <v>11813.0</v>
      </c>
      <c r="AK196" s="3" t="n">
        <v>12306.0</v>
      </c>
      <c r="AL196" s="3" t="n">
        <v>13190.0</v>
      </c>
      <c r="AM196" s="3" t="n">
        <v>13972.0</v>
      </c>
      <c r="AN196" s="3" t="n">
        <v>14783.0</v>
      </c>
      <c r="AO196" s="3" t="n">
        <v>15623.0</v>
      </c>
    </row>
    <row r="197" spans="1:41" x14ac:dyDescent="0.2">
      <c r="A197" s="125"/>
      <c r="B197" s="9">
        <v>86</v>
      </c>
      <c r="C197" s="3" t="n">
        <v>5522.0</v>
      </c>
      <c r="D197" s="3" t="n">
        <v>5411.0</v>
      </c>
      <c r="E197" s="3" t="n">
        <v>5235.0</v>
      </c>
      <c r="F197" s="3" t="n">
        <v>5138.0</v>
      </c>
      <c r="G197" s="3" t="n">
        <v>5076.0</v>
      </c>
      <c r="H197" s="3" t="n">
        <v>4835.0</v>
      </c>
      <c r="I197" s="3" t="n">
        <v>4616.0</v>
      </c>
      <c r="J197" s="3" t="n">
        <v>4901.0</v>
      </c>
      <c r="K197" s="3" t="n">
        <v>5139.0</v>
      </c>
      <c r="L197" s="3" t="n">
        <v>5343.0</v>
      </c>
      <c r="M197" s="3" t="n">
        <v>7112.0</v>
      </c>
      <c r="N197" s="3" t="n">
        <v>7769.0</v>
      </c>
      <c r="O197" s="3" t="n">
        <v>8272.0</v>
      </c>
      <c r="P197" s="3" t="n">
        <v>8530.0</v>
      </c>
      <c r="Q197" s="3" t="n">
        <v>9108.0</v>
      </c>
      <c r="R197" s="3" t="n">
        <v>9647.0</v>
      </c>
      <c r="S197" s="3" t="n">
        <v>10054.0</v>
      </c>
      <c r="T197" s="3" t="n">
        <v>10449.0</v>
      </c>
      <c r="U197" s="3" t="n">
        <v>10650.0</v>
      </c>
      <c r="V197" s="3" t="n">
        <v>11075.0</v>
      </c>
      <c r="W197" s="3" t="n">
        <v>10911.0</v>
      </c>
      <c r="X197" s="3" t="n">
        <v>11077.0</v>
      </c>
      <c r="Y197" s="3" t="n">
        <v>10789.0</v>
      </c>
      <c r="Z197" s="3" t="n">
        <v>10437.0</v>
      </c>
      <c r="AA197" s="3" t="n">
        <v>9937.0</v>
      </c>
      <c r="AB197" s="3" t="n">
        <v>9300.0</v>
      </c>
      <c r="AC197" s="3" t="n">
        <v>9179.0</v>
      </c>
      <c r="AD197" s="3" t="n">
        <v>9325.0</v>
      </c>
      <c r="AE197" s="3" t="n">
        <v>9254.0</v>
      </c>
      <c r="AF197" s="3" t="n">
        <v>9195.0</v>
      </c>
      <c r="AG197" s="3" t="n">
        <v>9311.0</v>
      </c>
      <c r="AH197" s="3" t="n">
        <v>9496.0</v>
      </c>
      <c r="AI197" s="3" t="n">
        <v>9705.0</v>
      </c>
      <c r="AJ197" s="3" t="n">
        <v>10113.0</v>
      </c>
      <c r="AK197" s="3" t="n">
        <v>10770.0</v>
      </c>
      <c r="AL197" s="3" t="n">
        <v>11228.0</v>
      </c>
      <c r="AM197" s="3" t="n">
        <v>12042.0</v>
      </c>
      <c r="AN197" s="3" t="n">
        <v>12770.0</v>
      </c>
      <c r="AO197" s="3" t="n">
        <v>13525.0</v>
      </c>
    </row>
    <row r="198" spans="1:41" x14ac:dyDescent="0.2">
      <c r="A198" s="125"/>
      <c r="B198" s="9">
        <v>87</v>
      </c>
      <c r="C198" s="3" t="n">
        <v>4746.0</v>
      </c>
      <c r="D198" s="3" t="n">
        <v>4805.0</v>
      </c>
      <c r="E198" s="3" t="n">
        <v>4720.0</v>
      </c>
      <c r="F198" s="3" t="n">
        <v>4578.0</v>
      </c>
      <c r="G198" s="3" t="n">
        <v>4494.0</v>
      </c>
      <c r="H198" s="3" t="n">
        <v>4453.0</v>
      </c>
      <c r="I198" s="3" t="n">
        <v>4249.0</v>
      </c>
      <c r="J198" s="3" t="n">
        <v>4061.0</v>
      </c>
      <c r="K198" s="3" t="n">
        <v>4317.0</v>
      </c>
      <c r="L198" s="3" t="n">
        <v>4531.0</v>
      </c>
      <c r="M198" s="3" t="n">
        <v>4719.0</v>
      </c>
      <c r="N198" s="3" t="n">
        <v>6282.0</v>
      </c>
      <c r="O198" s="3" t="n">
        <v>6879.0</v>
      </c>
      <c r="P198" s="3" t="n">
        <v>7331.0</v>
      </c>
      <c r="Q198" s="3" t="n">
        <v>7564.0</v>
      </c>
      <c r="R198" s="3" t="n">
        <v>8092.0</v>
      </c>
      <c r="S198" s="3" t="n">
        <v>8583.0</v>
      </c>
      <c r="T198" s="3" t="n">
        <v>8951.0</v>
      </c>
      <c r="U198" s="3" t="n">
        <v>9312.0</v>
      </c>
      <c r="V198" s="3" t="n">
        <v>9498.0</v>
      </c>
      <c r="W198" s="3" t="n">
        <v>9882.0</v>
      </c>
      <c r="X198" s="3" t="n">
        <v>9761.0</v>
      </c>
      <c r="Y198" s="3" t="n">
        <v>9915.0</v>
      </c>
      <c r="Z198" s="3" t="n">
        <v>9672.0</v>
      </c>
      <c r="AA198" s="3" t="n">
        <v>9364.0</v>
      </c>
      <c r="AB198" s="3" t="n">
        <v>8921.0</v>
      </c>
      <c r="AC198" s="3" t="n">
        <v>8358.0</v>
      </c>
      <c r="AD198" s="3" t="n">
        <v>8266.0</v>
      </c>
      <c r="AE198" s="3" t="n">
        <v>8404.0</v>
      </c>
      <c r="AF198" s="3" t="n">
        <v>8343.0</v>
      </c>
      <c r="AG198" s="3" t="n">
        <v>8304.0</v>
      </c>
      <c r="AH198" s="3" t="n">
        <v>8401.0</v>
      </c>
      <c r="AI198" s="3" t="n">
        <v>8591.0</v>
      </c>
      <c r="AJ198" s="3" t="n">
        <v>8780.0</v>
      </c>
      <c r="AK198" s="3" t="n">
        <v>9155.0</v>
      </c>
      <c r="AL198" s="3" t="n">
        <v>9754.0</v>
      </c>
      <c r="AM198" s="3" t="n">
        <v>10180.0</v>
      </c>
      <c r="AN198" s="3" t="n">
        <v>10920.0</v>
      </c>
      <c r="AO198" s="3" t="n">
        <v>11594.0</v>
      </c>
    </row>
    <row r="199" spans="1:41" x14ac:dyDescent="0.2">
      <c r="A199" s="125"/>
      <c r="B199" s="9">
        <v>88</v>
      </c>
      <c r="C199" s="3" t="n">
        <v>4089.0</v>
      </c>
      <c r="D199" s="3" t="n">
        <v>4078.0</v>
      </c>
      <c r="E199" s="3" t="n">
        <v>4141.0</v>
      </c>
      <c r="F199" s="3" t="n">
        <v>4071.0</v>
      </c>
      <c r="G199" s="3" t="n">
        <v>3957.0</v>
      </c>
      <c r="H199" s="3" t="n">
        <v>3891.0</v>
      </c>
      <c r="I199" s="3" t="n">
        <v>3866.0</v>
      </c>
      <c r="J199" s="3" t="n">
        <v>3691.0</v>
      </c>
      <c r="K199" s="3" t="n">
        <v>3533.0</v>
      </c>
      <c r="L199" s="3" t="n">
        <v>3761.0</v>
      </c>
      <c r="M199" s="3" t="n">
        <v>3950.0</v>
      </c>
      <c r="N199" s="3" t="n">
        <v>4117.0</v>
      </c>
      <c r="O199" s="3" t="n">
        <v>5491.0</v>
      </c>
      <c r="P199" s="3" t="n">
        <v>6022.0</v>
      </c>
      <c r="Q199" s="3" t="n">
        <v>6425.0</v>
      </c>
      <c r="R199" s="3" t="n">
        <v>6645.0</v>
      </c>
      <c r="S199" s="3" t="n">
        <v>7115.0</v>
      </c>
      <c r="T199" s="3" t="n">
        <v>7557.0</v>
      </c>
      <c r="U199" s="3" t="n">
        <v>7894.0</v>
      </c>
      <c r="V199" s="3" t="n">
        <v>8215.0</v>
      </c>
      <c r="W199" s="3" t="n">
        <v>8390.0</v>
      </c>
      <c r="X199" s="3" t="n">
        <v>8747.0</v>
      </c>
      <c r="Y199" s="3" t="n">
        <v>8639.0</v>
      </c>
      <c r="Z199" s="3" t="n">
        <v>8787.0</v>
      </c>
      <c r="AA199" s="3" t="n">
        <v>8584.0</v>
      </c>
      <c r="AB199" s="3" t="n">
        <v>8315.0</v>
      </c>
      <c r="AC199" s="3" t="n">
        <v>7925.0</v>
      </c>
      <c r="AD199" s="3" t="n">
        <v>7445.0</v>
      </c>
      <c r="AE199" s="3" t="n">
        <v>7366.0</v>
      </c>
      <c r="AF199" s="3" t="n">
        <v>7499.0</v>
      </c>
      <c r="AG199" s="3" t="n">
        <v>7452.0</v>
      </c>
      <c r="AH199" s="3" t="n">
        <v>7424.0</v>
      </c>
      <c r="AI199" s="3" t="n">
        <v>7519.0</v>
      </c>
      <c r="AJ199" s="3" t="n">
        <v>7694.0</v>
      </c>
      <c r="AK199" s="3" t="n">
        <v>7867.0</v>
      </c>
      <c r="AL199" s="3" t="n">
        <v>8213.0</v>
      </c>
      <c r="AM199" s="3" t="n">
        <v>8758.0</v>
      </c>
      <c r="AN199" s="3" t="n">
        <v>9148.0</v>
      </c>
      <c r="AO199" s="3" t="n">
        <v>9824.0</v>
      </c>
    </row>
    <row r="200" spans="1:41" x14ac:dyDescent="0.2">
      <c r="A200" s="125"/>
      <c r="B200" s="9">
        <v>89</v>
      </c>
      <c r="C200" s="3" t="n">
        <v>3331.0</v>
      </c>
      <c r="D200" s="3" t="n">
        <v>3467.0</v>
      </c>
      <c r="E200" s="3" t="n">
        <v>3466.0</v>
      </c>
      <c r="F200" s="3" t="n">
        <v>3531.0</v>
      </c>
      <c r="G200" s="3" t="n">
        <v>3473.0</v>
      </c>
      <c r="H200" s="3" t="n">
        <v>3384.0</v>
      </c>
      <c r="I200" s="3" t="n">
        <v>3334.0</v>
      </c>
      <c r="J200" s="3" t="n">
        <v>3318.0</v>
      </c>
      <c r="K200" s="3" t="n">
        <v>3177.0</v>
      </c>
      <c r="L200" s="3" t="n">
        <v>3046.0</v>
      </c>
      <c r="M200" s="3" t="n">
        <v>3244.0</v>
      </c>
      <c r="N200" s="3" t="n">
        <v>3412.0</v>
      </c>
      <c r="O200" s="3" t="n">
        <v>3565.0</v>
      </c>
      <c r="P200" s="3" t="n">
        <v>4765.0</v>
      </c>
      <c r="Q200" s="3" t="n">
        <v>5227.0</v>
      </c>
      <c r="R200" s="3" t="n">
        <v>5590.0</v>
      </c>
      <c r="S200" s="3" t="n">
        <v>5784.0</v>
      </c>
      <c r="T200" s="3" t="n">
        <v>6200.0</v>
      </c>
      <c r="U200" s="3" t="n">
        <v>6592.0</v>
      </c>
      <c r="V200" s="3" t="n">
        <v>6892.0</v>
      </c>
      <c r="W200" s="3" t="n">
        <v>7183.0</v>
      </c>
      <c r="X200" s="3" t="n">
        <v>7350.0</v>
      </c>
      <c r="Y200" s="3" t="n">
        <v>7669.0</v>
      </c>
      <c r="Z200" s="3" t="n">
        <v>7583.0</v>
      </c>
      <c r="AA200" s="3" t="n">
        <v>7717.0</v>
      </c>
      <c r="AB200" s="3" t="n">
        <v>7552.0</v>
      </c>
      <c r="AC200" s="3" t="n">
        <v>7321.0</v>
      </c>
      <c r="AD200" s="3" t="n">
        <v>6996.0</v>
      </c>
      <c r="AE200" s="3" t="n">
        <v>6577.0</v>
      </c>
      <c r="AF200" s="3" t="n">
        <v>6511.0</v>
      </c>
      <c r="AG200" s="3" t="n">
        <v>6645.0</v>
      </c>
      <c r="AH200" s="3" t="n">
        <v>6604.0</v>
      </c>
      <c r="AI200" s="3" t="n">
        <v>6581.0</v>
      </c>
      <c r="AJ200" s="3" t="n">
        <v>6673.0</v>
      </c>
      <c r="AK200" s="3" t="n">
        <v>6835.0</v>
      </c>
      <c r="AL200" s="3" t="n">
        <v>6999.0</v>
      </c>
      <c r="AM200" s="3" t="n">
        <v>7312.0</v>
      </c>
      <c r="AN200" s="3" t="n">
        <v>7800.0</v>
      </c>
      <c r="AO200" s="3" t="n">
        <v>8163.0</v>
      </c>
    </row>
    <row r="201" spans="1:41" x14ac:dyDescent="0.2">
      <c r="A201" s="125"/>
      <c r="B201" s="9">
        <v>90</v>
      </c>
      <c r="C201" s="3" t="n">
        <v>2776.0</v>
      </c>
      <c r="D201" s="3" t="n">
        <v>2788.0</v>
      </c>
      <c r="E201" s="3" t="n">
        <v>2903.0</v>
      </c>
      <c r="F201" s="3" t="n">
        <v>2908.0</v>
      </c>
      <c r="G201" s="3" t="n">
        <v>2973.0</v>
      </c>
      <c r="H201" s="3" t="n">
        <v>2935.0</v>
      </c>
      <c r="I201" s="3" t="n">
        <v>2861.0</v>
      </c>
      <c r="J201" s="3" t="n">
        <v>2829.0</v>
      </c>
      <c r="K201" s="3" t="n">
        <v>2816.0</v>
      </c>
      <c r="L201" s="3" t="n">
        <v>2700.0</v>
      </c>
      <c r="M201" s="3" t="n">
        <v>2592.0</v>
      </c>
      <c r="N201" s="3" t="n">
        <v>2766.0</v>
      </c>
      <c r="O201" s="3" t="n">
        <v>2917.0</v>
      </c>
      <c r="P201" s="3" t="n">
        <v>3053.0</v>
      </c>
      <c r="Q201" s="3" t="n">
        <v>4085.0</v>
      </c>
      <c r="R201" s="3" t="n">
        <v>4495.0</v>
      </c>
      <c r="S201" s="3" t="n">
        <v>4818.0</v>
      </c>
      <c r="T201" s="3" t="n">
        <v>4988.0</v>
      </c>
      <c r="U201" s="3" t="n">
        <v>5351.0</v>
      </c>
      <c r="V201" s="3" t="n">
        <v>5697.0</v>
      </c>
      <c r="W201" s="3" t="n">
        <v>5964.0</v>
      </c>
      <c r="X201" s="3" t="n">
        <v>6228.0</v>
      </c>
      <c r="Y201" s="3" t="n">
        <v>6380.0</v>
      </c>
      <c r="Z201" s="3" t="n">
        <v>6668.0</v>
      </c>
      <c r="AA201" s="3" t="n">
        <v>6602.0</v>
      </c>
      <c r="AB201" s="3" t="n">
        <v>6724.0</v>
      </c>
      <c r="AC201" s="3" t="n">
        <v>6584.0</v>
      </c>
      <c r="AD201" s="3" t="n">
        <v>6398.0</v>
      </c>
      <c r="AE201" s="3" t="n">
        <v>6124.0</v>
      </c>
      <c r="AF201" s="3" t="n">
        <v>5766.0</v>
      </c>
      <c r="AG201" s="3" t="n">
        <v>5711.0</v>
      </c>
      <c r="AH201" s="3" t="n">
        <v>5832.0</v>
      </c>
      <c r="AI201" s="3" t="n">
        <v>5805.0</v>
      </c>
      <c r="AJ201" s="3" t="n">
        <v>5790.0</v>
      </c>
      <c r="AK201" s="3" t="n">
        <v>5875.0</v>
      </c>
      <c r="AL201" s="3" t="n">
        <v>6024.0</v>
      </c>
      <c r="AM201" s="3" t="n">
        <v>6172.0</v>
      </c>
      <c r="AN201" s="3" t="n">
        <v>6457.0</v>
      </c>
      <c r="AO201" s="3" t="n">
        <v>6900.0</v>
      </c>
    </row>
    <row r="202" spans="1:41" x14ac:dyDescent="0.2">
      <c r="A202" s="125"/>
      <c r="B202" s="9">
        <v>91</v>
      </c>
      <c r="C202" s="3" t="n">
        <v>2335.0</v>
      </c>
      <c r="D202" s="3" t="n">
        <v>2293.0</v>
      </c>
      <c r="E202" s="3" t="n">
        <v>2311.0</v>
      </c>
      <c r="F202" s="3" t="n">
        <v>2413.0</v>
      </c>
      <c r="G202" s="3" t="n">
        <v>2420.0</v>
      </c>
      <c r="H202" s="3" t="n">
        <v>2477.0</v>
      </c>
      <c r="I202" s="3" t="n">
        <v>2451.0</v>
      </c>
      <c r="J202" s="3" t="n">
        <v>2396.0</v>
      </c>
      <c r="K202" s="3" t="n">
        <v>2372.0</v>
      </c>
      <c r="L202" s="3" t="n">
        <v>2367.0</v>
      </c>
      <c r="M202" s="3" t="n">
        <v>2271.0</v>
      </c>
      <c r="N202" s="3" t="n">
        <v>2183.0</v>
      </c>
      <c r="O202" s="3" t="n">
        <v>2338.0</v>
      </c>
      <c r="P202" s="3" t="n">
        <v>2467.0</v>
      </c>
      <c r="Q202" s="3" t="n">
        <v>2588.0</v>
      </c>
      <c r="R202" s="3" t="n">
        <v>3466.0</v>
      </c>
      <c r="S202" s="3" t="n">
        <v>3825.0</v>
      </c>
      <c r="T202" s="3" t="n">
        <v>4102.0</v>
      </c>
      <c r="U202" s="3" t="n">
        <v>4254.0</v>
      </c>
      <c r="V202" s="3" t="n">
        <v>4567.0</v>
      </c>
      <c r="W202" s="3" t="n">
        <v>4868.0</v>
      </c>
      <c r="X202" s="3" t="n">
        <v>5111.0</v>
      </c>
      <c r="Y202" s="3" t="n">
        <v>5337.0</v>
      </c>
      <c r="Z202" s="3" t="n">
        <v>5485.0</v>
      </c>
      <c r="AA202" s="3" t="n">
        <v>5736.0</v>
      </c>
      <c r="AB202" s="3" t="n">
        <v>5681.0</v>
      </c>
      <c r="AC202" s="3" t="n">
        <v>5794.0</v>
      </c>
      <c r="AD202" s="3" t="n">
        <v>5688.0</v>
      </c>
      <c r="AE202" s="3" t="n">
        <v>5534.0</v>
      </c>
      <c r="AF202" s="3" t="n">
        <v>5303.0</v>
      </c>
      <c r="AG202" s="3" t="n">
        <v>5002.0</v>
      </c>
      <c r="AH202" s="3" t="n">
        <v>4959.0</v>
      </c>
      <c r="AI202" s="3" t="n">
        <v>5068.0</v>
      </c>
      <c r="AJ202" s="3" t="n">
        <v>5045.0</v>
      </c>
      <c r="AK202" s="3" t="n">
        <v>5038.0</v>
      </c>
      <c r="AL202" s="3" t="n">
        <v>5123.0</v>
      </c>
      <c r="AM202" s="3" t="n">
        <v>5255.0</v>
      </c>
      <c r="AN202" s="3" t="n">
        <v>5392.0</v>
      </c>
      <c r="AO202" s="3" t="n">
        <v>5653.0</v>
      </c>
    </row>
    <row r="203" spans="1:41" x14ac:dyDescent="0.2">
      <c r="A203" s="125"/>
      <c r="B203" s="9">
        <v>92</v>
      </c>
      <c r="C203" s="3" t="n">
        <v>2005.0</v>
      </c>
      <c r="D203" s="3" t="n">
        <v>1891.0</v>
      </c>
      <c r="E203" s="3" t="n">
        <v>1860.0</v>
      </c>
      <c r="F203" s="3" t="n">
        <v>1881.0</v>
      </c>
      <c r="G203" s="3" t="n">
        <v>1968.0</v>
      </c>
      <c r="H203" s="3" t="n">
        <v>1978.0</v>
      </c>
      <c r="I203" s="3" t="n">
        <v>2034.0</v>
      </c>
      <c r="J203" s="3" t="n">
        <v>2016.0</v>
      </c>
      <c r="K203" s="3" t="n">
        <v>1975.0</v>
      </c>
      <c r="L203" s="3" t="n">
        <v>1957.0</v>
      </c>
      <c r="M203" s="3" t="n">
        <v>1960.0</v>
      </c>
      <c r="N203" s="3" t="n">
        <v>1886.0</v>
      </c>
      <c r="O203" s="3" t="n">
        <v>1818.0</v>
      </c>
      <c r="P203" s="3" t="n">
        <v>1945.0</v>
      </c>
      <c r="Q203" s="3" t="n">
        <v>2056.0</v>
      </c>
      <c r="R203" s="3" t="n">
        <v>2166.0</v>
      </c>
      <c r="S203" s="3" t="n">
        <v>2901.0</v>
      </c>
      <c r="T203" s="3" t="n">
        <v>3201.0</v>
      </c>
      <c r="U203" s="3" t="n">
        <v>3440.0</v>
      </c>
      <c r="V203" s="3" t="n">
        <v>3572.0</v>
      </c>
      <c r="W203" s="3" t="n">
        <v>3843.0</v>
      </c>
      <c r="X203" s="3" t="n">
        <v>4106.0</v>
      </c>
      <c r="Y203" s="3" t="n">
        <v>4322.0</v>
      </c>
      <c r="Z203" s="3" t="n">
        <v>4512.0</v>
      </c>
      <c r="AA203" s="3" t="n">
        <v>4646.0</v>
      </c>
      <c r="AB203" s="3" t="n">
        <v>4867.0</v>
      </c>
      <c r="AC203" s="3" t="n">
        <v>4831.0</v>
      </c>
      <c r="AD203" s="3" t="n">
        <v>4936.0</v>
      </c>
      <c r="AE203" s="3" t="n">
        <v>4853.0</v>
      </c>
      <c r="AF203" s="3" t="n">
        <v>4727.0</v>
      </c>
      <c r="AG203" s="3" t="n">
        <v>4534.0</v>
      </c>
      <c r="AH203" s="3" t="n">
        <v>4284.0</v>
      </c>
      <c r="AI203" s="3" t="n">
        <v>4244.0</v>
      </c>
      <c r="AJ203" s="3" t="n">
        <v>4347.0</v>
      </c>
      <c r="AK203" s="3" t="n">
        <v>4332.0</v>
      </c>
      <c r="AL203" s="3" t="n">
        <v>4329.0</v>
      </c>
      <c r="AM203" s="3" t="n">
        <v>4412.0</v>
      </c>
      <c r="AN203" s="3" t="n">
        <v>4526.0</v>
      </c>
      <c r="AO203" s="3" t="n">
        <v>4657.0</v>
      </c>
    </row>
    <row r="204" spans="1:41" x14ac:dyDescent="0.2">
      <c r="A204" s="125"/>
      <c r="B204" s="9">
        <v>93</v>
      </c>
      <c r="C204" s="3" t="n">
        <v>1363.0</v>
      </c>
      <c r="D204" s="3" t="n">
        <v>1596.0</v>
      </c>
      <c r="E204" s="3" t="n">
        <v>1519.0</v>
      </c>
      <c r="F204" s="3" t="n">
        <v>1488.0</v>
      </c>
      <c r="G204" s="3" t="n">
        <v>1515.0</v>
      </c>
      <c r="H204" s="3" t="n">
        <v>1593.0</v>
      </c>
      <c r="I204" s="3" t="n">
        <v>1603.0</v>
      </c>
      <c r="J204" s="3" t="n">
        <v>1653.0</v>
      </c>
      <c r="K204" s="3" t="n">
        <v>1641.0</v>
      </c>
      <c r="L204" s="3" t="n">
        <v>1608.0</v>
      </c>
      <c r="M204" s="3" t="n">
        <v>1592.0</v>
      </c>
      <c r="N204" s="3" t="n">
        <v>1603.0</v>
      </c>
      <c r="O204" s="3" t="n">
        <v>1546.0</v>
      </c>
      <c r="P204" s="3" t="n">
        <v>1494.0</v>
      </c>
      <c r="Q204" s="3" t="n">
        <v>1600.0</v>
      </c>
      <c r="R204" s="3" t="n">
        <v>1694.0</v>
      </c>
      <c r="S204" s="3" t="n">
        <v>1791.0</v>
      </c>
      <c r="T204" s="3" t="n">
        <v>2397.0</v>
      </c>
      <c r="U204" s="3" t="n">
        <v>2644.0</v>
      </c>
      <c r="V204" s="3" t="n">
        <v>2849.0</v>
      </c>
      <c r="W204" s="3" t="n">
        <v>2964.0</v>
      </c>
      <c r="X204" s="3" t="n">
        <v>3205.0</v>
      </c>
      <c r="Y204" s="3" t="n">
        <v>3422.0</v>
      </c>
      <c r="Z204" s="3" t="n">
        <v>3607.0</v>
      </c>
      <c r="AA204" s="3" t="n">
        <v>3773.0</v>
      </c>
      <c r="AB204" s="3" t="n">
        <v>3886.0</v>
      </c>
      <c r="AC204" s="3" t="n">
        <v>4075.0</v>
      </c>
      <c r="AD204" s="3" t="n">
        <v>4064.0</v>
      </c>
      <c r="AE204" s="3" t="n">
        <v>4157.0</v>
      </c>
      <c r="AF204" s="3" t="n">
        <v>4094.0</v>
      </c>
      <c r="AG204" s="3" t="n">
        <v>3988.0</v>
      </c>
      <c r="AH204" s="3" t="n">
        <v>3834.0</v>
      </c>
      <c r="AI204" s="3" t="n">
        <v>3626.0</v>
      </c>
      <c r="AJ204" s="3" t="n">
        <v>3598.0</v>
      </c>
      <c r="AK204" s="3" t="n">
        <v>3692.0</v>
      </c>
      <c r="AL204" s="3" t="n">
        <v>3680.0</v>
      </c>
      <c r="AM204" s="3" t="n">
        <v>3683.0</v>
      </c>
      <c r="AN204" s="3" t="n">
        <v>3759.0</v>
      </c>
      <c r="AO204" s="3" t="n">
        <v>3864.0</v>
      </c>
    </row>
    <row r="205" spans="1:41" x14ac:dyDescent="0.2">
      <c r="A205" s="125"/>
      <c r="B205" s="9">
        <v>94</v>
      </c>
      <c r="C205" s="3" t="n">
        <v>1115.0</v>
      </c>
      <c r="D205" s="3" t="n">
        <v>1059.0</v>
      </c>
      <c r="E205" s="3" t="n">
        <v>1240.0</v>
      </c>
      <c r="F205" s="3" t="n">
        <v>1186.0</v>
      </c>
      <c r="G205" s="3" t="n">
        <v>1171.0</v>
      </c>
      <c r="H205" s="3" t="n">
        <v>1195.0</v>
      </c>
      <c r="I205" s="3" t="n">
        <v>1256.0</v>
      </c>
      <c r="J205" s="3" t="n">
        <v>1266.0</v>
      </c>
      <c r="K205" s="3" t="n">
        <v>1316.0</v>
      </c>
      <c r="L205" s="3" t="n">
        <v>1302.0</v>
      </c>
      <c r="M205" s="3" t="n">
        <v>1281.0</v>
      </c>
      <c r="N205" s="3" t="n">
        <v>1268.0</v>
      </c>
      <c r="O205" s="3" t="n">
        <v>1288.0</v>
      </c>
      <c r="P205" s="3" t="n">
        <v>1240.0</v>
      </c>
      <c r="Q205" s="3" t="n">
        <v>1203.0</v>
      </c>
      <c r="R205" s="3" t="n">
        <v>1290.0</v>
      </c>
      <c r="S205" s="3" t="n">
        <v>1368.0</v>
      </c>
      <c r="T205" s="3" t="n">
        <v>1453.0</v>
      </c>
      <c r="U205" s="3" t="n">
        <v>1944.0</v>
      </c>
      <c r="V205" s="3" t="n">
        <v>2156.0</v>
      </c>
      <c r="W205" s="3" t="n">
        <v>2325.0</v>
      </c>
      <c r="X205" s="3" t="n">
        <v>2423.0</v>
      </c>
      <c r="Y205" s="3" t="n">
        <v>2624.0</v>
      </c>
      <c r="Z205" s="3" t="n">
        <v>2804.0</v>
      </c>
      <c r="AA205" s="3" t="n">
        <v>2960.0</v>
      </c>
      <c r="AB205" s="3" t="n">
        <v>3097.0</v>
      </c>
      <c r="AC205" s="3" t="n">
        <v>3202.0</v>
      </c>
      <c r="AD205" s="3" t="n">
        <v>3362.0</v>
      </c>
      <c r="AE205" s="3" t="n">
        <v>3363.0</v>
      </c>
      <c r="AF205" s="3" t="n">
        <v>3444.0</v>
      </c>
      <c r="AG205" s="3" t="n">
        <v>3396.0</v>
      </c>
      <c r="AH205" s="3" t="n">
        <v>3311.0</v>
      </c>
      <c r="AI205" s="3" t="n">
        <v>3192.0</v>
      </c>
      <c r="AJ205" s="3" t="n">
        <v>3021.0</v>
      </c>
      <c r="AK205" s="3" t="n">
        <v>3005.0</v>
      </c>
      <c r="AL205" s="3" t="n">
        <v>3082.0</v>
      </c>
      <c r="AM205" s="3" t="n">
        <v>3080.0</v>
      </c>
      <c r="AN205" s="3" t="n">
        <v>3087.0</v>
      </c>
      <c r="AO205" s="3" t="n">
        <v>3161.0</v>
      </c>
    </row>
    <row r="206" spans="1:41" x14ac:dyDescent="0.2">
      <c r="A206" s="125"/>
      <c r="B206" s="9">
        <v>95</v>
      </c>
      <c r="C206" s="3" t="n">
        <v>684.0</v>
      </c>
      <c r="D206" s="3" t="n">
        <v>846.0</v>
      </c>
      <c r="E206" s="3" t="n">
        <v>807.0</v>
      </c>
      <c r="F206" s="3" t="n">
        <v>948.0</v>
      </c>
      <c r="G206" s="3" t="n">
        <v>912.0</v>
      </c>
      <c r="H206" s="3" t="n">
        <v>897.0</v>
      </c>
      <c r="I206" s="3" t="n">
        <v>916.0</v>
      </c>
      <c r="J206" s="3" t="n">
        <v>969.0</v>
      </c>
      <c r="K206" s="3" t="n">
        <v>980.0</v>
      </c>
      <c r="L206" s="3" t="n">
        <v>1024.0</v>
      </c>
      <c r="M206" s="3" t="n">
        <v>1018.0</v>
      </c>
      <c r="N206" s="3" t="n">
        <v>1000.0</v>
      </c>
      <c r="O206" s="3" t="n">
        <v>994.0</v>
      </c>
      <c r="P206" s="3" t="n">
        <v>1013.0</v>
      </c>
      <c r="Q206" s="3" t="n">
        <v>979.0</v>
      </c>
      <c r="R206" s="3" t="n">
        <v>954.0</v>
      </c>
      <c r="S206" s="3" t="n">
        <v>1017.0</v>
      </c>
      <c r="T206" s="3" t="n">
        <v>1086.0</v>
      </c>
      <c r="U206" s="3" t="n">
        <v>1152.0</v>
      </c>
      <c r="V206" s="3" t="n">
        <v>1544.0</v>
      </c>
      <c r="W206" s="3" t="n">
        <v>1715.0</v>
      </c>
      <c r="X206" s="3" t="n">
        <v>1862.0</v>
      </c>
      <c r="Y206" s="3" t="n">
        <v>1945.0</v>
      </c>
      <c r="Z206" s="3" t="n">
        <v>2112.0</v>
      </c>
      <c r="AA206" s="3" t="n">
        <v>2258.0</v>
      </c>
      <c r="AB206" s="3" t="n">
        <v>2390.0</v>
      </c>
      <c r="AC206" s="3" t="n">
        <v>2503.0</v>
      </c>
      <c r="AD206" s="3" t="n">
        <v>2594.0</v>
      </c>
      <c r="AE206" s="3" t="n">
        <v>2732.0</v>
      </c>
      <c r="AF206" s="3" t="n">
        <v>2733.0</v>
      </c>
      <c r="AG206" s="3" t="n">
        <v>2802.0</v>
      </c>
      <c r="AH206" s="3" t="n">
        <v>2776.0</v>
      </c>
      <c r="AI206" s="3" t="n">
        <v>2704.0</v>
      </c>
      <c r="AJ206" s="3" t="n">
        <v>2616.0</v>
      </c>
      <c r="AK206" s="3" t="n">
        <v>2477.0</v>
      </c>
      <c r="AL206" s="3" t="n">
        <v>2466.0</v>
      </c>
      <c r="AM206" s="3" t="n">
        <v>2535.0</v>
      </c>
      <c r="AN206" s="3" t="n">
        <v>2533.0</v>
      </c>
      <c r="AO206" s="3" t="n">
        <v>2544.0</v>
      </c>
    </row>
    <row r="207" spans="1:41" x14ac:dyDescent="0.2">
      <c r="A207" s="125"/>
      <c r="B207" s="9">
        <v>96</v>
      </c>
      <c r="C207" s="3" t="n">
        <v>421.0</v>
      </c>
      <c r="D207" s="3" t="n">
        <v>514.0</v>
      </c>
      <c r="E207" s="3" t="n">
        <v>636.0</v>
      </c>
      <c r="F207" s="3" t="n">
        <v>611.0</v>
      </c>
      <c r="G207" s="3" t="n">
        <v>718.0</v>
      </c>
      <c r="H207" s="3" t="n">
        <v>690.0</v>
      </c>
      <c r="I207" s="3" t="n">
        <v>679.0</v>
      </c>
      <c r="J207" s="3" t="n">
        <v>701.0</v>
      </c>
      <c r="K207" s="3" t="n">
        <v>746.0</v>
      </c>
      <c r="L207" s="3" t="n">
        <v>758.0</v>
      </c>
      <c r="M207" s="3" t="n">
        <v>789.0</v>
      </c>
      <c r="N207" s="3" t="n">
        <v>789.0</v>
      </c>
      <c r="O207" s="3" t="n">
        <v>781.0</v>
      </c>
      <c r="P207" s="3" t="n">
        <v>774.0</v>
      </c>
      <c r="Q207" s="3" t="n">
        <v>792.0</v>
      </c>
      <c r="R207" s="3" t="n">
        <v>769.0</v>
      </c>
      <c r="S207" s="3" t="n">
        <v>747.0</v>
      </c>
      <c r="T207" s="3" t="n">
        <v>802.0</v>
      </c>
      <c r="U207" s="3" t="n">
        <v>860.0</v>
      </c>
      <c r="V207" s="3" t="n">
        <v>913.0</v>
      </c>
      <c r="W207" s="3" t="n">
        <v>1217.0</v>
      </c>
      <c r="X207" s="3" t="n">
        <v>1360.0</v>
      </c>
      <c r="Y207" s="3" t="n">
        <v>1471.0</v>
      </c>
      <c r="Z207" s="3" t="n">
        <v>1541.0</v>
      </c>
      <c r="AA207" s="3" t="n">
        <v>1677.0</v>
      </c>
      <c r="AB207" s="3" t="n">
        <v>1797.0</v>
      </c>
      <c r="AC207" s="3" t="n">
        <v>1904.0</v>
      </c>
      <c r="AD207" s="3" t="n">
        <v>2000.0</v>
      </c>
      <c r="AE207" s="3" t="n">
        <v>2075.0</v>
      </c>
      <c r="AF207" s="3" t="n">
        <v>2195.0</v>
      </c>
      <c r="AG207" s="3" t="n">
        <v>2198.0</v>
      </c>
      <c r="AH207" s="3" t="n">
        <v>2256.0</v>
      </c>
      <c r="AI207" s="3" t="n">
        <v>2239.0</v>
      </c>
      <c r="AJ207" s="3" t="n">
        <v>2186.0</v>
      </c>
      <c r="AK207" s="3" t="n">
        <v>2115.0</v>
      </c>
      <c r="AL207" s="3" t="n">
        <v>2009.0</v>
      </c>
      <c r="AM207" s="3" t="n">
        <v>2003.0</v>
      </c>
      <c r="AN207" s="3" t="n">
        <v>2061.0</v>
      </c>
      <c r="AO207" s="3" t="n">
        <v>2068.0</v>
      </c>
    </row>
    <row r="208" spans="1:41" x14ac:dyDescent="0.2">
      <c r="A208" s="125"/>
      <c r="B208" s="9">
        <v>97</v>
      </c>
      <c r="C208" s="3" t="n">
        <v>357.0</v>
      </c>
      <c r="D208" s="3" t="n">
        <v>311.0</v>
      </c>
      <c r="E208" s="3" t="n">
        <v>383.0</v>
      </c>
      <c r="F208" s="3" t="n">
        <v>472.0</v>
      </c>
      <c r="G208" s="3" t="n">
        <v>456.0</v>
      </c>
      <c r="H208" s="3" t="n">
        <v>538.0</v>
      </c>
      <c r="I208" s="3" t="n">
        <v>519.0</v>
      </c>
      <c r="J208" s="3" t="n">
        <v>507.0</v>
      </c>
      <c r="K208" s="3" t="n">
        <v>525.0</v>
      </c>
      <c r="L208" s="3" t="n">
        <v>562.0</v>
      </c>
      <c r="M208" s="3" t="n">
        <v>574.0</v>
      </c>
      <c r="N208" s="3" t="n">
        <v>601.0</v>
      </c>
      <c r="O208" s="3" t="n">
        <v>598.0</v>
      </c>
      <c r="P208" s="3" t="n">
        <v>595.0</v>
      </c>
      <c r="Q208" s="3" t="n">
        <v>591.0</v>
      </c>
      <c r="R208" s="3" t="n">
        <v>610.0</v>
      </c>
      <c r="S208" s="3" t="n">
        <v>594.0</v>
      </c>
      <c r="T208" s="3" t="n">
        <v>576.0</v>
      </c>
      <c r="U208" s="3" t="n">
        <v>615.0</v>
      </c>
      <c r="V208" s="3" t="n">
        <v>666.0</v>
      </c>
      <c r="W208" s="3" t="n">
        <v>703.0</v>
      </c>
      <c r="X208" s="3" t="n">
        <v>942.0</v>
      </c>
      <c r="Y208" s="3" t="n">
        <v>1057.0</v>
      </c>
      <c r="Z208" s="3" t="n">
        <v>1146.0</v>
      </c>
      <c r="AA208" s="3" t="n">
        <v>1205.0</v>
      </c>
      <c r="AB208" s="3" t="n">
        <v>1314.0</v>
      </c>
      <c r="AC208" s="3" t="n">
        <v>1413.0</v>
      </c>
      <c r="AD208" s="3" t="n">
        <v>1494.0</v>
      </c>
      <c r="AE208" s="3" t="n">
        <v>1580.0</v>
      </c>
      <c r="AF208" s="3" t="n">
        <v>1637.0</v>
      </c>
      <c r="AG208" s="3" t="n">
        <v>1737.0</v>
      </c>
      <c r="AH208" s="3" t="n">
        <v>1744.0</v>
      </c>
      <c r="AI208" s="3" t="n">
        <v>1791.0</v>
      </c>
      <c r="AJ208" s="3" t="n">
        <v>1783.0</v>
      </c>
      <c r="AK208" s="3" t="n">
        <v>1744.0</v>
      </c>
      <c r="AL208" s="3" t="n">
        <v>1685.0</v>
      </c>
      <c r="AM208" s="3" t="n">
        <v>1608.0</v>
      </c>
      <c r="AN208" s="3" t="n">
        <v>1608.0</v>
      </c>
      <c r="AO208" s="3" t="n">
        <v>1654.0</v>
      </c>
    </row>
    <row r="209" spans="1:41" x14ac:dyDescent="0.2">
      <c r="A209" s="125"/>
      <c r="B209" s="9">
        <v>98</v>
      </c>
      <c r="C209" s="3" t="n">
        <v>174.0</v>
      </c>
      <c r="D209" s="3" t="n">
        <v>257.0</v>
      </c>
      <c r="E209" s="3" t="n">
        <v>225.0</v>
      </c>
      <c r="F209" s="3" t="n">
        <v>280.0</v>
      </c>
      <c r="G209" s="3" t="n">
        <v>340.0</v>
      </c>
      <c r="H209" s="3" t="n">
        <v>328.0</v>
      </c>
      <c r="I209" s="3" t="n">
        <v>385.0</v>
      </c>
      <c r="J209" s="3" t="n">
        <v>375.0</v>
      </c>
      <c r="K209" s="3" t="n">
        <v>363.0</v>
      </c>
      <c r="L209" s="3" t="n">
        <v>384.0</v>
      </c>
      <c r="M209" s="3" t="n">
        <v>408.0</v>
      </c>
      <c r="N209" s="3" t="n">
        <v>418.0</v>
      </c>
      <c r="O209" s="3" t="n">
        <v>442.0</v>
      </c>
      <c r="P209" s="3" t="n">
        <v>442.0</v>
      </c>
      <c r="Q209" s="3" t="n">
        <v>444.0</v>
      </c>
      <c r="R209" s="3" t="n">
        <v>437.0</v>
      </c>
      <c r="S209" s="3" t="n">
        <v>456.0</v>
      </c>
      <c r="T209" s="3" t="n">
        <v>444.0</v>
      </c>
      <c r="U209" s="3" t="n">
        <v>432.0</v>
      </c>
      <c r="V209" s="3" t="n">
        <v>463.0</v>
      </c>
      <c r="W209" s="3" t="n">
        <v>508.0</v>
      </c>
      <c r="X209" s="3" t="n">
        <v>536.0</v>
      </c>
      <c r="Y209" s="3" t="n">
        <v>712.0</v>
      </c>
      <c r="Z209" s="3" t="n">
        <v>803.0</v>
      </c>
      <c r="AA209" s="3" t="n">
        <v>873.0</v>
      </c>
      <c r="AB209" s="3" t="n">
        <v>918.0</v>
      </c>
      <c r="AC209" s="3" t="n">
        <v>1006.0</v>
      </c>
      <c r="AD209" s="3" t="n">
        <v>1079.0</v>
      </c>
      <c r="AE209" s="3" t="n">
        <v>1144.0</v>
      </c>
      <c r="AF209" s="3" t="n">
        <v>1217.0</v>
      </c>
      <c r="AG209" s="3" t="n">
        <v>1256.0</v>
      </c>
      <c r="AH209" s="3" t="n">
        <v>1341.0</v>
      </c>
      <c r="AI209" s="3" t="n">
        <v>1347.0</v>
      </c>
      <c r="AJ209" s="3" t="n">
        <v>1390.0</v>
      </c>
      <c r="AK209" s="3" t="n">
        <v>1388.0</v>
      </c>
      <c r="AL209" s="3" t="n">
        <v>1361.0</v>
      </c>
      <c r="AM209" s="3" t="n">
        <v>1316.0</v>
      </c>
      <c r="AN209" s="3" t="n">
        <v>1257.0</v>
      </c>
      <c r="AO209" s="3" t="n">
        <v>1257.0</v>
      </c>
    </row>
    <row r="210" spans="1:41" x14ac:dyDescent="0.2">
      <c r="A210" s="125"/>
      <c r="B210" s="9">
        <v>99</v>
      </c>
      <c r="C210" s="3" t="n">
        <v>172.0</v>
      </c>
      <c r="D210" s="3" t="n">
        <v>118.0</v>
      </c>
      <c r="E210" s="3" t="n">
        <v>178.0</v>
      </c>
      <c r="F210" s="3" t="n">
        <v>159.0</v>
      </c>
      <c r="G210" s="3" t="n">
        <v>196.0</v>
      </c>
      <c r="H210" s="3" t="n">
        <v>238.0</v>
      </c>
      <c r="I210" s="3" t="n">
        <v>232.0</v>
      </c>
      <c r="J210" s="3" t="n">
        <v>273.0</v>
      </c>
      <c r="K210" s="3" t="n">
        <v>263.0</v>
      </c>
      <c r="L210" s="3" t="n">
        <v>253.0</v>
      </c>
      <c r="M210" s="3" t="n">
        <v>274.0</v>
      </c>
      <c r="N210" s="3" t="n">
        <v>294.0</v>
      </c>
      <c r="O210" s="3" t="n">
        <v>304.0</v>
      </c>
      <c r="P210" s="3" t="n">
        <v>317.0</v>
      </c>
      <c r="Q210" s="3" t="n">
        <v>322.0</v>
      </c>
      <c r="R210" s="3" t="n">
        <v>320.0</v>
      </c>
      <c r="S210" s="3" t="n">
        <v>324.0</v>
      </c>
      <c r="T210" s="3" t="n">
        <v>333.0</v>
      </c>
      <c r="U210" s="3" t="n">
        <v>322.0</v>
      </c>
      <c r="V210" s="3" t="n">
        <v>316.0</v>
      </c>
      <c r="W210" s="3" t="n">
        <v>339.0</v>
      </c>
      <c r="X210" s="3" t="n">
        <v>377.0</v>
      </c>
      <c r="Y210" s="3" t="n">
        <v>395.0</v>
      </c>
      <c r="Z210" s="3" t="n">
        <v>529.0</v>
      </c>
      <c r="AA210" s="3" t="n">
        <v>597.0</v>
      </c>
      <c r="AB210" s="3" t="n">
        <v>650.0</v>
      </c>
      <c r="AC210" s="3" t="n">
        <v>682.0</v>
      </c>
      <c r="AD210" s="3" t="n">
        <v>755.0</v>
      </c>
      <c r="AE210" s="3" t="n">
        <v>805.0</v>
      </c>
      <c r="AF210" s="3" t="n">
        <v>859.0</v>
      </c>
      <c r="AG210" s="3" t="n">
        <v>924.0</v>
      </c>
      <c r="AH210" s="3" t="n">
        <v>952.0</v>
      </c>
      <c r="AI210" s="3" t="n">
        <v>1014.0</v>
      </c>
      <c r="AJ210" s="3" t="n">
        <v>1022.0</v>
      </c>
      <c r="AK210" s="3" t="n">
        <v>1054.0</v>
      </c>
      <c r="AL210" s="3" t="n">
        <v>1054.0</v>
      </c>
      <c r="AM210" s="3" t="n">
        <v>1041.0</v>
      </c>
      <c r="AN210" s="3" t="n">
        <v>1006.0</v>
      </c>
      <c r="AO210" s="3" t="n">
        <v>961.0</v>
      </c>
    </row>
    <row r="211" spans="1:41" x14ac:dyDescent="0.2">
      <c r="A211" s="125"/>
      <c r="B211" s="9" t="s">
        <v>80</v>
      </c>
      <c r="C211" s="3" t="n">
        <v>265.0</v>
      </c>
      <c r="D211" s="3" t="n">
        <v>290.0</v>
      </c>
      <c r="E211" s="3" t="n">
        <v>269.0</v>
      </c>
      <c r="F211" s="3" t="n">
        <v>295.0</v>
      </c>
      <c r="G211" s="3" t="n">
        <v>306.0</v>
      </c>
      <c r="H211" s="3" t="n">
        <v>338.0</v>
      </c>
      <c r="I211" s="3" t="n">
        <v>379.0</v>
      </c>
      <c r="J211" s="3" t="n">
        <v>410.0</v>
      </c>
      <c r="K211" s="3" t="n">
        <v>464.0</v>
      </c>
      <c r="L211" s="3" t="n">
        <v>489.0</v>
      </c>
      <c r="M211" s="3" t="n">
        <v>496.0</v>
      </c>
      <c r="N211" s="3" t="n">
        <v>525.0</v>
      </c>
      <c r="O211" s="3" t="n">
        <v>555.0</v>
      </c>
      <c r="P211" s="3" t="n">
        <v>580.0</v>
      </c>
      <c r="Q211" s="3" t="n">
        <v>602.0</v>
      </c>
      <c r="R211" s="3" t="n">
        <v>627.0</v>
      </c>
      <c r="S211" s="3" t="n">
        <v>645.0</v>
      </c>
      <c r="T211" s="3" t="n">
        <v>663.0</v>
      </c>
      <c r="U211" s="3" t="n">
        <v>676.0</v>
      </c>
      <c r="V211" s="3" t="n">
        <v>681.0</v>
      </c>
      <c r="W211" s="3" t="n">
        <v>683.0</v>
      </c>
      <c r="X211" s="3" t="n">
        <v>710.0</v>
      </c>
      <c r="Y211" s="3" t="n">
        <v>758.0</v>
      </c>
      <c r="Z211" s="3" t="n">
        <v>801.0</v>
      </c>
      <c r="AA211" s="3" t="n">
        <v>926.0</v>
      </c>
      <c r="AB211" s="3" t="n">
        <v>1066.0</v>
      </c>
      <c r="AC211" s="3" t="n">
        <v>1211.0</v>
      </c>
      <c r="AD211" s="3" t="n">
        <v>1341.0</v>
      </c>
      <c r="AE211" s="3" t="n">
        <v>1483.0</v>
      </c>
      <c r="AF211" s="3" t="n">
        <v>1621.0</v>
      </c>
      <c r="AG211" s="3" t="n">
        <v>1762.0</v>
      </c>
      <c r="AH211" s="3" t="n">
        <v>1909.0</v>
      </c>
      <c r="AI211" s="3" t="n">
        <v>2032.0</v>
      </c>
      <c r="AJ211" s="3" t="n">
        <v>2165.0</v>
      </c>
      <c r="AK211" s="3" t="n">
        <v>2265.0</v>
      </c>
      <c r="AL211" s="3" t="n">
        <v>2373.0</v>
      </c>
      <c r="AM211" s="3" t="n">
        <v>2452.0</v>
      </c>
      <c r="AN211" s="3" t="n">
        <v>2496.0</v>
      </c>
      <c r="AO211" s="3" t="n">
        <v>2515.0</v>
      </c>
    </row>
    <row r="212" spans="1:41" x14ac:dyDescent="0.2">
      <c r="A212" s="125" t="s">
        <v>51</v>
      </c>
      <c r="B212" s="71" t="s">
        <v>52</v>
      </c>
      <c r="C212" s="70" t="n">
        <v>2872371.0</v>
      </c>
      <c r="D212" s="70" t="n">
        <v>2873695.0</v>
      </c>
      <c r="E212" s="70" t="n">
        <v>2874699.0</v>
      </c>
      <c r="F212" s="70" t="n">
        <v>2875641.0</v>
      </c>
      <c r="G212" s="70" t="n">
        <v>2876295.0</v>
      </c>
      <c r="H212" s="70" t="n">
        <v>2889449.0</v>
      </c>
      <c r="I212" s="70" t="n">
        <v>2906949.0</v>
      </c>
      <c r="J212" s="70" t="n">
        <v>2913967.0</v>
      </c>
      <c r="K212" s="70" t="n">
        <v>2915351.0</v>
      </c>
      <c r="L212" s="70" t="n">
        <v>2914266.0</v>
      </c>
      <c r="M212" s="70" t="n">
        <v>2911535.0</v>
      </c>
      <c r="N212" s="70" t="n">
        <v>2907470.0</v>
      </c>
      <c r="O212" s="70" t="n">
        <v>2902537.0</v>
      </c>
      <c r="P212" s="70" t="n">
        <v>2896974.0</v>
      </c>
      <c r="Q212" s="70" t="n">
        <v>2890997.0</v>
      </c>
      <c r="R212" s="70" t="n">
        <v>2884642.0</v>
      </c>
      <c r="S212" s="70" t="n">
        <v>2877947.0</v>
      </c>
      <c r="T212" s="70" t="n">
        <v>2871056.0</v>
      </c>
      <c r="U212" s="70" t="n">
        <v>2863962.0</v>
      </c>
      <c r="V212" s="70" t="n">
        <v>2856676.0</v>
      </c>
      <c r="W212" s="70" t="n">
        <v>2849325.0</v>
      </c>
      <c r="X212" s="70" t="n">
        <v>2841865.0</v>
      </c>
      <c r="Y212" s="70" t="n">
        <v>2834341.0</v>
      </c>
      <c r="Z212" s="70" t="n">
        <v>2826425.0</v>
      </c>
      <c r="AA212" s="70" t="n">
        <v>2818403.0</v>
      </c>
      <c r="AB212" s="70" t="n">
        <v>2810291.0</v>
      </c>
      <c r="AC212" s="70" t="n">
        <v>2802043.0</v>
      </c>
      <c r="AD212" s="70" t="n">
        <v>2793632.0</v>
      </c>
      <c r="AE212" s="70" t="n">
        <v>2784989.0</v>
      </c>
      <c r="AF212" s="70" t="n">
        <v>2776108.0</v>
      </c>
      <c r="AG212" s="70" t="n">
        <v>2766592.0</v>
      </c>
      <c r="AH212" s="70" t="n">
        <v>2756760.0</v>
      </c>
      <c r="AI212" s="70" t="n">
        <v>2746574.0</v>
      </c>
      <c r="AJ212" s="70" t="n">
        <v>2735947.0</v>
      </c>
      <c r="AK212" s="70" t="n">
        <v>2724890.0</v>
      </c>
      <c r="AL212" s="70" t="n">
        <v>2713396.0</v>
      </c>
      <c r="AM212" s="70" t="n">
        <v>2701026.0</v>
      </c>
      <c r="AN212" s="70" t="n">
        <v>2688168.0</v>
      </c>
      <c r="AO212" s="70" t="n">
        <v>2674868.0</v>
      </c>
    </row>
    <row r="213" spans="1:41" x14ac:dyDescent="0.2">
      <c r="A213" s="125"/>
      <c r="B213" s="9">
        <v>0</v>
      </c>
      <c r="C213" s="3" t="n">
        <v>24114.0</v>
      </c>
      <c r="D213" s="3" t="n">
        <v>25188.0</v>
      </c>
      <c r="E213" s="3" t="n">
        <v>24891.0</v>
      </c>
      <c r="F213" s="3" t="n">
        <v>24674.0</v>
      </c>
      <c r="G213" s="3" t="n">
        <v>24426.0</v>
      </c>
      <c r="H213" s="3" t="n">
        <v>24283.0</v>
      </c>
      <c r="I213" s="3" t="n">
        <v>24189.0</v>
      </c>
      <c r="J213" s="3" t="n">
        <v>24032.0</v>
      </c>
      <c r="K213" s="3" t="n">
        <v>23805.0</v>
      </c>
      <c r="L213" s="3" t="n">
        <v>23553.0</v>
      </c>
      <c r="M213" s="3" t="n">
        <v>23286.0</v>
      </c>
      <c r="N213" s="3" t="n">
        <v>23057.0</v>
      </c>
      <c r="O213" s="3" t="n">
        <v>22863.0</v>
      </c>
      <c r="P213" s="3" t="n">
        <v>22766.0</v>
      </c>
      <c r="Q213" s="3" t="n">
        <v>22755.0</v>
      </c>
      <c r="R213" s="3" t="n">
        <v>22835.0</v>
      </c>
      <c r="S213" s="3" t="n">
        <v>22986.0</v>
      </c>
      <c r="T213" s="3" t="n">
        <v>23203.0</v>
      </c>
      <c r="U213" s="3" t="n">
        <v>23443.0</v>
      </c>
      <c r="V213" s="3" t="n">
        <v>23683.0</v>
      </c>
      <c r="W213" s="3" t="n">
        <v>23917.0</v>
      </c>
      <c r="X213" s="3" t="n">
        <v>24124.0</v>
      </c>
      <c r="Y213" s="3" t="n">
        <v>24273.0</v>
      </c>
      <c r="Z213" s="3" t="n">
        <v>24360.0</v>
      </c>
      <c r="AA213" s="3" t="n">
        <v>24394.0</v>
      </c>
      <c r="AB213" s="3" t="n">
        <v>24371.0</v>
      </c>
      <c r="AC213" s="3" t="n">
        <v>24285.0</v>
      </c>
      <c r="AD213" s="3" t="n">
        <v>24140.0</v>
      </c>
      <c r="AE213" s="3" t="n">
        <v>23931.0</v>
      </c>
      <c r="AF213" s="3" t="n">
        <v>23669.0</v>
      </c>
      <c r="AG213" s="3" t="n">
        <v>23374.0</v>
      </c>
      <c r="AH213" s="3" t="n">
        <v>23038.0</v>
      </c>
      <c r="AI213" s="3" t="n">
        <v>22674.0</v>
      </c>
      <c r="AJ213" s="3" t="n">
        <v>22324.0</v>
      </c>
      <c r="AK213" s="3" t="n">
        <v>21986.0</v>
      </c>
      <c r="AL213" s="3" t="n">
        <v>21638.0</v>
      </c>
      <c r="AM213" s="3" t="n">
        <v>21306.0</v>
      </c>
      <c r="AN213" s="3" t="n">
        <v>21015.0</v>
      </c>
      <c r="AO213" s="3" t="n">
        <v>20754.0</v>
      </c>
    </row>
    <row r="214" spans="1:41" x14ac:dyDescent="0.2">
      <c r="A214" s="125"/>
      <c r="B214" s="9">
        <v>1</v>
      </c>
      <c r="C214" s="3" t="n">
        <v>26746.0</v>
      </c>
      <c r="D214" s="3" t="n">
        <v>24208.0</v>
      </c>
      <c r="E214" s="3" t="n">
        <v>25270.0</v>
      </c>
      <c r="F214" s="3" t="n">
        <v>24973.0</v>
      </c>
      <c r="G214" s="3" t="n">
        <v>24759.0</v>
      </c>
      <c r="H214" s="3" t="n">
        <v>24664.0</v>
      </c>
      <c r="I214" s="3" t="n">
        <v>24578.0</v>
      </c>
      <c r="J214" s="3" t="n">
        <v>24371.0</v>
      </c>
      <c r="K214" s="3" t="n">
        <v>24153.0</v>
      </c>
      <c r="L214" s="3" t="n">
        <v>23907.0</v>
      </c>
      <c r="M214" s="3" t="n">
        <v>23647.0</v>
      </c>
      <c r="N214" s="3" t="n">
        <v>23376.0</v>
      </c>
      <c r="O214" s="3" t="n">
        <v>23147.0</v>
      </c>
      <c r="P214" s="3" t="n">
        <v>22958.0</v>
      </c>
      <c r="Q214" s="3" t="n">
        <v>22860.0</v>
      </c>
      <c r="R214" s="3" t="n">
        <v>22849.0</v>
      </c>
      <c r="S214" s="3" t="n">
        <v>22927.0</v>
      </c>
      <c r="T214" s="3" t="n">
        <v>23079.0</v>
      </c>
      <c r="U214" s="3" t="n">
        <v>23291.0</v>
      </c>
      <c r="V214" s="3" t="n">
        <v>23524.0</v>
      </c>
      <c r="W214" s="3" t="n">
        <v>23761.0</v>
      </c>
      <c r="X214" s="3" t="n">
        <v>23991.0</v>
      </c>
      <c r="Y214" s="3" t="n">
        <v>24196.0</v>
      </c>
      <c r="Z214" s="3" t="n">
        <v>24349.0</v>
      </c>
      <c r="AA214" s="3" t="n">
        <v>24432.0</v>
      </c>
      <c r="AB214" s="3" t="n">
        <v>24465.0</v>
      </c>
      <c r="AC214" s="3" t="n">
        <v>24442.0</v>
      </c>
      <c r="AD214" s="3" t="n">
        <v>24358.0</v>
      </c>
      <c r="AE214" s="3" t="n">
        <v>24208.0</v>
      </c>
      <c r="AF214" s="3" t="n">
        <v>23996.0</v>
      </c>
      <c r="AG214" s="3" t="n">
        <v>23732.0</v>
      </c>
      <c r="AH214" s="3" t="n">
        <v>23433.0</v>
      </c>
      <c r="AI214" s="3" t="n">
        <v>23096.0</v>
      </c>
      <c r="AJ214" s="3" t="n">
        <v>22731.0</v>
      </c>
      <c r="AK214" s="3" t="n">
        <v>22380.0</v>
      </c>
      <c r="AL214" s="3" t="n">
        <v>22040.0</v>
      </c>
      <c r="AM214" s="3" t="n">
        <v>21692.0</v>
      </c>
      <c r="AN214" s="3" t="n">
        <v>21358.0</v>
      </c>
      <c r="AO214" s="3" t="n">
        <v>21071.0</v>
      </c>
    </row>
    <row r="215" spans="1:41" x14ac:dyDescent="0.2">
      <c r="A215" s="125"/>
      <c r="B215" s="9">
        <v>2</v>
      </c>
      <c r="C215" s="3" t="n">
        <v>26980.0</v>
      </c>
      <c r="D215" s="3" t="n">
        <v>26860.0</v>
      </c>
      <c r="E215" s="3" t="n">
        <v>24308.0</v>
      </c>
      <c r="F215" s="3" t="n">
        <v>25365.0</v>
      </c>
      <c r="G215" s="3" t="n">
        <v>25074.0</v>
      </c>
      <c r="H215" s="3" t="n">
        <v>25066.0</v>
      </c>
      <c r="I215" s="3" t="n">
        <v>25042.0</v>
      </c>
      <c r="J215" s="3" t="n">
        <v>24801.0</v>
      </c>
      <c r="K215" s="3" t="n">
        <v>24519.0</v>
      </c>
      <c r="L215" s="3" t="n">
        <v>24271.0</v>
      </c>
      <c r="M215" s="3" t="n">
        <v>24014.0</v>
      </c>
      <c r="N215" s="3" t="n">
        <v>23742.0</v>
      </c>
      <c r="O215" s="3" t="n">
        <v>23471.0</v>
      </c>
      <c r="P215" s="3" t="n">
        <v>23241.0</v>
      </c>
      <c r="Q215" s="3" t="n">
        <v>23052.0</v>
      </c>
      <c r="R215" s="3" t="n">
        <v>22956.0</v>
      </c>
      <c r="S215" s="3" t="n">
        <v>22948.0</v>
      </c>
      <c r="T215" s="3" t="n">
        <v>23029.0</v>
      </c>
      <c r="U215" s="3" t="n">
        <v>23179.0</v>
      </c>
      <c r="V215" s="3" t="n">
        <v>23388.0</v>
      </c>
      <c r="W215" s="3" t="n">
        <v>23623.0</v>
      </c>
      <c r="X215" s="3" t="n">
        <v>23854.0</v>
      </c>
      <c r="Y215" s="3" t="n">
        <v>24079.0</v>
      </c>
      <c r="Z215" s="3" t="n">
        <v>24284.0</v>
      </c>
      <c r="AA215" s="3" t="n">
        <v>24434.0</v>
      </c>
      <c r="AB215" s="3" t="n">
        <v>24512.0</v>
      </c>
      <c r="AC215" s="3" t="n">
        <v>24542.0</v>
      </c>
      <c r="AD215" s="3" t="n">
        <v>24513.0</v>
      </c>
      <c r="AE215" s="3" t="n">
        <v>24431.0</v>
      </c>
      <c r="AF215" s="3" t="n">
        <v>24275.0</v>
      </c>
      <c r="AG215" s="3" t="n">
        <v>24067.0</v>
      </c>
      <c r="AH215" s="3" t="n">
        <v>23799.0</v>
      </c>
      <c r="AI215" s="3" t="n">
        <v>23499.0</v>
      </c>
      <c r="AJ215" s="3" t="n">
        <v>23161.0</v>
      </c>
      <c r="AK215" s="3" t="n">
        <v>22796.0</v>
      </c>
      <c r="AL215" s="3" t="n">
        <v>22442.0</v>
      </c>
      <c r="AM215" s="3" t="n">
        <v>22106.0</v>
      </c>
      <c r="AN215" s="3" t="n">
        <v>21757.0</v>
      </c>
      <c r="AO215" s="3" t="n">
        <v>21416.0</v>
      </c>
    </row>
    <row r="216" spans="1:41" x14ac:dyDescent="0.2">
      <c r="A216" s="125"/>
      <c r="B216" s="9">
        <v>3</v>
      </c>
      <c r="C216" s="3" t="n">
        <v>28970.0</v>
      </c>
      <c r="D216" s="3" t="n">
        <v>27086.0</v>
      </c>
      <c r="E216" s="3" t="n">
        <v>26949.0</v>
      </c>
      <c r="F216" s="3" t="n">
        <v>24390.0</v>
      </c>
      <c r="G216" s="3" t="n">
        <v>25452.0</v>
      </c>
      <c r="H216" s="3" t="n">
        <v>25363.0</v>
      </c>
      <c r="I216" s="3" t="n">
        <v>25436.0</v>
      </c>
      <c r="J216" s="3" t="n">
        <v>25245.0</v>
      </c>
      <c r="K216" s="3" t="n">
        <v>24927.0</v>
      </c>
      <c r="L216" s="3" t="n">
        <v>24618.0</v>
      </c>
      <c r="M216" s="3" t="n">
        <v>24358.0</v>
      </c>
      <c r="N216" s="3" t="n">
        <v>24092.0</v>
      </c>
      <c r="O216" s="3" t="n">
        <v>23816.0</v>
      </c>
      <c r="P216" s="3" t="n">
        <v>23545.0</v>
      </c>
      <c r="Q216" s="3" t="n">
        <v>23315.0</v>
      </c>
      <c r="R216" s="3" t="n">
        <v>23132.0</v>
      </c>
      <c r="S216" s="3" t="n">
        <v>23037.0</v>
      </c>
      <c r="T216" s="3" t="n">
        <v>23026.0</v>
      </c>
      <c r="U216" s="3" t="n">
        <v>23108.0</v>
      </c>
      <c r="V216" s="3" t="n">
        <v>23258.0</v>
      </c>
      <c r="W216" s="3" t="n">
        <v>23465.0</v>
      </c>
      <c r="X216" s="3" t="n">
        <v>23702.0</v>
      </c>
      <c r="Y216" s="3" t="n">
        <v>23932.0</v>
      </c>
      <c r="Z216" s="3" t="n">
        <v>24153.0</v>
      </c>
      <c r="AA216" s="3" t="n">
        <v>24358.0</v>
      </c>
      <c r="AB216" s="3" t="n">
        <v>24506.0</v>
      </c>
      <c r="AC216" s="3" t="n">
        <v>24586.0</v>
      </c>
      <c r="AD216" s="3" t="n">
        <v>24612.0</v>
      </c>
      <c r="AE216" s="3" t="n">
        <v>24579.0</v>
      </c>
      <c r="AF216" s="3" t="n">
        <v>24494.0</v>
      </c>
      <c r="AG216" s="3" t="n">
        <v>24336.0</v>
      </c>
      <c r="AH216" s="3" t="n">
        <v>24126.0</v>
      </c>
      <c r="AI216" s="3" t="n">
        <v>23859.0</v>
      </c>
      <c r="AJ216" s="3" t="n">
        <v>23548.0</v>
      </c>
      <c r="AK216" s="3" t="n">
        <v>23209.0</v>
      </c>
      <c r="AL216" s="3" t="n">
        <v>22844.0</v>
      </c>
      <c r="AM216" s="3" t="n">
        <v>22486.0</v>
      </c>
      <c r="AN216" s="3" t="n">
        <v>22153.0</v>
      </c>
      <c r="AO216" s="3" t="n">
        <v>21806.0</v>
      </c>
    </row>
    <row r="217" spans="1:41" x14ac:dyDescent="0.2">
      <c r="A217" s="125"/>
      <c r="B217" s="9">
        <v>4</v>
      </c>
      <c r="C217" s="3" t="n">
        <v>29909.0</v>
      </c>
      <c r="D217" s="3" t="n">
        <v>29047.0</v>
      </c>
      <c r="E217" s="3" t="n">
        <v>27159.0</v>
      </c>
      <c r="F217" s="3" t="n">
        <v>27017.0</v>
      </c>
      <c r="G217" s="3" t="n">
        <v>24458.0</v>
      </c>
      <c r="H217" s="3" t="n">
        <v>25731.0</v>
      </c>
      <c r="I217" s="3" t="n">
        <v>25714.0</v>
      </c>
      <c r="J217" s="3" t="n">
        <v>25634.0</v>
      </c>
      <c r="K217" s="3" t="n">
        <v>25352.0</v>
      </c>
      <c r="L217" s="3" t="n">
        <v>25008.0</v>
      </c>
      <c r="M217" s="3" t="n">
        <v>24681.0</v>
      </c>
      <c r="N217" s="3" t="n">
        <v>24413.0</v>
      </c>
      <c r="O217" s="3" t="n">
        <v>24141.0</v>
      </c>
      <c r="P217" s="3" t="n">
        <v>23868.0</v>
      </c>
      <c r="Q217" s="3" t="n">
        <v>23599.0</v>
      </c>
      <c r="R217" s="3" t="n">
        <v>23369.0</v>
      </c>
      <c r="S217" s="3" t="n">
        <v>23188.0</v>
      </c>
      <c r="T217" s="3" t="n">
        <v>23092.0</v>
      </c>
      <c r="U217" s="3" t="n">
        <v>23083.0</v>
      </c>
      <c r="V217" s="3" t="n">
        <v>23163.0</v>
      </c>
      <c r="W217" s="3" t="n">
        <v>23314.0</v>
      </c>
      <c r="X217" s="3" t="n">
        <v>23519.0</v>
      </c>
      <c r="Y217" s="3" t="n">
        <v>23753.0</v>
      </c>
      <c r="Z217" s="3" t="n">
        <v>23981.0</v>
      </c>
      <c r="AA217" s="3" t="n">
        <v>24200.0</v>
      </c>
      <c r="AB217" s="3" t="n">
        <v>24406.0</v>
      </c>
      <c r="AC217" s="3" t="n">
        <v>24551.0</v>
      </c>
      <c r="AD217" s="3" t="n">
        <v>24628.0</v>
      </c>
      <c r="AE217" s="3" t="n">
        <v>24651.0</v>
      </c>
      <c r="AF217" s="3" t="n">
        <v>24615.0</v>
      </c>
      <c r="AG217" s="3" t="n">
        <v>24527.0</v>
      </c>
      <c r="AH217" s="3" t="n">
        <v>24367.0</v>
      </c>
      <c r="AI217" s="3" t="n">
        <v>24156.0</v>
      </c>
      <c r="AJ217" s="3" t="n">
        <v>23890.0</v>
      </c>
      <c r="AK217" s="3" t="n">
        <v>23580.0</v>
      </c>
      <c r="AL217" s="3" t="n">
        <v>23238.0</v>
      </c>
      <c r="AM217" s="3" t="n">
        <v>22871.0</v>
      </c>
      <c r="AN217" s="3" t="n">
        <v>22509.0</v>
      </c>
      <c r="AO217" s="3" t="n">
        <v>22180.0</v>
      </c>
    </row>
    <row r="218" spans="1:41" x14ac:dyDescent="0.2">
      <c r="A218" s="125"/>
      <c r="B218" s="9">
        <v>5</v>
      </c>
      <c r="C218" s="3" t="n">
        <v>31095.0</v>
      </c>
      <c r="D218" s="3" t="n">
        <v>29979.0</v>
      </c>
      <c r="E218" s="3" t="n">
        <v>29110.0</v>
      </c>
      <c r="F218" s="3" t="n">
        <v>27226.0</v>
      </c>
      <c r="G218" s="3" t="n">
        <v>27083.0</v>
      </c>
      <c r="H218" s="3" t="n">
        <v>24737.0</v>
      </c>
      <c r="I218" s="3" t="n">
        <v>26084.0</v>
      </c>
      <c r="J218" s="3" t="n">
        <v>25893.0</v>
      </c>
      <c r="K218" s="3" t="n">
        <v>25740.0</v>
      </c>
      <c r="L218" s="3" t="n">
        <v>25422.0</v>
      </c>
      <c r="M218" s="3" t="n">
        <v>25063.0</v>
      </c>
      <c r="N218" s="3" t="n">
        <v>24724.0</v>
      </c>
      <c r="O218" s="3" t="n">
        <v>24451.0</v>
      </c>
      <c r="P218" s="3" t="n">
        <v>24178.0</v>
      </c>
      <c r="Q218" s="3" t="n">
        <v>23909.0</v>
      </c>
      <c r="R218" s="3" t="n">
        <v>23644.0</v>
      </c>
      <c r="S218" s="3" t="n">
        <v>23416.0</v>
      </c>
      <c r="T218" s="3" t="n">
        <v>23235.0</v>
      </c>
      <c r="U218" s="3" t="n">
        <v>23140.0</v>
      </c>
      <c r="V218" s="3" t="n">
        <v>23131.0</v>
      </c>
      <c r="W218" s="3" t="n">
        <v>23211.0</v>
      </c>
      <c r="X218" s="3" t="n">
        <v>23362.0</v>
      </c>
      <c r="Y218" s="3" t="n">
        <v>23560.0</v>
      </c>
      <c r="Z218" s="3" t="n">
        <v>23791.0</v>
      </c>
      <c r="AA218" s="3" t="n">
        <v>24019.0</v>
      </c>
      <c r="AB218" s="3" t="n">
        <v>24237.0</v>
      </c>
      <c r="AC218" s="3" t="n">
        <v>24442.0</v>
      </c>
      <c r="AD218" s="3" t="n">
        <v>24587.0</v>
      </c>
      <c r="AE218" s="3" t="n">
        <v>24661.0</v>
      </c>
      <c r="AF218" s="3" t="n">
        <v>24684.0</v>
      </c>
      <c r="AG218" s="3" t="n">
        <v>24646.0</v>
      </c>
      <c r="AH218" s="3" t="n">
        <v>24556.0</v>
      </c>
      <c r="AI218" s="3" t="n">
        <v>24393.0</v>
      </c>
      <c r="AJ218" s="3" t="n">
        <v>24180.0</v>
      </c>
      <c r="AK218" s="3" t="n">
        <v>23913.0</v>
      </c>
      <c r="AL218" s="3" t="n">
        <v>23604.0</v>
      </c>
      <c r="AM218" s="3" t="n">
        <v>23261.0</v>
      </c>
      <c r="AN218" s="3" t="n">
        <v>22889.0</v>
      </c>
      <c r="AO218" s="3" t="n">
        <v>22524.0</v>
      </c>
    </row>
    <row r="219" spans="1:41" x14ac:dyDescent="0.2">
      <c r="A219" s="125"/>
      <c r="B219" s="9">
        <v>6</v>
      </c>
      <c r="C219" s="3" t="n">
        <v>30431.0</v>
      </c>
      <c r="D219" s="3" t="n">
        <v>31172.0</v>
      </c>
      <c r="E219" s="3" t="n">
        <v>30051.0</v>
      </c>
      <c r="F219" s="3" t="n">
        <v>29186.0</v>
      </c>
      <c r="G219" s="3" t="n">
        <v>27297.0</v>
      </c>
      <c r="H219" s="3" t="n">
        <v>27387.0</v>
      </c>
      <c r="I219" s="3" t="n">
        <v>25116.0</v>
      </c>
      <c r="J219" s="3" t="n">
        <v>26279.0</v>
      </c>
      <c r="K219" s="3" t="n">
        <v>25995.0</v>
      </c>
      <c r="L219" s="3" t="n">
        <v>25811.0</v>
      </c>
      <c r="M219" s="3" t="n">
        <v>25479.0</v>
      </c>
      <c r="N219" s="3" t="n">
        <v>25109.0</v>
      </c>
      <c r="O219" s="3" t="n">
        <v>24766.0</v>
      </c>
      <c r="P219" s="3" t="n">
        <v>24492.0</v>
      </c>
      <c r="Q219" s="3" t="n">
        <v>24220.0</v>
      </c>
      <c r="R219" s="3" t="n">
        <v>23953.0</v>
      </c>
      <c r="S219" s="3" t="n">
        <v>23691.0</v>
      </c>
      <c r="T219" s="3" t="n">
        <v>23464.0</v>
      </c>
      <c r="U219" s="3" t="n">
        <v>23284.0</v>
      </c>
      <c r="V219" s="3" t="n">
        <v>23189.0</v>
      </c>
      <c r="W219" s="3" t="n">
        <v>23182.0</v>
      </c>
      <c r="X219" s="3" t="n">
        <v>23263.0</v>
      </c>
      <c r="Y219" s="3" t="n">
        <v>23413.0</v>
      </c>
      <c r="Z219" s="3" t="n">
        <v>23610.0</v>
      </c>
      <c r="AA219" s="3" t="n">
        <v>23839.0</v>
      </c>
      <c r="AB219" s="3" t="n">
        <v>24065.0</v>
      </c>
      <c r="AC219" s="3" t="n">
        <v>24281.0</v>
      </c>
      <c r="AD219" s="3" t="n">
        <v>24482.0</v>
      </c>
      <c r="AE219" s="3" t="n">
        <v>24628.0</v>
      </c>
      <c r="AF219" s="3" t="n">
        <v>24701.0</v>
      </c>
      <c r="AG219" s="3" t="n">
        <v>24723.0</v>
      </c>
      <c r="AH219" s="3" t="n">
        <v>24684.0</v>
      </c>
      <c r="AI219" s="3" t="n">
        <v>24596.0</v>
      </c>
      <c r="AJ219" s="3" t="n">
        <v>24432.0</v>
      </c>
      <c r="AK219" s="3" t="n">
        <v>24217.0</v>
      </c>
      <c r="AL219" s="3" t="n">
        <v>23950.0</v>
      </c>
      <c r="AM219" s="3" t="n">
        <v>23642.0</v>
      </c>
      <c r="AN219" s="3" t="n">
        <v>23301.0</v>
      </c>
      <c r="AO219" s="3" t="n">
        <v>22924.0</v>
      </c>
    </row>
    <row r="220" spans="1:41" x14ac:dyDescent="0.2">
      <c r="A220" s="125"/>
      <c r="B220" s="9">
        <v>7</v>
      </c>
      <c r="C220" s="3" t="n">
        <v>29660.0</v>
      </c>
      <c r="D220" s="3" t="n">
        <v>30470.0</v>
      </c>
      <c r="E220" s="3" t="n">
        <v>31215.0</v>
      </c>
      <c r="F220" s="3" t="n">
        <v>30092.0</v>
      </c>
      <c r="G220" s="3" t="n">
        <v>29240.0</v>
      </c>
      <c r="H220" s="3" t="n">
        <v>27594.0</v>
      </c>
      <c r="I220" s="3" t="n">
        <v>27777.0</v>
      </c>
      <c r="J220" s="3" t="n">
        <v>25310.0</v>
      </c>
      <c r="K220" s="3" t="n">
        <v>26369.0</v>
      </c>
      <c r="L220" s="3" t="n">
        <v>26039.0</v>
      </c>
      <c r="M220" s="3" t="n">
        <v>25838.0</v>
      </c>
      <c r="N220" s="3" t="n">
        <v>25499.0</v>
      </c>
      <c r="O220" s="3" t="n">
        <v>25129.0</v>
      </c>
      <c r="P220" s="3" t="n">
        <v>24790.0</v>
      </c>
      <c r="Q220" s="3" t="n">
        <v>24517.0</v>
      </c>
      <c r="R220" s="3" t="n">
        <v>24251.0</v>
      </c>
      <c r="S220" s="3" t="n">
        <v>23983.0</v>
      </c>
      <c r="T220" s="3" t="n">
        <v>23723.0</v>
      </c>
      <c r="U220" s="3" t="n">
        <v>23497.0</v>
      </c>
      <c r="V220" s="3" t="n">
        <v>23319.0</v>
      </c>
      <c r="W220" s="3" t="n">
        <v>23225.0</v>
      </c>
      <c r="X220" s="3" t="n">
        <v>23215.0</v>
      </c>
      <c r="Y220" s="3" t="n">
        <v>23295.0</v>
      </c>
      <c r="Z220" s="3" t="n">
        <v>23444.0</v>
      </c>
      <c r="AA220" s="3" t="n">
        <v>23641.0</v>
      </c>
      <c r="AB220" s="3" t="n">
        <v>23866.0</v>
      </c>
      <c r="AC220" s="3" t="n">
        <v>24088.0</v>
      </c>
      <c r="AD220" s="3" t="n">
        <v>24304.0</v>
      </c>
      <c r="AE220" s="3" t="n">
        <v>24504.0</v>
      </c>
      <c r="AF220" s="3" t="n">
        <v>24647.0</v>
      </c>
      <c r="AG220" s="3" t="n">
        <v>24719.0</v>
      </c>
      <c r="AH220" s="3" t="n">
        <v>24739.0</v>
      </c>
      <c r="AI220" s="3" t="n">
        <v>24697.0</v>
      </c>
      <c r="AJ220" s="3" t="n">
        <v>24608.0</v>
      </c>
      <c r="AK220" s="3" t="n">
        <v>24442.0</v>
      </c>
      <c r="AL220" s="3" t="n">
        <v>24225.0</v>
      </c>
      <c r="AM220" s="3" t="n">
        <v>23958.0</v>
      </c>
      <c r="AN220" s="3" t="n">
        <v>23649.0</v>
      </c>
      <c r="AO220" s="3" t="n">
        <v>23314.0</v>
      </c>
    </row>
    <row r="221" spans="1:41" x14ac:dyDescent="0.2">
      <c r="A221" s="125"/>
      <c r="B221" s="9">
        <v>8</v>
      </c>
      <c r="C221" s="3" t="n">
        <v>29346.0</v>
      </c>
      <c r="D221" s="3" t="n">
        <v>29684.0</v>
      </c>
      <c r="E221" s="3" t="n">
        <v>30497.0</v>
      </c>
      <c r="F221" s="3" t="n">
        <v>31243.0</v>
      </c>
      <c r="G221" s="3" t="n">
        <v>30133.0</v>
      </c>
      <c r="H221" s="3" t="n">
        <v>29529.0</v>
      </c>
      <c r="I221" s="3" t="n">
        <v>27964.0</v>
      </c>
      <c r="J221" s="3" t="n">
        <v>27952.0</v>
      </c>
      <c r="K221" s="3" t="n">
        <v>25385.0</v>
      </c>
      <c r="L221" s="3" t="n">
        <v>26402.0</v>
      </c>
      <c r="M221" s="3" t="n">
        <v>26052.0</v>
      </c>
      <c r="N221" s="3" t="n">
        <v>25844.0</v>
      </c>
      <c r="O221" s="3" t="n">
        <v>25499.0</v>
      </c>
      <c r="P221" s="3" t="n">
        <v>25132.0</v>
      </c>
      <c r="Q221" s="3" t="n">
        <v>24795.0</v>
      </c>
      <c r="R221" s="3" t="n">
        <v>24522.0</v>
      </c>
      <c r="S221" s="3" t="n">
        <v>24257.0</v>
      </c>
      <c r="T221" s="3" t="n">
        <v>23990.0</v>
      </c>
      <c r="U221" s="3" t="n">
        <v>23729.0</v>
      </c>
      <c r="V221" s="3" t="n">
        <v>23502.0</v>
      </c>
      <c r="W221" s="3" t="n">
        <v>23325.0</v>
      </c>
      <c r="X221" s="3" t="n">
        <v>23233.0</v>
      </c>
      <c r="Y221" s="3" t="n">
        <v>23225.0</v>
      </c>
      <c r="Z221" s="3" t="n">
        <v>23302.0</v>
      </c>
      <c r="AA221" s="3" t="n">
        <v>23450.0</v>
      </c>
      <c r="AB221" s="3" t="n">
        <v>23647.0</v>
      </c>
      <c r="AC221" s="3" t="n">
        <v>23870.0</v>
      </c>
      <c r="AD221" s="3" t="n">
        <v>24091.0</v>
      </c>
      <c r="AE221" s="3" t="n">
        <v>24305.0</v>
      </c>
      <c r="AF221" s="3" t="n">
        <v>24502.0</v>
      </c>
      <c r="AG221" s="3" t="n">
        <v>24645.0</v>
      </c>
      <c r="AH221" s="3" t="n">
        <v>24716.0</v>
      </c>
      <c r="AI221" s="3" t="n">
        <v>24734.0</v>
      </c>
      <c r="AJ221" s="3" t="n">
        <v>24690.0</v>
      </c>
      <c r="AK221" s="3" t="n">
        <v>24599.0</v>
      </c>
      <c r="AL221" s="3" t="n">
        <v>24434.0</v>
      </c>
      <c r="AM221" s="3" t="n">
        <v>24219.0</v>
      </c>
      <c r="AN221" s="3" t="n">
        <v>23947.0</v>
      </c>
      <c r="AO221" s="3" t="n">
        <v>23638.0</v>
      </c>
    </row>
    <row r="222" spans="1:41" x14ac:dyDescent="0.2">
      <c r="A222" s="125"/>
      <c r="B222" s="9">
        <v>9</v>
      </c>
      <c r="C222" s="3" t="n">
        <v>28860.0</v>
      </c>
      <c r="D222" s="3" t="n">
        <v>29363.0</v>
      </c>
      <c r="E222" s="3" t="n">
        <v>29701.0</v>
      </c>
      <c r="F222" s="3" t="n">
        <v>30518.0</v>
      </c>
      <c r="G222" s="3" t="n">
        <v>31279.0</v>
      </c>
      <c r="H222" s="3" t="n">
        <v>30424.0</v>
      </c>
      <c r="I222" s="3" t="n">
        <v>29921.0</v>
      </c>
      <c r="J222" s="3" t="n">
        <v>28148.0</v>
      </c>
      <c r="K222" s="3" t="n">
        <v>28038.0</v>
      </c>
      <c r="L222" s="3" t="n">
        <v>25426.0</v>
      </c>
      <c r="M222" s="3" t="n">
        <v>26425.0</v>
      </c>
      <c r="N222" s="3" t="n">
        <v>26057.0</v>
      </c>
      <c r="O222" s="3" t="n">
        <v>25843.0</v>
      </c>
      <c r="P222" s="3" t="n">
        <v>25495.0</v>
      </c>
      <c r="Q222" s="3" t="n">
        <v>25129.0</v>
      </c>
      <c r="R222" s="3" t="n">
        <v>24799.0</v>
      </c>
      <c r="S222" s="3" t="n">
        <v>24528.0</v>
      </c>
      <c r="T222" s="3" t="n">
        <v>24263.0</v>
      </c>
      <c r="U222" s="3" t="n">
        <v>23996.0</v>
      </c>
      <c r="V222" s="3" t="n">
        <v>23736.0</v>
      </c>
      <c r="W222" s="3" t="n">
        <v>23509.0</v>
      </c>
      <c r="X222" s="3" t="n">
        <v>23332.0</v>
      </c>
      <c r="Y222" s="3" t="n">
        <v>23240.0</v>
      </c>
      <c r="Z222" s="3" t="n">
        <v>23233.0</v>
      </c>
      <c r="AA222" s="3" t="n">
        <v>23311.0</v>
      </c>
      <c r="AB222" s="3" t="n">
        <v>23457.0</v>
      </c>
      <c r="AC222" s="3" t="n">
        <v>23654.0</v>
      </c>
      <c r="AD222" s="3" t="n">
        <v>23876.0</v>
      </c>
      <c r="AE222" s="3" t="n">
        <v>24096.0</v>
      </c>
      <c r="AF222" s="3" t="n">
        <v>24308.0</v>
      </c>
      <c r="AG222" s="3" t="n">
        <v>24505.0</v>
      </c>
      <c r="AH222" s="3" t="n">
        <v>24646.0</v>
      </c>
      <c r="AI222" s="3" t="n">
        <v>24716.0</v>
      </c>
      <c r="AJ222" s="3" t="n">
        <v>24731.0</v>
      </c>
      <c r="AK222" s="3" t="n">
        <v>24687.0</v>
      </c>
      <c r="AL222" s="3" t="n">
        <v>24596.0</v>
      </c>
      <c r="AM222" s="3" t="n">
        <v>24430.0</v>
      </c>
      <c r="AN222" s="3" t="n">
        <v>24215.0</v>
      </c>
      <c r="AO222" s="3" t="n">
        <v>23941.0</v>
      </c>
    </row>
    <row r="223" spans="1:41" x14ac:dyDescent="0.2">
      <c r="A223" s="125"/>
      <c r="B223" s="9">
        <v>10</v>
      </c>
      <c r="C223" s="3" t="n">
        <v>29887.0</v>
      </c>
      <c r="D223" s="3" t="n">
        <v>28892.0</v>
      </c>
      <c r="E223" s="3" t="n">
        <v>29392.0</v>
      </c>
      <c r="F223" s="3" t="n">
        <v>29727.0</v>
      </c>
      <c r="G223" s="3" t="n">
        <v>30553.0</v>
      </c>
      <c r="H223" s="3" t="n">
        <v>31587.0</v>
      </c>
      <c r="I223" s="3" t="n">
        <v>30828.0</v>
      </c>
      <c r="J223" s="3" t="n">
        <v>30119.0</v>
      </c>
      <c r="K223" s="3" t="n">
        <v>28230.0</v>
      </c>
      <c r="L223" s="3" t="n">
        <v>28082.0</v>
      </c>
      <c r="M223" s="3" t="n">
        <v>25441.0</v>
      </c>
      <c r="N223" s="3" t="n">
        <v>26428.0</v>
      </c>
      <c r="O223" s="3" t="n">
        <v>26057.0</v>
      </c>
      <c r="P223" s="3" t="n">
        <v>25844.0</v>
      </c>
      <c r="Q223" s="3" t="n">
        <v>25500.0</v>
      </c>
      <c r="R223" s="3" t="n">
        <v>25128.0</v>
      </c>
      <c r="S223" s="3" t="n">
        <v>24796.0</v>
      </c>
      <c r="T223" s="3" t="n">
        <v>24527.0</v>
      </c>
      <c r="U223" s="3" t="n">
        <v>24262.0</v>
      </c>
      <c r="V223" s="3" t="n">
        <v>23994.0</v>
      </c>
      <c r="W223" s="3" t="n">
        <v>23738.0</v>
      </c>
      <c r="X223" s="3" t="n">
        <v>23509.0</v>
      </c>
      <c r="Y223" s="3" t="n">
        <v>23334.0</v>
      </c>
      <c r="Z223" s="3" t="n">
        <v>23243.0</v>
      </c>
      <c r="AA223" s="3" t="n">
        <v>23236.0</v>
      </c>
      <c r="AB223" s="3" t="n">
        <v>23313.0</v>
      </c>
      <c r="AC223" s="3" t="n">
        <v>23458.0</v>
      </c>
      <c r="AD223" s="3" t="n">
        <v>23655.0</v>
      </c>
      <c r="AE223" s="3" t="n">
        <v>23874.0</v>
      </c>
      <c r="AF223" s="3" t="n">
        <v>24094.0</v>
      </c>
      <c r="AG223" s="3" t="n">
        <v>24302.0</v>
      </c>
      <c r="AH223" s="3" t="n">
        <v>24499.0</v>
      </c>
      <c r="AI223" s="3" t="n">
        <v>24636.0</v>
      </c>
      <c r="AJ223" s="3" t="n">
        <v>24705.0</v>
      </c>
      <c r="AK223" s="3" t="n">
        <v>24718.0</v>
      </c>
      <c r="AL223" s="3" t="n">
        <v>24675.0</v>
      </c>
      <c r="AM223" s="3" t="n">
        <v>24582.0</v>
      </c>
      <c r="AN223" s="3" t="n">
        <v>24422.0</v>
      </c>
      <c r="AO223" s="3" t="n">
        <v>24207.0</v>
      </c>
    </row>
    <row r="224" spans="1:41" x14ac:dyDescent="0.2">
      <c r="A224" s="125"/>
      <c r="B224" s="9">
        <v>11</v>
      </c>
      <c r="C224" s="3" t="n">
        <v>29685.0</v>
      </c>
      <c r="D224" s="3" t="n">
        <v>29904.0</v>
      </c>
      <c r="E224" s="3" t="n">
        <v>28904.0</v>
      </c>
      <c r="F224" s="3" t="n">
        <v>29408.0</v>
      </c>
      <c r="G224" s="3" t="n">
        <v>29753.0</v>
      </c>
      <c r="H224" s="3" t="n">
        <v>30850.0</v>
      </c>
      <c r="I224" s="3" t="n">
        <v>31987.0</v>
      </c>
      <c r="J224" s="3" t="n">
        <v>31015.0</v>
      </c>
      <c r="K224" s="3" t="n">
        <v>30214.0</v>
      </c>
      <c r="L224" s="3" t="n">
        <v>28283.0</v>
      </c>
      <c r="M224" s="3" t="n">
        <v>28107.0</v>
      </c>
      <c r="N224" s="3" t="n">
        <v>25453.0</v>
      </c>
      <c r="O224" s="3" t="n">
        <v>26430.0</v>
      </c>
      <c r="P224" s="3" t="n">
        <v>26056.0</v>
      </c>
      <c r="Q224" s="3" t="n">
        <v>25842.0</v>
      </c>
      <c r="R224" s="3" t="n">
        <v>25499.0</v>
      </c>
      <c r="S224" s="3" t="n">
        <v>25126.0</v>
      </c>
      <c r="T224" s="3" t="n">
        <v>24791.0</v>
      </c>
      <c r="U224" s="3" t="n">
        <v>24523.0</v>
      </c>
      <c r="V224" s="3" t="n">
        <v>24258.0</v>
      </c>
      <c r="W224" s="3" t="n">
        <v>23991.0</v>
      </c>
      <c r="X224" s="3" t="n">
        <v>23734.0</v>
      </c>
      <c r="Y224" s="3" t="n">
        <v>23509.0</v>
      </c>
      <c r="Z224" s="3" t="n">
        <v>23335.0</v>
      </c>
      <c r="AA224" s="3" t="n">
        <v>23244.0</v>
      </c>
      <c r="AB224" s="3" t="n">
        <v>23238.0</v>
      </c>
      <c r="AC224" s="3" t="n">
        <v>23315.0</v>
      </c>
      <c r="AD224" s="3" t="n">
        <v>23461.0</v>
      </c>
      <c r="AE224" s="3" t="n">
        <v>23654.0</v>
      </c>
      <c r="AF224" s="3" t="n">
        <v>23873.0</v>
      </c>
      <c r="AG224" s="3" t="n">
        <v>24090.0</v>
      </c>
      <c r="AH224" s="3" t="n">
        <v>24299.0</v>
      </c>
      <c r="AI224" s="3" t="n">
        <v>24496.0</v>
      </c>
      <c r="AJ224" s="3" t="n">
        <v>24633.0</v>
      </c>
      <c r="AK224" s="3" t="n">
        <v>24699.0</v>
      </c>
      <c r="AL224" s="3" t="n">
        <v>24712.0</v>
      </c>
      <c r="AM224" s="3" t="n">
        <v>24668.0</v>
      </c>
      <c r="AN224" s="3" t="n">
        <v>24572.0</v>
      </c>
      <c r="AO224" s="3" t="n">
        <v>24410.0</v>
      </c>
    </row>
    <row r="225" spans="1:41" x14ac:dyDescent="0.2">
      <c r="A225" s="125"/>
      <c r="B225" s="9">
        <v>12</v>
      </c>
      <c r="C225" s="3" t="n">
        <v>31502.0</v>
      </c>
      <c r="D225" s="3" t="n">
        <v>29702.0</v>
      </c>
      <c r="E225" s="3" t="n">
        <v>29919.0</v>
      </c>
      <c r="F225" s="3" t="n">
        <v>28923.0</v>
      </c>
      <c r="G225" s="3" t="n">
        <v>29431.0</v>
      </c>
      <c r="H225" s="3" t="n">
        <v>30016.0</v>
      </c>
      <c r="I225" s="3" t="n">
        <v>31208.0</v>
      </c>
      <c r="J225" s="3" t="n">
        <v>32160.0</v>
      </c>
      <c r="K225" s="3" t="n">
        <v>31091.0</v>
      </c>
      <c r="L225" s="3" t="n">
        <v>30249.0</v>
      </c>
      <c r="M225" s="3" t="n">
        <v>28302.0</v>
      </c>
      <c r="N225" s="3" t="n">
        <v>28113.0</v>
      </c>
      <c r="O225" s="3" t="n">
        <v>25453.0</v>
      </c>
      <c r="P225" s="3" t="n">
        <v>26422.0</v>
      </c>
      <c r="Q225" s="3" t="n">
        <v>26045.0</v>
      </c>
      <c r="R225" s="3" t="n">
        <v>25831.0</v>
      </c>
      <c r="S225" s="3" t="n">
        <v>25486.0</v>
      </c>
      <c r="T225" s="3" t="n">
        <v>25112.0</v>
      </c>
      <c r="U225" s="3" t="n">
        <v>24779.0</v>
      </c>
      <c r="V225" s="3" t="n">
        <v>24514.0</v>
      </c>
      <c r="W225" s="3" t="n">
        <v>24251.0</v>
      </c>
      <c r="X225" s="3" t="n">
        <v>23985.0</v>
      </c>
      <c r="Y225" s="3" t="n">
        <v>23729.0</v>
      </c>
      <c r="Z225" s="3" t="n">
        <v>23506.0</v>
      </c>
      <c r="AA225" s="3" t="n">
        <v>23333.0</v>
      </c>
      <c r="AB225" s="3" t="n">
        <v>23243.0</v>
      </c>
      <c r="AC225" s="3" t="n">
        <v>23236.0</v>
      </c>
      <c r="AD225" s="3" t="n">
        <v>23313.0</v>
      </c>
      <c r="AE225" s="3" t="n">
        <v>23460.0</v>
      </c>
      <c r="AF225" s="3" t="n">
        <v>23653.0</v>
      </c>
      <c r="AG225" s="3" t="n">
        <v>23870.0</v>
      </c>
      <c r="AH225" s="3" t="n">
        <v>24083.0</v>
      </c>
      <c r="AI225" s="3" t="n">
        <v>24292.0</v>
      </c>
      <c r="AJ225" s="3" t="n">
        <v>24487.0</v>
      </c>
      <c r="AK225" s="3" t="n">
        <v>24624.0</v>
      </c>
      <c r="AL225" s="3" t="n">
        <v>24689.0</v>
      </c>
      <c r="AM225" s="3" t="n">
        <v>24700.0</v>
      </c>
      <c r="AN225" s="3" t="n">
        <v>24656.0</v>
      </c>
      <c r="AO225" s="3" t="n">
        <v>24559.0</v>
      </c>
    </row>
    <row r="226" spans="1:41" x14ac:dyDescent="0.2">
      <c r="A226" s="125"/>
      <c r="B226" s="9">
        <v>13</v>
      </c>
      <c r="C226" s="3" t="n">
        <v>31436.0</v>
      </c>
      <c r="D226" s="3" t="n">
        <v>31519.0</v>
      </c>
      <c r="E226" s="3" t="n">
        <v>29728.0</v>
      </c>
      <c r="F226" s="3" t="n">
        <v>29943.0</v>
      </c>
      <c r="G226" s="3" t="n">
        <v>28949.0</v>
      </c>
      <c r="H226" s="3" t="n">
        <v>29700.0</v>
      </c>
      <c r="I226" s="3" t="n">
        <v>30371.0</v>
      </c>
      <c r="J226" s="3" t="n">
        <v>31378.0</v>
      </c>
      <c r="K226" s="3" t="n">
        <v>32241.0</v>
      </c>
      <c r="L226" s="3" t="n">
        <v>31138.0</v>
      </c>
      <c r="M226" s="3" t="n">
        <v>30275.0</v>
      </c>
      <c r="N226" s="3" t="n">
        <v>28315.0</v>
      </c>
      <c r="O226" s="3" t="n">
        <v>28113.0</v>
      </c>
      <c r="P226" s="3" t="n">
        <v>25448.0</v>
      </c>
      <c r="Q226" s="3" t="n">
        <v>26411.0</v>
      </c>
      <c r="R226" s="3" t="n">
        <v>26031.0</v>
      </c>
      <c r="S226" s="3" t="n">
        <v>25821.0</v>
      </c>
      <c r="T226" s="3" t="n">
        <v>25477.0</v>
      </c>
      <c r="U226" s="3" t="n">
        <v>25107.0</v>
      </c>
      <c r="V226" s="3" t="n">
        <v>24773.0</v>
      </c>
      <c r="W226" s="3" t="n">
        <v>24509.0</v>
      </c>
      <c r="X226" s="3" t="n">
        <v>24246.0</v>
      </c>
      <c r="Y226" s="3" t="n">
        <v>23981.0</v>
      </c>
      <c r="Z226" s="3" t="n">
        <v>23723.0</v>
      </c>
      <c r="AA226" s="3" t="n">
        <v>23502.0</v>
      </c>
      <c r="AB226" s="3" t="n">
        <v>23330.0</v>
      </c>
      <c r="AC226" s="3" t="n">
        <v>23241.0</v>
      </c>
      <c r="AD226" s="3" t="n">
        <v>23234.0</v>
      </c>
      <c r="AE226" s="3" t="n">
        <v>23310.0</v>
      </c>
      <c r="AF226" s="3" t="n">
        <v>23455.0</v>
      </c>
      <c r="AG226" s="3" t="n">
        <v>23648.0</v>
      </c>
      <c r="AH226" s="3" t="n">
        <v>23863.0</v>
      </c>
      <c r="AI226" s="3" t="n">
        <v>24075.0</v>
      </c>
      <c r="AJ226" s="3" t="n">
        <v>24285.0</v>
      </c>
      <c r="AK226" s="3" t="n">
        <v>24480.0</v>
      </c>
      <c r="AL226" s="3" t="n">
        <v>24616.0</v>
      </c>
      <c r="AM226" s="3" t="n">
        <v>24675.0</v>
      </c>
      <c r="AN226" s="3" t="n">
        <v>24684.0</v>
      </c>
      <c r="AO226" s="3" t="n">
        <v>24641.0</v>
      </c>
    </row>
    <row r="227" spans="1:41" x14ac:dyDescent="0.2">
      <c r="A227" s="125"/>
      <c r="B227" s="9">
        <v>14</v>
      </c>
      <c r="C227" s="3" t="n">
        <v>30390.0</v>
      </c>
      <c r="D227" s="3" t="n">
        <v>31449.0</v>
      </c>
      <c r="E227" s="3" t="n">
        <v>31532.0</v>
      </c>
      <c r="F227" s="3" t="n">
        <v>29740.0</v>
      </c>
      <c r="G227" s="3" t="n">
        <v>29961.0</v>
      </c>
      <c r="H227" s="3" t="n">
        <v>29217.0</v>
      </c>
      <c r="I227" s="3" t="n">
        <v>30059.0</v>
      </c>
      <c r="J227" s="3" t="n">
        <v>30536.0</v>
      </c>
      <c r="K227" s="3" t="n">
        <v>31444.0</v>
      </c>
      <c r="L227" s="3" t="n">
        <v>32276.0</v>
      </c>
      <c r="M227" s="3" t="n">
        <v>31155.0</v>
      </c>
      <c r="N227" s="3" t="n">
        <v>30281.0</v>
      </c>
      <c r="O227" s="3" t="n">
        <v>28316.0</v>
      </c>
      <c r="P227" s="3" t="n">
        <v>28104.0</v>
      </c>
      <c r="Q227" s="3" t="n">
        <v>25443.0</v>
      </c>
      <c r="R227" s="3" t="n">
        <v>26405.0</v>
      </c>
      <c r="S227" s="3" t="n">
        <v>26025.0</v>
      </c>
      <c r="T227" s="3" t="n">
        <v>25817.0</v>
      </c>
      <c r="U227" s="3" t="n">
        <v>25470.0</v>
      </c>
      <c r="V227" s="3" t="n">
        <v>25102.0</v>
      </c>
      <c r="W227" s="3" t="n">
        <v>24767.0</v>
      </c>
      <c r="X227" s="3" t="n">
        <v>24502.0</v>
      </c>
      <c r="Y227" s="3" t="n">
        <v>24240.0</v>
      </c>
      <c r="Z227" s="3" t="n">
        <v>23975.0</v>
      </c>
      <c r="AA227" s="3" t="n">
        <v>23720.0</v>
      </c>
      <c r="AB227" s="3" t="n">
        <v>23497.0</v>
      </c>
      <c r="AC227" s="3" t="n">
        <v>23325.0</v>
      </c>
      <c r="AD227" s="3" t="n">
        <v>23237.0</v>
      </c>
      <c r="AE227" s="3" t="n">
        <v>23230.0</v>
      </c>
      <c r="AF227" s="3" t="n">
        <v>23305.0</v>
      </c>
      <c r="AG227" s="3" t="n">
        <v>23448.0</v>
      </c>
      <c r="AH227" s="3" t="n">
        <v>23641.0</v>
      </c>
      <c r="AI227" s="3" t="n">
        <v>23855.0</v>
      </c>
      <c r="AJ227" s="3" t="n">
        <v>24066.0</v>
      </c>
      <c r="AK227" s="3" t="n">
        <v>24275.0</v>
      </c>
      <c r="AL227" s="3" t="n">
        <v>24468.0</v>
      </c>
      <c r="AM227" s="3" t="n">
        <v>24604.0</v>
      </c>
      <c r="AN227" s="3" t="n">
        <v>24663.0</v>
      </c>
      <c r="AO227" s="3" t="n">
        <v>24670.0</v>
      </c>
    </row>
    <row r="228" spans="1:41" x14ac:dyDescent="0.2">
      <c r="A228" s="125"/>
      <c r="B228" s="9">
        <v>15</v>
      </c>
      <c r="C228" s="3" t="n">
        <v>28523.0</v>
      </c>
      <c r="D228" s="3" t="n">
        <v>30408.0</v>
      </c>
      <c r="E228" s="3" t="n">
        <v>31458.0</v>
      </c>
      <c r="F228" s="3" t="n">
        <v>31544.0</v>
      </c>
      <c r="G228" s="3" t="n">
        <v>29753.0</v>
      </c>
      <c r="H228" s="3" t="n">
        <v>30204.0</v>
      </c>
      <c r="I228" s="3" t="n">
        <v>29545.0</v>
      </c>
      <c r="J228" s="3" t="n">
        <v>30210.0</v>
      </c>
      <c r="K228" s="3" t="n">
        <v>30599.0</v>
      </c>
      <c r="L228" s="3" t="n">
        <v>31469.0</v>
      </c>
      <c r="M228" s="3" t="n">
        <v>32291.0</v>
      </c>
      <c r="N228" s="3" t="n">
        <v>31159.0</v>
      </c>
      <c r="O228" s="3" t="n">
        <v>30282.0</v>
      </c>
      <c r="P228" s="3" t="n">
        <v>28310.0</v>
      </c>
      <c r="Q228" s="3" t="n">
        <v>28098.0</v>
      </c>
      <c r="R228" s="3" t="n">
        <v>25428.0</v>
      </c>
      <c r="S228" s="3" t="n">
        <v>26391.0</v>
      </c>
      <c r="T228" s="3" t="n">
        <v>26013.0</v>
      </c>
      <c r="U228" s="3" t="n">
        <v>25809.0</v>
      </c>
      <c r="V228" s="3" t="n">
        <v>25463.0</v>
      </c>
      <c r="W228" s="3" t="n">
        <v>25094.0</v>
      </c>
      <c r="X228" s="3" t="n">
        <v>24758.0</v>
      </c>
      <c r="Y228" s="3" t="n">
        <v>24493.0</v>
      </c>
      <c r="Z228" s="3" t="n">
        <v>24232.0</v>
      </c>
      <c r="AA228" s="3" t="n">
        <v>23969.0</v>
      </c>
      <c r="AB228" s="3" t="n">
        <v>23714.0</v>
      </c>
      <c r="AC228" s="3" t="n">
        <v>23491.0</v>
      </c>
      <c r="AD228" s="3" t="n">
        <v>23321.0</v>
      </c>
      <c r="AE228" s="3" t="n">
        <v>23232.0</v>
      </c>
      <c r="AF228" s="3" t="n">
        <v>23226.0</v>
      </c>
      <c r="AG228" s="3" t="n">
        <v>23302.0</v>
      </c>
      <c r="AH228" s="3" t="n">
        <v>23446.0</v>
      </c>
      <c r="AI228" s="3" t="n">
        <v>23640.0</v>
      </c>
      <c r="AJ228" s="3" t="n">
        <v>23851.0</v>
      </c>
      <c r="AK228" s="3" t="n">
        <v>24058.0</v>
      </c>
      <c r="AL228" s="3" t="n">
        <v>24266.0</v>
      </c>
      <c r="AM228" s="3" t="n">
        <v>24457.0</v>
      </c>
      <c r="AN228" s="3" t="n">
        <v>24592.0</v>
      </c>
      <c r="AO228" s="3" t="n">
        <v>24650.0</v>
      </c>
    </row>
    <row r="229" spans="1:41" x14ac:dyDescent="0.2">
      <c r="A229" s="125"/>
      <c r="B229" s="9">
        <v>16</v>
      </c>
      <c r="C229" s="3" t="n">
        <v>27426.0</v>
      </c>
      <c r="D229" s="3" t="n">
        <v>28537.0</v>
      </c>
      <c r="E229" s="3" t="n">
        <v>30427.0</v>
      </c>
      <c r="F229" s="3" t="n">
        <v>31476.0</v>
      </c>
      <c r="G229" s="3" t="n">
        <v>31555.0</v>
      </c>
      <c r="H229" s="3" t="n">
        <v>29967.0</v>
      </c>
      <c r="I229" s="3" t="n">
        <v>30494.0</v>
      </c>
      <c r="J229" s="3" t="n">
        <v>29681.0</v>
      </c>
      <c r="K229" s="3" t="n">
        <v>30267.0</v>
      </c>
      <c r="L229" s="3" t="n">
        <v>30631.0</v>
      </c>
      <c r="M229" s="3" t="n">
        <v>31483.0</v>
      </c>
      <c r="N229" s="3" t="n">
        <v>32294.0</v>
      </c>
      <c r="O229" s="3" t="n">
        <v>31162.0</v>
      </c>
      <c r="P229" s="3" t="n">
        <v>30285.0</v>
      </c>
      <c r="Q229" s="3" t="n">
        <v>28308.0</v>
      </c>
      <c r="R229" s="3" t="n">
        <v>28101.0</v>
      </c>
      <c r="S229" s="3" t="n">
        <v>25419.0</v>
      </c>
      <c r="T229" s="3" t="n">
        <v>26381.0</v>
      </c>
      <c r="U229" s="3" t="n">
        <v>25999.0</v>
      </c>
      <c r="V229" s="3" t="n">
        <v>25793.0</v>
      </c>
      <c r="W229" s="3" t="n">
        <v>25448.0</v>
      </c>
      <c r="X229" s="3" t="n">
        <v>25080.0</v>
      </c>
      <c r="Y229" s="3" t="n">
        <v>24743.0</v>
      </c>
      <c r="Z229" s="3" t="n">
        <v>24480.0</v>
      </c>
      <c r="AA229" s="3" t="n">
        <v>24217.0</v>
      </c>
      <c r="AB229" s="3" t="n">
        <v>23958.0</v>
      </c>
      <c r="AC229" s="3" t="n">
        <v>23702.0</v>
      </c>
      <c r="AD229" s="3" t="n">
        <v>23480.0</v>
      </c>
      <c r="AE229" s="3" t="n">
        <v>23312.0</v>
      </c>
      <c r="AF229" s="3" t="n">
        <v>23224.0</v>
      </c>
      <c r="AG229" s="3" t="n">
        <v>23217.0</v>
      </c>
      <c r="AH229" s="3" t="n">
        <v>23291.0</v>
      </c>
      <c r="AI229" s="3" t="n">
        <v>23434.0</v>
      </c>
      <c r="AJ229" s="3" t="n">
        <v>23628.0</v>
      </c>
      <c r="AK229" s="3" t="n">
        <v>23838.0</v>
      </c>
      <c r="AL229" s="3" t="n">
        <v>24043.0</v>
      </c>
      <c r="AM229" s="3" t="n">
        <v>24250.0</v>
      </c>
      <c r="AN229" s="3" t="n">
        <v>24438.0</v>
      </c>
      <c r="AO229" s="3" t="n">
        <v>24572.0</v>
      </c>
    </row>
    <row r="230" spans="1:41" x14ac:dyDescent="0.2">
      <c r="A230" s="125"/>
      <c r="B230" s="9">
        <v>17</v>
      </c>
      <c r="C230" s="3" t="n">
        <v>25894.0</v>
      </c>
      <c r="D230" s="3" t="n">
        <v>27427.0</v>
      </c>
      <c r="E230" s="3" t="n">
        <v>28542.0</v>
      </c>
      <c r="F230" s="3" t="n">
        <v>30431.0</v>
      </c>
      <c r="G230" s="3" t="n">
        <v>31485.0</v>
      </c>
      <c r="H230" s="3" t="n">
        <v>31763.0</v>
      </c>
      <c r="I230" s="3" t="n">
        <v>30247.0</v>
      </c>
      <c r="J230" s="3" t="n">
        <v>30620.0</v>
      </c>
      <c r="K230" s="3" t="n">
        <v>29729.0</v>
      </c>
      <c r="L230" s="3" t="n">
        <v>30286.0</v>
      </c>
      <c r="M230" s="3" t="n">
        <v>30635.0</v>
      </c>
      <c r="N230" s="3" t="n">
        <v>31478.0</v>
      </c>
      <c r="O230" s="3" t="n">
        <v>32284.0</v>
      </c>
      <c r="P230" s="3" t="n">
        <v>31151.0</v>
      </c>
      <c r="Q230" s="3" t="n">
        <v>30278.0</v>
      </c>
      <c r="R230" s="3" t="n">
        <v>28297.0</v>
      </c>
      <c r="S230" s="3" t="n">
        <v>28090.0</v>
      </c>
      <c r="T230" s="3" t="n">
        <v>25408.0</v>
      </c>
      <c r="U230" s="3" t="n">
        <v>26369.0</v>
      </c>
      <c r="V230" s="3" t="n">
        <v>25986.0</v>
      </c>
      <c r="W230" s="3" t="n">
        <v>25779.0</v>
      </c>
      <c r="X230" s="3" t="n">
        <v>25434.0</v>
      </c>
      <c r="Y230" s="3" t="n">
        <v>25069.0</v>
      </c>
      <c r="Z230" s="3" t="n">
        <v>24731.0</v>
      </c>
      <c r="AA230" s="3" t="n">
        <v>24468.0</v>
      </c>
      <c r="AB230" s="3" t="n">
        <v>24207.0</v>
      </c>
      <c r="AC230" s="3" t="n">
        <v>23951.0</v>
      </c>
      <c r="AD230" s="3" t="n">
        <v>23693.0</v>
      </c>
      <c r="AE230" s="3" t="n">
        <v>23471.0</v>
      </c>
      <c r="AF230" s="3" t="n">
        <v>23304.0</v>
      </c>
      <c r="AG230" s="3" t="n">
        <v>23216.0</v>
      </c>
      <c r="AH230" s="3" t="n">
        <v>23211.0</v>
      </c>
      <c r="AI230" s="3" t="n">
        <v>23284.0</v>
      </c>
      <c r="AJ230" s="3" t="n">
        <v>23427.0</v>
      </c>
      <c r="AK230" s="3" t="n">
        <v>23622.0</v>
      </c>
      <c r="AL230" s="3" t="n">
        <v>23830.0</v>
      </c>
      <c r="AM230" s="3" t="n">
        <v>24034.0</v>
      </c>
      <c r="AN230" s="3" t="n">
        <v>24241.0</v>
      </c>
      <c r="AO230" s="3" t="n">
        <v>24428.0</v>
      </c>
    </row>
    <row r="231" spans="1:41" x14ac:dyDescent="0.2">
      <c r="A231" s="125"/>
      <c r="B231" s="9">
        <v>18</v>
      </c>
      <c r="C231" s="3" t="n">
        <v>24906.0</v>
      </c>
      <c r="D231" s="3" t="n">
        <v>25905.0</v>
      </c>
      <c r="E231" s="3" t="n">
        <v>27437.0</v>
      </c>
      <c r="F231" s="3" t="n">
        <v>28550.0</v>
      </c>
      <c r="G231" s="3" t="n">
        <v>30442.0</v>
      </c>
      <c r="H231" s="3" t="n">
        <v>31704.0</v>
      </c>
      <c r="I231" s="3" t="n">
        <v>32067.0</v>
      </c>
      <c r="J231" s="3" t="n">
        <v>30394.0</v>
      </c>
      <c r="K231" s="3" t="n">
        <v>30680.0</v>
      </c>
      <c r="L231" s="3" t="n">
        <v>29758.0</v>
      </c>
      <c r="M231" s="3" t="n">
        <v>30294.0</v>
      </c>
      <c r="N231" s="3" t="n">
        <v>30633.0</v>
      </c>
      <c r="O231" s="3" t="n">
        <v>31475.0</v>
      </c>
      <c r="P231" s="3" t="n">
        <v>32278.0</v>
      </c>
      <c r="Q231" s="3" t="n">
        <v>31148.0</v>
      </c>
      <c r="R231" s="3" t="n">
        <v>30274.0</v>
      </c>
      <c r="S231" s="3" t="n">
        <v>28291.0</v>
      </c>
      <c r="T231" s="3" t="n">
        <v>28074.0</v>
      </c>
      <c r="U231" s="3" t="n">
        <v>25393.0</v>
      </c>
      <c r="V231" s="3" t="n">
        <v>26348.0</v>
      </c>
      <c r="W231" s="3" t="n">
        <v>25968.0</v>
      </c>
      <c r="X231" s="3" t="n">
        <v>25761.0</v>
      </c>
      <c r="Y231" s="3" t="n">
        <v>25417.0</v>
      </c>
      <c r="Z231" s="3" t="n">
        <v>25052.0</v>
      </c>
      <c r="AA231" s="3" t="n">
        <v>24711.0</v>
      </c>
      <c r="AB231" s="3" t="n">
        <v>24449.0</v>
      </c>
      <c r="AC231" s="3" t="n">
        <v>24189.0</v>
      </c>
      <c r="AD231" s="3" t="n">
        <v>23934.0</v>
      </c>
      <c r="AE231" s="3" t="n">
        <v>23674.0</v>
      </c>
      <c r="AF231" s="3" t="n">
        <v>23451.0</v>
      </c>
      <c r="AG231" s="3" t="n">
        <v>23286.0</v>
      </c>
      <c r="AH231" s="3" t="n">
        <v>23198.0</v>
      </c>
      <c r="AI231" s="3" t="n">
        <v>23193.0</v>
      </c>
      <c r="AJ231" s="3" t="n">
        <v>23267.0</v>
      </c>
      <c r="AK231" s="3" t="n">
        <v>23409.0</v>
      </c>
      <c r="AL231" s="3" t="n">
        <v>23603.0</v>
      </c>
      <c r="AM231" s="3" t="n">
        <v>23812.0</v>
      </c>
      <c r="AN231" s="3" t="n">
        <v>24013.0</v>
      </c>
      <c r="AO231" s="3" t="n">
        <v>24219.0</v>
      </c>
    </row>
    <row r="232" spans="1:41" x14ac:dyDescent="0.2">
      <c r="A232" s="125"/>
      <c r="B232" s="9">
        <v>19</v>
      </c>
      <c r="C232" s="3" t="n">
        <v>23983.0</v>
      </c>
      <c r="D232" s="3" t="n">
        <v>24925.0</v>
      </c>
      <c r="E232" s="3" t="n">
        <v>25927.0</v>
      </c>
      <c r="F232" s="3" t="n">
        <v>27463.0</v>
      </c>
      <c r="G232" s="3" t="n">
        <v>28582.0</v>
      </c>
      <c r="H232" s="3" t="n">
        <v>30674.0</v>
      </c>
      <c r="I232" s="3" t="n">
        <v>32019.0</v>
      </c>
      <c r="J232" s="3" t="n">
        <v>32209.0</v>
      </c>
      <c r="K232" s="3" t="n">
        <v>30465.0</v>
      </c>
      <c r="L232" s="3" t="n">
        <v>30721.0</v>
      </c>
      <c r="M232" s="3" t="n">
        <v>29781.0</v>
      </c>
      <c r="N232" s="3" t="n">
        <v>30309.0</v>
      </c>
      <c r="O232" s="3" t="n">
        <v>30641.0</v>
      </c>
      <c r="P232" s="3" t="n">
        <v>31481.0</v>
      </c>
      <c r="Q232" s="3" t="n">
        <v>32285.0</v>
      </c>
      <c r="R232" s="3" t="n">
        <v>31156.0</v>
      </c>
      <c r="S232" s="3" t="n">
        <v>30281.0</v>
      </c>
      <c r="T232" s="3" t="n">
        <v>28295.0</v>
      </c>
      <c r="U232" s="3" t="n">
        <v>28076.0</v>
      </c>
      <c r="V232" s="3" t="n">
        <v>25390.0</v>
      </c>
      <c r="W232" s="3" t="n">
        <v>26344.0</v>
      </c>
      <c r="X232" s="3" t="n">
        <v>25964.0</v>
      </c>
      <c r="Y232" s="3" t="n">
        <v>25756.0</v>
      </c>
      <c r="Z232" s="3" t="n">
        <v>25415.0</v>
      </c>
      <c r="AA232" s="3" t="n">
        <v>25053.0</v>
      </c>
      <c r="AB232" s="3" t="n">
        <v>24711.0</v>
      </c>
      <c r="AC232" s="3" t="n">
        <v>24451.0</v>
      </c>
      <c r="AD232" s="3" t="n">
        <v>24193.0</v>
      </c>
      <c r="AE232" s="3" t="n">
        <v>23938.0</v>
      </c>
      <c r="AF232" s="3" t="n">
        <v>23681.0</v>
      </c>
      <c r="AG232" s="3" t="n">
        <v>23458.0</v>
      </c>
      <c r="AH232" s="3" t="n">
        <v>23293.0</v>
      </c>
      <c r="AI232" s="3" t="n">
        <v>23206.0</v>
      </c>
      <c r="AJ232" s="3" t="n">
        <v>23200.0</v>
      </c>
      <c r="AK232" s="3" t="n">
        <v>23274.0</v>
      </c>
      <c r="AL232" s="3" t="n">
        <v>23414.0</v>
      </c>
      <c r="AM232" s="3" t="n">
        <v>23609.0</v>
      </c>
      <c r="AN232" s="3" t="n">
        <v>23817.0</v>
      </c>
      <c r="AO232" s="3" t="n">
        <v>24017.0</v>
      </c>
    </row>
    <row r="233" spans="1:41" x14ac:dyDescent="0.2">
      <c r="A233" s="125"/>
      <c r="B233" s="9">
        <v>20</v>
      </c>
      <c r="C233" s="3" t="n">
        <v>24035.0</v>
      </c>
      <c r="D233" s="3" t="n">
        <v>24011.0</v>
      </c>
      <c r="E233" s="3" t="n">
        <v>24950.0</v>
      </c>
      <c r="F233" s="3" t="n">
        <v>25956.0</v>
      </c>
      <c r="G233" s="3" t="n">
        <v>27489.0</v>
      </c>
      <c r="H233" s="3" t="n">
        <v>28815.0</v>
      </c>
      <c r="I233" s="3" t="n">
        <v>30972.0</v>
      </c>
      <c r="J233" s="3" t="n">
        <v>32169.0</v>
      </c>
      <c r="K233" s="3" t="n">
        <v>32280.0</v>
      </c>
      <c r="L233" s="3" t="n">
        <v>30512.0</v>
      </c>
      <c r="M233" s="3" t="n">
        <v>30753.0</v>
      </c>
      <c r="N233" s="3" t="n">
        <v>29803.0</v>
      </c>
      <c r="O233" s="3" t="n">
        <v>30322.0</v>
      </c>
      <c r="P233" s="3" t="n">
        <v>30655.0</v>
      </c>
      <c r="Q233" s="3" t="n">
        <v>31492.0</v>
      </c>
      <c r="R233" s="3" t="n">
        <v>32298.0</v>
      </c>
      <c r="S233" s="3" t="n">
        <v>31168.0</v>
      </c>
      <c r="T233" s="3" t="n">
        <v>30291.0</v>
      </c>
      <c r="U233" s="3" t="n">
        <v>28307.0</v>
      </c>
      <c r="V233" s="3" t="n">
        <v>28082.0</v>
      </c>
      <c r="W233" s="3" t="n">
        <v>25397.0</v>
      </c>
      <c r="X233" s="3" t="n">
        <v>26346.0</v>
      </c>
      <c r="Y233" s="3" t="n">
        <v>25966.0</v>
      </c>
      <c r="Z233" s="3" t="n">
        <v>25755.0</v>
      </c>
      <c r="AA233" s="3" t="n">
        <v>25414.0</v>
      </c>
      <c r="AB233" s="3" t="n">
        <v>25050.0</v>
      </c>
      <c r="AC233" s="3" t="n">
        <v>24711.0</v>
      </c>
      <c r="AD233" s="3" t="n">
        <v>24448.0</v>
      </c>
      <c r="AE233" s="3" t="n">
        <v>24192.0</v>
      </c>
      <c r="AF233" s="3" t="n">
        <v>23937.0</v>
      </c>
      <c r="AG233" s="3" t="n">
        <v>23680.0</v>
      </c>
      <c r="AH233" s="3" t="n">
        <v>23460.0</v>
      </c>
      <c r="AI233" s="3" t="n">
        <v>23293.0</v>
      </c>
      <c r="AJ233" s="3" t="n">
        <v>23207.0</v>
      </c>
      <c r="AK233" s="3" t="n">
        <v>23202.0</v>
      </c>
      <c r="AL233" s="3" t="n">
        <v>23275.0</v>
      </c>
      <c r="AM233" s="3" t="n">
        <v>23412.0</v>
      </c>
      <c r="AN233" s="3" t="n">
        <v>23605.0</v>
      </c>
      <c r="AO233" s="3" t="n">
        <v>23814.0</v>
      </c>
    </row>
    <row r="234" spans="1:41" x14ac:dyDescent="0.2">
      <c r="A234" s="125"/>
      <c r="B234" s="9">
        <v>21</v>
      </c>
      <c r="C234" s="3" t="n">
        <v>24865.0</v>
      </c>
      <c r="D234" s="3" t="n">
        <v>24058.0</v>
      </c>
      <c r="E234" s="3" t="n">
        <v>24034.0</v>
      </c>
      <c r="F234" s="3" t="n">
        <v>24977.0</v>
      </c>
      <c r="G234" s="3" t="n">
        <v>25980.0</v>
      </c>
      <c r="H234" s="3" t="n">
        <v>27689.0</v>
      </c>
      <c r="I234" s="3" t="n">
        <v>29079.0</v>
      </c>
      <c r="J234" s="3" t="n">
        <v>31115.0</v>
      </c>
      <c r="K234" s="3" t="n">
        <v>32236.0</v>
      </c>
      <c r="L234" s="3" t="n">
        <v>32320.0</v>
      </c>
      <c r="M234" s="3" t="n">
        <v>30537.0</v>
      </c>
      <c r="N234" s="3" t="n">
        <v>30762.0</v>
      </c>
      <c r="O234" s="3" t="n">
        <v>29809.0</v>
      </c>
      <c r="P234" s="3" t="n">
        <v>30329.0</v>
      </c>
      <c r="Q234" s="3" t="n">
        <v>30655.0</v>
      </c>
      <c r="R234" s="3" t="n">
        <v>31495.0</v>
      </c>
      <c r="S234" s="3" t="n">
        <v>32302.0</v>
      </c>
      <c r="T234" s="3" t="n">
        <v>31171.0</v>
      </c>
      <c r="U234" s="3" t="n">
        <v>30286.0</v>
      </c>
      <c r="V234" s="3" t="n">
        <v>28311.0</v>
      </c>
      <c r="W234" s="3" t="n">
        <v>28084.0</v>
      </c>
      <c r="X234" s="3" t="n">
        <v>25396.0</v>
      </c>
      <c r="Y234" s="3" t="n">
        <v>26339.0</v>
      </c>
      <c r="Z234" s="3" t="n">
        <v>25958.0</v>
      </c>
      <c r="AA234" s="3" t="n">
        <v>25753.0</v>
      </c>
      <c r="AB234" s="3" t="n">
        <v>25412.0</v>
      </c>
      <c r="AC234" s="3" t="n">
        <v>25051.0</v>
      </c>
      <c r="AD234" s="3" t="n">
        <v>24717.0</v>
      </c>
      <c r="AE234" s="3" t="n">
        <v>24455.0</v>
      </c>
      <c r="AF234" s="3" t="n">
        <v>24200.0</v>
      </c>
      <c r="AG234" s="3" t="n">
        <v>23944.0</v>
      </c>
      <c r="AH234" s="3" t="n">
        <v>23687.0</v>
      </c>
      <c r="AI234" s="3" t="n">
        <v>23471.0</v>
      </c>
      <c r="AJ234" s="3" t="n">
        <v>23304.0</v>
      </c>
      <c r="AK234" s="3" t="n">
        <v>23217.0</v>
      </c>
      <c r="AL234" s="3" t="n">
        <v>23211.0</v>
      </c>
      <c r="AM234" s="3" t="n">
        <v>23284.0</v>
      </c>
      <c r="AN234" s="3" t="n">
        <v>23420.0</v>
      </c>
      <c r="AO234" s="3" t="n">
        <v>23612.0</v>
      </c>
    </row>
    <row r="235" spans="1:41" x14ac:dyDescent="0.2">
      <c r="A235" s="125"/>
      <c r="B235" s="9">
        <v>22</v>
      </c>
      <c r="C235" s="3" t="n">
        <v>25884.0</v>
      </c>
      <c r="D235" s="3" t="n">
        <v>24891.0</v>
      </c>
      <c r="E235" s="3" t="n">
        <v>24083.0</v>
      </c>
      <c r="F235" s="3" t="n">
        <v>24062.0</v>
      </c>
      <c r="G235" s="3" t="n">
        <v>25002.0</v>
      </c>
      <c r="H235" s="3" t="n">
        <v>26180.0</v>
      </c>
      <c r="I235" s="3" t="n">
        <v>27968.0</v>
      </c>
      <c r="J235" s="3" t="n">
        <v>29229.0</v>
      </c>
      <c r="K235" s="3" t="n">
        <v>31189.0</v>
      </c>
      <c r="L235" s="3" t="n">
        <v>32289.0</v>
      </c>
      <c r="M235" s="3" t="n">
        <v>32353.0</v>
      </c>
      <c r="N235" s="3" t="n">
        <v>30561.0</v>
      </c>
      <c r="O235" s="3" t="n">
        <v>30778.0</v>
      </c>
      <c r="P235" s="3" t="n">
        <v>29820.0</v>
      </c>
      <c r="Q235" s="3" t="n">
        <v>30340.0</v>
      </c>
      <c r="R235" s="3" t="n">
        <v>30665.0</v>
      </c>
      <c r="S235" s="3" t="n">
        <v>31505.0</v>
      </c>
      <c r="T235" s="3" t="n">
        <v>32318.0</v>
      </c>
      <c r="U235" s="3" t="n">
        <v>31183.0</v>
      </c>
      <c r="V235" s="3" t="n">
        <v>30290.0</v>
      </c>
      <c r="W235" s="3" t="n">
        <v>28310.0</v>
      </c>
      <c r="X235" s="3" t="n">
        <v>28090.0</v>
      </c>
      <c r="Y235" s="3" t="n">
        <v>25399.0</v>
      </c>
      <c r="Z235" s="3" t="n">
        <v>26345.0</v>
      </c>
      <c r="AA235" s="3" t="n">
        <v>25962.0</v>
      </c>
      <c r="AB235" s="3" t="n">
        <v>25757.0</v>
      </c>
      <c r="AC235" s="3" t="n">
        <v>25411.0</v>
      </c>
      <c r="AD235" s="3" t="n">
        <v>25048.0</v>
      </c>
      <c r="AE235" s="3" t="n">
        <v>24713.0</v>
      </c>
      <c r="AF235" s="3" t="n">
        <v>24448.0</v>
      </c>
      <c r="AG235" s="3" t="n">
        <v>24195.0</v>
      </c>
      <c r="AH235" s="3" t="n">
        <v>23940.0</v>
      </c>
      <c r="AI235" s="3" t="n">
        <v>23682.0</v>
      </c>
      <c r="AJ235" s="3" t="n">
        <v>23468.0</v>
      </c>
      <c r="AK235" s="3" t="n">
        <v>23303.0</v>
      </c>
      <c r="AL235" s="3" t="n">
        <v>23216.0</v>
      </c>
      <c r="AM235" s="3" t="n">
        <v>23210.0</v>
      </c>
      <c r="AN235" s="3" t="n">
        <v>23283.0</v>
      </c>
      <c r="AO235" s="3" t="n">
        <v>23420.0</v>
      </c>
    </row>
    <row r="236" spans="1:41" x14ac:dyDescent="0.2">
      <c r="A236" s="125"/>
      <c r="B236" s="9">
        <v>23</v>
      </c>
      <c r="C236" s="3" t="n">
        <v>26020.0</v>
      </c>
      <c r="D236" s="3" t="n">
        <v>25951.0</v>
      </c>
      <c r="E236" s="3" t="n">
        <v>24956.0</v>
      </c>
      <c r="F236" s="3" t="n">
        <v>24147.0</v>
      </c>
      <c r="G236" s="3" t="n">
        <v>24130.0</v>
      </c>
      <c r="H236" s="3" t="n">
        <v>25245.0</v>
      </c>
      <c r="I236" s="3" t="n">
        <v>26492.0</v>
      </c>
      <c r="J236" s="3" t="n">
        <v>28139.0</v>
      </c>
      <c r="K236" s="3" t="n">
        <v>29336.0</v>
      </c>
      <c r="L236" s="3" t="n">
        <v>31266.0</v>
      </c>
      <c r="M236" s="3" t="n">
        <v>32354.0</v>
      </c>
      <c r="N236" s="3" t="n">
        <v>32409.0</v>
      </c>
      <c r="O236" s="3" t="n">
        <v>30614.0</v>
      </c>
      <c r="P236" s="3" t="n">
        <v>30828.0</v>
      </c>
      <c r="Q236" s="3" t="n">
        <v>29870.0</v>
      </c>
      <c r="R236" s="3" t="n">
        <v>30385.0</v>
      </c>
      <c r="S236" s="3" t="n">
        <v>30711.0</v>
      </c>
      <c r="T236" s="3" t="n">
        <v>31543.0</v>
      </c>
      <c r="U236" s="3" t="n">
        <v>32361.0</v>
      </c>
      <c r="V236" s="3" t="n">
        <v>31224.0</v>
      </c>
      <c r="W236" s="3" t="n">
        <v>30329.0</v>
      </c>
      <c r="X236" s="3" t="n">
        <v>28345.0</v>
      </c>
      <c r="Y236" s="3" t="n">
        <v>28119.0</v>
      </c>
      <c r="Z236" s="3" t="n">
        <v>25423.0</v>
      </c>
      <c r="AA236" s="3" t="n">
        <v>26373.0</v>
      </c>
      <c r="AB236" s="3" t="n">
        <v>25983.0</v>
      </c>
      <c r="AC236" s="3" t="n">
        <v>25779.0</v>
      </c>
      <c r="AD236" s="3" t="n">
        <v>25434.0</v>
      </c>
      <c r="AE236" s="3" t="n">
        <v>25073.0</v>
      </c>
      <c r="AF236" s="3" t="n">
        <v>24739.0</v>
      </c>
      <c r="AG236" s="3" t="n">
        <v>24476.0</v>
      </c>
      <c r="AH236" s="3" t="n">
        <v>24221.0</v>
      </c>
      <c r="AI236" s="3" t="n">
        <v>23965.0</v>
      </c>
      <c r="AJ236" s="3" t="n">
        <v>23706.0</v>
      </c>
      <c r="AK236" s="3" t="n">
        <v>23493.0</v>
      </c>
      <c r="AL236" s="3" t="n">
        <v>23329.0</v>
      </c>
      <c r="AM236" s="3" t="n">
        <v>23244.0</v>
      </c>
      <c r="AN236" s="3" t="n">
        <v>23237.0</v>
      </c>
      <c r="AO236" s="3" t="n">
        <v>23308.0</v>
      </c>
    </row>
    <row r="237" spans="1:41" x14ac:dyDescent="0.2">
      <c r="A237" s="125"/>
      <c r="B237" s="9">
        <v>24</v>
      </c>
      <c r="C237" s="3" t="n">
        <v>27020.0</v>
      </c>
      <c r="D237" s="3" t="n">
        <v>26122.0</v>
      </c>
      <c r="E237" s="3" t="n">
        <v>26051.0</v>
      </c>
      <c r="F237" s="3" t="n">
        <v>25053.0</v>
      </c>
      <c r="G237" s="3" t="n">
        <v>24247.0</v>
      </c>
      <c r="H237" s="3" t="n">
        <v>24404.0</v>
      </c>
      <c r="I237" s="3" t="n">
        <v>25578.0</v>
      </c>
      <c r="J237" s="3" t="n">
        <v>26703.0</v>
      </c>
      <c r="K237" s="3" t="n">
        <v>28280.0</v>
      </c>
      <c r="L237" s="3" t="n">
        <v>29457.0</v>
      </c>
      <c r="M237" s="3" t="n">
        <v>31374.0</v>
      </c>
      <c r="N237" s="3" t="n">
        <v>32446.0</v>
      </c>
      <c r="O237" s="3" t="n">
        <v>32494.0</v>
      </c>
      <c r="P237" s="3" t="n">
        <v>30694.0</v>
      </c>
      <c r="Q237" s="3" t="n">
        <v>30912.0</v>
      </c>
      <c r="R237" s="3" t="n">
        <v>29949.0</v>
      </c>
      <c r="S237" s="3" t="n">
        <v>30463.0</v>
      </c>
      <c r="T237" s="3" t="n">
        <v>30786.0</v>
      </c>
      <c r="U237" s="3" t="n">
        <v>31617.0</v>
      </c>
      <c r="V237" s="3" t="n">
        <v>32434.0</v>
      </c>
      <c r="W237" s="3" t="n">
        <v>31291.0</v>
      </c>
      <c r="X237" s="3" t="n">
        <v>30393.0</v>
      </c>
      <c r="Y237" s="3" t="n">
        <v>28404.0</v>
      </c>
      <c r="Z237" s="3" t="n">
        <v>28167.0</v>
      </c>
      <c r="AA237" s="3" t="n">
        <v>25467.0</v>
      </c>
      <c r="AB237" s="3" t="n">
        <v>26416.0</v>
      </c>
      <c r="AC237" s="3" t="n">
        <v>26029.0</v>
      </c>
      <c r="AD237" s="3" t="n">
        <v>25824.0</v>
      </c>
      <c r="AE237" s="3" t="n">
        <v>25479.0</v>
      </c>
      <c r="AF237" s="3" t="n">
        <v>25117.0</v>
      </c>
      <c r="AG237" s="3" t="n">
        <v>24779.0</v>
      </c>
      <c r="AH237" s="3" t="n">
        <v>24518.0</v>
      </c>
      <c r="AI237" s="3" t="n">
        <v>24262.0</v>
      </c>
      <c r="AJ237" s="3" t="n">
        <v>24008.0</v>
      </c>
      <c r="AK237" s="3" t="n">
        <v>23753.0</v>
      </c>
      <c r="AL237" s="3" t="n">
        <v>23538.0</v>
      </c>
      <c r="AM237" s="3" t="n">
        <v>23373.0</v>
      </c>
      <c r="AN237" s="3" t="n">
        <v>23288.0</v>
      </c>
      <c r="AO237" s="3" t="n">
        <v>23283.0</v>
      </c>
    </row>
    <row r="238" spans="1:41" x14ac:dyDescent="0.2">
      <c r="A238" s="125"/>
      <c r="B238" s="9">
        <v>25</v>
      </c>
      <c r="C238" s="3" t="n">
        <v>28578.0</v>
      </c>
      <c r="D238" s="3" t="n">
        <v>27166.0</v>
      </c>
      <c r="E238" s="3" t="n">
        <v>26264.0</v>
      </c>
      <c r="F238" s="3" t="n">
        <v>26189.0</v>
      </c>
      <c r="G238" s="3" t="n">
        <v>25196.0</v>
      </c>
      <c r="H238" s="3" t="n">
        <v>24564.0</v>
      </c>
      <c r="I238" s="3" t="n">
        <v>24792.0</v>
      </c>
      <c r="J238" s="3" t="n">
        <v>25813.0</v>
      </c>
      <c r="K238" s="3" t="n">
        <v>26869.0</v>
      </c>
      <c r="L238" s="3" t="n">
        <v>28422.0</v>
      </c>
      <c r="M238" s="3" t="n">
        <v>29608.0</v>
      </c>
      <c r="N238" s="3" t="n">
        <v>31524.0</v>
      </c>
      <c r="O238" s="3" t="n">
        <v>32588.0</v>
      </c>
      <c r="P238" s="3" t="n">
        <v>32630.0</v>
      </c>
      <c r="Q238" s="3" t="n">
        <v>30827.0</v>
      </c>
      <c r="R238" s="3" t="n">
        <v>31033.0</v>
      </c>
      <c r="S238" s="3" t="n">
        <v>30066.0</v>
      </c>
      <c r="T238" s="3" t="n">
        <v>30575.0</v>
      </c>
      <c r="U238" s="3" t="n">
        <v>30890.0</v>
      </c>
      <c r="V238" s="3" t="n">
        <v>31724.0</v>
      </c>
      <c r="W238" s="3" t="n">
        <v>32547.0</v>
      </c>
      <c r="X238" s="3" t="n">
        <v>31401.0</v>
      </c>
      <c r="Y238" s="3" t="n">
        <v>30495.0</v>
      </c>
      <c r="Z238" s="3" t="n">
        <v>28493.0</v>
      </c>
      <c r="AA238" s="3" t="n">
        <v>28253.0</v>
      </c>
      <c r="AB238" s="3" t="n">
        <v>25539.0</v>
      </c>
      <c r="AC238" s="3" t="n">
        <v>26483.0</v>
      </c>
      <c r="AD238" s="3" t="n">
        <v>26088.0</v>
      </c>
      <c r="AE238" s="3" t="n">
        <v>25890.0</v>
      </c>
      <c r="AF238" s="3" t="n">
        <v>25546.0</v>
      </c>
      <c r="AG238" s="3" t="n">
        <v>25188.0</v>
      </c>
      <c r="AH238" s="3" t="n">
        <v>24846.0</v>
      </c>
      <c r="AI238" s="3" t="n">
        <v>24586.0</v>
      </c>
      <c r="AJ238" s="3" t="n">
        <v>24330.0</v>
      </c>
      <c r="AK238" s="3" t="n">
        <v>24078.0</v>
      </c>
      <c r="AL238" s="3" t="n">
        <v>23820.0</v>
      </c>
      <c r="AM238" s="3" t="n">
        <v>23606.0</v>
      </c>
      <c r="AN238" s="3" t="n">
        <v>23442.0</v>
      </c>
      <c r="AO238" s="3" t="n">
        <v>23355.0</v>
      </c>
    </row>
    <row r="239" spans="1:41" x14ac:dyDescent="0.2">
      <c r="A239" s="125"/>
      <c r="B239" s="9">
        <v>26</v>
      </c>
      <c r="C239" s="3" t="n">
        <v>30780.0</v>
      </c>
      <c r="D239" s="3" t="n">
        <v>28773.0</v>
      </c>
      <c r="E239" s="3" t="n">
        <v>27353.0</v>
      </c>
      <c r="F239" s="3" t="n">
        <v>26448.0</v>
      </c>
      <c r="G239" s="3" t="n">
        <v>26374.0</v>
      </c>
      <c r="H239" s="3" t="n">
        <v>25576.0</v>
      </c>
      <c r="I239" s="3" t="n">
        <v>25010.0</v>
      </c>
      <c r="J239" s="3" t="n">
        <v>25091.0</v>
      </c>
      <c r="K239" s="3" t="n">
        <v>26032.0</v>
      </c>
      <c r="L239" s="3" t="n">
        <v>27061.0</v>
      </c>
      <c r="M239" s="3" t="n">
        <v>28599.0</v>
      </c>
      <c r="N239" s="3" t="n">
        <v>29787.0</v>
      </c>
      <c r="O239" s="3" t="n">
        <v>31707.0</v>
      </c>
      <c r="P239" s="3" t="n">
        <v>32768.0</v>
      </c>
      <c r="Q239" s="3" t="n">
        <v>32809.0</v>
      </c>
      <c r="R239" s="3" t="n">
        <v>30995.0</v>
      </c>
      <c r="S239" s="3" t="n">
        <v>31197.0</v>
      </c>
      <c r="T239" s="3" t="n">
        <v>30228.0</v>
      </c>
      <c r="U239" s="3" t="n">
        <v>30732.0</v>
      </c>
      <c r="V239" s="3" t="n">
        <v>31038.0</v>
      </c>
      <c r="W239" s="3" t="n">
        <v>31872.0</v>
      </c>
      <c r="X239" s="3" t="n">
        <v>32698.0</v>
      </c>
      <c r="Y239" s="3" t="n">
        <v>31550.0</v>
      </c>
      <c r="Z239" s="3" t="n">
        <v>30631.0</v>
      </c>
      <c r="AA239" s="3" t="n">
        <v>28615.0</v>
      </c>
      <c r="AB239" s="3" t="n">
        <v>28369.0</v>
      </c>
      <c r="AC239" s="3" t="n">
        <v>25648.0</v>
      </c>
      <c r="AD239" s="3" t="n">
        <v>26591.0</v>
      </c>
      <c r="AE239" s="3" t="n">
        <v>26189.0</v>
      </c>
      <c r="AF239" s="3" t="n">
        <v>25989.0</v>
      </c>
      <c r="AG239" s="3" t="n">
        <v>25640.0</v>
      </c>
      <c r="AH239" s="3" t="n">
        <v>25279.0</v>
      </c>
      <c r="AI239" s="3" t="n">
        <v>24940.0</v>
      </c>
      <c r="AJ239" s="3" t="n">
        <v>24677.0</v>
      </c>
      <c r="AK239" s="3" t="n">
        <v>24419.0</v>
      </c>
      <c r="AL239" s="3" t="n">
        <v>24167.0</v>
      </c>
      <c r="AM239" s="3" t="n">
        <v>23911.0</v>
      </c>
      <c r="AN239" s="3" t="n">
        <v>23700.0</v>
      </c>
      <c r="AO239" s="3" t="n">
        <v>23539.0</v>
      </c>
    </row>
    <row r="240" spans="1:41" x14ac:dyDescent="0.2">
      <c r="A240" s="125"/>
      <c r="B240" s="9">
        <v>27</v>
      </c>
      <c r="C240" s="3" t="n">
        <v>32395.0</v>
      </c>
      <c r="D240" s="3" t="n">
        <v>31051.0</v>
      </c>
      <c r="E240" s="3" t="n">
        <v>29052.0</v>
      </c>
      <c r="F240" s="3" t="n">
        <v>27629.0</v>
      </c>
      <c r="G240" s="3" t="n">
        <v>26722.0</v>
      </c>
      <c r="H240" s="3" t="n">
        <v>26828.0</v>
      </c>
      <c r="I240" s="3" t="n">
        <v>26095.0</v>
      </c>
      <c r="J240" s="3" t="n">
        <v>25373.0</v>
      </c>
      <c r="K240" s="3" t="n">
        <v>25376.0</v>
      </c>
      <c r="L240" s="3" t="n">
        <v>26290.0</v>
      </c>
      <c r="M240" s="3" t="n">
        <v>27311.0</v>
      </c>
      <c r="N240" s="3" t="n">
        <v>28849.0</v>
      </c>
      <c r="O240" s="3" t="n">
        <v>30045.0</v>
      </c>
      <c r="P240" s="3" t="n">
        <v>31979.0</v>
      </c>
      <c r="Q240" s="3" t="n">
        <v>33041.0</v>
      </c>
      <c r="R240" s="3" t="n">
        <v>33072.0</v>
      </c>
      <c r="S240" s="3" t="n">
        <v>31254.0</v>
      </c>
      <c r="T240" s="3" t="n">
        <v>31438.0</v>
      </c>
      <c r="U240" s="3" t="n">
        <v>30465.0</v>
      </c>
      <c r="V240" s="3" t="n">
        <v>30969.0</v>
      </c>
      <c r="W240" s="3" t="n">
        <v>31267.0</v>
      </c>
      <c r="X240" s="3" t="n">
        <v>32100.0</v>
      </c>
      <c r="Y240" s="3" t="n">
        <v>32933.0</v>
      </c>
      <c r="Z240" s="3" t="n">
        <v>31778.0</v>
      </c>
      <c r="AA240" s="3" t="n">
        <v>30849.0</v>
      </c>
      <c r="AB240" s="3" t="n">
        <v>28812.0</v>
      </c>
      <c r="AC240" s="3" t="n">
        <v>28545.0</v>
      </c>
      <c r="AD240" s="3" t="n">
        <v>25815.0</v>
      </c>
      <c r="AE240" s="3" t="n">
        <v>26753.0</v>
      </c>
      <c r="AF240" s="3" t="n">
        <v>26343.0</v>
      </c>
      <c r="AG240" s="3" t="n">
        <v>26147.0</v>
      </c>
      <c r="AH240" s="3" t="n">
        <v>25795.0</v>
      </c>
      <c r="AI240" s="3" t="n">
        <v>25434.0</v>
      </c>
      <c r="AJ240" s="3" t="n">
        <v>25094.0</v>
      </c>
      <c r="AK240" s="3" t="n">
        <v>24832.0</v>
      </c>
      <c r="AL240" s="3" t="n">
        <v>24570.0</v>
      </c>
      <c r="AM240" s="3" t="n">
        <v>24319.0</v>
      </c>
      <c r="AN240" s="3" t="n">
        <v>24062.0</v>
      </c>
      <c r="AO240" s="3" t="n">
        <v>23850.0</v>
      </c>
    </row>
    <row r="241" spans="1:41" x14ac:dyDescent="0.2">
      <c r="A241" s="125"/>
      <c r="B241" s="9">
        <v>28</v>
      </c>
      <c r="C241" s="3" t="n">
        <v>34833.0</v>
      </c>
      <c r="D241" s="3" t="n">
        <v>32725.0</v>
      </c>
      <c r="E241" s="3" t="n">
        <v>31379.0</v>
      </c>
      <c r="F241" s="3" t="n">
        <v>29386.0</v>
      </c>
      <c r="G241" s="3" t="n">
        <v>27961.0</v>
      </c>
      <c r="H241" s="3" t="n">
        <v>27242.0</v>
      </c>
      <c r="I241" s="3" t="n">
        <v>27411.0</v>
      </c>
      <c r="J241" s="3" t="n">
        <v>26524.0</v>
      </c>
      <c r="K241" s="3" t="n">
        <v>25725.0</v>
      </c>
      <c r="L241" s="3" t="n">
        <v>25690.0</v>
      </c>
      <c r="M241" s="3" t="n">
        <v>26596.0</v>
      </c>
      <c r="N241" s="3" t="n">
        <v>27600.0</v>
      </c>
      <c r="O241" s="3" t="n">
        <v>29137.0</v>
      </c>
      <c r="P241" s="3" t="n">
        <v>30361.0</v>
      </c>
      <c r="Q241" s="3" t="n">
        <v>32303.0</v>
      </c>
      <c r="R241" s="3" t="n">
        <v>33362.0</v>
      </c>
      <c r="S241" s="3" t="n">
        <v>33386.0</v>
      </c>
      <c r="T241" s="3" t="n">
        <v>31554.0</v>
      </c>
      <c r="U241" s="3" t="n">
        <v>31738.0</v>
      </c>
      <c r="V241" s="3" t="n">
        <v>30756.0</v>
      </c>
      <c r="W241" s="3" t="n">
        <v>31251.0</v>
      </c>
      <c r="X241" s="3" t="n">
        <v>31546.0</v>
      </c>
      <c r="Y241" s="3" t="n">
        <v>32377.0</v>
      </c>
      <c r="Z241" s="3" t="n">
        <v>33216.0</v>
      </c>
      <c r="AA241" s="3" t="n">
        <v>32058.0</v>
      </c>
      <c r="AB241" s="3" t="n">
        <v>31114.0</v>
      </c>
      <c r="AC241" s="3" t="n">
        <v>29055.0</v>
      </c>
      <c r="AD241" s="3" t="n">
        <v>28778.0</v>
      </c>
      <c r="AE241" s="3" t="n">
        <v>26027.0</v>
      </c>
      <c r="AF241" s="3" t="n">
        <v>26949.0</v>
      </c>
      <c r="AG241" s="3" t="n">
        <v>26540.0</v>
      </c>
      <c r="AH241" s="3" t="n">
        <v>26343.0</v>
      </c>
      <c r="AI241" s="3" t="n">
        <v>25989.0</v>
      </c>
      <c r="AJ241" s="3" t="n">
        <v>25620.0</v>
      </c>
      <c r="AK241" s="3" t="n">
        <v>25279.0</v>
      </c>
      <c r="AL241" s="3" t="n">
        <v>25015.0</v>
      </c>
      <c r="AM241" s="3" t="n">
        <v>24751.0</v>
      </c>
      <c r="AN241" s="3" t="n">
        <v>24502.0</v>
      </c>
      <c r="AO241" s="3" t="n">
        <v>24250.0</v>
      </c>
    </row>
    <row r="242" spans="1:41" x14ac:dyDescent="0.2">
      <c r="A242" s="125"/>
      <c r="B242" s="9">
        <v>29</v>
      </c>
      <c r="C242" s="3" t="n">
        <v>36852.0</v>
      </c>
      <c r="D242" s="3" t="n">
        <v>35224.0</v>
      </c>
      <c r="E242" s="3" t="n">
        <v>33099.0</v>
      </c>
      <c r="F242" s="3" t="n">
        <v>31751.0</v>
      </c>
      <c r="G242" s="3" t="n">
        <v>29759.0</v>
      </c>
      <c r="H242" s="3" t="n">
        <v>28508.0</v>
      </c>
      <c r="I242" s="3" t="n">
        <v>27853.0</v>
      </c>
      <c r="J242" s="3" t="n">
        <v>27872.0</v>
      </c>
      <c r="K242" s="3" t="n">
        <v>26903.0</v>
      </c>
      <c r="L242" s="3" t="n">
        <v>26073.0</v>
      </c>
      <c r="M242" s="3" t="n">
        <v>26022.0</v>
      </c>
      <c r="N242" s="3" t="n">
        <v>26908.0</v>
      </c>
      <c r="O242" s="3" t="n">
        <v>27919.0</v>
      </c>
      <c r="P242" s="3" t="n">
        <v>29457.0</v>
      </c>
      <c r="Q242" s="3" t="n">
        <v>30704.0</v>
      </c>
      <c r="R242" s="3" t="n">
        <v>32673.0</v>
      </c>
      <c r="S242" s="3" t="n">
        <v>33729.0</v>
      </c>
      <c r="T242" s="3" t="n">
        <v>33739.0</v>
      </c>
      <c r="U242" s="3" t="n">
        <v>31900.0</v>
      </c>
      <c r="V242" s="3" t="n">
        <v>32065.0</v>
      </c>
      <c r="W242" s="3" t="n">
        <v>31075.0</v>
      </c>
      <c r="X242" s="3" t="n">
        <v>31563.0</v>
      </c>
      <c r="Y242" s="3" t="n">
        <v>31857.0</v>
      </c>
      <c r="Z242" s="3" t="n">
        <v>32691.0</v>
      </c>
      <c r="AA242" s="3" t="n">
        <v>33536.0</v>
      </c>
      <c r="AB242" s="3" t="n">
        <v>32362.0</v>
      </c>
      <c r="AC242" s="3" t="n">
        <v>31410.0</v>
      </c>
      <c r="AD242" s="3" t="n">
        <v>29331.0</v>
      </c>
      <c r="AE242" s="3" t="n">
        <v>29037.0</v>
      </c>
      <c r="AF242" s="3" t="n">
        <v>26265.0</v>
      </c>
      <c r="AG242" s="3" t="n">
        <v>27176.0</v>
      </c>
      <c r="AH242" s="3" t="n">
        <v>26763.0</v>
      </c>
      <c r="AI242" s="3" t="n">
        <v>26565.0</v>
      </c>
      <c r="AJ242" s="3" t="n">
        <v>26212.0</v>
      </c>
      <c r="AK242" s="3" t="n">
        <v>25838.0</v>
      </c>
      <c r="AL242" s="3" t="n">
        <v>25494.0</v>
      </c>
      <c r="AM242" s="3" t="n">
        <v>25226.0</v>
      </c>
      <c r="AN242" s="3" t="n">
        <v>24961.0</v>
      </c>
      <c r="AO242" s="3" t="n">
        <v>24709.0</v>
      </c>
    </row>
    <row r="243" spans="1:41" x14ac:dyDescent="0.2">
      <c r="A243" s="125"/>
      <c r="B243" s="9">
        <v>30</v>
      </c>
      <c r="C243" s="3" t="n">
        <v>38565.0</v>
      </c>
      <c r="D243" s="3" t="n">
        <v>37234.0</v>
      </c>
      <c r="E243" s="3" t="n">
        <v>35607.0</v>
      </c>
      <c r="F243" s="3" t="n">
        <v>33460.0</v>
      </c>
      <c r="G243" s="3" t="n">
        <v>32112.0</v>
      </c>
      <c r="H243" s="3" t="n">
        <v>30336.0</v>
      </c>
      <c r="I243" s="3" t="n">
        <v>29168.0</v>
      </c>
      <c r="J243" s="3" t="n">
        <v>28341.0</v>
      </c>
      <c r="K243" s="3" t="n">
        <v>28269.0</v>
      </c>
      <c r="L243" s="3" t="n">
        <v>27261.0</v>
      </c>
      <c r="M243" s="3" t="n">
        <v>26408.0</v>
      </c>
      <c r="N243" s="3" t="n">
        <v>26345.0</v>
      </c>
      <c r="O243" s="3" t="n">
        <v>27219.0</v>
      </c>
      <c r="P243" s="3" t="n">
        <v>28228.0</v>
      </c>
      <c r="Q243" s="3" t="n">
        <v>29773.0</v>
      </c>
      <c r="R243" s="3" t="n">
        <v>31034.0</v>
      </c>
      <c r="S243" s="3" t="n">
        <v>33023.0</v>
      </c>
      <c r="T243" s="3" t="n">
        <v>34082.0</v>
      </c>
      <c r="U243" s="3" t="n">
        <v>34070.0</v>
      </c>
      <c r="V243" s="3" t="n">
        <v>32220.0</v>
      </c>
      <c r="W243" s="3" t="n">
        <v>32379.0</v>
      </c>
      <c r="X243" s="3" t="n">
        <v>31385.0</v>
      </c>
      <c r="Y243" s="3" t="n">
        <v>31869.0</v>
      </c>
      <c r="Z243" s="3" t="n">
        <v>32154.0</v>
      </c>
      <c r="AA243" s="3" t="n">
        <v>32994.0</v>
      </c>
      <c r="AB243" s="3" t="n">
        <v>33846.0</v>
      </c>
      <c r="AC243" s="3" t="n">
        <v>32665.0</v>
      </c>
      <c r="AD243" s="3" t="n">
        <v>31696.0</v>
      </c>
      <c r="AE243" s="3" t="n">
        <v>29603.0</v>
      </c>
      <c r="AF243" s="3" t="n">
        <v>29295.0</v>
      </c>
      <c r="AG243" s="3" t="n">
        <v>26497.0</v>
      </c>
      <c r="AH243" s="3" t="n">
        <v>27400.0</v>
      </c>
      <c r="AI243" s="3" t="n">
        <v>26981.0</v>
      </c>
      <c r="AJ243" s="3" t="n">
        <v>26779.0</v>
      </c>
      <c r="AK243" s="3" t="n">
        <v>26426.0</v>
      </c>
      <c r="AL243" s="3" t="n">
        <v>26053.0</v>
      </c>
      <c r="AM243" s="3" t="n">
        <v>25708.0</v>
      </c>
      <c r="AN243" s="3" t="n">
        <v>25447.0</v>
      </c>
      <c r="AO243" s="3" t="n">
        <v>25180.0</v>
      </c>
    </row>
    <row r="244" spans="1:41" x14ac:dyDescent="0.2">
      <c r="A244" s="125"/>
      <c r="B244" s="9">
        <v>31</v>
      </c>
      <c r="C244" s="3" t="n">
        <v>40303.0</v>
      </c>
      <c r="D244" s="3" t="n">
        <v>38922.0</v>
      </c>
      <c r="E244" s="3" t="n">
        <v>37576.0</v>
      </c>
      <c r="F244" s="3" t="n">
        <v>35939.0</v>
      </c>
      <c r="G244" s="3" t="n">
        <v>33783.0</v>
      </c>
      <c r="H244" s="3" t="n">
        <v>32685.0</v>
      </c>
      <c r="I244" s="3" t="n">
        <v>31004.0</v>
      </c>
      <c r="J244" s="3" t="n">
        <v>29636.0</v>
      </c>
      <c r="K244" s="3" t="n">
        <v>28710.0</v>
      </c>
      <c r="L244" s="3" t="n">
        <v>28598.0</v>
      </c>
      <c r="M244" s="3" t="n">
        <v>27569.0</v>
      </c>
      <c r="N244" s="3" t="n">
        <v>26690.0</v>
      </c>
      <c r="O244" s="3" t="n">
        <v>26625.0</v>
      </c>
      <c r="P244" s="3" t="n">
        <v>27496.0</v>
      </c>
      <c r="Q244" s="3" t="n">
        <v>28503.0</v>
      </c>
      <c r="R244" s="3" t="n">
        <v>30064.0</v>
      </c>
      <c r="S244" s="3" t="n">
        <v>31336.0</v>
      </c>
      <c r="T244" s="3" t="n">
        <v>33338.0</v>
      </c>
      <c r="U244" s="3" t="n">
        <v>34393.0</v>
      </c>
      <c r="V244" s="3" t="n">
        <v>34376.0</v>
      </c>
      <c r="W244" s="3" t="n">
        <v>32516.0</v>
      </c>
      <c r="X244" s="3" t="n">
        <v>32665.0</v>
      </c>
      <c r="Y244" s="3" t="n">
        <v>31657.0</v>
      </c>
      <c r="Z244" s="3" t="n">
        <v>32142.0</v>
      </c>
      <c r="AA244" s="3" t="n">
        <v>32426.0</v>
      </c>
      <c r="AB244" s="3" t="n">
        <v>33263.0</v>
      </c>
      <c r="AC244" s="3" t="n">
        <v>34124.0</v>
      </c>
      <c r="AD244" s="3" t="n">
        <v>32929.0</v>
      </c>
      <c r="AE244" s="3" t="n">
        <v>31945.0</v>
      </c>
      <c r="AF244" s="3" t="n">
        <v>29842.0</v>
      </c>
      <c r="AG244" s="3" t="n">
        <v>29522.0</v>
      </c>
      <c r="AH244" s="3" t="n">
        <v>26703.0</v>
      </c>
      <c r="AI244" s="3" t="n">
        <v>27605.0</v>
      </c>
      <c r="AJ244" s="3" t="n">
        <v>27177.0</v>
      </c>
      <c r="AK244" s="3" t="n">
        <v>26975.0</v>
      </c>
      <c r="AL244" s="3" t="n">
        <v>26620.0</v>
      </c>
      <c r="AM244" s="3" t="n">
        <v>26245.0</v>
      </c>
      <c r="AN244" s="3" t="n">
        <v>25900.0</v>
      </c>
      <c r="AO244" s="3" t="n">
        <v>25641.0</v>
      </c>
    </row>
    <row r="245" spans="1:41" x14ac:dyDescent="0.2">
      <c r="A245" s="125"/>
      <c r="B245" s="9">
        <v>32</v>
      </c>
      <c r="C245" s="3" t="n">
        <v>41542.0</v>
      </c>
      <c r="D245" s="3" t="n">
        <v>40659.0</v>
      </c>
      <c r="E245" s="3" t="n">
        <v>39249.0</v>
      </c>
      <c r="F245" s="3" t="n">
        <v>37891.0</v>
      </c>
      <c r="G245" s="3" t="n">
        <v>36255.0</v>
      </c>
      <c r="H245" s="3" t="n">
        <v>34332.0</v>
      </c>
      <c r="I245" s="3" t="n">
        <v>33316.0</v>
      </c>
      <c r="J245" s="3" t="n">
        <v>31441.0</v>
      </c>
      <c r="K245" s="3" t="n">
        <v>29988.0</v>
      </c>
      <c r="L245" s="3" t="n">
        <v>29016.0</v>
      </c>
      <c r="M245" s="3" t="n">
        <v>28888.0</v>
      </c>
      <c r="N245" s="3" t="n">
        <v>27842.0</v>
      </c>
      <c r="O245" s="3" t="n">
        <v>26952.0</v>
      </c>
      <c r="P245" s="3" t="n">
        <v>26884.0</v>
      </c>
      <c r="Q245" s="3" t="n">
        <v>27752.0</v>
      </c>
      <c r="R245" s="3" t="n">
        <v>28755.0</v>
      </c>
      <c r="S245" s="3" t="n">
        <v>30327.0</v>
      </c>
      <c r="T245" s="3" t="n">
        <v>31620.0</v>
      </c>
      <c r="U245" s="3" t="n">
        <v>33635.0</v>
      </c>
      <c r="V245" s="3" t="n">
        <v>34682.0</v>
      </c>
      <c r="W245" s="3" t="n">
        <v>34657.0</v>
      </c>
      <c r="X245" s="3" t="n">
        <v>32782.0</v>
      </c>
      <c r="Y245" s="3" t="n">
        <v>32922.0</v>
      </c>
      <c r="Z245" s="3" t="n">
        <v>31910.0</v>
      </c>
      <c r="AA245" s="3" t="n">
        <v>32392.0</v>
      </c>
      <c r="AB245" s="3" t="n">
        <v>32673.0</v>
      </c>
      <c r="AC245" s="3" t="n">
        <v>33511.0</v>
      </c>
      <c r="AD245" s="3" t="n">
        <v>34378.0</v>
      </c>
      <c r="AE245" s="3" t="n">
        <v>33179.0</v>
      </c>
      <c r="AF245" s="3" t="n">
        <v>32185.0</v>
      </c>
      <c r="AG245" s="3" t="n">
        <v>30066.0</v>
      </c>
      <c r="AH245" s="3" t="n">
        <v>29730.0</v>
      </c>
      <c r="AI245" s="3" t="n">
        <v>26889.0</v>
      </c>
      <c r="AJ245" s="3" t="n">
        <v>27789.0</v>
      </c>
      <c r="AK245" s="3" t="n">
        <v>27353.0</v>
      </c>
      <c r="AL245" s="3" t="n">
        <v>27151.0</v>
      </c>
      <c r="AM245" s="3" t="n">
        <v>26798.0</v>
      </c>
      <c r="AN245" s="3" t="n">
        <v>26423.0</v>
      </c>
      <c r="AO245" s="3" t="n">
        <v>26079.0</v>
      </c>
    </row>
    <row r="246" spans="1:41" x14ac:dyDescent="0.2">
      <c r="A246" s="125"/>
      <c r="B246" s="9">
        <v>33</v>
      </c>
      <c r="C246" s="3" t="n">
        <v>41373.0</v>
      </c>
      <c r="D246" s="3" t="n">
        <v>41838.0</v>
      </c>
      <c r="E246" s="3" t="n">
        <v>40941.0</v>
      </c>
      <c r="F246" s="3" t="n">
        <v>39516.0</v>
      </c>
      <c r="G246" s="3" t="n">
        <v>38155.0</v>
      </c>
      <c r="H246" s="3" t="n">
        <v>36755.0</v>
      </c>
      <c r="I246" s="3" t="n">
        <v>34912.0</v>
      </c>
      <c r="J246" s="3" t="n">
        <v>33708.0</v>
      </c>
      <c r="K246" s="3" t="n">
        <v>31742.0</v>
      </c>
      <c r="L246" s="3" t="n">
        <v>30257.0</v>
      </c>
      <c r="M246" s="3" t="n">
        <v>29267.0</v>
      </c>
      <c r="N246" s="3" t="n">
        <v>29127.0</v>
      </c>
      <c r="O246" s="3" t="n">
        <v>28062.0</v>
      </c>
      <c r="P246" s="3" t="n">
        <v>27172.0</v>
      </c>
      <c r="Q246" s="3" t="n">
        <v>27101.0</v>
      </c>
      <c r="R246" s="3" t="n">
        <v>27961.0</v>
      </c>
      <c r="S246" s="3" t="n">
        <v>28965.0</v>
      </c>
      <c r="T246" s="3" t="n">
        <v>30545.0</v>
      </c>
      <c r="U246" s="3" t="n">
        <v>31847.0</v>
      </c>
      <c r="V246" s="3" t="n">
        <v>33862.0</v>
      </c>
      <c r="W246" s="3" t="n">
        <v>34917.0</v>
      </c>
      <c r="X246" s="3" t="n">
        <v>34875.0</v>
      </c>
      <c r="Y246" s="3" t="n">
        <v>32993.0</v>
      </c>
      <c r="Z246" s="3" t="n">
        <v>33128.0</v>
      </c>
      <c r="AA246" s="3" t="n">
        <v>32114.0</v>
      </c>
      <c r="AB246" s="3" t="n">
        <v>32591.0</v>
      </c>
      <c r="AC246" s="3" t="n">
        <v>32868.0</v>
      </c>
      <c r="AD246" s="3" t="n">
        <v>33708.0</v>
      </c>
      <c r="AE246" s="3" t="n">
        <v>34578.0</v>
      </c>
      <c r="AF246" s="3" t="n">
        <v>33373.0</v>
      </c>
      <c r="AG246" s="3" t="n">
        <v>32382.0</v>
      </c>
      <c r="AH246" s="3" t="n">
        <v>30249.0</v>
      </c>
      <c r="AI246" s="3" t="n">
        <v>29903.0</v>
      </c>
      <c r="AJ246" s="3" t="n">
        <v>27044.0</v>
      </c>
      <c r="AK246" s="3" t="n">
        <v>27942.0</v>
      </c>
      <c r="AL246" s="3" t="n">
        <v>27508.0</v>
      </c>
      <c r="AM246" s="3" t="n">
        <v>27303.0</v>
      </c>
      <c r="AN246" s="3" t="n">
        <v>26950.0</v>
      </c>
      <c r="AO246" s="3" t="n">
        <v>26570.0</v>
      </c>
    </row>
    <row r="247" spans="1:41" x14ac:dyDescent="0.2">
      <c r="A247" s="125"/>
      <c r="B247" s="9">
        <v>34</v>
      </c>
      <c r="C247" s="3" t="n">
        <v>43165.0</v>
      </c>
      <c r="D247" s="3" t="n">
        <v>41625.0</v>
      </c>
      <c r="E247" s="3" t="n">
        <v>42086.0</v>
      </c>
      <c r="F247" s="3" t="n">
        <v>41178.0</v>
      </c>
      <c r="G247" s="3" t="n">
        <v>39744.0</v>
      </c>
      <c r="H247" s="3" t="n">
        <v>38619.0</v>
      </c>
      <c r="I247" s="3" t="n">
        <v>37307.0</v>
      </c>
      <c r="J247" s="3" t="n">
        <v>35273.0</v>
      </c>
      <c r="K247" s="3" t="n">
        <v>33971.0</v>
      </c>
      <c r="L247" s="3" t="n">
        <v>31970.0</v>
      </c>
      <c r="M247" s="3" t="n">
        <v>30463.0</v>
      </c>
      <c r="N247" s="3" t="n">
        <v>29458.0</v>
      </c>
      <c r="O247" s="3" t="n">
        <v>29313.0</v>
      </c>
      <c r="P247" s="3" t="n">
        <v>28245.0</v>
      </c>
      <c r="Q247" s="3" t="n">
        <v>27350.0</v>
      </c>
      <c r="R247" s="3" t="n">
        <v>27278.0</v>
      </c>
      <c r="S247" s="3" t="n">
        <v>28135.0</v>
      </c>
      <c r="T247" s="3" t="n">
        <v>29140.0</v>
      </c>
      <c r="U247" s="3" t="n">
        <v>30722.0</v>
      </c>
      <c r="V247" s="3" t="n">
        <v>32041.0</v>
      </c>
      <c r="W247" s="3" t="n">
        <v>34059.0</v>
      </c>
      <c r="X247" s="3" t="n">
        <v>35117.0</v>
      </c>
      <c r="Y247" s="3" t="n">
        <v>35071.0</v>
      </c>
      <c r="Z247" s="3" t="n">
        <v>33175.0</v>
      </c>
      <c r="AA247" s="3" t="n">
        <v>33302.0</v>
      </c>
      <c r="AB247" s="3" t="n">
        <v>32286.0</v>
      </c>
      <c r="AC247" s="3" t="n">
        <v>32757.0</v>
      </c>
      <c r="AD247" s="3" t="n">
        <v>33036.0</v>
      </c>
      <c r="AE247" s="3" t="n">
        <v>33881.0</v>
      </c>
      <c r="AF247" s="3" t="n">
        <v>34750.0</v>
      </c>
      <c r="AG247" s="3" t="n">
        <v>33538.0</v>
      </c>
      <c r="AH247" s="3" t="n">
        <v>32533.0</v>
      </c>
      <c r="AI247" s="3" t="n">
        <v>30401.0</v>
      </c>
      <c r="AJ247" s="3" t="n">
        <v>30042.0</v>
      </c>
      <c r="AK247" s="3" t="n">
        <v>27180.0</v>
      </c>
      <c r="AL247" s="3" t="n">
        <v>28064.0</v>
      </c>
      <c r="AM247" s="3" t="n">
        <v>27630.0</v>
      </c>
      <c r="AN247" s="3" t="n">
        <v>27425.0</v>
      </c>
      <c r="AO247" s="3" t="n">
        <v>27070.0</v>
      </c>
    </row>
    <row r="248" spans="1:41" x14ac:dyDescent="0.2">
      <c r="A248" s="125"/>
      <c r="B248" s="9">
        <v>35</v>
      </c>
      <c r="C248" s="3" t="n">
        <v>43178.0</v>
      </c>
      <c r="D248" s="3" t="n">
        <v>43404.0</v>
      </c>
      <c r="E248" s="3" t="n">
        <v>41854.0</v>
      </c>
      <c r="F248" s="3" t="n">
        <v>42312.0</v>
      </c>
      <c r="G248" s="3" t="n">
        <v>41399.0</v>
      </c>
      <c r="H248" s="3" t="n">
        <v>40216.0</v>
      </c>
      <c r="I248" s="3" t="n">
        <v>39172.0</v>
      </c>
      <c r="J248" s="3" t="n">
        <v>37654.0</v>
      </c>
      <c r="K248" s="3" t="n">
        <v>35533.0</v>
      </c>
      <c r="L248" s="3" t="n">
        <v>34185.0</v>
      </c>
      <c r="M248" s="3" t="n">
        <v>32161.0</v>
      </c>
      <c r="N248" s="3" t="n">
        <v>30648.0</v>
      </c>
      <c r="O248" s="3" t="n">
        <v>29634.0</v>
      </c>
      <c r="P248" s="3" t="n">
        <v>29487.0</v>
      </c>
      <c r="Q248" s="3" t="n">
        <v>28415.0</v>
      </c>
      <c r="R248" s="3" t="n">
        <v>27515.0</v>
      </c>
      <c r="S248" s="3" t="n">
        <v>27437.0</v>
      </c>
      <c r="T248" s="3" t="n">
        <v>28302.0</v>
      </c>
      <c r="U248" s="3" t="n">
        <v>29303.0</v>
      </c>
      <c r="V248" s="3" t="n">
        <v>30886.0</v>
      </c>
      <c r="W248" s="3" t="n">
        <v>32218.0</v>
      </c>
      <c r="X248" s="3" t="n">
        <v>34235.0</v>
      </c>
      <c r="Y248" s="3" t="n">
        <v>35290.0</v>
      </c>
      <c r="Z248" s="3" t="n">
        <v>35242.0</v>
      </c>
      <c r="AA248" s="3" t="n">
        <v>33342.0</v>
      </c>
      <c r="AB248" s="3" t="n">
        <v>33462.0</v>
      </c>
      <c r="AC248" s="3" t="n">
        <v>32443.0</v>
      </c>
      <c r="AD248" s="3" t="n">
        <v>32917.0</v>
      </c>
      <c r="AE248" s="3" t="n">
        <v>33184.0</v>
      </c>
      <c r="AF248" s="3" t="n">
        <v>34036.0</v>
      </c>
      <c r="AG248" s="3" t="n">
        <v>34905.0</v>
      </c>
      <c r="AH248" s="3" t="n">
        <v>33691.0</v>
      </c>
      <c r="AI248" s="3" t="n">
        <v>32684.0</v>
      </c>
      <c r="AJ248" s="3" t="n">
        <v>30538.0</v>
      </c>
      <c r="AK248" s="3" t="n">
        <v>30171.0</v>
      </c>
      <c r="AL248" s="3" t="n">
        <v>27297.0</v>
      </c>
      <c r="AM248" s="3" t="n">
        <v>28178.0</v>
      </c>
      <c r="AN248" s="3" t="n">
        <v>27745.0</v>
      </c>
      <c r="AO248" s="3" t="n">
        <v>27540.0</v>
      </c>
    </row>
    <row r="249" spans="1:41" x14ac:dyDescent="0.2">
      <c r="A249" s="125"/>
      <c r="B249" s="9">
        <v>36</v>
      </c>
      <c r="C249" s="3" t="n">
        <v>45611.0</v>
      </c>
      <c r="D249" s="3" t="n">
        <v>43385.0</v>
      </c>
      <c r="E249" s="3" t="n">
        <v>43608.0</v>
      </c>
      <c r="F249" s="3" t="n">
        <v>42057.0</v>
      </c>
      <c r="G249" s="3" t="n">
        <v>42509.0</v>
      </c>
      <c r="H249" s="3" t="n">
        <v>41860.0</v>
      </c>
      <c r="I249" s="3" t="n">
        <v>40779.0</v>
      </c>
      <c r="J249" s="3" t="n">
        <v>39518.0</v>
      </c>
      <c r="K249" s="3" t="n">
        <v>37885.0</v>
      </c>
      <c r="L249" s="3" t="n">
        <v>35729.0</v>
      </c>
      <c r="M249" s="3" t="n">
        <v>34369.0</v>
      </c>
      <c r="N249" s="3" t="n">
        <v>32332.0</v>
      </c>
      <c r="O249" s="3" t="n">
        <v>30802.0</v>
      </c>
      <c r="P249" s="3" t="n">
        <v>29786.0</v>
      </c>
      <c r="Q249" s="3" t="n">
        <v>29640.0</v>
      </c>
      <c r="R249" s="3" t="n">
        <v>28563.0</v>
      </c>
      <c r="S249" s="3" t="n">
        <v>27659.0</v>
      </c>
      <c r="T249" s="3" t="n">
        <v>27580.0</v>
      </c>
      <c r="U249" s="3" t="n">
        <v>28433.0</v>
      </c>
      <c r="V249" s="3" t="n">
        <v>29435.0</v>
      </c>
      <c r="W249" s="3" t="n">
        <v>31022.0</v>
      </c>
      <c r="X249" s="3" t="n">
        <v>32369.0</v>
      </c>
      <c r="Y249" s="3" t="n">
        <v>34400.0</v>
      </c>
      <c r="Z249" s="3" t="n">
        <v>35451.0</v>
      </c>
      <c r="AA249" s="3" t="n">
        <v>35389.0</v>
      </c>
      <c r="AB249" s="3" t="n">
        <v>33490.0</v>
      </c>
      <c r="AC249" s="3" t="n">
        <v>33602.0</v>
      </c>
      <c r="AD249" s="3" t="n">
        <v>32578.0</v>
      </c>
      <c r="AE249" s="3" t="n">
        <v>33047.0</v>
      </c>
      <c r="AF249" s="3" t="n">
        <v>33314.0</v>
      </c>
      <c r="AG249" s="3" t="n">
        <v>34168.0</v>
      </c>
      <c r="AH249" s="3" t="n">
        <v>35043.0</v>
      </c>
      <c r="AI249" s="3" t="n">
        <v>33823.0</v>
      </c>
      <c r="AJ249" s="3" t="n">
        <v>32809.0</v>
      </c>
      <c r="AK249" s="3" t="n">
        <v>30660.0</v>
      </c>
      <c r="AL249" s="3" t="n">
        <v>30281.0</v>
      </c>
      <c r="AM249" s="3" t="n">
        <v>27409.0</v>
      </c>
      <c r="AN249" s="3" t="n">
        <v>28282.0</v>
      </c>
      <c r="AO249" s="3" t="n">
        <v>27849.0</v>
      </c>
    </row>
    <row r="250" spans="1:41" x14ac:dyDescent="0.2">
      <c r="A250" s="125"/>
      <c r="B250" s="9">
        <v>37</v>
      </c>
      <c r="C250" s="3" t="n">
        <v>47758.0</v>
      </c>
      <c r="D250" s="3" t="n">
        <v>45756.0</v>
      </c>
      <c r="E250" s="3" t="n">
        <v>43525.0</v>
      </c>
      <c r="F250" s="3" t="n">
        <v>43752.0</v>
      </c>
      <c r="G250" s="3" t="n">
        <v>42200.0</v>
      </c>
      <c r="H250" s="3" t="n">
        <v>42914.0</v>
      </c>
      <c r="I250" s="3" t="n">
        <v>42367.0</v>
      </c>
      <c r="J250" s="3" t="n">
        <v>41069.0</v>
      </c>
      <c r="K250" s="3" t="n">
        <v>39707.0</v>
      </c>
      <c r="L250" s="3" t="n">
        <v>38026.0</v>
      </c>
      <c r="M250" s="3" t="n">
        <v>35848.0</v>
      </c>
      <c r="N250" s="3" t="n">
        <v>34476.0</v>
      </c>
      <c r="O250" s="3" t="n">
        <v>32438.0</v>
      </c>
      <c r="P250" s="3" t="n">
        <v>30911.0</v>
      </c>
      <c r="Q250" s="3" t="n">
        <v>29892.0</v>
      </c>
      <c r="R250" s="3" t="n">
        <v>29746.0</v>
      </c>
      <c r="S250" s="3" t="n">
        <v>28671.0</v>
      </c>
      <c r="T250" s="3" t="n">
        <v>27762.0</v>
      </c>
      <c r="U250" s="3" t="n">
        <v>27684.0</v>
      </c>
      <c r="V250" s="3" t="n">
        <v>28540.0</v>
      </c>
      <c r="W250" s="3" t="n">
        <v>29533.0</v>
      </c>
      <c r="X250" s="3" t="n">
        <v>31115.0</v>
      </c>
      <c r="Y250" s="3" t="n">
        <v>32466.0</v>
      </c>
      <c r="Z250" s="3" t="n">
        <v>34497.0</v>
      </c>
      <c r="AA250" s="3" t="n">
        <v>35546.0</v>
      </c>
      <c r="AB250" s="3" t="n">
        <v>35478.0</v>
      </c>
      <c r="AC250" s="3" t="n">
        <v>33575.0</v>
      </c>
      <c r="AD250" s="3" t="n">
        <v>33680.0</v>
      </c>
      <c r="AE250" s="3" t="n">
        <v>32656.0</v>
      </c>
      <c r="AF250" s="3" t="n">
        <v>33125.0</v>
      </c>
      <c r="AG250" s="3" t="n">
        <v>33388.0</v>
      </c>
      <c r="AH250" s="3" t="n">
        <v>34244.0</v>
      </c>
      <c r="AI250" s="3" t="n">
        <v>35119.0</v>
      </c>
      <c r="AJ250" s="3" t="n">
        <v>33904.0</v>
      </c>
      <c r="AK250" s="3" t="n">
        <v>32889.0</v>
      </c>
      <c r="AL250" s="3" t="n">
        <v>30731.0</v>
      </c>
      <c r="AM250" s="3" t="n">
        <v>30354.0</v>
      </c>
      <c r="AN250" s="3" t="n">
        <v>27472.0</v>
      </c>
      <c r="AO250" s="3" t="n">
        <v>28337.0</v>
      </c>
    </row>
    <row r="251" spans="1:41" x14ac:dyDescent="0.2">
      <c r="A251" s="125"/>
      <c r="B251" s="9">
        <v>38</v>
      </c>
      <c r="C251" s="3" t="n">
        <v>48842.0</v>
      </c>
      <c r="D251" s="3" t="n">
        <v>47878.0</v>
      </c>
      <c r="E251" s="3" t="n">
        <v>45873.0</v>
      </c>
      <c r="F251" s="3" t="n">
        <v>43643.0</v>
      </c>
      <c r="G251" s="3" t="n">
        <v>43867.0</v>
      </c>
      <c r="H251" s="3" t="n">
        <v>42598.0</v>
      </c>
      <c r="I251" s="3" t="n">
        <v>43408.0</v>
      </c>
      <c r="J251" s="3" t="n">
        <v>42642.0</v>
      </c>
      <c r="K251" s="3" t="n">
        <v>41230.0</v>
      </c>
      <c r="L251" s="3" t="n">
        <v>39829.0</v>
      </c>
      <c r="M251" s="3" t="n">
        <v>38133.0</v>
      </c>
      <c r="N251" s="3" t="n">
        <v>35942.0</v>
      </c>
      <c r="O251" s="3" t="n">
        <v>34562.0</v>
      </c>
      <c r="P251" s="3" t="n">
        <v>32530.0</v>
      </c>
      <c r="Q251" s="3" t="n">
        <v>31002.0</v>
      </c>
      <c r="R251" s="3" t="n">
        <v>29982.0</v>
      </c>
      <c r="S251" s="3" t="n">
        <v>29826.0</v>
      </c>
      <c r="T251" s="3" t="n">
        <v>28751.0</v>
      </c>
      <c r="U251" s="3" t="n">
        <v>27844.0</v>
      </c>
      <c r="V251" s="3" t="n">
        <v>27765.0</v>
      </c>
      <c r="W251" s="3" t="n">
        <v>28617.0</v>
      </c>
      <c r="X251" s="3" t="n">
        <v>29609.0</v>
      </c>
      <c r="Y251" s="3" t="n">
        <v>31187.0</v>
      </c>
      <c r="Z251" s="3" t="n">
        <v>32543.0</v>
      </c>
      <c r="AA251" s="3" t="n">
        <v>34584.0</v>
      </c>
      <c r="AB251" s="3" t="n">
        <v>35627.0</v>
      </c>
      <c r="AC251" s="3" t="n">
        <v>35552.0</v>
      </c>
      <c r="AD251" s="3" t="n">
        <v>33650.0</v>
      </c>
      <c r="AE251" s="3" t="n">
        <v>33753.0</v>
      </c>
      <c r="AF251" s="3" t="n">
        <v>32732.0</v>
      </c>
      <c r="AG251" s="3" t="n">
        <v>33193.0</v>
      </c>
      <c r="AH251" s="3" t="n">
        <v>33455.0</v>
      </c>
      <c r="AI251" s="3" t="n">
        <v>34310.0</v>
      </c>
      <c r="AJ251" s="3" t="n">
        <v>35185.0</v>
      </c>
      <c r="AK251" s="3" t="n">
        <v>33968.0</v>
      </c>
      <c r="AL251" s="3" t="n">
        <v>32951.0</v>
      </c>
      <c r="AM251" s="3" t="n">
        <v>30782.0</v>
      </c>
      <c r="AN251" s="3" t="n">
        <v>30402.0</v>
      </c>
      <c r="AO251" s="3" t="n">
        <v>27519.0</v>
      </c>
    </row>
    <row r="252" spans="1:41" x14ac:dyDescent="0.2">
      <c r="A252" s="125"/>
      <c r="B252" s="9">
        <v>39</v>
      </c>
      <c r="C252" s="3" t="n">
        <v>50583.0</v>
      </c>
      <c r="D252" s="3" t="n">
        <v>48952.0</v>
      </c>
      <c r="E252" s="3" t="n">
        <v>47984.0</v>
      </c>
      <c r="F252" s="3" t="n">
        <v>45975.0</v>
      </c>
      <c r="G252" s="3" t="n">
        <v>43753.0</v>
      </c>
      <c r="H252" s="3" t="n">
        <v>44247.0</v>
      </c>
      <c r="I252" s="3" t="n">
        <v>43085.0</v>
      </c>
      <c r="J252" s="3" t="n">
        <v>43668.0</v>
      </c>
      <c r="K252" s="3" t="n">
        <v>42790.0</v>
      </c>
      <c r="L252" s="3" t="n">
        <v>41341.0</v>
      </c>
      <c r="M252" s="3" t="n">
        <v>39906.0</v>
      </c>
      <c r="N252" s="3" t="n">
        <v>38195.0</v>
      </c>
      <c r="O252" s="3" t="n">
        <v>36003.0</v>
      </c>
      <c r="P252" s="3" t="n">
        <v>34623.0</v>
      </c>
      <c r="Q252" s="3" t="n">
        <v>32599.0</v>
      </c>
      <c r="R252" s="3" t="n">
        <v>31073.0</v>
      </c>
      <c r="S252" s="3" t="n">
        <v>30053.0</v>
      </c>
      <c r="T252" s="3" t="n">
        <v>29898.0</v>
      </c>
      <c r="U252" s="3" t="n">
        <v>28817.0</v>
      </c>
      <c r="V252" s="3" t="n">
        <v>27905.0</v>
      </c>
      <c r="W252" s="3" t="n">
        <v>27830.0</v>
      </c>
      <c r="X252" s="3" t="n">
        <v>28678.0</v>
      </c>
      <c r="Y252" s="3" t="n">
        <v>29666.0</v>
      </c>
      <c r="Z252" s="3" t="n">
        <v>31250.0</v>
      </c>
      <c r="AA252" s="3" t="n">
        <v>32603.0</v>
      </c>
      <c r="AB252" s="3" t="n">
        <v>34647.0</v>
      </c>
      <c r="AC252" s="3" t="n">
        <v>35688.0</v>
      </c>
      <c r="AD252" s="3" t="n">
        <v>35611.0</v>
      </c>
      <c r="AE252" s="3" t="n">
        <v>33703.0</v>
      </c>
      <c r="AF252" s="3" t="n">
        <v>33808.0</v>
      </c>
      <c r="AG252" s="3" t="n">
        <v>32788.0</v>
      </c>
      <c r="AH252" s="3" t="n">
        <v>33247.0</v>
      </c>
      <c r="AI252" s="3" t="n">
        <v>33508.0</v>
      </c>
      <c r="AJ252" s="3" t="n">
        <v>34362.0</v>
      </c>
      <c r="AK252" s="3" t="n">
        <v>35233.0</v>
      </c>
      <c r="AL252" s="3" t="n">
        <v>34018.0</v>
      </c>
      <c r="AM252" s="3" t="n">
        <v>32999.0</v>
      </c>
      <c r="AN252" s="3" t="n">
        <v>30831.0</v>
      </c>
      <c r="AO252" s="3" t="n">
        <v>30447.0</v>
      </c>
    </row>
    <row r="253" spans="1:41" x14ac:dyDescent="0.2">
      <c r="A253" s="125"/>
      <c r="B253" s="9">
        <v>40</v>
      </c>
      <c r="C253" s="3" t="n">
        <v>48670.0</v>
      </c>
      <c r="D253" s="3" t="n">
        <v>50665.0</v>
      </c>
      <c r="E253" s="3" t="n">
        <v>49040.0</v>
      </c>
      <c r="F253" s="3" t="n">
        <v>48067.0</v>
      </c>
      <c r="G253" s="3" t="n">
        <v>46061.0</v>
      </c>
      <c r="H253" s="3" t="n">
        <v>44083.0</v>
      </c>
      <c r="I253" s="3" t="n">
        <v>44659.0</v>
      </c>
      <c r="J253" s="3" t="n">
        <v>43314.0</v>
      </c>
      <c r="K253" s="3" t="n">
        <v>43796.0</v>
      </c>
      <c r="L253" s="3" t="n">
        <v>42882.0</v>
      </c>
      <c r="M253" s="3" t="n">
        <v>41414.0</v>
      </c>
      <c r="N253" s="3" t="n">
        <v>39958.0</v>
      </c>
      <c r="O253" s="3" t="n">
        <v>38246.0</v>
      </c>
      <c r="P253" s="3" t="n">
        <v>36059.0</v>
      </c>
      <c r="Q253" s="3" t="n">
        <v>34679.0</v>
      </c>
      <c r="R253" s="3" t="n">
        <v>32656.0</v>
      </c>
      <c r="S253" s="3" t="n">
        <v>31131.0</v>
      </c>
      <c r="T253" s="3" t="n">
        <v>30114.0</v>
      </c>
      <c r="U253" s="3" t="n">
        <v>29960.0</v>
      </c>
      <c r="V253" s="3" t="n">
        <v>28873.0</v>
      </c>
      <c r="W253" s="3" t="n">
        <v>27965.0</v>
      </c>
      <c r="X253" s="3" t="n">
        <v>27884.0</v>
      </c>
      <c r="Y253" s="3" t="n">
        <v>28728.0</v>
      </c>
      <c r="Z253" s="3" t="n">
        <v>29718.0</v>
      </c>
      <c r="AA253" s="3" t="n">
        <v>31298.0</v>
      </c>
      <c r="AB253" s="3" t="n">
        <v>32655.0</v>
      </c>
      <c r="AC253" s="3" t="n">
        <v>34700.0</v>
      </c>
      <c r="AD253" s="3" t="n">
        <v>35735.0</v>
      </c>
      <c r="AE253" s="3" t="n">
        <v>35654.0</v>
      </c>
      <c r="AF253" s="3" t="n">
        <v>33750.0</v>
      </c>
      <c r="AG253" s="3" t="n">
        <v>33847.0</v>
      </c>
      <c r="AH253" s="3" t="n">
        <v>32829.0</v>
      </c>
      <c r="AI253" s="3" t="n">
        <v>33286.0</v>
      </c>
      <c r="AJ253" s="3" t="n">
        <v>33540.0</v>
      </c>
      <c r="AK253" s="3" t="n">
        <v>34400.0</v>
      </c>
      <c r="AL253" s="3" t="n">
        <v>35276.0</v>
      </c>
      <c r="AM253" s="3" t="n">
        <v>34061.0</v>
      </c>
      <c r="AN253" s="3" t="n">
        <v>33036.0</v>
      </c>
      <c r="AO253" s="3" t="n">
        <v>30865.0</v>
      </c>
    </row>
    <row r="254" spans="1:41" x14ac:dyDescent="0.2">
      <c r="A254" s="125"/>
      <c r="B254" s="9">
        <v>41</v>
      </c>
      <c r="C254" s="3" t="n">
        <v>46513.0</v>
      </c>
      <c r="D254" s="3" t="n">
        <v>48725.0</v>
      </c>
      <c r="E254" s="3" t="n">
        <v>50718.0</v>
      </c>
      <c r="F254" s="3" t="n">
        <v>49103.0</v>
      </c>
      <c r="G254" s="3" t="n">
        <v>48129.0</v>
      </c>
      <c r="H254" s="3" t="n">
        <v>46341.0</v>
      </c>
      <c r="I254" s="3" t="n">
        <v>44442.0</v>
      </c>
      <c r="J254" s="3" t="n">
        <v>44847.0</v>
      </c>
      <c r="K254" s="3" t="n">
        <v>43415.0</v>
      </c>
      <c r="L254" s="3" t="n">
        <v>43865.0</v>
      </c>
      <c r="M254" s="3" t="n">
        <v>42929.0</v>
      </c>
      <c r="N254" s="3" t="n">
        <v>41445.0</v>
      </c>
      <c r="O254" s="3" t="n">
        <v>39991.0</v>
      </c>
      <c r="P254" s="3" t="n">
        <v>38280.0</v>
      </c>
      <c r="Q254" s="3" t="n">
        <v>36093.0</v>
      </c>
      <c r="R254" s="3" t="n">
        <v>34718.0</v>
      </c>
      <c r="S254" s="3" t="n">
        <v>32699.0</v>
      </c>
      <c r="T254" s="3" t="n">
        <v>31177.0</v>
      </c>
      <c r="U254" s="3" t="n">
        <v>30162.0</v>
      </c>
      <c r="V254" s="3" t="n">
        <v>30006.0</v>
      </c>
      <c r="W254" s="3" t="n">
        <v>28915.0</v>
      </c>
      <c r="X254" s="3" t="n">
        <v>28008.0</v>
      </c>
      <c r="Y254" s="3" t="n">
        <v>27926.0</v>
      </c>
      <c r="Z254" s="3" t="n">
        <v>28766.0</v>
      </c>
      <c r="AA254" s="3" t="n">
        <v>29754.0</v>
      </c>
      <c r="AB254" s="3" t="n">
        <v>31334.0</v>
      </c>
      <c r="AC254" s="3" t="n">
        <v>32694.0</v>
      </c>
      <c r="AD254" s="3" t="n">
        <v>34744.0</v>
      </c>
      <c r="AE254" s="3" t="n">
        <v>35772.0</v>
      </c>
      <c r="AF254" s="3" t="n">
        <v>35680.0</v>
      </c>
      <c r="AG254" s="3" t="n">
        <v>33783.0</v>
      </c>
      <c r="AH254" s="3" t="n">
        <v>33876.0</v>
      </c>
      <c r="AI254" s="3" t="n">
        <v>32856.0</v>
      </c>
      <c r="AJ254" s="3" t="n">
        <v>33310.0</v>
      </c>
      <c r="AK254" s="3" t="n">
        <v>33561.0</v>
      </c>
      <c r="AL254" s="3" t="n">
        <v>34423.0</v>
      </c>
      <c r="AM254" s="3" t="n">
        <v>35298.0</v>
      </c>
      <c r="AN254" s="3" t="n">
        <v>34084.0</v>
      </c>
      <c r="AO254" s="3" t="n">
        <v>33062.0</v>
      </c>
    </row>
    <row r="255" spans="1:41" x14ac:dyDescent="0.2">
      <c r="A255" s="125"/>
      <c r="B255" s="9">
        <v>42</v>
      </c>
      <c r="C255" s="3" t="n">
        <v>47776.0</v>
      </c>
      <c r="D255" s="3" t="n">
        <v>46560.0</v>
      </c>
      <c r="E255" s="3" t="n">
        <v>48777.0</v>
      </c>
      <c r="F255" s="3" t="n">
        <v>50772.0</v>
      </c>
      <c r="G255" s="3" t="n">
        <v>49162.0</v>
      </c>
      <c r="H255" s="3" t="n">
        <v>48411.0</v>
      </c>
      <c r="I255" s="3" t="n">
        <v>46700.0</v>
      </c>
      <c r="J255" s="3" t="n">
        <v>44635.0</v>
      </c>
      <c r="K255" s="3" t="n">
        <v>44956.0</v>
      </c>
      <c r="L255" s="3" t="n">
        <v>43490.0</v>
      </c>
      <c r="M255" s="3" t="n">
        <v>43917.0</v>
      </c>
      <c r="N255" s="3" t="n">
        <v>42965.0</v>
      </c>
      <c r="O255" s="3" t="n">
        <v>41478.0</v>
      </c>
      <c r="P255" s="3" t="n">
        <v>40016.0</v>
      </c>
      <c r="Q255" s="3" t="n">
        <v>38307.0</v>
      </c>
      <c r="R255" s="3" t="n">
        <v>36118.0</v>
      </c>
      <c r="S255" s="3" t="n">
        <v>34745.0</v>
      </c>
      <c r="T255" s="3" t="n">
        <v>32736.0</v>
      </c>
      <c r="U255" s="3" t="n">
        <v>31227.0</v>
      </c>
      <c r="V255" s="3" t="n">
        <v>30212.0</v>
      </c>
      <c r="W255" s="3" t="n">
        <v>30054.0</v>
      </c>
      <c r="X255" s="3" t="n">
        <v>28955.0</v>
      </c>
      <c r="Y255" s="3" t="n">
        <v>28051.0</v>
      </c>
      <c r="Z255" s="3" t="n">
        <v>27965.0</v>
      </c>
      <c r="AA255" s="3" t="n">
        <v>28803.0</v>
      </c>
      <c r="AB255" s="3" t="n">
        <v>29792.0</v>
      </c>
      <c r="AC255" s="3" t="n">
        <v>31369.0</v>
      </c>
      <c r="AD255" s="3" t="n">
        <v>32728.0</v>
      </c>
      <c r="AE255" s="3" t="n">
        <v>34773.0</v>
      </c>
      <c r="AF255" s="3" t="n">
        <v>35803.0</v>
      </c>
      <c r="AG255" s="3" t="n">
        <v>35707.0</v>
      </c>
      <c r="AH255" s="3" t="n">
        <v>33813.0</v>
      </c>
      <c r="AI255" s="3" t="n">
        <v>33906.0</v>
      </c>
      <c r="AJ255" s="3" t="n">
        <v>32886.0</v>
      </c>
      <c r="AK255" s="3" t="n">
        <v>33334.0</v>
      </c>
      <c r="AL255" s="3" t="n">
        <v>33586.0</v>
      </c>
      <c r="AM255" s="3" t="n">
        <v>34450.0</v>
      </c>
      <c r="AN255" s="3" t="n">
        <v>35322.0</v>
      </c>
      <c r="AO255" s="3" t="n">
        <v>34108.0</v>
      </c>
    </row>
    <row r="256" spans="1:41" x14ac:dyDescent="0.2">
      <c r="A256" s="125"/>
      <c r="B256" s="9">
        <v>43</v>
      </c>
      <c r="C256" s="3" t="n">
        <v>47811.0</v>
      </c>
      <c r="D256" s="3" t="n">
        <v>47787.0</v>
      </c>
      <c r="E256" s="3" t="n">
        <v>46582.0</v>
      </c>
      <c r="F256" s="3" t="n">
        <v>48800.0</v>
      </c>
      <c r="G256" s="3" t="n">
        <v>50802.0</v>
      </c>
      <c r="H256" s="3" t="n">
        <v>49414.0</v>
      </c>
      <c r="I256" s="3" t="n">
        <v>48737.0</v>
      </c>
      <c r="J256" s="3" t="n">
        <v>46858.0</v>
      </c>
      <c r="K256" s="3" t="n">
        <v>44709.0</v>
      </c>
      <c r="L256" s="3" t="n">
        <v>44999.0</v>
      </c>
      <c r="M256" s="3" t="n">
        <v>43519.0</v>
      </c>
      <c r="N256" s="3" t="n">
        <v>43932.0</v>
      </c>
      <c r="O256" s="3" t="n">
        <v>42975.0</v>
      </c>
      <c r="P256" s="3" t="n">
        <v>41488.0</v>
      </c>
      <c r="Q256" s="3" t="n">
        <v>40026.0</v>
      </c>
      <c r="R256" s="3" t="n">
        <v>38320.0</v>
      </c>
      <c r="S256" s="3" t="n">
        <v>36141.0</v>
      </c>
      <c r="T256" s="3" t="n">
        <v>34762.0</v>
      </c>
      <c r="U256" s="3" t="n">
        <v>32760.0</v>
      </c>
      <c r="V256" s="3" t="n">
        <v>31252.0</v>
      </c>
      <c r="W256" s="3" t="n">
        <v>30239.0</v>
      </c>
      <c r="X256" s="3" t="n">
        <v>30082.0</v>
      </c>
      <c r="Y256" s="3" t="n">
        <v>28987.0</v>
      </c>
      <c r="Z256" s="3" t="n">
        <v>28078.0</v>
      </c>
      <c r="AA256" s="3" t="n">
        <v>27986.0</v>
      </c>
      <c r="AB256" s="3" t="n">
        <v>28823.0</v>
      </c>
      <c r="AC256" s="3" t="n">
        <v>29813.0</v>
      </c>
      <c r="AD256" s="3" t="n">
        <v>31388.0</v>
      </c>
      <c r="AE256" s="3" t="n">
        <v>32751.0</v>
      </c>
      <c r="AF256" s="3" t="n">
        <v>34795.0</v>
      </c>
      <c r="AG256" s="3" t="n">
        <v>35824.0</v>
      </c>
      <c r="AH256" s="3" t="n">
        <v>35719.0</v>
      </c>
      <c r="AI256" s="3" t="n">
        <v>33824.0</v>
      </c>
      <c r="AJ256" s="3" t="n">
        <v>33915.0</v>
      </c>
      <c r="AK256" s="3" t="n">
        <v>32897.0</v>
      </c>
      <c r="AL256" s="3" t="n">
        <v>33343.0</v>
      </c>
      <c r="AM256" s="3" t="n">
        <v>33596.0</v>
      </c>
      <c r="AN256" s="3" t="n">
        <v>34460.0</v>
      </c>
      <c r="AO256" s="3" t="n">
        <v>35333.0</v>
      </c>
    </row>
    <row r="257" spans="1:41" x14ac:dyDescent="0.2">
      <c r="A257" s="125"/>
      <c r="B257" s="9">
        <v>44</v>
      </c>
      <c r="C257" s="3" t="n">
        <v>46259.0</v>
      </c>
      <c r="D257" s="3" t="n">
        <v>47795.0</v>
      </c>
      <c r="E257" s="3" t="n">
        <v>47779.0</v>
      </c>
      <c r="F257" s="3" t="n">
        <v>46586.0</v>
      </c>
      <c r="G257" s="3" t="n">
        <v>48801.0</v>
      </c>
      <c r="H257" s="3" t="n">
        <v>51023.0</v>
      </c>
      <c r="I257" s="3" t="n">
        <v>49723.0</v>
      </c>
      <c r="J257" s="3" t="n">
        <v>48874.0</v>
      </c>
      <c r="K257" s="3" t="n">
        <v>46919.0</v>
      </c>
      <c r="L257" s="3" t="n">
        <v>44740.0</v>
      </c>
      <c r="M257" s="3" t="n">
        <v>45009.0</v>
      </c>
      <c r="N257" s="3" t="n">
        <v>43519.0</v>
      </c>
      <c r="O257" s="3" t="n">
        <v>43923.0</v>
      </c>
      <c r="P257" s="3" t="n">
        <v>42963.0</v>
      </c>
      <c r="Q257" s="3" t="n">
        <v>41474.0</v>
      </c>
      <c r="R257" s="3" t="n">
        <v>40016.0</v>
      </c>
      <c r="S257" s="3" t="n">
        <v>38314.0</v>
      </c>
      <c r="T257" s="3" t="n">
        <v>36137.0</v>
      </c>
      <c r="U257" s="3" t="n">
        <v>34765.0</v>
      </c>
      <c r="V257" s="3" t="n">
        <v>32764.0</v>
      </c>
      <c r="W257" s="3" t="n">
        <v>31253.0</v>
      </c>
      <c r="X257" s="3" t="n">
        <v>30245.0</v>
      </c>
      <c r="Y257" s="3" t="n">
        <v>30089.0</v>
      </c>
      <c r="Z257" s="3" t="n">
        <v>28993.0</v>
      </c>
      <c r="AA257" s="3" t="n">
        <v>28087.0</v>
      </c>
      <c r="AB257" s="3" t="n">
        <v>27988.0</v>
      </c>
      <c r="AC257" s="3" t="n">
        <v>28823.0</v>
      </c>
      <c r="AD257" s="3" t="n">
        <v>29815.0</v>
      </c>
      <c r="AE257" s="3" t="n">
        <v>31382.0</v>
      </c>
      <c r="AF257" s="3" t="n">
        <v>32750.0</v>
      </c>
      <c r="AG257" s="3" t="n">
        <v>34795.0</v>
      </c>
      <c r="AH257" s="3" t="n">
        <v>35818.0</v>
      </c>
      <c r="AI257" s="3" t="n">
        <v>35715.0</v>
      </c>
      <c r="AJ257" s="3" t="n">
        <v>33820.0</v>
      </c>
      <c r="AK257" s="3" t="n">
        <v>33908.0</v>
      </c>
      <c r="AL257" s="3" t="n">
        <v>32893.0</v>
      </c>
      <c r="AM257" s="3" t="n">
        <v>33334.0</v>
      </c>
      <c r="AN257" s="3" t="n">
        <v>33583.0</v>
      </c>
      <c r="AO257" s="3" t="n">
        <v>34450.0</v>
      </c>
    </row>
    <row r="258" spans="1:41" x14ac:dyDescent="0.2">
      <c r="A258" s="125"/>
      <c r="B258" s="9">
        <v>45</v>
      </c>
      <c r="C258" s="3" t="n">
        <v>45870.0</v>
      </c>
      <c r="D258" s="3" t="n">
        <v>46224.0</v>
      </c>
      <c r="E258" s="3" t="n">
        <v>47766.0</v>
      </c>
      <c r="F258" s="3" t="n">
        <v>47753.0</v>
      </c>
      <c r="G258" s="3" t="n">
        <v>46576.0</v>
      </c>
      <c r="H258" s="3" t="n">
        <v>48984.0</v>
      </c>
      <c r="I258" s="3" t="n">
        <v>51274.0</v>
      </c>
      <c r="J258" s="3" t="n">
        <v>49823.0</v>
      </c>
      <c r="K258" s="3" t="n">
        <v>48898.0</v>
      </c>
      <c r="L258" s="3" t="n">
        <v>46919.0</v>
      </c>
      <c r="M258" s="3" t="n">
        <v>44723.0</v>
      </c>
      <c r="N258" s="3" t="n">
        <v>44980.0</v>
      </c>
      <c r="O258" s="3" t="n">
        <v>43498.0</v>
      </c>
      <c r="P258" s="3" t="n">
        <v>43897.0</v>
      </c>
      <c r="Q258" s="3" t="n">
        <v>42935.0</v>
      </c>
      <c r="R258" s="3" t="n">
        <v>41444.0</v>
      </c>
      <c r="S258" s="3" t="n">
        <v>39988.0</v>
      </c>
      <c r="T258" s="3" t="n">
        <v>38291.0</v>
      </c>
      <c r="U258" s="3" t="n">
        <v>36120.0</v>
      </c>
      <c r="V258" s="3" t="n">
        <v>34759.0</v>
      </c>
      <c r="W258" s="3" t="n">
        <v>32765.0</v>
      </c>
      <c r="X258" s="3" t="n">
        <v>31256.0</v>
      </c>
      <c r="Y258" s="3" t="n">
        <v>30244.0</v>
      </c>
      <c r="Z258" s="3" t="n">
        <v>30094.0</v>
      </c>
      <c r="AA258" s="3" t="n">
        <v>28995.0</v>
      </c>
      <c r="AB258" s="3" t="n">
        <v>28095.0</v>
      </c>
      <c r="AC258" s="3" t="n">
        <v>27990.0</v>
      </c>
      <c r="AD258" s="3" t="n">
        <v>28825.0</v>
      </c>
      <c r="AE258" s="3" t="n">
        <v>29809.0</v>
      </c>
      <c r="AF258" s="3" t="n">
        <v>31378.0</v>
      </c>
      <c r="AG258" s="3" t="n">
        <v>32743.0</v>
      </c>
      <c r="AH258" s="3" t="n">
        <v>34786.0</v>
      </c>
      <c r="AI258" s="3" t="n">
        <v>35806.0</v>
      </c>
      <c r="AJ258" s="3" t="n">
        <v>35705.0</v>
      </c>
      <c r="AK258" s="3" t="n">
        <v>33813.0</v>
      </c>
      <c r="AL258" s="3" t="n">
        <v>33898.0</v>
      </c>
      <c r="AM258" s="3" t="n">
        <v>32885.0</v>
      </c>
      <c r="AN258" s="3" t="n">
        <v>33322.0</v>
      </c>
      <c r="AO258" s="3" t="n">
        <v>33572.0</v>
      </c>
    </row>
    <row r="259" spans="1:41" x14ac:dyDescent="0.2">
      <c r="A259" s="125"/>
      <c r="B259" s="9">
        <v>46</v>
      </c>
      <c r="C259" s="3" t="n">
        <v>45982.0</v>
      </c>
      <c r="D259" s="3" t="n">
        <v>45841.0</v>
      </c>
      <c r="E259" s="3" t="n">
        <v>46199.0</v>
      </c>
      <c r="F259" s="3" t="n">
        <v>47740.0</v>
      </c>
      <c r="G259" s="3" t="n">
        <v>47738.0</v>
      </c>
      <c r="H259" s="3" t="n">
        <v>46727.0</v>
      </c>
      <c r="I259" s="3" t="n">
        <v>49191.0</v>
      </c>
      <c r="J259" s="3" t="n">
        <v>51357.0</v>
      </c>
      <c r="K259" s="3" t="n">
        <v>49837.0</v>
      </c>
      <c r="L259" s="3" t="n">
        <v>48900.0</v>
      </c>
      <c r="M259" s="3" t="n">
        <v>46903.0</v>
      </c>
      <c r="N259" s="3" t="n">
        <v>44694.0</v>
      </c>
      <c r="O259" s="3" t="n">
        <v>44953.0</v>
      </c>
      <c r="P259" s="3" t="n">
        <v>43469.0</v>
      </c>
      <c r="Q259" s="3" t="n">
        <v>43864.0</v>
      </c>
      <c r="R259" s="3" t="n">
        <v>42904.0</v>
      </c>
      <c r="S259" s="3" t="n">
        <v>41414.0</v>
      </c>
      <c r="T259" s="3" t="n">
        <v>39960.0</v>
      </c>
      <c r="U259" s="3" t="n">
        <v>38263.0</v>
      </c>
      <c r="V259" s="3" t="n">
        <v>36097.0</v>
      </c>
      <c r="W259" s="3" t="n">
        <v>34743.0</v>
      </c>
      <c r="X259" s="3" t="n">
        <v>32753.0</v>
      </c>
      <c r="Y259" s="3" t="n">
        <v>31249.0</v>
      </c>
      <c r="Z259" s="3" t="n">
        <v>30242.0</v>
      </c>
      <c r="AA259" s="3" t="n">
        <v>30088.0</v>
      </c>
      <c r="AB259" s="3" t="n">
        <v>28988.0</v>
      </c>
      <c r="AC259" s="3" t="n">
        <v>28091.0</v>
      </c>
      <c r="AD259" s="3" t="n">
        <v>27983.0</v>
      </c>
      <c r="AE259" s="3" t="n">
        <v>28814.0</v>
      </c>
      <c r="AF259" s="3" t="n">
        <v>29800.0</v>
      </c>
      <c r="AG259" s="3" t="n">
        <v>31366.0</v>
      </c>
      <c r="AH259" s="3" t="n">
        <v>32727.0</v>
      </c>
      <c r="AI259" s="3" t="n">
        <v>34772.0</v>
      </c>
      <c r="AJ259" s="3" t="n">
        <v>35786.0</v>
      </c>
      <c r="AK259" s="3" t="n">
        <v>35683.0</v>
      </c>
      <c r="AL259" s="3" t="n">
        <v>33795.0</v>
      </c>
      <c r="AM259" s="3" t="n">
        <v>33877.0</v>
      </c>
      <c r="AN259" s="3" t="n">
        <v>32867.0</v>
      </c>
      <c r="AO259" s="3" t="n">
        <v>33302.0</v>
      </c>
    </row>
    <row r="260" spans="1:41" x14ac:dyDescent="0.2">
      <c r="A260" s="125"/>
      <c r="B260" s="9">
        <v>47</v>
      </c>
      <c r="C260" s="3" t="n">
        <v>43990.0</v>
      </c>
      <c r="D260" s="3" t="n">
        <v>45932.0</v>
      </c>
      <c r="E260" s="3" t="n">
        <v>45799.0</v>
      </c>
      <c r="F260" s="3" t="n">
        <v>46153.0</v>
      </c>
      <c r="G260" s="3" t="n">
        <v>47699.0</v>
      </c>
      <c r="H260" s="3" t="n">
        <v>47866.0</v>
      </c>
      <c r="I260" s="3" t="n">
        <v>46924.0</v>
      </c>
      <c r="J260" s="3" t="n">
        <v>49256.0</v>
      </c>
      <c r="K260" s="3" t="n">
        <v>51349.0</v>
      </c>
      <c r="L260" s="3" t="n">
        <v>49810.0</v>
      </c>
      <c r="M260" s="3" t="n">
        <v>48860.0</v>
      </c>
      <c r="N260" s="3" t="n">
        <v>46864.0</v>
      </c>
      <c r="O260" s="3" t="n">
        <v>44647.0</v>
      </c>
      <c r="P260" s="3" t="n">
        <v>44904.0</v>
      </c>
      <c r="Q260" s="3" t="n">
        <v>43427.0</v>
      </c>
      <c r="R260" s="3" t="n">
        <v>43819.0</v>
      </c>
      <c r="S260" s="3" t="n">
        <v>42856.0</v>
      </c>
      <c r="T260" s="3" t="n">
        <v>41366.0</v>
      </c>
      <c r="U260" s="3" t="n">
        <v>39920.0</v>
      </c>
      <c r="V260" s="3" t="n">
        <v>38225.0</v>
      </c>
      <c r="W260" s="3" t="n">
        <v>36064.0</v>
      </c>
      <c r="X260" s="3" t="n">
        <v>34716.0</v>
      </c>
      <c r="Y260" s="3" t="n">
        <v>32734.0</v>
      </c>
      <c r="Z260" s="3" t="n">
        <v>31229.0</v>
      </c>
      <c r="AA260" s="3" t="n">
        <v>30225.0</v>
      </c>
      <c r="AB260" s="3" t="n">
        <v>30074.0</v>
      </c>
      <c r="AC260" s="3" t="n">
        <v>28974.0</v>
      </c>
      <c r="AD260" s="3" t="n">
        <v>28075.0</v>
      </c>
      <c r="AE260" s="3" t="n">
        <v>27968.0</v>
      </c>
      <c r="AF260" s="3" t="n">
        <v>28794.0</v>
      </c>
      <c r="AG260" s="3" t="n">
        <v>29776.0</v>
      </c>
      <c r="AH260" s="3" t="n">
        <v>31346.0</v>
      </c>
      <c r="AI260" s="3" t="n">
        <v>32697.0</v>
      </c>
      <c r="AJ260" s="3" t="n">
        <v>34746.0</v>
      </c>
      <c r="AK260" s="3" t="n">
        <v>35758.0</v>
      </c>
      <c r="AL260" s="3" t="n">
        <v>35653.0</v>
      </c>
      <c r="AM260" s="3" t="n">
        <v>33769.0</v>
      </c>
      <c r="AN260" s="3" t="n">
        <v>33848.0</v>
      </c>
      <c r="AO260" s="3" t="n">
        <v>32839.0</v>
      </c>
    </row>
    <row r="261" spans="1:41" x14ac:dyDescent="0.2">
      <c r="A261" s="125"/>
      <c r="B261" s="9">
        <v>48</v>
      </c>
      <c r="C261" s="3" t="n">
        <v>41638.0</v>
      </c>
      <c r="D261" s="3" t="n">
        <v>43926.0</v>
      </c>
      <c r="E261" s="3" t="n">
        <v>45865.0</v>
      </c>
      <c r="F261" s="3" t="n">
        <v>45734.0</v>
      </c>
      <c r="G261" s="3" t="n">
        <v>46088.0</v>
      </c>
      <c r="H261" s="3" t="n">
        <v>47801.0</v>
      </c>
      <c r="I261" s="3" t="n">
        <v>48035.0</v>
      </c>
      <c r="J261" s="3" t="n">
        <v>46973.0</v>
      </c>
      <c r="K261" s="3" t="n">
        <v>49238.0</v>
      </c>
      <c r="L261" s="3" t="n">
        <v>51298.0</v>
      </c>
      <c r="M261" s="3" t="n">
        <v>49749.0</v>
      </c>
      <c r="N261" s="3" t="n">
        <v>48796.0</v>
      </c>
      <c r="O261" s="3" t="n">
        <v>46796.0</v>
      </c>
      <c r="P261" s="3" t="n">
        <v>44587.0</v>
      </c>
      <c r="Q261" s="3" t="n">
        <v>44837.0</v>
      </c>
      <c r="R261" s="3" t="n">
        <v>43368.0</v>
      </c>
      <c r="S261" s="3" t="n">
        <v>43754.0</v>
      </c>
      <c r="T261" s="3" t="n">
        <v>42793.0</v>
      </c>
      <c r="U261" s="3" t="n">
        <v>41296.0</v>
      </c>
      <c r="V261" s="3" t="n">
        <v>39855.0</v>
      </c>
      <c r="W261" s="3" t="n">
        <v>38167.0</v>
      </c>
      <c r="X261" s="3" t="n">
        <v>36008.0</v>
      </c>
      <c r="Y261" s="3" t="n">
        <v>34665.0</v>
      </c>
      <c r="Z261" s="3" t="n">
        <v>32688.0</v>
      </c>
      <c r="AA261" s="3" t="n">
        <v>31190.0</v>
      </c>
      <c r="AB261" s="3" t="n">
        <v>30192.0</v>
      </c>
      <c r="AC261" s="3" t="n">
        <v>30041.0</v>
      </c>
      <c r="AD261" s="3" t="n">
        <v>28939.0</v>
      </c>
      <c r="AE261" s="3" t="n">
        <v>28042.0</v>
      </c>
      <c r="AF261" s="3" t="n">
        <v>27935.0</v>
      </c>
      <c r="AG261" s="3" t="n">
        <v>28765.0</v>
      </c>
      <c r="AH261" s="3" t="n">
        <v>29742.0</v>
      </c>
      <c r="AI261" s="3" t="n">
        <v>31302.0</v>
      </c>
      <c r="AJ261" s="3" t="n">
        <v>32644.0</v>
      </c>
      <c r="AK261" s="3" t="n">
        <v>34696.0</v>
      </c>
      <c r="AL261" s="3" t="n">
        <v>35706.0</v>
      </c>
      <c r="AM261" s="3" t="n">
        <v>35594.0</v>
      </c>
      <c r="AN261" s="3" t="n">
        <v>33715.0</v>
      </c>
      <c r="AO261" s="3" t="n">
        <v>33793.0</v>
      </c>
    </row>
    <row r="262" spans="1:41" x14ac:dyDescent="0.2">
      <c r="A262" s="125"/>
      <c r="B262" s="9">
        <v>49</v>
      </c>
      <c r="C262" s="3" t="n">
        <v>39606.0</v>
      </c>
      <c r="D262" s="3" t="n">
        <v>41555.0</v>
      </c>
      <c r="E262" s="3" t="n">
        <v>43841.0</v>
      </c>
      <c r="F262" s="3" t="n">
        <v>45778.0</v>
      </c>
      <c r="G262" s="3" t="n">
        <v>45655.0</v>
      </c>
      <c r="H262" s="3" t="n">
        <v>46172.0</v>
      </c>
      <c r="I262" s="3" t="n">
        <v>47947.0</v>
      </c>
      <c r="J262" s="3" t="n">
        <v>48061.0</v>
      </c>
      <c r="K262" s="3" t="n">
        <v>46934.0</v>
      </c>
      <c r="L262" s="3" t="n">
        <v>49171.0</v>
      </c>
      <c r="M262" s="3" t="n">
        <v>51217.0</v>
      </c>
      <c r="N262" s="3" t="n">
        <v>49663.0</v>
      </c>
      <c r="O262" s="3" t="n">
        <v>48708.0</v>
      </c>
      <c r="P262" s="3" t="n">
        <v>46702.0</v>
      </c>
      <c r="Q262" s="3" t="n">
        <v>44500.0</v>
      </c>
      <c r="R262" s="3" t="n">
        <v>44746.0</v>
      </c>
      <c r="S262" s="3" t="n">
        <v>43283.0</v>
      </c>
      <c r="T262" s="3" t="n">
        <v>43668.0</v>
      </c>
      <c r="U262" s="3" t="n">
        <v>42710.0</v>
      </c>
      <c r="V262" s="3" t="n">
        <v>41209.0</v>
      </c>
      <c r="W262" s="3" t="n">
        <v>39778.0</v>
      </c>
      <c r="X262" s="3" t="n">
        <v>38096.0</v>
      </c>
      <c r="Y262" s="3" t="n">
        <v>35943.0</v>
      </c>
      <c r="Z262" s="3" t="n">
        <v>34611.0</v>
      </c>
      <c r="AA262" s="3" t="n">
        <v>32642.0</v>
      </c>
      <c r="AB262" s="3" t="n">
        <v>31148.0</v>
      </c>
      <c r="AC262" s="3" t="n">
        <v>30152.0</v>
      </c>
      <c r="AD262" s="3" t="n">
        <v>30002.0</v>
      </c>
      <c r="AE262" s="3" t="n">
        <v>28901.0</v>
      </c>
      <c r="AF262" s="3" t="n">
        <v>28007.0</v>
      </c>
      <c r="AG262" s="3" t="n">
        <v>27900.0</v>
      </c>
      <c r="AH262" s="3" t="n">
        <v>28727.0</v>
      </c>
      <c r="AI262" s="3" t="n">
        <v>29703.0</v>
      </c>
      <c r="AJ262" s="3" t="n">
        <v>31254.0</v>
      </c>
      <c r="AK262" s="3" t="n">
        <v>32599.0</v>
      </c>
      <c r="AL262" s="3" t="n">
        <v>34653.0</v>
      </c>
      <c r="AM262" s="3" t="n">
        <v>35653.0</v>
      </c>
      <c r="AN262" s="3" t="n">
        <v>35536.0</v>
      </c>
      <c r="AO262" s="3" t="n">
        <v>33665.0</v>
      </c>
    </row>
    <row r="263" spans="1:41" x14ac:dyDescent="0.2">
      <c r="A263" s="125"/>
      <c r="B263" s="9">
        <v>50</v>
      </c>
      <c r="C263" s="3" t="n">
        <v>37152.0</v>
      </c>
      <c r="D263" s="3" t="n">
        <v>39507.0</v>
      </c>
      <c r="E263" s="3" t="n">
        <v>41455.0</v>
      </c>
      <c r="F263" s="3" t="n">
        <v>43731.0</v>
      </c>
      <c r="G263" s="3" t="n">
        <v>45669.0</v>
      </c>
      <c r="H263" s="3" t="n">
        <v>45701.0</v>
      </c>
      <c r="I263" s="3" t="n">
        <v>46274.0</v>
      </c>
      <c r="J263" s="3" t="n">
        <v>47931.0</v>
      </c>
      <c r="K263" s="3" t="n">
        <v>47989.0</v>
      </c>
      <c r="L263" s="3" t="n">
        <v>46847.0</v>
      </c>
      <c r="M263" s="3" t="n">
        <v>49070.0</v>
      </c>
      <c r="N263" s="3" t="n">
        <v>51105.0</v>
      </c>
      <c r="O263" s="3" t="n">
        <v>49548.0</v>
      </c>
      <c r="P263" s="3" t="n">
        <v>48593.0</v>
      </c>
      <c r="Q263" s="3" t="n">
        <v>46591.0</v>
      </c>
      <c r="R263" s="3" t="n">
        <v>44392.0</v>
      </c>
      <c r="S263" s="3" t="n">
        <v>44637.0</v>
      </c>
      <c r="T263" s="3" t="n">
        <v>43178.0</v>
      </c>
      <c r="U263" s="3" t="n">
        <v>43564.0</v>
      </c>
      <c r="V263" s="3" t="n">
        <v>42612.0</v>
      </c>
      <c r="W263" s="3" t="n">
        <v>41108.0</v>
      </c>
      <c r="X263" s="3" t="n">
        <v>39683.0</v>
      </c>
      <c r="Y263" s="3" t="n">
        <v>38012.0</v>
      </c>
      <c r="Z263" s="3" t="n">
        <v>35864.0</v>
      </c>
      <c r="AA263" s="3" t="n">
        <v>34537.0</v>
      </c>
      <c r="AB263" s="3" t="n">
        <v>32576.0</v>
      </c>
      <c r="AC263" s="3" t="n">
        <v>31087.0</v>
      </c>
      <c r="AD263" s="3" t="n">
        <v>30099.0</v>
      </c>
      <c r="AE263" s="3" t="n">
        <v>29947.0</v>
      </c>
      <c r="AF263" s="3" t="n">
        <v>28852.0</v>
      </c>
      <c r="AG263" s="3" t="n">
        <v>27954.0</v>
      </c>
      <c r="AH263" s="3" t="n">
        <v>27847.0</v>
      </c>
      <c r="AI263" s="3" t="n">
        <v>28670.0</v>
      </c>
      <c r="AJ263" s="3" t="n">
        <v>29647.0</v>
      </c>
      <c r="AK263" s="3" t="n">
        <v>31192.0</v>
      </c>
      <c r="AL263" s="3" t="n">
        <v>32530.0</v>
      </c>
      <c r="AM263" s="3" t="n">
        <v>34585.0</v>
      </c>
      <c r="AN263" s="3" t="n">
        <v>35584.0</v>
      </c>
      <c r="AO263" s="3" t="n">
        <v>35466.0</v>
      </c>
    </row>
    <row r="264" spans="1:41" x14ac:dyDescent="0.2">
      <c r="A264" s="125"/>
      <c r="B264" s="9">
        <v>51</v>
      </c>
      <c r="C264" s="3" t="n">
        <v>35058.0</v>
      </c>
      <c r="D264" s="3" t="n">
        <v>37053.0</v>
      </c>
      <c r="E264" s="3" t="n">
        <v>39397.0</v>
      </c>
      <c r="F264" s="3" t="n">
        <v>41343.0</v>
      </c>
      <c r="G264" s="3" t="n">
        <v>43618.0</v>
      </c>
      <c r="H264" s="3" t="n">
        <v>45678.0</v>
      </c>
      <c r="I264" s="3" t="n">
        <v>45759.0</v>
      </c>
      <c r="J264" s="3" t="n">
        <v>46230.0</v>
      </c>
      <c r="K264" s="3" t="n">
        <v>47838.0</v>
      </c>
      <c r="L264" s="3" t="n">
        <v>47876.0</v>
      </c>
      <c r="M264" s="3" t="n">
        <v>46731.0</v>
      </c>
      <c r="N264" s="3" t="n">
        <v>48944.0</v>
      </c>
      <c r="O264" s="3" t="n">
        <v>50968.0</v>
      </c>
      <c r="P264" s="3" t="n">
        <v>49417.0</v>
      </c>
      <c r="Q264" s="3" t="n">
        <v>48465.0</v>
      </c>
      <c r="R264" s="3" t="n">
        <v>46467.0</v>
      </c>
      <c r="S264" s="3" t="n">
        <v>44274.0</v>
      </c>
      <c r="T264" s="3" t="n">
        <v>44514.0</v>
      </c>
      <c r="U264" s="3" t="n">
        <v>43059.0</v>
      </c>
      <c r="V264" s="3" t="n">
        <v>43442.0</v>
      </c>
      <c r="W264" s="3" t="n">
        <v>42495.0</v>
      </c>
      <c r="X264" s="3" t="n">
        <v>40991.0</v>
      </c>
      <c r="Y264" s="3" t="n">
        <v>39576.0</v>
      </c>
      <c r="Z264" s="3" t="n">
        <v>37910.0</v>
      </c>
      <c r="AA264" s="3" t="n">
        <v>35765.0</v>
      </c>
      <c r="AB264" s="3" t="n">
        <v>34448.0</v>
      </c>
      <c r="AC264" s="3" t="n">
        <v>32491.0</v>
      </c>
      <c r="AD264" s="3" t="n">
        <v>31009.0</v>
      </c>
      <c r="AE264" s="3" t="n">
        <v>30027.0</v>
      </c>
      <c r="AF264" s="3" t="n">
        <v>29879.0</v>
      </c>
      <c r="AG264" s="3" t="n">
        <v>28784.0</v>
      </c>
      <c r="AH264" s="3" t="n">
        <v>27892.0</v>
      </c>
      <c r="AI264" s="3" t="n">
        <v>27782.0</v>
      </c>
      <c r="AJ264" s="3" t="n">
        <v>28600.0</v>
      </c>
      <c r="AK264" s="3" t="n">
        <v>29577.0</v>
      </c>
      <c r="AL264" s="3" t="n">
        <v>31119.0</v>
      </c>
      <c r="AM264" s="3" t="n">
        <v>32451.0</v>
      </c>
      <c r="AN264" s="3" t="n">
        <v>34493.0</v>
      </c>
      <c r="AO264" s="3" t="n">
        <v>35486.0</v>
      </c>
    </row>
    <row r="265" spans="1:41" x14ac:dyDescent="0.2">
      <c r="A265" s="125"/>
      <c r="B265" s="9">
        <v>52</v>
      </c>
      <c r="C265" s="3" t="n">
        <v>33507.0</v>
      </c>
      <c r="D265" s="3" t="n">
        <v>34969.0</v>
      </c>
      <c r="E265" s="3" t="n">
        <v>36952.0</v>
      </c>
      <c r="F265" s="3" t="n">
        <v>39290.0</v>
      </c>
      <c r="G265" s="3" t="n">
        <v>41227.0</v>
      </c>
      <c r="H265" s="3" t="n">
        <v>43623.0</v>
      </c>
      <c r="I265" s="3" t="n">
        <v>45718.0</v>
      </c>
      <c r="J265" s="3" t="n">
        <v>45709.0</v>
      </c>
      <c r="K265" s="3" t="n">
        <v>46129.0</v>
      </c>
      <c r="L265" s="3" t="n">
        <v>47713.0</v>
      </c>
      <c r="M265" s="3" t="n">
        <v>47748.0</v>
      </c>
      <c r="N265" s="3" t="n">
        <v>46604.0</v>
      </c>
      <c r="O265" s="3" t="n">
        <v>48808.0</v>
      </c>
      <c r="P265" s="3" t="n">
        <v>50822.0</v>
      </c>
      <c r="Q265" s="3" t="n">
        <v>49282.0</v>
      </c>
      <c r="R265" s="3" t="n">
        <v>48333.0</v>
      </c>
      <c r="S265" s="3" t="n">
        <v>46341.0</v>
      </c>
      <c r="T265" s="3" t="n">
        <v>44153.0</v>
      </c>
      <c r="U265" s="3" t="n">
        <v>44394.0</v>
      </c>
      <c r="V265" s="3" t="n">
        <v>42943.0</v>
      </c>
      <c r="W265" s="3" t="n">
        <v>43322.0</v>
      </c>
      <c r="X265" s="3" t="n">
        <v>42376.0</v>
      </c>
      <c r="Y265" s="3" t="n">
        <v>40876.0</v>
      </c>
      <c r="Z265" s="3" t="n">
        <v>39466.0</v>
      </c>
      <c r="AA265" s="3" t="n">
        <v>37802.0</v>
      </c>
      <c r="AB265" s="3" t="n">
        <v>35665.0</v>
      </c>
      <c r="AC265" s="3" t="n">
        <v>34355.0</v>
      </c>
      <c r="AD265" s="3" t="n">
        <v>32408.0</v>
      </c>
      <c r="AE265" s="3" t="n">
        <v>30932.0</v>
      </c>
      <c r="AF265" s="3" t="n">
        <v>29955.0</v>
      </c>
      <c r="AG265" s="3" t="n">
        <v>29803.0</v>
      </c>
      <c r="AH265" s="3" t="n">
        <v>28714.0</v>
      </c>
      <c r="AI265" s="3" t="n">
        <v>27827.0</v>
      </c>
      <c r="AJ265" s="3" t="n">
        <v>27717.0</v>
      </c>
      <c r="AK265" s="3" t="n">
        <v>28527.0</v>
      </c>
      <c r="AL265" s="3" t="n">
        <v>29503.0</v>
      </c>
      <c r="AM265" s="3" t="n">
        <v>31039.0</v>
      </c>
      <c r="AN265" s="3" t="n">
        <v>32371.0</v>
      </c>
      <c r="AO265" s="3" t="n">
        <v>34410.0</v>
      </c>
    </row>
    <row r="266" spans="1:41" x14ac:dyDescent="0.2">
      <c r="A266" s="125"/>
      <c r="B266" s="9">
        <v>53</v>
      </c>
      <c r="C266" s="3" t="n">
        <v>31588.0</v>
      </c>
      <c r="D266" s="3" t="n">
        <v>33398.0</v>
      </c>
      <c r="E266" s="3" t="n">
        <v>34857.0</v>
      </c>
      <c r="F266" s="3" t="n">
        <v>36838.0</v>
      </c>
      <c r="G266" s="3" t="n">
        <v>39174.0</v>
      </c>
      <c r="H266" s="3" t="n">
        <v>41232.0</v>
      </c>
      <c r="I266" s="3" t="n">
        <v>43668.0</v>
      </c>
      <c r="J266" s="3" t="n">
        <v>45665.0</v>
      </c>
      <c r="K266" s="3" t="n">
        <v>45605.0</v>
      </c>
      <c r="L266" s="3" t="n">
        <v>46003.0</v>
      </c>
      <c r="M266" s="3" t="n">
        <v>47572.0</v>
      </c>
      <c r="N266" s="3" t="n">
        <v>47599.0</v>
      </c>
      <c r="O266" s="3" t="n">
        <v>46458.0</v>
      </c>
      <c r="P266" s="3" t="n">
        <v>48653.0</v>
      </c>
      <c r="Q266" s="3" t="n">
        <v>50667.0</v>
      </c>
      <c r="R266" s="3" t="n">
        <v>49130.0</v>
      </c>
      <c r="S266" s="3" t="n">
        <v>48186.0</v>
      </c>
      <c r="T266" s="3" t="n">
        <v>46203.0</v>
      </c>
      <c r="U266" s="3" t="n">
        <v>44019.0</v>
      </c>
      <c r="V266" s="3" t="n">
        <v>44255.0</v>
      </c>
      <c r="W266" s="3" t="n">
        <v>42810.0</v>
      </c>
      <c r="X266" s="3" t="n">
        <v>43191.0</v>
      </c>
      <c r="Y266" s="3" t="n">
        <v>42236.0</v>
      </c>
      <c r="Z266" s="3" t="n">
        <v>40743.0</v>
      </c>
      <c r="AA266" s="3" t="n">
        <v>39335.0</v>
      </c>
      <c r="AB266" s="3" t="n">
        <v>37677.0</v>
      </c>
      <c r="AC266" s="3" t="n">
        <v>35553.0</v>
      </c>
      <c r="AD266" s="3" t="n">
        <v>34254.0</v>
      </c>
      <c r="AE266" s="3" t="n">
        <v>32312.0</v>
      </c>
      <c r="AF266" s="3" t="n">
        <v>30844.0</v>
      </c>
      <c r="AG266" s="3" t="n">
        <v>29866.0</v>
      </c>
      <c r="AH266" s="3" t="n">
        <v>29716.0</v>
      </c>
      <c r="AI266" s="3" t="n">
        <v>28634.0</v>
      </c>
      <c r="AJ266" s="3" t="n">
        <v>27750.0</v>
      </c>
      <c r="AK266" s="3" t="n">
        <v>27635.0</v>
      </c>
      <c r="AL266" s="3" t="n">
        <v>28445.0</v>
      </c>
      <c r="AM266" s="3" t="n">
        <v>29415.0</v>
      </c>
      <c r="AN266" s="3" t="n">
        <v>30951.0</v>
      </c>
      <c r="AO266" s="3" t="n">
        <v>32276.0</v>
      </c>
    </row>
    <row r="267" spans="1:41" x14ac:dyDescent="0.2">
      <c r="A267" s="125"/>
      <c r="B267" s="9">
        <v>54</v>
      </c>
      <c r="C267" s="3" t="n">
        <v>31070.0</v>
      </c>
      <c r="D267" s="3" t="n">
        <v>31483.0</v>
      </c>
      <c r="E267" s="3" t="n">
        <v>33284.0</v>
      </c>
      <c r="F267" s="3" t="n">
        <v>34745.0</v>
      </c>
      <c r="G267" s="3" t="n">
        <v>36709.0</v>
      </c>
      <c r="H267" s="3" t="n">
        <v>39166.0</v>
      </c>
      <c r="I267" s="3" t="n">
        <v>41264.0</v>
      </c>
      <c r="J267" s="3" t="n">
        <v>43598.0</v>
      </c>
      <c r="K267" s="3" t="n">
        <v>45531.0</v>
      </c>
      <c r="L267" s="3" t="n">
        <v>45454.0</v>
      </c>
      <c r="M267" s="3" t="n">
        <v>45843.0</v>
      </c>
      <c r="N267" s="3" t="n">
        <v>47406.0</v>
      </c>
      <c r="O267" s="3" t="n">
        <v>47435.0</v>
      </c>
      <c r="P267" s="3" t="n">
        <v>46299.0</v>
      </c>
      <c r="Q267" s="3" t="n">
        <v>48487.0</v>
      </c>
      <c r="R267" s="3" t="n">
        <v>50497.0</v>
      </c>
      <c r="S267" s="3" t="n">
        <v>48965.0</v>
      </c>
      <c r="T267" s="3" t="n">
        <v>48027.0</v>
      </c>
      <c r="U267" s="3" t="n">
        <v>46038.0</v>
      </c>
      <c r="V267" s="3" t="n">
        <v>43867.0</v>
      </c>
      <c r="W267" s="3" t="n">
        <v>44098.0</v>
      </c>
      <c r="X267" s="3" t="n">
        <v>42659.0</v>
      </c>
      <c r="Y267" s="3" t="n">
        <v>43044.0</v>
      </c>
      <c r="Z267" s="3" t="n">
        <v>42091.0</v>
      </c>
      <c r="AA267" s="3" t="n">
        <v>40603.0</v>
      </c>
      <c r="AB267" s="3" t="n">
        <v>39197.0</v>
      </c>
      <c r="AC267" s="3" t="n">
        <v>37555.0</v>
      </c>
      <c r="AD267" s="3" t="n">
        <v>35435.0</v>
      </c>
      <c r="AE267" s="3" t="n">
        <v>34144.0</v>
      </c>
      <c r="AF267" s="3" t="n">
        <v>32216.0</v>
      </c>
      <c r="AG267" s="3" t="n">
        <v>30747.0</v>
      </c>
      <c r="AH267" s="3" t="n">
        <v>29776.0</v>
      </c>
      <c r="AI267" s="3" t="n">
        <v>29629.0</v>
      </c>
      <c r="AJ267" s="3" t="n">
        <v>28550.0</v>
      </c>
      <c r="AK267" s="3" t="n">
        <v>27667.0</v>
      </c>
      <c r="AL267" s="3" t="n">
        <v>27553.0</v>
      </c>
      <c r="AM267" s="3" t="n">
        <v>28353.0</v>
      </c>
      <c r="AN267" s="3" t="n">
        <v>29320.0</v>
      </c>
      <c r="AO267" s="3" t="n">
        <v>30857.0</v>
      </c>
    </row>
    <row r="268" spans="1:41" x14ac:dyDescent="0.2">
      <c r="A268" s="125"/>
      <c r="B268" s="9">
        <v>55</v>
      </c>
      <c r="C268" s="3" t="n">
        <v>30120.0</v>
      </c>
      <c r="D268" s="3" t="n">
        <v>30947.0</v>
      </c>
      <c r="E268" s="3" t="n">
        <v>31356.0</v>
      </c>
      <c r="F268" s="3" t="n">
        <v>33156.0</v>
      </c>
      <c r="G268" s="3" t="n">
        <v>34614.0</v>
      </c>
      <c r="H268" s="3" t="n">
        <v>36676.0</v>
      </c>
      <c r="I268" s="3" t="n">
        <v>39164.0</v>
      </c>
      <c r="J268" s="3" t="n">
        <v>41172.0</v>
      </c>
      <c r="K268" s="3" t="n">
        <v>43457.0</v>
      </c>
      <c r="L268" s="3" t="n">
        <v>45368.0</v>
      </c>
      <c r="M268" s="3" t="n">
        <v>45283.0</v>
      </c>
      <c r="N268" s="3" t="n">
        <v>45668.0</v>
      </c>
      <c r="O268" s="3" t="n">
        <v>47220.0</v>
      </c>
      <c r="P268" s="3" t="n">
        <v>47253.0</v>
      </c>
      <c r="Q268" s="3" t="n">
        <v>46119.0</v>
      </c>
      <c r="R268" s="3" t="n">
        <v>48302.0</v>
      </c>
      <c r="S268" s="3" t="n">
        <v>50310.0</v>
      </c>
      <c r="T268" s="3" t="n">
        <v>48779.0</v>
      </c>
      <c r="U268" s="3" t="n">
        <v>47846.0</v>
      </c>
      <c r="V268" s="3" t="n">
        <v>45865.0</v>
      </c>
      <c r="W268" s="3" t="n">
        <v>43702.0</v>
      </c>
      <c r="X268" s="3" t="n">
        <v>43934.0</v>
      </c>
      <c r="Y268" s="3" t="n">
        <v>42499.0</v>
      </c>
      <c r="Z268" s="3" t="n">
        <v>42885.0</v>
      </c>
      <c r="AA268" s="3" t="n">
        <v>41927.0</v>
      </c>
      <c r="AB268" s="3" t="n">
        <v>40448.0</v>
      </c>
      <c r="AC268" s="3" t="n">
        <v>39050.0</v>
      </c>
      <c r="AD268" s="3" t="n">
        <v>37416.0</v>
      </c>
      <c r="AE268" s="3" t="n">
        <v>35312.0</v>
      </c>
      <c r="AF268" s="3" t="n">
        <v>34028.0</v>
      </c>
      <c r="AG268" s="3" t="n">
        <v>32109.0</v>
      </c>
      <c r="AH268" s="3" t="n">
        <v>30653.0</v>
      </c>
      <c r="AI268" s="3" t="n">
        <v>29687.0</v>
      </c>
      <c r="AJ268" s="3" t="n">
        <v>29544.0</v>
      </c>
      <c r="AK268" s="3" t="n">
        <v>28473.0</v>
      </c>
      <c r="AL268" s="3" t="n">
        <v>27589.0</v>
      </c>
      <c r="AM268" s="3" t="n">
        <v>27475.0</v>
      </c>
      <c r="AN268" s="3" t="n">
        <v>28276.0</v>
      </c>
      <c r="AO268" s="3" t="n">
        <v>29234.0</v>
      </c>
    </row>
    <row r="269" spans="1:41" x14ac:dyDescent="0.2">
      <c r="A269" s="125"/>
      <c r="B269" s="9">
        <v>56</v>
      </c>
      <c r="C269" s="3" t="n">
        <v>29877.0</v>
      </c>
      <c r="D269" s="3" t="n">
        <v>30020.0</v>
      </c>
      <c r="E269" s="3" t="n">
        <v>30843.0</v>
      </c>
      <c r="F269" s="3" t="n">
        <v>31253.0</v>
      </c>
      <c r="G269" s="3" t="n">
        <v>33044.0</v>
      </c>
      <c r="H269" s="3" t="n">
        <v>34590.0</v>
      </c>
      <c r="I269" s="3" t="n">
        <v>36679.0</v>
      </c>
      <c r="J269" s="3" t="n">
        <v>39076.0</v>
      </c>
      <c r="K269" s="3" t="n">
        <v>41036.0</v>
      </c>
      <c r="L269" s="3" t="n">
        <v>43298.0</v>
      </c>
      <c r="M269" s="3" t="n">
        <v>45197.0</v>
      </c>
      <c r="N269" s="3" t="n">
        <v>45110.0</v>
      </c>
      <c r="O269" s="3" t="n">
        <v>45495.0</v>
      </c>
      <c r="P269" s="3" t="n">
        <v>47040.0</v>
      </c>
      <c r="Q269" s="3" t="n">
        <v>47079.0</v>
      </c>
      <c r="R269" s="3" t="n">
        <v>45950.0</v>
      </c>
      <c r="S269" s="3" t="n">
        <v>48128.0</v>
      </c>
      <c r="T269" s="3" t="n">
        <v>50129.0</v>
      </c>
      <c r="U269" s="3" t="n">
        <v>48605.0</v>
      </c>
      <c r="V269" s="3" t="n">
        <v>47668.0</v>
      </c>
      <c r="W269" s="3" t="n">
        <v>45694.0</v>
      </c>
      <c r="X269" s="3" t="n">
        <v>43555.0</v>
      </c>
      <c r="Y269" s="3" t="n">
        <v>43781.0</v>
      </c>
      <c r="Z269" s="3" t="n">
        <v>42353.0</v>
      </c>
      <c r="AA269" s="3" t="n">
        <v>42734.0</v>
      </c>
      <c r="AB269" s="3" t="n">
        <v>41781.0</v>
      </c>
      <c r="AC269" s="3" t="n">
        <v>40309.0</v>
      </c>
      <c r="AD269" s="3" t="n">
        <v>38915.0</v>
      </c>
      <c r="AE269" s="3" t="n">
        <v>37290.0</v>
      </c>
      <c r="AF269" s="3" t="n">
        <v>35191.0</v>
      </c>
      <c r="AG269" s="3" t="n">
        <v>33916.0</v>
      </c>
      <c r="AH269" s="3" t="n">
        <v>32002.0</v>
      </c>
      <c r="AI269" s="3" t="n">
        <v>30555.0</v>
      </c>
      <c r="AJ269" s="3" t="n">
        <v>29593.0</v>
      </c>
      <c r="AK269" s="3" t="n">
        <v>29457.0</v>
      </c>
      <c r="AL269" s="3" t="n">
        <v>28392.0</v>
      </c>
      <c r="AM269" s="3" t="n">
        <v>27514.0</v>
      </c>
      <c r="AN269" s="3" t="n">
        <v>27396.0</v>
      </c>
      <c r="AO269" s="3" t="n">
        <v>28193.0</v>
      </c>
    </row>
    <row r="270" spans="1:41" x14ac:dyDescent="0.2">
      <c r="A270" s="125"/>
      <c r="B270" s="9">
        <v>57</v>
      </c>
      <c r="C270" s="3" t="n">
        <v>29477.0</v>
      </c>
      <c r="D270" s="3" t="n">
        <v>29741.0</v>
      </c>
      <c r="E270" s="3" t="n">
        <v>29887.0</v>
      </c>
      <c r="F270" s="3" t="n">
        <v>30707.0</v>
      </c>
      <c r="G270" s="3" t="n">
        <v>31123.0</v>
      </c>
      <c r="H270" s="3" t="n">
        <v>32995.0</v>
      </c>
      <c r="I270" s="3" t="n">
        <v>34565.0</v>
      </c>
      <c r="J270" s="3" t="n">
        <v>36575.0</v>
      </c>
      <c r="K270" s="3" t="n">
        <v>38927.0</v>
      </c>
      <c r="L270" s="3" t="n">
        <v>40864.0</v>
      </c>
      <c r="M270" s="3" t="n">
        <v>43110.0</v>
      </c>
      <c r="N270" s="3" t="n">
        <v>44991.0</v>
      </c>
      <c r="O270" s="3" t="n">
        <v>44905.0</v>
      </c>
      <c r="P270" s="3" t="n">
        <v>45295.0</v>
      </c>
      <c r="Q270" s="3" t="n">
        <v>46834.0</v>
      </c>
      <c r="R270" s="3" t="n">
        <v>46879.0</v>
      </c>
      <c r="S270" s="3" t="n">
        <v>45750.0</v>
      </c>
      <c r="T270" s="3" t="n">
        <v>47924.0</v>
      </c>
      <c r="U270" s="3" t="n">
        <v>49912.0</v>
      </c>
      <c r="V270" s="3" t="n">
        <v>48398.0</v>
      </c>
      <c r="W270" s="3" t="n">
        <v>47466.0</v>
      </c>
      <c r="X270" s="3" t="n">
        <v>45504.0</v>
      </c>
      <c r="Y270" s="3" t="n">
        <v>43375.0</v>
      </c>
      <c r="Z270" s="3" t="n">
        <v>43592.0</v>
      </c>
      <c r="AA270" s="3" t="n">
        <v>42169.0</v>
      </c>
      <c r="AB270" s="3" t="n">
        <v>42548.0</v>
      </c>
      <c r="AC270" s="3" t="n">
        <v>41595.0</v>
      </c>
      <c r="AD270" s="3" t="n">
        <v>40132.0</v>
      </c>
      <c r="AE270" s="3" t="n">
        <v>38750.0</v>
      </c>
      <c r="AF270" s="3" t="n">
        <v>37133.0</v>
      </c>
      <c r="AG270" s="3" t="n">
        <v>35044.0</v>
      </c>
      <c r="AH270" s="3" t="n">
        <v>33770.0</v>
      </c>
      <c r="AI270" s="3" t="n">
        <v>31869.0</v>
      </c>
      <c r="AJ270" s="3" t="n">
        <v>30429.0</v>
      </c>
      <c r="AK270" s="3" t="n">
        <v>29473.0</v>
      </c>
      <c r="AL270" s="3" t="n">
        <v>29340.0</v>
      </c>
      <c r="AM270" s="3" t="n">
        <v>28279.0</v>
      </c>
      <c r="AN270" s="3" t="n">
        <v>27408.0</v>
      </c>
      <c r="AO270" s="3" t="n">
        <v>27288.0</v>
      </c>
    </row>
    <row r="271" spans="1:41" x14ac:dyDescent="0.2">
      <c r="A271" s="125"/>
      <c r="B271" s="9">
        <v>58</v>
      </c>
      <c r="C271" s="3" t="n">
        <v>30236.0</v>
      </c>
      <c r="D271" s="3" t="n">
        <v>29350.0</v>
      </c>
      <c r="E271" s="3" t="n">
        <v>29613.0</v>
      </c>
      <c r="F271" s="3" t="n">
        <v>29756.0</v>
      </c>
      <c r="G271" s="3" t="n">
        <v>30573.0</v>
      </c>
      <c r="H271" s="3" t="n">
        <v>31082.0</v>
      </c>
      <c r="I271" s="3" t="n">
        <v>32982.0</v>
      </c>
      <c r="J271" s="3" t="n">
        <v>34480.0</v>
      </c>
      <c r="K271" s="3" t="n">
        <v>36441.0</v>
      </c>
      <c r="L271" s="3" t="n">
        <v>38754.0</v>
      </c>
      <c r="M271" s="3" t="n">
        <v>40677.0</v>
      </c>
      <c r="N271" s="3" t="n">
        <v>42907.0</v>
      </c>
      <c r="O271" s="3" t="n">
        <v>44775.0</v>
      </c>
      <c r="P271" s="3" t="n">
        <v>44690.0</v>
      </c>
      <c r="Q271" s="3" t="n">
        <v>45081.0</v>
      </c>
      <c r="R271" s="3" t="n">
        <v>46615.0</v>
      </c>
      <c r="S271" s="3" t="n">
        <v>46666.0</v>
      </c>
      <c r="T271" s="3" t="n">
        <v>45548.0</v>
      </c>
      <c r="U271" s="3" t="n">
        <v>47715.0</v>
      </c>
      <c r="V271" s="3" t="n">
        <v>49692.0</v>
      </c>
      <c r="W271" s="3" t="n">
        <v>48183.0</v>
      </c>
      <c r="X271" s="3" t="n">
        <v>47259.0</v>
      </c>
      <c r="Y271" s="3" t="n">
        <v>45307.0</v>
      </c>
      <c r="Z271" s="3" t="n">
        <v>43187.0</v>
      </c>
      <c r="AA271" s="3" t="n">
        <v>43407.0</v>
      </c>
      <c r="AB271" s="3" t="n">
        <v>41998.0</v>
      </c>
      <c r="AC271" s="3" t="n">
        <v>42372.0</v>
      </c>
      <c r="AD271" s="3" t="n">
        <v>41426.0</v>
      </c>
      <c r="AE271" s="3" t="n">
        <v>39966.0</v>
      </c>
      <c r="AF271" s="3" t="n">
        <v>38590.0</v>
      </c>
      <c r="AG271" s="3" t="n">
        <v>36979.0</v>
      </c>
      <c r="AH271" s="3" t="n">
        <v>34900.0</v>
      </c>
      <c r="AI271" s="3" t="n">
        <v>33634.0</v>
      </c>
      <c r="AJ271" s="3" t="n">
        <v>31739.0</v>
      </c>
      <c r="AK271" s="3" t="n">
        <v>30306.0</v>
      </c>
      <c r="AL271" s="3" t="n">
        <v>29357.0</v>
      </c>
      <c r="AM271" s="3" t="n">
        <v>29227.0</v>
      </c>
      <c r="AN271" s="3" t="n">
        <v>28171.0</v>
      </c>
      <c r="AO271" s="3" t="n">
        <v>27306.0</v>
      </c>
    </row>
    <row r="272" spans="1:41" x14ac:dyDescent="0.2">
      <c r="A272" s="125"/>
      <c r="B272" s="9">
        <v>59</v>
      </c>
      <c r="C272" s="3" t="n">
        <v>30937.0</v>
      </c>
      <c r="D272" s="3" t="n">
        <v>30084.0</v>
      </c>
      <c r="E272" s="3" t="n">
        <v>29205.0</v>
      </c>
      <c r="F272" s="3" t="n">
        <v>29475.0</v>
      </c>
      <c r="G272" s="3" t="n">
        <v>29618.0</v>
      </c>
      <c r="H272" s="3" t="n">
        <v>30523.0</v>
      </c>
      <c r="I272" s="3" t="n">
        <v>31060.0</v>
      </c>
      <c r="J272" s="3" t="n">
        <v>32875.0</v>
      </c>
      <c r="K272" s="3" t="n">
        <v>34333.0</v>
      </c>
      <c r="L272" s="3" t="n">
        <v>36268.0</v>
      </c>
      <c r="M272" s="3" t="n">
        <v>38559.0</v>
      </c>
      <c r="N272" s="3" t="n">
        <v>40466.0</v>
      </c>
      <c r="O272" s="3" t="n">
        <v>42685.0</v>
      </c>
      <c r="P272" s="3" t="n">
        <v>44547.0</v>
      </c>
      <c r="Q272" s="3" t="n">
        <v>44464.0</v>
      </c>
      <c r="R272" s="3" t="n">
        <v>44851.0</v>
      </c>
      <c r="S272" s="3" t="n">
        <v>46374.0</v>
      </c>
      <c r="T272" s="3" t="n">
        <v>46429.0</v>
      </c>
      <c r="U272" s="3" t="n">
        <v>45319.0</v>
      </c>
      <c r="V272" s="3" t="n">
        <v>47481.0</v>
      </c>
      <c r="W272" s="3" t="n">
        <v>49452.0</v>
      </c>
      <c r="X272" s="3" t="n">
        <v>47949.0</v>
      </c>
      <c r="Y272" s="3" t="n">
        <v>47034.0</v>
      </c>
      <c r="Z272" s="3" t="n">
        <v>45088.0</v>
      </c>
      <c r="AA272" s="3" t="n">
        <v>42988.0</v>
      </c>
      <c r="AB272" s="3" t="n">
        <v>43212.0</v>
      </c>
      <c r="AC272" s="3" t="n">
        <v>41808.0</v>
      </c>
      <c r="AD272" s="3" t="n">
        <v>42175.0</v>
      </c>
      <c r="AE272" s="3" t="n">
        <v>41237.0</v>
      </c>
      <c r="AF272" s="3" t="n">
        <v>39785.0</v>
      </c>
      <c r="AG272" s="3" t="n">
        <v>38420.0</v>
      </c>
      <c r="AH272" s="3" t="n">
        <v>36818.0</v>
      </c>
      <c r="AI272" s="3" t="n">
        <v>34752.0</v>
      </c>
      <c r="AJ272" s="3" t="n">
        <v>33498.0</v>
      </c>
      <c r="AK272" s="3" t="n">
        <v>31611.0</v>
      </c>
      <c r="AL272" s="3" t="n">
        <v>30181.0</v>
      </c>
      <c r="AM272" s="3" t="n">
        <v>29236.0</v>
      </c>
      <c r="AN272" s="3" t="n">
        <v>29105.0</v>
      </c>
      <c r="AO272" s="3" t="n">
        <v>28061.0</v>
      </c>
    </row>
    <row r="273" spans="1:41" x14ac:dyDescent="0.2">
      <c r="A273" s="125"/>
      <c r="B273" s="9">
        <v>60</v>
      </c>
      <c r="C273" s="3" t="n">
        <v>30836.0</v>
      </c>
      <c r="D273" s="3" t="n">
        <v>30763.0</v>
      </c>
      <c r="E273" s="3" t="n">
        <v>29914.0</v>
      </c>
      <c r="F273" s="3" t="n">
        <v>29045.0</v>
      </c>
      <c r="G273" s="3" t="n">
        <v>29316.0</v>
      </c>
      <c r="H273" s="3" t="n">
        <v>29551.0</v>
      </c>
      <c r="I273" s="3" t="n">
        <v>30487.0</v>
      </c>
      <c r="J273" s="3" t="n">
        <v>30949.0</v>
      </c>
      <c r="K273" s="3" t="n">
        <v>32719.0</v>
      </c>
      <c r="L273" s="3" t="n">
        <v>34161.0</v>
      </c>
      <c r="M273" s="3" t="n">
        <v>36080.0</v>
      </c>
      <c r="N273" s="3" t="n">
        <v>38347.0</v>
      </c>
      <c r="O273" s="3" t="n">
        <v>40246.0</v>
      </c>
      <c r="P273" s="3" t="n">
        <v>42450.0</v>
      </c>
      <c r="Q273" s="3" t="n">
        <v>44305.0</v>
      </c>
      <c r="R273" s="3" t="n">
        <v>44222.0</v>
      </c>
      <c r="S273" s="3" t="n">
        <v>44609.0</v>
      </c>
      <c r="T273" s="3" t="n">
        <v>46124.0</v>
      </c>
      <c r="U273" s="3" t="n">
        <v>46185.0</v>
      </c>
      <c r="V273" s="3" t="n">
        <v>45083.0</v>
      </c>
      <c r="W273" s="3" t="n">
        <v>47231.0</v>
      </c>
      <c r="X273" s="3" t="n">
        <v>49193.0</v>
      </c>
      <c r="Y273" s="3" t="n">
        <v>47702.0</v>
      </c>
      <c r="Z273" s="3" t="n">
        <v>46794.0</v>
      </c>
      <c r="AA273" s="3" t="n">
        <v>44859.0</v>
      </c>
      <c r="AB273" s="3" t="n">
        <v>42775.0</v>
      </c>
      <c r="AC273" s="3" t="n">
        <v>42994.0</v>
      </c>
      <c r="AD273" s="3" t="n">
        <v>41602.0</v>
      </c>
      <c r="AE273" s="3" t="n">
        <v>41968.0</v>
      </c>
      <c r="AF273" s="3" t="n">
        <v>41034.0</v>
      </c>
      <c r="AG273" s="3" t="n">
        <v>39587.0</v>
      </c>
      <c r="AH273" s="3" t="n">
        <v>38235.0</v>
      </c>
      <c r="AI273" s="3" t="n">
        <v>36644.0</v>
      </c>
      <c r="AJ273" s="3" t="n">
        <v>34590.0</v>
      </c>
      <c r="AK273" s="3" t="n">
        <v>33346.0</v>
      </c>
      <c r="AL273" s="3" t="n">
        <v>31479.0</v>
      </c>
      <c r="AM273" s="3" t="n">
        <v>30050.0</v>
      </c>
      <c r="AN273" s="3" t="n">
        <v>29112.0</v>
      </c>
      <c r="AO273" s="3" t="n">
        <v>28985.0</v>
      </c>
    </row>
    <row r="274" spans="1:41" x14ac:dyDescent="0.2">
      <c r="A274" s="125"/>
      <c r="B274" s="9">
        <v>61</v>
      </c>
      <c r="C274" s="3" t="n">
        <v>31846.0</v>
      </c>
      <c r="D274" s="3" t="n">
        <v>30632.0</v>
      </c>
      <c r="E274" s="3" t="n">
        <v>30563.0</v>
      </c>
      <c r="F274" s="3" t="n">
        <v>29725.0</v>
      </c>
      <c r="G274" s="3" t="n">
        <v>28866.0</v>
      </c>
      <c r="H274" s="3" t="n">
        <v>29216.0</v>
      </c>
      <c r="I274" s="3" t="n">
        <v>29486.0</v>
      </c>
      <c r="J274" s="3" t="n">
        <v>30346.0</v>
      </c>
      <c r="K274" s="3" t="n">
        <v>30775.0</v>
      </c>
      <c r="L274" s="3" t="n">
        <v>32525.0</v>
      </c>
      <c r="M274" s="3" t="n">
        <v>33950.0</v>
      </c>
      <c r="N274" s="3" t="n">
        <v>35843.0</v>
      </c>
      <c r="O274" s="3" t="n">
        <v>38102.0</v>
      </c>
      <c r="P274" s="3" t="n">
        <v>39991.0</v>
      </c>
      <c r="Q274" s="3" t="n">
        <v>42180.0</v>
      </c>
      <c r="R274" s="3" t="n">
        <v>44025.0</v>
      </c>
      <c r="S274" s="3" t="n">
        <v>43946.0</v>
      </c>
      <c r="T274" s="3" t="n">
        <v>44331.0</v>
      </c>
      <c r="U274" s="3" t="n">
        <v>45839.0</v>
      </c>
      <c r="V274" s="3" t="n">
        <v>45905.0</v>
      </c>
      <c r="W274" s="3" t="n">
        <v>44814.0</v>
      </c>
      <c r="X274" s="3" t="n">
        <v>46954.0</v>
      </c>
      <c r="Y274" s="3" t="n">
        <v>48902.0</v>
      </c>
      <c r="Z274" s="3" t="n">
        <v>47420.0</v>
      </c>
      <c r="AA274" s="3" t="n">
        <v>46519.0</v>
      </c>
      <c r="AB274" s="3" t="n">
        <v>44597.0</v>
      </c>
      <c r="AC274" s="3" t="n">
        <v>42521.0</v>
      </c>
      <c r="AD274" s="3" t="n">
        <v>42743.0</v>
      </c>
      <c r="AE274" s="3" t="n">
        <v>41355.0</v>
      </c>
      <c r="AF274" s="3" t="n">
        <v>41721.0</v>
      </c>
      <c r="AG274" s="3" t="n">
        <v>40790.0</v>
      </c>
      <c r="AH274" s="3" t="n">
        <v>39355.0</v>
      </c>
      <c r="AI274" s="3" t="n">
        <v>38019.0</v>
      </c>
      <c r="AJ274" s="3" t="n">
        <v>36441.0</v>
      </c>
      <c r="AK274" s="3" t="n">
        <v>34400.0</v>
      </c>
      <c r="AL274" s="3" t="n">
        <v>33166.0</v>
      </c>
      <c r="AM274" s="3" t="n">
        <v>31310.0</v>
      </c>
      <c r="AN274" s="3" t="n">
        <v>29888.0</v>
      </c>
      <c r="AO274" s="3" t="n">
        <v>28958.0</v>
      </c>
    </row>
    <row r="275" spans="1:41" x14ac:dyDescent="0.2">
      <c r="A275" s="125"/>
      <c r="B275" s="9">
        <v>62</v>
      </c>
      <c r="C275" s="3" t="n">
        <v>33790.0</v>
      </c>
      <c r="D275" s="3" t="n">
        <v>31635.0</v>
      </c>
      <c r="E275" s="3" t="n">
        <v>30427.0</v>
      </c>
      <c r="F275" s="3" t="n">
        <v>30365.0</v>
      </c>
      <c r="G275" s="3" t="n">
        <v>29540.0</v>
      </c>
      <c r="H275" s="3" t="n">
        <v>28763.0</v>
      </c>
      <c r="I275" s="3" t="n">
        <v>29144.0</v>
      </c>
      <c r="J275" s="3" t="n">
        <v>29355.0</v>
      </c>
      <c r="K275" s="3" t="n">
        <v>30174.0</v>
      </c>
      <c r="L275" s="3" t="n">
        <v>30589.0</v>
      </c>
      <c r="M275" s="3" t="n">
        <v>32318.0</v>
      </c>
      <c r="N275" s="3" t="n">
        <v>33735.0</v>
      </c>
      <c r="O275" s="3" t="n">
        <v>35612.0</v>
      </c>
      <c r="P275" s="3" t="n">
        <v>37854.0</v>
      </c>
      <c r="Q275" s="3" t="n">
        <v>39734.0</v>
      </c>
      <c r="R275" s="3" t="n">
        <v>41908.0</v>
      </c>
      <c r="S275" s="3" t="n">
        <v>43745.0</v>
      </c>
      <c r="T275" s="3" t="n">
        <v>43671.0</v>
      </c>
      <c r="U275" s="3" t="n">
        <v>44055.0</v>
      </c>
      <c r="V275" s="3" t="n">
        <v>45553.0</v>
      </c>
      <c r="W275" s="3" t="n">
        <v>45622.0</v>
      </c>
      <c r="X275" s="3" t="n">
        <v>44543.0</v>
      </c>
      <c r="Y275" s="3" t="n">
        <v>46672.0</v>
      </c>
      <c r="Z275" s="3" t="n">
        <v>48604.0</v>
      </c>
      <c r="AA275" s="3" t="n">
        <v>47132.0</v>
      </c>
      <c r="AB275" s="3" t="n">
        <v>46248.0</v>
      </c>
      <c r="AC275" s="3" t="n">
        <v>44332.0</v>
      </c>
      <c r="AD275" s="3" t="n">
        <v>42261.0</v>
      </c>
      <c r="AE275" s="3" t="n">
        <v>42493.0</v>
      </c>
      <c r="AF275" s="3" t="n">
        <v>41114.0</v>
      </c>
      <c r="AG275" s="3" t="n">
        <v>41473.0</v>
      </c>
      <c r="AH275" s="3" t="n">
        <v>40547.0</v>
      </c>
      <c r="AI275" s="3" t="n">
        <v>39125.0</v>
      </c>
      <c r="AJ275" s="3" t="n">
        <v>37804.0</v>
      </c>
      <c r="AK275" s="3" t="n">
        <v>36234.0</v>
      </c>
      <c r="AL275" s="3" t="n">
        <v>34214.0</v>
      </c>
      <c r="AM275" s="3" t="n">
        <v>32981.0</v>
      </c>
      <c r="AN275" s="3" t="n">
        <v>31140.0</v>
      </c>
      <c r="AO275" s="3" t="n">
        <v>29727.0</v>
      </c>
    </row>
    <row r="276" spans="1:41" x14ac:dyDescent="0.2">
      <c r="A276" s="125"/>
      <c r="B276" s="9">
        <v>63</v>
      </c>
      <c r="C276" s="3" t="n">
        <v>36311.0</v>
      </c>
      <c r="D276" s="3" t="n">
        <v>33552.0</v>
      </c>
      <c r="E276" s="3" t="n">
        <v>31422.0</v>
      </c>
      <c r="F276" s="3" t="n">
        <v>30237.0</v>
      </c>
      <c r="G276" s="3" t="n">
        <v>30172.0</v>
      </c>
      <c r="H276" s="3" t="n">
        <v>29438.0</v>
      </c>
      <c r="I276" s="3" t="n">
        <v>28697.0</v>
      </c>
      <c r="J276" s="3" t="n">
        <v>29010.0</v>
      </c>
      <c r="K276" s="3" t="n">
        <v>29186.0</v>
      </c>
      <c r="L276" s="3" t="n">
        <v>29990.0</v>
      </c>
      <c r="M276" s="3" t="n">
        <v>30395.0</v>
      </c>
      <c r="N276" s="3" t="n">
        <v>32112.0</v>
      </c>
      <c r="O276" s="3" t="n">
        <v>33525.0</v>
      </c>
      <c r="P276" s="3" t="n">
        <v>35384.0</v>
      </c>
      <c r="Q276" s="3" t="n">
        <v>37603.0</v>
      </c>
      <c r="R276" s="3" t="n">
        <v>39473.0</v>
      </c>
      <c r="S276" s="3" t="n">
        <v>41640.0</v>
      </c>
      <c r="T276" s="3" t="n">
        <v>43466.0</v>
      </c>
      <c r="U276" s="3" t="n">
        <v>43392.0</v>
      </c>
      <c r="V276" s="3" t="n">
        <v>43776.0</v>
      </c>
      <c r="W276" s="3" t="n">
        <v>45264.0</v>
      </c>
      <c r="X276" s="3" t="n">
        <v>45338.0</v>
      </c>
      <c r="Y276" s="3" t="n">
        <v>44272.0</v>
      </c>
      <c r="Z276" s="3" t="n">
        <v>46388.0</v>
      </c>
      <c r="AA276" s="3" t="n">
        <v>48310.0</v>
      </c>
      <c r="AB276" s="3" t="n">
        <v>46849.0</v>
      </c>
      <c r="AC276" s="3" t="n">
        <v>45974.0</v>
      </c>
      <c r="AD276" s="3" t="n">
        <v>44068.0</v>
      </c>
      <c r="AE276" s="3" t="n">
        <v>42012.0</v>
      </c>
      <c r="AF276" s="3" t="n">
        <v>42246.0</v>
      </c>
      <c r="AG276" s="3" t="n">
        <v>40875.0</v>
      </c>
      <c r="AH276" s="3" t="n">
        <v>41235.0</v>
      </c>
      <c r="AI276" s="3" t="n">
        <v>40315.0</v>
      </c>
      <c r="AJ276" s="3" t="n">
        <v>38904.0</v>
      </c>
      <c r="AK276" s="3" t="n">
        <v>37592.0</v>
      </c>
      <c r="AL276" s="3" t="n">
        <v>36030.0</v>
      </c>
      <c r="AM276" s="3" t="n">
        <v>34024.0</v>
      </c>
      <c r="AN276" s="3" t="n">
        <v>32801.0</v>
      </c>
      <c r="AO276" s="3" t="n">
        <v>30979.0</v>
      </c>
    </row>
    <row r="277" spans="1:41" x14ac:dyDescent="0.2">
      <c r="A277" s="125"/>
      <c r="B277" s="9">
        <v>64</v>
      </c>
      <c r="C277" s="3" t="n">
        <v>37983.0</v>
      </c>
      <c r="D277" s="3" t="n">
        <v>36020.0</v>
      </c>
      <c r="E277" s="3" t="n">
        <v>33288.0</v>
      </c>
      <c r="F277" s="3" t="n">
        <v>31180.0</v>
      </c>
      <c r="G277" s="3" t="n">
        <v>30014.0</v>
      </c>
      <c r="H277" s="3" t="n">
        <v>30041.0</v>
      </c>
      <c r="I277" s="3" t="n">
        <v>29346.0</v>
      </c>
      <c r="J277" s="3" t="n">
        <v>28550.0</v>
      </c>
      <c r="K277" s="3" t="n">
        <v>28827.0</v>
      </c>
      <c r="L277" s="3" t="n">
        <v>28999.0</v>
      </c>
      <c r="M277" s="3" t="n">
        <v>29787.0</v>
      </c>
      <c r="N277" s="3" t="n">
        <v>30180.0</v>
      </c>
      <c r="O277" s="3" t="n">
        <v>31882.0</v>
      </c>
      <c r="P277" s="3" t="n">
        <v>33285.0</v>
      </c>
      <c r="Q277" s="3" t="n">
        <v>35134.0</v>
      </c>
      <c r="R277" s="3" t="n">
        <v>37330.0</v>
      </c>
      <c r="S277" s="3" t="n">
        <v>39186.0</v>
      </c>
      <c r="T277" s="3" t="n">
        <v>41339.0</v>
      </c>
      <c r="U277" s="3" t="n">
        <v>43150.0</v>
      </c>
      <c r="V277" s="3" t="n">
        <v>43086.0</v>
      </c>
      <c r="W277" s="3" t="n">
        <v>43463.0</v>
      </c>
      <c r="X277" s="3" t="n">
        <v>44949.0</v>
      </c>
      <c r="Y277" s="3" t="n">
        <v>45029.0</v>
      </c>
      <c r="Z277" s="3" t="n">
        <v>43971.0</v>
      </c>
      <c r="AA277" s="3" t="n">
        <v>46077.0</v>
      </c>
      <c r="AB277" s="3" t="n">
        <v>47987.0</v>
      </c>
      <c r="AC277" s="3" t="n">
        <v>46540.0</v>
      </c>
      <c r="AD277" s="3" t="n">
        <v>45676.0</v>
      </c>
      <c r="AE277" s="3" t="n">
        <v>43785.0</v>
      </c>
      <c r="AF277" s="3" t="n">
        <v>41743.0</v>
      </c>
      <c r="AG277" s="3" t="n">
        <v>41983.0</v>
      </c>
      <c r="AH277" s="3" t="n">
        <v>40613.0</v>
      </c>
      <c r="AI277" s="3" t="n">
        <v>40973.0</v>
      </c>
      <c r="AJ277" s="3" t="n">
        <v>40058.0</v>
      </c>
      <c r="AK277" s="3" t="n">
        <v>38654.0</v>
      </c>
      <c r="AL277" s="3" t="n">
        <v>37355.0</v>
      </c>
      <c r="AM277" s="3" t="n">
        <v>35813.0</v>
      </c>
      <c r="AN277" s="3" t="n">
        <v>33816.0</v>
      </c>
      <c r="AO277" s="3" t="n">
        <v>32601.0</v>
      </c>
    </row>
    <row r="278" spans="1:41" x14ac:dyDescent="0.2">
      <c r="A278" s="125"/>
      <c r="B278" s="9">
        <v>65</v>
      </c>
      <c r="C278" s="3" t="n">
        <v>39104.0</v>
      </c>
      <c r="D278" s="3" t="n">
        <v>37653.0</v>
      </c>
      <c r="E278" s="3" t="n">
        <v>35713.0</v>
      </c>
      <c r="F278" s="3" t="n">
        <v>33021.0</v>
      </c>
      <c r="G278" s="3" t="n">
        <v>30930.0</v>
      </c>
      <c r="H278" s="3" t="n">
        <v>29836.0</v>
      </c>
      <c r="I278" s="3" t="n">
        <v>29892.0</v>
      </c>
      <c r="J278" s="3" t="n">
        <v>29153.0</v>
      </c>
      <c r="K278" s="3" t="n">
        <v>28339.0</v>
      </c>
      <c r="L278" s="3" t="n">
        <v>28604.0</v>
      </c>
      <c r="M278" s="3" t="n">
        <v>28775.0</v>
      </c>
      <c r="N278" s="3" t="n">
        <v>29552.0</v>
      </c>
      <c r="O278" s="3" t="n">
        <v>29943.0</v>
      </c>
      <c r="P278" s="3" t="n">
        <v>31636.0</v>
      </c>
      <c r="Q278" s="3" t="n">
        <v>33026.0</v>
      </c>
      <c r="R278" s="3" t="n">
        <v>34860.0</v>
      </c>
      <c r="S278" s="3" t="n">
        <v>37040.0</v>
      </c>
      <c r="T278" s="3" t="n">
        <v>38881.0</v>
      </c>
      <c r="U278" s="3" t="n">
        <v>41019.0</v>
      </c>
      <c r="V278" s="3" t="n">
        <v>42820.0</v>
      </c>
      <c r="W278" s="3" t="n">
        <v>42762.0</v>
      </c>
      <c r="X278" s="3" t="n">
        <v>43136.0</v>
      </c>
      <c r="Y278" s="3" t="n">
        <v>44624.0</v>
      </c>
      <c r="Z278" s="3" t="n">
        <v>44698.0</v>
      </c>
      <c r="AA278" s="3" t="n">
        <v>43651.0</v>
      </c>
      <c r="AB278" s="3" t="n">
        <v>45749.0</v>
      </c>
      <c r="AC278" s="3" t="n">
        <v>47648.0</v>
      </c>
      <c r="AD278" s="3" t="n">
        <v>46210.0</v>
      </c>
      <c r="AE278" s="3" t="n">
        <v>45358.0</v>
      </c>
      <c r="AF278" s="3" t="n">
        <v>43482.0</v>
      </c>
      <c r="AG278" s="3" t="n">
        <v>41454.0</v>
      </c>
      <c r="AH278" s="3" t="n">
        <v>41697.0</v>
      </c>
      <c r="AI278" s="3" t="n">
        <v>40335.0</v>
      </c>
      <c r="AJ278" s="3" t="n">
        <v>40696.0</v>
      </c>
      <c r="AK278" s="3" t="n">
        <v>39788.0</v>
      </c>
      <c r="AL278" s="3" t="n">
        <v>38392.0</v>
      </c>
      <c r="AM278" s="3" t="n">
        <v>37105.0</v>
      </c>
      <c r="AN278" s="3" t="n">
        <v>35574.0</v>
      </c>
      <c r="AO278" s="3" t="n">
        <v>33595.0</v>
      </c>
    </row>
    <row r="279" spans="1:41" x14ac:dyDescent="0.2">
      <c r="A279" s="125"/>
      <c r="B279" s="9">
        <v>66</v>
      </c>
      <c r="C279" s="3" t="n">
        <v>39239.0</v>
      </c>
      <c r="D279" s="3" t="n">
        <v>38696.0</v>
      </c>
      <c r="E279" s="3" t="n">
        <v>37272.0</v>
      </c>
      <c r="F279" s="3" t="n">
        <v>35367.0</v>
      </c>
      <c r="G279" s="3" t="n">
        <v>32709.0</v>
      </c>
      <c r="H279" s="3" t="n">
        <v>30696.0</v>
      </c>
      <c r="I279" s="3" t="n">
        <v>29639.0</v>
      </c>
      <c r="J279" s="3" t="n">
        <v>29652.0</v>
      </c>
      <c r="K279" s="3" t="n">
        <v>28904.0</v>
      </c>
      <c r="L279" s="3" t="n">
        <v>28095.0</v>
      </c>
      <c r="M279" s="3" t="n">
        <v>28353.0</v>
      </c>
      <c r="N279" s="3" t="n">
        <v>28524.0</v>
      </c>
      <c r="O279" s="3" t="n">
        <v>29291.0</v>
      </c>
      <c r="P279" s="3" t="n">
        <v>29679.0</v>
      </c>
      <c r="Q279" s="3" t="n">
        <v>31358.0</v>
      </c>
      <c r="R279" s="3" t="n">
        <v>32739.0</v>
      </c>
      <c r="S279" s="3" t="n">
        <v>34556.0</v>
      </c>
      <c r="T279" s="3" t="n">
        <v>36715.0</v>
      </c>
      <c r="U279" s="3" t="n">
        <v>38540.0</v>
      </c>
      <c r="V279" s="3" t="n">
        <v>40663.0</v>
      </c>
      <c r="W279" s="3" t="n">
        <v>42449.0</v>
      </c>
      <c r="X279" s="3" t="n">
        <v>42390.0</v>
      </c>
      <c r="Y279" s="3" t="n">
        <v>42762.0</v>
      </c>
      <c r="Z279" s="3" t="n">
        <v>44241.0</v>
      </c>
      <c r="AA279" s="3" t="n">
        <v>44319.0</v>
      </c>
      <c r="AB279" s="3" t="n">
        <v>43283.0</v>
      </c>
      <c r="AC279" s="3" t="n">
        <v>45364.0</v>
      </c>
      <c r="AD279" s="3" t="n">
        <v>47253.0</v>
      </c>
      <c r="AE279" s="3" t="n">
        <v>45830.0</v>
      </c>
      <c r="AF279" s="3" t="n">
        <v>44992.0</v>
      </c>
      <c r="AG279" s="3" t="n">
        <v>43129.0</v>
      </c>
      <c r="AH279" s="3" t="n">
        <v>41131.0</v>
      </c>
      <c r="AI279" s="3" t="n">
        <v>41374.0</v>
      </c>
      <c r="AJ279" s="3" t="n">
        <v>40019.0</v>
      </c>
      <c r="AK279" s="3" t="n">
        <v>40381.0</v>
      </c>
      <c r="AL279" s="3" t="n">
        <v>39480.0</v>
      </c>
      <c r="AM279" s="3" t="n">
        <v>38094.0</v>
      </c>
      <c r="AN279" s="3" t="n">
        <v>36817.0</v>
      </c>
      <c r="AO279" s="3" t="n">
        <v>35305.0</v>
      </c>
    </row>
    <row r="280" spans="1:41" x14ac:dyDescent="0.2">
      <c r="A280" s="125"/>
      <c r="B280" s="9">
        <v>67</v>
      </c>
      <c r="C280" s="3" t="n">
        <v>39864.0</v>
      </c>
      <c r="D280" s="3" t="n">
        <v>38795.0</v>
      </c>
      <c r="E280" s="3" t="n">
        <v>38269.0</v>
      </c>
      <c r="F280" s="3" t="n">
        <v>36876.0</v>
      </c>
      <c r="G280" s="3" t="n">
        <v>34995.0</v>
      </c>
      <c r="H280" s="3" t="n">
        <v>32421.0</v>
      </c>
      <c r="I280" s="3" t="n">
        <v>30456.0</v>
      </c>
      <c r="J280" s="3" t="n">
        <v>29375.0</v>
      </c>
      <c r="K280" s="3" t="n">
        <v>29366.0</v>
      </c>
      <c r="L280" s="3" t="n">
        <v>28625.0</v>
      </c>
      <c r="M280" s="3" t="n">
        <v>27830.0</v>
      </c>
      <c r="N280" s="3" t="n">
        <v>28082.0</v>
      </c>
      <c r="O280" s="3" t="n">
        <v>28249.0</v>
      </c>
      <c r="P280" s="3" t="n">
        <v>29012.0</v>
      </c>
      <c r="Q280" s="3" t="n">
        <v>29400.0</v>
      </c>
      <c r="R280" s="3" t="n">
        <v>31065.0</v>
      </c>
      <c r="S280" s="3" t="n">
        <v>32429.0</v>
      </c>
      <c r="T280" s="3" t="n">
        <v>34225.0</v>
      </c>
      <c r="U280" s="3" t="n">
        <v>36372.0</v>
      </c>
      <c r="V280" s="3" t="n">
        <v>38179.0</v>
      </c>
      <c r="W280" s="3" t="n">
        <v>40290.0</v>
      </c>
      <c r="X280" s="3" t="n">
        <v>42060.0</v>
      </c>
      <c r="Y280" s="3" t="n">
        <v>42007.0</v>
      </c>
      <c r="Z280" s="3" t="n">
        <v>42373.0</v>
      </c>
      <c r="AA280" s="3" t="n">
        <v>43838.0</v>
      </c>
      <c r="AB280" s="3" t="n">
        <v>43923.0</v>
      </c>
      <c r="AC280" s="3" t="n">
        <v>42901.0</v>
      </c>
      <c r="AD280" s="3" t="n">
        <v>44964.0</v>
      </c>
      <c r="AE280" s="3" t="n">
        <v>46838.0</v>
      </c>
      <c r="AF280" s="3" t="n">
        <v>45435.0</v>
      </c>
      <c r="AG280" s="3" t="n">
        <v>44603.0</v>
      </c>
      <c r="AH280" s="3" t="n">
        <v>42760.0</v>
      </c>
      <c r="AI280" s="3" t="n">
        <v>40781.0</v>
      </c>
      <c r="AJ280" s="3" t="n">
        <v>41025.0</v>
      </c>
      <c r="AK280" s="3" t="n">
        <v>39682.0</v>
      </c>
      <c r="AL280" s="3" t="n">
        <v>40043.0</v>
      </c>
      <c r="AM280" s="3" t="n">
        <v>39147.0</v>
      </c>
      <c r="AN280" s="3" t="n">
        <v>37774.0</v>
      </c>
      <c r="AO280" s="3" t="n">
        <v>36518.0</v>
      </c>
    </row>
    <row r="281" spans="1:41" x14ac:dyDescent="0.2">
      <c r="A281" s="125"/>
      <c r="B281" s="9">
        <v>68</v>
      </c>
      <c r="C281" s="3" t="n">
        <v>38264.0</v>
      </c>
      <c r="D281" s="3" t="n">
        <v>39376.0</v>
      </c>
      <c r="E281" s="3" t="n">
        <v>38337.0</v>
      </c>
      <c r="F281" s="3" t="n">
        <v>37829.0</v>
      </c>
      <c r="G281" s="3" t="n">
        <v>36460.0</v>
      </c>
      <c r="H281" s="3" t="n">
        <v>34654.0</v>
      </c>
      <c r="I281" s="3" t="n">
        <v>32133.0</v>
      </c>
      <c r="J281" s="3" t="n">
        <v>30167.0</v>
      </c>
      <c r="K281" s="3" t="n">
        <v>29078.0</v>
      </c>
      <c r="L281" s="3" t="n">
        <v>29063.0</v>
      </c>
      <c r="M281" s="3" t="n">
        <v>28327.0</v>
      </c>
      <c r="N281" s="3" t="n">
        <v>27542.0</v>
      </c>
      <c r="O281" s="3" t="n">
        <v>27789.0</v>
      </c>
      <c r="P281" s="3" t="n">
        <v>27955.0</v>
      </c>
      <c r="Q281" s="3" t="n">
        <v>28709.0</v>
      </c>
      <c r="R281" s="3" t="n">
        <v>29102.0</v>
      </c>
      <c r="S281" s="3" t="n">
        <v>30749.0</v>
      </c>
      <c r="T281" s="3" t="n">
        <v>32095.0</v>
      </c>
      <c r="U281" s="3" t="n">
        <v>33877.0</v>
      </c>
      <c r="V281" s="3" t="n">
        <v>36010.0</v>
      </c>
      <c r="W281" s="3" t="n">
        <v>37799.0</v>
      </c>
      <c r="X281" s="3" t="n">
        <v>39892.0</v>
      </c>
      <c r="Y281" s="3" t="n">
        <v>41640.0</v>
      </c>
      <c r="Z281" s="3" t="n">
        <v>41591.0</v>
      </c>
      <c r="AA281" s="3" t="n">
        <v>41956.0</v>
      </c>
      <c r="AB281" s="3" t="n">
        <v>43416.0</v>
      </c>
      <c r="AC281" s="3" t="n">
        <v>43505.0</v>
      </c>
      <c r="AD281" s="3" t="n">
        <v>42496.0</v>
      </c>
      <c r="AE281" s="3" t="n">
        <v>44544.0</v>
      </c>
      <c r="AF281" s="3" t="n">
        <v>46404.0</v>
      </c>
      <c r="AG281" s="3" t="n">
        <v>45012.0</v>
      </c>
      <c r="AH281" s="3" t="n">
        <v>44195.0</v>
      </c>
      <c r="AI281" s="3" t="n">
        <v>42371.0</v>
      </c>
      <c r="AJ281" s="3" t="n">
        <v>40418.0</v>
      </c>
      <c r="AK281" s="3" t="n">
        <v>40658.0</v>
      </c>
      <c r="AL281" s="3" t="n">
        <v>39336.0</v>
      </c>
      <c r="AM281" s="3" t="n">
        <v>39688.0</v>
      </c>
      <c r="AN281" s="3" t="n">
        <v>38804.0</v>
      </c>
      <c r="AO281" s="3" t="n">
        <v>37444.0</v>
      </c>
    </row>
    <row r="282" spans="1:41" x14ac:dyDescent="0.2">
      <c r="A282" s="125"/>
      <c r="B282" s="9">
        <v>69</v>
      </c>
      <c r="C282" s="3" t="n">
        <v>37979.0</v>
      </c>
      <c r="D282" s="3" t="n">
        <v>37750.0</v>
      </c>
      <c r="E282" s="3" t="n">
        <v>38859.0</v>
      </c>
      <c r="F282" s="3" t="n">
        <v>37848.0</v>
      </c>
      <c r="G282" s="3" t="n">
        <v>37361.0</v>
      </c>
      <c r="H282" s="3" t="n">
        <v>36053.0</v>
      </c>
      <c r="I282" s="3" t="n">
        <v>34296.0</v>
      </c>
      <c r="J282" s="3" t="n">
        <v>31772.0</v>
      </c>
      <c r="K282" s="3" t="n">
        <v>29818.0</v>
      </c>
      <c r="L282" s="3" t="n">
        <v>28742.0</v>
      </c>
      <c r="M282" s="3" t="n">
        <v>28728.0</v>
      </c>
      <c r="N282" s="3" t="n">
        <v>27998.0</v>
      </c>
      <c r="O282" s="3" t="n">
        <v>27224.0</v>
      </c>
      <c r="P282" s="3" t="n">
        <v>27472.0</v>
      </c>
      <c r="Q282" s="3" t="n">
        <v>27642.0</v>
      </c>
      <c r="R282" s="3" t="n">
        <v>28386.0</v>
      </c>
      <c r="S282" s="3" t="n">
        <v>28781.0</v>
      </c>
      <c r="T282" s="3" t="n">
        <v>30410.0</v>
      </c>
      <c r="U282" s="3" t="n">
        <v>31742.0</v>
      </c>
      <c r="V282" s="3" t="n">
        <v>33509.0</v>
      </c>
      <c r="W282" s="3" t="n">
        <v>35614.0</v>
      </c>
      <c r="X282" s="3" t="n">
        <v>37386.0</v>
      </c>
      <c r="Y282" s="3" t="n">
        <v>39460.0</v>
      </c>
      <c r="Z282" s="3" t="n">
        <v>41187.0</v>
      </c>
      <c r="AA282" s="3" t="n">
        <v>41144.0</v>
      </c>
      <c r="AB282" s="3" t="n">
        <v>41507.0</v>
      </c>
      <c r="AC282" s="3" t="n">
        <v>42953.0</v>
      </c>
      <c r="AD282" s="3" t="n">
        <v>43049.0</v>
      </c>
      <c r="AE282" s="3" t="n">
        <v>42060.0</v>
      </c>
      <c r="AF282" s="3" t="n">
        <v>44088.0</v>
      </c>
      <c r="AG282" s="3" t="n">
        <v>45926.0</v>
      </c>
      <c r="AH282" s="3" t="n">
        <v>44554.0</v>
      </c>
      <c r="AI282" s="3" t="n">
        <v>43751.0</v>
      </c>
      <c r="AJ282" s="3" t="n">
        <v>41950.0</v>
      </c>
      <c r="AK282" s="3" t="n">
        <v>40021.0</v>
      </c>
      <c r="AL282" s="3" t="n">
        <v>40262.0</v>
      </c>
      <c r="AM282" s="3" t="n">
        <v>38958.0</v>
      </c>
      <c r="AN282" s="3" t="n">
        <v>39303.0</v>
      </c>
      <c r="AO282" s="3" t="n">
        <v>38436.0</v>
      </c>
    </row>
    <row r="283" spans="1:41" x14ac:dyDescent="0.2">
      <c r="A283" s="125"/>
      <c r="B283" s="9">
        <v>70</v>
      </c>
      <c r="C283" s="3" t="n">
        <v>36215.0</v>
      </c>
      <c r="D283" s="3" t="n">
        <v>37437.0</v>
      </c>
      <c r="E283" s="3" t="n">
        <v>37224.0</v>
      </c>
      <c r="F283" s="3" t="n">
        <v>38332.0</v>
      </c>
      <c r="G283" s="3" t="n">
        <v>37347.0</v>
      </c>
      <c r="H283" s="3" t="n">
        <v>36906.0</v>
      </c>
      <c r="I283" s="3" t="n">
        <v>35633.0</v>
      </c>
      <c r="J283" s="3" t="n">
        <v>33880.0</v>
      </c>
      <c r="K283" s="3" t="n">
        <v>31385.0</v>
      </c>
      <c r="L283" s="3" t="n">
        <v>29459.0</v>
      </c>
      <c r="M283" s="3" t="n">
        <v>28399.0</v>
      </c>
      <c r="N283" s="3" t="n">
        <v>28386.0</v>
      </c>
      <c r="O283" s="3" t="n">
        <v>27671.0</v>
      </c>
      <c r="P283" s="3" t="n">
        <v>26911.0</v>
      </c>
      <c r="Q283" s="3" t="n">
        <v>27153.0</v>
      </c>
      <c r="R283" s="3" t="n">
        <v>27322.0</v>
      </c>
      <c r="S283" s="3" t="n">
        <v>28058.0</v>
      </c>
      <c r="T283" s="3" t="n">
        <v>28451.0</v>
      </c>
      <c r="U283" s="3" t="n">
        <v>30064.0</v>
      </c>
      <c r="V283" s="3" t="n">
        <v>31386.0</v>
      </c>
      <c r="W283" s="3" t="n">
        <v>33131.0</v>
      </c>
      <c r="X283" s="3" t="n">
        <v>35210.0</v>
      </c>
      <c r="Y283" s="3" t="n">
        <v>36965.0</v>
      </c>
      <c r="Z283" s="3" t="n">
        <v>39015.0</v>
      </c>
      <c r="AA283" s="3" t="n">
        <v>40725.0</v>
      </c>
      <c r="AB283" s="3" t="n">
        <v>40689.0</v>
      </c>
      <c r="AC283" s="3" t="n">
        <v>41055.0</v>
      </c>
      <c r="AD283" s="3" t="n">
        <v>42487.0</v>
      </c>
      <c r="AE283" s="3" t="n">
        <v>42587.0</v>
      </c>
      <c r="AF283" s="3" t="n">
        <v>41616.0</v>
      </c>
      <c r="AG283" s="3" t="n">
        <v>43622.0</v>
      </c>
      <c r="AH283" s="3" t="n">
        <v>45441.0</v>
      </c>
      <c r="AI283" s="3" t="n">
        <v>44092.0</v>
      </c>
      <c r="AJ283" s="3" t="n">
        <v>43292.0</v>
      </c>
      <c r="AK283" s="3" t="n">
        <v>41519.0</v>
      </c>
      <c r="AL283" s="3" t="n">
        <v>39612.0</v>
      </c>
      <c r="AM283" s="3" t="n">
        <v>39850.0</v>
      </c>
      <c r="AN283" s="3" t="n">
        <v>38562.0</v>
      </c>
      <c r="AO283" s="3" t="n">
        <v>38908.0</v>
      </c>
    </row>
    <row r="284" spans="1:41" x14ac:dyDescent="0.2">
      <c r="A284" s="125"/>
      <c r="B284" s="9">
        <v>71</v>
      </c>
      <c r="C284" s="3" t="n">
        <v>34929.0</v>
      </c>
      <c r="D284" s="3" t="n">
        <v>35645.0</v>
      </c>
      <c r="E284" s="3" t="n">
        <v>36860.0</v>
      </c>
      <c r="F284" s="3" t="n">
        <v>36670.0</v>
      </c>
      <c r="G284" s="3" t="n">
        <v>37764.0</v>
      </c>
      <c r="H284" s="3" t="n">
        <v>36837.0</v>
      </c>
      <c r="I284" s="3" t="n">
        <v>36427.0</v>
      </c>
      <c r="J284" s="3" t="n">
        <v>35156.0</v>
      </c>
      <c r="K284" s="3" t="n">
        <v>33417.0</v>
      </c>
      <c r="L284" s="3" t="n">
        <v>30958.0</v>
      </c>
      <c r="M284" s="3" t="n">
        <v>29065.0</v>
      </c>
      <c r="N284" s="3" t="n">
        <v>28018.0</v>
      </c>
      <c r="O284" s="3" t="n">
        <v>28005.0</v>
      </c>
      <c r="P284" s="3" t="n">
        <v>27302.0</v>
      </c>
      <c r="Q284" s="3" t="n">
        <v>26561.0</v>
      </c>
      <c r="R284" s="3" t="n">
        <v>26799.0</v>
      </c>
      <c r="S284" s="3" t="n">
        <v>26972.0</v>
      </c>
      <c r="T284" s="3" t="n">
        <v>27697.0</v>
      </c>
      <c r="U284" s="3" t="n">
        <v>28089.0</v>
      </c>
      <c r="V284" s="3" t="n">
        <v>29679.0</v>
      </c>
      <c r="W284" s="3" t="n">
        <v>30989.0</v>
      </c>
      <c r="X284" s="3" t="n">
        <v>32712.0</v>
      </c>
      <c r="Y284" s="3" t="n">
        <v>34774.0</v>
      </c>
      <c r="Z284" s="3" t="n">
        <v>36508.0</v>
      </c>
      <c r="AA284" s="3" t="n">
        <v>38535.0</v>
      </c>
      <c r="AB284" s="3" t="n">
        <v>40226.0</v>
      </c>
      <c r="AC284" s="3" t="n">
        <v>40195.0</v>
      </c>
      <c r="AD284" s="3" t="n">
        <v>40564.0</v>
      </c>
      <c r="AE284" s="3" t="n">
        <v>41980.0</v>
      </c>
      <c r="AF284" s="3" t="n">
        <v>42087.0</v>
      </c>
      <c r="AG284" s="3" t="n">
        <v>41130.0</v>
      </c>
      <c r="AH284" s="3" t="n">
        <v>43113.0</v>
      </c>
      <c r="AI284" s="3" t="n">
        <v>44917.0</v>
      </c>
      <c r="AJ284" s="3" t="n">
        <v>43592.0</v>
      </c>
      <c r="AK284" s="3" t="n">
        <v>42804.0</v>
      </c>
      <c r="AL284" s="3" t="n">
        <v>41053.0</v>
      </c>
      <c r="AM284" s="3" t="n">
        <v>39162.0</v>
      </c>
      <c r="AN284" s="3" t="n">
        <v>39401.0</v>
      </c>
      <c r="AO284" s="3" t="n">
        <v>38129.0</v>
      </c>
    </row>
    <row r="285" spans="1:41" x14ac:dyDescent="0.2">
      <c r="A285" s="125"/>
      <c r="B285" s="9">
        <v>72</v>
      </c>
      <c r="C285" s="3" t="n">
        <v>32480.0</v>
      </c>
      <c r="D285" s="3" t="n">
        <v>34315.0</v>
      </c>
      <c r="E285" s="3" t="n">
        <v>35029.0</v>
      </c>
      <c r="F285" s="3" t="n">
        <v>36235.0</v>
      </c>
      <c r="G285" s="3" t="n">
        <v>36062.0</v>
      </c>
      <c r="H285" s="3" t="n">
        <v>37175.0</v>
      </c>
      <c r="I285" s="3" t="n">
        <v>36278.0</v>
      </c>
      <c r="J285" s="3" t="n">
        <v>35863.0</v>
      </c>
      <c r="K285" s="3" t="n">
        <v>34605.0</v>
      </c>
      <c r="L285" s="3" t="n">
        <v>32901.0</v>
      </c>
      <c r="M285" s="3" t="n">
        <v>30491.0</v>
      </c>
      <c r="N285" s="3" t="n">
        <v>28631.0</v>
      </c>
      <c r="O285" s="3" t="n">
        <v>27606.0</v>
      </c>
      <c r="P285" s="3" t="n">
        <v>27592.0</v>
      </c>
      <c r="Q285" s="3" t="n">
        <v>26904.0</v>
      </c>
      <c r="R285" s="3" t="n">
        <v>26183.0</v>
      </c>
      <c r="S285" s="3" t="n">
        <v>26415.0</v>
      </c>
      <c r="T285" s="3" t="n">
        <v>26582.0</v>
      </c>
      <c r="U285" s="3" t="n">
        <v>27304.0</v>
      </c>
      <c r="V285" s="3" t="n">
        <v>27691.0</v>
      </c>
      <c r="W285" s="3" t="n">
        <v>29257.0</v>
      </c>
      <c r="X285" s="3" t="n">
        <v>30557.0</v>
      </c>
      <c r="Y285" s="3" t="n">
        <v>32253.0</v>
      </c>
      <c r="Z285" s="3" t="n">
        <v>34291.0</v>
      </c>
      <c r="AA285" s="3" t="n">
        <v>35997.0</v>
      </c>
      <c r="AB285" s="3" t="n">
        <v>38003.0</v>
      </c>
      <c r="AC285" s="3" t="n">
        <v>39675.0</v>
      </c>
      <c r="AD285" s="3" t="n">
        <v>39650.0</v>
      </c>
      <c r="AE285" s="3" t="n">
        <v>40020.0</v>
      </c>
      <c r="AF285" s="3" t="n">
        <v>41423.0</v>
      </c>
      <c r="AG285" s="3" t="n">
        <v>41529.0</v>
      </c>
      <c r="AH285" s="3" t="n">
        <v>40594.0</v>
      </c>
      <c r="AI285" s="3" t="n">
        <v>42549.0</v>
      </c>
      <c r="AJ285" s="3" t="n">
        <v>44340.0</v>
      </c>
      <c r="AK285" s="3" t="n">
        <v>43038.0</v>
      </c>
      <c r="AL285" s="3" t="n">
        <v>42270.0</v>
      </c>
      <c r="AM285" s="3" t="n">
        <v>40536.0</v>
      </c>
      <c r="AN285" s="3" t="n">
        <v>38671.0</v>
      </c>
      <c r="AO285" s="3" t="n">
        <v>38914.0</v>
      </c>
    </row>
    <row r="286" spans="1:41" x14ac:dyDescent="0.2">
      <c r="A286" s="125"/>
      <c r="B286" s="9">
        <v>73</v>
      </c>
      <c r="C286" s="3" t="n">
        <v>30158.0</v>
      </c>
      <c r="D286" s="3" t="n">
        <v>31857.0</v>
      </c>
      <c r="E286" s="3" t="n">
        <v>33661.0</v>
      </c>
      <c r="F286" s="3" t="n">
        <v>34377.0</v>
      </c>
      <c r="G286" s="3" t="n">
        <v>35565.0</v>
      </c>
      <c r="H286" s="3" t="n">
        <v>35427.0</v>
      </c>
      <c r="I286" s="3" t="n">
        <v>36538.0</v>
      </c>
      <c r="J286" s="3" t="n">
        <v>35645.0</v>
      </c>
      <c r="K286" s="3" t="n">
        <v>35242.0</v>
      </c>
      <c r="L286" s="3" t="n">
        <v>34010.0</v>
      </c>
      <c r="M286" s="3" t="n">
        <v>32340.0</v>
      </c>
      <c r="N286" s="3" t="n">
        <v>29981.0</v>
      </c>
      <c r="O286" s="3" t="n">
        <v>28160.0</v>
      </c>
      <c r="P286" s="3" t="n">
        <v>27151.0</v>
      </c>
      <c r="Q286" s="3" t="n">
        <v>27143.0</v>
      </c>
      <c r="R286" s="3" t="n">
        <v>26473.0</v>
      </c>
      <c r="S286" s="3" t="n">
        <v>25761.0</v>
      </c>
      <c r="T286" s="3" t="n">
        <v>25995.0</v>
      </c>
      <c r="U286" s="3" t="n">
        <v>26165.0</v>
      </c>
      <c r="V286" s="3" t="n">
        <v>26879.0</v>
      </c>
      <c r="W286" s="3" t="n">
        <v>27261.0</v>
      </c>
      <c r="X286" s="3" t="n">
        <v>28795.0</v>
      </c>
      <c r="Y286" s="3" t="n">
        <v>30084.0</v>
      </c>
      <c r="Z286" s="3" t="n">
        <v>31757.0</v>
      </c>
      <c r="AA286" s="3" t="n">
        <v>33770.0</v>
      </c>
      <c r="AB286" s="3" t="n">
        <v>35449.0</v>
      </c>
      <c r="AC286" s="3" t="n">
        <v>37432.0</v>
      </c>
      <c r="AD286" s="3" t="n">
        <v>39079.0</v>
      </c>
      <c r="AE286" s="3" t="n">
        <v>39056.0</v>
      </c>
      <c r="AF286" s="3" t="n">
        <v>39426.0</v>
      </c>
      <c r="AG286" s="3" t="n">
        <v>40808.0</v>
      </c>
      <c r="AH286" s="3" t="n">
        <v>40923.0</v>
      </c>
      <c r="AI286" s="3" t="n">
        <v>40005.0</v>
      </c>
      <c r="AJ286" s="3" t="n">
        <v>41939.0</v>
      </c>
      <c r="AK286" s="3" t="n">
        <v>43711.0</v>
      </c>
      <c r="AL286" s="3" t="n">
        <v>42433.0</v>
      </c>
      <c r="AM286" s="3" t="n">
        <v>41674.0</v>
      </c>
      <c r="AN286" s="3" t="n">
        <v>39972.0</v>
      </c>
      <c r="AO286" s="3" t="n">
        <v>38139.0</v>
      </c>
    </row>
    <row r="287" spans="1:41" x14ac:dyDescent="0.2">
      <c r="A287" s="125"/>
      <c r="B287" s="9">
        <v>74</v>
      </c>
      <c r="C287" s="3" t="n">
        <v>29450.0</v>
      </c>
      <c r="D287" s="3" t="n">
        <v>29520.0</v>
      </c>
      <c r="E287" s="3" t="n">
        <v>31199.0</v>
      </c>
      <c r="F287" s="3" t="n">
        <v>32973.0</v>
      </c>
      <c r="G287" s="3" t="n">
        <v>33687.0</v>
      </c>
      <c r="H287" s="3" t="n">
        <v>34874.0</v>
      </c>
      <c r="I287" s="3" t="n">
        <v>34761.0</v>
      </c>
      <c r="J287" s="3" t="n">
        <v>35845.0</v>
      </c>
      <c r="K287" s="3" t="n">
        <v>34957.0</v>
      </c>
      <c r="L287" s="3" t="n">
        <v>34574.0</v>
      </c>
      <c r="M287" s="3" t="n">
        <v>33373.0</v>
      </c>
      <c r="N287" s="3" t="n">
        <v>31733.0</v>
      </c>
      <c r="O287" s="3" t="n">
        <v>29436.0</v>
      </c>
      <c r="P287" s="3" t="n">
        <v>27655.0</v>
      </c>
      <c r="Q287" s="3" t="n">
        <v>26667.0</v>
      </c>
      <c r="R287" s="3" t="n">
        <v>26663.0</v>
      </c>
      <c r="S287" s="3" t="n">
        <v>26009.0</v>
      </c>
      <c r="T287" s="3" t="n">
        <v>25314.0</v>
      </c>
      <c r="U287" s="3" t="n">
        <v>25546.0</v>
      </c>
      <c r="V287" s="3" t="n">
        <v>25716.0</v>
      </c>
      <c r="W287" s="3" t="n">
        <v>26426.0</v>
      </c>
      <c r="X287" s="3" t="n">
        <v>26802.0</v>
      </c>
      <c r="Y287" s="3" t="n">
        <v>28313.0</v>
      </c>
      <c r="Z287" s="3" t="n">
        <v>29580.0</v>
      </c>
      <c r="AA287" s="3" t="n">
        <v>31223.0</v>
      </c>
      <c r="AB287" s="3" t="n">
        <v>33207.0</v>
      </c>
      <c r="AC287" s="3" t="n">
        <v>34867.0</v>
      </c>
      <c r="AD287" s="3" t="n">
        <v>36817.0</v>
      </c>
      <c r="AE287" s="3" t="n">
        <v>38449.0</v>
      </c>
      <c r="AF287" s="3" t="n">
        <v>38424.0</v>
      </c>
      <c r="AG287" s="3" t="n">
        <v>38795.0</v>
      </c>
      <c r="AH287" s="3" t="n">
        <v>40162.0</v>
      </c>
      <c r="AI287" s="3" t="n">
        <v>40285.0</v>
      </c>
      <c r="AJ287" s="3" t="n">
        <v>39390.0</v>
      </c>
      <c r="AK287" s="3" t="n">
        <v>41300.0</v>
      </c>
      <c r="AL287" s="3" t="n">
        <v>43052.0</v>
      </c>
      <c r="AM287" s="3" t="n">
        <v>41794.0</v>
      </c>
      <c r="AN287" s="3" t="n">
        <v>41048.0</v>
      </c>
      <c r="AO287" s="3" t="n">
        <v>39374.0</v>
      </c>
    </row>
    <row r="288" spans="1:41" x14ac:dyDescent="0.2">
      <c r="A288" s="125"/>
      <c r="B288" s="9">
        <v>75</v>
      </c>
      <c r="C288" s="3" t="n">
        <v>27489.0</v>
      </c>
      <c r="D288" s="3" t="n">
        <v>28751.0</v>
      </c>
      <c r="E288" s="3" t="n">
        <v>28838.0</v>
      </c>
      <c r="F288" s="3" t="n">
        <v>30491.0</v>
      </c>
      <c r="G288" s="3" t="n">
        <v>32224.0</v>
      </c>
      <c r="H288" s="3" t="n">
        <v>32949.0</v>
      </c>
      <c r="I288" s="3" t="n">
        <v>34123.0</v>
      </c>
      <c r="J288" s="3" t="n">
        <v>34009.0</v>
      </c>
      <c r="K288" s="3" t="n">
        <v>35067.0</v>
      </c>
      <c r="L288" s="3" t="n">
        <v>34209.0</v>
      </c>
      <c r="M288" s="3" t="n">
        <v>33837.0</v>
      </c>
      <c r="N288" s="3" t="n">
        <v>32675.0</v>
      </c>
      <c r="O288" s="3" t="n">
        <v>31079.0</v>
      </c>
      <c r="P288" s="3" t="n">
        <v>28840.0</v>
      </c>
      <c r="Q288" s="3" t="n">
        <v>27100.0</v>
      </c>
      <c r="R288" s="3" t="n">
        <v>26138.0</v>
      </c>
      <c r="S288" s="3" t="n">
        <v>26135.0</v>
      </c>
      <c r="T288" s="3" t="n">
        <v>25498.0</v>
      </c>
      <c r="U288" s="3" t="n">
        <v>24817.0</v>
      </c>
      <c r="V288" s="3" t="n">
        <v>25051.0</v>
      </c>
      <c r="W288" s="3" t="n">
        <v>25222.0</v>
      </c>
      <c r="X288" s="3" t="n">
        <v>25928.0</v>
      </c>
      <c r="Y288" s="3" t="n">
        <v>26297.0</v>
      </c>
      <c r="Z288" s="3" t="n">
        <v>27782.0</v>
      </c>
      <c r="AA288" s="3" t="n">
        <v>29025.0</v>
      </c>
      <c r="AB288" s="3" t="n">
        <v>30646.0</v>
      </c>
      <c r="AC288" s="3" t="n">
        <v>32594.0</v>
      </c>
      <c r="AD288" s="3" t="n">
        <v>34233.0</v>
      </c>
      <c r="AE288" s="3" t="n">
        <v>36147.0</v>
      </c>
      <c r="AF288" s="3" t="n">
        <v>37755.0</v>
      </c>
      <c r="AG288" s="3" t="n">
        <v>37736.0</v>
      </c>
      <c r="AH288" s="3" t="n">
        <v>38104.0</v>
      </c>
      <c r="AI288" s="3" t="n">
        <v>39454.0</v>
      </c>
      <c r="AJ288" s="3" t="n">
        <v>39581.0</v>
      </c>
      <c r="AK288" s="3" t="n">
        <v>38712.0</v>
      </c>
      <c r="AL288" s="3" t="n">
        <v>40598.0</v>
      </c>
      <c r="AM288" s="3" t="n">
        <v>42316.0</v>
      </c>
      <c r="AN288" s="3" t="n">
        <v>41091.0</v>
      </c>
      <c r="AO288" s="3" t="n">
        <v>40362.0</v>
      </c>
    </row>
    <row r="289" spans="1:41" x14ac:dyDescent="0.2">
      <c r="A289" s="125"/>
      <c r="B289" s="9">
        <v>76</v>
      </c>
      <c r="C289" s="3" t="n">
        <v>24764.0</v>
      </c>
      <c r="D289" s="3" t="n">
        <v>26762.0</v>
      </c>
      <c r="E289" s="3" t="n">
        <v>28011.0</v>
      </c>
      <c r="F289" s="3" t="n">
        <v>28115.0</v>
      </c>
      <c r="G289" s="3" t="n">
        <v>29736.0</v>
      </c>
      <c r="H289" s="3" t="n">
        <v>31449.0</v>
      </c>
      <c r="I289" s="3" t="n">
        <v>32168.0</v>
      </c>
      <c r="J289" s="3" t="n">
        <v>33314.0</v>
      </c>
      <c r="K289" s="3" t="n">
        <v>33202.0</v>
      </c>
      <c r="L289" s="3" t="n">
        <v>34239.0</v>
      </c>
      <c r="M289" s="3" t="n">
        <v>33410.0</v>
      </c>
      <c r="N289" s="3" t="n">
        <v>33055.0</v>
      </c>
      <c r="O289" s="3" t="n">
        <v>31927.0</v>
      </c>
      <c r="P289" s="3" t="n">
        <v>30384.0</v>
      </c>
      <c r="Q289" s="3" t="n">
        <v>28198.0</v>
      </c>
      <c r="R289" s="3" t="n">
        <v>26504.0</v>
      </c>
      <c r="S289" s="3" t="n">
        <v>25568.0</v>
      </c>
      <c r="T289" s="3" t="n">
        <v>25568.0</v>
      </c>
      <c r="U289" s="3" t="n">
        <v>24950.0</v>
      </c>
      <c r="V289" s="3" t="n">
        <v>24292.0</v>
      </c>
      <c r="W289" s="3" t="n">
        <v>24526.0</v>
      </c>
      <c r="X289" s="3" t="n">
        <v>24700.0</v>
      </c>
      <c r="Y289" s="3" t="n">
        <v>25392.0</v>
      </c>
      <c r="Z289" s="3" t="n">
        <v>25753.0</v>
      </c>
      <c r="AA289" s="3" t="n">
        <v>27209.0</v>
      </c>
      <c r="AB289" s="3" t="n">
        <v>28430.0</v>
      </c>
      <c r="AC289" s="3" t="n">
        <v>30025.0</v>
      </c>
      <c r="AD289" s="3" t="n">
        <v>31941.0</v>
      </c>
      <c r="AE289" s="3" t="n">
        <v>33551.0</v>
      </c>
      <c r="AF289" s="3" t="n">
        <v>35438.0</v>
      </c>
      <c r="AG289" s="3" t="n">
        <v>37013.0</v>
      </c>
      <c r="AH289" s="3" t="n">
        <v>37004.0</v>
      </c>
      <c r="AI289" s="3" t="n">
        <v>37363.0</v>
      </c>
      <c r="AJ289" s="3" t="n">
        <v>38697.0</v>
      </c>
      <c r="AK289" s="3" t="n">
        <v>38828.0</v>
      </c>
      <c r="AL289" s="3" t="n">
        <v>37983.0</v>
      </c>
      <c r="AM289" s="3" t="n">
        <v>39841.0</v>
      </c>
      <c r="AN289" s="3" t="n">
        <v>41533.0</v>
      </c>
      <c r="AO289" s="3" t="n">
        <v>40334.0</v>
      </c>
    </row>
    <row r="290" spans="1:41" x14ac:dyDescent="0.2">
      <c r="A290" s="125"/>
      <c r="B290" s="9">
        <v>77</v>
      </c>
      <c r="C290" s="3" t="n">
        <v>18509.0</v>
      </c>
      <c r="D290" s="3" t="n">
        <v>24052.0</v>
      </c>
      <c r="E290" s="3" t="n">
        <v>26014.0</v>
      </c>
      <c r="F290" s="3" t="n">
        <v>27248.0</v>
      </c>
      <c r="G290" s="3" t="n">
        <v>27358.0</v>
      </c>
      <c r="H290" s="3" t="n">
        <v>28962.0</v>
      </c>
      <c r="I290" s="3" t="n">
        <v>30642.0</v>
      </c>
      <c r="J290" s="3" t="n">
        <v>31333.0</v>
      </c>
      <c r="K290" s="3" t="n">
        <v>32445.0</v>
      </c>
      <c r="L290" s="3" t="n">
        <v>32337.0</v>
      </c>
      <c r="M290" s="3" t="n">
        <v>33360.0</v>
      </c>
      <c r="N290" s="3" t="n">
        <v>32564.0</v>
      </c>
      <c r="O290" s="3" t="n">
        <v>32230.0</v>
      </c>
      <c r="P290" s="3" t="n">
        <v>31135.0</v>
      </c>
      <c r="Q290" s="3" t="n">
        <v>29646.0</v>
      </c>
      <c r="R290" s="3" t="n">
        <v>27519.0</v>
      </c>
      <c r="S290" s="3" t="n">
        <v>25877.0</v>
      </c>
      <c r="T290" s="3" t="n">
        <v>24970.0</v>
      </c>
      <c r="U290" s="3" t="n">
        <v>24975.0</v>
      </c>
      <c r="V290" s="3" t="n">
        <v>24381.0</v>
      </c>
      <c r="W290" s="3" t="n">
        <v>23744.0</v>
      </c>
      <c r="X290" s="3" t="n">
        <v>23976.0</v>
      </c>
      <c r="Y290" s="3" t="n">
        <v>24145.0</v>
      </c>
      <c r="Z290" s="3" t="n">
        <v>24820.0</v>
      </c>
      <c r="AA290" s="3" t="n">
        <v>25181.0</v>
      </c>
      <c r="AB290" s="3" t="n">
        <v>26608.0</v>
      </c>
      <c r="AC290" s="3" t="n">
        <v>27806.0</v>
      </c>
      <c r="AD290" s="3" t="n">
        <v>29369.0</v>
      </c>
      <c r="AE290" s="3" t="n">
        <v>31247.0</v>
      </c>
      <c r="AF290" s="3" t="n">
        <v>32824.0</v>
      </c>
      <c r="AG290" s="3" t="n">
        <v>34675.0</v>
      </c>
      <c r="AH290" s="3" t="n">
        <v>36217.0</v>
      </c>
      <c r="AI290" s="3" t="n">
        <v>36215.0</v>
      </c>
      <c r="AJ290" s="3" t="n">
        <v>36581.0</v>
      </c>
      <c r="AK290" s="3" t="n">
        <v>37894.0</v>
      </c>
      <c r="AL290" s="3" t="n">
        <v>38036.0</v>
      </c>
      <c r="AM290" s="3" t="n">
        <v>37205.0</v>
      </c>
      <c r="AN290" s="3" t="n">
        <v>39029.0</v>
      </c>
      <c r="AO290" s="3" t="n">
        <v>40694.0</v>
      </c>
    </row>
    <row r="291" spans="1:41" x14ac:dyDescent="0.2">
      <c r="A291" s="125"/>
      <c r="B291" s="9">
        <v>78</v>
      </c>
      <c r="C291" s="3" t="n">
        <v>17837.0</v>
      </c>
      <c r="D291" s="3" t="n">
        <v>17911.0</v>
      </c>
      <c r="E291" s="3" t="n">
        <v>23300.0</v>
      </c>
      <c r="F291" s="3" t="n">
        <v>25221.0</v>
      </c>
      <c r="G291" s="3" t="n">
        <v>26428.0</v>
      </c>
      <c r="H291" s="3" t="n">
        <v>26566.0</v>
      </c>
      <c r="I291" s="3" t="n">
        <v>28131.0</v>
      </c>
      <c r="J291" s="3" t="n">
        <v>29760.0</v>
      </c>
      <c r="K291" s="3" t="n">
        <v>30430.0</v>
      </c>
      <c r="L291" s="3" t="n">
        <v>31511.0</v>
      </c>
      <c r="M291" s="3" t="n">
        <v>31414.0</v>
      </c>
      <c r="N291" s="3" t="n">
        <v>32424.0</v>
      </c>
      <c r="O291" s="3" t="n">
        <v>31658.0</v>
      </c>
      <c r="P291" s="3" t="n">
        <v>31347.0</v>
      </c>
      <c r="Q291" s="3" t="n">
        <v>30283.0</v>
      </c>
      <c r="R291" s="3" t="n">
        <v>28844.0</v>
      </c>
      <c r="S291" s="3" t="n">
        <v>26785.0</v>
      </c>
      <c r="T291" s="3" t="n">
        <v>25198.0</v>
      </c>
      <c r="U291" s="3" t="n">
        <v>24323.0</v>
      </c>
      <c r="V291" s="3" t="n">
        <v>24329.0</v>
      </c>
      <c r="W291" s="3" t="n">
        <v>23762.0</v>
      </c>
      <c r="X291" s="3" t="n">
        <v>23145.0</v>
      </c>
      <c r="Y291" s="3" t="n">
        <v>23375.0</v>
      </c>
      <c r="Z291" s="3" t="n">
        <v>23541.0</v>
      </c>
      <c r="AA291" s="3" t="n">
        <v>24204.0</v>
      </c>
      <c r="AB291" s="3" t="n">
        <v>24563.0</v>
      </c>
      <c r="AC291" s="3" t="n">
        <v>25955.0</v>
      </c>
      <c r="AD291" s="3" t="n">
        <v>27132.0</v>
      </c>
      <c r="AE291" s="3" t="n">
        <v>28658.0</v>
      </c>
      <c r="AF291" s="3" t="n">
        <v>30499.0</v>
      </c>
      <c r="AG291" s="3" t="n">
        <v>32034.0</v>
      </c>
      <c r="AH291" s="3" t="n">
        <v>33850.0</v>
      </c>
      <c r="AI291" s="3" t="n">
        <v>35364.0</v>
      </c>
      <c r="AJ291" s="3" t="n">
        <v>35375.0</v>
      </c>
      <c r="AK291" s="3" t="n">
        <v>35735.0</v>
      </c>
      <c r="AL291" s="3" t="n">
        <v>37025.0</v>
      </c>
      <c r="AM291" s="3" t="n">
        <v>37165.0</v>
      </c>
      <c r="AN291" s="3" t="n">
        <v>36366.0</v>
      </c>
      <c r="AO291" s="3" t="n">
        <v>38157.0</v>
      </c>
    </row>
    <row r="292" spans="1:41" x14ac:dyDescent="0.2">
      <c r="A292" s="125"/>
      <c r="B292" s="9">
        <v>79</v>
      </c>
      <c r="C292" s="3" t="n">
        <v>16239.0</v>
      </c>
      <c r="D292" s="3" t="n">
        <v>17202.0</v>
      </c>
      <c r="E292" s="3" t="n">
        <v>17289.0</v>
      </c>
      <c r="F292" s="3" t="n">
        <v>22518.0</v>
      </c>
      <c r="G292" s="3" t="n">
        <v>24370.0</v>
      </c>
      <c r="H292" s="3" t="n">
        <v>25566.0</v>
      </c>
      <c r="I292" s="3" t="n">
        <v>25714.0</v>
      </c>
      <c r="J292" s="3" t="n">
        <v>27225.0</v>
      </c>
      <c r="K292" s="3" t="n">
        <v>28798.0</v>
      </c>
      <c r="L292" s="3" t="n">
        <v>29459.0</v>
      </c>
      <c r="M292" s="3" t="n">
        <v>30512.0</v>
      </c>
      <c r="N292" s="3" t="n">
        <v>30416.0</v>
      </c>
      <c r="O292" s="3" t="n">
        <v>31418.0</v>
      </c>
      <c r="P292" s="3" t="n">
        <v>30685.0</v>
      </c>
      <c r="Q292" s="3" t="n">
        <v>30399.0</v>
      </c>
      <c r="R292" s="3" t="n">
        <v>29376.0</v>
      </c>
      <c r="S292" s="3" t="n">
        <v>27986.0</v>
      </c>
      <c r="T292" s="3" t="n">
        <v>26001.0</v>
      </c>
      <c r="U292" s="3" t="n">
        <v>24464.0</v>
      </c>
      <c r="V292" s="3" t="n">
        <v>23621.0</v>
      </c>
      <c r="W292" s="3" t="n">
        <v>23639.0</v>
      </c>
      <c r="X292" s="3" t="n">
        <v>23094.0</v>
      </c>
      <c r="Y292" s="3" t="n">
        <v>22502.0</v>
      </c>
      <c r="Z292" s="3" t="n">
        <v>22721.0</v>
      </c>
      <c r="AA292" s="3" t="n">
        <v>22896.0</v>
      </c>
      <c r="AB292" s="3" t="n">
        <v>23540.0</v>
      </c>
      <c r="AC292" s="3" t="n">
        <v>23897.0</v>
      </c>
      <c r="AD292" s="3" t="n">
        <v>25254.0</v>
      </c>
      <c r="AE292" s="3" t="n">
        <v>26408.0</v>
      </c>
      <c r="AF292" s="3" t="n">
        <v>27897.0</v>
      </c>
      <c r="AG292" s="3" t="n">
        <v>29690.0</v>
      </c>
      <c r="AH292" s="3" t="n">
        <v>31188.0</v>
      </c>
      <c r="AI292" s="3" t="n">
        <v>32968.0</v>
      </c>
      <c r="AJ292" s="3" t="n">
        <v>34450.0</v>
      </c>
      <c r="AK292" s="3" t="n">
        <v>34469.0</v>
      </c>
      <c r="AL292" s="3" t="n">
        <v>34832.0</v>
      </c>
      <c r="AM292" s="3" t="n">
        <v>36093.0</v>
      </c>
      <c r="AN292" s="3" t="n">
        <v>36240.0</v>
      </c>
      <c r="AO292" s="3" t="n">
        <v>35466.0</v>
      </c>
    </row>
    <row r="293" spans="1:41" x14ac:dyDescent="0.2">
      <c r="A293" s="125"/>
      <c r="B293" s="9">
        <v>80</v>
      </c>
      <c r="C293" s="3" t="n">
        <v>15134.0</v>
      </c>
      <c r="D293" s="3" t="n">
        <v>15591.0</v>
      </c>
      <c r="E293" s="3" t="n">
        <v>16530.0</v>
      </c>
      <c r="F293" s="3" t="n">
        <v>16625.0</v>
      </c>
      <c r="G293" s="3" t="n">
        <v>21669.0</v>
      </c>
      <c r="H293" s="3" t="n">
        <v>23477.0</v>
      </c>
      <c r="I293" s="3" t="n">
        <v>24650.0</v>
      </c>
      <c r="J293" s="3" t="n">
        <v>24789.0</v>
      </c>
      <c r="K293" s="3" t="n">
        <v>26252.0</v>
      </c>
      <c r="L293" s="3" t="n">
        <v>27775.0</v>
      </c>
      <c r="M293" s="3" t="n">
        <v>28420.0</v>
      </c>
      <c r="N293" s="3" t="n">
        <v>29446.0</v>
      </c>
      <c r="O293" s="3" t="n">
        <v>29364.0</v>
      </c>
      <c r="P293" s="3" t="n">
        <v>30344.0</v>
      </c>
      <c r="Q293" s="3" t="n">
        <v>29646.0</v>
      </c>
      <c r="R293" s="3" t="n">
        <v>29382.0</v>
      </c>
      <c r="S293" s="3" t="n">
        <v>28402.0</v>
      </c>
      <c r="T293" s="3" t="n">
        <v>27073.0</v>
      </c>
      <c r="U293" s="3" t="n">
        <v>25164.0</v>
      </c>
      <c r="V293" s="3" t="n">
        <v>23680.0</v>
      </c>
      <c r="W293" s="3" t="n">
        <v>22879.0</v>
      </c>
      <c r="X293" s="3" t="n">
        <v>22900.0</v>
      </c>
      <c r="Y293" s="3" t="n">
        <v>22382.0</v>
      </c>
      <c r="Z293" s="3" t="n">
        <v>21808.0</v>
      </c>
      <c r="AA293" s="3" t="n">
        <v>22020.0</v>
      </c>
      <c r="AB293" s="3" t="n">
        <v>22196.0</v>
      </c>
      <c r="AC293" s="3" t="n">
        <v>22826.0</v>
      </c>
      <c r="AD293" s="3" t="n">
        <v>23175.0</v>
      </c>
      <c r="AE293" s="3" t="n">
        <v>24502.0</v>
      </c>
      <c r="AF293" s="3" t="n">
        <v>25630.0</v>
      </c>
      <c r="AG293" s="3" t="n">
        <v>27073.0</v>
      </c>
      <c r="AH293" s="3" t="n">
        <v>28822.0</v>
      </c>
      <c r="AI293" s="3" t="n">
        <v>30278.0</v>
      </c>
      <c r="AJ293" s="3" t="n">
        <v>32008.0</v>
      </c>
      <c r="AK293" s="3" t="n">
        <v>33461.0</v>
      </c>
      <c r="AL293" s="3" t="n">
        <v>33493.0</v>
      </c>
      <c r="AM293" s="3" t="n">
        <v>33846.0</v>
      </c>
      <c r="AN293" s="3" t="n">
        <v>35076.0</v>
      </c>
      <c r="AO293" s="3" t="n">
        <v>35237.0</v>
      </c>
    </row>
    <row r="294" spans="1:41" x14ac:dyDescent="0.2">
      <c r="A294" s="125"/>
      <c r="B294" s="9">
        <v>81</v>
      </c>
      <c r="C294" s="3" t="n">
        <v>15328.0</v>
      </c>
      <c r="D294" s="3" t="n">
        <v>14453.0</v>
      </c>
      <c r="E294" s="3" t="n">
        <v>14906.0</v>
      </c>
      <c r="F294" s="3" t="n">
        <v>15816.0</v>
      </c>
      <c r="G294" s="3" t="n">
        <v>15911.0</v>
      </c>
      <c r="H294" s="3" t="n">
        <v>20773.0</v>
      </c>
      <c r="I294" s="3" t="n">
        <v>22513.0</v>
      </c>
      <c r="J294" s="3" t="n">
        <v>23633.0</v>
      </c>
      <c r="K294" s="3" t="n">
        <v>23775.0</v>
      </c>
      <c r="L294" s="3" t="n">
        <v>25184.0</v>
      </c>
      <c r="M294" s="3" t="n">
        <v>26655.0</v>
      </c>
      <c r="N294" s="3" t="n">
        <v>27284.0</v>
      </c>
      <c r="O294" s="3" t="n">
        <v>28280.0</v>
      </c>
      <c r="P294" s="3" t="n">
        <v>28209.0</v>
      </c>
      <c r="Q294" s="3" t="n">
        <v>29162.0</v>
      </c>
      <c r="R294" s="3" t="n">
        <v>28507.0</v>
      </c>
      <c r="S294" s="3" t="n">
        <v>28270.0</v>
      </c>
      <c r="T294" s="3" t="n">
        <v>27337.0</v>
      </c>
      <c r="U294" s="3" t="n">
        <v>26063.0</v>
      </c>
      <c r="V294" s="3" t="n">
        <v>24241.0</v>
      </c>
      <c r="W294" s="3" t="n">
        <v>22817.0</v>
      </c>
      <c r="X294" s="3" t="n">
        <v>22048.0</v>
      </c>
      <c r="Y294" s="3" t="n">
        <v>22077.0</v>
      </c>
      <c r="Z294" s="3" t="n">
        <v>21580.0</v>
      </c>
      <c r="AA294" s="3" t="n">
        <v>21037.0</v>
      </c>
      <c r="AB294" s="3" t="n">
        <v>21244.0</v>
      </c>
      <c r="AC294" s="3" t="n">
        <v>21419.0</v>
      </c>
      <c r="AD294" s="3" t="n">
        <v>22030.0</v>
      </c>
      <c r="AE294" s="3" t="n">
        <v>22378.0</v>
      </c>
      <c r="AF294" s="3" t="n">
        <v>23668.0</v>
      </c>
      <c r="AG294" s="3" t="n">
        <v>24758.0</v>
      </c>
      <c r="AH294" s="3" t="n">
        <v>26166.0</v>
      </c>
      <c r="AI294" s="3" t="n">
        <v>27864.0</v>
      </c>
      <c r="AJ294" s="3" t="n">
        <v>29274.0</v>
      </c>
      <c r="AK294" s="3" t="n">
        <v>30960.0</v>
      </c>
      <c r="AL294" s="3" t="n">
        <v>32373.0</v>
      </c>
      <c r="AM294" s="3" t="n">
        <v>32397.0</v>
      </c>
      <c r="AN294" s="3" t="n">
        <v>32755.0</v>
      </c>
      <c r="AO294" s="3" t="n">
        <v>33958.0</v>
      </c>
    </row>
    <row r="295" spans="1:41" x14ac:dyDescent="0.2">
      <c r="A295" s="125"/>
      <c r="B295" s="9">
        <v>82</v>
      </c>
      <c r="C295" s="3" t="n">
        <v>15248.0</v>
      </c>
      <c r="D295" s="3" t="n">
        <v>14526.0</v>
      </c>
      <c r="E295" s="3" t="n">
        <v>13708.0</v>
      </c>
      <c r="F295" s="3" t="n">
        <v>14153.0</v>
      </c>
      <c r="G295" s="3" t="n">
        <v>15026.0</v>
      </c>
      <c r="H295" s="3" t="n">
        <v>15142.0</v>
      </c>
      <c r="I295" s="3" t="n">
        <v>19775.0</v>
      </c>
      <c r="J295" s="3" t="n">
        <v>21436.0</v>
      </c>
      <c r="K295" s="3" t="n">
        <v>22504.0</v>
      </c>
      <c r="L295" s="3" t="n">
        <v>22647.0</v>
      </c>
      <c r="M295" s="3" t="n">
        <v>24002.0</v>
      </c>
      <c r="N295" s="3" t="n">
        <v>25418.0</v>
      </c>
      <c r="O295" s="3" t="n">
        <v>26031.0</v>
      </c>
      <c r="P295" s="3" t="n">
        <v>26987.0</v>
      </c>
      <c r="Q295" s="3" t="n">
        <v>26936.0</v>
      </c>
      <c r="R295" s="3" t="n">
        <v>27850.0</v>
      </c>
      <c r="S295" s="3" t="n">
        <v>27244.0</v>
      </c>
      <c r="T295" s="3" t="n">
        <v>27032.0</v>
      </c>
      <c r="U295" s="3" t="n">
        <v>26154.0</v>
      </c>
      <c r="V295" s="3" t="n">
        <v>24942.0</v>
      </c>
      <c r="W295" s="3" t="n">
        <v>23214.0</v>
      </c>
      <c r="X295" s="3" t="n">
        <v>21862.0</v>
      </c>
      <c r="Y295" s="3" t="n">
        <v>21134.0</v>
      </c>
      <c r="Z295" s="3" t="n">
        <v>21161.0</v>
      </c>
      <c r="AA295" s="3" t="n">
        <v>20692.0</v>
      </c>
      <c r="AB295" s="3" t="n">
        <v>20183.0</v>
      </c>
      <c r="AC295" s="3" t="n">
        <v>20389.0</v>
      </c>
      <c r="AD295" s="3" t="n">
        <v>20566.0</v>
      </c>
      <c r="AE295" s="3" t="n">
        <v>21158.0</v>
      </c>
      <c r="AF295" s="3" t="n">
        <v>21502.0</v>
      </c>
      <c r="AG295" s="3" t="n">
        <v>22733.0</v>
      </c>
      <c r="AH295" s="3" t="n">
        <v>23789.0</v>
      </c>
      <c r="AI295" s="3" t="n">
        <v>25149.0</v>
      </c>
      <c r="AJ295" s="3" t="n">
        <v>26797.0</v>
      </c>
      <c r="AK295" s="3" t="n">
        <v>28165.0</v>
      </c>
      <c r="AL295" s="3" t="n">
        <v>29795.0</v>
      </c>
      <c r="AM295" s="3" t="n">
        <v>31146.0</v>
      </c>
      <c r="AN295" s="3" t="n">
        <v>31186.0</v>
      </c>
      <c r="AO295" s="3" t="n">
        <v>31544.0</v>
      </c>
    </row>
    <row r="296" spans="1:41" x14ac:dyDescent="0.2">
      <c r="A296" s="125"/>
      <c r="B296" s="9">
        <v>83</v>
      </c>
      <c r="C296" s="3" t="n">
        <v>15012.0</v>
      </c>
      <c r="D296" s="3" t="n">
        <v>14317.0</v>
      </c>
      <c r="E296" s="3" t="n">
        <v>13656.0</v>
      </c>
      <c r="F296" s="3" t="n">
        <v>12905.0</v>
      </c>
      <c r="G296" s="3" t="n">
        <v>13334.0</v>
      </c>
      <c r="H296" s="3" t="n">
        <v>14179.0</v>
      </c>
      <c r="I296" s="3" t="n">
        <v>14305.0</v>
      </c>
      <c r="J296" s="3" t="n">
        <v>18668.0</v>
      </c>
      <c r="K296" s="3" t="n">
        <v>20246.0</v>
      </c>
      <c r="L296" s="3" t="n">
        <v>21272.0</v>
      </c>
      <c r="M296" s="3" t="n">
        <v>21409.0</v>
      </c>
      <c r="N296" s="3" t="n">
        <v>22704.0</v>
      </c>
      <c r="O296" s="3" t="n">
        <v>24056.0</v>
      </c>
      <c r="P296" s="3" t="n">
        <v>24640.0</v>
      </c>
      <c r="Q296" s="3" t="n">
        <v>25571.0</v>
      </c>
      <c r="R296" s="3" t="n">
        <v>25537.0</v>
      </c>
      <c r="S296" s="3" t="n">
        <v>26419.0</v>
      </c>
      <c r="T296" s="3" t="n">
        <v>25856.0</v>
      </c>
      <c r="U296" s="3" t="n">
        <v>25672.0</v>
      </c>
      <c r="V296" s="3" t="n">
        <v>24848.0</v>
      </c>
      <c r="W296" s="3" t="n">
        <v>23707.0</v>
      </c>
      <c r="X296" s="3" t="n">
        <v>22077.0</v>
      </c>
      <c r="Y296" s="3" t="n">
        <v>20803.0</v>
      </c>
      <c r="Z296" s="3" t="n">
        <v>20115.0</v>
      </c>
      <c r="AA296" s="3" t="n">
        <v>20148.0</v>
      </c>
      <c r="AB296" s="3" t="n">
        <v>19709.0</v>
      </c>
      <c r="AC296" s="3" t="n">
        <v>19232.0</v>
      </c>
      <c r="AD296" s="3" t="n">
        <v>19440.0</v>
      </c>
      <c r="AE296" s="3" t="n">
        <v>19615.0</v>
      </c>
      <c r="AF296" s="3" t="n">
        <v>20192.0</v>
      </c>
      <c r="AG296" s="3" t="n">
        <v>20521.0</v>
      </c>
      <c r="AH296" s="3" t="n">
        <v>21707.0</v>
      </c>
      <c r="AI296" s="3" t="n">
        <v>22724.0</v>
      </c>
      <c r="AJ296" s="3" t="n">
        <v>24026.0</v>
      </c>
      <c r="AK296" s="3" t="n">
        <v>25610.0</v>
      </c>
      <c r="AL296" s="3" t="n">
        <v>26942.0</v>
      </c>
      <c r="AM296" s="3" t="n">
        <v>28497.0</v>
      </c>
      <c r="AN296" s="3" t="n">
        <v>29803.0</v>
      </c>
      <c r="AO296" s="3" t="n">
        <v>29854.0</v>
      </c>
    </row>
    <row r="297" spans="1:41" x14ac:dyDescent="0.2">
      <c r="A297" s="125"/>
      <c r="B297" s="9">
        <v>84</v>
      </c>
      <c r="C297" s="3" t="n">
        <v>14484.0</v>
      </c>
      <c r="D297" s="3" t="n">
        <v>13943.0</v>
      </c>
      <c r="E297" s="3" t="n">
        <v>13320.0</v>
      </c>
      <c r="F297" s="3" t="n">
        <v>12726.0</v>
      </c>
      <c r="G297" s="3" t="n">
        <v>12036.0</v>
      </c>
      <c r="H297" s="3" t="n">
        <v>12455.0</v>
      </c>
      <c r="I297" s="3" t="n">
        <v>13256.0</v>
      </c>
      <c r="J297" s="3" t="n">
        <v>13377.0</v>
      </c>
      <c r="K297" s="3" t="n">
        <v>17470.0</v>
      </c>
      <c r="L297" s="3" t="n">
        <v>18957.0</v>
      </c>
      <c r="M297" s="3" t="n">
        <v>19933.0</v>
      </c>
      <c r="N297" s="3" t="n">
        <v>20069.0</v>
      </c>
      <c r="O297" s="3" t="n">
        <v>21304.0</v>
      </c>
      <c r="P297" s="3" t="n">
        <v>22578.0</v>
      </c>
      <c r="Q297" s="3" t="n">
        <v>23141.0</v>
      </c>
      <c r="R297" s="3" t="n">
        <v>24024.0</v>
      </c>
      <c r="S297" s="3" t="n">
        <v>24008.0</v>
      </c>
      <c r="T297" s="3" t="n">
        <v>24859.0</v>
      </c>
      <c r="U297" s="3" t="n">
        <v>24344.0</v>
      </c>
      <c r="V297" s="3" t="n">
        <v>24187.0</v>
      </c>
      <c r="W297" s="3" t="n">
        <v>23429.0</v>
      </c>
      <c r="X297" s="3" t="n">
        <v>22362.0</v>
      </c>
      <c r="Y297" s="3" t="n">
        <v>20849.0</v>
      </c>
      <c r="Z297" s="3" t="n">
        <v>19636.0</v>
      </c>
      <c r="AA297" s="3" t="n">
        <v>18999.0</v>
      </c>
      <c r="AB297" s="3" t="n">
        <v>19043.0</v>
      </c>
      <c r="AC297" s="3" t="n">
        <v>18642.0</v>
      </c>
      <c r="AD297" s="3" t="n">
        <v>18201.0</v>
      </c>
      <c r="AE297" s="3" t="n">
        <v>18407.0</v>
      </c>
      <c r="AF297" s="3" t="n">
        <v>18579.0</v>
      </c>
      <c r="AG297" s="3" t="n">
        <v>19122.0</v>
      </c>
      <c r="AH297" s="3" t="n">
        <v>19451.0</v>
      </c>
      <c r="AI297" s="3" t="n">
        <v>20585.0</v>
      </c>
      <c r="AJ297" s="3" t="n">
        <v>21555.0</v>
      </c>
      <c r="AK297" s="3" t="n">
        <v>22803.0</v>
      </c>
      <c r="AL297" s="3" t="n">
        <v>24316.0</v>
      </c>
      <c r="AM297" s="3" t="n">
        <v>25576.0</v>
      </c>
      <c r="AN297" s="3" t="n">
        <v>27074.0</v>
      </c>
      <c r="AO297" s="3" t="n">
        <v>28327.0</v>
      </c>
    </row>
    <row r="298" spans="1:41" x14ac:dyDescent="0.2">
      <c r="A298" s="125"/>
      <c r="B298" s="9">
        <v>85</v>
      </c>
      <c r="C298" s="3" t="n">
        <v>13461.0</v>
      </c>
      <c r="D298" s="3" t="n">
        <v>13327.0</v>
      </c>
      <c r="E298" s="3" t="n">
        <v>12848.0</v>
      </c>
      <c r="F298" s="3" t="n">
        <v>12296.0</v>
      </c>
      <c r="G298" s="3" t="n">
        <v>11754.0</v>
      </c>
      <c r="H298" s="3" t="n">
        <v>11151.0</v>
      </c>
      <c r="I298" s="3" t="n">
        <v>11546.0</v>
      </c>
      <c r="J298" s="3" t="n">
        <v>12287.0</v>
      </c>
      <c r="K298" s="3" t="n">
        <v>12398.0</v>
      </c>
      <c r="L298" s="3" t="n">
        <v>16201.0</v>
      </c>
      <c r="M298" s="3" t="n">
        <v>17592.0</v>
      </c>
      <c r="N298" s="3" t="n">
        <v>18516.0</v>
      </c>
      <c r="O298" s="3" t="n">
        <v>18654.0</v>
      </c>
      <c r="P298" s="3" t="n">
        <v>19810.0</v>
      </c>
      <c r="Q298" s="3" t="n">
        <v>21014.0</v>
      </c>
      <c r="R298" s="3" t="n">
        <v>21551.0</v>
      </c>
      <c r="S298" s="3" t="n">
        <v>22388.0</v>
      </c>
      <c r="T298" s="3" t="n">
        <v>22390.0</v>
      </c>
      <c r="U298" s="3" t="n">
        <v>23200.0</v>
      </c>
      <c r="V298" s="3" t="n">
        <v>22742.0</v>
      </c>
      <c r="W298" s="3" t="n">
        <v>22603.0</v>
      </c>
      <c r="X298" s="3" t="n">
        <v>21917.0</v>
      </c>
      <c r="Y298" s="3" t="n">
        <v>20933.0</v>
      </c>
      <c r="Z298" s="3" t="n">
        <v>19522.0</v>
      </c>
      <c r="AA298" s="3" t="n">
        <v>18401.0</v>
      </c>
      <c r="AB298" s="3" t="n">
        <v>17817.0</v>
      </c>
      <c r="AC298" s="3" t="n">
        <v>17866.0</v>
      </c>
      <c r="AD298" s="3" t="n">
        <v>17503.0</v>
      </c>
      <c r="AE298" s="3" t="n">
        <v>17097.0</v>
      </c>
      <c r="AF298" s="3" t="n">
        <v>17304.0</v>
      </c>
      <c r="AG298" s="3" t="n">
        <v>17463.0</v>
      </c>
      <c r="AH298" s="3" t="n">
        <v>17987.0</v>
      </c>
      <c r="AI298" s="3" t="n">
        <v>18302.0</v>
      </c>
      <c r="AJ298" s="3" t="n">
        <v>19382.0</v>
      </c>
      <c r="AK298" s="3" t="n">
        <v>20303.0</v>
      </c>
      <c r="AL298" s="3" t="n">
        <v>21494.0</v>
      </c>
      <c r="AM298" s="3" t="n">
        <v>22918.0</v>
      </c>
      <c r="AN298" s="3" t="n">
        <v>24114.0</v>
      </c>
      <c r="AO298" s="3" t="n">
        <v>25552.0</v>
      </c>
    </row>
    <row r="299" spans="1:41" x14ac:dyDescent="0.2">
      <c r="A299" s="125"/>
      <c r="B299" s="9">
        <v>86</v>
      </c>
      <c r="C299" s="3" t="n">
        <v>12723.0</v>
      </c>
      <c r="D299" s="3" t="n">
        <v>12233.0</v>
      </c>
      <c r="E299" s="3" t="n">
        <v>12139.0</v>
      </c>
      <c r="F299" s="3" t="n">
        <v>11722.0</v>
      </c>
      <c r="G299" s="3" t="n">
        <v>11230.0</v>
      </c>
      <c r="H299" s="3" t="n">
        <v>10758.0</v>
      </c>
      <c r="I299" s="3" t="n">
        <v>10218.0</v>
      </c>
      <c r="J299" s="3" t="n">
        <v>10578.0</v>
      </c>
      <c r="K299" s="3" t="n">
        <v>11264.0</v>
      </c>
      <c r="L299" s="3" t="n">
        <v>11378.0</v>
      </c>
      <c r="M299" s="3" t="n">
        <v>14878.0</v>
      </c>
      <c r="N299" s="3" t="n">
        <v>16168.0</v>
      </c>
      <c r="O299" s="3" t="n">
        <v>17031.0</v>
      </c>
      <c r="P299" s="3" t="n">
        <v>17174.0</v>
      </c>
      <c r="Q299" s="3" t="n">
        <v>18255.0</v>
      </c>
      <c r="R299" s="3" t="n">
        <v>19383.0</v>
      </c>
      <c r="S299" s="3" t="n">
        <v>19890.0</v>
      </c>
      <c r="T299" s="3" t="n">
        <v>20676.0</v>
      </c>
      <c r="U299" s="3" t="n">
        <v>20697.0</v>
      </c>
      <c r="V299" s="3" t="n">
        <v>21459.0</v>
      </c>
      <c r="W299" s="3" t="n">
        <v>21058.0</v>
      </c>
      <c r="X299" s="3" t="n">
        <v>20944.0</v>
      </c>
      <c r="Y299" s="3" t="n">
        <v>20329.0</v>
      </c>
      <c r="Z299" s="3" t="n">
        <v>19413.0</v>
      </c>
      <c r="AA299" s="3" t="n">
        <v>18119.0</v>
      </c>
      <c r="AB299" s="3" t="n">
        <v>17093.0</v>
      </c>
      <c r="AC299" s="3" t="n">
        <v>16566.0</v>
      </c>
      <c r="AD299" s="3" t="n">
        <v>16624.0</v>
      </c>
      <c r="AE299" s="3" t="n">
        <v>16298.0</v>
      </c>
      <c r="AF299" s="3" t="n">
        <v>15934.0</v>
      </c>
      <c r="AG299" s="3" t="n">
        <v>16121.0</v>
      </c>
      <c r="AH299" s="3" t="n">
        <v>16282.0</v>
      </c>
      <c r="AI299" s="3" t="n">
        <v>16784.0</v>
      </c>
      <c r="AJ299" s="3" t="n">
        <v>17089.0</v>
      </c>
      <c r="AK299" s="3" t="n">
        <v>18110.0</v>
      </c>
      <c r="AL299" s="3" t="n">
        <v>18982.0</v>
      </c>
      <c r="AM299" s="3" t="n">
        <v>20092.0</v>
      </c>
      <c r="AN299" s="3" t="n">
        <v>21437.0</v>
      </c>
      <c r="AO299" s="3" t="n">
        <v>22573.0</v>
      </c>
    </row>
    <row r="300" spans="1:41" x14ac:dyDescent="0.2">
      <c r="A300" s="125"/>
      <c r="B300" s="9">
        <v>87</v>
      </c>
      <c r="C300" s="3" t="n">
        <v>11193.0</v>
      </c>
      <c r="D300" s="3" t="n">
        <v>11443.0</v>
      </c>
      <c r="E300" s="3" t="n">
        <v>11022.0</v>
      </c>
      <c r="F300" s="3" t="n">
        <v>10959.0</v>
      </c>
      <c r="G300" s="3" t="n">
        <v>10596.0</v>
      </c>
      <c r="H300" s="3" t="n">
        <v>10174.0</v>
      </c>
      <c r="I300" s="3" t="n">
        <v>9768.0</v>
      </c>
      <c r="J300" s="3" t="n">
        <v>9272.0</v>
      </c>
      <c r="K300" s="3" t="n">
        <v>9610.0</v>
      </c>
      <c r="L300" s="3" t="n">
        <v>10238.0</v>
      </c>
      <c r="M300" s="3" t="n">
        <v>10348.0</v>
      </c>
      <c r="N300" s="3" t="n">
        <v>13542.0</v>
      </c>
      <c r="O300" s="3" t="n">
        <v>14729.0</v>
      </c>
      <c r="P300" s="3" t="n">
        <v>15538.0</v>
      </c>
      <c r="Q300" s="3" t="n">
        <v>15685.0</v>
      </c>
      <c r="R300" s="3" t="n">
        <v>16687.0</v>
      </c>
      <c r="S300" s="3" t="n">
        <v>17727.0</v>
      </c>
      <c r="T300" s="3" t="n">
        <v>18211.0</v>
      </c>
      <c r="U300" s="3" t="n">
        <v>18950.0</v>
      </c>
      <c r="V300" s="3" t="n">
        <v>18982.0</v>
      </c>
      <c r="W300" s="3" t="n">
        <v>19704.0</v>
      </c>
      <c r="X300" s="3" t="n">
        <v>19350.0</v>
      </c>
      <c r="Y300" s="3" t="n">
        <v>19267.0</v>
      </c>
      <c r="Z300" s="3" t="n">
        <v>18702.0</v>
      </c>
      <c r="AA300" s="3" t="n">
        <v>17878.0</v>
      </c>
      <c r="AB300" s="3" t="n">
        <v>16699.0</v>
      </c>
      <c r="AC300" s="3" t="n">
        <v>15763.0</v>
      </c>
      <c r="AD300" s="3" t="n">
        <v>15291.0</v>
      </c>
      <c r="AE300" s="3" t="n">
        <v>15359.0</v>
      </c>
      <c r="AF300" s="3" t="n">
        <v>15066.0</v>
      </c>
      <c r="AG300" s="3" t="n">
        <v>14729.0</v>
      </c>
      <c r="AH300" s="3" t="n">
        <v>14917.0</v>
      </c>
      <c r="AI300" s="3" t="n">
        <v>15081.0</v>
      </c>
      <c r="AJ300" s="3" t="n">
        <v>15553.0</v>
      </c>
      <c r="AK300" s="3" t="n">
        <v>15851.0</v>
      </c>
      <c r="AL300" s="3" t="n">
        <v>16810.0</v>
      </c>
      <c r="AM300" s="3" t="n">
        <v>17625.0</v>
      </c>
      <c r="AN300" s="3" t="n">
        <v>18661.0</v>
      </c>
      <c r="AO300" s="3" t="n">
        <v>19930.0</v>
      </c>
    </row>
    <row r="301" spans="1:41" x14ac:dyDescent="0.2">
      <c r="A301" s="125"/>
      <c r="B301" s="9">
        <v>88</v>
      </c>
      <c r="C301" s="3" t="n">
        <v>9683.0</v>
      </c>
      <c r="D301" s="3" t="n">
        <v>9958.0</v>
      </c>
      <c r="E301" s="3" t="n">
        <v>10201.0</v>
      </c>
      <c r="F301" s="3" t="n">
        <v>9848.0</v>
      </c>
      <c r="G301" s="3" t="n">
        <v>9807.0</v>
      </c>
      <c r="H301" s="3" t="n">
        <v>9505.0</v>
      </c>
      <c r="I301" s="3" t="n">
        <v>9140.0</v>
      </c>
      <c r="J301" s="3" t="n">
        <v>8778.0</v>
      </c>
      <c r="K301" s="3" t="n">
        <v>8333.0</v>
      </c>
      <c r="L301" s="3" t="n">
        <v>8639.0</v>
      </c>
      <c r="M301" s="3" t="n">
        <v>9219.0</v>
      </c>
      <c r="N301" s="3" t="n">
        <v>9333.0</v>
      </c>
      <c r="O301" s="3" t="n">
        <v>12219.0</v>
      </c>
      <c r="P301" s="3" t="n">
        <v>13309.0</v>
      </c>
      <c r="Q301" s="3" t="n">
        <v>14051.0</v>
      </c>
      <c r="R301" s="3" t="n">
        <v>14199.0</v>
      </c>
      <c r="S301" s="3" t="n">
        <v>15125.0</v>
      </c>
      <c r="T301" s="3" t="n">
        <v>16081.0</v>
      </c>
      <c r="U301" s="3" t="n">
        <v>16535.0</v>
      </c>
      <c r="V301" s="3" t="n">
        <v>17222.0</v>
      </c>
      <c r="W301" s="3" t="n">
        <v>17268.0</v>
      </c>
      <c r="X301" s="3" t="n">
        <v>17940.0</v>
      </c>
      <c r="Y301" s="3" t="n">
        <v>17629.0</v>
      </c>
      <c r="Z301" s="3" t="n">
        <v>17565.0</v>
      </c>
      <c r="AA301" s="3" t="n">
        <v>17066.0</v>
      </c>
      <c r="AB301" s="3" t="n">
        <v>16335.0</v>
      </c>
      <c r="AC301" s="3" t="n">
        <v>15268.0</v>
      </c>
      <c r="AD301" s="3" t="n">
        <v>14427.0</v>
      </c>
      <c r="AE301" s="3" t="n">
        <v>14009.0</v>
      </c>
      <c r="AF301" s="3" t="n">
        <v>14081.0</v>
      </c>
      <c r="AG301" s="3" t="n">
        <v>13817.0</v>
      </c>
      <c r="AH301" s="3" t="n">
        <v>13518.0</v>
      </c>
      <c r="AI301" s="3" t="n">
        <v>13703.0</v>
      </c>
      <c r="AJ301" s="3" t="n">
        <v>13866.0</v>
      </c>
      <c r="AK301" s="3" t="n">
        <v>14312.0</v>
      </c>
      <c r="AL301" s="3" t="n">
        <v>14595.0</v>
      </c>
      <c r="AM301" s="3" t="n">
        <v>15478.0</v>
      </c>
      <c r="AN301" s="3" t="n">
        <v>16244.0</v>
      </c>
      <c r="AO301" s="3" t="n">
        <v>17213.0</v>
      </c>
    </row>
    <row r="302" spans="1:41" x14ac:dyDescent="0.2">
      <c r="A302" s="125"/>
      <c r="B302" s="9">
        <v>89</v>
      </c>
      <c r="C302" s="3" t="n">
        <v>8237.0</v>
      </c>
      <c r="D302" s="3" t="n">
        <v>8497.0</v>
      </c>
      <c r="E302" s="3" t="n">
        <v>8753.0</v>
      </c>
      <c r="F302" s="3" t="n">
        <v>8991.0</v>
      </c>
      <c r="G302" s="3" t="n">
        <v>8690.0</v>
      </c>
      <c r="H302" s="3" t="n">
        <v>8679.0</v>
      </c>
      <c r="I302" s="3" t="n">
        <v>8427.0</v>
      </c>
      <c r="J302" s="3" t="n">
        <v>8101.0</v>
      </c>
      <c r="K302" s="3" t="n">
        <v>7794.0</v>
      </c>
      <c r="L302" s="3" t="n">
        <v>7410.0</v>
      </c>
      <c r="M302" s="3" t="n">
        <v>7685.0</v>
      </c>
      <c r="N302" s="3" t="n">
        <v>8206.0</v>
      </c>
      <c r="O302" s="3" t="n">
        <v>8320.0</v>
      </c>
      <c r="P302" s="3" t="n">
        <v>10908.0</v>
      </c>
      <c r="Q302" s="3" t="n">
        <v>11893.0</v>
      </c>
      <c r="R302" s="3" t="n">
        <v>12575.0</v>
      </c>
      <c r="S302" s="3" t="n">
        <v>12721.0</v>
      </c>
      <c r="T302" s="3" t="n">
        <v>13567.0</v>
      </c>
      <c r="U302" s="3" t="n">
        <v>14442.0</v>
      </c>
      <c r="V302" s="3" t="n">
        <v>14858.0</v>
      </c>
      <c r="W302" s="3" t="n">
        <v>15493.0</v>
      </c>
      <c r="X302" s="3" t="n">
        <v>15547.0</v>
      </c>
      <c r="Y302" s="3" t="n">
        <v>16175.0</v>
      </c>
      <c r="Z302" s="3" t="n">
        <v>15896.0</v>
      </c>
      <c r="AA302" s="3" t="n">
        <v>15849.0</v>
      </c>
      <c r="AB302" s="3" t="n">
        <v>15417.0</v>
      </c>
      <c r="AC302" s="3" t="n">
        <v>14777.0</v>
      </c>
      <c r="AD302" s="3" t="n">
        <v>13831.0</v>
      </c>
      <c r="AE302" s="3" t="n">
        <v>13085.0</v>
      </c>
      <c r="AF302" s="3" t="n">
        <v>12717.0</v>
      </c>
      <c r="AG302" s="3" t="n">
        <v>12779.0</v>
      </c>
      <c r="AH302" s="3" t="n">
        <v>12551.0</v>
      </c>
      <c r="AI302" s="3" t="n">
        <v>12298.0</v>
      </c>
      <c r="AJ302" s="3" t="n">
        <v>12469.0</v>
      </c>
      <c r="AK302" s="3" t="n">
        <v>12630.0</v>
      </c>
      <c r="AL302" s="3" t="n">
        <v>13056.0</v>
      </c>
      <c r="AM302" s="3" t="n">
        <v>13309.0</v>
      </c>
      <c r="AN302" s="3" t="n">
        <v>14130.0</v>
      </c>
      <c r="AO302" s="3" t="n">
        <v>14840.0</v>
      </c>
    </row>
    <row r="303" spans="1:41" x14ac:dyDescent="0.2">
      <c r="A303" s="125"/>
      <c r="B303" s="9">
        <v>90</v>
      </c>
      <c r="C303" s="3" t="n">
        <v>7543.0</v>
      </c>
      <c r="D303" s="3" t="n">
        <v>7123.0</v>
      </c>
      <c r="E303" s="3" t="n">
        <v>7369.0</v>
      </c>
      <c r="F303" s="3" t="n">
        <v>7609.0</v>
      </c>
      <c r="G303" s="3" t="n">
        <v>7830.0</v>
      </c>
      <c r="H303" s="3" t="n">
        <v>7587.0</v>
      </c>
      <c r="I303" s="3" t="n">
        <v>7591.0</v>
      </c>
      <c r="J303" s="3" t="n">
        <v>7380.0</v>
      </c>
      <c r="K303" s="3" t="n">
        <v>7091.0</v>
      </c>
      <c r="L303" s="3" t="n">
        <v>6844.0</v>
      </c>
      <c r="M303" s="3" t="n">
        <v>6511.0</v>
      </c>
      <c r="N303" s="3" t="n">
        <v>6763.0</v>
      </c>
      <c r="O303" s="3" t="n">
        <v>7225.0</v>
      </c>
      <c r="P303" s="3" t="n">
        <v>7337.0</v>
      </c>
      <c r="Q303" s="3" t="n">
        <v>9635.0</v>
      </c>
      <c r="R303" s="3" t="n">
        <v>10520.0</v>
      </c>
      <c r="S303" s="3" t="n">
        <v>11128.0</v>
      </c>
      <c r="T303" s="3" t="n">
        <v>11280.0</v>
      </c>
      <c r="U303" s="3" t="n">
        <v>12046.0</v>
      </c>
      <c r="V303" s="3" t="n">
        <v>12830.0</v>
      </c>
      <c r="W303" s="3" t="n">
        <v>13219.0</v>
      </c>
      <c r="X303" s="3" t="n">
        <v>13803.0</v>
      </c>
      <c r="Y303" s="3" t="n">
        <v>13861.0</v>
      </c>
      <c r="Z303" s="3" t="n">
        <v>14429.0</v>
      </c>
      <c r="AA303" s="3" t="n">
        <v>14191.0</v>
      </c>
      <c r="AB303" s="3" t="n">
        <v>14165.0</v>
      </c>
      <c r="AC303" s="3" t="n">
        <v>13792.0</v>
      </c>
      <c r="AD303" s="3" t="n">
        <v>13237.0</v>
      </c>
      <c r="AE303" s="3" t="n">
        <v>12405.0</v>
      </c>
      <c r="AF303" s="3" t="n">
        <v>11749.0</v>
      </c>
      <c r="AG303" s="3" t="n">
        <v>11421.0</v>
      </c>
      <c r="AH303" s="3" t="n">
        <v>11486.0</v>
      </c>
      <c r="AI303" s="3" t="n">
        <v>11296.0</v>
      </c>
      <c r="AJ303" s="3" t="n">
        <v>11084.0</v>
      </c>
      <c r="AK303" s="3" t="n">
        <v>11249.0</v>
      </c>
      <c r="AL303" s="3" t="n">
        <v>11397.0</v>
      </c>
      <c r="AM303" s="3" t="n">
        <v>11789.0</v>
      </c>
      <c r="AN303" s="3" t="n">
        <v>12029.0</v>
      </c>
      <c r="AO303" s="3" t="n">
        <v>12783.0</v>
      </c>
    </row>
    <row r="304" spans="1:41" x14ac:dyDescent="0.2">
      <c r="A304" s="125"/>
      <c r="B304" s="9">
        <v>91</v>
      </c>
      <c r="C304" s="3" t="n">
        <v>6566.0</v>
      </c>
      <c r="D304" s="3" t="n">
        <v>6424.0</v>
      </c>
      <c r="E304" s="3" t="n">
        <v>6086.0</v>
      </c>
      <c r="F304" s="3" t="n">
        <v>6316.0</v>
      </c>
      <c r="G304" s="3" t="n">
        <v>6529.0</v>
      </c>
      <c r="H304" s="3" t="n">
        <v>6740.0</v>
      </c>
      <c r="I304" s="3" t="n">
        <v>6542.0</v>
      </c>
      <c r="J304" s="3" t="n">
        <v>6552.0</v>
      </c>
      <c r="K304" s="3" t="n">
        <v>6377.0</v>
      </c>
      <c r="L304" s="3" t="n">
        <v>6139.0</v>
      </c>
      <c r="M304" s="3" t="n">
        <v>5931.0</v>
      </c>
      <c r="N304" s="3" t="n">
        <v>5649.0</v>
      </c>
      <c r="O304" s="3" t="n">
        <v>5881.0</v>
      </c>
      <c r="P304" s="3" t="n">
        <v>6290.0</v>
      </c>
      <c r="Q304" s="3" t="n">
        <v>6395.0</v>
      </c>
      <c r="R304" s="3" t="n">
        <v>8405.0</v>
      </c>
      <c r="S304" s="3" t="n">
        <v>9191.0</v>
      </c>
      <c r="T304" s="3" t="n">
        <v>9738.0</v>
      </c>
      <c r="U304" s="3" t="n">
        <v>9888.0</v>
      </c>
      <c r="V304" s="3" t="n">
        <v>10567.0</v>
      </c>
      <c r="W304" s="3" t="n">
        <v>11280.0</v>
      </c>
      <c r="X304" s="3" t="n">
        <v>11626.0</v>
      </c>
      <c r="Y304" s="3" t="n">
        <v>12156.0</v>
      </c>
      <c r="Z304" s="3" t="n">
        <v>12212.0</v>
      </c>
      <c r="AA304" s="3" t="n">
        <v>12734.0</v>
      </c>
      <c r="AB304" s="3" t="n">
        <v>12537.0</v>
      </c>
      <c r="AC304" s="3" t="n">
        <v>12531.0</v>
      </c>
      <c r="AD304" s="3" t="n">
        <v>12217.0</v>
      </c>
      <c r="AE304" s="3" t="n">
        <v>11732.0</v>
      </c>
      <c r="AF304" s="3" t="n">
        <v>11012.0</v>
      </c>
      <c r="AG304" s="3" t="n">
        <v>10433.0</v>
      </c>
      <c r="AH304" s="3" t="n">
        <v>10152.0</v>
      </c>
      <c r="AI304" s="3" t="n">
        <v>10223.0</v>
      </c>
      <c r="AJ304" s="3" t="n">
        <v>10067.0</v>
      </c>
      <c r="AK304" s="3" t="n">
        <v>9887.0</v>
      </c>
      <c r="AL304" s="3" t="n">
        <v>10045.0</v>
      </c>
      <c r="AM304" s="3" t="n">
        <v>10179.0</v>
      </c>
      <c r="AN304" s="3" t="n">
        <v>10539.0</v>
      </c>
      <c r="AO304" s="3" t="n">
        <v>10769.0</v>
      </c>
    </row>
    <row r="305" spans="1:41" x14ac:dyDescent="0.2">
      <c r="A305" s="125"/>
      <c r="B305" s="9">
        <v>92</v>
      </c>
      <c r="C305" s="3" t="n">
        <v>5248.0</v>
      </c>
      <c r="D305" s="3" t="n">
        <v>5493.0</v>
      </c>
      <c r="E305" s="3" t="n">
        <v>5394.0</v>
      </c>
      <c r="F305" s="3" t="n">
        <v>5131.0</v>
      </c>
      <c r="G305" s="3" t="n">
        <v>5333.0</v>
      </c>
      <c r="H305" s="3" t="n">
        <v>5529.0</v>
      </c>
      <c r="I305" s="3" t="n">
        <v>5718.0</v>
      </c>
      <c r="J305" s="3" t="n">
        <v>5554.0</v>
      </c>
      <c r="K305" s="3" t="n">
        <v>5568.0</v>
      </c>
      <c r="L305" s="3" t="n">
        <v>5432.0</v>
      </c>
      <c r="M305" s="3" t="n">
        <v>5242.0</v>
      </c>
      <c r="N305" s="3" t="n">
        <v>5066.0</v>
      </c>
      <c r="O305" s="3" t="n">
        <v>4839.0</v>
      </c>
      <c r="P305" s="3" t="n">
        <v>5038.0</v>
      </c>
      <c r="Q305" s="3" t="n">
        <v>5396.0</v>
      </c>
      <c r="R305" s="3" t="n">
        <v>5499.0</v>
      </c>
      <c r="S305" s="3" t="n">
        <v>7238.0</v>
      </c>
      <c r="T305" s="3" t="n">
        <v>7926.0</v>
      </c>
      <c r="U305" s="3" t="n">
        <v>8408.0</v>
      </c>
      <c r="V305" s="3" t="n">
        <v>8556.0</v>
      </c>
      <c r="W305" s="3" t="n">
        <v>9155.0</v>
      </c>
      <c r="X305" s="3" t="n">
        <v>9787.0</v>
      </c>
      <c r="Y305" s="3" t="n">
        <v>10099.0</v>
      </c>
      <c r="Z305" s="3" t="n">
        <v>10560.0</v>
      </c>
      <c r="AA305" s="3" t="n">
        <v>10624.0</v>
      </c>
      <c r="AB305" s="3" t="n">
        <v>11092.0</v>
      </c>
      <c r="AC305" s="3" t="n">
        <v>10940.0</v>
      </c>
      <c r="AD305" s="3" t="n">
        <v>10951.0</v>
      </c>
      <c r="AE305" s="3" t="n">
        <v>10691.0</v>
      </c>
      <c r="AF305" s="3" t="n">
        <v>10286.0</v>
      </c>
      <c r="AG305" s="3" t="n">
        <v>9656.0</v>
      </c>
      <c r="AH305" s="3" t="n">
        <v>9154.0</v>
      </c>
      <c r="AI305" s="3" t="n">
        <v>8920.0</v>
      </c>
      <c r="AJ305" s="3" t="n">
        <v>8993.0</v>
      </c>
      <c r="AK305" s="3" t="n">
        <v>8868.0</v>
      </c>
      <c r="AL305" s="3" t="n">
        <v>8722.0</v>
      </c>
      <c r="AM305" s="3" t="n">
        <v>8863.0</v>
      </c>
      <c r="AN305" s="3" t="n">
        <v>8993.0</v>
      </c>
      <c r="AO305" s="3" t="n">
        <v>9317.0</v>
      </c>
    </row>
    <row r="306" spans="1:41" x14ac:dyDescent="0.2">
      <c r="A306" s="125"/>
      <c r="B306" s="9">
        <v>93</v>
      </c>
      <c r="C306" s="3" t="n">
        <v>4128.0</v>
      </c>
      <c r="D306" s="3" t="n">
        <v>4305.0</v>
      </c>
      <c r="E306" s="3" t="n">
        <v>4522.0</v>
      </c>
      <c r="F306" s="3" t="n">
        <v>4456.0</v>
      </c>
      <c r="G306" s="3" t="n">
        <v>4250.0</v>
      </c>
      <c r="H306" s="3" t="n">
        <v>4429.0</v>
      </c>
      <c r="I306" s="3" t="n">
        <v>4601.0</v>
      </c>
      <c r="J306" s="3" t="n">
        <v>4762.0</v>
      </c>
      <c r="K306" s="3" t="n">
        <v>4637.0</v>
      </c>
      <c r="L306" s="3" t="n">
        <v>4662.0</v>
      </c>
      <c r="M306" s="3" t="n">
        <v>4556.0</v>
      </c>
      <c r="N306" s="3" t="n">
        <v>4399.0</v>
      </c>
      <c r="O306" s="3" t="n">
        <v>4259.0</v>
      </c>
      <c r="P306" s="3" t="n">
        <v>4072.0</v>
      </c>
      <c r="Q306" s="3" t="n">
        <v>4255.0</v>
      </c>
      <c r="R306" s="3" t="n">
        <v>4563.0</v>
      </c>
      <c r="S306" s="3" t="n">
        <v>4655.0</v>
      </c>
      <c r="T306" s="3" t="n">
        <v>6147.0</v>
      </c>
      <c r="U306" s="3" t="n">
        <v>6737.0</v>
      </c>
      <c r="V306" s="3" t="n">
        <v>7162.0</v>
      </c>
      <c r="W306" s="3" t="n">
        <v>7303.0</v>
      </c>
      <c r="X306" s="3" t="n">
        <v>7826.0</v>
      </c>
      <c r="Y306" s="3" t="n">
        <v>8378.0</v>
      </c>
      <c r="Z306" s="3" t="n">
        <v>8647.0</v>
      </c>
      <c r="AA306" s="3" t="n">
        <v>9053.0</v>
      </c>
      <c r="AB306" s="3" t="n">
        <v>9121.0</v>
      </c>
      <c r="AC306" s="3" t="n">
        <v>9541.0</v>
      </c>
      <c r="AD306" s="3" t="n">
        <v>9424.0</v>
      </c>
      <c r="AE306" s="3" t="n">
        <v>9447.0</v>
      </c>
      <c r="AF306" s="3" t="n">
        <v>9237.0</v>
      </c>
      <c r="AG306" s="3" t="n">
        <v>8882.0</v>
      </c>
      <c r="AH306" s="3" t="n">
        <v>8357.0</v>
      </c>
      <c r="AI306" s="3" t="n">
        <v>7935.0</v>
      </c>
      <c r="AJ306" s="3" t="n">
        <v>7742.0</v>
      </c>
      <c r="AK306" s="3" t="n">
        <v>7820.0</v>
      </c>
      <c r="AL306" s="3" t="n">
        <v>7717.0</v>
      </c>
      <c r="AM306" s="3" t="n">
        <v>7594.0</v>
      </c>
      <c r="AN306" s="3" t="n">
        <v>7726.0</v>
      </c>
      <c r="AO306" s="3" t="n">
        <v>7852.0</v>
      </c>
    </row>
    <row r="307" spans="1:41" x14ac:dyDescent="0.2">
      <c r="A307" s="125"/>
      <c r="B307" s="9">
        <v>94</v>
      </c>
      <c r="C307" s="3" t="n">
        <v>3048.0</v>
      </c>
      <c r="D307" s="3" t="n">
        <v>3328.0</v>
      </c>
      <c r="E307" s="3" t="n">
        <v>3478.0</v>
      </c>
      <c r="F307" s="3" t="n">
        <v>3672.0</v>
      </c>
      <c r="G307" s="3" t="n">
        <v>3627.0</v>
      </c>
      <c r="H307" s="3" t="n">
        <v>3470.0</v>
      </c>
      <c r="I307" s="3" t="n">
        <v>3621.0</v>
      </c>
      <c r="J307" s="3" t="n">
        <v>3764.0</v>
      </c>
      <c r="K307" s="3" t="n">
        <v>3911.0</v>
      </c>
      <c r="L307" s="3" t="n">
        <v>3815.0</v>
      </c>
      <c r="M307" s="3" t="n">
        <v>3837.0</v>
      </c>
      <c r="N307" s="3" t="n">
        <v>3759.0</v>
      </c>
      <c r="O307" s="3" t="n">
        <v>3639.0</v>
      </c>
      <c r="P307" s="3" t="n">
        <v>3528.0</v>
      </c>
      <c r="Q307" s="3" t="n">
        <v>3382.0</v>
      </c>
      <c r="R307" s="3" t="n">
        <v>3539.0</v>
      </c>
      <c r="S307" s="3" t="n">
        <v>3801.0</v>
      </c>
      <c r="T307" s="3" t="n">
        <v>3885.0</v>
      </c>
      <c r="U307" s="3" t="n">
        <v>5137.0</v>
      </c>
      <c r="V307" s="3" t="n">
        <v>5650.0</v>
      </c>
      <c r="W307" s="3" t="n">
        <v>6010.0</v>
      </c>
      <c r="X307" s="3" t="n">
        <v>6144.0</v>
      </c>
      <c r="Y307" s="3" t="n">
        <v>6597.0</v>
      </c>
      <c r="Z307" s="3" t="n">
        <v>7063.0</v>
      </c>
      <c r="AA307" s="3" t="n">
        <v>7299.0</v>
      </c>
      <c r="AB307" s="3" t="n">
        <v>7653.0</v>
      </c>
      <c r="AC307" s="3" t="n">
        <v>7722.0</v>
      </c>
      <c r="AD307" s="3" t="n">
        <v>8103.0</v>
      </c>
      <c r="AE307" s="3" t="n">
        <v>8009.0</v>
      </c>
      <c r="AF307" s="3" t="n">
        <v>8045.0</v>
      </c>
      <c r="AG307" s="3" t="n">
        <v>7864.0</v>
      </c>
      <c r="AH307" s="3" t="n">
        <v>7580.0</v>
      </c>
      <c r="AI307" s="3" t="n">
        <v>7140.0</v>
      </c>
      <c r="AJ307" s="3" t="n">
        <v>6793.0</v>
      </c>
      <c r="AK307" s="3" t="n">
        <v>6636.0</v>
      </c>
      <c r="AL307" s="3" t="n">
        <v>6720.0</v>
      </c>
      <c r="AM307" s="3" t="n">
        <v>6627.0</v>
      </c>
      <c r="AN307" s="3" t="n">
        <v>6534.0</v>
      </c>
      <c r="AO307" s="3" t="n">
        <v>6660.0</v>
      </c>
    </row>
    <row r="308" spans="1:41" x14ac:dyDescent="0.2">
      <c r="A308" s="125"/>
      <c r="B308" s="9">
        <v>95</v>
      </c>
      <c r="C308" s="3" t="n">
        <v>2110.0</v>
      </c>
      <c r="D308" s="3" t="n">
        <v>2402.0</v>
      </c>
      <c r="E308" s="3" t="n">
        <v>2624.0</v>
      </c>
      <c r="F308" s="3" t="n">
        <v>2762.0</v>
      </c>
      <c r="G308" s="3" t="n">
        <v>2925.0</v>
      </c>
      <c r="H308" s="3" t="n">
        <v>2899.0</v>
      </c>
      <c r="I308" s="3" t="n">
        <v>2777.0</v>
      </c>
      <c r="J308" s="3" t="n">
        <v>2901.0</v>
      </c>
      <c r="K308" s="3" t="n">
        <v>3022.0</v>
      </c>
      <c r="L308" s="3" t="n">
        <v>3149.0</v>
      </c>
      <c r="M308" s="3" t="n">
        <v>3080.0</v>
      </c>
      <c r="N308" s="3" t="n">
        <v>3102.0</v>
      </c>
      <c r="O308" s="3" t="n">
        <v>3044.0</v>
      </c>
      <c r="P308" s="3" t="n">
        <v>2957.0</v>
      </c>
      <c r="Q308" s="3" t="n">
        <v>2869.0</v>
      </c>
      <c r="R308" s="3" t="n">
        <v>2767.0</v>
      </c>
      <c r="S308" s="3" t="n">
        <v>2890.0</v>
      </c>
      <c r="T308" s="3" t="n">
        <v>3115.0</v>
      </c>
      <c r="U308" s="3" t="n">
        <v>3192.0</v>
      </c>
      <c r="V308" s="3" t="n">
        <v>4223.0</v>
      </c>
      <c r="W308" s="3" t="n">
        <v>4656.0</v>
      </c>
      <c r="X308" s="3" t="n">
        <v>4973.0</v>
      </c>
      <c r="Y308" s="3" t="n">
        <v>5095.0</v>
      </c>
      <c r="Z308" s="3" t="n">
        <v>5468.0</v>
      </c>
      <c r="AA308" s="3" t="n">
        <v>5859.0</v>
      </c>
      <c r="AB308" s="3" t="n">
        <v>6070.0</v>
      </c>
      <c r="AC308" s="3" t="n">
        <v>6376.0</v>
      </c>
      <c r="AD308" s="3" t="n">
        <v>6446.0</v>
      </c>
      <c r="AE308" s="3" t="n">
        <v>6781.0</v>
      </c>
      <c r="AF308" s="3" t="n">
        <v>6709.0</v>
      </c>
      <c r="AG308" s="3" t="n">
        <v>6742.0</v>
      </c>
      <c r="AH308" s="3" t="n">
        <v>6604.0</v>
      </c>
      <c r="AI308" s="3" t="n">
        <v>6375.0</v>
      </c>
      <c r="AJ308" s="3" t="n">
        <v>6015.0</v>
      </c>
      <c r="AK308" s="3" t="n">
        <v>5731.0</v>
      </c>
      <c r="AL308" s="3" t="n">
        <v>5607.0</v>
      </c>
      <c r="AM308" s="3" t="n">
        <v>5684.0</v>
      </c>
      <c r="AN308" s="3" t="n">
        <v>5616.0</v>
      </c>
      <c r="AO308" s="3" t="n">
        <v>5540.0</v>
      </c>
    </row>
    <row r="309" spans="1:41" x14ac:dyDescent="0.2">
      <c r="A309" s="125"/>
      <c r="B309" s="9">
        <v>96</v>
      </c>
      <c r="C309" s="3" t="n">
        <v>1634.0</v>
      </c>
      <c r="D309" s="3" t="n">
        <v>1615.0</v>
      </c>
      <c r="E309" s="3" t="n">
        <v>1851.0</v>
      </c>
      <c r="F309" s="3" t="n">
        <v>2029.0</v>
      </c>
      <c r="G309" s="3" t="n">
        <v>2144.0</v>
      </c>
      <c r="H309" s="3" t="n">
        <v>2278.0</v>
      </c>
      <c r="I309" s="3" t="n">
        <v>2269.0</v>
      </c>
      <c r="J309" s="3" t="n">
        <v>2175.0</v>
      </c>
      <c r="K309" s="3" t="n">
        <v>2279.0</v>
      </c>
      <c r="L309" s="3" t="n">
        <v>2379.0</v>
      </c>
      <c r="M309" s="3" t="n">
        <v>2486.0</v>
      </c>
      <c r="N309" s="3" t="n">
        <v>2438.0</v>
      </c>
      <c r="O309" s="3" t="n">
        <v>2459.0</v>
      </c>
      <c r="P309" s="3" t="n">
        <v>2419.0</v>
      </c>
      <c r="Q309" s="3" t="n">
        <v>2355.0</v>
      </c>
      <c r="R309" s="3" t="n">
        <v>2286.0</v>
      </c>
      <c r="S309" s="3" t="n">
        <v>2214.0</v>
      </c>
      <c r="T309" s="3" t="n">
        <v>2319.0</v>
      </c>
      <c r="U309" s="3" t="n">
        <v>2505.0</v>
      </c>
      <c r="V309" s="3" t="n">
        <v>2578.0</v>
      </c>
      <c r="W309" s="3" t="n">
        <v>3415.0</v>
      </c>
      <c r="X309" s="3" t="n">
        <v>3775.0</v>
      </c>
      <c r="Y309" s="3" t="n">
        <v>4043.0</v>
      </c>
      <c r="Z309" s="3" t="n">
        <v>4140.0</v>
      </c>
      <c r="AA309" s="3" t="n">
        <v>4451.0</v>
      </c>
      <c r="AB309" s="3" t="n">
        <v>4778.0</v>
      </c>
      <c r="AC309" s="3" t="n">
        <v>4964.0</v>
      </c>
      <c r="AD309" s="3" t="n">
        <v>5219.0</v>
      </c>
      <c r="AE309" s="3" t="n">
        <v>5289.0</v>
      </c>
      <c r="AF309" s="3" t="n">
        <v>5577.0</v>
      </c>
      <c r="AG309" s="3" t="n">
        <v>5513.0</v>
      </c>
      <c r="AH309" s="3" t="n">
        <v>5557.0</v>
      </c>
      <c r="AI309" s="3" t="n">
        <v>5453.0</v>
      </c>
      <c r="AJ309" s="3" t="n">
        <v>5278.0</v>
      </c>
      <c r="AK309" s="3" t="n">
        <v>4982.0</v>
      </c>
      <c r="AL309" s="3" t="n">
        <v>4766.0</v>
      </c>
      <c r="AM309" s="3" t="n">
        <v>4655.0</v>
      </c>
      <c r="AN309" s="3" t="n">
        <v>4734.0</v>
      </c>
      <c r="AO309" s="3" t="n">
        <v>4686.0</v>
      </c>
    </row>
    <row r="310" spans="1:41" x14ac:dyDescent="0.2">
      <c r="A310" s="125"/>
      <c r="B310" s="9">
        <v>97</v>
      </c>
      <c r="C310" s="3" t="n">
        <v>1179.0</v>
      </c>
      <c r="D310" s="3" t="n">
        <v>1221.0</v>
      </c>
      <c r="E310" s="3" t="n">
        <v>1212.0</v>
      </c>
      <c r="F310" s="3" t="n">
        <v>1402.0</v>
      </c>
      <c r="G310" s="3" t="n">
        <v>1535.0</v>
      </c>
      <c r="H310" s="3" t="n">
        <v>1629.0</v>
      </c>
      <c r="I310" s="3" t="n">
        <v>1738.0</v>
      </c>
      <c r="J310" s="3" t="n">
        <v>1737.0</v>
      </c>
      <c r="K310" s="3" t="n">
        <v>1666.0</v>
      </c>
      <c r="L310" s="3" t="n">
        <v>1751.0</v>
      </c>
      <c r="M310" s="3" t="n">
        <v>1831.0</v>
      </c>
      <c r="N310" s="3" t="n">
        <v>1922.0</v>
      </c>
      <c r="O310" s="3" t="n">
        <v>1888.0</v>
      </c>
      <c r="P310" s="3" t="n">
        <v>1908.0</v>
      </c>
      <c r="Q310" s="3" t="n">
        <v>1881.0</v>
      </c>
      <c r="R310" s="3" t="n">
        <v>1841.0</v>
      </c>
      <c r="S310" s="3" t="n">
        <v>1787.0</v>
      </c>
      <c r="T310" s="3" t="n">
        <v>1734.0</v>
      </c>
      <c r="U310" s="3" t="n">
        <v>1822.0</v>
      </c>
      <c r="V310" s="3" t="n">
        <v>1971.0</v>
      </c>
      <c r="W310" s="3" t="n">
        <v>2036.0</v>
      </c>
      <c r="X310" s="3" t="n">
        <v>2707.0</v>
      </c>
      <c r="Y310" s="3" t="n">
        <v>3001.0</v>
      </c>
      <c r="Z310" s="3" t="n">
        <v>3217.0</v>
      </c>
      <c r="AA310" s="3" t="n">
        <v>3301.0</v>
      </c>
      <c r="AB310" s="3" t="n">
        <v>3549.0</v>
      </c>
      <c r="AC310" s="3" t="n">
        <v>3826.0</v>
      </c>
      <c r="AD310" s="3" t="n">
        <v>3980.0</v>
      </c>
      <c r="AE310" s="3" t="n">
        <v>4193.0</v>
      </c>
      <c r="AF310" s="3" t="n">
        <v>4261.0</v>
      </c>
      <c r="AG310" s="3" t="n">
        <v>4494.0</v>
      </c>
      <c r="AH310" s="3" t="n">
        <v>4450.0</v>
      </c>
      <c r="AI310" s="3" t="n">
        <v>4502.0</v>
      </c>
      <c r="AJ310" s="3" t="n">
        <v>4429.0</v>
      </c>
      <c r="AK310" s="3" t="n">
        <v>4293.0</v>
      </c>
      <c r="AL310" s="3" t="n">
        <v>4065.0</v>
      </c>
      <c r="AM310" s="3" t="n">
        <v>3885.0</v>
      </c>
      <c r="AN310" s="3" t="n">
        <v>3806.0</v>
      </c>
      <c r="AO310" s="3" t="n">
        <v>3879.0</v>
      </c>
    </row>
    <row r="311" spans="1:41" x14ac:dyDescent="0.2">
      <c r="A311" s="125"/>
      <c r="B311" s="9">
        <v>98</v>
      </c>
      <c r="C311" s="3" t="n">
        <v>740.0</v>
      </c>
      <c r="D311" s="3" t="n">
        <v>861.0</v>
      </c>
      <c r="E311" s="3" t="n">
        <v>896.0</v>
      </c>
      <c r="F311" s="3" t="n">
        <v>895.0</v>
      </c>
      <c r="G311" s="3" t="n">
        <v>1036.0</v>
      </c>
      <c r="H311" s="3" t="n">
        <v>1136.0</v>
      </c>
      <c r="I311" s="3" t="n">
        <v>1216.0</v>
      </c>
      <c r="J311" s="3" t="n">
        <v>1290.0</v>
      </c>
      <c r="K311" s="3" t="n">
        <v>1296.0</v>
      </c>
      <c r="L311" s="3" t="n">
        <v>1247.0</v>
      </c>
      <c r="M311" s="3" t="n">
        <v>1313.0</v>
      </c>
      <c r="N311" s="3" t="n">
        <v>1377.0</v>
      </c>
      <c r="O311" s="3" t="n">
        <v>1452.0</v>
      </c>
      <c r="P311" s="3" t="n">
        <v>1424.0</v>
      </c>
      <c r="Q311" s="3" t="n">
        <v>1447.0</v>
      </c>
      <c r="R311" s="3" t="n">
        <v>1435.0</v>
      </c>
      <c r="S311" s="3" t="n">
        <v>1404.0</v>
      </c>
      <c r="T311" s="3" t="n">
        <v>1374.0</v>
      </c>
      <c r="U311" s="3" t="n">
        <v>1330.0</v>
      </c>
      <c r="V311" s="3" t="n">
        <v>1405.0</v>
      </c>
      <c r="W311" s="3" t="n">
        <v>1522.0</v>
      </c>
      <c r="X311" s="3" t="n">
        <v>1575.0</v>
      </c>
      <c r="Y311" s="3" t="n">
        <v>2099.0</v>
      </c>
      <c r="Z311" s="3" t="n">
        <v>2334.0</v>
      </c>
      <c r="AA311" s="3" t="n">
        <v>2506.0</v>
      </c>
      <c r="AB311" s="3" t="n">
        <v>2585.0</v>
      </c>
      <c r="AC311" s="3" t="n">
        <v>2782.0</v>
      </c>
      <c r="AD311" s="3" t="n">
        <v>3007.0</v>
      </c>
      <c r="AE311" s="3" t="n">
        <v>3134.0</v>
      </c>
      <c r="AF311" s="3" t="n">
        <v>3312.0</v>
      </c>
      <c r="AG311" s="3" t="n">
        <v>3369.0</v>
      </c>
      <c r="AH311" s="3" t="n">
        <v>3559.0</v>
      </c>
      <c r="AI311" s="3" t="n">
        <v>3534.0</v>
      </c>
      <c r="AJ311" s="3" t="n">
        <v>3588.0</v>
      </c>
      <c r="AK311" s="3" t="n">
        <v>3538.0</v>
      </c>
      <c r="AL311" s="3" t="n">
        <v>3437.0</v>
      </c>
      <c r="AM311" s="3" t="n">
        <v>3255.0</v>
      </c>
      <c r="AN311" s="3" t="n">
        <v>3112.0</v>
      </c>
      <c r="AO311" s="3" t="n">
        <v>3059.0</v>
      </c>
    </row>
    <row r="312" spans="1:41" x14ac:dyDescent="0.2">
      <c r="A312" s="125"/>
      <c r="B312" s="9">
        <v>99</v>
      </c>
      <c r="C312" s="3" t="n">
        <v>530.0</v>
      </c>
      <c r="D312" s="3" t="n">
        <v>524.0</v>
      </c>
      <c r="E312" s="3" t="n">
        <v>614.0</v>
      </c>
      <c r="F312" s="3" t="n">
        <v>639.0</v>
      </c>
      <c r="G312" s="3" t="n">
        <v>640.0</v>
      </c>
      <c r="H312" s="3" t="n">
        <v>751.0</v>
      </c>
      <c r="I312" s="3" t="n">
        <v>821.0</v>
      </c>
      <c r="J312" s="3" t="n">
        <v>883.0</v>
      </c>
      <c r="K312" s="3" t="n">
        <v>940.0</v>
      </c>
      <c r="L312" s="3" t="n">
        <v>948.0</v>
      </c>
      <c r="M312" s="3" t="n">
        <v>918.0</v>
      </c>
      <c r="N312" s="3" t="n">
        <v>967.0</v>
      </c>
      <c r="O312" s="3" t="n">
        <v>1015.0</v>
      </c>
      <c r="P312" s="3" t="n">
        <v>1074.0</v>
      </c>
      <c r="Q312" s="3" t="n">
        <v>1059.0</v>
      </c>
      <c r="R312" s="3" t="n">
        <v>1082.0</v>
      </c>
      <c r="S312" s="3" t="n">
        <v>1074.0</v>
      </c>
      <c r="T312" s="3" t="n">
        <v>1057.0</v>
      </c>
      <c r="U312" s="3" t="n">
        <v>1038.0</v>
      </c>
      <c r="V312" s="3" t="n">
        <v>1007.0</v>
      </c>
      <c r="W312" s="3" t="n">
        <v>1065.0</v>
      </c>
      <c r="X312" s="3" t="n">
        <v>1155.0</v>
      </c>
      <c r="Y312" s="3" t="n">
        <v>1201.0</v>
      </c>
      <c r="Z312" s="3" t="n">
        <v>1599.0</v>
      </c>
      <c r="AA312" s="3" t="n">
        <v>1782.0</v>
      </c>
      <c r="AB312" s="3" t="n">
        <v>1919.0</v>
      </c>
      <c r="AC312" s="3" t="n">
        <v>1985.0</v>
      </c>
      <c r="AD312" s="3" t="n">
        <v>2135.0</v>
      </c>
      <c r="AE312" s="3" t="n">
        <v>2325.0</v>
      </c>
      <c r="AF312" s="3" t="n">
        <v>2423.0</v>
      </c>
      <c r="AG312" s="3" t="n">
        <v>2562.0</v>
      </c>
      <c r="AH312" s="3" t="n">
        <v>2613.0</v>
      </c>
      <c r="AI312" s="3" t="n">
        <v>2770.0</v>
      </c>
      <c r="AJ312" s="3" t="n">
        <v>2758.0</v>
      </c>
      <c r="AK312" s="3" t="n">
        <v>2802.0</v>
      </c>
      <c r="AL312" s="3" t="n">
        <v>2771.0</v>
      </c>
      <c r="AM312" s="3" t="n">
        <v>2696.0</v>
      </c>
      <c r="AN312" s="3" t="n">
        <v>2562.0</v>
      </c>
      <c r="AO312" s="3" t="n">
        <v>2450.0</v>
      </c>
    </row>
    <row r="313" spans="1:41" x14ac:dyDescent="0.2">
      <c r="A313" s="125"/>
      <c r="B313" s="10" t="s">
        <v>80</v>
      </c>
      <c r="C313" s="4" t="n">
        <v>794.0</v>
      </c>
      <c r="D313" s="4" t="n">
        <v>875.0</v>
      </c>
      <c r="E313" s="4" t="n">
        <v>925.0</v>
      </c>
      <c r="F313" s="4" t="n">
        <v>1026.0</v>
      </c>
      <c r="G313" s="4" t="n">
        <v>1107.0</v>
      </c>
      <c r="H313" s="4" t="n">
        <v>1167.0</v>
      </c>
      <c r="I313" s="4" t="n">
        <v>1287.0</v>
      </c>
      <c r="J313" s="4" t="n">
        <v>1417.0</v>
      </c>
      <c r="K313" s="4" t="n">
        <v>1553.0</v>
      </c>
      <c r="L313" s="4" t="n">
        <v>1688.0</v>
      </c>
      <c r="M313" s="4" t="n">
        <v>1789.0</v>
      </c>
      <c r="N313" s="4" t="n">
        <v>1848.0</v>
      </c>
      <c r="O313" s="4" t="n">
        <v>1921.0</v>
      </c>
      <c r="P313" s="4" t="n">
        <v>2009.0</v>
      </c>
      <c r="Q313" s="4" t="n">
        <v>2124.0</v>
      </c>
      <c r="R313" s="4" t="n">
        <v>2196.0</v>
      </c>
      <c r="S313" s="4" t="n">
        <v>2268.0</v>
      </c>
      <c r="T313" s="4" t="n">
        <v>2320.0</v>
      </c>
      <c r="U313" s="4" t="n">
        <v>2352.0</v>
      </c>
      <c r="V313" s="4" t="n">
        <v>2363.0</v>
      </c>
      <c r="W313" s="4" t="n">
        <v>2362.0</v>
      </c>
      <c r="X313" s="4" t="n">
        <v>2407.0</v>
      </c>
      <c r="Y313" s="4" t="n">
        <v>2510.0</v>
      </c>
      <c r="Z313" s="4" t="n">
        <v>2612.0</v>
      </c>
      <c r="AA313" s="4" t="n">
        <v>2986.0</v>
      </c>
      <c r="AB313" s="4" t="n">
        <v>3383.0</v>
      </c>
      <c r="AC313" s="4" t="n">
        <v>3774.0</v>
      </c>
      <c r="AD313" s="4" t="n">
        <v>4105.0</v>
      </c>
      <c r="AE313" s="4" t="n">
        <v>4460.0</v>
      </c>
      <c r="AF313" s="4" t="n">
        <v>4861.0</v>
      </c>
      <c r="AG313" s="4" t="n">
        <v>5225.0</v>
      </c>
      <c r="AH313" s="4" t="n">
        <v>5594.0</v>
      </c>
      <c r="AI313" s="4" t="n">
        <v>5911.0</v>
      </c>
      <c r="AJ313" s="4" t="n">
        <v>6267.0</v>
      </c>
      <c r="AK313" s="4" t="n">
        <v>6529.0</v>
      </c>
      <c r="AL313" s="4" t="n">
        <v>6771.0</v>
      </c>
      <c r="AM313" s="4" t="n">
        <v>6914.0</v>
      </c>
      <c r="AN313" s="4" t="n">
        <v>6979.0</v>
      </c>
      <c r="AO313" s="4" t="n">
        <v>6941.0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66C2C9"/>
  </sheetPr>
  <dimension ref="A1:AO7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2"/>
      <c r="B1" s="132"/>
      <c r="C1" s="63" t="s">
        <v>54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8" t="s">
        <v>84</v>
      </c>
      <c r="B3" s="128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49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9" t="s">
        <v>47</v>
      </c>
      <c r="B8" s="69" t="s">
        <v>48</v>
      </c>
      <c r="C8" s="70" t="n">
        <v>5510612.0</v>
      </c>
      <c r="D8" s="70" t="n">
        <v>5513409.0</v>
      </c>
      <c r="E8" s="70" t="n">
        <v>5515469.0</v>
      </c>
      <c r="F8" s="70" t="n">
        <v>5517177.0</v>
      </c>
      <c r="G8" s="70" t="n">
        <v>5518138.0</v>
      </c>
      <c r="H8" s="70" t="n">
        <v>5537842.0</v>
      </c>
      <c r="I8" s="70" t="n">
        <v>5564070.0</v>
      </c>
      <c r="J8" s="70" t="n">
        <v>5574014.0</v>
      </c>
      <c r="K8" s="70" t="n">
        <v>5575169.0</v>
      </c>
      <c r="L8" s="70" t="n">
        <v>5572162.0</v>
      </c>
      <c r="M8" s="70" t="n">
        <v>5566275.0</v>
      </c>
      <c r="N8" s="70" t="n">
        <v>5558024.0</v>
      </c>
      <c r="O8" s="70" t="n">
        <v>5548347.0</v>
      </c>
      <c r="P8" s="70" t="n">
        <v>5537504.0</v>
      </c>
      <c r="Q8" s="70" t="n">
        <v>5525790.0</v>
      </c>
      <c r="R8" s="70" t="n">
        <v>5513660.0</v>
      </c>
      <c r="S8" s="70" t="n">
        <v>5500953.0</v>
      </c>
      <c r="T8" s="70" t="n">
        <v>5487882.0</v>
      </c>
      <c r="U8" s="70" t="n">
        <v>5474490.0</v>
      </c>
      <c r="V8" s="70" t="n">
        <v>5460886.0</v>
      </c>
      <c r="W8" s="70" t="n">
        <v>5447192.0</v>
      </c>
      <c r="X8" s="70" t="n">
        <v>5433696.0</v>
      </c>
      <c r="Y8" s="70" t="n">
        <v>5420010.0</v>
      </c>
      <c r="Z8" s="70" t="n">
        <v>5405785.0</v>
      </c>
      <c r="AA8" s="70" t="n">
        <v>5391381.0</v>
      </c>
      <c r="AB8" s="70" t="n">
        <v>5376676.0</v>
      </c>
      <c r="AC8" s="70" t="n">
        <v>5361603.0</v>
      </c>
      <c r="AD8" s="70" t="n">
        <v>5346363.0</v>
      </c>
      <c r="AE8" s="70" t="n">
        <v>5330538.0</v>
      </c>
      <c r="AF8" s="70" t="n">
        <v>5314035.0</v>
      </c>
      <c r="AG8" s="70" t="n">
        <v>5296435.0</v>
      </c>
      <c r="AH8" s="70" t="n">
        <v>5277953.0</v>
      </c>
      <c r="AI8" s="70" t="n">
        <v>5258562.0</v>
      </c>
      <c r="AJ8" s="70" t="n">
        <v>5238197.0</v>
      </c>
      <c r="AK8" s="70" t="n">
        <v>5216838.0</v>
      </c>
      <c r="AL8" s="70" t="n">
        <v>5194527.0</v>
      </c>
      <c r="AM8" s="70" t="n">
        <v>5170808.0</v>
      </c>
      <c r="AN8" s="70" t="n">
        <v>5146117.0</v>
      </c>
      <c r="AO8" s="70" t="n">
        <v>5120823.0</v>
      </c>
    </row>
    <row r="9" spans="1:41" x14ac:dyDescent="0.2">
      <c r="A9" s="130"/>
      <c r="B9" s="52" t="s">
        <v>20</v>
      </c>
      <c r="C9" s="3" t="n">
        <v>280703.0</v>
      </c>
      <c r="D9" s="3" t="n">
        <v>271701.0</v>
      </c>
      <c r="E9" s="3" t="n">
        <v>263890.0</v>
      </c>
      <c r="F9" s="3" t="n">
        <v>259648.0</v>
      </c>
      <c r="G9" s="3" t="n">
        <v>255504.0</v>
      </c>
      <c r="H9" s="3" t="n">
        <v>257617.0</v>
      </c>
      <c r="I9" s="3" t="n">
        <v>257309.0</v>
      </c>
      <c r="J9" s="3" t="n">
        <v>255497.0</v>
      </c>
      <c r="K9" s="3" t="n">
        <v>252779.0</v>
      </c>
      <c r="L9" s="3" t="n">
        <v>249915.0</v>
      </c>
      <c r="M9" s="3" t="n">
        <v>247125.0</v>
      </c>
      <c r="N9" s="3" t="n">
        <v>244456.0</v>
      </c>
      <c r="O9" s="3" t="n">
        <v>241902.0</v>
      </c>
      <c r="P9" s="3" t="n">
        <v>239735.0</v>
      </c>
      <c r="Q9" s="3" t="n">
        <v>238104.0</v>
      </c>
      <c r="R9" s="3" t="n">
        <v>237200.0</v>
      </c>
      <c r="S9" s="3" t="n">
        <v>237086.0</v>
      </c>
      <c r="T9" s="3" t="n">
        <v>237789.0</v>
      </c>
      <c r="U9" s="3" t="n">
        <v>239180.0</v>
      </c>
      <c r="V9" s="3" t="n">
        <v>241065.0</v>
      </c>
      <c r="W9" s="3" t="n">
        <v>243254.0</v>
      </c>
      <c r="X9" s="3" t="n">
        <v>245550.0</v>
      </c>
      <c r="Y9" s="3" t="n">
        <v>247710.0</v>
      </c>
      <c r="Z9" s="3" t="n">
        <v>249551.0</v>
      </c>
      <c r="AA9" s="3" t="n">
        <v>250969.0</v>
      </c>
      <c r="AB9" s="3" t="n">
        <v>251867.0</v>
      </c>
      <c r="AC9" s="3" t="n">
        <v>252159.0</v>
      </c>
      <c r="AD9" s="3" t="n">
        <v>251830.0</v>
      </c>
      <c r="AE9" s="3" t="n">
        <v>250896.0</v>
      </c>
      <c r="AF9" s="3" t="n">
        <v>249365.0</v>
      </c>
      <c r="AG9" s="3" t="n">
        <v>247276.0</v>
      </c>
      <c r="AH9" s="3" t="n">
        <v>244667.0</v>
      </c>
      <c r="AI9" s="3" t="n">
        <v>241626.0</v>
      </c>
      <c r="AJ9" s="3" t="n">
        <v>238276.0</v>
      </c>
      <c r="AK9" s="3" t="n">
        <v>234758.0</v>
      </c>
      <c r="AL9" s="3" t="n">
        <v>231158.0</v>
      </c>
      <c r="AM9" s="3" t="n">
        <v>227561.0</v>
      </c>
      <c r="AN9" s="3" t="n">
        <v>224122.0</v>
      </c>
      <c r="AO9" s="3" t="n">
        <v>220874.0</v>
      </c>
    </row>
    <row r="10" spans="1:41" x14ac:dyDescent="0.2">
      <c r="A10" s="130"/>
      <c r="B10" s="52" t="s">
        <v>21</v>
      </c>
      <c r="C10" s="3" t="n">
        <v>306831.0</v>
      </c>
      <c r="D10" s="3" t="n">
        <v>309845.0</v>
      </c>
      <c r="E10" s="3" t="n">
        <v>309516.0</v>
      </c>
      <c r="F10" s="3" t="n">
        <v>304617.0</v>
      </c>
      <c r="G10" s="3" t="n">
        <v>298087.0</v>
      </c>
      <c r="H10" s="3" t="n">
        <v>286730.0</v>
      </c>
      <c r="I10" s="3" t="n">
        <v>280788.0</v>
      </c>
      <c r="J10" s="3" t="n">
        <v>274048.0</v>
      </c>
      <c r="K10" s="3" t="n">
        <v>269964.0</v>
      </c>
      <c r="L10" s="3" t="n">
        <v>265484.0</v>
      </c>
      <c r="M10" s="3" t="n">
        <v>265217.0</v>
      </c>
      <c r="N10" s="3" t="n">
        <v>261921.0</v>
      </c>
      <c r="O10" s="3" t="n">
        <v>258758.0</v>
      </c>
      <c r="P10" s="3" t="n">
        <v>255509.0</v>
      </c>
      <c r="Q10" s="3" t="n">
        <v>252419.0</v>
      </c>
      <c r="R10" s="3" t="n">
        <v>249563.0</v>
      </c>
      <c r="S10" s="3" t="n">
        <v>246921.0</v>
      </c>
      <c r="T10" s="3" t="n">
        <v>244451.0</v>
      </c>
      <c r="U10" s="3" t="n">
        <v>242343.0</v>
      </c>
      <c r="V10" s="3" t="n">
        <v>240753.0</v>
      </c>
      <c r="W10" s="3" t="n">
        <v>239872.0</v>
      </c>
      <c r="X10" s="3" t="n">
        <v>239762.0</v>
      </c>
      <c r="Y10" s="3" t="n">
        <v>240437.0</v>
      </c>
      <c r="Z10" s="3" t="n">
        <v>241776.0</v>
      </c>
      <c r="AA10" s="3" t="n">
        <v>243600.0</v>
      </c>
      <c r="AB10" s="3" t="n">
        <v>245697.0</v>
      </c>
      <c r="AC10" s="3" t="n">
        <v>247896.0</v>
      </c>
      <c r="AD10" s="3" t="n">
        <v>249964.0</v>
      </c>
      <c r="AE10" s="3" t="n">
        <v>251717.0</v>
      </c>
      <c r="AF10" s="3" t="n">
        <v>253040.0</v>
      </c>
      <c r="AG10" s="3" t="n">
        <v>253840.0</v>
      </c>
      <c r="AH10" s="3" t="n">
        <v>254040.0</v>
      </c>
      <c r="AI10" s="3" t="n">
        <v>253619.0</v>
      </c>
      <c r="AJ10" s="3" t="n">
        <v>252609.0</v>
      </c>
      <c r="AK10" s="3" t="n">
        <v>251012.0</v>
      </c>
      <c r="AL10" s="3" t="n">
        <v>248862.0</v>
      </c>
      <c r="AM10" s="3" t="n">
        <v>246202.0</v>
      </c>
      <c r="AN10" s="3" t="n">
        <v>243094.0</v>
      </c>
      <c r="AO10" s="3" t="n">
        <v>239698.0</v>
      </c>
    </row>
    <row r="11" spans="1:41" x14ac:dyDescent="0.2">
      <c r="A11" s="130"/>
      <c r="B11" s="53" t="s">
        <v>22</v>
      </c>
      <c r="C11" s="3" t="n">
        <v>314268.0</v>
      </c>
      <c r="D11" s="3" t="n">
        <v>310749.0</v>
      </c>
      <c r="E11" s="3" t="n">
        <v>307467.0</v>
      </c>
      <c r="F11" s="3" t="n">
        <v>303864.0</v>
      </c>
      <c r="G11" s="3" t="n">
        <v>305197.0</v>
      </c>
      <c r="H11" s="3" t="n">
        <v>310756.0</v>
      </c>
      <c r="I11" s="3" t="n">
        <v>317364.0</v>
      </c>
      <c r="J11" s="3" t="n">
        <v>318737.0</v>
      </c>
      <c r="K11" s="3" t="n">
        <v>314485.0</v>
      </c>
      <c r="L11" s="3" t="n">
        <v>308050.0</v>
      </c>
      <c r="M11" s="3" t="n">
        <v>293959.0</v>
      </c>
      <c r="N11" s="3" t="n">
        <v>284247.0</v>
      </c>
      <c r="O11" s="3" t="n">
        <v>275634.0</v>
      </c>
      <c r="P11" s="3" t="n">
        <v>270681.0</v>
      </c>
      <c r="Q11" s="3" t="n">
        <v>265757.0</v>
      </c>
      <c r="R11" s="3" t="n">
        <v>265283.0</v>
      </c>
      <c r="S11" s="3" t="n">
        <v>261948.0</v>
      </c>
      <c r="T11" s="3" t="n">
        <v>258819.0</v>
      </c>
      <c r="U11" s="3" t="n">
        <v>255608.0</v>
      </c>
      <c r="V11" s="3" t="n">
        <v>252539.0</v>
      </c>
      <c r="W11" s="3" t="n">
        <v>249705.0</v>
      </c>
      <c r="X11" s="3" t="n">
        <v>247089.0</v>
      </c>
      <c r="Y11" s="3" t="n">
        <v>244659.0</v>
      </c>
      <c r="Z11" s="3" t="n">
        <v>242590.0</v>
      </c>
      <c r="AA11" s="3" t="n">
        <v>241037.0</v>
      </c>
      <c r="AB11" s="3" t="n">
        <v>240180.0</v>
      </c>
      <c r="AC11" s="3" t="n">
        <v>240072.0</v>
      </c>
      <c r="AD11" s="3" t="n">
        <v>240734.0</v>
      </c>
      <c r="AE11" s="3" t="n">
        <v>242033.0</v>
      </c>
      <c r="AF11" s="3" t="n">
        <v>243805.0</v>
      </c>
      <c r="AG11" s="3" t="n">
        <v>245841.0</v>
      </c>
      <c r="AH11" s="3" t="n">
        <v>247966.0</v>
      </c>
      <c r="AI11" s="3" t="n">
        <v>249958.0</v>
      </c>
      <c r="AJ11" s="3" t="n">
        <v>251638.0</v>
      </c>
      <c r="AK11" s="3" t="n">
        <v>252897.0</v>
      </c>
      <c r="AL11" s="3" t="n">
        <v>253637.0</v>
      </c>
      <c r="AM11" s="3" t="n">
        <v>253774.0</v>
      </c>
      <c r="AN11" s="3" t="n">
        <v>253306.0</v>
      </c>
      <c r="AO11" s="3" t="n">
        <v>252254.0</v>
      </c>
    </row>
    <row r="12" spans="1:41" x14ac:dyDescent="0.2">
      <c r="A12" s="130"/>
      <c r="B12" s="52" t="s">
        <v>23</v>
      </c>
      <c r="C12" s="3" t="n">
        <v>268097.0</v>
      </c>
      <c r="D12" s="3" t="n">
        <v>281867.0</v>
      </c>
      <c r="E12" s="3" t="n">
        <v>294964.0</v>
      </c>
      <c r="F12" s="3" t="n">
        <v>306985.0</v>
      </c>
      <c r="G12" s="3" t="n">
        <v>312058.0</v>
      </c>
      <c r="H12" s="3" t="n">
        <v>317035.0</v>
      </c>
      <c r="I12" s="3" t="n">
        <v>316558.0</v>
      </c>
      <c r="J12" s="3" t="n">
        <v>314712.0</v>
      </c>
      <c r="K12" s="3" t="n">
        <v>311726.0</v>
      </c>
      <c r="L12" s="3" t="n">
        <v>313466.0</v>
      </c>
      <c r="M12" s="3" t="n">
        <v>316819.0</v>
      </c>
      <c r="N12" s="3" t="n">
        <v>320047.0</v>
      </c>
      <c r="O12" s="3" t="n">
        <v>319851.0</v>
      </c>
      <c r="P12" s="3" t="n">
        <v>314918.0</v>
      </c>
      <c r="Q12" s="3" t="n">
        <v>308117.0</v>
      </c>
      <c r="R12" s="3" t="n">
        <v>293807.0</v>
      </c>
      <c r="S12" s="3" t="n">
        <v>283928.0</v>
      </c>
      <c r="T12" s="3" t="n">
        <v>275187.0</v>
      </c>
      <c r="U12" s="3" t="n">
        <v>270160.0</v>
      </c>
      <c r="V12" s="3" t="n">
        <v>265171.0</v>
      </c>
      <c r="W12" s="3" t="n">
        <v>264681.0</v>
      </c>
      <c r="X12" s="3" t="n">
        <v>261350.0</v>
      </c>
      <c r="Y12" s="3" t="n">
        <v>258237.0</v>
      </c>
      <c r="Z12" s="3" t="n">
        <v>255053.0</v>
      </c>
      <c r="AA12" s="3" t="n">
        <v>252007.0</v>
      </c>
      <c r="AB12" s="3" t="n">
        <v>249199.0</v>
      </c>
      <c r="AC12" s="3" t="n">
        <v>246629.0</v>
      </c>
      <c r="AD12" s="3" t="n">
        <v>244231.0</v>
      </c>
      <c r="AE12" s="3" t="n">
        <v>242198.0</v>
      </c>
      <c r="AF12" s="3" t="n">
        <v>240661.0</v>
      </c>
      <c r="AG12" s="3" t="n">
        <v>239817.0</v>
      </c>
      <c r="AH12" s="3" t="n">
        <v>239723.0</v>
      </c>
      <c r="AI12" s="3" t="n">
        <v>240373.0</v>
      </c>
      <c r="AJ12" s="3" t="n">
        <v>241643.0</v>
      </c>
      <c r="AK12" s="3" t="n">
        <v>243370.0</v>
      </c>
      <c r="AL12" s="3" t="n">
        <v>245353.0</v>
      </c>
      <c r="AM12" s="3" t="n">
        <v>247432.0</v>
      </c>
      <c r="AN12" s="3" t="n">
        <v>249363.0</v>
      </c>
      <c r="AO12" s="3" t="n">
        <v>250976.0</v>
      </c>
    </row>
    <row r="13" spans="1:41" x14ac:dyDescent="0.2">
      <c r="A13" s="130"/>
      <c r="B13" s="52" t="s">
        <v>24</v>
      </c>
      <c r="C13" s="3" t="n">
        <v>260290.0</v>
      </c>
      <c r="D13" s="3" t="n">
        <v>254852.0</v>
      </c>
      <c r="E13" s="3" t="n">
        <v>253131.0</v>
      </c>
      <c r="F13" s="3" t="n">
        <v>253611.0</v>
      </c>
      <c r="G13" s="3" t="n">
        <v>259092.0</v>
      </c>
      <c r="H13" s="3" t="n">
        <v>269993.0</v>
      </c>
      <c r="I13" s="3" t="n">
        <v>285515.0</v>
      </c>
      <c r="J13" s="3" t="n">
        <v>299849.0</v>
      </c>
      <c r="K13" s="3" t="n">
        <v>312746.0</v>
      </c>
      <c r="L13" s="3" t="n">
        <v>318479.0</v>
      </c>
      <c r="M13" s="3" t="n">
        <v>321903.0</v>
      </c>
      <c r="N13" s="3" t="n">
        <v>318837.0</v>
      </c>
      <c r="O13" s="3" t="n">
        <v>315723.0</v>
      </c>
      <c r="P13" s="3" t="n">
        <v>312198.0</v>
      </c>
      <c r="Q13" s="3" t="n">
        <v>313621.0</v>
      </c>
      <c r="R13" s="3" t="n">
        <v>316802.0</v>
      </c>
      <c r="S13" s="3" t="n">
        <v>319956.0</v>
      </c>
      <c r="T13" s="3" t="n">
        <v>319724.0</v>
      </c>
      <c r="U13" s="3" t="n">
        <v>314781.0</v>
      </c>
      <c r="V13" s="3" t="n">
        <v>307960.0</v>
      </c>
      <c r="W13" s="3" t="n">
        <v>293566.0</v>
      </c>
      <c r="X13" s="3" t="n">
        <v>283628.0</v>
      </c>
      <c r="Y13" s="3" t="n">
        <v>274829.0</v>
      </c>
      <c r="Z13" s="3" t="n">
        <v>269735.0</v>
      </c>
      <c r="AA13" s="3" t="n">
        <v>264716.0</v>
      </c>
      <c r="AB13" s="3" t="n">
        <v>264208.0</v>
      </c>
      <c r="AC13" s="3" t="n">
        <v>260880.0</v>
      </c>
      <c r="AD13" s="3" t="n">
        <v>257795.0</v>
      </c>
      <c r="AE13" s="3" t="n">
        <v>254634.0</v>
      </c>
      <c r="AF13" s="3" t="n">
        <v>251628.0</v>
      </c>
      <c r="AG13" s="3" t="n">
        <v>248853.0</v>
      </c>
      <c r="AH13" s="3" t="n">
        <v>246309.0</v>
      </c>
      <c r="AI13" s="3" t="n">
        <v>243943.0</v>
      </c>
      <c r="AJ13" s="3" t="n">
        <v>241942.0</v>
      </c>
      <c r="AK13" s="3" t="n">
        <v>240434.0</v>
      </c>
      <c r="AL13" s="3" t="n">
        <v>239606.0</v>
      </c>
      <c r="AM13" s="3" t="n">
        <v>239504.0</v>
      </c>
      <c r="AN13" s="3" t="n">
        <v>240132.0</v>
      </c>
      <c r="AO13" s="3" t="n">
        <v>241379.0</v>
      </c>
    </row>
    <row r="14" spans="1:41" x14ac:dyDescent="0.2">
      <c r="A14" s="130"/>
      <c r="B14" s="52" t="s">
        <v>25</v>
      </c>
      <c r="C14" s="3" t="n">
        <v>325198.0</v>
      </c>
      <c r="D14" s="3" t="n">
        <v>309336.0</v>
      </c>
      <c r="E14" s="3" t="n">
        <v>294549.0</v>
      </c>
      <c r="F14" s="3" t="n">
        <v>283806.0</v>
      </c>
      <c r="G14" s="3" t="n">
        <v>273800.0</v>
      </c>
      <c r="H14" s="3" t="n">
        <v>266975.0</v>
      </c>
      <c r="I14" s="3" t="n">
        <v>263200.0</v>
      </c>
      <c r="J14" s="3" t="n">
        <v>262104.0</v>
      </c>
      <c r="K14" s="3" t="n">
        <v>262697.0</v>
      </c>
      <c r="L14" s="3" t="n">
        <v>268074.0</v>
      </c>
      <c r="M14" s="3" t="n">
        <v>277720.0</v>
      </c>
      <c r="N14" s="3" t="n">
        <v>291602.0</v>
      </c>
      <c r="O14" s="3" t="n">
        <v>305191.0</v>
      </c>
      <c r="P14" s="3" t="n">
        <v>317829.0</v>
      </c>
      <c r="Q14" s="3" t="n">
        <v>323511.0</v>
      </c>
      <c r="R14" s="3" t="n">
        <v>326840.0</v>
      </c>
      <c r="S14" s="3" t="n">
        <v>323616.0</v>
      </c>
      <c r="T14" s="3" t="n">
        <v>320304.0</v>
      </c>
      <c r="U14" s="3" t="n">
        <v>316578.0</v>
      </c>
      <c r="V14" s="3" t="n">
        <v>317811.0</v>
      </c>
      <c r="W14" s="3" t="n">
        <v>320903.0</v>
      </c>
      <c r="X14" s="3" t="n">
        <v>323962.0</v>
      </c>
      <c r="Y14" s="3" t="n">
        <v>323680.0</v>
      </c>
      <c r="Z14" s="3" t="n">
        <v>318685.0</v>
      </c>
      <c r="AA14" s="3" t="n">
        <v>311735.0</v>
      </c>
      <c r="AB14" s="3" t="n">
        <v>297086.0</v>
      </c>
      <c r="AC14" s="3" t="n">
        <v>286851.0</v>
      </c>
      <c r="AD14" s="3" t="n">
        <v>277781.0</v>
      </c>
      <c r="AE14" s="3" t="n">
        <v>272458.0</v>
      </c>
      <c r="AF14" s="3" t="n">
        <v>267238.0</v>
      </c>
      <c r="AG14" s="3" t="n">
        <v>266646.0</v>
      </c>
      <c r="AH14" s="3" t="n">
        <v>263297.0</v>
      </c>
      <c r="AI14" s="3" t="n">
        <v>260221.0</v>
      </c>
      <c r="AJ14" s="3" t="n">
        <v>257041.0</v>
      </c>
      <c r="AK14" s="3" t="n">
        <v>254031.0</v>
      </c>
      <c r="AL14" s="3" t="n">
        <v>251257.0</v>
      </c>
      <c r="AM14" s="3" t="n">
        <v>248730.0</v>
      </c>
      <c r="AN14" s="3" t="n">
        <v>246399.0</v>
      </c>
      <c r="AO14" s="3" t="n">
        <v>244441.0</v>
      </c>
    </row>
    <row r="15" spans="1:41" x14ac:dyDescent="0.2">
      <c r="A15" s="130"/>
      <c r="B15" s="52" t="s">
        <v>26</v>
      </c>
      <c r="C15" s="3" t="n">
        <v>405271.0</v>
      </c>
      <c r="D15" s="3" t="n">
        <v>395551.0</v>
      </c>
      <c r="E15" s="3" t="n">
        <v>385331.0</v>
      </c>
      <c r="F15" s="3" t="n">
        <v>370530.0</v>
      </c>
      <c r="G15" s="3" t="n">
        <v>354498.0</v>
      </c>
      <c r="H15" s="3" t="n">
        <v>340082.0</v>
      </c>
      <c r="I15" s="3" t="n">
        <v>326114.0</v>
      </c>
      <c r="J15" s="3" t="n">
        <v>311935.0</v>
      </c>
      <c r="K15" s="3" t="n">
        <v>301226.0</v>
      </c>
      <c r="L15" s="3" t="n">
        <v>290945.0</v>
      </c>
      <c r="M15" s="3" t="n">
        <v>282484.0</v>
      </c>
      <c r="N15" s="3" t="n">
        <v>276566.0</v>
      </c>
      <c r="O15" s="3" t="n">
        <v>274355.0</v>
      </c>
      <c r="P15" s="3" t="n">
        <v>274416.0</v>
      </c>
      <c r="Q15" s="3" t="n">
        <v>279528.0</v>
      </c>
      <c r="R15" s="3" t="n">
        <v>289165.0</v>
      </c>
      <c r="S15" s="3" t="n">
        <v>303283.0</v>
      </c>
      <c r="T15" s="3" t="n">
        <v>317177.0</v>
      </c>
      <c r="U15" s="3" t="n">
        <v>330017.0</v>
      </c>
      <c r="V15" s="3" t="n">
        <v>335768.0</v>
      </c>
      <c r="W15" s="3" t="n">
        <v>338958.0</v>
      </c>
      <c r="X15" s="3" t="n">
        <v>335433.0</v>
      </c>
      <c r="Y15" s="3" t="n">
        <v>331728.0</v>
      </c>
      <c r="Z15" s="3" t="n">
        <v>327706.0</v>
      </c>
      <c r="AA15" s="3" t="n">
        <v>328751.0</v>
      </c>
      <c r="AB15" s="3" t="n">
        <v>331752.0</v>
      </c>
      <c r="AC15" s="3" t="n">
        <v>334753.0</v>
      </c>
      <c r="AD15" s="3" t="n">
        <v>334340.0</v>
      </c>
      <c r="AE15" s="3" t="n">
        <v>329124.0</v>
      </c>
      <c r="AF15" s="3" t="n">
        <v>321820.0</v>
      </c>
      <c r="AG15" s="3" t="n">
        <v>306636.0</v>
      </c>
      <c r="AH15" s="3" t="n">
        <v>295807.0</v>
      </c>
      <c r="AI15" s="3" t="n">
        <v>286235.0</v>
      </c>
      <c r="AJ15" s="3" t="n">
        <v>280509.0</v>
      </c>
      <c r="AK15" s="3" t="n">
        <v>275017.0</v>
      </c>
      <c r="AL15" s="3" t="n">
        <v>274289.0</v>
      </c>
      <c r="AM15" s="3" t="n">
        <v>270870.0</v>
      </c>
      <c r="AN15" s="3" t="n">
        <v>267752.0</v>
      </c>
      <c r="AO15" s="3" t="n">
        <v>264550.0</v>
      </c>
    </row>
    <row r="16" spans="1:41" x14ac:dyDescent="0.2">
      <c r="A16" s="130"/>
      <c r="B16" s="52" t="s">
        <v>27</v>
      </c>
      <c r="C16" s="3" t="n">
        <v>469610.0</v>
      </c>
      <c r="D16" s="3" t="n">
        <v>456165.0</v>
      </c>
      <c r="E16" s="3" t="n">
        <v>442818.0</v>
      </c>
      <c r="F16" s="3" t="n">
        <v>431529.0</v>
      </c>
      <c r="G16" s="3" t="n">
        <v>423043.0</v>
      </c>
      <c r="H16" s="3" t="n">
        <v>417080.0</v>
      </c>
      <c r="I16" s="3" t="n">
        <v>409450.0</v>
      </c>
      <c r="J16" s="3" t="n">
        <v>399905.0</v>
      </c>
      <c r="K16" s="3" t="n">
        <v>385086.0</v>
      </c>
      <c r="L16" s="3" t="n">
        <v>368886.0</v>
      </c>
      <c r="M16" s="3" t="n">
        <v>352627.0</v>
      </c>
      <c r="N16" s="3" t="n">
        <v>336269.0</v>
      </c>
      <c r="O16" s="3" t="n">
        <v>320989.0</v>
      </c>
      <c r="P16" s="3" t="n">
        <v>309752.0</v>
      </c>
      <c r="Q16" s="3" t="n">
        <v>299167.0</v>
      </c>
      <c r="R16" s="3" t="n">
        <v>290471.0</v>
      </c>
      <c r="S16" s="3" t="n">
        <v>284401.0</v>
      </c>
      <c r="T16" s="3" t="n">
        <v>282093.0</v>
      </c>
      <c r="U16" s="3" t="n">
        <v>282061.0</v>
      </c>
      <c r="V16" s="3" t="n">
        <v>287140.0</v>
      </c>
      <c r="W16" s="3" t="n">
        <v>296841.0</v>
      </c>
      <c r="X16" s="3" t="n">
        <v>311090.0</v>
      </c>
      <c r="Y16" s="3" t="n">
        <v>325102.0</v>
      </c>
      <c r="Z16" s="3" t="n">
        <v>337966.0</v>
      </c>
      <c r="AA16" s="3" t="n">
        <v>343667.0</v>
      </c>
      <c r="AB16" s="3" t="n">
        <v>346697.0</v>
      </c>
      <c r="AC16" s="3" t="n">
        <v>342943.0</v>
      </c>
      <c r="AD16" s="3" t="n">
        <v>339025.0</v>
      </c>
      <c r="AE16" s="3" t="n">
        <v>334847.0</v>
      </c>
      <c r="AF16" s="3" t="n">
        <v>335799.0</v>
      </c>
      <c r="AG16" s="3" t="n">
        <v>338793.0</v>
      </c>
      <c r="AH16" s="3" t="n">
        <v>341754.0</v>
      </c>
      <c r="AI16" s="3" t="n">
        <v>341233.0</v>
      </c>
      <c r="AJ16" s="3" t="n">
        <v>335851.0</v>
      </c>
      <c r="AK16" s="3" t="n">
        <v>328291.0</v>
      </c>
      <c r="AL16" s="3" t="n">
        <v>312758.0</v>
      </c>
      <c r="AM16" s="3" t="n">
        <v>301646.0</v>
      </c>
      <c r="AN16" s="3" t="n">
        <v>291827.0</v>
      </c>
      <c r="AO16" s="3" t="n">
        <v>285923.0</v>
      </c>
    </row>
    <row r="17" spans="1:41" x14ac:dyDescent="0.2">
      <c r="A17" s="130"/>
      <c r="B17" s="52" t="s">
        <v>28</v>
      </c>
      <c r="C17" s="3" t="n">
        <v>470690.0</v>
      </c>
      <c r="D17" s="3" t="n">
        <v>478983.0</v>
      </c>
      <c r="E17" s="3" t="n">
        <v>482041.0</v>
      </c>
      <c r="F17" s="3" t="n">
        <v>483067.0</v>
      </c>
      <c r="G17" s="3" t="n">
        <v>482553.0</v>
      </c>
      <c r="H17" s="3" t="n">
        <v>474286.0</v>
      </c>
      <c r="I17" s="3" t="n">
        <v>462866.0</v>
      </c>
      <c r="J17" s="3" t="n">
        <v>450562.0</v>
      </c>
      <c r="K17" s="3" t="n">
        <v>439812.0</v>
      </c>
      <c r="L17" s="3" t="n">
        <v>431629.0</v>
      </c>
      <c r="M17" s="3" t="n">
        <v>424011.0</v>
      </c>
      <c r="N17" s="3" t="n">
        <v>413861.0</v>
      </c>
      <c r="O17" s="3" t="n">
        <v>403067.0</v>
      </c>
      <c r="P17" s="3" t="n">
        <v>387738.0</v>
      </c>
      <c r="Q17" s="3" t="n">
        <v>371323.0</v>
      </c>
      <c r="R17" s="3" t="n">
        <v>355039.0</v>
      </c>
      <c r="S17" s="3" t="n">
        <v>338742.0</v>
      </c>
      <c r="T17" s="3" t="n">
        <v>323577.0</v>
      </c>
      <c r="U17" s="3" t="n">
        <v>312418.0</v>
      </c>
      <c r="V17" s="3" t="n">
        <v>301898.0</v>
      </c>
      <c r="W17" s="3" t="n">
        <v>293220.0</v>
      </c>
      <c r="X17" s="3" t="n">
        <v>287137.0</v>
      </c>
      <c r="Y17" s="3" t="n">
        <v>284774.0</v>
      </c>
      <c r="Z17" s="3" t="n">
        <v>284663.0</v>
      </c>
      <c r="AA17" s="3" t="n">
        <v>289656.0</v>
      </c>
      <c r="AB17" s="3" t="n">
        <v>299289.0</v>
      </c>
      <c r="AC17" s="3" t="n">
        <v>313506.0</v>
      </c>
      <c r="AD17" s="3" t="n">
        <v>327491.0</v>
      </c>
      <c r="AE17" s="3" t="n">
        <v>340237.0</v>
      </c>
      <c r="AF17" s="3" t="n">
        <v>345844.0</v>
      </c>
      <c r="AG17" s="3" t="n">
        <v>348769.0</v>
      </c>
      <c r="AH17" s="3" t="n">
        <v>344910.0</v>
      </c>
      <c r="AI17" s="3" t="n">
        <v>340926.0</v>
      </c>
      <c r="AJ17" s="3" t="n">
        <v>336736.0</v>
      </c>
      <c r="AK17" s="3" t="n">
        <v>337647.0</v>
      </c>
      <c r="AL17" s="3" t="n">
        <v>340623.0</v>
      </c>
      <c r="AM17" s="3" t="n">
        <v>343521.0</v>
      </c>
      <c r="AN17" s="3" t="n">
        <v>342942.0</v>
      </c>
      <c r="AO17" s="3" t="n">
        <v>337551.0</v>
      </c>
    </row>
    <row r="18" spans="1:41" x14ac:dyDescent="0.2">
      <c r="A18" s="130"/>
      <c r="B18" s="52" t="s">
        <v>29</v>
      </c>
      <c r="C18" s="3" t="n">
        <v>430375.0</v>
      </c>
      <c r="D18" s="3" t="n">
        <v>442868.0</v>
      </c>
      <c r="E18" s="3" t="n">
        <v>454035.0</v>
      </c>
      <c r="F18" s="3" t="n">
        <v>461159.0</v>
      </c>
      <c r="G18" s="3" t="n">
        <v>462117.0</v>
      </c>
      <c r="H18" s="3" t="n">
        <v>469147.0</v>
      </c>
      <c r="I18" s="3" t="n">
        <v>479129.0</v>
      </c>
      <c r="J18" s="3" t="n">
        <v>483155.0</v>
      </c>
      <c r="K18" s="3" t="n">
        <v>484677.0</v>
      </c>
      <c r="L18" s="3" t="n">
        <v>484414.0</v>
      </c>
      <c r="M18" s="3" t="n">
        <v>474987.0</v>
      </c>
      <c r="N18" s="3" t="n">
        <v>461804.0</v>
      </c>
      <c r="O18" s="3" t="n">
        <v>448739.0</v>
      </c>
      <c r="P18" s="3" t="n">
        <v>437704.0</v>
      </c>
      <c r="Q18" s="3" t="n">
        <v>429374.0</v>
      </c>
      <c r="R18" s="3" t="n">
        <v>421693.0</v>
      </c>
      <c r="S18" s="3" t="n">
        <v>411578.0</v>
      </c>
      <c r="T18" s="3" t="n">
        <v>400828.0</v>
      </c>
      <c r="U18" s="3" t="n">
        <v>385629.0</v>
      </c>
      <c r="V18" s="3" t="n">
        <v>369399.0</v>
      </c>
      <c r="W18" s="3" t="n">
        <v>353371.0</v>
      </c>
      <c r="X18" s="3" t="n">
        <v>337305.0</v>
      </c>
      <c r="Y18" s="3" t="n">
        <v>322366.0</v>
      </c>
      <c r="Z18" s="3" t="n">
        <v>311395.0</v>
      </c>
      <c r="AA18" s="3" t="n">
        <v>301007.0</v>
      </c>
      <c r="AB18" s="3" t="n">
        <v>292431.0</v>
      </c>
      <c r="AC18" s="3" t="n">
        <v>286385.0</v>
      </c>
      <c r="AD18" s="3" t="n">
        <v>284001.0</v>
      </c>
      <c r="AE18" s="3" t="n">
        <v>283883.0</v>
      </c>
      <c r="AF18" s="3" t="n">
        <v>288813.0</v>
      </c>
      <c r="AG18" s="3" t="n">
        <v>298344.0</v>
      </c>
      <c r="AH18" s="3" t="n">
        <v>312441.0</v>
      </c>
      <c r="AI18" s="3" t="n">
        <v>326258.0</v>
      </c>
      <c r="AJ18" s="3" t="n">
        <v>338816.0</v>
      </c>
      <c r="AK18" s="3" t="n">
        <v>344338.0</v>
      </c>
      <c r="AL18" s="3" t="n">
        <v>347200.0</v>
      </c>
      <c r="AM18" s="3" t="n">
        <v>343334.0</v>
      </c>
      <c r="AN18" s="3" t="n">
        <v>339349.0</v>
      </c>
      <c r="AO18" s="3" t="n">
        <v>335186.0</v>
      </c>
    </row>
    <row r="19" spans="1:41" x14ac:dyDescent="0.2">
      <c r="A19" s="130"/>
      <c r="B19" s="52" t="s">
        <v>30</v>
      </c>
      <c r="C19" s="3" t="n">
        <v>333328.0</v>
      </c>
      <c r="D19" s="3" t="n">
        <v>349374.0</v>
      </c>
      <c r="E19" s="3" t="n">
        <v>367803.0</v>
      </c>
      <c r="F19" s="3" t="n">
        <v>386868.0</v>
      </c>
      <c r="G19" s="3" t="n">
        <v>406841.0</v>
      </c>
      <c r="H19" s="3" t="n">
        <v>423326.0</v>
      </c>
      <c r="I19" s="3" t="n">
        <v>436777.0</v>
      </c>
      <c r="J19" s="3" t="n">
        <v>448441.0</v>
      </c>
      <c r="K19" s="3" t="n">
        <v>455907.0</v>
      </c>
      <c r="L19" s="3" t="n">
        <v>457205.0</v>
      </c>
      <c r="M19" s="3" t="n">
        <v>463370.0</v>
      </c>
      <c r="N19" s="3" t="n">
        <v>471983.0</v>
      </c>
      <c r="O19" s="3" t="n">
        <v>475360.0</v>
      </c>
      <c r="P19" s="3" t="n">
        <v>476624.0</v>
      </c>
      <c r="Q19" s="3" t="n">
        <v>476183.0</v>
      </c>
      <c r="R19" s="3" t="n">
        <v>466842.0</v>
      </c>
      <c r="S19" s="3" t="n">
        <v>453909.0</v>
      </c>
      <c r="T19" s="3" t="n">
        <v>441130.0</v>
      </c>
      <c r="U19" s="3" t="n">
        <v>430344.0</v>
      </c>
      <c r="V19" s="3" t="n">
        <v>422208.0</v>
      </c>
      <c r="W19" s="3" t="n">
        <v>414632.0</v>
      </c>
      <c r="X19" s="3" t="n">
        <v>404729.0</v>
      </c>
      <c r="Y19" s="3" t="n">
        <v>394212.0</v>
      </c>
      <c r="Z19" s="3" t="n">
        <v>379318.0</v>
      </c>
      <c r="AA19" s="3" t="n">
        <v>363467.0</v>
      </c>
      <c r="AB19" s="3" t="n">
        <v>347822.0</v>
      </c>
      <c r="AC19" s="3" t="n">
        <v>332156.0</v>
      </c>
      <c r="AD19" s="3" t="n">
        <v>317622.0</v>
      </c>
      <c r="AE19" s="3" t="n">
        <v>306948.0</v>
      </c>
      <c r="AF19" s="3" t="n">
        <v>296829.0</v>
      </c>
      <c r="AG19" s="3" t="n">
        <v>288444.0</v>
      </c>
      <c r="AH19" s="3" t="n">
        <v>282528.0</v>
      </c>
      <c r="AI19" s="3" t="n">
        <v>280210.0</v>
      </c>
      <c r="AJ19" s="3" t="n">
        <v>280101.0</v>
      </c>
      <c r="AK19" s="3" t="n">
        <v>284912.0</v>
      </c>
      <c r="AL19" s="3" t="n">
        <v>294233.0</v>
      </c>
      <c r="AM19" s="3" t="n">
        <v>308098.0</v>
      </c>
      <c r="AN19" s="3" t="n">
        <v>321699.0</v>
      </c>
      <c r="AO19" s="3" t="n">
        <v>334032.0</v>
      </c>
    </row>
    <row r="20" spans="1:41" x14ac:dyDescent="0.2">
      <c r="A20" s="130"/>
      <c r="B20" s="52" t="s">
        <v>31</v>
      </c>
      <c r="C20" s="3" t="n">
        <v>292630.0</v>
      </c>
      <c r="D20" s="3" t="n">
        <v>291892.0</v>
      </c>
      <c r="E20" s="3" t="n">
        <v>294010.0</v>
      </c>
      <c r="F20" s="3" t="n">
        <v>301016.0</v>
      </c>
      <c r="G20" s="3" t="n">
        <v>310203.0</v>
      </c>
      <c r="H20" s="3" t="n">
        <v>323450.0</v>
      </c>
      <c r="I20" s="3" t="n">
        <v>339838.0</v>
      </c>
      <c r="J20" s="3" t="n">
        <v>358152.0</v>
      </c>
      <c r="K20" s="3" t="n">
        <v>376891.0</v>
      </c>
      <c r="L20" s="3" t="n">
        <v>396424.0</v>
      </c>
      <c r="M20" s="3" t="n">
        <v>411752.0</v>
      </c>
      <c r="N20" s="3" t="n">
        <v>423836.0</v>
      </c>
      <c r="O20" s="3" t="n">
        <v>434770.0</v>
      </c>
      <c r="P20" s="3" t="n">
        <v>441924.0</v>
      </c>
      <c r="Q20" s="3" t="n">
        <v>443246.0</v>
      </c>
      <c r="R20" s="3" t="n">
        <v>449345.0</v>
      </c>
      <c r="S20" s="3" t="n">
        <v>457843.0</v>
      </c>
      <c r="T20" s="3" t="n">
        <v>461248.0</v>
      </c>
      <c r="U20" s="3" t="n">
        <v>462572.0</v>
      </c>
      <c r="V20" s="3" t="n">
        <v>462163.0</v>
      </c>
      <c r="W20" s="3" t="n">
        <v>453110.0</v>
      </c>
      <c r="X20" s="3" t="n">
        <v>440619.0</v>
      </c>
      <c r="Y20" s="3" t="n">
        <v>428296.0</v>
      </c>
      <c r="Z20" s="3" t="n">
        <v>417932.0</v>
      </c>
      <c r="AA20" s="3" t="n">
        <v>410115.0</v>
      </c>
      <c r="AB20" s="3" t="n">
        <v>402819.0</v>
      </c>
      <c r="AC20" s="3" t="n">
        <v>393252.0</v>
      </c>
      <c r="AD20" s="3" t="n">
        <v>383104.0</v>
      </c>
      <c r="AE20" s="3" t="n">
        <v>368725.0</v>
      </c>
      <c r="AF20" s="3" t="n">
        <v>353468.0</v>
      </c>
      <c r="AG20" s="3" t="n">
        <v>338393.0</v>
      </c>
      <c r="AH20" s="3" t="n">
        <v>323264.0</v>
      </c>
      <c r="AI20" s="3" t="n">
        <v>309249.0</v>
      </c>
      <c r="AJ20" s="3" t="n">
        <v>299010.0</v>
      </c>
      <c r="AK20" s="3" t="n">
        <v>289250.0</v>
      </c>
      <c r="AL20" s="3" t="n">
        <v>281190.0</v>
      </c>
      <c r="AM20" s="3" t="n">
        <v>275508.0</v>
      </c>
      <c r="AN20" s="3" t="n">
        <v>273282.0</v>
      </c>
      <c r="AO20" s="3" t="n">
        <v>273200.0</v>
      </c>
    </row>
    <row r="21" spans="1:41" x14ac:dyDescent="0.2">
      <c r="A21" s="130"/>
      <c r="B21" s="52" t="s">
        <v>32</v>
      </c>
      <c r="C21" s="3" t="n">
        <v>318956.0</v>
      </c>
      <c r="D21" s="3" t="n">
        <v>304792.0</v>
      </c>
      <c r="E21" s="3" t="n">
        <v>292839.0</v>
      </c>
      <c r="F21" s="3" t="n">
        <v>284200.0</v>
      </c>
      <c r="G21" s="3" t="n">
        <v>280265.0</v>
      </c>
      <c r="H21" s="3" t="n">
        <v>279148.0</v>
      </c>
      <c r="I21" s="3" t="n">
        <v>279380.0</v>
      </c>
      <c r="J21" s="3" t="n">
        <v>281823.0</v>
      </c>
      <c r="K21" s="3" t="n">
        <v>288652.0</v>
      </c>
      <c r="L21" s="3" t="n">
        <v>297512.0</v>
      </c>
      <c r="M21" s="3" t="n">
        <v>309643.0</v>
      </c>
      <c r="N21" s="3" t="n">
        <v>324513.0</v>
      </c>
      <c r="O21" s="3" t="n">
        <v>341673.0</v>
      </c>
      <c r="P21" s="3" t="n">
        <v>359465.0</v>
      </c>
      <c r="Q21" s="3" t="n">
        <v>378065.0</v>
      </c>
      <c r="R21" s="3" t="n">
        <v>392742.0</v>
      </c>
      <c r="S21" s="3" t="n">
        <v>404380.0</v>
      </c>
      <c r="T21" s="3" t="n">
        <v>414945.0</v>
      </c>
      <c r="U21" s="3" t="n">
        <v>421936.0</v>
      </c>
      <c r="V21" s="3" t="n">
        <v>423362.0</v>
      </c>
      <c r="W21" s="3" t="n">
        <v>429368.0</v>
      </c>
      <c r="X21" s="3" t="n">
        <v>437737.0</v>
      </c>
      <c r="Y21" s="3" t="n">
        <v>441195.0</v>
      </c>
      <c r="Z21" s="3" t="n">
        <v>442598.0</v>
      </c>
      <c r="AA21" s="3" t="n">
        <v>442268.0</v>
      </c>
      <c r="AB21" s="3" t="n">
        <v>433710.0</v>
      </c>
      <c r="AC21" s="3" t="n">
        <v>421864.0</v>
      </c>
      <c r="AD21" s="3" t="n">
        <v>410196.0</v>
      </c>
      <c r="AE21" s="3" t="n">
        <v>400457.0</v>
      </c>
      <c r="AF21" s="3" t="n">
        <v>393137.0</v>
      </c>
      <c r="AG21" s="3" t="n">
        <v>386273.0</v>
      </c>
      <c r="AH21" s="3" t="n">
        <v>377207.0</v>
      </c>
      <c r="AI21" s="3" t="n">
        <v>367575.0</v>
      </c>
      <c r="AJ21" s="3" t="n">
        <v>353871.0</v>
      </c>
      <c r="AK21" s="3" t="n">
        <v>339388.0</v>
      </c>
      <c r="AL21" s="3" t="n">
        <v>325043.0</v>
      </c>
      <c r="AM21" s="3" t="n">
        <v>310632.0</v>
      </c>
      <c r="AN21" s="3" t="n">
        <v>297293.0</v>
      </c>
      <c r="AO21" s="3" t="n">
        <v>287603.0</v>
      </c>
    </row>
    <row r="22" spans="1:41" x14ac:dyDescent="0.2">
      <c r="A22" s="130"/>
      <c r="B22" s="53" t="s">
        <v>33</v>
      </c>
      <c r="C22" s="3" t="n">
        <v>347745.0</v>
      </c>
      <c r="D22" s="3" t="n">
        <v>344650.0</v>
      </c>
      <c r="E22" s="3" t="n">
        <v>338387.0</v>
      </c>
      <c r="F22" s="3" t="n">
        <v>325984.0</v>
      </c>
      <c r="G22" s="3" t="n">
        <v>311458.0</v>
      </c>
      <c r="H22" s="3" t="n">
        <v>296197.0</v>
      </c>
      <c r="I22" s="3" t="n">
        <v>283971.0</v>
      </c>
      <c r="J22" s="3" t="n">
        <v>273519.0</v>
      </c>
      <c r="K22" s="3" t="n">
        <v>265945.0</v>
      </c>
      <c r="L22" s="3" t="n">
        <v>262571.0</v>
      </c>
      <c r="M22" s="3" t="n">
        <v>261282.0</v>
      </c>
      <c r="N22" s="3" t="n">
        <v>260965.0</v>
      </c>
      <c r="O22" s="3" t="n">
        <v>263065.0</v>
      </c>
      <c r="P22" s="3" t="n">
        <v>269417.0</v>
      </c>
      <c r="Q22" s="3" t="n">
        <v>277733.0</v>
      </c>
      <c r="R22" s="3" t="n">
        <v>289166.0</v>
      </c>
      <c r="S22" s="3" t="n">
        <v>303200.0</v>
      </c>
      <c r="T22" s="3" t="n">
        <v>319314.0</v>
      </c>
      <c r="U22" s="3" t="n">
        <v>336067.0</v>
      </c>
      <c r="V22" s="3" t="n">
        <v>353597.0</v>
      </c>
      <c r="W22" s="3" t="n">
        <v>367437.0</v>
      </c>
      <c r="X22" s="3" t="n">
        <v>378465.0</v>
      </c>
      <c r="Y22" s="3" t="n">
        <v>388576.0</v>
      </c>
      <c r="Z22" s="3" t="n">
        <v>395333.0</v>
      </c>
      <c r="AA22" s="3" t="n">
        <v>396892.0</v>
      </c>
      <c r="AB22" s="3" t="n">
        <v>402777.0</v>
      </c>
      <c r="AC22" s="3" t="n">
        <v>410849.0</v>
      </c>
      <c r="AD22" s="3" t="n">
        <v>414319.0</v>
      </c>
      <c r="AE22" s="3" t="n">
        <v>415854.0</v>
      </c>
      <c r="AF22" s="3" t="n">
        <v>415676.0</v>
      </c>
      <c r="AG22" s="3" t="n">
        <v>407747.0</v>
      </c>
      <c r="AH22" s="3" t="n">
        <v>396854.0</v>
      </c>
      <c r="AI22" s="3" t="n">
        <v>386094.0</v>
      </c>
      <c r="AJ22" s="3" t="n">
        <v>377174.0</v>
      </c>
      <c r="AK22" s="3" t="n">
        <v>370474.0</v>
      </c>
      <c r="AL22" s="3" t="n">
        <v>364149.0</v>
      </c>
      <c r="AM22" s="3" t="n">
        <v>355738.0</v>
      </c>
      <c r="AN22" s="3" t="n">
        <v>346744.0</v>
      </c>
      <c r="AO22" s="3" t="n">
        <v>333969.0</v>
      </c>
    </row>
    <row r="23" spans="1:41" x14ac:dyDescent="0.2">
      <c r="A23" s="130"/>
      <c r="B23" s="52" t="s">
        <v>34</v>
      </c>
      <c r="C23" s="3" t="n">
        <v>279156.0</v>
      </c>
      <c r="D23" s="3" t="n">
        <v>289005.0</v>
      </c>
      <c r="E23" s="3" t="n">
        <v>298265.0</v>
      </c>
      <c r="F23" s="3" t="n">
        <v>306539.0</v>
      </c>
      <c r="G23" s="3" t="n">
        <v>310125.0</v>
      </c>
      <c r="H23" s="3" t="n">
        <v>312146.0</v>
      </c>
      <c r="I23" s="3" t="n">
        <v>310123.0</v>
      </c>
      <c r="J23" s="3" t="n">
        <v>305058.0</v>
      </c>
      <c r="K23" s="3" t="n">
        <v>294386.0</v>
      </c>
      <c r="L23" s="3" t="n">
        <v>281741.0</v>
      </c>
      <c r="M23" s="3" t="n">
        <v>268128.0</v>
      </c>
      <c r="N23" s="3" t="n">
        <v>257027.0</v>
      </c>
      <c r="O23" s="3" t="n">
        <v>247750.0</v>
      </c>
      <c r="P23" s="3" t="n">
        <v>241073.0</v>
      </c>
      <c r="Q23" s="3" t="n">
        <v>238152.0</v>
      </c>
      <c r="R23" s="3" t="n">
        <v>237165.0</v>
      </c>
      <c r="S23" s="3" t="n">
        <v>237107.0</v>
      </c>
      <c r="T23" s="3" t="n">
        <v>239198.0</v>
      </c>
      <c r="U23" s="3" t="n">
        <v>245149.0</v>
      </c>
      <c r="V23" s="3" t="n">
        <v>252888.0</v>
      </c>
      <c r="W23" s="3" t="n">
        <v>263439.0</v>
      </c>
      <c r="X23" s="3" t="n">
        <v>276363.0</v>
      </c>
      <c r="Y23" s="3" t="n">
        <v>291220.0</v>
      </c>
      <c r="Z23" s="3" t="n">
        <v>306702.0</v>
      </c>
      <c r="AA23" s="3" t="n">
        <v>322885.0</v>
      </c>
      <c r="AB23" s="3" t="n">
        <v>335721.0</v>
      </c>
      <c r="AC23" s="3" t="n">
        <v>345954.0</v>
      </c>
      <c r="AD23" s="3" t="n">
        <v>355428.0</v>
      </c>
      <c r="AE23" s="3" t="n">
        <v>361901.0</v>
      </c>
      <c r="AF23" s="3" t="n">
        <v>363609.0</v>
      </c>
      <c r="AG23" s="3" t="n">
        <v>369330.0</v>
      </c>
      <c r="AH23" s="3" t="n">
        <v>377085.0</v>
      </c>
      <c r="AI23" s="3" t="n">
        <v>380523.0</v>
      </c>
      <c r="AJ23" s="3" t="n">
        <v>382134.0</v>
      </c>
      <c r="AK23" s="3" t="n">
        <v>382071.0</v>
      </c>
      <c r="AL23" s="3" t="n">
        <v>374987.0</v>
      </c>
      <c r="AM23" s="3" t="n">
        <v>365190.0</v>
      </c>
      <c r="AN23" s="3" t="n">
        <v>355498.0</v>
      </c>
      <c r="AO23" s="3" t="n">
        <v>347571.0</v>
      </c>
    </row>
    <row r="24" spans="1:41" x14ac:dyDescent="0.2">
      <c r="A24" s="130"/>
      <c r="B24" s="52" t="s">
        <v>35</v>
      </c>
      <c r="C24" s="3" t="n">
        <v>169678.0</v>
      </c>
      <c r="D24" s="3" t="n">
        <v>186054.0</v>
      </c>
      <c r="E24" s="3" t="n">
        <v>201119.0</v>
      </c>
      <c r="F24" s="3" t="n">
        <v>218126.0</v>
      </c>
      <c r="G24" s="3" t="n">
        <v>229200.0</v>
      </c>
      <c r="H24" s="3" t="n">
        <v>238548.0</v>
      </c>
      <c r="I24" s="3" t="n">
        <v>247596.0</v>
      </c>
      <c r="J24" s="3" t="n">
        <v>255932.0</v>
      </c>
      <c r="K24" s="3" t="n">
        <v>263431.0</v>
      </c>
      <c r="L24" s="3" t="n">
        <v>266908.0</v>
      </c>
      <c r="M24" s="3" t="n">
        <v>268892.0</v>
      </c>
      <c r="N24" s="3" t="n">
        <v>267314.0</v>
      </c>
      <c r="O24" s="3" t="n">
        <v>263239.0</v>
      </c>
      <c r="P24" s="3" t="n">
        <v>254342.0</v>
      </c>
      <c r="Q24" s="3" t="n">
        <v>243702.0</v>
      </c>
      <c r="R24" s="3" t="n">
        <v>232287.0</v>
      </c>
      <c r="S24" s="3" t="n">
        <v>223049.0</v>
      </c>
      <c r="T24" s="3" t="n">
        <v>215323.0</v>
      </c>
      <c r="U24" s="3" t="n">
        <v>209798.0</v>
      </c>
      <c r="V24" s="3" t="n">
        <v>207487.0</v>
      </c>
      <c r="W24" s="3" t="n">
        <v>206822.0</v>
      </c>
      <c r="X24" s="3" t="n">
        <v>207096.0</v>
      </c>
      <c r="Y24" s="3" t="n">
        <v>209191.0</v>
      </c>
      <c r="Z24" s="3" t="n">
        <v>214599.0</v>
      </c>
      <c r="AA24" s="3" t="n">
        <v>221607.0</v>
      </c>
      <c r="AB24" s="3" t="n">
        <v>231079.0</v>
      </c>
      <c r="AC24" s="3" t="n">
        <v>242638.0</v>
      </c>
      <c r="AD24" s="3" t="n">
        <v>255963.0</v>
      </c>
      <c r="AE24" s="3" t="n">
        <v>269865.0</v>
      </c>
      <c r="AF24" s="3" t="n">
        <v>284383.0</v>
      </c>
      <c r="AG24" s="3" t="n">
        <v>295878.0</v>
      </c>
      <c r="AH24" s="3" t="n">
        <v>305109.0</v>
      </c>
      <c r="AI24" s="3" t="n">
        <v>313724.0</v>
      </c>
      <c r="AJ24" s="3" t="n">
        <v>319714.0</v>
      </c>
      <c r="AK24" s="3" t="n">
        <v>321554.0</v>
      </c>
      <c r="AL24" s="3" t="n">
        <v>326990.0</v>
      </c>
      <c r="AM24" s="3" t="n">
        <v>334226.0</v>
      </c>
      <c r="AN24" s="3" t="n">
        <v>337601.0</v>
      </c>
      <c r="AO24" s="3" t="n">
        <v>339340.0</v>
      </c>
    </row>
    <row r="25" spans="1:41" x14ac:dyDescent="0.2">
      <c r="A25" s="130"/>
      <c r="B25" s="52" t="s">
        <v>36</v>
      </c>
      <c r="C25" s="3" t="n">
        <v>113454.0</v>
      </c>
      <c r="D25" s="3" t="n">
        <v>110423.0</v>
      </c>
      <c r="E25" s="3" t="n">
        <v>109655.0</v>
      </c>
      <c r="F25" s="3" t="n">
        <v>110167.0</v>
      </c>
      <c r="G25" s="3" t="n">
        <v>119620.0</v>
      </c>
      <c r="H25" s="3" t="n">
        <v>132467.0</v>
      </c>
      <c r="I25" s="3" t="n">
        <v>145910.0</v>
      </c>
      <c r="J25" s="3" t="n">
        <v>158007.0</v>
      </c>
      <c r="K25" s="3" t="n">
        <v>171385.0</v>
      </c>
      <c r="L25" s="3" t="n">
        <v>180474.0</v>
      </c>
      <c r="M25" s="3" t="n">
        <v>188148.0</v>
      </c>
      <c r="N25" s="3" t="n">
        <v>195547.0</v>
      </c>
      <c r="O25" s="3" t="n">
        <v>202380.0</v>
      </c>
      <c r="P25" s="3" t="n">
        <v>208633.0</v>
      </c>
      <c r="Q25" s="3" t="n">
        <v>211738.0</v>
      </c>
      <c r="R25" s="3" t="n">
        <v>213716.0</v>
      </c>
      <c r="S25" s="3" t="n">
        <v>212843.0</v>
      </c>
      <c r="T25" s="3" t="n">
        <v>209903.0</v>
      </c>
      <c r="U25" s="3" t="n">
        <v>203125.0</v>
      </c>
      <c r="V25" s="3" t="n">
        <v>194882.0</v>
      </c>
      <c r="W25" s="3" t="n">
        <v>186093.0</v>
      </c>
      <c r="X25" s="3" t="n">
        <v>179152.0</v>
      </c>
      <c r="Y25" s="3" t="n">
        <v>173435.0</v>
      </c>
      <c r="Z25" s="3" t="n">
        <v>169328.0</v>
      </c>
      <c r="AA25" s="3" t="n">
        <v>167771.0</v>
      </c>
      <c r="AB25" s="3" t="n">
        <v>167516.0</v>
      </c>
      <c r="AC25" s="3" t="n">
        <v>168076.0</v>
      </c>
      <c r="AD25" s="3" t="n">
        <v>170099.0</v>
      </c>
      <c r="AE25" s="3" t="n">
        <v>174868.0</v>
      </c>
      <c r="AF25" s="3" t="n">
        <v>180956.0</v>
      </c>
      <c r="AG25" s="3" t="n">
        <v>189026.0</v>
      </c>
      <c r="AH25" s="3" t="n">
        <v>198839.0</v>
      </c>
      <c r="AI25" s="3" t="n">
        <v>210009.0</v>
      </c>
      <c r="AJ25" s="3" t="n">
        <v>221723.0</v>
      </c>
      <c r="AK25" s="3" t="n">
        <v>233935.0</v>
      </c>
      <c r="AL25" s="3" t="n">
        <v>243667.0</v>
      </c>
      <c r="AM25" s="3" t="n">
        <v>251458.0</v>
      </c>
      <c r="AN25" s="3" t="n">
        <v>258895.0</v>
      </c>
      <c r="AO25" s="3" t="n">
        <v>264269.0</v>
      </c>
    </row>
    <row r="26" spans="1:41" x14ac:dyDescent="0.2">
      <c r="A26" s="130"/>
      <c r="B26" s="52" t="s">
        <v>37</v>
      </c>
      <c r="C26" s="3" t="n">
        <v>79145.0</v>
      </c>
      <c r="D26" s="3" t="n">
        <v>79168.0</v>
      </c>
      <c r="E26" s="3" t="n">
        <v>78347.0</v>
      </c>
      <c r="F26" s="3" t="n">
        <v>76883.0</v>
      </c>
      <c r="G26" s="3" t="n">
        <v>74546.0</v>
      </c>
      <c r="H26" s="3" t="n">
        <v>72037.0</v>
      </c>
      <c r="I26" s="3" t="n">
        <v>70686.0</v>
      </c>
      <c r="J26" s="3" t="n">
        <v>70768.0</v>
      </c>
      <c r="K26" s="3" t="n">
        <v>71573.0</v>
      </c>
      <c r="L26" s="3" t="n">
        <v>78527.0</v>
      </c>
      <c r="M26" s="3" t="n">
        <v>87459.0</v>
      </c>
      <c r="N26" s="3" t="n">
        <v>96606.0</v>
      </c>
      <c r="O26" s="3" t="n">
        <v>104698.0</v>
      </c>
      <c r="P26" s="3" t="n">
        <v>113570.0</v>
      </c>
      <c r="Q26" s="3" t="n">
        <v>119990.0</v>
      </c>
      <c r="R26" s="3" t="n">
        <v>125573.0</v>
      </c>
      <c r="S26" s="3" t="n">
        <v>131027.0</v>
      </c>
      <c r="T26" s="3" t="n">
        <v>135932.0</v>
      </c>
      <c r="U26" s="3" t="n">
        <v>140579.0</v>
      </c>
      <c r="V26" s="3" t="n">
        <v>143059.0</v>
      </c>
      <c r="W26" s="3" t="n">
        <v>144768.0</v>
      </c>
      <c r="X26" s="3" t="n">
        <v>144591.0</v>
      </c>
      <c r="Y26" s="3" t="n">
        <v>142900.0</v>
      </c>
      <c r="Z26" s="3" t="n">
        <v>138566.0</v>
      </c>
      <c r="AA26" s="3" t="n">
        <v>133192.0</v>
      </c>
      <c r="AB26" s="3" t="n">
        <v>127584.0</v>
      </c>
      <c r="AC26" s="3" t="n">
        <v>123302.0</v>
      </c>
      <c r="AD26" s="3" t="n">
        <v>119905.0</v>
      </c>
      <c r="AE26" s="3" t="n">
        <v>117577.0</v>
      </c>
      <c r="AF26" s="3" t="n">
        <v>116896.0</v>
      </c>
      <c r="AG26" s="3" t="n">
        <v>117058.0</v>
      </c>
      <c r="AH26" s="3" t="n">
        <v>117849.0</v>
      </c>
      <c r="AI26" s="3" t="n">
        <v>119665.0</v>
      </c>
      <c r="AJ26" s="3" t="n">
        <v>123432.0</v>
      </c>
      <c r="AK26" s="3" t="n">
        <v>128139.0</v>
      </c>
      <c r="AL26" s="3" t="n">
        <v>134321.0</v>
      </c>
      <c r="AM26" s="3" t="n">
        <v>141686.0</v>
      </c>
      <c r="AN26" s="3" t="n">
        <v>150007.0</v>
      </c>
      <c r="AO26" s="3" t="n">
        <v>158837.0</v>
      </c>
    </row>
    <row r="27" spans="1:41" x14ac:dyDescent="0.2">
      <c r="A27" s="130"/>
      <c r="B27" s="62" t="s">
        <v>81</v>
      </c>
      <c r="C27" s="3" t="n">
        <v>36127.0</v>
      </c>
      <c r="D27" s="3" t="n">
        <v>36300.0</v>
      </c>
      <c r="E27" s="3" t="n">
        <v>36682.0</v>
      </c>
      <c r="F27" s="3" t="n">
        <v>37060.0</v>
      </c>
      <c r="G27" s="3" t="n">
        <v>37616.0</v>
      </c>
      <c r="H27" s="3" t="n">
        <v>37933.0</v>
      </c>
      <c r="I27" s="3" t="n">
        <v>38278.0</v>
      </c>
      <c r="J27" s="3" t="n">
        <v>38172.0</v>
      </c>
      <c r="K27" s="3" t="n">
        <v>37704.0</v>
      </c>
      <c r="L27" s="3" t="n">
        <v>36826.0</v>
      </c>
      <c r="M27" s="3" t="n">
        <v>35773.0</v>
      </c>
      <c r="N27" s="3" t="n">
        <v>35342.0</v>
      </c>
      <c r="O27" s="3" t="n">
        <v>35750.0</v>
      </c>
      <c r="P27" s="3" t="n">
        <v>36464.0</v>
      </c>
      <c r="Q27" s="3" t="n">
        <v>40595.0</v>
      </c>
      <c r="R27" s="3" t="n">
        <v>45637.0</v>
      </c>
      <c r="S27" s="3" t="n">
        <v>50716.0</v>
      </c>
      <c r="T27" s="3" t="n">
        <v>55117.0</v>
      </c>
      <c r="U27" s="3" t="n">
        <v>59849.0</v>
      </c>
      <c r="V27" s="3" t="n">
        <v>63606.0</v>
      </c>
      <c r="W27" s="3" t="n">
        <v>66931.0</v>
      </c>
      <c r="X27" s="3" t="n">
        <v>70259.0</v>
      </c>
      <c r="Y27" s="3" t="n">
        <v>73176.0</v>
      </c>
      <c r="Z27" s="3" t="n">
        <v>75987.0</v>
      </c>
      <c r="AA27" s="3" t="n">
        <v>77618.0</v>
      </c>
      <c r="AB27" s="3" t="n">
        <v>78823.0</v>
      </c>
      <c r="AC27" s="3" t="n">
        <v>79012.0</v>
      </c>
      <c r="AD27" s="3" t="n">
        <v>78380.0</v>
      </c>
      <c r="AE27" s="3" t="n">
        <v>76315.0</v>
      </c>
      <c r="AF27" s="3" t="n">
        <v>73663.0</v>
      </c>
      <c r="AG27" s="3" t="n">
        <v>70887.0</v>
      </c>
      <c r="AH27" s="3" t="n">
        <v>68949.0</v>
      </c>
      <c r="AI27" s="3" t="n">
        <v>67449.0</v>
      </c>
      <c r="AJ27" s="3" t="n">
        <v>66480.0</v>
      </c>
      <c r="AK27" s="3" t="n">
        <v>66402.0</v>
      </c>
      <c r="AL27" s="3" t="n">
        <v>66839.0</v>
      </c>
      <c r="AM27" s="3" t="n">
        <v>67654.0</v>
      </c>
      <c r="AN27" s="3" t="n">
        <v>69042.0</v>
      </c>
      <c r="AO27" s="3" t="n">
        <v>71616.0</v>
      </c>
    </row>
    <row r="28" spans="1:41" x14ac:dyDescent="0.2">
      <c r="A28" s="130"/>
      <c r="B28" s="62" t="s">
        <v>82</v>
      </c>
      <c r="C28" s="3" t="n">
        <v>8001.0</v>
      </c>
      <c r="D28" s="3" t="n">
        <v>8669.0</v>
      </c>
      <c r="E28" s="3" t="n">
        <v>9426.0</v>
      </c>
      <c r="F28" s="3" t="n">
        <v>10197.0</v>
      </c>
      <c r="G28" s="3" t="n">
        <v>10902.0</v>
      </c>
      <c r="H28" s="3" t="n">
        <v>11384.0</v>
      </c>
      <c r="I28" s="3" t="n">
        <v>11552.0</v>
      </c>
      <c r="J28" s="3" t="n">
        <v>11811.0</v>
      </c>
      <c r="K28" s="3" t="n">
        <v>12080.0</v>
      </c>
      <c r="L28" s="3" t="n">
        <v>12455.0</v>
      </c>
      <c r="M28" s="3" t="n">
        <v>12691.0</v>
      </c>
      <c r="N28" s="3" t="n">
        <v>12908.0</v>
      </c>
      <c r="O28" s="3" t="n">
        <v>12977.0</v>
      </c>
      <c r="P28" s="3" t="n">
        <v>12923.0</v>
      </c>
      <c r="Q28" s="3" t="n">
        <v>12739.0</v>
      </c>
      <c r="R28" s="3" t="n">
        <v>12501.0</v>
      </c>
      <c r="S28" s="3" t="n">
        <v>12507.0</v>
      </c>
      <c r="T28" s="3" t="n">
        <v>12840.0</v>
      </c>
      <c r="U28" s="3" t="n">
        <v>13268.0</v>
      </c>
      <c r="V28" s="3" t="n">
        <v>15086.0</v>
      </c>
      <c r="W28" s="3" t="n">
        <v>17176.0</v>
      </c>
      <c r="X28" s="3" t="n">
        <v>19262.0</v>
      </c>
      <c r="Y28" s="3" t="n">
        <v>21019.0</v>
      </c>
      <c r="Z28" s="3" t="n">
        <v>22889.0</v>
      </c>
      <c r="AA28" s="3" t="n">
        <v>24509.0</v>
      </c>
      <c r="AB28" s="3" t="n">
        <v>25970.0</v>
      </c>
      <c r="AC28" s="3" t="n">
        <v>27441.0</v>
      </c>
      <c r="AD28" s="3" t="n">
        <v>28709.0</v>
      </c>
      <c r="AE28" s="3" t="n">
        <v>30058.0</v>
      </c>
      <c r="AF28" s="3" t="n">
        <v>30923.0</v>
      </c>
      <c r="AG28" s="3" t="n">
        <v>31597.0</v>
      </c>
      <c r="AH28" s="3" t="n">
        <v>31852.0</v>
      </c>
      <c r="AI28" s="3" t="n">
        <v>31729.0</v>
      </c>
      <c r="AJ28" s="3" t="n">
        <v>31065.0</v>
      </c>
      <c r="AK28" s="3" t="n">
        <v>30124.0</v>
      </c>
      <c r="AL28" s="3" t="n">
        <v>29221.0</v>
      </c>
      <c r="AM28" s="3" t="n">
        <v>28678.0</v>
      </c>
      <c r="AN28" s="3" t="n">
        <v>28295.0</v>
      </c>
      <c r="AO28" s="3" t="n">
        <v>28098.0</v>
      </c>
    </row>
    <row r="29" spans="1:41" x14ac:dyDescent="0.2">
      <c r="A29" s="131"/>
      <c r="B29" s="54" t="s">
        <v>80</v>
      </c>
      <c r="C29" s="4" t="n">
        <v>1059.0</v>
      </c>
      <c r="D29" s="4" t="n">
        <v>1165.0</v>
      </c>
      <c r="E29" s="4" t="n">
        <v>1194.0</v>
      </c>
      <c r="F29" s="4" t="n">
        <v>1321.0</v>
      </c>
      <c r="G29" s="4" t="n">
        <v>1413.0</v>
      </c>
      <c r="H29" s="4" t="n">
        <v>1505.0</v>
      </c>
      <c r="I29" s="4" t="n">
        <v>1666.0</v>
      </c>
      <c r="J29" s="4" t="n">
        <v>1827.0</v>
      </c>
      <c r="K29" s="4" t="n">
        <v>2017.0</v>
      </c>
      <c r="L29" s="4" t="n">
        <v>2177.0</v>
      </c>
      <c r="M29" s="4" t="n">
        <v>2285.0</v>
      </c>
      <c r="N29" s="4" t="n">
        <v>2373.0</v>
      </c>
      <c r="O29" s="4" t="n">
        <v>2476.0</v>
      </c>
      <c r="P29" s="4" t="n">
        <v>2589.0</v>
      </c>
      <c r="Q29" s="4" t="n">
        <v>2726.0</v>
      </c>
      <c r="R29" s="4" t="n">
        <v>2823.0</v>
      </c>
      <c r="S29" s="4" t="n">
        <v>2913.0</v>
      </c>
      <c r="T29" s="4" t="n">
        <v>2983.0</v>
      </c>
      <c r="U29" s="4" t="n">
        <v>3028.0</v>
      </c>
      <c r="V29" s="4" t="n">
        <v>3044.0</v>
      </c>
      <c r="W29" s="4" t="n">
        <v>3045.0</v>
      </c>
      <c r="X29" s="4" t="n">
        <v>3117.0</v>
      </c>
      <c r="Y29" s="4" t="n">
        <v>3268.0</v>
      </c>
      <c r="Z29" s="4" t="n">
        <v>3413.0</v>
      </c>
      <c r="AA29" s="4" t="n">
        <v>3912.0</v>
      </c>
      <c r="AB29" s="4" t="n">
        <v>4449.0</v>
      </c>
      <c r="AC29" s="4" t="n">
        <v>4985.0</v>
      </c>
      <c r="AD29" s="4" t="n">
        <v>5446.0</v>
      </c>
      <c r="AE29" s="4" t="n">
        <v>5943.0</v>
      </c>
      <c r="AF29" s="4" t="n">
        <v>6482.0</v>
      </c>
      <c r="AG29" s="4" t="n">
        <v>6987.0</v>
      </c>
      <c r="AH29" s="4" t="n">
        <v>7503.0</v>
      </c>
      <c r="AI29" s="4" t="n">
        <v>7943.0</v>
      </c>
      <c r="AJ29" s="4" t="n">
        <v>8432.0</v>
      </c>
      <c r="AK29" s="4" t="n">
        <v>8794.0</v>
      </c>
      <c r="AL29" s="4" t="n">
        <v>9144.0</v>
      </c>
      <c r="AM29" s="4" t="n">
        <v>9366.0</v>
      </c>
      <c r="AN29" s="4" t="n">
        <v>9475.0</v>
      </c>
      <c r="AO29" s="4" t="n">
        <v>9456.0</v>
      </c>
    </row>
    <row r="30" spans="1:41" x14ac:dyDescent="0.2">
      <c r="A30" s="130" t="s">
        <v>50</v>
      </c>
      <c r="B30" s="69" t="s">
        <v>65</v>
      </c>
      <c r="C30" s="70" t="n">
        <v>2638241.0</v>
      </c>
      <c r="D30" s="70" t="n">
        <v>2639714.0</v>
      </c>
      <c r="E30" s="70" t="n">
        <v>2640770.0</v>
      </c>
      <c r="F30" s="70" t="n">
        <v>2641536.0</v>
      </c>
      <c r="G30" s="70" t="n">
        <v>2641843.0</v>
      </c>
      <c r="H30" s="70" t="n">
        <v>2648393.0</v>
      </c>
      <c r="I30" s="70" t="n">
        <v>2657121.0</v>
      </c>
      <c r="J30" s="70" t="n">
        <v>2660047.0</v>
      </c>
      <c r="K30" s="70" t="n">
        <v>2659818.0</v>
      </c>
      <c r="L30" s="70" t="n">
        <v>2657896.0</v>
      </c>
      <c r="M30" s="70" t="n">
        <v>2654740.0</v>
      </c>
      <c r="N30" s="70" t="n">
        <v>2650554.0</v>
      </c>
      <c r="O30" s="70" t="n">
        <v>2645810.0</v>
      </c>
      <c r="P30" s="70" t="n">
        <v>2640530.0</v>
      </c>
      <c r="Q30" s="70" t="n">
        <v>2634793.0</v>
      </c>
      <c r="R30" s="70" t="n">
        <v>2629018.0</v>
      </c>
      <c r="S30" s="70" t="n">
        <v>2623006.0</v>
      </c>
      <c r="T30" s="70" t="n">
        <v>2616826.0</v>
      </c>
      <c r="U30" s="70" t="n">
        <v>2610528.0</v>
      </c>
      <c r="V30" s="70" t="n">
        <v>2604210.0</v>
      </c>
      <c r="W30" s="70" t="n">
        <v>2597867.0</v>
      </c>
      <c r="X30" s="70" t="n">
        <v>2591831.0</v>
      </c>
      <c r="Y30" s="70" t="n">
        <v>2585669.0</v>
      </c>
      <c r="Z30" s="70" t="n">
        <v>2579360.0</v>
      </c>
      <c r="AA30" s="70" t="n">
        <v>2572978.0</v>
      </c>
      <c r="AB30" s="70" t="n">
        <v>2566385.0</v>
      </c>
      <c r="AC30" s="70" t="n">
        <v>2559560.0</v>
      </c>
      <c r="AD30" s="70" t="n">
        <v>2552731.0</v>
      </c>
      <c r="AE30" s="70" t="n">
        <v>2545549.0</v>
      </c>
      <c r="AF30" s="70" t="n">
        <v>2537927.0</v>
      </c>
      <c r="AG30" s="70" t="n">
        <v>2529843.0</v>
      </c>
      <c r="AH30" s="70" t="n">
        <v>2521193.0</v>
      </c>
      <c r="AI30" s="70" t="n">
        <v>2511988.0</v>
      </c>
      <c r="AJ30" s="70" t="n">
        <v>2502250.0</v>
      </c>
      <c r="AK30" s="70" t="n">
        <v>2491948.0</v>
      </c>
      <c r="AL30" s="70" t="n">
        <v>2481131.0</v>
      </c>
      <c r="AM30" s="70" t="n">
        <v>2469782.0</v>
      </c>
      <c r="AN30" s="70" t="n">
        <v>2457949.0</v>
      </c>
      <c r="AO30" s="70" t="n">
        <v>2445955.0</v>
      </c>
    </row>
    <row r="31" spans="1:41" x14ac:dyDescent="0.2">
      <c r="A31" s="130"/>
      <c r="B31" s="52" t="s">
        <v>20</v>
      </c>
      <c r="C31" s="11" t="n">
        <v>143984.0</v>
      </c>
      <c r="D31" s="3" t="n">
        <v>139312.0</v>
      </c>
      <c r="E31" s="3" t="n">
        <v>135313.0</v>
      </c>
      <c r="F31" s="3" t="n">
        <v>133229.0</v>
      </c>
      <c r="G31" s="3" t="n">
        <v>131335.0</v>
      </c>
      <c r="H31" s="3" t="n">
        <v>132510.0</v>
      </c>
      <c r="I31" s="3" t="n">
        <v>132350.0</v>
      </c>
      <c r="J31" s="3" t="n">
        <v>131414.0</v>
      </c>
      <c r="K31" s="3" t="n">
        <v>130023.0</v>
      </c>
      <c r="L31" s="3" t="n">
        <v>128558.0</v>
      </c>
      <c r="M31" s="3" t="n">
        <v>127139.0</v>
      </c>
      <c r="N31" s="3" t="n">
        <v>125776.0</v>
      </c>
      <c r="O31" s="3" t="n">
        <v>124464.0</v>
      </c>
      <c r="P31" s="3" t="n">
        <v>123357.0</v>
      </c>
      <c r="Q31" s="3" t="n">
        <v>122523.0</v>
      </c>
      <c r="R31" s="3" t="n">
        <v>122059.0</v>
      </c>
      <c r="S31" s="3" t="n">
        <v>122000.0</v>
      </c>
      <c r="T31" s="3" t="n">
        <v>122360.0</v>
      </c>
      <c r="U31" s="3" t="n">
        <v>123076.0</v>
      </c>
      <c r="V31" s="3" t="n">
        <v>124049.0</v>
      </c>
      <c r="W31" s="3" t="n">
        <v>125174.0</v>
      </c>
      <c r="X31" s="3" t="n">
        <v>126360.0</v>
      </c>
      <c r="Y31" s="3" t="n">
        <v>127477.0</v>
      </c>
      <c r="Z31" s="3" t="n">
        <v>128424.0</v>
      </c>
      <c r="AA31" s="3" t="n">
        <v>129151.0</v>
      </c>
      <c r="AB31" s="3" t="n">
        <v>129607.0</v>
      </c>
      <c r="AC31" s="3" t="n">
        <v>129753.0</v>
      </c>
      <c r="AD31" s="3" t="n">
        <v>129579.0</v>
      </c>
      <c r="AE31" s="3" t="n">
        <v>129096.0</v>
      </c>
      <c r="AF31" s="3" t="n">
        <v>128316.0</v>
      </c>
      <c r="AG31" s="3" t="n">
        <v>127240.0</v>
      </c>
      <c r="AH31" s="3" t="n">
        <v>125904.0</v>
      </c>
      <c r="AI31" s="3" t="n">
        <v>124342.0</v>
      </c>
      <c r="AJ31" s="3" t="n">
        <v>122622.0</v>
      </c>
      <c r="AK31" s="3" t="n">
        <v>120807.0</v>
      </c>
      <c r="AL31" s="3" t="n">
        <v>118956.0</v>
      </c>
      <c r="AM31" s="3" t="n">
        <v>117100.0</v>
      </c>
      <c r="AN31" s="3" t="n">
        <v>115330.0</v>
      </c>
      <c r="AO31" s="3" t="n">
        <v>113647.0</v>
      </c>
    </row>
    <row r="32" spans="1:41" x14ac:dyDescent="0.2">
      <c r="A32" s="130"/>
      <c r="B32" s="52" t="s">
        <v>21</v>
      </c>
      <c r="C32" s="11" t="n">
        <v>157439.0</v>
      </c>
      <c r="D32" s="3" t="n">
        <v>159177.0</v>
      </c>
      <c r="E32" s="3" t="n">
        <v>158942.0</v>
      </c>
      <c r="F32" s="3" t="n">
        <v>156352.0</v>
      </c>
      <c r="G32" s="3" t="n">
        <v>153055.0</v>
      </c>
      <c r="H32" s="3" t="n">
        <v>147059.0</v>
      </c>
      <c r="I32" s="3" t="n">
        <v>143926.0</v>
      </c>
      <c r="J32" s="3" t="n">
        <v>140466.0</v>
      </c>
      <c r="K32" s="3" t="n">
        <v>138437.0</v>
      </c>
      <c r="L32" s="3" t="n">
        <v>136384.0</v>
      </c>
      <c r="M32" s="3" t="n">
        <v>136360.0</v>
      </c>
      <c r="N32" s="3" t="n">
        <v>134688.0</v>
      </c>
      <c r="O32" s="3" t="n">
        <v>133070.0</v>
      </c>
      <c r="P32" s="3" t="n">
        <v>131422.0</v>
      </c>
      <c r="Q32" s="3" t="n">
        <v>129849.0</v>
      </c>
      <c r="R32" s="3" t="n">
        <v>128394.0</v>
      </c>
      <c r="S32" s="3" t="n">
        <v>127046.0</v>
      </c>
      <c r="T32" s="3" t="n">
        <v>125776.0</v>
      </c>
      <c r="U32" s="3" t="n">
        <v>124697.0</v>
      </c>
      <c r="V32" s="3" t="n">
        <v>123876.0</v>
      </c>
      <c r="W32" s="3" t="n">
        <v>123420.0</v>
      </c>
      <c r="X32" s="3" t="n">
        <v>123357.0</v>
      </c>
      <c r="Y32" s="3" t="n">
        <v>123704.0</v>
      </c>
      <c r="Z32" s="3" t="n">
        <v>124396.0</v>
      </c>
      <c r="AA32" s="3" t="n">
        <v>125340.0</v>
      </c>
      <c r="AB32" s="3" t="n">
        <v>126425.0</v>
      </c>
      <c r="AC32" s="3" t="n">
        <v>127561.0</v>
      </c>
      <c r="AD32" s="3" t="n">
        <v>128624.0</v>
      </c>
      <c r="AE32" s="3" t="n">
        <v>129523.0</v>
      </c>
      <c r="AF32" s="3" t="n">
        <v>130198.0</v>
      </c>
      <c r="AG32" s="3" t="n">
        <v>130602.0</v>
      </c>
      <c r="AH32" s="3" t="n">
        <v>130699.0</v>
      </c>
      <c r="AI32" s="3" t="n">
        <v>130483.0</v>
      </c>
      <c r="AJ32" s="3" t="n">
        <v>129968.0</v>
      </c>
      <c r="AK32" s="3" t="n">
        <v>129154.0</v>
      </c>
      <c r="AL32" s="3" t="n">
        <v>128053.0</v>
      </c>
      <c r="AM32" s="3" t="n">
        <v>126692.0</v>
      </c>
      <c r="AN32" s="3" t="n">
        <v>125093.0</v>
      </c>
      <c r="AO32" s="3" t="n">
        <v>123357.0</v>
      </c>
    </row>
    <row r="33" spans="1:41" x14ac:dyDescent="0.2">
      <c r="A33" s="130"/>
      <c r="B33" s="52" t="s">
        <v>22</v>
      </c>
      <c r="C33" s="11" t="n">
        <v>161368.0</v>
      </c>
      <c r="D33" s="3" t="n">
        <v>159283.0</v>
      </c>
      <c r="E33" s="3" t="n">
        <v>157992.0</v>
      </c>
      <c r="F33" s="3" t="n">
        <v>156123.0</v>
      </c>
      <c r="G33" s="3" t="n">
        <v>156550.0</v>
      </c>
      <c r="H33" s="3" t="n">
        <v>159386.0</v>
      </c>
      <c r="I33" s="3" t="n">
        <v>162911.0</v>
      </c>
      <c r="J33" s="3" t="n">
        <v>163529.0</v>
      </c>
      <c r="K33" s="3" t="n">
        <v>161265.0</v>
      </c>
      <c r="L33" s="3" t="n">
        <v>158022.0</v>
      </c>
      <c r="M33" s="3" t="n">
        <v>150679.0</v>
      </c>
      <c r="N33" s="3" t="n">
        <v>145657.0</v>
      </c>
      <c r="O33" s="3" t="n">
        <v>141265.0</v>
      </c>
      <c r="P33" s="3" t="n">
        <v>138807.0</v>
      </c>
      <c r="Q33" s="3" t="n">
        <v>136516.0</v>
      </c>
      <c r="R33" s="3" t="n">
        <v>136389.0</v>
      </c>
      <c r="S33" s="3" t="n">
        <v>134694.0</v>
      </c>
      <c r="T33" s="3" t="n">
        <v>133095.0</v>
      </c>
      <c r="U33" s="3" t="n">
        <v>131467.0</v>
      </c>
      <c r="V33" s="3" t="n">
        <v>129898.0</v>
      </c>
      <c r="W33" s="3" t="n">
        <v>128449.0</v>
      </c>
      <c r="X33" s="3" t="n">
        <v>127113.0</v>
      </c>
      <c r="Y33" s="3" t="n">
        <v>125866.0</v>
      </c>
      <c r="Z33" s="3" t="n">
        <v>124808.0</v>
      </c>
      <c r="AA33" s="3" t="n">
        <v>124002.0</v>
      </c>
      <c r="AB33" s="3" t="n">
        <v>123559.0</v>
      </c>
      <c r="AC33" s="3" t="n">
        <v>123497.0</v>
      </c>
      <c r="AD33" s="3" t="n">
        <v>123834.0</v>
      </c>
      <c r="AE33" s="3" t="n">
        <v>124505.0</v>
      </c>
      <c r="AF33" s="3" t="n">
        <v>125425.0</v>
      </c>
      <c r="AG33" s="3" t="n">
        <v>126483.0</v>
      </c>
      <c r="AH33" s="3" t="n">
        <v>127581.0</v>
      </c>
      <c r="AI33" s="3" t="n">
        <v>128604.0</v>
      </c>
      <c r="AJ33" s="3" t="n">
        <v>129462.0</v>
      </c>
      <c r="AK33" s="3" t="n">
        <v>130101.0</v>
      </c>
      <c r="AL33" s="3" t="n">
        <v>130477.0</v>
      </c>
      <c r="AM33" s="3" t="n">
        <v>130545.0</v>
      </c>
      <c r="AN33" s="3" t="n">
        <v>130309.0</v>
      </c>
      <c r="AO33" s="3" t="n">
        <v>129767.0</v>
      </c>
    </row>
    <row r="34" spans="1:41" x14ac:dyDescent="0.2">
      <c r="A34" s="130"/>
      <c r="B34" s="52" t="s">
        <v>23</v>
      </c>
      <c r="C34" s="11" t="n">
        <v>137365.0</v>
      </c>
      <c r="D34" s="3" t="n">
        <v>144665.0</v>
      </c>
      <c r="E34" s="3" t="n">
        <v>151173.0</v>
      </c>
      <c r="F34" s="3" t="n">
        <v>157521.0</v>
      </c>
      <c r="G34" s="3" t="n">
        <v>160241.0</v>
      </c>
      <c r="H34" s="3" t="n">
        <v>162723.0</v>
      </c>
      <c r="I34" s="3" t="n">
        <v>162186.0</v>
      </c>
      <c r="J34" s="3" t="n">
        <v>161598.0</v>
      </c>
      <c r="K34" s="3" t="n">
        <v>159986.0</v>
      </c>
      <c r="L34" s="3" t="n">
        <v>160601.0</v>
      </c>
      <c r="M34" s="3" t="n">
        <v>162335.0</v>
      </c>
      <c r="N34" s="3" t="n">
        <v>164174.0</v>
      </c>
      <c r="O34" s="3" t="n">
        <v>164007.0</v>
      </c>
      <c r="P34" s="3" t="n">
        <v>161413.0</v>
      </c>
      <c r="Q34" s="3" t="n">
        <v>158000.0</v>
      </c>
      <c r="R34" s="3" t="n">
        <v>150551.0</v>
      </c>
      <c r="S34" s="3" t="n">
        <v>145456.0</v>
      </c>
      <c r="T34" s="3" t="n">
        <v>141016.0</v>
      </c>
      <c r="U34" s="3" t="n">
        <v>138514.0</v>
      </c>
      <c r="V34" s="3" t="n">
        <v>136191.0</v>
      </c>
      <c r="W34" s="3" t="n">
        <v>136048.0</v>
      </c>
      <c r="X34" s="3" t="n">
        <v>134353.0</v>
      </c>
      <c r="Y34" s="3" t="n">
        <v>132759.0</v>
      </c>
      <c r="Z34" s="3" t="n">
        <v>131143.0</v>
      </c>
      <c r="AA34" s="3" t="n">
        <v>129589.0</v>
      </c>
      <c r="AB34" s="3" t="n">
        <v>128160.0</v>
      </c>
      <c r="AC34" s="3" t="n">
        <v>126845.0</v>
      </c>
      <c r="AD34" s="3" t="n">
        <v>125610.0</v>
      </c>
      <c r="AE34" s="3" t="n">
        <v>124571.0</v>
      </c>
      <c r="AF34" s="3" t="n">
        <v>123775.0</v>
      </c>
      <c r="AG34" s="3" t="n">
        <v>123338.0</v>
      </c>
      <c r="AH34" s="3" t="n">
        <v>123284.0</v>
      </c>
      <c r="AI34" s="3" t="n">
        <v>123616.0</v>
      </c>
      <c r="AJ34" s="3" t="n">
        <v>124270.0</v>
      </c>
      <c r="AK34" s="3" t="n">
        <v>125169.0</v>
      </c>
      <c r="AL34" s="3" t="n">
        <v>126197.0</v>
      </c>
      <c r="AM34" s="3" t="n">
        <v>127270.0</v>
      </c>
      <c r="AN34" s="3" t="n">
        <v>128262.0</v>
      </c>
      <c r="AO34" s="3" t="n">
        <v>129090.0</v>
      </c>
    </row>
    <row r="35" spans="1:41" x14ac:dyDescent="0.2">
      <c r="A35" s="130"/>
      <c r="B35" s="52" t="s">
        <v>24</v>
      </c>
      <c r="C35" s="11" t="n">
        <v>132466.0</v>
      </c>
      <c r="D35" s="3" t="n">
        <v>129819.0</v>
      </c>
      <c r="E35" s="3" t="n">
        <v>129057.0</v>
      </c>
      <c r="F35" s="3" t="n">
        <v>129416.0</v>
      </c>
      <c r="G35" s="3" t="n">
        <v>132244.0</v>
      </c>
      <c r="H35" s="3" t="n">
        <v>137660.0</v>
      </c>
      <c r="I35" s="3" t="n">
        <v>145426.0</v>
      </c>
      <c r="J35" s="3" t="n">
        <v>152494.0</v>
      </c>
      <c r="K35" s="3" t="n">
        <v>159425.0</v>
      </c>
      <c r="L35" s="3" t="n">
        <v>162635.0</v>
      </c>
      <c r="M35" s="3" t="n">
        <v>164532.0</v>
      </c>
      <c r="N35" s="3" t="n">
        <v>162856.0</v>
      </c>
      <c r="O35" s="3" t="n">
        <v>161706.0</v>
      </c>
      <c r="P35" s="3" t="n">
        <v>159872.0</v>
      </c>
      <c r="Q35" s="3" t="n">
        <v>160352.0</v>
      </c>
      <c r="R35" s="3" t="n">
        <v>162010.0</v>
      </c>
      <c r="S35" s="3" t="n">
        <v>163807.0</v>
      </c>
      <c r="T35" s="3" t="n">
        <v>163615.0</v>
      </c>
      <c r="U35" s="3" t="n">
        <v>161027.0</v>
      </c>
      <c r="V35" s="3" t="n">
        <v>157619.0</v>
      </c>
      <c r="W35" s="3" t="n">
        <v>150155.0</v>
      </c>
      <c r="X35" s="3" t="n">
        <v>145058.0</v>
      </c>
      <c r="Y35" s="3" t="n">
        <v>140602.0</v>
      </c>
      <c r="Z35" s="3" t="n">
        <v>138087.0</v>
      </c>
      <c r="AA35" s="3" t="n">
        <v>135747.0</v>
      </c>
      <c r="AB35" s="3" t="n">
        <v>135590.0</v>
      </c>
      <c r="AC35" s="3" t="n">
        <v>133899.0</v>
      </c>
      <c r="AD35" s="3" t="n">
        <v>132324.0</v>
      </c>
      <c r="AE35" s="3" t="n">
        <v>130722.0</v>
      </c>
      <c r="AF35" s="3" t="n">
        <v>129187.0</v>
      </c>
      <c r="AG35" s="3" t="n">
        <v>127779.0</v>
      </c>
      <c r="AH35" s="3" t="n">
        <v>126483.0</v>
      </c>
      <c r="AI35" s="3" t="n">
        <v>125270.0</v>
      </c>
      <c r="AJ35" s="3" t="n">
        <v>124249.0</v>
      </c>
      <c r="AK35" s="3" t="n">
        <v>123466.0</v>
      </c>
      <c r="AL35" s="3" t="n">
        <v>123037.0</v>
      </c>
      <c r="AM35" s="3" t="n">
        <v>122981.0</v>
      </c>
      <c r="AN35" s="3" t="n">
        <v>123299.0</v>
      </c>
      <c r="AO35" s="3" t="n">
        <v>123942.0</v>
      </c>
    </row>
    <row r="36" spans="1:41" x14ac:dyDescent="0.2">
      <c r="A36" s="130"/>
      <c r="B36" s="52" t="s">
        <v>25</v>
      </c>
      <c r="C36" s="11" t="n">
        <v>161760.0</v>
      </c>
      <c r="D36" s="3" t="n">
        <v>154397.0</v>
      </c>
      <c r="E36" s="3" t="n">
        <v>147402.0</v>
      </c>
      <c r="F36" s="3" t="n">
        <v>142403.0</v>
      </c>
      <c r="G36" s="3" t="n">
        <v>137788.0</v>
      </c>
      <c r="H36" s="3" t="n">
        <v>134257.0</v>
      </c>
      <c r="I36" s="3" t="n">
        <v>132039.0</v>
      </c>
      <c r="J36" s="3" t="n">
        <v>131431.0</v>
      </c>
      <c r="K36" s="3" t="n">
        <v>131792.0</v>
      </c>
      <c r="L36" s="3" t="n">
        <v>134538.0</v>
      </c>
      <c r="M36" s="3" t="n">
        <v>139584.0</v>
      </c>
      <c r="N36" s="3" t="n">
        <v>146934.0</v>
      </c>
      <c r="O36" s="3" t="n">
        <v>153795.0</v>
      </c>
      <c r="P36" s="3" t="n">
        <v>160634.0</v>
      </c>
      <c r="Q36" s="3" t="n">
        <v>163827.0</v>
      </c>
      <c r="R36" s="3" t="n">
        <v>165705.0</v>
      </c>
      <c r="S36" s="3" t="n">
        <v>163984.0</v>
      </c>
      <c r="T36" s="3" t="n">
        <v>162770.0</v>
      </c>
      <c r="U36" s="3" t="n">
        <v>160853.0</v>
      </c>
      <c r="V36" s="3" t="n">
        <v>161259.0</v>
      </c>
      <c r="W36" s="3" t="n">
        <v>162891.0</v>
      </c>
      <c r="X36" s="3" t="n">
        <v>164654.0</v>
      </c>
      <c r="Y36" s="3" t="n">
        <v>164468.0</v>
      </c>
      <c r="Z36" s="3" t="n">
        <v>161876.0</v>
      </c>
      <c r="AA36" s="3" t="n">
        <v>158424.0</v>
      </c>
      <c r="AB36" s="3" t="n">
        <v>150890.0</v>
      </c>
      <c r="AC36" s="3" t="n">
        <v>145710.0</v>
      </c>
      <c r="AD36" s="3" t="n">
        <v>141178.0</v>
      </c>
      <c r="AE36" s="3" t="n">
        <v>138562.0</v>
      </c>
      <c r="AF36" s="3" t="n">
        <v>136146.0</v>
      </c>
      <c r="AG36" s="3" t="n">
        <v>135955.0</v>
      </c>
      <c r="AH36" s="3" t="n">
        <v>134271.0</v>
      </c>
      <c r="AI36" s="3" t="n">
        <v>132707.0</v>
      </c>
      <c r="AJ36" s="3" t="n">
        <v>131108.0</v>
      </c>
      <c r="AK36" s="3" t="n">
        <v>129585.0</v>
      </c>
      <c r="AL36" s="3" t="n">
        <v>128191.0</v>
      </c>
      <c r="AM36" s="3" t="n">
        <v>126917.0</v>
      </c>
      <c r="AN36" s="3" t="n">
        <v>125732.0</v>
      </c>
      <c r="AO36" s="3" t="n">
        <v>124738.0</v>
      </c>
    </row>
    <row r="37" spans="1:41" x14ac:dyDescent="0.2">
      <c r="A37" s="130"/>
      <c r="B37" s="52" t="s">
        <v>26</v>
      </c>
      <c r="C37" s="11" t="n">
        <v>200323.0</v>
      </c>
      <c r="D37" s="3" t="n">
        <v>195273.0</v>
      </c>
      <c r="E37" s="3" t="n">
        <v>189872.0</v>
      </c>
      <c r="F37" s="3" t="n">
        <v>182546.0</v>
      </c>
      <c r="G37" s="3" t="n">
        <v>174449.0</v>
      </c>
      <c r="H37" s="3" t="n">
        <v>167355.0</v>
      </c>
      <c r="I37" s="3" t="n">
        <v>160407.0</v>
      </c>
      <c r="J37" s="3" t="n">
        <v>153536.0</v>
      </c>
      <c r="K37" s="3" t="n">
        <v>148546.0</v>
      </c>
      <c r="L37" s="3" t="n">
        <v>143843.0</v>
      </c>
      <c r="M37" s="3" t="n">
        <v>139889.0</v>
      </c>
      <c r="N37" s="3" t="n">
        <v>137104.0</v>
      </c>
      <c r="O37" s="3" t="n">
        <v>136184.0</v>
      </c>
      <c r="P37" s="3" t="n">
        <v>136391.0</v>
      </c>
      <c r="Q37" s="3" t="n">
        <v>139049.0</v>
      </c>
      <c r="R37" s="3" t="n">
        <v>144073.0</v>
      </c>
      <c r="S37" s="3" t="n">
        <v>151497.0</v>
      </c>
      <c r="T37" s="3" t="n">
        <v>158452.0</v>
      </c>
      <c r="U37" s="3" t="n">
        <v>165350.0</v>
      </c>
      <c r="V37" s="3" t="n">
        <v>168587.0</v>
      </c>
      <c r="W37" s="3" t="n">
        <v>170430.0</v>
      </c>
      <c r="X37" s="3" t="n">
        <v>168609.0</v>
      </c>
      <c r="Y37" s="3" t="n">
        <v>167216.0</v>
      </c>
      <c r="Z37" s="3" t="n">
        <v>165197.0</v>
      </c>
      <c r="AA37" s="3" t="n">
        <v>165523.0</v>
      </c>
      <c r="AB37" s="3" t="n">
        <v>167093.0</v>
      </c>
      <c r="AC37" s="3" t="n">
        <v>168828.0</v>
      </c>
      <c r="AD37" s="3" t="n">
        <v>168593.0</v>
      </c>
      <c r="AE37" s="3" t="n">
        <v>165938.0</v>
      </c>
      <c r="AF37" s="3" t="n">
        <v>162375.0</v>
      </c>
      <c r="AG37" s="3" t="n">
        <v>154631.0</v>
      </c>
      <c r="AH37" s="3" t="n">
        <v>149192.0</v>
      </c>
      <c r="AI37" s="3" t="n">
        <v>144456.0</v>
      </c>
      <c r="AJ37" s="3" t="n">
        <v>141678.0</v>
      </c>
      <c r="AK37" s="3" t="n">
        <v>139141.0</v>
      </c>
      <c r="AL37" s="3" t="n">
        <v>138893.0</v>
      </c>
      <c r="AM37" s="3" t="n">
        <v>137186.0</v>
      </c>
      <c r="AN37" s="3" t="n">
        <v>135607.0</v>
      </c>
      <c r="AO37" s="3" t="n">
        <v>134010.0</v>
      </c>
    </row>
    <row r="38" spans="1:41" x14ac:dyDescent="0.2">
      <c r="A38" s="130"/>
      <c r="B38" s="52" t="s">
        <v>27</v>
      </c>
      <c r="C38" s="11" t="n">
        <v>233638.0</v>
      </c>
      <c r="D38" s="3" t="n">
        <v>226790.0</v>
      </c>
      <c r="E38" s="3" t="n">
        <v>219974.0</v>
      </c>
      <c r="F38" s="3" t="n">
        <v>213790.0</v>
      </c>
      <c r="G38" s="3" t="n">
        <v>209315.0</v>
      </c>
      <c r="H38" s="3" t="n">
        <v>205245.0</v>
      </c>
      <c r="I38" s="3" t="n">
        <v>200639.0</v>
      </c>
      <c r="J38" s="3" t="n">
        <v>195354.0</v>
      </c>
      <c r="K38" s="3" t="n">
        <v>187941.0</v>
      </c>
      <c r="L38" s="3" t="n">
        <v>179776.0</v>
      </c>
      <c r="M38" s="3" t="n">
        <v>172210.0</v>
      </c>
      <c r="N38" s="3" t="n">
        <v>164676.0</v>
      </c>
      <c r="O38" s="3" t="n">
        <v>157550.0</v>
      </c>
      <c r="P38" s="3" t="n">
        <v>152415.0</v>
      </c>
      <c r="Q38" s="3" t="n">
        <v>147619.0</v>
      </c>
      <c r="R38" s="3" t="n">
        <v>143592.0</v>
      </c>
      <c r="S38" s="3" t="n">
        <v>140755.0</v>
      </c>
      <c r="T38" s="3" t="n">
        <v>139800.0</v>
      </c>
      <c r="U38" s="3" t="n">
        <v>139980.0</v>
      </c>
      <c r="V38" s="3" t="n">
        <v>142609.0</v>
      </c>
      <c r="W38" s="3" t="n">
        <v>147621.0</v>
      </c>
      <c r="X38" s="3" t="n">
        <v>155084.0</v>
      </c>
      <c r="Y38" s="3" t="n">
        <v>162093.0</v>
      </c>
      <c r="Z38" s="3" t="n">
        <v>168983.0</v>
      </c>
      <c r="AA38" s="3" t="n">
        <v>172203.0</v>
      </c>
      <c r="AB38" s="3" t="n">
        <v>173993.0</v>
      </c>
      <c r="AC38" s="3" t="n">
        <v>172083.0</v>
      </c>
      <c r="AD38" s="3" t="n">
        <v>170589.0</v>
      </c>
      <c r="AE38" s="3" t="n">
        <v>168504.0</v>
      </c>
      <c r="AF38" s="3" t="n">
        <v>168784.0</v>
      </c>
      <c r="AG38" s="3" t="n">
        <v>170351.0</v>
      </c>
      <c r="AH38" s="3" t="n">
        <v>172074.0</v>
      </c>
      <c r="AI38" s="3" t="n">
        <v>171789.0</v>
      </c>
      <c r="AJ38" s="3" t="n">
        <v>169053.0</v>
      </c>
      <c r="AK38" s="3" t="n">
        <v>165370.0</v>
      </c>
      <c r="AL38" s="3" t="n">
        <v>157480.0</v>
      </c>
      <c r="AM38" s="3" t="n">
        <v>151924.0</v>
      </c>
      <c r="AN38" s="3" t="n">
        <v>147095.0</v>
      </c>
      <c r="AO38" s="3" t="n">
        <v>144231.0</v>
      </c>
    </row>
    <row r="39" spans="1:41" x14ac:dyDescent="0.2">
      <c r="A39" s="130"/>
      <c r="B39" s="52" t="s">
        <v>28</v>
      </c>
      <c r="C39" s="11" t="n">
        <v>233661.0</v>
      </c>
      <c r="D39" s="3" t="n">
        <v>237451.0</v>
      </c>
      <c r="E39" s="3" t="n">
        <v>239145.0</v>
      </c>
      <c r="F39" s="3" t="n">
        <v>239739.0</v>
      </c>
      <c r="G39" s="3" t="n">
        <v>239598.0</v>
      </c>
      <c r="H39" s="3" t="n">
        <v>235014.0</v>
      </c>
      <c r="I39" s="3" t="n">
        <v>228605.0</v>
      </c>
      <c r="J39" s="3" t="n">
        <v>222034.0</v>
      </c>
      <c r="K39" s="3" t="n">
        <v>216017.0</v>
      </c>
      <c r="L39" s="3" t="n">
        <v>211653.0</v>
      </c>
      <c r="M39" s="3" t="n">
        <v>207223.0</v>
      </c>
      <c r="N39" s="3" t="n">
        <v>202042.0</v>
      </c>
      <c r="O39" s="3" t="n">
        <v>196454.0</v>
      </c>
      <c r="P39" s="3" t="n">
        <v>188932.0</v>
      </c>
      <c r="Q39" s="3" t="n">
        <v>180744.0</v>
      </c>
      <c r="R39" s="3" t="n">
        <v>173211.0</v>
      </c>
      <c r="S39" s="3" t="n">
        <v>165712.0</v>
      </c>
      <c r="T39" s="3" t="n">
        <v>158651.0</v>
      </c>
      <c r="U39" s="3" t="n">
        <v>153544.0</v>
      </c>
      <c r="V39" s="3" t="n">
        <v>148791.0</v>
      </c>
      <c r="W39" s="3" t="n">
        <v>144794.0</v>
      </c>
      <c r="X39" s="3" t="n">
        <v>141963.0</v>
      </c>
      <c r="Y39" s="3" t="n">
        <v>140993.0</v>
      </c>
      <c r="Z39" s="3" t="n">
        <v>141143.0</v>
      </c>
      <c r="AA39" s="3" t="n">
        <v>143728.0</v>
      </c>
      <c r="AB39" s="3" t="n">
        <v>148697.0</v>
      </c>
      <c r="AC39" s="3" t="n">
        <v>156107.0</v>
      </c>
      <c r="AD39" s="3" t="n">
        <v>163081.0</v>
      </c>
      <c r="AE39" s="3" t="n">
        <v>169905.0</v>
      </c>
      <c r="AF39" s="3" t="n">
        <v>173066.0</v>
      </c>
      <c r="AG39" s="3" t="n">
        <v>174813.0</v>
      </c>
      <c r="AH39" s="3" t="n">
        <v>172855.0</v>
      </c>
      <c r="AI39" s="3" t="n">
        <v>171339.0</v>
      </c>
      <c r="AJ39" s="3" t="n">
        <v>169265.0</v>
      </c>
      <c r="AK39" s="3" t="n">
        <v>169547.0</v>
      </c>
      <c r="AL39" s="3" t="n">
        <v>171102.0</v>
      </c>
      <c r="AM39" s="3" t="n">
        <v>172782.0</v>
      </c>
      <c r="AN39" s="3" t="n">
        <v>172457.0</v>
      </c>
      <c r="AO39" s="3" t="n">
        <v>169733.0</v>
      </c>
    </row>
    <row r="40" spans="1:41" x14ac:dyDescent="0.2">
      <c r="A40" s="130"/>
      <c r="B40" s="52" t="s">
        <v>29</v>
      </c>
      <c r="C40" s="11" t="n">
        <v>213289.0</v>
      </c>
      <c r="D40" s="3" t="n">
        <v>219390.0</v>
      </c>
      <c r="E40" s="3" t="n">
        <v>224565.0</v>
      </c>
      <c r="F40" s="3" t="n">
        <v>228001.0</v>
      </c>
      <c r="G40" s="3" t="n">
        <v>228361.0</v>
      </c>
      <c r="H40" s="3" t="n">
        <v>231597.0</v>
      </c>
      <c r="I40" s="3" t="n">
        <v>235758.0</v>
      </c>
      <c r="J40" s="3" t="n">
        <v>237685.0</v>
      </c>
      <c r="K40" s="3" t="n">
        <v>238421.0</v>
      </c>
      <c r="L40" s="3" t="n">
        <v>238316.0</v>
      </c>
      <c r="M40" s="3" t="n">
        <v>233535.0</v>
      </c>
      <c r="N40" s="3" t="n">
        <v>226807.0</v>
      </c>
      <c r="O40" s="3" t="n">
        <v>220137.0</v>
      </c>
      <c r="P40" s="3" t="n">
        <v>214145.0</v>
      </c>
      <c r="Q40" s="3" t="n">
        <v>209811.0</v>
      </c>
      <c r="R40" s="3" t="n">
        <v>205412.0</v>
      </c>
      <c r="S40" s="3" t="n">
        <v>200283.0</v>
      </c>
      <c r="T40" s="3" t="n">
        <v>194750.0</v>
      </c>
      <c r="U40" s="3" t="n">
        <v>187320.0</v>
      </c>
      <c r="V40" s="3" t="n">
        <v>179254.0</v>
      </c>
      <c r="W40" s="3" t="n">
        <v>171854.0</v>
      </c>
      <c r="X40" s="3" t="n">
        <v>164476.0</v>
      </c>
      <c r="Y40" s="3" t="n">
        <v>157531.0</v>
      </c>
      <c r="Z40" s="3" t="n">
        <v>152531.0</v>
      </c>
      <c r="AA40" s="3" t="n">
        <v>147867.0</v>
      </c>
      <c r="AB40" s="3" t="n">
        <v>143934.0</v>
      </c>
      <c r="AC40" s="3" t="n">
        <v>141137.0</v>
      </c>
      <c r="AD40" s="3" t="n">
        <v>140177.0</v>
      </c>
      <c r="AE40" s="3" t="n">
        <v>140349.0</v>
      </c>
      <c r="AF40" s="3" t="n">
        <v>142899.0</v>
      </c>
      <c r="AG40" s="3" t="n">
        <v>147794.0</v>
      </c>
      <c r="AH40" s="3" t="n">
        <v>155113.0</v>
      </c>
      <c r="AI40" s="3" t="n">
        <v>161978.0</v>
      </c>
      <c r="AJ40" s="3" t="n">
        <v>168681.0</v>
      </c>
      <c r="AK40" s="3" t="n">
        <v>171789.0</v>
      </c>
      <c r="AL40" s="3" t="n">
        <v>173495.0</v>
      </c>
      <c r="AM40" s="3" t="n">
        <v>171556.0</v>
      </c>
      <c r="AN40" s="3" t="n">
        <v>170061.0</v>
      </c>
      <c r="AO40" s="3" t="n">
        <v>168015.0</v>
      </c>
    </row>
    <row r="41" spans="1:41" x14ac:dyDescent="0.2">
      <c r="A41" s="130"/>
      <c r="B41" s="52" t="s">
        <v>30</v>
      </c>
      <c r="C41" s="11" t="n">
        <v>164953.0</v>
      </c>
      <c r="D41" s="3" t="n">
        <v>172964.0</v>
      </c>
      <c r="E41" s="3" t="n">
        <v>181858.0</v>
      </c>
      <c r="F41" s="3" t="n">
        <v>190921.0</v>
      </c>
      <c r="G41" s="3" t="n">
        <v>200444.0</v>
      </c>
      <c r="H41" s="3" t="n">
        <v>207926.0</v>
      </c>
      <c r="I41" s="3" t="n">
        <v>214094.0</v>
      </c>
      <c r="J41" s="3" t="n">
        <v>219308.0</v>
      </c>
      <c r="K41" s="3" t="n">
        <v>222815.0</v>
      </c>
      <c r="L41" s="3" t="n">
        <v>223312.0</v>
      </c>
      <c r="M41" s="3" t="n">
        <v>226406.0</v>
      </c>
      <c r="N41" s="3" t="n">
        <v>230325.0</v>
      </c>
      <c r="O41" s="3" t="n">
        <v>232143.0</v>
      </c>
      <c r="P41" s="3" t="n">
        <v>232840.0</v>
      </c>
      <c r="Q41" s="3" t="n">
        <v>232691.0</v>
      </c>
      <c r="R41" s="3" t="n">
        <v>228023.0</v>
      </c>
      <c r="S41" s="3" t="n">
        <v>221506.0</v>
      </c>
      <c r="T41" s="3" t="n">
        <v>215055.0</v>
      </c>
      <c r="U41" s="3" t="n">
        <v>209270.0</v>
      </c>
      <c r="V41" s="3" t="n">
        <v>205089.0</v>
      </c>
      <c r="W41" s="3" t="n">
        <v>200799.0</v>
      </c>
      <c r="X41" s="3" t="n">
        <v>195829.0</v>
      </c>
      <c r="Y41" s="3" t="n">
        <v>190468.0</v>
      </c>
      <c r="Z41" s="3" t="n">
        <v>183244.0</v>
      </c>
      <c r="AA41" s="3" t="n">
        <v>175425.0</v>
      </c>
      <c r="AB41" s="3" t="n">
        <v>168259.0</v>
      </c>
      <c r="AC41" s="3" t="n">
        <v>161115.0</v>
      </c>
      <c r="AD41" s="3" t="n">
        <v>154417.0</v>
      </c>
      <c r="AE41" s="3" t="n">
        <v>149586.0</v>
      </c>
      <c r="AF41" s="3" t="n">
        <v>145083.0</v>
      </c>
      <c r="AG41" s="3" t="n">
        <v>141290.0</v>
      </c>
      <c r="AH41" s="3" t="n">
        <v>138583.0</v>
      </c>
      <c r="AI41" s="3" t="n">
        <v>137668.0</v>
      </c>
      <c r="AJ41" s="3" t="n">
        <v>137837.0</v>
      </c>
      <c r="AK41" s="3" t="n">
        <v>140314.0</v>
      </c>
      <c r="AL41" s="3" t="n">
        <v>145083.0</v>
      </c>
      <c r="AM41" s="3" t="n">
        <v>152255.0</v>
      </c>
      <c r="AN41" s="3" t="n">
        <v>158980.0</v>
      </c>
      <c r="AO41" s="3" t="n">
        <v>165537.0</v>
      </c>
    </row>
    <row r="42" spans="1:41" x14ac:dyDescent="0.2">
      <c r="A42" s="130"/>
      <c r="B42" s="52" t="s">
        <v>31</v>
      </c>
      <c r="C42" s="11" t="n">
        <v>141983.0</v>
      </c>
      <c r="D42" s="3" t="n">
        <v>141750.0</v>
      </c>
      <c r="E42" s="3" t="n">
        <v>143106.0</v>
      </c>
      <c r="F42" s="3" t="n">
        <v>146669.0</v>
      </c>
      <c r="G42" s="3" t="n">
        <v>151231.0</v>
      </c>
      <c r="H42" s="3" t="n">
        <v>157584.0</v>
      </c>
      <c r="I42" s="3" t="n">
        <v>165388.0</v>
      </c>
      <c r="J42" s="3" t="n">
        <v>173974.0</v>
      </c>
      <c r="K42" s="3" t="n">
        <v>182697.0</v>
      </c>
      <c r="L42" s="3" t="n">
        <v>191872.0</v>
      </c>
      <c r="M42" s="3" t="n">
        <v>198926.0</v>
      </c>
      <c r="N42" s="3" t="n">
        <v>204694.0</v>
      </c>
      <c r="O42" s="3" t="n">
        <v>209690.0</v>
      </c>
      <c r="P42" s="3" t="n">
        <v>213099.0</v>
      </c>
      <c r="Q42" s="3" t="n">
        <v>213669.0</v>
      </c>
      <c r="R42" s="3" t="n">
        <v>216748.0</v>
      </c>
      <c r="S42" s="3" t="n">
        <v>220615.0</v>
      </c>
      <c r="T42" s="3" t="n">
        <v>222439.0</v>
      </c>
      <c r="U42" s="3" t="n">
        <v>223175.0</v>
      </c>
      <c r="V42" s="3" t="n">
        <v>223059.0</v>
      </c>
      <c r="W42" s="3" t="n">
        <v>218613.0</v>
      </c>
      <c r="X42" s="3" t="n">
        <v>212418.0</v>
      </c>
      <c r="Y42" s="3" t="n">
        <v>206300.0</v>
      </c>
      <c r="Z42" s="3" t="n">
        <v>200827.0</v>
      </c>
      <c r="AA42" s="3" t="n">
        <v>196890.0</v>
      </c>
      <c r="AB42" s="3" t="n">
        <v>192832.0</v>
      </c>
      <c r="AC42" s="3" t="n">
        <v>188118.0</v>
      </c>
      <c r="AD42" s="3" t="n">
        <v>183040.0</v>
      </c>
      <c r="AE42" s="3" t="n">
        <v>176170.0</v>
      </c>
      <c r="AF42" s="3" t="n">
        <v>168741.0</v>
      </c>
      <c r="AG42" s="3" t="n">
        <v>161925.0</v>
      </c>
      <c r="AH42" s="3" t="n">
        <v>155121.0</v>
      </c>
      <c r="AI42" s="3" t="n">
        <v>148752.0</v>
      </c>
      <c r="AJ42" s="3" t="n">
        <v>144207.0</v>
      </c>
      <c r="AK42" s="3" t="n">
        <v>139930.0</v>
      </c>
      <c r="AL42" s="3" t="n">
        <v>136331.0</v>
      </c>
      <c r="AM42" s="3" t="n">
        <v>133777.0</v>
      </c>
      <c r="AN42" s="3" t="n">
        <v>132926.0</v>
      </c>
      <c r="AO42" s="3" t="n">
        <v>133118.0</v>
      </c>
    </row>
    <row r="43" spans="1:41" x14ac:dyDescent="0.2">
      <c r="A43" s="130"/>
      <c r="B43" s="52" t="s">
        <v>32</v>
      </c>
      <c r="C43" s="3" t="n">
        <v>148190.0</v>
      </c>
      <c r="D43" s="3" t="n">
        <v>142190.0</v>
      </c>
      <c r="E43" s="3" t="n">
        <v>137225.0</v>
      </c>
      <c r="F43" s="3" t="n">
        <v>133648.0</v>
      </c>
      <c r="G43" s="3" t="n">
        <v>132357.0</v>
      </c>
      <c r="H43" s="3" t="n">
        <v>132139.0</v>
      </c>
      <c r="I43" s="3" t="n">
        <v>132220.0</v>
      </c>
      <c r="J43" s="3" t="n">
        <v>133613.0</v>
      </c>
      <c r="K43" s="3" t="n">
        <v>136971.0</v>
      </c>
      <c r="L43" s="3" t="n">
        <v>141248.0</v>
      </c>
      <c r="M43" s="3" t="n">
        <v>147113.0</v>
      </c>
      <c r="N43" s="3" t="n">
        <v>154296.0</v>
      </c>
      <c r="O43" s="3" t="n">
        <v>162306.0</v>
      </c>
      <c r="P43" s="3" t="n">
        <v>170501.0</v>
      </c>
      <c r="Q43" s="3" t="n">
        <v>179109.0</v>
      </c>
      <c r="R43" s="3" t="n">
        <v>185784.0</v>
      </c>
      <c r="S43" s="3" t="n">
        <v>191254.0</v>
      </c>
      <c r="T43" s="3" t="n">
        <v>196014.0</v>
      </c>
      <c r="U43" s="3" t="n">
        <v>199315.0</v>
      </c>
      <c r="V43" s="3" t="n">
        <v>199959.0</v>
      </c>
      <c r="W43" s="3" t="n">
        <v>202974.0</v>
      </c>
      <c r="X43" s="3" t="n">
        <v>206760.0</v>
      </c>
      <c r="Y43" s="3" t="n">
        <v>208618.0</v>
      </c>
      <c r="Z43" s="3" t="n">
        <v>209421.0</v>
      </c>
      <c r="AA43" s="3" t="n">
        <v>209371.0</v>
      </c>
      <c r="AB43" s="3" t="n">
        <v>205254.0</v>
      </c>
      <c r="AC43" s="3" t="n">
        <v>199503.0</v>
      </c>
      <c r="AD43" s="3" t="n">
        <v>193846.0</v>
      </c>
      <c r="AE43" s="3" t="n">
        <v>188844.0</v>
      </c>
      <c r="AF43" s="3" t="n">
        <v>185279.0</v>
      </c>
      <c r="AG43" s="3" t="n">
        <v>181565.0</v>
      </c>
      <c r="AH43" s="3" t="n">
        <v>177222.0</v>
      </c>
      <c r="AI43" s="3" t="n">
        <v>172499.0</v>
      </c>
      <c r="AJ43" s="3" t="n">
        <v>166074.0</v>
      </c>
      <c r="AK43" s="3" t="n">
        <v>159162.0</v>
      </c>
      <c r="AL43" s="3" t="n">
        <v>152799.0</v>
      </c>
      <c r="AM43" s="3" t="n">
        <v>146454.0</v>
      </c>
      <c r="AN43" s="3" t="n">
        <v>140536.0</v>
      </c>
      <c r="AO43" s="3" t="n">
        <v>136353.0</v>
      </c>
    </row>
    <row r="44" spans="1:41" x14ac:dyDescent="0.2">
      <c r="A44" s="130"/>
      <c r="B44" s="53" t="s">
        <v>33</v>
      </c>
      <c r="C44" s="3" t="n">
        <v>153295.0</v>
      </c>
      <c r="D44" s="3" t="n">
        <v>152380.0</v>
      </c>
      <c r="E44" s="3" t="n">
        <v>149937.0</v>
      </c>
      <c r="F44" s="3" t="n">
        <v>145043.0</v>
      </c>
      <c r="G44" s="3" t="n">
        <v>139003.0</v>
      </c>
      <c r="H44" s="3" t="n">
        <v>132537.0</v>
      </c>
      <c r="I44" s="3" t="n">
        <v>127555.0</v>
      </c>
      <c r="J44" s="3" t="n">
        <v>123400.0</v>
      </c>
      <c r="K44" s="3" t="n">
        <v>120440.0</v>
      </c>
      <c r="L44" s="3" t="n">
        <v>119442.0</v>
      </c>
      <c r="M44" s="3" t="n">
        <v>119269.0</v>
      </c>
      <c r="N44" s="3" t="n">
        <v>119267.0</v>
      </c>
      <c r="O44" s="3" t="n">
        <v>120569.0</v>
      </c>
      <c r="P44" s="3" t="n">
        <v>123663.0</v>
      </c>
      <c r="Q44" s="3" t="n">
        <v>127598.0</v>
      </c>
      <c r="R44" s="3" t="n">
        <v>133014.0</v>
      </c>
      <c r="S44" s="3" t="n">
        <v>139645.0</v>
      </c>
      <c r="T44" s="3" t="n">
        <v>146988.0</v>
      </c>
      <c r="U44" s="3" t="n">
        <v>154517.0</v>
      </c>
      <c r="V44" s="3" t="n">
        <v>162416.0</v>
      </c>
      <c r="W44" s="3" t="n">
        <v>168523.0</v>
      </c>
      <c r="X44" s="3" t="n">
        <v>173601.0</v>
      </c>
      <c r="Y44" s="3" t="n">
        <v>178083.0</v>
      </c>
      <c r="Z44" s="3" t="n">
        <v>181243.0</v>
      </c>
      <c r="AA44" s="3" t="n">
        <v>181984.0</v>
      </c>
      <c r="AB44" s="3" t="n">
        <v>184899.0</v>
      </c>
      <c r="AC44" s="3" t="n">
        <v>188478.0</v>
      </c>
      <c r="AD44" s="3" t="n">
        <v>190347.0</v>
      </c>
      <c r="AE44" s="3" t="n">
        <v>191224.0</v>
      </c>
      <c r="AF44" s="3" t="n">
        <v>191275.0</v>
      </c>
      <c r="AG44" s="3" t="n">
        <v>187623.0</v>
      </c>
      <c r="AH44" s="3" t="n">
        <v>182517.0</v>
      </c>
      <c r="AI44" s="3" t="n">
        <v>177482.0</v>
      </c>
      <c r="AJ44" s="3" t="n">
        <v>173066.0</v>
      </c>
      <c r="AK44" s="3" t="n">
        <v>169944.0</v>
      </c>
      <c r="AL44" s="3" t="n">
        <v>166636.0</v>
      </c>
      <c r="AM44" s="3" t="n">
        <v>162746.0</v>
      </c>
      <c r="AN44" s="3" t="n">
        <v>158472.0</v>
      </c>
      <c r="AO44" s="3" t="n">
        <v>152671.0</v>
      </c>
    </row>
    <row r="45" spans="1:41" x14ac:dyDescent="0.2">
      <c r="A45" s="130"/>
      <c r="B45" s="52" t="s">
        <v>34</v>
      </c>
      <c r="C45" s="3" t="n">
        <v>115924.0</v>
      </c>
      <c r="D45" s="3" t="n">
        <v>120231.0</v>
      </c>
      <c r="E45" s="3" t="n">
        <v>124292.0</v>
      </c>
      <c r="F45" s="3" t="n">
        <v>127952.0</v>
      </c>
      <c r="G45" s="3" t="n">
        <v>129700.0</v>
      </c>
      <c r="H45" s="3" t="n">
        <v>130927.0</v>
      </c>
      <c r="I45" s="3" t="n">
        <v>130486.0</v>
      </c>
      <c r="J45" s="3" t="n">
        <v>128669.0</v>
      </c>
      <c r="K45" s="3" t="n">
        <v>124780.0</v>
      </c>
      <c r="L45" s="3" t="n">
        <v>119839.0</v>
      </c>
      <c r="M45" s="3" t="n">
        <v>114460.0</v>
      </c>
      <c r="N45" s="3" t="n">
        <v>110278.0</v>
      </c>
      <c r="O45" s="3" t="n">
        <v>106872.0</v>
      </c>
      <c r="P45" s="3" t="n">
        <v>104462.0</v>
      </c>
      <c r="Q45" s="3" t="n">
        <v>103724.0</v>
      </c>
      <c r="R45" s="3" t="n">
        <v>103725.0</v>
      </c>
      <c r="S45" s="3" t="n">
        <v>103892.0</v>
      </c>
      <c r="T45" s="3" t="n">
        <v>105159.0</v>
      </c>
      <c r="U45" s="3" t="n">
        <v>107981.0</v>
      </c>
      <c r="V45" s="3" t="n">
        <v>111537.0</v>
      </c>
      <c r="W45" s="3" t="n">
        <v>116375.0</v>
      </c>
      <c r="X45" s="3" t="n">
        <v>122287.0</v>
      </c>
      <c r="Y45" s="3" t="n">
        <v>128831.0</v>
      </c>
      <c r="Z45" s="3" t="n">
        <v>135551.0</v>
      </c>
      <c r="AA45" s="3" t="n">
        <v>142635.0</v>
      </c>
      <c r="AB45" s="3" t="n">
        <v>148147.0</v>
      </c>
      <c r="AC45" s="3" t="n">
        <v>152730.0</v>
      </c>
      <c r="AD45" s="3" t="n">
        <v>156831.0</v>
      </c>
      <c r="AE45" s="3" t="n">
        <v>159809.0</v>
      </c>
      <c r="AF45" s="3" t="n">
        <v>160633.0</v>
      </c>
      <c r="AG45" s="3" t="n">
        <v>163446.0</v>
      </c>
      <c r="AH45" s="3" t="n">
        <v>166852.0</v>
      </c>
      <c r="AI45" s="3" t="n">
        <v>168675.0</v>
      </c>
      <c r="AJ45" s="3" t="n">
        <v>169581.0</v>
      </c>
      <c r="AK45" s="3" t="n">
        <v>169699.0</v>
      </c>
      <c r="AL45" s="3" t="n">
        <v>166567.0</v>
      </c>
      <c r="AM45" s="3" t="n">
        <v>162174.0</v>
      </c>
      <c r="AN45" s="3" t="n">
        <v>157844.0</v>
      </c>
      <c r="AO45" s="3" t="n">
        <v>154107.0</v>
      </c>
    </row>
    <row r="46" spans="1:41" x14ac:dyDescent="0.2">
      <c r="A46" s="130"/>
      <c r="B46" s="52" t="s">
        <v>35</v>
      </c>
      <c r="C46" s="3" t="n">
        <v>64840.0</v>
      </c>
      <c r="D46" s="3" t="n">
        <v>71376.0</v>
      </c>
      <c r="E46" s="3" t="n">
        <v>77667.0</v>
      </c>
      <c r="F46" s="3" t="n">
        <v>84533.0</v>
      </c>
      <c r="G46" s="3" t="n">
        <v>89084.0</v>
      </c>
      <c r="H46" s="3" t="n">
        <v>93056.0</v>
      </c>
      <c r="I46" s="3" t="n">
        <v>96818.0</v>
      </c>
      <c r="J46" s="3" t="n">
        <v>100291.0</v>
      </c>
      <c r="K46" s="3" t="n">
        <v>103489.0</v>
      </c>
      <c r="L46" s="3" t="n">
        <v>105153.0</v>
      </c>
      <c r="M46" s="3" t="n">
        <v>106359.0</v>
      </c>
      <c r="N46" s="3" t="n">
        <v>106180.0</v>
      </c>
      <c r="O46" s="3" t="n">
        <v>104927.0</v>
      </c>
      <c r="P46" s="3" t="n">
        <v>101951.0</v>
      </c>
      <c r="Q46" s="3" t="n">
        <v>98076.0</v>
      </c>
      <c r="R46" s="3" t="n">
        <v>93906.0</v>
      </c>
      <c r="S46" s="3" t="n">
        <v>90698.0</v>
      </c>
      <c r="T46" s="3" t="n">
        <v>88088.0</v>
      </c>
      <c r="U46" s="3" t="n">
        <v>86269.0</v>
      </c>
      <c r="V46" s="3" t="n">
        <v>85813.0</v>
      </c>
      <c r="W46" s="3" t="n">
        <v>85929.0</v>
      </c>
      <c r="X46" s="3" t="n">
        <v>86253.0</v>
      </c>
      <c r="Y46" s="3" t="n">
        <v>87480.0</v>
      </c>
      <c r="Z46" s="3" t="n">
        <v>89982.0</v>
      </c>
      <c r="AA46" s="3" t="n">
        <v>93092.0</v>
      </c>
      <c r="AB46" s="3" t="n">
        <v>97292.0</v>
      </c>
      <c r="AC46" s="3" t="n">
        <v>102361.0</v>
      </c>
      <c r="AD46" s="3" t="n">
        <v>108034.0</v>
      </c>
      <c r="AE46" s="3" t="n">
        <v>113854.0</v>
      </c>
      <c r="AF46" s="3" t="n">
        <v>119970.0</v>
      </c>
      <c r="AG46" s="3" t="n">
        <v>124730.0</v>
      </c>
      <c r="AH46" s="3" t="n">
        <v>128746.0</v>
      </c>
      <c r="AI46" s="3" t="n">
        <v>132360.0</v>
      </c>
      <c r="AJ46" s="3" t="n">
        <v>135030.0</v>
      </c>
      <c r="AK46" s="3" t="n">
        <v>135916.0</v>
      </c>
      <c r="AL46" s="3" t="n">
        <v>138516.0</v>
      </c>
      <c r="AM46" s="3" t="n">
        <v>141606.0</v>
      </c>
      <c r="AN46" s="3" t="n">
        <v>143342.0</v>
      </c>
      <c r="AO46" s="3" t="n">
        <v>144327.0</v>
      </c>
    </row>
    <row r="47" spans="1:41" x14ac:dyDescent="0.2">
      <c r="A47" s="130"/>
      <c r="B47" s="52" t="s">
        <v>36</v>
      </c>
      <c r="C47" s="3" t="n">
        <v>38248.0</v>
      </c>
      <c r="D47" s="3" t="n">
        <v>37593.0</v>
      </c>
      <c r="E47" s="3" t="n">
        <v>37535.0</v>
      </c>
      <c r="F47" s="3" t="n">
        <v>37942.0</v>
      </c>
      <c r="G47" s="3" t="n">
        <v>41644.0</v>
      </c>
      <c r="H47" s="3" t="n">
        <v>46441.0</v>
      </c>
      <c r="I47" s="3" t="n">
        <v>51411.0</v>
      </c>
      <c r="J47" s="3" t="n">
        <v>56104.0</v>
      </c>
      <c r="K47" s="3" t="n">
        <v>61138.0</v>
      </c>
      <c r="L47" s="3" t="n">
        <v>64639.0</v>
      </c>
      <c r="M47" s="3" t="n">
        <v>67729.0</v>
      </c>
      <c r="N47" s="3" t="n">
        <v>70626.0</v>
      </c>
      <c r="O47" s="3" t="n">
        <v>73345.0</v>
      </c>
      <c r="P47" s="3" t="n">
        <v>75875.0</v>
      </c>
      <c r="Q47" s="3" t="n">
        <v>77282.0</v>
      </c>
      <c r="R47" s="3" t="n">
        <v>78416.0</v>
      </c>
      <c r="S47" s="3" t="n">
        <v>78500.0</v>
      </c>
      <c r="T47" s="3" t="n">
        <v>77746.0</v>
      </c>
      <c r="U47" s="3" t="n">
        <v>75728.0</v>
      </c>
      <c r="V47" s="3" t="n">
        <v>72984.0</v>
      </c>
      <c r="W47" s="3" t="n">
        <v>70047.0</v>
      </c>
      <c r="X47" s="3" t="n">
        <v>67903.0</v>
      </c>
      <c r="Y47" s="3" t="n">
        <v>66190.0</v>
      </c>
      <c r="Z47" s="3" t="n">
        <v>65028.0</v>
      </c>
      <c r="AA47" s="3" t="n">
        <v>64875.0</v>
      </c>
      <c r="AB47" s="3" t="n">
        <v>65141.0</v>
      </c>
      <c r="AC47" s="3" t="n">
        <v>65568.0</v>
      </c>
      <c r="AD47" s="3" t="n">
        <v>66687.0</v>
      </c>
      <c r="AE47" s="3" t="n">
        <v>68808.0</v>
      </c>
      <c r="AF47" s="3" t="n">
        <v>71385.0</v>
      </c>
      <c r="AG47" s="3" t="n">
        <v>74819.0</v>
      </c>
      <c r="AH47" s="3" t="n">
        <v>78904.0</v>
      </c>
      <c r="AI47" s="3" t="n">
        <v>83409.0</v>
      </c>
      <c r="AJ47" s="3" t="n">
        <v>88063.0</v>
      </c>
      <c r="AK47" s="3" t="n">
        <v>92936.0</v>
      </c>
      <c r="AL47" s="3" t="n">
        <v>96748.0</v>
      </c>
      <c r="AM47" s="3" t="n">
        <v>99996.0</v>
      </c>
      <c r="AN47" s="3" t="n">
        <v>103001.0</v>
      </c>
      <c r="AO47" s="3" t="n">
        <v>105349.0</v>
      </c>
    </row>
    <row r="48" spans="1:41" x14ac:dyDescent="0.2">
      <c r="A48" s="130"/>
      <c r="B48" s="52" t="s">
        <v>37</v>
      </c>
      <c r="C48" s="3" t="n">
        <v>23848.0</v>
      </c>
      <c r="D48" s="3" t="n">
        <v>23710.0</v>
      </c>
      <c r="E48" s="3" t="n">
        <v>23384.0</v>
      </c>
      <c r="F48" s="3" t="n">
        <v>23067.0</v>
      </c>
      <c r="G48" s="3" t="n">
        <v>22469.0</v>
      </c>
      <c r="H48" s="3" t="n">
        <v>21770.0</v>
      </c>
      <c r="I48" s="3" t="n">
        <v>21587.0</v>
      </c>
      <c r="J48" s="3" t="n">
        <v>21752.0</v>
      </c>
      <c r="K48" s="3" t="n">
        <v>22174.0</v>
      </c>
      <c r="L48" s="3" t="n">
        <v>24661.0</v>
      </c>
      <c r="M48" s="3" t="n">
        <v>27737.0</v>
      </c>
      <c r="N48" s="3" t="n">
        <v>30841.0</v>
      </c>
      <c r="O48" s="3" t="n">
        <v>33745.0</v>
      </c>
      <c r="P48" s="3" t="n">
        <v>36831.0</v>
      </c>
      <c r="Q48" s="3" t="n">
        <v>39092.0</v>
      </c>
      <c r="R48" s="3" t="n">
        <v>41178.0</v>
      </c>
      <c r="S48" s="3" t="n">
        <v>43176.0</v>
      </c>
      <c r="T48" s="3" t="n">
        <v>45007.0</v>
      </c>
      <c r="U48" s="3" t="n">
        <v>46755.0</v>
      </c>
      <c r="V48" s="3" t="n">
        <v>47796.0</v>
      </c>
      <c r="W48" s="3" t="n">
        <v>48642.0</v>
      </c>
      <c r="X48" s="3" t="n">
        <v>48893.0</v>
      </c>
      <c r="Y48" s="3" t="n">
        <v>48567.0</v>
      </c>
      <c r="Z48" s="3" t="n">
        <v>47468.0</v>
      </c>
      <c r="AA48" s="3" t="n">
        <v>45879.0</v>
      </c>
      <c r="AB48" s="3" t="n">
        <v>44223.0</v>
      </c>
      <c r="AC48" s="3" t="n">
        <v>43062.0</v>
      </c>
      <c r="AD48" s="3" t="n">
        <v>42229.0</v>
      </c>
      <c r="AE48" s="3" t="n">
        <v>41729.0</v>
      </c>
      <c r="AF48" s="3" t="n">
        <v>41794.0</v>
      </c>
      <c r="AG48" s="3" t="n">
        <v>42149.0</v>
      </c>
      <c r="AH48" s="3" t="n">
        <v>42594.0</v>
      </c>
      <c r="AI48" s="3" t="n">
        <v>43497.0</v>
      </c>
      <c r="AJ48" s="3" t="n">
        <v>45073.0</v>
      </c>
      <c r="AK48" s="3" t="n">
        <v>46933.0</v>
      </c>
      <c r="AL48" s="3" t="n">
        <v>49384.0</v>
      </c>
      <c r="AM48" s="3" t="n">
        <v>52264.0</v>
      </c>
      <c r="AN48" s="3" t="n">
        <v>55421.0</v>
      </c>
      <c r="AO48" s="3" t="n">
        <v>58729.0</v>
      </c>
    </row>
    <row r="49" spans="1:41" x14ac:dyDescent="0.2">
      <c r="A49" s="130"/>
      <c r="B49" s="62" t="s">
        <v>81</v>
      </c>
      <c r="C49" s="3" t="n">
        <v>9594.0</v>
      </c>
      <c r="D49" s="3" t="n">
        <v>9627.0</v>
      </c>
      <c r="E49" s="3" t="n">
        <v>9833.0</v>
      </c>
      <c r="F49" s="3" t="n">
        <v>9876.0</v>
      </c>
      <c r="G49" s="3" t="n">
        <v>10047.0</v>
      </c>
      <c r="H49" s="3" t="n">
        <v>10178.0</v>
      </c>
      <c r="I49" s="3" t="n">
        <v>10205.0</v>
      </c>
      <c r="J49" s="3" t="n">
        <v>10160.0</v>
      </c>
      <c r="K49" s="3" t="n">
        <v>10120.0</v>
      </c>
      <c r="L49" s="3" t="n">
        <v>9934.0</v>
      </c>
      <c r="M49" s="3" t="n">
        <v>9696.0</v>
      </c>
      <c r="N49" s="3" t="n">
        <v>9706.0</v>
      </c>
      <c r="O49" s="3" t="n">
        <v>9907.0</v>
      </c>
      <c r="P49" s="3" t="n">
        <v>10199.0</v>
      </c>
      <c r="Q49" s="3" t="n">
        <v>11532.0</v>
      </c>
      <c r="R49" s="3" t="n">
        <v>13111.0</v>
      </c>
      <c r="S49" s="3" t="n">
        <v>14703.0</v>
      </c>
      <c r="T49" s="3" t="n">
        <v>16141.0</v>
      </c>
      <c r="U49" s="3" t="n">
        <v>17633.0</v>
      </c>
      <c r="V49" s="3" t="n">
        <v>18841.0</v>
      </c>
      <c r="W49" s="3" t="n">
        <v>19964.0</v>
      </c>
      <c r="X49" s="3" t="n">
        <v>21073.0</v>
      </c>
      <c r="Y49" s="3" t="n">
        <v>22085.0</v>
      </c>
      <c r="Z49" s="3" t="n">
        <v>23076.0</v>
      </c>
      <c r="AA49" s="3" t="n">
        <v>23717.0</v>
      </c>
      <c r="AB49" s="3" t="n">
        <v>24255.0</v>
      </c>
      <c r="AC49" s="3" t="n">
        <v>24486.0</v>
      </c>
      <c r="AD49" s="3" t="n">
        <v>24448.0</v>
      </c>
      <c r="AE49" s="3" t="n">
        <v>24031.0</v>
      </c>
      <c r="AF49" s="3" t="n">
        <v>23334.0</v>
      </c>
      <c r="AG49" s="3" t="n">
        <v>22631.0</v>
      </c>
      <c r="AH49" s="3" t="n">
        <v>22220.0</v>
      </c>
      <c r="AI49" s="3" t="n">
        <v>21935.0</v>
      </c>
      <c r="AJ49" s="3" t="n">
        <v>21801.0</v>
      </c>
      <c r="AK49" s="3" t="n">
        <v>21942.0</v>
      </c>
      <c r="AL49" s="3" t="n">
        <v>22238.0</v>
      </c>
      <c r="AM49" s="3" t="n">
        <v>22602.0</v>
      </c>
      <c r="AN49" s="3" t="n">
        <v>23221.0</v>
      </c>
      <c r="AO49" s="3" t="n">
        <v>24235.0</v>
      </c>
    </row>
    <row r="50" spans="1:41" x14ac:dyDescent="0.2">
      <c r="A50" s="130"/>
      <c r="B50" s="62" t="s">
        <v>82</v>
      </c>
      <c r="C50" s="3" t="n">
        <v>1808.0</v>
      </c>
      <c r="D50" s="3" t="n">
        <v>2046.0</v>
      </c>
      <c r="E50" s="3" t="n">
        <v>2229.0</v>
      </c>
      <c r="F50" s="3" t="n">
        <v>2470.0</v>
      </c>
      <c r="G50" s="3" t="n">
        <v>2622.0</v>
      </c>
      <c r="H50" s="3" t="n">
        <v>2691.0</v>
      </c>
      <c r="I50" s="3" t="n">
        <v>2731.0</v>
      </c>
      <c r="J50" s="3" t="n">
        <v>2825.0</v>
      </c>
      <c r="K50" s="3" t="n">
        <v>2877.0</v>
      </c>
      <c r="L50" s="3" t="n">
        <v>2981.0</v>
      </c>
      <c r="M50" s="3" t="n">
        <v>3063.0</v>
      </c>
      <c r="N50" s="3" t="n">
        <v>3102.0</v>
      </c>
      <c r="O50" s="3" t="n">
        <v>3119.0</v>
      </c>
      <c r="P50" s="3" t="n">
        <v>3141.0</v>
      </c>
      <c r="Q50" s="3" t="n">
        <v>3128.0</v>
      </c>
      <c r="R50" s="3" t="n">
        <v>3090.0</v>
      </c>
      <c r="S50" s="3" t="n">
        <v>3138.0</v>
      </c>
      <c r="T50" s="3" t="n">
        <v>3241.0</v>
      </c>
      <c r="U50" s="3" t="n">
        <v>3381.0</v>
      </c>
      <c r="V50" s="3" t="n">
        <v>3902.0</v>
      </c>
      <c r="W50" s="3" t="n">
        <v>4482.0</v>
      </c>
      <c r="X50" s="3" t="n">
        <v>5077.0</v>
      </c>
      <c r="Y50" s="3" t="n">
        <v>5580.0</v>
      </c>
      <c r="Z50" s="3" t="n">
        <v>6131.0</v>
      </c>
      <c r="AA50" s="3" t="n">
        <v>6610.0</v>
      </c>
      <c r="AB50" s="3" t="n">
        <v>7069.0</v>
      </c>
      <c r="AC50" s="3" t="n">
        <v>7508.0</v>
      </c>
      <c r="AD50" s="3" t="n">
        <v>7922.0</v>
      </c>
      <c r="AE50" s="3" t="n">
        <v>8336.0</v>
      </c>
      <c r="AF50" s="3" t="n">
        <v>8641.0</v>
      </c>
      <c r="AG50" s="3" t="n">
        <v>8917.0</v>
      </c>
      <c r="AH50" s="3" t="n">
        <v>9069.0</v>
      </c>
      <c r="AI50" s="3" t="n">
        <v>9095.0</v>
      </c>
      <c r="AJ50" s="3" t="n">
        <v>8997.0</v>
      </c>
      <c r="AK50" s="3" t="n">
        <v>8778.0</v>
      </c>
      <c r="AL50" s="3" t="n">
        <v>8575.0</v>
      </c>
      <c r="AM50" s="3" t="n">
        <v>8503.0</v>
      </c>
      <c r="AN50" s="3" t="n">
        <v>8465.0</v>
      </c>
      <c r="AO50" s="3" t="n">
        <v>8484.0</v>
      </c>
    </row>
    <row r="51" spans="1:41" x14ac:dyDescent="0.2">
      <c r="A51" s="130"/>
      <c r="B51" s="54" t="s">
        <v>80</v>
      </c>
      <c r="C51" s="3" t="n">
        <v>265.0</v>
      </c>
      <c r="D51" s="3" t="n">
        <v>290.0</v>
      </c>
      <c r="E51" s="3" t="n">
        <v>269.0</v>
      </c>
      <c r="F51" s="3" t="n">
        <v>295.0</v>
      </c>
      <c r="G51" s="3" t="n">
        <v>306.0</v>
      </c>
      <c r="H51" s="3" t="n">
        <v>338.0</v>
      </c>
      <c r="I51" s="3" t="n">
        <v>379.0</v>
      </c>
      <c r="J51" s="3" t="n">
        <v>410.0</v>
      </c>
      <c r="K51" s="3" t="n">
        <v>464.0</v>
      </c>
      <c r="L51" s="3" t="n">
        <v>489.0</v>
      </c>
      <c r="M51" s="3" t="n">
        <v>496.0</v>
      </c>
      <c r="N51" s="3" t="n">
        <v>525.0</v>
      </c>
      <c r="O51" s="3" t="n">
        <v>555.0</v>
      </c>
      <c r="P51" s="3" t="n">
        <v>580.0</v>
      </c>
      <c r="Q51" s="3" t="n">
        <v>602.0</v>
      </c>
      <c r="R51" s="3" t="n">
        <v>627.0</v>
      </c>
      <c r="S51" s="3" t="n">
        <v>645.0</v>
      </c>
      <c r="T51" s="3" t="n">
        <v>663.0</v>
      </c>
      <c r="U51" s="3" t="n">
        <v>676.0</v>
      </c>
      <c r="V51" s="3" t="n">
        <v>681.0</v>
      </c>
      <c r="W51" s="3" t="n">
        <v>683.0</v>
      </c>
      <c r="X51" s="3" t="n">
        <v>710.0</v>
      </c>
      <c r="Y51" s="3" t="n">
        <v>758.0</v>
      </c>
      <c r="Z51" s="3" t="n">
        <v>801.0</v>
      </c>
      <c r="AA51" s="3" t="n">
        <v>926.0</v>
      </c>
      <c r="AB51" s="3" t="n">
        <v>1066.0</v>
      </c>
      <c r="AC51" s="3" t="n">
        <v>1211.0</v>
      </c>
      <c r="AD51" s="3" t="n">
        <v>1341.0</v>
      </c>
      <c r="AE51" s="3" t="n">
        <v>1483.0</v>
      </c>
      <c r="AF51" s="3" t="n">
        <v>1621.0</v>
      </c>
      <c r="AG51" s="3" t="n">
        <v>1762.0</v>
      </c>
      <c r="AH51" s="3" t="n">
        <v>1909.0</v>
      </c>
      <c r="AI51" s="3" t="n">
        <v>2032.0</v>
      </c>
      <c r="AJ51" s="3" t="n">
        <v>2165.0</v>
      </c>
      <c r="AK51" s="3" t="n">
        <v>2265.0</v>
      </c>
      <c r="AL51" s="3" t="n">
        <v>2373.0</v>
      </c>
      <c r="AM51" s="3" t="n">
        <v>2452.0</v>
      </c>
      <c r="AN51" s="3" t="n">
        <v>2496.0</v>
      </c>
      <c r="AO51" s="3" t="n">
        <v>2515.0</v>
      </c>
    </row>
    <row r="52" spans="1:41" x14ac:dyDescent="0.2">
      <c r="A52" s="129" t="s">
        <v>51</v>
      </c>
      <c r="B52" s="69" t="s">
        <v>65</v>
      </c>
      <c r="C52" s="70" t="n">
        <v>2872371.0</v>
      </c>
      <c r="D52" s="70" t="n">
        <v>2873695.0</v>
      </c>
      <c r="E52" s="70" t="n">
        <v>2874699.0</v>
      </c>
      <c r="F52" s="70" t="n">
        <v>2875641.0</v>
      </c>
      <c r="G52" s="70" t="n">
        <v>2876295.0</v>
      </c>
      <c r="H52" s="70" t="n">
        <v>2889449.0</v>
      </c>
      <c r="I52" s="70" t="n">
        <v>2906949.0</v>
      </c>
      <c r="J52" s="70" t="n">
        <v>2913967.0</v>
      </c>
      <c r="K52" s="70" t="n">
        <v>2915351.0</v>
      </c>
      <c r="L52" s="70" t="n">
        <v>2914266.0</v>
      </c>
      <c r="M52" s="70" t="n">
        <v>2911535.0</v>
      </c>
      <c r="N52" s="70" t="n">
        <v>2907470.0</v>
      </c>
      <c r="O52" s="70" t="n">
        <v>2902537.0</v>
      </c>
      <c r="P52" s="70" t="n">
        <v>2896974.0</v>
      </c>
      <c r="Q52" s="70" t="n">
        <v>2890997.0</v>
      </c>
      <c r="R52" s="70" t="n">
        <v>2884642.0</v>
      </c>
      <c r="S52" s="70" t="n">
        <v>2877947.0</v>
      </c>
      <c r="T52" s="70" t="n">
        <v>2871056.0</v>
      </c>
      <c r="U52" s="70" t="n">
        <v>2863962.0</v>
      </c>
      <c r="V52" s="70" t="n">
        <v>2856676.0</v>
      </c>
      <c r="W52" s="70" t="n">
        <v>2849325.0</v>
      </c>
      <c r="X52" s="70" t="n">
        <v>2841865.0</v>
      </c>
      <c r="Y52" s="70" t="n">
        <v>2834341.0</v>
      </c>
      <c r="Z52" s="70" t="n">
        <v>2826425.0</v>
      </c>
      <c r="AA52" s="70" t="n">
        <v>2818403.0</v>
      </c>
      <c r="AB52" s="70" t="n">
        <v>2810291.0</v>
      </c>
      <c r="AC52" s="70" t="n">
        <v>2802043.0</v>
      </c>
      <c r="AD52" s="70" t="n">
        <v>2793632.0</v>
      </c>
      <c r="AE52" s="70" t="n">
        <v>2784989.0</v>
      </c>
      <c r="AF52" s="70" t="n">
        <v>2776108.0</v>
      </c>
      <c r="AG52" s="70" t="n">
        <v>2766592.0</v>
      </c>
      <c r="AH52" s="70" t="n">
        <v>2756760.0</v>
      </c>
      <c r="AI52" s="70" t="n">
        <v>2746574.0</v>
      </c>
      <c r="AJ52" s="70" t="n">
        <v>2735947.0</v>
      </c>
      <c r="AK52" s="70" t="n">
        <v>2724890.0</v>
      </c>
      <c r="AL52" s="70" t="n">
        <v>2713396.0</v>
      </c>
      <c r="AM52" s="70" t="n">
        <v>2701026.0</v>
      </c>
      <c r="AN52" s="70" t="n">
        <v>2688168.0</v>
      </c>
      <c r="AO52" s="70" t="n">
        <v>2674868.0</v>
      </c>
    </row>
    <row r="53" spans="1:41" x14ac:dyDescent="0.2">
      <c r="A53" s="130"/>
      <c r="B53" s="52" t="s">
        <v>20</v>
      </c>
      <c r="C53" s="3" t="n">
        <v>136719.0</v>
      </c>
      <c r="D53" s="3" t="n">
        <v>132389.0</v>
      </c>
      <c r="E53" s="3" t="n">
        <v>128577.0</v>
      </c>
      <c r="F53" s="3" t="n">
        <v>126419.0</v>
      </c>
      <c r="G53" s="3" t="n">
        <v>124169.0</v>
      </c>
      <c r="H53" s="3" t="n">
        <v>125107.0</v>
      </c>
      <c r="I53" s="3" t="n">
        <v>124959.0</v>
      </c>
      <c r="J53" s="3" t="n">
        <v>124083.0</v>
      </c>
      <c r="K53" s="3" t="n">
        <v>122756.0</v>
      </c>
      <c r="L53" s="3" t="n">
        <v>121357.0</v>
      </c>
      <c r="M53" s="3" t="n">
        <v>119986.0</v>
      </c>
      <c r="N53" s="3" t="n">
        <v>118680.0</v>
      </c>
      <c r="O53" s="3" t="n">
        <v>117438.0</v>
      </c>
      <c r="P53" s="3" t="n">
        <v>116378.0</v>
      </c>
      <c r="Q53" s="3" t="n">
        <v>115581.0</v>
      </c>
      <c r="R53" s="3" t="n">
        <v>115141.0</v>
      </c>
      <c r="S53" s="3" t="n">
        <v>115086.0</v>
      </c>
      <c r="T53" s="3" t="n">
        <v>115429.0</v>
      </c>
      <c r="U53" s="3" t="n">
        <v>116104.0</v>
      </c>
      <c r="V53" s="3" t="n">
        <v>117016.0</v>
      </c>
      <c r="W53" s="3" t="n">
        <v>118080.0</v>
      </c>
      <c r="X53" s="3" t="n">
        <v>119190.0</v>
      </c>
      <c r="Y53" s="3" t="n">
        <v>120233.0</v>
      </c>
      <c r="Z53" s="3" t="n">
        <v>121127.0</v>
      </c>
      <c r="AA53" s="3" t="n">
        <v>121818.0</v>
      </c>
      <c r="AB53" s="3" t="n">
        <v>122260.0</v>
      </c>
      <c r="AC53" s="3" t="n">
        <v>122406.0</v>
      </c>
      <c r="AD53" s="3" t="n">
        <v>122251.0</v>
      </c>
      <c r="AE53" s="3" t="n">
        <v>121800.0</v>
      </c>
      <c r="AF53" s="3" t="n">
        <v>121049.0</v>
      </c>
      <c r="AG53" s="3" t="n">
        <v>120036.0</v>
      </c>
      <c r="AH53" s="3" t="n">
        <v>118763.0</v>
      </c>
      <c r="AI53" s="3" t="n">
        <v>117284.0</v>
      </c>
      <c r="AJ53" s="3" t="n">
        <v>115654.0</v>
      </c>
      <c r="AK53" s="3" t="n">
        <v>113951.0</v>
      </c>
      <c r="AL53" s="3" t="n">
        <v>112202.0</v>
      </c>
      <c r="AM53" s="3" t="n">
        <v>110461.0</v>
      </c>
      <c r="AN53" s="3" t="n">
        <v>108792.0</v>
      </c>
      <c r="AO53" s="3" t="n">
        <v>107227.0</v>
      </c>
    </row>
    <row r="54" spans="1:41" x14ac:dyDescent="0.2">
      <c r="A54" s="130"/>
      <c r="B54" s="52" t="s">
        <v>21</v>
      </c>
      <c r="C54" s="3" t="n">
        <v>149392.0</v>
      </c>
      <c r="D54" s="3" t="n">
        <v>150668.0</v>
      </c>
      <c r="E54" s="3" t="n">
        <v>150574.0</v>
      </c>
      <c r="F54" s="3" t="n">
        <v>148265.0</v>
      </c>
      <c r="G54" s="3" t="n">
        <v>145032.0</v>
      </c>
      <c r="H54" s="3" t="n">
        <v>139671.0</v>
      </c>
      <c r="I54" s="3" t="n">
        <v>136862.0</v>
      </c>
      <c r="J54" s="3" t="n">
        <v>133582.0</v>
      </c>
      <c r="K54" s="3" t="n">
        <v>131527.0</v>
      </c>
      <c r="L54" s="3" t="n">
        <v>129100.0</v>
      </c>
      <c r="M54" s="3" t="n">
        <v>128857.0</v>
      </c>
      <c r="N54" s="3" t="n">
        <v>127233.0</v>
      </c>
      <c r="O54" s="3" t="n">
        <v>125688.0</v>
      </c>
      <c r="P54" s="3" t="n">
        <v>124087.0</v>
      </c>
      <c r="Q54" s="3" t="n">
        <v>122570.0</v>
      </c>
      <c r="R54" s="3" t="n">
        <v>121169.0</v>
      </c>
      <c r="S54" s="3" t="n">
        <v>119875.0</v>
      </c>
      <c r="T54" s="3" t="n">
        <v>118675.0</v>
      </c>
      <c r="U54" s="3" t="n">
        <v>117646.0</v>
      </c>
      <c r="V54" s="3" t="n">
        <v>116877.0</v>
      </c>
      <c r="W54" s="3" t="n">
        <v>116452.0</v>
      </c>
      <c r="X54" s="3" t="n">
        <v>116405.0</v>
      </c>
      <c r="Y54" s="3" t="n">
        <v>116733.0</v>
      </c>
      <c r="Z54" s="3" t="n">
        <v>117380.0</v>
      </c>
      <c r="AA54" s="3" t="n">
        <v>118260.0</v>
      </c>
      <c r="AB54" s="3" t="n">
        <v>119272.0</v>
      </c>
      <c r="AC54" s="3" t="n">
        <v>120335.0</v>
      </c>
      <c r="AD54" s="3" t="n">
        <v>121340.0</v>
      </c>
      <c r="AE54" s="3" t="n">
        <v>122194.0</v>
      </c>
      <c r="AF54" s="3" t="n">
        <v>122842.0</v>
      </c>
      <c r="AG54" s="3" t="n">
        <v>123238.0</v>
      </c>
      <c r="AH54" s="3" t="n">
        <v>123341.0</v>
      </c>
      <c r="AI54" s="3" t="n">
        <v>123136.0</v>
      </c>
      <c r="AJ54" s="3" t="n">
        <v>122641.0</v>
      </c>
      <c r="AK54" s="3" t="n">
        <v>121858.0</v>
      </c>
      <c r="AL54" s="3" t="n">
        <v>120809.0</v>
      </c>
      <c r="AM54" s="3" t="n">
        <v>119510.0</v>
      </c>
      <c r="AN54" s="3" t="n">
        <v>118001.0</v>
      </c>
      <c r="AO54" s="3" t="n">
        <v>116341.0</v>
      </c>
    </row>
    <row r="55" spans="1:41" x14ac:dyDescent="0.2">
      <c r="A55" s="130"/>
      <c r="B55" s="52" t="s">
        <v>22</v>
      </c>
      <c r="C55" s="3" t="n">
        <v>152900.0</v>
      </c>
      <c r="D55" s="3" t="n">
        <v>151466.0</v>
      </c>
      <c r="E55" s="3" t="n">
        <v>149475.0</v>
      </c>
      <c r="F55" s="3" t="n">
        <v>147741.0</v>
      </c>
      <c r="G55" s="3" t="n">
        <v>148647.0</v>
      </c>
      <c r="H55" s="3" t="n">
        <v>151370.0</v>
      </c>
      <c r="I55" s="3" t="n">
        <v>154453.0</v>
      </c>
      <c r="J55" s="3" t="n">
        <v>155208.0</v>
      </c>
      <c r="K55" s="3" t="n">
        <v>153220.0</v>
      </c>
      <c r="L55" s="3" t="n">
        <v>150028.0</v>
      </c>
      <c r="M55" s="3" t="n">
        <v>143280.0</v>
      </c>
      <c r="N55" s="3" t="n">
        <v>138590.0</v>
      </c>
      <c r="O55" s="3" t="n">
        <v>134369.0</v>
      </c>
      <c r="P55" s="3" t="n">
        <v>131874.0</v>
      </c>
      <c r="Q55" s="3" t="n">
        <v>129241.0</v>
      </c>
      <c r="R55" s="3" t="n">
        <v>128894.0</v>
      </c>
      <c r="S55" s="3" t="n">
        <v>127254.0</v>
      </c>
      <c r="T55" s="3" t="n">
        <v>125724.0</v>
      </c>
      <c r="U55" s="3" t="n">
        <v>124141.0</v>
      </c>
      <c r="V55" s="3" t="n">
        <v>122641.0</v>
      </c>
      <c r="W55" s="3" t="n">
        <v>121256.0</v>
      </c>
      <c r="X55" s="3" t="n">
        <v>119976.0</v>
      </c>
      <c r="Y55" s="3" t="n">
        <v>118793.0</v>
      </c>
      <c r="Z55" s="3" t="n">
        <v>117782.0</v>
      </c>
      <c r="AA55" s="3" t="n">
        <v>117035.0</v>
      </c>
      <c r="AB55" s="3" t="n">
        <v>116621.0</v>
      </c>
      <c r="AC55" s="3" t="n">
        <v>116575.0</v>
      </c>
      <c r="AD55" s="3" t="n">
        <v>116900.0</v>
      </c>
      <c r="AE55" s="3" t="n">
        <v>117528.0</v>
      </c>
      <c r="AF55" s="3" t="n">
        <v>118380.0</v>
      </c>
      <c r="AG55" s="3" t="n">
        <v>119358.0</v>
      </c>
      <c r="AH55" s="3" t="n">
        <v>120385.0</v>
      </c>
      <c r="AI55" s="3" t="n">
        <v>121354.0</v>
      </c>
      <c r="AJ55" s="3" t="n">
        <v>122176.0</v>
      </c>
      <c r="AK55" s="3" t="n">
        <v>122796.0</v>
      </c>
      <c r="AL55" s="3" t="n">
        <v>123160.0</v>
      </c>
      <c r="AM55" s="3" t="n">
        <v>123229.0</v>
      </c>
      <c r="AN55" s="3" t="n">
        <v>122997.0</v>
      </c>
      <c r="AO55" s="3" t="n">
        <v>122487.0</v>
      </c>
    </row>
    <row r="56" spans="1:41" x14ac:dyDescent="0.2">
      <c r="A56" s="130"/>
      <c r="B56" s="52" t="s">
        <v>23</v>
      </c>
      <c r="C56" s="3" t="n">
        <v>130732.0</v>
      </c>
      <c r="D56" s="3" t="n">
        <v>137202.0</v>
      </c>
      <c r="E56" s="3" t="n">
        <v>143791.0</v>
      </c>
      <c r="F56" s="3" t="n">
        <v>149464.0</v>
      </c>
      <c r="G56" s="3" t="n">
        <v>151817.0</v>
      </c>
      <c r="H56" s="3" t="n">
        <v>154312.0</v>
      </c>
      <c r="I56" s="3" t="n">
        <v>154372.0</v>
      </c>
      <c r="J56" s="3" t="n">
        <v>153114.0</v>
      </c>
      <c r="K56" s="3" t="n">
        <v>151740.0</v>
      </c>
      <c r="L56" s="3" t="n">
        <v>152865.0</v>
      </c>
      <c r="M56" s="3" t="n">
        <v>154484.0</v>
      </c>
      <c r="N56" s="3" t="n">
        <v>155873.0</v>
      </c>
      <c r="O56" s="3" t="n">
        <v>155844.0</v>
      </c>
      <c r="P56" s="3" t="n">
        <v>153505.0</v>
      </c>
      <c r="Q56" s="3" t="n">
        <v>150117.0</v>
      </c>
      <c r="R56" s="3" t="n">
        <v>143256.0</v>
      </c>
      <c r="S56" s="3" t="n">
        <v>138472.0</v>
      </c>
      <c r="T56" s="3" t="n">
        <v>134171.0</v>
      </c>
      <c r="U56" s="3" t="n">
        <v>131646.0</v>
      </c>
      <c r="V56" s="3" t="n">
        <v>128980.0</v>
      </c>
      <c r="W56" s="3" t="n">
        <v>128633.0</v>
      </c>
      <c r="X56" s="3" t="n">
        <v>126997.0</v>
      </c>
      <c r="Y56" s="3" t="n">
        <v>125478.0</v>
      </c>
      <c r="Z56" s="3" t="n">
        <v>123910.0</v>
      </c>
      <c r="AA56" s="3" t="n">
        <v>122418.0</v>
      </c>
      <c r="AB56" s="3" t="n">
        <v>121039.0</v>
      </c>
      <c r="AC56" s="3" t="n">
        <v>119784.0</v>
      </c>
      <c r="AD56" s="3" t="n">
        <v>118621.0</v>
      </c>
      <c r="AE56" s="3" t="n">
        <v>117627.0</v>
      </c>
      <c r="AF56" s="3" t="n">
        <v>116886.0</v>
      </c>
      <c r="AG56" s="3" t="n">
        <v>116479.0</v>
      </c>
      <c r="AH56" s="3" t="n">
        <v>116439.0</v>
      </c>
      <c r="AI56" s="3" t="n">
        <v>116757.0</v>
      </c>
      <c r="AJ56" s="3" t="n">
        <v>117373.0</v>
      </c>
      <c r="AK56" s="3" t="n">
        <v>118201.0</v>
      </c>
      <c r="AL56" s="3" t="n">
        <v>119156.0</v>
      </c>
      <c r="AM56" s="3" t="n">
        <v>120162.0</v>
      </c>
      <c r="AN56" s="3" t="n">
        <v>121101.0</v>
      </c>
      <c r="AO56" s="3" t="n">
        <v>121886.0</v>
      </c>
    </row>
    <row r="57" spans="1:41" x14ac:dyDescent="0.2">
      <c r="A57" s="130"/>
      <c r="B57" s="52" t="s">
        <v>24</v>
      </c>
      <c r="C57" s="3" t="n">
        <v>127824.0</v>
      </c>
      <c r="D57" s="3" t="n">
        <v>125033.0</v>
      </c>
      <c r="E57" s="3" t="n">
        <v>124074.0</v>
      </c>
      <c r="F57" s="3" t="n">
        <v>124195.0</v>
      </c>
      <c r="G57" s="3" t="n">
        <v>126848.0</v>
      </c>
      <c r="H57" s="3" t="n">
        <v>132333.0</v>
      </c>
      <c r="I57" s="3" t="n">
        <v>140089.0</v>
      </c>
      <c r="J57" s="3" t="n">
        <v>147355.0</v>
      </c>
      <c r="K57" s="3" t="n">
        <v>153321.0</v>
      </c>
      <c r="L57" s="3" t="n">
        <v>155844.0</v>
      </c>
      <c r="M57" s="3" t="n">
        <v>157371.0</v>
      </c>
      <c r="N57" s="3" t="n">
        <v>155981.0</v>
      </c>
      <c r="O57" s="3" t="n">
        <v>154017.0</v>
      </c>
      <c r="P57" s="3" t="n">
        <v>152326.0</v>
      </c>
      <c r="Q57" s="3" t="n">
        <v>153269.0</v>
      </c>
      <c r="R57" s="3" t="n">
        <v>154792.0</v>
      </c>
      <c r="S57" s="3" t="n">
        <v>156149.0</v>
      </c>
      <c r="T57" s="3" t="n">
        <v>156109.0</v>
      </c>
      <c r="U57" s="3" t="n">
        <v>153754.0</v>
      </c>
      <c r="V57" s="3" t="n">
        <v>150341.0</v>
      </c>
      <c r="W57" s="3" t="n">
        <v>143411.0</v>
      </c>
      <c r="X57" s="3" t="n">
        <v>138570.0</v>
      </c>
      <c r="Y57" s="3" t="n">
        <v>134227.0</v>
      </c>
      <c r="Z57" s="3" t="n">
        <v>131648.0</v>
      </c>
      <c r="AA57" s="3" t="n">
        <v>128969.0</v>
      </c>
      <c r="AB57" s="3" t="n">
        <v>128618.0</v>
      </c>
      <c r="AC57" s="3" t="n">
        <v>126981.0</v>
      </c>
      <c r="AD57" s="3" t="n">
        <v>125471.0</v>
      </c>
      <c r="AE57" s="3" t="n">
        <v>123912.0</v>
      </c>
      <c r="AF57" s="3" t="n">
        <v>122441.0</v>
      </c>
      <c r="AG57" s="3" t="n">
        <v>121074.0</v>
      </c>
      <c r="AH57" s="3" t="n">
        <v>119826.0</v>
      </c>
      <c r="AI57" s="3" t="n">
        <v>118673.0</v>
      </c>
      <c r="AJ57" s="3" t="n">
        <v>117693.0</v>
      </c>
      <c r="AK57" s="3" t="n">
        <v>116968.0</v>
      </c>
      <c r="AL57" s="3" t="n">
        <v>116569.0</v>
      </c>
      <c r="AM57" s="3" t="n">
        <v>116523.0</v>
      </c>
      <c r="AN57" s="3" t="n">
        <v>116833.0</v>
      </c>
      <c r="AO57" s="3" t="n">
        <v>117437.0</v>
      </c>
    </row>
    <row r="58" spans="1:41" x14ac:dyDescent="0.2">
      <c r="A58" s="130"/>
      <c r="B58" s="52" t="s">
        <v>25</v>
      </c>
      <c r="C58" s="3" t="n">
        <v>163438.0</v>
      </c>
      <c r="D58" s="3" t="n">
        <v>154939.0</v>
      </c>
      <c r="E58" s="3" t="n">
        <v>147147.0</v>
      </c>
      <c r="F58" s="3" t="n">
        <v>141403.0</v>
      </c>
      <c r="G58" s="3" t="n">
        <v>136012.0</v>
      </c>
      <c r="H58" s="3" t="n">
        <v>132718.0</v>
      </c>
      <c r="I58" s="3" t="n">
        <v>131161.0</v>
      </c>
      <c r="J58" s="3" t="n">
        <v>130673.0</v>
      </c>
      <c r="K58" s="3" t="n">
        <v>130905.0</v>
      </c>
      <c r="L58" s="3" t="n">
        <v>133536.0</v>
      </c>
      <c r="M58" s="3" t="n">
        <v>138136.0</v>
      </c>
      <c r="N58" s="3" t="n">
        <v>144668.0</v>
      </c>
      <c r="O58" s="3" t="n">
        <v>151396.0</v>
      </c>
      <c r="P58" s="3" t="n">
        <v>157195.0</v>
      </c>
      <c r="Q58" s="3" t="n">
        <v>159684.0</v>
      </c>
      <c r="R58" s="3" t="n">
        <v>161135.0</v>
      </c>
      <c r="S58" s="3" t="n">
        <v>159632.0</v>
      </c>
      <c r="T58" s="3" t="n">
        <v>157534.0</v>
      </c>
      <c r="U58" s="3" t="n">
        <v>155725.0</v>
      </c>
      <c r="V58" s="3" t="n">
        <v>156552.0</v>
      </c>
      <c r="W58" s="3" t="n">
        <v>158012.0</v>
      </c>
      <c r="X58" s="3" t="n">
        <v>159308.0</v>
      </c>
      <c r="Y58" s="3" t="n">
        <v>159212.0</v>
      </c>
      <c r="Z58" s="3" t="n">
        <v>156809.0</v>
      </c>
      <c r="AA58" s="3" t="n">
        <v>153311.0</v>
      </c>
      <c r="AB58" s="3" t="n">
        <v>146196.0</v>
      </c>
      <c r="AC58" s="3" t="n">
        <v>141141.0</v>
      </c>
      <c r="AD58" s="3" t="n">
        <v>136603.0</v>
      </c>
      <c r="AE58" s="3" t="n">
        <v>133896.0</v>
      </c>
      <c r="AF58" s="3" t="n">
        <v>131092.0</v>
      </c>
      <c r="AG58" s="3" t="n">
        <v>130691.0</v>
      </c>
      <c r="AH58" s="3" t="n">
        <v>129026.0</v>
      </c>
      <c r="AI58" s="3" t="n">
        <v>127514.0</v>
      </c>
      <c r="AJ58" s="3" t="n">
        <v>125933.0</v>
      </c>
      <c r="AK58" s="3" t="n">
        <v>124446.0</v>
      </c>
      <c r="AL58" s="3" t="n">
        <v>123066.0</v>
      </c>
      <c r="AM58" s="3" t="n">
        <v>121813.0</v>
      </c>
      <c r="AN58" s="3" t="n">
        <v>120667.0</v>
      </c>
      <c r="AO58" s="3" t="n">
        <v>119703.0</v>
      </c>
    </row>
    <row r="59" spans="1:41" x14ac:dyDescent="0.2">
      <c r="A59" s="130"/>
      <c r="B59" s="52" t="s">
        <v>26</v>
      </c>
      <c r="C59" s="3" t="n">
        <v>204948.0</v>
      </c>
      <c r="D59" s="3" t="n">
        <v>200278.0</v>
      </c>
      <c r="E59" s="3" t="n">
        <v>195459.0</v>
      </c>
      <c r="F59" s="3" t="n">
        <v>187984.0</v>
      </c>
      <c r="G59" s="3" t="n">
        <v>180049.0</v>
      </c>
      <c r="H59" s="3" t="n">
        <v>172727.0</v>
      </c>
      <c r="I59" s="3" t="n">
        <v>165707.0</v>
      </c>
      <c r="J59" s="3" t="n">
        <v>158399.0</v>
      </c>
      <c r="K59" s="3" t="n">
        <v>152680.0</v>
      </c>
      <c r="L59" s="3" t="n">
        <v>147102.0</v>
      </c>
      <c r="M59" s="3" t="n">
        <v>142595.0</v>
      </c>
      <c r="N59" s="3" t="n">
        <v>139462.0</v>
      </c>
      <c r="O59" s="3" t="n">
        <v>138171.0</v>
      </c>
      <c r="P59" s="3" t="n">
        <v>138025.0</v>
      </c>
      <c r="Q59" s="3" t="n">
        <v>140479.0</v>
      </c>
      <c r="R59" s="3" t="n">
        <v>145092.0</v>
      </c>
      <c r="S59" s="3" t="n">
        <v>151786.0</v>
      </c>
      <c r="T59" s="3" t="n">
        <v>158725.0</v>
      </c>
      <c r="U59" s="3" t="n">
        <v>164667.0</v>
      </c>
      <c r="V59" s="3" t="n">
        <v>167181.0</v>
      </c>
      <c r="W59" s="3" t="n">
        <v>168528.0</v>
      </c>
      <c r="X59" s="3" t="n">
        <v>166824.0</v>
      </c>
      <c r="Y59" s="3" t="n">
        <v>164512.0</v>
      </c>
      <c r="Z59" s="3" t="n">
        <v>162509.0</v>
      </c>
      <c r="AA59" s="3" t="n">
        <v>163228.0</v>
      </c>
      <c r="AB59" s="3" t="n">
        <v>164659.0</v>
      </c>
      <c r="AC59" s="3" t="n">
        <v>165925.0</v>
      </c>
      <c r="AD59" s="3" t="n">
        <v>165747.0</v>
      </c>
      <c r="AE59" s="3" t="n">
        <v>163186.0</v>
      </c>
      <c r="AF59" s="3" t="n">
        <v>159445.0</v>
      </c>
      <c r="AG59" s="3" t="n">
        <v>152005.0</v>
      </c>
      <c r="AH59" s="3" t="n">
        <v>146615.0</v>
      </c>
      <c r="AI59" s="3" t="n">
        <v>141779.0</v>
      </c>
      <c r="AJ59" s="3" t="n">
        <v>138831.0</v>
      </c>
      <c r="AK59" s="3" t="n">
        <v>135876.0</v>
      </c>
      <c r="AL59" s="3" t="n">
        <v>135396.0</v>
      </c>
      <c r="AM59" s="3" t="n">
        <v>133684.0</v>
      </c>
      <c r="AN59" s="3" t="n">
        <v>132145.0</v>
      </c>
      <c r="AO59" s="3" t="n">
        <v>130540.0</v>
      </c>
    </row>
    <row r="60" spans="1:41" x14ac:dyDescent="0.2">
      <c r="A60" s="130"/>
      <c r="B60" s="52" t="s">
        <v>27</v>
      </c>
      <c r="C60" s="3" t="n">
        <v>235972.0</v>
      </c>
      <c r="D60" s="3" t="n">
        <v>229375.0</v>
      </c>
      <c r="E60" s="3" t="n">
        <v>222844.0</v>
      </c>
      <c r="F60" s="3" t="n">
        <v>217739.0</v>
      </c>
      <c r="G60" s="3" t="n">
        <v>213728.0</v>
      </c>
      <c r="H60" s="3" t="n">
        <v>211835.0</v>
      </c>
      <c r="I60" s="3" t="n">
        <v>208811.0</v>
      </c>
      <c r="J60" s="3" t="n">
        <v>204551.0</v>
      </c>
      <c r="K60" s="3" t="n">
        <v>197145.0</v>
      </c>
      <c r="L60" s="3" t="n">
        <v>189110.0</v>
      </c>
      <c r="M60" s="3" t="n">
        <v>180417.0</v>
      </c>
      <c r="N60" s="3" t="n">
        <v>171593.0</v>
      </c>
      <c r="O60" s="3" t="n">
        <v>163439.0</v>
      </c>
      <c r="P60" s="3" t="n">
        <v>157337.0</v>
      </c>
      <c r="Q60" s="3" t="n">
        <v>151548.0</v>
      </c>
      <c r="R60" s="3" t="n">
        <v>146879.0</v>
      </c>
      <c r="S60" s="3" t="n">
        <v>143646.0</v>
      </c>
      <c r="T60" s="3" t="n">
        <v>142293.0</v>
      </c>
      <c r="U60" s="3" t="n">
        <v>142081.0</v>
      </c>
      <c r="V60" s="3" t="n">
        <v>144531.0</v>
      </c>
      <c r="W60" s="3" t="n">
        <v>149220.0</v>
      </c>
      <c r="X60" s="3" t="n">
        <v>156006.0</v>
      </c>
      <c r="Y60" s="3" t="n">
        <v>163009.0</v>
      </c>
      <c r="Z60" s="3" t="n">
        <v>168983.0</v>
      </c>
      <c r="AA60" s="3" t="n">
        <v>171464.0</v>
      </c>
      <c r="AB60" s="3" t="n">
        <v>172704.0</v>
      </c>
      <c r="AC60" s="3" t="n">
        <v>170860.0</v>
      </c>
      <c r="AD60" s="3" t="n">
        <v>168436.0</v>
      </c>
      <c r="AE60" s="3" t="n">
        <v>166343.0</v>
      </c>
      <c r="AF60" s="3" t="n">
        <v>167015.0</v>
      </c>
      <c r="AG60" s="3" t="n">
        <v>168442.0</v>
      </c>
      <c r="AH60" s="3" t="n">
        <v>169680.0</v>
      </c>
      <c r="AI60" s="3" t="n">
        <v>169444.0</v>
      </c>
      <c r="AJ60" s="3" t="n">
        <v>166798.0</v>
      </c>
      <c r="AK60" s="3" t="n">
        <v>162921.0</v>
      </c>
      <c r="AL60" s="3" t="n">
        <v>155278.0</v>
      </c>
      <c r="AM60" s="3" t="n">
        <v>149722.0</v>
      </c>
      <c r="AN60" s="3" t="n">
        <v>144732.0</v>
      </c>
      <c r="AO60" s="3" t="n">
        <v>141692.0</v>
      </c>
    </row>
    <row r="61" spans="1:41" x14ac:dyDescent="0.2">
      <c r="A61" s="130"/>
      <c r="B61" s="52" t="s">
        <v>28</v>
      </c>
      <c r="C61" s="3" t="n">
        <v>237029.0</v>
      </c>
      <c r="D61" s="3" t="n">
        <v>241532.0</v>
      </c>
      <c r="E61" s="3" t="n">
        <v>242896.0</v>
      </c>
      <c r="F61" s="3" t="n">
        <v>243328.0</v>
      </c>
      <c r="G61" s="3" t="n">
        <v>242955.0</v>
      </c>
      <c r="H61" s="3" t="n">
        <v>239272.0</v>
      </c>
      <c r="I61" s="3" t="n">
        <v>234261.0</v>
      </c>
      <c r="J61" s="3" t="n">
        <v>228528.0</v>
      </c>
      <c r="K61" s="3" t="n">
        <v>223795.0</v>
      </c>
      <c r="L61" s="3" t="n">
        <v>219976.0</v>
      </c>
      <c r="M61" s="3" t="n">
        <v>216788.0</v>
      </c>
      <c r="N61" s="3" t="n">
        <v>211819.0</v>
      </c>
      <c r="O61" s="3" t="n">
        <v>206613.0</v>
      </c>
      <c r="P61" s="3" t="n">
        <v>198806.0</v>
      </c>
      <c r="Q61" s="3" t="n">
        <v>190579.0</v>
      </c>
      <c r="R61" s="3" t="n">
        <v>181828.0</v>
      </c>
      <c r="S61" s="3" t="n">
        <v>173030.0</v>
      </c>
      <c r="T61" s="3" t="n">
        <v>164926.0</v>
      </c>
      <c r="U61" s="3" t="n">
        <v>158874.0</v>
      </c>
      <c r="V61" s="3" t="n">
        <v>153107.0</v>
      </c>
      <c r="W61" s="3" t="n">
        <v>148426.0</v>
      </c>
      <c r="X61" s="3" t="n">
        <v>145174.0</v>
      </c>
      <c r="Y61" s="3" t="n">
        <v>143781.0</v>
      </c>
      <c r="Z61" s="3" t="n">
        <v>143520.0</v>
      </c>
      <c r="AA61" s="3" t="n">
        <v>145928.0</v>
      </c>
      <c r="AB61" s="3" t="n">
        <v>150592.0</v>
      </c>
      <c r="AC61" s="3" t="n">
        <v>157399.0</v>
      </c>
      <c r="AD61" s="3" t="n">
        <v>164410.0</v>
      </c>
      <c r="AE61" s="3" t="n">
        <v>170332.0</v>
      </c>
      <c r="AF61" s="3" t="n">
        <v>172778.0</v>
      </c>
      <c r="AG61" s="3" t="n">
        <v>173956.0</v>
      </c>
      <c r="AH61" s="3" t="n">
        <v>172055.0</v>
      </c>
      <c r="AI61" s="3" t="n">
        <v>169587.0</v>
      </c>
      <c r="AJ61" s="3" t="n">
        <v>167471.0</v>
      </c>
      <c r="AK61" s="3" t="n">
        <v>168100.0</v>
      </c>
      <c r="AL61" s="3" t="n">
        <v>169521.0</v>
      </c>
      <c r="AM61" s="3" t="n">
        <v>170739.0</v>
      </c>
      <c r="AN61" s="3" t="n">
        <v>170485.0</v>
      </c>
      <c r="AO61" s="3" t="n">
        <v>167818.0</v>
      </c>
    </row>
    <row r="62" spans="1:41" x14ac:dyDescent="0.2">
      <c r="A62" s="130"/>
      <c r="B62" s="52" t="s">
        <v>29</v>
      </c>
      <c r="C62" s="3" t="n">
        <v>217086.0</v>
      </c>
      <c r="D62" s="3" t="n">
        <v>223478.0</v>
      </c>
      <c r="E62" s="3" t="n">
        <v>229470.0</v>
      </c>
      <c r="F62" s="3" t="n">
        <v>233158.0</v>
      </c>
      <c r="G62" s="3" t="n">
        <v>233756.0</v>
      </c>
      <c r="H62" s="3" t="n">
        <v>237550.0</v>
      </c>
      <c r="I62" s="3" t="n">
        <v>243371.0</v>
      </c>
      <c r="J62" s="3" t="n">
        <v>245470.0</v>
      </c>
      <c r="K62" s="3" t="n">
        <v>246256.0</v>
      </c>
      <c r="L62" s="3" t="n">
        <v>246098.0</v>
      </c>
      <c r="M62" s="3" t="n">
        <v>241452.0</v>
      </c>
      <c r="N62" s="3" t="n">
        <v>234997.0</v>
      </c>
      <c r="O62" s="3" t="n">
        <v>228602.0</v>
      </c>
      <c r="P62" s="3" t="n">
        <v>223559.0</v>
      </c>
      <c r="Q62" s="3" t="n">
        <v>219563.0</v>
      </c>
      <c r="R62" s="3" t="n">
        <v>216281.0</v>
      </c>
      <c r="S62" s="3" t="n">
        <v>211295.0</v>
      </c>
      <c r="T62" s="3" t="n">
        <v>206078.0</v>
      </c>
      <c r="U62" s="3" t="n">
        <v>198309.0</v>
      </c>
      <c r="V62" s="3" t="n">
        <v>190145.0</v>
      </c>
      <c r="W62" s="3" t="n">
        <v>181517.0</v>
      </c>
      <c r="X62" s="3" t="n">
        <v>172829.0</v>
      </c>
      <c r="Y62" s="3" t="n">
        <v>164835.0</v>
      </c>
      <c r="Z62" s="3" t="n">
        <v>158864.0</v>
      </c>
      <c r="AA62" s="3" t="n">
        <v>153140.0</v>
      </c>
      <c r="AB62" s="3" t="n">
        <v>148497.0</v>
      </c>
      <c r="AC62" s="3" t="n">
        <v>145248.0</v>
      </c>
      <c r="AD62" s="3" t="n">
        <v>143824.0</v>
      </c>
      <c r="AE62" s="3" t="n">
        <v>143534.0</v>
      </c>
      <c r="AF62" s="3" t="n">
        <v>145914.0</v>
      </c>
      <c r="AG62" s="3" t="n">
        <v>150550.0</v>
      </c>
      <c r="AH62" s="3" t="n">
        <v>157328.0</v>
      </c>
      <c r="AI62" s="3" t="n">
        <v>164280.0</v>
      </c>
      <c r="AJ62" s="3" t="n">
        <v>170135.0</v>
      </c>
      <c r="AK62" s="3" t="n">
        <v>172549.0</v>
      </c>
      <c r="AL62" s="3" t="n">
        <v>173705.0</v>
      </c>
      <c r="AM62" s="3" t="n">
        <v>171778.0</v>
      </c>
      <c r="AN62" s="3" t="n">
        <v>169288.0</v>
      </c>
      <c r="AO62" s="3" t="n">
        <v>167171.0</v>
      </c>
    </row>
    <row r="63" spans="1:41" x14ac:dyDescent="0.2">
      <c r="A63" s="130"/>
      <c r="B63" s="52" t="s">
        <v>30</v>
      </c>
      <c r="C63" s="3" t="n">
        <v>168375.0</v>
      </c>
      <c r="D63" s="3" t="n">
        <v>176410.0</v>
      </c>
      <c r="E63" s="3" t="n">
        <v>185945.0</v>
      </c>
      <c r="F63" s="3" t="n">
        <v>195947.0</v>
      </c>
      <c r="G63" s="3" t="n">
        <v>206397.0</v>
      </c>
      <c r="H63" s="3" t="n">
        <v>215400.0</v>
      </c>
      <c r="I63" s="3" t="n">
        <v>222683.0</v>
      </c>
      <c r="J63" s="3" t="n">
        <v>229133.0</v>
      </c>
      <c r="K63" s="3" t="n">
        <v>233092.0</v>
      </c>
      <c r="L63" s="3" t="n">
        <v>233893.0</v>
      </c>
      <c r="M63" s="3" t="n">
        <v>236964.0</v>
      </c>
      <c r="N63" s="3" t="n">
        <v>241658.0</v>
      </c>
      <c r="O63" s="3" t="n">
        <v>243217.0</v>
      </c>
      <c r="P63" s="3" t="n">
        <v>243784.0</v>
      </c>
      <c r="Q63" s="3" t="n">
        <v>243492.0</v>
      </c>
      <c r="R63" s="3" t="n">
        <v>238819.0</v>
      </c>
      <c r="S63" s="3" t="n">
        <v>232403.0</v>
      </c>
      <c r="T63" s="3" t="n">
        <v>226075.0</v>
      </c>
      <c r="U63" s="3" t="n">
        <v>221074.0</v>
      </c>
      <c r="V63" s="3" t="n">
        <v>217119.0</v>
      </c>
      <c r="W63" s="3" t="n">
        <v>213833.0</v>
      </c>
      <c r="X63" s="3" t="n">
        <v>208900.0</v>
      </c>
      <c r="Y63" s="3" t="n">
        <v>203744.0</v>
      </c>
      <c r="Z63" s="3" t="n">
        <v>196074.0</v>
      </c>
      <c r="AA63" s="3" t="n">
        <v>188042.0</v>
      </c>
      <c r="AB63" s="3" t="n">
        <v>179563.0</v>
      </c>
      <c r="AC63" s="3" t="n">
        <v>171041.0</v>
      </c>
      <c r="AD63" s="3" t="n">
        <v>163205.0</v>
      </c>
      <c r="AE63" s="3" t="n">
        <v>157362.0</v>
      </c>
      <c r="AF63" s="3" t="n">
        <v>151746.0</v>
      </c>
      <c r="AG63" s="3" t="n">
        <v>147154.0</v>
      </c>
      <c r="AH63" s="3" t="n">
        <v>143945.0</v>
      </c>
      <c r="AI63" s="3" t="n">
        <v>142542.0</v>
      </c>
      <c r="AJ63" s="3" t="n">
        <v>142264.0</v>
      </c>
      <c r="AK63" s="3" t="n">
        <v>144598.0</v>
      </c>
      <c r="AL63" s="3" t="n">
        <v>149150.0</v>
      </c>
      <c r="AM63" s="3" t="n">
        <v>155843.0</v>
      </c>
      <c r="AN63" s="3" t="n">
        <v>162719.0</v>
      </c>
      <c r="AO63" s="3" t="n">
        <v>168495.0</v>
      </c>
    </row>
    <row r="64" spans="1:41" x14ac:dyDescent="0.2">
      <c r="A64" s="130"/>
      <c r="B64" s="52" t="s">
        <v>31</v>
      </c>
      <c r="C64" s="3" t="n">
        <v>150647.0</v>
      </c>
      <c r="D64" s="3" t="n">
        <v>150142.0</v>
      </c>
      <c r="E64" s="3" t="n">
        <v>150904.0</v>
      </c>
      <c r="F64" s="3" t="n">
        <v>154347.0</v>
      </c>
      <c r="G64" s="3" t="n">
        <v>158972.0</v>
      </c>
      <c r="H64" s="3" t="n">
        <v>165866.0</v>
      </c>
      <c r="I64" s="3" t="n">
        <v>174450.0</v>
      </c>
      <c r="J64" s="3" t="n">
        <v>184178.0</v>
      </c>
      <c r="K64" s="3" t="n">
        <v>194194.0</v>
      </c>
      <c r="L64" s="3" t="n">
        <v>204552.0</v>
      </c>
      <c r="M64" s="3" t="n">
        <v>212826.0</v>
      </c>
      <c r="N64" s="3" t="n">
        <v>219142.0</v>
      </c>
      <c r="O64" s="3" t="n">
        <v>225080.0</v>
      </c>
      <c r="P64" s="3" t="n">
        <v>228825.0</v>
      </c>
      <c r="Q64" s="3" t="n">
        <v>229577.0</v>
      </c>
      <c r="R64" s="3" t="n">
        <v>232597.0</v>
      </c>
      <c r="S64" s="3" t="n">
        <v>237228.0</v>
      </c>
      <c r="T64" s="3" t="n">
        <v>238809.0</v>
      </c>
      <c r="U64" s="3" t="n">
        <v>239397.0</v>
      </c>
      <c r="V64" s="3" t="n">
        <v>239104.0</v>
      </c>
      <c r="W64" s="3" t="n">
        <v>234497.0</v>
      </c>
      <c r="X64" s="3" t="n">
        <v>228201.0</v>
      </c>
      <c r="Y64" s="3" t="n">
        <v>221996.0</v>
      </c>
      <c r="Z64" s="3" t="n">
        <v>217105.0</v>
      </c>
      <c r="AA64" s="3" t="n">
        <v>213225.0</v>
      </c>
      <c r="AB64" s="3" t="n">
        <v>209987.0</v>
      </c>
      <c r="AC64" s="3" t="n">
        <v>205134.0</v>
      </c>
      <c r="AD64" s="3" t="n">
        <v>200064.0</v>
      </c>
      <c r="AE64" s="3" t="n">
        <v>192555.0</v>
      </c>
      <c r="AF64" s="3" t="n">
        <v>184727.0</v>
      </c>
      <c r="AG64" s="3" t="n">
        <v>176468.0</v>
      </c>
      <c r="AH64" s="3" t="n">
        <v>168143.0</v>
      </c>
      <c r="AI64" s="3" t="n">
        <v>160497.0</v>
      </c>
      <c r="AJ64" s="3" t="n">
        <v>154803.0</v>
      </c>
      <c r="AK64" s="3" t="n">
        <v>149320.0</v>
      </c>
      <c r="AL64" s="3" t="n">
        <v>144859.0</v>
      </c>
      <c r="AM64" s="3" t="n">
        <v>141731.0</v>
      </c>
      <c r="AN64" s="3" t="n">
        <v>140356.0</v>
      </c>
      <c r="AO64" s="3" t="n">
        <v>140082.0</v>
      </c>
    </row>
    <row r="65" spans="1:41" x14ac:dyDescent="0.2">
      <c r="A65" s="130"/>
      <c r="B65" s="52" t="s">
        <v>32</v>
      </c>
      <c r="C65" s="3" t="n">
        <v>170766.0</v>
      </c>
      <c r="D65" s="3" t="n">
        <v>162602.0</v>
      </c>
      <c r="E65" s="3" t="n">
        <v>155614.0</v>
      </c>
      <c r="F65" s="3" t="n">
        <v>150552.0</v>
      </c>
      <c r="G65" s="3" t="n">
        <v>147908.0</v>
      </c>
      <c r="H65" s="3" t="n">
        <v>147009.0</v>
      </c>
      <c r="I65" s="3" t="n">
        <v>147160.0</v>
      </c>
      <c r="J65" s="3" t="n">
        <v>148210.0</v>
      </c>
      <c r="K65" s="3" t="n">
        <v>151681.0</v>
      </c>
      <c r="L65" s="3" t="n">
        <v>156264.0</v>
      </c>
      <c r="M65" s="3" t="n">
        <v>162530.0</v>
      </c>
      <c r="N65" s="3" t="n">
        <v>170217.0</v>
      </c>
      <c r="O65" s="3" t="n">
        <v>179367.0</v>
      </c>
      <c r="P65" s="3" t="n">
        <v>188964.0</v>
      </c>
      <c r="Q65" s="3" t="n">
        <v>198956.0</v>
      </c>
      <c r="R65" s="3" t="n">
        <v>206958.0</v>
      </c>
      <c r="S65" s="3" t="n">
        <v>213126.0</v>
      </c>
      <c r="T65" s="3" t="n">
        <v>218931.0</v>
      </c>
      <c r="U65" s="3" t="n">
        <v>222621.0</v>
      </c>
      <c r="V65" s="3" t="n">
        <v>223403.0</v>
      </c>
      <c r="W65" s="3" t="n">
        <v>226394.0</v>
      </c>
      <c r="X65" s="3" t="n">
        <v>230977.0</v>
      </c>
      <c r="Y65" s="3" t="n">
        <v>232577.0</v>
      </c>
      <c r="Z65" s="3" t="n">
        <v>233177.0</v>
      </c>
      <c r="AA65" s="3" t="n">
        <v>232897.0</v>
      </c>
      <c r="AB65" s="3" t="n">
        <v>228456.0</v>
      </c>
      <c r="AC65" s="3" t="n">
        <v>222361.0</v>
      </c>
      <c r="AD65" s="3" t="n">
        <v>216350.0</v>
      </c>
      <c r="AE65" s="3" t="n">
        <v>211613.0</v>
      </c>
      <c r="AF65" s="3" t="n">
        <v>207858.0</v>
      </c>
      <c r="AG65" s="3" t="n">
        <v>204708.0</v>
      </c>
      <c r="AH65" s="3" t="n">
        <v>199985.0</v>
      </c>
      <c r="AI65" s="3" t="n">
        <v>195076.0</v>
      </c>
      <c r="AJ65" s="3" t="n">
        <v>187797.0</v>
      </c>
      <c r="AK65" s="3" t="n">
        <v>180226.0</v>
      </c>
      <c r="AL65" s="3" t="n">
        <v>172244.0</v>
      </c>
      <c r="AM65" s="3" t="n">
        <v>164178.0</v>
      </c>
      <c r="AN65" s="3" t="n">
        <v>156757.0</v>
      </c>
      <c r="AO65" s="3" t="n">
        <v>151250.0</v>
      </c>
    </row>
    <row r="66" spans="1:41" x14ac:dyDescent="0.2">
      <c r="A66" s="130"/>
      <c r="B66" s="53" t="s">
        <v>33</v>
      </c>
      <c r="C66" s="3" t="n">
        <v>194450.0</v>
      </c>
      <c r="D66" s="3" t="n">
        <v>192270.0</v>
      </c>
      <c r="E66" s="3" t="n">
        <v>188450.0</v>
      </c>
      <c r="F66" s="3" t="n">
        <v>180941.0</v>
      </c>
      <c r="G66" s="3" t="n">
        <v>172455.0</v>
      </c>
      <c r="H66" s="3" t="n">
        <v>163660.0</v>
      </c>
      <c r="I66" s="3" t="n">
        <v>156416.0</v>
      </c>
      <c r="J66" s="3" t="n">
        <v>150119.0</v>
      </c>
      <c r="K66" s="3" t="n">
        <v>145505.0</v>
      </c>
      <c r="L66" s="3" t="n">
        <v>143129.0</v>
      </c>
      <c r="M66" s="3" t="n">
        <v>142013.0</v>
      </c>
      <c r="N66" s="3" t="n">
        <v>141698.0</v>
      </c>
      <c r="O66" s="3" t="n">
        <v>142496.0</v>
      </c>
      <c r="P66" s="3" t="n">
        <v>145754.0</v>
      </c>
      <c r="Q66" s="3" t="n">
        <v>150135.0</v>
      </c>
      <c r="R66" s="3" t="n">
        <v>156152.0</v>
      </c>
      <c r="S66" s="3" t="n">
        <v>163555.0</v>
      </c>
      <c r="T66" s="3" t="n">
        <v>172326.0</v>
      </c>
      <c r="U66" s="3" t="n">
        <v>181550.0</v>
      </c>
      <c r="V66" s="3" t="n">
        <v>191181.0</v>
      </c>
      <c r="W66" s="3" t="n">
        <v>198914.0</v>
      </c>
      <c r="X66" s="3" t="n">
        <v>204864.0</v>
      </c>
      <c r="Y66" s="3" t="n">
        <v>210493.0</v>
      </c>
      <c r="Z66" s="3" t="n">
        <v>214090.0</v>
      </c>
      <c r="AA66" s="3" t="n">
        <v>214908.0</v>
      </c>
      <c r="AB66" s="3" t="n">
        <v>217878.0</v>
      </c>
      <c r="AC66" s="3" t="n">
        <v>222371.0</v>
      </c>
      <c r="AD66" s="3" t="n">
        <v>223972.0</v>
      </c>
      <c r="AE66" s="3" t="n">
        <v>224630.0</v>
      </c>
      <c r="AF66" s="3" t="n">
        <v>224401.0</v>
      </c>
      <c r="AG66" s="3" t="n">
        <v>220124.0</v>
      </c>
      <c r="AH66" s="3" t="n">
        <v>214337.0</v>
      </c>
      <c r="AI66" s="3" t="n">
        <v>208612.0</v>
      </c>
      <c r="AJ66" s="3" t="n">
        <v>204108.0</v>
      </c>
      <c r="AK66" s="3" t="n">
        <v>200530.0</v>
      </c>
      <c r="AL66" s="3" t="n">
        <v>197513.0</v>
      </c>
      <c r="AM66" s="3" t="n">
        <v>192992.0</v>
      </c>
      <c r="AN66" s="3" t="n">
        <v>188272.0</v>
      </c>
      <c r="AO66" s="3" t="n">
        <v>181298.0</v>
      </c>
    </row>
    <row r="67" spans="1:41" x14ac:dyDescent="0.2">
      <c r="A67" s="130"/>
      <c r="B67" s="52" t="s">
        <v>34</v>
      </c>
      <c r="C67" s="3" t="n">
        <v>163232.0</v>
      </c>
      <c r="D67" s="3" t="n">
        <v>168774.0</v>
      </c>
      <c r="E67" s="3" t="n">
        <v>173973.0</v>
      </c>
      <c r="F67" s="3" t="n">
        <v>178587.0</v>
      </c>
      <c r="G67" s="3" t="n">
        <v>180425.0</v>
      </c>
      <c r="H67" s="3" t="n">
        <v>181219.0</v>
      </c>
      <c r="I67" s="3" t="n">
        <v>179637.0</v>
      </c>
      <c r="J67" s="3" t="n">
        <v>176389.0</v>
      </c>
      <c r="K67" s="3" t="n">
        <v>169606.0</v>
      </c>
      <c r="L67" s="3" t="n">
        <v>161902.0</v>
      </c>
      <c r="M67" s="3" t="n">
        <v>153668.0</v>
      </c>
      <c r="N67" s="3" t="n">
        <v>146749.0</v>
      </c>
      <c r="O67" s="3" t="n">
        <v>140878.0</v>
      </c>
      <c r="P67" s="3" t="n">
        <v>136611.0</v>
      </c>
      <c r="Q67" s="3" t="n">
        <v>134428.0</v>
      </c>
      <c r="R67" s="3" t="n">
        <v>133440.0</v>
      </c>
      <c r="S67" s="3" t="n">
        <v>133215.0</v>
      </c>
      <c r="T67" s="3" t="n">
        <v>134039.0</v>
      </c>
      <c r="U67" s="3" t="n">
        <v>137168.0</v>
      </c>
      <c r="V67" s="3" t="n">
        <v>141351.0</v>
      </c>
      <c r="W67" s="3" t="n">
        <v>147064.0</v>
      </c>
      <c r="X67" s="3" t="n">
        <v>154076.0</v>
      </c>
      <c r="Y67" s="3" t="n">
        <v>162389.0</v>
      </c>
      <c r="Z67" s="3" t="n">
        <v>171151.0</v>
      </c>
      <c r="AA67" s="3" t="n">
        <v>180250.0</v>
      </c>
      <c r="AB67" s="3" t="n">
        <v>187574.0</v>
      </c>
      <c r="AC67" s="3" t="n">
        <v>193224.0</v>
      </c>
      <c r="AD67" s="3" t="n">
        <v>198597.0</v>
      </c>
      <c r="AE67" s="3" t="n">
        <v>202092.0</v>
      </c>
      <c r="AF67" s="3" t="n">
        <v>202976.0</v>
      </c>
      <c r="AG67" s="3" t="n">
        <v>205884.0</v>
      </c>
      <c r="AH67" s="3" t="n">
        <v>210233.0</v>
      </c>
      <c r="AI67" s="3" t="n">
        <v>211848.0</v>
      </c>
      <c r="AJ67" s="3" t="n">
        <v>212553.0</v>
      </c>
      <c r="AK67" s="3" t="n">
        <v>212372.0</v>
      </c>
      <c r="AL67" s="3" t="n">
        <v>208420.0</v>
      </c>
      <c r="AM67" s="3" t="n">
        <v>203016.0</v>
      </c>
      <c r="AN67" s="3" t="n">
        <v>197654.0</v>
      </c>
      <c r="AO67" s="3" t="n">
        <v>193464.0</v>
      </c>
    </row>
    <row r="68" spans="1:41" x14ac:dyDescent="0.2">
      <c r="A68" s="130"/>
      <c r="B68" s="52" t="s">
        <v>35</v>
      </c>
      <c r="C68" s="3" t="n">
        <v>104838.0</v>
      </c>
      <c r="D68" s="3" t="n">
        <v>114678.0</v>
      </c>
      <c r="E68" s="3" t="n">
        <v>123452.0</v>
      </c>
      <c r="F68" s="3" t="n">
        <v>133593.0</v>
      </c>
      <c r="G68" s="3" t="n">
        <v>140116.0</v>
      </c>
      <c r="H68" s="3" t="n">
        <v>145492.0</v>
      </c>
      <c r="I68" s="3" t="n">
        <v>150778.0</v>
      </c>
      <c r="J68" s="3" t="n">
        <v>155641.0</v>
      </c>
      <c r="K68" s="3" t="n">
        <v>159942.0</v>
      </c>
      <c r="L68" s="3" t="n">
        <v>161755.0</v>
      </c>
      <c r="M68" s="3" t="n">
        <v>162533.0</v>
      </c>
      <c r="N68" s="3" t="n">
        <v>161134.0</v>
      </c>
      <c r="O68" s="3" t="n">
        <v>158312.0</v>
      </c>
      <c r="P68" s="3" t="n">
        <v>152391.0</v>
      </c>
      <c r="Q68" s="3" t="n">
        <v>145626.0</v>
      </c>
      <c r="R68" s="3" t="n">
        <v>138381.0</v>
      </c>
      <c r="S68" s="3" t="n">
        <v>132351.0</v>
      </c>
      <c r="T68" s="3" t="n">
        <v>127235.0</v>
      </c>
      <c r="U68" s="3" t="n">
        <v>123529.0</v>
      </c>
      <c r="V68" s="3" t="n">
        <v>121674.0</v>
      </c>
      <c r="W68" s="3" t="n">
        <v>120893.0</v>
      </c>
      <c r="X68" s="3" t="n">
        <v>120843.0</v>
      </c>
      <c r="Y68" s="3" t="n">
        <v>121711.0</v>
      </c>
      <c r="Z68" s="3" t="n">
        <v>124617.0</v>
      </c>
      <c r="AA68" s="3" t="n">
        <v>128515.0</v>
      </c>
      <c r="AB68" s="3" t="n">
        <v>133787.0</v>
      </c>
      <c r="AC68" s="3" t="n">
        <v>140277.0</v>
      </c>
      <c r="AD68" s="3" t="n">
        <v>147929.0</v>
      </c>
      <c r="AE68" s="3" t="n">
        <v>156011.0</v>
      </c>
      <c r="AF68" s="3" t="n">
        <v>164413.0</v>
      </c>
      <c r="AG68" s="3" t="n">
        <v>171148.0</v>
      </c>
      <c r="AH68" s="3" t="n">
        <v>176363.0</v>
      </c>
      <c r="AI68" s="3" t="n">
        <v>181364.0</v>
      </c>
      <c r="AJ68" s="3" t="n">
        <v>184684.0</v>
      </c>
      <c r="AK68" s="3" t="n">
        <v>185638.0</v>
      </c>
      <c r="AL68" s="3" t="n">
        <v>188474.0</v>
      </c>
      <c r="AM68" s="3" t="n">
        <v>192620.0</v>
      </c>
      <c r="AN68" s="3" t="n">
        <v>194259.0</v>
      </c>
      <c r="AO68" s="3" t="n">
        <v>195013.0</v>
      </c>
    </row>
    <row r="69" spans="1:41" x14ac:dyDescent="0.2">
      <c r="A69" s="130"/>
      <c r="B69" s="52" t="s">
        <v>36</v>
      </c>
      <c r="C69" s="3" t="n">
        <v>75206.0</v>
      </c>
      <c r="D69" s="3" t="n">
        <v>72830.0</v>
      </c>
      <c r="E69" s="3" t="n">
        <v>72120.0</v>
      </c>
      <c r="F69" s="3" t="n">
        <v>72225.0</v>
      </c>
      <c r="G69" s="3" t="n">
        <v>77976.0</v>
      </c>
      <c r="H69" s="3" t="n">
        <v>86026.0</v>
      </c>
      <c r="I69" s="3" t="n">
        <v>94499.0</v>
      </c>
      <c r="J69" s="3" t="n">
        <v>101903.0</v>
      </c>
      <c r="K69" s="3" t="n">
        <v>110247.0</v>
      </c>
      <c r="L69" s="3" t="n">
        <v>115835.0</v>
      </c>
      <c r="M69" s="3" t="n">
        <v>120419.0</v>
      </c>
      <c r="N69" s="3" t="n">
        <v>124921.0</v>
      </c>
      <c r="O69" s="3" t="n">
        <v>129035.0</v>
      </c>
      <c r="P69" s="3" t="n">
        <v>132758.0</v>
      </c>
      <c r="Q69" s="3" t="n">
        <v>134456.0</v>
      </c>
      <c r="R69" s="3" t="n">
        <v>135300.0</v>
      </c>
      <c r="S69" s="3" t="n">
        <v>134343.0</v>
      </c>
      <c r="T69" s="3" t="n">
        <v>132157.0</v>
      </c>
      <c r="U69" s="3" t="n">
        <v>127397.0</v>
      </c>
      <c r="V69" s="3" t="n">
        <v>121898.0</v>
      </c>
      <c r="W69" s="3" t="n">
        <v>116046.0</v>
      </c>
      <c r="X69" s="3" t="n">
        <v>111249.0</v>
      </c>
      <c r="Y69" s="3" t="n">
        <v>107245.0</v>
      </c>
      <c r="Z69" s="3" t="n">
        <v>104300.0</v>
      </c>
      <c r="AA69" s="3" t="n">
        <v>102896.0</v>
      </c>
      <c r="AB69" s="3" t="n">
        <v>102375.0</v>
      </c>
      <c r="AC69" s="3" t="n">
        <v>102508.0</v>
      </c>
      <c r="AD69" s="3" t="n">
        <v>103412.0</v>
      </c>
      <c r="AE69" s="3" t="n">
        <v>106060.0</v>
      </c>
      <c r="AF69" s="3" t="n">
        <v>109571.0</v>
      </c>
      <c r="AG69" s="3" t="n">
        <v>114207.0</v>
      </c>
      <c r="AH69" s="3" t="n">
        <v>119935.0</v>
      </c>
      <c r="AI69" s="3" t="n">
        <v>126600.0</v>
      </c>
      <c r="AJ69" s="3" t="n">
        <v>133660.0</v>
      </c>
      <c r="AK69" s="3" t="n">
        <v>140999.0</v>
      </c>
      <c r="AL69" s="3" t="n">
        <v>146919.0</v>
      </c>
      <c r="AM69" s="3" t="n">
        <v>151462.0</v>
      </c>
      <c r="AN69" s="3" t="n">
        <v>155894.0</v>
      </c>
      <c r="AO69" s="3" t="n">
        <v>158920.0</v>
      </c>
    </row>
    <row r="70" spans="1:41" x14ac:dyDescent="0.2">
      <c r="A70" s="130"/>
      <c r="B70" s="52" t="s">
        <v>37</v>
      </c>
      <c r="C70" s="3" t="n">
        <v>55297.0</v>
      </c>
      <c r="D70" s="3" t="n">
        <v>55458.0</v>
      </c>
      <c r="E70" s="3" t="n">
        <v>54963.0</v>
      </c>
      <c r="F70" s="3" t="n">
        <v>53816.0</v>
      </c>
      <c r="G70" s="3" t="n">
        <v>52077.0</v>
      </c>
      <c r="H70" s="3" t="n">
        <v>50267.0</v>
      </c>
      <c r="I70" s="3" t="n">
        <v>49099.0</v>
      </c>
      <c r="J70" s="3" t="n">
        <v>49016.0</v>
      </c>
      <c r="K70" s="3" t="n">
        <v>49399.0</v>
      </c>
      <c r="L70" s="3" t="n">
        <v>53866.0</v>
      </c>
      <c r="M70" s="3" t="n">
        <v>59722.0</v>
      </c>
      <c r="N70" s="3" t="n">
        <v>65765.0</v>
      </c>
      <c r="O70" s="3" t="n">
        <v>70953.0</v>
      </c>
      <c r="P70" s="3" t="n">
        <v>76739.0</v>
      </c>
      <c r="Q70" s="3" t="n">
        <v>80898.0</v>
      </c>
      <c r="R70" s="3" t="n">
        <v>84395.0</v>
      </c>
      <c r="S70" s="3" t="n">
        <v>87851.0</v>
      </c>
      <c r="T70" s="3" t="n">
        <v>90925.0</v>
      </c>
      <c r="U70" s="3" t="n">
        <v>93824.0</v>
      </c>
      <c r="V70" s="3" t="n">
        <v>95263.0</v>
      </c>
      <c r="W70" s="3" t="n">
        <v>96126.0</v>
      </c>
      <c r="X70" s="3" t="n">
        <v>95698.0</v>
      </c>
      <c r="Y70" s="3" t="n">
        <v>94333.0</v>
      </c>
      <c r="Z70" s="3" t="n">
        <v>91098.0</v>
      </c>
      <c r="AA70" s="3" t="n">
        <v>87313.0</v>
      </c>
      <c r="AB70" s="3" t="n">
        <v>83361.0</v>
      </c>
      <c r="AC70" s="3" t="n">
        <v>80240.0</v>
      </c>
      <c r="AD70" s="3" t="n">
        <v>77676.0</v>
      </c>
      <c r="AE70" s="3" t="n">
        <v>75848.0</v>
      </c>
      <c r="AF70" s="3" t="n">
        <v>75102.0</v>
      </c>
      <c r="AG70" s="3" t="n">
        <v>74909.0</v>
      </c>
      <c r="AH70" s="3" t="n">
        <v>75255.0</v>
      </c>
      <c r="AI70" s="3" t="n">
        <v>76168.0</v>
      </c>
      <c r="AJ70" s="3" t="n">
        <v>78359.0</v>
      </c>
      <c r="AK70" s="3" t="n">
        <v>81206.0</v>
      </c>
      <c r="AL70" s="3" t="n">
        <v>84937.0</v>
      </c>
      <c r="AM70" s="3" t="n">
        <v>89422.0</v>
      </c>
      <c r="AN70" s="3" t="n">
        <v>94586.0</v>
      </c>
      <c r="AO70" s="3" t="n">
        <v>100108.0</v>
      </c>
    </row>
    <row r="71" spans="1:41" x14ac:dyDescent="0.2">
      <c r="A71" s="130"/>
      <c r="B71" s="52" t="s">
        <v>81</v>
      </c>
      <c r="C71" s="3" t="n">
        <v>26533.0</v>
      </c>
      <c r="D71" s="3" t="n">
        <v>26673.0</v>
      </c>
      <c r="E71" s="3" t="n">
        <v>26849.0</v>
      </c>
      <c r="F71" s="3" t="n">
        <v>27184.0</v>
      </c>
      <c r="G71" s="3" t="n">
        <v>27569.0</v>
      </c>
      <c r="H71" s="3" t="n">
        <v>27755.0</v>
      </c>
      <c r="I71" s="3" t="n">
        <v>28073.0</v>
      </c>
      <c r="J71" s="3" t="n">
        <v>28012.0</v>
      </c>
      <c r="K71" s="3" t="n">
        <v>27584.0</v>
      </c>
      <c r="L71" s="3" t="n">
        <v>26892.0</v>
      </c>
      <c r="M71" s="3" t="n">
        <v>26077.0</v>
      </c>
      <c r="N71" s="3" t="n">
        <v>25636.0</v>
      </c>
      <c r="O71" s="3" t="n">
        <v>25843.0</v>
      </c>
      <c r="P71" s="3" t="n">
        <v>26265.0</v>
      </c>
      <c r="Q71" s="3" t="n">
        <v>29063.0</v>
      </c>
      <c r="R71" s="3" t="n">
        <v>32526.0</v>
      </c>
      <c r="S71" s="3" t="n">
        <v>36013.0</v>
      </c>
      <c r="T71" s="3" t="n">
        <v>38976.0</v>
      </c>
      <c r="U71" s="3" t="n">
        <v>42216.0</v>
      </c>
      <c r="V71" s="3" t="n">
        <v>44765.0</v>
      </c>
      <c r="W71" s="3" t="n">
        <v>46967.0</v>
      </c>
      <c r="X71" s="3" t="n">
        <v>49186.0</v>
      </c>
      <c r="Y71" s="3" t="n">
        <v>51091.0</v>
      </c>
      <c r="Z71" s="3" t="n">
        <v>52911.0</v>
      </c>
      <c r="AA71" s="3" t="n">
        <v>53901.0</v>
      </c>
      <c r="AB71" s="3" t="n">
        <v>54568.0</v>
      </c>
      <c r="AC71" s="3" t="n">
        <v>54526.0</v>
      </c>
      <c r="AD71" s="3" t="n">
        <v>53932.0</v>
      </c>
      <c r="AE71" s="3" t="n">
        <v>52284.0</v>
      </c>
      <c r="AF71" s="3" t="n">
        <v>50329.0</v>
      </c>
      <c r="AG71" s="3" t="n">
        <v>48256.0</v>
      </c>
      <c r="AH71" s="3" t="n">
        <v>46729.0</v>
      </c>
      <c r="AI71" s="3" t="n">
        <v>45514.0</v>
      </c>
      <c r="AJ71" s="3" t="n">
        <v>44679.0</v>
      </c>
      <c r="AK71" s="3" t="n">
        <v>44460.0</v>
      </c>
      <c r="AL71" s="3" t="n">
        <v>44601.0</v>
      </c>
      <c r="AM71" s="3" t="n">
        <v>45052.0</v>
      </c>
      <c r="AN71" s="3" t="n">
        <v>45821.0</v>
      </c>
      <c r="AO71" s="3" t="n">
        <v>47381.0</v>
      </c>
    </row>
    <row r="72" spans="1:41" x14ac:dyDescent="0.2">
      <c r="A72" s="130"/>
      <c r="B72" s="62" t="s">
        <v>82</v>
      </c>
      <c r="C72" s="3" t="n">
        <v>6193.0</v>
      </c>
      <c r="D72" s="3" t="n">
        <v>6623.0</v>
      </c>
      <c r="E72" s="3" t="n">
        <v>7197.0</v>
      </c>
      <c r="F72" s="3" t="n">
        <v>7727.0</v>
      </c>
      <c r="G72" s="3" t="n">
        <v>8280.0</v>
      </c>
      <c r="H72" s="3" t="n">
        <v>8693.0</v>
      </c>
      <c r="I72" s="3" t="n">
        <v>8821.0</v>
      </c>
      <c r="J72" s="3" t="n">
        <v>8986.0</v>
      </c>
      <c r="K72" s="3" t="n">
        <v>9203.0</v>
      </c>
      <c r="L72" s="3" t="n">
        <v>9474.0</v>
      </c>
      <c r="M72" s="3" t="n">
        <v>9628.0</v>
      </c>
      <c r="N72" s="3" t="n">
        <v>9806.0</v>
      </c>
      <c r="O72" s="3" t="n">
        <v>9858.0</v>
      </c>
      <c r="P72" s="3" t="n">
        <v>9782.0</v>
      </c>
      <c r="Q72" s="3" t="n">
        <v>9611.0</v>
      </c>
      <c r="R72" s="3" t="n">
        <v>9411.0</v>
      </c>
      <c r="S72" s="3" t="n">
        <v>9369.0</v>
      </c>
      <c r="T72" s="3" t="n">
        <v>9599.0</v>
      </c>
      <c r="U72" s="3" t="n">
        <v>9887.0</v>
      </c>
      <c r="V72" s="3" t="n">
        <v>11184.0</v>
      </c>
      <c r="W72" s="3" t="n">
        <v>12694.0</v>
      </c>
      <c r="X72" s="3" t="n">
        <v>14185.0</v>
      </c>
      <c r="Y72" s="3" t="n">
        <v>15439.0</v>
      </c>
      <c r="Z72" s="3" t="n">
        <v>16758.0</v>
      </c>
      <c r="AA72" s="3" t="n">
        <v>17899.0</v>
      </c>
      <c r="AB72" s="3" t="n">
        <v>18901.0</v>
      </c>
      <c r="AC72" s="3" t="n">
        <v>19933.0</v>
      </c>
      <c r="AD72" s="3" t="n">
        <v>20787.0</v>
      </c>
      <c r="AE72" s="3" t="n">
        <v>21722.0</v>
      </c>
      <c r="AF72" s="3" t="n">
        <v>22282.0</v>
      </c>
      <c r="AG72" s="3" t="n">
        <v>22680.0</v>
      </c>
      <c r="AH72" s="3" t="n">
        <v>22783.0</v>
      </c>
      <c r="AI72" s="3" t="n">
        <v>22634.0</v>
      </c>
      <c r="AJ72" s="3" t="n">
        <v>22068.0</v>
      </c>
      <c r="AK72" s="3" t="n">
        <v>21346.0</v>
      </c>
      <c r="AL72" s="3" t="n">
        <v>20646.0</v>
      </c>
      <c r="AM72" s="3" t="n">
        <v>20175.0</v>
      </c>
      <c r="AN72" s="3" t="n">
        <v>19830.0</v>
      </c>
      <c r="AO72" s="3" t="n">
        <v>19614.0</v>
      </c>
    </row>
    <row r="73" spans="1:41" x14ac:dyDescent="0.2">
      <c r="A73" s="131"/>
      <c r="B73" s="54" t="s">
        <v>80</v>
      </c>
      <c r="C73" s="4" t="n">
        <v>794.0</v>
      </c>
      <c r="D73" s="4" t="n">
        <v>875.0</v>
      </c>
      <c r="E73" s="4" t="n">
        <v>925.0</v>
      </c>
      <c r="F73" s="4" t="n">
        <v>1026.0</v>
      </c>
      <c r="G73" s="4" t="n">
        <v>1107.0</v>
      </c>
      <c r="H73" s="4" t="n">
        <v>1167.0</v>
      </c>
      <c r="I73" s="4" t="n">
        <v>1287.0</v>
      </c>
      <c r="J73" s="4" t="n">
        <v>1417.0</v>
      </c>
      <c r="K73" s="4" t="n">
        <v>1553.0</v>
      </c>
      <c r="L73" s="4" t="n">
        <v>1688.0</v>
      </c>
      <c r="M73" s="4" t="n">
        <v>1789.0</v>
      </c>
      <c r="N73" s="4" t="n">
        <v>1848.0</v>
      </c>
      <c r="O73" s="4" t="n">
        <v>1921.0</v>
      </c>
      <c r="P73" s="4" t="n">
        <v>2009.0</v>
      </c>
      <c r="Q73" s="4" t="n">
        <v>2124.0</v>
      </c>
      <c r="R73" s="4" t="n">
        <v>2196.0</v>
      </c>
      <c r="S73" s="4" t="n">
        <v>2268.0</v>
      </c>
      <c r="T73" s="4" t="n">
        <v>2320.0</v>
      </c>
      <c r="U73" s="4" t="n">
        <v>2352.0</v>
      </c>
      <c r="V73" s="4" t="n">
        <v>2363.0</v>
      </c>
      <c r="W73" s="4" t="n">
        <v>2362.0</v>
      </c>
      <c r="X73" s="4" t="n">
        <v>2407.0</v>
      </c>
      <c r="Y73" s="4" t="n">
        <v>2510.0</v>
      </c>
      <c r="Z73" s="4" t="n">
        <v>2612.0</v>
      </c>
      <c r="AA73" s="4" t="n">
        <v>2986.0</v>
      </c>
      <c r="AB73" s="4" t="n">
        <v>3383.0</v>
      </c>
      <c r="AC73" s="4" t="n">
        <v>3774.0</v>
      </c>
      <c r="AD73" s="4" t="n">
        <v>4105.0</v>
      </c>
      <c r="AE73" s="4" t="n">
        <v>4460.0</v>
      </c>
      <c r="AF73" s="4" t="n">
        <v>4861.0</v>
      </c>
      <c r="AG73" s="4" t="n">
        <v>5225.0</v>
      </c>
      <c r="AH73" s="4" t="n">
        <v>5594.0</v>
      </c>
      <c r="AI73" s="4" t="n">
        <v>5911.0</v>
      </c>
      <c r="AJ73" s="4" t="n">
        <v>6267.0</v>
      </c>
      <c r="AK73" s="4" t="n">
        <v>6529.0</v>
      </c>
      <c r="AL73" s="4" t="n">
        <v>6771.0</v>
      </c>
      <c r="AM73" s="4" t="n">
        <v>6914.0</v>
      </c>
      <c r="AN73" s="4" t="n">
        <v>6979.0</v>
      </c>
      <c r="AO73" s="4" t="n">
        <v>6941.0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6"/>
      <c r="B1" s="136"/>
      <c r="C1" s="65" t="s">
        <v>67</v>
      </c>
      <c r="D1" s="65"/>
      <c r="E1" s="65"/>
      <c r="F1" s="65"/>
      <c r="G1" s="65"/>
      <c r="H1" s="65"/>
      <c r="I1" s="65"/>
      <c r="J1" s="65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8" t="s">
        <v>84</v>
      </c>
      <c r="B3" s="128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49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3" t="s">
        <v>47</v>
      </c>
      <c r="B8" s="69" t="s">
        <v>65</v>
      </c>
      <c r="C8" s="70" t="n">
        <v>5510612.0</v>
      </c>
      <c r="D8" s="70" t="n">
        <v>5513409.0</v>
      </c>
      <c r="E8" s="70" t="n">
        <v>5515469.0</v>
      </c>
      <c r="F8" s="70" t="n">
        <v>5517177.0</v>
      </c>
      <c r="G8" s="70" t="n">
        <v>5518138.0</v>
      </c>
      <c r="H8" s="70" t="n">
        <v>5537842.0</v>
      </c>
      <c r="I8" s="70" t="n">
        <v>5564070.0</v>
      </c>
      <c r="J8" s="70" t="n">
        <v>5574014.0</v>
      </c>
      <c r="K8" s="70" t="n">
        <v>5575169.0</v>
      </c>
      <c r="L8" s="70" t="n">
        <v>5572162.0</v>
      </c>
      <c r="M8" s="70" t="n">
        <v>5566275.0</v>
      </c>
      <c r="N8" s="70" t="n">
        <v>5558024.0</v>
      </c>
      <c r="O8" s="70" t="n">
        <v>5548347.0</v>
      </c>
      <c r="P8" s="70" t="n">
        <v>5537504.0</v>
      </c>
      <c r="Q8" s="70" t="n">
        <v>5525790.0</v>
      </c>
      <c r="R8" s="70" t="n">
        <v>5513660.0</v>
      </c>
      <c r="S8" s="70" t="n">
        <v>5500953.0</v>
      </c>
      <c r="T8" s="70" t="n">
        <v>5487882.0</v>
      </c>
      <c r="U8" s="70" t="n">
        <v>5474490.0</v>
      </c>
      <c r="V8" s="70" t="n">
        <v>5460886.0</v>
      </c>
      <c r="W8" s="70" t="n">
        <v>5447192.0</v>
      </c>
      <c r="X8" s="70" t="n">
        <v>5433696.0</v>
      </c>
      <c r="Y8" s="70" t="n">
        <v>5420010.0</v>
      </c>
      <c r="Z8" s="70" t="n">
        <v>5405785.0</v>
      </c>
      <c r="AA8" s="70" t="n">
        <v>5391381.0</v>
      </c>
      <c r="AB8" s="70" t="n">
        <v>5376676.0</v>
      </c>
      <c r="AC8" s="70" t="n">
        <v>5361603.0</v>
      </c>
      <c r="AD8" s="70" t="n">
        <v>5346363.0</v>
      </c>
      <c r="AE8" s="70" t="n">
        <v>5330538.0</v>
      </c>
      <c r="AF8" s="70" t="n">
        <v>5314035.0</v>
      </c>
      <c r="AG8" s="70" t="n">
        <v>5296435.0</v>
      </c>
      <c r="AH8" s="70" t="n">
        <v>5277953.0</v>
      </c>
      <c r="AI8" s="70" t="n">
        <v>5258562.0</v>
      </c>
      <c r="AJ8" s="70" t="n">
        <v>5238197.0</v>
      </c>
      <c r="AK8" s="70" t="n">
        <v>5216838.0</v>
      </c>
      <c r="AL8" s="70" t="n">
        <v>5194527.0</v>
      </c>
      <c r="AM8" s="70" t="n">
        <v>5170808.0</v>
      </c>
      <c r="AN8" s="70" t="n">
        <v>5146117.0</v>
      </c>
      <c r="AO8" s="70" t="n">
        <v>5120823.0</v>
      </c>
    </row>
    <row r="9" spans="1:41" x14ac:dyDescent="0.2">
      <c r="A9" s="134"/>
      <c r="B9" s="52" t="s">
        <v>8</v>
      </c>
      <c r="C9" s="3" t="n">
        <v>1069759.0</v>
      </c>
      <c r="D9" s="3" t="n">
        <v>1070170.0</v>
      </c>
      <c r="E9" s="3" t="n">
        <v>1066691.0</v>
      </c>
      <c r="F9" s="3" t="n">
        <v>1060035.0</v>
      </c>
      <c r="G9" s="3" t="n">
        <v>1049026.0</v>
      </c>
      <c r="H9" s="3" t="n">
        <v>1044211.0</v>
      </c>
      <c r="I9" s="3" t="n">
        <v>1040764.0</v>
      </c>
      <c r="J9" s="3" t="n">
        <v>1034199.0</v>
      </c>
      <c r="K9" s="3" t="n">
        <v>1023290.0</v>
      </c>
      <c r="L9" s="3" t="n">
        <v>1012906.0</v>
      </c>
      <c r="M9" s="3" t="n">
        <v>999821.0</v>
      </c>
      <c r="N9" s="3" t="n">
        <v>985309.0</v>
      </c>
      <c r="O9" s="3" t="n">
        <v>969087.0</v>
      </c>
      <c r="P9" s="3" t="n">
        <v>950358.0</v>
      </c>
      <c r="Q9" s="3" t="n">
        <v>933923.0</v>
      </c>
      <c r="R9" s="3" t="n">
        <v>919546.0</v>
      </c>
      <c r="S9" s="3" t="n">
        <v>909656.0</v>
      </c>
      <c r="T9" s="3" t="n">
        <v>900946.0</v>
      </c>
      <c r="U9" s="3" t="n">
        <v>897971.0</v>
      </c>
      <c r="V9" s="3" t="n">
        <v>893304.0</v>
      </c>
      <c r="W9" s="3" t="n">
        <v>889876.0</v>
      </c>
      <c r="X9" s="3" t="n">
        <v>887333.0</v>
      </c>
      <c r="Y9" s="3" t="n">
        <v>885766.0</v>
      </c>
      <c r="Z9" s="3" t="n">
        <v>885116.0</v>
      </c>
      <c r="AA9" s="3" t="n">
        <v>885192.0</v>
      </c>
      <c r="AB9" s="3" t="n">
        <v>885731.0</v>
      </c>
      <c r="AC9" s="3" t="n">
        <v>886614.0</v>
      </c>
      <c r="AD9" s="3" t="n">
        <v>887681.0</v>
      </c>
      <c r="AE9" s="3" t="n">
        <v>888810.0</v>
      </c>
      <c r="AF9" s="3" t="n">
        <v>889817.0</v>
      </c>
      <c r="AG9" s="3" t="n">
        <v>890517.0</v>
      </c>
      <c r="AH9" s="3" t="n">
        <v>890668.0</v>
      </c>
      <c r="AI9" s="3" t="n">
        <v>890053.0</v>
      </c>
      <c r="AJ9" s="3" t="n">
        <v>888510.0</v>
      </c>
      <c r="AK9" s="3" t="n">
        <v>885929.0</v>
      </c>
      <c r="AL9" s="3" t="n">
        <v>882216.0</v>
      </c>
      <c r="AM9" s="3" t="n">
        <v>877338.0</v>
      </c>
      <c r="AN9" s="3" t="n">
        <v>871383.0</v>
      </c>
      <c r="AO9" s="3" t="n">
        <v>864459.0</v>
      </c>
    </row>
    <row r="10" spans="1:41" x14ac:dyDescent="0.2">
      <c r="A10" s="134"/>
      <c r="B10" s="52" t="s">
        <v>9</v>
      </c>
      <c r="C10" s="3" t="n">
        <v>3235722.0</v>
      </c>
      <c r="D10" s="3" t="n">
        <v>3225203.0</v>
      </c>
      <c r="E10" s="3" t="n">
        <v>3220089.0</v>
      </c>
      <c r="F10" s="3" t="n">
        <v>3220313.0</v>
      </c>
      <c r="G10" s="3" t="n">
        <v>3226324.0</v>
      </c>
      <c r="H10" s="3" t="n">
        <v>3244405.0</v>
      </c>
      <c r="I10" s="3" t="n">
        <v>3266364.0</v>
      </c>
      <c r="J10" s="3" t="n">
        <v>3276511.0</v>
      </c>
      <c r="K10" s="3" t="n">
        <v>3281677.0</v>
      </c>
      <c r="L10" s="3" t="n">
        <v>3281313.0</v>
      </c>
      <c r="M10" s="3" t="n">
        <v>3279266.0</v>
      </c>
      <c r="N10" s="3" t="n">
        <v>3274416.0</v>
      </c>
      <c r="O10" s="3" t="n">
        <v>3267558.0</v>
      </c>
      <c r="P10" s="3" t="n">
        <v>3259171.0</v>
      </c>
      <c r="Q10" s="3" t="n">
        <v>3245536.0</v>
      </c>
      <c r="R10" s="3" t="n">
        <v>3228288.0</v>
      </c>
      <c r="S10" s="3" t="n">
        <v>3204809.0</v>
      </c>
      <c r="T10" s="3" t="n">
        <v>3177395.0</v>
      </c>
      <c r="U10" s="3" t="n">
        <v>3143035.0</v>
      </c>
      <c r="V10" s="3" t="n">
        <v>3110530.0</v>
      </c>
      <c r="W10" s="3" t="n">
        <v>3075211.0</v>
      </c>
      <c r="X10" s="3" t="n">
        <v>3037081.0</v>
      </c>
      <c r="Y10" s="3" t="n">
        <v>2998882.0</v>
      </c>
      <c r="Z10" s="3" t="n">
        <v>2960675.0</v>
      </c>
      <c r="AA10" s="3" t="n">
        <v>2924906.0</v>
      </c>
      <c r="AB10" s="3" t="n">
        <v>2888570.0</v>
      </c>
      <c r="AC10" s="3" t="n">
        <v>2850371.0</v>
      </c>
      <c r="AD10" s="3" t="n">
        <v>2814083.0</v>
      </c>
      <c r="AE10" s="3" t="n">
        <v>2777734.0</v>
      </c>
      <c r="AF10" s="3" t="n">
        <v>2743772.0</v>
      </c>
      <c r="AG10" s="3" t="n">
        <v>2712700.0</v>
      </c>
      <c r="AH10" s="3" t="n">
        <v>2683260.0</v>
      </c>
      <c r="AI10" s="3" t="n">
        <v>2656297.0</v>
      </c>
      <c r="AJ10" s="3" t="n">
        <v>2631736.0</v>
      </c>
      <c r="AK10" s="3" t="n">
        <v>2609190.0</v>
      </c>
      <c r="AL10" s="3" t="n">
        <v>2590749.0</v>
      </c>
      <c r="AM10" s="3" t="n">
        <v>2575296.0</v>
      </c>
      <c r="AN10" s="3" t="n">
        <v>2562420.0</v>
      </c>
      <c r="AO10" s="3" t="n">
        <v>2551958.0</v>
      </c>
    </row>
    <row r="11" spans="1:41" x14ac:dyDescent="0.2">
      <c r="A11" s="134"/>
      <c r="B11" s="52" t="s">
        <v>11</v>
      </c>
      <c r="C11" s="3" t="n">
        <v>2031199.0</v>
      </c>
      <c r="D11" s="3" t="n">
        <v>1998879.0</v>
      </c>
      <c r="E11" s="3" t="n">
        <v>1967016.0</v>
      </c>
      <c r="F11" s="3" t="n">
        <v>1937622.0</v>
      </c>
      <c r="G11" s="3" t="n">
        <v>1914806.0</v>
      </c>
      <c r="H11" s="3" t="n">
        <v>1896343.0</v>
      </c>
      <c r="I11" s="3" t="n">
        <v>1878400.0</v>
      </c>
      <c r="J11" s="3" t="n">
        <v>1853150.0</v>
      </c>
      <c r="K11" s="3" t="n">
        <v>1827231.0</v>
      </c>
      <c r="L11" s="3" t="n">
        <v>1802022.0</v>
      </c>
      <c r="M11" s="3" t="n">
        <v>1782044.0</v>
      </c>
      <c r="N11" s="3" t="n">
        <v>1762497.0</v>
      </c>
      <c r="O11" s="3" t="n">
        <v>1746383.0</v>
      </c>
      <c r="P11" s="3" t="n">
        <v>1732418.0</v>
      </c>
      <c r="Q11" s="3" t="n">
        <v>1717624.0</v>
      </c>
      <c r="R11" s="3" t="n">
        <v>1704624.0</v>
      </c>
      <c r="S11" s="3" t="n">
        <v>1690225.0</v>
      </c>
      <c r="T11" s="3" t="n">
        <v>1678175.0</v>
      </c>
      <c r="U11" s="3" t="n">
        <v>1665175.0</v>
      </c>
      <c r="V11" s="3" t="n">
        <v>1656801.0</v>
      </c>
      <c r="W11" s="3" t="n">
        <v>1651124.0</v>
      </c>
      <c r="X11" s="3" t="n">
        <v>1647668.0</v>
      </c>
      <c r="Y11" s="3" t="n">
        <v>1645390.0</v>
      </c>
      <c r="Z11" s="3" t="n">
        <v>1642609.0</v>
      </c>
      <c r="AA11" s="3" t="n">
        <v>1640946.0</v>
      </c>
      <c r="AB11" s="3" t="n">
        <v>1640244.0</v>
      </c>
      <c r="AC11" s="3" t="n">
        <v>1639075.0</v>
      </c>
      <c r="AD11" s="3" t="n">
        <v>1635510.0</v>
      </c>
      <c r="AE11" s="3" t="n">
        <v>1629334.0</v>
      </c>
      <c r="AF11" s="3" t="n">
        <v>1619383.0</v>
      </c>
      <c r="AG11" s="3" t="n">
        <v>1605954.0</v>
      </c>
      <c r="AH11" s="3" t="n">
        <v>1587805.0</v>
      </c>
      <c r="AI11" s="3" t="n">
        <v>1568081.0</v>
      </c>
      <c r="AJ11" s="3" t="n">
        <v>1547735.0</v>
      </c>
      <c r="AK11" s="3" t="n">
        <v>1531528.0</v>
      </c>
      <c r="AL11" s="3" t="n">
        <v>1515327.0</v>
      </c>
      <c r="AM11" s="3" t="n">
        <v>1501902.0</v>
      </c>
      <c r="AN11" s="3" t="n">
        <v>1487554.0</v>
      </c>
      <c r="AO11" s="3" t="n">
        <v>1473187.0</v>
      </c>
    </row>
    <row r="12" spans="1:41" x14ac:dyDescent="0.2">
      <c r="A12" s="134"/>
      <c r="B12" s="52" t="s">
        <v>12</v>
      </c>
      <c r="C12" s="3" t="n">
        <v>1204523.0</v>
      </c>
      <c r="D12" s="3" t="n">
        <v>1226324.0</v>
      </c>
      <c r="E12" s="3" t="n">
        <v>1253073.0</v>
      </c>
      <c r="F12" s="3" t="n">
        <v>1282691.0</v>
      </c>
      <c r="G12" s="3" t="n">
        <v>1311518.0</v>
      </c>
      <c r="H12" s="3" t="n">
        <v>1348062.0</v>
      </c>
      <c r="I12" s="3" t="n">
        <v>1387964.0</v>
      </c>
      <c r="J12" s="3" t="n">
        <v>1423361.0</v>
      </c>
      <c r="K12" s="3" t="n">
        <v>1454446.0</v>
      </c>
      <c r="L12" s="3" t="n">
        <v>1479291.0</v>
      </c>
      <c r="M12" s="3" t="n">
        <v>1497222.0</v>
      </c>
      <c r="N12" s="3" t="n">
        <v>1511919.0</v>
      </c>
      <c r="O12" s="3" t="n">
        <v>1521175.0</v>
      </c>
      <c r="P12" s="3" t="n">
        <v>1526753.0</v>
      </c>
      <c r="Q12" s="3" t="n">
        <v>1527912.0</v>
      </c>
      <c r="R12" s="3" t="n">
        <v>1523664.0</v>
      </c>
      <c r="S12" s="3" t="n">
        <v>1514584.0</v>
      </c>
      <c r="T12" s="3" t="n">
        <v>1499220.0</v>
      </c>
      <c r="U12" s="3" t="n">
        <v>1477860.0</v>
      </c>
      <c r="V12" s="3" t="n">
        <v>1453729.0</v>
      </c>
      <c r="W12" s="3" t="n">
        <v>1424087.0</v>
      </c>
      <c r="X12" s="3" t="n">
        <v>1389413.0</v>
      </c>
      <c r="Y12" s="3" t="n">
        <v>1353492.0</v>
      </c>
      <c r="Z12" s="3" t="n">
        <v>1318066.0</v>
      </c>
      <c r="AA12" s="3" t="n">
        <v>1283960.0</v>
      </c>
      <c r="AB12" s="3" t="n">
        <v>1248326.0</v>
      </c>
      <c r="AC12" s="3" t="n">
        <v>1211296.0</v>
      </c>
      <c r="AD12" s="3" t="n">
        <v>1178573.0</v>
      </c>
      <c r="AE12" s="3" t="n">
        <v>1148400.0</v>
      </c>
      <c r="AF12" s="3" t="n">
        <v>1124389.0</v>
      </c>
      <c r="AG12" s="3" t="n">
        <v>1106746.0</v>
      </c>
      <c r="AH12" s="3" t="n">
        <v>1095455.0</v>
      </c>
      <c r="AI12" s="3" t="n">
        <v>1088216.0</v>
      </c>
      <c r="AJ12" s="3" t="n">
        <v>1084001.0</v>
      </c>
      <c r="AK12" s="3" t="n">
        <v>1077662.0</v>
      </c>
      <c r="AL12" s="3" t="n">
        <v>1075422.0</v>
      </c>
      <c r="AM12" s="3" t="n">
        <v>1073394.0</v>
      </c>
      <c r="AN12" s="3" t="n">
        <v>1074866.0</v>
      </c>
      <c r="AO12" s="3" t="n">
        <v>1078771.0</v>
      </c>
    </row>
    <row r="13" spans="1:41" x14ac:dyDescent="0.2">
      <c r="A13" s="134"/>
      <c r="B13" s="52" t="s">
        <v>10</v>
      </c>
      <c r="C13" s="3" t="n">
        <v>1205131.0</v>
      </c>
      <c r="D13" s="3" t="n">
        <v>1218036.0</v>
      </c>
      <c r="E13" s="3" t="n">
        <v>1228689.0</v>
      </c>
      <c r="F13" s="3" t="n">
        <v>1236829.0</v>
      </c>
      <c r="G13" s="3" t="n">
        <v>1242788.0</v>
      </c>
      <c r="H13" s="3" t="n">
        <v>1249226.0</v>
      </c>
      <c r="I13" s="3" t="n">
        <v>1256942.0</v>
      </c>
      <c r="J13" s="3" t="n">
        <v>1263304.0</v>
      </c>
      <c r="K13" s="3" t="n">
        <v>1270202.0</v>
      </c>
      <c r="L13" s="3" t="n">
        <v>1277943.0</v>
      </c>
      <c r="M13" s="3" t="n">
        <v>1287188.0</v>
      </c>
      <c r="N13" s="3" t="n">
        <v>1298299.0</v>
      </c>
      <c r="O13" s="3" t="n">
        <v>1311702.0</v>
      </c>
      <c r="P13" s="3" t="n">
        <v>1327975.0</v>
      </c>
      <c r="Q13" s="3" t="n">
        <v>1346331.0</v>
      </c>
      <c r="R13" s="3" t="n">
        <v>1365826.0</v>
      </c>
      <c r="S13" s="3" t="n">
        <v>1386488.0</v>
      </c>
      <c r="T13" s="3" t="n">
        <v>1409541.0</v>
      </c>
      <c r="U13" s="3" t="n">
        <v>1433484.0</v>
      </c>
      <c r="V13" s="3" t="n">
        <v>1457052.0</v>
      </c>
      <c r="W13" s="3" t="n">
        <v>1482105.0</v>
      </c>
      <c r="X13" s="3" t="n">
        <v>1509282.0</v>
      </c>
      <c r="Y13" s="3" t="n">
        <v>1535362.0</v>
      </c>
      <c r="Z13" s="3" t="n">
        <v>1559994.0</v>
      </c>
      <c r="AA13" s="3" t="n">
        <v>1581283.0</v>
      </c>
      <c r="AB13" s="3" t="n">
        <v>1602375.0</v>
      </c>
      <c r="AC13" s="3" t="n">
        <v>1624618.0</v>
      </c>
      <c r="AD13" s="3" t="n">
        <v>1644599.0</v>
      </c>
      <c r="AE13" s="3" t="n">
        <v>1663994.0</v>
      </c>
      <c r="AF13" s="3" t="n">
        <v>1680446.0</v>
      </c>
      <c r="AG13" s="3" t="n">
        <v>1693218.0</v>
      </c>
      <c r="AH13" s="3" t="n">
        <v>1704025.0</v>
      </c>
      <c r="AI13" s="3" t="n">
        <v>1712212.0</v>
      </c>
      <c r="AJ13" s="3" t="n">
        <v>1717951.0</v>
      </c>
      <c r="AK13" s="3" t="n">
        <v>1721719.0</v>
      </c>
      <c r="AL13" s="3" t="n">
        <v>1721562.0</v>
      </c>
      <c r="AM13" s="3" t="n">
        <v>1718174.0</v>
      </c>
      <c r="AN13" s="3" t="n">
        <v>1712314.0</v>
      </c>
      <c r="AO13" s="3" t="n">
        <v>1704406.0</v>
      </c>
    </row>
    <row r="14" spans="1:41" x14ac:dyDescent="0.2">
      <c r="A14" s="134"/>
      <c r="B14" s="52" t="s">
        <v>0</v>
      </c>
      <c r="C14" s="3" t="n">
        <v>159392.0</v>
      </c>
      <c r="D14" s="3" t="n">
        <v>156338.0</v>
      </c>
      <c r="E14" s="3" t="n">
        <v>153159.0</v>
      </c>
      <c r="F14" s="3" t="n">
        <v>154500.0</v>
      </c>
      <c r="G14" s="3" t="n">
        <v>152953.0</v>
      </c>
      <c r="H14" s="3" t="n">
        <v>152430.0</v>
      </c>
      <c r="I14" s="3" t="n">
        <v>152014.0</v>
      </c>
      <c r="J14" s="3" t="n">
        <v>150778.0</v>
      </c>
      <c r="K14" s="3" t="n">
        <v>149287.0</v>
      </c>
      <c r="L14" s="3" t="n">
        <v>147763.0</v>
      </c>
      <c r="M14" s="3" t="n">
        <v>146148.0</v>
      </c>
      <c r="N14" s="3" t="n">
        <v>144570.0</v>
      </c>
      <c r="O14" s="3" t="n">
        <v>143137.0</v>
      </c>
      <c r="P14" s="3" t="n">
        <v>142069.0</v>
      </c>
      <c r="Q14" s="3" t="n">
        <v>141463.0</v>
      </c>
      <c r="R14" s="3" t="n">
        <v>141407.0</v>
      </c>
      <c r="S14" s="3" t="n">
        <v>141864.0</v>
      </c>
      <c r="T14" s="3" t="n">
        <v>142789.0</v>
      </c>
      <c r="U14" s="3" t="n">
        <v>144034.0</v>
      </c>
      <c r="V14" s="3" t="n">
        <v>145450.0</v>
      </c>
      <c r="W14" s="3" t="n">
        <v>146905.0</v>
      </c>
      <c r="X14" s="3" t="n">
        <v>148285.0</v>
      </c>
      <c r="Y14" s="3" t="n">
        <v>149485.0</v>
      </c>
      <c r="Z14" s="3" t="n">
        <v>150400.0</v>
      </c>
      <c r="AA14" s="3" t="n">
        <v>150940.0</v>
      </c>
      <c r="AB14" s="3" t="n">
        <v>151118.0</v>
      </c>
      <c r="AC14" s="3" t="n">
        <v>150948.0</v>
      </c>
      <c r="AD14" s="3" t="n">
        <v>150412.0</v>
      </c>
      <c r="AE14" s="3" t="n">
        <v>149499.0</v>
      </c>
      <c r="AF14" s="3" t="n">
        <v>148209.0</v>
      </c>
      <c r="AG14" s="3" t="n">
        <v>146630.0</v>
      </c>
      <c r="AH14" s="3" t="n">
        <v>144784.0</v>
      </c>
      <c r="AI14" s="3" t="n">
        <v>142726.0</v>
      </c>
      <c r="AJ14" s="3" t="n">
        <v>140554.0</v>
      </c>
      <c r="AK14" s="3" t="n">
        <v>138357.0</v>
      </c>
      <c r="AL14" s="3" t="n">
        <v>136224.0</v>
      </c>
      <c r="AM14" s="3" t="n">
        <v>134128.0</v>
      </c>
      <c r="AN14" s="3" t="n">
        <v>132124.0</v>
      </c>
      <c r="AO14" s="3" t="n">
        <v>130277.0</v>
      </c>
    </row>
    <row r="15" spans="1:41" x14ac:dyDescent="0.2">
      <c r="A15" s="134"/>
      <c r="B15" s="52" t="s">
        <v>1</v>
      </c>
      <c r="C15" s="3" t="n">
        <v>247442.0</v>
      </c>
      <c r="D15" s="3" t="n">
        <v>241419.0</v>
      </c>
      <c r="E15" s="3" t="n">
        <v>232622.0</v>
      </c>
      <c r="F15" s="3" t="n">
        <v>221092.0</v>
      </c>
      <c r="G15" s="3" t="n">
        <v>213867.0</v>
      </c>
      <c r="H15" s="3" t="n">
        <v>211806.0</v>
      </c>
      <c r="I15" s="3" t="n">
        <v>210451.0</v>
      </c>
      <c r="J15" s="3" t="n">
        <v>212095.0</v>
      </c>
      <c r="K15" s="3" t="n">
        <v>209967.0</v>
      </c>
      <c r="L15" s="3" t="n">
        <v>207584.0</v>
      </c>
      <c r="M15" s="3" t="n">
        <v>205010.0</v>
      </c>
      <c r="N15" s="3" t="n">
        <v>202473.0</v>
      </c>
      <c r="O15" s="3" t="n">
        <v>200117.0</v>
      </c>
      <c r="P15" s="3" t="n">
        <v>197905.0</v>
      </c>
      <c r="Q15" s="3" t="n">
        <v>195780.0</v>
      </c>
      <c r="R15" s="3" t="n">
        <v>193852.0</v>
      </c>
      <c r="S15" s="3" t="n">
        <v>192274.0</v>
      </c>
      <c r="T15" s="3" t="n">
        <v>191209.0</v>
      </c>
      <c r="U15" s="3" t="n">
        <v>190786.0</v>
      </c>
      <c r="V15" s="3" t="n">
        <v>191034.0</v>
      </c>
      <c r="W15" s="3" t="n">
        <v>191916.0</v>
      </c>
      <c r="X15" s="3" t="n">
        <v>193304.0</v>
      </c>
      <c r="Y15" s="3" t="n">
        <v>194985.0</v>
      </c>
      <c r="Z15" s="3" t="n">
        <v>196806.0</v>
      </c>
      <c r="AA15" s="3" t="n">
        <v>198628.0</v>
      </c>
      <c r="AB15" s="3" t="n">
        <v>200263.0</v>
      </c>
      <c r="AC15" s="3" t="n">
        <v>201590.0</v>
      </c>
      <c r="AD15" s="3" t="n">
        <v>202502.0</v>
      </c>
      <c r="AE15" s="3" t="n">
        <v>202926.0</v>
      </c>
      <c r="AF15" s="3" t="n">
        <v>202877.0</v>
      </c>
      <c r="AG15" s="3" t="n">
        <v>202334.0</v>
      </c>
      <c r="AH15" s="3" t="n">
        <v>201310.0</v>
      </c>
      <c r="AI15" s="3" t="n">
        <v>199804.0</v>
      </c>
      <c r="AJ15" s="3" t="n">
        <v>197850.0</v>
      </c>
      <c r="AK15" s="3" t="n">
        <v>195546.0</v>
      </c>
      <c r="AL15" s="3" t="n">
        <v>192901.0</v>
      </c>
      <c r="AM15" s="3" t="n">
        <v>190077.0</v>
      </c>
      <c r="AN15" s="3" t="n">
        <v>187167.0</v>
      </c>
      <c r="AO15" s="3" t="n">
        <v>184247.0</v>
      </c>
    </row>
    <row r="16" spans="1:41" x14ac:dyDescent="0.2">
      <c r="A16" s="134"/>
      <c r="B16" s="53" t="s">
        <v>18</v>
      </c>
      <c r="C16" s="3" t="n">
        <v>494968.0</v>
      </c>
      <c r="D16" s="3" t="n">
        <v>494538.0</v>
      </c>
      <c r="E16" s="3" t="n">
        <v>495092.0</v>
      </c>
      <c r="F16" s="3" t="n">
        <v>492537.0</v>
      </c>
      <c r="G16" s="3" t="n">
        <v>491968.0</v>
      </c>
      <c r="H16" s="3" t="n">
        <v>490867.0</v>
      </c>
      <c r="I16" s="3" t="n">
        <v>492996.0</v>
      </c>
      <c r="J16" s="3" t="n">
        <v>485409.0</v>
      </c>
      <c r="K16" s="3" t="n">
        <v>477974.0</v>
      </c>
      <c r="L16" s="3" t="n">
        <v>468102.0</v>
      </c>
      <c r="M16" s="3" t="n">
        <v>455143.0</v>
      </c>
      <c r="N16" s="3" t="n">
        <v>443581.0</v>
      </c>
      <c r="O16" s="3" t="n">
        <v>433040.0</v>
      </c>
      <c r="P16" s="3" t="n">
        <v>425951.0</v>
      </c>
      <c r="Q16" s="3" t="n">
        <v>419037.0</v>
      </c>
      <c r="R16" s="3" t="n">
        <v>416787.0</v>
      </c>
      <c r="S16" s="3" t="n">
        <v>411817.0</v>
      </c>
      <c r="T16" s="3" t="n">
        <v>407061.0</v>
      </c>
      <c r="U16" s="3" t="n">
        <v>402311.0</v>
      </c>
      <c r="V16" s="3" t="n">
        <v>397873.0</v>
      </c>
      <c r="W16" s="3" t="n">
        <v>394010.0</v>
      </c>
      <c r="X16" s="3" t="n">
        <v>390812.0</v>
      </c>
      <c r="Y16" s="3" t="n">
        <v>388336.0</v>
      </c>
      <c r="Z16" s="3" t="n">
        <v>386711.0</v>
      </c>
      <c r="AA16" s="3" t="n">
        <v>386038.0</v>
      </c>
      <c r="AB16" s="3" t="n">
        <v>386363.0</v>
      </c>
      <c r="AC16" s="3" t="n">
        <v>387589.0</v>
      </c>
      <c r="AD16" s="3" t="n">
        <v>389614.0</v>
      </c>
      <c r="AE16" s="3" t="n">
        <v>392221.0</v>
      </c>
      <c r="AF16" s="3" t="n">
        <v>395124.0</v>
      </c>
      <c r="AG16" s="3" t="n">
        <v>397993.0</v>
      </c>
      <c r="AH16" s="3" t="n">
        <v>400579.0</v>
      </c>
      <c r="AI16" s="3" t="n">
        <v>402673.0</v>
      </c>
      <c r="AJ16" s="3" t="n">
        <v>404119.0</v>
      </c>
      <c r="AK16" s="3" t="n">
        <v>404764.0</v>
      </c>
      <c r="AL16" s="3" t="n">
        <v>404532.0</v>
      </c>
      <c r="AM16" s="3" t="n">
        <v>403332.0</v>
      </c>
      <c r="AN16" s="3" t="n">
        <v>401231.0</v>
      </c>
      <c r="AO16" s="3" t="n">
        <v>398302.0</v>
      </c>
    </row>
    <row r="17" spans="1:41" x14ac:dyDescent="0.2">
      <c r="A17" s="134"/>
      <c r="B17" s="52" t="s">
        <v>19</v>
      </c>
      <c r="C17" s="3" t="n">
        <v>218961.0</v>
      </c>
      <c r="D17" s="3" t="n">
        <v>230830.0</v>
      </c>
      <c r="E17" s="3" t="n">
        <v>241978.0</v>
      </c>
      <c r="F17" s="3" t="n">
        <v>250791.0</v>
      </c>
      <c r="G17" s="3" t="n">
        <v>253134.0</v>
      </c>
      <c r="H17" s="3" t="n">
        <v>253722.0</v>
      </c>
      <c r="I17" s="3" t="n">
        <v>251377.0</v>
      </c>
      <c r="J17" s="3" t="n">
        <v>248384.0</v>
      </c>
      <c r="K17" s="3" t="n">
        <v>249147.0</v>
      </c>
      <c r="L17" s="3" t="n">
        <v>250324.0</v>
      </c>
      <c r="M17" s="3" t="n">
        <v>255918.0</v>
      </c>
      <c r="N17" s="3" t="n">
        <v>257633.0</v>
      </c>
      <c r="O17" s="3" t="n">
        <v>256896.0</v>
      </c>
      <c r="P17" s="3" t="n">
        <v>250811.0</v>
      </c>
      <c r="Q17" s="3" t="n">
        <v>241733.0</v>
      </c>
      <c r="R17" s="3" t="n">
        <v>229706.0</v>
      </c>
      <c r="S17" s="3" t="n">
        <v>221716.0</v>
      </c>
      <c r="T17" s="3" t="n">
        <v>217176.0</v>
      </c>
      <c r="U17" s="3" t="n">
        <v>212872.0</v>
      </c>
      <c r="V17" s="3" t="n">
        <v>213143.0</v>
      </c>
      <c r="W17" s="3" t="n">
        <v>210496.0</v>
      </c>
      <c r="X17" s="3" t="n">
        <v>207912.0</v>
      </c>
      <c r="Y17" s="3" t="n">
        <v>205269.0</v>
      </c>
      <c r="Z17" s="3" t="n">
        <v>202752.0</v>
      </c>
      <c r="AA17" s="3" t="n">
        <v>200458.0</v>
      </c>
      <c r="AB17" s="3" t="n">
        <v>198333.0</v>
      </c>
      <c r="AC17" s="3" t="n">
        <v>196286.0</v>
      </c>
      <c r="AD17" s="3" t="n">
        <v>194432.0</v>
      </c>
      <c r="AE17" s="3" t="n">
        <v>192917.0</v>
      </c>
      <c r="AF17" s="3" t="n">
        <v>191905.0</v>
      </c>
      <c r="AG17" s="3" t="n">
        <v>191515.0</v>
      </c>
      <c r="AH17" s="3" t="n">
        <v>191766.0</v>
      </c>
      <c r="AI17" s="3" t="n">
        <v>192598.0</v>
      </c>
      <c r="AJ17" s="3" t="n">
        <v>193893.0</v>
      </c>
      <c r="AK17" s="3" t="n">
        <v>195463.0</v>
      </c>
      <c r="AL17" s="3" t="n">
        <v>197154.0</v>
      </c>
      <c r="AM17" s="3" t="n">
        <v>198837.0</v>
      </c>
      <c r="AN17" s="3" t="n">
        <v>200326.0</v>
      </c>
      <c r="AO17" s="3" t="n">
        <v>201511.0</v>
      </c>
    </row>
    <row r="18" spans="1:41" x14ac:dyDescent="0.2">
      <c r="A18" s="134"/>
      <c r="B18" s="52" t="s">
        <v>2</v>
      </c>
      <c r="C18" s="3" t="n">
        <v>309426.0</v>
      </c>
      <c r="D18" s="3" t="n">
        <v>305889.0</v>
      </c>
      <c r="E18" s="3" t="n">
        <v>306117.0</v>
      </c>
      <c r="F18" s="3" t="n">
        <v>309805.0</v>
      </c>
      <c r="G18" s="3" t="n">
        <v>318016.0</v>
      </c>
      <c r="H18" s="3" t="n">
        <v>333306.0</v>
      </c>
      <c r="I18" s="3" t="n">
        <v>350696.0</v>
      </c>
      <c r="J18" s="3" t="n">
        <v>366177.0</v>
      </c>
      <c r="K18" s="3" t="n">
        <v>375325.0</v>
      </c>
      <c r="L18" s="3" t="n">
        <v>381621.0</v>
      </c>
      <c r="M18" s="3" t="n">
        <v>382804.0</v>
      </c>
      <c r="N18" s="3" t="n">
        <v>381251.0</v>
      </c>
      <c r="O18" s="3" t="n">
        <v>378678.0</v>
      </c>
      <c r="P18" s="3" t="n">
        <v>376305.0</v>
      </c>
      <c r="Q18" s="3" t="n">
        <v>380005.0</v>
      </c>
      <c r="R18" s="3" t="n">
        <v>380903.0</v>
      </c>
      <c r="S18" s="3" t="n">
        <v>382168.0</v>
      </c>
      <c r="T18" s="3" t="n">
        <v>377735.0</v>
      </c>
      <c r="U18" s="3" t="n">
        <v>372069.0</v>
      </c>
      <c r="V18" s="3" t="n">
        <v>359988.0</v>
      </c>
      <c r="W18" s="3" t="n">
        <v>347751.0</v>
      </c>
      <c r="X18" s="3" t="n">
        <v>337066.0</v>
      </c>
      <c r="Y18" s="3" t="n">
        <v>327797.0</v>
      </c>
      <c r="Z18" s="3" t="n">
        <v>322036.0</v>
      </c>
      <c r="AA18" s="3" t="n">
        <v>316265.0</v>
      </c>
      <c r="AB18" s="3" t="n">
        <v>315074.0</v>
      </c>
      <c r="AC18" s="3" t="n">
        <v>311223.0</v>
      </c>
      <c r="AD18" s="3" t="n">
        <v>307594.0</v>
      </c>
      <c r="AE18" s="3" t="n">
        <v>303915.0</v>
      </c>
      <c r="AF18" s="3" t="n">
        <v>300384.0</v>
      </c>
      <c r="AG18" s="3" t="n">
        <v>297155.0</v>
      </c>
      <c r="AH18" s="3" t="n">
        <v>294266.0</v>
      </c>
      <c r="AI18" s="3" t="n">
        <v>291718.0</v>
      </c>
      <c r="AJ18" s="3" t="n">
        <v>289692.0</v>
      </c>
      <c r="AK18" s="3" t="n">
        <v>288341.0</v>
      </c>
      <c r="AL18" s="3" t="n">
        <v>287805.0</v>
      </c>
      <c r="AM18" s="3" t="n">
        <v>288099.0</v>
      </c>
      <c r="AN18" s="3" t="n">
        <v>289169.0</v>
      </c>
      <c r="AO18" s="3" t="n">
        <v>290844.0</v>
      </c>
    </row>
    <row r="19" spans="1:41" x14ac:dyDescent="0.2">
      <c r="A19" s="134"/>
      <c r="B19" s="52" t="s">
        <v>3</v>
      </c>
      <c r="C19" s="3" t="n">
        <v>901802.0</v>
      </c>
      <c r="D19" s="3" t="n">
        <v>892295.0</v>
      </c>
      <c r="E19" s="3" t="n">
        <v>880873.0</v>
      </c>
      <c r="F19" s="3" t="n">
        <v>868129.0</v>
      </c>
      <c r="G19" s="3" t="n">
        <v>858788.0</v>
      </c>
      <c r="H19" s="3" t="n">
        <v>855103.0</v>
      </c>
      <c r="I19" s="3" t="n">
        <v>855461.0</v>
      </c>
      <c r="J19" s="3" t="n">
        <v>848282.0</v>
      </c>
      <c r="K19" s="3" t="n">
        <v>837228.0</v>
      </c>
      <c r="L19" s="3" t="n">
        <v>823449.0</v>
      </c>
      <c r="M19" s="3" t="n">
        <v>806301.0</v>
      </c>
      <c r="N19" s="3" t="n">
        <v>790624.0</v>
      </c>
      <c r="O19" s="3" t="n">
        <v>776294.0</v>
      </c>
      <c r="P19" s="3" t="n">
        <v>765925.0</v>
      </c>
      <c r="Q19" s="3" t="n">
        <v>756280.0</v>
      </c>
      <c r="R19" s="3" t="n">
        <v>752046.0</v>
      </c>
      <c r="S19" s="3" t="n">
        <v>745955.0</v>
      </c>
      <c r="T19" s="3" t="n">
        <v>741059.0</v>
      </c>
      <c r="U19" s="3" t="n">
        <v>737131.0</v>
      </c>
      <c r="V19" s="3" t="n">
        <v>734357.0</v>
      </c>
      <c r="W19" s="3" t="n">
        <v>732831.0</v>
      </c>
      <c r="X19" s="3" t="n">
        <v>732401.0</v>
      </c>
      <c r="Y19" s="3" t="n">
        <v>732806.0</v>
      </c>
      <c r="Z19" s="3" t="n">
        <v>733917.0</v>
      </c>
      <c r="AA19" s="3" t="n">
        <v>735606.0</v>
      </c>
      <c r="AB19" s="3" t="n">
        <v>737744.0</v>
      </c>
      <c r="AC19" s="3" t="n">
        <v>740127.0</v>
      </c>
      <c r="AD19" s="3" t="n">
        <v>742528.0</v>
      </c>
      <c r="AE19" s="3" t="n">
        <v>744646.0</v>
      </c>
      <c r="AF19" s="3" t="n">
        <v>746210.0</v>
      </c>
      <c r="AG19" s="3" t="n">
        <v>746957.0</v>
      </c>
      <c r="AH19" s="3" t="n">
        <v>746673.0</v>
      </c>
      <c r="AI19" s="3" t="n">
        <v>745203.0</v>
      </c>
      <c r="AJ19" s="3" t="n">
        <v>742523.0</v>
      </c>
      <c r="AK19" s="3" t="n">
        <v>738667.0</v>
      </c>
      <c r="AL19" s="3" t="n">
        <v>733657.0</v>
      </c>
      <c r="AM19" s="3" t="n">
        <v>727537.0</v>
      </c>
      <c r="AN19" s="3" t="n">
        <v>720522.0</v>
      </c>
      <c r="AO19" s="3" t="n">
        <v>712826.0</v>
      </c>
    </row>
    <row r="20" spans="1:41" x14ac:dyDescent="0.2">
      <c r="A20" s="134"/>
      <c r="B20" s="52" t="s">
        <v>4</v>
      </c>
      <c r="C20" s="3" t="n">
        <v>3574445.0</v>
      </c>
      <c r="D20" s="3" t="n">
        <v>3565680.0</v>
      </c>
      <c r="E20" s="3" t="n">
        <v>3561521.0</v>
      </c>
      <c r="F20" s="3" t="n">
        <v>3562771.0</v>
      </c>
      <c r="G20" s="3" t="n">
        <v>3564470.0</v>
      </c>
      <c r="H20" s="3" t="n">
        <v>3580522.0</v>
      </c>
      <c r="I20" s="3" t="n">
        <v>3598827.0</v>
      </c>
      <c r="J20" s="3" t="n">
        <v>3610638.0</v>
      </c>
      <c r="K20" s="3" t="n">
        <v>3619420.0</v>
      </c>
      <c r="L20" s="3" t="n">
        <v>3627034.0</v>
      </c>
      <c r="M20" s="3" t="n">
        <v>3635316.0</v>
      </c>
      <c r="N20" s="3" t="n">
        <v>3639318.0</v>
      </c>
      <c r="O20" s="3" t="n">
        <v>3639718.0</v>
      </c>
      <c r="P20" s="3" t="n">
        <v>3632568.0</v>
      </c>
      <c r="Q20" s="3" t="n">
        <v>3622135.0</v>
      </c>
      <c r="R20" s="3" t="n">
        <v>3602746.0</v>
      </c>
      <c r="S20" s="3" t="n">
        <v>3581636.0</v>
      </c>
      <c r="T20" s="3" t="n">
        <v>3556213.0</v>
      </c>
      <c r="U20" s="3" t="n">
        <v>3526496.0</v>
      </c>
      <c r="V20" s="3" t="n">
        <v>3492880.0</v>
      </c>
      <c r="W20" s="3" t="n">
        <v>3458650.0</v>
      </c>
      <c r="X20" s="3" t="n">
        <v>3422990.0</v>
      </c>
      <c r="Y20" s="3" t="n">
        <v>3384419.0</v>
      </c>
      <c r="Z20" s="3" t="n">
        <v>3345051.0</v>
      </c>
      <c r="AA20" s="3" t="n">
        <v>3307389.0</v>
      </c>
      <c r="AB20" s="3" t="n">
        <v>3265013.0</v>
      </c>
      <c r="AC20" s="3" t="n">
        <v>3219219.0</v>
      </c>
      <c r="AD20" s="3" t="n">
        <v>3175586.0</v>
      </c>
      <c r="AE20" s="3" t="n">
        <v>3133511.0</v>
      </c>
      <c r="AF20" s="3" t="n">
        <v>3095237.0</v>
      </c>
      <c r="AG20" s="3" t="n">
        <v>3060968.0</v>
      </c>
      <c r="AH20" s="3" t="n">
        <v>3027240.0</v>
      </c>
      <c r="AI20" s="3" t="n">
        <v>2996223.0</v>
      </c>
      <c r="AJ20" s="3" t="n">
        <v>2965520.0</v>
      </c>
      <c r="AK20" s="3" t="n">
        <v>2936678.0</v>
      </c>
      <c r="AL20" s="3" t="n">
        <v>2911552.0</v>
      </c>
      <c r="AM20" s="3" t="n">
        <v>2889275.0</v>
      </c>
      <c r="AN20" s="3" t="n">
        <v>2870038.0</v>
      </c>
      <c r="AO20" s="3" t="n">
        <v>2854841.0</v>
      </c>
    </row>
    <row r="21" spans="1:41" x14ac:dyDescent="0.2">
      <c r="A21" s="134"/>
      <c r="B21" s="52" t="s">
        <v>5</v>
      </c>
      <c r="C21" s="3" t="n">
        <v>1034365.0</v>
      </c>
      <c r="D21" s="3" t="n">
        <v>1055434.0</v>
      </c>
      <c r="E21" s="3" t="n">
        <v>1073075.0</v>
      </c>
      <c r="F21" s="3" t="n">
        <v>1086277.0</v>
      </c>
      <c r="G21" s="3" t="n">
        <v>1094880.0</v>
      </c>
      <c r="H21" s="3" t="n">
        <v>1102217.0</v>
      </c>
      <c r="I21" s="3" t="n">
        <v>1109782.0</v>
      </c>
      <c r="J21" s="3" t="n">
        <v>1115094.0</v>
      </c>
      <c r="K21" s="3" t="n">
        <v>1118521.0</v>
      </c>
      <c r="L21" s="3" t="n">
        <v>1121679.0</v>
      </c>
      <c r="M21" s="3" t="n">
        <v>1124658.0</v>
      </c>
      <c r="N21" s="3" t="n">
        <v>1128082.0</v>
      </c>
      <c r="O21" s="3" t="n">
        <v>1132335.0</v>
      </c>
      <c r="P21" s="3" t="n">
        <v>1139011.0</v>
      </c>
      <c r="Q21" s="3" t="n">
        <v>1147375.0</v>
      </c>
      <c r="R21" s="3" t="n">
        <v>1158868.0</v>
      </c>
      <c r="S21" s="3" t="n">
        <v>1173362.0</v>
      </c>
      <c r="T21" s="3" t="n">
        <v>1190610.0</v>
      </c>
      <c r="U21" s="3" t="n">
        <v>1210863.0</v>
      </c>
      <c r="V21" s="3" t="n">
        <v>1233649.0</v>
      </c>
      <c r="W21" s="3" t="n">
        <v>1255711.0</v>
      </c>
      <c r="X21" s="3" t="n">
        <v>1278305.0</v>
      </c>
      <c r="Y21" s="3" t="n">
        <v>1302785.0</v>
      </c>
      <c r="Z21" s="3" t="n">
        <v>1326817.0</v>
      </c>
      <c r="AA21" s="3" t="n">
        <v>1348386.0</v>
      </c>
      <c r="AB21" s="3" t="n">
        <v>1373919.0</v>
      </c>
      <c r="AC21" s="3" t="n">
        <v>1402257.0</v>
      </c>
      <c r="AD21" s="3" t="n">
        <v>1428249.0</v>
      </c>
      <c r="AE21" s="3" t="n">
        <v>1452381.0</v>
      </c>
      <c r="AF21" s="3" t="n">
        <v>1472588.0</v>
      </c>
      <c r="AG21" s="3" t="n">
        <v>1488510.0</v>
      </c>
      <c r="AH21" s="3" t="n">
        <v>1504040.0</v>
      </c>
      <c r="AI21" s="3" t="n">
        <v>1517136.0</v>
      </c>
      <c r="AJ21" s="3" t="n">
        <v>1530154.0</v>
      </c>
      <c r="AK21" s="3" t="n">
        <v>1541493.0</v>
      </c>
      <c r="AL21" s="3" t="n">
        <v>1549318.0</v>
      </c>
      <c r="AM21" s="3" t="n">
        <v>1553996.0</v>
      </c>
      <c r="AN21" s="3" t="n">
        <v>1555557.0</v>
      </c>
      <c r="AO21" s="3" t="n">
        <v>1553156.0</v>
      </c>
    </row>
    <row r="22" spans="1:41" x14ac:dyDescent="0.2">
      <c r="A22" s="135"/>
      <c r="B22" s="54" t="s">
        <v>6</v>
      </c>
      <c r="C22" s="4" t="n">
        <v>237786.0</v>
      </c>
      <c r="D22" s="4" t="n">
        <v>235725.0</v>
      </c>
      <c r="E22" s="4" t="n">
        <v>235304.0</v>
      </c>
      <c r="F22" s="4" t="n">
        <v>235628.0</v>
      </c>
      <c r="G22" s="4" t="n">
        <v>244097.0</v>
      </c>
      <c r="H22" s="4" t="n">
        <v>255326.0</v>
      </c>
      <c r="I22" s="4" t="n">
        <v>268092.0</v>
      </c>
      <c r="J22" s="4" t="n">
        <v>280585.0</v>
      </c>
      <c r="K22" s="4" t="n">
        <v>294759.0</v>
      </c>
      <c r="L22" s="4" t="n">
        <v>310459.0</v>
      </c>
      <c r="M22" s="4" t="n">
        <v>326356.0</v>
      </c>
      <c r="N22" s="4" t="n">
        <v>342776.0</v>
      </c>
      <c r="O22" s="4" t="n">
        <v>358281.0</v>
      </c>
      <c r="P22" s="4" t="n">
        <v>374179.0</v>
      </c>
      <c r="Q22" s="4" t="n">
        <v>387788.0</v>
      </c>
      <c r="R22" s="4" t="n">
        <v>400250.0</v>
      </c>
      <c r="S22" s="4" t="n">
        <v>410006.0</v>
      </c>
      <c r="T22" s="4" t="n">
        <v>416775.0</v>
      </c>
      <c r="U22" s="4" t="n">
        <v>419849.0</v>
      </c>
      <c r="V22" s="4" t="n">
        <v>419677.0</v>
      </c>
      <c r="W22" s="4" t="n">
        <v>418013.0</v>
      </c>
      <c r="X22" s="4" t="n">
        <v>416381.0</v>
      </c>
      <c r="Y22" s="4" t="n">
        <v>413798.0</v>
      </c>
      <c r="Z22" s="4" t="n">
        <v>410183.0</v>
      </c>
      <c r="AA22" s="4" t="n">
        <v>407002.0</v>
      </c>
      <c r="AB22" s="4" t="n">
        <v>404342.0</v>
      </c>
      <c r="AC22" s="4" t="n">
        <v>402816.0</v>
      </c>
      <c r="AD22" s="4" t="n">
        <v>402539.0</v>
      </c>
      <c r="AE22" s="4" t="n">
        <v>404761.0</v>
      </c>
      <c r="AF22" s="4" t="n">
        <v>408920.0</v>
      </c>
      <c r="AG22" s="4" t="n">
        <v>415555.0</v>
      </c>
      <c r="AH22" s="4" t="n">
        <v>424992.0</v>
      </c>
      <c r="AI22" s="4" t="n">
        <v>436795.0</v>
      </c>
      <c r="AJ22" s="4" t="n">
        <v>451132.0</v>
      </c>
      <c r="AK22" s="4" t="n">
        <v>467394.0</v>
      </c>
      <c r="AL22" s="4" t="n">
        <v>483192.0</v>
      </c>
      <c r="AM22" s="4" t="n">
        <v>498842.0</v>
      </c>
      <c r="AN22" s="4" t="n">
        <v>515714.0</v>
      </c>
      <c r="AO22" s="4" t="n">
        <v>532276.0</v>
      </c>
    </row>
    <row r="23" spans="1:41" x14ac:dyDescent="0.2">
      <c r="A23" s="134" t="s">
        <v>50</v>
      </c>
      <c r="B23" s="69" t="s">
        <v>65</v>
      </c>
      <c r="C23" s="70" t="n">
        <v>2638241.0</v>
      </c>
      <c r="D23" s="70" t="n">
        <v>2639714.0</v>
      </c>
      <c r="E23" s="70" t="n">
        <v>2640770.0</v>
      </c>
      <c r="F23" s="70" t="n">
        <v>2641536.0</v>
      </c>
      <c r="G23" s="70" t="n">
        <v>2641843.0</v>
      </c>
      <c r="H23" s="70" t="n">
        <v>2648393.0</v>
      </c>
      <c r="I23" s="70" t="n">
        <v>2657121.0</v>
      </c>
      <c r="J23" s="70" t="n">
        <v>2660047.0</v>
      </c>
      <c r="K23" s="70" t="n">
        <v>2659818.0</v>
      </c>
      <c r="L23" s="70" t="n">
        <v>2657896.0</v>
      </c>
      <c r="M23" s="70" t="n">
        <v>2654740.0</v>
      </c>
      <c r="N23" s="70" t="n">
        <v>2650554.0</v>
      </c>
      <c r="O23" s="70" t="n">
        <v>2645810.0</v>
      </c>
      <c r="P23" s="70" t="n">
        <v>2640530.0</v>
      </c>
      <c r="Q23" s="70" t="n">
        <v>2634793.0</v>
      </c>
      <c r="R23" s="70" t="n">
        <v>2629018.0</v>
      </c>
      <c r="S23" s="70" t="n">
        <v>2623006.0</v>
      </c>
      <c r="T23" s="70" t="n">
        <v>2616826.0</v>
      </c>
      <c r="U23" s="70" t="n">
        <v>2610528.0</v>
      </c>
      <c r="V23" s="70" t="n">
        <v>2604210.0</v>
      </c>
      <c r="W23" s="70" t="n">
        <v>2597867.0</v>
      </c>
      <c r="X23" s="70" t="n">
        <v>2591831.0</v>
      </c>
      <c r="Y23" s="70" t="n">
        <v>2585669.0</v>
      </c>
      <c r="Z23" s="70" t="n">
        <v>2579360.0</v>
      </c>
      <c r="AA23" s="70" t="n">
        <v>2572978.0</v>
      </c>
      <c r="AB23" s="70" t="n">
        <v>2566385.0</v>
      </c>
      <c r="AC23" s="70" t="n">
        <v>2559560.0</v>
      </c>
      <c r="AD23" s="70" t="n">
        <v>2552731.0</v>
      </c>
      <c r="AE23" s="70" t="n">
        <v>2545549.0</v>
      </c>
      <c r="AF23" s="70" t="n">
        <v>2537927.0</v>
      </c>
      <c r="AG23" s="70" t="n">
        <v>2529843.0</v>
      </c>
      <c r="AH23" s="70" t="n">
        <v>2521193.0</v>
      </c>
      <c r="AI23" s="70" t="n">
        <v>2511988.0</v>
      </c>
      <c r="AJ23" s="70" t="n">
        <v>2502250.0</v>
      </c>
      <c r="AK23" s="70" t="n">
        <v>2491948.0</v>
      </c>
      <c r="AL23" s="70" t="n">
        <v>2481131.0</v>
      </c>
      <c r="AM23" s="70" t="n">
        <v>2469782.0</v>
      </c>
      <c r="AN23" s="70" t="n">
        <v>2457949.0</v>
      </c>
      <c r="AO23" s="70" t="n">
        <v>2445955.0</v>
      </c>
    </row>
    <row r="24" spans="1:41" x14ac:dyDescent="0.2">
      <c r="A24" s="134"/>
      <c r="B24" s="52" t="s">
        <v>8</v>
      </c>
      <c r="C24" s="11" t="n">
        <v>548905.0</v>
      </c>
      <c r="D24" s="3" t="n">
        <v>549275.0</v>
      </c>
      <c r="E24" s="3" t="n">
        <v>547638.0</v>
      </c>
      <c r="F24" s="3" t="n">
        <v>544159.0</v>
      </c>
      <c r="G24" s="3" t="n">
        <v>538385.0</v>
      </c>
      <c r="H24" s="3" t="n">
        <v>536129.0</v>
      </c>
      <c r="I24" s="3" t="n">
        <v>534204.0</v>
      </c>
      <c r="J24" s="3" t="n">
        <v>530815.0</v>
      </c>
      <c r="K24" s="3" t="n">
        <v>525192.0</v>
      </c>
      <c r="L24" s="3" t="n">
        <v>520035.0</v>
      </c>
      <c r="M24" s="3" t="n">
        <v>513289.0</v>
      </c>
      <c r="N24" s="3" t="n">
        <v>505875.0</v>
      </c>
      <c r="O24" s="3" t="n">
        <v>497864.0</v>
      </c>
      <c r="P24" s="3" t="n">
        <v>488273.0</v>
      </c>
      <c r="Q24" s="3" t="n">
        <v>479847.0</v>
      </c>
      <c r="R24" s="3" t="n">
        <v>472516.0</v>
      </c>
      <c r="S24" s="3" t="n">
        <v>467541.0</v>
      </c>
      <c r="T24" s="3" t="n">
        <v>463316.0</v>
      </c>
      <c r="U24" s="3" t="n">
        <v>461903.0</v>
      </c>
      <c r="V24" s="3" t="n">
        <v>459528.0</v>
      </c>
      <c r="W24" s="3" t="n">
        <v>457767.0</v>
      </c>
      <c r="X24" s="3" t="n">
        <v>456490.0</v>
      </c>
      <c r="Y24" s="3" t="n">
        <v>455702.0</v>
      </c>
      <c r="Z24" s="3" t="n">
        <v>455384.0</v>
      </c>
      <c r="AA24" s="3" t="n">
        <v>455425.0</v>
      </c>
      <c r="AB24" s="3" t="n">
        <v>455699.0</v>
      </c>
      <c r="AC24" s="3" t="n">
        <v>456154.0</v>
      </c>
      <c r="AD24" s="3" t="n">
        <v>456696.0</v>
      </c>
      <c r="AE24" s="3" t="n">
        <v>457273.0</v>
      </c>
      <c r="AF24" s="3" t="n">
        <v>457792.0</v>
      </c>
      <c r="AG24" s="3" t="n">
        <v>458150.0</v>
      </c>
      <c r="AH24" s="3" t="n">
        <v>458231.0</v>
      </c>
      <c r="AI24" s="3" t="n">
        <v>457921.0</v>
      </c>
      <c r="AJ24" s="3" t="n">
        <v>457133.0</v>
      </c>
      <c r="AK24" s="3" t="n">
        <v>455806.0</v>
      </c>
      <c r="AL24" s="3" t="n">
        <v>453906.0</v>
      </c>
      <c r="AM24" s="3" t="n">
        <v>451397.0</v>
      </c>
      <c r="AN24" s="3" t="n">
        <v>448322.0</v>
      </c>
      <c r="AO24" s="3" t="n">
        <v>444754.0</v>
      </c>
    </row>
    <row r="25" spans="1:41" x14ac:dyDescent="0.2">
      <c r="A25" s="134"/>
      <c r="B25" s="52" t="s">
        <v>14</v>
      </c>
      <c r="C25" s="11" t="n">
        <v>1681514.0</v>
      </c>
      <c r="D25" s="3" t="n">
        <v>1673186.0</v>
      </c>
      <c r="E25" s="3" t="n">
        <v>1667986.0</v>
      </c>
      <c r="F25" s="3" t="n">
        <v>1666199.0</v>
      </c>
      <c r="G25" s="3" t="n">
        <v>1668583.0</v>
      </c>
      <c r="H25" s="3" t="n">
        <v>1674326.0</v>
      </c>
      <c r="I25" s="3" t="n">
        <v>1681745.0</v>
      </c>
      <c r="J25" s="3" t="n">
        <v>1685621.0</v>
      </c>
      <c r="K25" s="3" t="n">
        <v>1689144.0</v>
      </c>
      <c r="L25" s="3" t="n">
        <v>1690723.0</v>
      </c>
      <c r="M25" s="3" t="n">
        <v>1692642.0</v>
      </c>
      <c r="N25" s="3" t="n">
        <v>1694154.0</v>
      </c>
      <c r="O25" s="3" t="n">
        <v>1694907.0</v>
      </c>
      <c r="P25" s="3" t="n">
        <v>1695555.0</v>
      </c>
      <c r="Q25" s="3" t="n">
        <v>1693912.0</v>
      </c>
      <c r="R25" s="3" t="n">
        <v>1689435.0</v>
      </c>
      <c r="S25" s="3" t="n">
        <v>1681068.0</v>
      </c>
      <c r="T25" s="3" t="n">
        <v>1670477.0</v>
      </c>
      <c r="U25" s="3" t="n">
        <v>1655685.0</v>
      </c>
      <c r="V25" s="3" t="n">
        <v>1640712.0</v>
      </c>
      <c r="W25" s="3" t="n">
        <v>1625455.0</v>
      </c>
      <c r="X25" s="3" t="n">
        <v>1609544.0</v>
      </c>
      <c r="Y25" s="3" t="n">
        <v>1592393.0</v>
      </c>
      <c r="Z25" s="3" t="n">
        <v>1574696.0</v>
      </c>
      <c r="AA25" s="3" t="n">
        <v>1557835.0</v>
      </c>
      <c r="AB25" s="3" t="n">
        <v>1538594.0</v>
      </c>
      <c r="AC25" s="3" t="n">
        <v>1518002.0</v>
      </c>
      <c r="AD25" s="3" t="n">
        <v>1498196.0</v>
      </c>
      <c r="AE25" s="3" t="n">
        <v>1479002.0</v>
      </c>
      <c r="AF25" s="3" t="n">
        <v>1461482.0</v>
      </c>
      <c r="AG25" s="3" t="n">
        <v>1445616.0</v>
      </c>
      <c r="AH25" s="3" t="n">
        <v>1430151.0</v>
      </c>
      <c r="AI25" s="3" t="n">
        <v>1415582.0</v>
      </c>
      <c r="AJ25" s="3" t="n">
        <v>1401341.0</v>
      </c>
      <c r="AK25" s="3" t="n">
        <v>1387729.0</v>
      </c>
      <c r="AL25" s="3" t="n">
        <v>1376188.0</v>
      </c>
      <c r="AM25" s="3" t="n">
        <v>1366042.0</v>
      </c>
      <c r="AN25" s="3" t="n">
        <v>1357365.0</v>
      </c>
      <c r="AO25" s="3" t="n">
        <v>1350784.0</v>
      </c>
    </row>
    <row r="26" spans="1:41" x14ac:dyDescent="0.2">
      <c r="A26" s="134"/>
      <c r="B26" s="52" t="s">
        <v>11</v>
      </c>
      <c r="C26" s="11" t="n">
        <v>1013099.0</v>
      </c>
      <c r="D26" s="3" t="n">
        <v>996892.0</v>
      </c>
      <c r="E26" s="3" t="n">
        <v>981232.0</v>
      </c>
      <c r="F26" s="3" t="n">
        <v>966960.0</v>
      </c>
      <c r="G26" s="3" t="n">
        <v>956190.0</v>
      </c>
      <c r="H26" s="3" t="n">
        <v>945080.0</v>
      </c>
      <c r="I26" s="3" t="n">
        <v>934285.0</v>
      </c>
      <c r="J26" s="3" t="n">
        <v>921041.0</v>
      </c>
      <c r="K26" s="3" t="n">
        <v>908240.0</v>
      </c>
      <c r="L26" s="3" t="n">
        <v>895975.0</v>
      </c>
      <c r="M26" s="3" t="n">
        <v>886662.0</v>
      </c>
      <c r="N26" s="3" t="n">
        <v>878032.0</v>
      </c>
      <c r="O26" s="3" t="n">
        <v>870631.0</v>
      </c>
      <c r="P26" s="3" t="n">
        <v>864970.0</v>
      </c>
      <c r="Q26" s="3" t="n">
        <v>858632.0</v>
      </c>
      <c r="R26" s="3" t="n">
        <v>853468.0</v>
      </c>
      <c r="S26" s="3" t="n">
        <v>847410.0</v>
      </c>
      <c r="T26" s="3" t="n">
        <v>842219.0</v>
      </c>
      <c r="U26" s="3" t="n">
        <v>836605.0</v>
      </c>
      <c r="V26" s="3" t="n">
        <v>833351.0</v>
      </c>
      <c r="W26" s="3" t="n">
        <v>831215.0</v>
      </c>
      <c r="X26" s="3" t="n">
        <v>830061.0</v>
      </c>
      <c r="Y26" s="3" t="n">
        <v>829476.0</v>
      </c>
      <c r="Z26" s="3" t="n">
        <v>828673.0</v>
      </c>
      <c r="AA26" s="3" t="n">
        <v>828282.0</v>
      </c>
      <c r="AB26" s="3" t="n">
        <v>828315.0</v>
      </c>
      <c r="AC26" s="3" t="n">
        <v>828129.0</v>
      </c>
      <c r="AD26" s="3" t="n">
        <v>826716.0</v>
      </c>
      <c r="AE26" s="3" t="n">
        <v>824053.0</v>
      </c>
      <c r="AF26" s="3" t="n">
        <v>819480.0</v>
      </c>
      <c r="AG26" s="3" t="n">
        <v>813042.0</v>
      </c>
      <c r="AH26" s="3" t="n">
        <v>804112.0</v>
      </c>
      <c r="AI26" s="3" t="n">
        <v>794685.0</v>
      </c>
      <c r="AJ26" s="3" t="n">
        <v>784542.0</v>
      </c>
      <c r="AK26" s="3" t="n">
        <v>776534.0</v>
      </c>
      <c r="AL26" s="3" t="n">
        <v>768480.0</v>
      </c>
      <c r="AM26" s="3" t="n">
        <v>762000.0</v>
      </c>
      <c r="AN26" s="3" t="n">
        <v>754862.0</v>
      </c>
      <c r="AO26" s="3" t="n">
        <v>747761.0</v>
      </c>
    </row>
    <row r="27" spans="1:41" x14ac:dyDescent="0.2">
      <c r="A27" s="134"/>
      <c r="B27" s="52" t="s">
        <v>13</v>
      </c>
      <c r="C27" s="11" t="n">
        <v>668415.0</v>
      </c>
      <c r="D27" s="3" t="n">
        <v>676294.0</v>
      </c>
      <c r="E27" s="3" t="n">
        <v>686754.0</v>
      </c>
      <c r="F27" s="3" t="n">
        <v>699239.0</v>
      </c>
      <c r="G27" s="3" t="n">
        <v>712393.0</v>
      </c>
      <c r="H27" s="3" t="n">
        <v>729246.0</v>
      </c>
      <c r="I27" s="3" t="n">
        <v>747460.0</v>
      </c>
      <c r="J27" s="3" t="n">
        <v>764580.0</v>
      </c>
      <c r="K27" s="3" t="n">
        <v>780904.0</v>
      </c>
      <c r="L27" s="3" t="n">
        <v>794748.0</v>
      </c>
      <c r="M27" s="3" t="n">
        <v>805980.0</v>
      </c>
      <c r="N27" s="3" t="n">
        <v>816122.0</v>
      </c>
      <c r="O27" s="3" t="n">
        <v>824276.0</v>
      </c>
      <c r="P27" s="3" t="n">
        <v>830585.0</v>
      </c>
      <c r="Q27" s="3" t="n">
        <v>835280.0</v>
      </c>
      <c r="R27" s="3" t="n">
        <v>835967.0</v>
      </c>
      <c r="S27" s="3" t="n">
        <v>833658.0</v>
      </c>
      <c r="T27" s="3" t="n">
        <v>828258.0</v>
      </c>
      <c r="U27" s="3" t="n">
        <v>819080.0</v>
      </c>
      <c r="V27" s="3" t="n">
        <v>807361.0</v>
      </c>
      <c r="W27" s="3" t="n">
        <v>794240.0</v>
      </c>
      <c r="X27" s="3" t="n">
        <v>779483.0</v>
      </c>
      <c r="Y27" s="3" t="n">
        <v>762917.0</v>
      </c>
      <c r="Z27" s="3" t="n">
        <v>746023.0</v>
      </c>
      <c r="AA27" s="3" t="n">
        <v>729553.0</v>
      </c>
      <c r="AB27" s="3" t="n">
        <v>710279.0</v>
      </c>
      <c r="AC27" s="3" t="n">
        <v>689873.0</v>
      </c>
      <c r="AD27" s="3" t="n">
        <v>671480.0</v>
      </c>
      <c r="AE27" s="3" t="n">
        <v>654949.0</v>
      </c>
      <c r="AF27" s="3" t="n">
        <v>642002.0</v>
      </c>
      <c r="AG27" s="3" t="n">
        <v>632574.0</v>
      </c>
      <c r="AH27" s="3" t="n">
        <v>626039.0</v>
      </c>
      <c r="AI27" s="3" t="n">
        <v>620897.0</v>
      </c>
      <c r="AJ27" s="3" t="n">
        <v>616799.0</v>
      </c>
      <c r="AK27" s="3" t="n">
        <v>611195.0</v>
      </c>
      <c r="AL27" s="3" t="n">
        <v>607708.0</v>
      </c>
      <c r="AM27" s="3" t="n">
        <v>604042.0</v>
      </c>
      <c r="AN27" s="3" t="n">
        <v>602503.0</v>
      </c>
      <c r="AO27" s="3" t="n">
        <v>603023.0</v>
      </c>
    </row>
    <row r="28" spans="1:41" x14ac:dyDescent="0.2">
      <c r="A28" s="134"/>
      <c r="B28" s="52" t="s">
        <v>5</v>
      </c>
      <c r="C28" s="11" t="n">
        <v>407822.0</v>
      </c>
      <c r="D28" s="3" t="n">
        <v>417253.0</v>
      </c>
      <c r="E28" s="3" t="n">
        <v>425146.0</v>
      </c>
      <c r="F28" s="3" t="n">
        <v>431178.0</v>
      </c>
      <c r="G28" s="3" t="n">
        <v>434875.0</v>
      </c>
      <c r="H28" s="3" t="n">
        <v>437938.0</v>
      </c>
      <c r="I28" s="3" t="n">
        <v>441172.0</v>
      </c>
      <c r="J28" s="3" t="n">
        <v>443611.0</v>
      </c>
      <c r="K28" s="3" t="n">
        <v>445482.0</v>
      </c>
      <c r="L28" s="3" t="n">
        <v>447138.0</v>
      </c>
      <c r="M28" s="3" t="n">
        <v>448809.0</v>
      </c>
      <c r="N28" s="3" t="n">
        <v>450525.0</v>
      </c>
      <c r="O28" s="3" t="n">
        <v>453039.0</v>
      </c>
      <c r="P28" s="3" t="n">
        <v>456702.0</v>
      </c>
      <c r="Q28" s="3" t="n">
        <v>461034.0</v>
      </c>
      <c r="R28" s="3" t="n">
        <v>467067.0</v>
      </c>
      <c r="S28" s="3" t="n">
        <v>474397.0</v>
      </c>
      <c r="T28" s="3" t="n">
        <v>483033.0</v>
      </c>
      <c r="U28" s="3" t="n">
        <v>492940.0</v>
      </c>
      <c r="V28" s="3" t="n">
        <v>503970.0</v>
      </c>
      <c r="W28" s="3" t="n">
        <v>514645.0</v>
      </c>
      <c r="X28" s="3" t="n">
        <v>525797.0</v>
      </c>
      <c r="Y28" s="3" t="n">
        <v>537574.0</v>
      </c>
      <c r="Z28" s="3" t="n">
        <v>549280.0</v>
      </c>
      <c r="AA28" s="3" t="n">
        <v>559718.0</v>
      </c>
      <c r="AB28" s="3" t="n">
        <v>572092.0</v>
      </c>
      <c r="AC28" s="3" t="n">
        <v>585404.0</v>
      </c>
      <c r="AD28" s="3" t="n">
        <v>597839.0</v>
      </c>
      <c r="AE28" s="3" t="n">
        <v>609274.0</v>
      </c>
      <c r="AF28" s="3" t="n">
        <v>618653.0</v>
      </c>
      <c r="AG28" s="3" t="n">
        <v>626077.0</v>
      </c>
      <c r="AH28" s="3" t="n">
        <v>632811.0</v>
      </c>
      <c r="AI28" s="3" t="n">
        <v>638485.0</v>
      </c>
      <c r="AJ28" s="3" t="n">
        <v>643776.0</v>
      </c>
      <c r="AK28" s="3" t="n">
        <v>648413.0</v>
      </c>
      <c r="AL28" s="3" t="n">
        <v>651037.0</v>
      </c>
      <c r="AM28" s="3" t="n">
        <v>652343.0</v>
      </c>
      <c r="AN28" s="3" t="n">
        <v>652262.0</v>
      </c>
      <c r="AO28" s="3" t="n">
        <v>650417.0</v>
      </c>
    </row>
    <row r="29" spans="1:41" x14ac:dyDescent="0.2">
      <c r="A29" s="134"/>
      <c r="B29" s="52" t="s">
        <v>0</v>
      </c>
      <c r="C29" s="3" t="n">
        <v>81552.0</v>
      </c>
      <c r="D29" s="3" t="n">
        <v>80082.0</v>
      </c>
      <c r="E29" s="3" t="n">
        <v>78690.0</v>
      </c>
      <c r="F29" s="3" t="n">
        <v>79488.0</v>
      </c>
      <c r="G29" s="3" t="n">
        <v>78694.0</v>
      </c>
      <c r="H29" s="3" t="n">
        <v>78417.0</v>
      </c>
      <c r="I29" s="3" t="n">
        <v>78205.0</v>
      </c>
      <c r="J29" s="3" t="n">
        <v>77574.0</v>
      </c>
      <c r="K29" s="3" t="n">
        <v>76810.0</v>
      </c>
      <c r="L29" s="3" t="n">
        <v>76032.0</v>
      </c>
      <c r="M29" s="3" t="n">
        <v>75201.0</v>
      </c>
      <c r="N29" s="3" t="n">
        <v>74395.0</v>
      </c>
      <c r="O29" s="3" t="n">
        <v>73656.0</v>
      </c>
      <c r="P29" s="3" t="n">
        <v>73104.0</v>
      </c>
      <c r="Q29" s="3" t="n">
        <v>72796.0</v>
      </c>
      <c r="R29" s="3" t="n">
        <v>72767.0</v>
      </c>
      <c r="S29" s="3" t="n">
        <v>73003.0</v>
      </c>
      <c r="T29" s="3" t="n">
        <v>73478.0</v>
      </c>
      <c r="U29" s="3" t="n">
        <v>74121.0</v>
      </c>
      <c r="V29" s="3" t="n">
        <v>74855.0</v>
      </c>
      <c r="W29" s="3" t="n">
        <v>75604.0</v>
      </c>
      <c r="X29" s="3" t="n">
        <v>76316.0</v>
      </c>
      <c r="Y29" s="3" t="n">
        <v>76937.0</v>
      </c>
      <c r="Z29" s="3" t="n">
        <v>77407.0</v>
      </c>
      <c r="AA29" s="3" t="n">
        <v>77680.0</v>
      </c>
      <c r="AB29" s="3" t="n">
        <v>77770.0</v>
      </c>
      <c r="AC29" s="3" t="n">
        <v>77679.0</v>
      </c>
      <c r="AD29" s="3" t="n">
        <v>77401.0</v>
      </c>
      <c r="AE29" s="3" t="n">
        <v>76929.0</v>
      </c>
      <c r="AF29" s="3" t="n">
        <v>76269.0</v>
      </c>
      <c r="AG29" s="3" t="n">
        <v>75457.0</v>
      </c>
      <c r="AH29" s="3" t="n">
        <v>74514.0</v>
      </c>
      <c r="AI29" s="3" t="n">
        <v>73457.0</v>
      </c>
      <c r="AJ29" s="3" t="n">
        <v>72338.0</v>
      </c>
      <c r="AK29" s="3" t="n">
        <v>71195.0</v>
      </c>
      <c r="AL29" s="3" t="n">
        <v>70104.0</v>
      </c>
      <c r="AM29" s="3" t="n">
        <v>69024.0</v>
      </c>
      <c r="AN29" s="3" t="n">
        <v>67994.0</v>
      </c>
      <c r="AO29" s="3" t="n">
        <v>67036.0</v>
      </c>
    </row>
    <row r="30" spans="1:41" x14ac:dyDescent="0.2">
      <c r="A30" s="134"/>
      <c r="B30" s="52" t="s">
        <v>1</v>
      </c>
      <c r="C30" s="3" t="n">
        <v>127037.0</v>
      </c>
      <c r="D30" s="3" t="n">
        <v>124135.0</v>
      </c>
      <c r="E30" s="3" t="n">
        <v>119353.0</v>
      </c>
      <c r="F30" s="3" t="n">
        <v>113273.0</v>
      </c>
      <c r="G30" s="3" t="n">
        <v>109577.0</v>
      </c>
      <c r="H30" s="3" t="n">
        <v>108588.0</v>
      </c>
      <c r="I30" s="3" t="n">
        <v>108101.0</v>
      </c>
      <c r="J30" s="3" t="n">
        <v>109044.0</v>
      </c>
      <c r="K30" s="3" t="n">
        <v>107953.0</v>
      </c>
      <c r="L30" s="3" t="n">
        <v>106725.0</v>
      </c>
      <c r="M30" s="3" t="n">
        <v>105429.0</v>
      </c>
      <c r="N30" s="3" t="n">
        <v>104135.0</v>
      </c>
      <c r="O30" s="3" t="n">
        <v>102943.0</v>
      </c>
      <c r="P30" s="3" t="n">
        <v>101822.0</v>
      </c>
      <c r="Q30" s="3" t="n">
        <v>100737.0</v>
      </c>
      <c r="R30" s="3" t="n">
        <v>99754.0</v>
      </c>
      <c r="S30" s="3" t="n">
        <v>98942.0</v>
      </c>
      <c r="T30" s="3" t="n">
        <v>98392.0</v>
      </c>
      <c r="U30" s="3" t="n">
        <v>98171.0</v>
      </c>
      <c r="V30" s="3" t="n">
        <v>98293.0</v>
      </c>
      <c r="W30" s="3" t="n">
        <v>98744.0</v>
      </c>
      <c r="X30" s="3" t="n">
        <v>99458.0</v>
      </c>
      <c r="Y30" s="3" t="n">
        <v>100327.0</v>
      </c>
      <c r="Z30" s="3" t="n">
        <v>101271.0</v>
      </c>
      <c r="AA30" s="3" t="n">
        <v>102212.0</v>
      </c>
      <c r="AB30" s="3" t="n">
        <v>103049.0</v>
      </c>
      <c r="AC30" s="3" t="n">
        <v>103730.0</v>
      </c>
      <c r="AD30" s="3" t="n">
        <v>104193.0</v>
      </c>
      <c r="AE30" s="3" t="n">
        <v>104407.0</v>
      </c>
      <c r="AF30" s="3" t="n">
        <v>104383.0</v>
      </c>
      <c r="AG30" s="3" t="n">
        <v>104102.0</v>
      </c>
      <c r="AH30" s="3" t="n">
        <v>103577.0</v>
      </c>
      <c r="AI30" s="3" t="n">
        <v>102800.0</v>
      </c>
      <c r="AJ30" s="3" t="n">
        <v>101800.0</v>
      </c>
      <c r="AK30" s="3" t="n">
        <v>100627.0</v>
      </c>
      <c r="AL30" s="3" t="n">
        <v>99265.0</v>
      </c>
      <c r="AM30" s="3" t="n">
        <v>97817.0</v>
      </c>
      <c r="AN30" s="3" t="n">
        <v>96315.0</v>
      </c>
      <c r="AO30" s="3" t="n">
        <v>94813.0</v>
      </c>
    </row>
    <row r="31" spans="1:41" x14ac:dyDescent="0.2">
      <c r="A31" s="134"/>
      <c r="B31" s="53" t="s">
        <v>18</v>
      </c>
      <c r="C31" s="3" t="n">
        <v>254202.0</v>
      </c>
      <c r="D31" s="3" t="n">
        <v>253555.0</v>
      </c>
      <c r="E31" s="3" t="n">
        <v>254204.0</v>
      </c>
      <c r="F31" s="3" t="n">
        <v>252943.0</v>
      </c>
      <c r="G31" s="3" t="n">
        <v>252669.0</v>
      </c>
      <c r="H31" s="3" t="n">
        <v>251950.0</v>
      </c>
      <c r="I31" s="3" t="n">
        <v>252881.0</v>
      </c>
      <c r="J31" s="3" t="n">
        <v>248791.0</v>
      </c>
      <c r="K31" s="3" t="n">
        <v>244962.0</v>
      </c>
      <c r="L31" s="3" t="n">
        <v>240207.0</v>
      </c>
      <c r="M31" s="3" t="n">
        <v>233548.0</v>
      </c>
      <c r="N31" s="3" t="n">
        <v>227591.0</v>
      </c>
      <c r="O31" s="3" t="n">
        <v>222200.0</v>
      </c>
      <c r="P31" s="3" t="n">
        <v>218660.0</v>
      </c>
      <c r="Q31" s="3" t="n">
        <v>215355.0</v>
      </c>
      <c r="R31" s="3" t="n">
        <v>214321.0</v>
      </c>
      <c r="S31" s="3" t="n">
        <v>211795.0</v>
      </c>
      <c r="T31" s="3" t="n">
        <v>209361.0</v>
      </c>
      <c r="U31" s="3" t="n">
        <v>206948.0</v>
      </c>
      <c r="V31" s="3" t="n">
        <v>204675.0</v>
      </c>
      <c r="W31" s="3" t="n">
        <v>202695.0</v>
      </c>
      <c r="X31" s="3" t="n">
        <v>201056.0</v>
      </c>
      <c r="Y31" s="3" t="n">
        <v>199783.0</v>
      </c>
      <c r="Z31" s="3" t="n">
        <v>198950.0</v>
      </c>
      <c r="AA31" s="3" t="n">
        <v>198601.0</v>
      </c>
      <c r="AB31" s="3" t="n">
        <v>198772.0</v>
      </c>
      <c r="AC31" s="3" t="n">
        <v>199402.0</v>
      </c>
      <c r="AD31" s="3" t="n">
        <v>200443.0</v>
      </c>
      <c r="AE31" s="3" t="n">
        <v>201788.0</v>
      </c>
      <c r="AF31" s="3" t="n">
        <v>203287.0</v>
      </c>
      <c r="AG31" s="3" t="n">
        <v>204766.0</v>
      </c>
      <c r="AH31" s="3" t="n">
        <v>206093.0</v>
      </c>
      <c r="AI31" s="3" t="n">
        <v>207172.0</v>
      </c>
      <c r="AJ31" s="3" t="n">
        <v>207914.0</v>
      </c>
      <c r="AK31" s="3" t="n">
        <v>208240.0</v>
      </c>
      <c r="AL31" s="3" t="n">
        <v>208117.0</v>
      </c>
      <c r="AM31" s="3" t="n">
        <v>207496.0</v>
      </c>
      <c r="AN31" s="3" t="n">
        <v>206423.0</v>
      </c>
      <c r="AO31" s="3" t="n">
        <v>204922.0</v>
      </c>
    </row>
    <row r="32" spans="1:41" x14ac:dyDescent="0.2">
      <c r="A32" s="134"/>
      <c r="B32" s="52" t="s">
        <v>19</v>
      </c>
      <c r="C32" s="3" t="n">
        <v>112212.0</v>
      </c>
      <c r="D32" s="3" t="n">
        <v>118553.0</v>
      </c>
      <c r="E32" s="3" t="n">
        <v>124114.0</v>
      </c>
      <c r="F32" s="3" t="n">
        <v>128790.0</v>
      </c>
      <c r="G32" s="3" t="n">
        <v>129899.0</v>
      </c>
      <c r="H32" s="3" t="n">
        <v>130084.0</v>
      </c>
      <c r="I32" s="3" t="n">
        <v>129024.0</v>
      </c>
      <c r="J32" s="3" t="n">
        <v>127479.0</v>
      </c>
      <c r="K32" s="3" t="n">
        <v>127872.0</v>
      </c>
      <c r="L32" s="3" t="n">
        <v>128180.0</v>
      </c>
      <c r="M32" s="3" t="n">
        <v>131215.0</v>
      </c>
      <c r="N32" s="3" t="n">
        <v>132069.0</v>
      </c>
      <c r="O32" s="3" t="n">
        <v>131693.0</v>
      </c>
      <c r="P32" s="3" t="n">
        <v>128787.0</v>
      </c>
      <c r="Q32" s="3" t="n">
        <v>123901.0</v>
      </c>
      <c r="R32" s="3" t="n">
        <v>117606.0</v>
      </c>
      <c r="S32" s="3" t="n">
        <v>113525.0</v>
      </c>
      <c r="T32" s="3" t="n">
        <v>111300.0</v>
      </c>
      <c r="U32" s="3" t="n">
        <v>109302.0</v>
      </c>
      <c r="V32" s="3" t="n">
        <v>109553.0</v>
      </c>
      <c r="W32" s="3" t="n">
        <v>108207.0</v>
      </c>
      <c r="X32" s="3" t="n">
        <v>106879.0</v>
      </c>
      <c r="Y32" s="3" t="n">
        <v>105547.0</v>
      </c>
      <c r="Z32" s="3" t="n">
        <v>104257.0</v>
      </c>
      <c r="AA32" s="3" t="n">
        <v>103093.0</v>
      </c>
      <c r="AB32" s="3" t="n">
        <v>102005.0</v>
      </c>
      <c r="AC32" s="3" t="n">
        <v>100953.0</v>
      </c>
      <c r="AD32" s="3" t="n">
        <v>100004.0</v>
      </c>
      <c r="AE32" s="3" t="n">
        <v>99228.0</v>
      </c>
      <c r="AF32" s="3" t="n">
        <v>98700.0</v>
      </c>
      <c r="AG32" s="3" t="n">
        <v>98494.0</v>
      </c>
      <c r="AH32" s="3" t="n">
        <v>98620.0</v>
      </c>
      <c r="AI32" s="3" t="n">
        <v>99047.0</v>
      </c>
      <c r="AJ32" s="3" t="n">
        <v>99720.0</v>
      </c>
      <c r="AK32" s="3" t="n">
        <v>100536.0</v>
      </c>
      <c r="AL32" s="3" t="n">
        <v>101412.0</v>
      </c>
      <c r="AM32" s="3" t="n">
        <v>102284.0</v>
      </c>
      <c r="AN32" s="3" t="n">
        <v>103042.0</v>
      </c>
      <c r="AO32" s="3" t="n">
        <v>103642.0</v>
      </c>
    </row>
    <row r="33" spans="1:41" x14ac:dyDescent="0.2">
      <c r="A33" s="134"/>
      <c r="B33" s="52" t="s">
        <v>2</v>
      </c>
      <c r="C33" s="3" t="n">
        <v>157619.0</v>
      </c>
      <c r="D33" s="3" t="n">
        <v>155931.0</v>
      </c>
      <c r="E33" s="3" t="n">
        <v>156116.0</v>
      </c>
      <c r="F33" s="3" t="n">
        <v>158147.0</v>
      </c>
      <c r="G33" s="3" t="n">
        <v>162586.0</v>
      </c>
      <c r="H33" s="3" t="n">
        <v>170299.0</v>
      </c>
      <c r="I33" s="3" t="n">
        <v>178588.0</v>
      </c>
      <c r="J33" s="3" t="n">
        <v>186613.0</v>
      </c>
      <c r="K33" s="3" t="n">
        <v>191539.0</v>
      </c>
      <c r="L33" s="3" t="n">
        <v>195056.0</v>
      </c>
      <c r="M33" s="3" t="n">
        <v>195652.0</v>
      </c>
      <c r="N33" s="3" t="n">
        <v>194961.0</v>
      </c>
      <c r="O33" s="3" t="n">
        <v>194020.0</v>
      </c>
      <c r="P33" s="3" t="n">
        <v>192498.0</v>
      </c>
      <c r="Q33" s="3" t="n">
        <v>194451.0</v>
      </c>
      <c r="R33" s="3" t="n">
        <v>194955.0</v>
      </c>
      <c r="S33" s="3" t="n">
        <v>195738.0</v>
      </c>
      <c r="T33" s="3" t="n">
        <v>193331.0</v>
      </c>
      <c r="U33" s="3" t="n">
        <v>190239.0</v>
      </c>
      <c r="V33" s="3" t="n">
        <v>184257.0</v>
      </c>
      <c r="W33" s="3" t="n">
        <v>177996.0</v>
      </c>
      <c r="X33" s="3" t="n">
        <v>172532.0</v>
      </c>
      <c r="Y33" s="3" t="n">
        <v>167814.0</v>
      </c>
      <c r="Z33" s="3" t="n">
        <v>164973.0</v>
      </c>
      <c r="AA33" s="3" t="n">
        <v>162243.0</v>
      </c>
      <c r="AB33" s="3" t="n">
        <v>161745.0</v>
      </c>
      <c r="AC33" s="3" t="n">
        <v>159791.0</v>
      </c>
      <c r="AD33" s="3" t="n">
        <v>157930.0</v>
      </c>
      <c r="AE33" s="3" t="n">
        <v>156065.0</v>
      </c>
      <c r="AF33" s="3" t="n">
        <v>154262.0</v>
      </c>
      <c r="AG33" s="3" t="n">
        <v>152623.0</v>
      </c>
      <c r="AH33" s="3" t="n">
        <v>151147.0</v>
      </c>
      <c r="AI33" s="3" t="n">
        <v>149839.0</v>
      </c>
      <c r="AJ33" s="3" t="n">
        <v>148799.0</v>
      </c>
      <c r="AK33" s="3" t="n">
        <v>148099.0</v>
      </c>
      <c r="AL33" s="3" t="n">
        <v>147822.0</v>
      </c>
      <c r="AM33" s="3" t="n">
        <v>147967.0</v>
      </c>
      <c r="AN33" s="3" t="n">
        <v>148519.0</v>
      </c>
      <c r="AO33" s="3" t="n">
        <v>149390.0</v>
      </c>
    </row>
    <row r="34" spans="1:41" x14ac:dyDescent="0.2">
      <c r="A34" s="134"/>
      <c r="B34" s="52" t="s">
        <v>3</v>
      </c>
      <c r="C34" s="3" t="n">
        <v>462791.0</v>
      </c>
      <c r="D34" s="3" t="n">
        <v>457772.0</v>
      </c>
      <c r="E34" s="3" t="n">
        <v>452247.0</v>
      </c>
      <c r="F34" s="3" t="n">
        <v>445704.0</v>
      </c>
      <c r="G34" s="3" t="n">
        <v>440940.0</v>
      </c>
      <c r="H34" s="3" t="n">
        <v>438955.0</v>
      </c>
      <c r="I34" s="3" t="n">
        <v>439187.0</v>
      </c>
      <c r="J34" s="3" t="n">
        <v>435409.0</v>
      </c>
      <c r="K34" s="3" t="n">
        <v>429725.0</v>
      </c>
      <c r="L34" s="3" t="n">
        <v>422964.0</v>
      </c>
      <c r="M34" s="3" t="n">
        <v>414178.0</v>
      </c>
      <c r="N34" s="3" t="n">
        <v>406121.0</v>
      </c>
      <c r="O34" s="3" t="n">
        <v>398799.0</v>
      </c>
      <c r="P34" s="3" t="n">
        <v>393586.0</v>
      </c>
      <c r="Q34" s="3" t="n">
        <v>388888.0</v>
      </c>
      <c r="R34" s="3" t="n">
        <v>386842.0</v>
      </c>
      <c r="S34" s="3" t="n">
        <v>383740.0</v>
      </c>
      <c r="T34" s="3" t="n">
        <v>381231.0</v>
      </c>
      <c r="U34" s="3" t="n">
        <v>379240.0</v>
      </c>
      <c r="V34" s="3" t="n">
        <v>377823.0</v>
      </c>
      <c r="W34" s="3" t="n">
        <v>377043.0</v>
      </c>
      <c r="X34" s="3" t="n">
        <v>376830.0</v>
      </c>
      <c r="Y34" s="3" t="n">
        <v>377047.0</v>
      </c>
      <c r="Z34" s="3" t="n">
        <v>377628.0</v>
      </c>
      <c r="AA34" s="3" t="n">
        <v>378493.0</v>
      </c>
      <c r="AB34" s="3" t="n">
        <v>379591.0</v>
      </c>
      <c r="AC34" s="3" t="n">
        <v>380811.0</v>
      </c>
      <c r="AD34" s="3" t="n">
        <v>382037.0</v>
      </c>
      <c r="AE34" s="3" t="n">
        <v>383124.0</v>
      </c>
      <c r="AF34" s="3" t="n">
        <v>383939.0</v>
      </c>
      <c r="AG34" s="3" t="n">
        <v>384325.0</v>
      </c>
      <c r="AH34" s="3" t="n">
        <v>384184.0</v>
      </c>
      <c r="AI34" s="3" t="n">
        <v>383429.0</v>
      </c>
      <c r="AJ34" s="3" t="n">
        <v>382052.0</v>
      </c>
      <c r="AK34" s="3" t="n">
        <v>380062.0</v>
      </c>
      <c r="AL34" s="3" t="n">
        <v>377486.0</v>
      </c>
      <c r="AM34" s="3" t="n">
        <v>374337.0</v>
      </c>
      <c r="AN34" s="3" t="n">
        <v>370732.0</v>
      </c>
      <c r="AO34" s="3" t="n">
        <v>366771.0</v>
      </c>
    </row>
    <row r="35" spans="1:41" x14ac:dyDescent="0.2">
      <c r="A35" s="134"/>
      <c r="B35" s="52" t="s">
        <v>4</v>
      </c>
      <c r="C35" s="3" t="n">
        <v>1767628.0</v>
      </c>
      <c r="D35" s="3" t="n">
        <v>1764689.0</v>
      </c>
      <c r="E35" s="3" t="n">
        <v>1763377.0</v>
      </c>
      <c r="F35" s="3" t="n">
        <v>1764654.0</v>
      </c>
      <c r="G35" s="3" t="n">
        <v>1766028.0</v>
      </c>
      <c r="H35" s="3" t="n">
        <v>1771500.0</v>
      </c>
      <c r="I35" s="3" t="n">
        <v>1776762.0</v>
      </c>
      <c r="J35" s="3" t="n">
        <v>1781027.0</v>
      </c>
      <c r="K35" s="3" t="n">
        <v>1784611.0</v>
      </c>
      <c r="L35" s="3" t="n">
        <v>1787794.0</v>
      </c>
      <c r="M35" s="3" t="n">
        <v>1791753.0</v>
      </c>
      <c r="N35" s="3" t="n">
        <v>1793908.0</v>
      </c>
      <c r="O35" s="3" t="n">
        <v>1793972.0</v>
      </c>
      <c r="P35" s="3" t="n">
        <v>1790242.0</v>
      </c>
      <c r="Q35" s="3" t="n">
        <v>1784871.0</v>
      </c>
      <c r="R35" s="3" t="n">
        <v>1775109.0</v>
      </c>
      <c r="S35" s="3" t="n">
        <v>1764869.0</v>
      </c>
      <c r="T35" s="3" t="n">
        <v>1752562.0</v>
      </c>
      <c r="U35" s="3" t="n">
        <v>1738348.0</v>
      </c>
      <c r="V35" s="3" t="n">
        <v>1722417.0</v>
      </c>
      <c r="W35" s="3" t="n">
        <v>1706179.0</v>
      </c>
      <c r="X35" s="3" t="n">
        <v>1689204.0</v>
      </c>
      <c r="Y35" s="3" t="n">
        <v>1671048.0</v>
      </c>
      <c r="Z35" s="3" t="n">
        <v>1652452.0</v>
      </c>
      <c r="AA35" s="3" t="n">
        <v>1634767.0</v>
      </c>
      <c r="AB35" s="3" t="n">
        <v>1614702.0</v>
      </c>
      <c r="AC35" s="3" t="n">
        <v>1593345.0</v>
      </c>
      <c r="AD35" s="3" t="n">
        <v>1572855.0</v>
      </c>
      <c r="AE35" s="3" t="n">
        <v>1553151.0</v>
      </c>
      <c r="AF35" s="3" t="n">
        <v>1535335.0</v>
      </c>
      <c r="AG35" s="3" t="n">
        <v>1519441.0</v>
      </c>
      <c r="AH35" s="3" t="n">
        <v>1504198.0</v>
      </c>
      <c r="AI35" s="3" t="n">
        <v>1490074.0</v>
      </c>
      <c r="AJ35" s="3" t="n">
        <v>1476422.0</v>
      </c>
      <c r="AK35" s="3" t="n">
        <v>1463473.0</v>
      </c>
      <c r="AL35" s="3" t="n">
        <v>1452608.0</v>
      </c>
      <c r="AM35" s="3" t="n">
        <v>1443102.0</v>
      </c>
      <c r="AN35" s="3" t="n">
        <v>1434955.0</v>
      </c>
      <c r="AO35" s="3" t="n">
        <v>1428767.0</v>
      </c>
    </row>
    <row r="36" spans="1:41" x14ac:dyDescent="0.2">
      <c r="A36" s="134"/>
      <c r="B36" s="52" t="s">
        <v>5</v>
      </c>
      <c r="C36" s="3" t="n">
        <v>407822.0</v>
      </c>
      <c r="D36" s="3" t="n">
        <v>417253.0</v>
      </c>
      <c r="E36" s="3" t="n">
        <v>425146.0</v>
      </c>
      <c r="F36" s="3" t="n">
        <v>431178.0</v>
      </c>
      <c r="G36" s="3" t="n">
        <v>434875.0</v>
      </c>
      <c r="H36" s="3" t="n">
        <v>437938.0</v>
      </c>
      <c r="I36" s="3" t="n">
        <v>441172.0</v>
      </c>
      <c r="J36" s="3" t="n">
        <v>443611.0</v>
      </c>
      <c r="K36" s="3" t="n">
        <v>445482.0</v>
      </c>
      <c r="L36" s="3" t="n">
        <v>447138.0</v>
      </c>
      <c r="M36" s="3" t="n">
        <v>448809.0</v>
      </c>
      <c r="N36" s="3" t="n">
        <v>450525.0</v>
      </c>
      <c r="O36" s="3" t="n">
        <v>453039.0</v>
      </c>
      <c r="P36" s="3" t="n">
        <v>456702.0</v>
      </c>
      <c r="Q36" s="3" t="n">
        <v>461034.0</v>
      </c>
      <c r="R36" s="3" t="n">
        <v>467067.0</v>
      </c>
      <c r="S36" s="3" t="n">
        <v>474397.0</v>
      </c>
      <c r="T36" s="3" t="n">
        <v>483033.0</v>
      </c>
      <c r="U36" s="3" t="n">
        <v>492940.0</v>
      </c>
      <c r="V36" s="3" t="n">
        <v>503970.0</v>
      </c>
      <c r="W36" s="3" t="n">
        <v>514645.0</v>
      </c>
      <c r="X36" s="3" t="n">
        <v>525797.0</v>
      </c>
      <c r="Y36" s="3" t="n">
        <v>537574.0</v>
      </c>
      <c r="Z36" s="3" t="n">
        <v>549280.0</v>
      </c>
      <c r="AA36" s="3" t="n">
        <v>559718.0</v>
      </c>
      <c r="AB36" s="3" t="n">
        <v>572092.0</v>
      </c>
      <c r="AC36" s="3" t="n">
        <v>585404.0</v>
      </c>
      <c r="AD36" s="3" t="n">
        <v>597839.0</v>
      </c>
      <c r="AE36" s="3" t="n">
        <v>609274.0</v>
      </c>
      <c r="AF36" s="3" t="n">
        <v>618653.0</v>
      </c>
      <c r="AG36" s="3" t="n">
        <v>626077.0</v>
      </c>
      <c r="AH36" s="3" t="n">
        <v>632811.0</v>
      </c>
      <c r="AI36" s="3" t="n">
        <v>638485.0</v>
      </c>
      <c r="AJ36" s="3" t="n">
        <v>643776.0</v>
      </c>
      <c r="AK36" s="3" t="n">
        <v>648413.0</v>
      </c>
      <c r="AL36" s="3" t="n">
        <v>651037.0</v>
      </c>
      <c r="AM36" s="3" t="n">
        <v>652343.0</v>
      </c>
      <c r="AN36" s="3" t="n">
        <v>652262.0</v>
      </c>
      <c r="AO36" s="3" t="n">
        <v>650417.0</v>
      </c>
    </row>
    <row r="37" spans="1:41" x14ac:dyDescent="0.2">
      <c r="A37" s="134"/>
      <c r="B37" s="54" t="s">
        <v>6</v>
      </c>
      <c r="C37" s="3" t="n">
        <v>73763.0</v>
      </c>
      <c r="D37" s="3" t="n">
        <v>73266.0</v>
      </c>
      <c r="E37" s="3" t="n">
        <v>73250.0</v>
      </c>
      <c r="F37" s="3" t="n">
        <v>73650.0</v>
      </c>
      <c r="G37" s="3" t="n">
        <v>77088.0</v>
      </c>
      <c r="H37" s="3" t="n">
        <v>81418.0</v>
      </c>
      <c r="I37" s="3" t="n">
        <v>86313.0</v>
      </c>
      <c r="J37" s="3" t="n">
        <v>91251.0</v>
      </c>
      <c r="K37" s="3" t="n">
        <v>96773.0</v>
      </c>
      <c r="L37" s="3" t="n">
        <v>102704.0</v>
      </c>
      <c r="M37" s="3" t="n">
        <v>108721.0</v>
      </c>
      <c r="N37" s="3" t="n">
        <v>114800.0</v>
      </c>
      <c r="O37" s="3" t="n">
        <v>120671.0</v>
      </c>
      <c r="P37" s="3" t="n">
        <v>126626.0</v>
      </c>
      <c r="Q37" s="3" t="n">
        <v>131636.0</v>
      </c>
      <c r="R37" s="3" t="n">
        <v>136422.0</v>
      </c>
      <c r="S37" s="3" t="n">
        <v>140162.0</v>
      </c>
      <c r="T37" s="3" t="n">
        <v>142798.0</v>
      </c>
      <c r="U37" s="3" t="n">
        <v>144173.0</v>
      </c>
      <c r="V37" s="3" t="n">
        <v>144204.0</v>
      </c>
      <c r="W37" s="3" t="n">
        <v>143818.0</v>
      </c>
      <c r="X37" s="3" t="n">
        <v>143656.0</v>
      </c>
      <c r="Y37" s="3" t="n">
        <v>143180.0</v>
      </c>
      <c r="Z37" s="3" t="n">
        <v>142504.0</v>
      </c>
      <c r="AA37" s="3" t="n">
        <v>142007.0</v>
      </c>
      <c r="AB37" s="3" t="n">
        <v>141754.0</v>
      </c>
      <c r="AC37" s="3" t="n">
        <v>141835.0</v>
      </c>
      <c r="AD37" s="3" t="n">
        <v>142627.0</v>
      </c>
      <c r="AE37" s="3" t="n">
        <v>144387.0</v>
      </c>
      <c r="AF37" s="3" t="n">
        <v>146775.0</v>
      </c>
      <c r="AG37" s="3" t="n">
        <v>150278.0</v>
      </c>
      <c r="AH37" s="3" t="n">
        <v>154696.0</v>
      </c>
      <c r="AI37" s="3" t="n">
        <v>159968.0</v>
      </c>
      <c r="AJ37" s="3" t="n">
        <v>166099.0</v>
      </c>
      <c r="AK37" s="3" t="n">
        <v>172854.0</v>
      </c>
      <c r="AL37" s="3" t="n">
        <v>179318.0</v>
      </c>
      <c r="AM37" s="3" t="n">
        <v>185817.0</v>
      </c>
      <c r="AN37" s="3" t="n">
        <v>192604.0</v>
      </c>
      <c r="AO37" s="3" t="n">
        <v>199312.0</v>
      </c>
    </row>
    <row r="38" spans="1:41" x14ac:dyDescent="0.2">
      <c r="A38" s="133" t="s">
        <v>51</v>
      </c>
      <c r="B38" s="69" t="s">
        <v>65</v>
      </c>
      <c r="C38" s="70" t="n">
        <v>2872371.0</v>
      </c>
      <c r="D38" s="70" t="n">
        <v>2873695.0</v>
      </c>
      <c r="E38" s="70" t="n">
        <v>2874699.0</v>
      </c>
      <c r="F38" s="70" t="n">
        <v>2875641.0</v>
      </c>
      <c r="G38" s="70" t="n">
        <v>2876295.0</v>
      </c>
      <c r="H38" s="70" t="n">
        <v>2889449.0</v>
      </c>
      <c r="I38" s="70" t="n">
        <v>2906949.0</v>
      </c>
      <c r="J38" s="70" t="n">
        <v>2913967.0</v>
      </c>
      <c r="K38" s="70" t="n">
        <v>2915351.0</v>
      </c>
      <c r="L38" s="70" t="n">
        <v>2914266.0</v>
      </c>
      <c r="M38" s="70" t="n">
        <v>2911535.0</v>
      </c>
      <c r="N38" s="70" t="n">
        <v>2907470.0</v>
      </c>
      <c r="O38" s="70" t="n">
        <v>2902537.0</v>
      </c>
      <c r="P38" s="70" t="n">
        <v>2896974.0</v>
      </c>
      <c r="Q38" s="70" t="n">
        <v>2890997.0</v>
      </c>
      <c r="R38" s="70" t="n">
        <v>2884642.0</v>
      </c>
      <c r="S38" s="70" t="n">
        <v>2877947.0</v>
      </c>
      <c r="T38" s="70" t="n">
        <v>2871056.0</v>
      </c>
      <c r="U38" s="70" t="n">
        <v>2863962.0</v>
      </c>
      <c r="V38" s="70" t="n">
        <v>2856676.0</v>
      </c>
      <c r="W38" s="70" t="n">
        <v>2849325.0</v>
      </c>
      <c r="X38" s="70" t="n">
        <v>2841865.0</v>
      </c>
      <c r="Y38" s="70" t="n">
        <v>2834341.0</v>
      </c>
      <c r="Z38" s="70" t="n">
        <v>2826425.0</v>
      </c>
      <c r="AA38" s="70" t="n">
        <v>2818403.0</v>
      </c>
      <c r="AB38" s="70" t="n">
        <v>2810291.0</v>
      </c>
      <c r="AC38" s="70" t="n">
        <v>2802043.0</v>
      </c>
      <c r="AD38" s="70" t="n">
        <v>2793632.0</v>
      </c>
      <c r="AE38" s="70" t="n">
        <v>2784989.0</v>
      </c>
      <c r="AF38" s="70" t="n">
        <v>2776108.0</v>
      </c>
      <c r="AG38" s="70" t="n">
        <v>2766592.0</v>
      </c>
      <c r="AH38" s="70" t="n">
        <v>2756760.0</v>
      </c>
      <c r="AI38" s="70" t="n">
        <v>2746574.0</v>
      </c>
      <c r="AJ38" s="70" t="n">
        <v>2735947.0</v>
      </c>
      <c r="AK38" s="70" t="n">
        <v>2724890.0</v>
      </c>
      <c r="AL38" s="70" t="n">
        <v>2713396.0</v>
      </c>
      <c r="AM38" s="70" t="n">
        <v>2701026.0</v>
      </c>
      <c r="AN38" s="70" t="n">
        <v>2688168.0</v>
      </c>
      <c r="AO38" s="70" t="n">
        <v>2674868.0</v>
      </c>
    </row>
    <row r="39" spans="1:41" x14ac:dyDescent="0.2">
      <c r="A39" s="134"/>
      <c r="B39" s="52" t="s">
        <v>8</v>
      </c>
      <c r="C39" s="3" t="n">
        <v>520854.0</v>
      </c>
      <c r="D39" s="3" t="n">
        <v>520895.0</v>
      </c>
      <c r="E39" s="3" t="n">
        <v>519053.0</v>
      </c>
      <c r="F39" s="3" t="n">
        <v>515876.0</v>
      </c>
      <c r="G39" s="3" t="n">
        <v>510641.0</v>
      </c>
      <c r="H39" s="3" t="n">
        <v>508082.0</v>
      </c>
      <c r="I39" s="3" t="n">
        <v>506560.0</v>
      </c>
      <c r="J39" s="3" t="n">
        <v>503384.0</v>
      </c>
      <c r="K39" s="3" t="n">
        <v>498098.0</v>
      </c>
      <c r="L39" s="3" t="n">
        <v>492871.0</v>
      </c>
      <c r="M39" s="3" t="n">
        <v>486532.0</v>
      </c>
      <c r="N39" s="3" t="n">
        <v>479434.0</v>
      </c>
      <c r="O39" s="3" t="n">
        <v>471223.0</v>
      </c>
      <c r="P39" s="3" t="n">
        <v>462085.0</v>
      </c>
      <c r="Q39" s="3" t="n">
        <v>454076.0</v>
      </c>
      <c r="R39" s="3" t="n">
        <v>447030.0</v>
      </c>
      <c r="S39" s="3" t="n">
        <v>442115.0</v>
      </c>
      <c r="T39" s="3" t="n">
        <v>437630.0</v>
      </c>
      <c r="U39" s="3" t="n">
        <v>436068.0</v>
      </c>
      <c r="V39" s="3" t="n">
        <v>433776.0</v>
      </c>
      <c r="W39" s="3" t="n">
        <v>432109.0</v>
      </c>
      <c r="X39" s="3" t="n">
        <v>430843.0</v>
      </c>
      <c r="Y39" s="3" t="n">
        <v>430064.0</v>
      </c>
      <c r="Z39" s="3" t="n">
        <v>429732.0</v>
      </c>
      <c r="AA39" s="3" t="n">
        <v>429767.0</v>
      </c>
      <c r="AB39" s="3" t="n">
        <v>430032.0</v>
      </c>
      <c r="AC39" s="3" t="n">
        <v>430460.0</v>
      </c>
      <c r="AD39" s="3" t="n">
        <v>430985.0</v>
      </c>
      <c r="AE39" s="3" t="n">
        <v>431537.0</v>
      </c>
      <c r="AF39" s="3" t="n">
        <v>432025.0</v>
      </c>
      <c r="AG39" s="3" t="n">
        <v>432367.0</v>
      </c>
      <c r="AH39" s="3" t="n">
        <v>432437.0</v>
      </c>
      <c r="AI39" s="3" t="n">
        <v>432132.0</v>
      </c>
      <c r="AJ39" s="3" t="n">
        <v>431377.0</v>
      </c>
      <c r="AK39" s="3" t="n">
        <v>430123.0</v>
      </c>
      <c r="AL39" s="3" t="n">
        <v>428310.0</v>
      </c>
      <c r="AM39" s="3" t="n">
        <v>425941.0</v>
      </c>
      <c r="AN39" s="3" t="n">
        <v>423061.0</v>
      </c>
      <c r="AO39" s="3" t="n">
        <v>419705.0</v>
      </c>
    </row>
    <row r="40" spans="1:41" x14ac:dyDescent="0.2">
      <c r="A40" s="134"/>
      <c r="B40" s="52" t="s">
        <v>15</v>
      </c>
      <c r="C40" s="3" t="n">
        <v>1554208.0</v>
      </c>
      <c r="D40" s="3" t="n">
        <v>1552017.0</v>
      </c>
      <c r="E40" s="3" t="n">
        <v>1552103.0</v>
      </c>
      <c r="F40" s="3" t="n">
        <v>1554114.0</v>
      </c>
      <c r="G40" s="3" t="n">
        <v>1557741.0</v>
      </c>
      <c r="H40" s="3" t="n">
        <v>1570079.0</v>
      </c>
      <c r="I40" s="3" t="n">
        <v>1584619.0</v>
      </c>
      <c r="J40" s="3" t="n">
        <v>1590890.0</v>
      </c>
      <c r="K40" s="3" t="n">
        <v>1592533.0</v>
      </c>
      <c r="L40" s="3" t="n">
        <v>1590590.0</v>
      </c>
      <c r="M40" s="3" t="n">
        <v>1586624.0</v>
      </c>
      <c r="N40" s="3" t="n">
        <v>1580262.0</v>
      </c>
      <c r="O40" s="3" t="n">
        <v>1572651.0</v>
      </c>
      <c r="P40" s="3" t="n">
        <v>1563616.0</v>
      </c>
      <c r="Q40" s="3" t="n">
        <v>1551624.0</v>
      </c>
      <c r="R40" s="3" t="n">
        <v>1538853.0</v>
      </c>
      <c r="S40" s="3" t="n">
        <v>1523741.0</v>
      </c>
      <c r="T40" s="3" t="n">
        <v>1506918.0</v>
      </c>
      <c r="U40" s="3" t="n">
        <v>1487350.0</v>
      </c>
      <c r="V40" s="3" t="n">
        <v>1469818.0</v>
      </c>
      <c r="W40" s="3" t="n">
        <v>1449756.0</v>
      </c>
      <c r="X40" s="3" t="n">
        <v>1427537.0</v>
      </c>
      <c r="Y40" s="3" t="n">
        <v>1406489.0</v>
      </c>
      <c r="Z40" s="3" t="n">
        <v>1385979.0</v>
      </c>
      <c r="AA40" s="3" t="n">
        <v>1367071.0</v>
      </c>
      <c r="AB40" s="3" t="n">
        <v>1349976.0</v>
      </c>
      <c r="AC40" s="3" t="n">
        <v>1332369.0</v>
      </c>
      <c r="AD40" s="3" t="n">
        <v>1315887.0</v>
      </c>
      <c r="AE40" s="3" t="n">
        <v>1298732.0</v>
      </c>
      <c r="AF40" s="3" t="n">
        <v>1282290.0</v>
      </c>
      <c r="AG40" s="3" t="n">
        <v>1267084.0</v>
      </c>
      <c r="AH40" s="3" t="n">
        <v>1253109.0</v>
      </c>
      <c r="AI40" s="3" t="n">
        <v>1240715.0</v>
      </c>
      <c r="AJ40" s="3" t="n">
        <v>1230395.0</v>
      </c>
      <c r="AK40" s="3" t="n">
        <v>1221461.0</v>
      </c>
      <c r="AL40" s="3" t="n">
        <v>1214561.0</v>
      </c>
      <c r="AM40" s="3" t="n">
        <v>1209254.0</v>
      </c>
      <c r="AN40" s="3" t="n">
        <v>1205055.0</v>
      </c>
      <c r="AO40" s="3" t="n">
        <v>1201174.0</v>
      </c>
    </row>
    <row r="41" spans="1:41" x14ac:dyDescent="0.2">
      <c r="A41" s="134"/>
      <c r="B41" s="52" t="s">
        <v>11</v>
      </c>
      <c r="C41" s="3" t="n">
        <v>1018100.0</v>
      </c>
      <c r="D41" s="3" t="n">
        <v>1001987.0</v>
      </c>
      <c r="E41" s="3" t="n">
        <v>985784.0</v>
      </c>
      <c r="F41" s="3" t="n">
        <v>970662.0</v>
      </c>
      <c r="G41" s="3" t="n">
        <v>958616.0</v>
      </c>
      <c r="H41" s="3" t="n">
        <v>951263.0</v>
      </c>
      <c r="I41" s="3" t="n">
        <v>944115.0</v>
      </c>
      <c r="J41" s="3" t="n">
        <v>932109.0</v>
      </c>
      <c r="K41" s="3" t="n">
        <v>918991.0</v>
      </c>
      <c r="L41" s="3" t="n">
        <v>906047.0</v>
      </c>
      <c r="M41" s="3" t="n">
        <v>895382.0</v>
      </c>
      <c r="N41" s="3" t="n">
        <v>884465.0</v>
      </c>
      <c r="O41" s="3" t="n">
        <v>875752.0</v>
      </c>
      <c r="P41" s="3" t="n">
        <v>867448.0</v>
      </c>
      <c r="Q41" s="3" t="n">
        <v>858992.0</v>
      </c>
      <c r="R41" s="3" t="n">
        <v>851156.0</v>
      </c>
      <c r="S41" s="3" t="n">
        <v>842815.0</v>
      </c>
      <c r="T41" s="3" t="n">
        <v>835956.0</v>
      </c>
      <c r="U41" s="3" t="n">
        <v>828570.0</v>
      </c>
      <c r="V41" s="3" t="n">
        <v>823450.0</v>
      </c>
      <c r="W41" s="3" t="n">
        <v>819909.0</v>
      </c>
      <c r="X41" s="3" t="n">
        <v>817607.0</v>
      </c>
      <c r="Y41" s="3" t="n">
        <v>815914.0</v>
      </c>
      <c r="Z41" s="3" t="n">
        <v>813936.0</v>
      </c>
      <c r="AA41" s="3" t="n">
        <v>812664.0</v>
      </c>
      <c r="AB41" s="3" t="n">
        <v>811929.0</v>
      </c>
      <c r="AC41" s="3" t="n">
        <v>810946.0</v>
      </c>
      <c r="AD41" s="3" t="n">
        <v>808794.0</v>
      </c>
      <c r="AE41" s="3" t="n">
        <v>805281.0</v>
      </c>
      <c r="AF41" s="3" t="n">
        <v>799903.0</v>
      </c>
      <c r="AG41" s="3" t="n">
        <v>792912.0</v>
      </c>
      <c r="AH41" s="3" t="n">
        <v>783693.0</v>
      </c>
      <c r="AI41" s="3" t="n">
        <v>773396.0</v>
      </c>
      <c r="AJ41" s="3" t="n">
        <v>763193.0</v>
      </c>
      <c r="AK41" s="3" t="n">
        <v>754994.0</v>
      </c>
      <c r="AL41" s="3" t="n">
        <v>746847.0</v>
      </c>
      <c r="AM41" s="3" t="n">
        <v>739902.0</v>
      </c>
      <c r="AN41" s="3" t="n">
        <v>732692.0</v>
      </c>
      <c r="AO41" s="3" t="n">
        <v>725426.0</v>
      </c>
    </row>
    <row r="42" spans="1:41" x14ac:dyDescent="0.2">
      <c r="A42" s="134"/>
      <c r="B42" s="52" t="s">
        <v>16</v>
      </c>
      <c r="C42" s="3" t="n">
        <v>536108.0</v>
      </c>
      <c r="D42" s="3" t="n">
        <v>550030.0</v>
      </c>
      <c r="E42" s="3" t="n">
        <v>566319.0</v>
      </c>
      <c r="F42" s="3" t="n">
        <v>583452.0</v>
      </c>
      <c r="G42" s="3" t="n">
        <v>599125.0</v>
      </c>
      <c r="H42" s="3" t="n">
        <v>618816.0</v>
      </c>
      <c r="I42" s="3" t="n">
        <v>640504.0</v>
      </c>
      <c r="J42" s="3" t="n">
        <v>658781.0</v>
      </c>
      <c r="K42" s="3" t="n">
        <v>673542.0</v>
      </c>
      <c r="L42" s="3" t="n">
        <v>684543.0</v>
      </c>
      <c r="M42" s="3" t="n">
        <v>691242.0</v>
      </c>
      <c r="N42" s="3" t="n">
        <v>695797.0</v>
      </c>
      <c r="O42" s="3" t="n">
        <v>696899.0</v>
      </c>
      <c r="P42" s="3" t="n">
        <v>696168.0</v>
      </c>
      <c r="Q42" s="3" t="n">
        <v>692632.0</v>
      </c>
      <c r="R42" s="3" t="n">
        <v>687697.0</v>
      </c>
      <c r="S42" s="3" t="n">
        <v>680926.0</v>
      </c>
      <c r="T42" s="3" t="n">
        <v>670962.0</v>
      </c>
      <c r="U42" s="3" t="n">
        <v>658780.0</v>
      </c>
      <c r="V42" s="3" t="n">
        <v>646368.0</v>
      </c>
      <c r="W42" s="3" t="n">
        <v>629847.0</v>
      </c>
      <c r="X42" s="3" t="n">
        <v>609930.0</v>
      </c>
      <c r="Y42" s="3" t="n">
        <v>590575.0</v>
      </c>
      <c r="Z42" s="3" t="n">
        <v>572043.0</v>
      </c>
      <c r="AA42" s="3" t="n">
        <v>554407.0</v>
      </c>
      <c r="AB42" s="3" t="n">
        <v>538047.0</v>
      </c>
      <c r="AC42" s="3" t="n">
        <v>521423.0</v>
      </c>
      <c r="AD42" s="3" t="n">
        <v>507093.0</v>
      </c>
      <c r="AE42" s="3" t="n">
        <v>493451.0</v>
      </c>
      <c r="AF42" s="3" t="n">
        <v>482387.0</v>
      </c>
      <c r="AG42" s="3" t="n">
        <v>474172.0</v>
      </c>
      <c r="AH42" s="3" t="n">
        <v>469416.0</v>
      </c>
      <c r="AI42" s="3" t="n">
        <v>467319.0</v>
      </c>
      <c r="AJ42" s="3" t="n">
        <v>467202.0</v>
      </c>
      <c r="AK42" s="3" t="n">
        <v>466467.0</v>
      </c>
      <c r="AL42" s="3" t="n">
        <v>467714.0</v>
      </c>
      <c r="AM42" s="3" t="n">
        <v>469352.0</v>
      </c>
      <c r="AN42" s="3" t="n">
        <v>472363.0</v>
      </c>
      <c r="AO42" s="3" t="n">
        <v>475748.0</v>
      </c>
    </row>
    <row r="43" spans="1:41" x14ac:dyDescent="0.2">
      <c r="A43" s="134"/>
      <c r="B43" s="52" t="s">
        <v>17</v>
      </c>
      <c r="C43" s="3" t="n">
        <v>797309.0</v>
      </c>
      <c r="D43" s="3" t="n">
        <v>800783.0</v>
      </c>
      <c r="E43" s="3" t="n">
        <v>803543.0</v>
      </c>
      <c r="F43" s="3" t="n">
        <v>805651.0</v>
      </c>
      <c r="G43" s="3" t="n">
        <v>807913.0</v>
      </c>
      <c r="H43" s="3" t="n">
        <v>811288.0</v>
      </c>
      <c r="I43" s="3" t="n">
        <v>815770.0</v>
      </c>
      <c r="J43" s="3" t="n">
        <v>819693.0</v>
      </c>
      <c r="K43" s="3" t="n">
        <v>824720.0</v>
      </c>
      <c r="L43" s="3" t="n">
        <v>830805.0</v>
      </c>
      <c r="M43" s="3" t="n">
        <v>838379.0</v>
      </c>
      <c r="N43" s="3" t="n">
        <v>847774.0</v>
      </c>
      <c r="O43" s="3" t="n">
        <v>858663.0</v>
      </c>
      <c r="P43" s="3" t="n">
        <v>871273.0</v>
      </c>
      <c r="Q43" s="3" t="n">
        <v>885297.0</v>
      </c>
      <c r="R43" s="3" t="n">
        <v>898759.0</v>
      </c>
      <c r="S43" s="3" t="n">
        <v>912091.0</v>
      </c>
      <c r="T43" s="3" t="n">
        <v>926508.0</v>
      </c>
      <c r="U43" s="3" t="n">
        <v>940544.0</v>
      </c>
      <c r="V43" s="3" t="n">
        <v>953082.0</v>
      </c>
      <c r="W43" s="3" t="n">
        <v>967460.0</v>
      </c>
      <c r="X43" s="3" t="n">
        <v>983485.0</v>
      </c>
      <c r="Y43" s="3" t="n">
        <v>997788.0</v>
      </c>
      <c r="Z43" s="3" t="n">
        <v>1010714.0</v>
      </c>
      <c r="AA43" s="3" t="n">
        <v>1021565.0</v>
      </c>
      <c r="AB43" s="3" t="n">
        <v>1030283.0</v>
      </c>
      <c r="AC43" s="3" t="n">
        <v>1039214.0</v>
      </c>
      <c r="AD43" s="3" t="n">
        <v>1046760.0</v>
      </c>
      <c r="AE43" s="3" t="n">
        <v>1054720.0</v>
      </c>
      <c r="AF43" s="3" t="n">
        <v>1061793.0</v>
      </c>
      <c r="AG43" s="3" t="n">
        <v>1067141.0</v>
      </c>
      <c r="AH43" s="3" t="n">
        <v>1071214.0</v>
      </c>
      <c r="AI43" s="3" t="n">
        <v>1073727.0</v>
      </c>
      <c r="AJ43" s="3" t="n">
        <v>1074175.0</v>
      </c>
      <c r="AK43" s="3" t="n">
        <v>1073306.0</v>
      </c>
      <c r="AL43" s="3" t="n">
        <v>1070525.0</v>
      </c>
      <c r="AM43" s="3" t="n">
        <v>1065831.0</v>
      </c>
      <c r="AN43" s="3" t="n">
        <v>1060052.0</v>
      </c>
      <c r="AO43" s="3" t="n">
        <v>1053989.0</v>
      </c>
    </row>
    <row r="44" spans="1:41" x14ac:dyDescent="0.2">
      <c r="A44" s="134"/>
      <c r="B44" s="52" t="s">
        <v>0</v>
      </c>
      <c r="C44" s="3" t="n">
        <v>77840.0</v>
      </c>
      <c r="D44" s="3" t="n">
        <v>76256.0</v>
      </c>
      <c r="E44" s="3" t="n">
        <v>74469.0</v>
      </c>
      <c r="F44" s="3" t="n">
        <v>75012.0</v>
      </c>
      <c r="G44" s="3" t="n">
        <v>74259.0</v>
      </c>
      <c r="H44" s="3" t="n">
        <v>74013.0</v>
      </c>
      <c r="I44" s="3" t="n">
        <v>73809.0</v>
      </c>
      <c r="J44" s="3" t="n">
        <v>73204.0</v>
      </c>
      <c r="K44" s="3" t="n">
        <v>72477.0</v>
      </c>
      <c r="L44" s="3" t="n">
        <v>71731.0</v>
      </c>
      <c r="M44" s="3" t="n">
        <v>70947.0</v>
      </c>
      <c r="N44" s="3" t="n">
        <v>70175.0</v>
      </c>
      <c r="O44" s="3" t="n">
        <v>69481.0</v>
      </c>
      <c r="P44" s="3" t="n">
        <v>68965.0</v>
      </c>
      <c r="Q44" s="3" t="n">
        <v>68667.0</v>
      </c>
      <c r="R44" s="3" t="n">
        <v>68640.0</v>
      </c>
      <c r="S44" s="3" t="n">
        <v>68861.0</v>
      </c>
      <c r="T44" s="3" t="n">
        <v>69311.0</v>
      </c>
      <c r="U44" s="3" t="n">
        <v>69913.0</v>
      </c>
      <c r="V44" s="3" t="n">
        <v>70595.0</v>
      </c>
      <c r="W44" s="3" t="n">
        <v>71301.0</v>
      </c>
      <c r="X44" s="3" t="n">
        <v>71969.0</v>
      </c>
      <c r="Y44" s="3" t="n">
        <v>72548.0</v>
      </c>
      <c r="Z44" s="3" t="n">
        <v>72993.0</v>
      </c>
      <c r="AA44" s="3" t="n">
        <v>73260.0</v>
      </c>
      <c r="AB44" s="3" t="n">
        <v>73348.0</v>
      </c>
      <c r="AC44" s="3" t="n">
        <v>73269.0</v>
      </c>
      <c r="AD44" s="3" t="n">
        <v>73011.0</v>
      </c>
      <c r="AE44" s="3" t="n">
        <v>72570.0</v>
      </c>
      <c r="AF44" s="3" t="n">
        <v>71940.0</v>
      </c>
      <c r="AG44" s="3" t="n">
        <v>71173.0</v>
      </c>
      <c r="AH44" s="3" t="n">
        <v>70270.0</v>
      </c>
      <c r="AI44" s="3" t="n">
        <v>69269.0</v>
      </c>
      <c r="AJ44" s="3" t="n">
        <v>68216.0</v>
      </c>
      <c r="AK44" s="3" t="n">
        <v>67162.0</v>
      </c>
      <c r="AL44" s="3" t="n">
        <v>66120.0</v>
      </c>
      <c r="AM44" s="3" t="n">
        <v>65104.0</v>
      </c>
      <c r="AN44" s="3" t="n">
        <v>64130.0</v>
      </c>
      <c r="AO44" s="3" t="n">
        <v>63241.0</v>
      </c>
    </row>
    <row r="45" spans="1:41" x14ac:dyDescent="0.2">
      <c r="A45" s="134"/>
      <c r="B45" s="52" t="s">
        <v>1</v>
      </c>
      <c r="C45" s="3" t="n">
        <v>120405.0</v>
      </c>
      <c r="D45" s="3" t="n">
        <v>117284.0</v>
      </c>
      <c r="E45" s="3" t="n">
        <v>113269.0</v>
      </c>
      <c r="F45" s="3" t="n">
        <v>107819.0</v>
      </c>
      <c r="G45" s="3" t="n">
        <v>104290.0</v>
      </c>
      <c r="H45" s="3" t="n">
        <v>103218.0</v>
      </c>
      <c r="I45" s="3" t="n">
        <v>102350.0</v>
      </c>
      <c r="J45" s="3" t="n">
        <v>103051.0</v>
      </c>
      <c r="K45" s="3" t="n">
        <v>102014.0</v>
      </c>
      <c r="L45" s="3" t="n">
        <v>100859.0</v>
      </c>
      <c r="M45" s="3" t="n">
        <v>99581.0</v>
      </c>
      <c r="N45" s="3" t="n">
        <v>98338.0</v>
      </c>
      <c r="O45" s="3" t="n">
        <v>97174.0</v>
      </c>
      <c r="P45" s="3" t="n">
        <v>96083.0</v>
      </c>
      <c r="Q45" s="3" t="n">
        <v>95043.0</v>
      </c>
      <c r="R45" s="3" t="n">
        <v>94098.0</v>
      </c>
      <c r="S45" s="3" t="n">
        <v>93332.0</v>
      </c>
      <c r="T45" s="3" t="n">
        <v>92817.0</v>
      </c>
      <c r="U45" s="3" t="n">
        <v>92615.0</v>
      </c>
      <c r="V45" s="3" t="n">
        <v>92741.0</v>
      </c>
      <c r="W45" s="3" t="n">
        <v>93172.0</v>
      </c>
      <c r="X45" s="3" t="n">
        <v>93846.0</v>
      </c>
      <c r="Y45" s="3" t="n">
        <v>94658.0</v>
      </c>
      <c r="Z45" s="3" t="n">
        <v>95535.0</v>
      </c>
      <c r="AA45" s="3" t="n">
        <v>96416.0</v>
      </c>
      <c r="AB45" s="3" t="n">
        <v>97214.0</v>
      </c>
      <c r="AC45" s="3" t="n">
        <v>97860.0</v>
      </c>
      <c r="AD45" s="3" t="n">
        <v>98309.0</v>
      </c>
      <c r="AE45" s="3" t="n">
        <v>98519.0</v>
      </c>
      <c r="AF45" s="3" t="n">
        <v>98494.0</v>
      </c>
      <c r="AG45" s="3" t="n">
        <v>98232.0</v>
      </c>
      <c r="AH45" s="3" t="n">
        <v>97733.0</v>
      </c>
      <c r="AI45" s="3" t="n">
        <v>97004.0</v>
      </c>
      <c r="AJ45" s="3" t="n">
        <v>96050.0</v>
      </c>
      <c r="AK45" s="3" t="n">
        <v>94919.0</v>
      </c>
      <c r="AL45" s="3" t="n">
        <v>93636.0</v>
      </c>
      <c r="AM45" s="3" t="n">
        <v>92260.0</v>
      </c>
      <c r="AN45" s="3" t="n">
        <v>90852.0</v>
      </c>
      <c r="AO45" s="3" t="n">
        <v>89434.0</v>
      </c>
    </row>
    <row r="46" spans="1:41" x14ac:dyDescent="0.2">
      <c r="A46" s="134"/>
      <c r="B46" s="53" t="s">
        <v>18</v>
      </c>
      <c r="C46" s="3" t="n">
        <v>240766.0</v>
      </c>
      <c r="D46" s="3" t="n">
        <v>240983.0</v>
      </c>
      <c r="E46" s="3" t="n">
        <v>240888.0</v>
      </c>
      <c r="F46" s="3" t="n">
        <v>239594.0</v>
      </c>
      <c r="G46" s="3" t="n">
        <v>239299.0</v>
      </c>
      <c r="H46" s="3" t="n">
        <v>238917.0</v>
      </c>
      <c r="I46" s="3" t="n">
        <v>240115.0</v>
      </c>
      <c r="J46" s="3" t="n">
        <v>236618.0</v>
      </c>
      <c r="K46" s="3" t="n">
        <v>233012.0</v>
      </c>
      <c r="L46" s="3" t="n">
        <v>227895.0</v>
      </c>
      <c r="M46" s="3" t="n">
        <v>221595.0</v>
      </c>
      <c r="N46" s="3" t="n">
        <v>215990.0</v>
      </c>
      <c r="O46" s="3" t="n">
        <v>210840.0</v>
      </c>
      <c r="P46" s="3" t="n">
        <v>207291.0</v>
      </c>
      <c r="Q46" s="3" t="n">
        <v>203682.0</v>
      </c>
      <c r="R46" s="3" t="n">
        <v>202466.0</v>
      </c>
      <c r="S46" s="3" t="n">
        <v>200022.0</v>
      </c>
      <c r="T46" s="3" t="n">
        <v>197700.0</v>
      </c>
      <c r="U46" s="3" t="n">
        <v>195363.0</v>
      </c>
      <c r="V46" s="3" t="n">
        <v>193198.0</v>
      </c>
      <c r="W46" s="3" t="n">
        <v>191315.0</v>
      </c>
      <c r="X46" s="3" t="n">
        <v>189756.0</v>
      </c>
      <c r="Y46" s="3" t="n">
        <v>188553.0</v>
      </c>
      <c r="Z46" s="3" t="n">
        <v>187761.0</v>
      </c>
      <c r="AA46" s="3" t="n">
        <v>187437.0</v>
      </c>
      <c r="AB46" s="3" t="n">
        <v>187591.0</v>
      </c>
      <c r="AC46" s="3" t="n">
        <v>188187.0</v>
      </c>
      <c r="AD46" s="3" t="n">
        <v>189171.0</v>
      </c>
      <c r="AE46" s="3" t="n">
        <v>190433.0</v>
      </c>
      <c r="AF46" s="3" t="n">
        <v>191837.0</v>
      </c>
      <c r="AG46" s="3" t="n">
        <v>193227.0</v>
      </c>
      <c r="AH46" s="3" t="n">
        <v>194486.0</v>
      </c>
      <c r="AI46" s="3" t="n">
        <v>195501.0</v>
      </c>
      <c r="AJ46" s="3" t="n">
        <v>196205.0</v>
      </c>
      <c r="AK46" s="3" t="n">
        <v>196524.0</v>
      </c>
      <c r="AL46" s="3" t="n">
        <v>196415.0</v>
      </c>
      <c r="AM46" s="3" t="n">
        <v>195836.0</v>
      </c>
      <c r="AN46" s="3" t="n">
        <v>194808.0</v>
      </c>
      <c r="AO46" s="3" t="n">
        <v>193380.0</v>
      </c>
    </row>
    <row r="47" spans="1:41" x14ac:dyDescent="0.2">
      <c r="A47" s="134"/>
      <c r="B47" s="52" t="s">
        <v>19</v>
      </c>
      <c r="C47" s="3" t="n">
        <v>106749.0</v>
      </c>
      <c r="D47" s="3" t="n">
        <v>112277.0</v>
      </c>
      <c r="E47" s="3" t="n">
        <v>117864.0</v>
      </c>
      <c r="F47" s="3" t="n">
        <v>122001.0</v>
      </c>
      <c r="G47" s="3" t="n">
        <v>123235.0</v>
      </c>
      <c r="H47" s="3" t="n">
        <v>123638.0</v>
      </c>
      <c r="I47" s="3" t="n">
        <v>122353.0</v>
      </c>
      <c r="J47" s="3" t="n">
        <v>120905.0</v>
      </c>
      <c r="K47" s="3" t="n">
        <v>121275.0</v>
      </c>
      <c r="L47" s="3" t="n">
        <v>122144.0</v>
      </c>
      <c r="M47" s="3" t="n">
        <v>124703.0</v>
      </c>
      <c r="N47" s="3" t="n">
        <v>125564.0</v>
      </c>
      <c r="O47" s="3" t="n">
        <v>125203.0</v>
      </c>
      <c r="P47" s="3" t="n">
        <v>122024.0</v>
      </c>
      <c r="Q47" s="3" t="n">
        <v>117832.0</v>
      </c>
      <c r="R47" s="3" t="n">
        <v>112100.0</v>
      </c>
      <c r="S47" s="3" t="n">
        <v>108191.0</v>
      </c>
      <c r="T47" s="3" t="n">
        <v>105876.0</v>
      </c>
      <c r="U47" s="3" t="n">
        <v>103570.0</v>
      </c>
      <c r="V47" s="3" t="n">
        <v>103590.0</v>
      </c>
      <c r="W47" s="3" t="n">
        <v>102289.0</v>
      </c>
      <c r="X47" s="3" t="n">
        <v>101033.0</v>
      </c>
      <c r="Y47" s="3" t="n">
        <v>99722.0</v>
      </c>
      <c r="Z47" s="3" t="n">
        <v>98495.0</v>
      </c>
      <c r="AA47" s="3" t="n">
        <v>97365.0</v>
      </c>
      <c r="AB47" s="3" t="n">
        <v>96328.0</v>
      </c>
      <c r="AC47" s="3" t="n">
        <v>95333.0</v>
      </c>
      <c r="AD47" s="3" t="n">
        <v>94428.0</v>
      </c>
      <c r="AE47" s="3" t="n">
        <v>93689.0</v>
      </c>
      <c r="AF47" s="3" t="n">
        <v>93205.0</v>
      </c>
      <c r="AG47" s="3" t="n">
        <v>93021.0</v>
      </c>
      <c r="AH47" s="3" t="n">
        <v>93146.0</v>
      </c>
      <c r="AI47" s="3" t="n">
        <v>93551.0</v>
      </c>
      <c r="AJ47" s="3" t="n">
        <v>94173.0</v>
      </c>
      <c r="AK47" s="3" t="n">
        <v>94927.0</v>
      </c>
      <c r="AL47" s="3" t="n">
        <v>95742.0</v>
      </c>
      <c r="AM47" s="3" t="n">
        <v>96553.0</v>
      </c>
      <c r="AN47" s="3" t="n">
        <v>97284.0</v>
      </c>
      <c r="AO47" s="3" t="n">
        <v>97869.0</v>
      </c>
    </row>
    <row r="48" spans="1:41" x14ac:dyDescent="0.2">
      <c r="A48" s="134"/>
      <c r="B48" s="52" t="s">
        <v>2</v>
      </c>
      <c r="C48" s="3" t="n">
        <v>151807.0</v>
      </c>
      <c r="D48" s="3" t="n">
        <v>149958.0</v>
      </c>
      <c r="E48" s="3" t="n">
        <v>150001.0</v>
      </c>
      <c r="F48" s="3" t="n">
        <v>151658.0</v>
      </c>
      <c r="G48" s="3" t="n">
        <v>155430.0</v>
      </c>
      <c r="H48" s="3" t="n">
        <v>163007.0</v>
      </c>
      <c r="I48" s="3" t="n">
        <v>172108.0</v>
      </c>
      <c r="J48" s="3" t="n">
        <v>179564.0</v>
      </c>
      <c r="K48" s="3" t="n">
        <v>183786.0</v>
      </c>
      <c r="L48" s="3" t="n">
        <v>186565.0</v>
      </c>
      <c r="M48" s="3" t="n">
        <v>187152.0</v>
      </c>
      <c r="N48" s="3" t="n">
        <v>186290.0</v>
      </c>
      <c r="O48" s="3" t="n">
        <v>184658.0</v>
      </c>
      <c r="P48" s="3" t="n">
        <v>183807.0</v>
      </c>
      <c r="Q48" s="3" t="n">
        <v>185554.0</v>
      </c>
      <c r="R48" s="3" t="n">
        <v>185948.0</v>
      </c>
      <c r="S48" s="3" t="n">
        <v>186430.0</v>
      </c>
      <c r="T48" s="3" t="n">
        <v>184404.0</v>
      </c>
      <c r="U48" s="3" t="n">
        <v>181830.0</v>
      </c>
      <c r="V48" s="3" t="n">
        <v>175731.0</v>
      </c>
      <c r="W48" s="3" t="n">
        <v>169755.0</v>
      </c>
      <c r="X48" s="3" t="n">
        <v>164534.0</v>
      </c>
      <c r="Y48" s="3" t="n">
        <v>159983.0</v>
      </c>
      <c r="Z48" s="3" t="n">
        <v>157063.0</v>
      </c>
      <c r="AA48" s="3" t="n">
        <v>154022.0</v>
      </c>
      <c r="AB48" s="3" t="n">
        <v>153329.0</v>
      </c>
      <c r="AC48" s="3" t="n">
        <v>151432.0</v>
      </c>
      <c r="AD48" s="3" t="n">
        <v>149664.0</v>
      </c>
      <c r="AE48" s="3" t="n">
        <v>147850.0</v>
      </c>
      <c r="AF48" s="3" t="n">
        <v>146122.0</v>
      </c>
      <c r="AG48" s="3" t="n">
        <v>144532.0</v>
      </c>
      <c r="AH48" s="3" t="n">
        <v>143119.0</v>
      </c>
      <c r="AI48" s="3" t="n">
        <v>141879.0</v>
      </c>
      <c r="AJ48" s="3" t="n">
        <v>140893.0</v>
      </c>
      <c r="AK48" s="3" t="n">
        <v>140242.0</v>
      </c>
      <c r="AL48" s="3" t="n">
        <v>139983.0</v>
      </c>
      <c r="AM48" s="3" t="n">
        <v>140132.0</v>
      </c>
      <c r="AN48" s="3" t="n">
        <v>140650.0</v>
      </c>
      <c r="AO48" s="3" t="n">
        <v>141454.0</v>
      </c>
    </row>
    <row r="49" spans="1:41" x14ac:dyDescent="0.2">
      <c r="A49" s="134"/>
      <c r="B49" s="52" t="s">
        <v>3</v>
      </c>
      <c r="C49" s="3" t="n">
        <v>439011.0</v>
      </c>
      <c r="D49" s="3" t="n">
        <v>434523.0</v>
      </c>
      <c r="E49" s="3" t="n">
        <v>428626.0</v>
      </c>
      <c r="F49" s="3" t="n">
        <v>422425.0</v>
      </c>
      <c r="G49" s="3" t="n">
        <v>417848.0</v>
      </c>
      <c r="H49" s="3" t="n">
        <v>416148.0</v>
      </c>
      <c r="I49" s="3" t="n">
        <v>416274.0</v>
      </c>
      <c r="J49" s="3" t="n">
        <v>412873.0</v>
      </c>
      <c r="K49" s="3" t="n">
        <v>407503.0</v>
      </c>
      <c r="L49" s="3" t="n">
        <v>400485.0</v>
      </c>
      <c r="M49" s="3" t="n">
        <v>392123.0</v>
      </c>
      <c r="N49" s="3" t="n">
        <v>384503.0</v>
      </c>
      <c r="O49" s="3" t="n">
        <v>377495.0</v>
      </c>
      <c r="P49" s="3" t="n">
        <v>372339.0</v>
      </c>
      <c r="Q49" s="3" t="n">
        <v>367392.0</v>
      </c>
      <c r="R49" s="3" t="n">
        <v>365204.0</v>
      </c>
      <c r="S49" s="3" t="n">
        <v>362215.0</v>
      </c>
      <c r="T49" s="3" t="n">
        <v>359828.0</v>
      </c>
      <c r="U49" s="3" t="n">
        <v>357891.0</v>
      </c>
      <c r="V49" s="3" t="n">
        <v>356534.0</v>
      </c>
      <c r="W49" s="3" t="n">
        <v>355788.0</v>
      </c>
      <c r="X49" s="3" t="n">
        <v>355571.0</v>
      </c>
      <c r="Y49" s="3" t="n">
        <v>355759.0</v>
      </c>
      <c r="Z49" s="3" t="n">
        <v>356289.0</v>
      </c>
      <c r="AA49" s="3" t="n">
        <v>357113.0</v>
      </c>
      <c r="AB49" s="3" t="n">
        <v>358153.0</v>
      </c>
      <c r="AC49" s="3" t="n">
        <v>359316.0</v>
      </c>
      <c r="AD49" s="3" t="n">
        <v>360491.0</v>
      </c>
      <c r="AE49" s="3" t="n">
        <v>361522.0</v>
      </c>
      <c r="AF49" s="3" t="n">
        <v>362271.0</v>
      </c>
      <c r="AG49" s="3" t="n">
        <v>362632.0</v>
      </c>
      <c r="AH49" s="3" t="n">
        <v>362489.0</v>
      </c>
      <c r="AI49" s="3" t="n">
        <v>361774.0</v>
      </c>
      <c r="AJ49" s="3" t="n">
        <v>360471.0</v>
      </c>
      <c r="AK49" s="3" t="n">
        <v>358605.0</v>
      </c>
      <c r="AL49" s="3" t="n">
        <v>356171.0</v>
      </c>
      <c r="AM49" s="3" t="n">
        <v>353200.0</v>
      </c>
      <c r="AN49" s="3" t="n">
        <v>349790.0</v>
      </c>
      <c r="AO49" s="3" t="n">
        <v>346055.0</v>
      </c>
    </row>
    <row r="50" spans="1:41" x14ac:dyDescent="0.2">
      <c r="A50" s="134"/>
      <c r="B50" s="52" t="s">
        <v>4</v>
      </c>
      <c r="C50" s="3" t="n">
        <v>1806817.0</v>
      </c>
      <c r="D50" s="3" t="n">
        <v>1800991.0</v>
      </c>
      <c r="E50" s="3" t="n">
        <v>1798144.0</v>
      </c>
      <c r="F50" s="3" t="n">
        <v>1798117.0</v>
      </c>
      <c r="G50" s="3" t="n">
        <v>1798442.0</v>
      </c>
      <c r="H50" s="3" t="n">
        <v>1809022.0</v>
      </c>
      <c r="I50" s="3" t="n">
        <v>1822065.0</v>
      </c>
      <c r="J50" s="3" t="n">
        <v>1829611.0</v>
      </c>
      <c r="K50" s="3" t="n">
        <v>1834809.0</v>
      </c>
      <c r="L50" s="3" t="n">
        <v>1839240.0</v>
      </c>
      <c r="M50" s="3" t="n">
        <v>1843563.0</v>
      </c>
      <c r="N50" s="3" t="n">
        <v>1845410.0</v>
      </c>
      <c r="O50" s="3" t="n">
        <v>1845746.0</v>
      </c>
      <c r="P50" s="3" t="n">
        <v>1842326.0</v>
      </c>
      <c r="Q50" s="3" t="n">
        <v>1837264.0</v>
      </c>
      <c r="R50" s="3" t="n">
        <v>1827637.0</v>
      </c>
      <c r="S50" s="3" t="n">
        <v>1816767.0</v>
      </c>
      <c r="T50" s="3" t="n">
        <v>1803651.0</v>
      </c>
      <c r="U50" s="3" t="n">
        <v>1788148.0</v>
      </c>
      <c r="V50" s="3" t="n">
        <v>1770463.0</v>
      </c>
      <c r="W50" s="3" t="n">
        <v>1752471.0</v>
      </c>
      <c r="X50" s="3" t="n">
        <v>1733786.0</v>
      </c>
      <c r="Y50" s="3" t="n">
        <v>1713371.0</v>
      </c>
      <c r="Z50" s="3" t="n">
        <v>1692599.0</v>
      </c>
      <c r="AA50" s="3" t="n">
        <v>1672622.0</v>
      </c>
      <c r="AB50" s="3" t="n">
        <v>1650311.0</v>
      </c>
      <c r="AC50" s="3" t="n">
        <v>1625874.0</v>
      </c>
      <c r="AD50" s="3" t="n">
        <v>1602731.0</v>
      </c>
      <c r="AE50" s="3" t="n">
        <v>1580360.0</v>
      </c>
      <c r="AF50" s="3" t="n">
        <v>1559902.0</v>
      </c>
      <c r="AG50" s="3" t="n">
        <v>1541527.0</v>
      </c>
      <c r="AH50" s="3" t="n">
        <v>1523042.0</v>
      </c>
      <c r="AI50" s="3" t="n">
        <v>1506149.0</v>
      </c>
      <c r="AJ50" s="3" t="n">
        <v>1489098.0</v>
      </c>
      <c r="AK50" s="3" t="n">
        <v>1473205.0</v>
      </c>
      <c r="AL50" s="3" t="n">
        <v>1458944.0</v>
      </c>
      <c r="AM50" s="3" t="n">
        <v>1446173.0</v>
      </c>
      <c r="AN50" s="3" t="n">
        <v>1435083.0</v>
      </c>
      <c r="AO50" s="3" t="n">
        <v>1426074.0</v>
      </c>
    </row>
    <row r="51" spans="1:41" x14ac:dyDescent="0.2">
      <c r="A51" s="134"/>
      <c r="B51" s="52" t="s">
        <v>5</v>
      </c>
      <c r="C51" s="3" t="n">
        <v>626543.0</v>
      </c>
      <c r="D51" s="3" t="n">
        <v>638181.0</v>
      </c>
      <c r="E51" s="3" t="n">
        <v>647929.0</v>
      </c>
      <c r="F51" s="3" t="n">
        <v>655099.0</v>
      </c>
      <c r="G51" s="3" t="n">
        <v>660005.0</v>
      </c>
      <c r="H51" s="3" t="n">
        <v>664279.0</v>
      </c>
      <c r="I51" s="3" t="n">
        <v>668610.0</v>
      </c>
      <c r="J51" s="3" t="n">
        <v>671483.0</v>
      </c>
      <c r="K51" s="3" t="n">
        <v>673039.0</v>
      </c>
      <c r="L51" s="3" t="n">
        <v>674541.0</v>
      </c>
      <c r="M51" s="3" t="n">
        <v>675849.0</v>
      </c>
      <c r="N51" s="3" t="n">
        <v>677557.0</v>
      </c>
      <c r="O51" s="3" t="n">
        <v>679296.0</v>
      </c>
      <c r="P51" s="3" t="n">
        <v>682309.0</v>
      </c>
      <c r="Q51" s="3" t="n">
        <v>686341.0</v>
      </c>
      <c r="R51" s="3" t="n">
        <v>691801.0</v>
      </c>
      <c r="S51" s="3" t="n">
        <v>698965.0</v>
      </c>
      <c r="T51" s="3" t="n">
        <v>707577.0</v>
      </c>
      <c r="U51" s="3" t="n">
        <v>717923.0</v>
      </c>
      <c r="V51" s="3" t="n">
        <v>729679.0</v>
      </c>
      <c r="W51" s="3" t="n">
        <v>741066.0</v>
      </c>
      <c r="X51" s="3" t="n">
        <v>752508.0</v>
      </c>
      <c r="Y51" s="3" t="n">
        <v>765211.0</v>
      </c>
      <c r="Z51" s="3" t="n">
        <v>777537.0</v>
      </c>
      <c r="AA51" s="3" t="n">
        <v>788668.0</v>
      </c>
      <c r="AB51" s="3" t="n">
        <v>801827.0</v>
      </c>
      <c r="AC51" s="3" t="n">
        <v>816853.0</v>
      </c>
      <c r="AD51" s="3" t="n">
        <v>830410.0</v>
      </c>
      <c r="AE51" s="3" t="n">
        <v>843107.0</v>
      </c>
      <c r="AF51" s="3" t="n">
        <v>853935.0</v>
      </c>
      <c r="AG51" s="3" t="n">
        <v>862433.0</v>
      </c>
      <c r="AH51" s="3" t="n">
        <v>871229.0</v>
      </c>
      <c r="AI51" s="3" t="n">
        <v>878651.0</v>
      </c>
      <c r="AJ51" s="3" t="n">
        <v>886378.0</v>
      </c>
      <c r="AK51" s="3" t="n">
        <v>893080.0</v>
      </c>
      <c r="AL51" s="3" t="n">
        <v>898281.0</v>
      </c>
      <c r="AM51" s="3" t="n">
        <v>901653.0</v>
      </c>
      <c r="AN51" s="3" t="n">
        <v>903295.0</v>
      </c>
      <c r="AO51" s="3" t="n">
        <v>902739.0</v>
      </c>
    </row>
    <row r="52" spans="1:41" x14ac:dyDescent="0.2">
      <c r="A52" s="134"/>
      <c r="B52" s="52" t="s">
        <v>6</v>
      </c>
      <c r="C52" s="3" t="n">
        <v>164023.0</v>
      </c>
      <c r="D52" s="3" t="n">
        <v>162459.0</v>
      </c>
      <c r="E52" s="3" t="n">
        <v>162054.0</v>
      </c>
      <c r="F52" s="3" t="n">
        <v>161978.0</v>
      </c>
      <c r="G52" s="3" t="n">
        <v>167009.0</v>
      </c>
      <c r="H52" s="3" t="n">
        <v>173908.0</v>
      </c>
      <c r="I52" s="3" t="n">
        <v>181779.0</v>
      </c>
      <c r="J52" s="3" t="n">
        <v>189334.0</v>
      </c>
      <c r="K52" s="3" t="n">
        <v>197986.0</v>
      </c>
      <c r="L52" s="3" t="n">
        <v>207755.0</v>
      </c>
      <c r="M52" s="3" t="n">
        <v>217635.0</v>
      </c>
      <c r="N52" s="3" t="n">
        <v>227976.0</v>
      </c>
      <c r="O52" s="3" t="n">
        <v>237610.0</v>
      </c>
      <c r="P52" s="3" t="n">
        <v>247553.0</v>
      </c>
      <c r="Q52" s="3" t="n">
        <v>256152.0</v>
      </c>
      <c r="R52" s="3" t="n">
        <v>263828.0</v>
      </c>
      <c r="S52" s="3" t="n">
        <v>269844.0</v>
      </c>
      <c r="T52" s="3" t="n">
        <v>273977.0</v>
      </c>
      <c r="U52" s="3" t="n">
        <v>275676.0</v>
      </c>
      <c r="V52" s="3" t="n">
        <v>275473.0</v>
      </c>
      <c r="W52" s="3" t="n">
        <v>274195.0</v>
      </c>
      <c r="X52" s="3" t="n">
        <v>272725.0</v>
      </c>
      <c r="Y52" s="3" t="n">
        <v>270618.0</v>
      </c>
      <c r="Z52" s="3" t="n">
        <v>267679.0</v>
      </c>
      <c r="AA52" s="3" t="n">
        <v>264995.0</v>
      </c>
      <c r="AB52" s="3" t="n">
        <v>262588.0</v>
      </c>
      <c r="AC52" s="3" t="n">
        <v>260981.0</v>
      </c>
      <c r="AD52" s="3" t="n">
        <v>259912.0</v>
      </c>
      <c r="AE52" s="3" t="n">
        <v>260374.0</v>
      </c>
      <c r="AF52" s="3" t="n">
        <v>262145.0</v>
      </c>
      <c r="AG52" s="3" t="n">
        <v>265277.0</v>
      </c>
      <c r="AH52" s="3" t="n">
        <v>270296.0</v>
      </c>
      <c r="AI52" s="3" t="n">
        <v>276827.0</v>
      </c>
      <c r="AJ52" s="3" t="n">
        <v>285033.0</v>
      </c>
      <c r="AK52" s="3" t="n">
        <v>294540.0</v>
      </c>
      <c r="AL52" s="3" t="n">
        <v>303874.0</v>
      </c>
      <c r="AM52" s="3" t="n">
        <v>313025.0</v>
      </c>
      <c r="AN52" s="3" t="n">
        <v>323110.0</v>
      </c>
      <c r="AO52" s="3" t="n">
        <v>332964.0</v>
      </c>
    </row>
    <row r="53" spans="1:41" x14ac:dyDescent="0.2">
      <c r="A53" s="135"/>
      <c r="B53" s="54" t="s">
        <v>7</v>
      </c>
      <c r="C53" s="4" t="n">
        <v>1317029.0</v>
      </c>
      <c r="D53" s="4" t="n">
        <v>1311837.0</v>
      </c>
      <c r="E53" s="4" t="n">
        <v>1305681.0</v>
      </c>
      <c r="F53" s="4" t="n">
        <v>1297271.0</v>
      </c>
      <c r="G53" s="4" t="n">
        <v>1285165.0</v>
      </c>
      <c r="H53" s="4" t="n">
        <v>1280747.0</v>
      </c>
      <c r="I53" s="4" t="n">
        <v>1277772.0</v>
      </c>
      <c r="J53" s="4" t="n">
        <v>1268090.0</v>
      </c>
      <c r="K53" s="4" t="n">
        <v>1255842.0</v>
      </c>
      <c r="L53" s="4" t="n">
        <v>1244531.0</v>
      </c>
      <c r="M53" s="4" t="n">
        <v>1231243.0</v>
      </c>
      <c r="N53" s="4" t="n">
        <v>1214393.0</v>
      </c>
      <c r="O53" s="4" t="n">
        <v>1198082.0</v>
      </c>
      <c r="P53" s="4" t="n">
        <v>1180753.0</v>
      </c>
      <c r="Q53" s="4" t="n">
        <v>1165239.0</v>
      </c>
      <c r="R53" s="4" t="n">
        <v>1149263.0</v>
      </c>
      <c r="S53" s="4" t="n">
        <v>1134010.0</v>
      </c>
      <c r="T53" s="4" t="n">
        <v>1119836.0</v>
      </c>
      <c r="U53" s="4" t="n">
        <v>1105056.0</v>
      </c>
      <c r="V53" s="4" t="n">
        <v>1090837.0</v>
      </c>
      <c r="W53" s="4" t="n">
        <v>1077747.0</v>
      </c>
      <c r="X53" s="4" t="n">
        <v>1065708.0</v>
      </c>
      <c r="Y53" s="4" t="n">
        <v>1055054.0</v>
      </c>
      <c r="Z53" s="4" t="n">
        <v>1046243.0</v>
      </c>
      <c r="AA53" s="4" t="n">
        <v>1038458.0</v>
      </c>
      <c r="AB53" s="4" t="n">
        <v>1032305.0</v>
      </c>
      <c r="AC53" s="4" t="n">
        <v>1027338.0</v>
      </c>
      <c r="AD53" s="4" t="n">
        <v>1023112.0</v>
      </c>
      <c r="AE53" s="4" t="n">
        <v>1018830.0</v>
      </c>
      <c r="AF53" s="4" t="n">
        <v>1015571.0</v>
      </c>
      <c r="AG53" s="4" t="n">
        <v>1013197.0</v>
      </c>
      <c r="AH53" s="4" t="n">
        <v>1010969.0</v>
      </c>
      <c r="AI53" s="4" t="n">
        <v>1008034.0</v>
      </c>
      <c r="AJ53" s="4" t="n">
        <v>1004234.0</v>
      </c>
      <c r="AK53" s="4" t="n">
        <v>999061.0</v>
      </c>
      <c r="AL53" s="4" t="n">
        <v>992691.0</v>
      </c>
      <c r="AM53" s="4" t="n">
        <v>984421.0</v>
      </c>
      <c r="AN53" s="4" t="n">
        <v>975251.0</v>
      </c>
      <c r="AO53" s="4" t="n">
        <v>966247.0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6" t="s">
        <v>38</v>
      </c>
      <c r="B1" s="145" t="s">
        <v>56</v>
      </c>
      <c r="C1" s="145"/>
      <c r="D1" s="145"/>
      <c r="E1" s="67"/>
      <c r="F1" s="67"/>
      <c r="G1" s="68"/>
      <c r="H1" s="8"/>
      <c r="I1" s="8"/>
    </row>
    <row r="2" spans="1:9" ht="12" customHeight="1" x14ac:dyDescent="0.2">
      <c r="A2" s="127" t="s">
        <v>83</v>
      </c>
      <c r="B2" s="127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8" t="s">
        <v>84</v>
      </c>
      <c r="B3" s="128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7" t="s">
        <v>66</v>
      </c>
      <c r="B5" s="139" t="s">
        <v>60</v>
      </c>
      <c r="C5" s="140"/>
      <c r="D5" s="141" t="s">
        <v>58</v>
      </c>
      <c r="E5" s="142"/>
      <c r="F5" s="143" t="s">
        <v>59</v>
      </c>
      <c r="G5" s="144"/>
    </row>
    <row r="6" spans="1:9" ht="25.15" customHeight="1" x14ac:dyDescent="0.2">
      <c r="A6" s="138"/>
      <c r="B6" s="35" t="s">
        <v>104</v>
      </c>
      <c r="C6" s="41" t="s">
        <v>61</v>
      </c>
      <c r="D6" s="46" t="s">
        <v>62</v>
      </c>
      <c r="E6" s="47" t="s">
        <v>63</v>
      </c>
      <c r="F6" s="37" t="s">
        <v>103</v>
      </c>
      <c r="G6" s="36" t="s">
        <v>64</v>
      </c>
    </row>
    <row r="7" spans="1:9" x14ac:dyDescent="0.2">
      <c r="A7" s="38">
        <v>2023</v>
      </c>
      <c r="B7" s="1" t="n">
        <v>51918.0</v>
      </c>
      <c r="C7" s="42" t="n">
        <v>61158.0</v>
      </c>
      <c r="D7" s="48" t="n">
        <v>65161.0</v>
      </c>
      <c r="E7" s="42" t="n">
        <v>55906.0</v>
      </c>
      <c r="F7" s="2" t="n">
        <v>3314.0</v>
      </c>
      <c r="G7" s="2" t="n">
        <v>534.0</v>
      </c>
    </row>
    <row r="8" spans="1:9" x14ac:dyDescent="0.2">
      <c r="A8" s="39">
        <v>2024</v>
      </c>
      <c r="B8" s="1" t="n">
        <v>51306.0</v>
      </c>
      <c r="C8" s="43" t="n">
        <v>60973.0</v>
      </c>
      <c r="D8" s="48" t="n">
        <v>64077.0</v>
      </c>
      <c r="E8" s="43" t="n">
        <v>55379.0</v>
      </c>
      <c r="F8" s="2" t="n">
        <v>3544.0</v>
      </c>
      <c r="G8" s="2" t="n">
        <v>515.0</v>
      </c>
    </row>
    <row r="9" spans="1:9" x14ac:dyDescent="0.2">
      <c r="A9" s="39">
        <v>2025</v>
      </c>
      <c r="B9" s="1" t="n">
        <v>50851.0</v>
      </c>
      <c r="C9" s="43" t="n">
        <v>60787.0</v>
      </c>
      <c r="D9" s="48" t="n">
        <v>62994.0</v>
      </c>
      <c r="E9" s="43" t="n">
        <v>54813.0</v>
      </c>
      <c r="F9" s="2" t="n">
        <v>3962.0</v>
      </c>
      <c r="G9" s="2" t="n">
        <v>499.0</v>
      </c>
    </row>
    <row r="10" spans="1:9" x14ac:dyDescent="0.2">
      <c r="A10" s="39">
        <v>2026</v>
      </c>
      <c r="B10" s="1" t="n">
        <v>50340.0</v>
      </c>
      <c r="C10" s="43" t="n">
        <v>61199.0</v>
      </c>
      <c r="D10" s="48" t="n">
        <v>61918.0</v>
      </c>
      <c r="E10" s="43" t="n">
        <v>54304.0</v>
      </c>
      <c r="F10" s="2" t="n">
        <v>4699.0</v>
      </c>
      <c r="G10" s="2" t="n">
        <v>493.0</v>
      </c>
    </row>
    <row r="11" spans="1:9" x14ac:dyDescent="0.2">
      <c r="A11" s="39">
        <v>2027</v>
      </c>
      <c r="B11" s="1" t="n">
        <v>49947.0</v>
      </c>
      <c r="C11" s="43" t="n">
        <v>61623.0</v>
      </c>
      <c r="D11" s="48" t="n">
        <v>60996.0</v>
      </c>
      <c r="E11" s="43" t="n">
        <v>53827.0</v>
      </c>
      <c r="F11" s="2" t="n">
        <v>24688.0</v>
      </c>
      <c r="G11" s="2" t="n">
        <v>477.0</v>
      </c>
    </row>
    <row r="12" spans="1:9" x14ac:dyDescent="0.2">
      <c r="A12" s="39">
        <v>2028</v>
      </c>
      <c r="B12" s="1" t="n">
        <v>49715.0</v>
      </c>
      <c r="C12" s="43" t="n">
        <v>61968.0</v>
      </c>
      <c r="D12" s="48" t="n">
        <v>60276.0</v>
      </c>
      <c r="E12" s="43" t="n">
        <v>53609.0</v>
      </c>
      <c r="F12" s="2" t="n">
        <v>32281.0</v>
      </c>
      <c r="G12" s="2" t="n">
        <v>467.0</v>
      </c>
    </row>
    <row r="13" spans="1:9" x14ac:dyDescent="0.2">
      <c r="A13" s="39">
        <v>2029</v>
      </c>
      <c r="B13" s="1" t="n">
        <v>49468.0</v>
      </c>
      <c r="C13" s="43" t="n">
        <v>62529.0</v>
      </c>
      <c r="D13" s="48" t="n">
        <v>59736.0</v>
      </c>
      <c r="E13" s="43" t="n">
        <v>53520.0</v>
      </c>
      <c r="F13" s="2" t="n">
        <v>17248.0</v>
      </c>
      <c r="G13" s="2" t="n">
        <v>459.0</v>
      </c>
    </row>
    <row r="14" spans="1:9" x14ac:dyDescent="0.2">
      <c r="A14" s="39">
        <v>2030</v>
      </c>
      <c r="B14" s="1" t="n">
        <v>49025.0</v>
      </c>
      <c r="C14" s="43" t="n">
        <v>62903.0</v>
      </c>
      <c r="D14" s="48" t="n">
        <v>59080.0</v>
      </c>
      <c r="E14" s="43" t="n">
        <v>53236.0</v>
      </c>
      <c r="F14" s="2" t="n">
        <v>9647.0</v>
      </c>
      <c r="G14" s="2" t="n">
        <v>458.0</v>
      </c>
    </row>
    <row r="15" spans="1:9" x14ac:dyDescent="0.2">
      <c r="A15" s="39">
        <v>2031</v>
      </c>
      <c r="B15" s="1" t="n">
        <v>48519.0</v>
      </c>
      <c r="C15" s="43" t="n">
        <v>63517.0</v>
      </c>
      <c r="D15" s="48" t="n">
        <v>58429.0</v>
      </c>
      <c r="E15" s="43" t="n">
        <v>52977.0</v>
      </c>
      <c r="F15" s="2" t="n">
        <v>6997.0</v>
      </c>
      <c r="G15" s="2" t="n">
        <v>458.0</v>
      </c>
    </row>
    <row r="16" spans="1:9" x14ac:dyDescent="0.2">
      <c r="A16" s="39">
        <v>2032</v>
      </c>
      <c r="B16" s="1" t="n">
        <v>47981.0</v>
      </c>
      <c r="C16" s="43" t="n">
        <v>64257.0</v>
      </c>
      <c r="D16" s="48" t="n">
        <v>57863.0</v>
      </c>
      <c r="E16" s="43" t="n">
        <v>52724.0</v>
      </c>
      <c r="F16" s="2" t="n">
        <v>5703.0</v>
      </c>
      <c r="G16" s="2" t="n">
        <v>453.0</v>
      </c>
    </row>
    <row r="17" spans="1:7" x14ac:dyDescent="0.2">
      <c r="A17" s="39">
        <v>2033</v>
      </c>
      <c r="B17" s="1" t="n">
        <v>47506.0</v>
      </c>
      <c r="C17" s="43" t="n">
        <v>64991.0</v>
      </c>
      <c r="D17" s="48" t="n">
        <v>57365.0</v>
      </c>
      <c r="E17" s="43" t="n">
        <v>52490.0</v>
      </c>
      <c r="F17" s="2" t="n">
        <v>4807.0</v>
      </c>
      <c r="G17" s="2" t="n">
        <v>448.0</v>
      </c>
    </row>
    <row r="18" spans="1:7" x14ac:dyDescent="0.2">
      <c r="A18" s="39">
        <v>2034</v>
      </c>
      <c r="B18" s="1" t="n">
        <v>47109.0</v>
      </c>
      <c r="C18" s="44" t="n">
        <v>65469.0</v>
      </c>
      <c r="D18" s="48" t="n">
        <v>56941.0</v>
      </c>
      <c r="E18" s="44" t="n">
        <v>52352.0</v>
      </c>
      <c r="F18" s="2" t="n">
        <v>4535.0</v>
      </c>
      <c r="G18" s="2" t="n">
        <v>441.0</v>
      </c>
    </row>
    <row r="19" spans="1:7" x14ac:dyDescent="0.2">
      <c r="A19" s="39">
        <v>2035</v>
      </c>
      <c r="B19" s="1" t="n">
        <v>46906.0</v>
      </c>
      <c r="C19" s="44" t="n">
        <v>66301.0</v>
      </c>
      <c r="D19" s="48" t="n">
        <v>56560.0</v>
      </c>
      <c r="E19" s="44" t="n">
        <v>52171.0</v>
      </c>
      <c r="F19" s="2" t="n">
        <v>4598.0</v>
      </c>
      <c r="G19" s="2" t="n">
        <v>435.0</v>
      </c>
    </row>
    <row r="20" spans="1:7" x14ac:dyDescent="0.2">
      <c r="A20" s="39">
        <v>2036</v>
      </c>
      <c r="B20" s="1" t="n">
        <v>46887.0</v>
      </c>
      <c r="C20" s="43" t="n">
        <v>67086.0</v>
      </c>
      <c r="D20" s="48" t="n">
        <v>56248.0</v>
      </c>
      <c r="E20" s="43" t="n">
        <v>51983.0</v>
      </c>
      <c r="F20" s="2" t="n">
        <v>4657.0</v>
      </c>
      <c r="G20" s="2" t="n">
        <v>437.0</v>
      </c>
    </row>
    <row r="21" spans="1:7" x14ac:dyDescent="0.2">
      <c r="A21" s="39">
        <v>2037</v>
      </c>
      <c r="B21" s="1" t="n">
        <v>47049.0</v>
      </c>
      <c r="C21" s="43" t="n">
        <v>67606.0</v>
      </c>
      <c r="D21" s="48" t="n">
        <v>56003.0</v>
      </c>
      <c r="E21" s="43" t="n">
        <v>51851.0</v>
      </c>
      <c r="F21" s="2" t="n">
        <v>4713.0</v>
      </c>
      <c r="G21" s="2" t="n">
        <v>438.0</v>
      </c>
    </row>
    <row r="22" spans="1:7" x14ac:dyDescent="0.2">
      <c r="A22" s="39">
        <v>2038</v>
      </c>
      <c r="B22" s="1" t="n">
        <v>47351.0</v>
      </c>
      <c r="C22" s="43" t="n">
        <v>68390.0</v>
      </c>
      <c r="D22" s="48" t="n">
        <v>55754.0</v>
      </c>
      <c r="E22" s="43" t="n">
        <v>51740.0</v>
      </c>
      <c r="F22" s="2" t="n">
        <v>4752.0</v>
      </c>
      <c r="G22" s="2" t="n">
        <v>434.0</v>
      </c>
    </row>
    <row r="23" spans="1:7" x14ac:dyDescent="0.2">
      <c r="A23" s="39">
        <v>2039</v>
      </c>
      <c r="B23" s="1" t="n">
        <v>47803.0</v>
      </c>
      <c r="C23" s="43" t="n">
        <v>69087.0</v>
      </c>
      <c r="D23" s="48" t="n">
        <v>55499.0</v>
      </c>
      <c r="E23" s="43" t="n">
        <v>51630.0</v>
      </c>
      <c r="F23" s="2" t="n">
        <v>4779.0</v>
      </c>
      <c r="G23" s="2" t="n">
        <v>435.0</v>
      </c>
    </row>
    <row r="24" spans="1:7" x14ac:dyDescent="0.2">
      <c r="A24" s="39">
        <v>2040</v>
      </c>
      <c r="B24" s="1" t="n">
        <v>48306.0</v>
      </c>
      <c r="C24" s="43" t="n">
        <v>69770.0</v>
      </c>
      <c r="D24" s="48" t="n">
        <v>55232.0</v>
      </c>
      <c r="E24" s="43" t="n">
        <v>51540.0</v>
      </c>
      <c r="F24" s="2" t="n">
        <v>4808.0</v>
      </c>
      <c r="G24" s="2" t="n">
        <v>428.0</v>
      </c>
    </row>
    <row r="25" spans="1:7" x14ac:dyDescent="0.2">
      <c r="A25" s="39">
        <v>2041</v>
      </c>
      <c r="B25" s="1" t="n">
        <v>48799.0</v>
      </c>
      <c r="C25" s="43" t="n">
        <v>70321.0</v>
      </c>
      <c r="D25" s="48" t="n">
        <v>54955.0</v>
      </c>
      <c r="E25" s="43" t="n">
        <v>51472.0</v>
      </c>
      <c r="F25" s="2" t="n">
        <v>4854.0</v>
      </c>
      <c r="G25" s="2" t="n">
        <v>419.0</v>
      </c>
    </row>
    <row r="26" spans="1:7" x14ac:dyDescent="0.2">
      <c r="A26" s="39">
        <v>2042</v>
      </c>
      <c r="B26" s="1" t="n">
        <v>49281.0</v>
      </c>
      <c r="C26" s="43" t="n">
        <v>70775.0</v>
      </c>
      <c r="D26" s="48" t="n">
        <v>54699.0</v>
      </c>
      <c r="E26" s="43" t="n">
        <v>51375.0</v>
      </c>
      <c r="F26" s="2" t="n">
        <v>4894.0</v>
      </c>
      <c r="G26" s="2" t="n">
        <v>418.0</v>
      </c>
    </row>
    <row r="27" spans="1:7" x14ac:dyDescent="0.2">
      <c r="A27" s="39">
        <v>2043</v>
      </c>
      <c r="B27" s="1" t="n">
        <v>49713.0</v>
      </c>
      <c r="C27" s="43" t="n">
        <v>70846.0</v>
      </c>
      <c r="D27" s="48" t="n">
        <v>54432.0</v>
      </c>
      <c r="E27" s="43" t="n">
        <v>51309.0</v>
      </c>
      <c r="F27" s="2" t="n">
        <v>4928.0</v>
      </c>
      <c r="G27" s="2" t="n">
        <v>414.0</v>
      </c>
    </row>
    <row r="28" spans="1:7" x14ac:dyDescent="0.2">
      <c r="A28" s="39">
        <v>2044</v>
      </c>
      <c r="B28" s="1" t="n">
        <v>50025.0</v>
      </c>
      <c r="C28" s="43" t="n">
        <v>71191.0</v>
      </c>
      <c r="D28" s="48" t="n">
        <v>54145.0</v>
      </c>
      <c r="E28" s="43" t="n">
        <v>51204.0</v>
      </c>
      <c r="F28" s="2" t="n">
        <v>4957.0</v>
      </c>
      <c r="G28" s="2" t="n">
        <v>418.0</v>
      </c>
    </row>
    <row r="29" spans="1:7" x14ac:dyDescent="0.2">
      <c r="A29" s="39">
        <v>2045</v>
      </c>
      <c r="B29" s="1" t="n">
        <v>50215.0</v>
      </c>
      <c r="C29" s="43" t="n">
        <v>71753.0</v>
      </c>
      <c r="D29" s="48" t="n">
        <v>53803.0</v>
      </c>
      <c r="E29" s="43" t="n">
        <v>51074.0</v>
      </c>
      <c r="F29" s="2" t="n">
        <v>4999.0</v>
      </c>
      <c r="G29" s="2" t="n">
        <v>415.0</v>
      </c>
    </row>
    <row r="30" spans="1:7" x14ac:dyDescent="0.2">
      <c r="A30" s="39">
        <v>2046</v>
      </c>
      <c r="B30" s="1" t="n">
        <v>50289.0</v>
      </c>
      <c r="C30" s="43" t="n">
        <v>71834.0</v>
      </c>
      <c r="D30" s="48" t="n">
        <v>53384.0</v>
      </c>
      <c r="E30" s="43" t="n">
        <v>50857.0</v>
      </c>
      <c r="F30" s="2" t="n">
        <v>5029.0</v>
      </c>
      <c r="G30" s="2" t="n">
        <v>415.0</v>
      </c>
    </row>
    <row r="31" spans="1:7" x14ac:dyDescent="0.2">
      <c r="A31" s="39">
        <v>2047</v>
      </c>
      <c r="B31" s="1" t="n">
        <v>50245.0</v>
      </c>
      <c r="C31" s="43" t="n">
        <v>71920.0</v>
      </c>
      <c r="D31" s="48" t="n">
        <v>52955.0</v>
      </c>
      <c r="E31" s="43" t="n">
        <v>50627.0</v>
      </c>
      <c r="F31" s="2" t="n">
        <v>5054.0</v>
      </c>
      <c r="G31" s="2" t="n">
        <v>412.0</v>
      </c>
    </row>
    <row r="32" spans="1:7" x14ac:dyDescent="0.2">
      <c r="A32" s="39">
        <v>2048</v>
      </c>
      <c r="B32" s="1" t="n">
        <v>50074.0</v>
      </c>
      <c r="C32" s="43" t="n">
        <v>71890.0</v>
      </c>
      <c r="D32" s="48" t="n">
        <v>52424.0</v>
      </c>
      <c r="E32" s="43" t="n">
        <v>50356.0</v>
      </c>
      <c r="F32" s="2" t="n">
        <v>5088.0</v>
      </c>
      <c r="G32" s="2" t="n">
        <v>413.0</v>
      </c>
    </row>
    <row r="33" spans="1:7" x14ac:dyDescent="0.2">
      <c r="A33" s="39">
        <v>2049</v>
      </c>
      <c r="B33" s="1" t="n">
        <v>49766.0</v>
      </c>
      <c r="C33" s="43" t="n">
        <v>71596.0</v>
      </c>
      <c r="D33" s="48" t="n">
        <v>51933.0</v>
      </c>
      <c r="E33" s="43" t="n">
        <v>50050.0</v>
      </c>
      <c r="F33" s="2" t="n">
        <v>5117.0</v>
      </c>
      <c r="G33" s="2" t="n">
        <v>410.0</v>
      </c>
    </row>
    <row r="34" spans="1:7" x14ac:dyDescent="0.2">
      <c r="A34" s="39">
        <v>2050</v>
      </c>
      <c r="B34" s="1" t="n">
        <v>49340.0</v>
      </c>
      <c r="C34" s="43" t="n">
        <v>71530.0</v>
      </c>
      <c r="D34" s="48" t="n">
        <v>51329.0</v>
      </c>
      <c r="E34" s="43" t="n">
        <v>49702.0</v>
      </c>
      <c r="F34" s="2" t="n">
        <v>5146.0</v>
      </c>
      <c r="G34" s="2" t="n">
        <v>408.0</v>
      </c>
    </row>
    <row r="35" spans="1:7" x14ac:dyDescent="0.2">
      <c r="A35" s="39">
        <v>2051</v>
      </c>
      <c r="B35" s="1" t="n">
        <v>48802.0</v>
      </c>
      <c r="C35" s="43" t="n">
        <v>71454.0</v>
      </c>
      <c r="D35" s="48" t="n">
        <v>50724.0</v>
      </c>
      <c r="E35" s="43" t="n">
        <v>49348.0</v>
      </c>
      <c r="F35" s="2" t="n">
        <v>5180.0</v>
      </c>
      <c r="G35" s="2" t="n">
        <v>407.0</v>
      </c>
    </row>
    <row r="36" spans="1:7" x14ac:dyDescent="0.2">
      <c r="A36" s="39">
        <v>2052</v>
      </c>
      <c r="B36" s="1" t="n">
        <v>48197.0</v>
      </c>
      <c r="C36" s="43" t="n">
        <v>71733.0</v>
      </c>
      <c r="D36" s="48" t="n">
        <v>50079.0</v>
      </c>
      <c r="E36" s="43" t="n">
        <v>48950.0</v>
      </c>
      <c r="F36" s="2" t="n">
        <v>5209.0</v>
      </c>
      <c r="G36" s="2" t="n">
        <v>402.0</v>
      </c>
    </row>
    <row r="37" spans="1:7" x14ac:dyDescent="0.2">
      <c r="A37" s="39">
        <v>2053</v>
      </c>
      <c r="B37" s="1" t="n">
        <v>47516.0</v>
      </c>
      <c r="C37" s="43" t="n">
        <v>71678.0</v>
      </c>
      <c r="D37" s="48" t="n">
        <v>49464.0</v>
      </c>
      <c r="E37" s="43" t="n">
        <v>48619.0</v>
      </c>
      <c r="F37" s="2" t="n">
        <v>5232.0</v>
      </c>
      <c r="G37" s="2" t="n">
        <v>397.0</v>
      </c>
    </row>
    <row r="38" spans="1:7" x14ac:dyDescent="0.2">
      <c r="A38" s="39">
        <v>2054</v>
      </c>
      <c r="B38" s="1" t="n">
        <v>46759.0</v>
      </c>
      <c r="C38" s="43" t="n">
        <v>71631.0</v>
      </c>
      <c r="D38" s="48" t="n">
        <v>48879.0</v>
      </c>
      <c r="E38" s="43" t="n">
        <v>48268.0</v>
      </c>
      <c r="F38" s="2" t="n">
        <v>5264.0</v>
      </c>
      <c r="G38" s="2" t="n">
        <v>394.0</v>
      </c>
    </row>
    <row r="39" spans="1:7" x14ac:dyDescent="0.2">
      <c r="A39" s="39">
        <v>2055</v>
      </c>
      <c r="B39" s="1" t="n">
        <v>46030.0</v>
      </c>
      <c r="C39" s="43" t="n">
        <v>71643.0</v>
      </c>
      <c r="D39" s="48" t="n">
        <v>48251.0</v>
      </c>
      <c r="E39" s="43" t="n">
        <v>47891.0</v>
      </c>
      <c r="F39" s="2" t="n">
        <v>5284.0</v>
      </c>
      <c r="G39" s="2" t="n">
        <v>396.0</v>
      </c>
    </row>
    <row r="40" spans="1:7" x14ac:dyDescent="0.2">
      <c r="A40" s="39">
        <v>2056</v>
      </c>
      <c r="B40" s="1" t="n">
        <v>45311.0</v>
      </c>
      <c r="C40" s="43" t="n">
        <v>71758.0</v>
      </c>
      <c r="D40" s="48" t="n">
        <v>47693.0</v>
      </c>
      <c r="E40" s="43" t="n">
        <v>47517.0</v>
      </c>
      <c r="F40" s="2" t="n">
        <v>5306.0</v>
      </c>
      <c r="G40" s="2" t="n">
        <v>394.0</v>
      </c>
    </row>
    <row r="41" spans="1:7" x14ac:dyDescent="0.2">
      <c r="A41" s="39">
        <v>2057</v>
      </c>
      <c r="B41" s="1" t="n">
        <v>44604.0</v>
      </c>
      <c r="C41" s="43" t="n">
        <v>71818.0</v>
      </c>
      <c r="D41" s="48" t="n">
        <v>47130.0</v>
      </c>
      <c r="E41" s="43" t="n">
        <v>47165.0</v>
      </c>
      <c r="F41" s="2" t="n">
        <v>5333.0</v>
      </c>
      <c r="G41" s="2" t="n">
        <v>395.0</v>
      </c>
    </row>
    <row r="42" spans="1:7" x14ac:dyDescent="0.2">
      <c r="A42" s="39">
        <v>2058</v>
      </c>
      <c r="B42" s="1" t="n">
        <v>43916.0</v>
      </c>
      <c r="C42" s="43" t="n">
        <v>72382.0</v>
      </c>
      <c r="D42" s="48" t="n">
        <v>46594.0</v>
      </c>
      <c r="E42" s="43" t="n">
        <v>46808.0</v>
      </c>
      <c r="F42" s="2" t="n">
        <v>5354.0</v>
      </c>
      <c r="G42" s="2" t="n">
        <v>393.0</v>
      </c>
    </row>
    <row r="43" spans="1:7" x14ac:dyDescent="0.2">
      <c r="A43" s="39">
        <v>2059</v>
      </c>
      <c r="B43" s="1" t="n">
        <v>43303.0</v>
      </c>
      <c r="C43" s="43" t="n">
        <v>72574.0</v>
      </c>
      <c r="D43" s="48" t="n">
        <v>46050.0</v>
      </c>
      <c r="E43" s="43" t="n">
        <v>46456.0</v>
      </c>
      <c r="F43" s="2" t="n">
        <v>5378.0</v>
      </c>
      <c r="G43" s="2" t="n">
        <v>392.0</v>
      </c>
    </row>
    <row r="44" spans="1:7" x14ac:dyDescent="0.2">
      <c r="A44" s="40">
        <v>2060</v>
      </c>
      <c r="B44" s="5" t="n">
        <v>42758.0</v>
      </c>
      <c r="C44" s="45" t="n">
        <v>72498.0</v>
      </c>
      <c r="D44" s="49" t="n">
        <v>45531.0</v>
      </c>
      <c r="E44" s="45" t="n">
        <v>46095.0</v>
      </c>
      <c r="F44" s="6" t="n">
        <v>5401.0</v>
      </c>
      <c r="G44" s="6" t="n">
        <v>391.0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66C2C9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9" width="23.7109375"/>
    <col min="4" max="4" customWidth="true" style="79" width="11.7109375"/>
    <col min="5" max="5" style="79" width="9.140625"/>
    <col min="6" max="6" customWidth="true" style="79" width="7.28515625"/>
    <col min="7" max="8" customWidth="true" style="79" width="11.85546875"/>
    <col min="9" max="21" style="79" width="9.140625"/>
    <col min="22" max="26" style="92" width="9.140625"/>
    <col min="27" max="29" style="95" width="9.140625"/>
    <col min="30" max="32" customWidth="true" style="95" width="15.42578125"/>
    <col min="33" max="33" customWidth="true" style="92" width="15.42578125"/>
    <col min="34" max="35" style="79" width="9.140625"/>
    <col min="36" max="16384" style="96" width="9.140625"/>
  </cols>
  <sheetData>
    <row r="1" spans="1:39" ht="22.9" customHeight="1" x14ac:dyDescent="0.25">
      <c r="A1" s="117"/>
      <c r="B1" s="146" t="s">
        <v>90</v>
      </c>
      <c r="C1" s="147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87"/>
      <c r="S1" s="87"/>
      <c r="T1" s="87"/>
      <c r="U1" s="87"/>
      <c r="V1" s="93"/>
      <c r="W1" s="93"/>
      <c r="X1" s="93"/>
      <c r="Y1" s="93"/>
      <c r="Z1" s="93"/>
      <c r="AA1" s="80"/>
      <c r="AB1" s="80"/>
      <c r="AC1" s="80"/>
      <c r="AD1" s="80"/>
      <c r="AE1" s="80"/>
      <c r="AF1" s="80"/>
      <c r="AG1" s="94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83</v>
      </c>
      <c r="B2" s="148" t="s">
        <v>95</v>
      </c>
      <c r="C2" s="149"/>
      <c r="D2" s="101"/>
      <c r="E2" s="101"/>
      <c r="F2" s="101"/>
      <c r="G2" s="101"/>
      <c r="H2" s="97"/>
      <c r="I2" s="97"/>
      <c r="J2" s="97"/>
      <c r="K2" s="97"/>
      <c r="L2" s="97"/>
      <c r="M2" s="97"/>
      <c r="N2" s="97"/>
      <c r="O2" s="97"/>
      <c r="P2" s="97"/>
      <c r="Q2" s="97"/>
      <c r="R2" s="87"/>
      <c r="S2" s="87"/>
      <c r="T2" s="87"/>
      <c r="U2" s="87"/>
      <c r="V2" s="93"/>
      <c r="W2" s="93"/>
      <c r="X2" s="93"/>
      <c r="Y2" s="93"/>
      <c r="Z2" s="93"/>
      <c r="AA2" s="80"/>
      <c r="AB2" s="80"/>
      <c r="AC2" s="80"/>
      <c r="AD2" s="80"/>
      <c r="AE2" s="80"/>
      <c r="AF2" s="80"/>
      <c r="AG2" s="94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84</v>
      </c>
      <c r="B3" s="150"/>
      <c r="C3" s="151"/>
      <c r="D3" s="101"/>
      <c r="E3" s="101"/>
      <c r="F3" s="101"/>
      <c r="G3" s="101"/>
      <c r="H3" s="32"/>
      <c r="I3" s="32"/>
      <c r="J3" s="91"/>
      <c r="O3" s="79" t="s">
        <v>38</v>
      </c>
      <c r="P3" s="87"/>
      <c r="Q3" s="87"/>
      <c r="R3" s="87"/>
      <c r="S3" s="87"/>
      <c r="T3" s="87"/>
      <c r="U3" s="87"/>
      <c r="V3" s="93"/>
      <c r="W3" s="93"/>
      <c r="X3" s="93"/>
      <c r="Y3" s="93"/>
      <c r="Z3" s="93"/>
      <c r="AA3" s="80"/>
      <c r="AB3" s="80"/>
      <c r="AC3" s="80"/>
      <c r="AD3" s="80"/>
      <c r="AE3" s="80"/>
      <c r="AF3" s="80"/>
      <c r="AG3" s="94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52" t="s">
        <v>105</v>
      </c>
      <c r="B4" s="153"/>
      <c r="C4" s="154"/>
      <c r="I4" s="91"/>
      <c r="J4" s="91"/>
      <c r="P4" s="87"/>
      <c r="Q4" s="87"/>
      <c r="R4" s="87"/>
      <c r="S4" s="87"/>
      <c r="T4" s="87"/>
      <c r="U4" s="87"/>
      <c r="V4" s="119"/>
      <c r="W4" s="119"/>
      <c r="X4" s="119"/>
      <c r="Y4" s="119"/>
      <c r="Z4" s="119"/>
      <c r="AA4" s="120"/>
      <c r="AB4" s="120"/>
      <c r="AC4" s="120"/>
      <c r="AD4" s="120"/>
      <c r="AE4" s="80"/>
      <c r="AF4" s="80"/>
      <c r="AG4" s="94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82"/>
      <c r="B5" s="83"/>
      <c r="C5" s="108"/>
      <c r="P5" s="87"/>
      <c r="Q5" s="87"/>
      <c r="R5" s="87"/>
      <c r="S5" s="87"/>
      <c r="T5" s="87"/>
      <c r="U5" s="87"/>
      <c r="V5" s="119"/>
      <c r="W5" s="119"/>
      <c r="X5" s="119"/>
      <c r="Y5" s="119"/>
      <c r="Z5" s="119"/>
      <c r="AA5" s="120"/>
      <c r="AB5" s="120"/>
      <c r="AC5" s="120"/>
      <c r="AD5" s="120"/>
      <c r="AE5" s="80"/>
      <c r="AF5" s="80"/>
      <c r="AG5" s="94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4" t="s">
        <v>38</v>
      </c>
      <c r="B6" s="109" t="s">
        <v>98</v>
      </c>
      <c r="C6" s="110"/>
      <c r="I6" s="78"/>
      <c r="P6" s="87"/>
      <c r="Q6" s="87"/>
      <c r="R6" s="87"/>
      <c r="S6" s="87"/>
      <c r="T6" s="87"/>
      <c r="U6" s="87"/>
      <c r="V6" s="119"/>
      <c r="W6" s="119"/>
      <c r="X6" s="119"/>
      <c r="Y6" s="119"/>
      <c r="Z6" s="119"/>
      <c r="AA6" s="120"/>
      <c r="AB6" s="120"/>
      <c r="AC6" s="120"/>
      <c r="AD6" s="120"/>
      <c r="AE6" s="80"/>
      <c r="AF6" s="80"/>
      <c r="AG6" s="94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5"/>
      <c r="B7" s="111"/>
      <c r="C7" s="116">
        <v>2022</v>
      </c>
      <c r="I7" s="78"/>
      <c r="P7" s="87"/>
      <c r="Q7" s="87"/>
      <c r="R7" s="87"/>
      <c r="S7" s="87"/>
      <c r="T7" s="87"/>
      <c r="U7" s="121"/>
      <c r="V7" s="119"/>
      <c r="W7" s="119"/>
      <c r="X7" s="119"/>
      <c r="Y7" s="119"/>
      <c r="Z7" s="119"/>
      <c r="AA7" s="80">
        <v>2022</v>
      </c>
      <c r="AB7" s="80">
        <v>0</v>
      </c>
      <c r="AC7" s="80"/>
      <c r="AD7" s="80" t="s">
        <v>89</v>
      </c>
      <c r="AE7" s="80" t="s">
        <v>88</v>
      </c>
      <c r="AF7" s="80" t="s">
        <v>93</v>
      </c>
      <c r="AG7" s="94" t="s">
        <v>94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5"/>
      <c r="B8" s="109" t="s">
        <v>99</v>
      </c>
      <c r="C8" s="110"/>
      <c r="I8" s="81"/>
      <c r="P8" s="87"/>
      <c r="Q8" s="87"/>
      <c r="R8" s="87"/>
      <c r="S8" s="87"/>
      <c r="T8" s="87"/>
      <c r="U8" s="121"/>
      <c r="V8" s="119"/>
      <c r="W8" s="119"/>
      <c r="X8" s="119"/>
      <c r="Y8" s="119"/>
      <c r="Z8" s="119"/>
      <c r="AA8" s="80">
        <v>2023</v>
      </c>
      <c r="AB8" s="80">
        <v>1</v>
      </c>
      <c r="AC8" s="80"/>
      <c r="AD8" s="89">
        <f>(-1*B12)-AF8</f>
        <v>-145928</v>
      </c>
      <c r="AE8" s="90">
        <f>C12-AG8</f>
        <v>145928</v>
      </c>
      <c r="AF8" s="80">
        <f>IF(B12&gt;C12,-1*(B12-C12),0)</f>
        <v>-7459</v>
      </c>
      <c r="AG8" s="90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5"/>
      <c r="B9" s="86"/>
      <c r="C9" s="110"/>
      <c r="I9" s="81"/>
      <c r="P9" s="87"/>
      <c r="Q9" s="87"/>
      <c r="R9" s="87"/>
      <c r="S9" s="87"/>
      <c r="T9" s="87"/>
      <c r="U9" s="121"/>
      <c r="V9" s="119"/>
      <c r="W9" s="119"/>
      <c r="X9" s="119"/>
      <c r="Y9" s="119"/>
      <c r="Z9" s="119"/>
      <c r="AA9" s="80">
        <v>2024</v>
      </c>
      <c r="AB9" s="80">
        <v>2</v>
      </c>
      <c r="AC9" s="80"/>
      <c r="AD9" s="89">
        <f>(-1*B13)-AF9</f>
        <v>-162672</v>
      </c>
      <c r="AE9" s="90">
        <f>C13-AG9</f>
        <v>162672</v>
      </c>
      <c r="AF9" s="80">
        <f>IF(B13&gt;C13,-1*(B13-C13),0)</f>
        <v>-8770</v>
      </c>
      <c r="AG9" s="90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6"/>
      <c r="B10" s="91"/>
      <c r="C10" s="110"/>
      <c r="I10" s="81"/>
      <c r="P10" s="87"/>
      <c r="Q10" s="87"/>
      <c r="R10" s="87"/>
      <c r="S10" s="87"/>
      <c r="T10" s="87"/>
      <c r="U10" s="121"/>
      <c r="V10" s="119"/>
      <c r="W10" s="119"/>
      <c r="X10" s="119"/>
      <c r="Y10" s="119"/>
      <c r="Z10" s="119"/>
      <c r="AA10" s="80">
        <v>2025</v>
      </c>
      <c r="AB10" s="80">
        <v>3</v>
      </c>
      <c r="AC10" s="80"/>
      <c r="AD10" s="89">
        <f t="shared" ref="AD10:AD73" si="0">(-1*B14)-AF10</f>
        <v>-170423</v>
      </c>
      <c r="AE10" s="90">
        <f t="shared" ref="AE10:AE73" si="1">C14-AG10</f>
        <v>170423</v>
      </c>
      <c r="AF10" s="80">
        <f t="shared" ref="AF10:AF73" si="2">IF(B14&gt;C14,-1*(B14-C14),0)</f>
        <v>-9111</v>
      </c>
      <c r="AG10" s="90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1"/>
      <c r="P11" s="87"/>
      <c r="Q11" s="104"/>
      <c r="R11" s="87"/>
      <c r="S11" s="87"/>
      <c r="T11" s="87"/>
      <c r="U11" s="121"/>
      <c r="V11" s="119"/>
      <c r="W11" s="119"/>
      <c r="X11" s="119"/>
      <c r="Y11" s="119"/>
      <c r="Z11" s="119"/>
      <c r="AA11" s="80">
        <v>2026</v>
      </c>
      <c r="AB11" s="80">
        <v>4</v>
      </c>
      <c r="AC11" s="80"/>
      <c r="AD11" s="89">
        <f t="shared" si="0"/>
        <v>-182557</v>
      </c>
      <c r="AE11" s="90">
        <f t="shared" si="1"/>
        <v>182557</v>
      </c>
      <c r="AF11" s="80">
        <f t="shared" si="2"/>
        <v>-10212</v>
      </c>
      <c r="AG11" s="90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153387</v>
      </c>
      <c r="C12" s="114">
        <f>INDEX('Tabl. 1'!$C$8:$AO$313,206+$AB7,MATCH($C$7,$AA$7:$AA$45))</f>
        <v>145928</v>
      </c>
      <c r="I12" s="81"/>
      <c r="P12" s="87"/>
      <c r="Q12" s="87"/>
      <c r="R12" s="87"/>
      <c r="S12" s="87"/>
      <c r="T12" s="87"/>
      <c r="U12" s="121"/>
      <c r="V12" s="119"/>
      <c r="W12" s="119"/>
      <c r="X12" s="119"/>
      <c r="Y12" s="119"/>
      <c r="Z12" s="119"/>
      <c r="AA12" s="80">
        <v>2027</v>
      </c>
      <c r="AB12" s="80">
        <v>5</v>
      </c>
      <c r="AC12" s="80"/>
      <c r="AD12" s="89">
        <f t="shared" si="0"/>
        <v>-190994</v>
      </c>
      <c r="AE12" s="90">
        <f t="shared" si="1"/>
        <v>190994</v>
      </c>
      <c r="AF12" s="80">
        <f t="shared" si="2"/>
        <v>-11512</v>
      </c>
      <c r="AG12" s="90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171442</v>
      </c>
      <c r="C13" s="114">
        <f>INDEX('Tabl. 1'!$C$8:$AO$313,206+$AB8,MATCH($C$7,$AA$7:$AA$45))</f>
        <v>162672</v>
      </c>
      <c r="I13" s="81"/>
      <c r="P13" s="87"/>
      <c r="Q13" s="87"/>
      <c r="R13" s="87"/>
      <c r="S13" s="87"/>
      <c r="T13" s="87"/>
      <c r="U13" s="121"/>
      <c r="V13" s="119"/>
      <c r="W13" s="119"/>
      <c r="X13" s="119"/>
      <c r="Y13" s="119"/>
      <c r="Z13" s="119"/>
      <c r="AA13" s="80">
        <v>2028</v>
      </c>
      <c r="AB13" s="80">
        <v>6</v>
      </c>
      <c r="AC13" s="80"/>
      <c r="AD13" s="89">
        <f t="shared" si="0"/>
        <v>-200562</v>
      </c>
      <c r="AE13" s="90">
        <f t="shared" si="1"/>
        <v>200562</v>
      </c>
      <c r="AF13" s="80">
        <f t="shared" si="2"/>
        <v>-10990</v>
      </c>
      <c r="AG13" s="90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179534</v>
      </c>
      <c r="C14" s="114">
        <f>INDEX('Tabl. 1'!$C$8:$AO$313,206+$AB9,MATCH($C$7,$AA$7:$AA$45))</f>
        <v>170423</v>
      </c>
      <c r="I14" s="81"/>
      <c r="P14" s="87"/>
      <c r="Q14" s="87"/>
      <c r="R14" s="87"/>
      <c r="S14" s="87"/>
      <c r="T14" s="87"/>
      <c r="U14" s="121"/>
      <c r="V14" s="119"/>
      <c r="W14" s="119"/>
      <c r="X14" s="119"/>
      <c r="Y14" s="119"/>
      <c r="Z14" s="119"/>
      <c r="AA14" s="80">
        <v>2029</v>
      </c>
      <c r="AB14" s="80">
        <v>7</v>
      </c>
      <c r="AC14" s="80"/>
      <c r="AD14" s="89">
        <f t="shared" si="0"/>
        <v>-192798</v>
      </c>
      <c r="AE14" s="90">
        <f t="shared" si="1"/>
        <v>192798</v>
      </c>
      <c r="AF14" s="80">
        <f t="shared" si="2"/>
        <v>-10622</v>
      </c>
      <c r="AG14" s="90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192769</v>
      </c>
      <c r="C15" s="114">
        <f>INDEX('Tabl. 1'!$C$8:$AO$313,206+$AB10,MATCH($C$7,$AA$7:$AA$45))</f>
        <v>182557</v>
      </c>
      <c r="I15" s="81"/>
      <c r="P15" s="87"/>
      <c r="Q15" s="87"/>
      <c r="R15" s="87"/>
      <c r="S15" s="87"/>
      <c r="T15" s="87"/>
      <c r="U15" s="121"/>
      <c r="V15" s="119"/>
      <c r="W15" s="119"/>
      <c r="X15" s="119"/>
      <c r="Y15" s="119"/>
      <c r="Z15" s="119"/>
      <c r="AA15" s="80">
        <v>2030</v>
      </c>
      <c r="AB15" s="80">
        <v>8</v>
      </c>
      <c r="AC15" s="80"/>
      <c r="AD15" s="89">
        <f t="shared" si="0"/>
        <v>-188771</v>
      </c>
      <c r="AE15" s="90">
        <f t="shared" si="1"/>
        <v>188771</v>
      </c>
      <c r="AF15" s="80">
        <f t="shared" si="2"/>
        <v>-10568</v>
      </c>
      <c r="AG15" s="90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202506</v>
      </c>
      <c r="C16" s="114">
        <f>INDEX('Tabl. 1'!$C$8:$AO$313,206+$AB11,MATCH($C$7,$AA$7:$AA$45))</f>
        <v>190994</v>
      </c>
      <c r="I16" s="81"/>
      <c r="P16" s="87"/>
      <c r="Q16" s="87"/>
      <c r="R16" s="87"/>
      <c r="S16" s="87"/>
      <c r="T16" s="87"/>
      <c r="U16" s="121"/>
      <c r="V16" s="119"/>
      <c r="W16" s="119"/>
      <c r="X16" s="119"/>
      <c r="Y16" s="119"/>
      <c r="Z16" s="119"/>
      <c r="AA16" s="80">
        <v>2031</v>
      </c>
      <c r="AB16" s="80">
        <v>9</v>
      </c>
      <c r="AC16" s="80"/>
      <c r="AD16" s="89">
        <f t="shared" si="0"/>
        <v>-190398</v>
      </c>
      <c r="AE16" s="90">
        <f t="shared" si="1"/>
        <v>190398</v>
      </c>
      <c r="AF16" s="80">
        <f t="shared" si="2"/>
        <v>-10429</v>
      </c>
      <c r="AG16" s="90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211552</v>
      </c>
      <c r="C17" s="114">
        <f>INDEX('Tabl. 1'!$C$8:$AO$313,206+$AB12,MATCH($C$7,$AA$7:$AA$45))</f>
        <v>200562</v>
      </c>
      <c r="I17" s="81"/>
      <c r="P17" s="87"/>
      <c r="Q17" s="87"/>
      <c r="R17" s="87"/>
      <c r="S17" s="87"/>
      <c r="T17" s="87"/>
      <c r="U17" s="87"/>
      <c r="V17" s="119"/>
      <c r="W17" s="119"/>
      <c r="X17" s="119"/>
      <c r="Y17" s="119"/>
      <c r="Z17" s="119"/>
      <c r="AA17" s="80">
        <v>2032</v>
      </c>
      <c r="AB17" s="80">
        <v>10</v>
      </c>
      <c r="AC17" s="80"/>
      <c r="AD17" s="89">
        <f t="shared" si="0"/>
        <v>-187114</v>
      </c>
      <c r="AE17" s="90">
        <f t="shared" si="1"/>
        <v>187114</v>
      </c>
      <c r="AF17" s="80">
        <f t="shared" si="2"/>
        <v>-10153</v>
      </c>
      <c r="AG17" s="90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98">
        <v>6</v>
      </c>
      <c r="B18" s="114">
        <f>INDEX('Tabl. 1'!$C$8:$AO$313,104+$AB13,MATCH($C$7,$AA$7:$AA$45))</f>
        <v>203420</v>
      </c>
      <c r="C18" s="114">
        <f>INDEX('Tabl. 1'!$C$8:$AO$313,206+$AB13,MATCH($C$7,$AA$7:$AA$45))</f>
        <v>192798</v>
      </c>
      <c r="I18" s="81"/>
      <c r="P18" s="87"/>
      <c r="Q18" s="87"/>
      <c r="R18" s="87"/>
      <c r="S18" s="87"/>
      <c r="T18" s="87"/>
      <c r="U18" s="87"/>
      <c r="V18" s="119"/>
      <c r="W18" s="119"/>
      <c r="X18" s="119"/>
      <c r="Y18" s="119"/>
      <c r="Z18" s="119"/>
      <c r="AA18" s="80">
        <v>2033</v>
      </c>
      <c r="AB18" s="80">
        <v>11</v>
      </c>
      <c r="AC18" s="80"/>
      <c r="AD18" s="89">
        <f t="shared" si="0"/>
        <v>-196201</v>
      </c>
      <c r="AE18" s="90">
        <f t="shared" si="1"/>
        <v>196201</v>
      </c>
      <c r="AF18" s="80">
        <f t="shared" si="2"/>
        <v>-11473</v>
      </c>
      <c r="AG18" s="90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98">
        <v>7</v>
      </c>
      <c r="B19" s="114">
        <f>INDEX('Tabl. 1'!$C$8:$AO$313,104+$AB14,MATCH($C$7,$AA$7:$AA$45))</f>
        <v>199339</v>
      </c>
      <c r="C19" s="114">
        <f>INDEX('Tabl. 1'!$C$8:$AO$313,206+$AB14,MATCH($C$7,$AA$7:$AA$45))</f>
        <v>188771</v>
      </c>
      <c r="I19" s="81"/>
      <c r="P19" s="87"/>
      <c r="Q19" s="87"/>
      <c r="R19" s="87"/>
      <c r="S19" s="87"/>
      <c r="T19" s="87"/>
      <c r="U19" s="87"/>
      <c r="V19" s="119"/>
      <c r="W19" s="119"/>
      <c r="X19" s="119"/>
      <c r="Y19" s="119"/>
      <c r="Z19" s="119"/>
      <c r="AA19" s="80">
        <v>2034</v>
      </c>
      <c r="AB19" s="80">
        <v>12</v>
      </c>
      <c r="AC19" s="80"/>
      <c r="AD19" s="89">
        <f t="shared" si="0"/>
        <v>-196016</v>
      </c>
      <c r="AE19" s="90">
        <f t="shared" si="1"/>
        <v>196016</v>
      </c>
      <c r="AF19" s="80">
        <f t="shared" si="2"/>
        <v>-11487</v>
      </c>
      <c r="AG19" s="90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98">
        <v>8</v>
      </c>
      <c r="B20" s="114">
        <f>INDEX('Tabl. 1'!$C$8:$AO$313,104+$AB15,MATCH($C$7,$AA$7:$AA$45))</f>
        <v>200827</v>
      </c>
      <c r="C20" s="114">
        <f>INDEX('Tabl. 1'!$C$8:$AO$313,206+$AB15,MATCH($C$7,$AA$7:$AA$45))</f>
        <v>190398</v>
      </c>
      <c r="I20" s="81"/>
      <c r="P20" s="87"/>
      <c r="Q20" s="87"/>
      <c r="R20" s="87"/>
      <c r="S20" s="87"/>
      <c r="T20" s="87"/>
      <c r="U20" s="87"/>
      <c r="V20" s="119"/>
      <c r="W20" s="119"/>
      <c r="X20" s="119"/>
      <c r="Y20" s="119"/>
      <c r="Z20" s="119"/>
      <c r="AA20" s="80">
        <v>2035</v>
      </c>
      <c r="AB20" s="80">
        <v>13</v>
      </c>
      <c r="AC20" s="80"/>
      <c r="AD20" s="89">
        <f t="shared" si="0"/>
        <v>-207696</v>
      </c>
      <c r="AE20" s="90">
        <f t="shared" si="1"/>
        <v>207696</v>
      </c>
      <c r="AF20" s="80">
        <f t="shared" si="2"/>
        <v>-11967</v>
      </c>
      <c r="AG20" s="90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98">
        <v>9</v>
      </c>
      <c r="B21" s="114">
        <f>INDEX('Tabl. 1'!$C$8:$AO$313,104+$AB16,MATCH($C$7,$AA$7:$AA$45))</f>
        <v>197267</v>
      </c>
      <c r="C21" s="114">
        <f>INDEX('Tabl. 1'!$C$8:$AO$313,206+$AB16,MATCH($C$7,$AA$7:$AA$45))</f>
        <v>187114</v>
      </c>
      <c r="I21" s="81"/>
      <c r="P21" s="87"/>
      <c r="Q21" s="87"/>
      <c r="R21" s="87"/>
      <c r="S21" s="87"/>
      <c r="T21" s="87"/>
      <c r="U21" s="87"/>
      <c r="V21" s="119"/>
      <c r="W21" s="119"/>
      <c r="X21" s="119"/>
      <c r="Y21" s="119"/>
      <c r="Z21" s="119"/>
      <c r="AA21" s="80">
        <v>2036</v>
      </c>
      <c r="AB21" s="80">
        <v>14</v>
      </c>
      <c r="AC21" s="80"/>
      <c r="AD21" s="89">
        <f t="shared" si="0"/>
        <v>-210537</v>
      </c>
      <c r="AE21" s="90">
        <f t="shared" si="1"/>
        <v>210537</v>
      </c>
      <c r="AF21" s="80">
        <f t="shared" si="2"/>
        <v>-10402</v>
      </c>
      <c r="AG21" s="90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98">
        <v>10</v>
      </c>
      <c r="B22" s="114">
        <f>INDEX('Tabl. 1'!$C$8:$AO$313,104+$AB17,MATCH($C$7,$AA$7:$AA$45))</f>
        <v>207674</v>
      </c>
      <c r="C22" s="114">
        <f>INDEX('Tabl. 1'!$C$8:$AO$313,206+$AB17,MATCH($C$7,$AA$7:$AA$45))</f>
        <v>196201</v>
      </c>
      <c r="I22" s="81"/>
      <c r="P22" s="87"/>
      <c r="Q22" s="87"/>
      <c r="R22" s="87"/>
      <c r="S22" s="87"/>
      <c r="T22" s="87"/>
      <c r="U22" s="87"/>
      <c r="V22" s="119"/>
      <c r="W22" s="119"/>
      <c r="X22" s="119"/>
      <c r="Y22" s="119"/>
      <c r="Z22" s="119"/>
      <c r="AA22" s="80">
        <v>2037</v>
      </c>
      <c r="AB22" s="80">
        <v>15</v>
      </c>
      <c r="AC22" s="80"/>
      <c r="AD22" s="89">
        <f t="shared" si="0"/>
        <v>-207705</v>
      </c>
      <c r="AE22" s="90">
        <f t="shared" si="1"/>
        <v>207705</v>
      </c>
      <c r="AF22" s="80">
        <f t="shared" si="2"/>
        <v>-10145</v>
      </c>
      <c r="AG22" s="90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98">
        <v>11</v>
      </c>
      <c r="B23" s="114">
        <f>INDEX('Tabl. 1'!$C$8:$AO$313,104+$AB18,MATCH($C$7,$AA$7:$AA$45))</f>
        <v>207503</v>
      </c>
      <c r="C23" s="114">
        <f>INDEX('Tabl. 1'!$C$8:$AO$313,206+$AB18,MATCH($C$7,$AA$7:$AA$45))</f>
        <v>196016</v>
      </c>
      <c r="I23" s="81"/>
      <c r="P23" s="87"/>
      <c r="Q23" s="87"/>
      <c r="R23" s="87"/>
      <c r="S23" s="87"/>
      <c r="T23" s="87"/>
      <c r="U23" s="87"/>
      <c r="V23" s="119"/>
      <c r="W23" s="119"/>
      <c r="X23" s="119"/>
      <c r="Y23" s="119"/>
      <c r="Z23" s="119"/>
      <c r="AA23" s="80">
        <v>2038</v>
      </c>
      <c r="AB23" s="80">
        <v>16</v>
      </c>
      <c r="AC23" s="80"/>
      <c r="AD23" s="89">
        <f t="shared" si="0"/>
        <v>-193449</v>
      </c>
      <c r="AE23" s="90">
        <f t="shared" si="1"/>
        <v>193449</v>
      </c>
      <c r="AF23" s="80">
        <f t="shared" si="2"/>
        <v>-9868</v>
      </c>
      <c r="AG23" s="90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98">
        <v>12</v>
      </c>
      <c r="B24" s="114">
        <f>INDEX('Tabl. 1'!$C$8:$AO$313,104+$AB19,MATCH($C$7,$AA$7:$AA$45))</f>
        <v>219663</v>
      </c>
      <c r="C24" s="114">
        <f>INDEX('Tabl. 1'!$C$8:$AO$313,206+$AB19,MATCH($C$7,$AA$7:$AA$45))</f>
        <v>207696</v>
      </c>
      <c r="I24" s="81"/>
      <c r="P24" s="87"/>
      <c r="Q24" s="87"/>
      <c r="R24" s="87"/>
      <c r="S24" s="87"/>
      <c r="T24" s="87"/>
      <c r="U24" s="87"/>
      <c r="V24" s="119"/>
      <c r="W24" s="119"/>
      <c r="X24" s="119"/>
      <c r="Y24" s="119"/>
      <c r="Z24" s="119"/>
      <c r="AA24" s="80">
        <v>2039</v>
      </c>
      <c r="AB24" s="80">
        <v>17</v>
      </c>
      <c r="AC24" s="80"/>
      <c r="AD24" s="89">
        <f t="shared" si="0"/>
        <v>-183348</v>
      </c>
      <c r="AE24" s="90">
        <f t="shared" si="1"/>
        <v>183348</v>
      </c>
      <c r="AF24" s="80">
        <f t="shared" si="2"/>
        <v>-9512</v>
      </c>
      <c r="AG24" s="90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98">
        <v>13</v>
      </c>
      <c r="B25" s="114">
        <f>INDEX('Tabl. 1'!$C$8:$AO$313,104+$AB20,MATCH($C$7,$AA$7:$AA$45))</f>
        <v>220939</v>
      </c>
      <c r="C25" s="114">
        <f>INDEX('Tabl. 1'!$C$8:$AO$313,206+$AB20,MATCH($C$7,$AA$7:$AA$45))</f>
        <v>210537</v>
      </c>
      <c r="I25" s="81"/>
      <c r="P25" s="87"/>
      <c r="Q25" s="87"/>
      <c r="R25" s="87"/>
      <c r="S25" s="87"/>
      <c r="T25" s="87"/>
      <c r="U25" s="87"/>
      <c r="V25" s="119"/>
      <c r="W25" s="119"/>
      <c r="X25" s="119"/>
      <c r="Y25" s="119"/>
      <c r="Z25" s="119"/>
      <c r="AA25" s="80">
        <v>2040</v>
      </c>
      <c r="AB25" s="80">
        <v>18</v>
      </c>
      <c r="AC25" s="80"/>
      <c r="AD25" s="89">
        <f t="shared" si="0"/>
        <v>-176451</v>
      </c>
      <c r="AE25" s="90">
        <f t="shared" si="1"/>
        <v>176451</v>
      </c>
      <c r="AF25" s="80">
        <f t="shared" si="2"/>
        <v>-8906</v>
      </c>
      <c r="AG25" s="90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98">
        <v>14</v>
      </c>
      <c r="B26" s="114">
        <f>INDEX('Tabl. 1'!$C$8:$AO$313,104+$AB21,MATCH($C$7,$AA$7:$AA$45))</f>
        <v>217850</v>
      </c>
      <c r="C26" s="114">
        <f>INDEX('Tabl. 1'!$C$8:$AO$313,206+$AB21,MATCH($C$7,$AA$7:$AA$45))</f>
        <v>207705</v>
      </c>
      <c r="I26" s="81"/>
      <c r="P26" s="87"/>
      <c r="Q26" s="87"/>
      <c r="R26" s="87"/>
      <c r="S26" s="87"/>
      <c r="T26" s="87"/>
      <c r="U26" s="87"/>
      <c r="V26" s="119"/>
      <c r="W26" s="119"/>
      <c r="X26" s="119"/>
      <c r="Y26" s="119"/>
      <c r="Z26" s="119"/>
      <c r="AA26" s="80">
        <v>2041</v>
      </c>
      <c r="AB26" s="80">
        <v>19</v>
      </c>
      <c r="AC26" s="80"/>
      <c r="AD26" s="89">
        <f t="shared" si="0"/>
        <v>-170211</v>
      </c>
      <c r="AE26" s="90">
        <f t="shared" si="1"/>
        <v>170211</v>
      </c>
      <c r="AF26" s="80">
        <f t="shared" si="2"/>
        <v>-9435</v>
      </c>
      <c r="AG26" s="90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98">
        <v>15</v>
      </c>
      <c r="B27" s="114">
        <f>INDEX('Tabl. 1'!$C$8:$AO$313,104+$AB22,MATCH($C$7,$AA$7:$AA$45))</f>
        <v>203317</v>
      </c>
      <c r="C27" s="114">
        <f>INDEX('Tabl. 1'!$C$8:$AO$313,206+$AB22,MATCH($C$7,$AA$7:$AA$45))</f>
        <v>193449</v>
      </c>
      <c r="I27" s="81"/>
      <c r="P27" s="87"/>
      <c r="Q27" s="87"/>
      <c r="R27" s="87"/>
      <c r="S27" s="87"/>
      <c r="T27" s="87"/>
      <c r="U27" s="87"/>
      <c r="V27" s="119"/>
      <c r="W27" s="119"/>
      <c r="X27" s="119"/>
      <c r="Y27" s="119"/>
      <c r="Z27" s="119"/>
      <c r="AA27" s="80">
        <v>2042</v>
      </c>
      <c r="AB27" s="80">
        <v>20</v>
      </c>
      <c r="AC27" s="80"/>
      <c r="AD27" s="89">
        <f t="shared" si="0"/>
        <v>-167529</v>
      </c>
      <c r="AE27" s="90">
        <f t="shared" si="1"/>
        <v>167529</v>
      </c>
      <c r="AF27" s="80">
        <f t="shared" si="2"/>
        <v>-7713</v>
      </c>
      <c r="AG27" s="90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98">
        <v>16</v>
      </c>
      <c r="B28" s="114">
        <f>INDEX('Tabl. 1'!$C$8:$AO$313,104+$AB23,MATCH($C$7,$AA$7:$AA$45))</f>
        <v>192860</v>
      </c>
      <c r="C28" s="114">
        <f>INDEX('Tabl. 1'!$C$8:$AO$313,206+$AB23,MATCH($C$7,$AA$7:$AA$45))</f>
        <v>183348</v>
      </c>
      <c r="I28" s="81"/>
      <c r="P28" s="87"/>
      <c r="Q28" s="87"/>
      <c r="R28" s="87"/>
      <c r="S28" s="87"/>
      <c r="T28" s="87"/>
      <c r="U28" s="87"/>
      <c r="V28" s="119"/>
      <c r="W28" s="119"/>
      <c r="X28" s="119"/>
      <c r="Y28" s="119"/>
      <c r="Z28" s="119"/>
      <c r="AA28" s="80">
        <v>2043</v>
      </c>
      <c r="AB28" s="80">
        <v>21</v>
      </c>
      <c r="AC28" s="80"/>
      <c r="AD28" s="89">
        <f t="shared" si="0"/>
        <v>-169347</v>
      </c>
      <c r="AE28" s="90">
        <f t="shared" si="1"/>
        <v>169347</v>
      </c>
      <c r="AF28" s="80">
        <f t="shared" si="2"/>
        <v>-8009</v>
      </c>
      <c r="AG28" s="90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98">
        <v>17</v>
      </c>
      <c r="B29" s="114">
        <f>INDEX('Tabl. 1'!$C$8:$AO$313,104+$AB24,MATCH($C$7,$AA$7:$AA$45))</f>
        <v>185357</v>
      </c>
      <c r="C29" s="114">
        <f>INDEX('Tabl. 1'!$C$8:$AO$313,206+$AB24,MATCH($C$7,$AA$7:$AA$45))</f>
        <v>176451</v>
      </c>
      <c r="I29" s="81"/>
      <c r="P29" s="87"/>
      <c r="Q29" s="87"/>
      <c r="R29" s="87"/>
      <c r="S29" s="87"/>
      <c r="T29" s="87"/>
      <c r="U29" s="87"/>
      <c r="V29" s="119"/>
      <c r="W29" s="119"/>
      <c r="X29" s="119"/>
      <c r="Y29" s="119"/>
      <c r="Z29" s="119"/>
      <c r="AA29" s="80">
        <v>2044</v>
      </c>
      <c r="AB29" s="80">
        <v>22</v>
      </c>
      <c r="AC29" s="80"/>
      <c r="AD29" s="89">
        <f t="shared" si="0"/>
        <v>-175543</v>
      </c>
      <c r="AE29" s="90">
        <f t="shared" si="1"/>
        <v>175543</v>
      </c>
      <c r="AF29" s="80">
        <f t="shared" si="2"/>
        <v>-7619</v>
      </c>
      <c r="AG29" s="90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98">
        <v>18</v>
      </c>
      <c r="B30" s="114">
        <f>INDEX('Tabl. 1'!$C$8:$AO$313,104+$AB25,MATCH($C$7,$AA$7:$AA$45))</f>
        <v>179646</v>
      </c>
      <c r="C30" s="114">
        <f>INDEX('Tabl. 1'!$C$8:$AO$313,206+$AB25,MATCH($C$7,$AA$7:$AA$45))</f>
        <v>170211</v>
      </c>
      <c r="I30" s="81"/>
      <c r="P30" s="87"/>
      <c r="Q30" s="87"/>
      <c r="R30" s="87"/>
      <c r="S30" s="87"/>
      <c r="T30" s="87"/>
      <c r="U30" s="87"/>
      <c r="V30" s="119"/>
      <c r="W30" s="119"/>
      <c r="X30" s="119"/>
      <c r="Y30" s="119"/>
      <c r="Z30" s="119"/>
      <c r="AA30" s="80">
        <v>2045</v>
      </c>
      <c r="AB30" s="80">
        <v>23</v>
      </c>
      <c r="AC30" s="80"/>
      <c r="AD30" s="89">
        <f t="shared" si="0"/>
        <v>-180686</v>
      </c>
      <c r="AE30" s="90">
        <f t="shared" si="1"/>
        <v>180686</v>
      </c>
      <c r="AF30" s="80">
        <f t="shared" si="2"/>
        <v>-6923</v>
      </c>
      <c r="AG30" s="90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98">
        <v>19</v>
      </c>
      <c r="B31" s="114">
        <f>INDEX('Tabl. 1'!$C$8:$AO$313,104+$AB26,MATCH($C$7,$AA$7:$AA$45))</f>
        <v>175242</v>
      </c>
      <c r="C31" s="114">
        <f>INDEX('Tabl. 1'!$C$8:$AO$313,206+$AB26,MATCH($C$7,$AA$7:$AA$45))</f>
        <v>167529</v>
      </c>
      <c r="I31" s="81"/>
      <c r="P31" s="87"/>
      <c r="Q31" s="87"/>
      <c r="R31" s="87"/>
      <c r="S31" s="87"/>
      <c r="T31" s="87"/>
      <c r="U31" s="87"/>
      <c r="V31" s="119"/>
      <c r="W31" s="119"/>
      <c r="X31" s="119"/>
      <c r="Y31" s="119"/>
      <c r="Z31" s="119"/>
      <c r="AA31" s="80">
        <v>2046</v>
      </c>
      <c r="AB31" s="80">
        <v>24</v>
      </c>
      <c r="AC31" s="80"/>
      <c r="AD31" s="89">
        <f t="shared" si="0"/>
        <v>-182410</v>
      </c>
      <c r="AE31" s="90">
        <f t="shared" si="1"/>
        <v>182410</v>
      </c>
      <c r="AF31" s="80">
        <f t="shared" si="2"/>
        <v>-6812</v>
      </c>
      <c r="AG31" s="90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98">
        <v>20</v>
      </c>
      <c r="B32" s="114">
        <f>INDEX('Tabl. 1'!$C$8:$AO$313,104+$AB27,MATCH($C$7,$AA$7:$AA$45))</f>
        <v>177356</v>
      </c>
      <c r="C32" s="114">
        <f>INDEX('Tabl. 1'!$C$8:$AO$313,206+$AB27,MATCH($C$7,$AA$7:$AA$45))</f>
        <v>169347</v>
      </c>
      <c r="I32" s="81"/>
      <c r="P32" s="87"/>
      <c r="Q32" s="87"/>
      <c r="R32" s="87"/>
      <c r="S32" s="87"/>
      <c r="T32" s="87"/>
      <c r="U32" s="87"/>
      <c r="V32" s="119"/>
      <c r="W32" s="119"/>
      <c r="X32" s="119"/>
      <c r="Y32" s="119"/>
      <c r="Z32" s="119"/>
      <c r="AA32" s="80">
        <v>2047</v>
      </c>
      <c r="AB32" s="80">
        <v>25</v>
      </c>
      <c r="AC32" s="80"/>
      <c r="AD32" s="89">
        <f t="shared" si="0"/>
        <v>-187669</v>
      </c>
      <c r="AE32" s="90">
        <f t="shared" si="1"/>
        <v>187669</v>
      </c>
      <c r="AF32" s="80">
        <f t="shared" si="2"/>
        <v>-7758</v>
      </c>
      <c r="AG32" s="90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98">
        <v>21</v>
      </c>
      <c r="B33" s="114">
        <f>INDEX('Tabl. 1'!$C$8:$AO$313,104+$AB28,MATCH($C$7,$AA$7:$AA$45))</f>
        <v>183162</v>
      </c>
      <c r="C33" s="114">
        <f>INDEX('Tabl. 1'!$C$8:$AO$313,206+$AB28,MATCH($C$7,$AA$7:$AA$45))</f>
        <v>175543</v>
      </c>
      <c r="I33" s="81"/>
      <c r="P33" s="87"/>
      <c r="Q33" s="87"/>
      <c r="R33" s="87"/>
      <c r="S33" s="87"/>
      <c r="T33" s="87"/>
      <c r="U33" s="87"/>
      <c r="V33" s="93"/>
      <c r="W33" s="93"/>
      <c r="X33" s="93"/>
      <c r="Y33" s="93"/>
      <c r="Z33" s="93"/>
      <c r="AA33" s="80">
        <v>2048</v>
      </c>
      <c r="AB33" s="80">
        <v>26</v>
      </c>
      <c r="AC33" s="80"/>
      <c r="AD33" s="89">
        <f t="shared" si="0"/>
        <v>-196323</v>
      </c>
      <c r="AE33" s="90">
        <f t="shared" si="1"/>
        <v>196323</v>
      </c>
      <c r="AF33" s="80">
        <f t="shared" si="2"/>
        <v>-7203</v>
      </c>
      <c r="AG33" s="90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98">
        <v>22</v>
      </c>
      <c r="B34" s="114">
        <f>INDEX('Tabl. 1'!$C$8:$AO$313,104+$AB29,MATCH($C$7,$AA$7:$AA$45))</f>
        <v>187609</v>
      </c>
      <c r="C34" s="114">
        <f>INDEX('Tabl. 1'!$C$8:$AO$313,206+$AB29,MATCH($C$7,$AA$7:$AA$45))</f>
        <v>180686</v>
      </c>
      <c r="I34" s="81"/>
      <c r="P34" s="87"/>
      <c r="Q34" s="87"/>
      <c r="R34" s="87"/>
      <c r="S34" s="87"/>
      <c r="T34" s="87"/>
      <c r="U34" s="87"/>
      <c r="V34" s="93"/>
      <c r="W34" s="93"/>
      <c r="X34" s="93"/>
      <c r="Y34" s="93"/>
      <c r="Z34" s="93"/>
      <c r="AA34" s="80">
        <v>2049</v>
      </c>
      <c r="AB34" s="80">
        <v>27</v>
      </c>
      <c r="AC34" s="80"/>
      <c r="AD34" s="89">
        <f t="shared" si="0"/>
        <v>-204221</v>
      </c>
      <c r="AE34" s="90">
        <f t="shared" si="1"/>
        <v>204221</v>
      </c>
      <c r="AF34" s="80">
        <f t="shared" si="2"/>
        <v>-7893</v>
      </c>
      <c r="AG34" s="90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98">
        <v>23</v>
      </c>
      <c r="B35" s="114">
        <f>INDEX('Tabl. 1'!$C$8:$AO$313,104+$AB30,MATCH($C$7,$AA$7:$AA$45))</f>
        <v>189222</v>
      </c>
      <c r="C35" s="114">
        <f>INDEX('Tabl. 1'!$C$8:$AO$313,206+$AB30,MATCH($C$7,$AA$7:$AA$45))</f>
        <v>182410</v>
      </c>
      <c r="I35" s="81"/>
      <c r="P35" s="87"/>
      <c r="Q35" s="87"/>
      <c r="R35" s="87"/>
      <c r="S35" s="87"/>
      <c r="T35" s="87"/>
      <c r="U35" s="87"/>
      <c r="V35" s="93"/>
      <c r="W35" s="93"/>
      <c r="X35" s="93"/>
      <c r="Y35" s="93"/>
      <c r="Z35" s="93"/>
      <c r="AA35" s="80">
        <v>2050</v>
      </c>
      <c r="AB35" s="80">
        <v>28</v>
      </c>
      <c r="AC35" s="80"/>
      <c r="AD35" s="89">
        <f t="shared" si="0"/>
        <v>-211173</v>
      </c>
      <c r="AE35" s="90">
        <f t="shared" si="1"/>
        <v>211173</v>
      </c>
      <c r="AF35" s="80">
        <f t="shared" si="2"/>
        <v>-6339</v>
      </c>
      <c r="AG35" s="90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98">
        <v>24</v>
      </c>
      <c r="B36" s="114">
        <f>INDEX('Tabl. 1'!$C$8:$AO$313,104+$AB31,MATCH($C$7,$AA$7:$AA$45))</f>
        <v>195427</v>
      </c>
      <c r="C36" s="114">
        <f>INDEX('Tabl. 1'!$C$8:$AO$313,206+$AB31,MATCH($C$7,$AA$7:$AA$45))</f>
        <v>187669</v>
      </c>
      <c r="I36" s="81"/>
      <c r="P36" s="87"/>
      <c r="Q36" s="87"/>
      <c r="R36" s="87"/>
      <c r="S36" s="87"/>
      <c r="T36" s="87"/>
      <c r="U36" s="87"/>
      <c r="V36" s="93"/>
      <c r="W36" s="93"/>
      <c r="X36" s="93"/>
      <c r="Y36" s="93"/>
      <c r="Z36" s="93"/>
      <c r="AA36" s="80">
        <v>2051</v>
      </c>
      <c r="AB36" s="80">
        <v>29</v>
      </c>
      <c r="AC36" s="80"/>
      <c r="AD36" s="89">
        <f t="shared" si="0"/>
        <v>-225110</v>
      </c>
      <c r="AE36" s="90">
        <f t="shared" si="1"/>
        <v>225110</v>
      </c>
      <c r="AF36" s="80">
        <f t="shared" si="2"/>
        <v>-5979</v>
      </c>
      <c r="AG36" s="90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98">
        <v>25</v>
      </c>
      <c r="B37" s="114">
        <f>INDEX('Tabl. 1'!$C$8:$AO$313,104+$AB32,MATCH($C$7,$AA$7:$AA$45))</f>
        <v>203526</v>
      </c>
      <c r="C37" s="114">
        <f>INDEX('Tabl. 1'!$C$8:$AO$313,206+$AB32,MATCH($C$7,$AA$7:$AA$45))</f>
        <v>196323</v>
      </c>
      <c r="I37" s="81"/>
      <c r="P37" s="87"/>
      <c r="Q37" s="87"/>
      <c r="R37" s="87"/>
      <c r="S37" s="87"/>
      <c r="T37" s="87"/>
      <c r="U37" s="87"/>
      <c r="V37" s="93"/>
      <c r="W37" s="93"/>
      <c r="X37" s="93"/>
      <c r="Y37" s="93"/>
      <c r="Z37" s="93"/>
      <c r="AA37" s="80">
        <v>2052</v>
      </c>
      <c r="AB37" s="80">
        <v>30</v>
      </c>
      <c r="AC37" s="80"/>
      <c r="AD37" s="89">
        <f t="shared" si="0"/>
        <v>-233988</v>
      </c>
      <c r="AE37" s="90">
        <f t="shared" si="1"/>
        <v>233988</v>
      </c>
      <c r="AF37" s="80">
        <f t="shared" si="2"/>
        <v>-7823</v>
      </c>
      <c r="AG37" s="90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98">
        <v>26</v>
      </c>
      <c r="B38" s="114">
        <f>INDEX('Tabl. 1'!$C$8:$AO$313,104+$AB33,MATCH($C$7,$AA$7:$AA$45))</f>
        <v>212114</v>
      </c>
      <c r="C38" s="114">
        <f>INDEX('Tabl. 1'!$C$8:$AO$313,206+$AB33,MATCH($C$7,$AA$7:$AA$45))</f>
        <v>204221</v>
      </c>
      <c r="I38" s="81"/>
      <c r="P38" s="87"/>
      <c r="Q38" s="87"/>
      <c r="R38" s="87"/>
      <c r="S38" s="87"/>
      <c r="T38" s="87"/>
      <c r="U38" s="87"/>
      <c r="V38" s="93"/>
      <c r="W38" s="93"/>
      <c r="X38" s="93"/>
      <c r="Y38" s="93"/>
      <c r="Z38" s="93"/>
      <c r="AA38" s="80">
        <v>2053</v>
      </c>
      <c r="AB38" s="80">
        <v>31</v>
      </c>
      <c r="AC38" s="80"/>
      <c r="AD38" s="89">
        <f t="shared" si="0"/>
        <v>-243552</v>
      </c>
      <c r="AE38" s="90">
        <f t="shared" si="1"/>
        <v>243552</v>
      </c>
      <c r="AF38" s="80">
        <f t="shared" si="2"/>
        <v>-7776</v>
      </c>
      <c r="AG38" s="90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98">
        <v>27</v>
      </c>
      <c r="B39" s="114">
        <f>INDEX('Tabl. 1'!$C$8:$AO$313,104+$AB34,MATCH($C$7,$AA$7:$AA$45))</f>
        <v>217512</v>
      </c>
      <c r="C39" s="114">
        <f>INDEX('Tabl. 1'!$C$8:$AO$313,206+$AB34,MATCH($C$7,$AA$7:$AA$45))</f>
        <v>211173</v>
      </c>
      <c r="I39" s="81"/>
      <c r="P39" s="87"/>
      <c r="Q39" s="87"/>
      <c r="R39" s="87"/>
      <c r="S39" s="87"/>
      <c r="T39" s="87"/>
      <c r="U39" s="87"/>
      <c r="V39" s="93"/>
      <c r="W39" s="93"/>
      <c r="X39" s="93"/>
      <c r="Y39" s="93"/>
      <c r="Z39" s="93"/>
      <c r="AA39" s="80">
        <v>2054</v>
      </c>
      <c r="AB39" s="80">
        <v>32</v>
      </c>
      <c r="AC39" s="80"/>
      <c r="AD39" s="89">
        <f t="shared" si="0"/>
        <v>-257932</v>
      </c>
      <c r="AE39" s="90">
        <f t="shared" si="1"/>
        <v>257932</v>
      </c>
      <c r="AF39" s="80">
        <f t="shared" si="2"/>
        <v>-9488</v>
      </c>
      <c r="AG39" s="90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98">
        <v>28</v>
      </c>
      <c r="B40" s="114">
        <f>INDEX('Tabl. 1'!$C$8:$AO$313,104+$AB35,MATCH($C$7,$AA$7:$AA$45))</f>
        <v>231089</v>
      </c>
      <c r="C40" s="114">
        <f>INDEX('Tabl. 1'!$C$8:$AO$313,206+$AB35,MATCH($C$7,$AA$7:$AA$45))</f>
        <v>225110</v>
      </c>
      <c r="I40" s="81"/>
      <c r="P40" s="87"/>
      <c r="Q40" s="87"/>
      <c r="R40" s="87"/>
      <c r="S40" s="87"/>
      <c r="T40" s="87"/>
      <c r="U40" s="87"/>
      <c r="V40" s="93"/>
      <c r="W40" s="93"/>
      <c r="X40" s="93"/>
      <c r="Y40" s="93"/>
      <c r="Z40" s="93"/>
      <c r="AA40" s="80">
        <v>2055</v>
      </c>
      <c r="AB40" s="80">
        <v>33</v>
      </c>
      <c r="AC40" s="80"/>
      <c r="AD40" s="89">
        <f t="shared" si="0"/>
        <v>-264546</v>
      </c>
      <c r="AE40" s="90">
        <f t="shared" si="1"/>
        <v>264546</v>
      </c>
      <c r="AF40" s="80">
        <f t="shared" si="2"/>
        <v>-8790</v>
      </c>
      <c r="AG40" s="90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98">
        <v>29</v>
      </c>
      <c r="B41" s="114">
        <f>INDEX('Tabl. 1'!$C$8:$AO$313,104+$AB36,MATCH($C$7,$AA$7:$AA$45))</f>
        <v>241811</v>
      </c>
      <c r="C41" s="114">
        <f>INDEX('Tabl. 1'!$C$8:$AO$313,206+$AB36,MATCH($C$7,$AA$7:$AA$45))</f>
        <v>233988</v>
      </c>
      <c r="I41" s="81"/>
      <c r="P41" s="87"/>
      <c r="Q41" s="87"/>
      <c r="R41" s="87"/>
      <c r="S41" s="87"/>
      <c r="T41" s="87"/>
      <c r="U41" s="87"/>
      <c r="V41" s="93"/>
      <c r="W41" s="93"/>
      <c r="X41" s="93"/>
      <c r="Y41" s="93"/>
      <c r="Z41" s="93"/>
      <c r="AA41" s="80">
        <v>2056</v>
      </c>
      <c r="AB41" s="80">
        <v>34</v>
      </c>
      <c r="AC41" s="80"/>
      <c r="AD41" s="89">
        <f t="shared" si="0"/>
        <v>-266504</v>
      </c>
      <c r="AE41" s="90">
        <f t="shared" si="1"/>
        <v>266504</v>
      </c>
      <c r="AF41" s="80">
        <f t="shared" si="2"/>
        <v>-8686</v>
      </c>
      <c r="AG41" s="90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98">
        <v>30</v>
      </c>
      <c r="B42" s="114">
        <f>INDEX('Tabl. 1'!$C$8:$AO$313,104+$AB37,MATCH($C$7,$AA$7:$AA$45))</f>
        <v>251328</v>
      </c>
      <c r="C42" s="114">
        <f>INDEX('Tabl. 1'!$C$8:$AO$313,206+$AB37,MATCH($C$7,$AA$7:$AA$45))</f>
        <v>243552</v>
      </c>
      <c r="I42" s="81"/>
      <c r="P42" s="87"/>
      <c r="Q42" s="87"/>
      <c r="R42" s="87"/>
      <c r="S42" s="87"/>
      <c r="T42" s="87"/>
      <c r="U42" s="87"/>
      <c r="V42" s="93"/>
      <c r="W42" s="93"/>
      <c r="X42" s="93"/>
      <c r="Y42" s="93"/>
      <c r="Z42" s="93"/>
      <c r="AA42" s="80">
        <v>2057</v>
      </c>
      <c r="AB42" s="80">
        <v>35</v>
      </c>
      <c r="AC42" s="80"/>
      <c r="AD42" s="89">
        <f t="shared" si="0"/>
        <v>-275192</v>
      </c>
      <c r="AE42" s="90">
        <f t="shared" si="1"/>
        <v>275192</v>
      </c>
      <c r="AF42" s="80">
        <f t="shared" si="2"/>
        <v>-6945</v>
      </c>
      <c r="AG42" s="90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98">
        <v>31</v>
      </c>
      <c r="B43" s="114">
        <f>INDEX('Tabl. 1'!$C$8:$AO$313,104+$AB38,MATCH($C$7,$AA$7:$AA$45))</f>
        <v>267420</v>
      </c>
      <c r="C43" s="114">
        <f>INDEX('Tabl. 1'!$C$8:$AO$313,206+$AB38,MATCH($C$7,$AA$7:$AA$45))</f>
        <v>257932</v>
      </c>
      <c r="I43" s="81"/>
      <c r="P43" s="87"/>
      <c r="Q43" s="87"/>
      <c r="R43" s="87"/>
      <c r="S43" s="87"/>
      <c r="T43" s="87"/>
      <c r="U43" s="87"/>
      <c r="V43" s="93"/>
      <c r="W43" s="93"/>
      <c r="X43" s="93"/>
      <c r="Y43" s="93"/>
      <c r="Z43" s="93"/>
      <c r="AA43" s="80">
        <v>2058</v>
      </c>
      <c r="AB43" s="80">
        <v>36</v>
      </c>
      <c r="AC43" s="80"/>
      <c r="AD43" s="89">
        <f t="shared" si="0"/>
        <v>-279279</v>
      </c>
      <c r="AE43" s="90">
        <f t="shared" si="1"/>
        <v>279279</v>
      </c>
      <c r="AF43" s="80">
        <f t="shared" si="2"/>
        <v>-8527</v>
      </c>
      <c r="AG43" s="90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98">
        <v>32</v>
      </c>
      <c r="B44" s="114">
        <f>INDEX('Tabl. 1'!$C$8:$AO$313,104+$AB39,MATCH($C$7,$AA$7:$AA$45))</f>
        <v>273336</v>
      </c>
      <c r="C44" s="114">
        <f>INDEX('Tabl. 1'!$C$8:$AO$313,206+$AB39,MATCH($C$7,$AA$7:$AA$45))</f>
        <v>264546</v>
      </c>
      <c r="I44" s="81"/>
      <c r="P44" s="87"/>
      <c r="Q44" s="87"/>
      <c r="R44" s="87"/>
      <c r="S44" s="87"/>
      <c r="T44" s="87"/>
      <c r="U44" s="87"/>
      <c r="V44" s="93"/>
      <c r="W44" s="93"/>
      <c r="X44" s="93"/>
      <c r="Y44" s="93"/>
      <c r="Z44" s="93"/>
      <c r="AA44" s="80">
        <v>2059</v>
      </c>
      <c r="AB44" s="80">
        <v>37</v>
      </c>
      <c r="AC44" s="80"/>
      <c r="AD44" s="89">
        <f t="shared" si="0"/>
        <v>-293097</v>
      </c>
      <c r="AE44" s="90">
        <f t="shared" si="1"/>
        <v>293097</v>
      </c>
      <c r="AF44" s="80">
        <f t="shared" si="2"/>
        <v>-6955</v>
      </c>
      <c r="AG44" s="90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98">
        <v>33</v>
      </c>
      <c r="B45" s="114">
        <f>INDEX('Tabl. 1'!$C$8:$AO$313,104+$AB40,MATCH($C$7,$AA$7:$AA$45))</f>
        <v>275190</v>
      </c>
      <c r="C45" s="114">
        <f>INDEX('Tabl. 1'!$C$8:$AO$313,206+$AB40,MATCH($C$7,$AA$7:$AA$45))</f>
        <v>266504</v>
      </c>
      <c r="I45" s="81"/>
      <c r="P45" s="87"/>
      <c r="Q45" s="87"/>
      <c r="R45" s="87"/>
      <c r="S45" s="87"/>
      <c r="T45" s="87"/>
      <c r="U45" s="87"/>
      <c r="V45" s="93"/>
      <c r="W45" s="93"/>
      <c r="X45" s="93"/>
      <c r="Y45" s="93"/>
      <c r="Z45" s="93"/>
      <c r="AA45" s="80">
        <v>2060</v>
      </c>
      <c r="AB45" s="80">
        <v>38</v>
      </c>
      <c r="AC45" s="80"/>
      <c r="AD45" s="89">
        <f t="shared" si="0"/>
        <v>-310240</v>
      </c>
      <c r="AE45" s="90">
        <f t="shared" si="1"/>
        <v>310240</v>
      </c>
      <c r="AF45" s="80">
        <f t="shared" si="2"/>
        <v>-8099</v>
      </c>
      <c r="AG45" s="90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98">
        <v>34</v>
      </c>
      <c r="B46" s="114">
        <f>INDEX('Tabl. 1'!$C$8:$AO$313,104+$AB41,MATCH($C$7,$AA$7:$AA$45))</f>
        <v>282137</v>
      </c>
      <c r="C46" s="114">
        <f>INDEX('Tabl. 1'!$C$8:$AO$313,206+$AB41,MATCH($C$7,$AA$7:$AA$45))</f>
        <v>275192</v>
      </c>
      <c r="I46" s="81"/>
      <c r="P46" s="87"/>
      <c r="Q46" s="87"/>
      <c r="R46" s="87"/>
      <c r="S46" s="87"/>
      <c r="T46" s="87"/>
      <c r="U46" s="87"/>
      <c r="V46" s="93"/>
      <c r="W46" s="93"/>
      <c r="X46" s="93"/>
      <c r="Y46" s="93"/>
      <c r="Z46" s="93"/>
      <c r="AA46" s="80"/>
      <c r="AB46" s="80">
        <v>39</v>
      </c>
      <c r="AC46" s="80"/>
      <c r="AD46" s="89">
        <f t="shared" si="0"/>
        <v>-319683</v>
      </c>
      <c r="AE46" s="90">
        <f t="shared" si="1"/>
        <v>319683</v>
      </c>
      <c r="AF46" s="80">
        <f t="shared" si="2"/>
        <v>-8792</v>
      </c>
      <c r="AG46" s="90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98">
        <v>35</v>
      </c>
      <c r="B47" s="114">
        <f>INDEX('Tabl. 1'!$C$8:$AO$313,104+$AB42,MATCH($C$7,$AA$7:$AA$45))</f>
        <v>287806</v>
      </c>
      <c r="C47" s="114">
        <f>INDEX('Tabl. 1'!$C$8:$AO$313,206+$AB42,MATCH($C$7,$AA$7:$AA$45))</f>
        <v>279279</v>
      </c>
      <c r="I47" s="81"/>
      <c r="P47" s="87"/>
      <c r="Q47" s="87"/>
      <c r="R47" s="87"/>
      <c r="S47" s="87"/>
      <c r="T47" s="87"/>
      <c r="U47" s="87"/>
      <c r="V47" s="93"/>
      <c r="W47" s="93"/>
      <c r="X47" s="93"/>
      <c r="Y47" s="93"/>
      <c r="Z47" s="93"/>
      <c r="AA47" s="80"/>
      <c r="AB47" s="80">
        <v>40</v>
      </c>
      <c r="AC47" s="80"/>
      <c r="AD47" s="89">
        <f t="shared" si="0"/>
        <v>-329973</v>
      </c>
      <c r="AE47" s="90">
        <f t="shared" si="1"/>
        <v>329973</v>
      </c>
      <c r="AF47" s="80">
        <f t="shared" si="2"/>
        <v>-7014</v>
      </c>
      <c r="AG47" s="90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98">
        <v>36</v>
      </c>
      <c r="B48" s="114">
        <f>INDEX('Tabl. 1'!$C$8:$AO$313,104+$AB43,MATCH($C$7,$AA$7:$AA$45))</f>
        <v>300052</v>
      </c>
      <c r="C48" s="114">
        <f>INDEX('Tabl. 1'!$C$8:$AO$313,206+$AB43,MATCH($C$7,$AA$7:$AA$45))</f>
        <v>293097</v>
      </c>
      <c r="I48" s="81"/>
      <c r="P48" s="87"/>
      <c r="Q48" s="87"/>
      <c r="R48" s="87"/>
      <c r="S48" s="87"/>
      <c r="T48" s="87"/>
      <c r="U48" s="87"/>
      <c r="V48" s="93"/>
      <c r="W48" s="93"/>
      <c r="X48" s="93"/>
      <c r="Y48" s="93"/>
      <c r="Z48" s="93"/>
      <c r="AA48" s="80"/>
      <c r="AB48" s="80">
        <v>41</v>
      </c>
      <c r="AC48" s="80"/>
      <c r="AD48" s="89">
        <f t="shared" si="0"/>
        <v>-318633</v>
      </c>
      <c r="AE48" s="90">
        <f t="shared" si="1"/>
        <v>318633</v>
      </c>
      <c r="AF48" s="80">
        <f t="shared" si="2"/>
        <v>-8454</v>
      </c>
      <c r="AG48" s="90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98">
        <v>37</v>
      </c>
      <c r="B49" s="114">
        <f>INDEX('Tabl. 1'!$C$8:$AO$313,104+$AB44,MATCH($C$7,$AA$7:$AA$45))</f>
        <v>318339</v>
      </c>
      <c r="C49" s="114">
        <f>INDEX('Tabl. 1'!$C$8:$AO$313,206+$AB44,MATCH($C$7,$AA$7:$AA$45))</f>
        <v>310240</v>
      </c>
      <c r="I49" s="81"/>
      <c r="P49" s="87"/>
      <c r="Q49" s="87"/>
      <c r="R49" s="87"/>
      <c r="S49" s="87"/>
      <c r="T49" s="87"/>
      <c r="U49" s="87"/>
      <c r="V49" s="93"/>
      <c r="W49" s="93"/>
      <c r="X49" s="93"/>
      <c r="Y49" s="93"/>
      <c r="Z49" s="93"/>
      <c r="AA49" s="80"/>
      <c r="AB49" s="80">
        <v>42</v>
      </c>
      <c r="AC49" s="80"/>
      <c r="AD49" s="89">
        <f t="shared" si="0"/>
        <v>-306214</v>
      </c>
      <c r="AE49" s="90">
        <f t="shared" si="1"/>
        <v>306214</v>
      </c>
      <c r="AF49" s="80">
        <f t="shared" si="2"/>
        <v>-5510</v>
      </c>
      <c r="AG49" s="90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98">
        <v>38</v>
      </c>
      <c r="B50" s="114">
        <f>INDEX('Tabl. 1'!$C$8:$AO$313,104+$AB45,MATCH($C$7,$AA$7:$AA$45))</f>
        <v>328475</v>
      </c>
      <c r="C50" s="114">
        <f>INDEX('Tabl. 1'!$C$8:$AO$313,206+$AB45,MATCH($C$7,$AA$7:$AA$45))</f>
        <v>319683</v>
      </c>
      <c r="I50" s="81"/>
      <c r="P50" s="87"/>
      <c r="Q50" s="87"/>
      <c r="R50" s="87"/>
      <c r="S50" s="87"/>
      <c r="T50" s="87"/>
      <c r="U50" s="87"/>
      <c r="V50" s="93"/>
      <c r="W50" s="93"/>
      <c r="X50" s="93"/>
      <c r="Y50" s="93"/>
      <c r="Z50" s="93"/>
      <c r="AA50" s="80"/>
      <c r="AB50" s="80">
        <v>43</v>
      </c>
      <c r="AC50" s="80"/>
      <c r="AD50" s="89">
        <f t="shared" si="0"/>
        <v>-312078</v>
      </c>
      <c r="AE50" s="90">
        <f t="shared" si="1"/>
        <v>312078</v>
      </c>
      <c r="AF50" s="80">
        <f t="shared" si="2"/>
        <v>-4652</v>
      </c>
      <c r="AG50" s="90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98">
        <v>39</v>
      </c>
      <c r="B51" s="114">
        <f>INDEX('Tabl. 1'!$C$8:$AO$313,104+$AB46,MATCH($C$7,$AA$7:$AA$45))</f>
        <v>336987</v>
      </c>
      <c r="C51" s="114">
        <f>INDEX('Tabl. 1'!$C$8:$AO$313,206+$AB46,MATCH($C$7,$AA$7:$AA$45))</f>
        <v>329973</v>
      </c>
      <c r="I51" s="81"/>
      <c r="P51" s="87"/>
      <c r="Q51" s="87"/>
      <c r="R51" s="87"/>
      <c r="S51" s="87"/>
      <c r="T51" s="87"/>
      <c r="U51" s="87"/>
      <c r="V51" s="93"/>
      <c r="W51" s="93"/>
      <c r="X51" s="93"/>
      <c r="Y51" s="93"/>
      <c r="Z51" s="93"/>
      <c r="AA51" s="80"/>
      <c r="AB51" s="80">
        <v>44</v>
      </c>
      <c r="AC51" s="80"/>
      <c r="AD51" s="89">
        <f t="shared" si="0"/>
        <v>-308845</v>
      </c>
      <c r="AE51" s="90">
        <f t="shared" si="1"/>
        <v>308845</v>
      </c>
      <c r="AF51" s="80">
        <f t="shared" si="2"/>
        <v>-6290</v>
      </c>
      <c r="AG51" s="90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98">
        <v>40</v>
      </c>
      <c r="B52" s="114">
        <f>INDEX('Tabl. 1'!$C$8:$AO$313,104+$AB47,MATCH($C$7,$AA$7:$AA$45))</f>
        <v>327087</v>
      </c>
      <c r="C52" s="114">
        <f>INDEX('Tabl. 1'!$C$8:$AO$313,206+$AB47,MATCH($C$7,$AA$7:$AA$45))</f>
        <v>318633</v>
      </c>
      <c r="I52" s="81"/>
      <c r="P52" s="87"/>
      <c r="Q52" s="87"/>
      <c r="R52" s="87"/>
      <c r="S52" s="87"/>
      <c r="T52" s="87"/>
      <c r="U52" s="87"/>
      <c r="V52" s="93"/>
      <c r="W52" s="93"/>
      <c r="X52" s="93"/>
      <c r="Y52" s="93"/>
      <c r="Z52" s="93"/>
      <c r="AA52" s="80"/>
      <c r="AB52" s="80">
        <v>45</v>
      </c>
      <c r="AC52" s="80"/>
      <c r="AD52" s="89">
        <f t="shared" si="0"/>
        <v>-300603</v>
      </c>
      <c r="AE52" s="90">
        <f t="shared" si="1"/>
        <v>300603</v>
      </c>
      <c r="AF52" s="80">
        <f t="shared" si="2"/>
        <v>-4154</v>
      </c>
      <c r="AG52" s="90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98">
        <v>41</v>
      </c>
      <c r="B53" s="114">
        <f>INDEX('Tabl. 1'!$C$8:$AO$313,104+$AB48,MATCH($C$7,$AA$7:$AA$45))</f>
        <v>311724</v>
      </c>
      <c r="C53" s="114">
        <f>INDEX('Tabl. 1'!$C$8:$AO$313,206+$AB48,MATCH($C$7,$AA$7:$AA$45))</f>
        <v>306214</v>
      </c>
      <c r="I53" s="81"/>
      <c r="P53" s="87"/>
      <c r="Q53" s="87"/>
      <c r="R53" s="87"/>
      <c r="S53" s="87"/>
      <c r="T53" s="87"/>
      <c r="U53" s="87"/>
      <c r="V53" s="93"/>
      <c r="W53" s="93"/>
      <c r="X53" s="93"/>
      <c r="Y53" s="93"/>
      <c r="Z53" s="93"/>
      <c r="AA53" s="80"/>
      <c r="AB53" s="80">
        <v>46</v>
      </c>
      <c r="AC53" s="80"/>
      <c r="AD53" s="89">
        <f t="shared" si="0"/>
        <v>-297553</v>
      </c>
      <c r="AE53" s="90">
        <f t="shared" si="1"/>
        <v>297553</v>
      </c>
      <c r="AF53" s="80">
        <f t="shared" si="2"/>
        <v>-4298</v>
      </c>
      <c r="AG53" s="90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98">
        <v>42</v>
      </c>
      <c r="B54" s="114">
        <f>INDEX('Tabl. 1'!$C$8:$AO$313,104+$AB49,MATCH($C$7,$AA$7:$AA$45))</f>
        <v>316730</v>
      </c>
      <c r="C54" s="114">
        <f>INDEX('Tabl. 1'!$C$8:$AO$313,206+$AB49,MATCH($C$7,$AA$7:$AA$45))</f>
        <v>312078</v>
      </c>
      <c r="I54" s="81"/>
      <c r="P54" s="87"/>
      <c r="Q54" s="87"/>
      <c r="R54" s="87"/>
      <c r="S54" s="87"/>
      <c r="T54" s="87"/>
      <c r="U54" s="87"/>
      <c r="V54" s="93"/>
      <c r="W54" s="93"/>
      <c r="X54" s="93"/>
      <c r="Y54" s="93"/>
      <c r="Z54" s="93"/>
      <c r="AA54" s="80"/>
      <c r="AB54" s="80">
        <v>47</v>
      </c>
      <c r="AC54" s="80"/>
      <c r="AD54" s="89">
        <f t="shared" si="0"/>
        <v>-298876</v>
      </c>
      <c r="AE54" s="90">
        <f t="shared" si="1"/>
        <v>298876</v>
      </c>
      <c r="AF54" s="80">
        <f t="shared" si="2"/>
        <v>-2175</v>
      </c>
      <c r="AG54" s="90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98">
        <v>43</v>
      </c>
      <c r="B55" s="114">
        <f>INDEX('Tabl. 1'!$C$8:$AO$313,104+$AB50,MATCH($C$7,$AA$7:$AA$45))</f>
        <v>315135</v>
      </c>
      <c r="C55" s="114">
        <f>INDEX('Tabl. 1'!$C$8:$AO$313,206+$AB50,MATCH($C$7,$AA$7:$AA$45))</f>
        <v>308845</v>
      </c>
      <c r="I55" s="81"/>
      <c r="P55" s="87"/>
      <c r="Q55" s="87"/>
      <c r="R55" s="87"/>
      <c r="S55" s="87"/>
      <c r="T55" s="87"/>
      <c r="U55" s="87"/>
      <c r="V55" s="93"/>
      <c r="W55" s="93"/>
      <c r="X55" s="93"/>
      <c r="Y55" s="93"/>
      <c r="Z55" s="93"/>
      <c r="AA55" s="80"/>
      <c r="AB55" s="80">
        <v>48</v>
      </c>
      <c r="AC55" s="80"/>
      <c r="AD55" s="89">
        <f t="shared" si="0"/>
        <v>-288171</v>
      </c>
      <c r="AE55" s="90">
        <f t="shared" si="1"/>
        <v>288171</v>
      </c>
      <c r="AF55" s="80">
        <f t="shared" si="2"/>
        <v>-1672</v>
      </c>
      <c r="AG55" s="90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98">
        <v>44</v>
      </c>
      <c r="B56" s="114">
        <f>INDEX('Tabl. 1'!$C$8:$AO$313,104+$AB51,MATCH($C$7,$AA$7:$AA$45))</f>
        <v>304757</v>
      </c>
      <c r="C56" s="114">
        <f>INDEX('Tabl. 1'!$C$8:$AO$313,206+$AB51,MATCH($C$7,$AA$7:$AA$45))</f>
        <v>300603</v>
      </c>
      <c r="I56" s="81"/>
      <c r="P56" s="87"/>
      <c r="Q56" s="87"/>
      <c r="R56" s="87"/>
      <c r="S56" s="87"/>
      <c r="T56" s="87"/>
      <c r="U56" s="87"/>
      <c r="V56" s="93"/>
      <c r="W56" s="93"/>
      <c r="X56" s="93"/>
      <c r="Y56" s="93"/>
      <c r="Z56" s="93"/>
      <c r="AA56" s="80"/>
      <c r="AB56" s="80">
        <v>49</v>
      </c>
      <c r="AC56" s="80"/>
      <c r="AD56" s="89">
        <f t="shared" si="0"/>
        <v>-276620</v>
      </c>
      <c r="AE56" s="90">
        <f t="shared" si="1"/>
        <v>276620</v>
      </c>
      <c r="AF56" s="80">
        <f t="shared" si="2"/>
        <v>-1925</v>
      </c>
      <c r="AG56" s="90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98">
        <v>45</v>
      </c>
      <c r="B57" s="114">
        <f>INDEX('Tabl. 1'!$C$8:$AO$313,104+$AB52,MATCH($C$7,$AA$7:$AA$45))</f>
        <v>301851</v>
      </c>
      <c r="C57" s="114">
        <f>INDEX('Tabl. 1'!$C$8:$AO$313,206+$AB52,MATCH($C$7,$AA$7:$AA$45))</f>
        <v>297553</v>
      </c>
      <c r="I57" s="81"/>
      <c r="P57" s="87"/>
      <c r="Q57" s="87"/>
      <c r="R57" s="87"/>
      <c r="S57" s="87"/>
      <c r="T57" s="87"/>
      <c r="U57" s="87"/>
      <c r="V57" s="93"/>
      <c r="W57" s="93"/>
      <c r="X57" s="93"/>
      <c r="Y57" s="93"/>
      <c r="Z57" s="93"/>
      <c r="AA57" s="80"/>
      <c r="AB57" s="80">
        <v>50</v>
      </c>
      <c r="AC57" s="80"/>
      <c r="AD57" s="89">
        <f t="shared" si="0"/>
        <v>-265902</v>
      </c>
      <c r="AE57" s="90">
        <f t="shared" si="1"/>
        <v>265902</v>
      </c>
      <c r="AF57" s="80">
        <f t="shared" si="2"/>
        <v>-101</v>
      </c>
      <c r="AG57" s="90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98">
        <v>46</v>
      </c>
      <c r="B58" s="114">
        <f>INDEX('Tabl. 1'!$C$8:$AO$313,104+$AB53,MATCH($C$7,$AA$7:$AA$45))</f>
        <v>301051</v>
      </c>
      <c r="C58" s="114">
        <f>INDEX('Tabl. 1'!$C$8:$AO$313,206+$AB53,MATCH($C$7,$AA$7:$AA$45))</f>
        <v>298876</v>
      </c>
      <c r="I58" s="81"/>
      <c r="P58" s="87"/>
      <c r="Q58" s="87"/>
      <c r="R58" s="87"/>
      <c r="S58" s="87"/>
      <c r="T58" s="87"/>
      <c r="U58" s="87"/>
      <c r="V58" s="93"/>
      <c r="W58" s="93"/>
      <c r="X58" s="93"/>
      <c r="Y58" s="93"/>
      <c r="Z58" s="93"/>
      <c r="AA58" s="80"/>
      <c r="AB58" s="80">
        <v>51</v>
      </c>
      <c r="AC58" s="80"/>
      <c r="AD58" s="89">
        <f t="shared" si="0"/>
        <v>-255093</v>
      </c>
      <c r="AE58" s="90">
        <f t="shared" si="1"/>
        <v>255093</v>
      </c>
      <c r="AF58" s="80">
        <f t="shared" si="2"/>
        <v>0</v>
      </c>
      <c r="AG58" s="90">
        <f t="shared" si="3"/>
        <v>414</v>
      </c>
      <c r="AH58" s="104"/>
      <c r="AI58" s="104"/>
      <c r="AJ58" s="105"/>
      <c r="AK58" s="105"/>
      <c r="AL58" s="105"/>
      <c r="AM58" s="105"/>
    </row>
    <row r="59" spans="1:39" x14ac:dyDescent="0.25">
      <c r="A59" s="98">
        <v>47</v>
      </c>
      <c r="B59" s="114">
        <f>INDEX('Tabl. 1'!$C$8:$AO$313,104+$AB54,MATCH($C$7,$AA$7:$AA$45))</f>
        <v>289843</v>
      </c>
      <c r="C59" s="114">
        <f>INDEX('Tabl. 1'!$C$8:$AO$313,206+$AB54,MATCH($C$7,$AA$7:$AA$45))</f>
        <v>288171</v>
      </c>
      <c r="I59" s="81"/>
      <c r="P59" s="87"/>
      <c r="Q59" s="87"/>
      <c r="R59" s="87"/>
      <c r="S59" s="87"/>
      <c r="T59" s="87"/>
      <c r="U59" s="87"/>
      <c r="V59" s="93"/>
      <c r="W59" s="93"/>
      <c r="X59" s="93"/>
      <c r="Y59" s="93"/>
      <c r="Z59" s="93"/>
      <c r="AA59" s="80"/>
      <c r="AB59" s="80">
        <v>52</v>
      </c>
      <c r="AC59" s="80"/>
      <c r="AD59" s="89">
        <f t="shared" si="0"/>
        <v>-242612</v>
      </c>
      <c r="AE59" s="90">
        <f t="shared" si="1"/>
        <v>242612</v>
      </c>
      <c r="AF59" s="80">
        <f t="shared" si="2"/>
        <v>0</v>
      </c>
      <c r="AG59" s="90">
        <f t="shared" si="3"/>
        <v>2992</v>
      </c>
      <c r="AH59" s="104"/>
      <c r="AI59" s="104"/>
      <c r="AJ59" s="105"/>
      <c r="AK59" s="105"/>
      <c r="AL59" s="105"/>
      <c r="AM59" s="105"/>
    </row>
    <row r="60" spans="1:39" x14ac:dyDescent="0.25">
      <c r="A60" s="98">
        <v>48</v>
      </c>
      <c r="B60" s="114">
        <f>INDEX('Tabl. 1'!$C$8:$AO$313,104+$AB55,MATCH($C$7,$AA$7:$AA$45))</f>
        <v>278545</v>
      </c>
      <c r="C60" s="114">
        <f>INDEX('Tabl. 1'!$C$8:$AO$313,206+$AB55,MATCH($C$7,$AA$7:$AA$45))</f>
        <v>276620</v>
      </c>
      <c r="I60" s="81"/>
      <c r="P60" s="87"/>
      <c r="Q60" s="87"/>
      <c r="R60" s="87"/>
      <c r="S60" s="87"/>
      <c r="T60" s="87"/>
      <c r="U60" s="87"/>
      <c r="V60" s="93"/>
      <c r="W60" s="93"/>
      <c r="X60" s="93"/>
      <c r="Y60" s="93"/>
      <c r="Z60" s="93"/>
      <c r="AA60" s="80"/>
      <c r="AB60" s="80">
        <v>53</v>
      </c>
      <c r="AC60" s="80"/>
      <c r="AD60" s="89">
        <f t="shared" si="0"/>
        <v>-234516</v>
      </c>
      <c r="AE60" s="90">
        <f t="shared" si="1"/>
        <v>234516</v>
      </c>
      <c r="AF60" s="80">
        <f t="shared" si="2"/>
        <v>0</v>
      </c>
      <c r="AG60" s="90">
        <f t="shared" si="3"/>
        <v>2359</v>
      </c>
      <c r="AH60" s="104"/>
      <c r="AI60" s="104"/>
      <c r="AJ60" s="105"/>
      <c r="AK60" s="105"/>
      <c r="AL60" s="105"/>
      <c r="AM60" s="105"/>
    </row>
    <row r="61" spans="1:39" x14ac:dyDescent="0.25">
      <c r="A61" s="98">
        <v>49</v>
      </c>
      <c r="B61" s="114">
        <f>INDEX('Tabl. 1'!$C$8:$AO$313,104+$AB56,MATCH($C$7,$AA$7:$AA$45))</f>
        <v>266003</v>
      </c>
      <c r="C61" s="114">
        <f>INDEX('Tabl. 1'!$C$8:$AO$313,206+$AB56,MATCH($C$7,$AA$7:$AA$45))</f>
        <v>265902</v>
      </c>
      <c r="I61" s="81"/>
      <c r="P61" s="87"/>
      <c r="Q61" s="87"/>
      <c r="R61" s="87"/>
      <c r="S61" s="87"/>
      <c r="T61" s="87"/>
      <c r="U61" s="87"/>
      <c r="V61" s="93"/>
      <c r="W61" s="93"/>
      <c r="X61" s="93"/>
      <c r="Y61" s="93"/>
      <c r="Z61" s="93"/>
      <c r="AA61" s="80"/>
      <c r="AB61" s="80">
        <v>54</v>
      </c>
      <c r="AC61" s="80"/>
      <c r="AD61" s="89">
        <f t="shared" si="0"/>
        <v>-223652</v>
      </c>
      <c r="AE61" s="90">
        <f t="shared" si="1"/>
        <v>223652</v>
      </c>
      <c r="AF61" s="80">
        <f t="shared" si="2"/>
        <v>0</v>
      </c>
      <c r="AG61" s="90">
        <f t="shared" si="3"/>
        <v>5003</v>
      </c>
      <c r="AH61" s="104"/>
      <c r="AI61" s="104"/>
      <c r="AJ61" s="105"/>
      <c r="AK61" s="105"/>
      <c r="AL61" s="105"/>
      <c r="AM61" s="105"/>
    </row>
    <row r="62" spans="1:39" x14ac:dyDescent="0.25">
      <c r="A62" s="98">
        <v>50</v>
      </c>
      <c r="B62" s="114">
        <f>INDEX('Tabl. 1'!$C$8:$AO$313,104+$AB57,MATCH($C$7,$AA$7:$AA$45))</f>
        <v>255093</v>
      </c>
      <c r="C62" s="114">
        <f>INDEX('Tabl. 1'!$C$8:$AO$313,206+$AB57,MATCH($C$7,$AA$7:$AA$45))</f>
        <v>255507</v>
      </c>
      <c r="I62" s="81"/>
      <c r="P62" s="87"/>
      <c r="Q62" s="87"/>
      <c r="R62" s="87"/>
      <c r="S62" s="87"/>
      <c r="T62" s="87"/>
      <c r="U62" s="87"/>
      <c r="V62" s="93"/>
      <c r="W62" s="93"/>
      <c r="X62" s="93"/>
      <c r="Y62" s="93"/>
      <c r="Z62" s="93"/>
      <c r="AA62" s="80"/>
      <c r="AB62" s="80">
        <v>55</v>
      </c>
      <c r="AC62" s="80"/>
      <c r="AD62" s="89">
        <f t="shared" si="0"/>
        <v>-218365</v>
      </c>
      <c r="AE62" s="90">
        <f t="shared" si="1"/>
        <v>218365</v>
      </c>
      <c r="AF62" s="80">
        <f t="shared" si="2"/>
        <v>0</v>
      </c>
      <c r="AG62" s="90">
        <f t="shared" si="3"/>
        <v>5320</v>
      </c>
      <c r="AH62" s="104"/>
      <c r="AI62" s="104"/>
      <c r="AJ62" s="105"/>
      <c r="AK62" s="105"/>
      <c r="AL62" s="105"/>
      <c r="AM62" s="105"/>
    </row>
    <row r="63" spans="1:39" x14ac:dyDescent="0.25">
      <c r="A63" s="98">
        <v>51</v>
      </c>
      <c r="B63" s="114">
        <f>INDEX('Tabl. 1'!$C$8:$AO$313,104+$AB58,MATCH($C$7,$AA$7:$AA$45))</f>
        <v>242612</v>
      </c>
      <c r="C63" s="114">
        <f>INDEX('Tabl. 1'!$C$8:$AO$313,206+$AB58,MATCH($C$7,$AA$7:$AA$45))</f>
        <v>245604</v>
      </c>
      <c r="I63" s="81"/>
      <c r="P63" s="87"/>
      <c r="Q63" s="87"/>
      <c r="R63" s="87"/>
      <c r="S63" s="87"/>
      <c r="T63" s="87"/>
      <c r="U63" s="87"/>
      <c r="V63" s="93"/>
      <c r="W63" s="93"/>
      <c r="X63" s="93"/>
      <c r="Y63" s="93"/>
      <c r="Z63" s="93"/>
      <c r="AA63" s="80"/>
      <c r="AB63" s="80">
        <v>56</v>
      </c>
      <c r="AC63" s="80"/>
      <c r="AD63" s="89">
        <f t="shared" si="0"/>
        <v>-214748</v>
      </c>
      <c r="AE63" s="90">
        <f t="shared" si="1"/>
        <v>214748</v>
      </c>
      <c r="AF63" s="80">
        <f t="shared" si="2"/>
        <v>0</v>
      </c>
      <c r="AG63" s="90">
        <f t="shared" si="3"/>
        <v>6451</v>
      </c>
      <c r="AH63" s="104"/>
      <c r="AI63" s="104"/>
      <c r="AJ63" s="105"/>
      <c r="AK63" s="105"/>
      <c r="AL63" s="105"/>
      <c r="AM63" s="105"/>
    </row>
    <row r="64" spans="1:39" x14ac:dyDescent="0.25">
      <c r="A64" s="98">
        <v>52</v>
      </c>
      <c r="B64" s="114">
        <f>INDEX('Tabl. 1'!$C$8:$AO$313,104+$AB59,MATCH($C$7,$AA$7:$AA$45))</f>
        <v>234516</v>
      </c>
      <c r="C64" s="114">
        <f>INDEX('Tabl. 1'!$C$8:$AO$313,206+$AB59,MATCH($C$7,$AA$7:$AA$45))</f>
        <v>236875</v>
      </c>
      <c r="I64" s="81"/>
      <c r="P64" s="87"/>
      <c r="Q64" s="87"/>
      <c r="R64" s="87"/>
      <c r="S64" s="87"/>
      <c r="T64" s="87"/>
      <c r="U64" s="87"/>
      <c r="V64" s="93"/>
      <c r="W64" s="93"/>
      <c r="X64" s="93"/>
      <c r="Y64" s="93"/>
      <c r="Z64" s="93"/>
      <c r="AA64" s="80"/>
      <c r="AB64" s="80">
        <v>57</v>
      </c>
      <c r="AC64" s="80"/>
      <c r="AD64" s="89">
        <f t="shared" si="0"/>
        <v>-213465</v>
      </c>
      <c r="AE64" s="90">
        <f t="shared" si="1"/>
        <v>213465</v>
      </c>
      <c r="AF64" s="80">
        <f t="shared" si="2"/>
        <v>0</v>
      </c>
      <c r="AG64" s="90">
        <f t="shared" si="3"/>
        <v>8693</v>
      </c>
      <c r="AH64" s="104"/>
      <c r="AI64" s="104"/>
      <c r="AJ64" s="105"/>
      <c r="AK64" s="105"/>
      <c r="AL64" s="105"/>
      <c r="AM64" s="105"/>
    </row>
    <row r="65" spans="1:39" x14ac:dyDescent="0.25">
      <c r="A65" s="98">
        <v>53</v>
      </c>
      <c r="B65" s="114">
        <f>INDEX('Tabl. 1'!$C$8:$AO$313,104+$AB60,MATCH($C$7,$AA$7:$AA$45))</f>
        <v>223652</v>
      </c>
      <c r="C65" s="114">
        <f>INDEX('Tabl. 1'!$C$8:$AO$313,206+$AB60,MATCH($C$7,$AA$7:$AA$45))</f>
        <v>228655</v>
      </c>
      <c r="I65" s="81"/>
      <c r="P65" s="87"/>
      <c r="Q65" s="87"/>
      <c r="R65" s="87"/>
      <c r="S65" s="87"/>
      <c r="T65" s="87"/>
      <c r="U65" s="87"/>
      <c r="V65" s="93"/>
      <c r="W65" s="93"/>
      <c r="X65" s="93"/>
      <c r="Y65" s="93"/>
      <c r="Z65" s="93"/>
      <c r="AA65" s="80"/>
      <c r="AB65" s="80">
        <v>58</v>
      </c>
      <c r="AC65" s="80"/>
      <c r="AD65" s="89">
        <f t="shared" si="0"/>
        <v>-214065</v>
      </c>
      <c r="AE65" s="90">
        <f t="shared" si="1"/>
        <v>214065</v>
      </c>
      <c r="AF65" s="80">
        <f t="shared" si="2"/>
        <v>0</v>
      </c>
      <c r="AG65" s="90">
        <f t="shared" si="3"/>
        <v>10285</v>
      </c>
      <c r="AH65" s="104"/>
      <c r="AI65" s="104"/>
      <c r="AJ65" s="105"/>
      <c r="AK65" s="105"/>
      <c r="AL65" s="105"/>
      <c r="AM65" s="105"/>
    </row>
    <row r="66" spans="1:39" x14ac:dyDescent="0.25">
      <c r="A66" s="98">
        <v>54</v>
      </c>
      <c r="B66" s="114">
        <f>INDEX('Tabl. 1'!$C$8:$AO$313,104+$AB61,MATCH($C$7,$AA$7:$AA$45))</f>
        <v>218365</v>
      </c>
      <c r="C66" s="114">
        <f>INDEX('Tabl. 1'!$C$8:$AO$313,206+$AB61,MATCH($C$7,$AA$7:$AA$45))</f>
        <v>223685</v>
      </c>
      <c r="I66" s="81"/>
      <c r="P66" s="87"/>
      <c r="Q66" s="87"/>
      <c r="R66" s="87"/>
      <c r="S66" s="87"/>
      <c r="T66" s="87"/>
      <c r="U66" s="87"/>
      <c r="V66" s="93"/>
      <c r="W66" s="93"/>
      <c r="X66" s="93"/>
      <c r="Y66" s="93"/>
      <c r="Z66" s="93"/>
      <c r="AA66" s="80"/>
      <c r="AB66" s="80">
        <v>59</v>
      </c>
      <c r="AC66" s="80"/>
      <c r="AD66" s="89">
        <f t="shared" si="0"/>
        <v>-216700</v>
      </c>
      <c r="AE66" s="90">
        <f t="shared" si="1"/>
        <v>216700</v>
      </c>
      <c r="AF66" s="80">
        <f t="shared" si="2"/>
        <v>0</v>
      </c>
      <c r="AG66" s="90">
        <f t="shared" si="3"/>
        <v>12336</v>
      </c>
      <c r="AH66" s="104"/>
      <c r="AI66" s="104"/>
      <c r="AJ66" s="105"/>
      <c r="AK66" s="105"/>
      <c r="AL66" s="105"/>
      <c r="AM66" s="105"/>
    </row>
    <row r="67" spans="1:39" x14ac:dyDescent="0.25">
      <c r="A67" s="98">
        <v>55</v>
      </c>
      <c r="B67" s="114">
        <f>INDEX('Tabl. 1'!$C$8:$AO$313,104+$AB62,MATCH($C$7,$AA$7:$AA$45))</f>
        <v>214748</v>
      </c>
      <c r="C67" s="114">
        <f>INDEX('Tabl. 1'!$C$8:$AO$313,206+$AB62,MATCH($C$7,$AA$7:$AA$45))</f>
        <v>221199</v>
      </c>
      <c r="I67" s="81"/>
      <c r="P67" s="87"/>
      <c r="Q67" s="87"/>
      <c r="R67" s="87"/>
      <c r="S67" s="87"/>
      <c r="T67" s="87"/>
      <c r="U67" s="87"/>
      <c r="V67" s="93"/>
      <c r="W67" s="93"/>
      <c r="X67" s="93"/>
      <c r="Y67" s="93"/>
      <c r="Z67" s="93"/>
      <c r="AA67" s="80"/>
      <c r="AB67" s="80">
        <v>60</v>
      </c>
      <c r="AC67" s="80"/>
      <c r="AD67" s="89">
        <f t="shared" si="0"/>
        <v>-218200</v>
      </c>
      <c r="AE67" s="90">
        <f t="shared" si="1"/>
        <v>218200</v>
      </c>
      <c r="AF67" s="80">
        <f t="shared" si="2"/>
        <v>0</v>
      </c>
      <c r="AG67" s="90">
        <f t="shared" si="3"/>
        <v>15891</v>
      </c>
      <c r="AH67" s="104"/>
      <c r="AI67" s="104"/>
      <c r="AJ67" s="105"/>
      <c r="AK67" s="105"/>
      <c r="AL67" s="105"/>
      <c r="AM67" s="105"/>
    </row>
    <row r="68" spans="1:39" x14ac:dyDescent="0.25">
      <c r="A68" s="98">
        <v>56</v>
      </c>
      <c r="B68" s="114">
        <f>INDEX('Tabl. 1'!$C$8:$AO$313,104+$AB63,MATCH($C$7,$AA$7:$AA$45))</f>
        <v>213465</v>
      </c>
      <c r="C68" s="114">
        <f>INDEX('Tabl. 1'!$C$8:$AO$313,206+$AB63,MATCH($C$7,$AA$7:$AA$45))</f>
        <v>222158</v>
      </c>
      <c r="I68" s="81"/>
      <c r="P68" s="87"/>
      <c r="Q68" s="87"/>
      <c r="R68" s="87"/>
      <c r="S68" s="87"/>
      <c r="T68" s="87"/>
      <c r="U68" s="87"/>
      <c r="V68" s="93"/>
      <c r="W68" s="93"/>
      <c r="X68" s="93"/>
      <c r="Y68" s="93"/>
      <c r="Z68" s="93"/>
      <c r="AA68" s="80"/>
      <c r="AB68" s="80">
        <v>61</v>
      </c>
      <c r="AC68" s="80"/>
      <c r="AD68" s="89">
        <f t="shared" si="0"/>
        <v>-217276</v>
      </c>
      <c r="AE68" s="90">
        <f t="shared" si="1"/>
        <v>217276</v>
      </c>
      <c r="AF68" s="80">
        <f t="shared" si="2"/>
        <v>0</v>
      </c>
      <c r="AG68" s="90">
        <f t="shared" si="3"/>
        <v>18239</v>
      </c>
      <c r="AH68" s="104"/>
      <c r="AI68" s="104"/>
      <c r="AJ68" s="105"/>
      <c r="AK68" s="105"/>
      <c r="AL68" s="105"/>
      <c r="AM68" s="105"/>
    </row>
    <row r="69" spans="1:39" x14ac:dyDescent="0.25">
      <c r="A69" s="98">
        <v>57</v>
      </c>
      <c r="B69" s="114">
        <f>INDEX('Tabl. 1'!$C$8:$AO$313,104+$AB64,MATCH($C$7,$AA$7:$AA$45))</f>
        <v>214065</v>
      </c>
      <c r="C69" s="114">
        <f>INDEX('Tabl. 1'!$C$8:$AO$313,206+$AB64,MATCH($C$7,$AA$7:$AA$45))</f>
        <v>224350</v>
      </c>
      <c r="I69" s="81"/>
      <c r="P69" s="87"/>
      <c r="Q69" s="87"/>
      <c r="R69" s="87"/>
      <c r="S69" s="87"/>
      <c r="T69" s="87"/>
      <c r="U69" s="87"/>
      <c r="V69" s="93"/>
      <c r="W69" s="93"/>
      <c r="X69" s="93"/>
      <c r="Y69" s="93"/>
      <c r="Z69" s="93"/>
      <c r="AA69" s="80"/>
      <c r="AB69" s="80">
        <v>62</v>
      </c>
      <c r="AC69" s="80"/>
      <c r="AD69" s="89">
        <f t="shared" si="0"/>
        <v>-221209</v>
      </c>
      <c r="AE69" s="90">
        <f t="shared" si="1"/>
        <v>221209</v>
      </c>
      <c r="AF69" s="80">
        <f t="shared" si="2"/>
        <v>0</v>
      </c>
      <c r="AG69" s="90">
        <f t="shared" si="3"/>
        <v>22841</v>
      </c>
      <c r="AH69" s="104"/>
      <c r="AI69" s="104"/>
      <c r="AJ69" s="105"/>
      <c r="AK69" s="105"/>
      <c r="AL69" s="105"/>
      <c r="AM69" s="105"/>
    </row>
    <row r="70" spans="1:39" x14ac:dyDescent="0.25">
      <c r="A70" s="98">
        <v>58</v>
      </c>
      <c r="B70" s="114">
        <f>INDEX('Tabl. 1'!$C$8:$AO$313,104+$AB65,MATCH($C$7,$AA$7:$AA$45))</f>
        <v>216700</v>
      </c>
      <c r="C70" s="114">
        <f>INDEX('Tabl. 1'!$C$8:$AO$313,206+$AB65,MATCH($C$7,$AA$7:$AA$45))</f>
        <v>229036</v>
      </c>
      <c r="I70" s="81"/>
      <c r="P70" s="87"/>
      <c r="Q70" s="87"/>
      <c r="R70" s="87"/>
      <c r="S70" s="87"/>
      <c r="T70" s="87"/>
      <c r="U70" s="87"/>
      <c r="V70" s="93"/>
      <c r="W70" s="93"/>
      <c r="X70" s="93"/>
      <c r="Y70" s="93"/>
      <c r="Z70" s="93"/>
      <c r="AA70" s="80"/>
      <c r="AB70" s="80">
        <v>63</v>
      </c>
      <c r="AC70" s="80"/>
      <c r="AD70" s="89">
        <f t="shared" si="0"/>
        <v>-229447</v>
      </c>
      <c r="AE70" s="90">
        <f t="shared" si="1"/>
        <v>229447</v>
      </c>
      <c r="AF70" s="80">
        <f t="shared" si="2"/>
        <v>0</v>
      </c>
      <c r="AG70" s="90">
        <f t="shared" si="3"/>
        <v>28514</v>
      </c>
      <c r="AH70" s="104"/>
      <c r="AI70" s="104"/>
      <c r="AJ70" s="105"/>
      <c r="AK70" s="105"/>
      <c r="AL70" s="105"/>
      <c r="AM70" s="105"/>
    </row>
    <row r="71" spans="1:39" x14ac:dyDescent="0.25">
      <c r="A71" s="98">
        <v>59</v>
      </c>
      <c r="B71" s="114">
        <f>INDEX('Tabl. 1'!$C$8:$AO$313,104+$AB66,MATCH($C$7,$AA$7:$AA$45))</f>
        <v>218200</v>
      </c>
      <c r="C71" s="114">
        <f>INDEX('Tabl. 1'!$C$8:$AO$313,206+$AB66,MATCH($C$7,$AA$7:$AA$45))</f>
        <v>234091</v>
      </c>
      <c r="I71" s="81"/>
      <c r="P71" s="87"/>
      <c r="Q71" s="87"/>
      <c r="R71" s="87"/>
      <c r="S71" s="87"/>
      <c r="T71" s="87"/>
      <c r="U71" s="87"/>
      <c r="V71" s="93"/>
      <c r="W71" s="93"/>
      <c r="X71" s="93"/>
      <c r="Y71" s="93"/>
      <c r="Z71" s="93"/>
      <c r="AA71" s="80"/>
      <c r="AB71" s="80">
        <v>64</v>
      </c>
      <c r="AC71" s="80"/>
      <c r="AD71" s="89">
        <f t="shared" si="0"/>
        <v>-240038</v>
      </c>
      <c r="AE71" s="90">
        <f t="shared" si="1"/>
        <v>240038</v>
      </c>
      <c r="AF71" s="80">
        <f t="shared" si="2"/>
        <v>0</v>
      </c>
      <c r="AG71" s="90">
        <f t="shared" si="3"/>
        <v>33584</v>
      </c>
      <c r="AH71" s="104"/>
      <c r="AI71" s="104"/>
      <c r="AJ71" s="105"/>
      <c r="AK71" s="105"/>
      <c r="AL71" s="105"/>
      <c r="AM71" s="105"/>
    </row>
    <row r="72" spans="1:39" x14ac:dyDescent="0.25">
      <c r="A72" s="98">
        <v>60</v>
      </c>
      <c r="B72" s="114">
        <f>INDEX('Tabl. 1'!$C$8:$AO$313,104+$AB67,MATCH($C$7,$AA$7:$AA$45))</f>
        <v>217276</v>
      </c>
      <c r="C72" s="114">
        <f>INDEX('Tabl. 1'!$C$8:$AO$313,206+$AB67,MATCH($C$7,$AA$7:$AA$45))</f>
        <v>235515</v>
      </c>
      <c r="I72" s="81"/>
      <c r="P72" s="87"/>
      <c r="Q72" s="87"/>
      <c r="R72" s="87"/>
      <c r="S72" s="87"/>
      <c r="T72" s="87"/>
      <c r="U72" s="87"/>
      <c r="V72" s="93"/>
      <c r="W72" s="93"/>
      <c r="X72" s="93"/>
      <c r="Y72" s="93"/>
      <c r="Z72" s="93"/>
      <c r="AA72" s="80"/>
      <c r="AB72" s="80">
        <v>65</v>
      </c>
      <c r="AC72" s="80"/>
      <c r="AD72" s="89">
        <f t="shared" si="0"/>
        <v>-243543</v>
      </c>
      <c r="AE72" s="90">
        <f t="shared" si="1"/>
        <v>243543</v>
      </c>
      <c r="AF72" s="80">
        <f t="shared" si="2"/>
        <v>0</v>
      </c>
      <c r="AG72" s="90">
        <f t="shared" si="3"/>
        <v>38051</v>
      </c>
      <c r="AH72" s="104"/>
      <c r="AI72" s="104"/>
      <c r="AJ72" s="105"/>
      <c r="AK72" s="105"/>
      <c r="AL72" s="105"/>
      <c r="AM72" s="105"/>
    </row>
    <row r="73" spans="1:39" x14ac:dyDescent="0.25">
      <c r="A73" s="98">
        <v>61</v>
      </c>
      <c r="B73" s="114">
        <f>INDEX('Tabl. 1'!$C$8:$AO$313,104+$AB68,MATCH($C$7,$AA$7:$AA$45))</f>
        <v>221209</v>
      </c>
      <c r="C73" s="114">
        <f>INDEX('Tabl. 1'!$C$8:$AO$313,206+$AB68,MATCH($C$7,$AA$7:$AA$45))</f>
        <v>244050</v>
      </c>
      <c r="I73" s="81"/>
      <c r="P73" s="87"/>
      <c r="Q73" s="87"/>
      <c r="R73" s="87"/>
      <c r="S73" s="87"/>
      <c r="T73" s="87"/>
      <c r="U73" s="87"/>
      <c r="V73" s="93"/>
      <c r="W73" s="93"/>
      <c r="X73" s="93"/>
      <c r="Y73" s="93"/>
      <c r="Z73" s="93"/>
      <c r="AA73" s="80"/>
      <c r="AB73" s="80">
        <v>66</v>
      </c>
      <c r="AC73" s="80"/>
      <c r="AD73" s="89">
        <f t="shared" si="0"/>
        <v>-242001</v>
      </c>
      <c r="AE73" s="90">
        <f t="shared" si="1"/>
        <v>242001</v>
      </c>
      <c r="AF73" s="80">
        <f t="shared" si="2"/>
        <v>0</v>
      </c>
      <c r="AG73" s="90">
        <f t="shared" si="3"/>
        <v>43459</v>
      </c>
      <c r="AH73" s="104"/>
      <c r="AI73" s="104"/>
      <c r="AJ73" s="105"/>
      <c r="AK73" s="105"/>
      <c r="AL73" s="105"/>
      <c r="AM73" s="105"/>
    </row>
    <row r="74" spans="1:39" x14ac:dyDescent="0.25">
      <c r="A74" s="98">
        <v>62</v>
      </c>
      <c r="B74" s="114">
        <f>INDEX('Tabl. 1'!$C$8:$AO$313,104+$AB69,MATCH($C$7,$AA$7:$AA$45))</f>
        <v>229447</v>
      </c>
      <c r="C74" s="114">
        <f>INDEX('Tabl. 1'!$C$8:$AO$313,206+$AB69,MATCH($C$7,$AA$7:$AA$45))</f>
        <v>257961</v>
      </c>
      <c r="I74" s="81"/>
      <c r="P74" s="87"/>
      <c r="Q74" s="87"/>
      <c r="R74" s="87"/>
      <c r="S74" s="87"/>
      <c r="T74" s="87"/>
      <c r="U74" s="87"/>
      <c r="V74" s="93"/>
      <c r="W74" s="93"/>
      <c r="X74" s="93"/>
      <c r="Y74" s="93"/>
      <c r="Z74" s="93"/>
      <c r="AA74" s="80"/>
      <c r="AB74" s="80">
        <v>67</v>
      </c>
      <c r="AC74" s="80"/>
      <c r="AD74" s="89">
        <f t="shared" ref="AD74:AD108" si="4">(-1*B78)-AF74</f>
        <v>-234571</v>
      </c>
      <c r="AE74" s="90">
        <f t="shared" ref="AE74:AE108" si="5">C78-AG74</f>
        <v>234571</v>
      </c>
      <c r="AF74" s="80">
        <f t="shared" ref="AF74:AF109" si="6">IF(B78&gt;C78,-1*(B78-C78),0)</f>
        <v>0</v>
      </c>
      <c r="AG74" s="90">
        <f t="shared" ref="AG74:AG109" si="7">IF(C78&gt;B78,C78-B78,0)</f>
        <v>46605</v>
      </c>
      <c r="AH74" s="104"/>
      <c r="AI74" s="104"/>
      <c r="AJ74" s="105"/>
      <c r="AK74" s="105"/>
      <c r="AL74" s="105"/>
      <c r="AM74" s="105"/>
    </row>
    <row r="75" spans="1:39" x14ac:dyDescent="0.25">
      <c r="A75" s="98">
        <v>63</v>
      </c>
      <c r="B75" s="114">
        <f>INDEX('Tabl. 1'!$C$8:$AO$313,104+$AB70,MATCH($C$7,$AA$7:$AA$45))</f>
        <v>240038</v>
      </c>
      <c r="C75" s="114">
        <f>INDEX('Tabl. 1'!$C$8:$AO$313,206+$AB70,MATCH($C$7,$AA$7:$AA$45))</f>
        <v>273622</v>
      </c>
      <c r="I75" s="81"/>
      <c r="P75" s="87"/>
      <c r="Q75" s="87"/>
      <c r="R75" s="87"/>
      <c r="S75" s="87"/>
      <c r="T75" s="87"/>
      <c r="U75" s="87"/>
      <c r="V75" s="93"/>
      <c r="W75" s="93"/>
      <c r="X75" s="93"/>
      <c r="Y75" s="93"/>
      <c r="Z75" s="93"/>
      <c r="AA75" s="80"/>
      <c r="AB75" s="80">
        <v>68</v>
      </c>
      <c r="AC75" s="80"/>
      <c r="AD75" s="89">
        <f t="shared" si="4"/>
        <v>-230546</v>
      </c>
      <c r="AE75" s="90">
        <f t="shared" si="5"/>
        <v>230546</v>
      </c>
      <c r="AF75" s="80">
        <f t="shared" si="6"/>
        <v>0</v>
      </c>
      <c r="AG75" s="90">
        <f t="shared" si="7"/>
        <v>51568</v>
      </c>
      <c r="AH75" s="104"/>
      <c r="AI75" s="104"/>
      <c r="AJ75" s="105"/>
      <c r="AK75" s="105"/>
      <c r="AL75" s="105"/>
      <c r="AM75" s="105"/>
    </row>
    <row r="76" spans="1:39" x14ac:dyDescent="0.25">
      <c r="A76" s="98">
        <v>64</v>
      </c>
      <c r="B76" s="114">
        <f>INDEX('Tabl. 1'!$C$8:$AO$313,104+$AB71,MATCH($C$7,$AA$7:$AA$45))</f>
        <v>243543</v>
      </c>
      <c r="C76" s="114">
        <f>INDEX('Tabl. 1'!$C$8:$AO$313,206+$AB71,MATCH($C$7,$AA$7:$AA$45))</f>
        <v>281594</v>
      </c>
      <c r="I76" s="81"/>
      <c r="P76" s="87"/>
      <c r="Q76" s="87"/>
      <c r="R76" s="87"/>
      <c r="S76" s="87"/>
      <c r="T76" s="87"/>
      <c r="U76" s="87"/>
      <c r="V76" s="93"/>
      <c r="W76" s="93"/>
      <c r="X76" s="93"/>
      <c r="Y76" s="93"/>
      <c r="Z76" s="93"/>
      <c r="AA76" s="80"/>
      <c r="AB76" s="80">
        <v>69</v>
      </c>
      <c r="AC76" s="80"/>
      <c r="AD76" s="89">
        <f t="shared" si="4"/>
        <v>-214845</v>
      </c>
      <c r="AE76" s="90">
        <f t="shared" si="5"/>
        <v>214845</v>
      </c>
      <c r="AF76" s="80">
        <f t="shared" si="6"/>
        <v>0</v>
      </c>
      <c r="AG76" s="90">
        <f t="shared" si="7"/>
        <v>54836</v>
      </c>
      <c r="AH76" s="104"/>
      <c r="AI76" s="104"/>
      <c r="AJ76" s="105"/>
      <c r="AK76" s="105"/>
      <c r="AL76" s="105"/>
      <c r="AM76" s="105"/>
    </row>
    <row r="77" spans="1:39" x14ac:dyDescent="0.25">
      <c r="A77" s="98">
        <v>65</v>
      </c>
      <c r="B77" s="114">
        <f>INDEX('Tabl. 1'!$C$8:$AO$313,104+$AB72,MATCH($C$7,$AA$7:$AA$45))</f>
        <v>242001</v>
      </c>
      <c r="C77" s="114">
        <f>INDEX('Tabl. 1'!$C$8:$AO$313,206+$AB72,MATCH($C$7,$AA$7:$AA$45))</f>
        <v>285460</v>
      </c>
      <c r="I77" s="81"/>
      <c r="P77" s="87"/>
      <c r="Q77" s="87"/>
      <c r="R77" s="87"/>
      <c r="S77" s="87"/>
      <c r="T77" s="87"/>
      <c r="U77" s="87"/>
      <c r="V77" s="93"/>
      <c r="W77" s="93"/>
      <c r="X77" s="93"/>
      <c r="Y77" s="93"/>
      <c r="Z77" s="93"/>
      <c r="AA77" s="80"/>
      <c r="AB77" s="80">
        <v>70</v>
      </c>
      <c r="AC77" s="80"/>
      <c r="AD77" s="89">
        <f t="shared" si="4"/>
        <v>-207276</v>
      </c>
      <c r="AE77" s="90">
        <f t="shared" si="5"/>
        <v>207276</v>
      </c>
      <c r="AF77" s="80">
        <f t="shared" si="6"/>
        <v>0</v>
      </c>
      <c r="AG77" s="90">
        <f t="shared" si="7"/>
        <v>58608</v>
      </c>
      <c r="AH77" s="104"/>
      <c r="AI77" s="104"/>
      <c r="AJ77" s="105"/>
      <c r="AK77" s="105"/>
      <c r="AL77" s="105"/>
      <c r="AM77" s="105"/>
    </row>
    <row r="78" spans="1:39" x14ac:dyDescent="0.25">
      <c r="A78" s="98">
        <v>66</v>
      </c>
      <c r="B78" s="114">
        <f>INDEX('Tabl. 1'!$C$8:$AO$313,104+$AB73,MATCH($C$7,$AA$7:$AA$45))</f>
        <v>234571</v>
      </c>
      <c r="C78" s="114">
        <f>INDEX('Tabl. 1'!$C$8:$AO$313,206+$AB73,MATCH($C$7,$AA$7:$AA$45))</f>
        <v>281176</v>
      </c>
      <c r="I78" s="81"/>
      <c r="P78" s="87"/>
      <c r="Q78" s="87"/>
      <c r="R78" s="87"/>
      <c r="S78" s="87"/>
      <c r="T78" s="87"/>
      <c r="U78" s="87"/>
      <c r="V78" s="93"/>
      <c r="W78" s="93"/>
      <c r="X78" s="93"/>
      <c r="Y78" s="93"/>
      <c r="Z78" s="93"/>
      <c r="AA78" s="80"/>
      <c r="AB78" s="80">
        <v>71</v>
      </c>
      <c r="AC78" s="80"/>
      <c r="AD78" s="89">
        <f t="shared" si="4"/>
        <v>-197254</v>
      </c>
      <c r="AE78" s="90">
        <f t="shared" si="5"/>
        <v>197254</v>
      </c>
      <c r="AF78" s="80">
        <f t="shared" si="6"/>
        <v>0</v>
      </c>
      <c r="AG78" s="90">
        <f t="shared" si="7"/>
        <v>61685</v>
      </c>
      <c r="AH78" s="104"/>
      <c r="AI78" s="104"/>
      <c r="AJ78" s="105"/>
      <c r="AK78" s="105"/>
      <c r="AL78" s="105"/>
      <c r="AM78" s="105"/>
    </row>
    <row r="79" spans="1:39" x14ac:dyDescent="0.25">
      <c r="A79" s="98">
        <v>67</v>
      </c>
      <c r="B79" s="114">
        <f>INDEX('Tabl. 1'!$C$8:$AO$313,104+$AB74,MATCH($C$7,$AA$7:$AA$45))</f>
        <v>230546</v>
      </c>
      <c r="C79" s="114">
        <f>INDEX('Tabl. 1'!$C$8:$AO$313,206+$AB74,MATCH($C$7,$AA$7:$AA$45))</f>
        <v>282114</v>
      </c>
      <c r="I79" s="81"/>
      <c r="P79" s="87"/>
      <c r="Q79" s="87"/>
      <c r="R79" s="87"/>
      <c r="S79" s="87"/>
      <c r="T79" s="87"/>
      <c r="U79" s="87"/>
      <c r="V79" s="93"/>
      <c r="W79" s="93"/>
      <c r="X79" s="93"/>
      <c r="Y79" s="93"/>
      <c r="Z79" s="93"/>
      <c r="AA79" s="80"/>
      <c r="AB79" s="80">
        <v>72</v>
      </c>
      <c r="AC79" s="80"/>
      <c r="AD79" s="89">
        <f t="shared" si="4"/>
        <v>-186799</v>
      </c>
      <c r="AE79" s="90">
        <f t="shared" si="5"/>
        <v>186799</v>
      </c>
      <c r="AF79" s="80">
        <f t="shared" si="6"/>
        <v>0</v>
      </c>
      <c r="AG79" s="90">
        <f t="shared" si="7"/>
        <v>66119</v>
      </c>
      <c r="AH79" s="104"/>
      <c r="AI79" s="104"/>
      <c r="AJ79" s="105"/>
      <c r="AK79" s="105"/>
      <c r="AL79" s="105"/>
      <c r="AM79" s="105"/>
    </row>
    <row r="80" spans="1:39" x14ac:dyDescent="0.25">
      <c r="A80" s="98">
        <v>68</v>
      </c>
      <c r="B80" s="114">
        <f>INDEX('Tabl. 1'!$C$8:$AO$313,104+$AB75,MATCH($C$7,$AA$7:$AA$45))</f>
        <v>214845</v>
      </c>
      <c r="C80" s="114">
        <f>INDEX('Tabl. 1'!$C$8:$AO$313,206+$AB75,MATCH($C$7,$AA$7:$AA$45))</f>
        <v>269681</v>
      </c>
      <c r="I80" s="81"/>
      <c r="P80" s="87"/>
      <c r="Q80" s="87"/>
      <c r="R80" s="87"/>
      <c r="S80" s="87"/>
      <c r="T80" s="87"/>
      <c r="U80" s="87"/>
      <c r="V80" s="93"/>
      <c r="W80" s="93"/>
      <c r="X80" s="93"/>
      <c r="Y80" s="93"/>
      <c r="Z80" s="93"/>
      <c r="AA80" s="80"/>
      <c r="AB80" s="80">
        <v>73</v>
      </c>
      <c r="AC80" s="80"/>
      <c r="AD80" s="89">
        <f t="shared" si="4"/>
        <v>-173668</v>
      </c>
      <c r="AE80" s="90">
        <f t="shared" si="5"/>
        <v>173668</v>
      </c>
      <c r="AF80" s="80">
        <f t="shared" si="6"/>
        <v>0</v>
      </c>
      <c r="AG80" s="90">
        <f t="shared" si="7"/>
        <v>63915</v>
      </c>
      <c r="AH80" s="104"/>
      <c r="AI80" s="104"/>
      <c r="AJ80" s="105"/>
      <c r="AK80" s="105"/>
      <c r="AL80" s="105"/>
      <c r="AM80" s="105"/>
    </row>
    <row r="81" spans="1:39" x14ac:dyDescent="0.25">
      <c r="A81" s="98">
        <v>69</v>
      </c>
      <c r="B81" s="114">
        <f>INDEX('Tabl. 1'!$C$8:$AO$313,104+$AB76,MATCH($C$7,$AA$7:$AA$45))</f>
        <v>207276</v>
      </c>
      <c r="C81" s="114">
        <f>INDEX('Tabl. 1'!$C$8:$AO$313,206+$AB76,MATCH($C$7,$AA$7:$AA$45))</f>
        <v>265884</v>
      </c>
      <c r="I81" s="81"/>
      <c r="P81" s="87"/>
      <c r="Q81" s="87"/>
      <c r="R81" s="87"/>
      <c r="S81" s="87"/>
      <c r="T81" s="87"/>
      <c r="U81" s="87"/>
      <c r="V81" s="93"/>
      <c r="W81" s="93"/>
      <c r="X81" s="93"/>
      <c r="Y81" s="93"/>
      <c r="Z81" s="93"/>
      <c r="AA81" s="80"/>
      <c r="AB81" s="80">
        <v>74</v>
      </c>
      <c r="AC81" s="80"/>
      <c r="AD81" s="89">
        <f t="shared" si="4"/>
        <v>-159189</v>
      </c>
      <c r="AE81" s="90">
        <f t="shared" si="5"/>
        <v>159189</v>
      </c>
      <c r="AF81" s="80">
        <f t="shared" si="6"/>
        <v>0</v>
      </c>
      <c r="AG81" s="90">
        <f t="shared" si="7"/>
        <v>65102</v>
      </c>
      <c r="AH81" s="104"/>
      <c r="AI81" s="104"/>
      <c r="AJ81" s="105"/>
      <c r="AK81" s="105"/>
      <c r="AL81" s="105"/>
      <c r="AM81" s="105"/>
    </row>
    <row r="82" spans="1:39" x14ac:dyDescent="0.25">
      <c r="A82" s="98">
        <v>70</v>
      </c>
      <c r="B82" s="114">
        <f>INDEX('Tabl. 1'!$C$8:$AO$313,104+$AB77,MATCH($C$7,$AA$7:$AA$45))</f>
        <v>197254</v>
      </c>
      <c r="C82" s="114">
        <f>INDEX('Tabl. 1'!$C$8:$AO$313,206+$AB77,MATCH($C$7,$AA$7:$AA$45))</f>
        <v>258939</v>
      </c>
      <c r="I82" s="81"/>
      <c r="P82" s="87"/>
      <c r="Q82" s="87"/>
      <c r="R82" s="87"/>
      <c r="S82" s="87"/>
      <c r="T82" s="87"/>
      <c r="U82" s="87"/>
      <c r="V82" s="93"/>
      <c r="W82" s="93"/>
      <c r="X82" s="93"/>
      <c r="Y82" s="93"/>
      <c r="Z82" s="93"/>
      <c r="AA82" s="80"/>
      <c r="AB82" s="80">
        <v>75</v>
      </c>
      <c r="AC82" s="80"/>
      <c r="AD82" s="89">
        <f t="shared" si="4"/>
        <v>-149185</v>
      </c>
      <c r="AE82" s="90">
        <f t="shared" si="5"/>
        <v>149185</v>
      </c>
      <c r="AF82" s="80">
        <f t="shared" si="6"/>
        <v>0</v>
      </c>
      <c r="AG82" s="90">
        <f t="shared" si="7"/>
        <v>64273</v>
      </c>
      <c r="AH82" s="104"/>
      <c r="AI82" s="104"/>
      <c r="AJ82" s="105"/>
      <c r="AK82" s="105"/>
      <c r="AL82" s="105"/>
      <c r="AM82" s="105"/>
    </row>
    <row r="83" spans="1:39" x14ac:dyDescent="0.25">
      <c r="A83" s="98">
        <v>71</v>
      </c>
      <c r="B83" s="114">
        <f>INDEX('Tabl. 1'!$C$8:$AO$313,104+$AB78,MATCH($C$7,$AA$7:$AA$45))</f>
        <v>186799</v>
      </c>
      <c r="C83" s="114">
        <f>INDEX('Tabl. 1'!$C$8:$AO$313,206+$AB78,MATCH($C$7,$AA$7:$AA$45))</f>
        <v>252918</v>
      </c>
      <c r="I83" s="81"/>
      <c r="P83" s="87"/>
      <c r="Q83" s="87"/>
      <c r="R83" s="87"/>
      <c r="S83" s="87"/>
      <c r="T83" s="87"/>
      <c r="U83" s="87"/>
      <c r="V83" s="93"/>
      <c r="W83" s="93"/>
      <c r="X83" s="93"/>
      <c r="Y83" s="93"/>
      <c r="Z83" s="93"/>
      <c r="AA83" s="80"/>
      <c r="AB83" s="80">
        <v>76</v>
      </c>
      <c r="AC83" s="80"/>
      <c r="AD83" s="89">
        <f t="shared" si="4"/>
        <v>-132682</v>
      </c>
      <c r="AE83" s="90">
        <f t="shared" si="5"/>
        <v>132682</v>
      </c>
      <c r="AF83" s="80">
        <f t="shared" si="6"/>
        <v>0</v>
      </c>
      <c r="AG83" s="90">
        <f t="shared" si="7"/>
        <v>63342</v>
      </c>
      <c r="AH83" s="104"/>
      <c r="AI83" s="104"/>
      <c r="AJ83" s="105"/>
      <c r="AK83" s="105"/>
      <c r="AL83" s="105"/>
      <c r="AM83" s="105"/>
    </row>
    <row r="84" spans="1:39" x14ac:dyDescent="0.25">
      <c r="A84" s="98">
        <v>72</v>
      </c>
      <c r="B84" s="114">
        <f>INDEX('Tabl. 1'!$C$8:$AO$313,104+$AB79,MATCH($C$7,$AA$7:$AA$45))</f>
        <v>173668</v>
      </c>
      <c r="C84" s="114">
        <f>INDEX('Tabl. 1'!$C$8:$AO$313,206+$AB79,MATCH($C$7,$AA$7:$AA$45))</f>
        <v>237583</v>
      </c>
      <c r="I84" s="81"/>
      <c r="P84" s="87"/>
      <c r="Q84" s="87"/>
      <c r="R84" s="87"/>
      <c r="S84" s="87"/>
      <c r="T84" s="87"/>
      <c r="U84" s="87"/>
      <c r="V84" s="93"/>
      <c r="W84" s="93"/>
      <c r="X84" s="93"/>
      <c r="Y84" s="93"/>
      <c r="Z84" s="93"/>
      <c r="AA84" s="80"/>
      <c r="AB84" s="80">
        <v>77</v>
      </c>
      <c r="AC84" s="80"/>
      <c r="AD84" s="89">
        <f t="shared" si="4"/>
        <v>-114223</v>
      </c>
      <c r="AE84" s="90">
        <f t="shared" si="5"/>
        <v>114223</v>
      </c>
      <c r="AF84" s="80">
        <f t="shared" si="6"/>
        <v>0</v>
      </c>
      <c r="AG84" s="90">
        <f t="shared" si="7"/>
        <v>60338</v>
      </c>
      <c r="AH84" s="104"/>
      <c r="AI84" s="104"/>
      <c r="AJ84" s="105"/>
      <c r="AK84" s="105"/>
      <c r="AL84" s="105"/>
      <c r="AM84" s="105"/>
    </row>
    <row r="85" spans="1:39" x14ac:dyDescent="0.25">
      <c r="A85" s="98">
        <v>73</v>
      </c>
      <c r="B85" s="114">
        <f>INDEX('Tabl. 1'!$C$8:$AO$313,104+$AB80,MATCH($C$7,$AA$7:$AA$45))</f>
        <v>159189</v>
      </c>
      <c r="C85" s="114">
        <f>INDEX('Tabl. 1'!$C$8:$AO$313,206+$AB80,MATCH($C$7,$AA$7:$AA$45))</f>
        <v>224291</v>
      </c>
      <c r="I85" s="81"/>
      <c r="P85" s="87"/>
      <c r="Q85" s="87"/>
      <c r="R85" s="87"/>
      <c r="S85" s="87"/>
      <c r="T85" s="87"/>
      <c r="U85" s="87"/>
      <c r="V85" s="93"/>
      <c r="W85" s="93"/>
      <c r="X85" s="93"/>
      <c r="Y85" s="93"/>
      <c r="Z85" s="93"/>
      <c r="AA85" s="80"/>
      <c r="AB85" s="80">
        <v>78</v>
      </c>
      <c r="AC85" s="80"/>
      <c r="AD85" s="89">
        <f t="shared" si="4"/>
        <v>-77636</v>
      </c>
      <c r="AE85" s="90">
        <f t="shared" si="5"/>
        <v>77636</v>
      </c>
      <c r="AF85" s="80">
        <f t="shared" si="6"/>
        <v>0</v>
      </c>
      <c r="AG85" s="90">
        <f t="shared" si="7"/>
        <v>45129</v>
      </c>
      <c r="AH85" s="104"/>
      <c r="AI85" s="104"/>
      <c r="AJ85" s="105"/>
      <c r="AK85" s="105"/>
      <c r="AL85" s="105"/>
      <c r="AM85" s="105"/>
    </row>
    <row r="86" spans="1:39" x14ac:dyDescent="0.25">
      <c r="A86" s="98">
        <v>74</v>
      </c>
      <c r="B86" s="114">
        <f>INDEX('Tabl. 1'!$C$8:$AO$313,104+$AB81,MATCH($C$7,$AA$7:$AA$45))</f>
        <v>149185</v>
      </c>
      <c r="C86" s="114">
        <f>INDEX('Tabl. 1'!$C$8:$AO$313,206+$AB81,MATCH($C$7,$AA$7:$AA$45))</f>
        <v>213458</v>
      </c>
      <c r="I86" s="81"/>
      <c r="P86" s="87"/>
      <c r="Q86" s="87"/>
      <c r="R86" s="87"/>
      <c r="S86" s="87"/>
      <c r="T86" s="87"/>
      <c r="U86" s="87"/>
      <c r="V86" s="93"/>
      <c r="W86" s="93"/>
      <c r="X86" s="93"/>
      <c r="Y86" s="93"/>
      <c r="Z86" s="93"/>
      <c r="AA86" s="80"/>
      <c r="AB86" s="80">
        <v>79</v>
      </c>
      <c r="AC86" s="80"/>
      <c r="AD86" s="89">
        <f t="shared" si="4"/>
        <v>-71835</v>
      </c>
      <c r="AE86" s="90">
        <f t="shared" si="5"/>
        <v>71835</v>
      </c>
      <c r="AF86" s="80">
        <f t="shared" si="6"/>
        <v>0</v>
      </c>
      <c r="AG86" s="90">
        <f t="shared" si="7"/>
        <v>47113</v>
      </c>
      <c r="AH86" s="104"/>
      <c r="AI86" s="104"/>
      <c r="AJ86" s="105"/>
      <c r="AK86" s="105"/>
      <c r="AL86" s="105"/>
      <c r="AM86" s="105"/>
    </row>
    <row r="87" spans="1:39" x14ac:dyDescent="0.25">
      <c r="A87" s="98">
        <v>75</v>
      </c>
      <c r="B87" s="114">
        <f>INDEX('Tabl. 1'!$C$8:$AO$313,104+$AB82,MATCH($C$7,$AA$7:$AA$45))</f>
        <v>132682</v>
      </c>
      <c r="C87" s="114">
        <f>INDEX('Tabl. 1'!$C$8:$AO$313,206+$AB82,MATCH($C$7,$AA$7:$AA$45))</f>
        <v>196024</v>
      </c>
      <c r="I87" s="81"/>
      <c r="P87" s="87"/>
      <c r="Q87" s="87"/>
      <c r="R87" s="87"/>
      <c r="S87" s="87"/>
      <c r="T87" s="87"/>
      <c r="U87" s="87"/>
      <c r="V87" s="93"/>
      <c r="W87" s="93"/>
      <c r="X87" s="93"/>
      <c r="Y87" s="93"/>
      <c r="Z87" s="93"/>
      <c r="AA87" s="80"/>
      <c r="AB87" s="80">
        <v>80</v>
      </c>
      <c r="AC87" s="80"/>
      <c r="AD87" s="89">
        <f t="shared" si="4"/>
        <v>-65855</v>
      </c>
      <c r="AE87" s="90">
        <f t="shared" si="5"/>
        <v>65855</v>
      </c>
      <c r="AF87" s="80">
        <f t="shared" si="6"/>
        <v>0</v>
      </c>
      <c r="AG87" s="90">
        <f t="shared" si="7"/>
        <v>45921</v>
      </c>
      <c r="AH87" s="104"/>
      <c r="AI87" s="104"/>
      <c r="AJ87" s="105"/>
      <c r="AK87" s="105"/>
      <c r="AL87" s="105"/>
      <c r="AM87" s="105"/>
    </row>
    <row r="88" spans="1:39" x14ac:dyDescent="0.25">
      <c r="A88" s="98">
        <v>76</v>
      </c>
      <c r="B88" s="114">
        <f>INDEX('Tabl. 1'!$C$8:$AO$313,104+$AB83,MATCH($C$7,$AA$7:$AA$45))</f>
        <v>114223</v>
      </c>
      <c r="C88" s="114">
        <f>INDEX('Tabl. 1'!$C$8:$AO$313,206+$AB83,MATCH($C$7,$AA$7:$AA$45))</f>
        <v>174561</v>
      </c>
      <c r="I88" s="81"/>
      <c r="P88" s="87"/>
      <c r="Q88" s="87"/>
      <c r="R88" s="87"/>
      <c r="S88" s="87"/>
      <c r="T88" s="87"/>
      <c r="U88" s="87"/>
      <c r="V88" s="93"/>
      <c r="W88" s="93"/>
      <c r="X88" s="93"/>
      <c r="Y88" s="93"/>
      <c r="Z88" s="93"/>
      <c r="AA88" s="80"/>
      <c r="AB88" s="80">
        <v>81</v>
      </c>
      <c r="AC88" s="80"/>
      <c r="AD88" s="89">
        <f t="shared" si="4"/>
        <v>-59997</v>
      </c>
      <c r="AE88" s="90">
        <f t="shared" si="5"/>
        <v>59997</v>
      </c>
      <c r="AF88" s="80">
        <f t="shared" si="6"/>
        <v>0</v>
      </c>
      <c r="AG88" s="90">
        <f t="shared" si="7"/>
        <v>46377</v>
      </c>
      <c r="AH88" s="104"/>
      <c r="AI88" s="104"/>
      <c r="AJ88" s="105"/>
      <c r="AK88" s="105"/>
      <c r="AL88" s="105"/>
      <c r="AM88" s="105"/>
    </row>
    <row r="89" spans="1:39" x14ac:dyDescent="0.25">
      <c r="A89" s="98">
        <v>77</v>
      </c>
      <c r="B89" s="114">
        <f>INDEX('Tabl. 1'!$C$8:$AO$313,104+$AB84,MATCH($C$7,$AA$7:$AA$45))</f>
        <v>77636</v>
      </c>
      <c r="C89" s="114">
        <f>INDEX('Tabl. 1'!$C$8:$AO$313,206+$AB84,MATCH($C$7,$AA$7:$AA$45))</f>
        <v>122765</v>
      </c>
      <c r="I89" s="81"/>
      <c r="P89" s="87"/>
      <c r="Q89" s="87"/>
      <c r="R89" s="87"/>
      <c r="S89" s="87"/>
      <c r="T89" s="87"/>
      <c r="U89" s="87"/>
      <c r="V89" s="93"/>
      <c r="W89" s="93"/>
      <c r="X89" s="93"/>
      <c r="Y89" s="93"/>
      <c r="Z89" s="93"/>
      <c r="AA89" s="80"/>
      <c r="AB89" s="80">
        <v>82</v>
      </c>
      <c r="AC89" s="80"/>
      <c r="AD89" s="89">
        <f t="shared" si="4"/>
        <v>-59022</v>
      </c>
      <c r="AE89" s="90">
        <f t="shared" si="5"/>
        <v>59022</v>
      </c>
      <c r="AF89" s="80">
        <f t="shared" si="6"/>
        <v>0</v>
      </c>
      <c r="AG89" s="90">
        <f t="shared" si="7"/>
        <v>50409</v>
      </c>
      <c r="AH89" s="104"/>
      <c r="AI89" s="104"/>
      <c r="AJ89" s="105"/>
      <c r="AK89" s="105"/>
      <c r="AL89" s="105"/>
      <c r="AM89" s="105"/>
    </row>
    <row r="90" spans="1:39" x14ac:dyDescent="0.25">
      <c r="A90" s="98">
        <v>78</v>
      </c>
      <c r="B90" s="114">
        <f>INDEX('Tabl. 1'!$C$8:$AO$313,104+$AB85,MATCH($C$7,$AA$7:$AA$45))</f>
        <v>71835</v>
      </c>
      <c r="C90" s="114">
        <f>INDEX('Tabl. 1'!$C$8:$AO$313,206+$AB85,MATCH($C$7,$AA$7:$AA$45))</f>
        <v>118948</v>
      </c>
      <c r="I90" s="81"/>
      <c r="P90" s="87"/>
      <c r="Q90" s="87"/>
      <c r="R90" s="87"/>
      <c r="S90" s="87"/>
      <c r="T90" s="87"/>
      <c r="U90" s="87"/>
      <c r="V90" s="93"/>
      <c r="W90" s="93"/>
      <c r="X90" s="93"/>
      <c r="Y90" s="93"/>
      <c r="Z90" s="93"/>
      <c r="AA90" s="80"/>
      <c r="AB90" s="80">
        <v>83</v>
      </c>
      <c r="AC90" s="80"/>
      <c r="AD90" s="89">
        <f t="shared" si="4"/>
        <v>-56426</v>
      </c>
      <c r="AE90" s="90">
        <f t="shared" si="5"/>
        <v>56426</v>
      </c>
      <c r="AF90" s="80">
        <f t="shared" si="6"/>
        <v>0</v>
      </c>
      <c r="AG90" s="90">
        <f t="shared" si="7"/>
        <v>53654</v>
      </c>
      <c r="AH90" s="104"/>
      <c r="AI90" s="104"/>
      <c r="AJ90" s="105"/>
      <c r="AK90" s="105"/>
      <c r="AL90" s="105"/>
      <c r="AM90" s="105"/>
    </row>
    <row r="91" spans="1:39" x14ac:dyDescent="0.25">
      <c r="A91" s="98">
        <v>79</v>
      </c>
      <c r="B91" s="114">
        <f>INDEX('Tabl. 1'!$C$8:$AO$313,104+$AB86,MATCH($C$7,$AA$7:$AA$45))</f>
        <v>65855</v>
      </c>
      <c r="C91" s="114">
        <f>INDEX('Tabl. 1'!$C$8:$AO$313,206+$AB86,MATCH($C$7,$AA$7:$AA$45))</f>
        <v>111776</v>
      </c>
      <c r="I91" s="81"/>
      <c r="P91" s="87"/>
      <c r="Q91" s="87"/>
      <c r="R91" s="87"/>
      <c r="S91" s="87"/>
      <c r="T91" s="87"/>
      <c r="U91" s="87"/>
      <c r="V91" s="93"/>
      <c r="W91" s="93"/>
      <c r="X91" s="93"/>
      <c r="Y91" s="93"/>
      <c r="Z91" s="93"/>
      <c r="AA91" s="80"/>
      <c r="AB91" s="80">
        <v>84</v>
      </c>
      <c r="AC91" s="80"/>
      <c r="AD91" s="89">
        <f t="shared" si="4"/>
        <v>-51092</v>
      </c>
      <c r="AE91" s="90">
        <f t="shared" si="5"/>
        <v>51092</v>
      </c>
      <c r="AF91" s="80">
        <f t="shared" si="6"/>
        <v>0</v>
      </c>
      <c r="AG91" s="90">
        <f t="shared" si="7"/>
        <v>53834</v>
      </c>
      <c r="AH91" s="104"/>
      <c r="AI91" s="104"/>
      <c r="AJ91" s="105"/>
      <c r="AK91" s="105"/>
      <c r="AL91" s="105"/>
      <c r="AM91" s="105"/>
    </row>
    <row r="92" spans="1:39" x14ac:dyDescent="0.25">
      <c r="A92" s="98">
        <v>80</v>
      </c>
      <c r="B92" s="114">
        <f>INDEX('Tabl. 1'!$C$8:$AO$313,104+$AB87,MATCH($C$7,$AA$7:$AA$45))</f>
        <v>59997</v>
      </c>
      <c r="C92" s="114">
        <f>INDEX('Tabl. 1'!$C$8:$AO$313,206+$AB87,MATCH($C$7,$AA$7:$AA$45))</f>
        <v>106374</v>
      </c>
      <c r="I92" s="81"/>
      <c r="P92" s="87"/>
      <c r="Q92" s="87"/>
      <c r="R92" s="87"/>
      <c r="S92" s="87"/>
      <c r="T92" s="87"/>
      <c r="U92" s="87"/>
      <c r="V92" s="93"/>
      <c r="W92" s="93"/>
      <c r="X92" s="93"/>
      <c r="Y92" s="93"/>
      <c r="Z92" s="93"/>
      <c r="AA92" s="80"/>
      <c r="AB92" s="80">
        <v>85</v>
      </c>
      <c r="AC92" s="80"/>
      <c r="AD92" s="89">
        <f t="shared" si="4"/>
        <v>-45976</v>
      </c>
      <c r="AE92" s="90">
        <f t="shared" si="5"/>
        <v>45976</v>
      </c>
      <c r="AF92" s="80">
        <f t="shared" si="6"/>
        <v>0</v>
      </c>
      <c r="AG92" s="90">
        <f t="shared" si="7"/>
        <v>52134</v>
      </c>
      <c r="AH92" s="104"/>
      <c r="AI92" s="104"/>
      <c r="AJ92" s="105"/>
      <c r="AK92" s="105"/>
      <c r="AL92" s="105"/>
      <c r="AM92" s="105"/>
    </row>
    <row r="93" spans="1:39" x14ac:dyDescent="0.25">
      <c r="A93" s="98">
        <v>81</v>
      </c>
      <c r="B93" s="114">
        <f>INDEX('Tabl. 1'!$C$8:$AO$313,104+$AB88,MATCH($C$7,$AA$7:$AA$45))</f>
        <v>59022</v>
      </c>
      <c r="C93" s="114">
        <f>INDEX('Tabl. 1'!$C$8:$AO$313,206+$AB88,MATCH($C$7,$AA$7:$AA$45))</f>
        <v>109431</v>
      </c>
      <c r="I93" s="81"/>
      <c r="P93" s="87"/>
      <c r="Q93" s="87"/>
      <c r="R93" s="87"/>
      <c r="S93" s="87"/>
      <c r="T93" s="87"/>
      <c r="U93" s="87"/>
      <c r="V93" s="93"/>
      <c r="W93" s="93"/>
      <c r="X93" s="93"/>
      <c r="Y93" s="93"/>
      <c r="Z93" s="93"/>
      <c r="AA93" s="80"/>
      <c r="AB93" s="80">
        <v>86</v>
      </c>
      <c r="AC93" s="80"/>
      <c r="AD93" s="89">
        <f t="shared" si="4"/>
        <v>-41231</v>
      </c>
      <c r="AE93" s="90">
        <f t="shared" si="5"/>
        <v>41231</v>
      </c>
      <c r="AF93" s="80">
        <f t="shared" si="6"/>
        <v>0</v>
      </c>
      <c r="AG93" s="90">
        <f t="shared" si="7"/>
        <v>50336</v>
      </c>
      <c r="AH93" s="104"/>
      <c r="AI93" s="104"/>
      <c r="AJ93" s="105"/>
      <c r="AK93" s="105"/>
      <c r="AL93" s="105"/>
      <c r="AM93" s="105"/>
    </row>
    <row r="94" spans="1:39" x14ac:dyDescent="0.25">
      <c r="A94" s="98">
        <v>82</v>
      </c>
      <c r="B94" s="114">
        <f>INDEX('Tabl. 1'!$C$8:$AO$313,104+$AB89,MATCH($C$7,$AA$7:$AA$45))</f>
        <v>56426</v>
      </c>
      <c r="C94" s="114">
        <f>INDEX('Tabl. 1'!$C$8:$AO$313,206+$AB89,MATCH($C$7,$AA$7:$AA$45))</f>
        <v>110080</v>
      </c>
      <c r="I94" s="81"/>
      <c r="P94" s="87"/>
      <c r="Q94" s="87"/>
      <c r="R94" s="87"/>
      <c r="S94" s="87"/>
      <c r="T94" s="87"/>
      <c r="U94" s="87"/>
      <c r="V94" s="93"/>
      <c r="W94" s="93"/>
      <c r="X94" s="93"/>
      <c r="Y94" s="93"/>
      <c r="Z94" s="93"/>
      <c r="AA94" s="80"/>
      <c r="AB94" s="80">
        <v>87</v>
      </c>
      <c r="AC94" s="80"/>
      <c r="AD94" s="89">
        <f t="shared" si="4"/>
        <v>-36240</v>
      </c>
      <c r="AE94" s="90">
        <f t="shared" si="5"/>
        <v>36240</v>
      </c>
      <c r="AF94" s="80">
        <f t="shared" si="6"/>
        <v>0</v>
      </c>
      <c r="AG94" s="90">
        <f t="shared" si="7"/>
        <v>48809</v>
      </c>
      <c r="AH94" s="104"/>
      <c r="AI94" s="104"/>
      <c r="AJ94" s="105"/>
      <c r="AK94" s="105"/>
      <c r="AL94" s="105"/>
      <c r="AM94" s="105"/>
    </row>
    <row r="95" spans="1:39" x14ac:dyDescent="0.25">
      <c r="A95" s="98">
        <v>83</v>
      </c>
      <c r="B95" s="114">
        <f>INDEX('Tabl. 1'!$C$8:$AO$313,104+$AB90,MATCH($C$7,$AA$7:$AA$45))</f>
        <v>51092</v>
      </c>
      <c r="C95" s="114">
        <f>INDEX('Tabl. 1'!$C$8:$AO$313,206+$AB90,MATCH($C$7,$AA$7:$AA$45))</f>
        <v>104926</v>
      </c>
      <c r="I95" s="81"/>
      <c r="P95" s="87"/>
      <c r="Q95" s="87"/>
      <c r="R95" s="87"/>
      <c r="S95" s="87"/>
      <c r="T95" s="87"/>
      <c r="U95" s="87"/>
      <c r="V95" s="93"/>
      <c r="W95" s="93"/>
      <c r="X95" s="93"/>
      <c r="Y95" s="93"/>
      <c r="Z95" s="93"/>
      <c r="AA95" s="80"/>
      <c r="AB95" s="80">
        <v>88</v>
      </c>
      <c r="AC95" s="80"/>
      <c r="AD95" s="89">
        <f t="shared" si="4"/>
        <v>-30731</v>
      </c>
      <c r="AE95" s="90">
        <f t="shared" si="5"/>
        <v>30731</v>
      </c>
      <c r="AF95" s="80">
        <f t="shared" si="6"/>
        <v>0</v>
      </c>
      <c r="AG95" s="90">
        <f t="shared" si="7"/>
        <v>44063</v>
      </c>
      <c r="AH95" s="104"/>
      <c r="AI95" s="104"/>
      <c r="AJ95" s="105"/>
      <c r="AK95" s="105"/>
      <c r="AL95" s="105"/>
      <c r="AM95" s="105"/>
    </row>
    <row r="96" spans="1:39" x14ac:dyDescent="0.25">
      <c r="A96" s="98">
        <v>84</v>
      </c>
      <c r="B96" s="114">
        <f>INDEX('Tabl. 1'!$C$8:$AO$313,104+$AB91,MATCH($C$7,$AA$7:$AA$45))</f>
        <v>45976</v>
      </c>
      <c r="C96" s="114">
        <f>INDEX('Tabl. 1'!$C$8:$AO$313,206+$AB91,MATCH($C$7,$AA$7:$AA$45))</f>
        <v>98110</v>
      </c>
      <c r="I96" s="81"/>
      <c r="P96" s="87"/>
      <c r="Q96" s="87"/>
      <c r="R96" s="87"/>
      <c r="S96" s="87"/>
      <c r="T96" s="87"/>
      <c r="U96" s="87"/>
      <c r="V96" s="93"/>
      <c r="W96" s="93"/>
      <c r="X96" s="93"/>
      <c r="Y96" s="93"/>
      <c r="Z96" s="93"/>
      <c r="AA96" s="80"/>
      <c r="AB96" s="80">
        <v>89</v>
      </c>
      <c r="AC96" s="80"/>
      <c r="AD96" s="89">
        <f t="shared" si="4"/>
        <v>-25279</v>
      </c>
      <c r="AE96" s="90">
        <f t="shared" si="5"/>
        <v>25279</v>
      </c>
      <c r="AF96" s="80">
        <f t="shared" si="6"/>
        <v>0</v>
      </c>
      <c r="AG96" s="90">
        <f t="shared" si="7"/>
        <v>38970</v>
      </c>
      <c r="AH96" s="104"/>
      <c r="AI96" s="104"/>
      <c r="AJ96" s="105"/>
      <c r="AK96" s="105"/>
      <c r="AL96" s="105"/>
      <c r="AM96" s="105"/>
    </row>
    <row r="97" spans="1:39" x14ac:dyDescent="0.25">
      <c r="A97" s="98">
        <v>85</v>
      </c>
      <c r="B97" s="114">
        <f>INDEX('Tabl. 1'!$C$8:$AO$313,104+$AB92,MATCH($C$7,$AA$7:$AA$45))</f>
        <v>41231</v>
      </c>
      <c r="C97" s="114">
        <f>INDEX('Tabl. 1'!$C$8:$AO$313,206+$AB92,MATCH($C$7,$AA$7:$AA$45))</f>
        <v>91567</v>
      </c>
      <c r="I97" s="81"/>
      <c r="P97" s="87"/>
      <c r="Q97" s="87"/>
      <c r="R97" s="87"/>
      <c r="S97" s="87"/>
      <c r="T97" s="87"/>
      <c r="U97" s="87"/>
      <c r="V97" s="93"/>
      <c r="W97" s="93"/>
      <c r="X97" s="93"/>
      <c r="Y97" s="93"/>
      <c r="Z97" s="93"/>
      <c r="AA97" s="80"/>
      <c r="AB97" s="80">
        <v>90</v>
      </c>
      <c r="AC97" s="80"/>
      <c r="AD97" s="89">
        <f t="shared" si="4"/>
        <v>-20883</v>
      </c>
      <c r="AE97" s="90">
        <f t="shared" si="5"/>
        <v>20883</v>
      </c>
      <c r="AF97" s="80">
        <f t="shared" si="6"/>
        <v>0</v>
      </c>
      <c r="AG97" s="90">
        <f t="shared" si="7"/>
        <v>33732</v>
      </c>
      <c r="AH97" s="104"/>
      <c r="AI97" s="104"/>
      <c r="AJ97" s="105"/>
      <c r="AK97" s="105"/>
      <c r="AL97" s="105"/>
      <c r="AM97" s="105"/>
    </row>
    <row r="98" spans="1:39" x14ac:dyDescent="0.25">
      <c r="A98" s="98">
        <v>86</v>
      </c>
      <c r="B98" s="114">
        <f>INDEX('Tabl. 1'!$C$8:$AO$313,104+$AB93,MATCH($C$7,$AA$7:$AA$45))</f>
        <v>36240</v>
      </c>
      <c r="C98" s="114">
        <f>INDEX('Tabl. 1'!$C$8:$AO$313,206+$AB93,MATCH($C$7,$AA$7:$AA$45))</f>
        <v>85049</v>
      </c>
      <c r="I98" s="81"/>
      <c r="P98" s="87"/>
      <c r="Q98" s="87"/>
      <c r="R98" s="87"/>
      <c r="S98" s="87"/>
      <c r="T98" s="87"/>
      <c r="U98" s="87"/>
      <c r="V98" s="93"/>
      <c r="W98" s="93"/>
      <c r="X98" s="93"/>
      <c r="Y98" s="93"/>
      <c r="Z98" s="93"/>
      <c r="AA98" s="80"/>
      <c r="AB98" s="80">
        <v>91</v>
      </c>
      <c r="AC98" s="80"/>
      <c r="AD98" s="89">
        <f t="shared" si="4"/>
        <v>-17460</v>
      </c>
      <c r="AE98" s="90">
        <f t="shared" si="5"/>
        <v>17460</v>
      </c>
      <c r="AF98" s="80">
        <f t="shared" si="6"/>
        <v>0</v>
      </c>
      <c r="AG98" s="90">
        <f t="shared" si="7"/>
        <v>31068</v>
      </c>
      <c r="AH98" s="104"/>
      <c r="AI98" s="104"/>
      <c r="AJ98" s="105"/>
      <c r="AK98" s="105"/>
      <c r="AL98" s="105"/>
      <c r="AM98" s="105"/>
    </row>
    <row r="99" spans="1:39" x14ac:dyDescent="0.25">
      <c r="A99" s="98">
        <v>87</v>
      </c>
      <c r="B99" s="114">
        <f>INDEX('Tabl. 1'!$C$8:$AO$313,104+$AB94,MATCH($C$7,$AA$7:$AA$45))</f>
        <v>30731</v>
      </c>
      <c r="C99" s="114">
        <f>INDEX('Tabl. 1'!$C$8:$AO$313,206+$AB94,MATCH($C$7,$AA$7:$AA$45))</f>
        <v>74794</v>
      </c>
      <c r="I99" s="81"/>
      <c r="P99" s="87"/>
      <c r="Q99" s="87"/>
      <c r="R99" s="87"/>
      <c r="S99" s="87"/>
      <c r="T99" s="87"/>
      <c r="U99" s="87"/>
      <c r="V99" s="93"/>
      <c r="W99" s="93"/>
      <c r="X99" s="93"/>
      <c r="Y99" s="93"/>
      <c r="Z99" s="93"/>
      <c r="AA99" s="80"/>
      <c r="AB99" s="80">
        <v>92</v>
      </c>
      <c r="AC99" s="80"/>
      <c r="AD99" s="89">
        <f t="shared" si="4"/>
        <v>-14058</v>
      </c>
      <c r="AE99" s="90">
        <f t="shared" si="5"/>
        <v>14058</v>
      </c>
      <c r="AF99" s="80">
        <f t="shared" si="6"/>
        <v>0</v>
      </c>
      <c r="AG99" s="90">
        <f t="shared" si="7"/>
        <v>26337</v>
      </c>
      <c r="AH99" s="104"/>
      <c r="AI99" s="104"/>
      <c r="AJ99" s="105"/>
      <c r="AK99" s="105"/>
      <c r="AL99" s="105"/>
      <c r="AM99" s="105"/>
    </row>
    <row r="100" spans="1:39" x14ac:dyDescent="0.25">
      <c r="A100" s="98">
        <v>88</v>
      </c>
      <c r="B100" s="114">
        <f>INDEX('Tabl. 1'!$C$8:$AO$313,104+$AB95,MATCH($C$7,$AA$7:$AA$45))</f>
        <v>25279</v>
      </c>
      <c r="C100" s="114">
        <f>INDEX('Tabl. 1'!$C$8:$AO$313,206+$AB95,MATCH($C$7,$AA$7:$AA$45))</f>
        <v>64249</v>
      </c>
      <c r="I100" s="81"/>
      <c r="P100" s="87"/>
      <c r="Q100" s="87"/>
      <c r="R100" s="87"/>
      <c r="S100" s="87"/>
      <c r="T100" s="87"/>
      <c r="U100" s="87"/>
      <c r="V100" s="93"/>
      <c r="W100" s="93"/>
      <c r="X100" s="93"/>
      <c r="Y100" s="93"/>
      <c r="Z100" s="93"/>
      <c r="AA100" s="80"/>
      <c r="AB100" s="80">
        <v>93</v>
      </c>
      <c r="AC100" s="80"/>
      <c r="AD100" s="89">
        <f t="shared" si="4"/>
        <v>-10977</v>
      </c>
      <c r="AE100" s="90">
        <f t="shared" si="5"/>
        <v>10977</v>
      </c>
      <c r="AF100" s="80">
        <f t="shared" si="6"/>
        <v>0</v>
      </c>
      <c r="AG100" s="90">
        <f t="shared" si="7"/>
        <v>22096</v>
      </c>
      <c r="AH100" s="104"/>
      <c r="AI100" s="104"/>
      <c r="AJ100" s="105"/>
      <c r="AK100" s="105"/>
      <c r="AL100" s="105"/>
      <c r="AM100" s="105"/>
    </row>
    <row r="101" spans="1:39" x14ac:dyDescent="0.25">
      <c r="A101" s="98">
        <v>89</v>
      </c>
      <c r="B101" s="114">
        <f>INDEX('Tabl. 1'!$C$8:$AO$313,104+$AB96,MATCH($C$7,$AA$7:$AA$45))</f>
        <v>20883</v>
      </c>
      <c r="C101" s="114">
        <f>INDEX('Tabl. 1'!$C$8:$AO$313,206+$AB96,MATCH($C$7,$AA$7:$AA$45))</f>
        <v>54615</v>
      </c>
      <c r="I101" s="81"/>
      <c r="P101" s="87"/>
      <c r="Q101" s="87"/>
      <c r="R101" s="87"/>
      <c r="S101" s="87"/>
      <c r="T101" s="87"/>
      <c r="U101" s="87"/>
      <c r="V101" s="93"/>
      <c r="W101" s="93"/>
      <c r="X101" s="93"/>
      <c r="Y101" s="93"/>
      <c r="Z101" s="93"/>
      <c r="AA101" s="80"/>
      <c r="AB101" s="80">
        <v>94</v>
      </c>
      <c r="AC101" s="80"/>
      <c r="AD101" s="89">
        <f t="shared" si="4"/>
        <v>-7767</v>
      </c>
      <c r="AE101" s="90">
        <f t="shared" si="5"/>
        <v>7767</v>
      </c>
      <c r="AF101" s="80">
        <f t="shared" si="6"/>
        <v>0</v>
      </c>
      <c r="AG101" s="90">
        <f t="shared" si="7"/>
        <v>16637</v>
      </c>
      <c r="AH101" s="104"/>
      <c r="AI101" s="104"/>
      <c r="AJ101" s="105"/>
      <c r="AK101" s="105"/>
      <c r="AL101" s="105"/>
      <c r="AM101" s="105"/>
    </row>
    <row r="102" spans="1:39" x14ac:dyDescent="0.25">
      <c r="A102" s="98">
        <v>90</v>
      </c>
      <c r="B102" s="114">
        <f>INDEX('Tabl. 1'!$C$8:$AO$313,104+$AB97,MATCH($C$7,$AA$7:$AA$45))</f>
        <v>17460</v>
      </c>
      <c r="C102" s="114">
        <f>INDEX('Tabl. 1'!$C$8:$AO$313,206+$AB97,MATCH($C$7,$AA$7:$AA$45))</f>
        <v>48528</v>
      </c>
      <c r="I102" s="81"/>
      <c r="P102" s="87"/>
      <c r="Q102" s="87"/>
      <c r="R102" s="87"/>
      <c r="S102" s="87"/>
      <c r="T102" s="87"/>
      <c r="U102" s="87"/>
      <c r="V102" s="93"/>
      <c r="W102" s="93"/>
      <c r="X102" s="93"/>
      <c r="Y102" s="93"/>
      <c r="Z102" s="93"/>
      <c r="AA102" s="80"/>
      <c r="AB102" s="80">
        <v>95</v>
      </c>
      <c r="AC102" s="80"/>
      <c r="AD102" s="89">
        <f t="shared" si="4"/>
        <v>-5661</v>
      </c>
      <c r="AE102" s="90">
        <f t="shared" si="5"/>
        <v>5661</v>
      </c>
      <c r="AF102" s="80">
        <f t="shared" si="6"/>
        <v>0</v>
      </c>
      <c r="AG102" s="90">
        <f t="shared" si="7"/>
        <v>13028</v>
      </c>
      <c r="AH102" s="104"/>
      <c r="AI102" s="104"/>
      <c r="AJ102" s="105"/>
      <c r="AK102" s="105"/>
      <c r="AL102" s="105"/>
      <c r="AM102" s="105"/>
    </row>
    <row r="103" spans="1:39" x14ac:dyDescent="0.25">
      <c r="A103" s="98">
        <v>91</v>
      </c>
      <c r="B103" s="114">
        <f>INDEX('Tabl. 1'!$C$8:$AO$313,104+$AB98,MATCH($C$7,$AA$7:$AA$45))</f>
        <v>14058</v>
      </c>
      <c r="C103" s="114">
        <f>INDEX('Tabl. 1'!$C$8:$AO$313,206+$AB98,MATCH($C$7,$AA$7:$AA$45))</f>
        <v>40395</v>
      </c>
      <c r="I103" s="81"/>
      <c r="P103" s="87"/>
      <c r="Q103" s="87"/>
      <c r="R103" s="87"/>
      <c r="S103" s="87"/>
      <c r="T103" s="87"/>
      <c r="U103" s="87"/>
      <c r="V103" s="93"/>
      <c r="W103" s="93"/>
      <c r="X103" s="93"/>
      <c r="Y103" s="93"/>
      <c r="Z103" s="93"/>
      <c r="AA103" s="80"/>
      <c r="AB103" s="80">
        <v>96</v>
      </c>
      <c r="AC103" s="80"/>
      <c r="AD103" s="89">
        <f t="shared" si="4"/>
        <v>-3716</v>
      </c>
      <c r="AE103" s="90">
        <f t="shared" si="5"/>
        <v>3716</v>
      </c>
      <c r="AF103" s="80">
        <f t="shared" si="6"/>
        <v>0</v>
      </c>
      <c r="AG103" s="90">
        <f t="shared" si="7"/>
        <v>9382</v>
      </c>
      <c r="AH103" s="104"/>
      <c r="AI103" s="104"/>
      <c r="AJ103" s="105"/>
      <c r="AK103" s="105"/>
      <c r="AL103" s="105"/>
      <c r="AM103" s="105"/>
    </row>
    <row r="104" spans="1:39" x14ac:dyDescent="0.25">
      <c r="A104" s="98">
        <v>92</v>
      </c>
      <c r="B104" s="114">
        <f>INDEX('Tabl. 1'!$C$8:$AO$313,104+$AB99,MATCH($C$7,$AA$7:$AA$45))</f>
        <v>10977</v>
      </c>
      <c r="C104" s="114">
        <f>INDEX('Tabl. 1'!$C$8:$AO$313,206+$AB99,MATCH($C$7,$AA$7:$AA$45))</f>
        <v>33073</v>
      </c>
      <c r="I104" s="81"/>
      <c r="P104" s="87"/>
      <c r="Q104" s="87"/>
      <c r="R104" s="87"/>
      <c r="S104" s="87"/>
      <c r="T104" s="87"/>
      <c r="U104" s="87"/>
      <c r="V104" s="93"/>
      <c r="W104" s="93"/>
      <c r="X104" s="93"/>
      <c r="Y104" s="93"/>
      <c r="Z104" s="93"/>
      <c r="AA104" s="80"/>
      <c r="AB104" s="80">
        <v>97</v>
      </c>
      <c r="AC104" s="80"/>
      <c r="AD104" s="89">
        <f t="shared" si="4"/>
        <v>-2466</v>
      </c>
      <c r="AE104" s="90">
        <f t="shared" si="5"/>
        <v>2466</v>
      </c>
      <c r="AF104" s="80">
        <f t="shared" si="6"/>
        <v>0</v>
      </c>
      <c r="AG104" s="90">
        <f t="shared" si="7"/>
        <v>6950</v>
      </c>
      <c r="AH104" s="104"/>
      <c r="AI104" s="104"/>
      <c r="AJ104" s="105"/>
      <c r="AK104" s="105"/>
      <c r="AL104" s="105"/>
      <c r="AM104" s="105"/>
    </row>
    <row r="105" spans="1:39" x14ac:dyDescent="0.25">
      <c r="A105" s="98">
        <v>93</v>
      </c>
      <c r="B105" s="114">
        <f>INDEX('Tabl. 1'!$C$8:$AO$313,104+$AB100,MATCH($C$7,$AA$7:$AA$45))</f>
        <v>7767</v>
      </c>
      <c r="C105" s="114">
        <f>INDEX('Tabl. 1'!$C$8:$AO$313,206+$AB100,MATCH($C$7,$AA$7:$AA$45))</f>
        <v>24404</v>
      </c>
      <c r="I105" s="81"/>
      <c r="P105" s="87"/>
      <c r="Q105" s="87"/>
      <c r="R105" s="87"/>
      <c r="S105" s="87"/>
      <c r="T105" s="87"/>
      <c r="U105" s="87"/>
      <c r="V105" s="93"/>
      <c r="W105" s="93"/>
      <c r="X105" s="93"/>
      <c r="Y105" s="93"/>
      <c r="Z105" s="93"/>
      <c r="AA105" s="80"/>
      <c r="AB105" s="80">
        <v>98</v>
      </c>
      <c r="AC105" s="80"/>
      <c r="AD105" s="89">
        <f t="shared" si="4"/>
        <v>-1771</v>
      </c>
      <c r="AE105" s="90">
        <f t="shared" si="5"/>
        <v>1771</v>
      </c>
      <c r="AF105" s="80">
        <f t="shared" si="6"/>
        <v>0</v>
      </c>
      <c r="AG105" s="90">
        <f t="shared" si="7"/>
        <v>5333</v>
      </c>
      <c r="AH105" s="104"/>
      <c r="AI105" s="104"/>
      <c r="AJ105" s="105"/>
      <c r="AK105" s="105"/>
      <c r="AL105" s="105"/>
      <c r="AM105" s="105"/>
    </row>
    <row r="106" spans="1:39" x14ac:dyDescent="0.25">
      <c r="A106" s="98">
        <v>94</v>
      </c>
      <c r="B106" s="114">
        <f>INDEX('Tabl. 1'!$C$8:$AO$313,104+$AB101,MATCH($C$7,$AA$7:$AA$45))</f>
        <v>5661</v>
      </c>
      <c r="C106" s="114">
        <f>INDEX('Tabl. 1'!$C$8:$AO$313,206+$AB101,MATCH($C$7,$AA$7:$AA$45))</f>
        <v>18689</v>
      </c>
      <c r="I106" s="81"/>
      <c r="P106" s="87"/>
      <c r="Q106" s="87"/>
      <c r="R106" s="87"/>
      <c r="S106" s="87"/>
      <c r="T106" s="87"/>
      <c r="U106" s="87"/>
      <c r="V106" s="93"/>
      <c r="W106" s="93"/>
      <c r="X106" s="93"/>
      <c r="Y106" s="93"/>
      <c r="Z106" s="93"/>
      <c r="AA106" s="80"/>
      <c r="AB106" s="80">
        <v>99</v>
      </c>
      <c r="AC106" s="80"/>
      <c r="AD106" s="89">
        <f t="shared" si="4"/>
        <v>-1123</v>
      </c>
      <c r="AE106" s="90">
        <f t="shared" si="5"/>
        <v>1123</v>
      </c>
      <c r="AF106" s="80">
        <f t="shared" si="6"/>
        <v>0</v>
      </c>
      <c r="AG106" s="90">
        <f t="shared" si="7"/>
        <v>3452</v>
      </c>
      <c r="AH106" s="104"/>
      <c r="AI106" s="104"/>
      <c r="AJ106" s="105"/>
      <c r="AK106" s="105"/>
      <c r="AL106" s="105"/>
      <c r="AM106" s="105"/>
    </row>
    <row r="107" spans="1:39" x14ac:dyDescent="0.25">
      <c r="A107" s="98">
        <v>95</v>
      </c>
      <c r="B107" s="114">
        <f>INDEX('Tabl. 1'!$C$8:$AO$313,104+$AB102,MATCH($C$7,$AA$7:$AA$45))</f>
        <v>3716</v>
      </c>
      <c r="C107" s="114">
        <f>INDEX('Tabl. 1'!$C$8:$AO$313,206+$AB102,MATCH($C$7,$AA$7:$AA$45))</f>
        <v>13098</v>
      </c>
      <c r="I107" s="81"/>
      <c r="P107" s="87"/>
      <c r="Q107" s="87"/>
      <c r="R107" s="87"/>
      <c r="S107" s="87"/>
      <c r="T107" s="87"/>
      <c r="U107" s="87"/>
      <c r="V107" s="93"/>
      <c r="W107" s="93"/>
      <c r="X107" s="93"/>
      <c r="Y107" s="93"/>
      <c r="Z107" s="93"/>
      <c r="AA107" s="80"/>
      <c r="AB107" s="80">
        <v>100</v>
      </c>
      <c r="AC107" s="80"/>
      <c r="AD107" s="89">
        <f t="shared" si="4"/>
        <v>-879</v>
      </c>
      <c r="AE107" s="90">
        <f t="shared" si="5"/>
        <v>879</v>
      </c>
      <c r="AF107" s="80">
        <f t="shared" si="6"/>
        <v>0</v>
      </c>
      <c r="AG107" s="90">
        <f t="shared" si="7"/>
        <v>2293</v>
      </c>
      <c r="AH107" s="104"/>
      <c r="AI107" s="104"/>
      <c r="AJ107" s="105"/>
      <c r="AK107" s="105"/>
      <c r="AL107" s="105"/>
      <c r="AM107" s="105"/>
    </row>
    <row r="108" spans="1:39" x14ac:dyDescent="0.25">
      <c r="A108" s="98">
        <v>96</v>
      </c>
      <c r="B108" s="114">
        <f>INDEX('Tabl. 1'!$C$8:$AO$313,104+$AB103,MATCH($C$7,$AA$7:$AA$45))</f>
        <v>2466</v>
      </c>
      <c r="C108" s="114">
        <f>INDEX('Tabl. 1'!$C$8:$AO$313,206+$AB103,MATCH($C$7,$AA$7:$AA$45))</f>
        <v>9416</v>
      </c>
      <c r="I108" s="81"/>
      <c r="P108" s="87"/>
      <c r="Q108" s="87"/>
      <c r="R108" s="87"/>
      <c r="S108" s="87"/>
      <c r="T108" s="87"/>
      <c r="U108" s="87"/>
      <c r="V108" s="93"/>
      <c r="W108" s="93"/>
      <c r="X108" s="93"/>
      <c r="Y108" s="93"/>
      <c r="Z108" s="93"/>
      <c r="AA108" s="80"/>
      <c r="AB108" s="80">
        <v>101</v>
      </c>
      <c r="AC108" s="80"/>
      <c r="AD108" s="89">
        <f t="shared" si="4"/>
        <v>-1354</v>
      </c>
      <c r="AE108" s="90">
        <f t="shared" si="5"/>
        <v>1354</v>
      </c>
      <c r="AF108" s="80">
        <f t="shared" si="6"/>
        <v>0</v>
      </c>
      <c r="AG108" s="90">
        <f t="shared" si="7"/>
        <v>3200</v>
      </c>
      <c r="AH108" s="104"/>
      <c r="AI108" s="104"/>
      <c r="AJ108" s="105"/>
      <c r="AK108" s="105"/>
      <c r="AL108" s="105"/>
      <c r="AM108" s="105"/>
    </row>
    <row r="109" spans="1:39" x14ac:dyDescent="0.25">
      <c r="A109" s="98">
        <v>97</v>
      </c>
      <c r="B109" s="114">
        <f>INDEX('Tabl. 1'!$C$8:$AO$313,104+$AB104,MATCH($C$7,$AA$7:$AA$45))</f>
        <v>1771</v>
      </c>
      <c r="C109" s="114">
        <f>INDEX('Tabl. 1'!$C$8:$AO$313,206+$AB104,MATCH($C$7,$AA$7:$AA$45))</f>
        <v>7104</v>
      </c>
      <c r="AA109" s="80"/>
      <c r="AB109" s="80"/>
      <c r="AC109" s="80"/>
      <c r="AD109" s="89">
        <f>MAX('Tabl. 1'!C111:C211)*-1</f>
        <v>-336987</v>
      </c>
      <c r="AE109" s="90">
        <f>MAX('Tabl. 1'!C213:C313)</f>
        <v>329973</v>
      </c>
      <c r="AF109" s="80">
        <f t="shared" si="6"/>
        <v>0</v>
      </c>
      <c r="AG109" s="90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98">
        <v>98</v>
      </c>
      <c r="B110" s="114">
        <f>INDEX('Tabl. 1'!$C$8:$AO$313,104+$AB105,MATCH($C$7,$AA$7:$AA$45))</f>
        <v>1123</v>
      </c>
      <c r="C110" s="114">
        <f>INDEX('Tabl. 1'!$C$8:$AO$313,206+$AB105,MATCH($C$7,$AA$7:$AA$45))</f>
        <v>4575</v>
      </c>
      <c r="AA110" s="80"/>
      <c r="AB110" s="120"/>
      <c r="AC110" s="120"/>
      <c r="AD110" s="120"/>
      <c r="AE110" s="80"/>
      <c r="AF110" s="80"/>
      <c r="AG110" s="94"/>
      <c r="AH110" s="104"/>
      <c r="AI110" s="104"/>
      <c r="AJ110" s="105"/>
      <c r="AK110" s="105"/>
      <c r="AL110" s="105"/>
      <c r="AM110" s="105"/>
    </row>
    <row r="111" spans="1:39" x14ac:dyDescent="0.25">
      <c r="A111" s="98">
        <v>99</v>
      </c>
      <c r="B111" s="114">
        <f>INDEX('Tabl. 1'!$C$8:$AO$313,104+$AB106,MATCH($C$7,$AA$7:$AA$45))</f>
        <v>879</v>
      </c>
      <c r="C111" s="114">
        <f>INDEX('Tabl. 1'!$C$8:$AO$313,206+$AB106,MATCH($C$7,$AA$7:$AA$45))</f>
        <v>3172</v>
      </c>
      <c r="AA111" s="80"/>
      <c r="AB111" s="120"/>
      <c r="AC111" s="120"/>
      <c r="AD111" s="120"/>
      <c r="AE111" s="80"/>
      <c r="AF111" s="80"/>
      <c r="AG111" s="94"/>
      <c r="AH111" s="104"/>
      <c r="AI111" s="104"/>
      <c r="AJ111" s="105"/>
      <c r="AK111" s="105"/>
      <c r="AL111" s="105"/>
      <c r="AM111" s="105"/>
    </row>
    <row r="112" spans="1:39" x14ac:dyDescent="0.25">
      <c r="A112" s="99" t="s">
        <v>80</v>
      </c>
      <c r="B112" s="118">
        <f>INDEX('Tabl. 1'!$C$8:$AO$313,104+$AB107,MATCH($C$7,$AA$7:$AA$45))</f>
        <v>1354</v>
      </c>
      <c r="C112" s="118">
        <f>INDEX('Tabl. 1'!$C$8:$AO$313,206+$AB107,MATCH($C$7,$AA$7:$AA$45))</f>
        <v>4554</v>
      </c>
      <c r="AA112" s="80"/>
      <c r="AB112" s="80"/>
      <c r="AC112" s="80"/>
      <c r="AD112" s="80"/>
      <c r="AE112" s="80"/>
      <c r="AF112" s="80"/>
      <c r="AG112" s="94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JLWOlJOOFCG+awpR9ZoHLZvsjYYJrQdMmw5t0Jf0+d1WyahMtIHf8uV4os7mX3HfeEN0YJ25Do/8j13rh5lX6Q==" saltValue="ELYAt74U97/PpLPnDt94+g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8193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2023-08-29T13:53:19Z</dcterms:modified>
</cp:coreProperties>
</file>